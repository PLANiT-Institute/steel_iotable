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360" documentId="8_{83E34773-1FD7-1A4C-A4F2-32CC154EB8F8}" xr6:coauthVersionLast="47" xr6:coauthVersionMax="47" xr10:uidLastSave="{5E82EE70-F5E0-D540-87B7-C35F8115342D}"/>
  <bookViews>
    <workbookView xWindow="0" yWindow="760" windowWidth="29400" windowHeight="17280" xr2:uid="{27679ABF-0607-CA41-A5A7-76E4F83BA296}"/>
  </bookViews>
  <sheets>
    <sheet name="integrated" sheetId="3" r:id="rId1"/>
    <sheet name="topdown" sheetId="4" r:id="rId2"/>
    <sheet name="growthrate" sheetId="1" r:id="rId3"/>
    <sheet name="producerprice" sheetId="5" r:id="rId4"/>
  </sheets>
  <definedNames>
    <definedName name="_xlnm._FilterDatabase" localSheetId="3" hidden="1">producerprice!$B$2:$NS$382</definedName>
    <definedName name="\a" localSheetId="3">#REF!</definedName>
    <definedName name="\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R3" i="3" s="1"/>
  <c r="W3" i="3" s="1"/>
  <c r="M4" i="3"/>
  <c r="R4" i="3" s="1"/>
  <c r="W4" i="3" s="1"/>
  <c r="M5" i="3"/>
  <c r="R5" i="3" s="1"/>
  <c r="W5" i="3" s="1"/>
  <c r="M6" i="3"/>
  <c r="R6" i="3" s="1"/>
  <c r="W6" i="3" s="1"/>
  <c r="M7" i="3"/>
  <c r="R7" i="3" s="1"/>
  <c r="W7" i="3" s="1"/>
  <c r="M8" i="3"/>
  <c r="R8" i="3" s="1"/>
  <c r="W8" i="3" s="1"/>
  <c r="M9" i="3"/>
  <c r="R9" i="3" s="1"/>
  <c r="W9" i="3" s="1"/>
  <c r="M10" i="3"/>
  <c r="R10" i="3" s="1"/>
  <c r="W10" i="3" s="1"/>
  <c r="M11" i="3"/>
  <c r="R11" i="3" s="1"/>
  <c r="W11" i="3" s="1"/>
  <c r="M12" i="3"/>
  <c r="R12" i="3" s="1"/>
  <c r="W12" i="3" s="1"/>
  <c r="M13" i="3"/>
  <c r="R13" i="3" s="1"/>
  <c r="W13" i="3" s="1"/>
  <c r="M14" i="3"/>
  <c r="R14" i="3" s="1"/>
  <c r="W14" i="3" s="1"/>
  <c r="M15" i="3"/>
  <c r="R15" i="3" s="1"/>
  <c r="W15" i="3" s="1"/>
  <c r="M16" i="3"/>
  <c r="R16" i="3" s="1"/>
  <c r="W16" i="3" s="1"/>
  <c r="M17" i="3"/>
  <c r="R17" i="3" s="1"/>
  <c r="W17" i="3" s="1"/>
  <c r="M18" i="3"/>
  <c r="R18" i="3" s="1"/>
  <c r="W18" i="3" s="1"/>
  <c r="M19" i="3"/>
  <c r="R19" i="3" s="1"/>
  <c r="W19" i="3" s="1"/>
  <c r="M20" i="3"/>
  <c r="R20" i="3" s="1"/>
  <c r="W20" i="3" s="1"/>
  <c r="M21" i="3"/>
  <c r="R21" i="3" s="1"/>
  <c r="W21" i="3" s="1"/>
  <c r="M22" i="3"/>
  <c r="R22" i="3" s="1"/>
  <c r="W22" i="3" s="1"/>
  <c r="M23" i="3"/>
  <c r="R23" i="3" s="1"/>
  <c r="W23" i="3" s="1"/>
  <c r="M24" i="3"/>
  <c r="R24" i="3" s="1"/>
  <c r="W24" i="3" s="1"/>
  <c r="M25" i="3"/>
  <c r="R25" i="3" s="1"/>
  <c r="W25" i="3" s="1"/>
  <c r="M26" i="3"/>
  <c r="R26" i="3" s="1"/>
  <c r="W26" i="3" s="1"/>
  <c r="M27" i="3"/>
  <c r="R27" i="3" s="1"/>
  <c r="W27" i="3" s="1"/>
  <c r="M28" i="3"/>
  <c r="R28" i="3" s="1"/>
  <c r="W28" i="3" s="1"/>
  <c r="M29" i="3"/>
  <c r="R29" i="3" s="1"/>
  <c r="W29" i="3" s="1"/>
  <c r="M30" i="3"/>
  <c r="R30" i="3" s="1"/>
  <c r="W30" i="3" s="1"/>
  <c r="M31" i="3"/>
  <c r="R31" i="3" s="1"/>
  <c r="W31" i="3" s="1"/>
  <c r="M32" i="3"/>
  <c r="R32" i="3" s="1"/>
  <c r="W32" i="3" s="1"/>
  <c r="M33" i="3"/>
  <c r="R33" i="3" s="1"/>
  <c r="W33" i="3" s="1"/>
  <c r="M34" i="3"/>
  <c r="R34" i="3" s="1"/>
  <c r="W34" i="3" s="1"/>
  <c r="M35" i="3"/>
  <c r="R35" i="3" s="1"/>
  <c r="W35" i="3" s="1"/>
  <c r="M36" i="3"/>
  <c r="R36" i="3" s="1"/>
  <c r="W36" i="3" s="1"/>
  <c r="M37" i="3"/>
  <c r="R37" i="3" s="1"/>
  <c r="W37" i="3" s="1"/>
  <c r="M38" i="3"/>
  <c r="R38" i="3" s="1"/>
  <c r="W38" i="3" s="1"/>
  <c r="M39" i="3"/>
  <c r="R39" i="3" s="1"/>
  <c r="W39" i="3" s="1"/>
  <c r="M40" i="3"/>
  <c r="R40" i="3" s="1"/>
  <c r="W40" i="3" s="1"/>
  <c r="M41" i="3"/>
  <c r="R41" i="3" s="1"/>
  <c r="W41" i="3" s="1"/>
  <c r="M42" i="3"/>
  <c r="R42" i="3" s="1"/>
  <c r="W42" i="3" s="1"/>
  <c r="M43" i="3"/>
  <c r="R43" i="3" s="1"/>
  <c r="W43" i="3" s="1"/>
  <c r="M44" i="3"/>
  <c r="R44" i="3" s="1"/>
  <c r="W44" i="3" s="1"/>
  <c r="M45" i="3"/>
  <c r="R45" i="3" s="1"/>
  <c r="W45" i="3" s="1"/>
  <c r="M46" i="3"/>
  <c r="R46" i="3" s="1"/>
  <c r="W46" i="3" s="1"/>
  <c r="M47" i="3"/>
  <c r="R47" i="3" s="1"/>
  <c r="W47" i="3" s="1"/>
  <c r="M48" i="3"/>
  <c r="R48" i="3" s="1"/>
  <c r="W48" i="3" s="1"/>
  <c r="M49" i="3"/>
  <c r="R49" i="3" s="1"/>
  <c r="W49" i="3" s="1"/>
  <c r="M50" i="3"/>
  <c r="R50" i="3" s="1"/>
  <c r="W50" i="3" s="1"/>
  <c r="M51" i="3"/>
  <c r="R51" i="3" s="1"/>
  <c r="W51" i="3" s="1"/>
  <c r="M52" i="3"/>
  <c r="R52" i="3" s="1"/>
  <c r="W52" i="3" s="1"/>
  <c r="M53" i="3"/>
  <c r="R53" i="3" s="1"/>
  <c r="W53" i="3" s="1"/>
  <c r="M54" i="3"/>
  <c r="R54" i="3" s="1"/>
  <c r="W54" i="3" s="1"/>
  <c r="M55" i="3"/>
  <c r="R55" i="3" s="1"/>
  <c r="W55" i="3" s="1"/>
  <c r="M56" i="3"/>
  <c r="R56" i="3" s="1"/>
  <c r="W56" i="3" s="1"/>
  <c r="M57" i="3"/>
  <c r="R57" i="3" s="1"/>
  <c r="W57" i="3" s="1"/>
  <c r="M58" i="3"/>
  <c r="R58" i="3" s="1"/>
  <c r="W58" i="3" s="1"/>
  <c r="M59" i="3"/>
  <c r="R59" i="3" s="1"/>
  <c r="W59" i="3" s="1"/>
  <c r="M60" i="3"/>
  <c r="R60" i="3" s="1"/>
  <c r="W60" i="3" s="1"/>
  <c r="M61" i="3"/>
  <c r="R61" i="3" s="1"/>
  <c r="W61" i="3" s="1"/>
  <c r="M62" i="3"/>
  <c r="R62" i="3" s="1"/>
  <c r="W62" i="3" s="1"/>
  <c r="M63" i="3"/>
  <c r="R63" i="3" s="1"/>
  <c r="W63" i="3" s="1"/>
  <c r="M64" i="3"/>
  <c r="R64" i="3" s="1"/>
  <c r="W64" i="3" s="1"/>
  <c r="M65" i="3"/>
  <c r="R65" i="3" s="1"/>
  <c r="W65" i="3" s="1"/>
  <c r="M66" i="3"/>
  <c r="R66" i="3" s="1"/>
  <c r="W66" i="3" s="1"/>
  <c r="M67" i="3"/>
  <c r="R67" i="3" s="1"/>
  <c r="W67" i="3" s="1"/>
  <c r="M68" i="3"/>
  <c r="R68" i="3" s="1"/>
  <c r="W68" i="3" s="1"/>
  <c r="M69" i="3"/>
  <c r="R69" i="3" s="1"/>
  <c r="W69" i="3" s="1"/>
  <c r="M70" i="3"/>
  <c r="R70" i="3" s="1"/>
  <c r="W70" i="3" s="1"/>
  <c r="M71" i="3"/>
  <c r="R71" i="3" s="1"/>
  <c r="W71" i="3" s="1"/>
  <c r="M72" i="3"/>
  <c r="R72" i="3" s="1"/>
  <c r="W72" i="3" s="1"/>
  <c r="M73" i="3"/>
  <c r="R73" i="3" s="1"/>
  <c r="W73" i="3" s="1"/>
  <c r="M74" i="3"/>
  <c r="R74" i="3" s="1"/>
  <c r="W74" i="3" s="1"/>
  <c r="M75" i="3"/>
  <c r="R75" i="3" s="1"/>
  <c r="W75" i="3" s="1"/>
  <c r="M76" i="3"/>
  <c r="R76" i="3" s="1"/>
  <c r="W76" i="3" s="1"/>
  <c r="M77" i="3"/>
  <c r="R77" i="3" s="1"/>
  <c r="W77" i="3" s="1"/>
  <c r="M78" i="3"/>
  <c r="R78" i="3" s="1"/>
  <c r="W78" i="3" s="1"/>
  <c r="M79" i="3"/>
  <c r="R79" i="3" s="1"/>
  <c r="W79" i="3" s="1"/>
  <c r="M80" i="3"/>
  <c r="R80" i="3" s="1"/>
  <c r="W80" i="3" s="1"/>
  <c r="M81" i="3"/>
  <c r="R81" i="3" s="1"/>
  <c r="W81" i="3" s="1"/>
  <c r="M82" i="3"/>
  <c r="R82" i="3" s="1"/>
  <c r="W82" i="3" s="1"/>
  <c r="M83" i="3"/>
  <c r="R83" i="3" s="1"/>
  <c r="W83" i="3" s="1"/>
  <c r="M84" i="3"/>
  <c r="R84" i="3" s="1"/>
  <c r="W84" i="3" s="1"/>
  <c r="M85" i="3"/>
  <c r="R85" i="3" s="1"/>
  <c r="W85" i="3" s="1"/>
  <c r="M86" i="3"/>
  <c r="R86" i="3" s="1"/>
  <c r="W86" i="3" s="1"/>
  <c r="M87" i="3"/>
  <c r="R87" i="3" s="1"/>
  <c r="W87" i="3" s="1"/>
  <c r="M88" i="3"/>
  <c r="R88" i="3" s="1"/>
  <c r="W88" i="3" s="1"/>
  <c r="M89" i="3"/>
  <c r="R89" i="3" s="1"/>
  <c r="W89" i="3" s="1"/>
  <c r="M90" i="3"/>
  <c r="R90" i="3" s="1"/>
  <c r="W90" i="3" s="1"/>
  <c r="M91" i="3"/>
  <c r="R91" i="3" s="1"/>
  <c r="W91" i="3" s="1"/>
  <c r="M92" i="3"/>
  <c r="R92" i="3" s="1"/>
  <c r="W92" i="3" s="1"/>
  <c r="M93" i="3"/>
  <c r="R93" i="3" s="1"/>
  <c r="W93" i="3" s="1"/>
  <c r="M94" i="3"/>
  <c r="R94" i="3" s="1"/>
  <c r="W94" i="3" s="1"/>
  <c r="M95" i="3"/>
  <c r="R95" i="3" s="1"/>
  <c r="W95" i="3" s="1"/>
  <c r="M96" i="3"/>
  <c r="R96" i="3" s="1"/>
  <c r="W96" i="3" s="1"/>
  <c r="M97" i="3"/>
  <c r="R97" i="3" s="1"/>
  <c r="W97" i="3" s="1"/>
  <c r="M98" i="3"/>
  <c r="R98" i="3" s="1"/>
  <c r="W98" i="3" s="1"/>
  <c r="M99" i="3"/>
  <c r="R99" i="3" s="1"/>
  <c r="W99" i="3" s="1"/>
  <c r="M100" i="3"/>
  <c r="R100" i="3" s="1"/>
  <c r="W100" i="3" s="1"/>
  <c r="M101" i="3"/>
  <c r="R101" i="3" s="1"/>
  <c r="W101" i="3" s="1"/>
  <c r="M102" i="3"/>
  <c r="R102" i="3" s="1"/>
  <c r="W102" i="3" s="1"/>
  <c r="M103" i="3"/>
  <c r="R103" i="3" s="1"/>
  <c r="W103" i="3" s="1"/>
  <c r="M104" i="3"/>
  <c r="R104" i="3" s="1"/>
  <c r="W104" i="3" s="1"/>
  <c r="M105" i="3"/>
  <c r="R105" i="3" s="1"/>
  <c r="W105" i="3" s="1"/>
  <c r="M106" i="3"/>
  <c r="R106" i="3" s="1"/>
  <c r="W106" i="3" s="1"/>
  <c r="M107" i="3"/>
  <c r="R107" i="3" s="1"/>
  <c r="W107" i="3" s="1"/>
  <c r="M108" i="3"/>
  <c r="R108" i="3" s="1"/>
  <c r="W108" i="3" s="1"/>
  <c r="M109" i="3"/>
  <c r="R109" i="3" s="1"/>
  <c r="W109" i="3" s="1"/>
  <c r="M110" i="3"/>
  <c r="R110" i="3" s="1"/>
  <c r="W110" i="3" s="1"/>
  <c r="M111" i="3"/>
  <c r="R111" i="3" s="1"/>
  <c r="W111" i="3" s="1"/>
  <c r="M112" i="3"/>
  <c r="R112" i="3" s="1"/>
  <c r="W112" i="3" s="1"/>
  <c r="M113" i="3"/>
  <c r="R113" i="3" s="1"/>
  <c r="W113" i="3" s="1"/>
  <c r="M114" i="3"/>
  <c r="R114" i="3" s="1"/>
  <c r="W114" i="3" s="1"/>
  <c r="M115" i="3"/>
  <c r="R115" i="3" s="1"/>
  <c r="W115" i="3" s="1"/>
  <c r="M116" i="3"/>
  <c r="R116" i="3" s="1"/>
  <c r="W116" i="3" s="1"/>
  <c r="M117" i="3"/>
  <c r="R117" i="3" s="1"/>
  <c r="W117" i="3" s="1"/>
  <c r="M118" i="3"/>
  <c r="R118" i="3" s="1"/>
  <c r="W118" i="3" s="1"/>
  <c r="M119" i="3"/>
  <c r="R119" i="3" s="1"/>
  <c r="W119" i="3" s="1"/>
  <c r="M120" i="3"/>
  <c r="R120" i="3" s="1"/>
  <c r="W120" i="3" s="1"/>
  <c r="M121" i="3"/>
  <c r="R121" i="3" s="1"/>
  <c r="W121" i="3" s="1"/>
  <c r="M122" i="3"/>
  <c r="R122" i="3" s="1"/>
  <c r="W122" i="3" s="1"/>
  <c r="M123" i="3"/>
  <c r="R123" i="3" s="1"/>
  <c r="W123" i="3" s="1"/>
  <c r="M124" i="3"/>
  <c r="R124" i="3" s="1"/>
  <c r="W124" i="3" s="1"/>
  <c r="M125" i="3"/>
  <c r="R125" i="3" s="1"/>
  <c r="W125" i="3" s="1"/>
  <c r="M126" i="3"/>
  <c r="R126" i="3" s="1"/>
  <c r="W126" i="3" s="1"/>
  <c r="M127" i="3"/>
  <c r="R127" i="3" s="1"/>
  <c r="W127" i="3" s="1"/>
  <c r="M128" i="3"/>
  <c r="R128" i="3" s="1"/>
  <c r="W128" i="3" s="1"/>
  <c r="M129" i="3"/>
  <c r="R129" i="3" s="1"/>
  <c r="W129" i="3" s="1"/>
  <c r="M130" i="3"/>
  <c r="R130" i="3" s="1"/>
  <c r="W130" i="3" s="1"/>
  <c r="M131" i="3"/>
  <c r="R131" i="3" s="1"/>
  <c r="W131" i="3" s="1"/>
  <c r="M132" i="3"/>
  <c r="R132" i="3" s="1"/>
  <c r="W132" i="3" s="1"/>
  <c r="M133" i="3"/>
  <c r="R133" i="3" s="1"/>
  <c r="W133" i="3" s="1"/>
  <c r="M134" i="3"/>
  <c r="R134" i="3" s="1"/>
  <c r="W134" i="3" s="1"/>
  <c r="M135" i="3"/>
  <c r="R135" i="3" s="1"/>
  <c r="W135" i="3" s="1"/>
  <c r="M136" i="3"/>
  <c r="R136" i="3" s="1"/>
  <c r="W136" i="3" s="1"/>
  <c r="M137" i="3"/>
  <c r="R137" i="3" s="1"/>
  <c r="W137" i="3" s="1"/>
  <c r="M138" i="3"/>
  <c r="R138" i="3" s="1"/>
  <c r="W138" i="3" s="1"/>
  <c r="M139" i="3"/>
  <c r="R139" i="3" s="1"/>
  <c r="W139" i="3" s="1"/>
  <c r="M140" i="3"/>
  <c r="R140" i="3" s="1"/>
  <c r="W140" i="3" s="1"/>
  <c r="M141" i="3"/>
  <c r="R141" i="3" s="1"/>
  <c r="W141" i="3" s="1"/>
  <c r="M142" i="3"/>
  <c r="R142" i="3" s="1"/>
  <c r="W142" i="3" s="1"/>
  <c r="M143" i="3"/>
  <c r="R143" i="3" s="1"/>
  <c r="W143" i="3" s="1"/>
  <c r="M144" i="3"/>
  <c r="R144" i="3" s="1"/>
  <c r="W144" i="3" s="1"/>
  <c r="M145" i="3"/>
  <c r="R145" i="3" s="1"/>
  <c r="W145" i="3" s="1"/>
  <c r="M146" i="3"/>
  <c r="R146" i="3" s="1"/>
  <c r="W146" i="3" s="1"/>
  <c r="M147" i="3"/>
  <c r="R147" i="3" s="1"/>
  <c r="W147" i="3" s="1"/>
  <c r="M148" i="3"/>
  <c r="R148" i="3" s="1"/>
  <c r="W148" i="3" s="1"/>
  <c r="M149" i="3"/>
  <c r="R149" i="3" s="1"/>
  <c r="W149" i="3" s="1"/>
  <c r="M150" i="3"/>
  <c r="R150" i="3" s="1"/>
  <c r="W150" i="3" s="1"/>
  <c r="M151" i="3"/>
  <c r="R151" i="3" s="1"/>
  <c r="W151" i="3" s="1"/>
  <c r="M152" i="3"/>
  <c r="R152" i="3" s="1"/>
  <c r="W152" i="3" s="1"/>
  <c r="M153" i="3"/>
  <c r="R153" i="3" s="1"/>
  <c r="W153" i="3" s="1"/>
  <c r="M154" i="3"/>
  <c r="R154" i="3" s="1"/>
  <c r="W154" i="3" s="1"/>
  <c r="M155" i="3"/>
  <c r="R155" i="3" s="1"/>
  <c r="W155" i="3" s="1"/>
  <c r="M156" i="3"/>
  <c r="R156" i="3" s="1"/>
  <c r="W156" i="3" s="1"/>
  <c r="M157" i="3"/>
  <c r="R157" i="3" s="1"/>
  <c r="W157" i="3" s="1"/>
  <c r="M158" i="3"/>
  <c r="R158" i="3" s="1"/>
  <c r="W158" i="3" s="1"/>
  <c r="M159" i="3"/>
  <c r="R159" i="3" s="1"/>
  <c r="W159" i="3" s="1"/>
  <c r="M160" i="3"/>
  <c r="R160" i="3" s="1"/>
  <c r="W160" i="3" s="1"/>
  <c r="M161" i="3"/>
  <c r="R161" i="3" s="1"/>
  <c r="W161" i="3" s="1"/>
  <c r="M162" i="3"/>
  <c r="R162" i="3" s="1"/>
  <c r="W162" i="3" s="1"/>
  <c r="M163" i="3"/>
  <c r="R163" i="3" s="1"/>
  <c r="W163" i="3" s="1"/>
  <c r="M164" i="3"/>
  <c r="R164" i="3" s="1"/>
  <c r="W164" i="3" s="1"/>
  <c r="M165" i="3"/>
  <c r="R165" i="3" s="1"/>
  <c r="W165" i="3" s="1"/>
  <c r="M166" i="3"/>
  <c r="R166" i="3" s="1"/>
  <c r="W166" i="3" s="1"/>
  <c r="M167" i="3"/>
  <c r="R167" i="3" s="1"/>
  <c r="W167" i="3" s="1"/>
  <c r="M168" i="3"/>
  <c r="R168" i="3" s="1"/>
  <c r="W168" i="3" s="1"/>
  <c r="M169" i="3"/>
  <c r="R169" i="3" s="1"/>
  <c r="W169" i="3" s="1"/>
  <c r="M170" i="3"/>
  <c r="R170" i="3" s="1"/>
  <c r="W170" i="3" s="1"/>
  <c r="M171" i="3"/>
  <c r="R171" i="3" s="1"/>
  <c r="W171" i="3" s="1"/>
  <c r="M172" i="3"/>
  <c r="R172" i="3" s="1"/>
  <c r="W172" i="3" s="1"/>
  <c r="M173" i="3"/>
  <c r="R173" i="3" s="1"/>
  <c r="W173" i="3" s="1"/>
  <c r="M174" i="3"/>
  <c r="R174" i="3" s="1"/>
  <c r="W174" i="3" s="1"/>
  <c r="M175" i="3"/>
  <c r="R175" i="3" s="1"/>
  <c r="W175" i="3" s="1"/>
  <c r="M176" i="3"/>
  <c r="R176" i="3" s="1"/>
  <c r="W176" i="3" s="1"/>
  <c r="M177" i="3"/>
  <c r="R177" i="3" s="1"/>
  <c r="W177" i="3" s="1"/>
  <c r="M178" i="3"/>
  <c r="R178" i="3" s="1"/>
  <c r="W178" i="3" s="1"/>
  <c r="M179" i="3"/>
  <c r="R179" i="3" s="1"/>
  <c r="W179" i="3" s="1"/>
  <c r="M180" i="3"/>
  <c r="R180" i="3" s="1"/>
  <c r="W180" i="3" s="1"/>
  <c r="M181" i="3"/>
  <c r="R181" i="3" s="1"/>
  <c r="W181" i="3" s="1"/>
  <c r="M182" i="3"/>
  <c r="R182" i="3" s="1"/>
  <c r="W182" i="3" s="1"/>
  <c r="M183" i="3"/>
  <c r="R183" i="3" s="1"/>
  <c r="W183" i="3" s="1"/>
  <c r="M184" i="3"/>
  <c r="R184" i="3" s="1"/>
  <c r="W184" i="3" s="1"/>
  <c r="M185" i="3"/>
  <c r="R185" i="3" s="1"/>
  <c r="W185" i="3" s="1"/>
  <c r="M186" i="3"/>
  <c r="R186" i="3" s="1"/>
  <c r="W186" i="3" s="1"/>
  <c r="M187" i="3"/>
  <c r="R187" i="3" s="1"/>
  <c r="W187" i="3" s="1"/>
  <c r="M188" i="3"/>
  <c r="R188" i="3" s="1"/>
  <c r="W188" i="3" s="1"/>
  <c r="M189" i="3"/>
  <c r="R189" i="3" s="1"/>
  <c r="W189" i="3" s="1"/>
  <c r="M190" i="3"/>
  <c r="R190" i="3" s="1"/>
  <c r="W190" i="3" s="1"/>
  <c r="M191" i="3"/>
  <c r="R191" i="3" s="1"/>
  <c r="W191" i="3" s="1"/>
  <c r="M192" i="3"/>
  <c r="R192" i="3" s="1"/>
  <c r="W192" i="3" s="1"/>
  <c r="M193" i="3"/>
  <c r="R193" i="3" s="1"/>
  <c r="W193" i="3" s="1"/>
  <c r="M194" i="3"/>
  <c r="R194" i="3" s="1"/>
  <c r="W194" i="3" s="1"/>
  <c r="M195" i="3"/>
  <c r="R195" i="3" s="1"/>
  <c r="W195" i="3" s="1"/>
  <c r="M196" i="3"/>
  <c r="R196" i="3" s="1"/>
  <c r="W196" i="3" s="1"/>
  <c r="M197" i="3"/>
  <c r="R197" i="3" s="1"/>
  <c r="W197" i="3" s="1"/>
  <c r="M198" i="3"/>
  <c r="R198" i="3" s="1"/>
  <c r="W198" i="3" s="1"/>
  <c r="M199" i="3"/>
  <c r="R199" i="3" s="1"/>
  <c r="W199" i="3" s="1"/>
  <c r="M200" i="3"/>
  <c r="R200" i="3" s="1"/>
  <c r="W200" i="3" s="1"/>
  <c r="M201" i="3"/>
  <c r="R201" i="3" s="1"/>
  <c r="W201" i="3" s="1"/>
  <c r="M202" i="3"/>
  <c r="R202" i="3" s="1"/>
  <c r="W202" i="3" s="1"/>
  <c r="M203" i="3"/>
  <c r="R203" i="3" s="1"/>
  <c r="W203" i="3" s="1"/>
  <c r="M204" i="3"/>
  <c r="R204" i="3" s="1"/>
  <c r="W204" i="3" s="1"/>
  <c r="M205" i="3"/>
  <c r="R205" i="3" s="1"/>
  <c r="W205" i="3" s="1"/>
  <c r="M206" i="3"/>
  <c r="R206" i="3" s="1"/>
  <c r="W206" i="3" s="1"/>
  <c r="M207" i="3"/>
  <c r="R207" i="3" s="1"/>
  <c r="W207" i="3" s="1"/>
  <c r="M208" i="3"/>
  <c r="R208" i="3" s="1"/>
  <c r="W208" i="3" s="1"/>
  <c r="M209" i="3"/>
  <c r="R209" i="3" s="1"/>
  <c r="W209" i="3" s="1"/>
  <c r="M210" i="3"/>
  <c r="R210" i="3" s="1"/>
  <c r="W210" i="3" s="1"/>
  <c r="M211" i="3"/>
  <c r="R211" i="3" s="1"/>
  <c r="W211" i="3" s="1"/>
  <c r="M212" i="3"/>
  <c r="R212" i="3" s="1"/>
  <c r="W212" i="3" s="1"/>
  <c r="M213" i="3"/>
  <c r="R213" i="3" s="1"/>
  <c r="W213" i="3" s="1"/>
  <c r="M214" i="3"/>
  <c r="R214" i="3" s="1"/>
  <c r="W214" i="3" s="1"/>
  <c r="M215" i="3"/>
  <c r="R215" i="3" s="1"/>
  <c r="W215" i="3" s="1"/>
  <c r="M216" i="3"/>
  <c r="R216" i="3" s="1"/>
  <c r="W216" i="3" s="1"/>
  <c r="M217" i="3"/>
  <c r="R217" i="3" s="1"/>
  <c r="W217" i="3" s="1"/>
  <c r="M218" i="3"/>
  <c r="R218" i="3" s="1"/>
  <c r="W218" i="3" s="1"/>
  <c r="M219" i="3"/>
  <c r="R219" i="3" s="1"/>
  <c r="W219" i="3" s="1"/>
  <c r="M220" i="3"/>
  <c r="R220" i="3" s="1"/>
  <c r="W220" i="3" s="1"/>
  <c r="M221" i="3"/>
  <c r="R221" i="3" s="1"/>
  <c r="W221" i="3" s="1"/>
  <c r="M222" i="3"/>
  <c r="R222" i="3" s="1"/>
  <c r="W222" i="3" s="1"/>
  <c r="M223" i="3"/>
  <c r="R223" i="3" s="1"/>
  <c r="W223" i="3" s="1"/>
  <c r="M224" i="3"/>
  <c r="R224" i="3" s="1"/>
  <c r="W224" i="3" s="1"/>
  <c r="M225" i="3"/>
  <c r="R225" i="3" s="1"/>
  <c r="W225" i="3" s="1"/>
  <c r="M226" i="3"/>
  <c r="R226" i="3" s="1"/>
  <c r="W226" i="3" s="1"/>
  <c r="M227" i="3"/>
  <c r="R227" i="3" s="1"/>
  <c r="W227" i="3" s="1"/>
  <c r="M228" i="3"/>
  <c r="R228" i="3" s="1"/>
  <c r="W228" i="3" s="1"/>
  <c r="M229" i="3"/>
  <c r="R229" i="3" s="1"/>
  <c r="W229" i="3" s="1"/>
  <c r="M230" i="3"/>
  <c r="R230" i="3" s="1"/>
  <c r="W230" i="3" s="1"/>
  <c r="M231" i="3"/>
  <c r="R231" i="3" s="1"/>
  <c r="W231" i="3" s="1"/>
  <c r="M232" i="3"/>
  <c r="R232" i="3" s="1"/>
  <c r="W232" i="3" s="1"/>
  <c r="M233" i="3"/>
  <c r="R233" i="3" s="1"/>
  <c r="W233" i="3" s="1"/>
  <c r="M234" i="3"/>
  <c r="R234" i="3" s="1"/>
  <c r="W234" i="3" s="1"/>
  <c r="M235" i="3"/>
  <c r="R235" i="3" s="1"/>
  <c r="W235" i="3" s="1"/>
  <c r="M236" i="3"/>
  <c r="R236" i="3" s="1"/>
  <c r="W236" i="3" s="1"/>
  <c r="M237" i="3"/>
  <c r="R237" i="3" s="1"/>
  <c r="W237" i="3" s="1"/>
  <c r="M238" i="3"/>
  <c r="R238" i="3" s="1"/>
  <c r="W238" i="3" s="1"/>
  <c r="M239" i="3"/>
  <c r="R239" i="3" s="1"/>
  <c r="W239" i="3" s="1"/>
  <c r="M240" i="3"/>
  <c r="R240" i="3" s="1"/>
  <c r="W240" i="3" s="1"/>
  <c r="M241" i="3"/>
  <c r="R241" i="3" s="1"/>
  <c r="W241" i="3" s="1"/>
  <c r="M242" i="3"/>
  <c r="R242" i="3" s="1"/>
  <c r="W242" i="3" s="1"/>
  <c r="M243" i="3"/>
  <c r="R243" i="3" s="1"/>
  <c r="W243" i="3" s="1"/>
  <c r="M244" i="3"/>
  <c r="R244" i="3" s="1"/>
  <c r="W244" i="3" s="1"/>
  <c r="M245" i="3"/>
  <c r="R245" i="3" s="1"/>
  <c r="W245" i="3" s="1"/>
  <c r="M246" i="3"/>
  <c r="R246" i="3" s="1"/>
  <c r="W246" i="3" s="1"/>
  <c r="M247" i="3"/>
  <c r="R247" i="3" s="1"/>
  <c r="W247" i="3" s="1"/>
  <c r="M248" i="3"/>
  <c r="R248" i="3" s="1"/>
  <c r="W248" i="3" s="1"/>
  <c r="M249" i="3"/>
  <c r="R249" i="3" s="1"/>
  <c r="W249" i="3" s="1"/>
  <c r="M250" i="3"/>
  <c r="R250" i="3" s="1"/>
  <c r="W250" i="3" s="1"/>
  <c r="M251" i="3"/>
  <c r="R251" i="3" s="1"/>
  <c r="W251" i="3" s="1"/>
  <c r="M252" i="3"/>
  <c r="R252" i="3" s="1"/>
  <c r="W252" i="3" s="1"/>
  <c r="M253" i="3"/>
  <c r="R253" i="3" s="1"/>
  <c r="W253" i="3" s="1"/>
  <c r="M254" i="3"/>
  <c r="R254" i="3" s="1"/>
  <c r="W254" i="3" s="1"/>
  <c r="M255" i="3"/>
  <c r="R255" i="3" s="1"/>
  <c r="W255" i="3" s="1"/>
  <c r="M256" i="3"/>
  <c r="R256" i="3" s="1"/>
  <c r="W256" i="3" s="1"/>
  <c r="M257" i="3"/>
  <c r="R257" i="3" s="1"/>
  <c r="W257" i="3" s="1"/>
  <c r="M258" i="3"/>
  <c r="R258" i="3" s="1"/>
  <c r="W258" i="3" s="1"/>
  <c r="M259" i="3"/>
  <c r="R259" i="3" s="1"/>
  <c r="W259" i="3" s="1"/>
  <c r="M260" i="3"/>
  <c r="R260" i="3" s="1"/>
  <c r="W260" i="3" s="1"/>
  <c r="M261" i="3"/>
  <c r="R261" i="3" s="1"/>
  <c r="W261" i="3" s="1"/>
  <c r="M262" i="3"/>
  <c r="R262" i="3" s="1"/>
  <c r="W262" i="3" s="1"/>
  <c r="M263" i="3"/>
  <c r="R263" i="3" s="1"/>
  <c r="W263" i="3" s="1"/>
  <c r="M264" i="3"/>
  <c r="R264" i="3" s="1"/>
  <c r="W264" i="3" s="1"/>
  <c r="M265" i="3"/>
  <c r="R265" i="3" s="1"/>
  <c r="W265" i="3" s="1"/>
  <c r="M266" i="3"/>
  <c r="R266" i="3" s="1"/>
  <c r="W266" i="3" s="1"/>
  <c r="M267" i="3"/>
  <c r="R267" i="3" s="1"/>
  <c r="W267" i="3" s="1"/>
  <c r="M268" i="3"/>
  <c r="R268" i="3" s="1"/>
  <c r="W268" i="3" s="1"/>
  <c r="M269" i="3"/>
  <c r="R269" i="3" s="1"/>
  <c r="W269" i="3" s="1"/>
  <c r="M270" i="3"/>
  <c r="R270" i="3" s="1"/>
  <c r="W270" i="3" s="1"/>
  <c r="M271" i="3"/>
  <c r="R271" i="3" s="1"/>
  <c r="W271" i="3" s="1"/>
  <c r="M272" i="3"/>
  <c r="R272" i="3" s="1"/>
  <c r="W272" i="3" s="1"/>
  <c r="M273" i="3"/>
  <c r="R273" i="3" s="1"/>
  <c r="W273" i="3" s="1"/>
  <c r="M274" i="3"/>
  <c r="R274" i="3" s="1"/>
  <c r="W274" i="3" s="1"/>
  <c r="M275" i="3"/>
  <c r="R275" i="3" s="1"/>
  <c r="W275" i="3" s="1"/>
  <c r="M276" i="3"/>
  <c r="R276" i="3" s="1"/>
  <c r="W276" i="3" s="1"/>
  <c r="M277" i="3"/>
  <c r="R277" i="3" s="1"/>
  <c r="W277" i="3" s="1"/>
  <c r="M278" i="3"/>
  <c r="R278" i="3" s="1"/>
  <c r="W278" i="3" s="1"/>
  <c r="M279" i="3"/>
  <c r="R279" i="3" s="1"/>
  <c r="W279" i="3" s="1"/>
  <c r="M280" i="3"/>
  <c r="R280" i="3" s="1"/>
  <c r="W280" i="3" s="1"/>
  <c r="M281" i="3"/>
  <c r="R281" i="3" s="1"/>
  <c r="W281" i="3" s="1"/>
  <c r="M282" i="3"/>
  <c r="R282" i="3" s="1"/>
  <c r="W282" i="3" s="1"/>
  <c r="M283" i="3"/>
  <c r="R283" i="3" s="1"/>
  <c r="W283" i="3" s="1"/>
  <c r="M284" i="3"/>
  <c r="R284" i="3" s="1"/>
  <c r="W284" i="3" s="1"/>
  <c r="M285" i="3"/>
  <c r="R285" i="3" s="1"/>
  <c r="W285" i="3" s="1"/>
  <c r="M286" i="3"/>
  <c r="R286" i="3" s="1"/>
  <c r="W286" i="3" s="1"/>
  <c r="M287" i="3"/>
  <c r="R287" i="3" s="1"/>
  <c r="W287" i="3" s="1"/>
  <c r="M288" i="3"/>
  <c r="R288" i="3" s="1"/>
  <c r="W288" i="3" s="1"/>
  <c r="M289" i="3"/>
  <c r="R289" i="3" s="1"/>
  <c r="W289" i="3" s="1"/>
  <c r="M290" i="3"/>
  <c r="R290" i="3" s="1"/>
  <c r="W290" i="3" s="1"/>
  <c r="M291" i="3"/>
  <c r="R291" i="3" s="1"/>
  <c r="W291" i="3" s="1"/>
  <c r="M292" i="3"/>
  <c r="R292" i="3" s="1"/>
  <c r="W292" i="3" s="1"/>
  <c r="M293" i="3"/>
  <c r="R293" i="3" s="1"/>
  <c r="W293" i="3" s="1"/>
  <c r="M294" i="3"/>
  <c r="R294" i="3" s="1"/>
  <c r="W294" i="3" s="1"/>
  <c r="M295" i="3"/>
  <c r="R295" i="3" s="1"/>
  <c r="W295" i="3" s="1"/>
  <c r="M296" i="3"/>
  <c r="R296" i="3" s="1"/>
  <c r="W296" i="3" s="1"/>
  <c r="M297" i="3"/>
  <c r="R297" i="3" s="1"/>
  <c r="W297" i="3" s="1"/>
  <c r="M298" i="3"/>
  <c r="R298" i="3" s="1"/>
  <c r="W298" i="3" s="1"/>
  <c r="M299" i="3"/>
  <c r="R299" i="3" s="1"/>
  <c r="W299" i="3" s="1"/>
  <c r="M300" i="3"/>
  <c r="R300" i="3" s="1"/>
  <c r="W300" i="3" s="1"/>
  <c r="M301" i="3"/>
  <c r="R301" i="3" s="1"/>
  <c r="W301" i="3" s="1"/>
  <c r="M302" i="3"/>
  <c r="R302" i="3" s="1"/>
  <c r="W302" i="3" s="1"/>
  <c r="M303" i="3"/>
  <c r="R303" i="3" s="1"/>
  <c r="W303" i="3" s="1"/>
  <c r="M304" i="3"/>
  <c r="R304" i="3" s="1"/>
  <c r="W304" i="3" s="1"/>
  <c r="M305" i="3"/>
  <c r="R305" i="3" s="1"/>
  <c r="W305" i="3" s="1"/>
  <c r="M306" i="3"/>
  <c r="R306" i="3" s="1"/>
  <c r="W306" i="3" s="1"/>
  <c r="M307" i="3"/>
  <c r="R307" i="3" s="1"/>
  <c r="W307" i="3" s="1"/>
  <c r="M308" i="3"/>
  <c r="R308" i="3" s="1"/>
  <c r="W308" i="3" s="1"/>
  <c r="M309" i="3"/>
  <c r="R309" i="3" s="1"/>
  <c r="W309" i="3" s="1"/>
  <c r="M310" i="3"/>
  <c r="R310" i="3" s="1"/>
  <c r="W310" i="3" s="1"/>
  <c r="M311" i="3"/>
  <c r="R311" i="3" s="1"/>
  <c r="W311" i="3" s="1"/>
  <c r="M312" i="3"/>
  <c r="R312" i="3" s="1"/>
  <c r="W312" i="3" s="1"/>
  <c r="M313" i="3"/>
  <c r="R313" i="3" s="1"/>
  <c r="W313" i="3" s="1"/>
  <c r="M314" i="3"/>
  <c r="R314" i="3" s="1"/>
  <c r="W314" i="3" s="1"/>
  <c r="M315" i="3"/>
  <c r="R315" i="3" s="1"/>
  <c r="W315" i="3" s="1"/>
  <c r="M316" i="3"/>
  <c r="R316" i="3" s="1"/>
  <c r="W316" i="3" s="1"/>
  <c r="M317" i="3"/>
  <c r="R317" i="3" s="1"/>
  <c r="W317" i="3" s="1"/>
  <c r="M318" i="3"/>
  <c r="R318" i="3" s="1"/>
  <c r="W318" i="3" s="1"/>
  <c r="M319" i="3"/>
  <c r="R319" i="3" s="1"/>
  <c r="W319" i="3" s="1"/>
  <c r="M320" i="3"/>
  <c r="R320" i="3" s="1"/>
  <c r="W320" i="3" s="1"/>
  <c r="M321" i="3"/>
  <c r="R321" i="3" s="1"/>
  <c r="W321" i="3" s="1"/>
  <c r="M322" i="3"/>
  <c r="R322" i="3" s="1"/>
  <c r="W322" i="3" s="1"/>
  <c r="M323" i="3"/>
  <c r="R323" i="3" s="1"/>
  <c r="W323" i="3" s="1"/>
  <c r="M324" i="3"/>
  <c r="R324" i="3" s="1"/>
  <c r="W324" i="3" s="1"/>
  <c r="M325" i="3"/>
  <c r="R325" i="3" s="1"/>
  <c r="W325" i="3" s="1"/>
  <c r="M326" i="3"/>
  <c r="R326" i="3" s="1"/>
  <c r="W326" i="3" s="1"/>
  <c r="M327" i="3"/>
  <c r="R327" i="3" s="1"/>
  <c r="W327" i="3" s="1"/>
  <c r="M328" i="3"/>
  <c r="R328" i="3" s="1"/>
  <c r="W328" i="3" s="1"/>
  <c r="M329" i="3"/>
  <c r="R329" i="3" s="1"/>
  <c r="W329" i="3" s="1"/>
  <c r="M330" i="3"/>
  <c r="R330" i="3" s="1"/>
  <c r="W330" i="3" s="1"/>
  <c r="M331" i="3"/>
  <c r="R331" i="3" s="1"/>
  <c r="W331" i="3" s="1"/>
  <c r="M332" i="3"/>
  <c r="R332" i="3" s="1"/>
  <c r="W332" i="3" s="1"/>
  <c r="M333" i="3"/>
  <c r="R333" i="3" s="1"/>
  <c r="W333" i="3" s="1"/>
  <c r="M334" i="3"/>
  <c r="R334" i="3" s="1"/>
  <c r="W334" i="3" s="1"/>
  <c r="M335" i="3"/>
  <c r="R335" i="3" s="1"/>
  <c r="W335" i="3" s="1"/>
  <c r="M336" i="3"/>
  <c r="R336" i="3" s="1"/>
  <c r="W336" i="3" s="1"/>
  <c r="M337" i="3"/>
  <c r="R337" i="3" s="1"/>
  <c r="W337" i="3" s="1"/>
  <c r="M338" i="3"/>
  <c r="R338" i="3" s="1"/>
  <c r="W338" i="3" s="1"/>
  <c r="M339" i="3"/>
  <c r="R339" i="3" s="1"/>
  <c r="W339" i="3" s="1"/>
  <c r="M340" i="3"/>
  <c r="R340" i="3" s="1"/>
  <c r="W340" i="3" s="1"/>
  <c r="M341" i="3"/>
  <c r="R341" i="3" s="1"/>
  <c r="W341" i="3" s="1"/>
  <c r="M342" i="3"/>
  <c r="R342" i="3" s="1"/>
  <c r="W342" i="3" s="1"/>
  <c r="M343" i="3"/>
  <c r="R343" i="3" s="1"/>
  <c r="W343" i="3" s="1"/>
  <c r="M344" i="3"/>
  <c r="R344" i="3" s="1"/>
  <c r="W344" i="3" s="1"/>
  <c r="M345" i="3"/>
  <c r="R345" i="3" s="1"/>
  <c r="W345" i="3" s="1"/>
  <c r="M346" i="3"/>
  <c r="R346" i="3" s="1"/>
  <c r="W346" i="3" s="1"/>
  <c r="M347" i="3"/>
  <c r="R347" i="3" s="1"/>
  <c r="W347" i="3" s="1"/>
  <c r="M348" i="3"/>
  <c r="R348" i="3" s="1"/>
  <c r="W348" i="3" s="1"/>
  <c r="M349" i="3"/>
  <c r="R349" i="3" s="1"/>
  <c r="W349" i="3" s="1"/>
  <c r="M350" i="3"/>
  <c r="R350" i="3" s="1"/>
  <c r="W350" i="3" s="1"/>
  <c r="M351" i="3"/>
  <c r="R351" i="3" s="1"/>
  <c r="W351" i="3" s="1"/>
  <c r="M352" i="3"/>
  <c r="R352" i="3" s="1"/>
  <c r="W352" i="3" s="1"/>
  <c r="M353" i="3"/>
  <c r="R353" i="3" s="1"/>
  <c r="W353" i="3" s="1"/>
  <c r="M354" i="3"/>
  <c r="R354" i="3" s="1"/>
  <c r="W354" i="3" s="1"/>
  <c r="M355" i="3"/>
  <c r="R355" i="3" s="1"/>
  <c r="W355" i="3" s="1"/>
  <c r="M356" i="3"/>
  <c r="R356" i="3" s="1"/>
  <c r="W356" i="3" s="1"/>
  <c r="M357" i="3"/>
  <c r="R357" i="3" s="1"/>
  <c r="W357" i="3" s="1"/>
  <c r="M358" i="3"/>
  <c r="R358" i="3" s="1"/>
  <c r="W358" i="3" s="1"/>
  <c r="M359" i="3"/>
  <c r="R359" i="3" s="1"/>
  <c r="W359" i="3" s="1"/>
  <c r="M360" i="3"/>
  <c r="R360" i="3" s="1"/>
  <c r="W360" i="3" s="1"/>
  <c r="M361" i="3"/>
  <c r="R361" i="3" s="1"/>
  <c r="W361" i="3" s="1"/>
  <c r="M362" i="3"/>
  <c r="R362" i="3" s="1"/>
  <c r="W362" i="3" s="1"/>
  <c r="M363" i="3"/>
  <c r="R363" i="3" s="1"/>
  <c r="W363" i="3" s="1"/>
  <c r="M364" i="3"/>
  <c r="R364" i="3" s="1"/>
  <c r="W364" i="3" s="1"/>
  <c r="M365" i="3"/>
  <c r="R365" i="3" s="1"/>
  <c r="W365" i="3" s="1"/>
  <c r="M366" i="3"/>
  <c r="R366" i="3" s="1"/>
  <c r="W366" i="3" s="1"/>
  <c r="M367" i="3"/>
  <c r="R367" i="3" s="1"/>
  <c r="W367" i="3" s="1"/>
  <c r="M368" i="3"/>
  <c r="R368" i="3" s="1"/>
  <c r="W368" i="3" s="1"/>
  <c r="M369" i="3"/>
  <c r="R369" i="3" s="1"/>
  <c r="W369" i="3" s="1"/>
  <c r="M370" i="3"/>
  <c r="R370" i="3" s="1"/>
  <c r="W370" i="3" s="1"/>
  <c r="M371" i="3"/>
  <c r="R371" i="3" s="1"/>
  <c r="W371" i="3" s="1"/>
  <c r="M372" i="3"/>
  <c r="R372" i="3" s="1"/>
  <c r="W372" i="3" s="1"/>
  <c r="M373" i="3"/>
  <c r="R373" i="3" s="1"/>
  <c r="W373" i="3" s="1"/>
  <c r="M374" i="3"/>
  <c r="R374" i="3" s="1"/>
  <c r="W374" i="3" s="1"/>
  <c r="M375" i="3"/>
  <c r="R375" i="3" s="1"/>
  <c r="W375" i="3" s="1"/>
  <c r="M376" i="3"/>
  <c r="R376" i="3" s="1"/>
  <c r="W376" i="3" s="1"/>
  <c r="M377" i="3"/>
  <c r="R377" i="3" s="1"/>
  <c r="W377" i="3" s="1"/>
  <c r="M378" i="3"/>
  <c r="R378" i="3" s="1"/>
  <c r="W378" i="3" s="1"/>
  <c r="M379" i="3"/>
  <c r="R379" i="3" s="1"/>
  <c r="W379" i="3" s="1"/>
  <c r="M380" i="3"/>
  <c r="R380" i="3" s="1"/>
  <c r="W380" i="3" s="1"/>
  <c r="M381" i="3"/>
  <c r="R381" i="3" s="1"/>
  <c r="W381" i="3" s="1"/>
  <c r="M382" i="3"/>
  <c r="R382" i="3" s="1"/>
  <c r="W382" i="3" s="1"/>
  <c r="M2" i="3"/>
  <c r="R2" i="3" s="1"/>
  <c r="W2" i="3" s="1"/>
  <c r="M275" i="4"/>
  <c r="Q275" i="4" s="1"/>
  <c r="J275" i="4"/>
  <c r="N275" i="4" s="1"/>
  <c r="R275" i="4" s="1"/>
  <c r="I275" i="4"/>
  <c r="J383" i="4"/>
  <c r="N383" i="4" s="1"/>
  <c r="R383" i="4" s="1"/>
  <c r="I383" i="4"/>
  <c r="M383" i="4" s="1"/>
  <c r="Q383" i="4" s="1"/>
  <c r="O383" i="4"/>
  <c r="S383" i="4" s="1"/>
  <c r="K383" i="4"/>
  <c r="H383" i="4"/>
  <c r="K382" i="4"/>
  <c r="O382" i="4" s="1"/>
  <c r="S382" i="4" s="1"/>
  <c r="J382" i="4"/>
  <c r="N382" i="4" s="1"/>
  <c r="R382" i="4" s="1"/>
  <c r="I382" i="4"/>
  <c r="M382" i="4" s="1"/>
  <c r="Q382" i="4" s="1"/>
  <c r="H382" i="4"/>
  <c r="L382" i="4" s="1"/>
  <c r="P382" i="4" s="1"/>
  <c r="O381" i="4"/>
  <c r="S381" i="4" s="1"/>
  <c r="N381" i="4"/>
  <c r="R381" i="4" s="1"/>
  <c r="M381" i="4"/>
  <c r="Q381" i="4" s="1"/>
  <c r="K381" i="4"/>
  <c r="J381" i="4"/>
  <c r="I381" i="4"/>
  <c r="H381" i="4"/>
  <c r="L381" i="4" s="1"/>
  <c r="P381" i="4" s="1"/>
  <c r="L380" i="4"/>
  <c r="P380" i="4" s="1"/>
  <c r="K380" i="4"/>
  <c r="O380" i="4" s="1"/>
  <c r="S380" i="4" s="1"/>
  <c r="J380" i="4"/>
  <c r="N380" i="4" s="1"/>
  <c r="R380" i="4" s="1"/>
  <c r="I380" i="4"/>
  <c r="M380" i="4" s="1"/>
  <c r="Q380" i="4" s="1"/>
  <c r="H380" i="4"/>
  <c r="M379" i="4"/>
  <c r="Q379" i="4" s="1"/>
  <c r="K379" i="4"/>
  <c r="O379" i="4" s="1"/>
  <c r="S379" i="4" s="1"/>
  <c r="J379" i="4"/>
  <c r="N379" i="4" s="1"/>
  <c r="R379" i="4" s="1"/>
  <c r="I379" i="4"/>
  <c r="H379" i="4"/>
  <c r="L379" i="4" s="1"/>
  <c r="P379" i="4" s="1"/>
  <c r="K378" i="4"/>
  <c r="O378" i="4" s="1"/>
  <c r="S378" i="4" s="1"/>
  <c r="J378" i="4"/>
  <c r="N378" i="4" s="1"/>
  <c r="R378" i="4" s="1"/>
  <c r="I378" i="4"/>
  <c r="M378" i="4" s="1"/>
  <c r="Q378" i="4" s="1"/>
  <c r="H378" i="4"/>
  <c r="L378" i="4" s="1"/>
  <c r="P378" i="4" s="1"/>
  <c r="O377" i="4"/>
  <c r="S377" i="4" s="1"/>
  <c r="N377" i="4"/>
  <c r="R377" i="4" s="1"/>
  <c r="M377" i="4"/>
  <c r="Q377" i="4" s="1"/>
  <c r="K377" i="4"/>
  <c r="J377" i="4"/>
  <c r="I377" i="4"/>
  <c r="H377" i="4"/>
  <c r="L377" i="4" s="1"/>
  <c r="P377" i="4" s="1"/>
  <c r="L376" i="4"/>
  <c r="P376" i="4" s="1"/>
  <c r="K376" i="4"/>
  <c r="O376" i="4" s="1"/>
  <c r="S376" i="4" s="1"/>
  <c r="J376" i="4"/>
  <c r="N376" i="4" s="1"/>
  <c r="R376" i="4" s="1"/>
  <c r="I376" i="4"/>
  <c r="M376" i="4" s="1"/>
  <c r="Q376" i="4" s="1"/>
  <c r="H376" i="4"/>
  <c r="M375" i="4"/>
  <c r="Q375" i="4" s="1"/>
  <c r="K375" i="4"/>
  <c r="O375" i="4" s="1"/>
  <c r="S375" i="4" s="1"/>
  <c r="J375" i="4"/>
  <c r="N375" i="4" s="1"/>
  <c r="R375" i="4" s="1"/>
  <c r="I375" i="4"/>
  <c r="H375" i="4"/>
  <c r="L375" i="4" s="1"/>
  <c r="P375" i="4" s="1"/>
  <c r="K374" i="4"/>
  <c r="O374" i="4" s="1"/>
  <c r="S374" i="4" s="1"/>
  <c r="J374" i="4"/>
  <c r="N374" i="4" s="1"/>
  <c r="R374" i="4" s="1"/>
  <c r="I374" i="4"/>
  <c r="M374" i="4" s="1"/>
  <c r="Q374" i="4" s="1"/>
  <c r="H374" i="4"/>
  <c r="L374" i="4" s="1"/>
  <c r="P374" i="4" s="1"/>
  <c r="O373" i="4"/>
  <c r="S373" i="4" s="1"/>
  <c r="N373" i="4"/>
  <c r="R373" i="4" s="1"/>
  <c r="M373" i="4"/>
  <c r="Q373" i="4" s="1"/>
  <c r="K373" i="4"/>
  <c r="J373" i="4"/>
  <c r="I373" i="4"/>
  <c r="H373" i="4"/>
  <c r="L373" i="4" s="1"/>
  <c r="P373" i="4" s="1"/>
  <c r="L372" i="4"/>
  <c r="P372" i="4" s="1"/>
  <c r="K372" i="4"/>
  <c r="O372" i="4" s="1"/>
  <c r="S372" i="4" s="1"/>
  <c r="J372" i="4"/>
  <c r="N372" i="4" s="1"/>
  <c r="R372" i="4" s="1"/>
  <c r="I372" i="4"/>
  <c r="M372" i="4" s="1"/>
  <c r="Q372" i="4" s="1"/>
  <c r="H372" i="4"/>
  <c r="M371" i="4"/>
  <c r="Q371" i="4" s="1"/>
  <c r="K371" i="4"/>
  <c r="O371" i="4" s="1"/>
  <c r="S371" i="4" s="1"/>
  <c r="J371" i="4"/>
  <c r="N371" i="4" s="1"/>
  <c r="R371" i="4" s="1"/>
  <c r="I371" i="4"/>
  <c r="H371" i="4"/>
  <c r="L371" i="4" s="1"/>
  <c r="P371" i="4" s="1"/>
  <c r="K370" i="4"/>
  <c r="O370" i="4" s="1"/>
  <c r="S370" i="4" s="1"/>
  <c r="J370" i="4"/>
  <c r="N370" i="4" s="1"/>
  <c r="R370" i="4" s="1"/>
  <c r="I370" i="4"/>
  <c r="M370" i="4" s="1"/>
  <c r="Q370" i="4" s="1"/>
  <c r="H370" i="4"/>
  <c r="L370" i="4" s="1"/>
  <c r="P370" i="4" s="1"/>
  <c r="O369" i="4"/>
  <c r="S369" i="4" s="1"/>
  <c r="N369" i="4"/>
  <c r="R369" i="4" s="1"/>
  <c r="M369" i="4"/>
  <c r="Q369" i="4" s="1"/>
  <c r="K369" i="4"/>
  <c r="J369" i="4"/>
  <c r="I369" i="4"/>
  <c r="H369" i="4"/>
  <c r="L369" i="4" s="1"/>
  <c r="P369" i="4" s="1"/>
  <c r="L368" i="4"/>
  <c r="P368" i="4" s="1"/>
  <c r="K368" i="4"/>
  <c r="O368" i="4" s="1"/>
  <c r="S368" i="4" s="1"/>
  <c r="J368" i="4"/>
  <c r="N368" i="4" s="1"/>
  <c r="R368" i="4" s="1"/>
  <c r="I368" i="4"/>
  <c r="M368" i="4" s="1"/>
  <c r="Q368" i="4" s="1"/>
  <c r="H368" i="4"/>
  <c r="M367" i="4"/>
  <c r="Q367" i="4" s="1"/>
  <c r="K367" i="4"/>
  <c r="O367" i="4" s="1"/>
  <c r="S367" i="4" s="1"/>
  <c r="J367" i="4"/>
  <c r="N367" i="4" s="1"/>
  <c r="R367" i="4" s="1"/>
  <c r="I367" i="4"/>
  <c r="H367" i="4"/>
  <c r="L367" i="4" s="1"/>
  <c r="P367" i="4" s="1"/>
  <c r="K366" i="4"/>
  <c r="O366" i="4" s="1"/>
  <c r="S366" i="4" s="1"/>
  <c r="J366" i="4"/>
  <c r="N366" i="4" s="1"/>
  <c r="R366" i="4" s="1"/>
  <c r="I366" i="4"/>
  <c r="M366" i="4" s="1"/>
  <c r="Q366" i="4" s="1"/>
  <c r="H366" i="4"/>
  <c r="L366" i="4" s="1"/>
  <c r="P366" i="4" s="1"/>
  <c r="O365" i="4"/>
  <c r="S365" i="4" s="1"/>
  <c r="N365" i="4"/>
  <c r="R365" i="4" s="1"/>
  <c r="M365" i="4"/>
  <c r="Q365" i="4" s="1"/>
  <c r="K365" i="4"/>
  <c r="J365" i="4"/>
  <c r="I365" i="4"/>
  <c r="H365" i="4"/>
  <c r="L365" i="4" s="1"/>
  <c r="P365" i="4" s="1"/>
  <c r="L364" i="4"/>
  <c r="P364" i="4" s="1"/>
  <c r="K364" i="4"/>
  <c r="O364" i="4" s="1"/>
  <c r="S364" i="4" s="1"/>
  <c r="J364" i="4"/>
  <c r="N364" i="4" s="1"/>
  <c r="R364" i="4" s="1"/>
  <c r="I364" i="4"/>
  <c r="M364" i="4" s="1"/>
  <c r="Q364" i="4" s="1"/>
  <c r="H364" i="4"/>
  <c r="M363" i="4"/>
  <c r="Q363" i="4" s="1"/>
  <c r="K363" i="4"/>
  <c r="O363" i="4" s="1"/>
  <c r="S363" i="4" s="1"/>
  <c r="J363" i="4"/>
  <c r="N363" i="4" s="1"/>
  <c r="R363" i="4" s="1"/>
  <c r="I363" i="4"/>
  <c r="H363" i="4"/>
  <c r="L363" i="4" s="1"/>
  <c r="P363" i="4" s="1"/>
  <c r="K362" i="4"/>
  <c r="O362" i="4" s="1"/>
  <c r="S362" i="4" s="1"/>
  <c r="J362" i="4"/>
  <c r="N362" i="4" s="1"/>
  <c r="R362" i="4" s="1"/>
  <c r="I362" i="4"/>
  <c r="M362" i="4" s="1"/>
  <c r="Q362" i="4" s="1"/>
  <c r="H362" i="4"/>
  <c r="L362" i="4" s="1"/>
  <c r="P362" i="4" s="1"/>
  <c r="O361" i="4"/>
  <c r="S361" i="4" s="1"/>
  <c r="N361" i="4"/>
  <c r="R361" i="4" s="1"/>
  <c r="M361" i="4"/>
  <c r="Q361" i="4" s="1"/>
  <c r="K361" i="4"/>
  <c r="J361" i="4"/>
  <c r="I361" i="4"/>
  <c r="H361" i="4"/>
  <c r="L361" i="4" s="1"/>
  <c r="P361" i="4" s="1"/>
  <c r="L360" i="4"/>
  <c r="P360" i="4" s="1"/>
  <c r="K360" i="4"/>
  <c r="O360" i="4" s="1"/>
  <c r="S360" i="4" s="1"/>
  <c r="J360" i="4"/>
  <c r="N360" i="4" s="1"/>
  <c r="R360" i="4" s="1"/>
  <c r="I360" i="4"/>
  <c r="M360" i="4" s="1"/>
  <c r="Q360" i="4" s="1"/>
  <c r="H360" i="4"/>
  <c r="M359" i="4"/>
  <c r="Q359" i="4" s="1"/>
  <c r="K359" i="4"/>
  <c r="O359" i="4" s="1"/>
  <c r="S359" i="4" s="1"/>
  <c r="J359" i="4"/>
  <c r="N359" i="4" s="1"/>
  <c r="R359" i="4" s="1"/>
  <c r="I359" i="4"/>
  <c r="H359" i="4"/>
  <c r="L359" i="4" s="1"/>
  <c r="P359" i="4" s="1"/>
  <c r="K358" i="4"/>
  <c r="O358" i="4" s="1"/>
  <c r="S358" i="4" s="1"/>
  <c r="J358" i="4"/>
  <c r="N358" i="4" s="1"/>
  <c r="R358" i="4" s="1"/>
  <c r="I358" i="4"/>
  <c r="M358" i="4" s="1"/>
  <c r="Q358" i="4" s="1"/>
  <c r="H358" i="4"/>
  <c r="L358" i="4" s="1"/>
  <c r="P358" i="4" s="1"/>
  <c r="O357" i="4"/>
  <c r="S357" i="4" s="1"/>
  <c r="N357" i="4"/>
  <c r="R357" i="4" s="1"/>
  <c r="M357" i="4"/>
  <c r="Q357" i="4" s="1"/>
  <c r="K357" i="4"/>
  <c r="J357" i="4"/>
  <c r="I357" i="4"/>
  <c r="H357" i="4"/>
  <c r="L357" i="4" s="1"/>
  <c r="P357" i="4" s="1"/>
  <c r="L356" i="4"/>
  <c r="P356" i="4" s="1"/>
  <c r="K356" i="4"/>
  <c r="O356" i="4" s="1"/>
  <c r="S356" i="4" s="1"/>
  <c r="J356" i="4"/>
  <c r="N356" i="4" s="1"/>
  <c r="R356" i="4" s="1"/>
  <c r="I356" i="4"/>
  <c r="M356" i="4" s="1"/>
  <c r="Q356" i="4" s="1"/>
  <c r="H356" i="4"/>
  <c r="M355" i="4"/>
  <c r="Q355" i="4" s="1"/>
  <c r="K355" i="4"/>
  <c r="O355" i="4" s="1"/>
  <c r="S355" i="4" s="1"/>
  <c r="J355" i="4"/>
  <c r="N355" i="4" s="1"/>
  <c r="R355" i="4" s="1"/>
  <c r="I355" i="4"/>
  <c r="H355" i="4"/>
  <c r="L355" i="4" s="1"/>
  <c r="P355" i="4" s="1"/>
  <c r="K354" i="4"/>
  <c r="O354" i="4" s="1"/>
  <c r="S354" i="4" s="1"/>
  <c r="J354" i="4"/>
  <c r="N354" i="4" s="1"/>
  <c r="R354" i="4" s="1"/>
  <c r="I354" i="4"/>
  <c r="M354" i="4" s="1"/>
  <c r="Q354" i="4" s="1"/>
  <c r="H354" i="4"/>
  <c r="L354" i="4" s="1"/>
  <c r="P354" i="4" s="1"/>
  <c r="O353" i="4"/>
  <c r="S353" i="4" s="1"/>
  <c r="N353" i="4"/>
  <c r="R353" i="4" s="1"/>
  <c r="M353" i="4"/>
  <c r="Q353" i="4" s="1"/>
  <c r="K353" i="4"/>
  <c r="J353" i="4"/>
  <c r="I353" i="4"/>
  <c r="H353" i="4"/>
  <c r="L353" i="4" s="1"/>
  <c r="P353" i="4" s="1"/>
  <c r="L352" i="4"/>
  <c r="P352" i="4" s="1"/>
  <c r="K352" i="4"/>
  <c r="O352" i="4" s="1"/>
  <c r="S352" i="4" s="1"/>
  <c r="J352" i="4"/>
  <c r="N352" i="4" s="1"/>
  <c r="R352" i="4" s="1"/>
  <c r="I352" i="4"/>
  <c r="M352" i="4" s="1"/>
  <c r="Q352" i="4" s="1"/>
  <c r="H352" i="4"/>
  <c r="M351" i="4"/>
  <c r="Q351" i="4" s="1"/>
  <c r="K351" i="4"/>
  <c r="O351" i="4" s="1"/>
  <c r="S351" i="4" s="1"/>
  <c r="J351" i="4"/>
  <c r="N351" i="4" s="1"/>
  <c r="R351" i="4" s="1"/>
  <c r="I351" i="4"/>
  <c r="H351" i="4"/>
  <c r="L351" i="4" s="1"/>
  <c r="P351" i="4" s="1"/>
  <c r="K350" i="4"/>
  <c r="O350" i="4" s="1"/>
  <c r="S350" i="4" s="1"/>
  <c r="J350" i="4"/>
  <c r="N350" i="4" s="1"/>
  <c r="R350" i="4" s="1"/>
  <c r="I350" i="4"/>
  <c r="M350" i="4" s="1"/>
  <c r="Q350" i="4" s="1"/>
  <c r="H350" i="4"/>
  <c r="L350" i="4" s="1"/>
  <c r="P350" i="4" s="1"/>
  <c r="O349" i="4"/>
  <c r="S349" i="4" s="1"/>
  <c r="N349" i="4"/>
  <c r="R349" i="4" s="1"/>
  <c r="M349" i="4"/>
  <c r="Q349" i="4" s="1"/>
  <c r="K349" i="4"/>
  <c r="J349" i="4"/>
  <c r="I349" i="4"/>
  <c r="H349" i="4"/>
  <c r="L349" i="4" s="1"/>
  <c r="P349" i="4" s="1"/>
  <c r="L348" i="4"/>
  <c r="P348" i="4" s="1"/>
  <c r="K348" i="4"/>
  <c r="O348" i="4" s="1"/>
  <c r="S348" i="4" s="1"/>
  <c r="J348" i="4"/>
  <c r="N348" i="4" s="1"/>
  <c r="R348" i="4" s="1"/>
  <c r="I348" i="4"/>
  <c r="M348" i="4" s="1"/>
  <c r="Q348" i="4" s="1"/>
  <c r="H348" i="4"/>
  <c r="M347" i="4"/>
  <c r="Q347" i="4" s="1"/>
  <c r="K347" i="4"/>
  <c r="O347" i="4" s="1"/>
  <c r="S347" i="4" s="1"/>
  <c r="J347" i="4"/>
  <c r="N347" i="4" s="1"/>
  <c r="R347" i="4" s="1"/>
  <c r="I347" i="4"/>
  <c r="H347" i="4"/>
  <c r="L347" i="4" s="1"/>
  <c r="P347" i="4" s="1"/>
  <c r="K346" i="4"/>
  <c r="O346" i="4" s="1"/>
  <c r="S346" i="4" s="1"/>
  <c r="J346" i="4"/>
  <c r="N346" i="4" s="1"/>
  <c r="R346" i="4" s="1"/>
  <c r="I346" i="4"/>
  <c r="M346" i="4" s="1"/>
  <c r="Q346" i="4" s="1"/>
  <c r="H346" i="4"/>
  <c r="L346" i="4" s="1"/>
  <c r="P346" i="4" s="1"/>
  <c r="O345" i="4"/>
  <c r="S345" i="4" s="1"/>
  <c r="N345" i="4"/>
  <c r="R345" i="4" s="1"/>
  <c r="M345" i="4"/>
  <c r="Q345" i="4" s="1"/>
  <c r="K345" i="4"/>
  <c r="J345" i="4"/>
  <c r="I345" i="4"/>
  <c r="H345" i="4"/>
  <c r="L345" i="4" s="1"/>
  <c r="P345" i="4" s="1"/>
  <c r="L344" i="4"/>
  <c r="P344" i="4" s="1"/>
  <c r="K344" i="4"/>
  <c r="O344" i="4" s="1"/>
  <c r="S344" i="4" s="1"/>
  <c r="J344" i="4"/>
  <c r="N344" i="4" s="1"/>
  <c r="R344" i="4" s="1"/>
  <c r="I344" i="4"/>
  <c r="M344" i="4" s="1"/>
  <c r="Q344" i="4" s="1"/>
  <c r="H344" i="4"/>
  <c r="M343" i="4"/>
  <c r="Q343" i="4" s="1"/>
  <c r="K343" i="4"/>
  <c r="O343" i="4" s="1"/>
  <c r="S343" i="4" s="1"/>
  <c r="J343" i="4"/>
  <c r="N343" i="4" s="1"/>
  <c r="R343" i="4" s="1"/>
  <c r="I343" i="4"/>
  <c r="H343" i="4"/>
  <c r="L343" i="4" s="1"/>
  <c r="P343" i="4" s="1"/>
  <c r="K342" i="4"/>
  <c r="O342" i="4" s="1"/>
  <c r="S342" i="4" s="1"/>
  <c r="J342" i="4"/>
  <c r="N342" i="4" s="1"/>
  <c r="R342" i="4" s="1"/>
  <c r="I342" i="4"/>
  <c r="M342" i="4" s="1"/>
  <c r="Q342" i="4" s="1"/>
  <c r="H342" i="4"/>
  <c r="L342" i="4" s="1"/>
  <c r="P342" i="4" s="1"/>
  <c r="O341" i="4"/>
  <c r="S341" i="4" s="1"/>
  <c r="N341" i="4"/>
  <c r="R341" i="4" s="1"/>
  <c r="M341" i="4"/>
  <c r="Q341" i="4" s="1"/>
  <c r="K341" i="4"/>
  <c r="J341" i="4"/>
  <c r="I341" i="4"/>
  <c r="H341" i="4"/>
  <c r="L341" i="4" s="1"/>
  <c r="P341" i="4" s="1"/>
  <c r="L340" i="4"/>
  <c r="P340" i="4" s="1"/>
  <c r="K340" i="4"/>
  <c r="O340" i="4" s="1"/>
  <c r="S340" i="4" s="1"/>
  <c r="J340" i="4"/>
  <c r="N340" i="4" s="1"/>
  <c r="R340" i="4" s="1"/>
  <c r="I340" i="4"/>
  <c r="M340" i="4" s="1"/>
  <c r="Q340" i="4" s="1"/>
  <c r="H340" i="4"/>
  <c r="M339" i="4"/>
  <c r="Q339" i="4" s="1"/>
  <c r="K339" i="4"/>
  <c r="O339" i="4" s="1"/>
  <c r="S339" i="4" s="1"/>
  <c r="J339" i="4"/>
  <c r="N339" i="4" s="1"/>
  <c r="R339" i="4" s="1"/>
  <c r="I339" i="4"/>
  <c r="H339" i="4"/>
  <c r="L339" i="4" s="1"/>
  <c r="P339" i="4" s="1"/>
  <c r="K338" i="4"/>
  <c r="O338" i="4" s="1"/>
  <c r="S338" i="4" s="1"/>
  <c r="J338" i="4"/>
  <c r="N338" i="4" s="1"/>
  <c r="R338" i="4" s="1"/>
  <c r="I338" i="4"/>
  <c r="M338" i="4" s="1"/>
  <c r="Q338" i="4" s="1"/>
  <c r="H338" i="4"/>
  <c r="L338" i="4" s="1"/>
  <c r="P338" i="4" s="1"/>
  <c r="O337" i="4"/>
  <c r="S337" i="4" s="1"/>
  <c r="N337" i="4"/>
  <c r="R337" i="4" s="1"/>
  <c r="M337" i="4"/>
  <c r="Q337" i="4" s="1"/>
  <c r="K337" i="4"/>
  <c r="J337" i="4"/>
  <c r="I337" i="4"/>
  <c r="H337" i="4"/>
  <c r="L337" i="4" s="1"/>
  <c r="P337" i="4" s="1"/>
  <c r="L336" i="4"/>
  <c r="P336" i="4" s="1"/>
  <c r="K336" i="4"/>
  <c r="O336" i="4" s="1"/>
  <c r="S336" i="4" s="1"/>
  <c r="J336" i="4"/>
  <c r="N336" i="4" s="1"/>
  <c r="R336" i="4" s="1"/>
  <c r="I336" i="4"/>
  <c r="M336" i="4" s="1"/>
  <c r="Q336" i="4" s="1"/>
  <c r="H336" i="4"/>
  <c r="M335" i="4"/>
  <c r="Q335" i="4" s="1"/>
  <c r="K335" i="4"/>
  <c r="O335" i="4" s="1"/>
  <c r="S335" i="4" s="1"/>
  <c r="J335" i="4"/>
  <c r="N335" i="4" s="1"/>
  <c r="R335" i="4" s="1"/>
  <c r="I335" i="4"/>
  <c r="H335" i="4"/>
  <c r="L335" i="4" s="1"/>
  <c r="P335" i="4" s="1"/>
  <c r="K334" i="4"/>
  <c r="O334" i="4" s="1"/>
  <c r="S334" i="4" s="1"/>
  <c r="J334" i="4"/>
  <c r="N334" i="4" s="1"/>
  <c r="R334" i="4" s="1"/>
  <c r="I334" i="4"/>
  <c r="M334" i="4" s="1"/>
  <c r="Q334" i="4" s="1"/>
  <c r="H334" i="4"/>
  <c r="L334" i="4" s="1"/>
  <c r="P334" i="4" s="1"/>
  <c r="O333" i="4"/>
  <c r="S333" i="4" s="1"/>
  <c r="N333" i="4"/>
  <c r="R333" i="4" s="1"/>
  <c r="K333" i="4"/>
  <c r="J333" i="4"/>
  <c r="I333" i="4"/>
  <c r="M333" i="4" s="1"/>
  <c r="Q333" i="4" s="1"/>
  <c r="H333" i="4"/>
  <c r="L333" i="4" s="1"/>
  <c r="P333" i="4" s="1"/>
  <c r="Q332" i="4"/>
  <c r="L332" i="4"/>
  <c r="P332" i="4" s="1"/>
  <c r="K332" i="4"/>
  <c r="O332" i="4" s="1"/>
  <c r="S332" i="4" s="1"/>
  <c r="J332" i="4"/>
  <c r="N332" i="4" s="1"/>
  <c r="R332" i="4" s="1"/>
  <c r="I332" i="4"/>
  <c r="M332" i="4" s="1"/>
  <c r="H332" i="4"/>
  <c r="O331" i="4"/>
  <c r="S331" i="4" s="1"/>
  <c r="N331" i="4"/>
  <c r="R331" i="4" s="1"/>
  <c r="M331" i="4"/>
  <c r="Q331" i="4" s="1"/>
  <c r="K331" i="4"/>
  <c r="J331" i="4"/>
  <c r="I331" i="4"/>
  <c r="H331" i="4"/>
  <c r="L331" i="4" s="1"/>
  <c r="P331" i="4" s="1"/>
  <c r="K330" i="4"/>
  <c r="O330" i="4" s="1"/>
  <c r="S330" i="4" s="1"/>
  <c r="J330" i="4"/>
  <c r="N330" i="4" s="1"/>
  <c r="R330" i="4" s="1"/>
  <c r="I330" i="4"/>
  <c r="M330" i="4" s="1"/>
  <c r="Q330" i="4" s="1"/>
  <c r="H330" i="4"/>
  <c r="L330" i="4" s="1"/>
  <c r="P330" i="4" s="1"/>
  <c r="O329" i="4"/>
  <c r="S329" i="4" s="1"/>
  <c r="K329" i="4"/>
  <c r="J329" i="4"/>
  <c r="N329" i="4" s="1"/>
  <c r="R329" i="4" s="1"/>
  <c r="I329" i="4"/>
  <c r="M329" i="4" s="1"/>
  <c r="Q329" i="4" s="1"/>
  <c r="H329" i="4"/>
  <c r="L329" i="4" s="1"/>
  <c r="P329" i="4" s="1"/>
  <c r="R328" i="4"/>
  <c r="L328" i="4"/>
  <c r="P328" i="4" s="1"/>
  <c r="K328" i="4"/>
  <c r="O328" i="4" s="1"/>
  <c r="S328" i="4" s="1"/>
  <c r="J328" i="4"/>
  <c r="N328" i="4" s="1"/>
  <c r="I328" i="4"/>
  <c r="M328" i="4" s="1"/>
  <c r="Q328" i="4" s="1"/>
  <c r="H328" i="4"/>
  <c r="O327" i="4"/>
  <c r="S327" i="4" s="1"/>
  <c r="N327" i="4"/>
  <c r="R327" i="4" s="1"/>
  <c r="M327" i="4"/>
  <c r="Q327" i="4" s="1"/>
  <c r="K327" i="4"/>
  <c r="J327" i="4"/>
  <c r="I327" i="4"/>
  <c r="H327" i="4"/>
  <c r="L327" i="4" s="1"/>
  <c r="P327" i="4" s="1"/>
  <c r="Q326" i="4"/>
  <c r="L326" i="4"/>
  <c r="P326" i="4" s="1"/>
  <c r="K326" i="4"/>
  <c r="O326" i="4" s="1"/>
  <c r="S326" i="4" s="1"/>
  <c r="J326" i="4"/>
  <c r="N326" i="4" s="1"/>
  <c r="R326" i="4" s="1"/>
  <c r="I326" i="4"/>
  <c r="M326" i="4" s="1"/>
  <c r="H326" i="4"/>
  <c r="N325" i="4"/>
  <c r="R325" i="4" s="1"/>
  <c r="K325" i="4"/>
  <c r="O325" i="4" s="1"/>
  <c r="S325" i="4" s="1"/>
  <c r="J325" i="4"/>
  <c r="I325" i="4"/>
  <c r="M325" i="4" s="1"/>
  <c r="Q325" i="4" s="1"/>
  <c r="H325" i="4"/>
  <c r="L325" i="4" s="1"/>
  <c r="P325" i="4" s="1"/>
  <c r="K324" i="4"/>
  <c r="O324" i="4" s="1"/>
  <c r="S324" i="4" s="1"/>
  <c r="J324" i="4"/>
  <c r="N324" i="4" s="1"/>
  <c r="R324" i="4" s="1"/>
  <c r="I324" i="4"/>
  <c r="M324" i="4" s="1"/>
  <c r="Q324" i="4" s="1"/>
  <c r="H324" i="4"/>
  <c r="L324" i="4" s="1"/>
  <c r="P324" i="4" s="1"/>
  <c r="O323" i="4"/>
  <c r="S323" i="4" s="1"/>
  <c r="K323" i="4"/>
  <c r="J323" i="4"/>
  <c r="N323" i="4" s="1"/>
  <c r="R323" i="4" s="1"/>
  <c r="I323" i="4"/>
  <c r="M323" i="4" s="1"/>
  <c r="Q323" i="4" s="1"/>
  <c r="H323" i="4"/>
  <c r="L323" i="4" s="1"/>
  <c r="P323" i="4" s="1"/>
  <c r="L322" i="4"/>
  <c r="P322" i="4" s="1"/>
  <c r="K322" i="4"/>
  <c r="O322" i="4" s="1"/>
  <c r="S322" i="4" s="1"/>
  <c r="J322" i="4"/>
  <c r="N322" i="4" s="1"/>
  <c r="R322" i="4" s="1"/>
  <c r="I322" i="4"/>
  <c r="M322" i="4" s="1"/>
  <c r="Q322" i="4" s="1"/>
  <c r="H322" i="4"/>
  <c r="O321" i="4"/>
  <c r="S321" i="4" s="1"/>
  <c r="N321" i="4"/>
  <c r="R321" i="4" s="1"/>
  <c r="M321" i="4"/>
  <c r="Q321" i="4" s="1"/>
  <c r="K321" i="4"/>
  <c r="J321" i="4"/>
  <c r="I321" i="4"/>
  <c r="H321" i="4"/>
  <c r="L321" i="4" s="1"/>
  <c r="P321" i="4" s="1"/>
  <c r="L320" i="4"/>
  <c r="P320" i="4" s="1"/>
  <c r="K320" i="4"/>
  <c r="O320" i="4" s="1"/>
  <c r="S320" i="4" s="1"/>
  <c r="J320" i="4"/>
  <c r="N320" i="4" s="1"/>
  <c r="R320" i="4" s="1"/>
  <c r="I320" i="4"/>
  <c r="M320" i="4" s="1"/>
  <c r="Q320" i="4" s="1"/>
  <c r="H320" i="4"/>
  <c r="K319" i="4"/>
  <c r="O319" i="4" s="1"/>
  <c r="S319" i="4" s="1"/>
  <c r="J319" i="4"/>
  <c r="N319" i="4" s="1"/>
  <c r="R319" i="4" s="1"/>
  <c r="I319" i="4"/>
  <c r="M319" i="4" s="1"/>
  <c r="Q319" i="4" s="1"/>
  <c r="H319" i="4"/>
  <c r="L319" i="4" s="1"/>
  <c r="P319" i="4" s="1"/>
  <c r="K318" i="4"/>
  <c r="O318" i="4" s="1"/>
  <c r="S318" i="4" s="1"/>
  <c r="J318" i="4"/>
  <c r="N318" i="4" s="1"/>
  <c r="R318" i="4" s="1"/>
  <c r="I318" i="4"/>
  <c r="M318" i="4" s="1"/>
  <c r="Q318" i="4" s="1"/>
  <c r="H318" i="4"/>
  <c r="L318" i="4" s="1"/>
  <c r="P318" i="4" s="1"/>
  <c r="O317" i="4"/>
  <c r="S317" i="4" s="1"/>
  <c r="N317" i="4"/>
  <c r="R317" i="4" s="1"/>
  <c r="K317" i="4"/>
  <c r="J317" i="4"/>
  <c r="I317" i="4"/>
  <c r="M317" i="4" s="1"/>
  <c r="Q317" i="4" s="1"/>
  <c r="H317" i="4"/>
  <c r="L317" i="4" s="1"/>
  <c r="P317" i="4" s="1"/>
  <c r="Q316" i="4"/>
  <c r="L316" i="4"/>
  <c r="P316" i="4" s="1"/>
  <c r="K316" i="4"/>
  <c r="O316" i="4" s="1"/>
  <c r="S316" i="4" s="1"/>
  <c r="J316" i="4"/>
  <c r="N316" i="4" s="1"/>
  <c r="R316" i="4" s="1"/>
  <c r="I316" i="4"/>
  <c r="M316" i="4" s="1"/>
  <c r="H316" i="4"/>
  <c r="O315" i="4"/>
  <c r="S315" i="4" s="1"/>
  <c r="N315" i="4"/>
  <c r="R315" i="4" s="1"/>
  <c r="M315" i="4"/>
  <c r="Q315" i="4" s="1"/>
  <c r="K315" i="4"/>
  <c r="J315" i="4"/>
  <c r="I315" i="4"/>
  <c r="H315" i="4"/>
  <c r="L315" i="4" s="1"/>
  <c r="P315" i="4" s="1"/>
  <c r="K314" i="4"/>
  <c r="O314" i="4" s="1"/>
  <c r="S314" i="4" s="1"/>
  <c r="J314" i="4"/>
  <c r="N314" i="4" s="1"/>
  <c r="R314" i="4" s="1"/>
  <c r="I314" i="4"/>
  <c r="M314" i="4" s="1"/>
  <c r="Q314" i="4" s="1"/>
  <c r="H314" i="4"/>
  <c r="L314" i="4" s="1"/>
  <c r="P314" i="4" s="1"/>
  <c r="O313" i="4"/>
  <c r="S313" i="4" s="1"/>
  <c r="K313" i="4"/>
  <c r="J313" i="4"/>
  <c r="N313" i="4" s="1"/>
  <c r="R313" i="4" s="1"/>
  <c r="I313" i="4"/>
  <c r="M313" i="4" s="1"/>
  <c r="Q313" i="4" s="1"/>
  <c r="H313" i="4"/>
  <c r="L313" i="4" s="1"/>
  <c r="P313" i="4" s="1"/>
  <c r="R312" i="4"/>
  <c r="L312" i="4"/>
  <c r="P312" i="4" s="1"/>
  <c r="K312" i="4"/>
  <c r="O312" i="4" s="1"/>
  <c r="S312" i="4" s="1"/>
  <c r="J312" i="4"/>
  <c r="N312" i="4" s="1"/>
  <c r="I312" i="4"/>
  <c r="M312" i="4" s="1"/>
  <c r="Q312" i="4" s="1"/>
  <c r="H312" i="4"/>
  <c r="N311" i="4"/>
  <c r="R311" i="4" s="1"/>
  <c r="M311" i="4"/>
  <c r="Q311" i="4" s="1"/>
  <c r="K311" i="4"/>
  <c r="O311" i="4" s="1"/>
  <c r="S311" i="4" s="1"/>
  <c r="J311" i="4"/>
  <c r="I311" i="4"/>
  <c r="H311" i="4"/>
  <c r="L311" i="4" s="1"/>
  <c r="P311" i="4" s="1"/>
  <c r="Q310" i="4"/>
  <c r="L310" i="4"/>
  <c r="P310" i="4" s="1"/>
  <c r="K310" i="4"/>
  <c r="O310" i="4" s="1"/>
  <c r="S310" i="4" s="1"/>
  <c r="J310" i="4"/>
  <c r="N310" i="4" s="1"/>
  <c r="R310" i="4" s="1"/>
  <c r="I310" i="4"/>
  <c r="M310" i="4" s="1"/>
  <c r="H310" i="4"/>
  <c r="N309" i="4"/>
  <c r="R309" i="4" s="1"/>
  <c r="M309" i="4"/>
  <c r="Q309" i="4" s="1"/>
  <c r="K309" i="4"/>
  <c r="O309" i="4" s="1"/>
  <c r="S309" i="4" s="1"/>
  <c r="J309" i="4"/>
  <c r="I309" i="4"/>
  <c r="H309" i="4"/>
  <c r="L309" i="4" s="1"/>
  <c r="P309" i="4" s="1"/>
  <c r="K308" i="4"/>
  <c r="O308" i="4" s="1"/>
  <c r="S308" i="4" s="1"/>
  <c r="J308" i="4"/>
  <c r="N308" i="4" s="1"/>
  <c r="R308" i="4" s="1"/>
  <c r="I308" i="4"/>
  <c r="M308" i="4" s="1"/>
  <c r="Q308" i="4" s="1"/>
  <c r="H308" i="4"/>
  <c r="L308" i="4" s="1"/>
  <c r="P308" i="4" s="1"/>
  <c r="O307" i="4"/>
  <c r="S307" i="4" s="1"/>
  <c r="K307" i="4"/>
  <c r="J307" i="4"/>
  <c r="N307" i="4" s="1"/>
  <c r="R307" i="4" s="1"/>
  <c r="I307" i="4"/>
  <c r="M307" i="4" s="1"/>
  <c r="Q307" i="4" s="1"/>
  <c r="H307" i="4"/>
  <c r="L307" i="4" s="1"/>
  <c r="P307" i="4" s="1"/>
  <c r="L306" i="4"/>
  <c r="P306" i="4" s="1"/>
  <c r="K306" i="4"/>
  <c r="O306" i="4" s="1"/>
  <c r="S306" i="4" s="1"/>
  <c r="J306" i="4"/>
  <c r="N306" i="4" s="1"/>
  <c r="R306" i="4" s="1"/>
  <c r="I306" i="4"/>
  <c r="M306" i="4" s="1"/>
  <c r="Q306" i="4" s="1"/>
  <c r="H306" i="4"/>
  <c r="O305" i="4"/>
  <c r="S305" i="4" s="1"/>
  <c r="N305" i="4"/>
  <c r="R305" i="4" s="1"/>
  <c r="M305" i="4"/>
  <c r="Q305" i="4" s="1"/>
  <c r="K305" i="4"/>
  <c r="J305" i="4"/>
  <c r="I305" i="4"/>
  <c r="H305" i="4"/>
  <c r="L305" i="4" s="1"/>
  <c r="P305" i="4" s="1"/>
  <c r="L304" i="4"/>
  <c r="P304" i="4" s="1"/>
  <c r="K304" i="4"/>
  <c r="O304" i="4" s="1"/>
  <c r="S304" i="4" s="1"/>
  <c r="J304" i="4"/>
  <c r="N304" i="4" s="1"/>
  <c r="R304" i="4" s="1"/>
  <c r="I304" i="4"/>
  <c r="M304" i="4" s="1"/>
  <c r="Q304" i="4" s="1"/>
  <c r="H304" i="4"/>
  <c r="K303" i="4"/>
  <c r="O303" i="4" s="1"/>
  <c r="S303" i="4" s="1"/>
  <c r="J303" i="4"/>
  <c r="N303" i="4" s="1"/>
  <c r="R303" i="4" s="1"/>
  <c r="I303" i="4"/>
  <c r="M303" i="4" s="1"/>
  <c r="Q303" i="4" s="1"/>
  <c r="H303" i="4"/>
  <c r="L303" i="4" s="1"/>
  <c r="P303" i="4" s="1"/>
  <c r="S302" i="4"/>
  <c r="K302" i="4"/>
  <c r="O302" i="4" s="1"/>
  <c r="J302" i="4"/>
  <c r="N302" i="4" s="1"/>
  <c r="R302" i="4" s="1"/>
  <c r="I302" i="4"/>
  <c r="M302" i="4" s="1"/>
  <c r="Q302" i="4" s="1"/>
  <c r="H302" i="4"/>
  <c r="L302" i="4" s="1"/>
  <c r="P302" i="4" s="1"/>
  <c r="O301" i="4"/>
  <c r="S301" i="4" s="1"/>
  <c r="K301" i="4"/>
  <c r="J301" i="4"/>
  <c r="N301" i="4" s="1"/>
  <c r="R301" i="4" s="1"/>
  <c r="I301" i="4"/>
  <c r="M301" i="4" s="1"/>
  <c r="Q301" i="4" s="1"/>
  <c r="H301" i="4"/>
  <c r="L301" i="4" s="1"/>
  <c r="P301" i="4" s="1"/>
  <c r="N300" i="4"/>
  <c r="R300" i="4" s="1"/>
  <c r="K300" i="4"/>
  <c r="O300" i="4" s="1"/>
  <c r="S300" i="4" s="1"/>
  <c r="J300" i="4"/>
  <c r="I300" i="4"/>
  <c r="M300" i="4" s="1"/>
  <c r="Q300" i="4" s="1"/>
  <c r="H300" i="4"/>
  <c r="L300" i="4" s="1"/>
  <c r="P300" i="4" s="1"/>
  <c r="R299" i="4"/>
  <c r="P299" i="4"/>
  <c r="K299" i="4"/>
  <c r="O299" i="4" s="1"/>
  <c r="S299" i="4" s="1"/>
  <c r="J299" i="4"/>
  <c r="N299" i="4" s="1"/>
  <c r="I299" i="4"/>
  <c r="M299" i="4" s="1"/>
  <c r="Q299" i="4" s="1"/>
  <c r="H299" i="4"/>
  <c r="L299" i="4" s="1"/>
  <c r="M298" i="4"/>
  <c r="Q298" i="4" s="1"/>
  <c r="L298" i="4"/>
  <c r="P298" i="4" s="1"/>
  <c r="K298" i="4"/>
  <c r="O298" i="4" s="1"/>
  <c r="S298" i="4" s="1"/>
  <c r="J298" i="4"/>
  <c r="N298" i="4" s="1"/>
  <c r="R298" i="4" s="1"/>
  <c r="I298" i="4"/>
  <c r="H298" i="4"/>
  <c r="O297" i="4"/>
  <c r="S297" i="4" s="1"/>
  <c r="N297" i="4"/>
  <c r="R297" i="4" s="1"/>
  <c r="M297" i="4"/>
  <c r="Q297" i="4" s="1"/>
  <c r="K297" i="4"/>
  <c r="J297" i="4"/>
  <c r="I297" i="4"/>
  <c r="H297" i="4"/>
  <c r="L297" i="4" s="1"/>
  <c r="P297" i="4" s="1"/>
  <c r="S296" i="4"/>
  <c r="R296" i="4"/>
  <c r="Q296" i="4"/>
  <c r="L296" i="4"/>
  <c r="P296" i="4" s="1"/>
  <c r="K296" i="4"/>
  <c r="O296" i="4" s="1"/>
  <c r="J296" i="4"/>
  <c r="N296" i="4" s="1"/>
  <c r="I296" i="4"/>
  <c r="M296" i="4" s="1"/>
  <c r="H296" i="4"/>
  <c r="O295" i="4"/>
  <c r="S295" i="4" s="1"/>
  <c r="N295" i="4"/>
  <c r="R295" i="4" s="1"/>
  <c r="M295" i="4"/>
  <c r="Q295" i="4" s="1"/>
  <c r="K295" i="4"/>
  <c r="J295" i="4"/>
  <c r="I295" i="4"/>
  <c r="H295" i="4"/>
  <c r="L295" i="4" s="1"/>
  <c r="P295" i="4" s="1"/>
  <c r="S294" i="4"/>
  <c r="R294" i="4"/>
  <c r="Q294" i="4"/>
  <c r="L294" i="4"/>
  <c r="P294" i="4" s="1"/>
  <c r="K294" i="4"/>
  <c r="O294" i="4" s="1"/>
  <c r="J294" i="4"/>
  <c r="N294" i="4" s="1"/>
  <c r="I294" i="4"/>
  <c r="M294" i="4" s="1"/>
  <c r="H294" i="4"/>
  <c r="O293" i="4"/>
  <c r="S293" i="4" s="1"/>
  <c r="N293" i="4"/>
  <c r="R293" i="4" s="1"/>
  <c r="M293" i="4"/>
  <c r="Q293" i="4" s="1"/>
  <c r="K293" i="4"/>
  <c r="J293" i="4"/>
  <c r="I293" i="4"/>
  <c r="H293" i="4"/>
  <c r="L293" i="4" s="1"/>
  <c r="P293" i="4" s="1"/>
  <c r="S292" i="4"/>
  <c r="R292" i="4"/>
  <c r="Q292" i="4"/>
  <c r="L292" i="4"/>
  <c r="P292" i="4" s="1"/>
  <c r="K292" i="4"/>
  <c r="O292" i="4" s="1"/>
  <c r="J292" i="4"/>
  <c r="N292" i="4" s="1"/>
  <c r="I292" i="4"/>
  <c r="M292" i="4" s="1"/>
  <c r="H292" i="4"/>
  <c r="O291" i="4"/>
  <c r="S291" i="4" s="1"/>
  <c r="N291" i="4"/>
  <c r="R291" i="4" s="1"/>
  <c r="M291" i="4"/>
  <c r="Q291" i="4" s="1"/>
  <c r="K291" i="4"/>
  <c r="J291" i="4"/>
  <c r="I291" i="4"/>
  <c r="H291" i="4"/>
  <c r="L291" i="4" s="1"/>
  <c r="P291" i="4" s="1"/>
  <c r="S290" i="4"/>
  <c r="R290" i="4"/>
  <c r="Q290" i="4"/>
  <c r="L290" i="4"/>
  <c r="P290" i="4" s="1"/>
  <c r="K290" i="4"/>
  <c r="O290" i="4" s="1"/>
  <c r="J290" i="4"/>
  <c r="N290" i="4" s="1"/>
  <c r="I290" i="4"/>
  <c r="M290" i="4" s="1"/>
  <c r="H290" i="4"/>
  <c r="O289" i="4"/>
  <c r="S289" i="4" s="1"/>
  <c r="N289" i="4"/>
  <c r="R289" i="4" s="1"/>
  <c r="M289" i="4"/>
  <c r="Q289" i="4" s="1"/>
  <c r="K289" i="4"/>
  <c r="J289" i="4"/>
  <c r="I289" i="4"/>
  <c r="H289" i="4"/>
  <c r="L289" i="4" s="1"/>
  <c r="P289" i="4" s="1"/>
  <c r="S288" i="4"/>
  <c r="R288" i="4"/>
  <c r="Q288" i="4"/>
  <c r="L288" i="4"/>
  <c r="P288" i="4" s="1"/>
  <c r="K288" i="4"/>
  <c r="O288" i="4" s="1"/>
  <c r="J288" i="4"/>
  <c r="N288" i="4" s="1"/>
  <c r="I288" i="4"/>
  <c r="M288" i="4" s="1"/>
  <c r="H288" i="4"/>
  <c r="O287" i="4"/>
  <c r="S287" i="4" s="1"/>
  <c r="N287" i="4"/>
  <c r="R287" i="4" s="1"/>
  <c r="M287" i="4"/>
  <c r="Q287" i="4" s="1"/>
  <c r="K287" i="4"/>
  <c r="J287" i="4"/>
  <c r="I287" i="4"/>
  <c r="H287" i="4"/>
  <c r="L287" i="4" s="1"/>
  <c r="P287" i="4" s="1"/>
  <c r="S286" i="4"/>
  <c r="R286" i="4"/>
  <c r="Q286" i="4"/>
  <c r="L286" i="4"/>
  <c r="P286" i="4" s="1"/>
  <c r="K286" i="4"/>
  <c r="O286" i="4" s="1"/>
  <c r="J286" i="4"/>
  <c r="N286" i="4" s="1"/>
  <c r="I286" i="4"/>
  <c r="M286" i="4" s="1"/>
  <c r="H286" i="4"/>
  <c r="O285" i="4"/>
  <c r="S285" i="4" s="1"/>
  <c r="N285" i="4"/>
  <c r="R285" i="4" s="1"/>
  <c r="M285" i="4"/>
  <c r="Q285" i="4" s="1"/>
  <c r="K285" i="4"/>
  <c r="J285" i="4"/>
  <c r="I285" i="4"/>
  <c r="H285" i="4"/>
  <c r="L285" i="4" s="1"/>
  <c r="P285" i="4" s="1"/>
  <c r="S284" i="4"/>
  <c r="R284" i="4"/>
  <c r="Q284" i="4"/>
  <c r="L284" i="4"/>
  <c r="P284" i="4" s="1"/>
  <c r="K284" i="4"/>
  <c r="O284" i="4" s="1"/>
  <c r="J284" i="4"/>
  <c r="N284" i="4" s="1"/>
  <c r="I284" i="4"/>
  <c r="M284" i="4" s="1"/>
  <c r="H284" i="4"/>
  <c r="O283" i="4"/>
  <c r="S283" i="4" s="1"/>
  <c r="N283" i="4"/>
  <c r="R283" i="4" s="1"/>
  <c r="M283" i="4"/>
  <c r="Q283" i="4" s="1"/>
  <c r="K283" i="4"/>
  <c r="J283" i="4"/>
  <c r="I283" i="4"/>
  <c r="H283" i="4"/>
  <c r="L283" i="4" s="1"/>
  <c r="P283" i="4" s="1"/>
  <c r="S282" i="4"/>
  <c r="R282" i="4"/>
  <c r="Q282" i="4"/>
  <c r="L282" i="4"/>
  <c r="P282" i="4" s="1"/>
  <c r="K282" i="4"/>
  <c r="O282" i="4" s="1"/>
  <c r="J282" i="4"/>
  <c r="N282" i="4" s="1"/>
  <c r="I282" i="4"/>
  <c r="M282" i="4" s="1"/>
  <c r="H282" i="4"/>
  <c r="O281" i="4"/>
  <c r="S281" i="4" s="1"/>
  <c r="N281" i="4"/>
  <c r="R281" i="4" s="1"/>
  <c r="M281" i="4"/>
  <c r="Q281" i="4" s="1"/>
  <c r="K281" i="4"/>
  <c r="J281" i="4"/>
  <c r="I281" i="4"/>
  <c r="H281" i="4"/>
  <c r="L281" i="4" s="1"/>
  <c r="P281" i="4" s="1"/>
  <c r="S280" i="4"/>
  <c r="R280" i="4"/>
  <c r="Q280" i="4"/>
  <c r="L280" i="4"/>
  <c r="P280" i="4" s="1"/>
  <c r="K280" i="4"/>
  <c r="O280" i="4" s="1"/>
  <c r="J280" i="4"/>
  <c r="N280" i="4" s="1"/>
  <c r="I280" i="4"/>
  <c r="M280" i="4" s="1"/>
  <c r="H280" i="4"/>
  <c r="O279" i="4"/>
  <c r="S279" i="4" s="1"/>
  <c r="N279" i="4"/>
  <c r="R279" i="4" s="1"/>
  <c r="M279" i="4"/>
  <c r="Q279" i="4" s="1"/>
  <c r="K279" i="4"/>
  <c r="J279" i="4"/>
  <c r="I279" i="4"/>
  <c r="H279" i="4"/>
  <c r="L279" i="4" s="1"/>
  <c r="P279" i="4" s="1"/>
  <c r="S278" i="4"/>
  <c r="R278" i="4"/>
  <c r="Q278" i="4"/>
  <c r="L278" i="4"/>
  <c r="P278" i="4" s="1"/>
  <c r="K278" i="4"/>
  <c r="O278" i="4" s="1"/>
  <c r="J278" i="4"/>
  <c r="N278" i="4" s="1"/>
  <c r="I278" i="4"/>
  <c r="M278" i="4" s="1"/>
  <c r="H278" i="4"/>
  <c r="O277" i="4"/>
  <c r="S277" i="4" s="1"/>
  <c r="N277" i="4"/>
  <c r="R277" i="4" s="1"/>
  <c r="M277" i="4"/>
  <c r="Q277" i="4" s="1"/>
  <c r="K277" i="4"/>
  <c r="J277" i="4"/>
  <c r="I277" i="4"/>
  <c r="H277" i="4"/>
  <c r="L277" i="4" s="1"/>
  <c r="P277" i="4" s="1"/>
  <c r="S276" i="4"/>
  <c r="R276" i="4"/>
  <c r="L276" i="4"/>
  <c r="P276" i="4" s="1"/>
  <c r="K276" i="4"/>
  <c r="O276" i="4" s="1"/>
  <c r="J276" i="4"/>
  <c r="N276" i="4" s="1"/>
  <c r="I276" i="4"/>
  <c r="M276" i="4" s="1"/>
  <c r="Q276" i="4" s="1"/>
  <c r="H276" i="4"/>
  <c r="O275" i="4"/>
  <c r="S275" i="4" s="1"/>
  <c r="K275" i="4"/>
  <c r="H275" i="4"/>
  <c r="L275" i="4" s="1"/>
  <c r="P275" i="4" s="1"/>
  <c r="L274" i="4"/>
  <c r="P274" i="4" s="1"/>
  <c r="K274" i="4"/>
  <c r="O274" i="4" s="1"/>
  <c r="S274" i="4" s="1"/>
  <c r="J274" i="4"/>
  <c r="N274" i="4" s="1"/>
  <c r="R274" i="4" s="1"/>
  <c r="I274" i="4"/>
  <c r="M274" i="4" s="1"/>
  <c r="Q274" i="4" s="1"/>
  <c r="H274" i="4"/>
  <c r="M273" i="4"/>
  <c r="Q273" i="4" s="1"/>
  <c r="K273" i="4"/>
  <c r="O273" i="4" s="1"/>
  <c r="S273" i="4" s="1"/>
  <c r="J273" i="4"/>
  <c r="N273" i="4" s="1"/>
  <c r="R273" i="4" s="1"/>
  <c r="I273" i="4"/>
  <c r="H273" i="4"/>
  <c r="L273" i="4" s="1"/>
  <c r="P273" i="4" s="1"/>
  <c r="K272" i="4"/>
  <c r="O272" i="4" s="1"/>
  <c r="S272" i="4" s="1"/>
  <c r="J272" i="4"/>
  <c r="N272" i="4" s="1"/>
  <c r="R272" i="4" s="1"/>
  <c r="I272" i="4"/>
  <c r="M272" i="4" s="1"/>
  <c r="Q272" i="4" s="1"/>
  <c r="H272" i="4"/>
  <c r="L272" i="4" s="1"/>
  <c r="P272" i="4" s="1"/>
  <c r="M271" i="4"/>
  <c r="Q271" i="4" s="1"/>
  <c r="K271" i="4"/>
  <c r="O271" i="4" s="1"/>
  <c r="S271" i="4" s="1"/>
  <c r="J271" i="4"/>
  <c r="N271" i="4" s="1"/>
  <c r="R271" i="4" s="1"/>
  <c r="I271" i="4"/>
  <c r="H271" i="4"/>
  <c r="L271" i="4" s="1"/>
  <c r="P271" i="4" s="1"/>
  <c r="K270" i="4"/>
  <c r="O270" i="4" s="1"/>
  <c r="S270" i="4" s="1"/>
  <c r="J270" i="4"/>
  <c r="N270" i="4" s="1"/>
  <c r="R270" i="4" s="1"/>
  <c r="I270" i="4"/>
  <c r="M270" i="4" s="1"/>
  <c r="Q270" i="4" s="1"/>
  <c r="H270" i="4"/>
  <c r="L270" i="4" s="1"/>
  <c r="P270" i="4" s="1"/>
  <c r="M269" i="4"/>
  <c r="Q269" i="4" s="1"/>
  <c r="K269" i="4"/>
  <c r="O269" i="4" s="1"/>
  <c r="S269" i="4" s="1"/>
  <c r="J269" i="4"/>
  <c r="N269" i="4" s="1"/>
  <c r="R269" i="4" s="1"/>
  <c r="I269" i="4"/>
  <c r="H269" i="4"/>
  <c r="L269" i="4" s="1"/>
  <c r="P269" i="4" s="1"/>
  <c r="K268" i="4"/>
  <c r="O268" i="4" s="1"/>
  <c r="S268" i="4" s="1"/>
  <c r="J268" i="4"/>
  <c r="N268" i="4" s="1"/>
  <c r="R268" i="4" s="1"/>
  <c r="I268" i="4"/>
  <c r="M268" i="4" s="1"/>
  <c r="Q268" i="4" s="1"/>
  <c r="H268" i="4"/>
  <c r="L268" i="4" s="1"/>
  <c r="P268" i="4" s="1"/>
  <c r="M267" i="4"/>
  <c r="Q267" i="4" s="1"/>
  <c r="K267" i="4"/>
  <c r="O267" i="4" s="1"/>
  <c r="S267" i="4" s="1"/>
  <c r="J267" i="4"/>
  <c r="N267" i="4" s="1"/>
  <c r="R267" i="4" s="1"/>
  <c r="I267" i="4"/>
  <c r="H267" i="4"/>
  <c r="L267" i="4" s="1"/>
  <c r="P267" i="4" s="1"/>
  <c r="L266" i="4"/>
  <c r="P266" i="4" s="1"/>
  <c r="K266" i="4"/>
  <c r="O266" i="4" s="1"/>
  <c r="S266" i="4" s="1"/>
  <c r="J266" i="4"/>
  <c r="N266" i="4" s="1"/>
  <c r="R266" i="4" s="1"/>
  <c r="I266" i="4"/>
  <c r="M266" i="4" s="1"/>
  <c r="Q266" i="4" s="1"/>
  <c r="H266" i="4"/>
  <c r="M265" i="4"/>
  <c r="Q265" i="4" s="1"/>
  <c r="K265" i="4"/>
  <c r="O265" i="4" s="1"/>
  <c r="S265" i="4" s="1"/>
  <c r="J265" i="4"/>
  <c r="N265" i="4" s="1"/>
  <c r="R265" i="4" s="1"/>
  <c r="I265" i="4"/>
  <c r="H265" i="4"/>
  <c r="L265" i="4" s="1"/>
  <c r="P265" i="4" s="1"/>
  <c r="L264" i="4"/>
  <c r="P264" i="4" s="1"/>
  <c r="K264" i="4"/>
  <c r="O264" i="4" s="1"/>
  <c r="S264" i="4" s="1"/>
  <c r="J264" i="4"/>
  <c r="N264" i="4" s="1"/>
  <c r="R264" i="4" s="1"/>
  <c r="I264" i="4"/>
  <c r="M264" i="4" s="1"/>
  <c r="Q264" i="4" s="1"/>
  <c r="H264" i="4"/>
  <c r="M263" i="4"/>
  <c r="Q263" i="4" s="1"/>
  <c r="K263" i="4"/>
  <c r="O263" i="4" s="1"/>
  <c r="S263" i="4" s="1"/>
  <c r="J263" i="4"/>
  <c r="N263" i="4" s="1"/>
  <c r="R263" i="4" s="1"/>
  <c r="I263" i="4"/>
  <c r="H263" i="4"/>
  <c r="L263" i="4" s="1"/>
  <c r="P263" i="4" s="1"/>
  <c r="K262" i="4"/>
  <c r="O262" i="4" s="1"/>
  <c r="S262" i="4" s="1"/>
  <c r="J262" i="4"/>
  <c r="N262" i="4" s="1"/>
  <c r="R262" i="4" s="1"/>
  <c r="I262" i="4"/>
  <c r="M262" i="4" s="1"/>
  <c r="Q262" i="4" s="1"/>
  <c r="H262" i="4"/>
  <c r="L262" i="4" s="1"/>
  <c r="P262" i="4" s="1"/>
  <c r="M261" i="4"/>
  <c r="Q261" i="4" s="1"/>
  <c r="K261" i="4"/>
  <c r="O261" i="4" s="1"/>
  <c r="S261" i="4" s="1"/>
  <c r="J261" i="4"/>
  <c r="N261" i="4" s="1"/>
  <c r="R261" i="4" s="1"/>
  <c r="I261" i="4"/>
  <c r="H261" i="4"/>
  <c r="L261" i="4" s="1"/>
  <c r="P261" i="4" s="1"/>
  <c r="K260" i="4"/>
  <c r="O260" i="4" s="1"/>
  <c r="S260" i="4" s="1"/>
  <c r="J260" i="4"/>
  <c r="N260" i="4" s="1"/>
  <c r="R260" i="4" s="1"/>
  <c r="I260" i="4"/>
  <c r="M260" i="4" s="1"/>
  <c r="Q260" i="4" s="1"/>
  <c r="H260" i="4"/>
  <c r="L260" i="4" s="1"/>
  <c r="P260" i="4" s="1"/>
  <c r="M259" i="4"/>
  <c r="Q259" i="4" s="1"/>
  <c r="K259" i="4"/>
  <c r="O259" i="4" s="1"/>
  <c r="S259" i="4" s="1"/>
  <c r="J259" i="4"/>
  <c r="N259" i="4" s="1"/>
  <c r="R259" i="4" s="1"/>
  <c r="I259" i="4"/>
  <c r="H259" i="4"/>
  <c r="L259" i="4" s="1"/>
  <c r="P259" i="4" s="1"/>
  <c r="L258" i="4"/>
  <c r="P258" i="4" s="1"/>
  <c r="K258" i="4"/>
  <c r="O258" i="4" s="1"/>
  <c r="S258" i="4" s="1"/>
  <c r="J258" i="4"/>
  <c r="N258" i="4" s="1"/>
  <c r="R258" i="4" s="1"/>
  <c r="I258" i="4"/>
  <c r="M258" i="4" s="1"/>
  <c r="Q258" i="4" s="1"/>
  <c r="H258" i="4"/>
  <c r="M257" i="4"/>
  <c r="Q257" i="4" s="1"/>
  <c r="K257" i="4"/>
  <c r="O257" i="4" s="1"/>
  <c r="S257" i="4" s="1"/>
  <c r="J257" i="4"/>
  <c r="N257" i="4" s="1"/>
  <c r="R257" i="4" s="1"/>
  <c r="I257" i="4"/>
  <c r="H257" i="4"/>
  <c r="L257" i="4" s="1"/>
  <c r="P257" i="4" s="1"/>
  <c r="L256" i="4"/>
  <c r="P256" i="4" s="1"/>
  <c r="K256" i="4"/>
  <c r="O256" i="4" s="1"/>
  <c r="S256" i="4" s="1"/>
  <c r="J256" i="4"/>
  <c r="N256" i="4" s="1"/>
  <c r="R256" i="4" s="1"/>
  <c r="I256" i="4"/>
  <c r="M256" i="4" s="1"/>
  <c r="Q256" i="4" s="1"/>
  <c r="H256" i="4"/>
  <c r="M255" i="4"/>
  <c r="Q255" i="4" s="1"/>
  <c r="K255" i="4"/>
  <c r="O255" i="4" s="1"/>
  <c r="S255" i="4" s="1"/>
  <c r="J255" i="4"/>
  <c r="N255" i="4" s="1"/>
  <c r="R255" i="4" s="1"/>
  <c r="I255" i="4"/>
  <c r="H255" i="4"/>
  <c r="L255" i="4" s="1"/>
  <c r="P255" i="4" s="1"/>
  <c r="K254" i="4"/>
  <c r="O254" i="4" s="1"/>
  <c r="S254" i="4" s="1"/>
  <c r="J254" i="4"/>
  <c r="N254" i="4" s="1"/>
  <c r="R254" i="4" s="1"/>
  <c r="I254" i="4"/>
  <c r="M254" i="4" s="1"/>
  <c r="Q254" i="4" s="1"/>
  <c r="H254" i="4"/>
  <c r="L254" i="4" s="1"/>
  <c r="P254" i="4" s="1"/>
  <c r="M253" i="4"/>
  <c r="Q253" i="4" s="1"/>
  <c r="K253" i="4"/>
  <c r="O253" i="4" s="1"/>
  <c r="S253" i="4" s="1"/>
  <c r="J253" i="4"/>
  <c r="N253" i="4" s="1"/>
  <c r="R253" i="4" s="1"/>
  <c r="I253" i="4"/>
  <c r="H253" i="4"/>
  <c r="L253" i="4" s="1"/>
  <c r="P253" i="4" s="1"/>
  <c r="K252" i="4"/>
  <c r="O252" i="4" s="1"/>
  <c r="S252" i="4" s="1"/>
  <c r="J252" i="4"/>
  <c r="N252" i="4" s="1"/>
  <c r="R252" i="4" s="1"/>
  <c r="I252" i="4"/>
  <c r="M252" i="4" s="1"/>
  <c r="Q252" i="4" s="1"/>
  <c r="H252" i="4"/>
  <c r="L252" i="4" s="1"/>
  <c r="P252" i="4" s="1"/>
  <c r="M251" i="4"/>
  <c r="Q251" i="4" s="1"/>
  <c r="K251" i="4"/>
  <c r="O251" i="4" s="1"/>
  <c r="S251" i="4" s="1"/>
  <c r="J251" i="4"/>
  <c r="N251" i="4" s="1"/>
  <c r="R251" i="4" s="1"/>
  <c r="I251" i="4"/>
  <c r="H251" i="4"/>
  <c r="L251" i="4" s="1"/>
  <c r="P251" i="4" s="1"/>
  <c r="L250" i="4"/>
  <c r="P250" i="4" s="1"/>
  <c r="K250" i="4"/>
  <c r="O250" i="4" s="1"/>
  <c r="S250" i="4" s="1"/>
  <c r="J250" i="4"/>
  <c r="N250" i="4" s="1"/>
  <c r="R250" i="4" s="1"/>
  <c r="I250" i="4"/>
  <c r="M250" i="4" s="1"/>
  <c r="Q250" i="4" s="1"/>
  <c r="H250" i="4"/>
  <c r="M249" i="4"/>
  <c r="Q249" i="4" s="1"/>
  <c r="K249" i="4"/>
  <c r="O249" i="4" s="1"/>
  <c r="S249" i="4" s="1"/>
  <c r="J249" i="4"/>
  <c r="N249" i="4" s="1"/>
  <c r="R249" i="4" s="1"/>
  <c r="I249" i="4"/>
  <c r="H249" i="4"/>
  <c r="L249" i="4" s="1"/>
  <c r="P249" i="4" s="1"/>
  <c r="L248" i="4"/>
  <c r="P248" i="4" s="1"/>
  <c r="K248" i="4"/>
  <c r="O248" i="4" s="1"/>
  <c r="S248" i="4" s="1"/>
  <c r="J248" i="4"/>
  <c r="N248" i="4" s="1"/>
  <c r="R248" i="4" s="1"/>
  <c r="I248" i="4"/>
  <c r="M248" i="4" s="1"/>
  <c r="Q248" i="4" s="1"/>
  <c r="H248" i="4"/>
  <c r="M247" i="4"/>
  <c r="Q247" i="4" s="1"/>
  <c r="K247" i="4"/>
  <c r="O247" i="4" s="1"/>
  <c r="S247" i="4" s="1"/>
  <c r="J247" i="4"/>
  <c r="N247" i="4" s="1"/>
  <c r="R247" i="4" s="1"/>
  <c r="I247" i="4"/>
  <c r="H247" i="4"/>
  <c r="L247" i="4" s="1"/>
  <c r="P247" i="4" s="1"/>
  <c r="K246" i="4"/>
  <c r="O246" i="4" s="1"/>
  <c r="S246" i="4" s="1"/>
  <c r="J246" i="4"/>
  <c r="N246" i="4" s="1"/>
  <c r="R246" i="4" s="1"/>
  <c r="I246" i="4"/>
  <c r="M246" i="4" s="1"/>
  <c r="Q246" i="4" s="1"/>
  <c r="H246" i="4"/>
  <c r="L246" i="4" s="1"/>
  <c r="P246" i="4" s="1"/>
  <c r="M245" i="4"/>
  <c r="Q245" i="4" s="1"/>
  <c r="K245" i="4"/>
  <c r="O245" i="4" s="1"/>
  <c r="S245" i="4" s="1"/>
  <c r="J245" i="4"/>
  <c r="N245" i="4" s="1"/>
  <c r="R245" i="4" s="1"/>
  <c r="I245" i="4"/>
  <c r="H245" i="4"/>
  <c r="L245" i="4" s="1"/>
  <c r="P245" i="4" s="1"/>
  <c r="K244" i="4"/>
  <c r="O244" i="4" s="1"/>
  <c r="S244" i="4" s="1"/>
  <c r="J244" i="4"/>
  <c r="N244" i="4" s="1"/>
  <c r="R244" i="4" s="1"/>
  <c r="I244" i="4"/>
  <c r="M244" i="4" s="1"/>
  <c r="Q244" i="4" s="1"/>
  <c r="H244" i="4"/>
  <c r="L244" i="4" s="1"/>
  <c r="P244" i="4" s="1"/>
  <c r="M243" i="4"/>
  <c r="Q243" i="4" s="1"/>
  <c r="K243" i="4"/>
  <c r="O243" i="4" s="1"/>
  <c r="S243" i="4" s="1"/>
  <c r="J243" i="4"/>
  <c r="N243" i="4" s="1"/>
  <c r="R243" i="4" s="1"/>
  <c r="I243" i="4"/>
  <c r="H243" i="4"/>
  <c r="L243" i="4" s="1"/>
  <c r="P243" i="4" s="1"/>
  <c r="L242" i="4"/>
  <c r="P242" i="4" s="1"/>
  <c r="K242" i="4"/>
  <c r="O242" i="4" s="1"/>
  <c r="S242" i="4" s="1"/>
  <c r="J242" i="4"/>
  <c r="N242" i="4" s="1"/>
  <c r="R242" i="4" s="1"/>
  <c r="I242" i="4"/>
  <c r="M242" i="4" s="1"/>
  <c r="Q242" i="4" s="1"/>
  <c r="H242" i="4"/>
  <c r="M241" i="4"/>
  <c r="Q241" i="4" s="1"/>
  <c r="K241" i="4"/>
  <c r="O241" i="4" s="1"/>
  <c r="S241" i="4" s="1"/>
  <c r="J241" i="4"/>
  <c r="N241" i="4" s="1"/>
  <c r="R241" i="4" s="1"/>
  <c r="I241" i="4"/>
  <c r="H241" i="4"/>
  <c r="L241" i="4" s="1"/>
  <c r="P241" i="4" s="1"/>
  <c r="L240" i="4"/>
  <c r="P240" i="4" s="1"/>
  <c r="K240" i="4"/>
  <c r="O240" i="4" s="1"/>
  <c r="S240" i="4" s="1"/>
  <c r="J240" i="4"/>
  <c r="N240" i="4" s="1"/>
  <c r="R240" i="4" s="1"/>
  <c r="I240" i="4"/>
  <c r="M240" i="4" s="1"/>
  <c r="Q240" i="4" s="1"/>
  <c r="H240" i="4"/>
  <c r="M239" i="4"/>
  <c r="Q239" i="4" s="1"/>
  <c r="K239" i="4"/>
  <c r="O239" i="4" s="1"/>
  <c r="S239" i="4" s="1"/>
  <c r="J239" i="4"/>
  <c r="N239" i="4" s="1"/>
  <c r="R239" i="4" s="1"/>
  <c r="I239" i="4"/>
  <c r="H239" i="4"/>
  <c r="L239" i="4" s="1"/>
  <c r="P239" i="4" s="1"/>
  <c r="K238" i="4"/>
  <c r="O238" i="4" s="1"/>
  <c r="S238" i="4" s="1"/>
  <c r="J238" i="4"/>
  <c r="N238" i="4" s="1"/>
  <c r="R238" i="4" s="1"/>
  <c r="I238" i="4"/>
  <c r="M238" i="4" s="1"/>
  <c r="Q238" i="4" s="1"/>
  <c r="H238" i="4"/>
  <c r="L238" i="4" s="1"/>
  <c r="P238" i="4" s="1"/>
  <c r="M237" i="4"/>
  <c r="Q237" i="4" s="1"/>
  <c r="K237" i="4"/>
  <c r="O237" i="4" s="1"/>
  <c r="S237" i="4" s="1"/>
  <c r="J237" i="4"/>
  <c r="N237" i="4" s="1"/>
  <c r="R237" i="4" s="1"/>
  <c r="I237" i="4"/>
  <c r="H237" i="4"/>
  <c r="L237" i="4" s="1"/>
  <c r="P237" i="4" s="1"/>
  <c r="L236" i="4"/>
  <c r="P236" i="4" s="1"/>
  <c r="K236" i="4"/>
  <c r="O236" i="4" s="1"/>
  <c r="S236" i="4" s="1"/>
  <c r="J236" i="4"/>
  <c r="N236" i="4" s="1"/>
  <c r="R236" i="4" s="1"/>
  <c r="I236" i="4"/>
  <c r="M236" i="4" s="1"/>
  <c r="Q236" i="4" s="1"/>
  <c r="H236" i="4"/>
  <c r="M235" i="4"/>
  <c r="Q235" i="4" s="1"/>
  <c r="K235" i="4"/>
  <c r="O235" i="4" s="1"/>
  <c r="S235" i="4" s="1"/>
  <c r="J235" i="4"/>
  <c r="N235" i="4" s="1"/>
  <c r="R235" i="4" s="1"/>
  <c r="I235" i="4"/>
  <c r="H235" i="4"/>
  <c r="L235" i="4" s="1"/>
  <c r="P235" i="4" s="1"/>
  <c r="L234" i="4"/>
  <c r="P234" i="4" s="1"/>
  <c r="K234" i="4"/>
  <c r="O234" i="4" s="1"/>
  <c r="S234" i="4" s="1"/>
  <c r="J234" i="4"/>
  <c r="N234" i="4" s="1"/>
  <c r="R234" i="4" s="1"/>
  <c r="I234" i="4"/>
  <c r="M234" i="4" s="1"/>
  <c r="Q234" i="4" s="1"/>
  <c r="H234" i="4"/>
  <c r="M233" i="4"/>
  <c r="Q233" i="4" s="1"/>
  <c r="K233" i="4"/>
  <c r="O233" i="4" s="1"/>
  <c r="S233" i="4" s="1"/>
  <c r="J233" i="4"/>
  <c r="N233" i="4" s="1"/>
  <c r="R233" i="4" s="1"/>
  <c r="I233" i="4"/>
  <c r="H233" i="4"/>
  <c r="L233" i="4" s="1"/>
  <c r="P233" i="4" s="1"/>
  <c r="K232" i="4"/>
  <c r="O232" i="4" s="1"/>
  <c r="S232" i="4" s="1"/>
  <c r="J232" i="4"/>
  <c r="N232" i="4" s="1"/>
  <c r="R232" i="4" s="1"/>
  <c r="I232" i="4"/>
  <c r="M232" i="4" s="1"/>
  <c r="Q232" i="4" s="1"/>
  <c r="H232" i="4"/>
  <c r="L232" i="4" s="1"/>
  <c r="P232" i="4" s="1"/>
  <c r="M231" i="4"/>
  <c r="Q231" i="4" s="1"/>
  <c r="K231" i="4"/>
  <c r="O231" i="4" s="1"/>
  <c r="S231" i="4" s="1"/>
  <c r="J231" i="4"/>
  <c r="N231" i="4" s="1"/>
  <c r="R231" i="4" s="1"/>
  <c r="I231" i="4"/>
  <c r="H231" i="4"/>
  <c r="L231" i="4" s="1"/>
  <c r="P231" i="4" s="1"/>
  <c r="K230" i="4"/>
  <c r="O230" i="4" s="1"/>
  <c r="S230" i="4" s="1"/>
  <c r="J230" i="4"/>
  <c r="N230" i="4" s="1"/>
  <c r="R230" i="4" s="1"/>
  <c r="I230" i="4"/>
  <c r="M230" i="4" s="1"/>
  <c r="Q230" i="4" s="1"/>
  <c r="H230" i="4"/>
  <c r="L230" i="4" s="1"/>
  <c r="P230" i="4" s="1"/>
  <c r="M229" i="4"/>
  <c r="Q229" i="4" s="1"/>
  <c r="K229" i="4"/>
  <c r="O229" i="4" s="1"/>
  <c r="S229" i="4" s="1"/>
  <c r="J229" i="4"/>
  <c r="N229" i="4" s="1"/>
  <c r="R229" i="4" s="1"/>
  <c r="I229" i="4"/>
  <c r="H229" i="4"/>
  <c r="L229" i="4" s="1"/>
  <c r="P229" i="4" s="1"/>
  <c r="L228" i="4"/>
  <c r="P228" i="4" s="1"/>
  <c r="K228" i="4"/>
  <c r="O228" i="4" s="1"/>
  <c r="S228" i="4" s="1"/>
  <c r="J228" i="4"/>
  <c r="N228" i="4" s="1"/>
  <c r="R228" i="4" s="1"/>
  <c r="I228" i="4"/>
  <c r="M228" i="4" s="1"/>
  <c r="Q228" i="4" s="1"/>
  <c r="H228" i="4"/>
  <c r="M227" i="4"/>
  <c r="Q227" i="4" s="1"/>
  <c r="K227" i="4"/>
  <c r="O227" i="4" s="1"/>
  <c r="S227" i="4" s="1"/>
  <c r="J227" i="4"/>
  <c r="N227" i="4" s="1"/>
  <c r="R227" i="4" s="1"/>
  <c r="I227" i="4"/>
  <c r="H227" i="4"/>
  <c r="L227" i="4" s="1"/>
  <c r="P227" i="4" s="1"/>
  <c r="L226" i="4"/>
  <c r="P226" i="4" s="1"/>
  <c r="K226" i="4"/>
  <c r="O226" i="4" s="1"/>
  <c r="S226" i="4" s="1"/>
  <c r="J226" i="4"/>
  <c r="N226" i="4" s="1"/>
  <c r="R226" i="4" s="1"/>
  <c r="I226" i="4"/>
  <c r="M226" i="4" s="1"/>
  <c r="Q226" i="4" s="1"/>
  <c r="H226" i="4"/>
  <c r="K225" i="4"/>
  <c r="O225" i="4" s="1"/>
  <c r="S225" i="4" s="1"/>
  <c r="J225" i="4"/>
  <c r="N225" i="4" s="1"/>
  <c r="R225" i="4" s="1"/>
  <c r="I225" i="4"/>
  <c r="M225" i="4" s="1"/>
  <c r="Q225" i="4" s="1"/>
  <c r="H225" i="4"/>
  <c r="L225" i="4" s="1"/>
  <c r="P225" i="4" s="1"/>
  <c r="K224" i="4"/>
  <c r="O224" i="4" s="1"/>
  <c r="S224" i="4" s="1"/>
  <c r="J224" i="4"/>
  <c r="N224" i="4" s="1"/>
  <c r="R224" i="4" s="1"/>
  <c r="I224" i="4"/>
  <c r="M224" i="4" s="1"/>
  <c r="Q224" i="4" s="1"/>
  <c r="H224" i="4"/>
  <c r="L224" i="4" s="1"/>
  <c r="P224" i="4" s="1"/>
  <c r="M223" i="4"/>
  <c r="Q223" i="4" s="1"/>
  <c r="K223" i="4"/>
  <c r="O223" i="4" s="1"/>
  <c r="S223" i="4" s="1"/>
  <c r="J223" i="4"/>
  <c r="N223" i="4" s="1"/>
  <c r="R223" i="4" s="1"/>
  <c r="I223" i="4"/>
  <c r="H223" i="4"/>
  <c r="L223" i="4" s="1"/>
  <c r="P223" i="4" s="1"/>
  <c r="K222" i="4"/>
  <c r="O222" i="4" s="1"/>
  <c r="S222" i="4" s="1"/>
  <c r="J222" i="4"/>
  <c r="N222" i="4" s="1"/>
  <c r="R222" i="4" s="1"/>
  <c r="I222" i="4"/>
  <c r="M222" i="4" s="1"/>
  <c r="Q222" i="4" s="1"/>
  <c r="H222" i="4"/>
  <c r="L222" i="4" s="1"/>
  <c r="P222" i="4" s="1"/>
  <c r="M221" i="4"/>
  <c r="Q221" i="4" s="1"/>
  <c r="K221" i="4"/>
  <c r="O221" i="4" s="1"/>
  <c r="S221" i="4" s="1"/>
  <c r="J221" i="4"/>
  <c r="N221" i="4" s="1"/>
  <c r="R221" i="4" s="1"/>
  <c r="I221" i="4"/>
  <c r="H221" i="4"/>
  <c r="L221" i="4" s="1"/>
  <c r="P221" i="4" s="1"/>
  <c r="P220" i="4"/>
  <c r="K220" i="4"/>
  <c r="O220" i="4" s="1"/>
  <c r="S220" i="4" s="1"/>
  <c r="J220" i="4"/>
  <c r="N220" i="4" s="1"/>
  <c r="R220" i="4" s="1"/>
  <c r="I220" i="4"/>
  <c r="M220" i="4" s="1"/>
  <c r="Q220" i="4" s="1"/>
  <c r="H220" i="4"/>
  <c r="L220" i="4" s="1"/>
  <c r="K219" i="4"/>
  <c r="O219" i="4" s="1"/>
  <c r="S219" i="4" s="1"/>
  <c r="J219" i="4"/>
  <c r="N219" i="4" s="1"/>
  <c r="R219" i="4" s="1"/>
  <c r="I219" i="4"/>
  <c r="M219" i="4" s="1"/>
  <c r="Q219" i="4" s="1"/>
  <c r="H219" i="4"/>
  <c r="L219" i="4" s="1"/>
  <c r="P219" i="4" s="1"/>
  <c r="P218" i="4"/>
  <c r="K218" i="4"/>
  <c r="O218" i="4" s="1"/>
  <c r="S218" i="4" s="1"/>
  <c r="J218" i="4"/>
  <c r="N218" i="4" s="1"/>
  <c r="R218" i="4" s="1"/>
  <c r="I218" i="4"/>
  <c r="M218" i="4" s="1"/>
  <c r="Q218" i="4" s="1"/>
  <c r="H218" i="4"/>
  <c r="L218" i="4" s="1"/>
  <c r="K217" i="4"/>
  <c r="O217" i="4" s="1"/>
  <c r="S217" i="4" s="1"/>
  <c r="J217" i="4"/>
  <c r="N217" i="4" s="1"/>
  <c r="R217" i="4" s="1"/>
  <c r="I217" i="4"/>
  <c r="M217" i="4" s="1"/>
  <c r="Q217" i="4" s="1"/>
  <c r="H217" i="4"/>
  <c r="L217" i="4" s="1"/>
  <c r="P217" i="4" s="1"/>
  <c r="P216" i="4"/>
  <c r="K216" i="4"/>
  <c r="O216" i="4" s="1"/>
  <c r="S216" i="4" s="1"/>
  <c r="J216" i="4"/>
  <c r="N216" i="4" s="1"/>
  <c r="R216" i="4" s="1"/>
  <c r="I216" i="4"/>
  <c r="M216" i="4" s="1"/>
  <c r="Q216" i="4" s="1"/>
  <c r="H216" i="4"/>
  <c r="L216" i="4" s="1"/>
  <c r="L215" i="4"/>
  <c r="P215" i="4" s="1"/>
  <c r="K215" i="4"/>
  <c r="O215" i="4" s="1"/>
  <c r="S215" i="4" s="1"/>
  <c r="J215" i="4"/>
  <c r="N215" i="4" s="1"/>
  <c r="R215" i="4" s="1"/>
  <c r="I215" i="4"/>
  <c r="M215" i="4" s="1"/>
  <c r="Q215" i="4" s="1"/>
  <c r="H215" i="4"/>
  <c r="K214" i="4"/>
  <c r="O214" i="4" s="1"/>
  <c r="S214" i="4" s="1"/>
  <c r="J214" i="4"/>
  <c r="N214" i="4" s="1"/>
  <c r="R214" i="4" s="1"/>
  <c r="I214" i="4"/>
  <c r="M214" i="4" s="1"/>
  <c r="Q214" i="4" s="1"/>
  <c r="H214" i="4"/>
  <c r="L214" i="4" s="1"/>
  <c r="P214" i="4" s="1"/>
  <c r="L213" i="4"/>
  <c r="P213" i="4" s="1"/>
  <c r="K213" i="4"/>
  <c r="O213" i="4" s="1"/>
  <c r="S213" i="4" s="1"/>
  <c r="J213" i="4"/>
  <c r="N213" i="4" s="1"/>
  <c r="R213" i="4" s="1"/>
  <c r="I213" i="4"/>
  <c r="M213" i="4" s="1"/>
  <c r="Q213" i="4" s="1"/>
  <c r="H213" i="4"/>
  <c r="K212" i="4"/>
  <c r="O212" i="4" s="1"/>
  <c r="S212" i="4" s="1"/>
  <c r="J212" i="4"/>
  <c r="N212" i="4" s="1"/>
  <c r="R212" i="4" s="1"/>
  <c r="I212" i="4"/>
  <c r="M212" i="4" s="1"/>
  <c r="Q212" i="4" s="1"/>
  <c r="H212" i="4"/>
  <c r="L212" i="4" s="1"/>
  <c r="P212" i="4" s="1"/>
  <c r="K211" i="4"/>
  <c r="O211" i="4" s="1"/>
  <c r="S211" i="4" s="1"/>
  <c r="J211" i="4"/>
  <c r="N211" i="4" s="1"/>
  <c r="R211" i="4" s="1"/>
  <c r="I211" i="4"/>
  <c r="M211" i="4" s="1"/>
  <c r="Q211" i="4" s="1"/>
  <c r="H211" i="4"/>
  <c r="L211" i="4" s="1"/>
  <c r="P211" i="4" s="1"/>
  <c r="P210" i="4"/>
  <c r="K210" i="4"/>
  <c r="O210" i="4" s="1"/>
  <c r="S210" i="4" s="1"/>
  <c r="J210" i="4"/>
  <c r="N210" i="4" s="1"/>
  <c r="R210" i="4" s="1"/>
  <c r="I210" i="4"/>
  <c r="M210" i="4" s="1"/>
  <c r="Q210" i="4" s="1"/>
  <c r="H210" i="4"/>
  <c r="L210" i="4" s="1"/>
  <c r="K209" i="4"/>
  <c r="O209" i="4" s="1"/>
  <c r="S209" i="4" s="1"/>
  <c r="J209" i="4"/>
  <c r="N209" i="4" s="1"/>
  <c r="R209" i="4" s="1"/>
  <c r="I209" i="4"/>
  <c r="M209" i="4" s="1"/>
  <c r="Q209" i="4" s="1"/>
  <c r="H209" i="4"/>
  <c r="L209" i="4" s="1"/>
  <c r="P209" i="4" s="1"/>
  <c r="P208" i="4"/>
  <c r="K208" i="4"/>
  <c r="O208" i="4" s="1"/>
  <c r="S208" i="4" s="1"/>
  <c r="J208" i="4"/>
  <c r="N208" i="4" s="1"/>
  <c r="R208" i="4" s="1"/>
  <c r="I208" i="4"/>
  <c r="M208" i="4" s="1"/>
  <c r="Q208" i="4" s="1"/>
  <c r="H208" i="4"/>
  <c r="L208" i="4" s="1"/>
  <c r="L207" i="4"/>
  <c r="P207" i="4" s="1"/>
  <c r="K207" i="4"/>
  <c r="O207" i="4" s="1"/>
  <c r="S207" i="4" s="1"/>
  <c r="J207" i="4"/>
  <c r="N207" i="4" s="1"/>
  <c r="R207" i="4" s="1"/>
  <c r="I207" i="4"/>
  <c r="M207" i="4" s="1"/>
  <c r="Q207" i="4" s="1"/>
  <c r="H207" i="4"/>
  <c r="K206" i="4"/>
  <c r="O206" i="4" s="1"/>
  <c r="S206" i="4" s="1"/>
  <c r="J206" i="4"/>
  <c r="N206" i="4" s="1"/>
  <c r="R206" i="4" s="1"/>
  <c r="I206" i="4"/>
  <c r="M206" i="4" s="1"/>
  <c r="Q206" i="4" s="1"/>
  <c r="H206" i="4"/>
  <c r="L206" i="4" s="1"/>
  <c r="P206" i="4" s="1"/>
  <c r="L205" i="4"/>
  <c r="P205" i="4" s="1"/>
  <c r="K205" i="4"/>
  <c r="O205" i="4" s="1"/>
  <c r="S205" i="4" s="1"/>
  <c r="J205" i="4"/>
  <c r="N205" i="4" s="1"/>
  <c r="R205" i="4" s="1"/>
  <c r="I205" i="4"/>
  <c r="M205" i="4" s="1"/>
  <c r="Q205" i="4" s="1"/>
  <c r="H205" i="4"/>
  <c r="K204" i="4"/>
  <c r="O204" i="4" s="1"/>
  <c r="S204" i="4" s="1"/>
  <c r="J204" i="4"/>
  <c r="N204" i="4" s="1"/>
  <c r="R204" i="4" s="1"/>
  <c r="I204" i="4"/>
  <c r="M204" i="4" s="1"/>
  <c r="Q204" i="4" s="1"/>
  <c r="H204" i="4"/>
  <c r="L204" i="4" s="1"/>
  <c r="P204" i="4" s="1"/>
  <c r="K203" i="4"/>
  <c r="O203" i="4" s="1"/>
  <c r="S203" i="4" s="1"/>
  <c r="J203" i="4"/>
  <c r="N203" i="4" s="1"/>
  <c r="R203" i="4" s="1"/>
  <c r="I203" i="4"/>
  <c r="M203" i="4" s="1"/>
  <c r="Q203" i="4" s="1"/>
  <c r="H203" i="4"/>
  <c r="L203" i="4" s="1"/>
  <c r="P203" i="4" s="1"/>
  <c r="P202" i="4"/>
  <c r="K202" i="4"/>
  <c r="O202" i="4" s="1"/>
  <c r="S202" i="4" s="1"/>
  <c r="J202" i="4"/>
  <c r="N202" i="4" s="1"/>
  <c r="R202" i="4" s="1"/>
  <c r="I202" i="4"/>
  <c r="M202" i="4" s="1"/>
  <c r="Q202" i="4" s="1"/>
  <c r="H202" i="4"/>
  <c r="L202" i="4" s="1"/>
  <c r="K201" i="4"/>
  <c r="O201" i="4" s="1"/>
  <c r="S201" i="4" s="1"/>
  <c r="J201" i="4"/>
  <c r="N201" i="4" s="1"/>
  <c r="R201" i="4" s="1"/>
  <c r="I201" i="4"/>
  <c r="M201" i="4" s="1"/>
  <c r="Q201" i="4" s="1"/>
  <c r="H201" i="4"/>
  <c r="L201" i="4" s="1"/>
  <c r="P201" i="4" s="1"/>
  <c r="P200" i="4"/>
  <c r="K200" i="4"/>
  <c r="O200" i="4" s="1"/>
  <c r="S200" i="4" s="1"/>
  <c r="J200" i="4"/>
  <c r="N200" i="4" s="1"/>
  <c r="R200" i="4" s="1"/>
  <c r="I200" i="4"/>
  <c r="M200" i="4" s="1"/>
  <c r="Q200" i="4" s="1"/>
  <c r="H200" i="4"/>
  <c r="L200" i="4" s="1"/>
  <c r="L199" i="4"/>
  <c r="P199" i="4" s="1"/>
  <c r="K199" i="4"/>
  <c r="O199" i="4" s="1"/>
  <c r="S199" i="4" s="1"/>
  <c r="J199" i="4"/>
  <c r="N199" i="4" s="1"/>
  <c r="R199" i="4" s="1"/>
  <c r="I199" i="4"/>
  <c r="M199" i="4" s="1"/>
  <c r="Q199" i="4" s="1"/>
  <c r="H199" i="4"/>
  <c r="K198" i="4"/>
  <c r="O198" i="4" s="1"/>
  <c r="S198" i="4" s="1"/>
  <c r="J198" i="4"/>
  <c r="N198" i="4" s="1"/>
  <c r="R198" i="4" s="1"/>
  <c r="I198" i="4"/>
  <c r="M198" i="4" s="1"/>
  <c r="Q198" i="4" s="1"/>
  <c r="H198" i="4"/>
  <c r="L198" i="4" s="1"/>
  <c r="P198" i="4" s="1"/>
  <c r="L197" i="4"/>
  <c r="P197" i="4" s="1"/>
  <c r="K197" i="4"/>
  <c r="O197" i="4" s="1"/>
  <c r="S197" i="4" s="1"/>
  <c r="J197" i="4"/>
  <c r="N197" i="4" s="1"/>
  <c r="R197" i="4" s="1"/>
  <c r="I197" i="4"/>
  <c r="M197" i="4" s="1"/>
  <c r="Q197" i="4" s="1"/>
  <c r="H197" i="4"/>
  <c r="K196" i="4"/>
  <c r="O196" i="4" s="1"/>
  <c r="S196" i="4" s="1"/>
  <c r="J196" i="4"/>
  <c r="N196" i="4" s="1"/>
  <c r="R196" i="4" s="1"/>
  <c r="I196" i="4"/>
  <c r="M196" i="4" s="1"/>
  <c r="Q196" i="4" s="1"/>
  <c r="H196" i="4"/>
  <c r="L196" i="4" s="1"/>
  <c r="P196" i="4" s="1"/>
  <c r="K195" i="4"/>
  <c r="O195" i="4" s="1"/>
  <c r="S195" i="4" s="1"/>
  <c r="J195" i="4"/>
  <c r="N195" i="4" s="1"/>
  <c r="R195" i="4" s="1"/>
  <c r="I195" i="4"/>
  <c r="M195" i="4" s="1"/>
  <c r="Q195" i="4" s="1"/>
  <c r="H195" i="4"/>
  <c r="L195" i="4" s="1"/>
  <c r="P195" i="4" s="1"/>
  <c r="P194" i="4"/>
  <c r="K194" i="4"/>
  <c r="O194" i="4" s="1"/>
  <c r="S194" i="4" s="1"/>
  <c r="J194" i="4"/>
  <c r="N194" i="4" s="1"/>
  <c r="R194" i="4" s="1"/>
  <c r="I194" i="4"/>
  <c r="M194" i="4" s="1"/>
  <c r="Q194" i="4" s="1"/>
  <c r="H194" i="4"/>
  <c r="L194" i="4" s="1"/>
  <c r="K193" i="4"/>
  <c r="O193" i="4" s="1"/>
  <c r="S193" i="4" s="1"/>
  <c r="J193" i="4"/>
  <c r="N193" i="4" s="1"/>
  <c r="R193" i="4" s="1"/>
  <c r="I193" i="4"/>
  <c r="M193" i="4" s="1"/>
  <c r="Q193" i="4" s="1"/>
  <c r="H193" i="4"/>
  <c r="L193" i="4" s="1"/>
  <c r="P193" i="4" s="1"/>
  <c r="P192" i="4"/>
  <c r="K192" i="4"/>
  <c r="O192" i="4" s="1"/>
  <c r="S192" i="4" s="1"/>
  <c r="J192" i="4"/>
  <c r="N192" i="4" s="1"/>
  <c r="R192" i="4" s="1"/>
  <c r="I192" i="4"/>
  <c r="M192" i="4" s="1"/>
  <c r="Q192" i="4" s="1"/>
  <c r="H192" i="4"/>
  <c r="L192" i="4" s="1"/>
  <c r="L191" i="4"/>
  <c r="P191" i="4" s="1"/>
  <c r="K191" i="4"/>
  <c r="O191" i="4" s="1"/>
  <c r="S191" i="4" s="1"/>
  <c r="J191" i="4"/>
  <c r="N191" i="4" s="1"/>
  <c r="R191" i="4" s="1"/>
  <c r="I191" i="4"/>
  <c r="M191" i="4" s="1"/>
  <c r="Q191" i="4" s="1"/>
  <c r="H191" i="4"/>
  <c r="K190" i="4"/>
  <c r="O190" i="4" s="1"/>
  <c r="S190" i="4" s="1"/>
  <c r="J190" i="4"/>
  <c r="N190" i="4" s="1"/>
  <c r="R190" i="4" s="1"/>
  <c r="I190" i="4"/>
  <c r="M190" i="4" s="1"/>
  <c r="Q190" i="4" s="1"/>
  <c r="H190" i="4"/>
  <c r="L190" i="4" s="1"/>
  <c r="P190" i="4" s="1"/>
  <c r="L189" i="4"/>
  <c r="P189" i="4" s="1"/>
  <c r="K189" i="4"/>
  <c r="O189" i="4" s="1"/>
  <c r="S189" i="4" s="1"/>
  <c r="J189" i="4"/>
  <c r="N189" i="4" s="1"/>
  <c r="R189" i="4" s="1"/>
  <c r="I189" i="4"/>
  <c r="M189" i="4" s="1"/>
  <c r="Q189" i="4" s="1"/>
  <c r="H189" i="4"/>
  <c r="K188" i="4"/>
  <c r="O188" i="4" s="1"/>
  <c r="S188" i="4" s="1"/>
  <c r="J188" i="4"/>
  <c r="N188" i="4" s="1"/>
  <c r="R188" i="4" s="1"/>
  <c r="I188" i="4"/>
  <c r="M188" i="4" s="1"/>
  <c r="Q188" i="4" s="1"/>
  <c r="H188" i="4"/>
  <c r="L188" i="4" s="1"/>
  <c r="P188" i="4" s="1"/>
  <c r="K187" i="4"/>
  <c r="O187" i="4" s="1"/>
  <c r="S187" i="4" s="1"/>
  <c r="J187" i="4"/>
  <c r="N187" i="4" s="1"/>
  <c r="R187" i="4" s="1"/>
  <c r="I187" i="4"/>
  <c r="M187" i="4" s="1"/>
  <c r="Q187" i="4" s="1"/>
  <c r="H187" i="4"/>
  <c r="L187" i="4" s="1"/>
  <c r="P187" i="4" s="1"/>
  <c r="P186" i="4"/>
  <c r="K186" i="4"/>
  <c r="O186" i="4" s="1"/>
  <c r="S186" i="4" s="1"/>
  <c r="J186" i="4"/>
  <c r="N186" i="4" s="1"/>
  <c r="R186" i="4" s="1"/>
  <c r="I186" i="4"/>
  <c r="M186" i="4" s="1"/>
  <c r="Q186" i="4" s="1"/>
  <c r="H186" i="4"/>
  <c r="L186" i="4" s="1"/>
  <c r="K185" i="4"/>
  <c r="O185" i="4" s="1"/>
  <c r="S185" i="4" s="1"/>
  <c r="J185" i="4"/>
  <c r="N185" i="4" s="1"/>
  <c r="R185" i="4" s="1"/>
  <c r="I185" i="4"/>
  <c r="M185" i="4" s="1"/>
  <c r="Q185" i="4" s="1"/>
  <c r="H185" i="4"/>
  <c r="L185" i="4" s="1"/>
  <c r="P185" i="4" s="1"/>
  <c r="P184" i="4"/>
  <c r="K184" i="4"/>
  <c r="O184" i="4" s="1"/>
  <c r="S184" i="4" s="1"/>
  <c r="J184" i="4"/>
  <c r="N184" i="4" s="1"/>
  <c r="R184" i="4" s="1"/>
  <c r="I184" i="4"/>
  <c r="M184" i="4" s="1"/>
  <c r="Q184" i="4" s="1"/>
  <c r="H184" i="4"/>
  <c r="L184" i="4" s="1"/>
  <c r="L183" i="4"/>
  <c r="P183" i="4" s="1"/>
  <c r="K183" i="4"/>
  <c r="O183" i="4" s="1"/>
  <c r="S183" i="4" s="1"/>
  <c r="J183" i="4"/>
  <c r="N183" i="4" s="1"/>
  <c r="R183" i="4" s="1"/>
  <c r="I183" i="4"/>
  <c r="M183" i="4" s="1"/>
  <c r="Q183" i="4" s="1"/>
  <c r="H183" i="4"/>
  <c r="K182" i="4"/>
  <c r="O182" i="4" s="1"/>
  <c r="S182" i="4" s="1"/>
  <c r="J182" i="4"/>
  <c r="N182" i="4" s="1"/>
  <c r="R182" i="4" s="1"/>
  <c r="I182" i="4"/>
  <c r="M182" i="4" s="1"/>
  <c r="Q182" i="4" s="1"/>
  <c r="H182" i="4"/>
  <c r="L182" i="4" s="1"/>
  <c r="P182" i="4" s="1"/>
  <c r="L181" i="4"/>
  <c r="P181" i="4" s="1"/>
  <c r="K181" i="4"/>
  <c r="O181" i="4" s="1"/>
  <c r="S181" i="4" s="1"/>
  <c r="J181" i="4"/>
  <c r="N181" i="4" s="1"/>
  <c r="R181" i="4" s="1"/>
  <c r="I181" i="4"/>
  <c r="M181" i="4" s="1"/>
  <c r="Q181" i="4" s="1"/>
  <c r="H181" i="4"/>
  <c r="K180" i="4"/>
  <c r="O180" i="4" s="1"/>
  <c r="S180" i="4" s="1"/>
  <c r="J180" i="4"/>
  <c r="N180" i="4" s="1"/>
  <c r="R180" i="4" s="1"/>
  <c r="I180" i="4"/>
  <c r="M180" i="4" s="1"/>
  <c r="Q180" i="4" s="1"/>
  <c r="H180" i="4"/>
  <c r="L180" i="4" s="1"/>
  <c r="P180" i="4" s="1"/>
  <c r="K179" i="4"/>
  <c r="O179" i="4" s="1"/>
  <c r="S179" i="4" s="1"/>
  <c r="J179" i="4"/>
  <c r="N179" i="4" s="1"/>
  <c r="R179" i="4" s="1"/>
  <c r="I179" i="4"/>
  <c r="M179" i="4" s="1"/>
  <c r="Q179" i="4" s="1"/>
  <c r="H179" i="4"/>
  <c r="L179" i="4" s="1"/>
  <c r="P179" i="4" s="1"/>
  <c r="P178" i="4"/>
  <c r="K178" i="4"/>
  <c r="O178" i="4" s="1"/>
  <c r="S178" i="4" s="1"/>
  <c r="J178" i="4"/>
  <c r="N178" i="4" s="1"/>
  <c r="R178" i="4" s="1"/>
  <c r="I178" i="4"/>
  <c r="M178" i="4" s="1"/>
  <c r="Q178" i="4" s="1"/>
  <c r="H178" i="4"/>
  <c r="L178" i="4" s="1"/>
  <c r="K177" i="4"/>
  <c r="O177" i="4" s="1"/>
  <c r="S177" i="4" s="1"/>
  <c r="J177" i="4"/>
  <c r="N177" i="4" s="1"/>
  <c r="R177" i="4" s="1"/>
  <c r="I177" i="4"/>
  <c r="M177" i="4" s="1"/>
  <c r="Q177" i="4" s="1"/>
  <c r="H177" i="4"/>
  <c r="L177" i="4" s="1"/>
  <c r="P177" i="4" s="1"/>
  <c r="P176" i="4"/>
  <c r="K176" i="4"/>
  <c r="O176" i="4" s="1"/>
  <c r="S176" i="4" s="1"/>
  <c r="J176" i="4"/>
  <c r="N176" i="4" s="1"/>
  <c r="R176" i="4" s="1"/>
  <c r="I176" i="4"/>
  <c r="M176" i="4" s="1"/>
  <c r="Q176" i="4" s="1"/>
  <c r="H176" i="4"/>
  <c r="L176" i="4" s="1"/>
  <c r="L175" i="4"/>
  <c r="P175" i="4" s="1"/>
  <c r="K175" i="4"/>
  <c r="O175" i="4" s="1"/>
  <c r="S175" i="4" s="1"/>
  <c r="J175" i="4"/>
  <c r="N175" i="4" s="1"/>
  <c r="R175" i="4" s="1"/>
  <c r="I175" i="4"/>
  <c r="M175" i="4" s="1"/>
  <c r="Q175" i="4" s="1"/>
  <c r="H175" i="4"/>
  <c r="K174" i="4"/>
  <c r="O174" i="4" s="1"/>
  <c r="S174" i="4" s="1"/>
  <c r="J174" i="4"/>
  <c r="N174" i="4" s="1"/>
  <c r="R174" i="4" s="1"/>
  <c r="I174" i="4"/>
  <c r="M174" i="4" s="1"/>
  <c r="Q174" i="4" s="1"/>
  <c r="H174" i="4"/>
  <c r="L174" i="4" s="1"/>
  <c r="P174" i="4" s="1"/>
  <c r="L173" i="4"/>
  <c r="P173" i="4" s="1"/>
  <c r="K173" i="4"/>
  <c r="O173" i="4" s="1"/>
  <c r="S173" i="4" s="1"/>
  <c r="J173" i="4"/>
  <c r="N173" i="4" s="1"/>
  <c r="R173" i="4" s="1"/>
  <c r="I173" i="4"/>
  <c r="M173" i="4" s="1"/>
  <c r="Q173" i="4" s="1"/>
  <c r="H173" i="4"/>
  <c r="P172" i="4"/>
  <c r="K172" i="4"/>
  <c r="O172" i="4" s="1"/>
  <c r="S172" i="4" s="1"/>
  <c r="J172" i="4"/>
  <c r="N172" i="4" s="1"/>
  <c r="R172" i="4" s="1"/>
  <c r="I172" i="4"/>
  <c r="M172" i="4" s="1"/>
  <c r="Q172" i="4" s="1"/>
  <c r="H172" i="4"/>
  <c r="L172" i="4" s="1"/>
  <c r="P171" i="4"/>
  <c r="N171" i="4"/>
  <c r="R171" i="4" s="1"/>
  <c r="M171" i="4"/>
  <c r="Q171" i="4" s="1"/>
  <c r="K171" i="4"/>
  <c r="O171" i="4" s="1"/>
  <c r="S171" i="4" s="1"/>
  <c r="J171" i="4"/>
  <c r="I171" i="4"/>
  <c r="H171" i="4"/>
  <c r="L171" i="4" s="1"/>
  <c r="K170" i="4"/>
  <c r="O170" i="4" s="1"/>
  <c r="S170" i="4" s="1"/>
  <c r="J170" i="4"/>
  <c r="N170" i="4" s="1"/>
  <c r="R170" i="4" s="1"/>
  <c r="I170" i="4"/>
  <c r="M170" i="4" s="1"/>
  <c r="Q170" i="4" s="1"/>
  <c r="H170" i="4"/>
  <c r="L170" i="4" s="1"/>
  <c r="P170" i="4" s="1"/>
  <c r="N169" i="4"/>
  <c r="R169" i="4" s="1"/>
  <c r="K169" i="4"/>
  <c r="O169" i="4" s="1"/>
  <c r="S169" i="4" s="1"/>
  <c r="J169" i="4"/>
  <c r="I169" i="4"/>
  <c r="M169" i="4" s="1"/>
  <c r="Q169" i="4" s="1"/>
  <c r="H169" i="4"/>
  <c r="L169" i="4" s="1"/>
  <c r="P169" i="4" s="1"/>
  <c r="K168" i="4"/>
  <c r="O168" i="4" s="1"/>
  <c r="S168" i="4" s="1"/>
  <c r="J168" i="4"/>
  <c r="N168" i="4" s="1"/>
  <c r="R168" i="4" s="1"/>
  <c r="I168" i="4"/>
  <c r="M168" i="4" s="1"/>
  <c r="Q168" i="4" s="1"/>
  <c r="H168" i="4"/>
  <c r="L168" i="4" s="1"/>
  <c r="P168" i="4" s="1"/>
  <c r="O167" i="4"/>
  <c r="S167" i="4" s="1"/>
  <c r="K167" i="4"/>
  <c r="J167" i="4"/>
  <c r="N167" i="4" s="1"/>
  <c r="R167" i="4" s="1"/>
  <c r="I167" i="4"/>
  <c r="M167" i="4" s="1"/>
  <c r="Q167" i="4" s="1"/>
  <c r="H167" i="4"/>
  <c r="L167" i="4" s="1"/>
  <c r="P167" i="4" s="1"/>
  <c r="L166" i="4"/>
  <c r="P166" i="4" s="1"/>
  <c r="K166" i="4"/>
  <c r="O166" i="4" s="1"/>
  <c r="S166" i="4" s="1"/>
  <c r="J166" i="4"/>
  <c r="N166" i="4" s="1"/>
  <c r="R166" i="4" s="1"/>
  <c r="I166" i="4"/>
  <c r="M166" i="4" s="1"/>
  <c r="Q166" i="4" s="1"/>
  <c r="H166" i="4"/>
  <c r="M165" i="4"/>
  <c r="Q165" i="4" s="1"/>
  <c r="L165" i="4"/>
  <c r="P165" i="4" s="1"/>
  <c r="K165" i="4"/>
  <c r="O165" i="4" s="1"/>
  <c r="S165" i="4" s="1"/>
  <c r="J165" i="4"/>
  <c r="N165" i="4" s="1"/>
  <c r="R165" i="4" s="1"/>
  <c r="I165" i="4"/>
  <c r="H165" i="4"/>
  <c r="Q164" i="4"/>
  <c r="K164" i="4"/>
  <c r="O164" i="4" s="1"/>
  <c r="S164" i="4" s="1"/>
  <c r="J164" i="4"/>
  <c r="N164" i="4" s="1"/>
  <c r="R164" i="4" s="1"/>
  <c r="I164" i="4"/>
  <c r="M164" i="4" s="1"/>
  <c r="H164" i="4"/>
  <c r="L164" i="4" s="1"/>
  <c r="P164" i="4" s="1"/>
  <c r="P163" i="4"/>
  <c r="N163" i="4"/>
  <c r="R163" i="4" s="1"/>
  <c r="M163" i="4"/>
  <c r="Q163" i="4" s="1"/>
  <c r="K163" i="4"/>
  <c r="O163" i="4" s="1"/>
  <c r="S163" i="4" s="1"/>
  <c r="J163" i="4"/>
  <c r="I163" i="4"/>
  <c r="H163" i="4"/>
  <c r="L163" i="4" s="1"/>
  <c r="K162" i="4"/>
  <c r="O162" i="4" s="1"/>
  <c r="S162" i="4" s="1"/>
  <c r="J162" i="4"/>
  <c r="N162" i="4" s="1"/>
  <c r="R162" i="4" s="1"/>
  <c r="I162" i="4"/>
  <c r="M162" i="4" s="1"/>
  <c r="Q162" i="4" s="1"/>
  <c r="H162" i="4"/>
  <c r="L162" i="4" s="1"/>
  <c r="P162" i="4" s="1"/>
  <c r="N161" i="4"/>
  <c r="R161" i="4" s="1"/>
  <c r="K161" i="4"/>
  <c r="O161" i="4" s="1"/>
  <c r="S161" i="4" s="1"/>
  <c r="J161" i="4"/>
  <c r="I161" i="4"/>
  <c r="M161" i="4" s="1"/>
  <c r="Q161" i="4" s="1"/>
  <c r="H161" i="4"/>
  <c r="L161" i="4" s="1"/>
  <c r="P161" i="4" s="1"/>
  <c r="R160" i="4"/>
  <c r="Q160" i="4"/>
  <c r="O160" i="4"/>
  <c r="S160" i="4" s="1"/>
  <c r="K160" i="4"/>
  <c r="J160" i="4"/>
  <c r="N160" i="4" s="1"/>
  <c r="I160" i="4"/>
  <c r="M160" i="4" s="1"/>
  <c r="H160" i="4"/>
  <c r="L160" i="4" s="1"/>
  <c r="P160" i="4" s="1"/>
  <c r="S159" i="4"/>
  <c r="O159" i="4"/>
  <c r="N159" i="4"/>
  <c r="R159" i="4" s="1"/>
  <c r="M159" i="4"/>
  <c r="Q159" i="4" s="1"/>
  <c r="K159" i="4"/>
  <c r="J159" i="4"/>
  <c r="I159" i="4"/>
  <c r="H159" i="4"/>
  <c r="L159" i="4" s="1"/>
  <c r="P159" i="4" s="1"/>
  <c r="S158" i="4"/>
  <c r="L158" i="4"/>
  <c r="P158" i="4" s="1"/>
  <c r="K158" i="4"/>
  <c r="O158" i="4" s="1"/>
  <c r="J158" i="4"/>
  <c r="N158" i="4" s="1"/>
  <c r="R158" i="4" s="1"/>
  <c r="I158" i="4"/>
  <c r="M158" i="4" s="1"/>
  <c r="Q158" i="4" s="1"/>
  <c r="H158" i="4"/>
  <c r="L157" i="4"/>
  <c r="P157" i="4" s="1"/>
  <c r="K157" i="4"/>
  <c r="O157" i="4" s="1"/>
  <c r="S157" i="4" s="1"/>
  <c r="J157" i="4"/>
  <c r="N157" i="4" s="1"/>
  <c r="R157" i="4" s="1"/>
  <c r="I157" i="4"/>
  <c r="M157" i="4" s="1"/>
  <c r="Q157" i="4" s="1"/>
  <c r="H157" i="4"/>
  <c r="P156" i="4"/>
  <c r="K156" i="4"/>
  <c r="O156" i="4" s="1"/>
  <c r="S156" i="4" s="1"/>
  <c r="J156" i="4"/>
  <c r="N156" i="4" s="1"/>
  <c r="R156" i="4" s="1"/>
  <c r="I156" i="4"/>
  <c r="M156" i="4" s="1"/>
  <c r="Q156" i="4" s="1"/>
  <c r="H156" i="4"/>
  <c r="L156" i="4" s="1"/>
  <c r="P155" i="4"/>
  <c r="N155" i="4"/>
  <c r="R155" i="4" s="1"/>
  <c r="K155" i="4"/>
  <c r="O155" i="4" s="1"/>
  <c r="S155" i="4" s="1"/>
  <c r="J155" i="4"/>
  <c r="I155" i="4"/>
  <c r="M155" i="4" s="1"/>
  <c r="Q155" i="4" s="1"/>
  <c r="H155" i="4"/>
  <c r="L155" i="4" s="1"/>
  <c r="K154" i="4"/>
  <c r="O154" i="4" s="1"/>
  <c r="S154" i="4" s="1"/>
  <c r="J154" i="4"/>
  <c r="N154" i="4" s="1"/>
  <c r="R154" i="4" s="1"/>
  <c r="I154" i="4"/>
  <c r="M154" i="4" s="1"/>
  <c r="Q154" i="4" s="1"/>
  <c r="H154" i="4"/>
  <c r="L154" i="4" s="1"/>
  <c r="P154" i="4" s="1"/>
  <c r="K153" i="4"/>
  <c r="O153" i="4" s="1"/>
  <c r="S153" i="4" s="1"/>
  <c r="J153" i="4"/>
  <c r="N153" i="4" s="1"/>
  <c r="R153" i="4" s="1"/>
  <c r="I153" i="4"/>
  <c r="M153" i="4" s="1"/>
  <c r="Q153" i="4" s="1"/>
  <c r="H153" i="4"/>
  <c r="L153" i="4" s="1"/>
  <c r="P153" i="4" s="1"/>
  <c r="Q152" i="4"/>
  <c r="K152" i="4"/>
  <c r="O152" i="4" s="1"/>
  <c r="S152" i="4" s="1"/>
  <c r="J152" i="4"/>
  <c r="N152" i="4" s="1"/>
  <c r="R152" i="4" s="1"/>
  <c r="I152" i="4"/>
  <c r="M152" i="4" s="1"/>
  <c r="H152" i="4"/>
  <c r="L152" i="4" s="1"/>
  <c r="P152" i="4" s="1"/>
  <c r="O151" i="4"/>
  <c r="S151" i="4" s="1"/>
  <c r="K151" i="4"/>
  <c r="J151" i="4"/>
  <c r="N151" i="4" s="1"/>
  <c r="R151" i="4" s="1"/>
  <c r="I151" i="4"/>
  <c r="M151" i="4" s="1"/>
  <c r="Q151" i="4" s="1"/>
  <c r="H151" i="4"/>
  <c r="L151" i="4" s="1"/>
  <c r="P151" i="4" s="1"/>
  <c r="L150" i="4"/>
  <c r="P150" i="4" s="1"/>
  <c r="K150" i="4"/>
  <c r="O150" i="4" s="1"/>
  <c r="S150" i="4" s="1"/>
  <c r="J150" i="4"/>
  <c r="N150" i="4" s="1"/>
  <c r="R150" i="4" s="1"/>
  <c r="I150" i="4"/>
  <c r="M150" i="4" s="1"/>
  <c r="Q150" i="4" s="1"/>
  <c r="H150" i="4"/>
  <c r="N149" i="4"/>
  <c r="R149" i="4" s="1"/>
  <c r="M149" i="4"/>
  <c r="Q149" i="4" s="1"/>
  <c r="L149" i="4"/>
  <c r="P149" i="4" s="1"/>
  <c r="K149" i="4"/>
  <c r="O149" i="4" s="1"/>
  <c r="S149" i="4" s="1"/>
  <c r="J149" i="4"/>
  <c r="I149" i="4"/>
  <c r="H149" i="4"/>
  <c r="Q148" i="4"/>
  <c r="K148" i="4"/>
  <c r="O148" i="4" s="1"/>
  <c r="S148" i="4" s="1"/>
  <c r="J148" i="4"/>
  <c r="N148" i="4" s="1"/>
  <c r="R148" i="4" s="1"/>
  <c r="I148" i="4"/>
  <c r="M148" i="4" s="1"/>
  <c r="H148" i="4"/>
  <c r="L148" i="4" s="1"/>
  <c r="P148" i="4" s="1"/>
  <c r="P147" i="4"/>
  <c r="N147" i="4"/>
  <c r="R147" i="4" s="1"/>
  <c r="M147" i="4"/>
  <c r="Q147" i="4" s="1"/>
  <c r="K147" i="4"/>
  <c r="O147" i="4" s="1"/>
  <c r="S147" i="4" s="1"/>
  <c r="J147" i="4"/>
  <c r="I147" i="4"/>
  <c r="H147" i="4"/>
  <c r="L147" i="4" s="1"/>
  <c r="K146" i="4"/>
  <c r="O146" i="4" s="1"/>
  <c r="S146" i="4" s="1"/>
  <c r="J146" i="4"/>
  <c r="N146" i="4" s="1"/>
  <c r="R146" i="4" s="1"/>
  <c r="I146" i="4"/>
  <c r="M146" i="4" s="1"/>
  <c r="Q146" i="4" s="1"/>
  <c r="H146" i="4"/>
  <c r="L146" i="4" s="1"/>
  <c r="P146" i="4" s="1"/>
  <c r="N145" i="4"/>
  <c r="R145" i="4" s="1"/>
  <c r="M145" i="4"/>
  <c r="Q145" i="4" s="1"/>
  <c r="K145" i="4"/>
  <c r="O145" i="4" s="1"/>
  <c r="S145" i="4" s="1"/>
  <c r="J145" i="4"/>
  <c r="I145" i="4"/>
  <c r="H145" i="4"/>
  <c r="L145" i="4" s="1"/>
  <c r="P145" i="4" s="1"/>
  <c r="R144" i="4"/>
  <c r="Q144" i="4"/>
  <c r="O144" i="4"/>
  <c r="S144" i="4" s="1"/>
  <c r="K144" i="4"/>
  <c r="J144" i="4"/>
  <c r="N144" i="4" s="1"/>
  <c r="I144" i="4"/>
  <c r="M144" i="4" s="1"/>
  <c r="H144" i="4"/>
  <c r="L144" i="4" s="1"/>
  <c r="P144" i="4" s="1"/>
  <c r="O143" i="4"/>
  <c r="S143" i="4" s="1"/>
  <c r="N143" i="4"/>
  <c r="R143" i="4" s="1"/>
  <c r="M143" i="4"/>
  <c r="Q143" i="4" s="1"/>
  <c r="K143" i="4"/>
  <c r="J143" i="4"/>
  <c r="I143" i="4"/>
  <c r="H143" i="4"/>
  <c r="L143" i="4" s="1"/>
  <c r="P143" i="4" s="1"/>
  <c r="S142" i="4"/>
  <c r="L142" i="4"/>
  <c r="P142" i="4" s="1"/>
  <c r="K142" i="4"/>
  <c r="O142" i="4" s="1"/>
  <c r="J142" i="4"/>
  <c r="N142" i="4" s="1"/>
  <c r="R142" i="4" s="1"/>
  <c r="I142" i="4"/>
  <c r="M142" i="4" s="1"/>
  <c r="Q142" i="4" s="1"/>
  <c r="H142" i="4"/>
  <c r="L141" i="4"/>
  <c r="P141" i="4" s="1"/>
  <c r="K141" i="4"/>
  <c r="O141" i="4" s="1"/>
  <c r="S141" i="4" s="1"/>
  <c r="J141" i="4"/>
  <c r="N141" i="4" s="1"/>
  <c r="R141" i="4" s="1"/>
  <c r="I141" i="4"/>
  <c r="M141" i="4" s="1"/>
  <c r="Q141" i="4" s="1"/>
  <c r="H141" i="4"/>
  <c r="P140" i="4"/>
  <c r="K140" i="4"/>
  <c r="O140" i="4" s="1"/>
  <c r="S140" i="4" s="1"/>
  <c r="J140" i="4"/>
  <c r="N140" i="4" s="1"/>
  <c r="R140" i="4" s="1"/>
  <c r="I140" i="4"/>
  <c r="M140" i="4" s="1"/>
  <c r="Q140" i="4" s="1"/>
  <c r="H140" i="4"/>
  <c r="L140" i="4" s="1"/>
  <c r="N139" i="4"/>
  <c r="R139" i="4" s="1"/>
  <c r="M139" i="4"/>
  <c r="Q139" i="4" s="1"/>
  <c r="K139" i="4"/>
  <c r="O139" i="4" s="1"/>
  <c r="S139" i="4" s="1"/>
  <c r="J139" i="4"/>
  <c r="I139" i="4"/>
  <c r="H139" i="4"/>
  <c r="L139" i="4" s="1"/>
  <c r="P139" i="4" s="1"/>
  <c r="K138" i="4"/>
  <c r="O138" i="4" s="1"/>
  <c r="S138" i="4" s="1"/>
  <c r="J138" i="4"/>
  <c r="N138" i="4" s="1"/>
  <c r="R138" i="4" s="1"/>
  <c r="I138" i="4"/>
  <c r="M138" i="4" s="1"/>
  <c r="Q138" i="4" s="1"/>
  <c r="H138" i="4"/>
  <c r="L138" i="4" s="1"/>
  <c r="P138" i="4" s="1"/>
  <c r="N137" i="4"/>
  <c r="R137" i="4" s="1"/>
  <c r="K137" i="4"/>
  <c r="O137" i="4" s="1"/>
  <c r="S137" i="4" s="1"/>
  <c r="J137" i="4"/>
  <c r="I137" i="4"/>
  <c r="M137" i="4" s="1"/>
  <c r="Q137" i="4" s="1"/>
  <c r="H137" i="4"/>
  <c r="L137" i="4" s="1"/>
  <c r="P137" i="4" s="1"/>
  <c r="K136" i="4"/>
  <c r="O136" i="4" s="1"/>
  <c r="S136" i="4" s="1"/>
  <c r="J136" i="4"/>
  <c r="N136" i="4" s="1"/>
  <c r="R136" i="4" s="1"/>
  <c r="I136" i="4"/>
  <c r="M136" i="4" s="1"/>
  <c r="Q136" i="4" s="1"/>
  <c r="H136" i="4"/>
  <c r="L136" i="4" s="1"/>
  <c r="P136" i="4" s="1"/>
  <c r="K135" i="4"/>
  <c r="O135" i="4" s="1"/>
  <c r="S135" i="4" s="1"/>
  <c r="J135" i="4"/>
  <c r="N135" i="4" s="1"/>
  <c r="R135" i="4" s="1"/>
  <c r="I135" i="4"/>
  <c r="M135" i="4" s="1"/>
  <c r="Q135" i="4" s="1"/>
  <c r="H135" i="4"/>
  <c r="L135" i="4" s="1"/>
  <c r="P135" i="4" s="1"/>
  <c r="M134" i="4"/>
  <c r="Q134" i="4" s="1"/>
  <c r="L134" i="4"/>
  <c r="P134" i="4" s="1"/>
  <c r="K134" i="4"/>
  <c r="O134" i="4" s="1"/>
  <c r="S134" i="4" s="1"/>
  <c r="J134" i="4"/>
  <c r="N134" i="4" s="1"/>
  <c r="R134" i="4" s="1"/>
  <c r="I134" i="4"/>
  <c r="H134" i="4"/>
  <c r="P133" i="4"/>
  <c r="O133" i="4"/>
  <c r="S133" i="4" s="1"/>
  <c r="N133" i="4"/>
  <c r="R133" i="4" s="1"/>
  <c r="K133" i="4"/>
  <c r="J133" i="4"/>
  <c r="I133" i="4"/>
  <c r="M133" i="4" s="1"/>
  <c r="Q133" i="4" s="1"/>
  <c r="H133" i="4"/>
  <c r="L133" i="4" s="1"/>
  <c r="K132" i="4"/>
  <c r="O132" i="4" s="1"/>
  <c r="S132" i="4" s="1"/>
  <c r="J132" i="4"/>
  <c r="N132" i="4" s="1"/>
  <c r="R132" i="4" s="1"/>
  <c r="I132" i="4"/>
  <c r="M132" i="4" s="1"/>
  <c r="Q132" i="4" s="1"/>
  <c r="H132" i="4"/>
  <c r="L132" i="4" s="1"/>
  <c r="P132" i="4" s="1"/>
  <c r="O131" i="4"/>
  <c r="S131" i="4" s="1"/>
  <c r="K131" i="4"/>
  <c r="J131" i="4"/>
  <c r="N131" i="4" s="1"/>
  <c r="R131" i="4" s="1"/>
  <c r="I131" i="4"/>
  <c r="M131" i="4" s="1"/>
  <c r="Q131" i="4" s="1"/>
  <c r="H131" i="4"/>
  <c r="L131" i="4" s="1"/>
  <c r="P131" i="4" s="1"/>
  <c r="P130" i="4"/>
  <c r="K130" i="4"/>
  <c r="O130" i="4" s="1"/>
  <c r="S130" i="4" s="1"/>
  <c r="J130" i="4"/>
  <c r="N130" i="4" s="1"/>
  <c r="R130" i="4" s="1"/>
  <c r="I130" i="4"/>
  <c r="M130" i="4" s="1"/>
  <c r="Q130" i="4" s="1"/>
  <c r="H130" i="4"/>
  <c r="L130" i="4" s="1"/>
  <c r="N129" i="4"/>
  <c r="R129" i="4" s="1"/>
  <c r="M129" i="4"/>
  <c r="Q129" i="4" s="1"/>
  <c r="L129" i="4"/>
  <c r="P129" i="4" s="1"/>
  <c r="K129" i="4"/>
  <c r="O129" i="4" s="1"/>
  <c r="S129" i="4" s="1"/>
  <c r="J129" i="4"/>
  <c r="I129" i="4"/>
  <c r="H129" i="4"/>
  <c r="K128" i="4"/>
  <c r="O128" i="4" s="1"/>
  <c r="S128" i="4" s="1"/>
  <c r="J128" i="4"/>
  <c r="N128" i="4" s="1"/>
  <c r="R128" i="4" s="1"/>
  <c r="I128" i="4"/>
  <c r="M128" i="4" s="1"/>
  <c r="Q128" i="4" s="1"/>
  <c r="H128" i="4"/>
  <c r="L128" i="4" s="1"/>
  <c r="P128" i="4" s="1"/>
  <c r="K127" i="4"/>
  <c r="O127" i="4" s="1"/>
  <c r="S127" i="4" s="1"/>
  <c r="J127" i="4"/>
  <c r="N127" i="4" s="1"/>
  <c r="R127" i="4" s="1"/>
  <c r="I127" i="4"/>
  <c r="M127" i="4" s="1"/>
  <c r="Q127" i="4" s="1"/>
  <c r="H127" i="4"/>
  <c r="L127" i="4" s="1"/>
  <c r="P127" i="4" s="1"/>
  <c r="M126" i="4"/>
  <c r="Q126" i="4" s="1"/>
  <c r="K126" i="4"/>
  <c r="O126" i="4" s="1"/>
  <c r="S126" i="4" s="1"/>
  <c r="J126" i="4"/>
  <c r="N126" i="4" s="1"/>
  <c r="R126" i="4" s="1"/>
  <c r="I126" i="4"/>
  <c r="H126" i="4"/>
  <c r="L126" i="4" s="1"/>
  <c r="P126" i="4" s="1"/>
  <c r="O125" i="4"/>
  <c r="S125" i="4" s="1"/>
  <c r="K125" i="4"/>
  <c r="J125" i="4"/>
  <c r="N125" i="4" s="1"/>
  <c r="R125" i="4" s="1"/>
  <c r="I125" i="4"/>
  <c r="M125" i="4" s="1"/>
  <c r="Q125" i="4" s="1"/>
  <c r="H125" i="4"/>
  <c r="L125" i="4" s="1"/>
  <c r="P125" i="4" s="1"/>
  <c r="L124" i="4"/>
  <c r="P124" i="4" s="1"/>
  <c r="K124" i="4"/>
  <c r="O124" i="4" s="1"/>
  <c r="S124" i="4" s="1"/>
  <c r="J124" i="4"/>
  <c r="N124" i="4" s="1"/>
  <c r="R124" i="4" s="1"/>
  <c r="I124" i="4"/>
  <c r="M124" i="4" s="1"/>
  <c r="Q124" i="4" s="1"/>
  <c r="H124" i="4"/>
  <c r="K123" i="4"/>
  <c r="O123" i="4" s="1"/>
  <c r="S123" i="4" s="1"/>
  <c r="J123" i="4"/>
  <c r="N123" i="4" s="1"/>
  <c r="R123" i="4" s="1"/>
  <c r="I123" i="4"/>
  <c r="M123" i="4" s="1"/>
  <c r="Q123" i="4" s="1"/>
  <c r="H123" i="4"/>
  <c r="L123" i="4" s="1"/>
  <c r="P123" i="4" s="1"/>
  <c r="K122" i="4"/>
  <c r="O122" i="4" s="1"/>
  <c r="S122" i="4" s="1"/>
  <c r="J122" i="4"/>
  <c r="N122" i="4" s="1"/>
  <c r="R122" i="4" s="1"/>
  <c r="I122" i="4"/>
  <c r="M122" i="4" s="1"/>
  <c r="Q122" i="4" s="1"/>
  <c r="H122" i="4"/>
  <c r="L122" i="4" s="1"/>
  <c r="P122" i="4" s="1"/>
  <c r="S121" i="4"/>
  <c r="N121" i="4"/>
  <c r="R121" i="4" s="1"/>
  <c r="M121" i="4"/>
  <c r="Q121" i="4" s="1"/>
  <c r="K121" i="4"/>
  <c r="O121" i="4" s="1"/>
  <c r="J121" i="4"/>
  <c r="I121" i="4"/>
  <c r="H121" i="4"/>
  <c r="L121" i="4" s="1"/>
  <c r="P121" i="4" s="1"/>
  <c r="O120" i="4"/>
  <c r="S120" i="4" s="1"/>
  <c r="M120" i="4"/>
  <c r="Q120" i="4" s="1"/>
  <c r="K120" i="4"/>
  <c r="J120" i="4"/>
  <c r="N120" i="4" s="1"/>
  <c r="R120" i="4" s="1"/>
  <c r="I120" i="4"/>
  <c r="H120" i="4"/>
  <c r="L120" i="4" s="1"/>
  <c r="P120" i="4" s="1"/>
  <c r="K119" i="4"/>
  <c r="O119" i="4" s="1"/>
  <c r="S119" i="4" s="1"/>
  <c r="J119" i="4"/>
  <c r="N119" i="4" s="1"/>
  <c r="R119" i="4" s="1"/>
  <c r="I119" i="4"/>
  <c r="M119" i="4" s="1"/>
  <c r="Q119" i="4" s="1"/>
  <c r="H119" i="4"/>
  <c r="L119" i="4" s="1"/>
  <c r="P119" i="4" s="1"/>
  <c r="L118" i="4"/>
  <c r="P118" i="4" s="1"/>
  <c r="K118" i="4"/>
  <c r="O118" i="4" s="1"/>
  <c r="S118" i="4" s="1"/>
  <c r="J118" i="4"/>
  <c r="N118" i="4" s="1"/>
  <c r="R118" i="4" s="1"/>
  <c r="I118" i="4"/>
  <c r="M118" i="4" s="1"/>
  <c r="Q118" i="4" s="1"/>
  <c r="H118" i="4"/>
  <c r="O117" i="4"/>
  <c r="S117" i="4" s="1"/>
  <c r="N117" i="4"/>
  <c r="R117" i="4" s="1"/>
  <c r="K117" i="4"/>
  <c r="J117" i="4"/>
  <c r="I117" i="4"/>
  <c r="M117" i="4" s="1"/>
  <c r="Q117" i="4" s="1"/>
  <c r="H117" i="4"/>
  <c r="L117" i="4" s="1"/>
  <c r="P117" i="4" s="1"/>
  <c r="L116" i="4"/>
  <c r="P116" i="4" s="1"/>
  <c r="K116" i="4"/>
  <c r="O116" i="4" s="1"/>
  <c r="S116" i="4" s="1"/>
  <c r="J116" i="4"/>
  <c r="N116" i="4" s="1"/>
  <c r="R116" i="4" s="1"/>
  <c r="I116" i="4"/>
  <c r="M116" i="4" s="1"/>
  <c r="Q116" i="4" s="1"/>
  <c r="H116" i="4"/>
  <c r="K115" i="4"/>
  <c r="O115" i="4" s="1"/>
  <c r="S115" i="4" s="1"/>
  <c r="J115" i="4"/>
  <c r="N115" i="4" s="1"/>
  <c r="R115" i="4" s="1"/>
  <c r="I115" i="4"/>
  <c r="M115" i="4" s="1"/>
  <c r="Q115" i="4" s="1"/>
  <c r="H115" i="4"/>
  <c r="L115" i="4" s="1"/>
  <c r="P115" i="4" s="1"/>
  <c r="K114" i="4"/>
  <c r="O114" i="4" s="1"/>
  <c r="S114" i="4" s="1"/>
  <c r="J114" i="4"/>
  <c r="N114" i="4" s="1"/>
  <c r="R114" i="4" s="1"/>
  <c r="I114" i="4"/>
  <c r="M114" i="4" s="1"/>
  <c r="Q114" i="4" s="1"/>
  <c r="H114" i="4"/>
  <c r="L114" i="4" s="1"/>
  <c r="P114" i="4" s="1"/>
  <c r="K113" i="4"/>
  <c r="O113" i="4" s="1"/>
  <c r="S113" i="4" s="1"/>
  <c r="J113" i="4"/>
  <c r="N113" i="4" s="1"/>
  <c r="R113" i="4" s="1"/>
  <c r="I113" i="4"/>
  <c r="M113" i="4" s="1"/>
  <c r="Q113" i="4" s="1"/>
  <c r="H113" i="4"/>
  <c r="L113" i="4" s="1"/>
  <c r="P113" i="4" s="1"/>
  <c r="S112" i="4"/>
  <c r="K112" i="4"/>
  <c r="O112" i="4" s="1"/>
  <c r="J112" i="4"/>
  <c r="N112" i="4" s="1"/>
  <c r="R112" i="4" s="1"/>
  <c r="I112" i="4"/>
  <c r="M112" i="4" s="1"/>
  <c r="Q112" i="4" s="1"/>
  <c r="H112" i="4"/>
  <c r="L112" i="4" s="1"/>
  <c r="P112" i="4" s="1"/>
  <c r="O111" i="4"/>
  <c r="S111" i="4" s="1"/>
  <c r="K111" i="4"/>
  <c r="J111" i="4"/>
  <c r="N111" i="4" s="1"/>
  <c r="R111" i="4" s="1"/>
  <c r="I111" i="4"/>
  <c r="M111" i="4" s="1"/>
  <c r="Q111" i="4" s="1"/>
  <c r="H111" i="4"/>
  <c r="L111" i="4" s="1"/>
  <c r="P111" i="4" s="1"/>
  <c r="S110" i="4"/>
  <c r="R110" i="4"/>
  <c r="K110" i="4"/>
  <c r="O110" i="4" s="1"/>
  <c r="J110" i="4"/>
  <c r="N110" i="4" s="1"/>
  <c r="I110" i="4"/>
  <c r="M110" i="4" s="1"/>
  <c r="Q110" i="4" s="1"/>
  <c r="H110" i="4"/>
  <c r="L110" i="4" s="1"/>
  <c r="P110" i="4" s="1"/>
  <c r="O109" i="4"/>
  <c r="S109" i="4" s="1"/>
  <c r="N109" i="4"/>
  <c r="R109" i="4" s="1"/>
  <c r="K109" i="4"/>
  <c r="J109" i="4"/>
  <c r="I109" i="4"/>
  <c r="M109" i="4" s="1"/>
  <c r="Q109" i="4" s="1"/>
  <c r="H109" i="4"/>
  <c r="L109" i="4" s="1"/>
  <c r="P109" i="4" s="1"/>
  <c r="S108" i="4"/>
  <c r="R108" i="4"/>
  <c r="Q108" i="4"/>
  <c r="K108" i="4"/>
  <c r="O108" i="4" s="1"/>
  <c r="J108" i="4"/>
  <c r="N108" i="4" s="1"/>
  <c r="I108" i="4"/>
  <c r="M108" i="4" s="1"/>
  <c r="H108" i="4"/>
  <c r="L108" i="4" s="1"/>
  <c r="P108" i="4" s="1"/>
  <c r="O107" i="4"/>
  <c r="S107" i="4" s="1"/>
  <c r="N107" i="4"/>
  <c r="R107" i="4" s="1"/>
  <c r="M107" i="4"/>
  <c r="Q107" i="4" s="1"/>
  <c r="K107" i="4"/>
  <c r="J107" i="4"/>
  <c r="I107" i="4"/>
  <c r="H107" i="4"/>
  <c r="L107" i="4" s="1"/>
  <c r="P107" i="4" s="1"/>
  <c r="S106" i="4"/>
  <c r="R106" i="4"/>
  <c r="K106" i="4"/>
  <c r="O106" i="4" s="1"/>
  <c r="J106" i="4"/>
  <c r="N106" i="4" s="1"/>
  <c r="I106" i="4"/>
  <c r="M106" i="4" s="1"/>
  <c r="Q106" i="4" s="1"/>
  <c r="H106" i="4"/>
  <c r="L106" i="4" s="1"/>
  <c r="P106" i="4" s="1"/>
  <c r="O105" i="4"/>
  <c r="S105" i="4" s="1"/>
  <c r="N105" i="4"/>
  <c r="R105" i="4" s="1"/>
  <c r="M105" i="4"/>
  <c r="Q105" i="4" s="1"/>
  <c r="L105" i="4"/>
  <c r="P105" i="4" s="1"/>
  <c r="K105" i="4"/>
  <c r="J105" i="4"/>
  <c r="I105" i="4"/>
  <c r="H105" i="4"/>
  <c r="S104" i="4"/>
  <c r="R104" i="4"/>
  <c r="Q104" i="4"/>
  <c r="K104" i="4"/>
  <c r="O104" i="4" s="1"/>
  <c r="J104" i="4"/>
  <c r="N104" i="4" s="1"/>
  <c r="I104" i="4"/>
  <c r="M104" i="4" s="1"/>
  <c r="H104" i="4"/>
  <c r="L104" i="4" s="1"/>
  <c r="P104" i="4" s="1"/>
  <c r="N103" i="4"/>
  <c r="R103" i="4" s="1"/>
  <c r="M103" i="4"/>
  <c r="Q103" i="4" s="1"/>
  <c r="L103" i="4"/>
  <c r="P103" i="4" s="1"/>
  <c r="K103" i="4"/>
  <c r="O103" i="4" s="1"/>
  <c r="S103" i="4" s="1"/>
  <c r="J103" i="4"/>
  <c r="I103" i="4"/>
  <c r="H103" i="4"/>
  <c r="S102" i="4"/>
  <c r="Q102" i="4"/>
  <c r="K102" i="4"/>
  <c r="O102" i="4" s="1"/>
  <c r="J102" i="4"/>
  <c r="N102" i="4" s="1"/>
  <c r="R102" i="4" s="1"/>
  <c r="I102" i="4"/>
  <c r="M102" i="4" s="1"/>
  <c r="H102" i="4"/>
  <c r="L102" i="4" s="1"/>
  <c r="P102" i="4" s="1"/>
  <c r="M101" i="4"/>
  <c r="Q101" i="4" s="1"/>
  <c r="L101" i="4"/>
  <c r="P101" i="4" s="1"/>
  <c r="K101" i="4"/>
  <c r="O101" i="4" s="1"/>
  <c r="S101" i="4" s="1"/>
  <c r="J101" i="4"/>
  <c r="N101" i="4" s="1"/>
  <c r="R101" i="4" s="1"/>
  <c r="I101" i="4"/>
  <c r="H101" i="4"/>
  <c r="R100" i="4"/>
  <c r="K100" i="4"/>
  <c r="O100" i="4" s="1"/>
  <c r="S100" i="4" s="1"/>
  <c r="J100" i="4"/>
  <c r="N100" i="4" s="1"/>
  <c r="I100" i="4"/>
  <c r="M100" i="4" s="1"/>
  <c r="Q100" i="4" s="1"/>
  <c r="H100" i="4"/>
  <c r="L100" i="4" s="1"/>
  <c r="P100" i="4" s="1"/>
  <c r="L99" i="4"/>
  <c r="P99" i="4" s="1"/>
  <c r="K99" i="4"/>
  <c r="O99" i="4" s="1"/>
  <c r="S99" i="4" s="1"/>
  <c r="J99" i="4"/>
  <c r="N99" i="4" s="1"/>
  <c r="R99" i="4" s="1"/>
  <c r="I99" i="4"/>
  <c r="M99" i="4" s="1"/>
  <c r="Q99" i="4" s="1"/>
  <c r="H99" i="4"/>
  <c r="Q98" i="4"/>
  <c r="K98" i="4"/>
  <c r="O98" i="4" s="1"/>
  <c r="S98" i="4" s="1"/>
  <c r="J98" i="4"/>
  <c r="N98" i="4" s="1"/>
  <c r="R98" i="4" s="1"/>
  <c r="I98" i="4"/>
  <c r="M98" i="4" s="1"/>
  <c r="H98" i="4"/>
  <c r="L98" i="4" s="1"/>
  <c r="P98" i="4" s="1"/>
  <c r="K97" i="4"/>
  <c r="O97" i="4" s="1"/>
  <c r="S97" i="4" s="1"/>
  <c r="J97" i="4"/>
  <c r="N97" i="4" s="1"/>
  <c r="R97" i="4" s="1"/>
  <c r="I97" i="4"/>
  <c r="M97" i="4" s="1"/>
  <c r="Q97" i="4" s="1"/>
  <c r="H97" i="4"/>
  <c r="L97" i="4" s="1"/>
  <c r="P97" i="4" s="1"/>
  <c r="S96" i="4"/>
  <c r="R96" i="4"/>
  <c r="K96" i="4"/>
  <c r="O96" i="4" s="1"/>
  <c r="J96" i="4"/>
  <c r="N96" i="4" s="1"/>
  <c r="I96" i="4"/>
  <c r="M96" i="4" s="1"/>
  <c r="Q96" i="4" s="1"/>
  <c r="H96" i="4"/>
  <c r="L96" i="4" s="1"/>
  <c r="P96" i="4" s="1"/>
  <c r="O95" i="4"/>
  <c r="S95" i="4" s="1"/>
  <c r="N95" i="4"/>
  <c r="R95" i="4" s="1"/>
  <c r="M95" i="4"/>
  <c r="Q95" i="4" s="1"/>
  <c r="K95" i="4"/>
  <c r="J95" i="4"/>
  <c r="I95" i="4"/>
  <c r="H95" i="4"/>
  <c r="L95" i="4" s="1"/>
  <c r="P95" i="4" s="1"/>
  <c r="S94" i="4"/>
  <c r="R94" i="4"/>
  <c r="Q94" i="4"/>
  <c r="K94" i="4"/>
  <c r="O94" i="4" s="1"/>
  <c r="J94" i="4"/>
  <c r="N94" i="4" s="1"/>
  <c r="I94" i="4"/>
  <c r="M94" i="4" s="1"/>
  <c r="H94" i="4"/>
  <c r="L94" i="4" s="1"/>
  <c r="P94" i="4" s="1"/>
  <c r="O93" i="4"/>
  <c r="S93" i="4" s="1"/>
  <c r="N93" i="4"/>
  <c r="R93" i="4" s="1"/>
  <c r="M93" i="4"/>
  <c r="Q93" i="4" s="1"/>
  <c r="L93" i="4"/>
  <c r="P93" i="4" s="1"/>
  <c r="K93" i="4"/>
  <c r="J93" i="4"/>
  <c r="I93" i="4"/>
  <c r="H93" i="4"/>
  <c r="R92" i="4"/>
  <c r="Q92" i="4"/>
  <c r="K92" i="4"/>
  <c r="O92" i="4" s="1"/>
  <c r="S92" i="4" s="1"/>
  <c r="J92" i="4"/>
  <c r="N92" i="4" s="1"/>
  <c r="I92" i="4"/>
  <c r="M92" i="4" s="1"/>
  <c r="H92" i="4"/>
  <c r="L92" i="4" s="1"/>
  <c r="P92" i="4" s="1"/>
  <c r="N91" i="4"/>
  <c r="R91" i="4" s="1"/>
  <c r="M91" i="4"/>
  <c r="Q91" i="4" s="1"/>
  <c r="L91" i="4"/>
  <c r="P91" i="4" s="1"/>
  <c r="K91" i="4"/>
  <c r="O91" i="4" s="1"/>
  <c r="S91" i="4" s="1"/>
  <c r="J91" i="4"/>
  <c r="I91" i="4"/>
  <c r="H91" i="4"/>
  <c r="S90" i="4"/>
  <c r="Q90" i="4"/>
  <c r="K90" i="4"/>
  <c r="O90" i="4" s="1"/>
  <c r="J90" i="4"/>
  <c r="N90" i="4" s="1"/>
  <c r="R90" i="4" s="1"/>
  <c r="I90" i="4"/>
  <c r="M90" i="4" s="1"/>
  <c r="H90" i="4"/>
  <c r="L90" i="4" s="1"/>
  <c r="P90" i="4" s="1"/>
  <c r="M89" i="4"/>
  <c r="Q89" i="4" s="1"/>
  <c r="L89" i="4"/>
  <c r="P89" i="4" s="1"/>
  <c r="K89" i="4"/>
  <c r="O89" i="4" s="1"/>
  <c r="S89" i="4" s="1"/>
  <c r="J89" i="4"/>
  <c r="N89" i="4" s="1"/>
  <c r="R89" i="4" s="1"/>
  <c r="I89" i="4"/>
  <c r="H89" i="4"/>
  <c r="R88" i="4"/>
  <c r="K88" i="4"/>
  <c r="O88" i="4" s="1"/>
  <c r="S88" i="4" s="1"/>
  <c r="J88" i="4"/>
  <c r="N88" i="4" s="1"/>
  <c r="I88" i="4"/>
  <c r="M88" i="4" s="1"/>
  <c r="Q88" i="4" s="1"/>
  <c r="H88" i="4"/>
  <c r="L88" i="4" s="1"/>
  <c r="P88" i="4" s="1"/>
  <c r="L87" i="4"/>
  <c r="P87" i="4" s="1"/>
  <c r="K87" i="4"/>
  <c r="O87" i="4" s="1"/>
  <c r="S87" i="4" s="1"/>
  <c r="J87" i="4"/>
  <c r="N87" i="4" s="1"/>
  <c r="R87" i="4" s="1"/>
  <c r="I87" i="4"/>
  <c r="M87" i="4" s="1"/>
  <c r="Q87" i="4" s="1"/>
  <c r="H87" i="4"/>
  <c r="Q86" i="4"/>
  <c r="K86" i="4"/>
  <c r="O86" i="4" s="1"/>
  <c r="S86" i="4" s="1"/>
  <c r="J86" i="4"/>
  <c r="N86" i="4" s="1"/>
  <c r="R86" i="4" s="1"/>
  <c r="I86" i="4"/>
  <c r="M86" i="4" s="1"/>
  <c r="H86" i="4"/>
  <c r="L86" i="4" s="1"/>
  <c r="P86" i="4" s="1"/>
  <c r="K85" i="4"/>
  <c r="O85" i="4" s="1"/>
  <c r="S85" i="4" s="1"/>
  <c r="J85" i="4"/>
  <c r="N85" i="4" s="1"/>
  <c r="R85" i="4" s="1"/>
  <c r="I85" i="4"/>
  <c r="M85" i="4" s="1"/>
  <c r="Q85" i="4" s="1"/>
  <c r="H85" i="4"/>
  <c r="L85" i="4" s="1"/>
  <c r="P85" i="4" s="1"/>
  <c r="K84" i="4"/>
  <c r="O84" i="4" s="1"/>
  <c r="S84" i="4" s="1"/>
  <c r="J84" i="4"/>
  <c r="N84" i="4" s="1"/>
  <c r="R84" i="4" s="1"/>
  <c r="I84" i="4"/>
  <c r="M84" i="4" s="1"/>
  <c r="Q84" i="4" s="1"/>
  <c r="H84" i="4"/>
  <c r="L84" i="4" s="1"/>
  <c r="P84" i="4" s="1"/>
  <c r="O83" i="4"/>
  <c r="S83" i="4" s="1"/>
  <c r="K83" i="4"/>
  <c r="J83" i="4"/>
  <c r="N83" i="4" s="1"/>
  <c r="R83" i="4" s="1"/>
  <c r="I83" i="4"/>
  <c r="M83" i="4" s="1"/>
  <c r="Q83" i="4" s="1"/>
  <c r="H83" i="4"/>
  <c r="L83" i="4" s="1"/>
  <c r="P83" i="4" s="1"/>
  <c r="S82" i="4"/>
  <c r="K82" i="4"/>
  <c r="O82" i="4" s="1"/>
  <c r="J82" i="4"/>
  <c r="N82" i="4" s="1"/>
  <c r="R82" i="4" s="1"/>
  <c r="I82" i="4"/>
  <c r="M82" i="4" s="1"/>
  <c r="Q82" i="4" s="1"/>
  <c r="H82" i="4"/>
  <c r="L82" i="4" s="1"/>
  <c r="P82" i="4" s="1"/>
  <c r="O81" i="4"/>
  <c r="S81" i="4" s="1"/>
  <c r="N81" i="4"/>
  <c r="R81" i="4" s="1"/>
  <c r="K81" i="4"/>
  <c r="J81" i="4"/>
  <c r="I81" i="4"/>
  <c r="M81" i="4" s="1"/>
  <c r="Q81" i="4" s="1"/>
  <c r="H81" i="4"/>
  <c r="L81" i="4" s="1"/>
  <c r="P81" i="4" s="1"/>
  <c r="S80" i="4"/>
  <c r="R80" i="4"/>
  <c r="K80" i="4"/>
  <c r="O80" i="4" s="1"/>
  <c r="J80" i="4"/>
  <c r="N80" i="4" s="1"/>
  <c r="I80" i="4"/>
  <c r="M80" i="4" s="1"/>
  <c r="Q80" i="4" s="1"/>
  <c r="H80" i="4"/>
  <c r="L80" i="4" s="1"/>
  <c r="P80" i="4" s="1"/>
  <c r="O79" i="4"/>
  <c r="S79" i="4" s="1"/>
  <c r="N79" i="4"/>
  <c r="R79" i="4" s="1"/>
  <c r="M79" i="4"/>
  <c r="Q79" i="4" s="1"/>
  <c r="K79" i="4"/>
  <c r="J79" i="4"/>
  <c r="I79" i="4"/>
  <c r="H79" i="4"/>
  <c r="L79" i="4" s="1"/>
  <c r="P79" i="4" s="1"/>
  <c r="S78" i="4"/>
  <c r="R78" i="4"/>
  <c r="Q78" i="4"/>
  <c r="K78" i="4"/>
  <c r="O78" i="4" s="1"/>
  <c r="J78" i="4"/>
  <c r="N78" i="4" s="1"/>
  <c r="I78" i="4"/>
  <c r="M78" i="4" s="1"/>
  <c r="H78" i="4"/>
  <c r="L78" i="4" s="1"/>
  <c r="P78" i="4" s="1"/>
  <c r="O77" i="4"/>
  <c r="S77" i="4" s="1"/>
  <c r="N77" i="4"/>
  <c r="R77" i="4" s="1"/>
  <c r="M77" i="4"/>
  <c r="Q77" i="4" s="1"/>
  <c r="L77" i="4"/>
  <c r="P77" i="4" s="1"/>
  <c r="K77" i="4"/>
  <c r="J77" i="4"/>
  <c r="I77" i="4"/>
  <c r="H77" i="4"/>
  <c r="R76" i="4"/>
  <c r="Q76" i="4"/>
  <c r="K76" i="4"/>
  <c r="O76" i="4" s="1"/>
  <c r="S76" i="4" s="1"/>
  <c r="J76" i="4"/>
  <c r="N76" i="4" s="1"/>
  <c r="I76" i="4"/>
  <c r="M76" i="4" s="1"/>
  <c r="H76" i="4"/>
  <c r="L76" i="4" s="1"/>
  <c r="P76" i="4" s="1"/>
  <c r="N75" i="4"/>
  <c r="R75" i="4" s="1"/>
  <c r="M75" i="4"/>
  <c r="Q75" i="4" s="1"/>
  <c r="L75" i="4"/>
  <c r="P75" i="4" s="1"/>
  <c r="K75" i="4"/>
  <c r="O75" i="4" s="1"/>
  <c r="S75" i="4" s="1"/>
  <c r="J75" i="4"/>
  <c r="I75" i="4"/>
  <c r="H75" i="4"/>
  <c r="S74" i="4"/>
  <c r="Q74" i="4"/>
  <c r="K74" i="4"/>
  <c r="O74" i="4" s="1"/>
  <c r="J74" i="4"/>
  <c r="N74" i="4" s="1"/>
  <c r="R74" i="4" s="1"/>
  <c r="I74" i="4"/>
  <c r="M74" i="4" s="1"/>
  <c r="H74" i="4"/>
  <c r="L74" i="4" s="1"/>
  <c r="P74" i="4" s="1"/>
  <c r="M73" i="4"/>
  <c r="Q73" i="4" s="1"/>
  <c r="L73" i="4"/>
  <c r="P73" i="4" s="1"/>
  <c r="K73" i="4"/>
  <c r="O73" i="4" s="1"/>
  <c r="S73" i="4" s="1"/>
  <c r="J73" i="4"/>
  <c r="N73" i="4" s="1"/>
  <c r="R73" i="4" s="1"/>
  <c r="I73" i="4"/>
  <c r="H73" i="4"/>
  <c r="R72" i="4"/>
  <c r="K72" i="4"/>
  <c r="O72" i="4" s="1"/>
  <c r="S72" i="4" s="1"/>
  <c r="J72" i="4"/>
  <c r="N72" i="4" s="1"/>
  <c r="I72" i="4"/>
  <c r="M72" i="4" s="1"/>
  <c r="Q72" i="4" s="1"/>
  <c r="H72" i="4"/>
  <c r="L72" i="4" s="1"/>
  <c r="P72" i="4" s="1"/>
  <c r="L71" i="4"/>
  <c r="P71" i="4" s="1"/>
  <c r="K71" i="4"/>
  <c r="O71" i="4" s="1"/>
  <c r="S71" i="4" s="1"/>
  <c r="J71" i="4"/>
  <c r="N71" i="4" s="1"/>
  <c r="R71" i="4" s="1"/>
  <c r="I71" i="4"/>
  <c r="M71" i="4" s="1"/>
  <c r="Q71" i="4" s="1"/>
  <c r="H71" i="4"/>
  <c r="Q70" i="4"/>
  <c r="K70" i="4"/>
  <c r="O70" i="4" s="1"/>
  <c r="S70" i="4" s="1"/>
  <c r="J70" i="4"/>
  <c r="N70" i="4" s="1"/>
  <c r="R70" i="4" s="1"/>
  <c r="I70" i="4"/>
  <c r="M70" i="4" s="1"/>
  <c r="H70" i="4"/>
  <c r="L70" i="4" s="1"/>
  <c r="P70" i="4" s="1"/>
  <c r="K69" i="4"/>
  <c r="O69" i="4" s="1"/>
  <c r="S69" i="4" s="1"/>
  <c r="J69" i="4"/>
  <c r="N69" i="4" s="1"/>
  <c r="R69" i="4" s="1"/>
  <c r="I69" i="4"/>
  <c r="M69" i="4" s="1"/>
  <c r="Q69" i="4" s="1"/>
  <c r="H69" i="4"/>
  <c r="L69" i="4" s="1"/>
  <c r="P69" i="4" s="1"/>
  <c r="K68" i="4"/>
  <c r="O68" i="4" s="1"/>
  <c r="S68" i="4" s="1"/>
  <c r="J68" i="4"/>
  <c r="N68" i="4" s="1"/>
  <c r="R68" i="4" s="1"/>
  <c r="I68" i="4"/>
  <c r="M68" i="4" s="1"/>
  <c r="Q68" i="4" s="1"/>
  <c r="H68" i="4"/>
  <c r="L68" i="4" s="1"/>
  <c r="P68" i="4" s="1"/>
  <c r="O67" i="4"/>
  <c r="S67" i="4" s="1"/>
  <c r="K67" i="4"/>
  <c r="J67" i="4"/>
  <c r="N67" i="4" s="1"/>
  <c r="R67" i="4" s="1"/>
  <c r="I67" i="4"/>
  <c r="M67" i="4" s="1"/>
  <c r="Q67" i="4" s="1"/>
  <c r="H67" i="4"/>
  <c r="L67" i="4" s="1"/>
  <c r="P67" i="4" s="1"/>
  <c r="S66" i="4"/>
  <c r="K66" i="4"/>
  <c r="O66" i="4" s="1"/>
  <c r="J66" i="4"/>
  <c r="N66" i="4" s="1"/>
  <c r="R66" i="4" s="1"/>
  <c r="I66" i="4"/>
  <c r="M66" i="4" s="1"/>
  <c r="Q66" i="4" s="1"/>
  <c r="H66" i="4"/>
  <c r="L66" i="4" s="1"/>
  <c r="P66" i="4" s="1"/>
  <c r="O65" i="4"/>
  <c r="S65" i="4" s="1"/>
  <c r="N65" i="4"/>
  <c r="R65" i="4" s="1"/>
  <c r="K65" i="4"/>
  <c r="J65" i="4"/>
  <c r="I65" i="4"/>
  <c r="M65" i="4" s="1"/>
  <c r="Q65" i="4" s="1"/>
  <c r="H65" i="4"/>
  <c r="L65" i="4" s="1"/>
  <c r="P65" i="4" s="1"/>
  <c r="S64" i="4"/>
  <c r="R64" i="4"/>
  <c r="K64" i="4"/>
  <c r="O64" i="4" s="1"/>
  <c r="J64" i="4"/>
  <c r="N64" i="4" s="1"/>
  <c r="I64" i="4"/>
  <c r="M64" i="4" s="1"/>
  <c r="Q64" i="4" s="1"/>
  <c r="H64" i="4"/>
  <c r="L64" i="4" s="1"/>
  <c r="P64" i="4" s="1"/>
  <c r="O63" i="4"/>
  <c r="S63" i="4" s="1"/>
  <c r="N63" i="4"/>
  <c r="R63" i="4" s="1"/>
  <c r="M63" i="4"/>
  <c r="Q63" i="4" s="1"/>
  <c r="K63" i="4"/>
  <c r="J63" i="4"/>
  <c r="I63" i="4"/>
  <c r="H63" i="4"/>
  <c r="L63" i="4" s="1"/>
  <c r="P63" i="4" s="1"/>
  <c r="S62" i="4"/>
  <c r="R62" i="4"/>
  <c r="Q62" i="4"/>
  <c r="K62" i="4"/>
  <c r="O62" i="4" s="1"/>
  <c r="J62" i="4"/>
  <c r="N62" i="4" s="1"/>
  <c r="I62" i="4"/>
  <c r="M62" i="4" s="1"/>
  <c r="H62" i="4"/>
  <c r="L62" i="4" s="1"/>
  <c r="P62" i="4" s="1"/>
  <c r="O61" i="4"/>
  <c r="S61" i="4" s="1"/>
  <c r="N61" i="4"/>
  <c r="R61" i="4" s="1"/>
  <c r="M61" i="4"/>
  <c r="Q61" i="4" s="1"/>
  <c r="L61" i="4"/>
  <c r="P61" i="4" s="1"/>
  <c r="K61" i="4"/>
  <c r="J61" i="4"/>
  <c r="I61" i="4"/>
  <c r="H61" i="4"/>
  <c r="R60" i="4"/>
  <c r="Q60" i="4"/>
  <c r="K60" i="4"/>
  <c r="O60" i="4" s="1"/>
  <c r="S60" i="4" s="1"/>
  <c r="J60" i="4"/>
  <c r="N60" i="4" s="1"/>
  <c r="I60" i="4"/>
  <c r="M60" i="4" s="1"/>
  <c r="H60" i="4"/>
  <c r="L60" i="4" s="1"/>
  <c r="P60" i="4" s="1"/>
  <c r="N59" i="4"/>
  <c r="R59" i="4" s="1"/>
  <c r="M59" i="4"/>
  <c r="Q59" i="4" s="1"/>
  <c r="L59" i="4"/>
  <c r="P59" i="4" s="1"/>
  <c r="K59" i="4"/>
  <c r="O59" i="4" s="1"/>
  <c r="S59" i="4" s="1"/>
  <c r="J59" i="4"/>
  <c r="I59" i="4"/>
  <c r="H59" i="4"/>
  <c r="S58" i="4"/>
  <c r="Q58" i="4"/>
  <c r="K58" i="4"/>
  <c r="O58" i="4" s="1"/>
  <c r="J58" i="4"/>
  <c r="N58" i="4" s="1"/>
  <c r="R58" i="4" s="1"/>
  <c r="I58" i="4"/>
  <c r="M58" i="4" s="1"/>
  <c r="H58" i="4"/>
  <c r="L58" i="4" s="1"/>
  <c r="P58" i="4" s="1"/>
  <c r="M57" i="4"/>
  <c r="Q57" i="4" s="1"/>
  <c r="L57" i="4"/>
  <c r="P57" i="4" s="1"/>
  <c r="K57" i="4"/>
  <c r="O57" i="4" s="1"/>
  <c r="S57" i="4" s="1"/>
  <c r="J57" i="4"/>
  <c r="N57" i="4" s="1"/>
  <c r="R57" i="4" s="1"/>
  <c r="I57" i="4"/>
  <c r="H57" i="4"/>
  <c r="R56" i="4"/>
  <c r="K56" i="4"/>
  <c r="O56" i="4" s="1"/>
  <c r="S56" i="4" s="1"/>
  <c r="J56" i="4"/>
  <c r="N56" i="4" s="1"/>
  <c r="I56" i="4"/>
  <c r="M56" i="4" s="1"/>
  <c r="Q56" i="4" s="1"/>
  <c r="H56" i="4"/>
  <c r="L56" i="4" s="1"/>
  <c r="P56" i="4" s="1"/>
  <c r="L55" i="4"/>
  <c r="P55" i="4" s="1"/>
  <c r="K55" i="4"/>
  <c r="O55" i="4" s="1"/>
  <c r="S55" i="4" s="1"/>
  <c r="J55" i="4"/>
  <c r="N55" i="4" s="1"/>
  <c r="R55" i="4" s="1"/>
  <c r="I55" i="4"/>
  <c r="M55" i="4" s="1"/>
  <c r="Q55" i="4" s="1"/>
  <c r="H55" i="4"/>
  <c r="Q54" i="4"/>
  <c r="K54" i="4"/>
  <c r="O54" i="4" s="1"/>
  <c r="S54" i="4" s="1"/>
  <c r="J54" i="4"/>
  <c r="N54" i="4" s="1"/>
  <c r="R54" i="4" s="1"/>
  <c r="I54" i="4"/>
  <c r="M54" i="4" s="1"/>
  <c r="H54" i="4"/>
  <c r="L54" i="4" s="1"/>
  <c r="P54" i="4" s="1"/>
  <c r="K53" i="4"/>
  <c r="O53" i="4" s="1"/>
  <c r="S53" i="4" s="1"/>
  <c r="J53" i="4"/>
  <c r="N53" i="4" s="1"/>
  <c r="R53" i="4" s="1"/>
  <c r="I53" i="4"/>
  <c r="M53" i="4" s="1"/>
  <c r="Q53" i="4" s="1"/>
  <c r="H53" i="4"/>
  <c r="L53" i="4" s="1"/>
  <c r="P53" i="4" s="1"/>
  <c r="K52" i="4"/>
  <c r="O52" i="4" s="1"/>
  <c r="S52" i="4" s="1"/>
  <c r="J52" i="4"/>
  <c r="N52" i="4" s="1"/>
  <c r="R52" i="4" s="1"/>
  <c r="I52" i="4"/>
  <c r="M52" i="4" s="1"/>
  <c r="Q52" i="4" s="1"/>
  <c r="H52" i="4"/>
  <c r="L52" i="4" s="1"/>
  <c r="P52" i="4" s="1"/>
  <c r="O51" i="4"/>
  <c r="S51" i="4" s="1"/>
  <c r="K51" i="4"/>
  <c r="J51" i="4"/>
  <c r="N51" i="4" s="1"/>
  <c r="R51" i="4" s="1"/>
  <c r="I51" i="4"/>
  <c r="M51" i="4" s="1"/>
  <c r="Q51" i="4" s="1"/>
  <c r="H51" i="4"/>
  <c r="L51" i="4" s="1"/>
  <c r="P51" i="4" s="1"/>
  <c r="S50" i="4"/>
  <c r="K50" i="4"/>
  <c r="O50" i="4" s="1"/>
  <c r="J50" i="4"/>
  <c r="N50" i="4" s="1"/>
  <c r="R50" i="4" s="1"/>
  <c r="I50" i="4"/>
  <c r="M50" i="4" s="1"/>
  <c r="Q50" i="4" s="1"/>
  <c r="H50" i="4"/>
  <c r="L50" i="4" s="1"/>
  <c r="P50" i="4" s="1"/>
  <c r="O49" i="4"/>
  <c r="S49" i="4" s="1"/>
  <c r="N49" i="4"/>
  <c r="R49" i="4" s="1"/>
  <c r="K49" i="4"/>
  <c r="J49" i="4"/>
  <c r="I49" i="4"/>
  <c r="M49" i="4" s="1"/>
  <c r="Q49" i="4" s="1"/>
  <c r="H49" i="4"/>
  <c r="L49" i="4" s="1"/>
  <c r="P49" i="4" s="1"/>
  <c r="S48" i="4"/>
  <c r="R48" i="4"/>
  <c r="K48" i="4"/>
  <c r="O48" i="4" s="1"/>
  <c r="J48" i="4"/>
  <c r="N48" i="4" s="1"/>
  <c r="I48" i="4"/>
  <c r="M48" i="4" s="1"/>
  <c r="Q48" i="4" s="1"/>
  <c r="H48" i="4"/>
  <c r="L48" i="4" s="1"/>
  <c r="P48" i="4" s="1"/>
  <c r="O47" i="4"/>
  <c r="S47" i="4" s="1"/>
  <c r="N47" i="4"/>
  <c r="R47" i="4" s="1"/>
  <c r="M47" i="4"/>
  <c r="Q47" i="4" s="1"/>
  <c r="K47" i="4"/>
  <c r="J47" i="4"/>
  <c r="I47" i="4"/>
  <c r="H47" i="4"/>
  <c r="L47" i="4" s="1"/>
  <c r="P47" i="4" s="1"/>
  <c r="S46" i="4"/>
  <c r="R46" i="4"/>
  <c r="Q46" i="4"/>
  <c r="K46" i="4"/>
  <c r="O46" i="4" s="1"/>
  <c r="J46" i="4"/>
  <c r="N46" i="4" s="1"/>
  <c r="I46" i="4"/>
  <c r="M46" i="4" s="1"/>
  <c r="H46" i="4"/>
  <c r="L46" i="4" s="1"/>
  <c r="P46" i="4" s="1"/>
  <c r="O45" i="4"/>
  <c r="S45" i="4" s="1"/>
  <c r="N45" i="4"/>
  <c r="R45" i="4" s="1"/>
  <c r="M45" i="4"/>
  <c r="Q45" i="4" s="1"/>
  <c r="L45" i="4"/>
  <c r="P45" i="4" s="1"/>
  <c r="K45" i="4"/>
  <c r="J45" i="4"/>
  <c r="I45" i="4"/>
  <c r="H45" i="4"/>
  <c r="R44" i="4"/>
  <c r="Q44" i="4"/>
  <c r="K44" i="4"/>
  <c r="O44" i="4" s="1"/>
  <c r="S44" i="4" s="1"/>
  <c r="J44" i="4"/>
  <c r="N44" i="4" s="1"/>
  <c r="I44" i="4"/>
  <c r="M44" i="4" s="1"/>
  <c r="H44" i="4"/>
  <c r="L44" i="4" s="1"/>
  <c r="P44" i="4" s="1"/>
  <c r="N43" i="4"/>
  <c r="R43" i="4" s="1"/>
  <c r="M43" i="4"/>
  <c r="Q43" i="4" s="1"/>
  <c r="L43" i="4"/>
  <c r="P43" i="4" s="1"/>
  <c r="K43" i="4"/>
  <c r="O43" i="4" s="1"/>
  <c r="S43" i="4" s="1"/>
  <c r="J43" i="4"/>
  <c r="I43" i="4"/>
  <c r="H43" i="4"/>
  <c r="S42" i="4"/>
  <c r="Q42" i="4"/>
  <c r="K42" i="4"/>
  <c r="O42" i="4" s="1"/>
  <c r="J42" i="4"/>
  <c r="N42" i="4" s="1"/>
  <c r="R42" i="4" s="1"/>
  <c r="I42" i="4"/>
  <c r="M42" i="4" s="1"/>
  <c r="H42" i="4"/>
  <c r="L42" i="4" s="1"/>
  <c r="P42" i="4" s="1"/>
  <c r="M41" i="4"/>
  <c r="Q41" i="4" s="1"/>
  <c r="L41" i="4"/>
  <c r="P41" i="4" s="1"/>
  <c r="K41" i="4"/>
  <c r="O41" i="4" s="1"/>
  <c r="S41" i="4" s="1"/>
  <c r="J41" i="4"/>
  <c r="N41" i="4" s="1"/>
  <c r="R41" i="4" s="1"/>
  <c r="I41" i="4"/>
  <c r="H41" i="4"/>
  <c r="R40" i="4"/>
  <c r="K40" i="4"/>
  <c r="O40" i="4" s="1"/>
  <c r="S40" i="4" s="1"/>
  <c r="J40" i="4"/>
  <c r="N40" i="4" s="1"/>
  <c r="I40" i="4"/>
  <c r="M40" i="4" s="1"/>
  <c r="Q40" i="4" s="1"/>
  <c r="H40" i="4"/>
  <c r="L40" i="4" s="1"/>
  <c r="P40" i="4" s="1"/>
  <c r="L39" i="4"/>
  <c r="P39" i="4" s="1"/>
  <c r="K39" i="4"/>
  <c r="O39" i="4" s="1"/>
  <c r="S39" i="4" s="1"/>
  <c r="J39" i="4"/>
  <c r="N39" i="4" s="1"/>
  <c r="R39" i="4" s="1"/>
  <c r="I39" i="4"/>
  <c r="M39" i="4" s="1"/>
  <c r="Q39" i="4" s="1"/>
  <c r="H39" i="4"/>
  <c r="Q38" i="4"/>
  <c r="K38" i="4"/>
  <c r="O38" i="4" s="1"/>
  <c r="S38" i="4" s="1"/>
  <c r="J38" i="4"/>
  <c r="N38" i="4" s="1"/>
  <c r="R38" i="4" s="1"/>
  <c r="I38" i="4"/>
  <c r="M38" i="4" s="1"/>
  <c r="H38" i="4"/>
  <c r="L38" i="4" s="1"/>
  <c r="P38" i="4" s="1"/>
  <c r="K37" i="4"/>
  <c r="O37" i="4" s="1"/>
  <c r="S37" i="4" s="1"/>
  <c r="J37" i="4"/>
  <c r="N37" i="4" s="1"/>
  <c r="R37" i="4" s="1"/>
  <c r="I37" i="4"/>
  <c r="M37" i="4" s="1"/>
  <c r="Q37" i="4" s="1"/>
  <c r="H37" i="4"/>
  <c r="L37" i="4" s="1"/>
  <c r="P37" i="4" s="1"/>
  <c r="K36" i="4"/>
  <c r="O36" i="4" s="1"/>
  <c r="S36" i="4" s="1"/>
  <c r="J36" i="4"/>
  <c r="N36" i="4" s="1"/>
  <c r="R36" i="4" s="1"/>
  <c r="I36" i="4"/>
  <c r="M36" i="4" s="1"/>
  <c r="Q36" i="4" s="1"/>
  <c r="H36" i="4"/>
  <c r="L36" i="4" s="1"/>
  <c r="P36" i="4" s="1"/>
  <c r="O35" i="4"/>
  <c r="S35" i="4" s="1"/>
  <c r="K35" i="4"/>
  <c r="J35" i="4"/>
  <c r="N35" i="4" s="1"/>
  <c r="R35" i="4" s="1"/>
  <c r="I35" i="4"/>
  <c r="M35" i="4" s="1"/>
  <c r="Q35" i="4" s="1"/>
  <c r="H35" i="4"/>
  <c r="L35" i="4" s="1"/>
  <c r="P35" i="4" s="1"/>
  <c r="L34" i="4"/>
  <c r="P34" i="4" s="1"/>
  <c r="K34" i="4"/>
  <c r="O34" i="4" s="1"/>
  <c r="S34" i="4" s="1"/>
  <c r="J34" i="4"/>
  <c r="N34" i="4" s="1"/>
  <c r="R34" i="4" s="1"/>
  <c r="I34" i="4"/>
  <c r="M34" i="4" s="1"/>
  <c r="Q34" i="4" s="1"/>
  <c r="H34" i="4"/>
  <c r="N33" i="4"/>
  <c r="R33" i="4" s="1"/>
  <c r="M33" i="4"/>
  <c r="Q33" i="4" s="1"/>
  <c r="L33" i="4"/>
  <c r="P33" i="4" s="1"/>
  <c r="K33" i="4"/>
  <c r="O33" i="4" s="1"/>
  <c r="S33" i="4" s="1"/>
  <c r="J33" i="4"/>
  <c r="I33" i="4"/>
  <c r="H33" i="4"/>
  <c r="S32" i="4"/>
  <c r="M32" i="4"/>
  <c r="Q32" i="4" s="1"/>
  <c r="K32" i="4"/>
  <c r="O32" i="4" s="1"/>
  <c r="J32" i="4"/>
  <c r="N32" i="4" s="1"/>
  <c r="R32" i="4" s="1"/>
  <c r="I32" i="4"/>
  <c r="H32" i="4"/>
  <c r="L32" i="4" s="1"/>
  <c r="P32" i="4" s="1"/>
  <c r="K31" i="4"/>
  <c r="O31" i="4" s="1"/>
  <c r="S31" i="4" s="1"/>
  <c r="J31" i="4"/>
  <c r="N31" i="4" s="1"/>
  <c r="R31" i="4" s="1"/>
  <c r="I31" i="4"/>
  <c r="M31" i="4" s="1"/>
  <c r="Q31" i="4" s="1"/>
  <c r="H31" i="4"/>
  <c r="L31" i="4" s="1"/>
  <c r="P31" i="4" s="1"/>
  <c r="K30" i="4"/>
  <c r="O30" i="4" s="1"/>
  <c r="S30" i="4" s="1"/>
  <c r="J30" i="4"/>
  <c r="N30" i="4" s="1"/>
  <c r="R30" i="4" s="1"/>
  <c r="I30" i="4"/>
  <c r="M30" i="4" s="1"/>
  <c r="Q30" i="4" s="1"/>
  <c r="H30" i="4"/>
  <c r="L30" i="4" s="1"/>
  <c r="P30" i="4" s="1"/>
  <c r="O29" i="4"/>
  <c r="S29" i="4" s="1"/>
  <c r="N29" i="4"/>
  <c r="R29" i="4" s="1"/>
  <c r="K29" i="4"/>
  <c r="J29" i="4"/>
  <c r="I29" i="4"/>
  <c r="M29" i="4" s="1"/>
  <c r="Q29" i="4" s="1"/>
  <c r="H29" i="4"/>
  <c r="L29" i="4" s="1"/>
  <c r="P29" i="4" s="1"/>
  <c r="S28" i="4"/>
  <c r="R28" i="4"/>
  <c r="K28" i="4"/>
  <c r="O28" i="4" s="1"/>
  <c r="J28" i="4"/>
  <c r="N28" i="4" s="1"/>
  <c r="I28" i="4"/>
  <c r="M28" i="4" s="1"/>
  <c r="Q28" i="4" s="1"/>
  <c r="H28" i="4"/>
  <c r="L28" i="4" s="1"/>
  <c r="P28" i="4" s="1"/>
  <c r="N27" i="4"/>
  <c r="R27" i="4" s="1"/>
  <c r="K27" i="4"/>
  <c r="O27" i="4" s="1"/>
  <c r="S27" i="4" s="1"/>
  <c r="J27" i="4"/>
  <c r="I27" i="4"/>
  <c r="M27" i="4" s="1"/>
  <c r="Q27" i="4" s="1"/>
  <c r="H27" i="4"/>
  <c r="L27" i="4" s="1"/>
  <c r="P27" i="4" s="1"/>
  <c r="L26" i="4"/>
  <c r="P26" i="4" s="1"/>
  <c r="K26" i="4"/>
  <c r="O26" i="4" s="1"/>
  <c r="S26" i="4" s="1"/>
  <c r="J26" i="4"/>
  <c r="N26" i="4" s="1"/>
  <c r="R26" i="4" s="1"/>
  <c r="I26" i="4"/>
  <c r="M26" i="4" s="1"/>
  <c r="Q26" i="4" s="1"/>
  <c r="H26" i="4"/>
  <c r="L25" i="4"/>
  <c r="P25" i="4" s="1"/>
  <c r="K25" i="4"/>
  <c r="O25" i="4" s="1"/>
  <c r="S25" i="4" s="1"/>
  <c r="J25" i="4"/>
  <c r="N25" i="4" s="1"/>
  <c r="R25" i="4" s="1"/>
  <c r="I25" i="4"/>
  <c r="M25" i="4" s="1"/>
  <c r="Q25" i="4" s="1"/>
  <c r="H25" i="4"/>
  <c r="M24" i="4"/>
  <c r="Q24" i="4" s="1"/>
  <c r="K24" i="4"/>
  <c r="O24" i="4" s="1"/>
  <c r="S24" i="4" s="1"/>
  <c r="J24" i="4"/>
  <c r="N24" i="4" s="1"/>
  <c r="R24" i="4" s="1"/>
  <c r="I24" i="4"/>
  <c r="H24" i="4"/>
  <c r="L24" i="4" s="1"/>
  <c r="P24" i="4" s="1"/>
  <c r="K23" i="4"/>
  <c r="O23" i="4" s="1"/>
  <c r="S23" i="4" s="1"/>
  <c r="J23" i="4"/>
  <c r="N23" i="4" s="1"/>
  <c r="R23" i="4" s="1"/>
  <c r="I23" i="4"/>
  <c r="M23" i="4" s="1"/>
  <c r="Q23" i="4" s="1"/>
  <c r="H23" i="4"/>
  <c r="L23" i="4" s="1"/>
  <c r="P23" i="4" s="1"/>
  <c r="S22" i="4"/>
  <c r="L22" i="4"/>
  <c r="P22" i="4" s="1"/>
  <c r="K22" i="4"/>
  <c r="O22" i="4" s="1"/>
  <c r="J22" i="4"/>
  <c r="N22" i="4" s="1"/>
  <c r="R22" i="4" s="1"/>
  <c r="I22" i="4"/>
  <c r="M22" i="4" s="1"/>
  <c r="Q22" i="4" s="1"/>
  <c r="H22" i="4"/>
  <c r="O21" i="4"/>
  <c r="S21" i="4" s="1"/>
  <c r="N21" i="4"/>
  <c r="R21" i="4" s="1"/>
  <c r="M21" i="4"/>
  <c r="Q21" i="4" s="1"/>
  <c r="L21" i="4"/>
  <c r="P21" i="4" s="1"/>
  <c r="K21" i="4"/>
  <c r="J21" i="4"/>
  <c r="I21" i="4"/>
  <c r="H21" i="4"/>
  <c r="R20" i="4"/>
  <c r="M20" i="4"/>
  <c r="Q20" i="4" s="1"/>
  <c r="K20" i="4"/>
  <c r="O20" i="4" s="1"/>
  <c r="S20" i="4" s="1"/>
  <c r="J20" i="4"/>
  <c r="N20" i="4" s="1"/>
  <c r="I20" i="4"/>
  <c r="H20" i="4"/>
  <c r="L20" i="4" s="1"/>
  <c r="P20" i="4" s="1"/>
  <c r="N19" i="4"/>
  <c r="R19" i="4" s="1"/>
  <c r="K19" i="4"/>
  <c r="O19" i="4" s="1"/>
  <c r="S19" i="4" s="1"/>
  <c r="J19" i="4"/>
  <c r="I19" i="4"/>
  <c r="M19" i="4" s="1"/>
  <c r="Q19" i="4" s="1"/>
  <c r="H19" i="4"/>
  <c r="L19" i="4" s="1"/>
  <c r="P19" i="4" s="1"/>
  <c r="K18" i="4"/>
  <c r="O18" i="4" s="1"/>
  <c r="S18" i="4" s="1"/>
  <c r="J18" i="4"/>
  <c r="N18" i="4" s="1"/>
  <c r="R18" i="4" s="1"/>
  <c r="I18" i="4"/>
  <c r="M18" i="4" s="1"/>
  <c r="Q18" i="4" s="1"/>
  <c r="H18" i="4"/>
  <c r="L18" i="4" s="1"/>
  <c r="P18" i="4" s="1"/>
  <c r="O17" i="4"/>
  <c r="S17" i="4" s="1"/>
  <c r="K17" i="4"/>
  <c r="J17" i="4"/>
  <c r="N17" i="4" s="1"/>
  <c r="R17" i="4" s="1"/>
  <c r="I17" i="4"/>
  <c r="M17" i="4" s="1"/>
  <c r="Q17" i="4" s="1"/>
  <c r="H17" i="4"/>
  <c r="L17" i="4" s="1"/>
  <c r="P17" i="4" s="1"/>
  <c r="S16" i="4"/>
  <c r="K16" i="4"/>
  <c r="O16" i="4" s="1"/>
  <c r="J16" i="4"/>
  <c r="N16" i="4" s="1"/>
  <c r="R16" i="4" s="1"/>
  <c r="I16" i="4"/>
  <c r="M16" i="4" s="1"/>
  <c r="Q16" i="4" s="1"/>
  <c r="H16" i="4"/>
  <c r="L16" i="4" s="1"/>
  <c r="P16" i="4" s="1"/>
  <c r="O15" i="4"/>
  <c r="S15" i="4" s="1"/>
  <c r="N15" i="4"/>
  <c r="R15" i="4" s="1"/>
  <c r="K15" i="4"/>
  <c r="J15" i="4"/>
  <c r="I15" i="4"/>
  <c r="M15" i="4" s="1"/>
  <c r="Q15" i="4" s="1"/>
  <c r="H15" i="4"/>
  <c r="L15" i="4" s="1"/>
  <c r="P15" i="4" s="1"/>
  <c r="S14" i="4"/>
  <c r="L14" i="4"/>
  <c r="P14" i="4" s="1"/>
  <c r="K14" i="4"/>
  <c r="O14" i="4" s="1"/>
  <c r="J14" i="4"/>
  <c r="N14" i="4" s="1"/>
  <c r="R14" i="4" s="1"/>
  <c r="I14" i="4"/>
  <c r="M14" i="4" s="1"/>
  <c r="Q14" i="4" s="1"/>
  <c r="H14" i="4"/>
  <c r="M13" i="4"/>
  <c r="Q13" i="4" s="1"/>
  <c r="L13" i="4"/>
  <c r="P13" i="4" s="1"/>
  <c r="K13" i="4"/>
  <c r="O13" i="4" s="1"/>
  <c r="S13" i="4" s="1"/>
  <c r="J13" i="4"/>
  <c r="N13" i="4" s="1"/>
  <c r="R13" i="4" s="1"/>
  <c r="I13" i="4"/>
  <c r="H13" i="4"/>
  <c r="R12" i="4"/>
  <c r="K12" i="4"/>
  <c r="O12" i="4" s="1"/>
  <c r="S12" i="4" s="1"/>
  <c r="J12" i="4"/>
  <c r="N12" i="4" s="1"/>
  <c r="I12" i="4"/>
  <c r="M12" i="4" s="1"/>
  <c r="Q12" i="4" s="1"/>
  <c r="H12" i="4"/>
  <c r="L12" i="4" s="1"/>
  <c r="P12" i="4" s="1"/>
  <c r="K11" i="4"/>
  <c r="O11" i="4" s="1"/>
  <c r="S11" i="4" s="1"/>
  <c r="J11" i="4"/>
  <c r="N11" i="4" s="1"/>
  <c r="R11" i="4" s="1"/>
  <c r="I11" i="4"/>
  <c r="M11" i="4" s="1"/>
  <c r="Q11" i="4" s="1"/>
  <c r="H11" i="4"/>
  <c r="L11" i="4" s="1"/>
  <c r="P11" i="4" s="1"/>
  <c r="S10" i="4"/>
  <c r="K10" i="4"/>
  <c r="O10" i="4" s="1"/>
  <c r="J10" i="4"/>
  <c r="N10" i="4" s="1"/>
  <c r="R10" i="4" s="1"/>
  <c r="I10" i="4"/>
  <c r="M10" i="4" s="1"/>
  <c r="Q10" i="4" s="1"/>
  <c r="H10" i="4"/>
  <c r="L10" i="4" s="1"/>
  <c r="P10" i="4" s="1"/>
  <c r="O9" i="4"/>
  <c r="S9" i="4" s="1"/>
  <c r="N9" i="4"/>
  <c r="R9" i="4" s="1"/>
  <c r="M9" i="4"/>
  <c r="Q9" i="4" s="1"/>
  <c r="K9" i="4"/>
  <c r="J9" i="4"/>
  <c r="I9" i="4"/>
  <c r="H9" i="4"/>
  <c r="L9" i="4" s="1"/>
  <c r="P9" i="4" s="1"/>
  <c r="R8" i="4"/>
  <c r="K8" i="4"/>
  <c r="O8" i="4" s="1"/>
  <c r="S8" i="4" s="1"/>
  <c r="J8" i="4"/>
  <c r="N8" i="4" s="1"/>
  <c r="I8" i="4"/>
  <c r="M8" i="4" s="1"/>
  <c r="Q8" i="4" s="1"/>
  <c r="H8" i="4"/>
  <c r="L8" i="4" s="1"/>
  <c r="P8" i="4" s="1"/>
  <c r="N7" i="4"/>
  <c r="R7" i="4" s="1"/>
  <c r="L7" i="4"/>
  <c r="P7" i="4" s="1"/>
  <c r="K7" i="4"/>
  <c r="O7" i="4" s="1"/>
  <c r="S7" i="4" s="1"/>
  <c r="J7" i="4"/>
  <c r="I7" i="4"/>
  <c r="M7" i="4" s="1"/>
  <c r="Q7" i="4" s="1"/>
  <c r="H7" i="4"/>
  <c r="L6" i="4"/>
  <c r="P6" i="4" s="1"/>
  <c r="K6" i="4"/>
  <c r="O6" i="4" s="1"/>
  <c r="S6" i="4" s="1"/>
  <c r="J6" i="4"/>
  <c r="N6" i="4" s="1"/>
  <c r="R6" i="4" s="1"/>
  <c r="I6" i="4"/>
  <c r="M6" i="4" s="1"/>
  <c r="Q6" i="4" s="1"/>
  <c r="H6" i="4"/>
  <c r="K5" i="4"/>
  <c r="O5" i="4" s="1"/>
  <c r="S5" i="4" s="1"/>
  <c r="J5" i="4"/>
  <c r="N5" i="4" s="1"/>
  <c r="R5" i="4" s="1"/>
  <c r="I5" i="4"/>
  <c r="M5" i="4" s="1"/>
  <c r="Q5" i="4" s="1"/>
  <c r="H5" i="4"/>
  <c r="L5" i="4" s="1"/>
  <c r="P5" i="4" s="1"/>
  <c r="M4" i="4"/>
  <c r="Q4" i="4" s="1"/>
  <c r="K4" i="4"/>
  <c r="O4" i="4" s="1"/>
  <c r="S4" i="4" s="1"/>
  <c r="J4" i="4"/>
  <c r="N4" i="4" s="1"/>
  <c r="R4" i="4" s="1"/>
  <c r="I4" i="4"/>
  <c r="H4" i="4"/>
  <c r="L4" i="4" s="1"/>
  <c r="P4" i="4" s="1"/>
  <c r="O3" i="4"/>
  <c r="S3" i="4" s="1"/>
  <c r="N3" i="4"/>
  <c r="R3" i="4" s="1"/>
  <c r="M3" i="4"/>
  <c r="Q3" i="4" s="1"/>
  <c r="K3" i="4"/>
  <c r="J3" i="4"/>
  <c r="I3" i="4"/>
  <c r="H3" i="4"/>
  <c r="L3" i="4" s="1"/>
  <c r="P3" i="4" s="1"/>
  <c r="L383" i="4" l="1"/>
  <c r="P383" i="4" s="1"/>
  <c r="J96" i="3"/>
  <c r="O96" i="3" s="1"/>
  <c r="T96" i="3" s="1"/>
  <c r="K274" i="3"/>
  <c r="P274" i="3" s="1"/>
  <c r="U274" i="3" s="1"/>
  <c r="J382" i="3"/>
  <c r="O382" i="3" s="1"/>
  <c r="T382" i="3" s="1"/>
  <c r="J274" i="3"/>
  <c r="O274" i="3" s="1"/>
  <c r="T274" i="3" s="1"/>
  <c r="L382" i="3" l="1"/>
  <c r="Q382" i="3" s="1"/>
  <c r="V382" i="3" s="1"/>
  <c r="I382" i="3"/>
  <c r="L381" i="3"/>
  <c r="Q381" i="3" s="1"/>
  <c r="V381" i="3" s="1"/>
  <c r="K381" i="3"/>
  <c r="P381" i="3" s="1"/>
  <c r="U381" i="3" s="1"/>
  <c r="J381" i="3"/>
  <c r="O381" i="3" s="1"/>
  <c r="T381" i="3" s="1"/>
  <c r="I381" i="3"/>
  <c r="N381" i="3" s="1"/>
  <c r="S381" i="3" s="1"/>
  <c r="L380" i="3"/>
  <c r="Q380" i="3" s="1"/>
  <c r="V380" i="3" s="1"/>
  <c r="K380" i="3"/>
  <c r="P380" i="3" s="1"/>
  <c r="U380" i="3" s="1"/>
  <c r="J380" i="3"/>
  <c r="O380" i="3" s="1"/>
  <c r="T380" i="3" s="1"/>
  <c r="I380" i="3"/>
  <c r="N380" i="3" s="1"/>
  <c r="S380" i="3" s="1"/>
  <c r="L379" i="3"/>
  <c r="Q379" i="3" s="1"/>
  <c r="V379" i="3" s="1"/>
  <c r="K379" i="3"/>
  <c r="P379" i="3" s="1"/>
  <c r="U379" i="3" s="1"/>
  <c r="J379" i="3"/>
  <c r="O379" i="3" s="1"/>
  <c r="T379" i="3" s="1"/>
  <c r="I379" i="3"/>
  <c r="N379" i="3" s="1"/>
  <c r="S379" i="3" s="1"/>
  <c r="L378" i="3"/>
  <c r="Q378" i="3" s="1"/>
  <c r="V378" i="3" s="1"/>
  <c r="K378" i="3"/>
  <c r="P378" i="3" s="1"/>
  <c r="U378" i="3" s="1"/>
  <c r="J378" i="3"/>
  <c r="O378" i="3" s="1"/>
  <c r="T378" i="3" s="1"/>
  <c r="I378" i="3"/>
  <c r="N378" i="3" s="1"/>
  <c r="S378" i="3" s="1"/>
  <c r="L377" i="3"/>
  <c r="Q377" i="3" s="1"/>
  <c r="V377" i="3" s="1"/>
  <c r="K377" i="3"/>
  <c r="P377" i="3" s="1"/>
  <c r="U377" i="3" s="1"/>
  <c r="J377" i="3"/>
  <c r="O377" i="3" s="1"/>
  <c r="T377" i="3" s="1"/>
  <c r="I377" i="3"/>
  <c r="N377" i="3" s="1"/>
  <c r="S377" i="3" s="1"/>
  <c r="L376" i="3"/>
  <c r="Q376" i="3" s="1"/>
  <c r="V376" i="3" s="1"/>
  <c r="K376" i="3"/>
  <c r="P376" i="3" s="1"/>
  <c r="U376" i="3" s="1"/>
  <c r="J376" i="3"/>
  <c r="O376" i="3" s="1"/>
  <c r="T376" i="3" s="1"/>
  <c r="I376" i="3"/>
  <c r="N376" i="3" s="1"/>
  <c r="S376" i="3" s="1"/>
  <c r="L375" i="3"/>
  <c r="Q375" i="3" s="1"/>
  <c r="V375" i="3" s="1"/>
  <c r="K375" i="3"/>
  <c r="P375" i="3" s="1"/>
  <c r="U375" i="3" s="1"/>
  <c r="J375" i="3"/>
  <c r="O375" i="3" s="1"/>
  <c r="T375" i="3" s="1"/>
  <c r="I375" i="3"/>
  <c r="N375" i="3" s="1"/>
  <c r="S375" i="3" s="1"/>
  <c r="L374" i="3"/>
  <c r="Q374" i="3" s="1"/>
  <c r="V374" i="3" s="1"/>
  <c r="K374" i="3"/>
  <c r="P374" i="3" s="1"/>
  <c r="U374" i="3" s="1"/>
  <c r="J374" i="3"/>
  <c r="O374" i="3" s="1"/>
  <c r="T374" i="3" s="1"/>
  <c r="I374" i="3"/>
  <c r="N374" i="3" s="1"/>
  <c r="S374" i="3" s="1"/>
  <c r="L373" i="3"/>
  <c r="Q373" i="3" s="1"/>
  <c r="V373" i="3" s="1"/>
  <c r="K373" i="3"/>
  <c r="P373" i="3" s="1"/>
  <c r="U373" i="3" s="1"/>
  <c r="J373" i="3"/>
  <c r="O373" i="3" s="1"/>
  <c r="T373" i="3" s="1"/>
  <c r="I373" i="3"/>
  <c r="N373" i="3" s="1"/>
  <c r="S373" i="3" s="1"/>
  <c r="L372" i="3"/>
  <c r="Q372" i="3" s="1"/>
  <c r="V372" i="3" s="1"/>
  <c r="K372" i="3"/>
  <c r="P372" i="3" s="1"/>
  <c r="U372" i="3" s="1"/>
  <c r="J372" i="3"/>
  <c r="O372" i="3" s="1"/>
  <c r="T372" i="3" s="1"/>
  <c r="I372" i="3"/>
  <c r="N372" i="3" s="1"/>
  <c r="S372" i="3" s="1"/>
  <c r="L371" i="3"/>
  <c r="Q371" i="3" s="1"/>
  <c r="V371" i="3" s="1"/>
  <c r="K371" i="3"/>
  <c r="P371" i="3" s="1"/>
  <c r="U371" i="3" s="1"/>
  <c r="J371" i="3"/>
  <c r="O371" i="3" s="1"/>
  <c r="T371" i="3" s="1"/>
  <c r="I371" i="3"/>
  <c r="N371" i="3" s="1"/>
  <c r="S371" i="3" s="1"/>
  <c r="L370" i="3"/>
  <c r="Q370" i="3" s="1"/>
  <c r="V370" i="3" s="1"/>
  <c r="K370" i="3"/>
  <c r="P370" i="3" s="1"/>
  <c r="U370" i="3" s="1"/>
  <c r="J370" i="3"/>
  <c r="O370" i="3" s="1"/>
  <c r="T370" i="3" s="1"/>
  <c r="I370" i="3"/>
  <c r="N370" i="3" s="1"/>
  <c r="S370" i="3" s="1"/>
  <c r="L369" i="3"/>
  <c r="Q369" i="3" s="1"/>
  <c r="V369" i="3" s="1"/>
  <c r="K369" i="3"/>
  <c r="P369" i="3" s="1"/>
  <c r="U369" i="3" s="1"/>
  <c r="J369" i="3"/>
  <c r="O369" i="3" s="1"/>
  <c r="T369" i="3" s="1"/>
  <c r="I369" i="3"/>
  <c r="N369" i="3" s="1"/>
  <c r="S369" i="3" s="1"/>
  <c r="L368" i="3"/>
  <c r="Q368" i="3" s="1"/>
  <c r="V368" i="3" s="1"/>
  <c r="K368" i="3"/>
  <c r="P368" i="3" s="1"/>
  <c r="U368" i="3" s="1"/>
  <c r="J368" i="3"/>
  <c r="O368" i="3" s="1"/>
  <c r="T368" i="3" s="1"/>
  <c r="I368" i="3"/>
  <c r="N368" i="3" s="1"/>
  <c r="S368" i="3" s="1"/>
  <c r="L367" i="3"/>
  <c r="Q367" i="3" s="1"/>
  <c r="V367" i="3" s="1"/>
  <c r="K367" i="3"/>
  <c r="P367" i="3" s="1"/>
  <c r="U367" i="3" s="1"/>
  <c r="J367" i="3"/>
  <c r="O367" i="3" s="1"/>
  <c r="T367" i="3" s="1"/>
  <c r="I367" i="3"/>
  <c r="N367" i="3" s="1"/>
  <c r="S367" i="3" s="1"/>
  <c r="L366" i="3"/>
  <c r="Q366" i="3" s="1"/>
  <c r="V366" i="3" s="1"/>
  <c r="K366" i="3"/>
  <c r="P366" i="3" s="1"/>
  <c r="U366" i="3" s="1"/>
  <c r="J366" i="3"/>
  <c r="O366" i="3" s="1"/>
  <c r="T366" i="3" s="1"/>
  <c r="I366" i="3"/>
  <c r="N366" i="3" s="1"/>
  <c r="S366" i="3" s="1"/>
  <c r="L365" i="3"/>
  <c r="Q365" i="3" s="1"/>
  <c r="V365" i="3" s="1"/>
  <c r="K365" i="3"/>
  <c r="P365" i="3" s="1"/>
  <c r="U365" i="3" s="1"/>
  <c r="J365" i="3"/>
  <c r="O365" i="3" s="1"/>
  <c r="T365" i="3" s="1"/>
  <c r="I365" i="3"/>
  <c r="N365" i="3" s="1"/>
  <c r="S365" i="3" s="1"/>
  <c r="L364" i="3"/>
  <c r="Q364" i="3" s="1"/>
  <c r="V364" i="3" s="1"/>
  <c r="K364" i="3"/>
  <c r="P364" i="3" s="1"/>
  <c r="U364" i="3" s="1"/>
  <c r="J364" i="3"/>
  <c r="O364" i="3" s="1"/>
  <c r="T364" i="3" s="1"/>
  <c r="I364" i="3"/>
  <c r="N364" i="3" s="1"/>
  <c r="S364" i="3" s="1"/>
  <c r="L363" i="3"/>
  <c r="Q363" i="3" s="1"/>
  <c r="V363" i="3" s="1"/>
  <c r="K363" i="3"/>
  <c r="P363" i="3" s="1"/>
  <c r="U363" i="3" s="1"/>
  <c r="J363" i="3"/>
  <c r="O363" i="3" s="1"/>
  <c r="T363" i="3" s="1"/>
  <c r="I363" i="3"/>
  <c r="N363" i="3" s="1"/>
  <c r="S363" i="3" s="1"/>
  <c r="L362" i="3"/>
  <c r="Q362" i="3" s="1"/>
  <c r="V362" i="3" s="1"/>
  <c r="K362" i="3"/>
  <c r="P362" i="3" s="1"/>
  <c r="U362" i="3" s="1"/>
  <c r="J362" i="3"/>
  <c r="O362" i="3" s="1"/>
  <c r="T362" i="3" s="1"/>
  <c r="I362" i="3"/>
  <c r="N362" i="3" s="1"/>
  <c r="S362" i="3" s="1"/>
  <c r="L361" i="3"/>
  <c r="Q361" i="3" s="1"/>
  <c r="V361" i="3" s="1"/>
  <c r="K361" i="3"/>
  <c r="P361" i="3" s="1"/>
  <c r="U361" i="3" s="1"/>
  <c r="J361" i="3"/>
  <c r="O361" i="3" s="1"/>
  <c r="T361" i="3" s="1"/>
  <c r="I361" i="3"/>
  <c r="N361" i="3" s="1"/>
  <c r="S361" i="3" s="1"/>
  <c r="L360" i="3"/>
  <c r="Q360" i="3" s="1"/>
  <c r="V360" i="3" s="1"/>
  <c r="K360" i="3"/>
  <c r="P360" i="3" s="1"/>
  <c r="U360" i="3" s="1"/>
  <c r="J360" i="3"/>
  <c r="O360" i="3" s="1"/>
  <c r="T360" i="3" s="1"/>
  <c r="I360" i="3"/>
  <c r="N360" i="3" s="1"/>
  <c r="S360" i="3" s="1"/>
  <c r="L359" i="3"/>
  <c r="Q359" i="3" s="1"/>
  <c r="V359" i="3" s="1"/>
  <c r="K359" i="3"/>
  <c r="P359" i="3" s="1"/>
  <c r="U359" i="3" s="1"/>
  <c r="J359" i="3"/>
  <c r="O359" i="3" s="1"/>
  <c r="T359" i="3" s="1"/>
  <c r="I359" i="3"/>
  <c r="N359" i="3" s="1"/>
  <c r="S359" i="3" s="1"/>
  <c r="L358" i="3"/>
  <c r="Q358" i="3" s="1"/>
  <c r="V358" i="3" s="1"/>
  <c r="K358" i="3"/>
  <c r="P358" i="3" s="1"/>
  <c r="U358" i="3" s="1"/>
  <c r="J358" i="3"/>
  <c r="O358" i="3" s="1"/>
  <c r="T358" i="3" s="1"/>
  <c r="I358" i="3"/>
  <c r="N358" i="3" s="1"/>
  <c r="S358" i="3" s="1"/>
  <c r="L357" i="3"/>
  <c r="Q357" i="3" s="1"/>
  <c r="V357" i="3" s="1"/>
  <c r="K357" i="3"/>
  <c r="P357" i="3" s="1"/>
  <c r="U357" i="3" s="1"/>
  <c r="J357" i="3"/>
  <c r="O357" i="3" s="1"/>
  <c r="T357" i="3" s="1"/>
  <c r="I357" i="3"/>
  <c r="N357" i="3" s="1"/>
  <c r="S357" i="3" s="1"/>
  <c r="L356" i="3"/>
  <c r="Q356" i="3" s="1"/>
  <c r="V356" i="3" s="1"/>
  <c r="K356" i="3"/>
  <c r="P356" i="3" s="1"/>
  <c r="U356" i="3" s="1"/>
  <c r="J356" i="3"/>
  <c r="O356" i="3" s="1"/>
  <c r="T356" i="3" s="1"/>
  <c r="I356" i="3"/>
  <c r="N356" i="3" s="1"/>
  <c r="S356" i="3" s="1"/>
  <c r="L355" i="3"/>
  <c r="Q355" i="3" s="1"/>
  <c r="V355" i="3" s="1"/>
  <c r="K355" i="3"/>
  <c r="P355" i="3" s="1"/>
  <c r="U355" i="3" s="1"/>
  <c r="J355" i="3"/>
  <c r="O355" i="3" s="1"/>
  <c r="T355" i="3" s="1"/>
  <c r="I355" i="3"/>
  <c r="N355" i="3" s="1"/>
  <c r="S355" i="3" s="1"/>
  <c r="L354" i="3"/>
  <c r="Q354" i="3" s="1"/>
  <c r="V354" i="3" s="1"/>
  <c r="K354" i="3"/>
  <c r="P354" i="3" s="1"/>
  <c r="U354" i="3" s="1"/>
  <c r="J354" i="3"/>
  <c r="O354" i="3" s="1"/>
  <c r="T354" i="3" s="1"/>
  <c r="I354" i="3"/>
  <c r="N354" i="3" s="1"/>
  <c r="S354" i="3" s="1"/>
  <c r="L353" i="3"/>
  <c r="Q353" i="3" s="1"/>
  <c r="V353" i="3" s="1"/>
  <c r="K353" i="3"/>
  <c r="P353" i="3" s="1"/>
  <c r="U353" i="3" s="1"/>
  <c r="J353" i="3"/>
  <c r="O353" i="3" s="1"/>
  <c r="T353" i="3" s="1"/>
  <c r="I353" i="3"/>
  <c r="N353" i="3" s="1"/>
  <c r="S353" i="3" s="1"/>
  <c r="L352" i="3"/>
  <c r="Q352" i="3" s="1"/>
  <c r="V352" i="3" s="1"/>
  <c r="K352" i="3"/>
  <c r="P352" i="3" s="1"/>
  <c r="U352" i="3" s="1"/>
  <c r="J352" i="3"/>
  <c r="O352" i="3" s="1"/>
  <c r="T352" i="3" s="1"/>
  <c r="I352" i="3"/>
  <c r="N352" i="3" s="1"/>
  <c r="S352" i="3" s="1"/>
  <c r="L351" i="3"/>
  <c r="Q351" i="3" s="1"/>
  <c r="V351" i="3" s="1"/>
  <c r="K351" i="3"/>
  <c r="P351" i="3" s="1"/>
  <c r="U351" i="3" s="1"/>
  <c r="J351" i="3"/>
  <c r="O351" i="3" s="1"/>
  <c r="T351" i="3" s="1"/>
  <c r="I351" i="3"/>
  <c r="N351" i="3" s="1"/>
  <c r="S351" i="3" s="1"/>
  <c r="L350" i="3"/>
  <c r="Q350" i="3" s="1"/>
  <c r="V350" i="3" s="1"/>
  <c r="K350" i="3"/>
  <c r="P350" i="3" s="1"/>
  <c r="U350" i="3" s="1"/>
  <c r="J350" i="3"/>
  <c r="O350" i="3" s="1"/>
  <c r="T350" i="3" s="1"/>
  <c r="I350" i="3"/>
  <c r="N350" i="3" s="1"/>
  <c r="S350" i="3" s="1"/>
  <c r="L349" i="3"/>
  <c r="Q349" i="3" s="1"/>
  <c r="V349" i="3" s="1"/>
  <c r="K349" i="3"/>
  <c r="P349" i="3" s="1"/>
  <c r="U349" i="3" s="1"/>
  <c r="J349" i="3"/>
  <c r="O349" i="3" s="1"/>
  <c r="T349" i="3" s="1"/>
  <c r="I349" i="3"/>
  <c r="N349" i="3" s="1"/>
  <c r="S349" i="3" s="1"/>
  <c r="L348" i="3"/>
  <c r="Q348" i="3" s="1"/>
  <c r="V348" i="3" s="1"/>
  <c r="K348" i="3"/>
  <c r="P348" i="3" s="1"/>
  <c r="U348" i="3" s="1"/>
  <c r="J348" i="3"/>
  <c r="O348" i="3" s="1"/>
  <c r="T348" i="3" s="1"/>
  <c r="I348" i="3"/>
  <c r="N348" i="3" s="1"/>
  <c r="S348" i="3" s="1"/>
  <c r="L347" i="3"/>
  <c r="Q347" i="3" s="1"/>
  <c r="V347" i="3" s="1"/>
  <c r="K347" i="3"/>
  <c r="P347" i="3" s="1"/>
  <c r="U347" i="3" s="1"/>
  <c r="J347" i="3"/>
  <c r="O347" i="3" s="1"/>
  <c r="T347" i="3" s="1"/>
  <c r="I347" i="3"/>
  <c r="N347" i="3" s="1"/>
  <c r="S347" i="3" s="1"/>
  <c r="L346" i="3"/>
  <c r="Q346" i="3" s="1"/>
  <c r="V346" i="3" s="1"/>
  <c r="K346" i="3"/>
  <c r="P346" i="3" s="1"/>
  <c r="U346" i="3" s="1"/>
  <c r="J346" i="3"/>
  <c r="O346" i="3" s="1"/>
  <c r="T346" i="3" s="1"/>
  <c r="I346" i="3"/>
  <c r="N346" i="3" s="1"/>
  <c r="S346" i="3" s="1"/>
  <c r="L345" i="3"/>
  <c r="Q345" i="3" s="1"/>
  <c r="V345" i="3" s="1"/>
  <c r="K345" i="3"/>
  <c r="P345" i="3" s="1"/>
  <c r="U345" i="3" s="1"/>
  <c r="J345" i="3"/>
  <c r="O345" i="3" s="1"/>
  <c r="T345" i="3" s="1"/>
  <c r="I345" i="3"/>
  <c r="N345" i="3" s="1"/>
  <c r="S345" i="3" s="1"/>
  <c r="L344" i="3"/>
  <c r="Q344" i="3" s="1"/>
  <c r="V344" i="3" s="1"/>
  <c r="K344" i="3"/>
  <c r="P344" i="3" s="1"/>
  <c r="U344" i="3" s="1"/>
  <c r="J344" i="3"/>
  <c r="O344" i="3" s="1"/>
  <c r="T344" i="3" s="1"/>
  <c r="I344" i="3"/>
  <c r="N344" i="3" s="1"/>
  <c r="S344" i="3" s="1"/>
  <c r="L343" i="3"/>
  <c r="Q343" i="3" s="1"/>
  <c r="V343" i="3" s="1"/>
  <c r="K343" i="3"/>
  <c r="P343" i="3" s="1"/>
  <c r="U343" i="3" s="1"/>
  <c r="J343" i="3"/>
  <c r="O343" i="3" s="1"/>
  <c r="T343" i="3" s="1"/>
  <c r="I343" i="3"/>
  <c r="N343" i="3" s="1"/>
  <c r="S343" i="3" s="1"/>
  <c r="L342" i="3"/>
  <c r="Q342" i="3" s="1"/>
  <c r="V342" i="3" s="1"/>
  <c r="K342" i="3"/>
  <c r="P342" i="3" s="1"/>
  <c r="U342" i="3" s="1"/>
  <c r="J342" i="3"/>
  <c r="O342" i="3" s="1"/>
  <c r="T342" i="3" s="1"/>
  <c r="I342" i="3"/>
  <c r="N342" i="3" s="1"/>
  <c r="S342" i="3" s="1"/>
  <c r="L341" i="3"/>
  <c r="Q341" i="3" s="1"/>
  <c r="V341" i="3" s="1"/>
  <c r="K341" i="3"/>
  <c r="P341" i="3" s="1"/>
  <c r="U341" i="3" s="1"/>
  <c r="J341" i="3"/>
  <c r="O341" i="3" s="1"/>
  <c r="T341" i="3" s="1"/>
  <c r="I341" i="3"/>
  <c r="N341" i="3" s="1"/>
  <c r="S341" i="3" s="1"/>
  <c r="L340" i="3"/>
  <c r="Q340" i="3" s="1"/>
  <c r="V340" i="3" s="1"/>
  <c r="K340" i="3"/>
  <c r="P340" i="3" s="1"/>
  <c r="U340" i="3" s="1"/>
  <c r="J340" i="3"/>
  <c r="O340" i="3" s="1"/>
  <c r="T340" i="3" s="1"/>
  <c r="I340" i="3"/>
  <c r="N340" i="3" s="1"/>
  <c r="S340" i="3" s="1"/>
  <c r="L339" i="3"/>
  <c r="Q339" i="3" s="1"/>
  <c r="V339" i="3" s="1"/>
  <c r="K339" i="3"/>
  <c r="P339" i="3" s="1"/>
  <c r="U339" i="3" s="1"/>
  <c r="J339" i="3"/>
  <c r="O339" i="3" s="1"/>
  <c r="T339" i="3" s="1"/>
  <c r="I339" i="3"/>
  <c r="N339" i="3" s="1"/>
  <c r="S339" i="3" s="1"/>
  <c r="L338" i="3"/>
  <c r="Q338" i="3" s="1"/>
  <c r="V338" i="3" s="1"/>
  <c r="K338" i="3"/>
  <c r="P338" i="3" s="1"/>
  <c r="U338" i="3" s="1"/>
  <c r="J338" i="3"/>
  <c r="O338" i="3" s="1"/>
  <c r="T338" i="3" s="1"/>
  <c r="I338" i="3"/>
  <c r="N338" i="3" s="1"/>
  <c r="S338" i="3" s="1"/>
  <c r="L337" i="3"/>
  <c r="Q337" i="3" s="1"/>
  <c r="V337" i="3" s="1"/>
  <c r="K337" i="3"/>
  <c r="P337" i="3" s="1"/>
  <c r="U337" i="3" s="1"/>
  <c r="J337" i="3"/>
  <c r="O337" i="3" s="1"/>
  <c r="T337" i="3" s="1"/>
  <c r="I337" i="3"/>
  <c r="N337" i="3" s="1"/>
  <c r="S337" i="3" s="1"/>
  <c r="L336" i="3"/>
  <c r="Q336" i="3" s="1"/>
  <c r="V336" i="3" s="1"/>
  <c r="K336" i="3"/>
  <c r="P336" i="3" s="1"/>
  <c r="U336" i="3" s="1"/>
  <c r="J336" i="3"/>
  <c r="O336" i="3" s="1"/>
  <c r="T336" i="3" s="1"/>
  <c r="I336" i="3"/>
  <c r="N336" i="3" s="1"/>
  <c r="S336" i="3" s="1"/>
  <c r="L335" i="3"/>
  <c r="Q335" i="3" s="1"/>
  <c r="V335" i="3" s="1"/>
  <c r="K335" i="3"/>
  <c r="P335" i="3" s="1"/>
  <c r="U335" i="3" s="1"/>
  <c r="J335" i="3"/>
  <c r="O335" i="3" s="1"/>
  <c r="T335" i="3" s="1"/>
  <c r="I335" i="3"/>
  <c r="N335" i="3" s="1"/>
  <c r="S335" i="3" s="1"/>
  <c r="L334" i="3"/>
  <c r="Q334" i="3" s="1"/>
  <c r="V334" i="3" s="1"/>
  <c r="K334" i="3"/>
  <c r="P334" i="3" s="1"/>
  <c r="U334" i="3" s="1"/>
  <c r="J334" i="3"/>
  <c r="O334" i="3" s="1"/>
  <c r="T334" i="3" s="1"/>
  <c r="I334" i="3"/>
  <c r="N334" i="3" s="1"/>
  <c r="S334" i="3" s="1"/>
  <c r="L333" i="3"/>
  <c r="Q333" i="3" s="1"/>
  <c r="V333" i="3" s="1"/>
  <c r="K333" i="3"/>
  <c r="P333" i="3" s="1"/>
  <c r="U333" i="3" s="1"/>
  <c r="J333" i="3"/>
  <c r="O333" i="3" s="1"/>
  <c r="T333" i="3" s="1"/>
  <c r="I333" i="3"/>
  <c r="N333" i="3" s="1"/>
  <c r="S333" i="3" s="1"/>
  <c r="L332" i="3"/>
  <c r="Q332" i="3" s="1"/>
  <c r="V332" i="3" s="1"/>
  <c r="K332" i="3"/>
  <c r="P332" i="3" s="1"/>
  <c r="U332" i="3" s="1"/>
  <c r="J332" i="3"/>
  <c r="O332" i="3" s="1"/>
  <c r="T332" i="3" s="1"/>
  <c r="I332" i="3"/>
  <c r="N332" i="3" s="1"/>
  <c r="S332" i="3" s="1"/>
  <c r="L331" i="3"/>
  <c r="Q331" i="3" s="1"/>
  <c r="V331" i="3" s="1"/>
  <c r="K331" i="3"/>
  <c r="P331" i="3" s="1"/>
  <c r="U331" i="3" s="1"/>
  <c r="J331" i="3"/>
  <c r="O331" i="3" s="1"/>
  <c r="T331" i="3" s="1"/>
  <c r="I331" i="3"/>
  <c r="N331" i="3" s="1"/>
  <c r="S331" i="3" s="1"/>
  <c r="L330" i="3"/>
  <c r="Q330" i="3" s="1"/>
  <c r="V330" i="3" s="1"/>
  <c r="K330" i="3"/>
  <c r="P330" i="3" s="1"/>
  <c r="U330" i="3" s="1"/>
  <c r="J330" i="3"/>
  <c r="O330" i="3" s="1"/>
  <c r="T330" i="3" s="1"/>
  <c r="I330" i="3"/>
  <c r="N330" i="3" s="1"/>
  <c r="S330" i="3" s="1"/>
  <c r="L329" i="3"/>
  <c r="Q329" i="3" s="1"/>
  <c r="V329" i="3" s="1"/>
  <c r="K329" i="3"/>
  <c r="P329" i="3" s="1"/>
  <c r="U329" i="3" s="1"/>
  <c r="J329" i="3"/>
  <c r="O329" i="3" s="1"/>
  <c r="T329" i="3" s="1"/>
  <c r="I329" i="3"/>
  <c r="N329" i="3" s="1"/>
  <c r="S329" i="3" s="1"/>
  <c r="L328" i="3"/>
  <c r="Q328" i="3" s="1"/>
  <c r="V328" i="3" s="1"/>
  <c r="K328" i="3"/>
  <c r="P328" i="3" s="1"/>
  <c r="U328" i="3" s="1"/>
  <c r="J328" i="3"/>
  <c r="O328" i="3" s="1"/>
  <c r="T328" i="3" s="1"/>
  <c r="I328" i="3"/>
  <c r="N328" i="3" s="1"/>
  <c r="S328" i="3" s="1"/>
  <c r="L327" i="3"/>
  <c r="Q327" i="3" s="1"/>
  <c r="V327" i="3" s="1"/>
  <c r="K327" i="3"/>
  <c r="P327" i="3" s="1"/>
  <c r="U327" i="3" s="1"/>
  <c r="J327" i="3"/>
  <c r="O327" i="3" s="1"/>
  <c r="T327" i="3" s="1"/>
  <c r="I327" i="3"/>
  <c r="N327" i="3" s="1"/>
  <c r="S327" i="3" s="1"/>
  <c r="L326" i="3"/>
  <c r="Q326" i="3" s="1"/>
  <c r="V326" i="3" s="1"/>
  <c r="K326" i="3"/>
  <c r="P326" i="3" s="1"/>
  <c r="U326" i="3" s="1"/>
  <c r="J326" i="3"/>
  <c r="O326" i="3" s="1"/>
  <c r="T326" i="3" s="1"/>
  <c r="I326" i="3"/>
  <c r="N326" i="3" s="1"/>
  <c r="S326" i="3" s="1"/>
  <c r="L325" i="3"/>
  <c r="Q325" i="3" s="1"/>
  <c r="V325" i="3" s="1"/>
  <c r="K325" i="3"/>
  <c r="P325" i="3" s="1"/>
  <c r="U325" i="3" s="1"/>
  <c r="J325" i="3"/>
  <c r="O325" i="3" s="1"/>
  <c r="T325" i="3" s="1"/>
  <c r="I325" i="3"/>
  <c r="N325" i="3" s="1"/>
  <c r="S325" i="3" s="1"/>
  <c r="L324" i="3"/>
  <c r="Q324" i="3" s="1"/>
  <c r="V324" i="3" s="1"/>
  <c r="K324" i="3"/>
  <c r="P324" i="3" s="1"/>
  <c r="U324" i="3" s="1"/>
  <c r="J324" i="3"/>
  <c r="O324" i="3" s="1"/>
  <c r="T324" i="3" s="1"/>
  <c r="I324" i="3"/>
  <c r="N324" i="3" s="1"/>
  <c r="S324" i="3" s="1"/>
  <c r="L323" i="3"/>
  <c r="Q323" i="3" s="1"/>
  <c r="V323" i="3" s="1"/>
  <c r="K323" i="3"/>
  <c r="P323" i="3" s="1"/>
  <c r="U323" i="3" s="1"/>
  <c r="J323" i="3"/>
  <c r="O323" i="3" s="1"/>
  <c r="T323" i="3" s="1"/>
  <c r="I323" i="3"/>
  <c r="N323" i="3" s="1"/>
  <c r="S323" i="3" s="1"/>
  <c r="L322" i="3"/>
  <c r="Q322" i="3" s="1"/>
  <c r="V322" i="3" s="1"/>
  <c r="K322" i="3"/>
  <c r="P322" i="3" s="1"/>
  <c r="U322" i="3" s="1"/>
  <c r="J322" i="3"/>
  <c r="O322" i="3" s="1"/>
  <c r="T322" i="3" s="1"/>
  <c r="I322" i="3"/>
  <c r="N322" i="3" s="1"/>
  <c r="S322" i="3" s="1"/>
  <c r="L321" i="3"/>
  <c r="Q321" i="3" s="1"/>
  <c r="V321" i="3" s="1"/>
  <c r="K321" i="3"/>
  <c r="P321" i="3" s="1"/>
  <c r="U321" i="3" s="1"/>
  <c r="J321" i="3"/>
  <c r="O321" i="3" s="1"/>
  <c r="T321" i="3" s="1"/>
  <c r="I321" i="3"/>
  <c r="N321" i="3" s="1"/>
  <c r="S321" i="3" s="1"/>
  <c r="L320" i="3"/>
  <c r="Q320" i="3" s="1"/>
  <c r="V320" i="3" s="1"/>
  <c r="K320" i="3"/>
  <c r="P320" i="3" s="1"/>
  <c r="U320" i="3" s="1"/>
  <c r="J320" i="3"/>
  <c r="O320" i="3" s="1"/>
  <c r="T320" i="3" s="1"/>
  <c r="I320" i="3"/>
  <c r="N320" i="3" s="1"/>
  <c r="S320" i="3" s="1"/>
  <c r="L319" i="3"/>
  <c r="Q319" i="3" s="1"/>
  <c r="V319" i="3" s="1"/>
  <c r="K319" i="3"/>
  <c r="P319" i="3" s="1"/>
  <c r="U319" i="3" s="1"/>
  <c r="J319" i="3"/>
  <c r="O319" i="3" s="1"/>
  <c r="T319" i="3" s="1"/>
  <c r="I319" i="3"/>
  <c r="N319" i="3" s="1"/>
  <c r="S319" i="3" s="1"/>
  <c r="L318" i="3"/>
  <c r="Q318" i="3" s="1"/>
  <c r="V318" i="3" s="1"/>
  <c r="K318" i="3"/>
  <c r="P318" i="3" s="1"/>
  <c r="U318" i="3" s="1"/>
  <c r="J318" i="3"/>
  <c r="O318" i="3" s="1"/>
  <c r="T318" i="3" s="1"/>
  <c r="I318" i="3"/>
  <c r="N318" i="3" s="1"/>
  <c r="S318" i="3" s="1"/>
  <c r="L317" i="3"/>
  <c r="Q317" i="3" s="1"/>
  <c r="V317" i="3" s="1"/>
  <c r="K317" i="3"/>
  <c r="P317" i="3" s="1"/>
  <c r="U317" i="3" s="1"/>
  <c r="J317" i="3"/>
  <c r="O317" i="3" s="1"/>
  <c r="T317" i="3" s="1"/>
  <c r="I317" i="3"/>
  <c r="N317" i="3" s="1"/>
  <c r="S317" i="3" s="1"/>
  <c r="L316" i="3"/>
  <c r="Q316" i="3" s="1"/>
  <c r="V316" i="3" s="1"/>
  <c r="K316" i="3"/>
  <c r="P316" i="3" s="1"/>
  <c r="U316" i="3" s="1"/>
  <c r="J316" i="3"/>
  <c r="O316" i="3" s="1"/>
  <c r="T316" i="3" s="1"/>
  <c r="I316" i="3"/>
  <c r="N316" i="3" s="1"/>
  <c r="S316" i="3" s="1"/>
  <c r="L315" i="3"/>
  <c r="Q315" i="3" s="1"/>
  <c r="V315" i="3" s="1"/>
  <c r="K315" i="3"/>
  <c r="P315" i="3" s="1"/>
  <c r="U315" i="3" s="1"/>
  <c r="J315" i="3"/>
  <c r="O315" i="3" s="1"/>
  <c r="T315" i="3" s="1"/>
  <c r="I315" i="3"/>
  <c r="N315" i="3" s="1"/>
  <c r="S315" i="3" s="1"/>
  <c r="L314" i="3"/>
  <c r="Q314" i="3" s="1"/>
  <c r="V314" i="3" s="1"/>
  <c r="K314" i="3"/>
  <c r="P314" i="3" s="1"/>
  <c r="U314" i="3" s="1"/>
  <c r="J314" i="3"/>
  <c r="O314" i="3" s="1"/>
  <c r="T314" i="3" s="1"/>
  <c r="I314" i="3"/>
  <c r="N314" i="3" s="1"/>
  <c r="S314" i="3" s="1"/>
  <c r="L313" i="3"/>
  <c r="Q313" i="3" s="1"/>
  <c r="V313" i="3" s="1"/>
  <c r="K313" i="3"/>
  <c r="P313" i="3" s="1"/>
  <c r="U313" i="3" s="1"/>
  <c r="J313" i="3"/>
  <c r="O313" i="3" s="1"/>
  <c r="T313" i="3" s="1"/>
  <c r="I313" i="3"/>
  <c r="N313" i="3" s="1"/>
  <c r="S313" i="3" s="1"/>
  <c r="L312" i="3"/>
  <c r="Q312" i="3" s="1"/>
  <c r="V312" i="3" s="1"/>
  <c r="K312" i="3"/>
  <c r="P312" i="3" s="1"/>
  <c r="U312" i="3" s="1"/>
  <c r="J312" i="3"/>
  <c r="O312" i="3" s="1"/>
  <c r="T312" i="3" s="1"/>
  <c r="I312" i="3"/>
  <c r="N312" i="3" s="1"/>
  <c r="S312" i="3" s="1"/>
  <c r="L311" i="3"/>
  <c r="Q311" i="3" s="1"/>
  <c r="V311" i="3" s="1"/>
  <c r="K311" i="3"/>
  <c r="P311" i="3" s="1"/>
  <c r="U311" i="3" s="1"/>
  <c r="J311" i="3"/>
  <c r="O311" i="3" s="1"/>
  <c r="T311" i="3" s="1"/>
  <c r="I311" i="3"/>
  <c r="N311" i="3" s="1"/>
  <c r="S311" i="3" s="1"/>
  <c r="L310" i="3"/>
  <c r="Q310" i="3" s="1"/>
  <c r="V310" i="3" s="1"/>
  <c r="K310" i="3"/>
  <c r="P310" i="3" s="1"/>
  <c r="U310" i="3" s="1"/>
  <c r="J310" i="3"/>
  <c r="O310" i="3" s="1"/>
  <c r="T310" i="3" s="1"/>
  <c r="I310" i="3"/>
  <c r="N310" i="3" s="1"/>
  <c r="S310" i="3" s="1"/>
  <c r="L309" i="3"/>
  <c r="Q309" i="3" s="1"/>
  <c r="V309" i="3" s="1"/>
  <c r="K309" i="3"/>
  <c r="P309" i="3" s="1"/>
  <c r="U309" i="3" s="1"/>
  <c r="J309" i="3"/>
  <c r="O309" i="3" s="1"/>
  <c r="T309" i="3" s="1"/>
  <c r="I309" i="3"/>
  <c r="N309" i="3" s="1"/>
  <c r="S309" i="3" s="1"/>
  <c r="L308" i="3"/>
  <c r="Q308" i="3" s="1"/>
  <c r="V308" i="3" s="1"/>
  <c r="K308" i="3"/>
  <c r="P308" i="3" s="1"/>
  <c r="U308" i="3" s="1"/>
  <c r="J308" i="3"/>
  <c r="O308" i="3" s="1"/>
  <c r="T308" i="3" s="1"/>
  <c r="I308" i="3"/>
  <c r="N308" i="3" s="1"/>
  <c r="S308" i="3" s="1"/>
  <c r="L307" i="3"/>
  <c r="Q307" i="3" s="1"/>
  <c r="V307" i="3" s="1"/>
  <c r="K307" i="3"/>
  <c r="P307" i="3" s="1"/>
  <c r="U307" i="3" s="1"/>
  <c r="J307" i="3"/>
  <c r="O307" i="3" s="1"/>
  <c r="T307" i="3" s="1"/>
  <c r="I307" i="3"/>
  <c r="N307" i="3" s="1"/>
  <c r="S307" i="3" s="1"/>
  <c r="L306" i="3"/>
  <c r="Q306" i="3" s="1"/>
  <c r="V306" i="3" s="1"/>
  <c r="K306" i="3"/>
  <c r="P306" i="3" s="1"/>
  <c r="U306" i="3" s="1"/>
  <c r="J306" i="3"/>
  <c r="O306" i="3" s="1"/>
  <c r="T306" i="3" s="1"/>
  <c r="I306" i="3"/>
  <c r="N306" i="3" s="1"/>
  <c r="S306" i="3" s="1"/>
  <c r="L305" i="3"/>
  <c r="Q305" i="3" s="1"/>
  <c r="V305" i="3" s="1"/>
  <c r="K305" i="3"/>
  <c r="P305" i="3" s="1"/>
  <c r="U305" i="3" s="1"/>
  <c r="J305" i="3"/>
  <c r="O305" i="3" s="1"/>
  <c r="T305" i="3" s="1"/>
  <c r="I305" i="3"/>
  <c r="N305" i="3" s="1"/>
  <c r="S305" i="3" s="1"/>
  <c r="L304" i="3"/>
  <c r="Q304" i="3" s="1"/>
  <c r="V304" i="3" s="1"/>
  <c r="K304" i="3"/>
  <c r="P304" i="3" s="1"/>
  <c r="U304" i="3" s="1"/>
  <c r="J304" i="3"/>
  <c r="O304" i="3" s="1"/>
  <c r="T304" i="3" s="1"/>
  <c r="I304" i="3"/>
  <c r="N304" i="3" s="1"/>
  <c r="S304" i="3" s="1"/>
  <c r="L303" i="3"/>
  <c r="Q303" i="3" s="1"/>
  <c r="V303" i="3" s="1"/>
  <c r="K303" i="3"/>
  <c r="P303" i="3" s="1"/>
  <c r="U303" i="3" s="1"/>
  <c r="J303" i="3"/>
  <c r="O303" i="3" s="1"/>
  <c r="T303" i="3" s="1"/>
  <c r="I303" i="3"/>
  <c r="N303" i="3" s="1"/>
  <c r="S303" i="3" s="1"/>
  <c r="L302" i="3"/>
  <c r="Q302" i="3" s="1"/>
  <c r="V302" i="3" s="1"/>
  <c r="K302" i="3"/>
  <c r="P302" i="3" s="1"/>
  <c r="U302" i="3" s="1"/>
  <c r="J302" i="3"/>
  <c r="O302" i="3" s="1"/>
  <c r="T302" i="3" s="1"/>
  <c r="I302" i="3"/>
  <c r="N302" i="3" s="1"/>
  <c r="S302" i="3" s="1"/>
  <c r="L301" i="3"/>
  <c r="Q301" i="3" s="1"/>
  <c r="V301" i="3" s="1"/>
  <c r="K301" i="3"/>
  <c r="P301" i="3" s="1"/>
  <c r="U301" i="3" s="1"/>
  <c r="J301" i="3"/>
  <c r="O301" i="3" s="1"/>
  <c r="T301" i="3" s="1"/>
  <c r="I301" i="3"/>
  <c r="N301" i="3" s="1"/>
  <c r="S301" i="3" s="1"/>
  <c r="L300" i="3"/>
  <c r="Q300" i="3" s="1"/>
  <c r="V300" i="3" s="1"/>
  <c r="K300" i="3"/>
  <c r="P300" i="3" s="1"/>
  <c r="U300" i="3" s="1"/>
  <c r="J300" i="3"/>
  <c r="O300" i="3" s="1"/>
  <c r="T300" i="3" s="1"/>
  <c r="I300" i="3"/>
  <c r="N300" i="3" s="1"/>
  <c r="S300" i="3" s="1"/>
  <c r="L299" i="3"/>
  <c r="Q299" i="3" s="1"/>
  <c r="V299" i="3" s="1"/>
  <c r="K299" i="3"/>
  <c r="P299" i="3" s="1"/>
  <c r="U299" i="3" s="1"/>
  <c r="J299" i="3"/>
  <c r="O299" i="3" s="1"/>
  <c r="T299" i="3" s="1"/>
  <c r="I299" i="3"/>
  <c r="N299" i="3" s="1"/>
  <c r="S299" i="3" s="1"/>
  <c r="L298" i="3"/>
  <c r="Q298" i="3" s="1"/>
  <c r="V298" i="3" s="1"/>
  <c r="K298" i="3"/>
  <c r="P298" i="3" s="1"/>
  <c r="U298" i="3" s="1"/>
  <c r="J298" i="3"/>
  <c r="O298" i="3" s="1"/>
  <c r="T298" i="3" s="1"/>
  <c r="I298" i="3"/>
  <c r="N298" i="3" s="1"/>
  <c r="S298" i="3" s="1"/>
  <c r="L297" i="3"/>
  <c r="Q297" i="3" s="1"/>
  <c r="V297" i="3" s="1"/>
  <c r="K297" i="3"/>
  <c r="P297" i="3" s="1"/>
  <c r="U297" i="3" s="1"/>
  <c r="J297" i="3"/>
  <c r="O297" i="3" s="1"/>
  <c r="T297" i="3" s="1"/>
  <c r="I297" i="3"/>
  <c r="N297" i="3" s="1"/>
  <c r="S297" i="3" s="1"/>
  <c r="L296" i="3"/>
  <c r="Q296" i="3" s="1"/>
  <c r="V296" i="3" s="1"/>
  <c r="K296" i="3"/>
  <c r="P296" i="3" s="1"/>
  <c r="U296" i="3" s="1"/>
  <c r="J296" i="3"/>
  <c r="O296" i="3" s="1"/>
  <c r="T296" i="3" s="1"/>
  <c r="I296" i="3"/>
  <c r="N296" i="3" s="1"/>
  <c r="S296" i="3" s="1"/>
  <c r="L295" i="3"/>
  <c r="Q295" i="3" s="1"/>
  <c r="V295" i="3" s="1"/>
  <c r="K295" i="3"/>
  <c r="P295" i="3" s="1"/>
  <c r="U295" i="3" s="1"/>
  <c r="J295" i="3"/>
  <c r="O295" i="3" s="1"/>
  <c r="T295" i="3" s="1"/>
  <c r="I295" i="3"/>
  <c r="N295" i="3" s="1"/>
  <c r="S295" i="3" s="1"/>
  <c r="L294" i="3"/>
  <c r="Q294" i="3" s="1"/>
  <c r="V294" i="3" s="1"/>
  <c r="K294" i="3"/>
  <c r="P294" i="3" s="1"/>
  <c r="U294" i="3" s="1"/>
  <c r="J294" i="3"/>
  <c r="O294" i="3" s="1"/>
  <c r="T294" i="3" s="1"/>
  <c r="I294" i="3"/>
  <c r="N294" i="3" s="1"/>
  <c r="S294" i="3" s="1"/>
  <c r="L293" i="3"/>
  <c r="Q293" i="3" s="1"/>
  <c r="V293" i="3" s="1"/>
  <c r="K293" i="3"/>
  <c r="P293" i="3" s="1"/>
  <c r="U293" i="3" s="1"/>
  <c r="J293" i="3"/>
  <c r="O293" i="3" s="1"/>
  <c r="T293" i="3" s="1"/>
  <c r="I293" i="3"/>
  <c r="N293" i="3" s="1"/>
  <c r="S293" i="3" s="1"/>
  <c r="L292" i="3"/>
  <c r="Q292" i="3" s="1"/>
  <c r="V292" i="3" s="1"/>
  <c r="K292" i="3"/>
  <c r="P292" i="3" s="1"/>
  <c r="U292" i="3" s="1"/>
  <c r="J292" i="3"/>
  <c r="O292" i="3" s="1"/>
  <c r="T292" i="3" s="1"/>
  <c r="I292" i="3"/>
  <c r="N292" i="3" s="1"/>
  <c r="S292" i="3" s="1"/>
  <c r="L291" i="3"/>
  <c r="Q291" i="3" s="1"/>
  <c r="V291" i="3" s="1"/>
  <c r="K291" i="3"/>
  <c r="P291" i="3" s="1"/>
  <c r="U291" i="3" s="1"/>
  <c r="J291" i="3"/>
  <c r="O291" i="3" s="1"/>
  <c r="T291" i="3" s="1"/>
  <c r="I291" i="3"/>
  <c r="N291" i="3" s="1"/>
  <c r="S291" i="3" s="1"/>
  <c r="L290" i="3"/>
  <c r="Q290" i="3" s="1"/>
  <c r="V290" i="3" s="1"/>
  <c r="K290" i="3"/>
  <c r="P290" i="3" s="1"/>
  <c r="U290" i="3" s="1"/>
  <c r="J290" i="3"/>
  <c r="O290" i="3" s="1"/>
  <c r="T290" i="3" s="1"/>
  <c r="I290" i="3"/>
  <c r="N290" i="3" s="1"/>
  <c r="S290" i="3" s="1"/>
  <c r="L289" i="3"/>
  <c r="Q289" i="3" s="1"/>
  <c r="V289" i="3" s="1"/>
  <c r="K289" i="3"/>
  <c r="P289" i="3" s="1"/>
  <c r="U289" i="3" s="1"/>
  <c r="J289" i="3"/>
  <c r="O289" i="3" s="1"/>
  <c r="T289" i="3" s="1"/>
  <c r="I289" i="3"/>
  <c r="N289" i="3" s="1"/>
  <c r="S289" i="3" s="1"/>
  <c r="L288" i="3"/>
  <c r="Q288" i="3" s="1"/>
  <c r="V288" i="3" s="1"/>
  <c r="K288" i="3"/>
  <c r="P288" i="3" s="1"/>
  <c r="U288" i="3" s="1"/>
  <c r="J288" i="3"/>
  <c r="O288" i="3" s="1"/>
  <c r="T288" i="3" s="1"/>
  <c r="I288" i="3"/>
  <c r="N288" i="3" s="1"/>
  <c r="S288" i="3" s="1"/>
  <c r="L287" i="3"/>
  <c r="Q287" i="3" s="1"/>
  <c r="V287" i="3" s="1"/>
  <c r="K287" i="3"/>
  <c r="P287" i="3" s="1"/>
  <c r="U287" i="3" s="1"/>
  <c r="J287" i="3"/>
  <c r="O287" i="3" s="1"/>
  <c r="T287" i="3" s="1"/>
  <c r="I287" i="3"/>
  <c r="N287" i="3" s="1"/>
  <c r="S287" i="3" s="1"/>
  <c r="L286" i="3"/>
  <c r="Q286" i="3" s="1"/>
  <c r="V286" i="3" s="1"/>
  <c r="K286" i="3"/>
  <c r="P286" i="3" s="1"/>
  <c r="U286" i="3" s="1"/>
  <c r="J286" i="3"/>
  <c r="O286" i="3" s="1"/>
  <c r="T286" i="3" s="1"/>
  <c r="I286" i="3"/>
  <c r="N286" i="3" s="1"/>
  <c r="S286" i="3" s="1"/>
  <c r="L285" i="3"/>
  <c r="Q285" i="3" s="1"/>
  <c r="V285" i="3" s="1"/>
  <c r="K285" i="3"/>
  <c r="P285" i="3" s="1"/>
  <c r="U285" i="3" s="1"/>
  <c r="J285" i="3"/>
  <c r="O285" i="3" s="1"/>
  <c r="T285" i="3" s="1"/>
  <c r="I285" i="3"/>
  <c r="N285" i="3" s="1"/>
  <c r="S285" i="3" s="1"/>
  <c r="L284" i="3"/>
  <c r="Q284" i="3" s="1"/>
  <c r="V284" i="3" s="1"/>
  <c r="K284" i="3"/>
  <c r="P284" i="3" s="1"/>
  <c r="U284" i="3" s="1"/>
  <c r="J284" i="3"/>
  <c r="O284" i="3" s="1"/>
  <c r="T284" i="3" s="1"/>
  <c r="I284" i="3"/>
  <c r="N284" i="3" s="1"/>
  <c r="S284" i="3" s="1"/>
  <c r="L283" i="3"/>
  <c r="Q283" i="3" s="1"/>
  <c r="V283" i="3" s="1"/>
  <c r="K283" i="3"/>
  <c r="P283" i="3" s="1"/>
  <c r="U283" i="3" s="1"/>
  <c r="J283" i="3"/>
  <c r="O283" i="3" s="1"/>
  <c r="T283" i="3" s="1"/>
  <c r="I283" i="3"/>
  <c r="N283" i="3" s="1"/>
  <c r="S283" i="3" s="1"/>
  <c r="L282" i="3"/>
  <c r="Q282" i="3" s="1"/>
  <c r="V282" i="3" s="1"/>
  <c r="K282" i="3"/>
  <c r="P282" i="3" s="1"/>
  <c r="U282" i="3" s="1"/>
  <c r="J282" i="3"/>
  <c r="O282" i="3" s="1"/>
  <c r="T282" i="3" s="1"/>
  <c r="I282" i="3"/>
  <c r="N282" i="3" s="1"/>
  <c r="S282" i="3" s="1"/>
  <c r="L281" i="3"/>
  <c r="Q281" i="3" s="1"/>
  <c r="V281" i="3" s="1"/>
  <c r="K281" i="3"/>
  <c r="P281" i="3" s="1"/>
  <c r="U281" i="3" s="1"/>
  <c r="J281" i="3"/>
  <c r="O281" i="3" s="1"/>
  <c r="T281" i="3" s="1"/>
  <c r="I281" i="3"/>
  <c r="N281" i="3" s="1"/>
  <c r="S281" i="3" s="1"/>
  <c r="L280" i="3"/>
  <c r="Q280" i="3" s="1"/>
  <c r="V280" i="3" s="1"/>
  <c r="K280" i="3"/>
  <c r="P280" i="3" s="1"/>
  <c r="U280" i="3" s="1"/>
  <c r="J280" i="3"/>
  <c r="O280" i="3" s="1"/>
  <c r="T280" i="3" s="1"/>
  <c r="I280" i="3"/>
  <c r="N280" i="3" s="1"/>
  <c r="S280" i="3" s="1"/>
  <c r="L279" i="3"/>
  <c r="Q279" i="3" s="1"/>
  <c r="V279" i="3" s="1"/>
  <c r="K279" i="3"/>
  <c r="P279" i="3" s="1"/>
  <c r="U279" i="3" s="1"/>
  <c r="J279" i="3"/>
  <c r="O279" i="3" s="1"/>
  <c r="T279" i="3" s="1"/>
  <c r="I279" i="3"/>
  <c r="N279" i="3" s="1"/>
  <c r="S279" i="3" s="1"/>
  <c r="L278" i="3"/>
  <c r="Q278" i="3" s="1"/>
  <c r="V278" i="3" s="1"/>
  <c r="K278" i="3"/>
  <c r="P278" i="3" s="1"/>
  <c r="U278" i="3" s="1"/>
  <c r="J278" i="3"/>
  <c r="O278" i="3" s="1"/>
  <c r="T278" i="3" s="1"/>
  <c r="I278" i="3"/>
  <c r="N278" i="3" s="1"/>
  <c r="S278" i="3" s="1"/>
  <c r="L277" i="3"/>
  <c r="Q277" i="3" s="1"/>
  <c r="V277" i="3" s="1"/>
  <c r="K277" i="3"/>
  <c r="P277" i="3" s="1"/>
  <c r="U277" i="3" s="1"/>
  <c r="J277" i="3"/>
  <c r="O277" i="3" s="1"/>
  <c r="T277" i="3" s="1"/>
  <c r="I277" i="3"/>
  <c r="N277" i="3" s="1"/>
  <c r="S277" i="3" s="1"/>
  <c r="L276" i="3"/>
  <c r="Q276" i="3" s="1"/>
  <c r="V276" i="3" s="1"/>
  <c r="K276" i="3"/>
  <c r="P276" i="3" s="1"/>
  <c r="U276" i="3" s="1"/>
  <c r="J276" i="3"/>
  <c r="O276" i="3" s="1"/>
  <c r="T276" i="3" s="1"/>
  <c r="I276" i="3"/>
  <c r="N276" i="3" s="1"/>
  <c r="S276" i="3" s="1"/>
  <c r="L275" i="3"/>
  <c r="Q275" i="3" s="1"/>
  <c r="V275" i="3" s="1"/>
  <c r="K275" i="3"/>
  <c r="P275" i="3" s="1"/>
  <c r="U275" i="3" s="1"/>
  <c r="J275" i="3"/>
  <c r="O275" i="3" s="1"/>
  <c r="T275" i="3" s="1"/>
  <c r="I275" i="3"/>
  <c r="N275" i="3" s="1"/>
  <c r="S275" i="3" s="1"/>
  <c r="L274" i="3"/>
  <c r="Q274" i="3" s="1"/>
  <c r="V274" i="3" s="1"/>
  <c r="I274" i="3"/>
  <c r="N274" i="3" s="1"/>
  <c r="S274" i="3" s="1"/>
  <c r="L273" i="3"/>
  <c r="Q273" i="3" s="1"/>
  <c r="V273" i="3" s="1"/>
  <c r="K273" i="3"/>
  <c r="P273" i="3" s="1"/>
  <c r="U273" i="3" s="1"/>
  <c r="J273" i="3"/>
  <c r="O273" i="3" s="1"/>
  <c r="T273" i="3" s="1"/>
  <c r="I273" i="3"/>
  <c r="N273" i="3" s="1"/>
  <c r="S273" i="3" s="1"/>
  <c r="L272" i="3"/>
  <c r="Q272" i="3" s="1"/>
  <c r="V272" i="3" s="1"/>
  <c r="K272" i="3"/>
  <c r="P272" i="3" s="1"/>
  <c r="U272" i="3" s="1"/>
  <c r="J272" i="3"/>
  <c r="O272" i="3" s="1"/>
  <c r="T272" i="3" s="1"/>
  <c r="I272" i="3"/>
  <c r="N272" i="3" s="1"/>
  <c r="S272" i="3" s="1"/>
  <c r="L271" i="3"/>
  <c r="Q271" i="3" s="1"/>
  <c r="V271" i="3" s="1"/>
  <c r="K271" i="3"/>
  <c r="P271" i="3" s="1"/>
  <c r="U271" i="3" s="1"/>
  <c r="J271" i="3"/>
  <c r="O271" i="3" s="1"/>
  <c r="T271" i="3" s="1"/>
  <c r="I271" i="3"/>
  <c r="N271" i="3" s="1"/>
  <c r="S271" i="3" s="1"/>
  <c r="L270" i="3"/>
  <c r="Q270" i="3" s="1"/>
  <c r="V270" i="3" s="1"/>
  <c r="K270" i="3"/>
  <c r="P270" i="3" s="1"/>
  <c r="U270" i="3" s="1"/>
  <c r="J270" i="3"/>
  <c r="O270" i="3" s="1"/>
  <c r="T270" i="3" s="1"/>
  <c r="I270" i="3"/>
  <c r="N270" i="3" s="1"/>
  <c r="S270" i="3" s="1"/>
  <c r="L269" i="3"/>
  <c r="Q269" i="3" s="1"/>
  <c r="V269" i="3" s="1"/>
  <c r="K269" i="3"/>
  <c r="P269" i="3" s="1"/>
  <c r="U269" i="3" s="1"/>
  <c r="J269" i="3"/>
  <c r="O269" i="3" s="1"/>
  <c r="T269" i="3" s="1"/>
  <c r="I269" i="3"/>
  <c r="N269" i="3" s="1"/>
  <c r="S269" i="3" s="1"/>
  <c r="L268" i="3"/>
  <c r="Q268" i="3" s="1"/>
  <c r="V268" i="3" s="1"/>
  <c r="K268" i="3"/>
  <c r="P268" i="3" s="1"/>
  <c r="U268" i="3" s="1"/>
  <c r="J268" i="3"/>
  <c r="O268" i="3" s="1"/>
  <c r="T268" i="3" s="1"/>
  <c r="I268" i="3"/>
  <c r="N268" i="3" s="1"/>
  <c r="S268" i="3" s="1"/>
  <c r="L267" i="3"/>
  <c r="Q267" i="3" s="1"/>
  <c r="V267" i="3" s="1"/>
  <c r="K267" i="3"/>
  <c r="P267" i="3" s="1"/>
  <c r="U267" i="3" s="1"/>
  <c r="J267" i="3"/>
  <c r="O267" i="3" s="1"/>
  <c r="T267" i="3" s="1"/>
  <c r="I267" i="3"/>
  <c r="N267" i="3" s="1"/>
  <c r="S267" i="3" s="1"/>
  <c r="L266" i="3"/>
  <c r="Q266" i="3" s="1"/>
  <c r="V266" i="3" s="1"/>
  <c r="K266" i="3"/>
  <c r="P266" i="3" s="1"/>
  <c r="U266" i="3" s="1"/>
  <c r="J266" i="3"/>
  <c r="O266" i="3" s="1"/>
  <c r="T266" i="3" s="1"/>
  <c r="I266" i="3"/>
  <c r="N266" i="3" s="1"/>
  <c r="S266" i="3" s="1"/>
  <c r="L265" i="3"/>
  <c r="Q265" i="3" s="1"/>
  <c r="V265" i="3" s="1"/>
  <c r="K265" i="3"/>
  <c r="P265" i="3" s="1"/>
  <c r="U265" i="3" s="1"/>
  <c r="J265" i="3"/>
  <c r="O265" i="3" s="1"/>
  <c r="T265" i="3" s="1"/>
  <c r="I265" i="3"/>
  <c r="N265" i="3" s="1"/>
  <c r="S265" i="3" s="1"/>
  <c r="L264" i="3"/>
  <c r="Q264" i="3" s="1"/>
  <c r="V264" i="3" s="1"/>
  <c r="K264" i="3"/>
  <c r="P264" i="3" s="1"/>
  <c r="U264" i="3" s="1"/>
  <c r="J264" i="3"/>
  <c r="O264" i="3" s="1"/>
  <c r="T264" i="3" s="1"/>
  <c r="I264" i="3"/>
  <c r="N264" i="3" s="1"/>
  <c r="S264" i="3" s="1"/>
  <c r="L263" i="3"/>
  <c r="Q263" i="3" s="1"/>
  <c r="V263" i="3" s="1"/>
  <c r="K263" i="3"/>
  <c r="P263" i="3" s="1"/>
  <c r="U263" i="3" s="1"/>
  <c r="J263" i="3"/>
  <c r="O263" i="3" s="1"/>
  <c r="T263" i="3" s="1"/>
  <c r="I263" i="3"/>
  <c r="N263" i="3" s="1"/>
  <c r="S263" i="3" s="1"/>
  <c r="L262" i="3"/>
  <c r="Q262" i="3" s="1"/>
  <c r="V262" i="3" s="1"/>
  <c r="K262" i="3"/>
  <c r="P262" i="3" s="1"/>
  <c r="U262" i="3" s="1"/>
  <c r="J262" i="3"/>
  <c r="O262" i="3" s="1"/>
  <c r="T262" i="3" s="1"/>
  <c r="I262" i="3"/>
  <c r="N262" i="3" s="1"/>
  <c r="S262" i="3" s="1"/>
  <c r="L261" i="3"/>
  <c r="Q261" i="3" s="1"/>
  <c r="V261" i="3" s="1"/>
  <c r="K261" i="3"/>
  <c r="P261" i="3" s="1"/>
  <c r="U261" i="3" s="1"/>
  <c r="J261" i="3"/>
  <c r="O261" i="3" s="1"/>
  <c r="T261" i="3" s="1"/>
  <c r="I261" i="3"/>
  <c r="N261" i="3" s="1"/>
  <c r="S261" i="3" s="1"/>
  <c r="L260" i="3"/>
  <c r="Q260" i="3" s="1"/>
  <c r="V260" i="3" s="1"/>
  <c r="K260" i="3"/>
  <c r="P260" i="3" s="1"/>
  <c r="U260" i="3" s="1"/>
  <c r="J260" i="3"/>
  <c r="O260" i="3" s="1"/>
  <c r="T260" i="3" s="1"/>
  <c r="I260" i="3"/>
  <c r="N260" i="3" s="1"/>
  <c r="S260" i="3" s="1"/>
  <c r="L259" i="3"/>
  <c r="Q259" i="3" s="1"/>
  <c r="V259" i="3" s="1"/>
  <c r="K259" i="3"/>
  <c r="P259" i="3" s="1"/>
  <c r="U259" i="3" s="1"/>
  <c r="J259" i="3"/>
  <c r="O259" i="3" s="1"/>
  <c r="T259" i="3" s="1"/>
  <c r="I259" i="3"/>
  <c r="N259" i="3" s="1"/>
  <c r="S259" i="3" s="1"/>
  <c r="L258" i="3"/>
  <c r="Q258" i="3" s="1"/>
  <c r="V258" i="3" s="1"/>
  <c r="K258" i="3"/>
  <c r="P258" i="3" s="1"/>
  <c r="U258" i="3" s="1"/>
  <c r="J258" i="3"/>
  <c r="O258" i="3" s="1"/>
  <c r="T258" i="3" s="1"/>
  <c r="I258" i="3"/>
  <c r="N258" i="3" s="1"/>
  <c r="S258" i="3" s="1"/>
  <c r="L257" i="3"/>
  <c r="Q257" i="3" s="1"/>
  <c r="V257" i="3" s="1"/>
  <c r="K257" i="3"/>
  <c r="P257" i="3" s="1"/>
  <c r="U257" i="3" s="1"/>
  <c r="J257" i="3"/>
  <c r="O257" i="3" s="1"/>
  <c r="T257" i="3" s="1"/>
  <c r="I257" i="3"/>
  <c r="N257" i="3" s="1"/>
  <c r="S257" i="3" s="1"/>
  <c r="L256" i="3"/>
  <c r="Q256" i="3" s="1"/>
  <c r="V256" i="3" s="1"/>
  <c r="K256" i="3"/>
  <c r="P256" i="3" s="1"/>
  <c r="U256" i="3" s="1"/>
  <c r="J256" i="3"/>
  <c r="O256" i="3" s="1"/>
  <c r="T256" i="3" s="1"/>
  <c r="I256" i="3"/>
  <c r="N256" i="3" s="1"/>
  <c r="S256" i="3" s="1"/>
  <c r="L255" i="3"/>
  <c r="Q255" i="3" s="1"/>
  <c r="V255" i="3" s="1"/>
  <c r="K255" i="3"/>
  <c r="P255" i="3" s="1"/>
  <c r="U255" i="3" s="1"/>
  <c r="J255" i="3"/>
  <c r="O255" i="3" s="1"/>
  <c r="T255" i="3" s="1"/>
  <c r="I255" i="3"/>
  <c r="N255" i="3" s="1"/>
  <c r="S255" i="3" s="1"/>
  <c r="L254" i="3"/>
  <c r="Q254" i="3" s="1"/>
  <c r="V254" i="3" s="1"/>
  <c r="K254" i="3"/>
  <c r="P254" i="3" s="1"/>
  <c r="U254" i="3" s="1"/>
  <c r="J254" i="3"/>
  <c r="O254" i="3" s="1"/>
  <c r="T254" i="3" s="1"/>
  <c r="I254" i="3"/>
  <c r="N254" i="3" s="1"/>
  <c r="S254" i="3" s="1"/>
  <c r="L253" i="3"/>
  <c r="Q253" i="3" s="1"/>
  <c r="V253" i="3" s="1"/>
  <c r="K253" i="3"/>
  <c r="P253" i="3" s="1"/>
  <c r="U253" i="3" s="1"/>
  <c r="J253" i="3"/>
  <c r="O253" i="3" s="1"/>
  <c r="T253" i="3" s="1"/>
  <c r="I253" i="3"/>
  <c r="N253" i="3" s="1"/>
  <c r="S253" i="3" s="1"/>
  <c r="L252" i="3"/>
  <c r="Q252" i="3" s="1"/>
  <c r="V252" i="3" s="1"/>
  <c r="K252" i="3"/>
  <c r="P252" i="3" s="1"/>
  <c r="U252" i="3" s="1"/>
  <c r="J252" i="3"/>
  <c r="O252" i="3" s="1"/>
  <c r="T252" i="3" s="1"/>
  <c r="I252" i="3"/>
  <c r="N252" i="3" s="1"/>
  <c r="S252" i="3" s="1"/>
  <c r="L251" i="3"/>
  <c r="Q251" i="3" s="1"/>
  <c r="V251" i="3" s="1"/>
  <c r="K251" i="3"/>
  <c r="P251" i="3" s="1"/>
  <c r="U251" i="3" s="1"/>
  <c r="J251" i="3"/>
  <c r="O251" i="3" s="1"/>
  <c r="T251" i="3" s="1"/>
  <c r="I251" i="3"/>
  <c r="N251" i="3" s="1"/>
  <c r="S251" i="3" s="1"/>
  <c r="L250" i="3"/>
  <c r="Q250" i="3" s="1"/>
  <c r="V250" i="3" s="1"/>
  <c r="K250" i="3"/>
  <c r="P250" i="3" s="1"/>
  <c r="U250" i="3" s="1"/>
  <c r="J250" i="3"/>
  <c r="O250" i="3" s="1"/>
  <c r="T250" i="3" s="1"/>
  <c r="I250" i="3"/>
  <c r="N250" i="3" s="1"/>
  <c r="S250" i="3" s="1"/>
  <c r="L249" i="3"/>
  <c r="Q249" i="3" s="1"/>
  <c r="V249" i="3" s="1"/>
  <c r="K249" i="3"/>
  <c r="P249" i="3" s="1"/>
  <c r="U249" i="3" s="1"/>
  <c r="J249" i="3"/>
  <c r="O249" i="3" s="1"/>
  <c r="T249" i="3" s="1"/>
  <c r="I249" i="3"/>
  <c r="N249" i="3" s="1"/>
  <c r="S249" i="3" s="1"/>
  <c r="L248" i="3"/>
  <c r="Q248" i="3" s="1"/>
  <c r="V248" i="3" s="1"/>
  <c r="K248" i="3"/>
  <c r="P248" i="3" s="1"/>
  <c r="U248" i="3" s="1"/>
  <c r="J248" i="3"/>
  <c r="O248" i="3" s="1"/>
  <c r="T248" i="3" s="1"/>
  <c r="I248" i="3"/>
  <c r="N248" i="3" s="1"/>
  <c r="S248" i="3" s="1"/>
  <c r="L247" i="3"/>
  <c r="Q247" i="3" s="1"/>
  <c r="V247" i="3" s="1"/>
  <c r="K247" i="3"/>
  <c r="P247" i="3" s="1"/>
  <c r="U247" i="3" s="1"/>
  <c r="J247" i="3"/>
  <c r="O247" i="3" s="1"/>
  <c r="T247" i="3" s="1"/>
  <c r="I247" i="3"/>
  <c r="N247" i="3" s="1"/>
  <c r="S247" i="3" s="1"/>
  <c r="L246" i="3"/>
  <c r="Q246" i="3" s="1"/>
  <c r="V246" i="3" s="1"/>
  <c r="K246" i="3"/>
  <c r="P246" i="3" s="1"/>
  <c r="U246" i="3" s="1"/>
  <c r="J246" i="3"/>
  <c r="O246" i="3" s="1"/>
  <c r="T246" i="3" s="1"/>
  <c r="I246" i="3"/>
  <c r="N246" i="3" s="1"/>
  <c r="S246" i="3" s="1"/>
  <c r="L245" i="3"/>
  <c r="Q245" i="3" s="1"/>
  <c r="V245" i="3" s="1"/>
  <c r="K245" i="3"/>
  <c r="P245" i="3" s="1"/>
  <c r="U245" i="3" s="1"/>
  <c r="J245" i="3"/>
  <c r="O245" i="3" s="1"/>
  <c r="T245" i="3" s="1"/>
  <c r="I245" i="3"/>
  <c r="N245" i="3" s="1"/>
  <c r="S245" i="3" s="1"/>
  <c r="L244" i="3"/>
  <c r="Q244" i="3" s="1"/>
  <c r="V244" i="3" s="1"/>
  <c r="K244" i="3"/>
  <c r="P244" i="3" s="1"/>
  <c r="U244" i="3" s="1"/>
  <c r="J244" i="3"/>
  <c r="O244" i="3" s="1"/>
  <c r="T244" i="3" s="1"/>
  <c r="I244" i="3"/>
  <c r="N244" i="3" s="1"/>
  <c r="S244" i="3" s="1"/>
  <c r="L243" i="3"/>
  <c r="Q243" i="3" s="1"/>
  <c r="V243" i="3" s="1"/>
  <c r="K243" i="3"/>
  <c r="P243" i="3" s="1"/>
  <c r="U243" i="3" s="1"/>
  <c r="J243" i="3"/>
  <c r="O243" i="3" s="1"/>
  <c r="T243" i="3" s="1"/>
  <c r="I243" i="3"/>
  <c r="N243" i="3" s="1"/>
  <c r="S243" i="3" s="1"/>
  <c r="L242" i="3"/>
  <c r="Q242" i="3" s="1"/>
  <c r="V242" i="3" s="1"/>
  <c r="K242" i="3"/>
  <c r="P242" i="3" s="1"/>
  <c r="U242" i="3" s="1"/>
  <c r="J242" i="3"/>
  <c r="O242" i="3" s="1"/>
  <c r="T242" i="3" s="1"/>
  <c r="I242" i="3"/>
  <c r="N242" i="3" s="1"/>
  <c r="S242" i="3" s="1"/>
  <c r="L241" i="3"/>
  <c r="Q241" i="3" s="1"/>
  <c r="V241" i="3" s="1"/>
  <c r="K241" i="3"/>
  <c r="P241" i="3" s="1"/>
  <c r="U241" i="3" s="1"/>
  <c r="J241" i="3"/>
  <c r="O241" i="3" s="1"/>
  <c r="T241" i="3" s="1"/>
  <c r="I241" i="3"/>
  <c r="N241" i="3" s="1"/>
  <c r="S241" i="3" s="1"/>
  <c r="L240" i="3"/>
  <c r="Q240" i="3" s="1"/>
  <c r="V240" i="3" s="1"/>
  <c r="K240" i="3"/>
  <c r="P240" i="3" s="1"/>
  <c r="U240" i="3" s="1"/>
  <c r="J240" i="3"/>
  <c r="O240" i="3" s="1"/>
  <c r="T240" i="3" s="1"/>
  <c r="I240" i="3"/>
  <c r="N240" i="3" s="1"/>
  <c r="S240" i="3" s="1"/>
  <c r="L239" i="3"/>
  <c r="Q239" i="3" s="1"/>
  <c r="V239" i="3" s="1"/>
  <c r="K239" i="3"/>
  <c r="P239" i="3" s="1"/>
  <c r="U239" i="3" s="1"/>
  <c r="J239" i="3"/>
  <c r="O239" i="3" s="1"/>
  <c r="T239" i="3" s="1"/>
  <c r="I239" i="3"/>
  <c r="N239" i="3" s="1"/>
  <c r="S239" i="3" s="1"/>
  <c r="L238" i="3"/>
  <c r="Q238" i="3" s="1"/>
  <c r="V238" i="3" s="1"/>
  <c r="K238" i="3"/>
  <c r="P238" i="3" s="1"/>
  <c r="U238" i="3" s="1"/>
  <c r="J238" i="3"/>
  <c r="O238" i="3" s="1"/>
  <c r="T238" i="3" s="1"/>
  <c r="I238" i="3"/>
  <c r="N238" i="3" s="1"/>
  <c r="S238" i="3" s="1"/>
  <c r="L237" i="3"/>
  <c r="Q237" i="3" s="1"/>
  <c r="V237" i="3" s="1"/>
  <c r="K237" i="3"/>
  <c r="P237" i="3" s="1"/>
  <c r="U237" i="3" s="1"/>
  <c r="J237" i="3"/>
  <c r="O237" i="3" s="1"/>
  <c r="T237" i="3" s="1"/>
  <c r="I237" i="3"/>
  <c r="N237" i="3" s="1"/>
  <c r="S237" i="3" s="1"/>
  <c r="L236" i="3"/>
  <c r="Q236" i="3" s="1"/>
  <c r="V236" i="3" s="1"/>
  <c r="K236" i="3"/>
  <c r="P236" i="3" s="1"/>
  <c r="U236" i="3" s="1"/>
  <c r="J236" i="3"/>
  <c r="O236" i="3" s="1"/>
  <c r="T236" i="3" s="1"/>
  <c r="I236" i="3"/>
  <c r="N236" i="3" s="1"/>
  <c r="S236" i="3" s="1"/>
  <c r="L235" i="3"/>
  <c r="Q235" i="3" s="1"/>
  <c r="V235" i="3" s="1"/>
  <c r="K235" i="3"/>
  <c r="P235" i="3" s="1"/>
  <c r="U235" i="3" s="1"/>
  <c r="J235" i="3"/>
  <c r="O235" i="3" s="1"/>
  <c r="T235" i="3" s="1"/>
  <c r="I235" i="3"/>
  <c r="N235" i="3" s="1"/>
  <c r="S235" i="3" s="1"/>
  <c r="L234" i="3"/>
  <c r="Q234" i="3" s="1"/>
  <c r="V234" i="3" s="1"/>
  <c r="K234" i="3"/>
  <c r="P234" i="3" s="1"/>
  <c r="U234" i="3" s="1"/>
  <c r="J234" i="3"/>
  <c r="O234" i="3" s="1"/>
  <c r="T234" i="3" s="1"/>
  <c r="I234" i="3"/>
  <c r="N234" i="3" s="1"/>
  <c r="S234" i="3" s="1"/>
  <c r="L233" i="3"/>
  <c r="Q233" i="3" s="1"/>
  <c r="V233" i="3" s="1"/>
  <c r="K233" i="3"/>
  <c r="P233" i="3" s="1"/>
  <c r="U233" i="3" s="1"/>
  <c r="J233" i="3"/>
  <c r="O233" i="3" s="1"/>
  <c r="T233" i="3" s="1"/>
  <c r="I233" i="3"/>
  <c r="N233" i="3" s="1"/>
  <c r="S233" i="3" s="1"/>
  <c r="L232" i="3"/>
  <c r="Q232" i="3" s="1"/>
  <c r="V232" i="3" s="1"/>
  <c r="K232" i="3"/>
  <c r="P232" i="3" s="1"/>
  <c r="U232" i="3" s="1"/>
  <c r="J232" i="3"/>
  <c r="O232" i="3" s="1"/>
  <c r="T232" i="3" s="1"/>
  <c r="I232" i="3"/>
  <c r="N232" i="3" s="1"/>
  <c r="S232" i="3" s="1"/>
  <c r="L231" i="3"/>
  <c r="Q231" i="3" s="1"/>
  <c r="V231" i="3" s="1"/>
  <c r="K231" i="3"/>
  <c r="P231" i="3" s="1"/>
  <c r="U231" i="3" s="1"/>
  <c r="J231" i="3"/>
  <c r="O231" i="3" s="1"/>
  <c r="T231" i="3" s="1"/>
  <c r="I231" i="3"/>
  <c r="N231" i="3" s="1"/>
  <c r="S231" i="3" s="1"/>
  <c r="L230" i="3"/>
  <c r="Q230" i="3" s="1"/>
  <c r="V230" i="3" s="1"/>
  <c r="K230" i="3"/>
  <c r="P230" i="3" s="1"/>
  <c r="U230" i="3" s="1"/>
  <c r="J230" i="3"/>
  <c r="O230" i="3" s="1"/>
  <c r="T230" i="3" s="1"/>
  <c r="I230" i="3"/>
  <c r="N230" i="3" s="1"/>
  <c r="S230" i="3" s="1"/>
  <c r="L229" i="3"/>
  <c r="Q229" i="3" s="1"/>
  <c r="V229" i="3" s="1"/>
  <c r="K229" i="3"/>
  <c r="P229" i="3" s="1"/>
  <c r="U229" i="3" s="1"/>
  <c r="J229" i="3"/>
  <c r="O229" i="3" s="1"/>
  <c r="T229" i="3" s="1"/>
  <c r="I229" i="3"/>
  <c r="N229" i="3" s="1"/>
  <c r="S229" i="3" s="1"/>
  <c r="L228" i="3"/>
  <c r="Q228" i="3" s="1"/>
  <c r="V228" i="3" s="1"/>
  <c r="K228" i="3"/>
  <c r="P228" i="3" s="1"/>
  <c r="U228" i="3" s="1"/>
  <c r="J228" i="3"/>
  <c r="O228" i="3" s="1"/>
  <c r="T228" i="3" s="1"/>
  <c r="I228" i="3"/>
  <c r="N228" i="3" s="1"/>
  <c r="S228" i="3" s="1"/>
  <c r="L227" i="3"/>
  <c r="Q227" i="3" s="1"/>
  <c r="V227" i="3" s="1"/>
  <c r="K227" i="3"/>
  <c r="P227" i="3" s="1"/>
  <c r="U227" i="3" s="1"/>
  <c r="J227" i="3"/>
  <c r="O227" i="3" s="1"/>
  <c r="T227" i="3" s="1"/>
  <c r="I227" i="3"/>
  <c r="N227" i="3" s="1"/>
  <c r="S227" i="3" s="1"/>
  <c r="L226" i="3"/>
  <c r="Q226" i="3" s="1"/>
  <c r="V226" i="3" s="1"/>
  <c r="K226" i="3"/>
  <c r="P226" i="3" s="1"/>
  <c r="U226" i="3" s="1"/>
  <c r="J226" i="3"/>
  <c r="O226" i="3" s="1"/>
  <c r="T226" i="3" s="1"/>
  <c r="I226" i="3"/>
  <c r="N226" i="3" s="1"/>
  <c r="S226" i="3" s="1"/>
  <c r="L225" i="3"/>
  <c r="Q225" i="3" s="1"/>
  <c r="V225" i="3" s="1"/>
  <c r="K225" i="3"/>
  <c r="P225" i="3" s="1"/>
  <c r="U225" i="3" s="1"/>
  <c r="J225" i="3"/>
  <c r="O225" i="3" s="1"/>
  <c r="T225" i="3" s="1"/>
  <c r="I225" i="3"/>
  <c r="N225" i="3" s="1"/>
  <c r="S225" i="3" s="1"/>
  <c r="L224" i="3"/>
  <c r="Q224" i="3" s="1"/>
  <c r="V224" i="3" s="1"/>
  <c r="K224" i="3"/>
  <c r="P224" i="3" s="1"/>
  <c r="U224" i="3" s="1"/>
  <c r="J224" i="3"/>
  <c r="O224" i="3" s="1"/>
  <c r="T224" i="3" s="1"/>
  <c r="I224" i="3"/>
  <c r="N224" i="3" s="1"/>
  <c r="S224" i="3" s="1"/>
  <c r="L223" i="3"/>
  <c r="Q223" i="3" s="1"/>
  <c r="V223" i="3" s="1"/>
  <c r="K223" i="3"/>
  <c r="P223" i="3" s="1"/>
  <c r="U223" i="3" s="1"/>
  <c r="J223" i="3"/>
  <c r="O223" i="3" s="1"/>
  <c r="T223" i="3" s="1"/>
  <c r="I223" i="3"/>
  <c r="N223" i="3" s="1"/>
  <c r="S223" i="3" s="1"/>
  <c r="L222" i="3"/>
  <c r="Q222" i="3" s="1"/>
  <c r="V222" i="3" s="1"/>
  <c r="K222" i="3"/>
  <c r="P222" i="3" s="1"/>
  <c r="U222" i="3" s="1"/>
  <c r="J222" i="3"/>
  <c r="O222" i="3" s="1"/>
  <c r="T222" i="3" s="1"/>
  <c r="I222" i="3"/>
  <c r="N222" i="3" s="1"/>
  <c r="S222" i="3" s="1"/>
  <c r="L221" i="3"/>
  <c r="Q221" i="3" s="1"/>
  <c r="V221" i="3" s="1"/>
  <c r="K221" i="3"/>
  <c r="P221" i="3" s="1"/>
  <c r="U221" i="3" s="1"/>
  <c r="J221" i="3"/>
  <c r="O221" i="3" s="1"/>
  <c r="T221" i="3" s="1"/>
  <c r="I221" i="3"/>
  <c r="N221" i="3" s="1"/>
  <c r="S221" i="3" s="1"/>
  <c r="L220" i="3"/>
  <c r="Q220" i="3" s="1"/>
  <c r="V220" i="3" s="1"/>
  <c r="K220" i="3"/>
  <c r="P220" i="3" s="1"/>
  <c r="U220" i="3" s="1"/>
  <c r="J220" i="3"/>
  <c r="O220" i="3" s="1"/>
  <c r="T220" i="3" s="1"/>
  <c r="I220" i="3"/>
  <c r="N220" i="3" s="1"/>
  <c r="S220" i="3" s="1"/>
  <c r="L219" i="3"/>
  <c r="Q219" i="3" s="1"/>
  <c r="V219" i="3" s="1"/>
  <c r="K219" i="3"/>
  <c r="P219" i="3" s="1"/>
  <c r="U219" i="3" s="1"/>
  <c r="J219" i="3"/>
  <c r="O219" i="3" s="1"/>
  <c r="T219" i="3" s="1"/>
  <c r="I219" i="3"/>
  <c r="N219" i="3" s="1"/>
  <c r="S219" i="3" s="1"/>
  <c r="L218" i="3"/>
  <c r="Q218" i="3" s="1"/>
  <c r="V218" i="3" s="1"/>
  <c r="K218" i="3"/>
  <c r="P218" i="3" s="1"/>
  <c r="U218" i="3" s="1"/>
  <c r="J218" i="3"/>
  <c r="O218" i="3" s="1"/>
  <c r="T218" i="3" s="1"/>
  <c r="I218" i="3"/>
  <c r="N218" i="3" s="1"/>
  <c r="S218" i="3" s="1"/>
  <c r="L217" i="3"/>
  <c r="Q217" i="3" s="1"/>
  <c r="V217" i="3" s="1"/>
  <c r="K217" i="3"/>
  <c r="P217" i="3" s="1"/>
  <c r="U217" i="3" s="1"/>
  <c r="J217" i="3"/>
  <c r="O217" i="3" s="1"/>
  <c r="T217" i="3" s="1"/>
  <c r="I217" i="3"/>
  <c r="N217" i="3" s="1"/>
  <c r="S217" i="3" s="1"/>
  <c r="L216" i="3"/>
  <c r="Q216" i="3" s="1"/>
  <c r="V216" i="3" s="1"/>
  <c r="K216" i="3"/>
  <c r="P216" i="3" s="1"/>
  <c r="U216" i="3" s="1"/>
  <c r="J216" i="3"/>
  <c r="O216" i="3" s="1"/>
  <c r="T216" i="3" s="1"/>
  <c r="I216" i="3"/>
  <c r="N216" i="3" s="1"/>
  <c r="S216" i="3" s="1"/>
  <c r="L215" i="3"/>
  <c r="Q215" i="3" s="1"/>
  <c r="V215" i="3" s="1"/>
  <c r="K215" i="3"/>
  <c r="P215" i="3" s="1"/>
  <c r="U215" i="3" s="1"/>
  <c r="J215" i="3"/>
  <c r="O215" i="3" s="1"/>
  <c r="T215" i="3" s="1"/>
  <c r="I215" i="3"/>
  <c r="N215" i="3" s="1"/>
  <c r="S215" i="3" s="1"/>
  <c r="L214" i="3"/>
  <c r="Q214" i="3" s="1"/>
  <c r="V214" i="3" s="1"/>
  <c r="K214" i="3"/>
  <c r="P214" i="3" s="1"/>
  <c r="U214" i="3" s="1"/>
  <c r="J214" i="3"/>
  <c r="O214" i="3" s="1"/>
  <c r="T214" i="3" s="1"/>
  <c r="I214" i="3"/>
  <c r="N214" i="3" s="1"/>
  <c r="S214" i="3" s="1"/>
  <c r="L213" i="3"/>
  <c r="Q213" i="3" s="1"/>
  <c r="V213" i="3" s="1"/>
  <c r="K213" i="3"/>
  <c r="P213" i="3" s="1"/>
  <c r="U213" i="3" s="1"/>
  <c r="J213" i="3"/>
  <c r="O213" i="3" s="1"/>
  <c r="T213" i="3" s="1"/>
  <c r="I213" i="3"/>
  <c r="N213" i="3" s="1"/>
  <c r="S213" i="3" s="1"/>
  <c r="L212" i="3"/>
  <c r="Q212" i="3" s="1"/>
  <c r="V212" i="3" s="1"/>
  <c r="K212" i="3"/>
  <c r="P212" i="3" s="1"/>
  <c r="U212" i="3" s="1"/>
  <c r="J212" i="3"/>
  <c r="O212" i="3" s="1"/>
  <c r="T212" i="3" s="1"/>
  <c r="I212" i="3"/>
  <c r="N212" i="3" s="1"/>
  <c r="S212" i="3" s="1"/>
  <c r="L211" i="3"/>
  <c r="Q211" i="3" s="1"/>
  <c r="V211" i="3" s="1"/>
  <c r="K211" i="3"/>
  <c r="P211" i="3" s="1"/>
  <c r="U211" i="3" s="1"/>
  <c r="J211" i="3"/>
  <c r="O211" i="3" s="1"/>
  <c r="T211" i="3" s="1"/>
  <c r="I211" i="3"/>
  <c r="N211" i="3" s="1"/>
  <c r="S211" i="3" s="1"/>
  <c r="L210" i="3"/>
  <c r="Q210" i="3" s="1"/>
  <c r="V210" i="3" s="1"/>
  <c r="K210" i="3"/>
  <c r="P210" i="3" s="1"/>
  <c r="U210" i="3" s="1"/>
  <c r="J210" i="3"/>
  <c r="O210" i="3" s="1"/>
  <c r="T210" i="3" s="1"/>
  <c r="I210" i="3"/>
  <c r="N210" i="3" s="1"/>
  <c r="S210" i="3" s="1"/>
  <c r="L209" i="3"/>
  <c r="Q209" i="3" s="1"/>
  <c r="V209" i="3" s="1"/>
  <c r="K209" i="3"/>
  <c r="P209" i="3" s="1"/>
  <c r="U209" i="3" s="1"/>
  <c r="J209" i="3"/>
  <c r="O209" i="3" s="1"/>
  <c r="T209" i="3" s="1"/>
  <c r="I209" i="3"/>
  <c r="N209" i="3" s="1"/>
  <c r="S209" i="3" s="1"/>
  <c r="L208" i="3"/>
  <c r="Q208" i="3" s="1"/>
  <c r="V208" i="3" s="1"/>
  <c r="K208" i="3"/>
  <c r="P208" i="3" s="1"/>
  <c r="U208" i="3" s="1"/>
  <c r="J208" i="3"/>
  <c r="O208" i="3" s="1"/>
  <c r="T208" i="3" s="1"/>
  <c r="I208" i="3"/>
  <c r="N208" i="3" s="1"/>
  <c r="S208" i="3" s="1"/>
  <c r="L207" i="3"/>
  <c r="Q207" i="3" s="1"/>
  <c r="V207" i="3" s="1"/>
  <c r="K207" i="3"/>
  <c r="P207" i="3" s="1"/>
  <c r="U207" i="3" s="1"/>
  <c r="J207" i="3"/>
  <c r="O207" i="3" s="1"/>
  <c r="T207" i="3" s="1"/>
  <c r="I207" i="3"/>
  <c r="N207" i="3" s="1"/>
  <c r="S207" i="3" s="1"/>
  <c r="L206" i="3"/>
  <c r="Q206" i="3" s="1"/>
  <c r="V206" i="3" s="1"/>
  <c r="K206" i="3"/>
  <c r="P206" i="3" s="1"/>
  <c r="U206" i="3" s="1"/>
  <c r="J206" i="3"/>
  <c r="O206" i="3" s="1"/>
  <c r="T206" i="3" s="1"/>
  <c r="I206" i="3"/>
  <c r="N206" i="3" s="1"/>
  <c r="S206" i="3" s="1"/>
  <c r="L205" i="3"/>
  <c r="Q205" i="3" s="1"/>
  <c r="V205" i="3" s="1"/>
  <c r="K205" i="3"/>
  <c r="P205" i="3" s="1"/>
  <c r="U205" i="3" s="1"/>
  <c r="J205" i="3"/>
  <c r="O205" i="3" s="1"/>
  <c r="T205" i="3" s="1"/>
  <c r="I205" i="3"/>
  <c r="N205" i="3" s="1"/>
  <c r="S205" i="3" s="1"/>
  <c r="L204" i="3"/>
  <c r="Q204" i="3" s="1"/>
  <c r="V204" i="3" s="1"/>
  <c r="K204" i="3"/>
  <c r="P204" i="3" s="1"/>
  <c r="U204" i="3" s="1"/>
  <c r="J204" i="3"/>
  <c r="O204" i="3" s="1"/>
  <c r="T204" i="3" s="1"/>
  <c r="I204" i="3"/>
  <c r="N204" i="3" s="1"/>
  <c r="S204" i="3" s="1"/>
  <c r="L203" i="3"/>
  <c r="Q203" i="3" s="1"/>
  <c r="V203" i="3" s="1"/>
  <c r="K203" i="3"/>
  <c r="P203" i="3" s="1"/>
  <c r="U203" i="3" s="1"/>
  <c r="J203" i="3"/>
  <c r="O203" i="3" s="1"/>
  <c r="T203" i="3" s="1"/>
  <c r="I203" i="3"/>
  <c r="N203" i="3" s="1"/>
  <c r="S203" i="3" s="1"/>
  <c r="L202" i="3"/>
  <c r="Q202" i="3" s="1"/>
  <c r="V202" i="3" s="1"/>
  <c r="K202" i="3"/>
  <c r="P202" i="3" s="1"/>
  <c r="U202" i="3" s="1"/>
  <c r="J202" i="3"/>
  <c r="O202" i="3" s="1"/>
  <c r="T202" i="3" s="1"/>
  <c r="I202" i="3"/>
  <c r="N202" i="3" s="1"/>
  <c r="S202" i="3" s="1"/>
  <c r="L201" i="3"/>
  <c r="Q201" i="3" s="1"/>
  <c r="V201" i="3" s="1"/>
  <c r="K201" i="3"/>
  <c r="P201" i="3" s="1"/>
  <c r="U201" i="3" s="1"/>
  <c r="J201" i="3"/>
  <c r="O201" i="3" s="1"/>
  <c r="T201" i="3" s="1"/>
  <c r="I201" i="3"/>
  <c r="N201" i="3" s="1"/>
  <c r="S201" i="3" s="1"/>
  <c r="L200" i="3"/>
  <c r="Q200" i="3" s="1"/>
  <c r="V200" i="3" s="1"/>
  <c r="K200" i="3"/>
  <c r="P200" i="3" s="1"/>
  <c r="U200" i="3" s="1"/>
  <c r="J200" i="3"/>
  <c r="O200" i="3" s="1"/>
  <c r="T200" i="3" s="1"/>
  <c r="I200" i="3"/>
  <c r="N200" i="3" s="1"/>
  <c r="S200" i="3" s="1"/>
  <c r="L199" i="3"/>
  <c r="Q199" i="3" s="1"/>
  <c r="V199" i="3" s="1"/>
  <c r="K199" i="3"/>
  <c r="P199" i="3" s="1"/>
  <c r="U199" i="3" s="1"/>
  <c r="J199" i="3"/>
  <c r="O199" i="3" s="1"/>
  <c r="T199" i="3" s="1"/>
  <c r="I199" i="3"/>
  <c r="N199" i="3" s="1"/>
  <c r="S199" i="3" s="1"/>
  <c r="L198" i="3"/>
  <c r="Q198" i="3" s="1"/>
  <c r="V198" i="3" s="1"/>
  <c r="K198" i="3"/>
  <c r="P198" i="3" s="1"/>
  <c r="U198" i="3" s="1"/>
  <c r="J198" i="3"/>
  <c r="O198" i="3" s="1"/>
  <c r="T198" i="3" s="1"/>
  <c r="I198" i="3"/>
  <c r="N198" i="3" s="1"/>
  <c r="S198" i="3" s="1"/>
  <c r="L197" i="3"/>
  <c r="Q197" i="3" s="1"/>
  <c r="V197" i="3" s="1"/>
  <c r="K197" i="3"/>
  <c r="P197" i="3" s="1"/>
  <c r="U197" i="3" s="1"/>
  <c r="J197" i="3"/>
  <c r="O197" i="3" s="1"/>
  <c r="T197" i="3" s="1"/>
  <c r="I197" i="3"/>
  <c r="N197" i="3" s="1"/>
  <c r="S197" i="3" s="1"/>
  <c r="L196" i="3"/>
  <c r="Q196" i="3" s="1"/>
  <c r="V196" i="3" s="1"/>
  <c r="K196" i="3"/>
  <c r="P196" i="3" s="1"/>
  <c r="U196" i="3" s="1"/>
  <c r="J196" i="3"/>
  <c r="O196" i="3" s="1"/>
  <c r="T196" i="3" s="1"/>
  <c r="I196" i="3"/>
  <c r="N196" i="3" s="1"/>
  <c r="S196" i="3" s="1"/>
  <c r="L195" i="3"/>
  <c r="Q195" i="3" s="1"/>
  <c r="V195" i="3" s="1"/>
  <c r="K195" i="3"/>
  <c r="P195" i="3" s="1"/>
  <c r="U195" i="3" s="1"/>
  <c r="J195" i="3"/>
  <c r="O195" i="3" s="1"/>
  <c r="T195" i="3" s="1"/>
  <c r="I195" i="3"/>
  <c r="N195" i="3" s="1"/>
  <c r="S195" i="3" s="1"/>
  <c r="L194" i="3"/>
  <c r="Q194" i="3" s="1"/>
  <c r="V194" i="3" s="1"/>
  <c r="K194" i="3"/>
  <c r="P194" i="3" s="1"/>
  <c r="U194" i="3" s="1"/>
  <c r="J194" i="3"/>
  <c r="O194" i="3" s="1"/>
  <c r="T194" i="3" s="1"/>
  <c r="I194" i="3"/>
  <c r="N194" i="3" s="1"/>
  <c r="S194" i="3" s="1"/>
  <c r="L193" i="3"/>
  <c r="Q193" i="3" s="1"/>
  <c r="V193" i="3" s="1"/>
  <c r="K193" i="3"/>
  <c r="P193" i="3" s="1"/>
  <c r="U193" i="3" s="1"/>
  <c r="J193" i="3"/>
  <c r="O193" i="3" s="1"/>
  <c r="T193" i="3" s="1"/>
  <c r="I193" i="3"/>
  <c r="N193" i="3" s="1"/>
  <c r="S193" i="3" s="1"/>
  <c r="L192" i="3"/>
  <c r="Q192" i="3" s="1"/>
  <c r="V192" i="3" s="1"/>
  <c r="K192" i="3"/>
  <c r="P192" i="3" s="1"/>
  <c r="U192" i="3" s="1"/>
  <c r="J192" i="3"/>
  <c r="O192" i="3" s="1"/>
  <c r="T192" i="3" s="1"/>
  <c r="I192" i="3"/>
  <c r="N192" i="3" s="1"/>
  <c r="S192" i="3" s="1"/>
  <c r="L191" i="3"/>
  <c r="Q191" i="3" s="1"/>
  <c r="V191" i="3" s="1"/>
  <c r="K191" i="3"/>
  <c r="P191" i="3" s="1"/>
  <c r="U191" i="3" s="1"/>
  <c r="J191" i="3"/>
  <c r="O191" i="3" s="1"/>
  <c r="T191" i="3" s="1"/>
  <c r="I191" i="3"/>
  <c r="N191" i="3" s="1"/>
  <c r="S191" i="3" s="1"/>
  <c r="L190" i="3"/>
  <c r="Q190" i="3" s="1"/>
  <c r="V190" i="3" s="1"/>
  <c r="K190" i="3"/>
  <c r="P190" i="3" s="1"/>
  <c r="U190" i="3" s="1"/>
  <c r="J190" i="3"/>
  <c r="O190" i="3" s="1"/>
  <c r="T190" i="3" s="1"/>
  <c r="I190" i="3"/>
  <c r="N190" i="3" s="1"/>
  <c r="S190" i="3" s="1"/>
  <c r="L189" i="3"/>
  <c r="Q189" i="3" s="1"/>
  <c r="V189" i="3" s="1"/>
  <c r="K189" i="3"/>
  <c r="P189" i="3" s="1"/>
  <c r="U189" i="3" s="1"/>
  <c r="J189" i="3"/>
  <c r="O189" i="3" s="1"/>
  <c r="T189" i="3" s="1"/>
  <c r="I189" i="3"/>
  <c r="N189" i="3" s="1"/>
  <c r="S189" i="3" s="1"/>
  <c r="L188" i="3"/>
  <c r="Q188" i="3" s="1"/>
  <c r="V188" i="3" s="1"/>
  <c r="K188" i="3"/>
  <c r="P188" i="3" s="1"/>
  <c r="U188" i="3" s="1"/>
  <c r="J188" i="3"/>
  <c r="O188" i="3" s="1"/>
  <c r="T188" i="3" s="1"/>
  <c r="I188" i="3"/>
  <c r="N188" i="3" s="1"/>
  <c r="S188" i="3" s="1"/>
  <c r="L187" i="3"/>
  <c r="Q187" i="3" s="1"/>
  <c r="V187" i="3" s="1"/>
  <c r="K187" i="3"/>
  <c r="P187" i="3" s="1"/>
  <c r="U187" i="3" s="1"/>
  <c r="J187" i="3"/>
  <c r="O187" i="3" s="1"/>
  <c r="T187" i="3" s="1"/>
  <c r="I187" i="3"/>
  <c r="N187" i="3" s="1"/>
  <c r="S187" i="3" s="1"/>
  <c r="L186" i="3"/>
  <c r="Q186" i="3" s="1"/>
  <c r="V186" i="3" s="1"/>
  <c r="K186" i="3"/>
  <c r="P186" i="3" s="1"/>
  <c r="U186" i="3" s="1"/>
  <c r="J186" i="3"/>
  <c r="O186" i="3" s="1"/>
  <c r="T186" i="3" s="1"/>
  <c r="I186" i="3"/>
  <c r="N186" i="3" s="1"/>
  <c r="S186" i="3" s="1"/>
  <c r="L185" i="3"/>
  <c r="Q185" i="3" s="1"/>
  <c r="V185" i="3" s="1"/>
  <c r="K185" i="3"/>
  <c r="P185" i="3" s="1"/>
  <c r="U185" i="3" s="1"/>
  <c r="J185" i="3"/>
  <c r="O185" i="3" s="1"/>
  <c r="T185" i="3" s="1"/>
  <c r="I185" i="3"/>
  <c r="N185" i="3" s="1"/>
  <c r="S185" i="3" s="1"/>
  <c r="L184" i="3"/>
  <c r="Q184" i="3" s="1"/>
  <c r="V184" i="3" s="1"/>
  <c r="K184" i="3"/>
  <c r="P184" i="3" s="1"/>
  <c r="U184" i="3" s="1"/>
  <c r="J184" i="3"/>
  <c r="O184" i="3" s="1"/>
  <c r="T184" i="3" s="1"/>
  <c r="I184" i="3"/>
  <c r="N184" i="3" s="1"/>
  <c r="S184" i="3" s="1"/>
  <c r="L183" i="3"/>
  <c r="Q183" i="3" s="1"/>
  <c r="V183" i="3" s="1"/>
  <c r="K183" i="3"/>
  <c r="P183" i="3" s="1"/>
  <c r="U183" i="3" s="1"/>
  <c r="J183" i="3"/>
  <c r="O183" i="3" s="1"/>
  <c r="T183" i="3" s="1"/>
  <c r="I183" i="3"/>
  <c r="N183" i="3" s="1"/>
  <c r="S183" i="3" s="1"/>
  <c r="L182" i="3"/>
  <c r="Q182" i="3" s="1"/>
  <c r="V182" i="3" s="1"/>
  <c r="K182" i="3"/>
  <c r="P182" i="3" s="1"/>
  <c r="U182" i="3" s="1"/>
  <c r="J182" i="3"/>
  <c r="O182" i="3" s="1"/>
  <c r="T182" i="3" s="1"/>
  <c r="I182" i="3"/>
  <c r="N182" i="3" s="1"/>
  <c r="S182" i="3" s="1"/>
  <c r="L181" i="3"/>
  <c r="Q181" i="3" s="1"/>
  <c r="V181" i="3" s="1"/>
  <c r="K181" i="3"/>
  <c r="P181" i="3" s="1"/>
  <c r="U181" i="3" s="1"/>
  <c r="J181" i="3"/>
  <c r="O181" i="3" s="1"/>
  <c r="T181" i="3" s="1"/>
  <c r="I181" i="3"/>
  <c r="N181" i="3" s="1"/>
  <c r="S181" i="3" s="1"/>
  <c r="L180" i="3"/>
  <c r="Q180" i="3" s="1"/>
  <c r="V180" i="3" s="1"/>
  <c r="K180" i="3"/>
  <c r="P180" i="3" s="1"/>
  <c r="U180" i="3" s="1"/>
  <c r="J180" i="3"/>
  <c r="O180" i="3" s="1"/>
  <c r="T180" i="3" s="1"/>
  <c r="I180" i="3"/>
  <c r="N180" i="3" s="1"/>
  <c r="S180" i="3" s="1"/>
  <c r="L179" i="3"/>
  <c r="Q179" i="3" s="1"/>
  <c r="V179" i="3" s="1"/>
  <c r="K179" i="3"/>
  <c r="P179" i="3" s="1"/>
  <c r="U179" i="3" s="1"/>
  <c r="J179" i="3"/>
  <c r="O179" i="3" s="1"/>
  <c r="T179" i="3" s="1"/>
  <c r="I179" i="3"/>
  <c r="N179" i="3" s="1"/>
  <c r="S179" i="3" s="1"/>
  <c r="L178" i="3"/>
  <c r="Q178" i="3" s="1"/>
  <c r="V178" i="3" s="1"/>
  <c r="K178" i="3"/>
  <c r="P178" i="3" s="1"/>
  <c r="U178" i="3" s="1"/>
  <c r="J178" i="3"/>
  <c r="O178" i="3" s="1"/>
  <c r="T178" i="3" s="1"/>
  <c r="I178" i="3"/>
  <c r="N178" i="3" s="1"/>
  <c r="S178" i="3" s="1"/>
  <c r="L177" i="3"/>
  <c r="Q177" i="3" s="1"/>
  <c r="V177" i="3" s="1"/>
  <c r="K177" i="3"/>
  <c r="P177" i="3" s="1"/>
  <c r="U177" i="3" s="1"/>
  <c r="J177" i="3"/>
  <c r="O177" i="3" s="1"/>
  <c r="T177" i="3" s="1"/>
  <c r="I177" i="3"/>
  <c r="N177" i="3" s="1"/>
  <c r="S177" i="3" s="1"/>
  <c r="L176" i="3"/>
  <c r="Q176" i="3" s="1"/>
  <c r="V176" i="3" s="1"/>
  <c r="K176" i="3"/>
  <c r="P176" i="3" s="1"/>
  <c r="U176" i="3" s="1"/>
  <c r="J176" i="3"/>
  <c r="O176" i="3" s="1"/>
  <c r="T176" i="3" s="1"/>
  <c r="I176" i="3"/>
  <c r="N176" i="3" s="1"/>
  <c r="S176" i="3" s="1"/>
  <c r="L175" i="3"/>
  <c r="Q175" i="3" s="1"/>
  <c r="V175" i="3" s="1"/>
  <c r="K175" i="3"/>
  <c r="P175" i="3" s="1"/>
  <c r="U175" i="3" s="1"/>
  <c r="J175" i="3"/>
  <c r="O175" i="3" s="1"/>
  <c r="T175" i="3" s="1"/>
  <c r="I175" i="3"/>
  <c r="N175" i="3" s="1"/>
  <c r="S175" i="3" s="1"/>
  <c r="L174" i="3"/>
  <c r="Q174" i="3" s="1"/>
  <c r="V174" i="3" s="1"/>
  <c r="K174" i="3"/>
  <c r="P174" i="3" s="1"/>
  <c r="U174" i="3" s="1"/>
  <c r="J174" i="3"/>
  <c r="O174" i="3" s="1"/>
  <c r="T174" i="3" s="1"/>
  <c r="I174" i="3"/>
  <c r="N174" i="3" s="1"/>
  <c r="S174" i="3" s="1"/>
  <c r="L173" i="3"/>
  <c r="Q173" i="3" s="1"/>
  <c r="V173" i="3" s="1"/>
  <c r="K173" i="3"/>
  <c r="P173" i="3" s="1"/>
  <c r="U173" i="3" s="1"/>
  <c r="J173" i="3"/>
  <c r="O173" i="3" s="1"/>
  <c r="T173" i="3" s="1"/>
  <c r="I173" i="3"/>
  <c r="N173" i="3" s="1"/>
  <c r="S173" i="3" s="1"/>
  <c r="L172" i="3"/>
  <c r="Q172" i="3" s="1"/>
  <c r="V172" i="3" s="1"/>
  <c r="K172" i="3"/>
  <c r="P172" i="3" s="1"/>
  <c r="U172" i="3" s="1"/>
  <c r="J172" i="3"/>
  <c r="O172" i="3" s="1"/>
  <c r="T172" i="3" s="1"/>
  <c r="I172" i="3"/>
  <c r="N172" i="3" s="1"/>
  <c r="S172" i="3" s="1"/>
  <c r="L171" i="3"/>
  <c r="Q171" i="3" s="1"/>
  <c r="V171" i="3" s="1"/>
  <c r="K171" i="3"/>
  <c r="P171" i="3" s="1"/>
  <c r="U171" i="3" s="1"/>
  <c r="J171" i="3"/>
  <c r="O171" i="3" s="1"/>
  <c r="T171" i="3" s="1"/>
  <c r="I171" i="3"/>
  <c r="N171" i="3" s="1"/>
  <c r="S171" i="3" s="1"/>
  <c r="L170" i="3"/>
  <c r="Q170" i="3" s="1"/>
  <c r="V170" i="3" s="1"/>
  <c r="K170" i="3"/>
  <c r="P170" i="3" s="1"/>
  <c r="U170" i="3" s="1"/>
  <c r="J170" i="3"/>
  <c r="O170" i="3" s="1"/>
  <c r="T170" i="3" s="1"/>
  <c r="I170" i="3"/>
  <c r="N170" i="3" s="1"/>
  <c r="S170" i="3" s="1"/>
  <c r="L169" i="3"/>
  <c r="Q169" i="3" s="1"/>
  <c r="V169" i="3" s="1"/>
  <c r="K169" i="3"/>
  <c r="P169" i="3" s="1"/>
  <c r="U169" i="3" s="1"/>
  <c r="J169" i="3"/>
  <c r="O169" i="3" s="1"/>
  <c r="T169" i="3" s="1"/>
  <c r="I169" i="3"/>
  <c r="N169" i="3" s="1"/>
  <c r="S169" i="3" s="1"/>
  <c r="L168" i="3"/>
  <c r="Q168" i="3" s="1"/>
  <c r="V168" i="3" s="1"/>
  <c r="K168" i="3"/>
  <c r="P168" i="3" s="1"/>
  <c r="U168" i="3" s="1"/>
  <c r="J168" i="3"/>
  <c r="O168" i="3" s="1"/>
  <c r="T168" i="3" s="1"/>
  <c r="I168" i="3"/>
  <c r="N168" i="3" s="1"/>
  <c r="S168" i="3" s="1"/>
  <c r="L167" i="3"/>
  <c r="Q167" i="3" s="1"/>
  <c r="V167" i="3" s="1"/>
  <c r="K167" i="3"/>
  <c r="P167" i="3" s="1"/>
  <c r="U167" i="3" s="1"/>
  <c r="J167" i="3"/>
  <c r="O167" i="3" s="1"/>
  <c r="T167" i="3" s="1"/>
  <c r="I167" i="3"/>
  <c r="N167" i="3" s="1"/>
  <c r="S167" i="3" s="1"/>
  <c r="L166" i="3"/>
  <c r="Q166" i="3" s="1"/>
  <c r="V166" i="3" s="1"/>
  <c r="K166" i="3"/>
  <c r="P166" i="3" s="1"/>
  <c r="U166" i="3" s="1"/>
  <c r="J166" i="3"/>
  <c r="O166" i="3" s="1"/>
  <c r="T166" i="3" s="1"/>
  <c r="I166" i="3"/>
  <c r="N166" i="3" s="1"/>
  <c r="S166" i="3" s="1"/>
  <c r="L165" i="3"/>
  <c r="Q165" i="3" s="1"/>
  <c r="V165" i="3" s="1"/>
  <c r="K165" i="3"/>
  <c r="P165" i="3" s="1"/>
  <c r="U165" i="3" s="1"/>
  <c r="J165" i="3"/>
  <c r="O165" i="3" s="1"/>
  <c r="T165" i="3" s="1"/>
  <c r="I165" i="3"/>
  <c r="N165" i="3" s="1"/>
  <c r="S165" i="3" s="1"/>
  <c r="L164" i="3"/>
  <c r="Q164" i="3" s="1"/>
  <c r="V164" i="3" s="1"/>
  <c r="K164" i="3"/>
  <c r="P164" i="3" s="1"/>
  <c r="U164" i="3" s="1"/>
  <c r="J164" i="3"/>
  <c r="O164" i="3" s="1"/>
  <c r="T164" i="3" s="1"/>
  <c r="I164" i="3"/>
  <c r="N164" i="3" s="1"/>
  <c r="S164" i="3" s="1"/>
  <c r="L163" i="3"/>
  <c r="Q163" i="3" s="1"/>
  <c r="V163" i="3" s="1"/>
  <c r="K163" i="3"/>
  <c r="P163" i="3" s="1"/>
  <c r="U163" i="3" s="1"/>
  <c r="J163" i="3"/>
  <c r="O163" i="3" s="1"/>
  <c r="T163" i="3" s="1"/>
  <c r="I163" i="3"/>
  <c r="N163" i="3" s="1"/>
  <c r="S163" i="3" s="1"/>
  <c r="L162" i="3"/>
  <c r="Q162" i="3" s="1"/>
  <c r="V162" i="3" s="1"/>
  <c r="K162" i="3"/>
  <c r="P162" i="3" s="1"/>
  <c r="U162" i="3" s="1"/>
  <c r="J162" i="3"/>
  <c r="O162" i="3" s="1"/>
  <c r="T162" i="3" s="1"/>
  <c r="I162" i="3"/>
  <c r="N162" i="3" s="1"/>
  <c r="S162" i="3" s="1"/>
  <c r="L161" i="3"/>
  <c r="Q161" i="3" s="1"/>
  <c r="V161" i="3" s="1"/>
  <c r="K161" i="3"/>
  <c r="P161" i="3" s="1"/>
  <c r="U161" i="3" s="1"/>
  <c r="J161" i="3"/>
  <c r="O161" i="3" s="1"/>
  <c r="T161" i="3" s="1"/>
  <c r="I161" i="3"/>
  <c r="N161" i="3" s="1"/>
  <c r="S161" i="3" s="1"/>
  <c r="L160" i="3"/>
  <c r="Q160" i="3" s="1"/>
  <c r="V160" i="3" s="1"/>
  <c r="K160" i="3"/>
  <c r="P160" i="3" s="1"/>
  <c r="U160" i="3" s="1"/>
  <c r="J160" i="3"/>
  <c r="O160" i="3" s="1"/>
  <c r="T160" i="3" s="1"/>
  <c r="I160" i="3"/>
  <c r="N160" i="3" s="1"/>
  <c r="S160" i="3" s="1"/>
  <c r="L159" i="3"/>
  <c r="Q159" i="3" s="1"/>
  <c r="V159" i="3" s="1"/>
  <c r="K159" i="3"/>
  <c r="P159" i="3" s="1"/>
  <c r="U159" i="3" s="1"/>
  <c r="J159" i="3"/>
  <c r="O159" i="3" s="1"/>
  <c r="T159" i="3" s="1"/>
  <c r="I159" i="3"/>
  <c r="N159" i="3" s="1"/>
  <c r="S159" i="3" s="1"/>
  <c r="L158" i="3"/>
  <c r="Q158" i="3" s="1"/>
  <c r="V158" i="3" s="1"/>
  <c r="K158" i="3"/>
  <c r="P158" i="3" s="1"/>
  <c r="U158" i="3" s="1"/>
  <c r="J158" i="3"/>
  <c r="O158" i="3" s="1"/>
  <c r="T158" i="3" s="1"/>
  <c r="I158" i="3"/>
  <c r="N158" i="3" s="1"/>
  <c r="S158" i="3" s="1"/>
  <c r="L157" i="3"/>
  <c r="Q157" i="3" s="1"/>
  <c r="V157" i="3" s="1"/>
  <c r="K157" i="3"/>
  <c r="P157" i="3" s="1"/>
  <c r="U157" i="3" s="1"/>
  <c r="J157" i="3"/>
  <c r="O157" i="3" s="1"/>
  <c r="T157" i="3" s="1"/>
  <c r="I157" i="3"/>
  <c r="N157" i="3" s="1"/>
  <c r="S157" i="3" s="1"/>
  <c r="L156" i="3"/>
  <c r="Q156" i="3" s="1"/>
  <c r="V156" i="3" s="1"/>
  <c r="K156" i="3"/>
  <c r="P156" i="3" s="1"/>
  <c r="U156" i="3" s="1"/>
  <c r="J156" i="3"/>
  <c r="O156" i="3" s="1"/>
  <c r="T156" i="3" s="1"/>
  <c r="I156" i="3"/>
  <c r="N156" i="3" s="1"/>
  <c r="S156" i="3" s="1"/>
  <c r="L155" i="3"/>
  <c r="Q155" i="3" s="1"/>
  <c r="V155" i="3" s="1"/>
  <c r="K155" i="3"/>
  <c r="P155" i="3" s="1"/>
  <c r="U155" i="3" s="1"/>
  <c r="J155" i="3"/>
  <c r="O155" i="3" s="1"/>
  <c r="T155" i="3" s="1"/>
  <c r="I155" i="3"/>
  <c r="N155" i="3" s="1"/>
  <c r="S155" i="3" s="1"/>
  <c r="L154" i="3"/>
  <c r="Q154" i="3" s="1"/>
  <c r="V154" i="3" s="1"/>
  <c r="K154" i="3"/>
  <c r="P154" i="3" s="1"/>
  <c r="U154" i="3" s="1"/>
  <c r="J154" i="3"/>
  <c r="O154" i="3" s="1"/>
  <c r="T154" i="3" s="1"/>
  <c r="I154" i="3"/>
  <c r="N154" i="3" s="1"/>
  <c r="S154" i="3" s="1"/>
  <c r="L153" i="3"/>
  <c r="Q153" i="3" s="1"/>
  <c r="V153" i="3" s="1"/>
  <c r="K153" i="3"/>
  <c r="P153" i="3" s="1"/>
  <c r="U153" i="3" s="1"/>
  <c r="J153" i="3"/>
  <c r="O153" i="3" s="1"/>
  <c r="T153" i="3" s="1"/>
  <c r="I153" i="3"/>
  <c r="N153" i="3" s="1"/>
  <c r="S153" i="3" s="1"/>
  <c r="L152" i="3"/>
  <c r="Q152" i="3" s="1"/>
  <c r="V152" i="3" s="1"/>
  <c r="K152" i="3"/>
  <c r="P152" i="3" s="1"/>
  <c r="U152" i="3" s="1"/>
  <c r="J152" i="3"/>
  <c r="O152" i="3" s="1"/>
  <c r="T152" i="3" s="1"/>
  <c r="I152" i="3"/>
  <c r="N152" i="3" s="1"/>
  <c r="S152" i="3" s="1"/>
  <c r="L151" i="3"/>
  <c r="Q151" i="3" s="1"/>
  <c r="V151" i="3" s="1"/>
  <c r="K151" i="3"/>
  <c r="P151" i="3" s="1"/>
  <c r="U151" i="3" s="1"/>
  <c r="J151" i="3"/>
  <c r="O151" i="3" s="1"/>
  <c r="T151" i="3" s="1"/>
  <c r="I151" i="3"/>
  <c r="N151" i="3" s="1"/>
  <c r="S151" i="3" s="1"/>
  <c r="L150" i="3"/>
  <c r="Q150" i="3" s="1"/>
  <c r="V150" i="3" s="1"/>
  <c r="K150" i="3"/>
  <c r="P150" i="3" s="1"/>
  <c r="U150" i="3" s="1"/>
  <c r="J150" i="3"/>
  <c r="O150" i="3" s="1"/>
  <c r="T150" i="3" s="1"/>
  <c r="I150" i="3"/>
  <c r="N150" i="3" s="1"/>
  <c r="S150" i="3" s="1"/>
  <c r="L149" i="3"/>
  <c r="Q149" i="3" s="1"/>
  <c r="V149" i="3" s="1"/>
  <c r="K149" i="3"/>
  <c r="P149" i="3" s="1"/>
  <c r="U149" i="3" s="1"/>
  <c r="J149" i="3"/>
  <c r="O149" i="3" s="1"/>
  <c r="T149" i="3" s="1"/>
  <c r="I149" i="3"/>
  <c r="N149" i="3" s="1"/>
  <c r="S149" i="3" s="1"/>
  <c r="L148" i="3"/>
  <c r="Q148" i="3" s="1"/>
  <c r="V148" i="3" s="1"/>
  <c r="K148" i="3"/>
  <c r="P148" i="3" s="1"/>
  <c r="U148" i="3" s="1"/>
  <c r="J148" i="3"/>
  <c r="O148" i="3" s="1"/>
  <c r="T148" i="3" s="1"/>
  <c r="I148" i="3"/>
  <c r="N148" i="3" s="1"/>
  <c r="S148" i="3" s="1"/>
  <c r="L147" i="3"/>
  <c r="Q147" i="3" s="1"/>
  <c r="V147" i="3" s="1"/>
  <c r="K147" i="3"/>
  <c r="P147" i="3" s="1"/>
  <c r="U147" i="3" s="1"/>
  <c r="J147" i="3"/>
  <c r="O147" i="3" s="1"/>
  <c r="T147" i="3" s="1"/>
  <c r="I147" i="3"/>
  <c r="N147" i="3" s="1"/>
  <c r="S147" i="3" s="1"/>
  <c r="L146" i="3"/>
  <c r="Q146" i="3" s="1"/>
  <c r="V146" i="3" s="1"/>
  <c r="K146" i="3"/>
  <c r="P146" i="3" s="1"/>
  <c r="U146" i="3" s="1"/>
  <c r="J146" i="3"/>
  <c r="O146" i="3" s="1"/>
  <c r="T146" i="3" s="1"/>
  <c r="I146" i="3"/>
  <c r="N146" i="3" s="1"/>
  <c r="S146" i="3" s="1"/>
  <c r="L145" i="3"/>
  <c r="Q145" i="3" s="1"/>
  <c r="V145" i="3" s="1"/>
  <c r="K145" i="3"/>
  <c r="P145" i="3" s="1"/>
  <c r="U145" i="3" s="1"/>
  <c r="J145" i="3"/>
  <c r="O145" i="3" s="1"/>
  <c r="T145" i="3" s="1"/>
  <c r="I145" i="3"/>
  <c r="N145" i="3" s="1"/>
  <c r="S145" i="3" s="1"/>
  <c r="L144" i="3"/>
  <c r="Q144" i="3" s="1"/>
  <c r="V144" i="3" s="1"/>
  <c r="K144" i="3"/>
  <c r="P144" i="3" s="1"/>
  <c r="U144" i="3" s="1"/>
  <c r="J144" i="3"/>
  <c r="O144" i="3" s="1"/>
  <c r="T144" i="3" s="1"/>
  <c r="I144" i="3"/>
  <c r="N144" i="3" s="1"/>
  <c r="S144" i="3" s="1"/>
  <c r="L143" i="3"/>
  <c r="Q143" i="3" s="1"/>
  <c r="V143" i="3" s="1"/>
  <c r="K143" i="3"/>
  <c r="P143" i="3" s="1"/>
  <c r="U143" i="3" s="1"/>
  <c r="J143" i="3"/>
  <c r="O143" i="3" s="1"/>
  <c r="T143" i="3" s="1"/>
  <c r="I143" i="3"/>
  <c r="N143" i="3" s="1"/>
  <c r="S143" i="3" s="1"/>
  <c r="L142" i="3"/>
  <c r="Q142" i="3" s="1"/>
  <c r="V142" i="3" s="1"/>
  <c r="K142" i="3"/>
  <c r="P142" i="3" s="1"/>
  <c r="U142" i="3" s="1"/>
  <c r="J142" i="3"/>
  <c r="O142" i="3" s="1"/>
  <c r="T142" i="3" s="1"/>
  <c r="I142" i="3"/>
  <c r="N142" i="3" s="1"/>
  <c r="S142" i="3" s="1"/>
  <c r="L141" i="3"/>
  <c r="Q141" i="3" s="1"/>
  <c r="V141" i="3" s="1"/>
  <c r="K141" i="3"/>
  <c r="P141" i="3" s="1"/>
  <c r="U141" i="3" s="1"/>
  <c r="J141" i="3"/>
  <c r="O141" i="3" s="1"/>
  <c r="T141" i="3" s="1"/>
  <c r="I141" i="3"/>
  <c r="N141" i="3" s="1"/>
  <c r="S141" i="3" s="1"/>
  <c r="L140" i="3"/>
  <c r="Q140" i="3" s="1"/>
  <c r="V140" i="3" s="1"/>
  <c r="K140" i="3"/>
  <c r="P140" i="3" s="1"/>
  <c r="U140" i="3" s="1"/>
  <c r="J140" i="3"/>
  <c r="O140" i="3" s="1"/>
  <c r="T140" i="3" s="1"/>
  <c r="I140" i="3"/>
  <c r="N140" i="3" s="1"/>
  <c r="S140" i="3" s="1"/>
  <c r="L139" i="3"/>
  <c r="Q139" i="3" s="1"/>
  <c r="V139" i="3" s="1"/>
  <c r="K139" i="3"/>
  <c r="P139" i="3" s="1"/>
  <c r="U139" i="3" s="1"/>
  <c r="J139" i="3"/>
  <c r="O139" i="3" s="1"/>
  <c r="T139" i="3" s="1"/>
  <c r="I139" i="3"/>
  <c r="N139" i="3" s="1"/>
  <c r="S139" i="3" s="1"/>
  <c r="L138" i="3"/>
  <c r="Q138" i="3" s="1"/>
  <c r="V138" i="3" s="1"/>
  <c r="K138" i="3"/>
  <c r="P138" i="3" s="1"/>
  <c r="U138" i="3" s="1"/>
  <c r="J138" i="3"/>
  <c r="O138" i="3" s="1"/>
  <c r="T138" i="3" s="1"/>
  <c r="I138" i="3"/>
  <c r="N138" i="3" s="1"/>
  <c r="S138" i="3" s="1"/>
  <c r="L137" i="3"/>
  <c r="Q137" i="3" s="1"/>
  <c r="V137" i="3" s="1"/>
  <c r="K137" i="3"/>
  <c r="P137" i="3" s="1"/>
  <c r="U137" i="3" s="1"/>
  <c r="J137" i="3"/>
  <c r="O137" i="3" s="1"/>
  <c r="T137" i="3" s="1"/>
  <c r="I137" i="3"/>
  <c r="N137" i="3" s="1"/>
  <c r="S137" i="3" s="1"/>
  <c r="L136" i="3"/>
  <c r="Q136" i="3" s="1"/>
  <c r="V136" i="3" s="1"/>
  <c r="K136" i="3"/>
  <c r="P136" i="3" s="1"/>
  <c r="U136" i="3" s="1"/>
  <c r="J136" i="3"/>
  <c r="O136" i="3" s="1"/>
  <c r="T136" i="3" s="1"/>
  <c r="I136" i="3"/>
  <c r="N136" i="3" s="1"/>
  <c r="S136" i="3" s="1"/>
  <c r="L135" i="3"/>
  <c r="Q135" i="3" s="1"/>
  <c r="V135" i="3" s="1"/>
  <c r="K135" i="3"/>
  <c r="P135" i="3" s="1"/>
  <c r="U135" i="3" s="1"/>
  <c r="J135" i="3"/>
  <c r="O135" i="3" s="1"/>
  <c r="T135" i="3" s="1"/>
  <c r="I135" i="3"/>
  <c r="N135" i="3" s="1"/>
  <c r="S135" i="3" s="1"/>
  <c r="L134" i="3"/>
  <c r="Q134" i="3" s="1"/>
  <c r="V134" i="3" s="1"/>
  <c r="K134" i="3"/>
  <c r="P134" i="3" s="1"/>
  <c r="U134" i="3" s="1"/>
  <c r="J134" i="3"/>
  <c r="O134" i="3" s="1"/>
  <c r="T134" i="3" s="1"/>
  <c r="I134" i="3"/>
  <c r="N134" i="3" s="1"/>
  <c r="S134" i="3" s="1"/>
  <c r="L133" i="3"/>
  <c r="Q133" i="3" s="1"/>
  <c r="V133" i="3" s="1"/>
  <c r="K133" i="3"/>
  <c r="P133" i="3" s="1"/>
  <c r="U133" i="3" s="1"/>
  <c r="J133" i="3"/>
  <c r="O133" i="3" s="1"/>
  <c r="T133" i="3" s="1"/>
  <c r="I133" i="3"/>
  <c r="N133" i="3" s="1"/>
  <c r="S133" i="3" s="1"/>
  <c r="L132" i="3"/>
  <c r="Q132" i="3" s="1"/>
  <c r="V132" i="3" s="1"/>
  <c r="K132" i="3"/>
  <c r="P132" i="3" s="1"/>
  <c r="U132" i="3" s="1"/>
  <c r="J132" i="3"/>
  <c r="O132" i="3" s="1"/>
  <c r="T132" i="3" s="1"/>
  <c r="I132" i="3"/>
  <c r="N132" i="3" s="1"/>
  <c r="S132" i="3" s="1"/>
  <c r="L131" i="3"/>
  <c r="Q131" i="3" s="1"/>
  <c r="V131" i="3" s="1"/>
  <c r="K131" i="3"/>
  <c r="P131" i="3" s="1"/>
  <c r="U131" i="3" s="1"/>
  <c r="J131" i="3"/>
  <c r="O131" i="3" s="1"/>
  <c r="T131" i="3" s="1"/>
  <c r="I131" i="3"/>
  <c r="N131" i="3" s="1"/>
  <c r="S131" i="3" s="1"/>
  <c r="L130" i="3"/>
  <c r="Q130" i="3" s="1"/>
  <c r="V130" i="3" s="1"/>
  <c r="K130" i="3"/>
  <c r="P130" i="3" s="1"/>
  <c r="U130" i="3" s="1"/>
  <c r="J130" i="3"/>
  <c r="O130" i="3" s="1"/>
  <c r="T130" i="3" s="1"/>
  <c r="I130" i="3"/>
  <c r="N130" i="3" s="1"/>
  <c r="S130" i="3" s="1"/>
  <c r="L129" i="3"/>
  <c r="Q129" i="3" s="1"/>
  <c r="V129" i="3" s="1"/>
  <c r="K129" i="3"/>
  <c r="P129" i="3" s="1"/>
  <c r="U129" i="3" s="1"/>
  <c r="J129" i="3"/>
  <c r="O129" i="3" s="1"/>
  <c r="T129" i="3" s="1"/>
  <c r="I129" i="3"/>
  <c r="N129" i="3" s="1"/>
  <c r="S129" i="3" s="1"/>
  <c r="L128" i="3"/>
  <c r="Q128" i="3" s="1"/>
  <c r="V128" i="3" s="1"/>
  <c r="K128" i="3"/>
  <c r="P128" i="3" s="1"/>
  <c r="U128" i="3" s="1"/>
  <c r="J128" i="3"/>
  <c r="O128" i="3" s="1"/>
  <c r="T128" i="3" s="1"/>
  <c r="I128" i="3"/>
  <c r="N128" i="3" s="1"/>
  <c r="S128" i="3" s="1"/>
  <c r="L127" i="3"/>
  <c r="Q127" i="3" s="1"/>
  <c r="V127" i="3" s="1"/>
  <c r="K127" i="3"/>
  <c r="P127" i="3" s="1"/>
  <c r="U127" i="3" s="1"/>
  <c r="J127" i="3"/>
  <c r="O127" i="3" s="1"/>
  <c r="T127" i="3" s="1"/>
  <c r="I127" i="3"/>
  <c r="N127" i="3" s="1"/>
  <c r="S127" i="3" s="1"/>
  <c r="L126" i="3"/>
  <c r="Q126" i="3" s="1"/>
  <c r="V126" i="3" s="1"/>
  <c r="K126" i="3"/>
  <c r="P126" i="3" s="1"/>
  <c r="U126" i="3" s="1"/>
  <c r="J126" i="3"/>
  <c r="O126" i="3" s="1"/>
  <c r="T126" i="3" s="1"/>
  <c r="I126" i="3"/>
  <c r="N126" i="3" s="1"/>
  <c r="S126" i="3" s="1"/>
  <c r="L125" i="3"/>
  <c r="Q125" i="3" s="1"/>
  <c r="V125" i="3" s="1"/>
  <c r="K125" i="3"/>
  <c r="P125" i="3" s="1"/>
  <c r="U125" i="3" s="1"/>
  <c r="J125" i="3"/>
  <c r="O125" i="3" s="1"/>
  <c r="T125" i="3" s="1"/>
  <c r="I125" i="3"/>
  <c r="N125" i="3" s="1"/>
  <c r="S125" i="3" s="1"/>
  <c r="L124" i="3"/>
  <c r="Q124" i="3" s="1"/>
  <c r="V124" i="3" s="1"/>
  <c r="K124" i="3"/>
  <c r="P124" i="3" s="1"/>
  <c r="U124" i="3" s="1"/>
  <c r="J124" i="3"/>
  <c r="O124" i="3" s="1"/>
  <c r="T124" i="3" s="1"/>
  <c r="I124" i="3"/>
  <c r="N124" i="3" s="1"/>
  <c r="S124" i="3" s="1"/>
  <c r="L123" i="3"/>
  <c r="Q123" i="3" s="1"/>
  <c r="V123" i="3" s="1"/>
  <c r="K123" i="3"/>
  <c r="P123" i="3" s="1"/>
  <c r="U123" i="3" s="1"/>
  <c r="J123" i="3"/>
  <c r="O123" i="3" s="1"/>
  <c r="T123" i="3" s="1"/>
  <c r="I123" i="3"/>
  <c r="N123" i="3" s="1"/>
  <c r="S123" i="3" s="1"/>
  <c r="L122" i="3"/>
  <c r="Q122" i="3" s="1"/>
  <c r="V122" i="3" s="1"/>
  <c r="K122" i="3"/>
  <c r="P122" i="3" s="1"/>
  <c r="U122" i="3" s="1"/>
  <c r="J122" i="3"/>
  <c r="O122" i="3" s="1"/>
  <c r="T122" i="3" s="1"/>
  <c r="I122" i="3"/>
  <c r="N122" i="3" s="1"/>
  <c r="S122" i="3" s="1"/>
  <c r="L121" i="3"/>
  <c r="Q121" i="3" s="1"/>
  <c r="V121" i="3" s="1"/>
  <c r="K121" i="3"/>
  <c r="P121" i="3" s="1"/>
  <c r="U121" i="3" s="1"/>
  <c r="J121" i="3"/>
  <c r="O121" i="3" s="1"/>
  <c r="T121" i="3" s="1"/>
  <c r="I121" i="3"/>
  <c r="N121" i="3" s="1"/>
  <c r="S121" i="3" s="1"/>
  <c r="L120" i="3"/>
  <c r="Q120" i="3" s="1"/>
  <c r="V120" i="3" s="1"/>
  <c r="K120" i="3"/>
  <c r="P120" i="3" s="1"/>
  <c r="U120" i="3" s="1"/>
  <c r="J120" i="3"/>
  <c r="O120" i="3" s="1"/>
  <c r="T120" i="3" s="1"/>
  <c r="I120" i="3"/>
  <c r="N120" i="3" s="1"/>
  <c r="S120" i="3" s="1"/>
  <c r="L119" i="3"/>
  <c r="Q119" i="3" s="1"/>
  <c r="V119" i="3" s="1"/>
  <c r="K119" i="3"/>
  <c r="P119" i="3" s="1"/>
  <c r="U119" i="3" s="1"/>
  <c r="J119" i="3"/>
  <c r="O119" i="3" s="1"/>
  <c r="T119" i="3" s="1"/>
  <c r="I119" i="3"/>
  <c r="N119" i="3" s="1"/>
  <c r="S119" i="3" s="1"/>
  <c r="L118" i="3"/>
  <c r="Q118" i="3" s="1"/>
  <c r="V118" i="3" s="1"/>
  <c r="K118" i="3"/>
  <c r="P118" i="3" s="1"/>
  <c r="U118" i="3" s="1"/>
  <c r="J118" i="3"/>
  <c r="O118" i="3" s="1"/>
  <c r="T118" i="3" s="1"/>
  <c r="I118" i="3"/>
  <c r="N118" i="3" s="1"/>
  <c r="S118" i="3" s="1"/>
  <c r="L117" i="3"/>
  <c r="Q117" i="3" s="1"/>
  <c r="V117" i="3" s="1"/>
  <c r="K117" i="3"/>
  <c r="P117" i="3" s="1"/>
  <c r="U117" i="3" s="1"/>
  <c r="J117" i="3"/>
  <c r="O117" i="3" s="1"/>
  <c r="T117" i="3" s="1"/>
  <c r="I117" i="3"/>
  <c r="N117" i="3" s="1"/>
  <c r="S117" i="3" s="1"/>
  <c r="L116" i="3"/>
  <c r="Q116" i="3" s="1"/>
  <c r="V116" i="3" s="1"/>
  <c r="K116" i="3"/>
  <c r="P116" i="3" s="1"/>
  <c r="U116" i="3" s="1"/>
  <c r="J116" i="3"/>
  <c r="O116" i="3" s="1"/>
  <c r="T116" i="3" s="1"/>
  <c r="I116" i="3"/>
  <c r="N116" i="3" s="1"/>
  <c r="S116" i="3" s="1"/>
  <c r="L115" i="3"/>
  <c r="Q115" i="3" s="1"/>
  <c r="V115" i="3" s="1"/>
  <c r="K115" i="3"/>
  <c r="P115" i="3" s="1"/>
  <c r="U115" i="3" s="1"/>
  <c r="J115" i="3"/>
  <c r="O115" i="3" s="1"/>
  <c r="T115" i="3" s="1"/>
  <c r="I115" i="3"/>
  <c r="N115" i="3" s="1"/>
  <c r="S115" i="3" s="1"/>
  <c r="L114" i="3"/>
  <c r="Q114" i="3" s="1"/>
  <c r="V114" i="3" s="1"/>
  <c r="K114" i="3"/>
  <c r="P114" i="3" s="1"/>
  <c r="U114" i="3" s="1"/>
  <c r="J114" i="3"/>
  <c r="O114" i="3" s="1"/>
  <c r="T114" i="3" s="1"/>
  <c r="I114" i="3"/>
  <c r="N114" i="3" s="1"/>
  <c r="S114" i="3" s="1"/>
  <c r="L113" i="3"/>
  <c r="Q113" i="3" s="1"/>
  <c r="V113" i="3" s="1"/>
  <c r="K113" i="3"/>
  <c r="P113" i="3" s="1"/>
  <c r="U113" i="3" s="1"/>
  <c r="J113" i="3"/>
  <c r="O113" i="3" s="1"/>
  <c r="T113" i="3" s="1"/>
  <c r="I113" i="3"/>
  <c r="N113" i="3" s="1"/>
  <c r="S113" i="3" s="1"/>
  <c r="L112" i="3"/>
  <c r="Q112" i="3" s="1"/>
  <c r="V112" i="3" s="1"/>
  <c r="K112" i="3"/>
  <c r="P112" i="3" s="1"/>
  <c r="U112" i="3" s="1"/>
  <c r="J112" i="3"/>
  <c r="O112" i="3" s="1"/>
  <c r="T112" i="3" s="1"/>
  <c r="I112" i="3"/>
  <c r="N112" i="3" s="1"/>
  <c r="S112" i="3" s="1"/>
  <c r="L111" i="3"/>
  <c r="Q111" i="3" s="1"/>
  <c r="V111" i="3" s="1"/>
  <c r="K111" i="3"/>
  <c r="P111" i="3" s="1"/>
  <c r="U111" i="3" s="1"/>
  <c r="J111" i="3"/>
  <c r="O111" i="3" s="1"/>
  <c r="T111" i="3" s="1"/>
  <c r="I111" i="3"/>
  <c r="N111" i="3" s="1"/>
  <c r="S111" i="3" s="1"/>
  <c r="L110" i="3"/>
  <c r="Q110" i="3" s="1"/>
  <c r="V110" i="3" s="1"/>
  <c r="K110" i="3"/>
  <c r="P110" i="3" s="1"/>
  <c r="U110" i="3" s="1"/>
  <c r="J110" i="3"/>
  <c r="O110" i="3" s="1"/>
  <c r="T110" i="3" s="1"/>
  <c r="I110" i="3"/>
  <c r="N110" i="3" s="1"/>
  <c r="S110" i="3" s="1"/>
  <c r="L109" i="3"/>
  <c r="Q109" i="3" s="1"/>
  <c r="V109" i="3" s="1"/>
  <c r="K109" i="3"/>
  <c r="P109" i="3" s="1"/>
  <c r="U109" i="3" s="1"/>
  <c r="J109" i="3"/>
  <c r="O109" i="3" s="1"/>
  <c r="T109" i="3" s="1"/>
  <c r="I109" i="3"/>
  <c r="N109" i="3" s="1"/>
  <c r="S109" i="3" s="1"/>
  <c r="L108" i="3"/>
  <c r="Q108" i="3" s="1"/>
  <c r="V108" i="3" s="1"/>
  <c r="K108" i="3"/>
  <c r="P108" i="3" s="1"/>
  <c r="U108" i="3" s="1"/>
  <c r="J108" i="3"/>
  <c r="O108" i="3" s="1"/>
  <c r="T108" i="3" s="1"/>
  <c r="I108" i="3"/>
  <c r="N108" i="3" s="1"/>
  <c r="S108" i="3" s="1"/>
  <c r="L107" i="3"/>
  <c r="Q107" i="3" s="1"/>
  <c r="V107" i="3" s="1"/>
  <c r="K107" i="3"/>
  <c r="P107" i="3" s="1"/>
  <c r="U107" i="3" s="1"/>
  <c r="J107" i="3"/>
  <c r="O107" i="3" s="1"/>
  <c r="T107" i="3" s="1"/>
  <c r="I107" i="3"/>
  <c r="N107" i="3" s="1"/>
  <c r="S107" i="3" s="1"/>
  <c r="L106" i="3"/>
  <c r="Q106" i="3" s="1"/>
  <c r="V106" i="3" s="1"/>
  <c r="K106" i="3"/>
  <c r="P106" i="3" s="1"/>
  <c r="U106" i="3" s="1"/>
  <c r="J106" i="3"/>
  <c r="O106" i="3" s="1"/>
  <c r="T106" i="3" s="1"/>
  <c r="I106" i="3"/>
  <c r="N106" i="3" s="1"/>
  <c r="S106" i="3" s="1"/>
  <c r="L105" i="3"/>
  <c r="Q105" i="3" s="1"/>
  <c r="V105" i="3" s="1"/>
  <c r="K105" i="3"/>
  <c r="P105" i="3" s="1"/>
  <c r="U105" i="3" s="1"/>
  <c r="J105" i="3"/>
  <c r="O105" i="3" s="1"/>
  <c r="T105" i="3" s="1"/>
  <c r="I105" i="3"/>
  <c r="N105" i="3" s="1"/>
  <c r="S105" i="3" s="1"/>
  <c r="L104" i="3"/>
  <c r="Q104" i="3" s="1"/>
  <c r="V104" i="3" s="1"/>
  <c r="K104" i="3"/>
  <c r="P104" i="3" s="1"/>
  <c r="U104" i="3" s="1"/>
  <c r="J104" i="3"/>
  <c r="O104" i="3" s="1"/>
  <c r="T104" i="3" s="1"/>
  <c r="I104" i="3"/>
  <c r="N104" i="3" s="1"/>
  <c r="S104" i="3" s="1"/>
  <c r="L103" i="3"/>
  <c r="Q103" i="3" s="1"/>
  <c r="V103" i="3" s="1"/>
  <c r="K103" i="3"/>
  <c r="P103" i="3" s="1"/>
  <c r="U103" i="3" s="1"/>
  <c r="J103" i="3"/>
  <c r="O103" i="3" s="1"/>
  <c r="T103" i="3" s="1"/>
  <c r="I103" i="3"/>
  <c r="N103" i="3" s="1"/>
  <c r="S103" i="3" s="1"/>
  <c r="L102" i="3"/>
  <c r="Q102" i="3" s="1"/>
  <c r="V102" i="3" s="1"/>
  <c r="K102" i="3"/>
  <c r="P102" i="3" s="1"/>
  <c r="U102" i="3" s="1"/>
  <c r="J102" i="3"/>
  <c r="O102" i="3" s="1"/>
  <c r="T102" i="3" s="1"/>
  <c r="I102" i="3"/>
  <c r="N102" i="3" s="1"/>
  <c r="S102" i="3" s="1"/>
  <c r="L101" i="3"/>
  <c r="Q101" i="3" s="1"/>
  <c r="V101" i="3" s="1"/>
  <c r="K101" i="3"/>
  <c r="P101" i="3" s="1"/>
  <c r="U101" i="3" s="1"/>
  <c r="J101" i="3"/>
  <c r="O101" i="3" s="1"/>
  <c r="T101" i="3" s="1"/>
  <c r="I101" i="3"/>
  <c r="N101" i="3" s="1"/>
  <c r="S101" i="3" s="1"/>
  <c r="L100" i="3"/>
  <c r="Q100" i="3" s="1"/>
  <c r="V100" i="3" s="1"/>
  <c r="K100" i="3"/>
  <c r="P100" i="3" s="1"/>
  <c r="U100" i="3" s="1"/>
  <c r="J100" i="3"/>
  <c r="O100" i="3" s="1"/>
  <c r="T100" i="3" s="1"/>
  <c r="I100" i="3"/>
  <c r="N100" i="3" s="1"/>
  <c r="S100" i="3" s="1"/>
  <c r="L99" i="3"/>
  <c r="Q99" i="3" s="1"/>
  <c r="V99" i="3" s="1"/>
  <c r="K99" i="3"/>
  <c r="P99" i="3" s="1"/>
  <c r="U99" i="3" s="1"/>
  <c r="J99" i="3"/>
  <c r="O99" i="3" s="1"/>
  <c r="T99" i="3" s="1"/>
  <c r="I99" i="3"/>
  <c r="N99" i="3" s="1"/>
  <c r="S99" i="3" s="1"/>
  <c r="L98" i="3"/>
  <c r="Q98" i="3" s="1"/>
  <c r="V98" i="3" s="1"/>
  <c r="K98" i="3"/>
  <c r="P98" i="3" s="1"/>
  <c r="U98" i="3" s="1"/>
  <c r="J98" i="3"/>
  <c r="O98" i="3" s="1"/>
  <c r="T98" i="3" s="1"/>
  <c r="I98" i="3"/>
  <c r="N98" i="3" s="1"/>
  <c r="S98" i="3" s="1"/>
  <c r="L97" i="3"/>
  <c r="Q97" i="3" s="1"/>
  <c r="V97" i="3" s="1"/>
  <c r="K97" i="3"/>
  <c r="P97" i="3" s="1"/>
  <c r="U97" i="3" s="1"/>
  <c r="J97" i="3"/>
  <c r="O97" i="3" s="1"/>
  <c r="T97" i="3" s="1"/>
  <c r="I97" i="3"/>
  <c r="N97" i="3" s="1"/>
  <c r="S97" i="3" s="1"/>
  <c r="L96" i="3"/>
  <c r="Q96" i="3" s="1"/>
  <c r="V96" i="3" s="1"/>
  <c r="K96" i="3"/>
  <c r="P96" i="3" s="1"/>
  <c r="U96" i="3" s="1"/>
  <c r="I96" i="3"/>
  <c r="N96" i="3" s="1"/>
  <c r="S96" i="3" s="1"/>
  <c r="L95" i="3"/>
  <c r="Q95" i="3" s="1"/>
  <c r="V95" i="3" s="1"/>
  <c r="K95" i="3"/>
  <c r="P95" i="3" s="1"/>
  <c r="U95" i="3" s="1"/>
  <c r="J95" i="3"/>
  <c r="O95" i="3" s="1"/>
  <c r="T95" i="3" s="1"/>
  <c r="I95" i="3"/>
  <c r="N95" i="3" s="1"/>
  <c r="S95" i="3" s="1"/>
  <c r="L94" i="3"/>
  <c r="Q94" i="3" s="1"/>
  <c r="V94" i="3" s="1"/>
  <c r="K94" i="3"/>
  <c r="P94" i="3" s="1"/>
  <c r="U94" i="3" s="1"/>
  <c r="J94" i="3"/>
  <c r="O94" i="3" s="1"/>
  <c r="T94" i="3" s="1"/>
  <c r="I94" i="3"/>
  <c r="N94" i="3" s="1"/>
  <c r="S94" i="3" s="1"/>
  <c r="L93" i="3"/>
  <c r="Q93" i="3" s="1"/>
  <c r="V93" i="3" s="1"/>
  <c r="K93" i="3"/>
  <c r="P93" i="3" s="1"/>
  <c r="U93" i="3" s="1"/>
  <c r="J93" i="3"/>
  <c r="O93" i="3" s="1"/>
  <c r="T93" i="3" s="1"/>
  <c r="I93" i="3"/>
  <c r="N93" i="3" s="1"/>
  <c r="S93" i="3" s="1"/>
  <c r="L92" i="3"/>
  <c r="Q92" i="3" s="1"/>
  <c r="V92" i="3" s="1"/>
  <c r="K92" i="3"/>
  <c r="P92" i="3" s="1"/>
  <c r="U92" i="3" s="1"/>
  <c r="J92" i="3"/>
  <c r="O92" i="3" s="1"/>
  <c r="T92" i="3" s="1"/>
  <c r="I92" i="3"/>
  <c r="N92" i="3" s="1"/>
  <c r="S92" i="3" s="1"/>
  <c r="L91" i="3"/>
  <c r="Q91" i="3" s="1"/>
  <c r="V91" i="3" s="1"/>
  <c r="K91" i="3"/>
  <c r="P91" i="3" s="1"/>
  <c r="U91" i="3" s="1"/>
  <c r="J91" i="3"/>
  <c r="O91" i="3" s="1"/>
  <c r="T91" i="3" s="1"/>
  <c r="I91" i="3"/>
  <c r="N91" i="3" s="1"/>
  <c r="S91" i="3" s="1"/>
  <c r="L90" i="3"/>
  <c r="Q90" i="3" s="1"/>
  <c r="V90" i="3" s="1"/>
  <c r="K90" i="3"/>
  <c r="P90" i="3" s="1"/>
  <c r="U90" i="3" s="1"/>
  <c r="J90" i="3"/>
  <c r="O90" i="3" s="1"/>
  <c r="T90" i="3" s="1"/>
  <c r="I90" i="3"/>
  <c r="N90" i="3" s="1"/>
  <c r="S90" i="3" s="1"/>
  <c r="L89" i="3"/>
  <c r="Q89" i="3" s="1"/>
  <c r="V89" i="3" s="1"/>
  <c r="K89" i="3"/>
  <c r="P89" i="3" s="1"/>
  <c r="U89" i="3" s="1"/>
  <c r="J89" i="3"/>
  <c r="O89" i="3" s="1"/>
  <c r="T89" i="3" s="1"/>
  <c r="I89" i="3"/>
  <c r="N89" i="3" s="1"/>
  <c r="S89" i="3" s="1"/>
  <c r="L88" i="3"/>
  <c r="Q88" i="3" s="1"/>
  <c r="V88" i="3" s="1"/>
  <c r="K88" i="3"/>
  <c r="P88" i="3" s="1"/>
  <c r="U88" i="3" s="1"/>
  <c r="J88" i="3"/>
  <c r="O88" i="3" s="1"/>
  <c r="T88" i="3" s="1"/>
  <c r="I88" i="3"/>
  <c r="N88" i="3" s="1"/>
  <c r="S88" i="3" s="1"/>
  <c r="L87" i="3"/>
  <c r="Q87" i="3" s="1"/>
  <c r="V87" i="3" s="1"/>
  <c r="K87" i="3"/>
  <c r="P87" i="3" s="1"/>
  <c r="U87" i="3" s="1"/>
  <c r="J87" i="3"/>
  <c r="O87" i="3" s="1"/>
  <c r="T87" i="3" s="1"/>
  <c r="I87" i="3"/>
  <c r="N87" i="3" s="1"/>
  <c r="S87" i="3" s="1"/>
  <c r="L86" i="3"/>
  <c r="Q86" i="3" s="1"/>
  <c r="V86" i="3" s="1"/>
  <c r="K86" i="3"/>
  <c r="P86" i="3" s="1"/>
  <c r="U86" i="3" s="1"/>
  <c r="J86" i="3"/>
  <c r="O86" i="3" s="1"/>
  <c r="T86" i="3" s="1"/>
  <c r="I86" i="3"/>
  <c r="N86" i="3" s="1"/>
  <c r="S86" i="3" s="1"/>
  <c r="L85" i="3"/>
  <c r="Q85" i="3" s="1"/>
  <c r="V85" i="3" s="1"/>
  <c r="K85" i="3"/>
  <c r="P85" i="3" s="1"/>
  <c r="U85" i="3" s="1"/>
  <c r="J85" i="3"/>
  <c r="O85" i="3" s="1"/>
  <c r="T85" i="3" s="1"/>
  <c r="I85" i="3"/>
  <c r="N85" i="3" s="1"/>
  <c r="S85" i="3" s="1"/>
  <c r="L84" i="3"/>
  <c r="Q84" i="3" s="1"/>
  <c r="V84" i="3" s="1"/>
  <c r="K84" i="3"/>
  <c r="P84" i="3" s="1"/>
  <c r="U84" i="3" s="1"/>
  <c r="J84" i="3"/>
  <c r="O84" i="3" s="1"/>
  <c r="T84" i="3" s="1"/>
  <c r="I84" i="3"/>
  <c r="N84" i="3" s="1"/>
  <c r="S84" i="3" s="1"/>
  <c r="L83" i="3"/>
  <c r="Q83" i="3" s="1"/>
  <c r="V83" i="3" s="1"/>
  <c r="K83" i="3"/>
  <c r="P83" i="3" s="1"/>
  <c r="U83" i="3" s="1"/>
  <c r="J83" i="3"/>
  <c r="O83" i="3" s="1"/>
  <c r="T83" i="3" s="1"/>
  <c r="I83" i="3"/>
  <c r="N83" i="3" s="1"/>
  <c r="S83" i="3" s="1"/>
  <c r="L82" i="3"/>
  <c r="Q82" i="3" s="1"/>
  <c r="V82" i="3" s="1"/>
  <c r="K82" i="3"/>
  <c r="P82" i="3" s="1"/>
  <c r="U82" i="3" s="1"/>
  <c r="J82" i="3"/>
  <c r="O82" i="3" s="1"/>
  <c r="T82" i="3" s="1"/>
  <c r="I82" i="3"/>
  <c r="N82" i="3" s="1"/>
  <c r="S82" i="3" s="1"/>
  <c r="L81" i="3"/>
  <c r="Q81" i="3" s="1"/>
  <c r="V81" i="3" s="1"/>
  <c r="K81" i="3"/>
  <c r="P81" i="3" s="1"/>
  <c r="U81" i="3" s="1"/>
  <c r="J81" i="3"/>
  <c r="O81" i="3" s="1"/>
  <c r="T81" i="3" s="1"/>
  <c r="I81" i="3"/>
  <c r="N81" i="3" s="1"/>
  <c r="S81" i="3" s="1"/>
  <c r="L80" i="3"/>
  <c r="Q80" i="3" s="1"/>
  <c r="V80" i="3" s="1"/>
  <c r="K80" i="3"/>
  <c r="P80" i="3" s="1"/>
  <c r="U80" i="3" s="1"/>
  <c r="J80" i="3"/>
  <c r="O80" i="3" s="1"/>
  <c r="T80" i="3" s="1"/>
  <c r="I80" i="3"/>
  <c r="N80" i="3" s="1"/>
  <c r="S80" i="3" s="1"/>
  <c r="L79" i="3"/>
  <c r="Q79" i="3" s="1"/>
  <c r="V79" i="3" s="1"/>
  <c r="K79" i="3"/>
  <c r="P79" i="3" s="1"/>
  <c r="U79" i="3" s="1"/>
  <c r="J79" i="3"/>
  <c r="O79" i="3" s="1"/>
  <c r="T79" i="3" s="1"/>
  <c r="I79" i="3"/>
  <c r="N79" i="3" s="1"/>
  <c r="S79" i="3" s="1"/>
  <c r="L78" i="3"/>
  <c r="Q78" i="3" s="1"/>
  <c r="V78" i="3" s="1"/>
  <c r="K78" i="3"/>
  <c r="P78" i="3" s="1"/>
  <c r="U78" i="3" s="1"/>
  <c r="J78" i="3"/>
  <c r="O78" i="3" s="1"/>
  <c r="T78" i="3" s="1"/>
  <c r="I78" i="3"/>
  <c r="N78" i="3" s="1"/>
  <c r="S78" i="3" s="1"/>
  <c r="L77" i="3"/>
  <c r="Q77" i="3" s="1"/>
  <c r="V77" i="3" s="1"/>
  <c r="K77" i="3"/>
  <c r="P77" i="3" s="1"/>
  <c r="U77" i="3" s="1"/>
  <c r="J77" i="3"/>
  <c r="O77" i="3" s="1"/>
  <c r="T77" i="3" s="1"/>
  <c r="I77" i="3"/>
  <c r="N77" i="3" s="1"/>
  <c r="S77" i="3" s="1"/>
  <c r="L76" i="3"/>
  <c r="Q76" i="3" s="1"/>
  <c r="V76" i="3" s="1"/>
  <c r="K76" i="3"/>
  <c r="P76" i="3" s="1"/>
  <c r="U76" i="3" s="1"/>
  <c r="J76" i="3"/>
  <c r="O76" i="3" s="1"/>
  <c r="T76" i="3" s="1"/>
  <c r="I76" i="3"/>
  <c r="N76" i="3" s="1"/>
  <c r="S76" i="3" s="1"/>
  <c r="L75" i="3"/>
  <c r="Q75" i="3" s="1"/>
  <c r="V75" i="3" s="1"/>
  <c r="K75" i="3"/>
  <c r="P75" i="3" s="1"/>
  <c r="U75" i="3" s="1"/>
  <c r="J75" i="3"/>
  <c r="O75" i="3" s="1"/>
  <c r="T75" i="3" s="1"/>
  <c r="I75" i="3"/>
  <c r="N75" i="3" s="1"/>
  <c r="S75" i="3" s="1"/>
  <c r="L74" i="3"/>
  <c r="Q74" i="3" s="1"/>
  <c r="V74" i="3" s="1"/>
  <c r="K74" i="3"/>
  <c r="P74" i="3" s="1"/>
  <c r="U74" i="3" s="1"/>
  <c r="J74" i="3"/>
  <c r="O74" i="3" s="1"/>
  <c r="T74" i="3" s="1"/>
  <c r="I74" i="3"/>
  <c r="N74" i="3" s="1"/>
  <c r="S74" i="3" s="1"/>
  <c r="L73" i="3"/>
  <c r="Q73" i="3" s="1"/>
  <c r="V73" i="3" s="1"/>
  <c r="K73" i="3"/>
  <c r="P73" i="3" s="1"/>
  <c r="U73" i="3" s="1"/>
  <c r="J73" i="3"/>
  <c r="O73" i="3" s="1"/>
  <c r="T73" i="3" s="1"/>
  <c r="I73" i="3"/>
  <c r="N73" i="3" s="1"/>
  <c r="S73" i="3" s="1"/>
  <c r="L72" i="3"/>
  <c r="Q72" i="3" s="1"/>
  <c r="V72" i="3" s="1"/>
  <c r="K72" i="3"/>
  <c r="P72" i="3" s="1"/>
  <c r="U72" i="3" s="1"/>
  <c r="J72" i="3"/>
  <c r="O72" i="3" s="1"/>
  <c r="T72" i="3" s="1"/>
  <c r="I72" i="3"/>
  <c r="N72" i="3" s="1"/>
  <c r="S72" i="3" s="1"/>
  <c r="L71" i="3"/>
  <c r="Q71" i="3" s="1"/>
  <c r="V71" i="3" s="1"/>
  <c r="K71" i="3"/>
  <c r="P71" i="3" s="1"/>
  <c r="U71" i="3" s="1"/>
  <c r="J71" i="3"/>
  <c r="O71" i="3" s="1"/>
  <c r="T71" i="3" s="1"/>
  <c r="I71" i="3"/>
  <c r="N71" i="3" s="1"/>
  <c r="S71" i="3" s="1"/>
  <c r="L70" i="3"/>
  <c r="Q70" i="3" s="1"/>
  <c r="V70" i="3" s="1"/>
  <c r="K70" i="3"/>
  <c r="P70" i="3" s="1"/>
  <c r="U70" i="3" s="1"/>
  <c r="J70" i="3"/>
  <c r="O70" i="3" s="1"/>
  <c r="T70" i="3" s="1"/>
  <c r="I70" i="3"/>
  <c r="N70" i="3" s="1"/>
  <c r="S70" i="3" s="1"/>
  <c r="L69" i="3"/>
  <c r="Q69" i="3" s="1"/>
  <c r="V69" i="3" s="1"/>
  <c r="K69" i="3"/>
  <c r="P69" i="3" s="1"/>
  <c r="U69" i="3" s="1"/>
  <c r="J69" i="3"/>
  <c r="O69" i="3" s="1"/>
  <c r="T69" i="3" s="1"/>
  <c r="I69" i="3"/>
  <c r="N69" i="3" s="1"/>
  <c r="S69" i="3" s="1"/>
  <c r="L68" i="3"/>
  <c r="Q68" i="3" s="1"/>
  <c r="V68" i="3" s="1"/>
  <c r="K68" i="3"/>
  <c r="P68" i="3" s="1"/>
  <c r="U68" i="3" s="1"/>
  <c r="J68" i="3"/>
  <c r="O68" i="3" s="1"/>
  <c r="T68" i="3" s="1"/>
  <c r="I68" i="3"/>
  <c r="N68" i="3" s="1"/>
  <c r="S68" i="3" s="1"/>
  <c r="L67" i="3"/>
  <c r="Q67" i="3" s="1"/>
  <c r="V67" i="3" s="1"/>
  <c r="K67" i="3"/>
  <c r="P67" i="3" s="1"/>
  <c r="U67" i="3" s="1"/>
  <c r="J67" i="3"/>
  <c r="O67" i="3" s="1"/>
  <c r="T67" i="3" s="1"/>
  <c r="I67" i="3"/>
  <c r="N67" i="3" s="1"/>
  <c r="S67" i="3" s="1"/>
  <c r="L66" i="3"/>
  <c r="Q66" i="3" s="1"/>
  <c r="V66" i="3" s="1"/>
  <c r="K66" i="3"/>
  <c r="P66" i="3" s="1"/>
  <c r="U66" i="3" s="1"/>
  <c r="J66" i="3"/>
  <c r="O66" i="3" s="1"/>
  <c r="T66" i="3" s="1"/>
  <c r="I66" i="3"/>
  <c r="N66" i="3" s="1"/>
  <c r="S66" i="3" s="1"/>
  <c r="L65" i="3"/>
  <c r="Q65" i="3" s="1"/>
  <c r="V65" i="3" s="1"/>
  <c r="K65" i="3"/>
  <c r="P65" i="3" s="1"/>
  <c r="U65" i="3" s="1"/>
  <c r="J65" i="3"/>
  <c r="O65" i="3" s="1"/>
  <c r="T65" i="3" s="1"/>
  <c r="I65" i="3"/>
  <c r="N65" i="3" s="1"/>
  <c r="S65" i="3" s="1"/>
  <c r="L64" i="3"/>
  <c r="Q64" i="3" s="1"/>
  <c r="V64" i="3" s="1"/>
  <c r="K64" i="3"/>
  <c r="P64" i="3" s="1"/>
  <c r="U64" i="3" s="1"/>
  <c r="J64" i="3"/>
  <c r="O64" i="3" s="1"/>
  <c r="T64" i="3" s="1"/>
  <c r="I64" i="3"/>
  <c r="N64" i="3" s="1"/>
  <c r="S64" i="3" s="1"/>
  <c r="L63" i="3"/>
  <c r="Q63" i="3" s="1"/>
  <c r="V63" i="3" s="1"/>
  <c r="K63" i="3"/>
  <c r="P63" i="3" s="1"/>
  <c r="U63" i="3" s="1"/>
  <c r="J63" i="3"/>
  <c r="O63" i="3" s="1"/>
  <c r="T63" i="3" s="1"/>
  <c r="I63" i="3"/>
  <c r="N63" i="3" s="1"/>
  <c r="S63" i="3" s="1"/>
  <c r="L62" i="3"/>
  <c r="Q62" i="3" s="1"/>
  <c r="V62" i="3" s="1"/>
  <c r="K62" i="3"/>
  <c r="P62" i="3" s="1"/>
  <c r="U62" i="3" s="1"/>
  <c r="J62" i="3"/>
  <c r="O62" i="3" s="1"/>
  <c r="T62" i="3" s="1"/>
  <c r="I62" i="3"/>
  <c r="N62" i="3" s="1"/>
  <c r="S62" i="3" s="1"/>
  <c r="L61" i="3"/>
  <c r="Q61" i="3" s="1"/>
  <c r="V61" i="3" s="1"/>
  <c r="K61" i="3"/>
  <c r="P61" i="3" s="1"/>
  <c r="U61" i="3" s="1"/>
  <c r="J61" i="3"/>
  <c r="O61" i="3" s="1"/>
  <c r="T61" i="3" s="1"/>
  <c r="I61" i="3"/>
  <c r="N61" i="3" s="1"/>
  <c r="S61" i="3" s="1"/>
  <c r="L60" i="3"/>
  <c r="Q60" i="3" s="1"/>
  <c r="V60" i="3" s="1"/>
  <c r="K60" i="3"/>
  <c r="P60" i="3" s="1"/>
  <c r="U60" i="3" s="1"/>
  <c r="J60" i="3"/>
  <c r="O60" i="3" s="1"/>
  <c r="T60" i="3" s="1"/>
  <c r="I60" i="3"/>
  <c r="N60" i="3" s="1"/>
  <c r="S60" i="3" s="1"/>
  <c r="L59" i="3"/>
  <c r="Q59" i="3" s="1"/>
  <c r="V59" i="3" s="1"/>
  <c r="K59" i="3"/>
  <c r="P59" i="3" s="1"/>
  <c r="U59" i="3" s="1"/>
  <c r="J59" i="3"/>
  <c r="O59" i="3" s="1"/>
  <c r="T59" i="3" s="1"/>
  <c r="I59" i="3"/>
  <c r="N59" i="3" s="1"/>
  <c r="S59" i="3" s="1"/>
  <c r="L58" i="3"/>
  <c r="Q58" i="3" s="1"/>
  <c r="V58" i="3" s="1"/>
  <c r="K58" i="3"/>
  <c r="P58" i="3" s="1"/>
  <c r="U58" i="3" s="1"/>
  <c r="J58" i="3"/>
  <c r="O58" i="3" s="1"/>
  <c r="T58" i="3" s="1"/>
  <c r="I58" i="3"/>
  <c r="N58" i="3" s="1"/>
  <c r="S58" i="3" s="1"/>
  <c r="L57" i="3"/>
  <c r="Q57" i="3" s="1"/>
  <c r="V57" i="3" s="1"/>
  <c r="K57" i="3"/>
  <c r="P57" i="3" s="1"/>
  <c r="U57" i="3" s="1"/>
  <c r="J57" i="3"/>
  <c r="O57" i="3" s="1"/>
  <c r="T57" i="3" s="1"/>
  <c r="I57" i="3"/>
  <c r="N57" i="3" s="1"/>
  <c r="S57" i="3" s="1"/>
  <c r="L56" i="3"/>
  <c r="Q56" i="3" s="1"/>
  <c r="V56" i="3" s="1"/>
  <c r="K56" i="3"/>
  <c r="P56" i="3" s="1"/>
  <c r="U56" i="3" s="1"/>
  <c r="J56" i="3"/>
  <c r="O56" i="3" s="1"/>
  <c r="T56" i="3" s="1"/>
  <c r="I56" i="3"/>
  <c r="N56" i="3" s="1"/>
  <c r="S56" i="3" s="1"/>
  <c r="L55" i="3"/>
  <c r="Q55" i="3" s="1"/>
  <c r="V55" i="3" s="1"/>
  <c r="K55" i="3"/>
  <c r="P55" i="3" s="1"/>
  <c r="U55" i="3" s="1"/>
  <c r="J55" i="3"/>
  <c r="O55" i="3" s="1"/>
  <c r="T55" i="3" s="1"/>
  <c r="I55" i="3"/>
  <c r="N55" i="3" s="1"/>
  <c r="S55" i="3" s="1"/>
  <c r="L54" i="3"/>
  <c r="Q54" i="3" s="1"/>
  <c r="V54" i="3" s="1"/>
  <c r="K54" i="3"/>
  <c r="P54" i="3" s="1"/>
  <c r="U54" i="3" s="1"/>
  <c r="J54" i="3"/>
  <c r="O54" i="3" s="1"/>
  <c r="T54" i="3" s="1"/>
  <c r="I54" i="3"/>
  <c r="N54" i="3" s="1"/>
  <c r="S54" i="3" s="1"/>
  <c r="L53" i="3"/>
  <c r="Q53" i="3" s="1"/>
  <c r="V53" i="3" s="1"/>
  <c r="K53" i="3"/>
  <c r="P53" i="3" s="1"/>
  <c r="U53" i="3" s="1"/>
  <c r="J53" i="3"/>
  <c r="O53" i="3" s="1"/>
  <c r="T53" i="3" s="1"/>
  <c r="I53" i="3"/>
  <c r="N53" i="3" s="1"/>
  <c r="S53" i="3" s="1"/>
  <c r="L52" i="3"/>
  <c r="Q52" i="3" s="1"/>
  <c r="V52" i="3" s="1"/>
  <c r="K52" i="3"/>
  <c r="P52" i="3" s="1"/>
  <c r="U52" i="3" s="1"/>
  <c r="J52" i="3"/>
  <c r="O52" i="3" s="1"/>
  <c r="T52" i="3" s="1"/>
  <c r="I52" i="3"/>
  <c r="N52" i="3" s="1"/>
  <c r="S52" i="3" s="1"/>
  <c r="L51" i="3"/>
  <c r="Q51" i="3" s="1"/>
  <c r="V51" i="3" s="1"/>
  <c r="K51" i="3"/>
  <c r="P51" i="3" s="1"/>
  <c r="U51" i="3" s="1"/>
  <c r="J51" i="3"/>
  <c r="O51" i="3" s="1"/>
  <c r="T51" i="3" s="1"/>
  <c r="I51" i="3"/>
  <c r="N51" i="3" s="1"/>
  <c r="S51" i="3" s="1"/>
  <c r="L50" i="3"/>
  <c r="Q50" i="3" s="1"/>
  <c r="V50" i="3" s="1"/>
  <c r="K50" i="3"/>
  <c r="P50" i="3" s="1"/>
  <c r="U50" i="3" s="1"/>
  <c r="J50" i="3"/>
  <c r="O50" i="3" s="1"/>
  <c r="T50" i="3" s="1"/>
  <c r="I50" i="3"/>
  <c r="N50" i="3" s="1"/>
  <c r="S50" i="3" s="1"/>
  <c r="L49" i="3"/>
  <c r="Q49" i="3" s="1"/>
  <c r="V49" i="3" s="1"/>
  <c r="K49" i="3"/>
  <c r="P49" i="3" s="1"/>
  <c r="U49" i="3" s="1"/>
  <c r="J49" i="3"/>
  <c r="O49" i="3" s="1"/>
  <c r="T49" i="3" s="1"/>
  <c r="I49" i="3"/>
  <c r="N49" i="3" s="1"/>
  <c r="S49" i="3" s="1"/>
  <c r="L48" i="3"/>
  <c r="Q48" i="3" s="1"/>
  <c r="V48" i="3" s="1"/>
  <c r="K48" i="3"/>
  <c r="P48" i="3" s="1"/>
  <c r="U48" i="3" s="1"/>
  <c r="J48" i="3"/>
  <c r="O48" i="3" s="1"/>
  <c r="T48" i="3" s="1"/>
  <c r="I48" i="3"/>
  <c r="N48" i="3" s="1"/>
  <c r="S48" i="3" s="1"/>
  <c r="L47" i="3"/>
  <c r="Q47" i="3" s="1"/>
  <c r="V47" i="3" s="1"/>
  <c r="K47" i="3"/>
  <c r="P47" i="3" s="1"/>
  <c r="U47" i="3" s="1"/>
  <c r="J47" i="3"/>
  <c r="O47" i="3" s="1"/>
  <c r="T47" i="3" s="1"/>
  <c r="I47" i="3"/>
  <c r="N47" i="3" s="1"/>
  <c r="S47" i="3" s="1"/>
  <c r="L46" i="3"/>
  <c r="Q46" i="3" s="1"/>
  <c r="V46" i="3" s="1"/>
  <c r="K46" i="3"/>
  <c r="P46" i="3" s="1"/>
  <c r="U46" i="3" s="1"/>
  <c r="J46" i="3"/>
  <c r="O46" i="3" s="1"/>
  <c r="T46" i="3" s="1"/>
  <c r="I46" i="3"/>
  <c r="N46" i="3" s="1"/>
  <c r="S46" i="3" s="1"/>
  <c r="L45" i="3"/>
  <c r="Q45" i="3" s="1"/>
  <c r="V45" i="3" s="1"/>
  <c r="K45" i="3"/>
  <c r="P45" i="3" s="1"/>
  <c r="U45" i="3" s="1"/>
  <c r="J45" i="3"/>
  <c r="O45" i="3" s="1"/>
  <c r="T45" i="3" s="1"/>
  <c r="I45" i="3"/>
  <c r="N45" i="3" s="1"/>
  <c r="S45" i="3" s="1"/>
  <c r="L44" i="3"/>
  <c r="Q44" i="3" s="1"/>
  <c r="V44" i="3" s="1"/>
  <c r="K44" i="3"/>
  <c r="P44" i="3" s="1"/>
  <c r="U44" i="3" s="1"/>
  <c r="J44" i="3"/>
  <c r="O44" i="3" s="1"/>
  <c r="T44" i="3" s="1"/>
  <c r="I44" i="3"/>
  <c r="N44" i="3" s="1"/>
  <c r="S44" i="3" s="1"/>
  <c r="L43" i="3"/>
  <c r="Q43" i="3" s="1"/>
  <c r="V43" i="3" s="1"/>
  <c r="K43" i="3"/>
  <c r="P43" i="3" s="1"/>
  <c r="U43" i="3" s="1"/>
  <c r="J43" i="3"/>
  <c r="O43" i="3" s="1"/>
  <c r="T43" i="3" s="1"/>
  <c r="I43" i="3"/>
  <c r="N43" i="3" s="1"/>
  <c r="S43" i="3" s="1"/>
  <c r="L42" i="3"/>
  <c r="Q42" i="3" s="1"/>
  <c r="V42" i="3" s="1"/>
  <c r="K42" i="3"/>
  <c r="P42" i="3" s="1"/>
  <c r="U42" i="3" s="1"/>
  <c r="J42" i="3"/>
  <c r="O42" i="3" s="1"/>
  <c r="T42" i="3" s="1"/>
  <c r="I42" i="3"/>
  <c r="N42" i="3" s="1"/>
  <c r="S42" i="3" s="1"/>
  <c r="L41" i="3"/>
  <c r="Q41" i="3" s="1"/>
  <c r="V41" i="3" s="1"/>
  <c r="K41" i="3"/>
  <c r="P41" i="3" s="1"/>
  <c r="U41" i="3" s="1"/>
  <c r="J41" i="3"/>
  <c r="O41" i="3" s="1"/>
  <c r="T41" i="3" s="1"/>
  <c r="I41" i="3"/>
  <c r="N41" i="3" s="1"/>
  <c r="S41" i="3" s="1"/>
  <c r="L40" i="3"/>
  <c r="Q40" i="3" s="1"/>
  <c r="V40" i="3" s="1"/>
  <c r="K40" i="3"/>
  <c r="P40" i="3" s="1"/>
  <c r="U40" i="3" s="1"/>
  <c r="J40" i="3"/>
  <c r="O40" i="3" s="1"/>
  <c r="T40" i="3" s="1"/>
  <c r="I40" i="3"/>
  <c r="N40" i="3" s="1"/>
  <c r="S40" i="3" s="1"/>
  <c r="L39" i="3"/>
  <c r="Q39" i="3" s="1"/>
  <c r="V39" i="3" s="1"/>
  <c r="K39" i="3"/>
  <c r="P39" i="3" s="1"/>
  <c r="U39" i="3" s="1"/>
  <c r="J39" i="3"/>
  <c r="O39" i="3" s="1"/>
  <c r="T39" i="3" s="1"/>
  <c r="I39" i="3"/>
  <c r="N39" i="3" s="1"/>
  <c r="S39" i="3" s="1"/>
  <c r="L38" i="3"/>
  <c r="Q38" i="3" s="1"/>
  <c r="V38" i="3" s="1"/>
  <c r="K38" i="3"/>
  <c r="P38" i="3" s="1"/>
  <c r="U38" i="3" s="1"/>
  <c r="J38" i="3"/>
  <c r="O38" i="3" s="1"/>
  <c r="T38" i="3" s="1"/>
  <c r="I38" i="3"/>
  <c r="N38" i="3" s="1"/>
  <c r="S38" i="3" s="1"/>
  <c r="L37" i="3"/>
  <c r="Q37" i="3" s="1"/>
  <c r="V37" i="3" s="1"/>
  <c r="K37" i="3"/>
  <c r="P37" i="3" s="1"/>
  <c r="U37" i="3" s="1"/>
  <c r="J37" i="3"/>
  <c r="O37" i="3" s="1"/>
  <c r="T37" i="3" s="1"/>
  <c r="I37" i="3"/>
  <c r="N37" i="3" s="1"/>
  <c r="S37" i="3" s="1"/>
  <c r="L36" i="3"/>
  <c r="Q36" i="3" s="1"/>
  <c r="V36" i="3" s="1"/>
  <c r="K36" i="3"/>
  <c r="P36" i="3" s="1"/>
  <c r="U36" i="3" s="1"/>
  <c r="J36" i="3"/>
  <c r="O36" i="3" s="1"/>
  <c r="T36" i="3" s="1"/>
  <c r="I36" i="3"/>
  <c r="N36" i="3" s="1"/>
  <c r="S36" i="3" s="1"/>
  <c r="L35" i="3"/>
  <c r="Q35" i="3" s="1"/>
  <c r="V35" i="3" s="1"/>
  <c r="K35" i="3"/>
  <c r="P35" i="3" s="1"/>
  <c r="U35" i="3" s="1"/>
  <c r="J35" i="3"/>
  <c r="O35" i="3" s="1"/>
  <c r="T35" i="3" s="1"/>
  <c r="I35" i="3"/>
  <c r="N35" i="3" s="1"/>
  <c r="S35" i="3" s="1"/>
  <c r="L34" i="3"/>
  <c r="Q34" i="3" s="1"/>
  <c r="V34" i="3" s="1"/>
  <c r="K34" i="3"/>
  <c r="P34" i="3" s="1"/>
  <c r="U34" i="3" s="1"/>
  <c r="J34" i="3"/>
  <c r="O34" i="3" s="1"/>
  <c r="T34" i="3" s="1"/>
  <c r="I34" i="3"/>
  <c r="N34" i="3" s="1"/>
  <c r="S34" i="3" s="1"/>
  <c r="L33" i="3"/>
  <c r="Q33" i="3" s="1"/>
  <c r="V33" i="3" s="1"/>
  <c r="K33" i="3"/>
  <c r="P33" i="3" s="1"/>
  <c r="U33" i="3" s="1"/>
  <c r="J33" i="3"/>
  <c r="O33" i="3" s="1"/>
  <c r="T33" i="3" s="1"/>
  <c r="I33" i="3"/>
  <c r="N33" i="3" s="1"/>
  <c r="S33" i="3" s="1"/>
  <c r="L32" i="3"/>
  <c r="Q32" i="3" s="1"/>
  <c r="V32" i="3" s="1"/>
  <c r="K32" i="3"/>
  <c r="P32" i="3" s="1"/>
  <c r="U32" i="3" s="1"/>
  <c r="J32" i="3"/>
  <c r="O32" i="3" s="1"/>
  <c r="T32" i="3" s="1"/>
  <c r="I32" i="3"/>
  <c r="N32" i="3" s="1"/>
  <c r="S32" i="3" s="1"/>
  <c r="L31" i="3"/>
  <c r="Q31" i="3" s="1"/>
  <c r="V31" i="3" s="1"/>
  <c r="K31" i="3"/>
  <c r="P31" i="3" s="1"/>
  <c r="U31" i="3" s="1"/>
  <c r="J31" i="3"/>
  <c r="O31" i="3" s="1"/>
  <c r="T31" i="3" s="1"/>
  <c r="I31" i="3"/>
  <c r="N31" i="3" s="1"/>
  <c r="S31" i="3" s="1"/>
  <c r="L30" i="3"/>
  <c r="Q30" i="3" s="1"/>
  <c r="V30" i="3" s="1"/>
  <c r="K30" i="3"/>
  <c r="P30" i="3" s="1"/>
  <c r="U30" i="3" s="1"/>
  <c r="J30" i="3"/>
  <c r="O30" i="3" s="1"/>
  <c r="T30" i="3" s="1"/>
  <c r="I30" i="3"/>
  <c r="N30" i="3" s="1"/>
  <c r="S30" i="3" s="1"/>
  <c r="L29" i="3"/>
  <c r="Q29" i="3" s="1"/>
  <c r="V29" i="3" s="1"/>
  <c r="K29" i="3"/>
  <c r="P29" i="3" s="1"/>
  <c r="U29" i="3" s="1"/>
  <c r="J29" i="3"/>
  <c r="O29" i="3" s="1"/>
  <c r="T29" i="3" s="1"/>
  <c r="I29" i="3"/>
  <c r="N29" i="3" s="1"/>
  <c r="S29" i="3" s="1"/>
  <c r="L28" i="3"/>
  <c r="Q28" i="3" s="1"/>
  <c r="V28" i="3" s="1"/>
  <c r="K28" i="3"/>
  <c r="P28" i="3" s="1"/>
  <c r="U28" i="3" s="1"/>
  <c r="J28" i="3"/>
  <c r="O28" i="3" s="1"/>
  <c r="T28" i="3" s="1"/>
  <c r="I28" i="3"/>
  <c r="N28" i="3" s="1"/>
  <c r="S28" i="3" s="1"/>
  <c r="L27" i="3"/>
  <c r="Q27" i="3" s="1"/>
  <c r="V27" i="3" s="1"/>
  <c r="K27" i="3"/>
  <c r="P27" i="3" s="1"/>
  <c r="U27" i="3" s="1"/>
  <c r="J27" i="3"/>
  <c r="O27" i="3" s="1"/>
  <c r="T27" i="3" s="1"/>
  <c r="I27" i="3"/>
  <c r="N27" i="3" s="1"/>
  <c r="S27" i="3" s="1"/>
  <c r="L26" i="3"/>
  <c r="Q26" i="3" s="1"/>
  <c r="V26" i="3" s="1"/>
  <c r="K26" i="3"/>
  <c r="P26" i="3" s="1"/>
  <c r="U26" i="3" s="1"/>
  <c r="J26" i="3"/>
  <c r="O26" i="3" s="1"/>
  <c r="T26" i="3" s="1"/>
  <c r="I26" i="3"/>
  <c r="N26" i="3" s="1"/>
  <c r="S26" i="3" s="1"/>
  <c r="L25" i="3"/>
  <c r="Q25" i="3" s="1"/>
  <c r="V25" i="3" s="1"/>
  <c r="K25" i="3"/>
  <c r="P25" i="3" s="1"/>
  <c r="U25" i="3" s="1"/>
  <c r="J25" i="3"/>
  <c r="O25" i="3" s="1"/>
  <c r="T25" i="3" s="1"/>
  <c r="I25" i="3"/>
  <c r="N25" i="3" s="1"/>
  <c r="S25" i="3" s="1"/>
  <c r="L24" i="3"/>
  <c r="Q24" i="3" s="1"/>
  <c r="V24" i="3" s="1"/>
  <c r="K24" i="3"/>
  <c r="P24" i="3" s="1"/>
  <c r="U24" i="3" s="1"/>
  <c r="J24" i="3"/>
  <c r="O24" i="3" s="1"/>
  <c r="T24" i="3" s="1"/>
  <c r="I24" i="3"/>
  <c r="N24" i="3" s="1"/>
  <c r="S24" i="3" s="1"/>
  <c r="L23" i="3"/>
  <c r="Q23" i="3" s="1"/>
  <c r="V23" i="3" s="1"/>
  <c r="K23" i="3"/>
  <c r="P23" i="3" s="1"/>
  <c r="U23" i="3" s="1"/>
  <c r="J23" i="3"/>
  <c r="O23" i="3" s="1"/>
  <c r="T23" i="3" s="1"/>
  <c r="I23" i="3"/>
  <c r="N23" i="3" s="1"/>
  <c r="S23" i="3" s="1"/>
  <c r="L22" i="3"/>
  <c r="Q22" i="3" s="1"/>
  <c r="V22" i="3" s="1"/>
  <c r="K22" i="3"/>
  <c r="P22" i="3" s="1"/>
  <c r="U22" i="3" s="1"/>
  <c r="J22" i="3"/>
  <c r="O22" i="3" s="1"/>
  <c r="T22" i="3" s="1"/>
  <c r="I22" i="3"/>
  <c r="N22" i="3" s="1"/>
  <c r="S22" i="3" s="1"/>
  <c r="L21" i="3"/>
  <c r="Q21" i="3" s="1"/>
  <c r="V21" i="3" s="1"/>
  <c r="K21" i="3"/>
  <c r="P21" i="3" s="1"/>
  <c r="U21" i="3" s="1"/>
  <c r="J21" i="3"/>
  <c r="O21" i="3" s="1"/>
  <c r="T21" i="3" s="1"/>
  <c r="I21" i="3"/>
  <c r="N21" i="3" s="1"/>
  <c r="S21" i="3" s="1"/>
  <c r="L20" i="3"/>
  <c r="Q20" i="3" s="1"/>
  <c r="V20" i="3" s="1"/>
  <c r="K20" i="3"/>
  <c r="P20" i="3" s="1"/>
  <c r="U20" i="3" s="1"/>
  <c r="J20" i="3"/>
  <c r="O20" i="3" s="1"/>
  <c r="T20" i="3" s="1"/>
  <c r="I20" i="3"/>
  <c r="N20" i="3" s="1"/>
  <c r="S20" i="3" s="1"/>
  <c r="L19" i="3"/>
  <c r="Q19" i="3" s="1"/>
  <c r="V19" i="3" s="1"/>
  <c r="K19" i="3"/>
  <c r="P19" i="3" s="1"/>
  <c r="U19" i="3" s="1"/>
  <c r="J19" i="3"/>
  <c r="O19" i="3" s="1"/>
  <c r="T19" i="3" s="1"/>
  <c r="I19" i="3"/>
  <c r="N19" i="3" s="1"/>
  <c r="S19" i="3" s="1"/>
  <c r="L18" i="3"/>
  <c r="Q18" i="3" s="1"/>
  <c r="V18" i="3" s="1"/>
  <c r="K18" i="3"/>
  <c r="P18" i="3" s="1"/>
  <c r="U18" i="3" s="1"/>
  <c r="J18" i="3"/>
  <c r="O18" i="3" s="1"/>
  <c r="T18" i="3" s="1"/>
  <c r="I18" i="3"/>
  <c r="N18" i="3" s="1"/>
  <c r="S18" i="3" s="1"/>
  <c r="L17" i="3"/>
  <c r="Q17" i="3" s="1"/>
  <c r="V17" i="3" s="1"/>
  <c r="K17" i="3"/>
  <c r="P17" i="3" s="1"/>
  <c r="U17" i="3" s="1"/>
  <c r="J17" i="3"/>
  <c r="O17" i="3" s="1"/>
  <c r="T17" i="3" s="1"/>
  <c r="I17" i="3"/>
  <c r="N17" i="3" s="1"/>
  <c r="S17" i="3" s="1"/>
  <c r="L16" i="3"/>
  <c r="Q16" i="3" s="1"/>
  <c r="V16" i="3" s="1"/>
  <c r="K16" i="3"/>
  <c r="P16" i="3" s="1"/>
  <c r="U16" i="3" s="1"/>
  <c r="J16" i="3"/>
  <c r="O16" i="3" s="1"/>
  <c r="T16" i="3" s="1"/>
  <c r="I16" i="3"/>
  <c r="N16" i="3" s="1"/>
  <c r="S16" i="3" s="1"/>
  <c r="L15" i="3"/>
  <c r="Q15" i="3" s="1"/>
  <c r="V15" i="3" s="1"/>
  <c r="K15" i="3"/>
  <c r="P15" i="3" s="1"/>
  <c r="U15" i="3" s="1"/>
  <c r="J15" i="3"/>
  <c r="O15" i="3" s="1"/>
  <c r="T15" i="3" s="1"/>
  <c r="I15" i="3"/>
  <c r="N15" i="3" s="1"/>
  <c r="S15" i="3" s="1"/>
  <c r="L14" i="3"/>
  <c r="Q14" i="3" s="1"/>
  <c r="V14" i="3" s="1"/>
  <c r="K14" i="3"/>
  <c r="P14" i="3" s="1"/>
  <c r="U14" i="3" s="1"/>
  <c r="J14" i="3"/>
  <c r="O14" i="3" s="1"/>
  <c r="T14" i="3" s="1"/>
  <c r="I14" i="3"/>
  <c r="N14" i="3" s="1"/>
  <c r="S14" i="3" s="1"/>
  <c r="L13" i="3"/>
  <c r="Q13" i="3" s="1"/>
  <c r="V13" i="3" s="1"/>
  <c r="K13" i="3"/>
  <c r="P13" i="3" s="1"/>
  <c r="U13" i="3" s="1"/>
  <c r="J13" i="3"/>
  <c r="O13" i="3" s="1"/>
  <c r="T13" i="3" s="1"/>
  <c r="I13" i="3"/>
  <c r="N13" i="3" s="1"/>
  <c r="S13" i="3" s="1"/>
  <c r="L12" i="3"/>
  <c r="Q12" i="3" s="1"/>
  <c r="V12" i="3" s="1"/>
  <c r="K12" i="3"/>
  <c r="P12" i="3" s="1"/>
  <c r="U12" i="3" s="1"/>
  <c r="J12" i="3"/>
  <c r="O12" i="3" s="1"/>
  <c r="T12" i="3" s="1"/>
  <c r="I12" i="3"/>
  <c r="N12" i="3" s="1"/>
  <c r="S12" i="3" s="1"/>
  <c r="L11" i="3"/>
  <c r="Q11" i="3" s="1"/>
  <c r="V11" i="3" s="1"/>
  <c r="K11" i="3"/>
  <c r="P11" i="3" s="1"/>
  <c r="U11" i="3" s="1"/>
  <c r="J11" i="3"/>
  <c r="O11" i="3" s="1"/>
  <c r="T11" i="3" s="1"/>
  <c r="I11" i="3"/>
  <c r="N11" i="3" s="1"/>
  <c r="S11" i="3" s="1"/>
  <c r="L10" i="3"/>
  <c r="Q10" i="3" s="1"/>
  <c r="V10" i="3" s="1"/>
  <c r="K10" i="3"/>
  <c r="P10" i="3" s="1"/>
  <c r="U10" i="3" s="1"/>
  <c r="J10" i="3"/>
  <c r="O10" i="3" s="1"/>
  <c r="T10" i="3" s="1"/>
  <c r="I10" i="3"/>
  <c r="N10" i="3" s="1"/>
  <c r="S10" i="3" s="1"/>
  <c r="L9" i="3"/>
  <c r="Q9" i="3" s="1"/>
  <c r="V9" i="3" s="1"/>
  <c r="K9" i="3"/>
  <c r="P9" i="3" s="1"/>
  <c r="U9" i="3" s="1"/>
  <c r="J9" i="3"/>
  <c r="O9" i="3" s="1"/>
  <c r="T9" i="3" s="1"/>
  <c r="I9" i="3"/>
  <c r="N9" i="3" s="1"/>
  <c r="S9" i="3" s="1"/>
  <c r="L8" i="3"/>
  <c r="Q8" i="3" s="1"/>
  <c r="V8" i="3" s="1"/>
  <c r="K8" i="3"/>
  <c r="P8" i="3" s="1"/>
  <c r="U8" i="3" s="1"/>
  <c r="J8" i="3"/>
  <c r="O8" i="3" s="1"/>
  <c r="T8" i="3" s="1"/>
  <c r="I8" i="3"/>
  <c r="N8" i="3" s="1"/>
  <c r="S8" i="3" s="1"/>
  <c r="L7" i="3"/>
  <c r="Q7" i="3" s="1"/>
  <c r="V7" i="3" s="1"/>
  <c r="K7" i="3"/>
  <c r="P7" i="3" s="1"/>
  <c r="U7" i="3" s="1"/>
  <c r="J7" i="3"/>
  <c r="O7" i="3" s="1"/>
  <c r="T7" i="3" s="1"/>
  <c r="I7" i="3"/>
  <c r="N7" i="3" s="1"/>
  <c r="S7" i="3" s="1"/>
  <c r="L6" i="3"/>
  <c r="Q6" i="3" s="1"/>
  <c r="V6" i="3" s="1"/>
  <c r="K6" i="3"/>
  <c r="P6" i="3" s="1"/>
  <c r="U6" i="3" s="1"/>
  <c r="J6" i="3"/>
  <c r="O6" i="3" s="1"/>
  <c r="T6" i="3" s="1"/>
  <c r="I6" i="3"/>
  <c r="N6" i="3" s="1"/>
  <c r="S6" i="3" s="1"/>
  <c r="L5" i="3"/>
  <c r="Q5" i="3" s="1"/>
  <c r="V5" i="3" s="1"/>
  <c r="K5" i="3"/>
  <c r="P5" i="3" s="1"/>
  <c r="U5" i="3" s="1"/>
  <c r="J5" i="3"/>
  <c r="O5" i="3" s="1"/>
  <c r="T5" i="3" s="1"/>
  <c r="I5" i="3"/>
  <c r="N5" i="3" s="1"/>
  <c r="S5" i="3" s="1"/>
  <c r="L4" i="3"/>
  <c r="Q4" i="3" s="1"/>
  <c r="V4" i="3" s="1"/>
  <c r="K4" i="3"/>
  <c r="P4" i="3" s="1"/>
  <c r="U4" i="3" s="1"/>
  <c r="J4" i="3"/>
  <c r="O4" i="3" s="1"/>
  <c r="T4" i="3" s="1"/>
  <c r="I4" i="3"/>
  <c r="N4" i="3" s="1"/>
  <c r="S4" i="3" s="1"/>
  <c r="L3" i="3"/>
  <c r="Q3" i="3" s="1"/>
  <c r="V3" i="3" s="1"/>
  <c r="K3" i="3"/>
  <c r="P3" i="3" s="1"/>
  <c r="U3" i="3" s="1"/>
  <c r="J3" i="3"/>
  <c r="O3" i="3" s="1"/>
  <c r="T3" i="3" s="1"/>
  <c r="I3" i="3"/>
  <c r="N3" i="3" s="1"/>
  <c r="S3" i="3" s="1"/>
  <c r="L2" i="3"/>
  <c r="Q2" i="3" s="1"/>
  <c r="V2" i="3" s="1"/>
  <c r="K2" i="3"/>
  <c r="P2" i="3" s="1"/>
  <c r="U2" i="3" s="1"/>
  <c r="J2" i="3"/>
  <c r="O2" i="3" s="1"/>
  <c r="T2" i="3" s="1"/>
  <c r="I2" i="3"/>
  <c r="N2" i="3" s="1"/>
  <c r="S2" i="3" s="1"/>
  <c r="N382" i="3" l="1"/>
  <c r="S382" i="3" s="1"/>
  <c r="K382" i="3"/>
  <c r="P382" i="3" s="1"/>
  <c r="U38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Yeongju Lee</author>
  </authors>
  <commentList>
    <comment ref="E96" authorId="0" shapeId="0" xr:uid="{47DD83A8-5E02-914B-8F25-9617AC7830B5}">
      <text>
        <r>
          <rPr>
            <b/>
            <sz val="10"/>
            <color rgb="FF000000"/>
            <rFont val="Tahoma"/>
            <family val="2"/>
          </rPr>
          <t>Yeongju Lee: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석탄제품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최종수요가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마이너스가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나올까요</t>
        </r>
        <r>
          <rPr>
            <sz val="10"/>
            <color rgb="FF000000"/>
            <rFont val="Tahoma"/>
            <family val="2"/>
          </rPr>
          <t>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Yeongju Lee</author>
  </authors>
  <commentList>
    <comment ref="E97" authorId="0" shapeId="0" xr:uid="{09F96A33-507A-AF4C-B278-64995AD60E6B}">
      <text>
        <r>
          <rPr>
            <b/>
            <sz val="10"/>
            <color rgb="FF000000"/>
            <rFont val="Tahoma"/>
            <family val="2"/>
          </rPr>
          <t>Yeongju Lee: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석탄제품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최종수요가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마이너스가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나올까요</t>
        </r>
        <r>
          <rPr>
            <sz val="10"/>
            <color rgb="FF000000"/>
            <rFont val="Tahoma"/>
            <family val="2"/>
          </rPr>
          <t>?</t>
        </r>
      </text>
    </comment>
  </commentList>
</comments>
</file>

<file path=xl/sharedStrings.xml><?xml version="1.0" encoding="utf-8"?>
<sst xmlns="http://schemas.openxmlformats.org/spreadsheetml/2006/main" count="3108" uniqueCount="800">
  <si>
    <t>source</t>
  </si>
  <si>
    <t>시나리오</t>
  </si>
  <si>
    <t>KDI</t>
  </si>
  <si>
    <t>2025-2030</t>
  </si>
  <si>
    <t>2031-2040</t>
  </si>
  <si>
    <t>2041-2050</t>
  </si>
  <si>
    <t>기준</t>
  </si>
  <si>
    <t>비관</t>
  </si>
  <si>
    <t>낙관</t>
  </si>
  <si>
    <t>unit</t>
  </si>
  <si>
    <t>%</t>
  </si>
  <si>
    <t>0111</t>
  </si>
  <si>
    <t>벼</t>
  </si>
  <si>
    <t>0112</t>
  </si>
  <si>
    <t>맥류 및 잡곡</t>
  </si>
  <si>
    <t>0113</t>
  </si>
  <si>
    <t>콩류</t>
  </si>
  <si>
    <t>0114</t>
  </si>
  <si>
    <t>감자류</t>
  </si>
  <si>
    <t>0121</t>
  </si>
  <si>
    <t>채소</t>
  </si>
  <si>
    <t>0122</t>
  </si>
  <si>
    <t>과실</t>
  </si>
  <si>
    <t>0191</t>
  </si>
  <si>
    <t>화훼작물</t>
  </si>
  <si>
    <t>0192</t>
  </si>
  <si>
    <t>약용작물</t>
  </si>
  <si>
    <t>0193</t>
  </si>
  <si>
    <t>잎담배</t>
  </si>
  <si>
    <t>0194</t>
  </si>
  <si>
    <t>천연고무</t>
  </si>
  <si>
    <t>0195</t>
  </si>
  <si>
    <t>종자</t>
  </si>
  <si>
    <t>0196</t>
  </si>
  <si>
    <t>기타식용작물</t>
  </si>
  <si>
    <t>0199</t>
  </si>
  <si>
    <t>기타 비식용작물</t>
  </si>
  <si>
    <t>0211</t>
  </si>
  <si>
    <t>낙농</t>
  </si>
  <si>
    <t>0212</t>
  </si>
  <si>
    <t>축우</t>
  </si>
  <si>
    <t>0291</t>
  </si>
  <si>
    <t>양돈</t>
  </si>
  <si>
    <t>0292</t>
  </si>
  <si>
    <t>가금</t>
  </si>
  <si>
    <t>0299</t>
  </si>
  <si>
    <t>기타축산</t>
  </si>
  <si>
    <t>0301</t>
  </si>
  <si>
    <t>영림</t>
  </si>
  <si>
    <t>0302</t>
  </si>
  <si>
    <t>원목</t>
  </si>
  <si>
    <t>0303</t>
  </si>
  <si>
    <t>식용 임산물</t>
  </si>
  <si>
    <t>0309</t>
  </si>
  <si>
    <t>기타 임산물</t>
  </si>
  <si>
    <t>0401</t>
  </si>
  <si>
    <t>수산어획</t>
  </si>
  <si>
    <t>0402</t>
  </si>
  <si>
    <t>수산양식</t>
  </si>
  <si>
    <t>0500</t>
  </si>
  <si>
    <t>농림어업 서비스</t>
  </si>
  <si>
    <t>0611</t>
  </si>
  <si>
    <t>무연탄</t>
  </si>
  <si>
    <t>0612</t>
  </si>
  <si>
    <t>유연탄</t>
  </si>
  <si>
    <t>0621</t>
  </si>
  <si>
    <t>원유</t>
  </si>
  <si>
    <t>0622</t>
  </si>
  <si>
    <t>천연가스(LNG)</t>
  </si>
  <si>
    <t>0711</t>
  </si>
  <si>
    <t>철광석</t>
  </si>
  <si>
    <t>0719</t>
  </si>
  <si>
    <t>기타 비철금속광석</t>
  </si>
  <si>
    <t>0721</t>
  </si>
  <si>
    <t>골재 및 석재</t>
  </si>
  <si>
    <t>0722</t>
  </si>
  <si>
    <t>석회석</t>
  </si>
  <si>
    <t>0729</t>
  </si>
  <si>
    <t>기타 비금속광물</t>
  </si>
  <si>
    <t>0811</t>
  </si>
  <si>
    <t>도축육</t>
  </si>
  <si>
    <t>0812</t>
  </si>
  <si>
    <t>가금육</t>
  </si>
  <si>
    <t>0813</t>
  </si>
  <si>
    <t>육가공품</t>
  </si>
  <si>
    <t>0814</t>
  </si>
  <si>
    <t>낙농품</t>
  </si>
  <si>
    <t>0821</t>
  </si>
  <si>
    <t>수산물 가공품</t>
  </si>
  <si>
    <t>0822</t>
  </si>
  <si>
    <t>수산동물 저장품</t>
  </si>
  <si>
    <t>0831</t>
  </si>
  <si>
    <t>정곡</t>
  </si>
  <si>
    <t>0832</t>
  </si>
  <si>
    <t>제분</t>
  </si>
  <si>
    <t>0841</t>
  </si>
  <si>
    <t>원당</t>
  </si>
  <si>
    <t>0842</t>
  </si>
  <si>
    <t>정제당</t>
  </si>
  <si>
    <t>0843</t>
  </si>
  <si>
    <t>전분 및 당류</t>
  </si>
  <si>
    <t>0851</t>
  </si>
  <si>
    <t>떡, 빵 및 과자류</t>
  </si>
  <si>
    <t>0852</t>
  </si>
  <si>
    <t>면류</t>
  </si>
  <si>
    <t>0861</t>
  </si>
  <si>
    <t>조미료 및 첨가용식품</t>
  </si>
  <si>
    <t>0862</t>
  </si>
  <si>
    <t>유지</t>
  </si>
  <si>
    <t>0871</t>
  </si>
  <si>
    <t>과실 및 채소 가공품</t>
  </si>
  <si>
    <t>0872</t>
  </si>
  <si>
    <t>커피 및 차류</t>
  </si>
  <si>
    <t>0873</t>
  </si>
  <si>
    <t>인삼 및 건강보조 식품</t>
  </si>
  <si>
    <t>0879</t>
  </si>
  <si>
    <t>기타 식료품</t>
  </si>
  <si>
    <t>0880</t>
  </si>
  <si>
    <t>사료</t>
  </si>
  <si>
    <t>0911</t>
  </si>
  <si>
    <t>주정</t>
  </si>
  <si>
    <t>0912</t>
  </si>
  <si>
    <t>소주</t>
  </si>
  <si>
    <t>0913</t>
  </si>
  <si>
    <t>맥주</t>
  </si>
  <si>
    <t>0919</t>
  </si>
  <si>
    <t>기타 주류</t>
  </si>
  <si>
    <t>0920</t>
  </si>
  <si>
    <t>비알콜음료 및 얼음</t>
  </si>
  <si>
    <t>1000</t>
  </si>
  <si>
    <t>담배</t>
  </si>
  <si>
    <t>1111</t>
  </si>
  <si>
    <t>천연 및 화학섬유사</t>
  </si>
  <si>
    <t>1119</t>
  </si>
  <si>
    <t>기타섬유사</t>
  </si>
  <si>
    <t>1121</t>
  </si>
  <si>
    <t>천연 및 화학 섬유직물</t>
  </si>
  <si>
    <t>1122</t>
  </si>
  <si>
    <t>기타 섬유직물</t>
  </si>
  <si>
    <t>1123</t>
  </si>
  <si>
    <t>편조원단</t>
  </si>
  <si>
    <t>1130</t>
  </si>
  <si>
    <t>섬유표백 및 염색 임가공</t>
  </si>
  <si>
    <t>1141</t>
  </si>
  <si>
    <t>직물제품</t>
  </si>
  <si>
    <t>1142</t>
  </si>
  <si>
    <t>부직포 및 펠트</t>
  </si>
  <si>
    <t>1149</t>
  </si>
  <si>
    <t>기타 섬유제품</t>
  </si>
  <si>
    <t>1151</t>
  </si>
  <si>
    <t>봉제의류</t>
  </si>
  <si>
    <t>1152</t>
  </si>
  <si>
    <t>편조의류</t>
  </si>
  <si>
    <t>1153</t>
  </si>
  <si>
    <t>가죽의류</t>
  </si>
  <si>
    <t>1154</t>
  </si>
  <si>
    <t>모피의류 및 모피제품</t>
  </si>
  <si>
    <t>1155</t>
  </si>
  <si>
    <t>의복 관련 장신품</t>
  </si>
  <si>
    <t>1201</t>
  </si>
  <si>
    <t>가죽</t>
  </si>
  <si>
    <t>1202</t>
  </si>
  <si>
    <t>모피</t>
  </si>
  <si>
    <t>1203</t>
  </si>
  <si>
    <t>가방 및 핸드백</t>
  </si>
  <si>
    <t>1204</t>
  </si>
  <si>
    <t>신발</t>
  </si>
  <si>
    <t>1209</t>
  </si>
  <si>
    <t>기타 가죽제품</t>
  </si>
  <si>
    <t>1311</t>
  </si>
  <si>
    <t>제재목</t>
  </si>
  <si>
    <t>1312</t>
  </si>
  <si>
    <t>합판</t>
  </si>
  <si>
    <t>1313</t>
  </si>
  <si>
    <t>강화 및 재생목재</t>
  </si>
  <si>
    <t>1321</t>
  </si>
  <si>
    <t>건축용 목제품</t>
  </si>
  <si>
    <t>1322</t>
  </si>
  <si>
    <t>목재용기 및 적재판</t>
  </si>
  <si>
    <t>1329</t>
  </si>
  <si>
    <t>기타 목제품</t>
  </si>
  <si>
    <t>1410</t>
  </si>
  <si>
    <t>펄프</t>
  </si>
  <si>
    <t>1421</t>
  </si>
  <si>
    <t>인쇄용지</t>
  </si>
  <si>
    <t>1429</t>
  </si>
  <si>
    <t>기타 원지 및 판지</t>
  </si>
  <si>
    <t>1431</t>
  </si>
  <si>
    <t>골판지 및 골판지가공품</t>
  </si>
  <si>
    <t>1432</t>
  </si>
  <si>
    <t>종이용기</t>
  </si>
  <si>
    <t>1433</t>
  </si>
  <si>
    <t>종이문구 및 사무용지</t>
  </si>
  <si>
    <t>1434</t>
  </si>
  <si>
    <t>위생용 종이제품</t>
  </si>
  <si>
    <t>1439</t>
  </si>
  <si>
    <t>기타 종이제품</t>
  </si>
  <si>
    <t>1500</t>
  </si>
  <si>
    <t>인쇄 및 기록매체 복제</t>
  </si>
  <si>
    <t>1610</t>
  </si>
  <si>
    <t>석탄제품</t>
  </si>
  <si>
    <t>1621</t>
  </si>
  <si>
    <t>나프타</t>
  </si>
  <si>
    <t>1622</t>
  </si>
  <si>
    <t>휘발유</t>
  </si>
  <si>
    <t>1623</t>
  </si>
  <si>
    <t>제트유</t>
  </si>
  <si>
    <t>1624</t>
  </si>
  <si>
    <t>등유</t>
  </si>
  <si>
    <t>1625</t>
  </si>
  <si>
    <t>경유</t>
  </si>
  <si>
    <t>1626</t>
  </si>
  <si>
    <t>중유</t>
  </si>
  <si>
    <t>1627</t>
  </si>
  <si>
    <t>액화석유가스</t>
  </si>
  <si>
    <t>1628</t>
  </si>
  <si>
    <t>정제혼합용 원료유</t>
  </si>
  <si>
    <t>1631</t>
  </si>
  <si>
    <t>윤활유 및 그리스</t>
  </si>
  <si>
    <t>1639</t>
  </si>
  <si>
    <t>기타 석유정제제품</t>
  </si>
  <si>
    <t>1711</t>
  </si>
  <si>
    <t>지방족 기초유분</t>
  </si>
  <si>
    <t>1712</t>
  </si>
  <si>
    <t>방향족 기초유분</t>
  </si>
  <si>
    <t>1713</t>
  </si>
  <si>
    <t>석유화학중간제품</t>
  </si>
  <si>
    <t>1719</t>
  </si>
  <si>
    <t>기타 기초유기화합물</t>
  </si>
  <si>
    <t>1721</t>
  </si>
  <si>
    <t>산업용 가스</t>
  </si>
  <si>
    <t>1722</t>
  </si>
  <si>
    <t>기초무기화합물</t>
  </si>
  <si>
    <t>1723</t>
  </si>
  <si>
    <t>염료, 안료 및 유연제</t>
  </si>
  <si>
    <t>1801</t>
  </si>
  <si>
    <t>합성수지</t>
  </si>
  <si>
    <t>1802</t>
  </si>
  <si>
    <t>합성고무</t>
  </si>
  <si>
    <t>1900</t>
  </si>
  <si>
    <t>화학섬유</t>
  </si>
  <si>
    <t>2000</t>
  </si>
  <si>
    <t>의약품</t>
  </si>
  <si>
    <t>2101</t>
  </si>
  <si>
    <t>비료 및 질소화합물</t>
  </si>
  <si>
    <t>2102</t>
  </si>
  <si>
    <t>살충제 및 농약</t>
  </si>
  <si>
    <t>2211</t>
  </si>
  <si>
    <t>도료</t>
  </si>
  <si>
    <t>2212</t>
  </si>
  <si>
    <t>잉크</t>
  </si>
  <si>
    <t>2221</t>
  </si>
  <si>
    <t>비누, 세제 및 치약</t>
  </si>
  <si>
    <t>2222</t>
  </si>
  <si>
    <t>화장품</t>
  </si>
  <si>
    <t>2291</t>
  </si>
  <si>
    <t>접착제 및 젤라틴</t>
  </si>
  <si>
    <t>2292</t>
  </si>
  <si>
    <t>사진용 화학제품 및 감광재료</t>
  </si>
  <si>
    <t>2299</t>
  </si>
  <si>
    <t>기타 화학제품</t>
  </si>
  <si>
    <t>2310</t>
  </si>
  <si>
    <t>플라스틱 1차제품</t>
  </si>
  <si>
    <t>2391</t>
  </si>
  <si>
    <t>건축용 플라스틱제품</t>
  </si>
  <si>
    <t>2392</t>
  </si>
  <si>
    <t>포장용 플라스틱제품</t>
  </si>
  <si>
    <t>2393</t>
  </si>
  <si>
    <t>운송장비 및 조립용 플라스틱제품</t>
  </si>
  <si>
    <t>2399</t>
  </si>
  <si>
    <t>기타 플라스틱제품</t>
  </si>
  <si>
    <t>2410</t>
  </si>
  <si>
    <t>타이어 및 튜브</t>
  </si>
  <si>
    <t>2491</t>
  </si>
  <si>
    <t>산업용 고무제품</t>
  </si>
  <si>
    <t>2499</t>
  </si>
  <si>
    <t>기타 고무제품</t>
  </si>
  <si>
    <t>2501</t>
  </si>
  <si>
    <t>판유리 및 1차 유리제품</t>
  </si>
  <si>
    <t>2502</t>
  </si>
  <si>
    <t>전자기기용 유리제품</t>
  </si>
  <si>
    <t>2503</t>
  </si>
  <si>
    <t>산업용 유리제품(전자기기용 제외)</t>
  </si>
  <si>
    <t>2509</t>
  </si>
  <si>
    <t>기타 유리제품</t>
  </si>
  <si>
    <t>2611</t>
  </si>
  <si>
    <t>가정용 도자기</t>
  </si>
  <si>
    <t>2612</t>
  </si>
  <si>
    <t>산업용 도자기</t>
  </si>
  <si>
    <t>2613</t>
  </si>
  <si>
    <t>내화요업제품</t>
  </si>
  <si>
    <t>2614</t>
  </si>
  <si>
    <t>건설용 비내화요업제품</t>
  </si>
  <si>
    <t>2620</t>
  </si>
  <si>
    <t>시멘트</t>
  </si>
  <si>
    <t>2631</t>
  </si>
  <si>
    <t>레미콘</t>
  </si>
  <si>
    <t>2632</t>
  </si>
  <si>
    <t>콘크리트 제품</t>
  </si>
  <si>
    <t>2691</t>
  </si>
  <si>
    <t>석회 및 석고제품</t>
  </si>
  <si>
    <t>2692</t>
  </si>
  <si>
    <t>석제품</t>
  </si>
  <si>
    <t>2693</t>
  </si>
  <si>
    <t>연마재</t>
  </si>
  <si>
    <t>2694</t>
  </si>
  <si>
    <t>아스콘 및 아스팔트제품</t>
  </si>
  <si>
    <t>2699</t>
  </si>
  <si>
    <t>기타 비금속광물제품</t>
  </si>
  <si>
    <t>2711</t>
  </si>
  <si>
    <t>선철</t>
  </si>
  <si>
    <t>2712</t>
  </si>
  <si>
    <t>합금철</t>
  </si>
  <si>
    <t>2713</t>
  </si>
  <si>
    <t>조강</t>
  </si>
  <si>
    <t>2721</t>
  </si>
  <si>
    <t>철근 및 봉강</t>
  </si>
  <si>
    <t>2722</t>
  </si>
  <si>
    <t>형강</t>
  </si>
  <si>
    <t>2723</t>
  </si>
  <si>
    <t>선재 및 궤조</t>
  </si>
  <si>
    <t>2724</t>
  </si>
  <si>
    <t>중후판(두께 3mm 이상)</t>
  </si>
  <si>
    <t>2725</t>
  </si>
  <si>
    <t>열연강판</t>
  </si>
  <si>
    <t>2726</t>
  </si>
  <si>
    <t>강선</t>
  </si>
  <si>
    <t>2727</t>
  </si>
  <si>
    <t>철강관</t>
  </si>
  <si>
    <t>2730</t>
  </si>
  <si>
    <t>냉간압연강재</t>
  </si>
  <si>
    <t>2791</t>
  </si>
  <si>
    <t>표면처리강재</t>
  </si>
  <si>
    <t>2799</t>
  </si>
  <si>
    <t>기타 철강1차제품</t>
  </si>
  <si>
    <t>2811</t>
  </si>
  <si>
    <t>동 제련, 정련 및 합금제품</t>
  </si>
  <si>
    <t>2812</t>
  </si>
  <si>
    <t>알루미늄 제련, 정련 및 합금제품</t>
  </si>
  <si>
    <t>2813</t>
  </si>
  <si>
    <t>연 및 아연 제련, 정련 및 합금제품</t>
  </si>
  <si>
    <t>2814</t>
  </si>
  <si>
    <t>금은괴</t>
  </si>
  <si>
    <t>2819</t>
  </si>
  <si>
    <t>기타 비철금속 제련, 정련 및 합금제품</t>
  </si>
  <si>
    <t>2821</t>
  </si>
  <si>
    <t>동 1차제품</t>
  </si>
  <si>
    <t>2822</t>
  </si>
  <si>
    <t>알루미늄 1차제품</t>
  </si>
  <si>
    <t>2829</t>
  </si>
  <si>
    <t>기타 비철금속 1차제품</t>
  </si>
  <si>
    <t>2900</t>
  </si>
  <si>
    <t>금속 주물</t>
  </si>
  <si>
    <t>3011</t>
  </si>
  <si>
    <t>건축용 금속제품</t>
  </si>
  <si>
    <t>3012</t>
  </si>
  <si>
    <t>구조물용 금속제품</t>
  </si>
  <si>
    <t>3013</t>
  </si>
  <si>
    <t>금속제 탱크 및 압력용기</t>
  </si>
  <si>
    <t>3014</t>
  </si>
  <si>
    <t>산업용 보일러 및 증기발생기</t>
  </si>
  <si>
    <t>3021</t>
  </si>
  <si>
    <t>금속 단조 및 야금제품</t>
  </si>
  <si>
    <t>3022</t>
  </si>
  <si>
    <t>금속압형제품</t>
  </si>
  <si>
    <t>3031</t>
  </si>
  <si>
    <t>금속처리</t>
  </si>
  <si>
    <t>3032</t>
  </si>
  <si>
    <t>금속처리 가공품</t>
  </si>
  <si>
    <t>3091</t>
  </si>
  <si>
    <t>가정용 금속제품</t>
  </si>
  <si>
    <t>3092</t>
  </si>
  <si>
    <t>부착용 금속제품</t>
  </si>
  <si>
    <t>3093</t>
  </si>
  <si>
    <t>공구류</t>
  </si>
  <si>
    <t>3094</t>
  </si>
  <si>
    <t>나사 및 철선제품</t>
  </si>
  <si>
    <t>3095</t>
  </si>
  <si>
    <t>금속포장용기</t>
  </si>
  <si>
    <t>3099</t>
  </si>
  <si>
    <t>기타 금속제품</t>
  </si>
  <si>
    <t>3101</t>
  </si>
  <si>
    <t>개별소자</t>
  </si>
  <si>
    <t>3102</t>
  </si>
  <si>
    <t>집적회로</t>
  </si>
  <si>
    <t>3201</t>
  </si>
  <si>
    <t>LCD 평판 디스플레이</t>
  </si>
  <si>
    <t>3209</t>
  </si>
  <si>
    <t>기타 전자표시장치</t>
  </si>
  <si>
    <t>3310</t>
  </si>
  <si>
    <t>인쇄회로기판 및 실장기판</t>
  </si>
  <si>
    <t>3391</t>
  </si>
  <si>
    <t>축전기, 저항기, 전자코일 및 변성기</t>
  </si>
  <si>
    <t>3399</t>
  </si>
  <si>
    <t>기타 전자부품</t>
  </si>
  <si>
    <t>3401</t>
  </si>
  <si>
    <t>컴퓨터</t>
  </si>
  <si>
    <t>3402</t>
  </si>
  <si>
    <t>컴퓨터 기억장치</t>
  </si>
  <si>
    <t>3409</t>
  </si>
  <si>
    <t>컴퓨터 주변기기</t>
  </si>
  <si>
    <t>3511</t>
  </si>
  <si>
    <t>유선통신기기</t>
  </si>
  <si>
    <t>3512</t>
  </si>
  <si>
    <t>이동전화기</t>
  </si>
  <si>
    <t>3519</t>
  </si>
  <si>
    <t>기타 무선통신장비 및 방송장비</t>
  </si>
  <si>
    <t>3521</t>
  </si>
  <si>
    <t>TV</t>
  </si>
  <si>
    <t>3522</t>
  </si>
  <si>
    <t>영상기기</t>
  </si>
  <si>
    <t>3523</t>
  </si>
  <si>
    <t>오디오 및 음향기기</t>
  </si>
  <si>
    <t>3611</t>
  </si>
  <si>
    <t>의료용 기기</t>
  </si>
  <si>
    <t>3612</t>
  </si>
  <si>
    <t>측정 및 분석기기</t>
  </si>
  <si>
    <t>3613</t>
  </si>
  <si>
    <t>자동조정 및 제어기기</t>
  </si>
  <si>
    <t>3691</t>
  </si>
  <si>
    <t>사진장비 및 광학기기</t>
  </si>
  <si>
    <t>3692</t>
  </si>
  <si>
    <t>시계</t>
  </si>
  <si>
    <t>3710</t>
  </si>
  <si>
    <t>발전기 및 전동기</t>
  </si>
  <si>
    <t>3721</t>
  </si>
  <si>
    <t>변압기</t>
  </si>
  <si>
    <t>3722</t>
  </si>
  <si>
    <t>전기변환장치</t>
  </si>
  <si>
    <t>3723</t>
  </si>
  <si>
    <t>전기회로 개폐 및 접속장치</t>
  </si>
  <si>
    <t>3724</t>
  </si>
  <si>
    <t>배전반 및 전기자동 제어반</t>
  </si>
  <si>
    <t>3730</t>
  </si>
  <si>
    <t>전지</t>
  </si>
  <si>
    <t>3740</t>
  </si>
  <si>
    <t>전선 및 케이블</t>
  </si>
  <si>
    <t>3751</t>
  </si>
  <si>
    <t>가정용 냉장고 및 냉동고</t>
  </si>
  <si>
    <t>3752</t>
  </si>
  <si>
    <t>주방용 및 난방용 전기기기</t>
  </si>
  <si>
    <t>3759</t>
  </si>
  <si>
    <t>기타 가정용 전기기기</t>
  </si>
  <si>
    <t>3791</t>
  </si>
  <si>
    <t>전구 및 램프</t>
  </si>
  <si>
    <t>3792</t>
  </si>
  <si>
    <t>조명장치</t>
  </si>
  <si>
    <t>3799</t>
  </si>
  <si>
    <t>기타 전기장비</t>
  </si>
  <si>
    <t>3810</t>
  </si>
  <si>
    <t>내연기관 및 터빈</t>
  </si>
  <si>
    <t>3820</t>
  </si>
  <si>
    <t>펌프 및 압축기</t>
  </si>
  <si>
    <t>3831</t>
  </si>
  <si>
    <t>밸브</t>
  </si>
  <si>
    <t>3832</t>
  </si>
  <si>
    <t>베어링, 기어 및 동력전달장치</t>
  </si>
  <si>
    <t>3840</t>
  </si>
  <si>
    <t>산업용 운반기계</t>
  </si>
  <si>
    <t>3851</t>
  </si>
  <si>
    <t>공기조절장치 및 냉장냉동 장비</t>
  </si>
  <si>
    <t>3852</t>
  </si>
  <si>
    <t>공기 및 액체 여과기</t>
  </si>
  <si>
    <t>3891</t>
  </si>
  <si>
    <t>사무용기기</t>
  </si>
  <si>
    <t>3899</t>
  </si>
  <si>
    <t>기타 일반목적용 기계</t>
  </si>
  <si>
    <t>3911</t>
  </si>
  <si>
    <t>농업용 기계</t>
  </si>
  <si>
    <t>3912</t>
  </si>
  <si>
    <t>건설 및 광물처리기계</t>
  </si>
  <si>
    <t>3920</t>
  </si>
  <si>
    <t>금속가공용 기계</t>
  </si>
  <si>
    <t>3930</t>
  </si>
  <si>
    <t>금형 및 주형</t>
  </si>
  <si>
    <t>3941</t>
  </si>
  <si>
    <t>반도체 제조용 기계</t>
  </si>
  <si>
    <t>3942</t>
  </si>
  <si>
    <t>디스플레이 제조용 기계</t>
  </si>
  <si>
    <t>3991</t>
  </si>
  <si>
    <t>음식료품 가공기계</t>
  </si>
  <si>
    <t>3992</t>
  </si>
  <si>
    <t>섬유 및 의복가공 기계</t>
  </si>
  <si>
    <t>3993</t>
  </si>
  <si>
    <t>산업용 로봇</t>
  </si>
  <si>
    <t>3994</t>
  </si>
  <si>
    <t>제지 및 인쇄기계</t>
  </si>
  <si>
    <t>3995</t>
  </si>
  <si>
    <t>고무 및 플라스틱 성형기계</t>
  </si>
  <si>
    <t>3999</t>
  </si>
  <si>
    <t>기타 특수목적용기계</t>
  </si>
  <si>
    <t>4011</t>
  </si>
  <si>
    <t>승용차</t>
  </si>
  <si>
    <t>4012</t>
  </si>
  <si>
    <t>전기승용차</t>
  </si>
  <si>
    <t>4013</t>
  </si>
  <si>
    <t>버스</t>
  </si>
  <si>
    <t>4014</t>
  </si>
  <si>
    <t>트럭</t>
  </si>
  <si>
    <t>4021</t>
  </si>
  <si>
    <t>특장차</t>
  </si>
  <si>
    <t>4022</t>
  </si>
  <si>
    <t>트레일러 및 컨테이너</t>
  </si>
  <si>
    <t>4031</t>
  </si>
  <si>
    <t>자동차용 엔진</t>
  </si>
  <si>
    <t>4032</t>
  </si>
  <si>
    <t>자동차 부분품</t>
  </si>
  <si>
    <t>4101</t>
  </si>
  <si>
    <t>강철제 선박</t>
  </si>
  <si>
    <t>4102</t>
  </si>
  <si>
    <t>기타 선박</t>
  </si>
  <si>
    <t>4103</t>
  </si>
  <si>
    <t>선박 수리 및 부분품</t>
  </si>
  <si>
    <t>4210</t>
  </si>
  <si>
    <t>철도차량</t>
  </si>
  <si>
    <t>4220</t>
  </si>
  <si>
    <t>항공기</t>
  </si>
  <si>
    <t>4291</t>
  </si>
  <si>
    <t>모터사이클</t>
  </si>
  <si>
    <t>4299</t>
  </si>
  <si>
    <t>기타 운수장비</t>
  </si>
  <si>
    <t>4311</t>
  </si>
  <si>
    <t>목재 가구</t>
  </si>
  <si>
    <t>4312</t>
  </si>
  <si>
    <t>금속 가구</t>
  </si>
  <si>
    <t>4319</t>
  </si>
  <si>
    <t>기타 가구</t>
  </si>
  <si>
    <t>4391</t>
  </si>
  <si>
    <t>장난감 및 오락용품</t>
  </si>
  <si>
    <t>4392</t>
  </si>
  <si>
    <t>운동 및 경기용품</t>
  </si>
  <si>
    <t>4393</t>
  </si>
  <si>
    <t>악기</t>
  </si>
  <si>
    <t>4394</t>
  </si>
  <si>
    <t>문구용품</t>
  </si>
  <si>
    <t>4395</t>
  </si>
  <si>
    <t>귀금속 및 보석</t>
  </si>
  <si>
    <t>4396</t>
  </si>
  <si>
    <t>모형 및 장식용품</t>
  </si>
  <si>
    <t>4399</t>
  </si>
  <si>
    <t>기타 제조업 제품</t>
  </si>
  <si>
    <t>4401</t>
  </si>
  <si>
    <t>제조임가공서비스</t>
  </si>
  <si>
    <t>4402</t>
  </si>
  <si>
    <t>산업용 기계 및 장비 수리</t>
  </si>
  <si>
    <t>4501</t>
  </si>
  <si>
    <t>수력</t>
  </si>
  <si>
    <t>4502</t>
  </si>
  <si>
    <t>화력</t>
  </si>
  <si>
    <t>4503</t>
  </si>
  <si>
    <t>원자력</t>
  </si>
  <si>
    <t>4504</t>
  </si>
  <si>
    <t>자가발전</t>
  </si>
  <si>
    <t>4505</t>
  </si>
  <si>
    <t>신에너지</t>
  </si>
  <si>
    <t>4506</t>
  </si>
  <si>
    <t>재생에너지</t>
  </si>
  <si>
    <t>4610</t>
  </si>
  <si>
    <t>도시가스</t>
  </si>
  <si>
    <t>4620</t>
  </si>
  <si>
    <t>증기 및 온수 공급</t>
  </si>
  <si>
    <t>4700</t>
  </si>
  <si>
    <t>수도</t>
  </si>
  <si>
    <t>4801</t>
  </si>
  <si>
    <t>하수,폐수 및 분뇨처리(국공립)</t>
  </si>
  <si>
    <t>4802</t>
  </si>
  <si>
    <t>하수,폐수 및 분뇨처리(산업)</t>
  </si>
  <si>
    <t>4911</t>
  </si>
  <si>
    <t>폐기물 수집, 운반 및 처리(국공립)</t>
  </si>
  <si>
    <t>4912</t>
  </si>
  <si>
    <t>폐기물 수집, 운반 및 처리(산업)</t>
  </si>
  <si>
    <t>4920</t>
  </si>
  <si>
    <t>자원재활용서비스</t>
  </si>
  <si>
    <t>5010</t>
  </si>
  <si>
    <t>주거용 건물</t>
  </si>
  <si>
    <t>5020</t>
  </si>
  <si>
    <t>비주거용 건물</t>
  </si>
  <si>
    <t>5030</t>
  </si>
  <si>
    <t>건축보수</t>
  </si>
  <si>
    <t>5111</t>
  </si>
  <si>
    <t>도로시설</t>
  </si>
  <si>
    <t>5112</t>
  </si>
  <si>
    <t>철도시설</t>
  </si>
  <si>
    <t>5113</t>
  </si>
  <si>
    <t>항만시설</t>
  </si>
  <si>
    <t>5121</t>
  </si>
  <si>
    <t>하천사방</t>
  </si>
  <si>
    <t>5122</t>
  </si>
  <si>
    <t>상하수도시설</t>
  </si>
  <si>
    <t>5123</t>
  </si>
  <si>
    <t>농림수산토목</t>
  </si>
  <si>
    <t>5124</t>
  </si>
  <si>
    <t>도시토목</t>
  </si>
  <si>
    <t>5131</t>
  </si>
  <si>
    <t>환경정화시설</t>
  </si>
  <si>
    <t>5132</t>
  </si>
  <si>
    <t>발전소 시설</t>
  </si>
  <si>
    <t>5133</t>
  </si>
  <si>
    <t>산업플랜트</t>
  </si>
  <si>
    <t>5190</t>
  </si>
  <si>
    <t>기타 건설</t>
  </si>
  <si>
    <t>5200</t>
  </si>
  <si>
    <t>도소매 및 상품중개서비스</t>
  </si>
  <si>
    <t>5310</t>
  </si>
  <si>
    <t>철도운송서비스</t>
  </si>
  <si>
    <t>5321</t>
  </si>
  <si>
    <t>도로여객운송서비스</t>
  </si>
  <si>
    <t>5322</t>
  </si>
  <si>
    <t>도로화물운송서비스</t>
  </si>
  <si>
    <t>5401</t>
  </si>
  <si>
    <t>연안 및 내륙수상운송서비스</t>
  </si>
  <si>
    <t>5402</t>
  </si>
  <si>
    <t>외항운송서비스</t>
  </si>
  <si>
    <t>5500</t>
  </si>
  <si>
    <t>항공운송서비스</t>
  </si>
  <si>
    <t>5611</t>
  </si>
  <si>
    <t>육상운송보조서비스</t>
  </si>
  <si>
    <t>5612</t>
  </si>
  <si>
    <t>수상운송보조서비스</t>
  </si>
  <si>
    <t>5613</t>
  </si>
  <si>
    <t>항공운송보조서비스</t>
  </si>
  <si>
    <t>5620</t>
  </si>
  <si>
    <t>하역서비스</t>
  </si>
  <si>
    <t>5630</t>
  </si>
  <si>
    <t>보관 및 창고서비스</t>
  </si>
  <si>
    <t>5690</t>
  </si>
  <si>
    <t>기타 운송 관련 서비스</t>
  </si>
  <si>
    <t>5710</t>
  </si>
  <si>
    <t>공영우편서비스</t>
  </si>
  <si>
    <t>5720</t>
  </si>
  <si>
    <t>소화물전문운송서비스</t>
  </si>
  <si>
    <t>5811</t>
  </si>
  <si>
    <t>일반음식점</t>
  </si>
  <si>
    <t>5812</t>
  </si>
  <si>
    <t>기타음식점</t>
  </si>
  <si>
    <t>5813</t>
  </si>
  <si>
    <t>주점</t>
  </si>
  <si>
    <t>5814</t>
  </si>
  <si>
    <t>비알콜음료점</t>
  </si>
  <si>
    <t>5820</t>
  </si>
  <si>
    <t>숙박</t>
  </si>
  <si>
    <t>5911</t>
  </si>
  <si>
    <t>유선통신서비스</t>
  </si>
  <si>
    <t>5912</t>
  </si>
  <si>
    <t>무선 및 위성 통신서비스</t>
  </si>
  <si>
    <t>5991</t>
  </si>
  <si>
    <t>통신 재판매 및 중개 서비스</t>
  </si>
  <si>
    <t>5999</t>
  </si>
  <si>
    <t>기타 전기통신서비스</t>
  </si>
  <si>
    <t>6001</t>
  </si>
  <si>
    <t>지상파 방송서비스</t>
  </si>
  <si>
    <t>6002</t>
  </si>
  <si>
    <t>유선, 위성 및 기타방송서비스</t>
  </si>
  <si>
    <t>6100</t>
  </si>
  <si>
    <t>정보제공서비스</t>
  </si>
  <si>
    <t>6211</t>
  </si>
  <si>
    <t>게임소프트웨어 출판</t>
  </si>
  <si>
    <t>6212</t>
  </si>
  <si>
    <t>소프트웨어 개발 공급</t>
  </si>
  <si>
    <t>6290</t>
  </si>
  <si>
    <t>기타 IT서비스</t>
  </si>
  <si>
    <t>6300</t>
  </si>
  <si>
    <t>신문 및 출판</t>
  </si>
  <si>
    <t>6401</t>
  </si>
  <si>
    <t>영상·오디오물 제작 배급</t>
  </si>
  <si>
    <t>6402</t>
  </si>
  <si>
    <t>영화상영</t>
  </si>
  <si>
    <t>6510</t>
  </si>
  <si>
    <t>중앙은행 및 예금취급기관</t>
  </si>
  <si>
    <t>6591</t>
  </si>
  <si>
    <t>금융투자기관</t>
  </si>
  <si>
    <t>6599</t>
  </si>
  <si>
    <t>기타 금융중개기관</t>
  </si>
  <si>
    <t>6601</t>
  </si>
  <si>
    <t>생명보험</t>
  </si>
  <si>
    <t>6602</t>
  </si>
  <si>
    <t>연금기금</t>
  </si>
  <si>
    <t>6603</t>
  </si>
  <si>
    <t>비생명보험</t>
  </si>
  <si>
    <t>6700</t>
  </si>
  <si>
    <t>금융 및 보험 보조서비스</t>
  </si>
  <si>
    <t>6800</t>
  </si>
  <si>
    <t>주거서비스</t>
  </si>
  <si>
    <t>6911</t>
  </si>
  <si>
    <t>비주거용 건물 임대</t>
  </si>
  <si>
    <t>6912</t>
  </si>
  <si>
    <t>부동산 개발 및 공급</t>
  </si>
  <si>
    <t>6920</t>
  </si>
  <si>
    <t>부동산 관련 서비스</t>
  </si>
  <si>
    <t>7001</t>
  </si>
  <si>
    <t>연구개발(국공립)</t>
  </si>
  <si>
    <t>7002</t>
  </si>
  <si>
    <t>연구개발(비영리)</t>
  </si>
  <si>
    <t>7003</t>
  </si>
  <si>
    <t>연구개발(산업)</t>
  </si>
  <si>
    <t>7004</t>
  </si>
  <si>
    <t>기업내 연구개발</t>
  </si>
  <si>
    <t>7111</t>
  </si>
  <si>
    <t>법무 및 회계서비스</t>
  </si>
  <si>
    <t>7112</t>
  </si>
  <si>
    <t>시장조사 및 경영지원서비스</t>
  </si>
  <si>
    <t>7120</t>
  </si>
  <si>
    <t>광고</t>
  </si>
  <si>
    <t>7210</t>
  </si>
  <si>
    <t>건축·토목 관련 서비스</t>
  </si>
  <si>
    <t>7291</t>
  </si>
  <si>
    <t>공학 관련 서비스</t>
  </si>
  <si>
    <t>7292</t>
  </si>
  <si>
    <t>과학기술서비스</t>
  </si>
  <si>
    <t>7299</t>
  </si>
  <si>
    <t>기타 전문서비스</t>
  </si>
  <si>
    <t>7300</t>
  </si>
  <si>
    <t>장비·용품 및 지식재산권 임대</t>
  </si>
  <si>
    <t>7410</t>
  </si>
  <si>
    <t>사업시설 유지관리 및 조경서비스</t>
  </si>
  <si>
    <t>7420</t>
  </si>
  <si>
    <t>인력공급 및 알선</t>
  </si>
  <si>
    <t>7490</t>
  </si>
  <si>
    <t>기타 사업지원서비스</t>
  </si>
  <si>
    <t>7511</t>
  </si>
  <si>
    <t>중앙정부</t>
  </si>
  <si>
    <t>7512</t>
  </si>
  <si>
    <t>지방정부</t>
  </si>
  <si>
    <t>7520</t>
  </si>
  <si>
    <t>사회보험(국공립)</t>
  </si>
  <si>
    <t>7601</t>
  </si>
  <si>
    <t>교육서비스(국공립)</t>
  </si>
  <si>
    <t>7602</t>
  </si>
  <si>
    <t>교육서비스(비영리)</t>
  </si>
  <si>
    <t>7603</t>
  </si>
  <si>
    <t>교육서비스(산업)</t>
  </si>
  <si>
    <t>7701</t>
  </si>
  <si>
    <t>의료 및 보건(국공립)</t>
  </si>
  <si>
    <t>7702</t>
  </si>
  <si>
    <t>의료 및 보건(비영리)</t>
  </si>
  <si>
    <t>7703</t>
  </si>
  <si>
    <t>의료 및 보건(산업)</t>
  </si>
  <si>
    <t>7801</t>
  </si>
  <si>
    <t>사회복지서비스(국공립)</t>
  </si>
  <si>
    <t>7802</t>
  </si>
  <si>
    <t>사회복지서비스(비영리)</t>
  </si>
  <si>
    <t>7901</t>
  </si>
  <si>
    <t>문화서비스(국공립)</t>
  </si>
  <si>
    <t>7902</t>
  </si>
  <si>
    <t>연극, 음악 및 기타예술</t>
  </si>
  <si>
    <t>7903</t>
  </si>
  <si>
    <t>기타 문화서비스</t>
  </si>
  <si>
    <t>7904</t>
  </si>
  <si>
    <t>여행사 및 여행보조 서비스</t>
  </si>
  <si>
    <t>8001</t>
  </si>
  <si>
    <t>스포츠서비스</t>
  </si>
  <si>
    <t>8002</t>
  </si>
  <si>
    <t>오락서비스</t>
  </si>
  <si>
    <t>8101</t>
  </si>
  <si>
    <t>산업 및 전문가단체</t>
  </si>
  <si>
    <t>8109</t>
  </si>
  <si>
    <t>기타 사회단체</t>
  </si>
  <si>
    <t>8211</t>
  </si>
  <si>
    <t>자동차 수리서비스</t>
  </si>
  <si>
    <t>8212</t>
  </si>
  <si>
    <t>전자통신기기 및 가정용품 수리서비스</t>
  </si>
  <si>
    <t>8221</t>
  </si>
  <si>
    <t>미용관련 서비스</t>
  </si>
  <si>
    <t>8222</t>
  </si>
  <si>
    <t>세탁</t>
  </si>
  <si>
    <t>8223</t>
  </si>
  <si>
    <t>가사서비스</t>
  </si>
  <si>
    <t>8229</t>
  </si>
  <si>
    <t>기타 개인 서비스</t>
  </si>
  <si>
    <t>8300</t>
  </si>
  <si>
    <t>기타</t>
  </si>
  <si>
    <t>9590</t>
  </si>
  <si>
    <t>중간투입계</t>
    <phoneticPr fontId="3" type="noConversion"/>
  </si>
  <si>
    <t>code</t>
  </si>
  <si>
    <t>sector</t>
  </si>
  <si>
    <t>중간수요계</t>
  </si>
  <si>
    <t>최종수요계</t>
    <phoneticPr fontId="3" type="noConversion"/>
  </si>
  <si>
    <t>총수요계</t>
    <phoneticPr fontId="3" type="noConversion"/>
  </si>
  <si>
    <t>중간투입계(행합)</t>
  </si>
  <si>
    <t>백만원</t>
  </si>
  <si>
    <t>2023_중간수요계</t>
  </si>
  <si>
    <t>2023_최종수요계</t>
  </si>
  <si>
    <t>2023_총수요계</t>
  </si>
  <si>
    <t>2023_중간투입계(행합)</t>
  </si>
  <si>
    <t>2023_부가가치계</t>
  </si>
  <si>
    <t>2025_중간수요계</t>
  </si>
  <si>
    <t>2025_최종수요계</t>
  </si>
  <si>
    <t>2025_총수요계</t>
  </si>
  <si>
    <t>2025_중간투입계(행합)</t>
  </si>
  <si>
    <t>2025_부가가치계</t>
  </si>
  <si>
    <t>2030_중간수요계</t>
  </si>
  <si>
    <t>2030_최종수요계</t>
  </si>
  <si>
    <t>2030_총수요계</t>
  </si>
  <si>
    <t>2030_중간투입계(행합)</t>
  </si>
  <si>
    <t>2030_부가가치계</t>
  </si>
  <si>
    <t>2040_중간수요계</t>
  </si>
  <si>
    <t>2040_최종수요계</t>
  </si>
  <si>
    <t>2040_총수요계</t>
  </si>
  <si>
    <t>2040_중간투입계(행합)</t>
  </si>
  <si>
    <t>2040_부가가치계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</si>
</sst>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,##0_ "/>
    <numFmt numFmtId="165" formatCode="_-* #,##0_-;\-* #,##0_-;_-* &quot;-&quot;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3"/>
      <charset val="129"/>
      <scheme val="minor"/>
    </font>
    <font>
      <sz val="10"/>
      <color theme="1"/>
      <name val="Aptos Narrow"/>
      <family val="2"/>
      <charset val="129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Aptos Narrow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>
      <alignment vertical="center"/>
    </xf>
    <xf numFmtId="165" fontId="7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2" fillId="0" borderId="0" xfId="2"/>
    <xf numFmtId="49" fontId="3" fillId="0" borderId="1" xfId="0" applyNumberFormat="1" applyFont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2" fontId="0" fillId="0" borderId="0" xfId="0" applyNumberFormat="1"/>
    <xf numFmtId="2" fontId="3" fillId="2" borderId="0" xfId="1" applyNumberFormat="1" applyFont="1" applyFill="1" applyBorder="1" applyAlignment="1">
      <alignment vertical="center"/>
    </xf>
    <xf numFmtId="2" fontId="3" fillId="2" borderId="0" xfId="0" applyNumberFormat="1" applyFont="1" applyFill="1" applyAlignment="1">
      <alignment horizontal="left" vertical="center"/>
    </xf>
    <xf numFmtId="2" fontId="3" fillId="2" borderId="0" xfId="0" applyNumberFormat="1" applyFont="1" applyFill="1" applyAlignment="1">
      <alignment vertical="center"/>
    </xf>
    <xf numFmtId="2" fontId="4" fillId="0" borderId="0" xfId="0" applyNumberFormat="1" applyFont="1" applyAlignment="1">
      <alignment vertical="center"/>
    </xf>
    <xf numFmtId="2" fontId="0" fillId="3" borderId="0" xfId="0" applyNumberFormat="1" applyFill="1"/>
    <xf numFmtId="0" fontId="0" fillId="0" borderId="1" xfId="0" applyBorder="1"/>
    <xf numFmtId="2" fontId="3" fillId="2" borderId="1" xfId="1" applyNumberFormat="1" applyFont="1" applyFill="1" applyBorder="1" applyAlignment="1">
      <alignment vertical="center"/>
    </xf>
    <xf numFmtId="2" fontId="0" fillId="0" borderId="1" xfId="0" applyNumberFormat="1" applyBorder="1"/>
    <xf numFmtId="2" fontId="3" fillId="4" borderId="0" xfId="1" applyNumberFormat="1" applyFont="1" applyFill="1" applyBorder="1" applyAlignment="1">
      <alignment vertical="center"/>
    </xf>
    <xf numFmtId="164" fontId="3" fillId="2" borderId="0" xfId="1" applyNumberFormat="1" applyFont="1" applyFill="1" applyBorder="1" applyAlignment="1">
      <alignment vertical="center"/>
    </xf>
    <xf numFmtId="164" fontId="4" fillId="0" borderId="0" xfId="3" applyNumberFormat="1" applyFont="1">
      <alignment vertical="center"/>
    </xf>
    <xf numFmtId="164" fontId="3" fillId="0" borderId="0" xfId="4" applyNumberFormat="1" applyFont="1" applyBorder="1" applyAlignment="1"/>
    <xf numFmtId="164" fontId="3" fillId="2" borderId="3" xfId="4" applyNumberFormat="1" applyFont="1" applyFill="1" applyBorder="1">
      <alignment vertical="center"/>
    </xf>
    <xf numFmtId="164" fontId="3" fillId="2" borderId="4" xfId="4" applyNumberFormat="1" applyFont="1" applyFill="1" applyBorder="1">
      <alignment vertical="center"/>
    </xf>
    <xf numFmtId="164" fontId="3" fillId="2" borderId="5" xfId="4" applyNumberFormat="1" applyFont="1" applyFill="1" applyBorder="1">
      <alignment vertical="center"/>
    </xf>
    <xf numFmtId="0" fontId="0" fillId="3" borderId="0" xfId="0" applyFill="1"/>
  </cellXfs>
  <cellStyles count="5">
    <cellStyle name="Comma [0]" xfId="1" builtinId="6"/>
    <cellStyle name="Comma [0] 2" xfId="4" xr:uid="{F7B16E0D-3FA3-714D-9909-28FE02234375}"/>
    <cellStyle name="Hyperlink" xfId="2" builtinId="8"/>
    <cellStyle name="Normal" xfId="0" builtinId="0"/>
    <cellStyle name="Normal 2" xfId="3" xr:uid="{D9E6B868-3915-F34F-8264-72B5B3435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di.re.kr/research/analysisView?art_no=3671" TargetMode="External"/><Relationship Id="rId2" Type="http://schemas.openxmlformats.org/officeDocument/2006/relationships/hyperlink" Target="https://www.kdi.re.kr/research/analysisView?art_no=3671" TargetMode="External"/><Relationship Id="rId1" Type="http://schemas.openxmlformats.org/officeDocument/2006/relationships/hyperlink" Target="https://www.kdi.re.kr/research/analysisView?art_no=367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4AC2-B61D-9D40-A3F2-0F81B655EB1A}">
  <dimension ref="A1:W382"/>
  <sheetViews>
    <sheetView tabSelected="1" workbookViewId="0">
      <pane xSplit="2" ySplit="1" topLeftCell="I2" activePane="bottomRight" state="frozen"/>
      <selection pane="topRight" activeCell="C1" sqref="C1"/>
      <selection pane="bottomLeft" activeCell="A3" sqref="A3"/>
      <selection pane="bottomRight" activeCell="L7" sqref="L7"/>
    </sheetView>
  </sheetViews>
  <sheetFormatPr baseColWidth="10" defaultRowHeight="16" x14ac:dyDescent="0.2"/>
  <cols>
    <col min="4" max="8" width="13.6640625" customWidth="1"/>
    <col min="9" max="9" width="13.6640625" style="10" customWidth="1"/>
    <col min="10" max="13" width="13.6640625" customWidth="1"/>
    <col min="14" max="14" width="13.6640625" style="10" customWidth="1"/>
    <col min="15" max="18" width="13.6640625" customWidth="1"/>
    <col min="19" max="19" width="13.6640625" style="10" customWidth="1"/>
    <col min="20" max="23" width="13.6640625" customWidth="1"/>
  </cols>
  <sheetData>
    <row r="1" spans="1:23" x14ac:dyDescent="0.2">
      <c r="A1" t="s">
        <v>773</v>
      </c>
      <c r="B1" s="4" t="s">
        <v>774</v>
      </c>
      <c r="C1" s="4" t="s">
        <v>9</v>
      </c>
      <c r="D1" t="s">
        <v>780</v>
      </c>
      <c r="E1" t="s">
        <v>781</v>
      </c>
      <c r="F1" t="s">
        <v>782</v>
      </c>
      <c r="G1" t="s">
        <v>783</v>
      </c>
      <c r="H1" t="s">
        <v>784</v>
      </c>
      <c r="I1" t="s">
        <v>785</v>
      </c>
      <c r="J1" t="s">
        <v>786</v>
      </c>
      <c r="K1" t="s">
        <v>787</v>
      </c>
      <c r="L1" t="s">
        <v>788</v>
      </c>
      <c r="M1" t="s">
        <v>789</v>
      </c>
      <c r="N1" t="s">
        <v>790</v>
      </c>
      <c r="O1" t="s">
        <v>791</v>
      </c>
      <c r="P1" t="s">
        <v>792</v>
      </c>
      <c r="Q1" t="s">
        <v>793</v>
      </c>
      <c r="R1" t="s">
        <v>794</v>
      </c>
      <c r="S1" t="s">
        <v>795</v>
      </c>
      <c r="T1" t="s">
        <v>796</v>
      </c>
      <c r="U1" t="s">
        <v>797</v>
      </c>
      <c r="V1" t="s">
        <v>798</v>
      </c>
      <c r="W1" t="s">
        <v>799</v>
      </c>
    </row>
    <row r="2" spans="1:23" x14ac:dyDescent="0.2">
      <c r="A2" s="2" t="s">
        <v>11</v>
      </c>
      <c r="B2" s="8" t="s">
        <v>12</v>
      </c>
      <c r="C2" s="4" t="s">
        <v>779</v>
      </c>
      <c r="D2" s="5">
        <v>0</v>
      </c>
      <c r="E2" s="5">
        <v>0</v>
      </c>
      <c r="F2" s="5">
        <v>0</v>
      </c>
      <c r="G2" s="5">
        <v>248598</v>
      </c>
      <c r="H2" s="14">
        <v>6195806</v>
      </c>
      <c r="I2" s="12">
        <f>D2*(1+0.01*growthrate!$E$3)^2</f>
        <v>0</v>
      </c>
      <c r="J2" s="4">
        <f>E2*(1+0.01*growthrate!$E$3)^2</f>
        <v>0</v>
      </c>
      <c r="K2" s="4">
        <f>F2*(1+0.01*growthrate!$E$3)^2</f>
        <v>0</v>
      </c>
      <c r="L2" s="4">
        <f>G2*(1+0.01*growthrate!$E$3)^2</f>
        <v>256111.87454999992</v>
      </c>
      <c r="M2" s="4">
        <f>H2*(1+0.01*growthrate!$E$3)^2</f>
        <v>6383074.236349998</v>
      </c>
      <c r="N2" s="12">
        <f>I2*(1+0.01*growthrate!$E$3)^5</f>
        <v>0</v>
      </c>
      <c r="O2" s="4">
        <f>J2*(1+0.01*growthrate!$E$3)^5</f>
        <v>0</v>
      </c>
      <c r="P2" s="4">
        <f>K2*(1+0.01*growthrate!$E$3)^5</f>
        <v>0</v>
      </c>
      <c r="Q2" s="4">
        <f>L2*(1+0.01*growthrate!$E$3)^5</f>
        <v>275905.2256575565</v>
      </c>
      <c r="R2" s="4">
        <f>M2*(1+0.01*growthrate!$E$3)^5</f>
        <v>6876383.7704263208</v>
      </c>
      <c r="S2" s="12">
        <f>N2*(1+0.01*growthrate!$F$3)^10</f>
        <v>0</v>
      </c>
      <c r="T2" s="4">
        <f>O2*(1+0.01*growthrate!$F$3)^10</f>
        <v>0</v>
      </c>
      <c r="U2" s="4">
        <f>P2*(1+0.01*growthrate!$F$3)^10</f>
        <v>0</v>
      </c>
      <c r="V2" s="4">
        <f>Q2*(1+0.01*growthrate!$F$3)^10</f>
        <v>295838.4590248249</v>
      </c>
      <c r="W2" s="4">
        <f>R2*(1+0.01*growthrate!$F$3)^10</f>
        <v>7373179.5889619561</v>
      </c>
    </row>
    <row r="3" spans="1:23" x14ac:dyDescent="0.2">
      <c r="A3" s="2" t="s">
        <v>13</v>
      </c>
      <c r="B3" s="8" t="s">
        <v>14</v>
      </c>
      <c r="C3" s="4" t="s">
        <v>779</v>
      </c>
      <c r="D3" s="5">
        <v>6778410</v>
      </c>
      <c r="E3" s="5">
        <v>102197</v>
      </c>
      <c r="F3" s="5">
        <v>6880607</v>
      </c>
      <c r="G3" s="5">
        <v>11736</v>
      </c>
      <c r="H3" s="14">
        <v>196243</v>
      </c>
      <c r="I3" s="12">
        <f>D3*(1+0.01*growthrate!E4)^2</f>
        <v>7010834.900489999</v>
      </c>
      <c r="J3" s="4">
        <f>E3*(1+0.01*growthrate!$E$3)^2</f>
        <v>105285.90432499997</v>
      </c>
      <c r="K3" s="4">
        <f>F3*(1+0.01*growthrate!$E$3)^2</f>
        <v>7088573.3465749985</v>
      </c>
      <c r="L3" s="4">
        <f>G3*(1+0.01*growthrate!$E$3)^2</f>
        <v>12090.720599999997</v>
      </c>
      <c r="M3" s="4">
        <f>H3*(1+0.01*growthrate!$E$3)^2</f>
        <v>202174.44467499995</v>
      </c>
      <c r="N3" s="12">
        <f>I3*(1+0.01*growthrate!$E$3)^5</f>
        <v>7552660.2921721749</v>
      </c>
      <c r="O3" s="4">
        <f>J3*(1+0.01*growthrate!$E$3)^5</f>
        <v>113422.82056382313</v>
      </c>
      <c r="P3" s="4">
        <f>K3*(1+0.01*growthrate!$E$3)^5</f>
        <v>7636406.6766263731</v>
      </c>
      <c r="Q3" s="4">
        <f>L3*(1+0.01*growthrate!$E$3)^5</f>
        <v>13025.139897815281</v>
      </c>
      <c r="R3" s="4">
        <f>M3*(1+0.01*growthrate!$E$3)^5</f>
        <v>217799.29524258384</v>
      </c>
      <c r="S3" s="12">
        <f>N3*(1+0.01*growthrate!$F$3)^10</f>
        <v>8098314.8363685412</v>
      </c>
      <c r="T3" s="4">
        <f>O3*(1+0.01*growthrate!$F$3)^10</f>
        <v>121617.24147804904</v>
      </c>
      <c r="U3" s="4">
        <f>P3*(1+0.01*growthrate!$F$3)^10</f>
        <v>8188111.6180959772</v>
      </c>
      <c r="V3" s="4">
        <f>Q3*(1+0.01*growthrate!$F$3)^10</f>
        <v>13966.162861790301</v>
      </c>
      <c r="W3" s="4">
        <f>R3*(1+0.01*growthrate!$F$3)^10</f>
        <v>233534.56871901106</v>
      </c>
    </row>
    <row r="4" spans="1:23" x14ac:dyDescent="0.2">
      <c r="A4" s="2" t="s">
        <v>15</v>
      </c>
      <c r="B4" s="8" t="s">
        <v>16</v>
      </c>
      <c r="C4" s="4" t="s">
        <v>779</v>
      </c>
      <c r="D4" s="5">
        <v>1047612</v>
      </c>
      <c r="E4" s="5">
        <v>280198</v>
      </c>
      <c r="F4" s="5">
        <v>1327810</v>
      </c>
      <c r="G4" s="5">
        <v>3157</v>
      </c>
      <c r="H4" s="14">
        <v>566246</v>
      </c>
      <c r="I4" s="12">
        <f>D4*(1+0.01*growthrate!E5)^2</f>
        <v>1047612</v>
      </c>
      <c r="J4" s="4">
        <f>E4*(1+0.01*growthrate!$E$3)^2</f>
        <v>288666.98454999994</v>
      </c>
      <c r="K4" s="4">
        <f>F4*(1+0.01*growthrate!$E$3)^2</f>
        <v>1367943.0572499996</v>
      </c>
      <c r="L4" s="4">
        <f>G4*(1+0.01*growthrate!$E$3)^2</f>
        <v>3252.4203249999991</v>
      </c>
      <c r="M4" s="4">
        <f>H4*(1+0.01*growthrate!$E$3)^2</f>
        <v>583360.78534999979</v>
      </c>
      <c r="N4" s="12">
        <f>I4*(1+0.01*growthrate!$E$3)^5</f>
        <v>1128575.649877317</v>
      </c>
      <c r="O4" s="4">
        <f>J4*(1+0.01*growthrate!$E$3)^5</f>
        <v>310976.32490525272</v>
      </c>
      <c r="P4" s="4">
        <f>K4*(1+0.01*growthrate!$E$3)^5</f>
        <v>1473663.1738001115</v>
      </c>
      <c r="Q4" s="4">
        <f>L4*(1+0.01*growthrate!$E$3)^5</f>
        <v>3503.7803900309168</v>
      </c>
      <c r="R4" s="4">
        <f>M4*(1+0.01*growthrate!$E$3)^5</f>
        <v>628445.24255098077</v>
      </c>
      <c r="S4" s="12">
        <f>N4*(1+0.01*growthrate!$F$3)^10</f>
        <v>1210111.4806975082</v>
      </c>
      <c r="T4" s="4">
        <f>O4*(1+0.01*growthrate!$F$3)^10</f>
        <v>333443.32835275383</v>
      </c>
      <c r="U4" s="4">
        <f>P4*(1+0.01*growthrate!$F$3)^10</f>
        <v>1580130.428554344</v>
      </c>
      <c r="V4" s="4">
        <f>Q4*(1+0.01*growthrate!$F$3)^10</f>
        <v>3756.9168502617567</v>
      </c>
      <c r="W4" s="4">
        <f>R4*(1+0.01*growthrate!$F$3)^10</f>
        <v>673848.31764121586</v>
      </c>
    </row>
    <row r="5" spans="1:23" x14ac:dyDescent="0.2">
      <c r="A5" s="2" t="s">
        <v>17</v>
      </c>
      <c r="B5" s="8" t="s">
        <v>18</v>
      </c>
      <c r="C5" s="4" t="s">
        <v>779</v>
      </c>
      <c r="D5" s="5">
        <v>43309</v>
      </c>
      <c r="E5" s="5">
        <v>5701</v>
      </c>
      <c r="F5" s="5">
        <v>49010</v>
      </c>
      <c r="G5" s="5">
        <v>8846</v>
      </c>
      <c r="H5" s="14">
        <v>997863</v>
      </c>
      <c r="I5" s="12">
        <f>D5*(1+0.01*growthrate!E6)^2</f>
        <v>43309</v>
      </c>
      <c r="J5" s="4">
        <f>E5*(1+0.01*growthrate!$E$3)^2</f>
        <v>5873.3127249999989</v>
      </c>
      <c r="K5" s="4">
        <f>F5*(1+0.01*growthrate!$E$3)^2</f>
        <v>50491.327249999988</v>
      </c>
      <c r="L5" s="4">
        <f>G5*(1+0.01*growthrate!$E$3)^2</f>
        <v>9113.3703499999974</v>
      </c>
      <c r="M5" s="4">
        <f>H5*(1+0.01*growthrate!$E$3)^2</f>
        <v>1028023.4091749997</v>
      </c>
      <c r="N5" s="12">
        <f>I5*(1+0.01*growthrate!$E$3)^5</f>
        <v>46656.092924228367</v>
      </c>
      <c r="O5" s="4">
        <f>J5*(1+0.01*growthrate!$E$3)^5</f>
        <v>6327.2258484530439</v>
      </c>
      <c r="P5" s="4">
        <f>K5*(1+0.01*growthrate!$E$3)^5</f>
        <v>54393.499181316198</v>
      </c>
      <c r="Q5" s="4">
        <f>L5*(1+0.01*growthrate!$E$3)^5</f>
        <v>9817.6880995291394</v>
      </c>
      <c r="R5" s="4">
        <f>M5*(1+0.01*growthrate!$E$3)^5</f>
        <v>1107473.174322908</v>
      </c>
      <c r="S5" s="12">
        <f>N5*(1+0.01*growthrate!$F$3)^10</f>
        <v>50026.840201838451</v>
      </c>
      <c r="T5" s="4">
        <f>O5*(1+0.01*growthrate!$F$3)^10</f>
        <v>6784.3468366621091</v>
      </c>
      <c r="U5" s="4">
        <f>P5*(1+0.01*growthrate!$F$3)^10</f>
        <v>58323.248283601111</v>
      </c>
      <c r="V5" s="4">
        <f>Q5*(1+0.01*growthrate!$F$3)^10</f>
        <v>10526.983356799336</v>
      </c>
      <c r="W5" s="4">
        <f>R5*(1+0.01*growthrate!$F$3)^10</f>
        <v>1187484.4215878199</v>
      </c>
    </row>
    <row r="6" spans="1:23" x14ac:dyDescent="0.2">
      <c r="A6" s="2" t="s">
        <v>19</v>
      </c>
      <c r="B6" s="8" t="s">
        <v>20</v>
      </c>
      <c r="C6" s="4" t="s">
        <v>779</v>
      </c>
      <c r="D6" s="5">
        <v>192086</v>
      </c>
      <c r="E6" s="5">
        <v>347759</v>
      </c>
      <c r="F6" s="5">
        <v>539845</v>
      </c>
      <c r="G6" s="5">
        <v>573328</v>
      </c>
      <c r="H6" s="14">
        <v>9078793</v>
      </c>
      <c r="I6" s="12">
        <f>D6*(1+0.01*growthrate!E7)^2</f>
        <v>192086</v>
      </c>
      <c r="J6" s="4">
        <f>E6*(1+0.01*growthrate!$E$3)^2</f>
        <v>358270.01577499992</v>
      </c>
      <c r="K6" s="4">
        <f>F6*(1+0.01*growthrate!$E$3)^2</f>
        <v>556161.81512499985</v>
      </c>
      <c r="L6" s="4">
        <f>G6*(1+0.01*growthrate!$E$3)^2</f>
        <v>590656.83879999979</v>
      </c>
      <c r="M6" s="4">
        <f>H6*(1+0.01*growthrate!$E$3)^2</f>
        <v>9353199.5184249971</v>
      </c>
      <c r="N6" s="12">
        <f>I6*(1+0.01*growthrate!$E$3)^5</f>
        <v>206931.17517013391</v>
      </c>
      <c r="O6" s="4">
        <f>J6*(1+0.01*growthrate!$E$3)^5</f>
        <v>385958.55706580984</v>
      </c>
      <c r="P6" s="4">
        <f>K6*(1+0.01*growthrate!$E$3)^5</f>
        <v>599144.227005461</v>
      </c>
      <c r="Q6" s="4">
        <f>L6*(1+0.01*growthrate!$E$3)^5</f>
        <v>636305.16422415117</v>
      </c>
      <c r="R6" s="4">
        <f>M6*(1+0.01*growthrate!$E$3)^5</f>
        <v>10076052.226338282</v>
      </c>
      <c r="S6" s="12">
        <f>N6*(1+0.01*growthrate!$F$3)^10</f>
        <v>221881.26317879287</v>
      </c>
      <c r="T6" s="4">
        <f>O6*(1+0.01*growthrate!$F$3)^10</f>
        <v>413842.7769813679</v>
      </c>
      <c r="U6" s="4">
        <f>P6*(1+0.01*growthrate!$F$3)^10</f>
        <v>642430.40133973968</v>
      </c>
      <c r="V6" s="4">
        <f>Q6*(1+0.01*growthrate!$F$3)^10</f>
        <v>682276.09246970934</v>
      </c>
      <c r="W6" s="4">
        <f>R6*(1+0.01*growthrate!$F$3)^10</f>
        <v>10804013.431022644</v>
      </c>
    </row>
    <row r="7" spans="1:23" x14ac:dyDescent="0.2">
      <c r="A7" s="2" t="s">
        <v>21</v>
      </c>
      <c r="B7" s="8" t="s">
        <v>22</v>
      </c>
      <c r="C7" s="4" t="s">
        <v>779</v>
      </c>
      <c r="D7" s="5">
        <v>166506</v>
      </c>
      <c r="E7" s="5">
        <v>1630308</v>
      </c>
      <c r="F7" s="5">
        <v>1796814</v>
      </c>
      <c r="G7" s="5">
        <v>221302</v>
      </c>
      <c r="H7" s="14">
        <v>4313063</v>
      </c>
      <c r="I7" s="12">
        <f>D7*(1+0.01*growthrate!E8)^2</f>
        <v>166506</v>
      </c>
      <c r="J7" s="4">
        <f>E7*(1+0.01*growthrate!$E$3)^2</f>
        <v>1679584.0592999996</v>
      </c>
      <c r="K7" s="4">
        <f>F7*(1+0.01*growthrate!$E$3)^2</f>
        <v>1851122.7031499995</v>
      </c>
      <c r="L7" s="4">
        <f>G7*(1+0.01*growthrate!$E$3)^2</f>
        <v>227990.85294999994</v>
      </c>
      <c r="M7" s="4">
        <f>H7*(1+0.01*growthrate!$E$3)^2</f>
        <v>4443425.3291749991</v>
      </c>
      <c r="N7" s="12">
        <f>I7*(1+0.01*growthrate!$E$3)^5</f>
        <v>179374.25035077162</v>
      </c>
      <c r="O7" s="4">
        <f>J7*(1+0.01*growthrate!$E$3)^5</f>
        <v>1809389.040263074</v>
      </c>
      <c r="P7" s="4">
        <f>K7*(1+0.01*growthrate!$E$3)^5</f>
        <v>1994184.8773306974</v>
      </c>
      <c r="Q7" s="4">
        <f>L7*(1+0.01*growthrate!$E$3)^5</f>
        <v>245610.89891498955</v>
      </c>
      <c r="R7" s="4">
        <f>M7*(1+0.01*growthrate!$E$3)^5</f>
        <v>4786831.0295748869</v>
      </c>
      <c r="S7" s="12">
        <f>N7*(1+0.01*growthrate!$F$3)^10</f>
        <v>192333.44234794876</v>
      </c>
      <c r="T7" s="4">
        <f>O7*(1+0.01*growthrate!$F$3)^10</f>
        <v>1940111.370388516</v>
      </c>
      <c r="U7" s="4">
        <f>P7*(1+0.01*growthrate!$F$3)^10</f>
        <v>2138258.0910314312</v>
      </c>
      <c r="V7" s="4">
        <f>Q7*(1+0.01*growthrate!$F$3)^10</f>
        <v>263355.46810156078</v>
      </c>
      <c r="W7" s="4">
        <f>R7*(1+0.01*growthrate!$F$3)^10</f>
        <v>5132663.6239912976</v>
      </c>
    </row>
    <row r="8" spans="1:23" x14ac:dyDescent="0.2">
      <c r="A8" s="2" t="s">
        <v>23</v>
      </c>
      <c r="B8" s="8" t="s">
        <v>24</v>
      </c>
      <c r="C8" s="4" t="s">
        <v>779</v>
      </c>
      <c r="D8" s="5">
        <v>40441</v>
      </c>
      <c r="E8" s="5">
        <v>131257</v>
      </c>
      <c r="F8" s="5">
        <v>171698</v>
      </c>
      <c r="G8" s="5">
        <v>85072</v>
      </c>
      <c r="H8" s="14">
        <v>268835</v>
      </c>
      <c r="I8" s="12">
        <f>D8*(1+0.01*growthrate!E9)^2</f>
        <v>40441</v>
      </c>
      <c r="J8" s="4">
        <f>E8*(1+0.01*growthrate!$E$3)^2</f>
        <v>135224.24282499996</v>
      </c>
      <c r="K8" s="4">
        <f>F8*(1+0.01*growthrate!$E$3)^2</f>
        <v>176887.57204999996</v>
      </c>
      <c r="L8" s="4">
        <f>G8*(1+0.01*growthrate!$E$3)^2</f>
        <v>87643.301199999973</v>
      </c>
      <c r="M8" s="4">
        <f>H8*(1+0.01*growthrate!$E$3)^2</f>
        <v>276960.53787499992</v>
      </c>
      <c r="N8" s="12">
        <f>I8*(1+0.01*growthrate!$E$3)^5</f>
        <v>43566.442401087981</v>
      </c>
      <c r="O8" s="4">
        <f>J8*(1+0.01*growthrate!$E$3)^5</f>
        <v>145674.91373274883</v>
      </c>
      <c r="P8" s="4">
        <f>K8*(1+0.01*growthrate!$E$3)^5</f>
        <v>190558.1518554097</v>
      </c>
      <c r="Q8" s="4">
        <f>L8*(1+0.01*growthrate!$E$3)^5</f>
        <v>94416.726430380149</v>
      </c>
      <c r="R8" s="4">
        <f>M8*(1+0.01*growthrate!$E$3)^5</f>
        <v>298365.15715994983</v>
      </c>
      <c r="S8" s="12">
        <f>N8*(1+0.01*growthrate!$F$3)^10</f>
        <v>46713.97272166406</v>
      </c>
      <c r="T8" s="4">
        <f>O8*(1+0.01*growthrate!$F$3)^10</f>
        <v>156199.44092961907</v>
      </c>
      <c r="U8" s="4">
        <f>P8*(1+0.01*growthrate!$F$3)^10</f>
        <v>204325.34347679545</v>
      </c>
      <c r="V8" s="4">
        <f>Q8*(1+0.01*growthrate!$F$3)^10</f>
        <v>101238.02036283439</v>
      </c>
      <c r="W8" s="4">
        <f>R8*(1+0.01*growthrate!$F$3)^10</f>
        <v>319921.04575233435</v>
      </c>
    </row>
    <row r="9" spans="1:23" x14ac:dyDescent="0.2">
      <c r="A9" s="2" t="s">
        <v>25</v>
      </c>
      <c r="B9" s="8" t="s">
        <v>26</v>
      </c>
      <c r="C9" s="4" t="s">
        <v>779</v>
      </c>
      <c r="D9" s="5">
        <v>139519</v>
      </c>
      <c r="E9" s="5">
        <v>98856</v>
      </c>
      <c r="F9" s="5">
        <v>238375</v>
      </c>
      <c r="G9" s="5">
        <v>27806</v>
      </c>
      <c r="H9" s="14">
        <v>1470976</v>
      </c>
      <c r="I9" s="12">
        <f>D9*(1+0.01*growthrate!E10)^2</f>
        <v>139519</v>
      </c>
      <c r="J9" s="4">
        <f>E9*(1+0.01*growthrate!$E$3)^2</f>
        <v>101843.92259999998</v>
      </c>
      <c r="K9" s="4">
        <f>F9*(1+0.01*growthrate!$E$3)^2</f>
        <v>245579.88437499994</v>
      </c>
      <c r="L9" s="4">
        <f>G9*(1+0.01*growthrate!$E$3)^2</f>
        <v>28646.436349999993</v>
      </c>
      <c r="M9" s="4">
        <f>H9*(1+0.01*growthrate!$E$3)^2</f>
        <v>1515436.2495999995</v>
      </c>
      <c r="N9" s="12">
        <f>I9*(1+0.01*growthrate!$E$3)^5</f>
        <v>150301.58693794403</v>
      </c>
      <c r="O9" s="4">
        <f>J9*(1+0.01*growthrate!$E$3)^5</f>
        <v>109714.82870981829</v>
      </c>
      <c r="P9" s="4">
        <f>K9*(1+0.01*growthrate!$E$3)^5</f>
        <v>264559.28111296165</v>
      </c>
      <c r="Q9" s="4">
        <f>L9*(1+0.01*growthrate!$E$3)^5</f>
        <v>30860.347648146872</v>
      </c>
      <c r="R9" s="4">
        <f>M9*(1+0.01*growthrate!$E$3)^5</f>
        <v>1632555.2306006076</v>
      </c>
      <c r="S9" s="12">
        <f>N9*(1+0.01*growthrate!$F$3)^10</f>
        <v>161160.37585998981</v>
      </c>
      <c r="T9" s="4">
        <f>O9*(1+0.01*growthrate!$F$3)^10</f>
        <v>117641.35956587782</v>
      </c>
      <c r="U9" s="4">
        <f>P9*(1+0.01*growthrate!$F$3)^10</f>
        <v>283672.80778623582</v>
      </c>
      <c r="V9" s="4">
        <f>Q9*(1+0.01*growthrate!$F$3)^10</f>
        <v>33089.904953556674</v>
      </c>
      <c r="W9" s="4">
        <f>R9*(1+0.01*growthrate!$F$3)^10</f>
        <v>1750501.9071050487</v>
      </c>
    </row>
    <row r="10" spans="1:23" x14ac:dyDescent="0.2">
      <c r="A10" s="2" t="s">
        <v>27</v>
      </c>
      <c r="B10" s="8" t="s">
        <v>28</v>
      </c>
      <c r="C10" s="4" t="s">
        <v>779</v>
      </c>
      <c r="D10" s="5">
        <v>382739</v>
      </c>
      <c r="E10" s="5">
        <v>22142</v>
      </c>
      <c r="F10" s="5">
        <v>404881</v>
      </c>
      <c r="G10" s="5">
        <v>666</v>
      </c>
      <c r="H10" s="14">
        <v>40059</v>
      </c>
      <c r="I10" s="12">
        <f>D10*(1+0.01*growthrate!E11)^2</f>
        <v>382739</v>
      </c>
      <c r="J10" s="4">
        <f>E10*(1+0.01*growthrate!$E$3)^2</f>
        <v>22811.241949999992</v>
      </c>
      <c r="K10" s="4">
        <f>F10*(1+0.01*growthrate!$E$3)^2</f>
        <v>417118.5282249999</v>
      </c>
      <c r="L10" s="4">
        <f>G10*(1+0.01*growthrate!$E$3)^2</f>
        <v>686.12984999999981</v>
      </c>
      <c r="M10" s="4">
        <f>H10*(1+0.01*growthrate!$E$3)^2</f>
        <v>41269.783274999987</v>
      </c>
      <c r="N10" s="12">
        <f>I10*(1+0.01*growthrate!$E$3)^5</f>
        <v>412318.60236270155</v>
      </c>
      <c r="O10" s="4">
        <f>J10*(1+0.01*growthrate!$E$3)^5</f>
        <v>24574.186061471195</v>
      </c>
      <c r="P10" s="4">
        <f>K10*(1+0.01*growthrate!$E$3)^5</f>
        <v>449355.11818058527</v>
      </c>
      <c r="Q10" s="4">
        <f>L10*(1+0.01*growthrate!$E$3)^5</f>
        <v>739.15671199258497</v>
      </c>
      <c r="R10" s="4">
        <f>M10*(1+0.01*growthrate!$E$3)^5</f>
        <v>44459.277365932372</v>
      </c>
      <c r="S10" s="12">
        <f>N10*(1+0.01*growthrate!$F$3)^10</f>
        <v>442107.24773168273</v>
      </c>
      <c r="T10" s="4">
        <f>O10*(1+0.01*growthrate!$F$3)^10</f>
        <v>26349.589134778533</v>
      </c>
      <c r="U10" s="4">
        <f>P10*(1+0.01*growthrate!$F$3)^10</f>
        <v>481819.52842915122</v>
      </c>
      <c r="V10" s="4">
        <f>Q10*(1+0.01*growthrate!$F$3)^10</f>
        <v>792.5583219114128</v>
      </c>
      <c r="W10" s="4">
        <f>R10*(1+0.01*growthrate!$F$3)^10</f>
        <v>47671.312038212141</v>
      </c>
    </row>
    <row r="11" spans="1:23" x14ac:dyDescent="0.2">
      <c r="A11" s="2" t="s">
        <v>29</v>
      </c>
      <c r="B11" s="8" t="s">
        <v>30</v>
      </c>
      <c r="C11" s="4" t="s">
        <v>779</v>
      </c>
      <c r="D11" s="5">
        <v>586461</v>
      </c>
      <c r="E11" s="5">
        <v>-19365</v>
      </c>
      <c r="F11" s="5">
        <v>567096</v>
      </c>
      <c r="G11" s="5">
        <v>0</v>
      </c>
      <c r="H11" s="14">
        <v>0</v>
      </c>
      <c r="I11" s="12">
        <f>D11*(1+0.01*growthrate!E12)^2</f>
        <v>586461</v>
      </c>
      <c r="J11" s="4">
        <f>E11*(1+0.01*growthrate!$E$3)^2</f>
        <v>-19950.307124999996</v>
      </c>
      <c r="K11" s="4">
        <f>F11*(1+0.01*growthrate!$E$3)^2</f>
        <v>584236.47659999982</v>
      </c>
      <c r="L11" s="4">
        <f>G11*(1+0.01*growthrate!$E$3)^2</f>
        <v>0</v>
      </c>
      <c r="M11" s="4">
        <f>H11*(1+0.01*growthrate!$E$3)^2</f>
        <v>0</v>
      </c>
      <c r="N11" s="12">
        <f>I11*(1+0.01*growthrate!$E$3)^5</f>
        <v>631785.05420203402</v>
      </c>
      <c r="O11" s="4">
        <f>J11*(1+0.01*growthrate!$E$3)^5</f>
        <v>-21492.146738342955</v>
      </c>
      <c r="P11" s="4">
        <f>K11*(1+0.01*growthrate!$E$3)^5</f>
        <v>629388.61072694731</v>
      </c>
      <c r="Q11" s="4">
        <f>L11*(1+0.01*growthrate!$E$3)^5</f>
        <v>0</v>
      </c>
      <c r="R11" s="4">
        <f>M11*(1+0.01*growthrate!$E$3)^5</f>
        <v>0</v>
      </c>
      <c r="S11" s="12">
        <f>N11*(1+0.01*growthrate!$F$3)^10</f>
        <v>677429.4195573756</v>
      </c>
      <c r="T11" s="4">
        <f>O11*(1+0.01*growthrate!$F$3)^10</f>
        <v>-23044.882738460223</v>
      </c>
      <c r="U11" s="4">
        <f>P11*(1+0.01*growthrate!$F$3)^10</f>
        <v>674859.84102503676</v>
      </c>
      <c r="V11" s="4">
        <f>Q11*(1+0.01*growthrate!$F$3)^10</f>
        <v>0</v>
      </c>
      <c r="W11" s="4">
        <f>R11*(1+0.01*growthrate!$F$3)^10</f>
        <v>0</v>
      </c>
    </row>
    <row r="12" spans="1:23" x14ac:dyDescent="0.2">
      <c r="A12" s="2" t="s">
        <v>31</v>
      </c>
      <c r="B12" s="8" t="s">
        <v>32</v>
      </c>
      <c r="C12" s="4" t="s">
        <v>779</v>
      </c>
      <c r="D12" s="5">
        <v>325776</v>
      </c>
      <c r="E12" s="5">
        <v>42514</v>
      </c>
      <c r="F12" s="5">
        <v>368290</v>
      </c>
      <c r="G12" s="5">
        <v>61422</v>
      </c>
      <c r="H12" s="14">
        <v>384345</v>
      </c>
      <c r="I12" s="12">
        <f>D12*(1+0.01*growthrate!E13)^2</f>
        <v>325776</v>
      </c>
      <c r="J12" s="4">
        <f>E12*(1+0.01*growthrate!$E$3)^2</f>
        <v>43798.985649999988</v>
      </c>
      <c r="K12" s="4">
        <f>F12*(1+0.01*growthrate!$E$3)^2</f>
        <v>379421.56524999993</v>
      </c>
      <c r="L12" s="4">
        <f>G12*(1+0.01*growthrate!$E$3)^2</f>
        <v>63278.479949999986</v>
      </c>
      <c r="M12" s="4">
        <f>H12*(1+0.01*growthrate!$E$3)^2</f>
        <v>395961.82762499992</v>
      </c>
      <c r="N12" s="12">
        <f>I12*(1+0.01*growthrate!$E$3)^5</f>
        <v>350953.2736494359</v>
      </c>
      <c r="O12" s="4">
        <f>J12*(1+0.01*growthrate!$E$3)^5</f>
        <v>47183.946627106241</v>
      </c>
      <c r="P12" s="4">
        <f>K12*(1+0.01*growthrate!$E$3)^5</f>
        <v>408744.78297259629</v>
      </c>
      <c r="Q12" s="4">
        <f>L12*(1+0.01*growthrate!$E$3)^5</f>
        <v>68168.894240253081</v>
      </c>
      <c r="R12" s="4">
        <f>M12*(1+0.01*growthrate!$E$3)^5</f>
        <v>426563.34304923436</v>
      </c>
      <c r="S12" s="12">
        <f>N12*(1+0.01*growthrate!$F$3)^10</f>
        <v>376308.47845930688</v>
      </c>
      <c r="T12" s="4">
        <f>O12*(1+0.01*growthrate!$F$3)^10</f>
        <v>50592.829576188895</v>
      </c>
      <c r="U12" s="4">
        <f>P12*(1+0.01*growthrate!$F$3)^10</f>
        <v>438275.23179692827</v>
      </c>
      <c r="V12" s="4">
        <f>Q12*(1+0.01*growthrate!$F$3)^10</f>
        <v>73093.869742406605</v>
      </c>
      <c r="W12" s="4">
        <f>R12*(1+0.01*growthrate!$F$3)^10</f>
        <v>457381.12347603898</v>
      </c>
    </row>
    <row r="13" spans="1:23" x14ac:dyDescent="0.2">
      <c r="A13" s="2" t="s">
        <v>33</v>
      </c>
      <c r="B13" s="8" t="s">
        <v>34</v>
      </c>
      <c r="C13" s="4" t="s">
        <v>779</v>
      </c>
      <c r="D13" s="5">
        <v>1308522</v>
      </c>
      <c r="E13" s="5">
        <v>212816</v>
      </c>
      <c r="F13" s="5">
        <v>1521338</v>
      </c>
      <c r="G13" s="5">
        <v>8166</v>
      </c>
      <c r="H13" s="14">
        <v>648944</v>
      </c>
      <c r="I13" s="12">
        <f>D13*(1+0.01*growthrate!E14)^2</f>
        <v>1308522</v>
      </c>
      <c r="J13" s="4">
        <f>E13*(1+0.01*growthrate!$E$3)^2</f>
        <v>219248.36359999995</v>
      </c>
      <c r="K13" s="4">
        <f>F13*(1+0.01*growthrate!$E$3)^2</f>
        <v>1567320.4410499996</v>
      </c>
      <c r="L13" s="4">
        <f>G13*(1+0.01*growthrate!$E$3)^2</f>
        <v>8412.8173499999975</v>
      </c>
      <c r="M13" s="4">
        <f>H13*(1+0.01*growthrate!$E$3)^2</f>
        <v>668558.33239999984</v>
      </c>
      <c r="N13" s="12">
        <f>I13*(1+0.01*growthrate!$E$3)^5</f>
        <v>1409649.8193307891</v>
      </c>
      <c r="O13" s="4">
        <f>J13*(1+0.01*growthrate!$E$3)^5</f>
        <v>236192.75498410506</v>
      </c>
      <c r="P13" s="4">
        <f>K13*(1+0.01*growthrate!$E$3)^5</f>
        <v>1688449.240104167</v>
      </c>
      <c r="Q13" s="4">
        <f>L13*(1+0.01*growthrate!$E$3)^5</f>
        <v>9062.9935587559285</v>
      </c>
      <c r="R13" s="4">
        <f>M13*(1+0.01*growthrate!$E$3)^5</f>
        <v>720227.19715813221</v>
      </c>
      <c r="S13" s="12">
        <f>N13*(1+0.01*growthrate!$F$3)^10</f>
        <v>1511492.3224870132</v>
      </c>
      <c r="T13" s="4">
        <f>O13*(1+0.01*growthrate!$F$3)^10</f>
        <v>253256.89464849734</v>
      </c>
      <c r="U13" s="4">
        <f>P13*(1+0.01*growthrate!$F$3)^10</f>
        <v>1810434.07258268</v>
      </c>
      <c r="V13" s="4">
        <f>Q13*(1+0.01*growthrate!$F$3)^10</f>
        <v>9717.7646497426376</v>
      </c>
      <c r="W13" s="4">
        <f>R13*(1+0.01*growthrate!$F$3)^10</f>
        <v>772261.21269441419</v>
      </c>
    </row>
    <row r="14" spans="1:23" x14ac:dyDescent="0.2">
      <c r="A14" s="2" t="s">
        <v>35</v>
      </c>
      <c r="B14" s="8" t="s">
        <v>36</v>
      </c>
      <c r="C14" s="4" t="s">
        <v>779</v>
      </c>
      <c r="D14" s="5">
        <v>505861</v>
      </c>
      <c r="E14" s="5">
        <v>-15434</v>
      </c>
      <c r="F14" s="5">
        <v>490427</v>
      </c>
      <c r="G14" s="5">
        <v>195</v>
      </c>
      <c r="H14" s="14">
        <v>6128</v>
      </c>
      <c r="I14" s="12">
        <f>D14*(1+0.01*growthrate!E15)^2</f>
        <v>505861</v>
      </c>
      <c r="J14" s="4">
        <f>E14*(1+0.01*growthrate!$E$3)^2</f>
        <v>-15900.492649999997</v>
      </c>
      <c r="K14" s="4">
        <f>F14*(1+0.01*growthrate!$E$3)^2</f>
        <v>505250.15607499989</v>
      </c>
      <c r="L14" s="4">
        <f>G14*(1+0.01*growthrate!$E$3)^2</f>
        <v>200.89387499999995</v>
      </c>
      <c r="M14" s="4">
        <f>H14*(1+0.01*growthrate!$E$3)^2</f>
        <v>6313.2187999999987</v>
      </c>
      <c r="N14" s="12">
        <f>I14*(1+0.01*growthrate!$E$3)^5</f>
        <v>544955.96348895342</v>
      </c>
      <c r="O14" s="4">
        <f>J14*(1+0.01*growthrate!$E$3)^5</f>
        <v>-17129.346385726061</v>
      </c>
      <c r="P14" s="4">
        <f>K14*(1+0.01*growthrate!$E$3)^5</f>
        <v>544297.91109968093</v>
      </c>
      <c r="Q14" s="4">
        <f>L14*(1+0.01*growthrate!$E$3)^5</f>
        <v>216.41975801584695</v>
      </c>
      <c r="R14" s="4">
        <f>M14*(1+0.01*growthrate!$E$3)^5</f>
        <v>6801.1296262621036</v>
      </c>
      <c r="S14" s="12">
        <f>N14*(1+0.01*growthrate!$F$3)^10</f>
        <v>584327.21631398087</v>
      </c>
      <c r="T14" s="4">
        <f>O14*(1+0.01*growthrate!$F$3)^10</f>
        <v>-18366.884595166284</v>
      </c>
      <c r="U14" s="4">
        <f>P14*(1+0.01*growthrate!$F$3)^10</f>
        <v>583621.62183190463</v>
      </c>
      <c r="V14" s="4">
        <f>Q14*(1+0.01*growthrate!$F$3)^10</f>
        <v>232.05536452361187</v>
      </c>
      <c r="W14" s="4">
        <f>R14*(1+0.01*growthrate!$F$3)^10</f>
        <v>7292.4885835933001</v>
      </c>
    </row>
    <row r="15" spans="1:23" x14ac:dyDescent="0.2">
      <c r="A15" s="2" t="s">
        <v>37</v>
      </c>
      <c r="B15" s="8" t="s">
        <v>38</v>
      </c>
      <c r="C15" s="4" t="s">
        <v>779</v>
      </c>
      <c r="D15" s="5">
        <v>308</v>
      </c>
      <c r="E15" s="5">
        <v>235</v>
      </c>
      <c r="F15" s="5">
        <v>543</v>
      </c>
      <c r="G15" s="5">
        <v>55225</v>
      </c>
      <c r="H15" s="14">
        <v>747955</v>
      </c>
      <c r="I15" s="12">
        <f>D15*(1+0.01*growthrate!E16)^2</f>
        <v>308</v>
      </c>
      <c r="J15" s="4">
        <f>E15*(1+0.01*growthrate!$E$3)^2</f>
        <v>242.10287499999993</v>
      </c>
      <c r="K15" s="4">
        <f>F15*(1+0.01*growthrate!$E$3)^2</f>
        <v>559.41217499999982</v>
      </c>
      <c r="L15" s="4">
        <f>G15*(1+0.01*growthrate!$E$3)^2</f>
        <v>56894.175624999982</v>
      </c>
      <c r="M15" s="4">
        <f>H15*(1+0.01*growthrate!$E$3)^2</f>
        <v>770561.93987499981</v>
      </c>
      <c r="N15" s="12">
        <f>I15*(1+0.01*growthrate!$E$3)^5</f>
        <v>331.8034731963873</v>
      </c>
      <c r="O15" s="4">
        <f>J15*(1+0.01*growthrate!$E$3)^5</f>
        <v>260.8135545319181</v>
      </c>
      <c r="P15" s="4">
        <f>K15*(1+0.01*growthrate!$E$3)^5</f>
        <v>602.64578770566607</v>
      </c>
      <c r="Q15" s="4">
        <f>L15*(1+0.01*growthrate!$E$3)^5</f>
        <v>61291.185315000752</v>
      </c>
      <c r="R15" s="4">
        <f>M15*(1+0.01*growthrate!$E$3)^5</f>
        <v>830114.0518294503</v>
      </c>
      <c r="S15" s="12">
        <f>N15*(1+0.01*growthrate!$F$3)^10</f>
        <v>355.775168721657</v>
      </c>
      <c r="T15" s="4">
        <f>O15*(1+0.01*growthrate!$F$3)^10</f>
        <v>279.65646493871168</v>
      </c>
      <c r="U15" s="4">
        <f>P15*(1+0.01*growthrate!$F$3)^10</f>
        <v>646.1849381349806</v>
      </c>
      <c r="V15" s="4">
        <f>Q15*(1+0.01*growthrate!$F$3)^10</f>
        <v>65719.269260597255</v>
      </c>
      <c r="W15" s="4">
        <f>R15*(1+0.01*growthrate!$F$3)^10</f>
        <v>890087.02652440057</v>
      </c>
    </row>
    <row r="16" spans="1:23" x14ac:dyDescent="0.2">
      <c r="A16" s="2" t="s">
        <v>39</v>
      </c>
      <c r="B16" s="8" t="s">
        <v>40</v>
      </c>
      <c r="C16" s="4" t="s">
        <v>779</v>
      </c>
      <c r="D16" s="5">
        <v>5581</v>
      </c>
      <c r="E16" s="5">
        <v>-21</v>
      </c>
      <c r="F16" s="5">
        <v>5560</v>
      </c>
      <c r="G16" s="5">
        <v>159380</v>
      </c>
      <c r="H16" s="14">
        <v>235143</v>
      </c>
      <c r="I16" s="12">
        <f>D16*(1+0.01*growthrate!E17)^2</f>
        <v>5581</v>
      </c>
      <c r="J16" s="4">
        <f>E16*(1+0.01*growthrate!$E$3)^2</f>
        <v>-21.634724999999996</v>
      </c>
      <c r="K16" s="4">
        <f>F16*(1+0.01*growthrate!$E$3)^2</f>
        <v>5728.0509999999986</v>
      </c>
      <c r="L16" s="4">
        <f>G16*(1+0.01*growthrate!$E$3)^2</f>
        <v>164197.26049999995</v>
      </c>
      <c r="M16" s="4">
        <f>H16*(1+0.01*growthrate!$E$3)^2</f>
        <v>242250.19717499992</v>
      </c>
      <c r="N16" s="12">
        <f>I16*(1+0.01*growthrate!$E$3)^5</f>
        <v>6012.3220256786926</v>
      </c>
      <c r="O16" s="4">
        <f>J16*(1+0.01*growthrate!$E$3)^5</f>
        <v>-23.306743170937366</v>
      </c>
      <c r="P16" s="4">
        <f>K16*(1+0.01*growthrate!$E$3)^5</f>
        <v>6170.7377157338924</v>
      </c>
      <c r="Q16" s="4">
        <f>L16*(1+0.01*growthrate!$E$3)^5</f>
        <v>176887.08221828556</v>
      </c>
      <c r="R16" s="4">
        <f>M16*(1+0.01*growthrate!$E$3)^5</f>
        <v>260972.26235446305</v>
      </c>
      <c r="S16" s="12">
        <f>N16*(1+0.01*growthrate!$F$3)^10</f>
        <v>6446.6922618037906</v>
      </c>
      <c r="T16" s="4">
        <f>O16*(1+0.01*growthrate!$F$3)^10</f>
        <v>-24.990577717927433</v>
      </c>
      <c r="U16" s="4">
        <f>P16*(1+0.01*growthrate!$F$3)^10</f>
        <v>6616.552957698882</v>
      </c>
      <c r="V16" s="4">
        <f>Q16*(1+0.01*growthrate!$F$3)^10</f>
        <v>189666.58460396543</v>
      </c>
      <c r="W16" s="4">
        <f>R16*(1+0.01*growthrate!$F$3)^10</f>
        <v>279826.63887269568</v>
      </c>
    </row>
    <row r="17" spans="1:23" x14ac:dyDescent="0.2">
      <c r="A17" s="2" t="s">
        <v>41</v>
      </c>
      <c r="B17" s="8" t="s">
        <v>42</v>
      </c>
      <c r="C17" s="4" t="s">
        <v>779</v>
      </c>
      <c r="D17" s="5">
        <v>8803</v>
      </c>
      <c r="E17" s="5">
        <v>-33</v>
      </c>
      <c r="F17" s="5">
        <v>8770</v>
      </c>
      <c r="G17" s="5">
        <v>27361</v>
      </c>
      <c r="H17" s="14">
        <v>1392844</v>
      </c>
      <c r="I17" s="12">
        <f>D17*(1+0.01*growthrate!E18)^2</f>
        <v>8803</v>
      </c>
      <c r="J17" s="4">
        <f>E17*(1+0.01*growthrate!$E$3)^2</f>
        <v>-33.997424999999993</v>
      </c>
      <c r="K17" s="4">
        <f>F17*(1+0.01*growthrate!$E$3)^2</f>
        <v>9035.0732499999976</v>
      </c>
      <c r="L17" s="4">
        <f>G17*(1+0.01*growthrate!$E$3)^2</f>
        <v>28187.986224999993</v>
      </c>
      <c r="M17" s="4">
        <f>H17*(1+0.01*growthrate!$E$3)^2</f>
        <v>1434942.7098999997</v>
      </c>
      <c r="N17" s="12">
        <f>I17*(1+0.01*growthrate!$E$3)^5</f>
        <v>9483.3310861941463</v>
      </c>
      <c r="O17" s="4">
        <f>J17*(1+0.01*growthrate!$E$3)^5</f>
        <v>-36.624882125758717</v>
      </c>
      <c r="P17" s="4">
        <f>K17*(1+0.01*growthrate!$E$3)^5</f>
        <v>9733.3398861486039</v>
      </c>
      <c r="Q17" s="4">
        <f>L17*(1+0.01*growthrate!$E$3)^5</f>
        <v>30366.466661905582</v>
      </c>
      <c r="R17" s="4">
        <f>M17*(1+0.01*growthrate!$E$3)^5</f>
        <v>1545840.8278657659</v>
      </c>
      <c r="S17" s="12">
        <f>N17*(1+0.01*growthrate!$F$3)^10</f>
        <v>10168.470163171254</v>
      </c>
      <c r="T17" s="4">
        <f>O17*(1+0.01*growthrate!$F$3)^10</f>
        <v>-39.27090784245739</v>
      </c>
      <c r="U17" s="4">
        <f>P17*(1+0.01*growthrate!$F$3)^10</f>
        <v>10436.541266010647</v>
      </c>
      <c r="V17" s="4">
        <f>Q17*(1+0.01*growthrate!$F$3)^10</f>
        <v>32560.342711438687</v>
      </c>
      <c r="W17" s="4">
        <f>R17*(1+0.01*growthrate!$F$3)^10</f>
        <v>1657522.6776642341</v>
      </c>
    </row>
    <row r="18" spans="1:23" x14ac:dyDescent="0.2">
      <c r="A18" s="2" t="s">
        <v>43</v>
      </c>
      <c r="B18" s="8" t="s">
        <v>44</v>
      </c>
      <c r="C18" s="4" t="s">
        <v>779</v>
      </c>
      <c r="D18" s="5">
        <v>30355</v>
      </c>
      <c r="E18" s="5">
        <v>3252</v>
      </c>
      <c r="F18" s="5">
        <v>33607</v>
      </c>
      <c r="G18" s="5">
        <v>24093</v>
      </c>
      <c r="H18" s="14">
        <v>1414507</v>
      </c>
      <c r="I18" s="12">
        <f>D18*(1+0.01*growthrate!E19)^2</f>
        <v>30355</v>
      </c>
      <c r="J18" s="4">
        <f>E18*(1+0.01*growthrate!$E$3)^2</f>
        <v>3350.2916999999993</v>
      </c>
      <c r="K18" s="4">
        <f>F18*(1+0.01*growthrate!$E$3)^2</f>
        <v>34622.771574999992</v>
      </c>
      <c r="L18" s="4">
        <f>G18*(1+0.01*growthrate!$E$3)^2</f>
        <v>24821.210924999992</v>
      </c>
      <c r="M18" s="4">
        <f>H18*(1+0.01*growthrate!$E$3)^2</f>
        <v>1457260.4740749996</v>
      </c>
      <c r="N18" s="12">
        <f>I18*(1+0.01*growthrate!$E$3)^5</f>
        <v>32700.955937910181</v>
      </c>
      <c r="O18" s="4">
        <f>J18*(1+0.01*growthrate!$E$3)^5</f>
        <v>3609.2156567565862</v>
      </c>
      <c r="P18" s="4">
        <f>K18*(1+0.01*growthrate!$E$3)^5</f>
        <v>37298.557987890097</v>
      </c>
      <c r="Q18" s="4">
        <f>L18*(1+0.01*growthrate!$E$3)^5</f>
        <v>26739.493486542564</v>
      </c>
      <c r="R18" s="4">
        <f>M18*(1+0.01*growthrate!$E$3)^5</f>
        <v>1569883.398213957</v>
      </c>
      <c r="S18" s="12">
        <f>N18*(1+0.01*growthrate!$F$3)^10</f>
        <v>35063.491060213957</v>
      </c>
      <c r="T18" s="4">
        <f>O18*(1+0.01*growthrate!$F$3)^10</f>
        <v>3869.9694637476196</v>
      </c>
      <c r="U18" s="4">
        <f>P18*(1+0.01*growthrate!$F$3)^10</f>
        <v>39993.254541256538</v>
      </c>
      <c r="V18" s="4">
        <f>Q18*(1+0.01*growthrate!$F$3)^10</f>
        <v>28671.332807525025</v>
      </c>
      <c r="W18" s="4">
        <f>R18*(1+0.01*growthrate!$F$3)^10</f>
        <v>1683302.2436215417</v>
      </c>
    </row>
    <row r="19" spans="1:23" x14ac:dyDescent="0.2">
      <c r="A19" s="2" t="s">
        <v>45</v>
      </c>
      <c r="B19" s="8" t="s">
        <v>46</v>
      </c>
      <c r="C19" s="4" t="s">
        <v>779</v>
      </c>
      <c r="D19" s="5">
        <v>253844</v>
      </c>
      <c r="E19" s="5">
        <v>162126</v>
      </c>
      <c r="F19" s="5">
        <v>415970</v>
      </c>
      <c r="G19" s="5">
        <v>21791</v>
      </c>
      <c r="H19" s="14">
        <v>418118</v>
      </c>
      <c r="I19" s="12">
        <f>D19*(1+0.01*growthrate!E20)^2</f>
        <v>253844</v>
      </c>
      <c r="J19" s="4">
        <f>E19*(1+0.01*growthrate!$E$3)^2</f>
        <v>167026.25834999996</v>
      </c>
      <c r="K19" s="4">
        <f>F19*(1+0.01*growthrate!$E$3)^2</f>
        <v>428542.69324999989</v>
      </c>
      <c r="L19" s="4">
        <f>G19*(1+0.01*growthrate!$E$3)^2</f>
        <v>22449.632974999993</v>
      </c>
      <c r="M19" s="4">
        <f>H19*(1+0.01*growthrate!$E$3)^2</f>
        <v>430755.61654999986</v>
      </c>
      <c r="N19" s="12">
        <f>I19*(1+0.01*growthrate!$E$3)^5</f>
        <v>273462.08068202512</v>
      </c>
      <c r="O19" s="4">
        <f>J19*(1+0.01*growthrate!$E$3)^5</f>
        <v>179934.71634911385</v>
      </c>
      <c r="P19" s="4">
        <f>K19*(1+0.01*growthrate!$E$3)^5</f>
        <v>461662.1884197531</v>
      </c>
      <c r="Q19" s="4">
        <f>L19*(1+0.01*growthrate!$E$3)^5</f>
        <v>24184.630497042668</v>
      </c>
      <c r="R19" s="4">
        <f>M19*(1+0.01*growthrate!$E$3)^5</f>
        <v>464046.13529266609</v>
      </c>
      <c r="S19" s="12">
        <f>N19*(1+0.01*growthrate!$F$3)^10</f>
        <v>293218.80496422178</v>
      </c>
      <c r="T19" s="4">
        <f>O19*(1+0.01*growthrate!$F$3)^10</f>
        <v>192934.40014746203</v>
      </c>
      <c r="U19" s="4">
        <f>P19*(1+0.01*growthrate!$F$3)^10</f>
        <v>495015.74349172728</v>
      </c>
      <c r="V19" s="4">
        <f>Q19*(1+0.01*growthrate!$F$3)^10</f>
        <v>25931.889478636029</v>
      </c>
      <c r="W19" s="4">
        <f>R19*(1+0.01*growthrate!$F$3)^10</f>
        <v>497571.92258401815</v>
      </c>
    </row>
    <row r="20" spans="1:23" x14ac:dyDescent="0.2">
      <c r="A20" s="2" t="s">
        <v>47</v>
      </c>
      <c r="B20" s="8" t="s">
        <v>48</v>
      </c>
      <c r="C20" s="4" t="s">
        <v>779</v>
      </c>
      <c r="D20" s="5">
        <v>8917</v>
      </c>
      <c r="E20" s="5">
        <v>8824</v>
      </c>
      <c r="F20" s="5">
        <v>17741</v>
      </c>
      <c r="G20" s="5">
        <v>11893</v>
      </c>
      <c r="H20" s="14">
        <v>1195842</v>
      </c>
      <c r="I20" s="12">
        <f>D20*(1+0.01*growthrate!E21)^2</f>
        <v>8917</v>
      </c>
      <c r="J20" s="4">
        <f>E20*(1+0.01*growthrate!$E$3)^2</f>
        <v>9090.7053999999971</v>
      </c>
      <c r="K20" s="4">
        <f>F20*(1+0.01*growthrate!$E$3)^2</f>
        <v>18277.221724999996</v>
      </c>
      <c r="L20" s="4">
        <f>G20*(1+0.01*growthrate!$E$3)^2</f>
        <v>12252.465924999997</v>
      </c>
      <c r="M20" s="4">
        <f>H20*(1+0.01*growthrate!$E$3)^2</f>
        <v>1231986.3244499997</v>
      </c>
      <c r="N20" s="12">
        <f>I20*(1+0.01*growthrate!$E$3)^5</f>
        <v>9606.141462636966</v>
      </c>
      <c r="O20" s="4">
        <f>J20*(1+0.01*growthrate!$E$3)^5</f>
        <v>9793.2715114452985</v>
      </c>
      <c r="P20" s="4">
        <f>K20*(1+0.01*growthrate!$E$3)^5</f>
        <v>19689.758599790464</v>
      </c>
      <c r="Q20" s="4">
        <f>L20*(1+0.01*growthrate!$E$3)^5</f>
        <v>13199.385549140859</v>
      </c>
      <c r="R20" s="4">
        <f>M20*(1+0.01*growthrate!$E$3)^5</f>
        <v>1327199.1603342895</v>
      </c>
      <c r="S20" s="12">
        <f>N20*(1+0.01*growthrate!$F$3)^10</f>
        <v>10300.153180165635</v>
      </c>
      <c r="T20" s="4">
        <f>O20*(1+0.01*growthrate!$F$3)^10</f>
        <v>10500.802751571029</v>
      </c>
      <c r="U20" s="4">
        <f>P20*(1+0.01*growthrate!$F$3)^10</f>
        <v>21112.278061607169</v>
      </c>
      <c r="V20" s="4">
        <f>Q20*(1+0.01*growthrate!$F$3)^10</f>
        <v>14152.997180919567</v>
      </c>
      <c r="W20" s="4">
        <f>R20*(1+0.01*growthrate!$F$3)^10</f>
        <v>1423084.8780648464</v>
      </c>
    </row>
    <row r="21" spans="1:23" x14ac:dyDescent="0.2">
      <c r="A21" s="2" t="s">
        <v>49</v>
      </c>
      <c r="B21" s="8" t="s">
        <v>50</v>
      </c>
      <c r="C21" s="4" t="s">
        <v>779</v>
      </c>
      <c r="D21" s="5">
        <v>414803</v>
      </c>
      <c r="E21" s="5">
        <v>-5916</v>
      </c>
      <c r="F21" s="5">
        <v>408887</v>
      </c>
      <c r="G21" s="5">
        <v>1876</v>
      </c>
      <c r="H21" s="14">
        <v>181035</v>
      </c>
      <c r="I21" s="12">
        <f>D21*(1+0.01*growthrate!E22)^2</f>
        <v>414803</v>
      </c>
      <c r="J21" s="4">
        <f>E21*(1+0.01*growthrate!$E$3)^2</f>
        <v>-6094.8110999999981</v>
      </c>
      <c r="K21" s="4">
        <f>F21*(1+0.01*growthrate!$E$3)^2</f>
        <v>421245.60957499989</v>
      </c>
      <c r="L21" s="4">
        <f>G21*(1+0.01*growthrate!$E$3)^2</f>
        <v>1932.7020999999995</v>
      </c>
      <c r="M21" s="4">
        <f>H21*(1+0.01*growthrate!$E$3)^2</f>
        <v>186506.78287499995</v>
      </c>
      <c r="N21" s="12">
        <f>I21*(1+0.01*growthrate!$E$3)^5</f>
        <v>446860.6366632501</v>
      </c>
      <c r="O21" s="4">
        <f>J21*(1+0.01*growthrate!$E$3)^5</f>
        <v>-6565.8425047269257</v>
      </c>
      <c r="P21" s="4">
        <f>K21*(1+0.01*growthrate!$E$3)^5</f>
        <v>453801.1569016698</v>
      </c>
      <c r="Q21" s="4">
        <f>L21*(1+0.01*growthrate!$E$3)^5</f>
        <v>2082.0690566037379</v>
      </c>
      <c r="R21" s="4">
        <f>M21*(1+0.01*growthrate!$E$3)^5</f>
        <v>200920.77380717359</v>
      </c>
      <c r="S21" s="12">
        <f>N21*(1+0.01*growthrate!$F$3)^10</f>
        <v>479144.82893262821</v>
      </c>
      <c r="T21" s="4">
        <f>O21*(1+0.01*growthrate!$F$3)^10</f>
        <v>-7040.2027513932699</v>
      </c>
      <c r="U21" s="4">
        <f>P21*(1+0.01*growthrate!$F$3)^10</f>
        <v>486586.77863572352</v>
      </c>
      <c r="V21" s="4">
        <f>Q21*(1+0.01*growthrate!$F$3)^10</f>
        <v>2232.4916094681839</v>
      </c>
      <c r="W21" s="4">
        <f>R21*(1+0.01*growthrate!$F$3)^10</f>
        <v>215436.63034119012</v>
      </c>
    </row>
    <row r="22" spans="1:23" x14ac:dyDescent="0.2">
      <c r="A22" s="2" t="s">
        <v>51</v>
      </c>
      <c r="B22" s="8" t="s">
        <v>52</v>
      </c>
      <c r="C22" s="4" t="s">
        <v>779</v>
      </c>
      <c r="D22" s="5">
        <v>6272</v>
      </c>
      <c r="E22" s="5">
        <v>3058</v>
      </c>
      <c r="F22" s="5">
        <v>9330</v>
      </c>
      <c r="G22" s="5">
        <v>1533</v>
      </c>
      <c r="H22" s="14">
        <v>676705</v>
      </c>
      <c r="I22" s="12">
        <f>D22*(1+0.01*growthrate!E23)^2</f>
        <v>6272</v>
      </c>
      <c r="J22" s="4">
        <f>E22*(1+0.01*growthrate!$E$3)^2</f>
        <v>3150.4280499999991</v>
      </c>
      <c r="K22" s="4">
        <f>F22*(1+0.01*growthrate!$E$3)^2</f>
        <v>9611.9992499999971</v>
      </c>
      <c r="L22" s="4">
        <f>G22*(1+0.01*growthrate!$E$3)^2</f>
        <v>1579.3349249999997</v>
      </c>
      <c r="M22" s="4">
        <f>H22*(1+0.01*growthrate!$E$3)^2</f>
        <v>697158.40862499981</v>
      </c>
      <c r="N22" s="12">
        <f>I22*(1+0.01*growthrate!$E$3)^5</f>
        <v>6756.7252723627953</v>
      </c>
      <c r="O22" s="4">
        <f>J22*(1+0.01*growthrate!$E$3)^5</f>
        <v>3393.9057436536409</v>
      </c>
      <c r="P22" s="4">
        <f>K22*(1+0.01*growthrate!$E$3)^5</f>
        <v>10354.853037373599</v>
      </c>
      <c r="Q22" s="4">
        <f>L22*(1+0.01*growthrate!$E$3)^5</f>
        <v>1701.3922514784276</v>
      </c>
      <c r="R22" s="4">
        <f>M22*(1+0.01*growthrate!$E$3)^5</f>
        <v>751037.60178519844</v>
      </c>
      <c r="S22" s="12">
        <f>N22*(1+0.01*growthrate!$F$3)^10</f>
        <v>7244.8761630591971</v>
      </c>
      <c r="T22" s="4">
        <f>O22*(1+0.01*growthrate!$F$3)^10</f>
        <v>3639.1041267343849</v>
      </c>
      <c r="U22" s="4">
        <f>P22*(1+0.01*growthrate!$F$3)^10</f>
        <v>11102.956671822043</v>
      </c>
      <c r="V22" s="4">
        <f>Q22*(1+0.01*growthrate!$F$3)^10</f>
        <v>1824.3121734087026</v>
      </c>
      <c r="W22" s="4">
        <f>R22*(1+0.01*growthrate!$F$3)^10</f>
        <v>805297.56641000381</v>
      </c>
    </row>
    <row r="23" spans="1:23" x14ac:dyDescent="0.2">
      <c r="A23" s="2" t="s">
        <v>53</v>
      </c>
      <c r="B23" s="8" t="s">
        <v>54</v>
      </c>
      <c r="C23" s="4" t="s">
        <v>779</v>
      </c>
      <c r="D23" s="5">
        <v>167379</v>
      </c>
      <c r="E23" s="5">
        <v>15688</v>
      </c>
      <c r="F23" s="5">
        <v>183067</v>
      </c>
      <c r="G23" s="5">
        <v>4338</v>
      </c>
      <c r="H23" s="14">
        <v>69985</v>
      </c>
      <c r="I23" s="12">
        <f>D23*(1+0.01*growthrate!E24)^2</f>
        <v>167379</v>
      </c>
      <c r="J23" s="4">
        <f>E23*(1+0.01*growthrate!$E$3)^2</f>
        <v>16162.169799999996</v>
      </c>
      <c r="K23" s="4">
        <f>F23*(1+0.01*growthrate!$E$3)^2</f>
        <v>188600.20007499994</v>
      </c>
      <c r="L23" s="4">
        <f>G23*(1+0.01*growthrate!$E$3)^2</f>
        <v>4469.1160499999987</v>
      </c>
      <c r="M23" s="4">
        <f>H23*(1+0.01*growthrate!$E$3)^2</f>
        <v>72100.296624999974</v>
      </c>
      <c r="N23" s="12">
        <f>I23*(1+0.01*growthrate!$E$3)^5</f>
        <v>180314.7192861627</v>
      </c>
      <c r="O23" s="4">
        <f>J23*(1+0.01*growthrate!$E$3)^5</f>
        <v>17411.246993603112</v>
      </c>
      <c r="P23" s="4">
        <f>K23*(1+0.01*growthrate!$E$3)^5</f>
        <v>203175.97867019</v>
      </c>
      <c r="Q23" s="4">
        <f>L23*(1+0.01*growthrate!$E$3)^5</f>
        <v>4814.5072321679181</v>
      </c>
      <c r="R23" s="4">
        <f>M23*(1+0.01*growthrate!$E$3)^5</f>
        <v>77672.49622943101</v>
      </c>
      <c r="S23" s="12">
        <f>N23*(1+0.01*growthrate!$F$3)^10</f>
        <v>193341.85703072153</v>
      </c>
      <c r="T23" s="4">
        <f>O23*(1+0.01*growthrate!$F$3)^10</f>
        <v>18669.151582802169</v>
      </c>
      <c r="U23" s="4">
        <f>P23*(1+0.01*growthrate!$F$3)^10</f>
        <v>217854.76624227717</v>
      </c>
      <c r="V23" s="4">
        <f>Q23*(1+0.01*growthrate!$F$3)^10</f>
        <v>5162.339340017581</v>
      </c>
      <c r="W23" s="4">
        <f>R23*(1+0.01*growthrate!$F$3)^10</f>
        <v>83284.075313769092</v>
      </c>
    </row>
    <row r="24" spans="1:23" x14ac:dyDescent="0.2">
      <c r="A24" s="2" t="s">
        <v>55</v>
      </c>
      <c r="B24" s="8" t="s">
        <v>56</v>
      </c>
      <c r="C24" s="4" t="s">
        <v>779</v>
      </c>
      <c r="D24" s="5">
        <v>566183</v>
      </c>
      <c r="E24" s="5">
        <v>723843</v>
      </c>
      <c r="F24" s="5">
        <v>1290026</v>
      </c>
      <c r="G24" s="5">
        <v>780962</v>
      </c>
      <c r="H24" s="14">
        <v>2506537</v>
      </c>
      <c r="I24" s="12">
        <f>D24*(1+0.01*growthrate!E25)^2</f>
        <v>566183</v>
      </c>
      <c r="J24" s="4">
        <f>E24*(1+0.01*growthrate!$E$3)^2</f>
        <v>745721.15467499977</v>
      </c>
      <c r="K24" s="4">
        <f>F24*(1+0.01*growthrate!$E$3)^2</f>
        <v>1329017.0358499996</v>
      </c>
      <c r="L24" s="4">
        <f>G24*(1+0.01*growthrate!$E$3)^2</f>
        <v>804566.57644999982</v>
      </c>
      <c r="M24" s="4">
        <f>H24*(1+0.01*growthrate!$E$3)^2</f>
        <v>2582297.0808249991</v>
      </c>
      <c r="N24" s="12">
        <f>I24*(1+0.01*growthrate!$E$3)^5</f>
        <v>609939.8891712667</v>
      </c>
      <c r="O24" s="4">
        <f>J24*(1+0.01*growthrate!$E$3)^5</f>
        <v>803353.47128956253</v>
      </c>
      <c r="P24" s="4">
        <f>K24*(1+0.01*growthrate!$E$3)^5</f>
        <v>1431728.7936110306</v>
      </c>
      <c r="Q24" s="4">
        <f>L24*(1+0.01*growthrate!$E$3)^5</f>
        <v>866746.70286959934</v>
      </c>
      <c r="R24" s="4">
        <f>M24*(1+0.01*growthrate!$E$3)^5</f>
        <v>2781867.3384500868</v>
      </c>
      <c r="S24" s="12">
        <f>N24*(1+0.01*growthrate!$F$3)^10</f>
        <v>654006.01413095428</v>
      </c>
      <c r="T24" s="4">
        <f>O24*(1+0.01*growthrate!$F$3)^10</f>
        <v>861393.0831941783</v>
      </c>
      <c r="U24" s="4">
        <f>P24*(1+0.01*growthrate!$F$3)^10</f>
        <v>1535166.4291022404</v>
      </c>
      <c r="V24" s="4">
        <f>Q24*(1+0.01*growthrate!$F$3)^10</f>
        <v>929366.26455943065</v>
      </c>
      <c r="W24" s="4">
        <f>R24*(1+0.01*growthrate!$F$3)^10</f>
        <v>2982847.9857790791</v>
      </c>
    </row>
    <row r="25" spans="1:23" x14ac:dyDescent="0.2">
      <c r="A25" s="2" t="s">
        <v>57</v>
      </c>
      <c r="B25" s="8" t="s">
        <v>58</v>
      </c>
      <c r="C25" s="4" t="s">
        <v>779</v>
      </c>
      <c r="D25" s="5">
        <v>121382</v>
      </c>
      <c r="E25" s="5">
        <v>95493</v>
      </c>
      <c r="F25" s="5">
        <v>216875</v>
      </c>
      <c r="G25" s="5">
        <v>158973</v>
      </c>
      <c r="H25" s="14">
        <v>1240630</v>
      </c>
      <c r="I25" s="12">
        <f>D25*(1+0.01*growthrate!E26)^2</f>
        <v>121382</v>
      </c>
      <c r="J25" s="4">
        <f>E25*(1+0.01*growthrate!$E$3)^2</f>
        <v>98379.27592499998</v>
      </c>
      <c r="K25" s="4">
        <f>F25*(1+0.01*growthrate!$E$3)^2</f>
        <v>223430.04687499994</v>
      </c>
      <c r="L25" s="4">
        <f>G25*(1+0.01*growthrate!$E$3)^2</f>
        <v>163777.95892499996</v>
      </c>
      <c r="M25" s="4">
        <f>H25*(1+0.01*growthrate!$E$3)^2</f>
        <v>1278128.0417499996</v>
      </c>
      <c r="N25" s="12">
        <f>I25*(1+0.01*growthrate!$E$3)^5</f>
        <v>130762.88695949312</v>
      </c>
      <c r="O25" s="4">
        <f>J25*(1+0.01*growthrate!$E$3)^5</f>
        <v>105982.42026772961</v>
      </c>
      <c r="P25" s="4">
        <f>K25*(1+0.01*growthrate!$E$3)^5</f>
        <v>240697.61548557336</v>
      </c>
      <c r="Q25" s="4">
        <f>L25*(1+0.01*growthrate!$E$3)^5</f>
        <v>176435.37533873454</v>
      </c>
      <c r="R25" s="4">
        <f>M25*(1+0.01*growthrate!$E$3)^5</f>
        <v>1376906.8942933343</v>
      </c>
      <c r="S25" s="12">
        <f>N25*(1+0.01*growthrate!$F$3)^10</f>
        <v>140210.0699018577</v>
      </c>
      <c r="T25" s="4">
        <f>O25*(1+0.01*growthrate!$F$3)^10</f>
        <v>113639.2970484783</v>
      </c>
      <c r="U25" s="4">
        <f>P25*(1+0.01*growthrate!$F$3)^10</f>
        <v>258087.2163131196</v>
      </c>
      <c r="V25" s="4">
        <f>Q25*(1+0.01*growthrate!$F$3)^10</f>
        <v>189182.24340724177</v>
      </c>
      <c r="W25" s="4">
        <f>R25*(1+0.01*growthrate!$F$3)^10</f>
        <v>1476383.8301996337</v>
      </c>
    </row>
    <row r="26" spans="1:23" x14ac:dyDescent="0.2">
      <c r="A26" s="2" t="s">
        <v>59</v>
      </c>
      <c r="B26" s="8" t="s">
        <v>60</v>
      </c>
      <c r="C26" s="4" t="s">
        <v>779</v>
      </c>
      <c r="D26" s="5">
        <v>3128</v>
      </c>
      <c r="E26" s="5">
        <v>0</v>
      </c>
      <c r="F26" s="5">
        <v>3128</v>
      </c>
      <c r="G26" s="5">
        <v>39391</v>
      </c>
      <c r="H26" s="14">
        <v>654939</v>
      </c>
      <c r="I26" s="12">
        <f>D26*(1+0.01*growthrate!E27)^2</f>
        <v>3128</v>
      </c>
      <c r="J26" s="4">
        <f>E26*(1+0.01*growthrate!$E$3)^2</f>
        <v>0</v>
      </c>
      <c r="K26" s="4">
        <f>F26*(1+0.01*growthrate!$E$3)^2</f>
        <v>3222.543799999999</v>
      </c>
      <c r="L26" s="4">
        <f>G26*(1+0.01*growthrate!$E$3)^2</f>
        <v>40581.592974999992</v>
      </c>
      <c r="M26" s="4">
        <f>H26*(1+0.01*growthrate!$E$3)^2</f>
        <v>674734.53127499984</v>
      </c>
      <c r="N26" s="12">
        <f>I26*(1+0.01*growthrate!$E$3)^5</f>
        <v>3369.7443641503228</v>
      </c>
      <c r="O26" s="4">
        <f>J26*(1+0.01*growthrate!$E$3)^5</f>
        <v>0</v>
      </c>
      <c r="P26" s="4">
        <f>K26*(1+0.01*growthrate!$E$3)^5</f>
        <v>3471.5948875567651</v>
      </c>
      <c r="Q26" s="4">
        <f>L26*(1+0.01*growthrate!$E$3)^5</f>
        <v>43717.900964113986</v>
      </c>
      <c r="R26" s="4">
        <f>M26*(1+0.01*growthrate!$E$3)^5</f>
        <v>726880.7174109784</v>
      </c>
      <c r="S26" s="12">
        <f>N26*(1+0.01*growthrate!$F$3)^10</f>
        <v>3613.1971680563088</v>
      </c>
      <c r="T26" s="4">
        <f>O26*(1+0.01*growthrate!$F$3)^10</f>
        <v>0</v>
      </c>
      <c r="U26" s="4">
        <f>P26*(1+0.01*growthrate!$F$3)^10</f>
        <v>3722.4060524608094</v>
      </c>
      <c r="V26" s="4">
        <f>Q26*(1+0.01*growthrate!$F$3)^10</f>
        <v>46876.373661279969</v>
      </c>
      <c r="W26" s="4">
        <f>R26*(1+0.01*growthrate!$F$3)^10</f>
        <v>779395.42761912732</v>
      </c>
    </row>
    <row r="27" spans="1:23" x14ac:dyDescent="0.2">
      <c r="A27" s="2" t="s">
        <v>61</v>
      </c>
      <c r="B27" s="8" t="s">
        <v>62</v>
      </c>
      <c r="C27" s="4" t="s">
        <v>779</v>
      </c>
      <c r="D27" s="5">
        <v>1323739</v>
      </c>
      <c r="E27" s="5">
        <v>-11093</v>
      </c>
      <c r="F27" s="5">
        <v>1312646</v>
      </c>
      <c r="G27" s="5">
        <v>989</v>
      </c>
      <c r="H27" s="14">
        <v>11454</v>
      </c>
      <c r="I27" s="12">
        <f>D27*(1+0.01*growthrate!E28)^2</f>
        <v>1323739</v>
      </c>
      <c r="J27" s="4">
        <f>E27*(1+0.01*growthrate!$E$3)^2</f>
        <v>-11428.285924999996</v>
      </c>
      <c r="K27" s="4">
        <f>F27*(1+0.01*growthrate!$E$3)^2</f>
        <v>1352320.7253499997</v>
      </c>
      <c r="L27" s="4">
        <f>G27*(1+0.01*growthrate!$E$3)^2</f>
        <v>1018.8925249999998</v>
      </c>
      <c r="M27" s="4">
        <f>H27*(1+0.01*growthrate!$E$3)^2</f>
        <v>11800.197149999996</v>
      </c>
      <c r="N27" s="12">
        <f>I27*(1+0.01*growthrate!$E$3)^5</f>
        <v>1426042.8500178978</v>
      </c>
      <c r="O27" s="4">
        <f>J27*(1+0.01*growthrate!$E$3)^5</f>
        <v>-12311.509618819437</v>
      </c>
      <c r="P27" s="4">
        <f>K27*(1+0.01*growthrate!$E$3)^5</f>
        <v>1456833.4855408689</v>
      </c>
      <c r="Q27" s="4">
        <f>L27*(1+0.01*growthrate!$E$3)^5</f>
        <v>1097.6366188598597</v>
      </c>
      <c r="R27" s="4">
        <f>M27*(1+0.01*growthrate!$E$3)^5</f>
        <v>12712.163632376978</v>
      </c>
      <c r="S27" s="12">
        <f>N27*(1+0.01*growthrate!$F$3)^10</f>
        <v>1529069.6950273945</v>
      </c>
      <c r="T27" s="4">
        <f>O27*(1+0.01*growthrate!$F$3)^10</f>
        <v>-13200.975172617571</v>
      </c>
      <c r="U27" s="4">
        <f>P27*(1+0.01*growthrate!$F$3)^10</f>
        <v>1562084.8513869797</v>
      </c>
      <c r="V27" s="4">
        <f>Q27*(1+0.01*growthrate!$F$3)^10</f>
        <v>1176.9372077633443</v>
      </c>
      <c r="W27" s="4">
        <f>R27*(1+0.01*growthrate!$F$3)^10</f>
        <v>13630.575103863846</v>
      </c>
    </row>
    <row r="28" spans="1:23" x14ac:dyDescent="0.2">
      <c r="A28" s="2" t="s">
        <v>63</v>
      </c>
      <c r="B28" s="8" t="s">
        <v>64</v>
      </c>
      <c r="C28" s="4" t="s">
        <v>779</v>
      </c>
      <c r="D28" s="5">
        <v>27255516</v>
      </c>
      <c r="E28" s="5">
        <v>185592</v>
      </c>
      <c r="F28" s="5">
        <v>27441108</v>
      </c>
      <c r="G28" s="5">
        <v>0</v>
      </c>
      <c r="H28" s="14">
        <v>0</v>
      </c>
      <c r="I28" s="12">
        <f>D28*(1+0.01*growthrate!E29)^2</f>
        <v>27255516</v>
      </c>
      <c r="J28" s="4">
        <f>E28*(1+0.01*growthrate!$E$3)^2</f>
        <v>191201.51819999996</v>
      </c>
      <c r="K28" s="4">
        <f>F28*(1+0.01*growthrate!$E$3)^2</f>
        <v>28270515.489299994</v>
      </c>
      <c r="L28" s="4">
        <f>G28*(1+0.01*growthrate!$E$3)^2</f>
        <v>0</v>
      </c>
      <c r="M28" s="4">
        <f>H28*(1+0.01*growthrate!$E$3)^2</f>
        <v>0</v>
      </c>
      <c r="N28" s="12">
        <f>I28*(1+0.01*growthrate!$E$3)^5</f>
        <v>29361931.404414624</v>
      </c>
      <c r="O28" s="4">
        <f>J28*(1+0.01*growthrate!$E$3)^5</f>
        <v>205978.33707526702</v>
      </c>
      <c r="P28" s="4">
        <f>K28*(1+0.01*growthrate!$E$3)^5</f>
        <v>30455374.118188318</v>
      </c>
      <c r="Q28" s="4">
        <f>L28*(1+0.01*growthrate!$E$3)^5</f>
        <v>0</v>
      </c>
      <c r="R28" s="4">
        <f>M28*(1+0.01*growthrate!$E$3)^5</f>
        <v>0</v>
      </c>
      <c r="S28" s="12">
        <f>N28*(1+0.01*growthrate!$F$3)^10</f>
        <v>31483233.128233187</v>
      </c>
      <c r="T28" s="4">
        <f>O28*(1+0.01*growthrate!$F$3)^10</f>
        <v>220859.58570598037</v>
      </c>
      <c r="U28" s="4">
        <f>P28*(1+0.01*growthrate!$F$3)^10</f>
        <v>32655673.435240008</v>
      </c>
      <c r="V28" s="4">
        <f>Q28*(1+0.01*growthrate!$F$3)^10</f>
        <v>0</v>
      </c>
      <c r="W28" s="4">
        <f>R28*(1+0.01*growthrate!$F$3)^10</f>
        <v>0</v>
      </c>
    </row>
    <row r="29" spans="1:23" x14ac:dyDescent="0.2">
      <c r="A29" s="2" t="s">
        <v>65</v>
      </c>
      <c r="B29" s="8" t="s">
        <v>66</v>
      </c>
      <c r="C29" s="4" t="s">
        <v>779</v>
      </c>
      <c r="D29" s="5">
        <v>114651227</v>
      </c>
      <c r="E29" s="5">
        <v>-321701</v>
      </c>
      <c r="F29" s="5">
        <v>114329526</v>
      </c>
      <c r="G29" s="5">
        <v>0</v>
      </c>
      <c r="H29" s="14">
        <v>0</v>
      </c>
      <c r="I29" s="12">
        <f>D29*(1+0.01*growthrate!E30)^2</f>
        <v>114651227</v>
      </c>
      <c r="J29" s="4">
        <f>E29*(1+0.01*growthrate!$E$3)^2</f>
        <v>-331424.41272499989</v>
      </c>
      <c r="K29" s="4">
        <f>F29*(1+0.01*growthrate!$E$3)^2</f>
        <v>117785135.92334996</v>
      </c>
      <c r="L29" s="4">
        <f>G29*(1+0.01*growthrate!$E$3)^2</f>
        <v>0</v>
      </c>
      <c r="M29" s="4">
        <f>H29*(1+0.01*growthrate!$E$3)^2</f>
        <v>0</v>
      </c>
      <c r="N29" s="12">
        <f>I29*(1+0.01*growthrate!$E$3)^5</f>
        <v>123511932.87281628</v>
      </c>
      <c r="O29" s="4">
        <f>J29*(1+0.01*growthrate!$E$3)^5</f>
        <v>-357038.21832541522</v>
      </c>
      <c r="P29" s="4">
        <f>K29*(1+0.01*growthrate!$E$3)^5</f>
        <v>126888042.82557169</v>
      </c>
      <c r="Q29" s="4">
        <f>L29*(1+0.01*growthrate!$E$3)^5</f>
        <v>0</v>
      </c>
      <c r="R29" s="4">
        <f>M29*(1+0.01*growthrate!$E$3)^5</f>
        <v>0</v>
      </c>
      <c r="S29" s="12">
        <f>N29*(1+0.01*growthrate!$F$3)^10</f>
        <v>132435258.5391883</v>
      </c>
      <c r="T29" s="4">
        <f>O29*(1+0.01*growthrate!$F$3)^10</f>
        <v>-382833.04011595098</v>
      </c>
      <c r="U29" s="4">
        <f>P29*(1+0.01*growthrate!$F$3)^10</f>
        <v>136055281.18841925</v>
      </c>
      <c r="V29" s="4">
        <f>Q29*(1+0.01*growthrate!$F$3)^10</f>
        <v>0</v>
      </c>
      <c r="W29" s="4">
        <f>R29*(1+0.01*growthrate!$F$3)^10</f>
        <v>0</v>
      </c>
    </row>
    <row r="30" spans="1:23" x14ac:dyDescent="0.2">
      <c r="A30" s="2" t="s">
        <v>67</v>
      </c>
      <c r="B30" s="8" t="s">
        <v>68</v>
      </c>
      <c r="C30" s="4" t="s">
        <v>779</v>
      </c>
      <c r="D30" s="5">
        <v>48813493</v>
      </c>
      <c r="E30" s="5">
        <v>-605885</v>
      </c>
      <c r="F30" s="5">
        <v>48207608</v>
      </c>
      <c r="G30" s="5">
        <v>0</v>
      </c>
      <c r="H30" s="14">
        <v>0</v>
      </c>
      <c r="I30" s="12">
        <f>D30*(1+0.01*growthrate!E31)^2</f>
        <v>48813493</v>
      </c>
      <c r="J30" s="4">
        <f>E30*(1+0.01*growthrate!$E$3)^2</f>
        <v>-624197.87412499986</v>
      </c>
      <c r="K30" s="4">
        <f>F30*(1+0.01*growthrate!$E$3)^2</f>
        <v>49664682.951799989</v>
      </c>
      <c r="L30" s="4">
        <f>G30*(1+0.01*growthrate!$E$3)^2</f>
        <v>0</v>
      </c>
      <c r="M30" s="4">
        <f>H30*(1+0.01*growthrate!$E$3)^2</f>
        <v>0</v>
      </c>
      <c r="N30" s="12">
        <f>I30*(1+0.01*growthrate!$E$3)^5</f>
        <v>52585995.182621874</v>
      </c>
      <c r="O30" s="4">
        <f>J30*(1+0.01*growthrate!$E$3)^5</f>
        <v>-672438.38505349448</v>
      </c>
      <c r="P30" s="4">
        <f>K30*(1+0.01*growthrate!$E$3)^5</f>
        <v>53502968.501963116</v>
      </c>
      <c r="Q30" s="4">
        <f>L30*(1+0.01*growthrate!$E$3)^5</f>
        <v>0</v>
      </c>
      <c r="R30" s="4">
        <f>M30*(1+0.01*growthrate!$E$3)^5</f>
        <v>0</v>
      </c>
      <c r="S30" s="12">
        <f>N30*(1+0.01*growthrate!$F$3)^10</f>
        <v>56385158.142754614</v>
      </c>
      <c r="T30" s="4">
        <f>O30*(1+0.01*growthrate!$F$3)^10</f>
        <v>-721019.81812506961</v>
      </c>
      <c r="U30" s="4">
        <f>P30*(1+0.01*growthrate!$F$3)^10</f>
        <v>57368379.729494296</v>
      </c>
      <c r="V30" s="4">
        <f>Q30*(1+0.01*growthrate!$F$3)^10</f>
        <v>0</v>
      </c>
      <c r="W30" s="4">
        <f>R30*(1+0.01*growthrate!$F$3)^10</f>
        <v>0</v>
      </c>
    </row>
    <row r="31" spans="1:23" x14ac:dyDescent="0.2">
      <c r="A31" s="2" t="s">
        <v>69</v>
      </c>
      <c r="B31" s="8" t="s">
        <v>70</v>
      </c>
      <c r="C31" s="4" t="s">
        <v>779</v>
      </c>
      <c r="D31" s="5">
        <v>10700648</v>
      </c>
      <c r="E31" s="5">
        <v>-127489</v>
      </c>
      <c r="F31" s="5">
        <v>10573159</v>
      </c>
      <c r="G31" s="5">
        <v>197</v>
      </c>
      <c r="H31" s="14">
        <v>21315</v>
      </c>
      <c r="I31" s="12">
        <f>D31*(1+0.01*growthrate!E32)^2</f>
        <v>10700648</v>
      </c>
      <c r="J31" s="4">
        <f>E31*(1+0.01*growthrate!$E$3)^2</f>
        <v>-131342.35502499997</v>
      </c>
      <c r="K31" s="4">
        <f>F31*(1+0.01*growthrate!$E$3)^2</f>
        <v>10892732.730774997</v>
      </c>
      <c r="L31" s="4">
        <f>G31*(1+0.01*growthrate!$E$3)^2</f>
        <v>202.95432499999995</v>
      </c>
      <c r="M31" s="4">
        <f>H31*(1+0.01*growthrate!$E$3)^2</f>
        <v>21959.245874999993</v>
      </c>
      <c r="N31" s="12">
        <f>I31*(1+0.01*growthrate!$E$3)^5</f>
        <v>11527636.921597322</v>
      </c>
      <c r="O31" s="4">
        <f>J31*(1+0.01*growthrate!$E$3)^5</f>
        <v>-141493.01810093492</v>
      </c>
      <c r="P31" s="4">
        <f>K31*(1+0.01*growthrate!$E$3)^5</f>
        <v>11734566.729451662</v>
      </c>
      <c r="Q31" s="4">
        <f>L31*(1+0.01*growthrate!$E$3)^5</f>
        <v>218.63944784165051</v>
      </c>
      <c r="R31" s="4">
        <f>M31*(1+0.01*growthrate!$E$3)^5</f>
        <v>23656.344318501422</v>
      </c>
      <c r="S31" s="12">
        <f>N31*(1+0.01*growthrate!$F$3)^10</f>
        <v>12360470.284516433</v>
      </c>
      <c r="T31" s="4">
        <f>O31*(1+0.01*growthrate!$F$3)^10</f>
        <v>-151715.41727051666</v>
      </c>
      <c r="U31" s="4">
        <f>P31*(1+0.01*growthrate!$F$3)^10</f>
        <v>12582350.081595421</v>
      </c>
      <c r="V31" s="4">
        <f>Q31*(1+0.01*growthrate!$F$3)^10</f>
        <v>234.43541954436685</v>
      </c>
      <c r="W31" s="4">
        <f>R31*(1+0.01*growthrate!$F$3)^10</f>
        <v>25365.436383696338</v>
      </c>
    </row>
    <row r="32" spans="1:23" x14ac:dyDescent="0.2">
      <c r="A32" s="2" t="s">
        <v>71</v>
      </c>
      <c r="B32" s="8" t="s">
        <v>72</v>
      </c>
      <c r="C32" s="4" t="s">
        <v>779</v>
      </c>
      <c r="D32" s="5">
        <v>14991110</v>
      </c>
      <c r="E32" s="5">
        <v>-60339</v>
      </c>
      <c r="F32" s="5">
        <v>14930771</v>
      </c>
      <c r="G32" s="5">
        <v>500</v>
      </c>
      <c r="H32" s="14">
        <v>9404</v>
      </c>
      <c r="I32" s="12">
        <f>D32*(1+0.01*growthrate!E33)^2</f>
        <v>14991110</v>
      </c>
      <c r="J32" s="4">
        <f>E32*(1+0.01*growthrate!$E$3)^2</f>
        <v>-62162.746274999983</v>
      </c>
      <c r="K32" s="4">
        <f>F32*(1+0.01*growthrate!$E$3)^2</f>
        <v>15382053.553474996</v>
      </c>
      <c r="L32" s="4">
        <f>G32*(1+0.01*growthrate!$E$3)^2</f>
        <v>515.11249999999984</v>
      </c>
      <c r="M32" s="4">
        <f>H32*(1+0.01*growthrate!$E$3)^2</f>
        <v>9688.2358999999979</v>
      </c>
      <c r="N32" s="12">
        <f>I32*(1+0.01*growthrate!$E$3)^5</f>
        <v>16149683.003471082</v>
      </c>
      <c r="O32" s="4">
        <f>J32*(1+0.01*growthrate!$E$3)^5</f>
        <v>-66966.932199580449</v>
      </c>
      <c r="P32" s="4">
        <f>K32*(1+0.01*growthrate!$E$3)^5</f>
        <v>16570840.240051411</v>
      </c>
      <c r="Q32" s="4">
        <f>L32*(1+0.01*growthrate!$E$3)^5</f>
        <v>554.92245645088963</v>
      </c>
      <c r="R32" s="4">
        <f>M32*(1+0.01*growthrate!$E$3)^5</f>
        <v>10436.981560928332</v>
      </c>
      <c r="S32" s="12">
        <f>N32*(1+0.01*growthrate!$F$3)^10</f>
        <v>17316443.797321167</v>
      </c>
      <c r="T32" s="4">
        <f>O32*(1+0.01*growthrate!$F$3)^10</f>
        <v>-71805.069948667762</v>
      </c>
      <c r="U32" s="4">
        <f>P32*(1+0.01*growthrate!$F$3)^10</f>
        <v>17768028.241146527</v>
      </c>
      <c r="V32" s="4">
        <f>Q32*(1+0.01*growthrate!$F$3)^10</f>
        <v>595.01375518874841</v>
      </c>
      <c r="W32" s="4">
        <f>R32*(1+0.01*growthrate!$F$3)^10</f>
        <v>11191.018707589979</v>
      </c>
    </row>
    <row r="33" spans="1:23" x14ac:dyDescent="0.2">
      <c r="A33" s="2" t="s">
        <v>73</v>
      </c>
      <c r="B33" s="8" t="s">
        <v>74</v>
      </c>
      <c r="C33" s="4" t="s">
        <v>779</v>
      </c>
      <c r="D33" s="5">
        <v>15546</v>
      </c>
      <c r="E33" s="5">
        <v>-125</v>
      </c>
      <c r="F33" s="5">
        <v>15421</v>
      </c>
      <c r="G33" s="5">
        <v>23032</v>
      </c>
      <c r="H33" s="14">
        <v>1168968</v>
      </c>
      <c r="I33" s="12">
        <f>D33*(1+0.01*growthrate!E34)^2</f>
        <v>15546</v>
      </c>
      <c r="J33" s="4">
        <f>E33*(1+0.01*growthrate!$E$3)^2</f>
        <v>-128.77812499999996</v>
      </c>
      <c r="K33" s="4">
        <f>F33*(1+0.01*growthrate!$E$3)^2</f>
        <v>15887.099724999996</v>
      </c>
      <c r="L33" s="4">
        <f>G33*(1+0.01*growthrate!$E$3)^2</f>
        <v>23728.142199999995</v>
      </c>
      <c r="M33" s="4">
        <f>H33*(1+0.01*growthrate!$E$3)^2</f>
        <v>1204300.0577999996</v>
      </c>
      <c r="N33" s="12">
        <f>I33*(1+0.01*growthrate!$E$3)^5</f>
        <v>16747.457124386481</v>
      </c>
      <c r="O33" s="4">
        <f>J33*(1+0.01*growthrate!$E$3)^5</f>
        <v>-138.73061411272241</v>
      </c>
      <c r="P33" s="4">
        <f>K33*(1+0.01*growthrate!$E$3)^5</f>
        <v>17114.918401858336</v>
      </c>
      <c r="Q33" s="4">
        <f>L33*(1+0.01*growthrate!$E$3)^5</f>
        <v>25561.94803395378</v>
      </c>
      <c r="R33" s="4">
        <f>M33*(1+0.01*growthrate!$E$3)^5</f>
        <v>1297373.188144967</v>
      </c>
      <c r="S33" s="12">
        <f>N33*(1+0.01*growthrate!$F$3)^10</f>
        <v>17957.405106970386</v>
      </c>
      <c r="T33" s="4">
        <f>O33*(1+0.01*growthrate!$F$3)^10</f>
        <v>-148.7534387971871</v>
      </c>
      <c r="U33" s="4">
        <f>P33*(1+0.01*growthrate!$F$3)^10</f>
        <v>18351.414237531375</v>
      </c>
      <c r="V33" s="4">
        <f>Q33*(1+0.01*growthrate!$F$3)^10</f>
        <v>27408.713619014507</v>
      </c>
      <c r="W33" s="4">
        <f>R33*(1+0.01*growthrate!$F$3)^10</f>
        <v>1391104.0787509615</v>
      </c>
    </row>
    <row r="34" spans="1:23" x14ac:dyDescent="0.2">
      <c r="A34" s="2" t="s">
        <v>75</v>
      </c>
      <c r="B34" s="8" t="s">
        <v>76</v>
      </c>
      <c r="C34" s="4" t="s">
        <v>779</v>
      </c>
      <c r="D34" s="5">
        <v>83893</v>
      </c>
      <c r="E34" s="5">
        <v>-8804</v>
      </c>
      <c r="F34" s="5">
        <v>75089</v>
      </c>
      <c r="G34" s="5">
        <v>5708</v>
      </c>
      <c r="H34" s="14">
        <v>810099</v>
      </c>
      <c r="I34" s="12">
        <f>D34*(1+0.01*growthrate!E35)^2</f>
        <v>83893</v>
      </c>
      <c r="J34" s="4">
        <f>E34*(1+0.01*growthrate!$E$3)^2</f>
        <v>-9070.1008999999976</v>
      </c>
      <c r="K34" s="4">
        <f>F34*(1+0.01*growthrate!$E$3)^2</f>
        <v>77358.565024999974</v>
      </c>
      <c r="L34" s="4">
        <f>G34*(1+0.01*growthrate!$E$3)^2</f>
        <v>5880.5242999999982</v>
      </c>
      <c r="M34" s="4">
        <f>H34*(1+0.01*growthrate!$E$3)^2</f>
        <v>834584.24227499973</v>
      </c>
      <c r="N34" s="12">
        <f>I34*(1+0.01*growthrate!$E$3)^5</f>
        <v>90376.586937871805</v>
      </c>
      <c r="O34" s="4">
        <f>J34*(1+0.01*growthrate!$E$3)^5</f>
        <v>-9771.0746131872638</v>
      </c>
      <c r="P34" s="4">
        <f>K34*(1+0.01*growthrate!$E$3)^5</f>
        <v>83337.144664881693</v>
      </c>
      <c r="Q34" s="4">
        <f>L34*(1+0.01*growthrate!$E$3)^5</f>
        <v>6334.9947628433556</v>
      </c>
      <c r="R34" s="4">
        <f>M34*(1+0.01*growthrate!$E$3)^5</f>
        <v>899084.25409681839</v>
      </c>
      <c r="S34" s="12">
        <f>N34*(1+0.01*growthrate!$F$3)^10</f>
        <v>96905.994251837561</v>
      </c>
      <c r="T34" s="4">
        <f>O34*(1+0.01*growthrate!$F$3)^10</f>
        <v>-10477.002201363481</v>
      </c>
      <c r="U34" s="4">
        <f>P34*(1+0.01*growthrate!$F$3)^10</f>
        <v>89357.975726735836</v>
      </c>
      <c r="V34" s="4">
        <f>Q34*(1+0.01*growthrate!$F$3)^10</f>
        <v>6792.677029234751</v>
      </c>
      <c r="W34" s="4">
        <f>R34*(1+0.01*growthrate!$F$3)^10</f>
        <v>964040.09612929961</v>
      </c>
    </row>
    <row r="35" spans="1:23" x14ac:dyDescent="0.2">
      <c r="A35" s="2" t="s">
        <v>77</v>
      </c>
      <c r="B35" s="8" t="s">
        <v>78</v>
      </c>
      <c r="C35" s="4" t="s">
        <v>779</v>
      </c>
      <c r="D35" s="5">
        <v>1305971</v>
      </c>
      <c r="E35" s="5">
        <v>-59919</v>
      </c>
      <c r="F35" s="5">
        <v>1246052</v>
      </c>
      <c r="G35" s="5">
        <v>6756</v>
      </c>
      <c r="H35" s="14">
        <v>135866</v>
      </c>
      <c r="I35" s="12">
        <f>D35*(1+0.01*growthrate!E36)^2</f>
        <v>1305971</v>
      </c>
      <c r="J35" s="4">
        <f>E35*(1+0.01*growthrate!$E$3)^2</f>
        <v>-61730.051774999985</v>
      </c>
      <c r="K35" s="4">
        <f>F35*(1+0.01*growthrate!$E$3)^2</f>
        <v>1283713.9216999996</v>
      </c>
      <c r="L35" s="4">
        <f>G35*(1+0.01*growthrate!$E$3)^2</f>
        <v>6960.2000999999982</v>
      </c>
      <c r="M35" s="4">
        <f>H35*(1+0.01*growthrate!$E$3)^2</f>
        <v>139972.54984999995</v>
      </c>
      <c r="N35" s="12">
        <f>I35*(1+0.01*growthrate!$E$3)^5</f>
        <v>1406901.6678368801</v>
      </c>
      <c r="O35" s="4">
        <f>J35*(1+0.01*growthrate!$E$3)^5</f>
        <v>-66500.797336161704</v>
      </c>
      <c r="P35" s="4">
        <f>K35*(1+0.01*growthrate!$E$3)^5</f>
        <v>1382924.4734110876</v>
      </c>
      <c r="Q35" s="4">
        <f>L35*(1+0.01*growthrate!$E$3)^5</f>
        <v>7498.1122315644207</v>
      </c>
      <c r="R35" s="4">
        <f>M35*(1+0.01*growthrate!$E$3)^5</f>
        <v>150790.18893631312</v>
      </c>
      <c r="S35" s="12">
        <f>N35*(1+0.01*growthrate!$F$3)^10</f>
        <v>1508545.6262032178</v>
      </c>
      <c r="T35" s="4">
        <f>O35*(1+0.01*growthrate!$F$3)^10</f>
        <v>-71305.258394309218</v>
      </c>
      <c r="U35" s="4">
        <f>P35*(1+0.01*growthrate!$F$3)^10</f>
        <v>1482836.1593609003</v>
      </c>
      <c r="V35" s="4">
        <f>Q35*(1+0.01*growthrate!$F$3)^10</f>
        <v>8039.825860110368</v>
      </c>
      <c r="W35" s="4">
        <f>R35*(1+0.01*growthrate!$F$3)^10</f>
        <v>161684.27772494894</v>
      </c>
    </row>
    <row r="36" spans="1:23" x14ac:dyDescent="0.2">
      <c r="A36" s="2" t="s">
        <v>79</v>
      </c>
      <c r="B36" s="8" t="s">
        <v>80</v>
      </c>
      <c r="C36" s="4" t="s">
        <v>779</v>
      </c>
      <c r="D36" s="5">
        <v>5824223</v>
      </c>
      <c r="E36" s="5">
        <v>3651032</v>
      </c>
      <c r="F36" s="5">
        <v>9475255</v>
      </c>
      <c r="G36" s="5">
        <v>32187</v>
      </c>
      <c r="H36" s="14">
        <v>1642709</v>
      </c>
      <c r="I36" s="12">
        <f>D36*(1+0.01*growthrate!E37)^2</f>
        <v>5824223</v>
      </c>
      <c r="J36" s="4">
        <f>E36*(1+0.01*growthrate!$E$3)^2</f>
        <v>3761384.442199999</v>
      </c>
      <c r="K36" s="4">
        <f>F36*(1+0.01*growthrate!$E$3)^2</f>
        <v>9761644.5823749974</v>
      </c>
      <c r="L36" s="4">
        <f>G36*(1+0.01*growthrate!$E$3)^2</f>
        <v>33159.852074999988</v>
      </c>
      <c r="M36" s="4">
        <f>H36*(1+0.01*growthrate!$E$3)^2</f>
        <v>1692359.8795249995</v>
      </c>
      <c r="N36" s="12">
        <f>I36*(1+0.01*growthrate!$E$3)^5</f>
        <v>6274342.2729554623</v>
      </c>
      <c r="O36" s="4">
        <f>J36*(1+0.01*growthrate!$E$3)^5</f>
        <v>4052079.2920416086</v>
      </c>
      <c r="P36" s="4">
        <f>K36*(1+0.01*growthrate!$E$3)^5</f>
        <v>10516063.560197148</v>
      </c>
      <c r="Q36" s="4">
        <f>L36*(1+0.01*growthrate!$E$3)^5</f>
        <v>35722.578211569562</v>
      </c>
      <c r="R36" s="4">
        <f>M36*(1+0.01*growthrate!$E$3)^5</f>
        <v>1823152.2270279687</v>
      </c>
      <c r="S36" s="12">
        <f>N36*(1+0.01*growthrate!$F$3)^10</f>
        <v>6727642.5990180364</v>
      </c>
      <c r="T36" s="4">
        <f>O36*(1+0.01*growthrate!$F$3)^10</f>
        <v>4344828.5212685727</v>
      </c>
      <c r="U36" s="4">
        <f>P36*(1+0.01*growthrate!$F$3)^10</f>
        <v>11275814.117841927</v>
      </c>
      <c r="V36" s="4">
        <f>Q36*(1+0.01*growthrate!$F$3)^10</f>
        <v>38303.41547652048</v>
      </c>
      <c r="W36" s="4">
        <f>R36*(1+0.01*growthrate!$F$3)^10</f>
        <v>1954868.9015447071</v>
      </c>
    </row>
    <row r="37" spans="1:23" x14ac:dyDescent="0.2">
      <c r="A37" s="2" t="s">
        <v>81</v>
      </c>
      <c r="B37" s="8" t="s">
        <v>82</v>
      </c>
      <c r="C37" s="4" t="s">
        <v>779</v>
      </c>
      <c r="D37" s="5">
        <v>505783</v>
      </c>
      <c r="E37" s="5">
        <v>248261</v>
      </c>
      <c r="F37" s="5">
        <v>754044</v>
      </c>
      <c r="G37" s="5">
        <v>60268</v>
      </c>
      <c r="H37" s="14">
        <v>1008891</v>
      </c>
      <c r="I37" s="12">
        <f>D37*(1+0.01*growthrate!E38)^2</f>
        <v>505783</v>
      </c>
      <c r="J37" s="4">
        <f>E37*(1+0.01*growthrate!$E$3)^2</f>
        <v>255764.68872499993</v>
      </c>
      <c r="K37" s="4">
        <f>F37*(1+0.01*growthrate!$E$3)^2</f>
        <v>776834.9798999998</v>
      </c>
      <c r="L37" s="4">
        <f>G37*(1+0.01*growthrate!$E$3)^2</f>
        <v>62089.600299999984</v>
      </c>
      <c r="M37" s="4">
        <f>H37*(1+0.01*growthrate!$E$3)^2</f>
        <v>1039384.7304749998</v>
      </c>
      <c r="N37" s="12">
        <f>I37*(1+0.01*growthrate!$E$3)^5</f>
        <v>544871.93533665047</v>
      </c>
      <c r="O37" s="4">
        <f>J37*(1+0.01*growthrate!$E$3)^5</f>
        <v>275531.20792190859</v>
      </c>
      <c r="P37" s="4">
        <f>K37*(1+0.01*growthrate!$E$3)^5</f>
        <v>836871.89750410919</v>
      </c>
      <c r="Q37" s="4">
        <f>L37*(1+0.01*growthrate!$E$3)^5</f>
        <v>66888.133210764427</v>
      </c>
      <c r="R37" s="4">
        <f>M37*(1+0.01*growthrate!$E$3)^5</f>
        <v>1119712.544022389</v>
      </c>
      <c r="S37" s="12">
        <f>N37*(1+0.01*growthrate!$F$3)^10</f>
        <v>584237.11740761634</v>
      </c>
      <c r="T37" s="4">
        <f>O37*(1+0.01*growthrate!$F$3)^10</f>
        <v>295437.41975382768</v>
      </c>
      <c r="U37" s="4">
        <f>P37*(1+0.01*growthrate!$F$3)^10</f>
        <v>897333.10403508914</v>
      </c>
      <c r="V37" s="4">
        <f>Q37*(1+0.01*growthrate!$F$3)^10</f>
        <v>71720.577995430969</v>
      </c>
      <c r="W37" s="4">
        <f>R37*(1+0.01*growthrate!$F$3)^10</f>
        <v>1200608.044972263</v>
      </c>
    </row>
    <row r="38" spans="1:23" x14ac:dyDescent="0.2">
      <c r="A38" s="2" t="s">
        <v>83</v>
      </c>
      <c r="B38" s="8" t="s">
        <v>84</v>
      </c>
      <c r="C38" s="4" t="s">
        <v>779</v>
      </c>
      <c r="D38" s="5">
        <v>219112</v>
      </c>
      <c r="E38" s="5">
        <v>290076</v>
      </c>
      <c r="F38" s="5">
        <v>509188</v>
      </c>
      <c r="G38" s="5">
        <v>1229871</v>
      </c>
      <c r="H38" s="14">
        <v>1506926</v>
      </c>
      <c r="I38" s="12">
        <f>D38*(1+0.01*growthrate!E39)^2</f>
        <v>219112</v>
      </c>
      <c r="J38" s="4">
        <f>E38*(1+0.01*growthrate!$E$3)^2</f>
        <v>298843.54709999991</v>
      </c>
      <c r="K38" s="4">
        <f>F38*(1+0.01*growthrate!$E$3)^2</f>
        <v>524578.20729999989</v>
      </c>
      <c r="L38" s="4">
        <f>G38*(1+0.01*growthrate!$E$3)^2</f>
        <v>1267043.8509749996</v>
      </c>
      <c r="M38" s="4">
        <f>H38*(1+0.01*growthrate!$E$3)^2</f>
        <v>1552472.8383499996</v>
      </c>
      <c r="N38" s="12">
        <f>I38*(1+0.01*growthrate!$E$3)^5</f>
        <v>236045.85265911301</v>
      </c>
      <c r="O38" s="4">
        <f>J38*(1+0.01*growthrate!$E$3)^5</f>
        <v>321939.37295489648</v>
      </c>
      <c r="P38" s="4">
        <f>K38*(1+0.01*growthrate!$E$3)^5</f>
        <v>565119.71151063114</v>
      </c>
      <c r="Q38" s="4">
        <f>L38*(1+0.01*growthrate!$E$3)^5</f>
        <v>1364966.0728754241</v>
      </c>
      <c r="R38" s="4">
        <f>M38*(1+0.01*growthrate!$E$3)^5</f>
        <v>1672454.1552194266</v>
      </c>
      <c r="S38" s="12">
        <f>N38*(1+0.01*growthrate!$F$3)^10</f>
        <v>253099.37911993411</v>
      </c>
      <c r="T38" s="4">
        <f>O38*(1+0.01*growthrate!$F$3)^10</f>
        <v>345198.42010026268</v>
      </c>
      <c r="U38" s="4">
        <f>P38*(1+0.01*growthrate!$F$3)^10</f>
        <v>605947.72795409674</v>
      </c>
      <c r="V38" s="4">
        <f>Q38*(1+0.01*growthrate!$F$3)^10</f>
        <v>1463580.3242154822</v>
      </c>
      <c r="W38" s="4">
        <f>R38*(1+0.01*growthrate!$F$3)^10</f>
        <v>1793283.3961031197</v>
      </c>
    </row>
    <row r="39" spans="1:23" x14ac:dyDescent="0.2">
      <c r="A39" s="2" t="s">
        <v>85</v>
      </c>
      <c r="B39" s="8" t="s">
        <v>86</v>
      </c>
      <c r="C39" s="4" t="s">
        <v>779</v>
      </c>
      <c r="D39" s="5">
        <v>1421487</v>
      </c>
      <c r="E39" s="5">
        <v>1261869</v>
      </c>
      <c r="F39" s="5">
        <v>2683356</v>
      </c>
      <c r="G39" s="5">
        <v>981664</v>
      </c>
      <c r="H39" s="14">
        <v>1310983</v>
      </c>
      <c r="I39" s="12">
        <f>D39*(1+0.01*growthrate!E40)^2</f>
        <v>1421487</v>
      </c>
      <c r="J39" s="4">
        <f>E39*(1+0.01*growthrate!$E$3)^2</f>
        <v>1300008.9905249996</v>
      </c>
      <c r="K39" s="4">
        <f>F39*(1+0.01*growthrate!$E$3)^2</f>
        <v>2764460.4350999994</v>
      </c>
      <c r="L39" s="4">
        <f>G39*(1+0.01*growthrate!$E$3)^2</f>
        <v>1011334.7943999998</v>
      </c>
      <c r="M39" s="4">
        <f>H39*(1+0.01*growthrate!$E$3)^2</f>
        <v>1350607.4611749996</v>
      </c>
      <c r="N39" s="12">
        <f>I39*(1+0.01*growthrate!$E$3)^5</f>
        <v>1531345.2068295875</v>
      </c>
      <c r="O39" s="4">
        <f>J39*(1+0.01*growthrate!$E$3)^5</f>
        <v>1400478.8903984551</v>
      </c>
      <c r="P39" s="4">
        <f>K39*(1+0.01*growthrate!$E$3)^5</f>
        <v>2978109.006104467</v>
      </c>
      <c r="Q39" s="4">
        <f>L39*(1+0.01*growthrate!$E$3)^5</f>
        <v>1089494.7965788122</v>
      </c>
      <c r="R39" s="4">
        <f>M39*(1+0.01*growthrate!$E$3)^5</f>
        <v>1454987.8134507132</v>
      </c>
      <c r="S39" s="12">
        <f>N39*(1+0.01*growthrate!$F$3)^10</f>
        <v>1641979.7963007856</v>
      </c>
      <c r="T39" s="4">
        <f>O39*(1+0.01*growthrate!$F$3)^10</f>
        <v>1501658.8244925411</v>
      </c>
      <c r="U39" s="4">
        <f>P39*(1+0.01*growthrate!$F$3)^10</f>
        <v>3193267.4601365183</v>
      </c>
      <c r="V39" s="4">
        <f>Q39*(1+0.01*growthrate!$F$3)^10</f>
        <v>1168207.1659472149</v>
      </c>
      <c r="W39" s="4">
        <f>R39*(1+0.01*growthrate!$F$3)^10</f>
        <v>1560105.8356372218</v>
      </c>
    </row>
    <row r="40" spans="1:23" x14ac:dyDescent="0.2">
      <c r="A40" s="2" t="s">
        <v>87</v>
      </c>
      <c r="B40" s="8" t="s">
        <v>88</v>
      </c>
      <c r="C40" s="4" t="s">
        <v>779</v>
      </c>
      <c r="D40" s="5">
        <v>1250724</v>
      </c>
      <c r="E40" s="5">
        <v>609554</v>
      </c>
      <c r="F40" s="5">
        <v>1860278</v>
      </c>
      <c r="G40" s="5">
        <v>786642</v>
      </c>
      <c r="H40" s="14">
        <v>1736726</v>
      </c>
      <c r="I40" s="12">
        <f>D40*(1+0.01*growthrate!E41)^2</f>
        <v>1250724</v>
      </c>
      <c r="J40" s="4">
        <f>E40*(1+0.01*growthrate!$E$3)^2</f>
        <v>627977.7696499998</v>
      </c>
      <c r="K40" s="4">
        <f>F40*(1+0.01*growthrate!$E$3)^2</f>
        <v>1916504.9025499995</v>
      </c>
      <c r="L40" s="4">
        <f>G40*(1+0.01*growthrate!$E$3)^2</f>
        <v>810418.25444999977</v>
      </c>
      <c r="M40" s="4">
        <f>H40*(1+0.01*growthrate!$E$3)^2</f>
        <v>1789218.5433499995</v>
      </c>
      <c r="N40" s="12">
        <f>I40*(1+0.01*growthrate!$E$3)^5</f>
        <v>1347384.9584742801</v>
      </c>
      <c r="O40" s="4">
        <f>J40*(1+0.01*growthrate!$E$3)^5</f>
        <v>676510.40603893111</v>
      </c>
      <c r="P40" s="4">
        <f>K40*(1+0.01*growthrate!$E$3)^5</f>
        <v>2064620.0748830962</v>
      </c>
      <c r="Q40" s="4">
        <f>L40*(1+0.01*growthrate!$E$3)^5</f>
        <v>873050.62197488139</v>
      </c>
      <c r="R40" s="4">
        <f>M40*(1+0.01*growthrate!$E$3)^5</f>
        <v>1927496.5162042554</v>
      </c>
      <c r="S40" s="12">
        <f>N40*(1+0.01*growthrate!$F$3)^10</f>
        <v>1444729.0328708626</v>
      </c>
      <c r="T40" s="4">
        <f>O40*(1+0.01*growthrate!$F$3)^10</f>
        <v>725386.02906064456</v>
      </c>
      <c r="U40" s="4">
        <f>P40*(1+0.01*growthrate!$F$3)^10</f>
        <v>2213781.9969500289</v>
      </c>
      <c r="V40" s="4">
        <f>Q40*(1+0.01*growthrate!$F$3)^10</f>
        <v>936125.62081837479</v>
      </c>
      <c r="W40" s="4">
        <f>R40*(1+0.01*growthrate!$F$3)^10</f>
        <v>2066751.7179878682</v>
      </c>
    </row>
    <row r="41" spans="1:23" x14ac:dyDescent="0.2">
      <c r="A41" s="2" t="s">
        <v>89</v>
      </c>
      <c r="B41" s="8" t="s">
        <v>90</v>
      </c>
      <c r="C41" s="4" t="s">
        <v>779</v>
      </c>
      <c r="D41" s="5">
        <v>1940572</v>
      </c>
      <c r="E41" s="5">
        <v>3215289</v>
      </c>
      <c r="F41" s="5">
        <v>5155861</v>
      </c>
      <c r="G41" s="5">
        <v>467825</v>
      </c>
      <c r="H41" s="14">
        <v>527019</v>
      </c>
      <c r="I41" s="12">
        <f>D41*(1+0.01*growthrate!E42)^2</f>
        <v>1940572</v>
      </c>
      <c r="J41" s="4">
        <f>E41*(1+0.01*growthrate!$E$3)^2</f>
        <v>3312471.1100249989</v>
      </c>
      <c r="K41" s="4">
        <f>F41*(1+0.01*growthrate!$E$3)^2</f>
        <v>5311696.8987249983</v>
      </c>
      <c r="L41" s="4">
        <f>G41*(1+0.01*growthrate!$E$3)^2</f>
        <v>481965.01062499988</v>
      </c>
      <c r="M41" s="4">
        <f>H41*(1+0.01*growthrate!$E$3)^2</f>
        <v>542948.14927499986</v>
      </c>
      <c r="N41" s="12">
        <f>I41*(1+0.01*growthrate!$E$3)^5</f>
        <v>2090547.173985908</v>
      </c>
      <c r="O41" s="4">
        <f>J41*(1+0.01*growthrate!$E$3)^5</f>
        <v>3568472.1401590486</v>
      </c>
      <c r="P41" s="4">
        <f>K41*(1+0.01*growthrate!$E$3)^5</f>
        <v>5722206.1024786802</v>
      </c>
      <c r="Q41" s="4">
        <f>L41*(1+0.01*growthrate!$E$3)^5</f>
        <v>519213.19637827488</v>
      </c>
      <c r="R41" s="4">
        <f>M41*(1+0.01*growthrate!$E$3)^5</f>
        <v>584909.3561525828</v>
      </c>
      <c r="S41" s="12">
        <f>N41*(1+0.01*growthrate!$F$3)^10</f>
        <v>2241582.2425861149</v>
      </c>
      <c r="T41" s="4">
        <f>O41*(1+0.01*growthrate!$F$3)^10</f>
        <v>3826282.3638141509</v>
      </c>
      <c r="U41" s="4">
        <f>P41*(1+0.01*growthrate!$F$3)^10</f>
        <v>6135616.4296824308</v>
      </c>
      <c r="V41" s="4">
        <f>Q41*(1+0.01*growthrate!$F$3)^10</f>
        <v>556724.62004235236</v>
      </c>
      <c r="W41" s="4">
        <f>R41*(1+0.01*growthrate!$F$3)^10</f>
        <v>627167.10849163798</v>
      </c>
    </row>
    <row r="42" spans="1:23" x14ac:dyDescent="0.2">
      <c r="A42" s="2" t="s">
        <v>91</v>
      </c>
      <c r="B42" s="8" t="s">
        <v>92</v>
      </c>
      <c r="C42" s="4" t="s">
        <v>779</v>
      </c>
      <c r="D42" s="5">
        <v>285030</v>
      </c>
      <c r="E42" s="5">
        <v>117032</v>
      </c>
      <c r="F42" s="5">
        <v>402062</v>
      </c>
      <c r="G42" s="5">
        <v>48014</v>
      </c>
      <c r="H42" s="14">
        <v>680079</v>
      </c>
      <c r="I42" s="12">
        <f>D42*(1+0.01*growthrate!E43)^2</f>
        <v>285030</v>
      </c>
      <c r="J42" s="4">
        <f>E42*(1+0.01*growthrate!$E$3)^2</f>
        <v>120569.29219999997</v>
      </c>
      <c r="K42" s="4">
        <f>F42*(1+0.01*growthrate!$E$3)^2</f>
        <v>414214.32394999987</v>
      </c>
      <c r="L42" s="4">
        <f>G42*(1+0.01*growthrate!$E$3)^2</f>
        <v>49465.223149999983</v>
      </c>
      <c r="M42" s="4">
        <f>H42*(1+0.01*growthrate!$E$3)^2</f>
        <v>700634.38777499984</v>
      </c>
      <c r="N42" s="12">
        <f>I42*(1+0.01*growthrate!$E$3)^5</f>
        <v>307058.25962716318</v>
      </c>
      <c r="O42" s="4">
        <f>J42*(1+0.01*growthrate!$E$3)^5</f>
        <v>129887.36984672102</v>
      </c>
      <c r="P42" s="4">
        <f>K42*(1+0.01*growthrate!$E$3)^5</f>
        <v>446226.46537111513</v>
      </c>
      <c r="Q42" s="4">
        <f>L42*(1+0.01*growthrate!$E$3)^5</f>
        <v>53288.093648066024</v>
      </c>
      <c r="R42" s="4">
        <f>M42*(1+0.01*growthrate!$E$3)^5</f>
        <v>754782.21852132911</v>
      </c>
      <c r="S42" s="12">
        <f>N42*(1+0.01*growthrate!$F$3)^10</f>
        <v>329242.19591147365</v>
      </c>
      <c r="T42" s="4">
        <f>O42*(1+0.01*growthrate!$F$3)^10</f>
        <v>139271.2995944992</v>
      </c>
      <c r="U42" s="4">
        <f>P42*(1+0.01*growthrate!$F$3)^10</f>
        <v>478464.84087739704</v>
      </c>
      <c r="V42" s="4">
        <f>Q42*(1+0.01*growthrate!$F$3)^10</f>
        <v>57137.980883265125</v>
      </c>
      <c r="W42" s="4">
        <f>R42*(1+0.01*growthrate!$F$3)^10</f>
        <v>809312.71923001762</v>
      </c>
    </row>
    <row r="43" spans="1:23" x14ac:dyDescent="0.2">
      <c r="A43" s="2" t="s">
        <v>93</v>
      </c>
      <c r="B43" s="8" t="s">
        <v>94</v>
      </c>
      <c r="C43" s="4" t="s">
        <v>779</v>
      </c>
      <c r="D43" s="5">
        <v>532971</v>
      </c>
      <c r="E43" s="5">
        <v>32133</v>
      </c>
      <c r="F43" s="5">
        <v>565104</v>
      </c>
      <c r="G43" s="5">
        <v>1466433</v>
      </c>
      <c r="H43" s="14">
        <v>645964</v>
      </c>
      <c r="I43" s="12">
        <f>D43*(1+0.01*growthrate!E44)^2</f>
        <v>532971</v>
      </c>
      <c r="J43" s="4">
        <f>E43*(1+0.01*growthrate!$E$3)^2</f>
        <v>33104.21992499999</v>
      </c>
      <c r="K43" s="4">
        <f>F43*(1+0.01*growthrate!$E$3)^2</f>
        <v>582184.26839999983</v>
      </c>
      <c r="L43" s="4">
        <f>G43*(1+0.01*growthrate!$E$3)^2</f>
        <v>1510755.9374249997</v>
      </c>
      <c r="M43" s="4">
        <f>H43*(1+0.01*growthrate!$E$3)^2</f>
        <v>665488.26189999981</v>
      </c>
      <c r="N43" s="12">
        <f>I43*(1+0.01*growthrate!$E$3)^5</f>
        <v>574161.13283425884</v>
      </c>
      <c r="O43" s="4">
        <f>J43*(1+0.01*growthrate!$E$3)^5</f>
        <v>35662.646586272873</v>
      </c>
      <c r="P43" s="4">
        <f>K43*(1+0.01*growthrate!$E$3)^5</f>
        <v>627177.79966044705</v>
      </c>
      <c r="Q43" s="4">
        <f>L43*(1+0.01*growthrate!$E$3)^5</f>
        <v>1627513.2051612949</v>
      </c>
      <c r="R43" s="4">
        <f>M43*(1+0.01*growthrate!$E$3)^5</f>
        <v>716919.8593176849</v>
      </c>
      <c r="S43" s="12">
        <f>N43*(1+0.01*growthrate!$F$3)^10</f>
        <v>615642.3618465917</v>
      </c>
      <c r="T43" s="4">
        <f>O43*(1+0.01*growthrate!$F$3)^10</f>
        <v>38239.153990960105</v>
      </c>
      <c r="U43" s="4">
        <f>P43*(1+0.01*growthrate!$F$3)^10</f>
        <v>672489.3062243649</v>
      </c>
      <c r="V43" s="4">
        <f>Q43*(1+0.01*growthrate!$F$3)^10</f>
        <v>1745095.6121254037</v>
      </c>
      <c r="W43" s="4">
        <f>R43*(1+0.01*growthrate!$F$3)^10</f>
        <v>768714.9307134893</v>
      </c>
    </row>
    <row r="44" spans="1:23" x14ac:dyDescent="0.2">
      <c r="A44" s="2" t="s">
        <v>95</v>
      </c>
      <c r="B44" s="8" t="s">
        <v>96</v>
      </c>
      <c r="C44" s="4" t="s">
        <v>779</v>
      </c>
      <c r="D44" s="5">
        <v>1305199</v>
      </c>
      <c r="E44" s="5">
        <v>38750</v>
      </c>
      <c r="F44" s="5">
        <v>1343949</v>
      </c>
      <c r="G44" s="5">
        <v>0</v>
      </c>
      <c r="H44" s="14">
        <v>0</v>
      </c>
      <c r="I44" s="12">
        <f>D44*(1+0.01*growthrate!E45)^2</f>
        <v>1305199</v>
      </c>
      <c r="J44" s="4">
        <f>E44*(1+0.01*growthrate!$E$3)^2</f>
        <v>39921.218749999993</v>
      </c>
      <c r="K44" s="4">
        <f>F44*(1+0.01*growthrate!$E$3)^2</f>
        <v>1384569.8585249996</v>
      </c>
      <c r="L44" s="4">
        <f>G44*(1+0.01*growthrate!$E$3)^2</f>
        <v>0</v>
      </c>
      <c r="M44" s="4">
        <f>H44*(1+0.01*growthrate!$E$3)^2</f>
        <v>0</v>
      </c>
      <c r="N44" s="12">
        <f>I44*(1+0.01*growthrate!$E$3)^5</f>
        <v>1406070.0045858815</v>
      </c>
      <c r="O44" s="4">
        <f>J44*(1+0.01*growthrate!$E$3)^5</f>
        <v>43006.490374943947</v>
      </c>
      <c r="P44" s="4">
        <f>K44*(1+0.01*growthrate!$E$3)^5</f>
        <v>1491574.9608494332</v>
      </c>
      <c r="Q44" s="4">
        <f>L44*(1+0.01*growthrate!$E$3)^5</f>
        <v>0</v>
      </c>
      <c r="R44" s="4">
        <f>M44*(1+0.01*growthrate!$E$3)^5</f>
        <v>0</v>
      </c>
      <c r="S44" s="12">
        <f>N44*(1+0.01*growthrate!$F$3)^10</f>
        <v>1507653.8780530454</v>
      </c>
      <c r="T44" s="4">
        <f>O44*(1+0.01*growthrate!$F$3)^10</f>
        <v>46113.566027127999</v>
      </c>
      <c r="U44" s="4">
        <f>P44*(1+0.01*growthrate!$F$3)^10</f>
        <v>1599336.2825443263</v>
      </c>
      <c r="V44" s="4">
        <f>Q44*(1+0.01*growthrate!$F$3)^10</f>
        <v>0</v>
      </c>
      <c r="W44" s="4">
        <f>R44*(1+0.01*growthrate!$F$3)^10</f>
        <v>0</v>
      </c>
    </row>
    <row r="45" spans="1:23" x14ac:dyDescent="0.2">
      <c r="A45" s="2" t="s">
        <v>97</v>
      </c>
      <c r="B45" s="8" t="s">
        <v>98</v>
      </c>
      <c r="C45" s="4" t="s">
        <v>779</v>
      </c>
      <c r="D45" s="5">
        <v>210334</v>
      </c>
      <c r="E45" s="5">
        <v>26378</v>
      </c>
      <c r="F45" s="5">
        <v>236712</v>
      </c>
      <c r="G45" s="5">
        <v>941507</v>
      </c>
      <c r="H45" s="14">
        <v>422136</v>
      </c>
      <c r="I45" s="12">
        <f>D45*(1+0.01*growthrate!E46)^2</f>
        <v>210334</v>
      </c>
      <c r="J45" s="4">
        <f>E45*(1+0.01*growthrate!$E$3)^2</f>
        <v>27175.275049999993</v>
      </c>
      <c r="K45" s="4">
        <f>F45*(1+0.01*growthrate!$E$3)^2</f>
        <v>243866.62019999995</v>
      </c>
      <c r="L45" s="4">
        <f>G45*(1+0.01*growthrate!$E$3)^2</f>
        <v>969964.04907499976</v>
      </c>
      <c r="M45" s="4">
        <f>H45*(1+0.01*growthrate!$E$3)^2</f>
        <v>434895.06059999991</v>
      </c>
      <c r="N45" s="12">
        <f>I45*(1+0.01*growthrate!$E$3)^5</f>
        <v>226589.45367301599</v>
      </c>
      <c r="O45" s="4">
        <f>J45*(1+0.01*growthrate!$E$3)^5</f>
        <v>29275.489112523133</v>
      </c>
      <c r="P45" s="4">
        <f>K45*(1+0.01*growthrate!$E$3)^5</f>
        <v>262713.60902280599</v>
      </c>
      <c r="Q45" s="4">
        <f>L45*(1+0.01*growthrate!$E$3)^5</f>
        <v>1044926.7544114154</v>
      </c>
      <c r="R45" s="4">
        <f>M45*(1+0.01*growthrate!$E$3)^5</f>
        <v>468505.4921527055</v>
      </c>
      <c r="S45" s="12">
        <f>N45*(1+0.01*growthrate!$F$3)^10</f>
        <v>242959.78681136691</v>
      </c>
      <c r="T45" s="4">
        <f>O45*(1+0.01*growthrate!$F$3)^10</f>
        <v>31390.54566873761</v>
      </c>
      <c r="U45" s="4">
        <f>P45*(1+0.01*growthrate!$F$3)^10</f>
        <v>281693.792036478</v>
      </c>
      <c r="V45" s="4">
        <f>Q45*(1+0.01*growthrate!$F$3)^10</f>
        <v>1120419.2312129857</v>
      </c>
      <c r="W45" s="4">
        <f>R45*(1+0.01*growthrate!$F$3)^10</f>
        <v>502353.45312071498</v>
      </c>
    </row>
    <row r="46" spans="1:23" x14ac:dyDescent="0.2">
      <c r="A46" s="2" t="s">
        <v>99</v>
      </c>
      <c r="B46" s="8" t="s">
        <v>100</v>
      </c>
      <c r="C46" s="4" t="s">
        <v>779</v>
      </c>
      <c r="D46" s="5">
        <v>662347</v>
      </c>
      <c r="E46" s="5">
        <v>63397</v>
      </c>
      <c r="F46" s="5">
        <v>725744</v>
      </c>
      <c r="G46" s="5">
        <v>675132</v>
      </c>
      <c r="H46" s="14">
        <v>372271</v>
      </c>
      <c r="I46" s="12">
        <f>D46*(1+0.01*growthrate!E47)^2</f>
        <v>662347</v>
      </c>
      <c r="J46" s="4">
        <f>E46*(1+0.01*growthrate!$E$3)^2</f>
        <v>65313.174324999985</v>
      </c>
      <c r="K46" s="4">
        <f>F46*(1+0.01*growthrate!$E$3)^2</f>
        <v>747679.61239999975</v>
      </c>
      <c r="L46" s="4">
        <f>G46*(1+0.01*growthrate!$E$3)^2</f>
        <v>695537.8646999998</v>
      </c>
      <c r="M46" s="4">
        <f>H46*(1+0.01*growthrate!$E$3)^2</f>
        <v>383522.89097499987</v>
      </c>
      <c r="N46" s="12">
        <f>I46*(1+0.01*growthrate!$E$3)^5</f>
        <v>713535.82812080369</v>
      </c>
      <c r="O46" s="4">
        <f>J46*(1+0.01*growthrate!$E$3)^5</f>
        <v>70360.837943234103</v>
      </c>
      <c r="P46" s="4">
        <f>K46*(1+0.01*growthrate!$E$3)^5</f>
        <v>805463.28646898875</v>
      </c>
      <c r="Q46" s="4">
        <f>L46*(1+0.01*growthrate!$E$3)^5</f>
        <v>749291.81573720393</v>
      </c>
      <c r="R46" s="4">
        <f>M46*(1+0.01*growthrate!$E$3)^5</f>
        <v>413163.0755708582</v>
      </c>
      <c r="S46" s="12">
        <f>N46*(1+0.01*growthrate!$F$3)^10</f>
        <v>765086.41453663423</v>
      </c>
      <c r="T46" s="4">
        <f>O46*(1+0.01*growthrate!$F$3)^10</f>
        <v>75444.174075402159</v>
      </c>
      <c r="U46" s="4">
        <f>P46*(1+0.01*growthrate!$F$3)^10</f>
        <v>863655.32549140579</v>
      </c>
      <c r="V46" s="4">
        <f>Q46*(1+0.01*growthrate!$F$3)^10</f>
        <v>803425.65313618002</v>
      </c>
      <c r="W46" s="4">
        <f>R46*(1+0.01*growthrate!$F$3)^10</f>
        <v>443012.73131574102</v>
      </c>
    </row>
    <row r="47" spans="1:23" x14ac:dyDescent="0.2">
      <c r="A47" s="2" t="s">
        <v>101</v>
      </c>
      <c r="B47" s="8" t="s">
        <v>102</v>
      </c>
      <c r="C47" s="4" t="s">
        <v>779</v>
      </c>
      <c r="D47" s="5">
        <v>299240</v>
      </c>
      <c r="E47" s="5">
        <v>1518705</v>
      </c>
      <c r="F47" s="5">
        <v>1817945</v>
      </c>
      <c r="G47" s="5">
        <v>1400777</v>
      </c>
      <c r="H47" s="14">
        <v>3105726</v>
      </c>
      <c r="I47" s="12">
        <f>D47*(1+0.01*growthrate!E48)^2</f>
        <v>299240</v>
      </c>
      <c r="J47" s="4">
        <f>E47*(1+0.01*growthrate!$E$3)^2</f>
        <v>1564607.8586249996</v>
      </c>
      <c r="K47" s="4">
        <f>F47*(1+0.01*growthrate!$E$3)^2</f>
        <v>1872892.3876249995</v>
      </c>
      <c r="L47" s="4">
        <f>G47*(1+0.01*growthrate!$E$3)^2</f>
        <v>1443115.4848249997</v>
      </c>
      <c r="M47" s="4">
        <f>H47*(1+0.01*growthrate!$E$3)^2</f>
        <v>3199596.5683499994</v>
      </c>
      <c r="N47" s="12">
        <f>I47*(1+0.01*growthrate!$E$3)^5</f>
        <v>322366.46532236016</v>
      </c>
      <c r="O47" s="4">
        <f>J47*(1+0.01*growthrate!$E$3)^5</f>
        <v>1685527.0184484967</v>
      </c>
      <c r="P47" s="4">
        <f>K47*(1+0.01*growthrate!$E$3)^5</f>
        <v>2017637.0101852249</v>
      </c>
      <c r="Q47" s="4">
        <f>L47*(1+0.01*growthrate!$E$3)^5</f>
        <v>1554645.2275598156</v>
      </c>
      <c r="R47" s="4">
        <f>M47*(1+0.01*growthrate!$E$3)^5</f>
        <v>3446874.2019667914</v>
      </c>
      <c r="S47" s="12">
        <f>N47*(1+0.01*growthrate!$F$3)^10</f>
        <v>345656.36846840469</v>
      </c>
      <c r="T47" s="4">
        <f>O47*(1+0.01*growthrate!$F$3)^10</f>
        <v>1807300.7301478563</v>
      </c>
      <c r="U47" s="4">
        <f>P47*(1+0.01*growthrate!$F$3)^10</f>
        <v>2163404.562353218</v>
      </c>
      <c r="V47" s="4">
        <f>Q47*(1+0.01*growthrate!$F$3)^10</f>
        <v>1666963.1659040588</v>
      </c>
      <c r="W47" s="4">
        <f>R47*(1+0.01*growthrate!$F$3)^10</f>
        <v>3695899.3796946616</v>
      </c>
    </row>
    <row r="48" spans="1:23" x14ac:dyDescent="0.2">
      <c r="A48" s="2" t="s">
        <v>103</v>
      </c>
      <c r="B48" s="8" t="s">
        <v>104</v>
      </c>
      <c r="C48" s="4" t="s">
        <v>779</v>
      </c>
      <c r="D48" s="5">
        <v>145470</v>
      </c>
      <c r="E48" s="5">
        <v>238970</v>
      </c>
      <c r="F48" s="5">
        <v>384440</v>
      </c>
      <c r="G48" s="5">
        <v>583189</v>
      </c>
      <c r="H48" s="14">
        <v>703016</v>
      </c>
      <c r="I48" s="12">
        <f>D48*(1+0.01*growthrate!E49)^2</f>
        <v>145470</v>
      </c>
      <c r="J48" s="4">
        <f>E48*(1+0.01*growthrate!$E$3)^2</f>
        <v>246192.86824999994</v>
      </c>
      <c r="K48" s="4">
        <f>F48*(1+0.01*growthrate!$E$3)^2</f>
        <v>396059.69899999991</v>
      </c>
      <c r="L48" s="4">
        <f>G48*(1+0.01*growthrate!$E$3)^2</f>
        <v>600815.88752499979</v>
      </c>
      <c r="M48" s="4">
        <f>H48*(1+0.01*growthrate!$E$3)^2</f>
        <v>724264.65859999985</v>
      </c>
      <c r="N48" s="12">
        <f>I48*(1+0.01*growthrate!$E$3)^5</f>
        <v>156712.50404505993</v>
      </c>
      <c r="O48" s="4">
        <f>J48*(1+0.01*growthrate!$E$3)^5</f>
        <v>265219.63883613818</v>
      </c>
      <c r="P48" s="4">
        <f>K48*(1+0.01*growthrate!$E$3)^5</f>
        <v>426668.77831596002</v>
      </c>
      <c r="Q48" s="4">
        <f>L48*(1+0.01*growthrate!$E$3)^5</f>
        <v>647249.34491027566</v>
      </c>
      <c r="R48" s="4">
        <f>M48*(1+0.01*growthrate!$E$3)^5</f>
        <v>780238.73128855729</v>
      </c>
      <c r="S48" s="12">
        <f>N48*(1+0.01*growthrate!$F$3)^10</f>
        <v>168034.46036993325</v>
      </c>
      <c r="T48" s="4">
        <f>O48*(1+0.01*growthrate!$F$3)^10</f>
        <v>284380.87415491039</v>
      </c>
      <c r="U48" s="4">
        <f>P48*(1+0.01*growthrate!$F$3)^10</f>
        <v>457494.17608952487</v>
      </c>
      <c r="V48" s="4">
        <f>Q48*(1+0.01*growthrate!$F$3)^10</f>
        <v>694010.95374954189</v>
      </c>
      <c r="W48" s="4">
        <f>R48*(1+0.01*growthrate!$F$3)^10</f>
        <v>836608.38023554627</v>
      </c>
    </row>
    <row r="49" spans="1:23" x14ac:dyDescent="0.2">
      <c r="A49" s="2" t="s">
        <v>105</v>
      </c>
      <c r="B49" s="8" t="s">
        <v>106</v>
      </c>
      <c r="C49" s="4" t="s">
        <v>779</v>
      </c>
      <c r="D49" s="5">
        <v>593625</v>
      </c>
      <c r="E49" s="5">
        <v>313772</v>
      </c>
      <c r="F49" s="5">
        <v>907397</v>
      </c>
      <c r="G49" s="5">
        <v>1585653</v>
      </c>
      <c r="H49" s="14">
        <v>2308075</v>
      </c>
      <c r="I49" s="12">
        <f>D49*(1+0.01*growthrate!E50)^2</f>
        <v>593625</v>
      </c>
      <c r="J49" s="4">
        <f>E49*(1+0.01*growthrate!$E$3)^2</f>
        <v>323255.75869999989</v>
      </c>
      <c r="K49" s="4">
        <f>F49*(1+0.01*growthrate!$E$3)^2</f>
        <v>934823.0743249997</v>
      </c>
      <c r="L49" s="4">
        <f>G49*(1+0.01*growthrate!$E$3)^2</f>
        <v>1633579.3619249996</v>
      </c>
      <c r="M49" s="4">
        <f>H49*(1+0.01*growthrate!$E$3)^2</f>
        <v>2377836.5668749996</v>
      </c>
      <c r="N49" s="12">
        <f>I49*(1+0.01*growthrate!$E$3)^5</f>
        <v>639502.71680586168</v>
      </c>
      <c r="O49" s="4">
        <f>J49*(1+0.01*growthrate!$E$3)^5</f>
        <v>348238.25801101705</v>
      </c>
      <c r="P49" s="4">
        <f>K49*(1+0.01*growthrate!$E$3)^5</f>
        <v>1007069.9444323357</v>
      </c>
      <c r="Q49" s="4">
        <f>L49*(1+0.01*growthrate!$E$3)^5</f>
        <v>1759828.915677445</v>
      </c>
      <c r="R49" s="4">
        <f>M49*(1+0.01*growthrate!$E$3)^5</f>
        <v>2561605.2973457742</v>
      </c>
      <c r="S49" s="12">
        <f>N49*(1+0.01*growthrate!$F$3)^10</f>
        <v>685704.65757270658</v>
      </c>
      <c r="T49" s="4">
        <f>O49*(1+0.01*growthrate!$F$3)^10</f>
        <v>373397.31198616786</v>
      </c>
      <c r="U49" s="4">
        <f>P49*(1+0.01*growthrate!$F$3)^10</f>
        <v>1079827.3928340094</v>
      </c>
      <c r="V49" s="4">
        <f>Q49*(1+0.01*growthrate!$F$3)^10</f>
        <v>1886970.6919126089</v>
      </c>
      <c r="W49" s="4">
        <f>R49*(1+0.01*growthrate!$F$3)^10</f>
        <v>2746672.746014541</v>
      </c>
    </row>
    <row r="50" spans="1:23" x14ac:dyDescent="0.2">
      <c r="A50" s="2" t="s">
        <v>107</v>
      </c>
      <c r="B50" s="8" t="s">
        <v>108</v>
      </c>
      <c r="C50" s="4" t="s">
        <v>779</v>
      </c>
      <c r="D50" s="5">
        <v>4070359</v>
      </c>
      <c r="E50" s="5">
        <v>468094</v>
      </c>
      <c r="F50" s="5">
        <v>4538453</v>
      </c>
      <c r="G50" s="5">
        <v>2533568</v>
      </c>
      <c r="H50" s="14">
        <v>465355</v>
      </c>
      <c r="I50" s="12">
        <f>D50*(1+0.01*growthrate!E51)^2</f>
        <v>4070359</v>
      </c>
      <c r="J50" s="4">
        <f>E50*(1+0.01*growthrate!$E$3)^2</f>
        <v>482242.14114999986</v>
      </c>
      <c r="K50" s="4">
        <f>F50*(1+0.01*growthrate!$E$3)^2</f>
        <v>4675627.7419249984</v>
      </c>
      <c r="L50" s="4">
        <f>G50*(1+0.01*growthrate!$E$3)^2</f>
        <v>2610145.0927999993</v>
      </c>
      <c r="M50" s="4">
        <f>H50*(1+0.01*growthrate!$E$3)^2</f>
        <v>479420.35487499984</v>
      </c>
      <c r="N50" s="12">
        <f>I50*(1+0.01*growthrate!$E$3)^5</f>
        <v>4384932.6407667976</v>
      </c>
      <c r="O50" s="4">
        <f>J50*(1+0.01*growthrate!$E$3)^5</f>
        <v>519511.74465984543</v>
      </c>
      <c r="P50" s="4">
        <f>K50*(1+0.01*growthrate!$E$3)^5</f>
        <v>5036978.9744938184</v>
      </c>
      <c r="Q50" s="4">
        <f>L50*(1+0.01*growthrate!$E$3)^5</f>
        <v>2811867.556290735</v>
      </c>
      <c r="R50" s="4">
        <f>M50*(1+0.01*growthrate!$E$3)^5</f>
        <v>516471.87944340741</v>
      </c>
      <c r="S50" s="12">
        <f>N50*(1+0.01*growthrate!$F$3)^10</f>
        <v>4701729.4155282956</v>
      </c>
      <c r="T50" s="4">
        <f>O50*(1+0.01*growthrate!$F$3)^10</f>
        <v>557044.73744264396</v>
      </c>
      <c r="U50" s="4">
        <f>P50*(1+0.01*growthrate!$F$3)^10</f>
        <v>5400883.9245552812</v>
      </c>
      <c r="V50" s="4">
        <f>Q50*(1+0.01*growthrate!$F$3)^10</f>
        <v>3015015.6194120934</v>
      </c>
      <c r="W50" s="4">
        <f>R50*(1+0.01*growthrate!$F$3)^10</f>
        <v>553785.25209171989</v>
      </c>
    </row>
    <row r="51" spans="1:23" x14ac:dyDescent="0.2">
      <c r="A51" s="2" t="s">
        <v>109</v>
      </c>
      <c r="B51" s="8" t="s">
        <v>110</v>
      </c>
      <c r="C51" s="4" t="s">
        <v>779</v>
      </c>
      <c r="D51" s="5">
        <v>2670615</v>
      </c>
      <c r="E51" s="5">
        <v>1650341</v>
      </c>
      <c r="F51" s="5">
        <v>4320956</v>
      </c>
      <c r="G51" s="5">
        <v>927680</v>
      </c>
      <c r="H51" s="14">
        <v>1995234</v>
      </c>
      <c r="I51" s="12">
        <f>D51*(1+0.01*growthrate!E52)^2</f>
        <v>2670615</v>
      </c>
      <c r="J51" s="4">
        <f>E51*(1+0.01*growthrate!$E$3)^2</f>
        <v>1700222.5567249996</v>
      </c>
      <c r="K51" s="4">
        <f>F51*(1+0.01*growthrate!$E$3)^2</f>
        <v>4451556.8950999985</v>
      </c>
      <c r="L51" s="4">
        <f>G51*(1+0.01*growthrate!$E$3)^2</f>
        <v>955719.12799999979</v>
      </c>
      <c r="M51" s="4">
        <f>H51*(1+0.01*growthrate!$E$3)^2</f>
        <v>2055539.9476499995</v>
      </c>
      <c r="N51" s="12">
        <f>I51*(1+0.01*growthrate!$E$3)^5</f>
        <v>2877010.8200336681</v>
      </c>
      <c r="O51" s="4">
        <f>J51*(1+0.01*growthrate!$E$3)^5</f>
        <v>1831622.5634032353</v>
      </c>
      <c r="P51" s="4">
        <f>K51*(1+0.01*growthrate!$E$3)^5</f>
        <v>4795591.03547242</v>
      </c>
      <c r="Q51" s="4">
        <f>L51*(1+0.01*growthrate!$E$3)^5</f>
        <v>1029580.9288007226</v>
      </c>
      <c r="R51" s="4">
        <f>M51*(1+0.01*growthrate!$E$3)^5</f>
        <v>2214400.3049486685</v>
      </c>
      <c r="S51" s="12">
        <f>N51*(1+0.01*growthrate!$F$3)^10</f>
        <v>3084865.2669337271</v>
      </c>
      <c r="T51" s="4">
        <f>O51*(1+0.01*growthrate!$F$3)^10</f>
        <v>1963951.1915039083</v>
      </c>
      <c r="U51" s="4">
        <f>P51*(1+0.01*growthrate!$F$3)^10</f>
        <v>5142056.5111307064</v>
      </c>
      <c r="V51" s="4">
        <f>Q51*(1+0.01*growthrate!$F$3)^10</f>
        <v>1103964.7208269963</v>
      </c>
      <c r="W51" s="4">
        <f>R51*(1+0.01*growthrate!$F$3)^10</f>
        <v>2374383.3496405343</v>
      </c>
    </row>
    <row r="52" spans="1:23" x14ac:dyDescent="0.2">
      <c r="A52" s="2" t="s">
        <v>111</v>
      </c>
      <c r="B52" s="8" t="s">
        <v>112</v>
      </c>
      <c r="C52" s="4" t="s">
        <v>779</v>
      </c>
      <c r="D52" s="5">
        <v>508711</v>
      </c>
      <c r="E52" s="5">
        <v>305658</v>
      </c>
      <c r="F52" s="5">
        <v>814369</v>
      </c>
      <c r="G52" s="5">
        <v>1076848</v>
      </c>
      <c r="H52" s="14">
        <v>739215</v>
      </c>
      <c r="I52" s="12">
        <f>D52*(1+0.01*growthrate!E53)^2</f>
        <v>508711</v>
      </c>
      <c r="J52" s="4">
        <f>E52*(1+0.01*growthrate!$E$3)^2</f>
        <v>314896.51304999989</v>
      </c>
      <c r="K52" s="4">
        <f>F52*(1+0.01*growthrate!$E$3)^2</f>
        <v>838983.3030249998</v>
      </c>
      <c r="L52" s="4">
        <f>G52*(1+0.01*growthrate!$E$3)^2</f>
        <v>1109395.7307999998</v>
      </c>
      <c r="M52" s="4">
        <f>H52*(1+0.01*growthrate!$E$3)^2</f>
        <v>761557.77337499976</v>
      </c>
      <c r="N52" s="12">
        <f>I52*(1+0.01*growthrate!$E$3)^5</f>
        <v>548026.22290002392</v>
      </c>
      <c r="O52" s="4">
        <f>J52*(1+0.01*growthrate!$E$3)^5</f>
        <v>339232.97638773202</v>
      </c>
      <c r="P52" s="4">
        <f>K52*(1+0.01*growthrate!$E$3)^5</f>
        <v>903823.29187490907</v>
      </c>
      <c r="Q52" s="4">
        <f>L52*(1+0.01*growthrate!$E$3)^5</f>
        <v>1195134.2747684552</v>
      </c>
      <c r="R52" s="4">
        <f>M52*(1+0.01*growthrate!$E$3)^5</f>
        <v>820414.00729068869</v>
      </c>
      <c r="S52" s="12">
        <f>N52*(1+0.01*growthrate!$F$3)^10</f>
        <v>587619.2917388404</v>
      </c>
      <c r="T52" s="4">
        <f>O52*(1+0.01*growthrate!$F$3)^10</f>
        <v>363741.42876696488</v>
      </c>
      <c r="U52" s="4">
        <f>P52*(1+0.01*growthrate!$F$3)^10</f>
        <v>969121.51359861169</v>
      </c>
      <c r="V52" s="4">
        <f>Q52*(1+0.01*growthrate!$F$3)^10</f>
        <v>1281478.7444949867</v>
      </c>
      <c r="W52" s="4">
        <f>R52*(1+0.01*growthrate!$F$3)^10</f>
        <v>879686.18608370121</v>
      </c>
    </row>
    <row r="53" spans="1:23" x14ac:dyDescent="0.2">
      <c r="A53" s="2" t="s">
        <v>113</v>
      </c>
      <c r="B53" s="8" t="s">
        <v>114</v>
      </c>
      <c r="C53" s="4" t="s">
        <v>779</v>
      </c>
      <c r="D53" s="5">
        <v>12578</v>
      </c>
      <c r="E53" s="5">
        <v>65531</v>
      </c>
      <c r="F53" s="5">
        <v>78109</v>
      </c>
      <c r="G53" s="5">
        <v>226302</v>
      </c>
      <c r="H53" s="14">
        <v>2025497</v>
      </c>
      <c r="I53" s="12">
        <f>D53*(1+0.01*growthrate!E54)^2</f>
        <v>12578</v>
      </c>
      <c r="J53" s="4">
        <f>E53*(1+0.01*growthrate!$E$3)^2</f>
        <v>67511.674474999978</v>
      </c>
      <c r="K53" s="4">
        <f>F53*(1+0.01*growthrate!$E$3)^2</f>
        <v>80469.844524999979</v>
      </c>
      <c r="L53" s="4">
        <f>G53*(1+0.01*growthrate!$E$3)^2</f>
        <v>233141.97794999994</v>
      </c>
      <c r="M53" s="4">
        <f>H53*(1+0.01*growthrate!$E$3)^2</f>
        <v>2086717.6468249995</v>
      </c>
      <c r="N53" s="12">
        <f>I53*(1+0.01*growthrate!$E$3)^5</f>
        <v>13550.078200857659</v>
      </c>
      <c r="O53" s="4">
        <f>J53*(1+0.01*growthrate!$E$3)^5</f>
        <v>72729.246987366481</v>
      </c>
      <c r="P53" s="4">
        <f>K53*(1+0.01*growthrate!$E$3)^5</f>
        <v>86688.87630184507</v>
      </c>
      <c r="Q53" s="4">
        <f>L53*(1+0.01*growthrate!$E$3)^5</f>
        <v>251160.12347949843</v>
      </c>
      <c r="R53" s="4">
        <f>M53*(1+0.01*growthrate!$E$3)^5</f>
        <v>2247987.5415478153</v>
      </c>
      <c r="S53" s="12">
        <f>N53*(1+0.01*growthrate!$F$3)^10</f>
        <v>14529.026208379875</v>
      </c>
      <c r="T53" s="4">
        <f>O53*(1+0.01*growthrate!$F$3)^10</f>
        <v>77983.692782547718</v>
      </c>
      <c r="U53" s="4">
        <f>P53*(1+0.01*growthrate!$F$3)^10</f>
        <v>92951.858808075893</v>
      </c>
      <c r="V53" s="4">
        <f>Q53*(1+0.01*growthrate!$F$3)^10</f>
        <v>269305.60565344826</v>
      </c>
      <c r="W53" s="4">
        <f>R53*(1+0.01*growthrate!$F$3)^10</f>
        <v>2410397.1521870885</v>
      </c>
    </row>
    <row r="54" spans="1:23" x14ac:dyDescent="0.2">
      <c r="A54" s="2" t="s">
        <v>115</v>
      </c>
      <c r="B54" s="8" t="s">
        <v>116</v>
      </c>
      <c r="C54" s="4" t="s">
        <v>779</v>
      </c>
      <c r="D54" s="5">
        <v>1567416</v>
      </c>
      <c r="E54" s="5">
        <v>2846575</v>
      </c>
      <c r="F54" s="5">
        <v>4413991</v>
      </c>
      <c r="G54" s="5">
        <v>1340510</v>
      </c>
      <c r="H54" s="14">
        <v>4112777</v>
      </c>
      <c r="I54" s="12">
        <f>D54*(1+0.01*growthrate!E55)^2</f>
        <v>1567416</v>
      </c>
      <c r="J54" s="4">
        <f>E54*(1+0.01*growthrate!$E$3)^2</f>
        <v>2932612.7293749992</v>
      </c>
      <c r="K54" s="4">
        <f>F54*(1+0.01*growthrate!$E$3)^2</f>
        <v>4547403.8779749991</v>
      </c>
      <c r="L54" s="4">
        <f>G54*(1+0.01*growthrate!$E$3)^2</f>
        <v>1381026.9147499995</v>
      </c>
      <c r="M54" s="4">
        <f>H54*(1+0.01*growthrate!$E$3)^2</f>
        <v>4237085.6848249985</v>
      </c>
      <c r="N54" s="12">
        <f>I54*(1+0.01*growthrate!$E$3)^5</f>
        <v>1688552.1842324303</v>
      </c>
      <c r="O54" s="4">
        <f>J54*(1+0.01*growthrate!$E$3)^5</f>
        <v>3159256.7829433819</v>
      </c>
      <c r="P54" s="4">
        <f>K54*(1+0.01*growthrate!$E$3)^5</f>
        <v>4898845.4569442375</v>
      </c>
      <c r="Q54" s="4">
        <f>L54*(1+0.01*growthrate!$E$3)^5</f>
        <v>1487758.2041939639</v>
      </c>
      <c r="R54" s="4">
        <f>M54*(1+0.01*growthrate!$E$3)^5</f>
        <v>4564544.6313494407</v>
      </c>
      <c r="S54" s="12">
        <f>N54*(1+0.01*growthrate!$F$3)^10</f>
        <v>1810544.454081249</v>
      </c>
      <c r="T54" s="4">
        <f>O54*(1+0.01*growthrate!$F$3)^10</f>
        <v>3387502.5603528223</v>
      </c>
      <c r="U54" s="4">
        <f>P54*(1+0.01*growthrate!$F$3)^10</f>
        <v>5252770.7205586769</v>
      </c>
      <c r="V54" s="4">
        <f>Q54*(1+0.01*growthrate!$F$3)^10</f>
        <v>1595243.777936138</v>
      </c>
      <c r="W54" s="4">
        <f>R54*(1+0.01*growthrate!$F$3)^10</f>
        <v>4894317.7740478292</v>
      </c>
    </row>
    <row r="55" spans="1:23" x14ac:dyDescent="0.2">
      <c r="A55" s="2" t="s">
        <v>117</v>
      </c>
      <c r="B55" s="8" t="s">
        <v>118</v>
      </c>
      <c r="C55" s="4" t="s">
        <v>779</v>
      </c>
      <c r="D55" s="5">
        <v>506594</v>
      </c>
      <c r="E55" s="5">
        <v>330595</v>
      </c>
      <c r="F55" s="5">
        <v>837189</v>
      </c>
      <c r="G55" s="5">
        <v>7489113</v>
      </c>
      <c r="H55" s="14">
        <v>2221410</v>
      </c>
      <c r="I55" s="12">
        <f>D55*(1+0.01*growthrate!E56)^2</f>
        <v>506594</v>
      </c>
      <c r="J55" s="4">
        <f>E55*(1+0.01*growthrate!$E$3)^2</f>
        <v>340587.23387499992</v>
      </c>
      <c r="K55" s="4">
        <f>F55*(1+0.01*growthrate!$E$3)^2</f>
        <v>862493.03752499982</v>
      </c>
      <c r="L55" s="4">
        <f>G55*(1+0.01*growthrate!$E$3)^2</f>
        <v>7715471.4404249983</v>
      </c>
      <c r="M55" s="4">
        <f>H55*(1+0.01*growthrate!$E$3)^2</f>
        <v>2288552.1172499992</v>
      </c>
      <c r="N55" s="12">
        <f>I55*(1+0.01*growthrate!$E$3)^5</f>
        <v>545745.61266380071</v>
      </c>
      <c r="O55" s="4">
        <f>J55*(1+0.01*growthrate!$E$3)^5</f>
        <v>366909.17898076371</v>
      </c>
      <c r="P55" s="4">
        <f>K55*(1+0.01*growthrate!$E$3)^5</f>
        <v>929149.9527873277</v>
      </c>
      <c r="Q55" s="4">
        <f>L55*(1+0.01*growthrate!$E$3)^5</f>
        <v>8311753.9651965825</v>
      </c>
      <c r="R55" s="4">
        <f>M55*(1+0.01*growthrate!$E$3)^5</f>
        <v>2465420.5879691411</v>
      </c>
      <c r="S55" s="12">
        <f>N55*(1+0.01*growthrate!$F$3)^10</f>
        <v>585173.91501097113</v>
      </c>
      <c r="T55" s="4">
        <f>O55*(1+0.01*growthrate!$F$3)^10</f>
        <v>393417.1447932485</v>
      </c>
      <c r="U55" s="4">
        <f>P55*(1+0.01*growthrate!$F$3)^10</f>
        <v>996277.94138542609</v>
      </c>
      <c r="V55" s="4">
        <f>Q55*(1+0.01*growthrate!$F$3)^10</f>
        <v>8912250.4983257446</v>
      </c>
      <c r="W55" s="4">
        <f>R55*(1+0.01*growthrate!$F$3)^10</f>
        <v>2643539.0118276747</v>
      </c>
    </row>
    <row r="56" spans="1:23" x14ac:dyDescent="0.2">
      <c r="A56" s="2" t="s">
        <v>119</v>
      </c>
      <c r="B56" s="8" t="s">
        <v>120</v>
      </c>
      <c r="C56" s="4" t="s">
        <v>779</v>
      </c>
      <c r="D56" s="5">
        <v>444237</v>
      </c>
      <c r="E56" s="5">
        <v>2610</v>
      </c>
      <c r="F56" s="5">
        <v>446847</v>
      </c>
      <c r="G56" s="5">
        <v>125901</v>
      </c>
      <c r="H56" s="14">
        <v>127299</v>
      </c>
      <c r="I56" s="12">
        <f>D56*(1+0.01*growthrate!E57)^2</f>
        <v>444237</v>
      </c>
      <c r="J56" s="4">
        <f>E56*(1+0.01*growthrate!$E$3)^2</f>
        <v>2688.8872499999993</v>
      </c>
      <c r="K56" s="4">
        <f>F56*(1+0.01*growthrate!$E$3)^2</f>
        <v>460352.95057499985</v>
      </c>
      <c r="L56" s="4">
        <f>G56*(1+0.01*growthrate!$E$3)^2</f>
        <v>129706.35772499997</v>
      </c>
      <c r="M56" s="4">
        <f>H56*(1+0.01*growthrate!$E$3)^2</f>
        <v>131146.61227499996</v>
      </c>
      <c r="N56" s="12">
        <f>I56*(1+0.01*growthrate!$E$3)^5</f>
        <v>478569.41403358278</v>
      </c>
      <c r="O56" s="4">
        <f>J56*(1+0.01*growthrate!$E$3)^5</f>
        <v>2896.6952226736439</v>
      </c>
      <c r="P56" s="4">
        <f>K56*(1+0.01*growthrate!$E$3)^5</f>
        <v>495930.86979542131</v>
      </c>
      <c r="Q56" s="4">
        <f>L56*(1+0.01*growthrate!$E$3)^5</f>
        <v>139730.58437924689</v>
      </c>
      <c r="R56" s="4">
        <f>M56*(1+0.01*growthrate!$E$3)^5</f>
        <v>141282.1475674836</v>
      </c>
      <c r="S56" s="12">
        <f>N56*(1+0.01*growthrate!$F$3)^10</f>
        <v>513144.45982922969</v>
      </c>
      <c r="T56" s="4">
        <f>O56*(1+0.01*growthrate!$F$3)^10</f>
        <v>3105.9718020852665</v>
      </c>
      <c r="U56" s="4">
        <f>P56*(1+0.01*growthrate!$F$3)^10</f>
        <v>531760.22292965325</v>
      </c>
      <c r="V56" s="4">
        <f>Q56*(1+0.01*growthrate!$F$3)^10</f>
        <v>149825.65358403721</v>
      </c>
      <c r="W56" s="4">
        <f>R56*(1+0.01*growthrate!$F$3)^10</f>
        <v>151489.31204354495</v>
      </c>
    </row>
    <row r="57" spans="1:23" x14ac:dyDescent="0.2">
      <c r="A57" s="2" t="s">
        <v>121</v>
      </c>
      <c r="B57" s="8" t="s">
        <v>122</v>
      </c>
      <c r="C57" s="4" t="s">
        <v>779</v>
      </c>
      <c r="D57" s="5">
        <v>3333</v>
      </c>
      <c r="E57" s="5">
        <v>5654</v>
      </c>
      <c r="F57" s="5">
        <v>8987</v>
      </c>
      <c r="G57" s="5">
        <v>254590</v>
      </c>
      <c r="H57" s="14">
        <v>2236280</v>
      </c>
      <c r="I57" s="12">
        <f>D57*(1+0.01*growthrate!E58)^2</f>
        <v>3333</v>
      </c>
      <c r="J57" s="4">
        <f>E57*(1+0.01*growthrate!$E$3)^2</f>
        <v>5824.8921499999988</v>
      </c>
      <c r="K57" s="4">
        <f>F57*(1+0.01*growthrate!$E$3)^2</f>
        <v>9258.6320749999977</v>
      </c>
      <c r="L57" s="4">
        <f>G57*(1+0.01*growthrate!$E$3)^2</f>
        <v>262284.98274999991</v>
      </c>
      <c r="M57" s="4">
        <f>H57*(1+0.01*growthrate!$E$3)^2</f>
        <v>2303871.5629999996</v>
      </c>
      <c r="N57" s="12">
        <f>I57*(1+0.01*growthrate!$E$3)^5</f>
        <v>3590.5875849466197</v>
      </c>
      <c r="O57" s="4">
        <f>J57*(1+0.01*growthrate!$E$3)^5</f>
        <v>6275.0631375466601</v>
      </c>
      <c r="P57" s="4">
        <f>K57*(1+0.01*growthrate!$E$3)^5</f>
        <v>9974.17623224829</v>
      </c>
      <c r="Q57" s="4">
        <f>L57*(1+0.01*growthrate!$E$3)^5</f>
        <v>282555.41637566395</v>
      </c>
      <c r="R57" s="4">
        <f>M57*(1+0.01*growthrate!$E$3)^5</f>
        <v>2481923.9818239911</v>
      </c>
      <c r="S57" s="12">
        <f>N57*(1+0.01*growthrate!$F$3)^10</f>
        <v>3849.9955758093597</v>
      </c>
      <c r="T57" s="4">
        <f>O57*(1+0.01*growthrate!$F$3)^10</f>
        <v>6728.4155436743667</v>
      </c>
      <c r="U57" s="4">
        <f>P57*(1+0.01*growthrate!$F$3)^10</f>
        <v>10694.777235762564</v>
      </c>
      <c r="V57" s="4">
        <f>Q57*(1+0.01*growthrate!$F$3)^10</f>
        <v>302969.10386700684</v>
      </c>
      <c r="W57" s="4">
        <f>R57*(1+0.01*growthrate!$F$3)^10</f>
        <v>2661234.7209069887</v>
      </c>
    </row>
    <row r="58" spans="1:23" x14ac:dyDescent="0.2">
      <c r="A58" s="2" t="s">
        <v>123</v>
      </c>
      <c r="B58" s="8" t="s">
        <v>124</v>
      </c>
      <c r="C58" s="4" t="s">
        <v>779</v>
      </c>
      <c r="D58" s="5">
        <v>553219</v>
      </c>
      <c r="E58" s="5">
        <v>201681</v>
      </c>
      <c r="F58" s="5">
        <v>754900</v>
      </c>
      <c r="G58" s="5">
        <v>214234</v>
      </c>
      <c r="H58" s="14">
        <v>2406425</v>
      </c>
      <c r="I58" s="12">
        <f>D58*(1+0.01*growthrate!E59)^2</f>
        <v>553219</v>
      </c>
      <c r="J58" s="4">
        <f>E58*(1+0.01*growthrate!$E$3)^2</f>
        <v>207776.80822499996</v>
      </c>
      <c r="K58" s="4">
        <f>F58*(1+0.01*growthrate!$E$3)^2</f>
        <v>777716.8524999998</v>
      </c>
      <c r="L58" s="4">
        <f>G58*(1+0.01*growthrate!$E$3)^2</f>
        <v>220709.22264999995</v>
      </c>
      <c r="M58" s="4">
        <f>H58*(1+0.01*growthrate!$E$3)^2</f>
        <v>2479159.1956249992</v>
      </c>
      <c r="N58" s="12">
        <f>I58*(1+0.01*growthrate!$E$3)^5</f>
        <v>595973.97934490966</v>
      </c>
      <c r="O58" s="4">
        <f>J58*(1+0.01*growthrate!$E$3)^5</f>
        <v>223834.63187894374</v>
      </c>
      <c r="P58" s="4">
        <f>K58*(1+0.01*growthrate!$E$3)^5</f>
        <v>837821.92474955309</v>
      </c>
      <c r="Q58" s="4">
        <f>L58*(1+0.01*growthrate!$E$3)^5</f>
        <v>237766.51507059977</v>
      </c>
      <c r="R58" s="4">
        <f>M58*(1+0.01*growthrate!$E$3)^5</f>
        <v>2670758.5445296639</v>
      </c>
      <c r="S58" s="12">
        <f>N58*(1+0.01*growthrate!$F$3)^10</f>
        <v>639031.11384748819</v>
      </c>
      <c r="T58" s="4">
        <f>O58*(1+0.01*growthrate!$F$3)^10</f>
        <v>240005.93832044391</v>
      </c>
      <c r="U58" s="4">
        <f>P58*(1+0.01*growthrate!$F$3)^10</f>
        <v>898351.76758397219</v>
      </c>
      <c r="V58" s="4">
        <f>Q58*(1+0.01*growthrate!$F$3)^10</f>
        <v>254944.35365821261</v>
      </c>
      <c r="W58" s="4">
        <f>R58*(1+0.01*growthrate!$F$3)^10</f>
        <v>2863711.9516601674</v>
      </c>
    </row>
    <row r="59" spans="1:23" x14ac:dyDescent="0.2">
      <c r="A59" s="2" t="s">
        <v>125</v>
      </c>
      <c r="B59" s="8" t="s">
        <v>126</v>
      </c>
      <c r="C59" s="4" t="s">
        <v>779</v>
      </c>
      <c r="D59" s="5">
        <v>1681614</v>
      </c>
      <c r="E59" s="5">
        <v>838339</v>
      </c>
      <c r="F59" s="5">
        <v>2519953</v>
      </c>
      <c r="G59" s="5">
        <v>114728</v>
      </c>
      <c r="H59" s="14">
        <v>486944</v>
      </c>
      <c r="I59" s="12">
        <f>D59*(1+0.01*growthrate!E60)^2</f>
        <v>1681614</v>
      </c>
      <c r="J59" s="4">
        <f>E59*(1+0.01*growthrate!$E$3)^2</f>
        <v>863677.79627499974</v>
      </c>
      <c r="K59" s="4">
        <f>F59*(1+0.01*growthrate!$E$3)^2</f>
        <v>2596118.5794249992</v>
      </c>
      <c r="L59" s="4">
        <f>G59*(1+0.01*growthrate!$E$3)^2</f>
        <v>118195.65379999997</v>
      </c>
      <c r="M59" s="4">
        <f>H59*(1+0.01*growthrate!$E$3)^2</f>
        <v>501661.88239999989</v>
      </c>
      <c r="N59" s="12">
        <f>I59*(1+0.01*growthrate!$E$3)^5</f>
        <v>1811575.8629080183</v>
      </c>
      <c r="O59" s="4">
        <f>J59*(1+0.01*growthrate!$E$3)^5</f>
        <v>930426.27443716465</v>
      </c>
      <c r="P59" s="4">
        <f>K59*(1+0.01*growthrate!$E$3)^5</f>
        <v>2796757.0178015772</v>
      </c>
      <c r="Q59" s="4">
        <f>L59*(1+0.01*growthrate!$E$3)^5</f>
        <v>127330.28716739533</v>
      </c>
      <c r="R59" s="4">
        <f>M59*(1+0.01*growthrate!$E$3)^5</f>
        <v>540432.32126804395</v>
      </c>
      <c r="S59" s="12">
        <f>N59*(1+0.01*growthrate!$F$3)^10</f>
        <v>1942456.1836840927</v>
      </c>
      <c r="T59" s="4">
        <f>O59*(1+0.01*growthrate!$F$3)^10</f>
        <v>997646.47302236012</v>
      </c>
      <c r="U59" s="4">
        <f>P59*(1+0.01*growthrate!$F$3)^10</f>
        <v>2998813.3948583039</v>
      </c>
      <c r="V59" s="4">
        <f>Q59*(1+0.01*growthrate!$F$3)^10</f>
        <v>136529.47621058946</v>
      </c>
      <c r="W59" s="4">
        <f>R59*(1+0.01*growthrate!$F$3)^10</f>
        <v>579476.75601325976</v>
      </c>
    </row>
    <row r="60" spans="1:23" x14ac:dyDescent="0.2">
      <c r="A60" s="2" t="s">
        <v>127</v>
      </c>
      <c r="B60" s="8" t="s">
        <v>128</v>
      </c>
      <c r="C60" s="4" t="s">
        <v>779</v>
      </c>
      <c r="D60" s="5">
        <v>9429</v>
      </c>
      <c r="E60" s="5">
        <v>314364</v>
      </c>
      <c r="F60" s="5">
        <v>323793</v>
      </c>
      <c r="G60" s="5">
        <v>962162</v>
      </c>
      <c r="H60" s="14">
        <v>1496048</v>
      </c>
      <c r="I60" s="12">
        <f>D60*(1+0.01*growthrate!E61)^2</f>
        <v>9429</v>
      </c>
      <c r="J60" s="4">
        <f>E60*(1+0.01*growthrate!$E$3)^2</f>
        <v>323865.65189999994</v>
      </c>
      <c r="K60" s="4">
        <f>F60*(1+0.01*growthrate!$E$3)^2</f>
        <v>333579.6434249999</v>
      </c>
      <c r="L60" s="4">
        <f>G60*(1+0.01*growthrate!$E$3)^2</f>
        <v>991243.34644999972</v>
      </c>
      <c r="M60" s="4">
        <f>H60*(1+0.01*growthrate!$E$3)^2</f>
        <v>1541266.0507999996</v>
      </c>
      <c r="N60" s="12">
        <f>I60*(1+0.01*growthrate!$E$3)^5</f>
        <v>10157.710872625765</v>
      </c>
      <c r="O60" s="4">
        <f>J60*(1+0.01*growthrate!$E$3)^5</f>
        <v>348895.28619945492</v>
      </c>
      <c r="P60" s="4">
        <f>K60*(1+0.01*growthrate!$E$3)^5</f>
        <v>359360.01388320577</v>
      </c>
      <c r="Q60" s="4">
        <f>L60*(1+0.01*growthrate!$E$3)^5</f>
        <v>1067850.6010874016</v>
      </c>
      <c r="R60" s="4">
        <f>M60*(1+0.01*growthrate!$E$3)^5</f>
        <v>1660381.262256881</v>
      </c>
      <c r="S60" s="12">
        <f>N60*(1+0.01*growthrate!$F$3)^10</f>
        <v>10891.571642456182</v>
      </c>
      <c r="T60" s="4">
        <f>O60*(1+0.01*growthrate!$F$3)^10</f>
        <v>374101.80827231135</v>
      </c>
      <c r="U60" s="4">
        <f>P60*(1+0.01*growthrate!$F$3)^10</f>
        <v>385322.57766766078</v>
      </c>
      <c r="V60" s="4">
        <f>Q60*(1+0.01*growthrate!$F$3)^10</f>
        <v>1144999.249439833</v>
      </c>
      <c r="W60" s="4">
        <f>R60*(1+0.01*growthrate!$F$3)^10</f>
        <v>1780338.2768452333</v>
      </c>
    </row>
    <row r="61" spans="1:23" x14ac:dyDescent="0.2">
      <c r="A61" s="2" t="s">
        <v>129</v>
      </c>
      <c r="B61" s="8" t="s">
        <v>130</v>
      </c>
      <c r="C61" s="4" t="s">
        <v>779</v>
      </c>
      <c r="D61" s="5">
        <v>61063</v>
      </c>
      <c r="E61" s="5">
        <v>981722</v>
      </c>
      <c r="F61" s="5">
        <v>1042785</v>
      </c>
      <c r="G61" s="5">
        <v>588875</v>
      </c>
      <c r="H61" s="14">
        <v>8654907</v>
      </c>
      <c r="I61" s="12">
        <f>D61*(1+0.01*growthrate!E62)^2</f>
        <v>61063</v>
      </c>
      <c r="J61" s="4">
        <f>E61*(1+0.01*growthrate!$E$3)^2</f>
        <v>1011394.5474499997</v>
      </c>
      <c r="K61" s="4">
        <f>F61*(1+0.01*growthrate!$E$3)^2</f>
        <v>1074303.1766249996</v>
      </c>
      <c r="L61" s="4">
        <f>G61*(1+0.01*growthrate!$E$3)^2</f>
        <v>606673.74687499984</v>
      </c>
      <c r="M61" s="4">
        <f>H61*(1+0.01*growthrate!$E$3)^2</f>
        <v>8916501.5640749969</v>
      </c>
      <c r="N61" s="12">
        <f>I61*(1+0.01*growthrate!$E$3)^5</f>
        <v>65782.193129191553</v>
      </c>
      <c r="O61" s="4">
        <f>J61*(1+0.01*growthrate!$E$3)^5</f>
        <v>1089559.1675837606</v>
      </c>
      <c r="P61" s="4">
        <f>K61*(1+0.01*growthrate!$E$3)^5</f>
        <v>1157329.6275002817</v>
      </c>
      <c r="Q61" s="4">
        <f>L61*(1+0.01*growthrate!$E$3)^5</f>
        <v>653559.92308503517</v>
      </c>
      <c r="R61" s="4">
        <f>M61*(1+0.01*growthrate!$E$3)^5</f>
        <v>9605604.5055879988</v>
      </c>
      <c r="S61" s="12">
        <f>N61*(1+0.01*growthrate!$F$3)^10</f>
        <v>70534.737427436834</v>
      </c>
      <c r="T61" s="4">
        <f>O61*(1+0.01*growthrate!$F$3)^10</f>
        <v>1168276.1875428169</v>
      </c>
      <c r="U61" s="4">
        <f>P61*(1+0.01*growthrate!$F$3)^10</f>
        <v>1240942.8374089978</v>
      </c>
      <c r="V61" s="4">
        <f>Q61*(1+0.01*growthrate!$F$3)^10</f>
        <v>700777.45017354831</v>
      </c>
      <c r="W61" s="4">
        <f>R61*(1+0.01*growthrate!$F$3)^10</f>
        <v>10299577.429758769</v>
      </c>
    </row>
    <row r="62" spans="1:23" x14ac:dyDescent="0.2">
      <c r="A62" s="2" t="s">
        <v>131</v>
      </c>
      <c r="B62" s="8" t="s">
        <v>132</v>
      </c>
      <c r="C62" s="4" t="s">
        <v>779</v>
      </c>
      <c r="D62" s="5">
        <v>3116872</v>
      </c>
      <c r="E62" s="5">
        <v>-17263</v>
      </c>
      <c r="F62" s="5">
        <v>3099609</v>
      </c>
      <c r="G62" s="5">
        <v>360309</v>
      </c>
      <c r="H62" s="14">
        <v>332814</v>
      </c>
      <c r="I62" s="12">
        <f>D62*(1+0.01*growthrate!E63)^2</f>
        <v>3116872</v>
      </c>
      <c r="J62" s="4">
        <f>E62*(1+0.01*growthrate!$E$3)^2</f>
        <v>-17784.774174999995</v>
      </c>
      <c r="K62" s="4">
        <f>F62*(1+0.01*growthrate!$E$3)^2</f>
        <v>3193294.6820249991</v>
      </c>
      <c r="L62" s="4">
        <f>G62*(1+0.01*growthrate!$E$3)^2</f>
        <v>371199.3395249999</v>
      </c>
      <c r="M62" s="4">
        <f>H62*(1+0.01*growthrate!$E$3)^2</f>
        <v>342873.30314999993</v>
      </c>
      <c r="N62" s="12">
        <f>I62*(1+0.01*growthrate!$E$3)^5</f>
        <v>3357756.3477550973</v>
      </c>
      <c r="O62" s="4">
        <f>J62*(1+0.01*growthrate!$E$3)^5</f>
        <v>-19159.252731423414</v>
      </c>
      <c r="P62" s="4">
        <f>K62*(1+0.01*growthrate!$E$3)^5</f>
        <v>3440085.2806345709</v>
      </c>
      <c r="Q62" s="4">
        <f>L62*(1+0.01*growthrate!$E$3)^5</f>
        <v>399887.11072272714</v>
      </c>
      <c r="R62" s="4">
        <f>M62*(1+0.01*growthrate!$E$3)^5</f>
        <v>369371.92484249279</v>
      </c>
      <c r="S62" s="12">
        <f>N62*(1+0.01*growthrate!$F$3)^10</f>
        <v>3600343.0574149624</v>
      </c>
      <c r="T62" s="4">
        <f>O62*(1+0.01*growthrate!$F$3)^10</f>
        <v>-20543.444911646726</v>
      </c>
      <c r="U62" s="4">
        <f>P62*(1+0.01*growthrate!$F$3)^10</f>
        <v>3688619.981413682</v>
      </c>
      <c r="V62" s="4">
        <f>Q62*(1+0.01*growthrate!$F$3)^10</f>
        <v>428777.62223660544</v>
      </c>
      <c r="W62" s="4">
        <f>R62*(1+0.01*growthrate!$F$3)^10</f>
        <v>396057.81583877624</v>
      </c>
    </row>
    <row r="63" spans="1:23" x14ac:dyDescent="0.2">
      <c r="A63" s="2" t="s">
        <v>133</v>
      </c>
      <c r="B63" s="8" t="s">
        <v>134</v>
      </c>
      <c r="C63" s="4" t="s">
        <v>779</v>
      </c>
      <c r="D63" s="5">
        <v>767226</v>
      </c>
      <c r="E63" s="5">
        <v>15045</v>
      </c>
      <c r="F63" s="5">
        <v>782271</v>
      </c>
      <c r="G63" s="5">
        <v>129336</v>
      </c>
      <c r="H63" s="14">
        <v>208811</v>
      </c>
      <c r="I63" s="12">
        <f>D63*(1+0.01*growthrate!E64)^2</f>
        <v>767226</v>
      </c>
      <c r="J63" s="4">
        <f>E63*(1+0.01*growthrate!$E$3)^2</f>
        <v>15499.735124999996</v>
      </c>
      <c r="K63" s="4">
        <f>F63*(1+0.01*growthrate!$E$3)^2</f>
        <v>805915.14097499975</v>
      </c>
      <c r="L63" s="4">
        <f>G63*(1+0.01*growthrate!$E$3)^2</f>
        <v>133245.18059999996</v>
      </c>
      <c r="M63" s="4">
        <f>H63*(1+0.01*growthrate!$E$3)^2</f>
        <v>215122.31247499996</v>
      </c>
      <c r="N63" s="12">
        <f>I63*(1+0.01*growthrate!$E$3)^5</f>
        <v>826520.29716419289</v>
      </c>
      <c r="O63" s="4">
        <f>J63*(1+0.01*growthrate!$E$3)^5</f>
        <v>16697.616714607269</v>
      </c>
      <c r="P63" s="4">
        <f>K63*(1+0.01*growthrate!$E$3)^5</f>
        <v>868199.48986058764</v>
      </c>
      <c r="Q63" s="4">
        <f>L63*(1+0.01*growthrate!$E$3)^5</f>
        <v>143542.90165506452</v>
      </c>
      <c r="R63" s="4">
        <f>M63*(1+0.01*growthrate!$E$3)^5</f>
        <v>231747.82610793342</v>
      </c>
      <c r="S63" s="12">
        <f>N63*(1+0.01*growthrate!$F$3)^10</f>
        <v>886233.63505727914</v>
      </c>
      <c r="T63" s="4">
        <f>O63*(1+0.01*growthrate!$F$3)^10</f>
        <v>17903.96389362944</v>
      </c>
      <c r="U63" s="4">
        <f>P63*(1+0.01*growthrate!$F$3)^10</f>
        <v>930924.0105705146</v>
      </c>
      <c r="V63" s="4">
        <f>Q63*(1+0.01*growthrate!$F$3)^10</f>
        <v>153913.39808218391</v>
      </c>
      <c r="W63" s="4">
        <f>R63*(1+0.01*growthrate!$F$3)^10</f>
        <v>248490.83446943547</v>
      </c>
    </row>
    <row r="64" spans="1:23" x14ac:dyDescent="0.2">
      <c r="A64" s="2" t="s">
        <v>135</v>
      </c>
      <c r="B64" s="8" t="s">
        <v>136</v>
      </c>
      <c r="C64" s="4" t="s">
        <v>779</v>
      </c>
      <c r="D64" s="5">
        <v>1415146</v>
      </c>
      <c r="E64" s="5">
        <v>24455</v>
      </c>
      <c r="F64" s="5">
        <v>1439601</v>
      </c>
      <c r="G64" s="5">
        <v>1406511</v>
      </c>
      <c r="H64" s="14">
        <v>1072387</v>
      </c>
      <c r="I64" s="12">
        <f>D64*(1+0.01*growthrate!E65)^2</f>
        <v>1415146</v>
      </c>
      <c r="J64" s="4">
        <f>E64*(1+0.01*growthrate!$E$3)^2</f>
        <v>25194.152374999994</v>
      </c>
      <c r="K64" s="4">
        <f>F64*(1+0.01*growthrate!$E$3)^2</f>
        <v>1483112.9402249996</v>
      </c>
      <c r="L64" s="4">
        <f>G64*(1+0.01*growthrate!$E$3)^2</f>
        <v>1449022.7949749995</v>
      </c>
      <c r="M64" s="4">
        <f>H64*(1+0.01*growthrate!$E$3)^2</f>
        <v>1104799.8970749998</v>
      </c>
      <c r="N64" s="12">
        <f>I64*(1+0.01*growthrate!$E$3)^5</f>
        <v>1524514.1489609568</v>
      </c>
      <c r="O64" s="4">
        <f>J64*(1+0.01*growthrate!$E$3)^5</f>
        <v>27141.257345013011</v>
      </c>
      <c r="P64" s="4">
        <f>K64*(1+0.01*growthrate!$E$3)^5</f>
        <v>1597733.8464583142</v>
      </c>
      <c r="Q64" s="4">
        <f>L64*(1+0.01*growthrate!$E$3)^5</f>
        <v>1561009.0782903943</v>
      </c>
      <c r="R64" s="4">
        <f>M64*(1+0.01*growthrate!$E$3)^5</f>
        <v>1190183.2566120003</v>
      </c>
      <c r="S64" s="12">
        <f>N64*(1+0.01*growthrate!$F$3)^10</f>
        <v>1634655.2172590196</v>
      </c>
      <c r="T64" s="4">
        <f>O64*(1+0.01*growthrate!$F$3)^10</f>
        <v>29102.122766281682</v>
      </c>
      <c r="U64" s="4">
        <f>P64*(1+0.01*growthrate!$F$3)^10</f>
        <v>1713164.7939669546</v>
      </c>
      <c r="V64" s="4">
        <f>Q64*(1+0.01*growthrate!$F$3)^10</f>
        <v>1673786.7836485631</v>
      </c>
      <c r="W64" s="4">
        <f>R64*(1+0.01*growthrate!$F$3)^10</f>
        <v>1276170.0317711926</v>
      </c>
    </row>
    <row r="65" spans="1:23" x14ac:dyDescent="0.2">
      <c r="A65" s="2" t="s">
        <v>137</v>
      </c>
      <c r="B65" s="8" t="s">
        <v>138</v>
      </c>
      <c r="C65" s="4" t="s">
        <v>779</v>
      </c>
      <c r="D65" s="5">
        <v>275129</v>
      </c>
      <c r="E65" s="5">
        <v>1449</v>
      </c>
      <c r="F65" s="5">
        <v>276578</v>
      </c>
      <c r="G65" s="5">
        <v>89048</v>
      </c>
      <c r="H65" s="14">
        <v>354318</v>
      </c>
      <c r="I65" s="12">
        <f>D65*(1+0.01*growthrate!E66)^2</f>
        <v>275129</v>
      </c>
      <c r="J65" s="4">
        <f>E65*(1+0.01*growthrate!$E$3)^2</f>
        <v>1492.7960249999996</v>
      </c>
      <c r="K65" s="4">
        <f>F65*(1+0.01*growthrate!$E$3)^2</f>
        <v>284937.57004999992</v>
      </c>
      <c r="L65" s="4">
        <f>G65*(1+0.01*growthrate!$E$3)^2</f>
        <v>91739.475799999971</v>
      </c>
      <c r="M65" s="4">
        <f>H65*(1+0.01*growthrate!$E$3)^2</f>
        <v>365027.26154999988</v>
      </c>
      <c r="N65" s="12">
        <f>I65*(1+0.01*growthrate!$E$3)^5</f>
        <v>296392.07070470403</v>
      </c>
      <c r="O65" s="4">
        <f>J65*(1+0.01*growthrate!$E$3)^5</f>
        <v>1608.1652787946782</v>
      </c>
      <c r="P65" s="4">
        <f>K65*(1+0.01*growthrate!$E$3)^5</f>
        <v>306958.6863205483</v>
      </c>
      <c r="Q65" s="4">
        <f>L65*(1+0.01*growthrate!$E$3)^5</f>
        <v>98829.469804077627</v>
      </c>
      <c r="R65" s="4">
        <f>M65*(1+0.01*growthrate!$E$3)^5</f>
        <v>393238.02984953258</v>
      </c>
      <c r="S65" s="12">
        <f>N65*(1+0.01*growthrate!$F$3)^10</f>
        <v>317805.41037409339</v>
      </c>
      <c r="T65" s="4">
        <f>O65*(1+0.01*growthrate!$F$3)^10</f>
        <v>1724.3498625369928</v>
      </c>
      <c r="U65" s="4">
        <f>P65*(1+0.01*growthrate!$F$3)^10</f>
        <v>329135.42876518727</v>
      </c>
      <c r="V65" s="4">
        <f>Q65*(1+0.01*growthrate!$F$3)^10</f>
        <v>105969.56974409532</v>
      </c>
      <c r="W65" s="4">
        <f>R65*(1+0.01*growthrate!$F$3)^10</f>
        <v>421648.16742193385</v>
      </c>
    </row>
    <row r="66" spans="1:23" x14ac:dyDescent="0.2">
      <c r="A66" s="2" t="s">
        <v>139</v>
      </c>
      <c r="B66" s="8" t="s">
        <v>140</v>
      </c>
      <c r="C66" s="4" t="s">
        <v>779</v>
      </c>
      <c r="D66" s="5">
        <v>218917</v>
      </c>
      <c r="E66" s="5">
        <v>451</v>
      </c>
      <c r="F66" s="5">
        <v>219368</v>
      </c>
      <c r="G66" s="5">
        <v>782293</v>
      </c>
      <c r="H66" s="14">
        <v>318318</v>
      </c>
      <c r="I66" s="12">
        <f>D66*(1+0.01*growthrate!E67)^2</f>
        <v>218917</v>
      </c>
      <c r="J66" s="4">
        <f>E66*(1+0.01*growthrate!$E$3)^2</f>
        <v>464.63147499999985</v>
      </c>
      <c r="K66" s="4">
        <f>F66*(1+0.01*growthrate!$E$3)^2</f>
        <v>225998.39779999995</v>
      </c>
      <c r="L66" s="4">
        <f>G66*(1+0.01*growthrate!$E$3)^2</f>
        <v>805937.80592499976</v>
      </c>
      <c r="M66" s="4">
        <f>H66*(1+0.01*growthrate!$E$3)^2</f>
        <v>327939.1615499999</v>
      </c>
      <c r="N66" s="12">
        <f>I66*(1+0.01*growthrate!$E$3)^5</f>
        <v>235835.78227835556</v>
      </c>
      <c r="O66" s="4">
        <f>J66*(1+0.01*growthrate!$E$3)^5</f>
        <v>500.54005571870238</v>
      </c>
      <c r="P66" s="4">
        <f>K66*(1+0.01*growthrate!$E$3)^5</f>
        <v>243464.45885343751</v>
      </c>
      <c r="Q66" s="4">
        <f>L66*(1+0.01*growthrate!$E$3)^5</f>
        <v>868223.90644867148</v>
      </c>
      <c r="R66" s="4">
        <f>M66*(1+0.01*growthrate!$E$3)^5</f>
        <v>353283.61298506852</v>
      </c>
      <c r="S66" s="12">
        <f>N66*(1+0.01*growthrate!$F$3)^10</f>
        <v>252874.13185402268</v>
      </c>
      <c r="T66" s="4">
        <f>O66*(1+0.01*growthrate!$F$3)^10</f>
        <v>536.70240718025093</v>
      </c>
      <c r="U66" s="4">
        <f>P66*(1+0.01*growthrate!$F$3)^10</f>
        <v>261053.9548964907</v>
      </c>
      <c r="V66" s="4">
        <f>Q66*(1+0.01*growthrate!$F$3)^10</f>
        <v>930950.19117574289</v>
      </c>
      <c r="W66" s="4">
        <f>R66*(1+0.01*growthrate!$F$3)^10</f>
        <v>378807.17704834393</v>
      </c>
    </row>
    <row r="67" spans="1:23" x14ac:dyDescent="0.2">
      <c r="A67" s="2" t="s">
        <v>141</v>
      </c>
      <c r="B67" s="8" t="s">
        <v>142</v>
      </c>
      <c r="C67" s="4" t="s">
        <v>779</v>
      </c>
      <c r="D67" s="5">
        <v>26874</v>
      </c>
      <c r="E67" s="5">
        <v>0</v>
      </c>
      <c r="F67" s="5">
        <v>26874</v>
      </c>
      <c r="G67" s="5">
        <v>247591</v>
      </c>
      <c r="H67" s="14">
        <v>804107</v>
      </c>
      <c r="I67" s="12">
        <f>D67*(1+0.01*growthrate!E68)^2</f>
        <v>26874</v>
      </c>
      <c r="J67" s="4">
        <f>E67*(1+0.01*growthrate!$E$3)^2</f>
        <v>0</v>
      </c>
      <c r="K67" s="4">
        <f>F67*(1+0.01*growthrate!$E$3)^2</f>
        <v>27686.266649999994</v>
      </c>
      <c r="L67" s="4">
        <f>G67*(1+0.01*growthrate!$E$3)^2</f>
        <v>255074.43797499992</v>
      </c>
      <c r="M67" s="4">
        <f>H67*(1+0.01*growthrate!$E$3)^2</f>
        <v>828411.13407499983</v>
      </c>
      <c r="N67" s="12">
        <f>I67*(1+0.01*growthrate!$E$3)^5</f>
        <v>28950.930320388674</v>
      </c>
      <c r="O67" s="4">
        <f>J67*(1+0.01*growthrate!$E$3)^5</f>
        <v>0</v>
      </c>
      <c r="P67" s="4">
        <f>K67*(1+0.01*growthrate!$E$3)^5</f>
        <v>29825.972189322416</v>
      </c>
      <c r="Q67" s="4">
        <f>L67*(1+0.01*growthrate!$E$3)^5</f>
        <v>274787.61183026439</v>
      </c>
      <c r="R67" s="4">
        <f>M67*(1+0.01*growthrate!$E$3)^5</f>
        <v>892434.063378711</v>
      </c>
      <c r="S67" s="12">
        <f>N67*(1+0.01*growthrate!$F$3)^10</f>
        <v>31042.538585148734</v>
      </c>
      <c r="T67" s="4">
        <f>O67*(1+0.01*growthrate!$F$3)^10</f>
        <v>0</v>
      </c>
      <c r="U67" s="4">
        <f>P67*(1+0.01*growthrate!$F$3)^10</f>
        <v>31980.799313884847</v>
      </c>
      <c r="V67" s="4">
        <f>Q67*(1+0.01*growthrate!$F$3)^10</f>
        <v>294640.10132187477</v>
      </c>
      <c r="W67" s="4">
        <f>R67*(1+0.01*growthrate!$F$3)^10</f>
        <v>956909.45128711779</v>
      </c>
    </row>
    <row r="68" spans="1:23" x14ac:dyDescent="0.2">
      <c r="A68" s="2" t="s">
        <v>143</v>
      </c>
      <c r="B68" s="8" t="s">
        <v>144</v>
      </c>
      <c r="C68" s="4" t="s">
        <v>779</v>
      </c>
      <c r="D68" s="5">
        <v>961088</v>
      </c>
      <c r="E68" s="5">
        <v>998466</v>
      </c>
      <c r="F68" s="5">
        <v>1959554</v>
      </c>
      <c r="G68" s="5">
        <v>1183096</v>
      </c>
      <c r="H68" s="14">
        <v>1751139</v>
      </c>
      <c r="I68" s="12">
        <f>D68*(1+0.01*growthrate!E69)^2</f>
        <v>961088</v>
      </c>
      <c r="J68" s="4">
        <f>E68*(1+0.01*growthrate!$E$3)^2</f>
        <v>1028644.6348499997</v>
      </c>
      <c r="K68" s="4">
        <f>F68*(1+0.01*growthrate!$E$3)^2</f>
        <v>2018781.5196499994</v>
      </c>
      <c r="L68" s="4">
        <f>G68*(1+0.01*growthrate!$E$3)^2</f>
        <v>1218855.0765999996</v>
      </c>
      <c r="M68" s="4">
        <f>H68*(1+0.01*growthrate!$E$3)^2</f>
        <v>1804067.1762749995</v>
      </c>
      <c r="N68" s="12">
        <f>I68*(1+0.01*growthrate!$E$3)^5</f>
        <v>1035364.7287252255</v>
      </c>
      <c r="O68" s="4">
        <f>J68*(1+0.01*growthrate!$E$3)^5</f>
        <v>1108142.4108053879</v>
      </c>
      <c r="P68" s="4">
        <f>K68*(1+0.01*growthrate!$E$3)^5</f>
        <v>2174801.0384563329</v>
      </c>
      <c r="Q68" s="4">
        <f>L68*(1+0.01*growthrate!$E$3)^5</f>
        <v>1313053.0770744432</v>
      </c>
      <c r="R68" s="4">
        <f>M68*(1+0.01*growthrate!$E$3)^5</f>
        <v>1943492.7109339088</v>
      </c>
      <c r="S68" s="12">
        <f>N68*(1+0.01*growthrate!$F$3)^10</f>
        <v>1110166.3810271425</v>
      </c>
      <c r="T68" s="4">
        <f>O68*(1+0.01*growthrate!$F$3)^10</f>
        <v>1188202.0081765775</v>
      </c>
      <c r="U68" s="4">
        <f>P68*(1+0.01*growthrate!$F$3)^10</f>
        <v>2331923.1680702651</v>
      </c>
      <c r="V68" s="4">
        <f>Q68*(1+0.01*growthrate!$F$3)^10</f>
        <v>1407916.7874175746</v>
      </c>
      <c r="W68" s="4">
        <f>R68*(1+0.01*growthrate!$F$3)^10</f>
        <v>2083903.5844949393</v>
      </c>
    </row>
    <row r="69" spans="1:23" x14ac:dyDescent="0.2">
      <c r="A69" s="2" t="s">
        <v>145</v>
      </c>
      <c r="B69" s="8" t="s">
        <v>146</v>
      </c>
      <c r="C69" s="4" t="s">
        <v>779</v>
      </c>
      <c r="D69" s="5">
        <v>889338</v>
      </c>
      <c r="E69" s="5">
        <v>10210</v>
      </c>
      <c r="F69" s="5">
        <v>899548</v>
      </c>
      <c r="G69" s="5">
        <v>172740</v>
      </c>
      <c r="H69" s="14">
        <v>536945</v>
      </c>
      <c r="I69" s="12">
        <f>D69*(1+0.01*growthrate!E70)^2</f>
        <v>889338</v>
      </c>
      <c r="J69" s="4">
        <f>E69*(1+0.01*growthrate!$E$3)^2</f>
        <v>10518.597249999997</v>
      </c>
      <c r="K69" s="4">
        <f>F69*(1+0.01*growthrate!$E$3)^2</f>
        <v>926736.83829999971</v>
      </c>
      <c r="L69" s="4">
        <f>G69*(1+0.01*growthrate!$E$3)^2</f>
        <v>177961.06649999996</v>
      </c>
      <c r="M69" s="4">
        <f>H69*(1+0.01*growthrate!$E$3)^2</f>
        <v>553174.16262499988</v>
      </c>
      <c r="N69" s="12">
        <f>I69*(1+0.01*growthrate!$E$3)^5</f>
        <v>958069.6014465217</v>
      </c>
      <c r="O69" s="4">
        <f>J69*(1+0.01*growthrate!$E$3)^5</f>
        <v>11331.516560727165</v>
      </c>
      <c r="P69" s="4">
        <f>K69*(1+0.01*growthrate!$E$3)^5</f>
        <v>998358.77171096962</v>
      </c>
      <c r="Q69" s="4">
        <f>L69*(1+0.01*growthrate!$E$3)^5</f>
        <v>191714.61025465335</v>
      </c>
      <c r="R69" s="4">
        <f>M69*(1+0.01*growthrate!$E$3)^5</f>
        <v>595925.67675804591</v>
      </c>
      <c r="S69" s="12">
        <f>N69*(1+0.01*growthrate!$F$3)^10</f>
        <v>1027286.9383135746</v>
      </c>
      <c r="T69" s="4">
        <f>O69*(1+0.01*growthrate!$F$3)^10</f>
        <v>12150.18088095424</v>
      </c>
      <c r="U69" s="4">
        <f>P69*(1+0.01*growthrate!$F$3)^10</f>
        <v>1070486.8669050564</v>
      </c>
      <c r="V69" s="4">
        <f>Q69*(1+0.01*growthrate!$F$3)^10</f>
        <v>205565.35214260878</v>
      </c>
      <c r="W69" s="4">
        <f>R69*(1+0.01*growthrate!$F$3)^10</f>
        <v>638979.321559645</v>
      </c>
    </row>
    <row r="70" spans="1:23" x14ac:dyDescent="0.2">
      <c r="A70" s="2" t="s">
        <v>147</v>
      </c>
      <c r="B70" s="8" t="s">
        <v>148</v>
      </c>
      <c r="C70" s="4" t="s">
        <v>779</v>
      </c>
      <c r="D70" s="5">
        <v>1405502</v>
      </c>
      <c r="E70" s="5">
        <v>151922</v>
      </c>
      <c r="F70" s="5">
        <v>1557424</v>
      </c>
      <c r="G70" s="5">
        <v>432476</v>
      </c>
      <c r="H70" s="14">
        <v>935529</v>
      </c>
      <c r="I70" s="12">
        <f>D70*(1+0.01*growthrate!E71)^2</f>
        <v>1405502</v>
      </c>
      <c r="J70" s="4">
        <f>E70*(1+0.01*growthrate!$E$3)^2</f>
        <v>156513.84244999997</v>
      </c>
      <c r="K70" s="4">
        <f>F70*(1+0.01*growthrate!$E$3)^2</f>
        <v>1604497.1403999997</v>
      </c>
      <c r="L70" s="4">
        <f>G70*(1+0.01*growthrate!$E$3)^2</f>
        <v>445547.58709999989</v>
      </c>
      <c r="M70" s="4">
        <f>H70*(1+0.01*growthrate!$E$3)^2</f>
        <v>963805.36402499978</v>
      </c>
      <c r="N70" s="12">
        <f>I70*(1+0.01*growthrate!$E$3)^5</f>
        <v>1514124.8220274958</v>
      </c>
      <c r="O70" s="4">
        <f>J70*(1+0.01*growthrate!$E$3)^5</f>
        <v>168609.85885786411</v>
      </c>
      <c r="P70" s="4">
        <f>K70*(1+0.01*growthrate!$E$3)^5</f>
        <v>1728499.1036311407</v>
      </c>
      <c r="Q70" s="4">
        <f>L70*(1+0.01*growthrate!$E$3)^5</f>
        <v>479981.28855210985</v>
      </c>
      <c r="R70" s="4">
        <f>M70*(1+0.01*growthrate!$E$3)^5</f>
        <v>1038292.1015220886</v>
      </c>
      <c r="S70" s="12">
        <f>N70*(1+0.01*growthrate!$F$3)^10</f>
        <v>1623515.2960669687</v>
      </c>
      <c r="T70" s="4">
        <f>O70*(1+0.01*growthrate!$F$3)^10</f>
        <v>180791.35943157005</v>
      </c>
      <c r="U70" s="4">
        <f>P70*(1+0.01*growthrate!$F$3)^10</f>
        <v>1853377.4053221624</v>
      </c>
      <c r="V70" s="4">
        <f>Q70*(1+0.01*growthrate!$F$3)^10</f>
        <v>514658.33757801825</v>
      </c>
      <c r="W70" s="4">
        <f>R70*(1+0.01*growthrate!$F$3)^10</f>
        <v>1113305.2467559492</v>
      </c>
    </row>
    <row r="71" spans="1:23" x14ac:dyDescent="0.2">
      <c r="A71" s="2" t="s">
        <v>149</v>
      </c>
      <c r="B71" s="8" t="s">
        <v>150</v>
      </c>
      <c r="C71" s="4" t="s">
        <v>779</v>
      </c>
      <c r="D71" s="5">
        <v>3098041</v>
      </c>
      <c r="E71" s="5">
        <v>4474011</v>
      </c>
      <c r="F71" s="5">
        <v>7572052</v>
      </c>
      <c r="G71" s="5">
        <v>10622716</v>
      </c>
      <c r="H71" s="14">
        <v>4053352</v>
      </c>
      <c r="I71" s="12">
        <f>D71*(1+0.01*growthrate!E72)^2</f>
        <v>3098041</v>
      </c>
      <c r="J71" s="4">
        <f>E71*(1+0.01*growthrate!$E$3)^2</f>
        <v>4609237.9824749986</v>
      </c>
      <c r="K71" s="4">
        <f>F71*(1+0.01*growthrate!$E$3)^2</f>
        <v>7800917.2716999976</v>
      </c>
      <c r="L71" s="4">
        <f>G71*(1+0.01*growthrate!$E$3)^2</f>
        <v>10943787.591099998</v>
      </c>
      <c r="M71" s="4">
        <f>H71*(1+0.01*growthrate!$E$3)^2</f>
        <v>4175864.564199999</v>
      </c>
      <c r="N71" s="12">
        <f>I71*(1+0.01*growthrate!$E$3)^5</f>
        <v>3337470.0126779508</v>
      </c>
      <c r="O71" s="4">
        <f>J71*(1+0.01*growthrate!$E$3)^5</f>
        <v>4965458.3486166019</v>
      </c>
      <c r="P71" s="4">
        <f>K71*(1+0.01*growthrate!$E$3)^5</f>
        <v>8403803.3924277425</v>
      </c>
      <c r="Q71" s="4">
        <f>L71*(1+0.01*growthrate!$E$3)^5</f>
        <v>11789567.313800337</v>
      </c>
      <c r="R71" s="4">
        <f>M71*(1+0.01*growthrate!$E$3)^5</f>
        <v>4498592.0974002527</v>
      </c>
      <c r="S71" s="12">
        <f>N71*(1+0.01*growthrate!$F$3)^10</f>
        <v>3578591.1022130228</v>
      </c>
      <c r="T71" s="4">
        <f>O71*(1+0.01*growthrate!$F$3)^10</f>
        <v>5324196.1717315344</v>
      </c>
      <c r="U71" s="4">
        <f>P71*(1+0.01*growthrate!$F$3)^10</f>
        <v>9010950.1900089439</v>
      </c>
      <c r="V71" s="4">
        <f>Q71*(1+0.01*growthrate!$F$3)^10</f>
        <v>12641324.274927201</v>
      </c>
      <c r="W71" s="4">
        <f>R71*(1+0.01*growthrate!$F$3)^10</f>
        <v>4823600.3892436475</v>
      </c>
    </row>
    <row r="72" spans="1:23" x14ac:dyDescent="0.2">
      <c r="A72" s="2" t="s">
        <v>151</v>
      </c>
      <c r="B72" s="8" t="s">
        <v>152</v>
      </c>
      <c r="C72" s="4" t="s">
        <v>779</v>
      </c>
      <c r="D72" s="5">
        <v>1217207</v>
      </c>
      <c r="E72" s="5">
        <v>4381619</v>
      </c>
      <c r="F72" s="5">
        <v>5598826</v>
      </c>
      <c r="G72" s="5">
        <v>2031417</v>
      </c>
      <c r="H72" s="14">
        <v>407426</v>
      </c>
      <c r="I72" s="12">
        <f>D72*(1+0.01*growthrate!E73)^2</f>
        <v>1217207</v>
      </c>
      <c r="J72" s="4">
        <f>E72*(1+0.01*growthrate!$E$3)^2</f>
        <v>4514053.4342749985</v>
      </c>
      <c r="K72" s="4">
        <f>F72*(1+0.01*growthrate!$E$3)^2</f>
        <v>5768050.5158499982</v>
      </c>
      <c r="L72" s="4">
        <f>G72*(1+0.01*growthrate!$E$3)^2</f>
        <v>2092816.5788249995</v>
      </c>
      <c r="M72" s="4">
        <f>H72*(1+0.01*growthrate!$E$3)^2</f>
        <v>419740.45084999991</v>
      </c>
      <c r="N72" s="12">
        <f>I72*(1+0.01*growthrate!$E$3)^5</f>
        <v>1311277.6305160876</v>
      </c>
      <c r="O72" s="4">
        <f>J72*(1+0.01*growthrate!$E$3)^5</f>
        <v>4862917.5574237807</v>
      </c>
      <c r="P72" s="4">
        <f>K72*(1+0.01*growthrate!$E$3)^5</f>
        <v>6213828.5543222167</v>
      </c>
      <c r="Q72" s="4">
        <f>L72*(1+0.01*growthrate!$E$3)^5</f>
        <v>2254557.8234321936</v>
      </c>
      <c r="R72" s="4">
        <f>M72*(1+0.01*growthrate!$E$3)^5</f>
        <v>452179.67348392034</v>
      </c>
      <c r="S72" s="12">
        <f>N72*(1+0.01*growthrate!$F$3)^10</f>
        <v>1406013.0707603311</v>
      </c>
      <c r="T72" s="4">
        <f>O72*(1+0.01*growthrate!$F$3)^10</f>
        <v>5214247.1499927361</v>
      </c>
      <c r="U72" s="4">
        <f>P72*(1+0.01*growthrate!$F$3)^10</f>
        <v>6662756.9658167977</v>
      </c>
      <c r="V72" s="4">
        <f>Q72*(1+0.01*growthrate!$F$3)^10</f>
        <v>2417442.1150485231</v>
      </c>
      <c r="W72" s="4">
        <f>R72*(1+0.01*growthrate!$F$3)^10</f>
        <v>484848.14844306203</v>
      </c>
    </row>
    <row r="73" spans="1:23" x14ac:dyDescent="0.2">
      <c r="A73" s="2" t="s">
        <v>153</v>
      </c>
      <c r="B73" s="8" t="s">
        <v>154</v>
      </c>
      <c r="C73" s="4" t="s">
        <v>779</v>
      </c>
      <c r="D73" s="5">
        <v>5073</v>
      </c>
      <c r="E73" s="5">
        <v>117235</v>
      </c>
      <c r="F73" s="5">
        <v>122308</v>
      </c>
      <c r="G73" s="5">
        <v>41204</v>
      </c>
      <c r="H73" s="14">
        <v>55511</v>
      </c>
      <c r="I73" s="12">
        <f>D73*(1+0.01*growthrate!E74)^2</f>
        <v>5073</v>
      </c>
      <c r="J73" s="4">
        <f>E73*(1+0.01*growthrate!$E$3)^2</f>
        <v>120778.42787499996</v>
      </c>
      <c r="K73" s="4">
        <f>F73*(1+0.01*growthrate!$E$3)^2</f>
        <v>126004.75929999996</v>
      </c>
      <c r="L73" s="4">
        <f>G73*(1+0.01*growthrate!$E$3)^2</f>
        <v>42449.390899999991</v>
      </c>
      <c r="M73" s="4">
        <f>H73*(1+0.01*growthrate!$E$3)^2</f>
        <v>57188.819974999984</v>
      </c>
      <c r="N73" s="12">
        <f>I73*(1+0.01*growthrate!$E$3)^5</f>
        <v>5465.0617517054307</v>
      </c>
      <c r="O73" s="4">
        <f>J73*(1+0.01*growthrate!$E$3)^5</f>
        <v>130112.66836404009</v>
      </c>
      <c r="P73" s="4">
        <f>K73*(1+0.01*growthrate!$E$3)^5</f>
        <v>135742.91160719079</v>
      </c>
      <c r="Q73" s="4">
        <f>L73*(1+0.01*growthrate!$E$3)^5</f>
        <v>45730.04979120491</v>
      </c>
      <c r="R73" s="4">
        <f>M73*(1+0.01*growthrate!$E$3)^5</f>
        <v>61608.600960090662</v>
      </c>
      <c r="S73" s="12">
        <f>N73*(1+0.01*growthrate!$F$3)^10</f>
        <v>5859.8942562498896</v>
      </c>
      <c r="T73" s="4">
        <f>O73*(1+0.01*growthrate!$F$3)^10</f>
        <v>139512.87517910582</v>
      </c>
      <c r="U73" s="4">
        <f>P73*(1+0.01*growthrate!$F$3)^10</f>
        <v>145549.88473925085</v>
      </c>
      <c r="V73" s="4">
        <f>Q73*(1+0.01*growthrate!$F$3)^10</f>
        <v>49033.893537594377</v>
      </c>
      <c r="W73" s="4">
        <f>R73*(1+0.01*growthrate!$F$3)^10</f>
        <v>66059.617128565209</v>
      </c>
    </row>
    <row r="74" spans="1:23" x14ac:dyDescent="0.2">
      <c r="A74" s="2" t="s">
        <v>155</v>
      </c>
      <c r="B74" s="8" t="s">
        <v>156</v>
      </c>
      <c r="C74" s="4" t="s">
        <v>779</v>
      </c>
      <c r="D74" s="5">
        <v>9093</v>
      </c>
      <c r="E74" s="5">
        <v>132402</v>
      </c>
      <c r="F74" s="5">
        <v>141495</v>
      </c>
      <c r="G74" s="5">
        <v>84619</v>
      </c>
      <c r="H74" s="14">
        <v>39174</v>
      </c>
      <c r="I74" s="12">
        <f>D74*(1+0.01*growthrate!E75)^2</f>
        <v>9093</v>
      </c>
      <c r="J74" s="4">
        <f>E74*(1+0.01*growthrate!$E$3)^2</f>
        <v>136403.85044999997</v>
      </c>
      <c r="K74" s="4">
        <f>F74*(1+0.01*growthrate!$E$3)^2</f>
        <v>145771.68637499996</v>
      </c>
      <c r="L74" s="4">
        <f>G74*(1+0.01*growthrate!$E$3)^2</f>
        <v>87176.609274999981</v>
      </c>
      <c r="M74" s="4">
        <f>H74*(1+0.01*growthrate!$E$3)^2</f>
        <v>40358.034149999992</v>
      </c>
      <c r="N74" s="12">
        <f>I74*(1+0.01*growthrate!$E$3)^5</f>
        <v>9795.7434473206158</v>
      </c>
      <c r="O74" s="4">
        <f>J74*(1+0.01*growthrate!$E$3)^5</f>
        <v>146945.68615802139</v>
      </c>
      <c r="P74" s="4">
        <f>K74*(1+0.01*growthrate!$E$3)^5</f>
        <v>157037.50595103725</v>
      </c>
      <c r="Q74" s="4">
        <f>L74*(1+0.01*growthrate!$E$3)^5</f>
        <v>93913.966684835657</v>
      </c>
      <c r="R74" s="4">
        <f>M74*(1+0.01*growthrate!$E$3)^5</f>
        <v>43477.064618014301</v>
      </c>
      <c r="S74" s="12">
        <f>N74*(1+0.01*growthrate!$F$3)^10</f>
        <v>10503.45327657801</v>
      </c>
      <c r="T74" s="4">
        <f>O74*(1+0.01*growthrate!$F$3)^10</f>
        <v>157562.02242900134</v>
      </c>
      <c r="U74" s="4">
        <f>P74*(1+0.01*growthrate!$F$3)^10</f>
        <v>168382.94258086389</v>
      </c>
      <c r="V74" s="4">
        <f>Q74*(1+0.01*growthrate!$F$3)^10</f>
        <v>100698.93790063339</v>
      </c>
      <c r="W74" s="4">
        <f>R74*(1+0.01*growthrate!$F$3)^10</f>
        <v>46618.137691528056</v>
      </c>
    </row>
    <row r="75" spans="1:23" x14ac:dyDescent="0.2">
      <c r="A75" s="2" t="s">
        <v>157</v>
      </c>
      <c r="B75" s="8" t="s">
        <v>158</v>
      </c>
      <c r="C75" s="4" t="s">
        <v>779</v>
      </c>
      <c r="D75" s="5">
        <v>790011</v>
      </c>
      <c r="E75" s="5">
        <v>692958</v>
      </c>
      <c r="F75" s="5">
        <v>1482969</v>
      </c>
      <c r="G75" s="5">
        <v>1197148</v>
      </c>
      <c r="H75" s="14">
        <v>782579</v>
      </c>
      <c r="I75" s="12">
        <f>D75*(1+0.01*growthrate!E76)^2</f>
        <v>790011</v>
      </c>
      <c r="J75" s="4">
        <f>E75*(1+0.01*growthrate!$E$3)^2</f>
        <v>713902.65554999979</v>
      </c>
      <c r="K75" s="4">
        <f>F75*(1+0.01*growthrate!$E$3)^2</f>
        <v>1527791.7380249996</v>
      </c>
      <c r="L75" s="4">
        <f>G75*(1+0.01*growthrate!$E$3)^2</f>
        <v>1233331.7982999997</v>
      </c>
      <c r="M75" s="4">
        <f>H75*(1+0.01*growthrate!$E$3)^2</f>
        <v>806232.45027499984</v>
      </c>
      <c r="N75" s="12">
        <f>I75*(1+0.01*growthrate!$E$3)^5</f>
        <v>851066.21319269843</v>
      </c>
      <c r="O75" s="4">
        <f>J75*(1+0.01*growthrate!$E$3)^5</f>
        <v>769075.91115459113</v>
      </c>
      <c r="P75" s="4">
        <f>K75*(1+0.01*growthrate!$E$3)^5</f>
        <v>1645865.6006410387</v>
      </c>
      <c r="Q75" s="4">
        <f>L75*(1+0.01*growthrate!$E$3)^5</f>
        <v>1328648.6177905393</v>
      </c>
      <c r="R75" s="4">
        <f>M75*(1+0.01*growthrate!$E$3)^5</f>
        <v>868541.32209376153</v>
      </c>
      <c r="S75" s="12">
        <f>N75*(1+0.01*growthrate!$F$3)^10</f>
        <v>912552.9117433927</v>
      </c>
      <c r="T75" s="4">
        <f>O75*(1+0.01*growthrate!$F$3)^10</f>
        <v>824639.08353616938</v>
      </c>
      <c r="U75" s="4">
        <f>P75*(1+0.01*growthrate!$F$3)^10</f>
        <v>1764773.907037006</v>
      </c>
      <c r="V75" s="4">
        <f>Q75*(1+0.01*growthrate!$F$3)^10</f>
        <v>1424639.0539933995</v>
      </c>
      <c r="W75" s="4">
        <f>R75*(1+0.01*growthrate!$F$3)^10</f>
        <v>931290.53904371103</v>
      </c>
    </row>
    <row r="76" spans="1:23" x14ac:dyDescent="0.2">
      <c r="A76" s="2" t="s">
        <v>159</v>
      </c>
      <c r="B76" s="8" t="s">
        <v>160</v>
      </c>
      <c r="C76" s="4" t="s">
        <v>779</v>
      </c>
      <c r="D76" s="5">
        <v>291158</v>
      </c>
      <c r="E76" s="5">
        <v>-11111</v>
      </c>
      <c r="F76" s="5">
        <v>280047</v>
      </c>
      <c r="G76" s="5">
        <v>1464280</v>
      </c>
      <c r="H76" s="14">
        <v>223565</v>
      </c>
      <c r="I76" s="12">
        <f>D76*(1+0.01*growthrate!E77)^2</f>
        <v>291158</v>
      </c>
      <c r="J76" s="4">
        <f>E76*(1+0.01*growthrate!$E$3)^2</f>
        <v>-11446.829974999997</v>
      </c>
      <c r="K76" s="4">
        <f>F76*(1+0.01*growthrate!$E$3)^2</f>
        <v>288511.42057499994</v>
      </c>
      <c r="L76" s="4">
        <f>G76*(1+0.01*growthrate!$E$3)^2</f>
        <v>1508537.8629999997</v>
      </c>
      <c r="M76" s="4">
        <f>H76*(1+0.01*growthrate!$E$3)^2</f>
        <v>230322.25212499994</v>
      </c>
      <c r="N76" s="12">
        <f>I76*(1+0.01*growthrate!$E$3)^5</f>
        <v>313659.85600296664</v>
      </c>
      <c r="O76" s="4">
        <f>J76*(1+0.01*growthrate!$E$3)^5</f>
        <v>-12331.486827251669</v>
      </c>
      <c r="P76" s="4">
        <f>K76*(1+0.01*growthrate!$E$3)^5</f>
        <v>310808.73832340457</v>
      </c>
      <c r="Q76" s="4">
        <f>L76*(1+0.01*growthrate!$E$3)^5</f>
        <v>1625123.7090638173</v>
      </c>
      <c r="R76" s="4">
        <f>M76*(1+0.01*growthrate!$E$3)^5</f>
        <v>248122.47795288626</v>
      </c>
      <c r="S76" s="12">
        <f>N76*(1+0.01*growthrate!$F$3)^10</f>
        <v>336320.73563201365</v>
      </c>
      <c r="T76" s="4">
        <f>O76*(1+0.01*growthrate!$F$3)^10</f>
        <v>-13222.395667804365</v>
      </c>
      <c r="U76" s="4">
        <f>P76*(1+0.01*growthrate!$F$3)^10</f>
        <v>333263.63419868681</v>
      </c>
      <c r="V76" s="4">
        <f>Q76*(1+0.01*growthrate!$F$3)^10</f>
        <v>1742533.4828955608</v>
      </c>
      <c r="W76" s="4">
        <f>R76*(1+0.01*growthrate!$F$3)^10</f>
        <v>266048.50035754504</v>
      </c>
    </row>
    <row r="77" spans="1:23" x14ac:dyDescent="0.2">
      <c r="A77" s="2" t="s">
        <v>161</v>
      </c>
      <c r="B77" s="8" t="s">
        <v>162</v>
      </c>
      <c r="C77" s="4" t="s">
        <v>779</v>
      </c>
      <c r="D77" s="5">
        <v>57485</v>
      </c>
      <c r="E77" s="5">
        <v>-1407</v>
      </c>
      <c r="F77" s="5">
        <v>56078</v>
      </c>
      <c r="G77" s="5">
        <v>4479</v>
      </c>
      <c r="H77" s="14">
        <v>3552</v>
      </c>
      <c r="I77" s="12">
        <f>D77*(1+0.01*growthrate!E78)^2</f>
        <v>57485</v>
      </c>
      <c r="J77" s="4">
        <f>E77*(1+0.01*growthrate!$E$3)^2</f>
        <v>-1449.5265749999996</v>
      </c>
      <c r="K77" s="4">
        <f>F77*(1+0.01*growthrate!$E$3)^2</f>
        <v>57772.957549999985</v>
      </c>
      <c r="L77" s="4">
        <f>G77*(1+0.01*growthrate!$E$3)^2</f>
        <v>4614.377774999999</v>
      </c>
      <c r="M77" s="4">
        <f>H77*(1+0.01*growthrate!$E$3)^2</f>
        <v>3659.359199999999</v>
      </c>
      <c r="N77" s="12">
        <f>I77*(1+0.01*growthrate!$E$3)^5</f>
        <v>61927.670963293254</v>
      </c>
      <c r="O77" s="4">
        <f>J77*(1+0.01*growthrate!$E$3)^5</f>
        <v>-1561.5517924528033</v>
      </c>
      <c r="P77" s="4">
        <f>K77*(1+0.01*growthrate!$E$3)^5</f>
        <v>62237.883025705974</v>
      </c>
      <c r="Q77" s="4">
        <f>L77*(1+0.01*growthrate!$E$3)^5</f>
        <v>4970.9953648870696</v>
      </c>
      <c r="R77" s="4">
        <f>M77*(1+0.01*growthrate!$E$3)^5</f>
        <v>3942.1691306271196</v>
      </c>
      <c r="S77" s="12">
        <f>N77*(1+0.01*growthrate!$F$3)^10</f>
        <v>66401.738876507967</v>
      </c>
      <c r="T77" s="4">
        <f>O77*(1+0.01*growthrate!$F$3)^10</f>
        <v>-1674.3687071011377</v>
      </c>
      <c r="U77" s="4">
        <f>P77*(1+0.01*growthrate!$F$3)^10</f>
        <v>66734.362726949257</v>
      </c>
      <c r="V77" s="4">
        <f>Q77*(1+0.01*growthrate!$F$3)^10</f>
        <v>5330.1332189808081</v>
      </c>
      <c r="W77" s="4">
        <f>R77*(1+0.01*growthrate!$F$3)^10</f>
        <v>4226.977716860868</v>
      </c>
    </row>
    <row r="78" spans="1:23" x14ac:dyDescent="0.2">
      <c r="A78" s="2" t="s">
        <v>163</v>
      </c>
      <c r="B78" s="8" t="s">
        <v>164</v>
      </c>
      <c r="C78" s="4" t="s">
        <v>779</v>
      </c>
      <c r="D78" s="5">
        <v>35132</v>
      </c>
      <c r="E78" s="5">
        <v>7259089</v>
      </c>
      <c r="F78" s="5">
        <v>7294221</v>
      </c>
      <c r="G78" s="5">
        <v>482444</v>
      </c>
      <c r="H78" s="14">
        <v>309722</v>
      </c>
      <c r="I78" s="12">
        <f>D78*(1+0.01*growthrate!E79)^2</f>
        <v>35132</v>
      </c>
      <c r="J78" s="4">
        <f>E78*(1+0.01*growthrate!$E$3)^2</f>
        <v>7478494.9650249984</v>
      </c>
      <c r="K78" s="4">
        <f>F78*(1+0.01*growthrate!$E$3)^2</f>
        <v>7514688.8297249982</v>
      </c>
      <c r="L78" s="4">
        <f>G78*(1+0.01*growthrate!$E$3)^2</f>
        <v>497025.86989999987</v>
      </c>
      <c r="M78" s="4">
        <f>H78*(1+0.01*growthrate!$E$3)^2</f>
        <v>319083.34744999994</v>
      </c>
      <c r="N78" s="12">
        <f>I78*(1+0.01*growthrate!$E$3)^5</f>
        <v>37847.141624465839</v>
      </c>
      <c r="O78" s="4">
        <f>J78*(1+0.01*growthrate!$E$3)^5</f>
        <v>8056462.9989512637</v>
      </c>
      <c r="P78" s="4">
        <f>K78*(1+0.01*growthrate!$E$3)^5</f>
        <v>8095454.0704313293</v>
      </c>
      <c r="Q78" s="4">
        <f>L78*(1+0.01*growthrate!$E$3)^5</f>
        <v>535438.01915998594</v>
      </c>
      <c r="R78" s="4">
        <f>M78*(1+0.01*growthrate!$E$3)^5</f>
        <v>343743.38611376489</v>
      </c>
      <c r="S78" s="12">
        <f>N78*(1+0.01*growthrate!$F$3)^10</f>
        <v>40581.471517952123</v>
      </c>
      <c r="T78" s="4">
        <f>O78*(1+0.01*growthrate!$F$3)^10</f>
        <v>8638515.6102786716</v>
      </c>
      <c r="U78" s="4">
        <f>P78*(1+0.01*growthrate!$F$3)^10</f>
        <v>8680323.6567732543</v>
      </c>
      <c r="V78" s="4">
        <f>Q78*(1+0.01*growthrate!$F$3)^10</f>
        <v>574121.632216561</v>
      </c>
      <c r="W78" s="4">
        <f>R78*(1+0.01*growthrate!$F$3)^10</f>
        <v>368577.70056913904</v>
      </c>
    </row>
    <row r="79" spans="1:23" x14ac:dyDescent="0.2">
      <c r="A79" s="2" t="s">
        <v>165</v>
      </c>
      <c r="B79" s="8" t="s">
        <v>166</v>
      </c>
      <c r="C79" s="4" t="s">
        <v>779</v>
      </c>
      <c r="D79" s="5">
        <v>979512</v>
      </c>
      <c r="E79" s="5">
        <v>4834862</v>
      </c>
      <c r="F79" s="5">
        <v>5814374</v>
      </c>
      <c r="G79" s="5">
        <v>1114262</v>
      </c>
      <c r="H79" s="14">
        <v>601929</v>
      </c>
      <c r="I79" s="12">
        <f>D79*(1+0.01*growthrate!E80)^2</f>
        <v>979512</v>
      </c>
      <c r="J79" s="4">
        <f>E79*(1+0.01*growthrate!$E$3)^2</f>
        <v>4980995.7039499991</v>
      </c>
      <c r="K79" s="4">
        <f>F79*(1+0.01*growthrate!$E$3)^2</f>
        <v>5990113.4541499987</v>
      </c>
      <c r="L79" s="4">
        <f>G79*(1+0.01*growthrate!$E$3)^2</f>
        <v>1147940.5689499998</v>
      </c>
      <c r="M79" s="4">
        <f>H79*(1+0.01*growthrate!$E$3)^2</f>
        <v>620122.30402499984</v>
      </c>
      <c r="N79" s="12">
        <f>I79*(1+0.01*growthrate!$E$3)^5</f>
        <v>1055212.6092127913</v>
      </c>
      <c r="O79" s="4">
        <f>J79*(1+0.01*growthrate!$E$3)^5</f>
        <v>5365946.9952821229</v>
      </c>
      <c r="P79" s="4">
        <f>K79*(1+0.01*growthrate!$E$3)^5</f>
        <v>6453053.40560837</v>
      </c>
      <c r="Q79" s="4">
        <f>L79*(1+0.01*growthrate!$E$3)^5</f>
        <v>1236658.0123397624</v>
      </c>
      <c r="R79" s="4">
        <f>M79*(1+0.01*growthrate!$E$3)^5</f>
        <v>668047.83857805503</v>
      </c>
      <c r="S79" s="12">
        <f>N79*(1+0.01*growthrate!$F$3)^10</f>
        <v>1131448.2047561288</v>
      </c>
      <c r="T79" s="4">
        <f>O79*(1+0.01*growthrate!$F$3)^10</f>
        <v>5753618.788878765</v>
      </c>
      <c r="U79" s="4">
        <f>P79*(1+0.01*growthrate!$F$3)^10</f>
        <v>6919265.0156236477</v>
      </c>
      <c r="V79" s="4">
        <f>Q79*(1+0.01*growthrate!$F$3)^10</f>
        <v>1326002.4337682503</v>
      </c>
      <c r="W79" s="4">
        <f>R79*(1+0.01*growthrate!$F$3)^10</f>
        <v>716312.06929401623</v>
      </c>
    </row>
    <row r="80" spans="1:23" x14ac:dyDescent="0.2">
      <c r="A80" s="2" t="s">
        <v>167</v>
      </c>
      <c r="B80" s="8" t="s">
        <v>168</v>
      </c>
      <c r="C80" s="4" t="s">
        <v>779</v>
      </c>
      <c r="D80" s="5">
        <v>76166</v>
      </c>
      <c r="E80" s="5">
        <v>13054</v>
      </c>
      <c r="F80" s="5">
        <v>89220</v>
      </c>
      <c r="G80" s="5">
        <v>77203</v>
      </c>
      <c r="H80" s="14">
        <v>70055</v>
      </c>
      <c r="I80" s="12">
        <f>D80*(1+0.01*growthrate!E81)^2</f>
        <v>76166</v>
      </c>
      <c r="J80" s="4">
        <f>E80*(1+0.01*growthrate!$E$3)^2</f>
        <v>13448.557149999997</v>
      </c>
      <c r="K80" s="4">
        <f>F80*(1+0.01*growthrate!$E$3)^2</f>
        <v>91916.674499999979</v>
      </c>
      <c r="L80" s="4">
        <f>G80*(1+0.01*growthrate!$E$3)^2</f>
        <v>79536.46067499998</v>
      </c>
      <c r="M80" s="4">
        <f>H80*(1+0.01*growthrate!$E$3)^2</f>
        <v>72172.412374999985</v>
      </c>
      <c r="N80" s="12">
        <f>I80*(1+0.01*growthrate!$E$3)^5</f>
        <v>82052.41343985725</v>
      </c>
      <c r="O80" s="4">
        <f>J80*(1+0.01*growthrate!$E$3)^5</f>
        <v>14487.915493019826</v>
      </c>
      <c r="P80" s="4">
        <f>K80*(1+0.01*growthrate!$E$3)^5</f>
        <v>99020.363129096746</v>
      </c>
      <c r="Q80" s="4">
        <f>L80*(1+0.01*growthrate!$E$3)^5</f>
        <v>85683.356810756057</v>
      </c>
      <c r="R80" s="4">
        <f>M80*(1+0.01*growthrate!$E$3)^5</f>
        <v>77750.185373334141</v>
      </c>
      <c r="S80" s="12">
        <f>N80*(1+0.01*growthrate!$F$3)^10</f>
        <v>87980.426950823792</v>
      </c>
      <c r="T80" s="4">
        <f>O80*(1+0.01*growthrate!$F$3)^10</f>
        <v>15534.619120467842</v>
      </c>
      <c r="U80" s="4">
        <f>P80*(1+0.01*growthrate!$F$3)^10</f>
        <v>106174.25447588025</v>
      </c>
      <c r="V80" s="4">
        <f>Q80*(1+0.01*growthrate!$F$3)^10</f>
        <v>91873.69388367387</v>
      </c>
      <c r="W80" s="4">
        <f>R80*(1+0.01*growthrate!$F$3)^10</f>
        <v>83367.37723949553</v>
      </c>
    </row>
    <row r="81" spans="1:23" x14ac:dyDescent="0.2">
      <c r="A81" s="2" t="s">
        <v>169</v>
      </c>
      <c r="B81" s="8" t="s">
        <v>170</v>
      </c>
      <c r="C81" s="4" t="s">
        <v>779</v>
      </c>
      <c r="D81" s="5">
        <v>1704718</v>
      </c>
      <c r="E81" s="5">
        <v>36004</v>
      </c>
      <c r="F81" s="5">
        <v>1740722</v>
      </c>
      <c r="G81" s="5">
        <v>444675</v>
      </c>
      <c r="H81" s="14">
        <v>743480</v>
      </c>
      <c r="I81" s="12">
        <f>D81*(1+0.01*growthrate!E82)^2</f>
        <v>1704718</v>
      </c>
      <c r="J81" s="4">
        <f>E81*(1+0.01*growthrate!$E$3)^2</f>
        <v>37092.220899999993</v>
      </c>
      <c r="K81" s="4">
        <f>F81*(1+0.01*growthrate!$E$3)^2</f>
        <v>1793335.3224499996</v>
      </c>
      <c r="L81" s="4">
        <f>G81*(1+0.01*growthrate!$E$3)^2</f>
        <v>458115.30187499989</v>
      </c>
      <c r="M81" s="4">
        <f>H81*(1+0.01*growthrate!$E$3)^2</f>
        <v>765951.68299999984</v>
      </c>
      <c r="N81" s="12">
        <f>I81*(1+0.01*growthrate!$E$3)^5</f>
        <v>1836465.4325337627</v>
      </c>
      <c r="O81" s="4">
        <f>J81*(1+0.01*growthrate!$E$3)^5</f>
        <v>39958.856244115661</v>
      </c>
      <c r="P81" s="4">
        <f>K81*(1+0.01*growthrate!$E$3)^5</f>
        <v>1931931.4564762111</v>
      </c>
      <c r="Q81" s="4">
        <f>L81*(1+0.01*growthrate!$E$3)^5</f>
        <v>493520.2866445987</v>
      </c>
      <c r="R81" s="4">
        <f>M81*(1+0.01*growthrate!$E$3)^5</f>
        <v>825147.49584421481</v>
      </c>
      <c r="S81" s="12">
        <f>N81*(1+0.01*growthrate!$F$3)^10</f>
        <v>1969143.9417949533</v>
      </c>
      <c r="T81" s="4">
        <f>O81*(1+0.01*growthrate!$F$3)^10</f>
        <v>42845.750483631396</v>
      </c>
      <c r="U81" s="4">
        <f>P81*(1+0.01*growthrate!$F$3)^10</f>
        <v>2071507.067919337</v>
      </c>
      <c r="V81" s="4">
        <f>Q81*(1+0.01*growthrate!$F$3)^10</f>
        <v>529175.48317711335</v>
      </c>
      <c r="W81" s="4">
        <f>R81*(1+0.01*growthrate!$F$3)^10</f>
        <v>884761.65341546119</v>
      </c>
    </row>
    <row r="82" spans="1:23" x14ac:dyDescent="0.2">
      <c r="A82" s="2" t="s">
        <v>171</v>
      </c>
      <c r="B82" s="8" t="s">
        <v>172</v>
      </c>
      <c r="C82" s="4" t="s">
        <v>779</v>
      </c>
      <c r="D82" s="5">
        <v>1017131</v>
      </c>
      <c r="E82" s="5">
        <v>-11091</v>
      </c>
      <c r="F82" s="5">
        <v>1006040</v>
      </c>
      <c r="G82" s="5">
        <v>160306</v>
      </c>
      <c r="H82" s="14">
        <v>181362</v>
      </c>
      <c r="I82" s="12">
        <f>D82*(1+0.01*growthrate!E83)^2</f>
        <v>1017131</v>
      </c>
      <c r="J82" s="4">
        <f>E82*(1+0.01*growthrate!$E$3)^2</f>
        <v>-11426.225474999997</v>
      </c>
      <c r="K82" s="4">
        <f>F82*(1+0.01*growthrate!$E$3)^2</f>
        <v>1036447.5589999998</v>
      </c>
      <c r="L82" s="4">
        <f>G82*(1+0.01*growthrate!$E$3)^2</f>
        <v>165151.24884999995</v>
      </c>
      <c r="M82" s="4">
        <f>H82*(1+0.01*growthrate!$E$3)^2</f>
        <v>186843.66644999996</v>
      </c>
      <c r="N82" s="12">
        <f>I82*(1+0.01*growthrate!$E$3)^5</f>
        <v>1095738.9561549176</v>
      </c>
      <c r="O82" s="4">
        <f>J82*(1+0.01*growthrate!$E$3)^5</f>
        <v>-12309.289928993634</v>
      </c>
      <c r="P82" s="4">
        <f>K82*(1+0.01*growthrate!$E$3)^5</f>
        <v>1116548.376175706</v>
      </c>
      <c r="Q82" s="4">
        <f>L82*(1+0.01*growthrate!$E$3)^5</f>
        <v>177914.79860763261</v>
      </c>
      <c r="R82" s="4">
        <f>M82*(1+0.01*growthrate!$E$3)^5</f>
        <v>201283.69309369251</v>
      </c>
      <c r="S82" s="12">
        <f>N82*(1+0.01*growthrate!$F$3)^10</f>
        <v>1174902.44525009</v>
      </c>
      <c r="T82" s="4">
        <f>O82*(1+0.01*growthrate!$F$3)^10</f>
        <v>-13198.595117596817</v>
      </c>
      <c r="U82" s="4">
        <f>P82*(1+0.01*growthrate!$F$3)^10</f>
        <v>1197215.2765401769</v>
      </c>
      <c r="V82" s="4">
        <f>Q82*(1+0.01*growthrate!$F$3)^10</f>
        <v>190768.55007857498</v>
      </c>
      <c r="W82" s="4">
        <f>R82*(1+0.01*growthrate!$F$3)^10</f>
        <v>215825.76933708359</v>
      </c>
    </row>
    <row r="83" spans="1:23" x14ac:dyDescent="0.2">
      <c r="A83" s="2" t="s">
        <v>173</v>
      </c>
      <c r="B83" s="8" t="s">
        <v>174</v>
      </c>
      <c r="C83" s="4" t="s">
        <v>779</v>
      </c>
      <c r="D83" s="5">
        <v>343065</v>
      </c>
      <c r="E83" s="5">
        <v>514</v>
      </c>
      <c r="F83" s="5">
        <v>343579</v>
      </c>
      <c r="G83" s="5">
        <v>85207</v>
      </c>
      <c r="H83" s="14">
        <v>221869</v>
      </c>
      <c r="I83" s="12">
        <f>D83*(1+0.01*growthrate!E84)^2</f>
        <v>343065</v>
      </c>
      <c r="J83" s="4">
        <f>E83*(1+0.01*growthrate!$E$3)^2</f>
        <v>529.53564999999981</v>
      </c>
      <c r="K83" s="4">
        <f>F83*(1+0.01*growthrate!$E$3)^2</f>
        <v>353963.67527499993</v>
      </c>
      <c r="L83" s="4">
        <f>G83*(1+0.01*growthrate!$E$3)^2</f>
        <v>87782.381574999978</v>
      </c>
      <c r="M83" s="4">
        <f>H83*(1+0.01*growthrate!$E$3)^2</f>
        <v>228574.99052499994</v>
      </c>
      <c r="N83" s="12">
        <f>I83*(1+0.01*growthrate!$E$3)^5</f>
        <v>369578.43679259287</v>
      </c>
      <c r="O83" s="4">
        <f>J83*(1+0.01*growthrate!$E$3)^5</f>
        <v>570.46028523151449</v>
      </c>
      <c r="P83" s="4">
        <f>K83*(1+0.01*growthrate!$E$3)^5</f>
        <v>381319.40532988042</v>
      </c>
      <c r="Q83" s="4">
        <f>L83*(1+0.01*growthrate!$E$3)^5</f>
        <v>94566.555493621898</v>
      </c>
      <c r="R83" s="4">
        <f>M83*(1+0.01*growthrate!$E$3)^5</f>
        <v>246240.18098060484</v>
      </c>
      <c r="S83" s="12">
        <f>N83*(1+0.01*growthrate!$F$3)^10</f>
        <v>396279.24758927029</v>
      </c>
      <c r="T83" s="4">
        <f>O83*(1+0.01*growthrate!$F$3)^10</f>
        <v>611.67414033403327</v>
      </c>
      <c r="U83" s="4">
        <f>P83*(1+0.01*growthrate!$F$3)^10</f>
        <v>408868.46198798995</v>
      </c>
      <c r="V83" s="4">
        <f>Q83*(1+0.01*growthrate!$F$3)^10</f>
        <v>101398.67407673536</v>
      </c>
      <c r="W83" s="4">
        <f>R83*(1+0.01*growthrate!$F$3)^10</f>
        <v>264030.21369994478</v>
      </c>
    </row>
    <row r="84" spans="1:23" x14ac:dyDescent="0.2">
      <c r="A84" s="2" t="s">
        <v>175</v>
      </c>
      <c r="B84" s="8" t="s">
        <v>176</v>
      </c>
      <c r="C84" s="4" t="s">
        <v>779</v>
      </c>
      <c r="D84" s="5">
        <v>107230</v>
      </c>
      <c r="E84" s="5">
        <v>121</v>
      </c>
      <c r="F84" s="5">
        <v>107351</v>
      </c>
      <c r="G84" s="5">
        <v>307859</v>
      </c>
      <c r="H84" s="14">
        <v>528960</v>
      </c>
      <c r="I84" s="12">
        <f>D84*(1+0.01*growthrate!E85)^2</f>
        <v>107230</v>
      </c>
      <c r="J84" s="4">
        <f>E84*(1+0.01*growthrate!$E$3)^2</f>
        <v>124.65722499999997</v>
      </c>
      <c r="K84" s="4">
        <f>F84*(1+0.01*growthrate!$E$3)^2</f>
        <v>110595.68397499996</v>
      </c>
      <c r="L84" s="4">
        <f>G84*(1+0.01*growthrate!$E$3)^2</f>
        <v>317164.03827499994</v>
      </c>
      <c r="M84" s="4">
        <f>H84*(1+0.01*growthrate!$E$3)^2</f>
        <v>544947.81599999988</v>
      </c>
      <c r="N84" s="12">
        <f>I84*(1+0.01*growthrate!$E$3)^5</f>
        <v>115517.16373652146</v>
      </c>
      <c r="O84" s="4">
        <f>J84*(1+0.01*growthrate!$E$3)^5</f>
        <v>134.29123446111529</v>
      </c>
      <c r="P84" s="4">
        <f>K84*(1+0.01*growthrate!$E$3)^5</f>
        <v>119142.96124491889</v>
      </c>
      <c r="Q84" s="4">
        <f>L84*(1+0.01*growthrate!$E$3)^5</f>
        <v>341675.74504102889</v>
      </c>
      <c r="R84" s="4">
        <f>M84*(1+0.01*growthrate!$E$3)^5</f>
        <v>587063.56512852514</v>
      </c>
      <c r="S84" s="12">
        <f>N84*(1+0.01*growthrate!$F$3)^10</f>
        <v>123862.89396760805</v>
      </c>
      <c r="T84" s="4">
        <f>O84*(1+0.01*growthrate!$F$3)^10</f>
        <v>143.99332875567711</v>
      </c>
      <c r="U84" s="4">
        <f>P84*(1+0.01*growthrate!$F$3)^10</f>
        <v>127750.64326653464</v>
      </c>
      <c r="V84" s="4">
        <f>Q84*(1+0.01*growthrate!$F$3)^10</f>
        <v>366360.6793173058</v>
      </c>
      <c r="W84" s="4">
        <f>R84*(1+0.01*growthrate!$F$3)^10</f>
        <v>629476.9518892807</v>
      </c>
    </row>
    <row r="85" spans="1:23" x14ac:dyDescent="0.2">
      <c r="A85" s="2" t="s">
        <v>177</v>
      </c>
      <c r="B85" s="8" t="s">
        <v>178</v>
      </c>
      <c r="C85" s="4" t="s">
        <v>779</v>
      </c>
      <c r="D85" s="5">
        <v>80922</v>
      </c>
      <c r="E85" s="5">
        <v>4594</v>
      </c>
      <c r="F85" s="5">
        <v>85516</v>
      </c>
      <c r="G85" s="5">
        <v>535079</v>
      </c>
      <c r="H85" s="14">
        <v>716135</v>
      </c>
      <c r="I85" s="12">
        <f>D85*(1+0.01*growthrate!E86)^2</f>
        <v>80922</v>
      </c>
      <c r="J85" s="4">
        <f>E85*(1+0.01*growthrate!$E$3)^2</f>
        <v>4732.8536499999991</v>
      </c>
      <c r="K85" s="4">
        <f>F85*(1+0.01*growthrate!$E$3)^2</f>
        <v>88100.721099999981</v>
      </c>
      <c r="L85" s="4">
        <f>G85*(1+0.01*growthrate!$E$3)^2</f>
        <v>551251.76277499984</v>
      </c>
      <c r="M85" s="4">
        <f>H85*(1+0.01*growthrate!$E$3)^2</f>
        <v>737780.18037499976</v>
      </c>
      <c r="N85" s="12">
        <f>I85*(1+0.01*growthrate!$E$3)^5</f>
        <v>87175.976162331339</v>
      </c>
      <c r="O85" s="4">
        <f>J85*(1+0.01*growthrate!$E$3)^5</f>
        <v>5098.6275298707742</v>
      </c>
      <c r="P85" s="4">
        <f>K85*(1+0.01*growthrate!$E$3)^5</f>
        <v>94909.497571708562</v>
      </c>
      <c r="Q85" s="4">
        <f>L85*(1+0.01*growthrate!$E$3)^5</f>
        <v>593854.70615057112</v>
      </c>
      <c r="R85" s="4">
        <f>M85*(1+0.01*growthrate!$E$3)^5</f>
        <v>794798.78670091566</v>
      </c>
      <c r="S85" s="12">
        <f>N85*(1+0.01*growthrate!$F$3)^10</f>
        <v>93474.150010694575</v>
      </c>
      <c r="T85" s="4">
        <f>O85*(1+0.01*growthrate!$F$3)^10</f>
        <v>5466.9863826742203</v>
      </c>
      <c r="U85" s="4">
        <f>P85*(1+0.01*growthrate!$F$3)^10</f>
        <v>101766.39257744202</v>
      </c>
      <c r="V85" s="4">
        <f>Q85*(1+0.01*growthrate!$F$3)^10</f>
        <v>636758.73022528051</v>
      </c>
      <c r="W85" s="4">
        <f>R85*(1+0.01*growthrate!$F$3)^10</f>
        <v>852220.35114418855</v>
      </c>
    </row>
    <row r="86" spans="1:23" x14ac:dyDescent="0.2">
      <c r="A86" s="2" t="s">
        <v>179</v>
      </c>
      <c r="B86" s="8" t="s">
        <v>180</v>
      </c>
      <c r="C86" s="4" t="s">
        <v>779</v>
      </c>
      <c r="D86" s="5">
        <v>278431</v>
      </c>
      <c r="E86" s="5">
        <v>109528</v>
      </c>
      <c r="F86" s="5">
        <v>387959</v>
      </c>
      <c r="G86" s="5">
        <v>126284</v>
      </c>
      <c r="H86" s="14">
        <v>334969</v>
      </c>
      <c r="I86" s="12">
        <f>D86*(1+0.01*growthrate!E87)^2</f>
        <v>278431</v>
      </c>
      <c r="J86" s="4">
        <f>E86*(1+0.01*growthrate!$E$3)^2</f>
        <v>112838.48379999997</v>
      </c>
      <c r="K86" s="4">
        <f>F86*(1+0.01*growthrate!$E$3)^2</f>
        <v>399685.0607749999</v>
      </c>
      <c r="L86" s="4">
        <f>G86*(1+0.01*growthrate!$E$3)^2</f>
        <v>130100.93389999996</v>
      </c>
      <c r="M86" s="4">
        <f>H86*(1+0.01*growthrate!$E$3)^2</f>
        <v>345093.43802499992</v>
      </c>
      <c r="N86" s="12">
        <f>I86*(1+0.01*growthrate!$E$3)^5</f>
        <v>299949.26248553023</v>
      </c>
      <c r="O86" s="4">
        <f>J86*(1+0.01*growthrate!$E$3)^5</f>
        <v>121559.09362030607</v>
      </c>
      <c r="P86" s="4">
        <f>K86*(1+0.01*growthrate!$E$3)^5</f>
        <v>430574.32256446138</v>
      </c>
      <c r="Q86" s="4">
        <f>L86*(1+0.01*growthrate!$E$3)^5</f>
        <v>140155.65498088827</v>
      </c>
      <c r="R86" s="4">
        <f>M86*(1+0.01*growthrate!$E$3)^5</f>
        <v>371763.64062979608</v>
      </c>
      <c r="S86" s="12">
        <f>N86*(1+0.01*growthrate!$F$3)^10</f>
        <v>321619.59741019376</v>
      </c>
      <c r="T86" s="4">
        <f>O86*(1+0.01*growthrate!$F$3)^10</f>
        <v>130341.33315662645</v>
      </c>
      <c r="U86" s="4">
        <f>P86*(1+0.01*growthrate!$F$3)^10</f>
        <v>461681.88289854326</v>
      </c>
      <c r="V86" s="4">
        <f>Q86*(1+0.01*growthrate!$F$3)^10</f>
        <v>150281.43412051178</v>
      </c>
      <c r="W86" s="4">
        <f>R86*(1+0.01*growthrate!$F$3)^10</f>
        <v>398622.32512363966</v>
      </c>
    </row>
    <row r="87" spans="1:23" x14ac:dyDescent="0.2">
      <c r="A87" s="2" t="s">
        <v>181</v>
      </c>
      <c r="B87" s="8" t="s">
        <v>182</v>
      </c>
      <c r="C87" s="4" t="s">
        <v>779</v>
      </c>
      <c r="D87" s="5">
        <v>2102165</v>
      </c>
      <c r="E87" s="5">
        <v>-2571</v>
      </c>
      <c r="F87" s="5">
        <v>2099594</v>
      </c>
      <c r="G87" s="5">
        <v>37676</v>
      </c>
      <c r="H87" s="14">
        <v>19757</v>
      </c>
      <c r="I87" s="12">
        <f>D87*(1+0.01*growthrate!E88)^2</f>
        <v>2102165</v>
      </c>
      <c r="J87" s="4">
        <f>E87*(1+0.01*growthrate!$E$3)^2</f>
        <v>-2648.7084749999995</v>
      </c>
      <c r="K87" s="4">
        <f>F87*(1+0.01*growthrate!$E$3)^2</f>
        <v>2163054.2286499995</v>
      </c>
      <c r="L87" s="4">
        <f>G87*(1+0.01*growthrate!$E$3)^2</f>
        <v>38814.757099999988</v>
      </c>
      <c r="M87" s="4">
        <f>H87*(1+0.01*growthrate!$E$3)^2</f>
        <v>20354.155324999996</v>
      </c>
      <c r="N87" s="12">
        <f>I87*(1+0.01*growthrate!$E$3)^5</f>
        <v>2264628.7280255957</v>
      </c>
      <c r="O87" s="4">
        <f>J87*(1+0.01*growthrate!$E$3)^5</f>
        <v>-2853.4112710704744</v>
      </c>
      <c r="P87" s="4">
        <f>K87*(1+0.01*growthrate!$E$3)^5</f>
        <v>2330223.7200590982</v>
      </c>
      <c r="Q87" s="4">
        <f>L87*(1+0.01*growthrate!$E$3)^5</f>
        <v>41814.516938487432</v>
      </c>
      <c r="R87" s="4">
        <f>M87*(1+0.01*growthrate!$E$3)^5</f>
        <v>21927.205944200454</v>
      </c>
      <c r="S87" s="12">
        <f>N87*(1+0.01*growthrate!$F$3)^10</f>
        <v>2428240.6089472794</v>
      </c>
      <c r="T87" s="4">
        <f>O87*(1+0.01*growthrate!$F$3)^10</f>
        <v>-3059.5607291805441</v>
      </c>
      <c r="U87" s="4">
        <f>P87*(1+0.01*growthrate!$F$3)^10</f>
        <v>2498574.6206235299</v>
      </c>
      <c r="V87" s="4">
        <f>Q87*(1+0.01*growthrate!$F$3)^10</f>
        <v>44835.476480982565</v>
      </c>
      <c r="W87" s="4">
        <f>R87*(1+0.01*growthrate!$F$3)^10</f>
        <v>23511.373522528203</v>
      </c>
    </row>
    <row r="88" spans="1:23" x14ac:dyDescent="0.2">
      <c r="A88" s="2" t="s">
        <v>183</v>
      </c>
      <c r="B88" s="8" t="s">
        <v>184</v>
      </c>
      <c r="C88" s="4" t="s">
        <v>779</v>
      </c>
      <c r="D88" s="5">
        <v>269781</v>
      </c>
      <c r="E88" s="5">
        <v>-215</v>
      </c>
      <c r="F88" s="5">
        <v>269566</v>
      </c>
      <c r="G88" s="5">
        <v>1609258</v>
      </c>
      <c r="H88" s="14">
        <v>825374</v>
      </c>
      <c r="I88" s="12">
        <f>D88*(1+0.01*growthrate!E89)^2</f>
        <v>269781</v>
      </c>
      <c r="J88" s="4">
        <f>E88*(1+0.01*growthrate!$E$3)^2</f>
        <v>-221.49837499999995</v>
      </c>
      <c r="K88" s="4">
        <f>F88*(1+0.01*growthrate!$E$3)^2</f>
        <v>277713.63234999991</v>
      </c>
      <c r="L88" s="4">
        <f>G88*(1+0.01*growthrate!$E$3)^2</f>
        <v>1657897.8230499995</v>
      </c>
      <c r="M88" s="4">
        <f>H88*(1+0.01*growthrate!$E$3)^2</f>
        <v>850320.92914999975</v>
      </c>
      <c r="N88" s="12">
        <f>I88*(1+0.01*growthrate!$E$3)^5</f>
        <v>290630.75585193036</v>
      </c>
      <c r="O88" s="4">
        <f>J88*(1+0.01*growthrate!$E$3)^5</f>
        <v>-238.61665627388254</v>
      </c>
      <c r="P88" s="4">
        <f>K88*(1+0.01*growthrate!$E$3)^5</f>
        <v>299176.45379128098</v>
      </c>
      <c r="Q88" s="4">
        <f>L88*(1+0.01*growthrate!$E$3)^5</f>
        <v>1786026.8048464914</v>
      </c>
      <c r="R88" s="4">
        <f>M88*(1+0.01*growthrate!$E$3)^5</f>
        <v>916037.13514139305</v>
      </c>
      <c r="S88" s="12">
        <f>N88*(1+0.01*growthrate!$F$3)^10</f>
        <v>311627.85971719917</v>
      </c>
      <c r="T88" s="4">
        <f>O88*(1+0.01*growthrate!$F$3)^10</f>
        <v>-255.85591473116179</v>
      </c>
      <c r="U88" s="4">
        <f>P88*(1+0.01*growthrate!$F$3)^10</f>
        <v>320790.9558624202</v>
      </c>
      <c r="V88" s="4">
        <f>Q88*(1+0.01*growthrate!$F$3)^10</f>
        <v>1915061.2912950695</v>
      </c>
      <c r="W88" s="4">
        <f>R88*(1+0.01*growthrate!$F$3)^10</f>
        <v>982217.76635031588</v>
      </c>
    </row>
    <row r="89" spans="1:23" x14ac:dyDescent="0.2">
      <c r="A89" s="2" t="s">
        <v>185</v>
      </c>
      <c r="B89" s="8" t="s">
        <v>186</v>
      </c>
      <c r="C89" s="4" t="s">
        <v>779</v>
      </c>
      <c r="D89" s="5">
        <v>1480567</v>
      </c>
      <c r="E89" s="5">
        <v>39476</v>
      </c>
      <c r="F89" s="5">
        <v>1520043</v>
      </c>
      <c r="G89" s="5">
        <v>908724</v>
      </c>
      <c r="H89" s="14">
        <v>2057852</v>
      </c>
      <c r="I89" s="12">
        <f>D89*(1+0.01*growthrate!E90)^2</f>
        <v>1480567</v>
      </c>
      <c r="J89" s="4">
        <f>E89*(1+0.01*growthrate!$E$3)^2</f>
        <v>40669.162099999987</v>
      </c>
      <c r="K89" s="4">
        <f>F89*(1+0.01*growthrate!$E$3)^2</f>
        <v>1565986.2996749997</v>
      </c>
      <c r="L89" s="4">
        <f>G89*(1+0.01*growthrate!$E$3)^2</f>
        <v>936190.18289999978</v>
      </c>
      <c r="M89" s="4">
        <f>H89*(1+0.01*growthrate!$E$3)^2</f>
        <v>2120050.5766999996</v>
      </c>
      <c r="N89" s="12">
        <f>I89*(1+0.01*growthrate!$E$3)^5</f>
        <v>1594991.1457790765</v>
      </c>
      <c r="O89" s="4">
        <f>J89*(1+0.01*growthrate!$E$3)^5</f>
        <v>43812.237781710632</v>
      </c>
      <c r="P89" s="4">
        <f>K89*(1+0.01*growthrate!$E$3)^5</f>
        <v>1687011.9909419592</v>
      </c>
      <c r="Q89" s="4">
        <f>L89*(1+0.01*growthrate!$E$3)^5</f>
        <v>1008542.7086317565</v>
      </c>
      <c r="R89" s="4">
        <f>M89*(1+0.01*growthrate!$E$3)^5</f>
        <v>2283896.5737047521</v>
      </c>
      <c r="S89" s="12">
        <f>N89*(1+0.01*growthrate!$F$3)^10</f>
        <v>1710223.942301031</v>
      </c>
      <c r="T89" s="4">
        <f>O89*(1+0.01*growthrate!$F$3)^10</f>
        <v>46977.525999662052</v>
      </c>
      <c r="U89" s="4">
        <f>P89*(1+0.01*growthrate!$F$3)^10</f>
        <v>1808892.9869567412</v>
      </c>
      <c r="V89" s="4">
        <f>Q89*(1+0.01*growthrate!$F$3)^10</f>
        <v>1081406.5593402805</v>
      </c>
      <c r="W89" s="4">
        <f>R89*(1+0.01*growthrate!$F$3)^10</f>
        <v>2448900.4922853522</v>
      </c>
    </row>
    <row r="90" spans="1:23" x14ac:dyDescent="0.2">
      <c r="A90" s="2" t="s">
        <v>187</v>
      </c>
      <c r="B90" s="8" t="s">
        <v>188</v>
      </c>
      <c r="C90" s="4" t="s">
        <v>779</v>
      </c>
      <c r="D90" s="5">
        <v>42556</v>
      </c>
      <c r="E90" s="5">
        <v>737</v>
      </c>
      <c r="F90" s="5">
        <v>43293</v>
      </c>
      <c r="G90" s="5">
        <v>328137</v>
      </c>
      <c r="H90" s="14">
        <v>2373414</v>
      </c>
      <c r="I90" s="12">
        <f>D90*(1+0.01*growthrate!E91)^2</f>
        <v>42556</v>
      </c>
      <c r="J90" s="4">
        <f>E90*(1+0.01*growthrate!$E$3)^2</f>
        <v>759.27582499999983</v>
      </c>
      <c r="K90" s="4">
        <f>F90*(1+0.01*growthrate!$E$3)^2</f>
        <v>44601.530924999985</v>
      </c>
      <c r="L90" s="4">
        <f>G90*(1+0.01*growthrate!$E$3)^2</f>
        <v>338054.94082499988</v>
      </c>
      <c r="M90" s="4">
        <f>H90*(1+0.01*growthrate!$E$3)^2</f>
        <v>2445150.4381499994</v>
      </c>
      <c r="N90" s="12">
        <f>I90*(1+0.01*growthrate!$E$3)^5</f>
        <v>45844.898069303432</v>
      </c>
      <c r="O90" s="4">
        <f>J90*(1+0.01*growthrate!$E$3)^5</f>
        <v>817.95570080861125</v>
      </c>
      <c r="P90" s="4">
        <f>K90*(1+0.01*growthrate!$E$3)^5</f>
        <v>48048.515814256723</v>
      </c>
      <c r="Q90" s="4">
        <f>L90*(1+0.01*growthrate!$E$3)^5</f>
        <v>364181.18018485111</v>
      </c>
      <c r="R90" s="4">
        <f>M90*(1+0.01*growthrate!$E$3)^5</f>
        <v>2634121.4541098634</v>
      </c>
      <c r="S90" s="12">
        <f>N90*(1+0.01*growthrate!$F$3)^10</f>
        <v>49157.039221165047</v>
      </c>
      <c r="T90" s="4">
        <f>O90*(1+0.01*growthrate!$F$3)^10</f>
        <v>877.05027514821506</v>
      </c>
      <c r="U90" s="4">
        <f>P90*(1+0.01*growthrate!$F$3)^10</f>
        <v>51519.861006772961</v>
      </c>
      <c r="V90" s="4">
        <f>Q90*(1+0.01*growthrate!$F$3)^10</f>
        <v>390492.05717274063</v>
      </c>
      <c r="W90" s="4">
        <f>R90*(1+0.01*growthrate!$F$3)^10</f>
        <v>2824427.9535150961</v>
      </c>
    </row>
    <row r="91" spans="1:23" x14ac:dyDescent="0.2">
      <c r="A91" s="2" t="s">
        <v>189</v>
      </c>
      <c r="B91" s="8" t="s">
        <v>190</v>
      </c>
      <c r="C91" s="4" t="s">
        <v>779</v>
      </c>
      <c r="D91" s="5">
        <v>344709</v>
      </c>
      <c r="E91" s="5">
        <v>3608</v>
      </c>
      <c r="F91" s="5">
        <v>348317</v>
      </c>
      <c r="G91" s="5">
        <v>587262</v>
      </c>
      <c r="H91" s="14">
        <v>1118495</v>
      </c>
      <c r="I91" s="12">
        <f>D91*(1+0.01*growthrate!E92)^2</f>
        <v>344709</v>
      </c>
      <c r="J91" s="4">
        <f>E91*(1+0.01*growthrate!$E$3)^2</f>
        <v>3717.0517999999988</v>
      </c>
      <c r="K91" s="4">
        <f>F91*(1+0.01*growthrate!$E$3)^2</f>
        <v>358844.88132499991</v>
      </c>
      <c r="L91" s="4">
        <f>G91*(1+0.01*growthrate!$E$3)^2</f>
        <v>605011.9939499998</v>
      </c>
      <c r="M91" s="4">
        <f>H91*(1+0.01*growthrate!$E$3)^2</f>
        <v>1152301.5113749998</v>
      </c>
      <c r="N91" s="12">
        <f>I91*(1+0.01*growthrate!$E$3)^5</f>
        <v>371349.49169497879</v>
      </c>
      <c r="O91" s="4">
        <f>J91*(1+0.01*growthrate!$E$3)^5</f>
        <v>4004.320445749619</v>
      </c>
      <c r="P91" s="4">
        <f>K91*(1+0.01*growthrate!$E$3)^5</f>
        <v>386577.85052720906</v>
      </c>
      <c r="Q91" s="4">
        <f>L91*(1+0.01*growthrate!$E$3)^5</f>
        <v>651769.74324052467</v>
      </c>
      <c r="R91" s="4">
        <f>M91*(1+0.01*growthrate!$E$3)^5</f>
        <v>1241355.9858560755</v>
      </c>
      <c r="S91" s="12">
        <f>N91*(1+0.01*growthrate!$F$3)^10</f>
        <v>398178.2553080314</v>
      </c>
      <c r="T91" s="4">
        <f>O91*(1+0.01*growthrate!$F$3)^10</f>
        <v>4293.6192574420074</v>
      </c>
      <c r="U91" s="4">
        <f>P91*(1+0.01*growthrate!$F$3)^10</f>
        <v>414506.81233215856</v>
      </c>
      <c r="V91" s="4">
        <f>Q91*(1+0.01*growthrate!$F$3)^10</f>
        <v>698857.93579930952</v>
      </c>
      <c r="W91" s="4">
        <f>R91*(1+0.01*growthrate!$F$3)^10</f>
        <v>1331039.8202196781</v>
      </c>
    </row>
    <row r="92" spans="1:23" x14ac:dyDescent="0.2">
      <c r="A92" s="2" t="s">
        <v>191</v>
      </c>
      <c r="B92" s="8" t="s">
        <v>192</v>
      </c>
      <c r="C92" s="4" t="s">
        <v>779</v>
      </c>
      <c r="D92" s="5">
        <v>147508</v>
      </c>
      <c r="E92" s="5">
        <v>67923</v>
      </c>
      <c r="F92" s="5">
        <v>215431</v>
      </c>
      <c r="G92" s="5">
        <v>54419</v>
      </c>
      <c r="H92" s="14">
        <v>297498</v>
      </c>
      <c r="I92" s="12">
        <f>D92*(1+0.01*growthrate!E93)^2</f>
        <v>147508</v>
      </c>
      <c r="J92" s="4">
        <f>E92*(1+0.01*growthrate!$E$3)^2</f>
        <v>69975.972674999983</v>
      </c>
      <c r="K92" s="4">
        <f>F92*(1+0.01*growthrate!$E$3)^2</f>
        <v>221942.40197499993</v>
      </c>
      <c r="L92" s="4">
        <f>G92*(1+0.01*growthrate!$E$3)^2</f>
        <v>56063.814274999982</v>
      </c>
      <c r="M92" s="4">
        <f>H92*(1+0.01*growthrate!$E$3)^2</f>
        <v>306489.87704999989</v>
      </c>
      <c r="N92" s="12">
        <f>I92*(1+0.01*growthrate!$E$3)^5</f>
        <v>158908.00884497628</v>
      </c>
      <c r="O92" s="4">
        <f>J92*(1+0.01*growthrate!$E$3)^5</f>
        <v>75383.996019027545</v>
      </c>
      <c r="P92" s="4">
        <f>K92*(1+0.01*growthrate!$E$3)^5</f>
        <v>239094.99943134317</v>
      </c>
      <c r="Q92" s="4">
        <f>L92*(1+0.01*growthrate!$E$3)^5</f>
        <v>60396.650315201921</v>
      </c>
      <c r="R92" s="4">
        <f>M92*(1+0.01*growthrate!$E$3)^5</f>
        <v>330176.64189845347</v>
      </c>
      <c r="S92" s="12">
        <f>N92*(1+0.01*growthrate!$F$3)^10</f>
        <v>170388.58307725383</v>
      </c>
      <c r="T92" s="4">
        <f>O92*(1+0.01*growthrate!$F$3)^10</f>
        <v>80830.23858737071</v>
      </c>
      <c r="U92" s="4">
        <f>P92*(1+0.01*growthrate!$F$3)^10</f>
        <v>256368.81658813445</v>
      </c>
      <c r="V92" s="4">
        <f>Q92*(1+0.01*growthrate!$F$3)^10</f>
        <v>64760.107087232987</v>
      </c>
      <c r="W92" s="4">
        <f>R92*(1+0.01*growthrate!$F$3)^10</f>
        <v>354030.80428228446</v>
      </c>
    </row>
    <row r="93" spans="1:23" x14ac:dyDescent="0.2">
      <c r="A93" s="2" t="s">
        <v>193</v>
      </c>
      <c r="B93" s="8" t="s">
        <v>194</v>
      </c>
      <c r="C93" s="4" t="s">
        <v>779</v>
      </c>
      <c r="D93" s="5">
        <v>132796</v>
      </c>
      <c r="E93" s="5">
        <v>438183</v>
      </c>
      <c r="F93" s="5">
        <v>570979</v>
      </c>
      <c r="G93" s="5">
        <v>439220</v>
      </c>
      <c r="H93" s="14">
        <v>1713868</v>
      </c>
      <c r="I93" s="12">
        <f>D93*(1+0.01*growthrate!E94)^2</f>
        <v>132796</v>
      </c>
      <c r="J93" s="4">
        <f>E93*(1+0.01*growthrate!$E$3)^2</f>
        <v>451427.08117499988</v>
      </c>
      <c r="K93" s="4">
        <f>F93*(1+0.01*growthrate!$E$3)^2</f>
        <v>588236.84027499985</v>
      </c>
      <c r="L93" s="4">
        <f>G93*(1+0.01*growthrate!$E$3)^2</f>
        <v>452495.42449999991</v>
      </c>
      <c r="M93" s="4">
        <f>H93*(1+0.01*growthrate!$E$3)^2</f>
        <v>1765669.6602999996</v>
      </c>
      <c r="N93" s="12">
        <f>I93*(1+0.01*growthrate!$E$3)^5</f>
        <v>143059.00657982938</v>
      </c>
      <c r="O93" s="4">
        <f>J93*(1+0.01*growthrate!$E$3)^5</f>
        <v>486315.17347004032</v>
      </c>
      <c r="P93" s="4">
        <f>K93*(1+0.01*growthrate!$E$3)^5</f>
        <v>633698.138523745</v>
      </c>
      <c r="Q93" s="4">
        <f>L93*(1+0.01*growthrate!$E$3)^5</f>
        <v>487466.08264471951</v>
      </c>
      <c r="R93" s="4">
        <f>M93*(1+0.01*growthrate!$E$3)^5</f>
        <v>1902127.6811851466</v>
      </c>
      <c r="S93" s="12">
        <f>N93*(1+0.01*growthrate!$F$3)^10</f>
        <v>153394.54319987391</v>
      </c>
      <c r="T93" s="4">
        <f>O93*(1+0.01*growthrate!$F$3)^10</f>
        <v>521449.82457974262</v>
      </c>
      <c r="U93" s="4">
        <f>P93*(1+0.01*growthrate!$F$3)^10</f>
        <v>679480.71784783271</v>
      </c>
      <c r="V93" s="4">
        <f>Q93*(1+0.01*growthrate!$F$3)^10</f>
        <v>522683.88310800417</v>
      </c>
      <c r="W93" s="4">
        <f>R93*(1+0.01*growthrate!$F$3)^10</f>
        <v>2039550.0691556595</v>
      </c>
    </row>
    <row r="94" spans="1:23" x14ac:dyDescent="0.2">
      <c r="A94" s="2" t="s">
        <v>195</v>
      </c>
      <c r="B94" s="8" t="s">
        <v>196</v>
      </c>
      <c r="C94" s="4" t="s">
        <v>779</v>
      </c>
      <c r="D94" s="5">
        <v>146034</v>
      </c>
      <c r="E94" s="5">
        <v>9256</v>
      </c>
      <c r="F94" s="5">
        <v>155290</v>
      </c>
      <c r="G94" s="5">
        <v>172746</v>
      </c>
      <c r="H94" s="14">
        <v>831780</v>
      </c>
      <c r="I94" s="12">
        <f>D94*(1+0.01*growthrate!E95)^2</f>
        <v>146034</v>
      </c>
      <c r="J94" s="4">
        <f>E94*(1+0.01*growthrate!$E$3)^2</f>
        <v>9535.7625999999982</v>
      </c>
      <c r="K94" s="4">
        <f>F94*(1+0.01*growthrate!$E$3)^2</f>
        <v>159983.64024999997</v>
      </c>
      <c r="L94" s="4">
        <f>G94*(1+0.01*growthrate!$E$3)^2</f>
        <v>177967.24784999996</v>
      </c>
      <c r="M94" s="4">
        <f>H94*(1+0.01*growthrate!$E$3)^2</f>
        <v>856920.55049999978</v>
      </c>
      <c r="N94" s="12">
        <f>I94*(1+0.01*growthrate!$E$3)^5</f>
        <v>157320.09222325071</v>
      </c>
      <c r="O94" s="4">
        <f>J94*(1+0.01*growthrate!$E$3)^5</f>
        <v>10272.724513818868</v>
      </c>
      <c r="P94" s="4">
        <f>K94*(1+0.01*growthrate!$E$3)^5</f>
        <v>172347.81652451731</v>
      </c>
      <c r="Q94" s="4">
        <f>L94*(1+0.01*growthrate!$E$3)^5</f>
        <v>191721.26932413076</v>
      </c>
      <c r="R94" s="4">
        <f>M94*(1+0.01*growthrate!$E$3)^5</f>
        <v>923146.80165344186</v>
      </c>
      <c r="S94" s="12">
        <f>N94*(1+0.01*growthrate!$F$3)^10</f>
        <v>168685.94476980017</v>
      </c>
      <c r="T94" s="4">
        <f>O94*(1+0.01*growthrate!$F$3)^10</f>
        <v>11014.894636054109</v>
      </c>
      <c r="U94" s="4">
        <f>P94*(1+0.01*growthrate!$F$3)^10</f>
        <v>184799.37208652147</v>
      </c>
      <c r="V94" s="4">
        <f>Q94*(1+0.01*growthrate!$F$3)^10</f>
        <v>205572.49230767105</v>
      </c>
      <c r="W94" s="4">
        <f>R94*(1+0.01*growthrate!$F$3)^10</f>
        <v>989841.08258179412</v>
      </c>
    </row>
    <row r="95" spans="1:23" x14ac:dyDescent="0.2">
      <c r="A95" s="2" t="s">
        <v>197</v>
      </c>
      <c r="B95" s="8" t="s">
        <v>198</v>
      </c>
      <c r="C95" s="4" t="s">
        <v>779</v>
      </c>
      <c r="D95" s="5">
        <v>280312</v>
      </c>
      <c r="E95" s="5">
        <v>16323</v>
      </c>
      <c r="F95" s="5">
        <v>296635</v>
      </c>
      <c r="G95" s="5">
        <v>446879</v>
      </c>
      <c r="H95" s="14">
        <v>4348935</v>
      </c>
      <c r="I95" s="12">
        <f>D95*(1+0.01*growthrate!E96)^2</f>
        <v>280312</v>
      </c>
      <c r="J95" s="4">
        <f>E95*(1+0.01*growthrate!$E$3)^2</f>
        <v>16816.362674999997</v>
      </c>
      <c r="K95" s="4">
        <f>F95*(1+0.01*growthrate!$E$3)^2</f>
        <v>305600.79287499993</v>
      </c>
      <c r="L95" s="4">
        <f>G95*(1+0.01*growthrate!$E$3)^2</f>
        <v>460385.91777499986</v>
      </c>
      <c r="M95" s="4">
        <f>H95*(1+0.01*growthrate!$E$3)^2</f>
        <v>4480381.5603749985</v>
      </c>
      <c r="N95" s="12">
        <f>I95*(1+0.01*growthrate!$E$3)^5</f>
        <v>301975.63369683671</v>
      </c>
      <c r="O95" s="4">
        <f>J95*(1+0.01*growthrate!$E$3)^5</f>
        <v>18115.998513295744</v>
      </c>
      <c r="P95" s="4">
        <f>K95*(1+0.01*growthrate!$E$3)^5</f>
        <v>329218.84573861927</v>
      </c>
      <c r="Q95" s="4">
        <f>L95*(1+0.01*growthrate!$E$3)^5</f>
        <v>495966.38483263418</v>
      </c>
      <c r="R95" s="4">
        <f>M95*(1+0.01*growthrate!$E$3)^5</f>
        <v>4826643.386290499</v>
      </c>
      <c r="S95" s="12">
        <f>N95*(1+0.01*growthrate!$F$3)^10</f>
        <v>323792.36719060101</v>
      </c>
      <c r="T95" s="4">
        <f>O95*(1+0.01*growthrate!$F$3)^10</f>
        <v>19424.819051891882</v>
      </c>
      <c r="U95" s="4">
        <f>P95*(1+0.01*growthrate!$F$3)^10</f>
        <v>353003.81054082874</v>
      </c>
      <c r="V95" s="4">
        <f>Q95*(1+0.01*growthrate!$F$3)^10</f>
        <v>531798.30380998529</v>
      </c>
      <c r="W95" s="4">
        <f>R95*(1+0.01*growthrate!$F$3)^10</f>
        <v>5175352.2908435585</v>
      </c>
    </row>
    <row r="96" spans="1:23" x14ac:dyDescent="0.2">
      <c r="A96" s="2" t="s">
        <v>199</v>
      </c>
      <c r="B96" s="8" t="s">
        <v>200</v>
      </c>
      <c r="C96" s="4" t="s">
        <v>779</v>
      </c>
      <c r="D96" s="5">
        <v>200871</v>
      </c>
      <c r="E96" s="13">
        <v>-6360</v>
      </c>
      <c r="F96" s="5">
        <v>194511</v>
      </c>
      <c r="G96" s="5">
        <v>84731</v>
      </c>
      <c r="H96" s="14">
        <v>55237</v>
      </c>
      <c r="I96" s="12">
        <f>D96*(1+0.01*growthrate!E97)^2</f>
        <v>200871</v>
      </c>
      <c r="J96" s="4">
        <f>E96*(1+0.01*growthrate!$E$3)^2</f>
        <v>-6552.2309999999979</v>
      </c>
      <c r="K96" s="4">
        <f>F96*(1+0.01*growthrate!$E$3)^2</f>
        <v>200390.09497499996</v>
      </c>
      <c r="L96" s="4">
        <f>G96*(1+0.01*growthrate!$E$3)^2</f>
        <v>87291.99447499997</v>
      </c>
      <c r="M96" s="4">
        <f>H96*(1+0.01*growthrate!$E$3)^2</f>
        <v>56906.538324999987</v>
      </c>
      <c r="N96" s="12">
        <f>I96*(1+0.01*growthrate!$E$3)^5</f>
        <v>216395.11514425816</v>
      </c>
      <c r="O96" s="9">
        <f>J96*(1+0.01*growthrate!$E$3)^5-1780803.264</f>
        <v>-1787861.8776460553</v>
      </c>
      <c r="P96" s="9">
        <f>K96*(1+0.01*growthrate!$E$3)^5-1780803.264</f>
        <v>-1564926.220146562</v>
      </c>
      <c r="Q96" s="4">
        <f>L96*(1+0.01*growthrate!$E$3)^5</f>
        <v>94038.269315080644</v>
      </c>
      <c r="R96" s="4">
        <f>M96*(1+0.01*growthrate!$E$3)^5</f>
        <v>61304.503453955578</v>
      </c>
      <c r="S96" s="12">
        <f>N96*(1+0.01*growthrate!$F$3)^10</f>
        <v>232028.94128664923</v>
      </c>
      <c r="T96" s="9">
        <f>O96*(1+0.01*growthrate!$F$3)^10-633497.5693</f>
        <v>-2550526.5112908022</v>
      </c>
      <c r="U96" s="9">
        <f>P96*(1+0.01*growthrate!$F$3)^10-633497.5693</f>
        <v>-2311484.4952537641</v>
      </c>
      <c r="V96" s="4">
        <f>Q96*(1+0.01*growthrate!$F$3)^10</f>
        <v>100832.22098179566</v>
      </c>
      <c r="W96" s="4">
        <f>R96*(1+0.01*growthrate!$F$3)^10</f>
        <v>65733.549590721785</v>
      </c>
    </row>
    <row r="97" spans="1:23" x14ac:dyDescent="0.2">
      <c r="A97" s="2" t="s">
        <v>201</v>
      </c>
      <c r="B97" s="8" t="s">
        <v>202</v>
      </c>
      <c r="C97" s="4" t="s">
        <v>779</v>
      </c>
      <c r="D97" s="5">
        <v>23136179</v>
      </c>
      <c r="E97" s="5">
        <v>57945</v>
      </c>
      <c r="F97" s="5">
        <v>23194124</v>
      </c>
      <c r="G97" s="5">
        <v>12527231</v>
      </c>
      <c r="H97" s="14">
        <v>1577347</v>
      </c>
      <c r="I97" s="12">
        <f>D97*(1+0.01*growthrate!E98)^2</f>
        <v>23136179</v>
      </c>
      <c r="J97" s="4">
        <f>E97*(1+0.01*growthrate!$E$3)^2</f>
        <v>59696.387624999981</v>
      </c>
      <c r="K97" s="4">
        <f>F97*(1+0.01*growthrate!$E$3)^2</f>
        <v>23895166.397899993</v>
      </c>
      <c r="L97" s="4">
        <f>G97*(1+0.01*growthrate!$E$3)^2</f>
        <v>12905866.556974996</v>
      </c>
      <c r="M97" s="4">
        <f>H97*(1+0.01*growthrate!$E$3)^2</f>
        <v>1625022.3130749995</v>
      </c>
      <c r="N97" s="12">
        <f>I97*(1+0.01*growthrate!$E$3)^5</f>
        <v>24924235.54770558</v>
      </c>
      <c r="O97" s="4">
        <f>J97*(1+0.01*growthrate!$E$3)^5</f>
        <v>64309.963478093596</v>
      </c>
      <c r="P97" s="4">
        <f>K97*(1+0.01*growthrate!$E$3)^5</f>
        <v>25741880.530613065</v>
      </c>
      <c r="Q97" s="4">
        <f>L97*(1+0.01*growthrate!$E$3)^5</f>
        <v>13903283.598095467</v>
      </c>
      <c r="R97" s="4">
        <f>M97*(1+0.01*growthrate!$E$3)^5</f>
        <v>1750610.5438308825</v>
      </c>
      <c r="S97" s="12">
        <f>N97*(1+0.01*growthrate!$F$3)^10</f>
        <v>26724928.530193046</v>
      </c>
      <c r="T97" s="4">
        <f>O97*(1+0.01*growthrate!$F$3)^10</f>
        <v>68956.144088824047</v>
      </c>
      <c r="U97" s="4">
        <f>P97*(1+0.01*growthrate!$F$3)^10</f>
        <v>27601645.639106944</v>
      </c>
      <c r="V97" s="4">
        <f>Q97*(1+0.01*growthrate!$F$3)^10</f>
        <v>14907749.518853797</v>
      </c>
      <c r="W97" s="4">
        <f>R97*(1+0.01*growthrate!$F$3)^10</f>
        <v>1877086.323411413</v>
      </c>
    </row>
    <row r="98" spans="1:23" x14ac:dyDescent="0.2">
      <c r="A98" s="2" t="s">
        <v>203</v>
      </c>
      <c r="B98" s="8" t="s">
        <v>204</v>
      </c>
      <c r="C98" s="4" t="s">
        <v>779</v>
      </c>
      <c r="D98" s="5">
        <v>189538</v>
      </c>
      <c r="E98" s="5">
        <v>372167</v>
      </c>
      <c r="F98" s="5">
        <v>561705</v>
      </c>
      <c r="G98" s="5">
        <v>19388778</v>
      </c>
      <c r="H98" s="14">
        <v>10642292</v>
      </c>
      <c r="I98" s="12">
        <f>D98*(1+0.01*growthrate!E99)^2</f>
        <v>189538</v>
      </c>
      <c r="J98" s="4">
        <f>E98*(1+0.01*growthrate!$E$3)^2</f>
        <v>383415.74757499987</v>
      </c>
      <c r="K98" s="4">
        <f>F98*(1+0.01*growthrate!$E$3)^2</f>
        <v>578682.53362499981</v>
      </c>
      <c r="L98" s="4">
        <f>G98*(1+0.01*growthrate!$E$3)^2</f>
        <v>19974803.815049995</v>
      </c>
      <c r="M98" s="4">
        <f>H98*(1+0.01*growthrate!$E$3)^2</f>
        <v>10963955.275699997</v>
      </c>
      <c r="N98" s="12">
        <f>I98*(1+0.01*growthrate!$E$3)^5</f>
        <v>204186.25552823654</v>
      </c>
      <c r="O98" s="4">
        <f>J98*(1+0.01*growthrate!$E$3)^5</f>
        <v>413047.65169991646</v>
      </c>
      <c r="P98" s="4">
        <f>K98*(1+0.01*growthrate!$E$3)^5</f>
        <v>623405.43680149387</v>
      </c>
      <c r="Q98" s="4">
        <f>L98*(1+0.01*growthrate!$E$3)^5</f>
        <v>21518536.630681932</v>
      </c>
      <c r="R98" s="4">
        <f>M98*(1+0.01*growthrate!$E$3)^5</f>
        <v>11811293.637815302</v>
      </c>
      <c r="S98" s="12">
        <f>N98*(1+0.01*growthrate!$F$3)^10</f>
        <v>218938.03223755007</v>
      </c>
      <c r="T98" s="4">
        <f>O98*(1+0.01*growthrate!$F$3)^10</f>
        <v>442888.96845466178</v>
      </c>
      <c r="U98" s="4">
        <f>P98*(1+0.01*growthrate!$F$3)^10</f>
        <v>668444.40271659172</v>
      </c>
      <c r="V98" s="4">
        <f>Q98*(1+0.01*growthrate!$F$3)^10</f>
        <v>23073179.212601978</v>
      </c>
      <c r="W98" s="4">
        <f>R98*(1+0.01*growthrate!$F$3)^10</f>
        <v>12664620.25347035</v>
      </c>
    </row>
    <row r="99" spans="1:23" x14ac:dyDescent="0.2">
      <c r="A99" s="2" t="s">
        <v>205</v>
      </c>
      <c r="B99" s="8" t="s">
        <v>206</v>
      </c>
      <c r="C99" s="4" t="s">
        <v>779</v>
      </c>
      <c r="D99" s="5">
        <v>3796295</v>
      </c>
      <c r="E99" s="5">
        <v>21342</v>
      </c>
      <c r="F99" s="5">
        <v>3817637</v>
      </c>
      <c r="G99" s="5">
        <v>15046080</v>
      </c>
      <c r="H99" s="14">
        <v>2001068</v>
      </c>
      <c r="I99" s="12">
        <f>D99*(1+0.01*growthrate!E100)^2</f>
        <v>3796295</v>
      </c>
      <c r="J99" s="4">
        <f>E99*(1+0.01*growthrate!$E$3)^2</f>
        <v>21987.061949999996</v>
      </c>
      <c r="K99" s="4">
        <f>F99*(1+0.01*growthrate!$E$3)^2</f>
        <v>3933025.0783249987</v>
      </c>
      <c r="L99" s="4">
        <f>G99*(1+0.01*growthrate!$E$3)^2</f>
        <v>15500847.767999995</v>
      </c>
      <c r="M99" s="4">
        <f>H99*(1+0.01*growthrate!$E$3)^2</f>
        <v>2061550.2802999995</v>
      </c>
      <c r="N99" s="12">
        <f>I99*(1+0.01*growthrate!$E$3)^5</f>
        <v>4089687.8775262306</v>
      </c>
      <c r="O99" s="4">
        <f>J99*(1+0.01*growthrate!$E$3)^5</f>
        <v>23686.310131149774</v>
      </c>
      <c r="P99" s="4">
        <f>K99*(1+0.01*growthrate!$E$3)^5</f>
        <v>4236985.0037556095</v>
      </c>
      <c r="Q99" s="4">
        <f>L99*(1+0.01*growthrate!$E$3)^5</f>
        <v>16698815.347113201</v>
      </c>
      <c r="R99" s="4">
        <f>M99*(1+0.01*growthrate!$E$3)^5</f>
        <v>2220875.1401705374</v>
      </c>
      <c r="S99" s="12">
        <f>N99*(1+0.01*growthrate!$F$3)^10</f>
        <v>4385154.201760334</v>
      </c>
      <c r="T99" s="4">
        <f>O99*(1+0.01*growthrate!$F$3)^10</f>
        <v>25397.567126476537</v>
      </c>
      <c r="U99" s="4">
        <f>P99*(1+0.01*growthrate!$F$3)^10</f>
        <v>4543093.0546350153</v>
      </c>
      <c r="V99" s="4">
        <f>Q99*(1+0.01*growthrate!$F$3)^10</f>
        <v>17905249.123340644</v>
      </c>
      <c r="W99" s="4">
        <f>R99*(1+0.01*growthrate!$F$3)^10</f>
        <v>2381325.9701360762</v>
      </c>
    </row>
    <row r="100" spans="1:23" x14ac:dyDescent="0.2">
      <c r="A100" s="2" t="s">
        <v>207</v>
      </c>
      <c r="B100" s="8" t="s">
        <v>208</v>
      </c>
      <c r="C100" s="4" t="s">
        <v>779</v>
      </c>
      <c r="D100" s="5">
        <v>9768</v>
      </c>
      <c r="E100" s="5">
        <v>3312</v>
      </c>
      <c r="F100" s="5">
        <v>13080</v>
      </c>
      <c r="G100" s="5">
        <v>4523322</v>
      </c>
      <c r="H100" s="14">
        <v>1228211</v>
      </c>
      <c r="I100" s="12">
        <f>D100*(1+0.01*growthrate!E101)^2</f>
        <v>9768</v>
      </c>
      <c r="J100" s="4">
        <f>E100*(1+0.01*growthrate!$E$3)^2</f>
        <v>3412.1051999999991</v>
      </c>
      <c r="K100" s="4">
        <f>F100*(1+0.01*growthrate!$E$3)^2</f>
        <v>13475.342999999997</v>
      </c>
      <c r="L100" s="4">
        <f>G100*(1+0.01*growthrate!$E$3)^2</f>
        <v>4660039.4074499989</v>
      </c>
      <c r="M100" s="4">
        <f>H100*(1+0.01*growthrate!$E$3)^2</f>
        <v>1265333.6774749996</v>
      </c>
      <c r="N100" s="12">
        <f>I100*(1+0.01*growthrate!$E$3)^5</f>
        <v>10522.910149942569</v>
      </c>
      <c r="O100" s="4">
        <f>J100*(1+0.01*growthrate!$E$3)^5</f>
        <v>3675.8063515306926</v>
      </c>
      <c r="P100" s="4">
        <f>K100*(1+0.01*growthrate!$E$3)^5</f>
        <v>14516.771460755273</v>
      </c>
      <c r="Q100" s="4">
        <f>L100*(1+0.01*growthrate!$E$3)^5</f>
        <v>5020185.9111167016</v>
      </c>
      <c r="R100" s="4">
        <f>M100*(1+0.01*growthrate!$E$3)^5</f>
        <v>1363123.7303200071</v>
      </c>
      <c r="S100" s="12">
        <f>N100*(1+0.01*growthrate!$F$3)^10</f>
        <v>11283.155350886836</v>
      </c>
      <c r="T100" s="4">
        <f>O100*(1+0.01*growthrate!$F$3)^10</f>
        <v>3941.371114370269</v>
      </c>
      <c r="U100" s="4">
        <f>P100*(1+0.01*growthrate!$F$3)^10</f>
        <v>15565.559835737658</v>
      </c>
      <c r="V100" s="4">
        <f>Q100*(1+0.01*growthrate!$F$3)^10</f>
        <v>5382877.618295759</v>
      </c>
      <c r="W100" s="4">
        <f>R100*(1+0.01*growthrate!$F$3)^10</f>
        <v>1461604.8785482554</v>
      </c>
    </row>
    <row r="101" spans="1:23" x14ac:dyDescent="0.2">
      <c r="A101" s="2" t="s">
        <v>209</v>
      </c>
      <c r="B101" s="8" t="s">
        <v>210</v>
      </c>
      <c r="C101" s="4" t="s">
        <v>779</v>
      </c>
      <c r="D101" s="5">
        <v>582997</v>
      </c>
      <c r="E101" s="5">
        <v>185669</v>
      </c>
      <c r="F101" s="5">
        <v>768666</v>
      </c>
      <c r="G101" s="5">
        <v>42282946</v>
      </c>
      <c r="H101" s="14">
        <v>12490442</v>
      </c>
      <c r="I101" s="12">
        <f>D101*(1+0.01*growthrate!E102)^2</f>
        <v>582997</v>
      </c>
      <c r="J101" s="4">
        <f>E101*(1+0.01*growthrate!$E$3)^2</f>
        <v>191280.84552499995</v>
      </c>
      <c r="K101" s="4">
        <f>F101*(1+0.01*growthrate!$E$3)^2</f>
        <v>791898.92984999984</v>
      </c>
      <c r="L101" s="4">
        <f>G101*(1+0.01*growthrate!$E$3)^2</f>
        <v>43560948.042849988</v>
      </c>
      <c r="M101" s="4">
        <f>H101*(1+0.01*growthrate!$E$3)^2</f>
        <v>12867965.609449996</v>
      </c>
      <c r="N101" s="12">
        <f>I101*(1+0.01*growthrate!$E$3)^5</f>
        <v>628053.34241257852</v>
      </c>
      <c r="O101" s="4">
        <f>J101*(1+0.01*growthrate!$E$3)^5</f>
        <v>206063.79513356046</v>
      </c>
      <c r="P101" s="4">
        <f>K101*(1+0.01*growthrate!$E$3)^5</f>
        <v>853100.0498205591</v>
      </c>
      <c r="Q101" s="4">
        <f>L101*(1+0.01*growthrate!$E$3)^5</f>
        <v>46927512.520600632</v>
      </c>
      <c r="R101" s="4">
        <f>M101*(1+0.01*growthrate!$E$3)^5</f>
        <v>13862453.513594724</v>
      </c>
      <c r="S101" s="12">
        <f>N101*(1+0.01*growthrate!$F$3)^10</f>
        <v>673428.10402344109</v>
      </c>
      <c r="T101" s="4">
        <f>O101*(1+0.01*growthrate!$F$3)^10</f>
        <v>220951.21782427945</v>
      </c>
      <c r="U101" s="4">
        <f>P101*(1+0.01*growthrate!$F$3)^10</f>
        <v>914733.68629182898</v>
      </c>
      <c r="V101" s="4">
        <f>Q101*(1+0.01*growthrate!$F$3)^10</f>
        <v>50317868.959806129</v>
      </c>
      <c r="W101" s="4">
        <f>R101*(1+0.01*growthrate!$F$3)^10</f>
        <v>14863969.59677452</v>
      </c>
    </row>
    <row r="102" spans="1:23" x14ac:dyDescent="0.2">
      <c r="A102" s="2" t="s">
        <v>211</v>
      </c>
      <c r="B102" s="8" t="s">
        <v>212</v>
      </c>
      <c r="C102" s="4" t="s">
        <v>779</v>
      </c>
      <c r="D102" s="5">
        <v>6984868</v>
      </c>
      <c r="E102" s="5">
        <v>-42173</v>
      </c>
      <c r="F102" s="5">
        <v>6942695</v>
      </c>
      <c r="G102" s="5">
        <v>6084682</v>
      </c>
      <c r="H102" s="14">
        <v>1116909</v>
      </c>
      <c r="I102" s="12">
        <f>D102*(1+0.01*growthrate!E103)^2</f>
        <v>6984868</v>
      </c>
      <c r="J102" s="4">
        <f>E102*(1+0.01*growthrate!$E$3)^2</f>
        <v>-43447.678924999986</v>
      </c>
      <c r="K102" s="4">
        <f>F102*(1+0.01*growthrate!$E$3)^2</f>
        <v>7152537.9563749982</v>
      </c>
      <c r="L102" s="4">
        <f>G102*(1+0.01*growthrate!$E$3)^2</f>
        <v>6268591.5134499986</v>
      </c>
      <c r="M102" s="4">
        <f>H102*(1+0.01*growthrate!$E$3)^2</f>
        <v>1150667.5745249996</v>
      </c>
      <c r="N102" s="12">
        <f>I102*(1+0.01*growthrate!$E$3)^5</f>
        <v>7524686.5656438414</v>
      </c>
      <c r="O102" s="4">
        <f>J102*(1+0.01*growthrate!$E$3)^5</f>
        <v>-46805.489511806729</v>
      </c>
      <c r="P102" s="4">
        <f>K102*(1+0.01*growthrate!$E$3)^5</f>
        <v>7705314.7275786176</v>
      </c>
      <c r="Q102" s="4">
        <f>L102*(1+0.01*growthrate!$E$3)^5</f>
        <v>6753053.3643250242</v>
      </c>
      <c r="R102" s="4">
        <f>M102*(1+0.01*growthrate!$E$3)^5</f>
        <v>1239595.7718242132</v>
      </c>
      <c r="S102" s="12">
        <f>N102*(1+0.01*growthrate!$F$3)^10</f>
        <v>8068320.1012938404</v>
      </c>
      <c r="T102" s="4">
        <f>O102*(1+0.01*growthrate!$F$3)^10</f>
        <v>-50187.030195150161</v>
      </c>
      <c r="U102" s="4">
        <f>P102*(1+0.01*growthrate!$F$3)^10</f>
        <v>8261998.0461602937</v>
      </c>
      <c r="V102" s="4">
        <f>Q102*(1+0.01*growthrate!$F$3)^10</f>
        <v>7240938.9718987681</v>
      </c>
      <c r="W102" s="4">
        <f>R102*(1+0.01*growthrate!$F$3)^10</f>
        <v>1329152.4365882194</v>
      </c>
    </row>
    <row r="103" spans="1:23" x14ac:dyDescent="0.2">
      <c r="A103" s="2" t="s">
        <v>213</v>
      </c>
      <c r="B103" s="8" t="s">
        <v>214</v>
      </c>
      <c r="C103" s="4" t="s">
        <v>779</v>
      </c>
      <c r="D103" s="5">
        <v>5433359</v>
      </c>
      <c r="E103" s="5">
        <v>1851423</v>
      </c>
      <c r="F103" s="5">
        <v>7284782</v>
      </c>
      <c r="G103" s="5">
        <v>2826854</v>
      </c>
      <c r="H103" s="14">
        <v>829539</v>
      </c>
      <c r="I103" s="12">
        <f>D103*(1+0.01*growthrate!E104)^2</f>
        <v>5433359</v>
      </c>
      <c r="J103" s="4">
        <f>E103*(1+0.01*growthrate!$E$3)^2</f>
        <v>1907382.2601749995</v>
      </c>
      <c r="K103" s="4">
        <f>F103*(1+0.01*growthrate!$E$3)^2</f>
        <v>7504964.5359499976</v>
      </c>
      <c r="L103" s="4">
        <f>G103*(1+0.01*growthrate!$E$3)^2</f>
        <v>2912295.6621499993</v>
      </c>
      <c r="M103" s="4">
        <f>H103*(1+0.01*growthrate!$E$3)^2</f>
        <v>854611.81627499976</v>
      </c>
      <c r="N103" s="12">
        <f>I103*(1+0.01*growthrate!$E$3)^5</f>
        <v>5853270.7380611999</v>
      </c>
      <c r="O103" s="4">
        <f>J103*(1+0.01*growthrate!$E$3)^5</f>
        <v>2054792.3981793507</v>
      </c>
      <c r="P103" s="4">
        <f>K103*(1+0.01*growthrate!$E$3)^5</f>
        <v>8084978.2442984488</v>
      </c>
      <c r="Q103" s="4">
        <f>L103*(1+0.01*growthrate!$E$3)^5</f>
        <v>3137369.5314160464</v>
      </c>
      <c r="R103" s="4">
        <f>M103*(1+0.01*growthrate!$E$3)^5</f>
        <v>920659.63920362899</v>
      </c>
      <c r="S103" s="12">
        <f>N103*(1+0.01*growthrate!$F$3)^10</f>
        <v>6276150.0485400436</v>
      </c>
      <c r="T103" s="4">
        <f>O103*(1+0.01*growthrate!$F$3)^10</f>
        <v>2203244.303345636</v>
      </c>
      <c r="U103" s="4">
        <f>P103*(1+0.01*growthrate!$F$3)^10</f>
        <v>8669090.987102801</v>
      </c>
      <c r="V103" s="4">
        <f>Q103*(1+0.01*growthrate!$F$3)^10</f>
        <v>3364034.0278206682</v>
      </c>
      <c r="W103" s="4">
        <f>R103*(1+0.01*growthrate!$F$3)^10</f>
        <v>987174.23093103815</v>
      </c>
    </row>
    <row r="104" spans="1:23" x14ac:dyDescent="0.2">
      <c r="A104" s="2" t="s">
        <v>215</v>
      </c>
      <c r="B104" s="8" t="s">
        <v>216</v>
      </c>
      <c r="C104" s="4" t="s">
        <v>779</v>
      </c>
      <c r="D104" s="5">
        <v>1234634</v>
      </c>
      <c r="E104" s="5">
        <v>-11943</v>
      </c>
      <c r="F104" s="5">
        <v>1222691</v>
      </c>
      <c r="G104" s="5">
        <v>5500299</v>
      </c>
      <c r="H104" s="14">
        <v>982008</v>
      </c>
      <c r="I104" s="12">
        <f>D104*(1+0.01*growthrate!E105)^2</f>
        <v>1234634</v>
      </c>
      <c r="J104" s="4">
        <f>E104*(1+0.01*growthrate!$E$3)^2</f>
        <v>-12303.977174999996</v>
      </c>
      <c r="K104" s="4">
        <f>F104*(1+0.01*growthrate!$E$3)^2</f>
        <v>1259646.8354749996</v>
      </c>
      <c r="L104" s="4">
        <f>G104*(1+0.01*growthrate!$E$3)^2</f>
        <v>5666545.5372749986</v>
      </c>
      <c r="M104" s="4">
        <f>H104*(1+0.01*growthrate!$E$3)^2</f>
        <v>1011689.1917999997</v>
      </c>
      <c r="N104" s="12">
        <f>I104*(1+0.01*growthrate!$E$3)^5</f>
        <v>1330051.4588517805</v>
      </c>
      <c r="O104" s="4">
        <f>J104*(1+0.01*growthrate!$E$3)^5</f>
        <v>-13254.877794785949</v>
      </c>
      <c r="P104" s="4">
        <f>K104*(1+0.01*growthrate!$E$3)^5</f>
        <v>1356997.3864007893</v>
      </c>
      <c r="Q104" s="4">
        <f>L104*(1+0.01*growthrate!$E$3)^5</f>
        <v>6104478.8645887431</v>
      </c>
      <c r="R104" s="4">
        <f>M104*(1+0.01*growthrate!$E$3)^5</f>
        <v>1089876.5832288503</v>
      </c>
      <c r="S104" s="12">
        <f>N104*(1+0.01*growthrate!$F$3)^10</f>
        <v>1426143.2456477087</v>
      </c>
      <c r="T104" s="4">
        <f>O104*(1+0.01*growthrate!$F$3)^10</f>
        <v>-14212.498556438442</v>
      </c>
      <c r="U104" s="4">
        <f>P104*(1+0.01*growthrate!$F$3)^10</f>
        <v>1455035.9266909717</v>
      </c>
      <c r="V104" s="4">
        <f>Q104*(1+0.01*growthrate!$F$3)^10</f>
        <v>6545507.1253018342</v>
      </c>
      <c r="W104" s="4">
        <f>R104*(1+0.01*growthrate!$F$3)^10</f>
        <v>1168616.5354107847</v>
      </c>
    </row>
    <row r="105" spans="1:23" x14ac:dyDescent="0.2">
      <c r="A105" s="2" t="s">
        <v>217</v>
      </c>
      <c r="B105" s="8" t="s">
        <v>218</v>
      </c>
      <c r="C105" s="4" t="s">
        <v>779</v>
      </c>
      <c r="D105" s="5">
        <v>890862</v>
      </c>
      <c r="E105" s="5">
        <v>41801</v>
      </c>
      <c r="F105" s="5">
        <v>932663</v>
      </c>
      <c r="G105" s="5">
        <v>1387065</v>
      </c>
      <c r="H105" s="14">
        <v>807917</v>
      </c>
      <c r="I105" s="12">
        <f>D105*(1+0.01*growthrate!E106)^2</f>
        <v>890862</v>
      </c>
      <c r="J105" s="4">
        <f>E105*(1+0.01*growthrate!$E$3)^2</f>
        <v>43064.435224999987</v>
      </c>
      <c r="K105" s="4">
        <f>F105*(1+0.01*growthrate!$E$3)^2</f>
        <v>960852.73917499976</v>
      </c>
      <c r="L105" s="4">
        <f>G105*(1+0.01*growthrate!$E$3)^2</f>
        <v>1428989.0396249995</v>
      </c>
      <c r="M105" s="4">
        <f>H105*(1+0.01*growthrate!$E$3)^2</f>
        <v>832336.29132499977</v>
      </c>
      <c r="N105" s="12">
        <f>I105*(1+0.01*growthrate!$E$3)^5</f>
        <v>959711.38226844149</v>
      </c>
      <c r="O105" s="4">
        <f>J105*(1+0.01*growthrate!$E$3)^5</f>
        <v>46392.627204207267</v>
      </c>
      <c r="P105" s="4">
        <f>K105*(1+0.01*growthrate!$E$3)^5</f>
        <v>1035111.2860017121</v>
      </c>
      <c r="Q105" s="4">
        <f>L105*(1+0.01*growthrate!$E$3)^5</f>
        <v>1539427.0341141063</v>
      </c>
      <c r="R105" s="4">
        <f>M105*(1+0.01*growthrate!$E$3)^5</f>
        <v>896662.57249686669</v>
      </c>
      <c r="S105" s="12">
        <f>N105*(1+0.01*growthrate!$F$3)^10</f>
        <v>1029047.3323302364</v>
      </c>
      <c r="T105" s="4">
        <f>O105*(1+0.01*growthrate!$F$3)^10</f>
        <v>49744.339961289734</v>
      </c>
      <c r="U105" s="4">
        <f>P105*(1+0.01*growthrate!$F$3)^10</f>
        <v>1109894.6279112073</v>
      </c>
      <c r="V105" s="4">
        <f>Q105*(1+0.01*growthrate!$F$3)^10</f>
        <v>1650645.5086817625</v>
      </c>
      <c r="W105" s="4">
        <f>R105*(1+0.01*growthrate!$F$3)^10</f>
        <v>961443.45610165596</v>
      </c>
    </row>
    <row r="106" spans="1:23" x14ac:dyDescent="0.2">
      <c r="A106" s="2" t="s">
        <v>219</v>
      </c>
      <c r="B106" s="8" t="s">
        <v>220</v>
      </c>
      <c r="C106" s="4" t="s">
        <v>779</v>
      </c>
      <c r="D106" s="5">
        <v>188703</v>
      </c>
      <c r="E106" s="5">
        <v>1718</v>
      </c>
      <c r="F106" s="5">
        <v>190421</v>
      </c>
      <c r="G106" s="5">
        <v>4690479</v>
      </c>
      <c r="H106" s="14">
        <v>1258604</v>
      </c>
      <c r="I106" s="12">
        <f>D106*(1+0.01*growthrate!E107)^2</f>
        <v>188703</v>
      </c>
      <c r="J106" s="4">
        <f>E106*(1+0.01*growthrate!$E$3)^2</f>
        <v>1769.9265499999995</v>
      </c>
      <c r="K106" s="4">
        <f>F106*(1+0.01*growthrate!$E$3)^2</f>
        <v>196176.47472499995</v>
      </c>
      <c r="L106" s="4">
        <f>G106*(1+0.01*growthrate!$E$3)^2</f>
        <v>4832248.7277749991</v>
      </c>
      <c r="M106" s="4">
        <f>H106*(1+0.01*growthrate!$E$3)^2</f>
        <v>1296645.3058999996</v>
      </c>
      <c r="N106" s="12">
        <f>I106*(1+0.01*growthrate!$E$3)^5</f>
        <v>203286.72338499309</v>
      </c>
      <c r="O106" s="4">
        <f>J106*(1+0.01*growthrate!$E$3)^5</f>
        <v>1906.7135603652566</v>
      </c>
      <c r="P106" s="4">
        <f>K106*(1+0.01*growthrate!$E$3)^5</f>
        <v>211337.77815966969</v>
      </c>
      <c r="Q106" s="4">
        <f>L106*(1+0.01*growthrate!$E$3)^5</f>
        <v>5205704.2572226245</v>
      </c>
      <c r="R106" s="4">
        <f>M106*(1+0.01*growthrate!$E$3)^5</f>
        <v>1396855.2467578307</v>
      </c>
      <c r="S106" s="12">
        <f>N106*(1+0.01*growthrate!$F$3)^10</f>
        <v>217973.51189377546</v>
      </c>
      <c r="T106" s="4">
        <f>O106*(1+0.01*growthrate!$F$3)^10</f>
        <v>2044.4672628285393</v>
      </c>
      <c r="U106" s="4">
        <f>P106*(1+0.01*growthrate!$F$3)^10</f>
        <v>226606.22855359328</v>
      </c>
      <c r="V106" s="4">
        <f>Q106*(1+0.01*growthrate!$F$3)^10</f>
        <v>5581799.0468479302</v>
      </c>
      <c r="W106" s="4">
        <f>R106*(1+0.01*growthrate!$F$3)^10</f>
        <v>1497773.3846711586</v>
      </c>
    </row>
    <row r="107" spans="1:23" x14ac:dyDescent="0.2">
      <c r="A107" s="2" t="s">
        <v>221</v>
      </c>
      <c r="B107" s="8" t="s">
        <v>222</v>
      </c>
      <c r="C107" s="4" t="s">
        <v>779</v>
      </c>
      <c r="D107" s="5">
        <v>1208913</v>
      </c>
      <c r="E107" s="5">
        <v>-30708</v>
      </c>
      <c r="F107" s="5">
        <v>1178205</v>
      </c>
      <c r="G107" s="5">
        <v>8142622</v>
      </c>
      <c r="H107" s="14">
        <v>679571</v>
      </c>
      <c r="I107" s="12">
        <f>D107*(1+0.01*growthrate!E108)^2</f>
        <v>1208913</v>
      </c>
      <c r="J107" s="4">
        <f>E107*(1+0.01*growthrate!$E$3)^2</f>
        <v>-31636.14929999999</v>
      </c>
      <c r="K107" s="4">
        <f>F107*(1+0.01*growthrate!$E$3)^2</f>
        <v>1213816.2461249996</v>
      </c>
      <c r="L107" s="4">
        <f>G107*(1+0.01*growthrate!$E$3)^2</f>
        <v>8388732.7499499973</v>
      </c>
      <c r="M107" s="4">
        <f>H107*(1+0.01*growthrate!$E$3)^2</f>
        <v>700111.03347499983</v>
      </c>
      <c r="N107" s="12">
        <f>I107*(1+0.01*growthrate!$E$3)^5</f>
        <v>1302342.6369878706</v>
      </c>
      <c r="O107" s="4">
        <f>J107*(1+0.01*growthrate!$E$3)^5</f>
        <v>-34081.117585387838</v>
      </c>
      <c r="P107" s="4">
        <f>K107*(1+0.01*growthrate!$E$3)^5</f>
        <v>1307624.8256054407</v>
      </c>
      <c r="Q107" s="4">
        <f>L107*(1+0.01*growthrate!$E$3)^5</f>
        <v>9037047.6043821108</v>
      </c>
      <c r="R107" s="4">
        <f>M107*(1+0.01*growthrate!$E$3)^5</f>
        <v>754218.41730557499</v>
      </c>
      <c r="S107" s="12">
        <f>N107*(1+0.01*growthrate!$F$3)^10</f>
        <v>1396432.5537168977</v>
      </c>
      <c r="T107" s="4">
        <f>O107*(1+0.01*growthrate!$F$3)^10</f>
        <v>-36543.364788672166</v>
      </c>
      <c r="U107" s="4">
        <f>P107*(1+0.01*growthrate!$F$3)^10</f>
        <v>1402096.3628643183</v>
      </c>
      <c r="V107" s="4">
        <f>Q107*(1+0.01*growthrate!$F$3)^10</f>
        <v>9689944.1866050325</v>
      </c>
      <c r="W107" s="4">
        <f>R107*(1+0.01*growthrate!$F$3)^10</f>
        <v>808708.18525474577</v>
      </c>
    </row>
    <row r="108" spans="1:23" x14ac:dyDescent="0.2">
      <c r="A108" s="2" t="s">
        <v>223</v>
      </c>
      <c r="B108" s="8" t="s">
        <v>224</v>
      </c>
      <c r="C108" s="4" t="s">
        <v>779</v>
      </c>
      <c r="D108" s="5">
        <v>1221459</v>
      </c>
      <c r="E108" s="5">
        <v>-1862</v>
      </c>
      <c r="F108" s="5">
        <v>1219597</v>
      </c>
      <c r="G108" s="5">
        <v>15919961</v>
      </c>
      <c r="H108" s="14">
        <v>2395584</v>
      </c>
      <c r="I108" s="12">
        <f>D108*(1+0.01*growthrate!E109)^2</f>
        <v>1221459</v>
      </c>
      <c r="J108" s="4">
        <f>E108*(1+0.01*growthrate!$E$3)^2</f>
        <v>-1918.2789499999994</v>
      </c>
      <c r="K108" s="4">
        <f>F108*(1+0.01*growthrate!$E$3)^2</f>
        <v>1256459.3193249996</v>
      </c>
      <c r="L108" s="4">
        <f>G108*(1+0.01*growthrate!$E$3)^2</f>
        <v>16401141.821224995</v>
      </c>
      <c r="M108" s="4">
        <f>H108*(1+0.01*growthrate!$E$3)^2</f>
        <v>2467990.5263999994</v>
      </c>
      <c r="N108" s="12">
        <f>I108*(1+0.01*growthrate!$E$3)^5</f>
        <v>1315858.2421006039</v>
      </c>
      <c r="O108" s="4">
        <f>J108*(1+0.01*growthrate!$E$3)^5</f>
        <v>-2066.5312278231127</v>
      </c>
      <c r="P108" s="4">
        <f>K108*(1+0.01*growthrate!$E$3)^5</f>
        <v>1353563.5262402711</v>
      </c>
      <c r="Q108" s="4">
        <f>L108*(1+0.01*growthrate!$E$3)^5</f>
        <v>17668687.72944472</v>
      </c>
      <c r="R108" s="4">
        <f>M108*(1+0.01*growthrate!$E$3)^5</f>
        <v>2658726.715828896</v>
      </c>
      <c r="S108" s="12">
        <f>N108*(1+0.01*growthrate!$F$3)^10</f>
        <v>1410924.6162713845</v>
      </c>
      <c r="T108" s="4">
        <f>O108*(1+0.01*growthrate!$F$3)^10</f>
        <v>-2215.8312243228984</v>
      </c>
      <c r="U108" s="4">
        <f>P108*(1+0.01*growthrate!$F$3)^10</f>
        <v>1451353.9815738637</v>
      </c>
      <c r="V108" s="4">
        <f>Q108*(1+0.01*growthrate!$F$3)^10</f>
        <v>18945191.554136839</v>
      </c>
      <c r="W108" s="4">
        <f>R108*(1+0.01*growthrate!$F$3)^10</f>
        <v>2850810.8634201651</v>
      </c>
    </row>
    <row r="109" spans="1:23" x14ac:dyDescent="0.2">
      <c r="A109" s="2" t="s">
        <v>225</v>
      </c>
      <c r="B109" s="8" t="s">
        <v>226</v>
      </c>
      <c r="C109" s="4" t="s">
        <v>779</v>
      </c>
      <c r="D109" s="5">
        <v>7255855</v>
      </c>
      <c r="E109" s="5">
        <v>-11770</v>
      </c>
      <c r="F109" s="5">
        <v>7244085</v>
      </c>
      <c r="G109" s="5">
        <v>3713887</v>
      </c>
      <c r="H109" s="14">
        <v>2352645</v>
      </c>
      <c r="I109" s="12">
        <f>D109*(1+0.01*growthrate!E110)^2</f>
        <v>7255855</v>
      </c>
      <c r="J109" s="4">
        <f>E109*(1+0.01*growthrate!$E$3)^2</f>
        <v>-12125.748249999997</v>
      </c>
      <c r="K109" s="4">
        <f>F109*(1+0.01*growthrate!$E$3)^2</f>
        <v>7463037.469124998</v>
      </c>
      <c r="L109" s="4">
        <f>G109*(1+0.01*growthrate!$E$3)^2</f>
        <v>3826139.2345749992</v>
      </c>
      <c r="M109" s="4">
        <f>H109*(1+0.01*growthrate!$E$3)^2</f>
        <v>2423753.6951249992</v>
      </c>
      <c r="N109" s="12">
        <f>I109*(1+0.01*growthrate!$E$3)^5</f>
        <v>7816616.5260044569</v>
      </c>
      <c r="O109" s="4">
        <f>J109*(1+0.01*growthrate!$E$3)^5</f>
        <v>-13062.874624853941</v>
      </c>
      <c r="P109" s="4">
        <f>K109*(1+0.01*growthrate!$E$3)^5</f>
        <v>8039810.8858780852</v>
      </c>
      <c r="Q109" s="4">
        <f>L109*(1+0.01*growthrate!$E$3)^5</f>
        <v>4121838.5940420502</v>
      </c>
      <c r="R109" s="4">
        <f>M109*(1+0.01*growthrate!$E$3)^5</f>
        <v>2611071.0851138062</v>
      </c>
      <c r="S109" s="12">
        <f>N109*(1+0.01*growthrate!$F$3)^10</f>
        <v>8381341.0287171379</v>
      </c>
      <c r="T109" s="4">
        <f>O109*(1+0.01*growthrate!$F$3)^10</f>
        <v>-14006.623797143136</v>
      </c>
      <c r="U109" s="4">
        <f>P109*(1+0.01*growthrate!$F$3)^10</f>
        <v>8620660.4375129677</v>
      </c>
      <c r="V109" s="4">
        <f>Q109*(1+0.01*growthrate!$F$3)^10</f>
        <v>4419627.7004333502</v>
      </c>
      <c r="W109" s="4">
        <f>R109*(1+0.01*growthrate!$F$3)^10</f>
        <v>2799712.2721520653</v>
      </c>
    </row>
    <row r="110" spans="1:23" x14ac:dyDescent="0.2">
      <c r="A110" s="2" t="s">
        <v>227</v>
      </c>
      <c r="B110" s="8" t="s">
        <v>228</v>
      </c>
      <c r="C110" s="4" t="s">
        <v>779</v>
      </c>
      <c r="D110" s="5">
        <v>9435797</v>
      </c>
      <c r="E110" s="5">
        <v>26554</v>
      </c>
      <c r="F110" s="5">
        <v>9462351</v>
      </c>
      <c r="G110" s="5">
        <v>3906325</v>
      </c>
      <c r="H110" s="14">
        <v>2676526</v>
      </c>
      <c r="I110" s="12">
        <f>D110*(1+0.01*growthrate!E111)^2</f>
        <v>9435797</v>
      </c>
      <c r="J110" s="4">
        <f>E110*(1+0.01*growthrate!$E$3)^2</f>
        <v>27356.594649999992</v>
      </c>
      <c r="K110" s="4">
        <f>F110*(1+0.01*growthrate!$E$3)^2</f>
        <v>9748350.5589749981</v>
      </c>
      <c r="L110" s="4">
        <f>G110*(1+0.01*growthrate!$E$3)^2</f>
        <v>4024393.6731249988</v>
      </c>
      <c r="M110" s="4">
        <f>H110*(1+0.01*growthrate!$E$3)^2</f>
        <v>2757423.9983499991</v>
      </c>
      <c r="N110" s="12">
        <f>I110*(1+0.01*growthrate!$E$3)^5</f>
        <v>10165033.172000168</v>
      </c>
      <c r="O110" s="4">
        <f>J110*(1+0.01*growthrate!$E$3)^5</f>
        <v>29470.821817193842</v>
      </c>
      <c r="P110" s="4">
        <f>K110*(1+0.01*growthrate!$E$3)^5</f>
        <v>10501742.121441064</v>
      </c>
      <c r="Q110" s="4">
        <f>L110*(1+0.01*growthrate!$E$3)^5</f>
        <v>4335414.9293910423</v>
      </c>
      <c r="R110" s="4">
        <f>M110*(1+0.01*growthrate!$E$3)^5</f>
        <v>2970528.7653493471</v>
      </c>
      <c r="S110" s="12">
        <f>N110*(1+0.01*growthrate!$F$3)^10</f>
        <v>10899422.953565925</v>
      </c>
      <c r="T110" s="4">
        <f>O110*(1+0.01*growthrate!$F$3)^10</f>
        <v>31599.990510564043</v>
      </c>
      <c r="U110" s="4">
        <f>P110*(1+0.01*growthrate!$F$3)^10</f>
        <v>11260458.002848018</v>
      </c>
      <c r="V110" s="4">
        <f>Q110*(1+0.01*growthrate!$F$3)^10</f>
        <v>4648634.2144753747</v>
      </c>
      <c r="W110" s="4">
        <f>R110*(1+0.01*growthrate!$F$3)^10</f>
        <v>3185139.5722406395</v>
      </c>
    </row>
    <row r="111" spans="1:23" x14ac:dyDescent="0.2">
      <c r="A111" s="2" t="s">
        <v>229</v>
      </c>
      <c r="B111" s="8" t="s">
        <v>230</v>
      </c>
      <c r="C111" s="4" t="s">
        <v>779</v>
      </c>
      <c r="D111" s="5">
        <v>529032</v>
      </c>
      <c r="E111" s="5">
        <v>-726</v>
      </c>
      <c r="F111" s="5">
        <v>528306</v>
      </c>
      <c r="G111" s="5">
        <v>2172802</v>
      </c>
      <c r="H111" s="14">
        <v>3870786</v>
      </c>
      <c r="I111" s="12">
        <f>D111*(1+0.01*growthrate!E112)^2</f>
        <v>529032</v>
      </c>
      <c r="J111" s="4">
        <f>E111*(1+0.01*growthrate!$E$3)^2</f>
        <v>-747.94334999999978</v>
      </c>
      <c r="K111" s="4">
        <f>F111*(1+0.01*growthrate!$E$3)^2</f>
        <v>544274.0488499999</v>
      </c>
      <c r="L111" s="4">
        <f>G111*(1+0.01*growthrate!$E$3)^2</f>
        <v>2238474.9404499992</v>
      </c>
      <c r="M111" s="4">
        <f>H111*(1+0.01*growthrate!$E$3)^2</f>
        <v>3987780.5068499991</v>
      </c>
      <c r="N111" s="12">
        <f>I111*(1+0.01*growthrate!$E$3)^5</f>
        <v>569917.71114295826</v>
      </c>
      <c r="O111" s="4">
        <f>J111*(1+0.01*growthrate!$E$3)^5</f>
        <v>-805.74740676669171</v>
      </c>
      <c r="P111" s="4">
        <f>K111*(1+0.01*growthrate!$E$3)^5</f>
        <v>586337.72655548737</v>
      </c>
      <c r="Q111" s="4">
        <f>L111*(1+0.01*growthrate!$E$3)^5</f>
        <v>2411473.2464428116</v>
      </c>
      <c r="R111" s="4">
        <f>M111*(1+0.01*growthrate!$E$3)^5</f>
        <v>4295972.1510314262</v>
      </c>
      <c r="S111" s="12">
        <f>N111*(1+0.01*growthrate!$F$3)^10</f>
        <v>611092.36707518063</v>
      </c>
      <c r="T111" s="4">
        <f>O111*(1+0.01*growthrate!$F$3)^10</f>
        <v>-863.95997253406256</v>
      </c>
      <c r="U111" s="4">
        <f>P111*(1+0.01*growthrate!$F$3)^10</f>
        <v>628698.67389749375</v>
      </c>
      <c r="V111" s="4">
        <f>Q111*(1+0.01*growthrate!$F$3)^10</f>
        <v>2585694.1546032457</v>
      </c>
      <c r="W111" s="4">
        <f>R111*(1+0.01*growthrate!$F$3)^10</f>
        <v>4606341.8267840687</v>
      </c>
    </row>
    <row r="112" spans="1:23" x14ac:dyDescent="0.2">
      <c r="A112" s="2" t="s">
        <v>231</v>
      </c>
      <c r="B112" s="8" t="s">
        <v>232</v>
      </c>
      <c r="C112" s="4" t="s">
        <v>779</v>
      </c>
      <c r="D112" s="5">
        <v>27240997</v>
      </c>
      <c r="E112" s="5">
        <v>119867</v>
      </c>
      <c r="F112" s="5">
        <v>27360864</v>
      </c>
      <c r="G112" s="5">
        <v>12814101</v>
      </c>
      <c r="H112" s="14">
        <v>8358221</v>
      </c>
      <c r="I112" s="12">
        <f>D112*(1+0.01*growthrate!E113)^2</f>
        <v>27240997</v>
      </c>
      <c r="J112" s="4">
        <f>E112*(1+0.01*growthrate!$E$3)^2</f>
        <v>123489.98007499997</v>
      </c>
      <c r="K112" s="4">
        <f>F112*(1+0.01*growthrate!$E$3)^2</f>
        <v>28187846.114399992</v>
      </c>
      <c r="L112" s="4">
        <f>G112*(1+0.01*growthrate!$E$3)^2</f>
        <v>13201407.202724997</v>
      </c>
      <c r="M112" s="4">
        <f>H112*(1+0.01*growthrate!$E$3)^2</f>
        <v>8610848.2297249977</v>
      </c>
      <c r="N112" s="12">
        <f>I112*(1+0.01*growthrate!$E$3)^5</f>
        <v>29346290.317962229</v>
      </c>
      <c r="O112" s="4">
        <f>J112*(1+0.01*growthrate!$E$3)^5</f>
        <v>133033.78017479758</v>
      </c>
      <c r="P112" s="4">
        <f>K112*(1+0.01*growthrate!$E$3)^5</f>
        <v>30366315.722997427</v>
      </c>
      <c r="Q112" s="4">
        <f>L112*(1+0.01*growthrate!$E$3)^5</f>
        <v>14221664.808259603</v>
      </c>
      <c r="R112" s="4">
        <f>M112*(1+0.01*growthrate!$E$3)^5</f>
        <v>9276329.0577588212</v>
      </c>
      <c r="S112" s="12">
        <f>N112*(1+0.01*growthrate!$F$3)^10</f>
        <v>31466462.025393352</v>
      </c>
      <c r="T112" s="4">
        <f>O112*(1+0.01*growthrate!$F$3)^10</f>
        <v>142645.0275864194</v>
      </c>
      <c r="U112" s="4">
        <f>P112*(1+0.01*growthrate!$F$3)^10</f>
        <v>32560180.867697276</v>
      </c>
      <c r="V112" s="4">
        <f>Q112*(1+0.01*growthrate!$F$3)^10</f>
        <v>15249132.710755792</v>
      </c>
      <c r="W112" s="4">
        <f>R112*(1+0.01*growthrate!$F$3)^10</f>
        <v>9946512.9278149102</v>
      </c>
    </row>
    <row r="113" spans="1:23" x14ac:dyDescent="0.2">
      <c r="A113" s="2" t="s">
        <v>233</v>
      </c>
      <c r="B113" s="8" t="s">
        <v>234</v>
      </c>
      <c r="C113" s="4" t="s">
        <v>779</v>
      </c>
      <c r="D113" s="5">
        <v>1969859</v>
      </c>
      <c r="E113" s="5">
        <v>97908</v>
      </c>
      <c r="F113" s="5">
        <v>2067767</v>
      </c>
      <c r="G113" s="5">
        <v>717529</v>
      </c>
      <c r="H113" s="14">
        <v>417849</v>
      </c>
      <c r="I113" s="12">
        <f>D113*(1+0.01*growthrate!E114)^2</f>
        <v>1969859</v>
      </c>
      <c r="J113" s="4">
        <f>E113*(1+0.01*growthrate!$E$3)^2</f>
        <v>100867.26929999997</v>
      </c>
      <c r="K113" s="4">
        <f>F113*(1+0.01*growthrate!$E$3)^2</f>
        <v>2130265.2575749992</v>
      </c>
      <c r="L113" s="4">
        <f>G113*(1+0.01*growthrate!$E$3)^2</f>
        <v>739216.31402499985</v>
      </c>
      <c r="M113" s="4">
        <f>H113*(1+0.01*growthrate!$E$3)^2</f>
        <v>430478.48602499987</v>
      </c>
      <c r="N113" s="12">
        <f>I113*(1+0.01*growthrate!$E$3)^5</f>
        <v>2122097.5906076697</v>
      </c>
      <c r="O113" s="4">
        <f>J113*(1+0.01*growthrate!$E$3)^5</f>
        <v>108662.69573238739</v>
      </c>
      <c r="P113" s="4">
        <f>K113*(1+0.01*growthrate!$E$3)^5</f>
        <v>2294900.6860161731</v>
      </c>
      <c r="Q113" s="4">
        <f>L113*(1+0.01*growthrate!$E$3)^5</f>
        <v>796345.91050950077</v>
      </c>
      <c r="R113" s="4">
        <f>M113*(1+0.01*growthrate!$E$3)^5</f>
        <v>463747.58701109554</v>
      </c>
      <c r="S113" s="12">
        <f>N113*(1+0.01*growthrate!$F$3)^10</f>
        <v>2275412.0716976444</v>
      </c>
      <c r="T113" s="4">
        <f>O113*(1+0.01*growthrate!$F$3)^10</f>
        <v>116513.21348603994</v>
      </c>
      <c r="U113" s="4">
        <f>P113*(1+0.01*growthrate!$F$3)^10</f>
        <v>2460699.6150507452</v>
      </c>
      <c r="V113" s="4">
        <f>Q113*(1+0.01*growthrate!$F$3)^10</f>
        <v>853879.24949365482</v>
      </c>
      <c r="W113" s="4">
        <f>R113*(1+0.01*growthrate!$F$3)^10</f>
        <v>497251.8051837266</v>
      </c>
    </row>
    <row r="114" spans="1:23" x14ac:dyDescent="0.2">
      <c r="A114" s="2" t="s">
        <v>235</v>
      </c>
      <c r="B114" s="8" t="s">
        <v>236</v>
      </c>
      <c r="C114" s="4" t="s">
        <v>779</v>
      </c>
      <c r="D114" s="5">
        <v>7496493</v>
      </c>
      <c r="E114" s="5">
        <v>-58515</v>
      </c>
      <c r="F114" s="5">
        <v>7437978</v>
      </c>
      <c r="G114" s="5">
        <v>13260766</v>
      </c>
      <c r="H114" s="14">
        <v>8821937</v>
      </c>
      <c r="I114" s="12">
        <f>D114*(1+0.01*growthrate!E115)^2</f>
        <v>7496493</v>
      </c>
      <c r="J114" s="4">
        <f>E114*(1+0.01*growthrate!$E$3)^2</f>
        <v>-60283.615874999981</v>
      </c>
      <c r="K114" s="4">
        <f>F114*(1+0.01*growthrate!$E$3)^2</f>
        <v>7662790.8850499978</v>
      </c>
      <c r="L114" s="4">
        <f>G114*(1+0.01*growthrate!$E$3)^2</f>
        <v>13661572.652349995</v>
      </c>
      <c r="M114" s="4">
        <f>H114*(1+0.01*growthrate!$E$3)^2</f>
        <v>9088580.0458249971</v>
      </c>
      <c r="N114" s="12">
        <f>I114*(1+0.01*growthrate!$E$3)^5</f>
        <v>8075851.9941311842</v>
      </c>
      <c r="O114" s="4">
        <f>J114*(1+0.01*growthrate!$E$3)^5</f>
        <v>-64942.575078447604</v>
      </c>
      <c r="P114" s="4">
        <f>K114*(1+0.01*growthrate!$E$3)^5</f>
        <v>8255002.0455753496</v>
      </c>
      <c r="Q114" s="4">
        <f>L114*(1+0.01*growthrate!$E$3)^5</f>
        <v>14717393.686280875</v>
      </c>
      <c r="R114" s="4">
        <f>M114*(1+0.01*growthrate!$E$3)^5</f>
        <v>9790981.9013899826</v>
      </c>
      <c r="S114" s="12">
        <f>N114*(1+0.01*growthrate!$F$3)^10</f>
        <v>8659305.3957653269</v>
      </c>
      <c r="T114" s="4">
        <f>O114*(1+0.01*growthrate!$F$3)^10</f>
        <v>-69634.459769739216</v>
      </c>
      <c r="U114" s="4">
        <f>P114*(1+0.01*growthrate!$F$3)^10</f>
        <v>8851398.4415825922</v>
      </c>
      <c r="V114" s="4">
        <f>Q114*(1+0.01*growthrate!$F$3)^10</f>
        <v>15780676.348678555</v>
      </c>
      <c r="W114" s="4">
        <f>R114*(1+0.01*growthrate!$F$3)^10</f>
        <v>10498347.724817121</v>
      </c>
    </row>
    <row r="115" spans="1:23" x14ac:dyDescent="0.2">
      <c r="A115" s="2" t="s">
        <v>237</v>
      </c>
      <c r="B115" s="8" t="s">
        <v>238</v>
      </c>
      <c r="C115" s="4" t="s">
        <v>779</v>
      </c>
      <c r="D115" s="5">
        <v>942885</v>
      </c>
      <c r="E115" s="5">
        <v>-3352</v>
      </c>
      <c r="F115" s="5">
        <v>939533</v>
      </c>
      <c r="G115" s="5">
        <v>1113492</v>
      </c>
      <c r="H115" s="14">
        <v>1060076</v>
      </c>
      <c r="I115" s="12">
        <f>D115*(1+0.01*growthrate!E116)^2</f>
        <v>942885</v>
      </c>
      <c r="J115" s="4">
        <f>E115*(1+0.01*growthrate!$E$3)^2</f>
        <v>-3453.3141999999989</v>
      </c>
      <c r="K115" s="4">
        <f>F115*(1+0.01*growthrate!$E$3)^2</f>
        <v>967930.38492499979</v>
      </c>
      <c r="L115" s="4">
        <f>G115*(1+0.01*growthrate!$E$3)^2</f>
        <v>1147147.2956999997</v>
      </c>
      <c r="M115" s="4">
        <f>H115*(1+0.01*growthrate!$E$3)^2</f>
        <v>1092116.7970999996</v>
      </c>
      <c r="N115" s="12">
        <f>I115*(1+0.01*growthrate!$E$3)^5</f>
        <v>1015754.9280025183</v>
      </c>
      <c r="O115" s="4">
        <f>J115*(1+0.01*growthrate!$E$3)^5</f>
        <v>-3720.2001480467638</v>
      </c>
      <c r="P115" s="4">
        <f>K115*(1+0.01*growthrate!$E$3)^5</f>
        <v>1042735.9205533473</v>
      </c>
      <c r="Q115" s="4">
        <f>L115*(1+0.01*growthrate!$E$3)^5</f>
        <v>1235803.431756828</v>
      </c>
      <c r="R115" s="4">
        <f>M115*(1+0.01*growthrate!$E$3)^5</f>
        <v>1176519.9558892664</v>
      </c>
      <c r="S115" s="12">
        <f>N115*(1+0.01*growthrate!$F$3)^10</f>
        <v>1089139.8375328558</v>
      </c>
      <c r="T115" s="4">
        <f>O115*(1+0.01*growthrate!$F$3)^10</f>
        <v>-3988.972214785369</v>
      </c>
      <c r="U115" s="4">
        <f>P115*(1+0.01*growthrate!$F$3)^10</f>
        <v>1118070.1169075007</v>
      </c>
      <c r="V115" s="4">
        <f>Q115*(1+0.01*growthrate!$F$3)^10</f>
        <v>1325086.1125852596</v>
      </c>
      <c r="W115" s="4">
        <f>R115*(1+0.01*growthrate!$F$3)^10</f>
        <v>1261519.6030909352</v>
      </c>
    </row>
    <row r="116" spans="1:23" x14ac:dyDescent="0.2">
      <c r="A116" s="2" t="s">
        <v>239</v>
      </c>
      <c r="B116" s="8" t="s">
        <v>240</v>
      </c>
      <c r="C116" s="4" t="s">
        <v>779</v>
      </c>
      <c r="D116" s="5">
        <v>437569</v>
      </c>
      <c r="E116" s="5">
        <v>-8623</v>
      </c>
      <c r="F116" s="5">
        <v>428946</v>
      </c>
      <c r="G116" s="5">
        <v>676078</v>
      </c>
      <c r="H116" s="14">
        <v>402821</v>
      </c>
      <c r="I116" s="12">
        <f>D116*(1+0.01*growthrate!E117)^2</f>
        <v>437569</v>
      </c>
      <c r="J116" s="4">
        <f>E116*(1+0.01*growthrate!$E$3)^2</f>
        <v>-8883.6301749999984</v>
      </c>
      <c r="K116" s="4">
        <f>F116*(1+0.01*growthrate!$E$3)^2</f>
        <v>441910.89284999989</v>
      </c>
      <c r="L116" s="4">
        <f>G116*(1+0.01*growthrate!$E$3)^2</f>
        <v>696512.45754999982</v>
      </c>
      <c r="M116" s="4">
        <f>H116*(1+0.01*growthrate!$E$3)^2</f>
        <v>414996.2647249999</v>
      </c>
      <c r="N116" s="12">
        <f>I116*(1+0.01*growthrate!$E$3)^5</f>
        <v>471386.08429568179</v>
      </c>
      <c r="O116" s="4">
        <f>J116*(1+0.01*growthrate!$E$3)^5</f>
        <v>-9570.1926839520438</v>
      </c>
      <c r="P116" s="4">
        <f>K116*(1+0.01*growthrate!$E$3)^5</f>
        <v>476063.53600956657</v>
      </c>
      <c r="Q116" s="4">
        <f>L116*(1+0.01*growthrate!$E$3)^5</f>
        <v>750341.72902480909</v>
      </c>
      <c r="R116" s="4">
        <f>M116*(1+0.01*growthrate!$E$3)^5</f>
        <v>447068.83766000759</v>
      </c>
      <c r="S116" s="12">
        <f>N116*(1+0.01*growthrate!$F$3)^10</f>
        <v>505442.15844924265</v>
      </c>
      <c r="T116" s="4">
        <f>O116*(1+0.01*growthrate!$F$3)^10</f>
        <v>-10261.607221985156</v>
      </c>
      <c r="U116" s="4">
        <f>P116*(1+0.01*growthrate!$F$3)^10</f>
        <v>510457.54046638566</v>
      </c>
      <c r="V116" s="4">
        <f>Q116*(1+0.01*growthrate!$F$3)^10</f>
        <v>804551.41916099726</v>
      </c>
      <c r="W116" s="4">
        <f>R116*(1+0.01*growthrate!$F$3)^10</f>
        <v>479368.07175777358</v>
      </c>
    </row>
    <row r="117" spans="1:23" x14ac:dyDescent="0.2">
      <c r="A117" s="2" t="s">
        <v>241</v>
      </c>
      <c r="B117" s="8" t="s">
        <v>242</v>
      </c>
      <c r="C117" s="4" t="s">
        <v>779</v>
      </c>
      <c r="D117" s="5">
        <v>10919306</v>
      </c>
      <c r="E117" s="5">
        <v>3877319</v>
      </c>
      <c r="F117" s="5">
        <v>14796625</v>
      </c>
      <c r="G117" s="5">
        <v>5376259</v>
      </c>
      <c r="H117" s="14">
        <v>15130743</v>
      </c>
      <c r="I117" s="12">
        <f>D117*(1+0.01*growthrate!E118)^2</f>
        <v>10919306</v>
      </c>
      <c r="J117" s="4">
        <f>E117*(1+0.01*growthrate!$E$3)^2</f>
        <v>3994510.9667749987</v>
      </c>
      <c r="K117" s="4">
        <f>F117*(1+0.01*growthrate!$E$3)^2</f>
        <v>15243852.990624996</v>
      </c>
      <c r="L117" s="4">
        <f>G117*(1+0.01*growthrate!$E$3)^2</f>
        <v>5538756.4282749984</v>
      </c>
      <c r="M117" s="4">
        <f>H117*(1+0.01*growthrate!$E$3)^2</f>
        <v>15588069.707174996</v>
      </c>
      <c r="N117" s="12">
        <f>I117*(1+0.01*growthrate!$E$3)^5</f>
        <v>11763193.687318671</v>
      </c>
      <c r="O117" s="4">
        <f>J117*(1+0.01*growthrate!$E$3)^5</f>
        <v>4303222.7678474132</v>
      </c>
      <c r="P117" s="4">
        <f>K117*(1+0.01*growthrate!$E$3)^5</f>
        <v>16421958.984365288</v>
      </c>
      <c r="Q117" s="4">
        <f>L117*(1+0.01*growthrate!$E$3)^5</f>
        <v>5966813.7015924063</v>
      </c>
      <c r="R117" s="4">
        <f>M117*(1+0.01*growthrate!$E$3)^5</f>
        <v>16792778.146974206</v>
      </c>
      <c r="S117" s="12">
        <f>N117*(1+0.01*growthrate!$F$3)^10</f>
        <v>12613045.241796758</v>
      </c>
      <c r="T117" s="4">
        <f>O117*(1+0.01*growthrate!$F$3)^10</f>
        <v>4614116.2765093641</v>
      </c>
      <c r="U117" s="4">
        <f>P117*(1+0.01*growthrate!$F$3)^10</f>
        <v>17608390.810739428</v>
      </c>
      <c r="V117" s="4">
        <f>Q117*(1+0.01*growthrate!$F$3)^10</f>
        <v>6397896.1129146097</v>
      </c>
      <c r="W117" s="4">
        <f>R117*(1+0.01*growthrate!$F$3)^10</f>
        <v>18006000.422451735</v>
      </c>
    </row>
    <row r="118" spans="1:23" x14ac:dyDescent="0.2">
      <c r="A118" s="2" t="s">
        <v>243</v>
      </c>
      <c r="B118" s="8" t="s">
        <v>244</v>
      </c>
      <c r="C118" s="4" t="s">
        <v>779</v>
      </c>
      <c r="D118" s="5">
        <v>1859499</v>
      </c>
      <c r="E118" s="5">
        <v>-38711</v>
      </c>
      <c r="F118" s="5">
        <v>1820788</v>
      </c>
      <c r="G118" s="5">
        <v>1105872</v>
      </c>
      <c r="H118" s="14">
        <v>1142952</v>
      </c>
      <c r="I118" s="12">
        <f>D118*(1+0.01*growthrate!E119)^2</f>
        <v>1859499</v>
      </c>
      <c r="J118" s="4">
        <f>E118*(1+0.01*growthrate!$E$3)^2</f>
        <v>-39881.039974999992</v>
      </c>
      <c r="K118" s="4">
        <f>F118*(1+0.01*growthrate!$E$3)^2</f>
        <v>1875821.3172999995</v>
      </c>
      <c r="L118" s="4">
        <f>G118*(1+0.01*growthrate!$E$3)^2</f>
        <v>1139296.9811999998</v>
      </c>
      <c r="M118" s="4">
        <f>H118*(1+0.01*growthrate!$E$3)^2</f>
        <v>1177497.7241999996</v>
      </c>
      <c r="N118" s="12">
        <f>I118*(1+0.01*growthrate!$E$3)^5</f>
        <v>2003208.5279389902</v>
      </c>
      <c r="O118" s="4">
        <f>J118*(1+0.01*growthrate!$E$3)^5</f>
        <v>-42963.20642334078</v>
      </c>
      <c r="P118" s="4">
        <f>K118*(1+0.01*growthrate!$E$3)^5</f>
        <v>2020792.2992726048</v>
      </c>
      <c r="Q118" s="4">
        <f>L118*(1+0.01*growthrate!$E$3)^5</f>
        <v>1227346.4135205166</v>
      </c>
      <c r="R118" s="4">
        <f>M118*(1+0.01*growthrate!$E$3)^5</f>
        <v>1268499.4628909142</v>
      </c>
      <c r="S118" s="12">
        <f>N118*(1+0.01*growthrate!$F$3)^10</f>
        <v>2147933.6703336118</v>
      </c>
      <c r="T118" s="4">
        <f>O118*(1+0.01*growthrate!$F$3)^10</f>
        <v>-46067.154954223282</v>
      </c>
      <c r="U118" s="4">
        <f>P118*(1+0.01*growthrate!$F$3)^10</f>
        <v>2166787.8105652216</v>
      </c>
      <c r="V118" s="4">
        <f>Q118*(1+0.01*growthrate!$F$3)^10</f>
        <v>1316018.1029561833</v>
      </c>
      <c r="W118" s="4">
        <f>R118*(1+0.01*growthrate!$F$3)^10</f>
        <v>1360144.3230409804</v>
      </c>
    </row>
    <row r="119" spans="1:23" x14ac:dyDescent="0.2">
      <c r="A119" s="2" t="s">
        <v>245</v>
      </c>
      <c r="B119" s="8" t="s">
        <v>246</v>
      </c>
      <c r="C119" s="4" t="s">
        <v>779</v>
      </c>
      <c r="D119" s="5">
        <v>331893</v>
      </c>
      <c r="E119" s="5">
        <v>30518</v>
      </c>
      <c r="F119" s="5">
        <v>362411</v>
      </c>
      <c r="G119" s="5">
        <v>1023769</v>
      </c>
      <c r="H119" s="14">
        <v>493788</v>
      </c>
      <c r="I119" s="12">
        <f>D119*(1+0.01*growthrate!E120)^2</f>
        <v>331893</v>
      </c>
      <c r="J119" s="4">
        <f>E119*(1+0.01*growthrate!$E$3)^2</f>
        <v>31440.406549999992</v>
      </c>
      <c r="K119" s="4">
        <f>F119*(1+0.01*growthrate!$E$3)^2</f>
        <v>373364.87247499992</v>
      </c>
      <c r="L119" s="4">
        <f>G119*(1+0.01*growthrate!$E$3)^2</f>
        <v>1054712.4180249998</v>
      </c>
      <c r="M119" s="4">
        <f>H119*(1+0.01*growthrate!$E$3)^2</f>
        <v>508712.74229999987</v>
      </c>
      <c r="N119" s="12">
        <f>I119*(1+0.01*growthrate!$E$3)^5</f>
        <v>357543.01990119665</v>
      </c>
      <c r="O119" s="4">
        <f>J119*(1+0.01*growthrate!$E$3)^5</f>
        <v>33870.247051936502</v>
      </c>
      <c r="P119" s="4">
        <f>K119*(1+0.01*growthrate!$E$3)^5</f>
        <v>402220.00472964672</v>
      </c>
      <c r="Q119" s="4">
        <f>L119*(1+0.01*growthrate!$E$3)^5</f>
        <v>1136224.8166365416</v>
      </c>
      <c r="R119" s="4">
        <f>M119*(1+0.01*growthrate!$E$3)^5</f>
        <v>548028.09985194379</v>
      </c>
      <c r="S119" s="12">
        <f>N119*(1+0.01*growthrate!$F$3)^10</f>
        <v>383374.31192382111</v>
      </c>
      <c r="T119" s="4">
        <f>O119*(1+0.01*growthrate!$F$3)^10</f>
        <v>36317.259561700448</v>
      </c>
      <c r="U119" s="4">
        <f>P119*(1+0.01*growthrate!$F$3)^10</f>
        <v>431279.06006341899</v>
      </c>
      <c r="V119" s="4">
        <f>Q119*(1+0.01*growthrate!$F$3)^10</f>
        <v>1218313.2742716593</v>
      </c>
      <c r="W119" s="4">
        <f>R119*(1+0.01*growthrate!$F$3)^10</f>
        <v>587621.30429428339</v>
      </c>
    </row>
    <row r="120" spans="1:23" x14ac:dyDescent="0.2">
      <c r="A120" s="2" t="s">
        <v>247</v>
      </c>
      <c r="B120" s="8" t="s">
        <v>248</v>
      </c>
      <c r="C120" s="4" t="s">
        <v>779</v>
      </c>
      <c r="D120" s="5">
        <v>1201397</v>
      </c>
      <c r="E120" s="5">
        <v>9364</v>
      </c>
      <c r="F120" s="5">
        <v>1210761</v>
      </c>
      <c r="G120" s="5">
        <v>1855930</v>
      </c>
      <c r="H120" s="14">
        <v>1694995</v>
      </c>
      <c r="I120" s="12">
        <f>D120*(1+0.01*growthrate!E121)^2</f>
        <v>1201397</v>
      </c>
      <c r="J120" s="4">
        <f>E120*(1+0.01*growthrate!$E$3)^2</f>
        <v>9647.0268999999971</v>
      </c>
      <c r="K120" s="4">
        <f>F120*(1+0.01*growthrate!$E$3)^2</f>
        <v>1247356.2512249998</v>
      </c>
      <c r="L120" s="4">
        <f>G120*(1+0.01*growthrate!$E$3)^2</f>
        <v>1912025.4842499995</v>
      </c>
      <c r="M120" s="4">
        <f>H120*(1+0.01*growthrate!$E$3)^2</f>
        <v>1746226.2238749994</v>
      </c>
      <c r="N120" s="12">
        <f>I120*(1+0.01*growthrate!$E$3)^5</f>
        <v>1294245.7704146756</v>
      </c>
      <c r="O120" s="4">
        <f>J120*(1+0.01*growthrate!$E$3)^5</f>
        <v>10392.587764412259</v>
      </c>
      <c r="P120" s="4">
        <f>K120*(1+0.01*growthrate!$E$3)^5</f>
        <v>1343756.9365898713</v>
      </c>
      <c r="Q120" s="4">
        <f>L120*(1+0.01*growthrate!$E$3)^5</f>
        <v>2059794.469201799</v>
      </c>
      <c r="R120" s="4">
        <f>M120*(1+0.01*growthrate!$E$3)^5</f>
        <v>1881181.5781439513</v>
      </c>
      <c r="S120" s="12">
        <f>N120*(1+0.01*growthrate!$F$3)^10</f>
        <v>1387750.715508742</v>
      </c>
      <c r="T120" s="4">
        <f>O120*(1+0.01*growthrate!$F$3)^10</f>
        <v>11143.417607174877</v>
      </c>
      <c r="U120" s="4">
        <f>P120*(1+0.01*growthrate!$F$3)^10</f>
        <v>1440838.8984921684</v>
      </c>
      <c r="V120" s="4">
        <f>Q120*(1+0.01*growthrate!$F$3)^10</f>
        <v>2208607.7573349075</v>
      </c>
      <c r="W120" s="4">
        <f>R120*(1+0.01*growthrate!$F$3)^10</f>
        <v>2017090.679952305</v>
      </c>
    </row>
    <row r="121" spans="1:23" x14ac:dyDescent="0.2">
      <c r="A121" s="2" t="s">
        <v>249</v>
      </c>
      <c r="B121" s="8" t="s">
        <v>250</v>
      </c>
      <c r="C121" s="4" t="s">
        <v>779</v>
      </c>
      <c r="D121" s="5">
        <v>113533</v>
      </c>
      <c r="E121" s="5">
        <v>17201</v>
      </c>
      <c r="F121" s="5">
        <v>130734</v>
      </c>
      <c r="G121" s="5">
        <v>155408</v>
      </c>
      <c r="H121" s="14">
        <v>329937</v>
      </c>
      <c r="I121" s="12">
        <f>D121*(1+0.01*growthrate!E122)^2</f>
        <v>113533</v>
      </c>
      <c r="J121" s="4">
        <f>E121*(1+0.01*growthrate!$E$3)^2</f>
        <v>17720.900224999994</v>
      </c>
      <c r="K121" s="4">
        <f>F121*(1+0.01*growthrate!$E$3)^2</f>
        <v>134685.43514999998</v>
      </c>
      <c r="L121" s="4">
        <f>G121*(1+0.01*growthrate!$E$3)^2</f>
        <v>160105.20679999996</v>
      </c>
      <c r="M121" s="4">
        <f>H121*(1+0.01*growthrate!$E$3)^2</f>
        <v>339909.34582499991</v>
      </c>
      <c r="N121" s="12">
        <f>I121*(1+0.01*growthrate!$E$3)^5</f>
        <v>122307.28481300466</v>
      </c>
      <c r="O121" s="4">
        <f>J121*(1+0.01*growthrate!$E$3)^5</f>
        <v>19090.442346823504</v>
      </c>
      <c r="P121" s="4">
        <f>K121*(1+0.01*growthrate!$E$3)^5</f>
        <v>145094.46484330122</v>
      </c>
      <c r="Q121" s="4">
        <f>L121*(1+0.01*growthrate!$E$3)^5</f>
        <v>172478.77822423971</v>
      </c>
      <c r="R121" s="4">
        <f>M121*(1+0.01*growthrate!$E$3)^5</f>
        <v>366178.90102807432</v>
      </c>
      <c r="S121" s="12">
        <f>N121*(1+0.01*growthrate!$F$3)^10</f>
        <v>131143.57867037624</v>
      </c>
      <c r="T121" s="4">
        <f>O121*(1+0.01*growthrate!$F$3)^10</f>
        <v>20469.663206003319</v>
      </c>
      <c r="U121" s="4">
        <f>P121*(1+0.01*growthrate!$F$3)^10</f>
        <v>155577.05654169168</v>
      </c>
      <c r="V121" s="4">
        <f>Q121*(1+0.01*growthrate!$F$3)^10</f>
        <v>184939.795332746</v>
      </c>
      <c r="W121" s="4">
        <f>R121*(1+0.01*growthrate!$F$3)^10</f>
        <v>392634.10669142014</v>
      </c>
    </row>
    <row r="122" spans="1:23" x14ac:dyDescent="0.2">
      <c r="A122" s="2" t="s">
        <v>251</v>
      </c>
      <c r="B122" s="8" t="s">
        <v>252</v>
      </c>
      <c r="C122" s="4" t="s">
        <v>779</v>
      </c>
      <c r="D122" s="5">
        <v>542392</v>
      </c>
      <c r="E122" s="5">
        <v>534468</v>
      </c>
      <c r="F122" s="5">
        <v>1076860</v>
      </c>
      <c r="G122" s="5">
        <v>786137</v>
      </c>
      <c r="H122" s="14">
        <v>1441311</v>
      </c>
      <c r="I122" s="12">
        <f>D122*(1+0.01*growthrate!E123)^2</f>
        <v>542392</v>
      </c>
      <c r="J122" s="4">
        <f>E122*(1+0.01*growthrate!$E$3)^2</f>
        <v>550622.29529999988</v>
      </c>
      <c r="K122" s="4">
        <f>F122*(1+0.01*growthrate!$E$3)^2</f>
        <v>1109408.0934999997</v>
      </c>
      <c r="L122" s="4">
        <f>G122*(1+0.01*growthrate!$E$3)^2</f>
        <v>809897.99082499975</v>
      </c>
      <c r="M122" s="4">
        <f>H122*(1+0.01*growthrate!$E$3)^2</f>
        <v>1484874.6249749996</v>
      </c>
      <c r="N122" s="12">
        <f>I122*(1+0.01*growthrate!$E$3)^5</f>
        <v>584310.22543485358</v>
      </c>
      <c r="O122" s="4">
        <f>J122*(1+0.01*growthrate!$E$3)^5</f>
        <v>593176.59090878814</v>
      </c>
      <c r="P122" s="4">
        <f>K122*(1+0.01*growthrate!$E$3)^5</f>
        <v>1195147.5929074099</v>
      </c>
      <c r="Q122" s="4">
        <f>L122*(1+0.01*growthrate!$E$3)^5</f>
        <v>872490.15029386594</v>
      </c>
      <c r="R122" s="4">
        <f>M122*(1+0.01*growthrate!$E$3)^5</f>
        <v>1599631.6812593762</v>
      </c>
      <c r="S122" s="12">
        <f>N122*(1+0.01*growthrate!$F$3)^10</f>
        <v>626524.69257557462</v>
      </c>
      <c r="T122" s="4">
        <f>O122*(1+0.01*growthrate!$F$3)^10</f>
        <v>636031.62341643986</v>
      </c>
      <c r="U122" s="4">
        <f>P122*(1+0.01*growthrate!$F$3)^10</f>
        <v>1281493.024825111</v>
      </c>
      <c r="V122" s="4">
        <f>Q122*(1+0.01*growthrate!$F$3)^10</f>
        <v>935524.65692563402</v>
      </c>
      <c r="W122" s="4">
        <f>R122*(1+0.01*growthrate!$F$3)^10</f>
        <v>1715199.7410097001</v>
      </c>
    </row>
    <row r="123" spans="1:23" x14ac:dyDescent="0.2">
      <c r="A123" s="2" t="s">
        <v>253</v>
      </c>
      <c r="B123" s="8" t="s">
        <v>254</v>
      </c>
      <c r="C123" s="4" t="s">
        <v>779</v>
      </c>
      <c r="D123" s="5">
        <v>295212</v>
      </c>
      <c r="E123" s="5">
        <v>6176171</v>
      </c>
      <c r="F123" s="5">
        <v>6471383</v>
      </c>
      <c r="G123" s="5">
        <v>1282830</v>
      </c>
      <c r="H123" s="14">
        <v>5801507</v>
      </c>
      <c r="I123" s="12">
        <f>D123*(1+0.01*growthrate!E124)^2</f>
        <v>295212</v>
      </c>
      <c r="J123" s="4">
        <f>E123*(1+0.01*growthrate!$E$3)^2</f>
        <v>6362845.768474998</v>
      </c>
      <c r="K123" s="4">
        <f>F123*(1+0.01*growthrate!$E$3)^2</f>
        <v>6666980.5511749983</v>
      </c>
      <c r="L123" s="4">
        <f>G123*(1+0.01*growthrate!$E$3)^2</f>
        <v>1321603.5367499997</v>
      </c>
      <c r="M123" s="4">
        <f>H123*(1+0.01*growthrate!$E$3)^2</f>
        <v>5976857.5490749981</v>
      </c>
      <c r="N123" s="12">
        <f>I123*(1+0.01*growthrate!$E$3)^5</f>
        <v>318027.16535471391</v>
      </c>
      <c r="O123" s="4">
        <f>J123*(1+0.01*growthrate!$E$3)^5</f>
        <v>6854591.9655614942</v>
      </c>
      <c r="P123" s="4">
        <f>K123*(1+0.01*growthrate!$E$3)^5</f>
        <v>7182231.5019890545</v>
      </c>
      <c r="Q123" s="4">
        <f>L123*(1+0.01*growthrate!$E$3)^5</f>
        <v>1423742.3496177895</v>
      </c>
      <c r="R123" s="4">
        <f>M123*(1+0.01*growthrate!$E$3)^5</f>
        <v>6438773.0311140623</v>
      </c>
      <c r="S123" s="12">
        <f>N123*(1+0.01*growthrate!$F$3)^10</f>
        <v>341003.56853460328</v>
      </c>
      <c r="T123" s="4">
        <f>O123*(1+0.01*growthrate!$F$3)^10</f>
        <v>7349813.3987956941</v>
      </c>
      <c r="U123" s="4">
        <f>P123*(1+0.01*growthrate!$F$3)^10</f>
        <v>7701123.8001892557</v>
      </c>
      <c r="V123" s="4">
        <f>Q123*(1+0.01*growthrate!$F$3)^10</f>
        <v>1526602.9911375642</v>
      </c>
      <c r="W123" s="4">
        <f>R123*(1+0.01*growthrate!$F$3)^10</f>
        <v>6903952.9316476192</v>
      </c>
    </row>
    <row r="124" spans="1:23" x14ac:dyDescent="0.2">
      <c r="A124" s="2" t="s">
        <v>255</v>
      </c>
      <c r="B124" s="8" t="s">
        <v>256</v>
      </c>
      <c r="C124" s="4" t="s">
        <v>779</v>
      </c>
      <c r="D124" s="5">
        <v>784666</v>
      </c>
      <c r="E124" s="5">
        <v>29657</v>
      </c>
      <c r="F124" s="5">
        <v>814323</v>
      </c>
      <c r="G124" s="5">
        <v>603376</v>
      </c>
      <c r="H124" s="14">
        <v>933251</v>
      </c>
      <c r="I124" s="12">
        <f>D124*(1+0.01*growthrate!E125)^2</f>
        <v>784666</v>
      </c>
      <c r="J124" s="4">
        <f>E124*(1+0.01*growthrate!$E$3)^2</f>
        <v>30553.382824999993</v>
      </c>
      <c r="K124" s="4">
        <f>F124*(1+0.01*growthrate!$E$3)^2</f>
        <v>838935.9126749998</v>
      </c>
      <c r="L124" s="4">
        <f>G124*(1+0.01*growthrate!$E$3)^2</f>
        <v>621613.03959999979</v>
      </c>
      <c r="M124" s="4">
        <f>H124*(1+0.01*growthrate!$E$3)^2</f>
        <v>961458.51147499972</v>
      </c>
      <c r="N124" s="12">
        <f>I124*(1+0.01*growthrate!$E$3)^5</f>
        <v>845308.13019193639</v>
      </c>
      <c r="O124" s="4">
        <f>J124*(1+0.01*growthrate!$E$3)^5</f>
        <v>32914.670581928069</v>
      </c>
      <c r="P124" s="4">
        <f>K124*(1+0.01*growthrate!$E$3)^5</f>
        <v>903772.23900891561</v>
      </c>
      <c r="Q124" s="4">
        <f>L124*(1+0.01*growthrate!$E$3)^5</f>
        <v>669653.78416702384</v>
      </c>
      <c r="R124" s="4">
        <f>M124*(1+0.01*growthrate!$E$3)^5</f>
        <v>1035763.8748104983</v>
      </c>
      <c r="S124" s="12">
        <f>N124*(1+0.01*growthrate!$F$3)^10</f>
        <v>906378.826429051</v>
      </c>
      <c r="T124" s="4">
        <f>O124*(1+0.01*growthrate!$F$3)^10</f>
        <v>35292.645875265422</v>
      </c>
      <c r="U124" s="4">
        <f>P124*(1+0.01*growthrate!$F$3)^10</f>
        <v>969066.77233313431</v>
      </c>
      <c r="V124" s="4">
        <f>Q124*(1+0.01*growthrate!$F$3)^10</f>
        <v>718034.03910153231</v>
      </c>
      <c r="W124" s="4">
        <f>R124*(1+0.01*growthrate!$F$3)^10</f>
        <v>1110594.3640873092</v>
      </c>
    </row>
    <row r="125" spans="1:23" x14ac:dyDescent="0.2">
      <c r="A125" s="2" t="s">
        <v>257</v>
      </c>
      <c r="B125" s="8" t="s">
        <v>258</v>
      </c>
      <c r="C125" s="4" t="s">
        <v>779</v>
      </c>
      <c r="D125" s="5">
        <v>516871</v>
      </c>
      <c r="E125" s="5">
        <v>15631</v>
      </c>
      <c r="F125" s="5">
        <v>532502</v>
      </c>
      <c r="G125" s="5">
        <v>246591</v>
      </c>
      <c r="H125" s="14">
        <v>335253</v>
      </c>
      <c r="I125" s="12">
        <f>D125*(1+0.01*growthrate!E126)^2</f>
        <v>516871</v>
      </c>
      <c r="J125" s="4">
        <f>E125*(1+0.01*growthrate!$E$3)^2</f>
        <v>16103.446974999995</v>
      </c>
      <c r="K125" s="4">
        <f>F125*(1+0.01*growthrate!$E$3)^2</f>
        <v>548596.87294999987</v>
      </c>
      <c r="L125" s="4">
        <f>G125*(1+0.01*growthrate!$E$3)^2</f>
        <v>254044.21297499994</v>
      </c>
      <c r="M125" s="4">
        <f>H125*(1+0.01*growthrate!$E$3)^2</f>
        <v>345386.02192499989</v>
      </c>
      <c r="N125" s="12">
        <f>I125*(1+0.01*growthrate!$E$3)^5</f>
        <v>556816.8603717204</v>
      </c>
      <c r="O125" s="4">
        <f>J125*(1+0.01*growthrate!$E$3)^5</f>
        <v>17347.985833567709</v>
      </c>
      <c r="P125" s="4">
        <f>K125*(1+0.01*growthrate!$E$3)^5</f>
        <v>590994.63581002329</v>
      </c>
      <c r="Q125" s="4">
        <f>L125*(1+0.01*growthrate!$E$3)^5</f>
        <v>273677.76691736263</v>
      </c>
      <c r="R125" s="4">
        <f>M125*(1+0.01*growthrate!$E$3)^5</f>
        <v>372078.83658506017</v>
      </c>
      <c r="S125" s="12">
        <f>N125*(1+0.01*growthrate!$F$3)^10</f>
        <v>597045.02348159603</v>
      </c>
      <c r="T125" s="4">
        <f>O125*(1+0.01*growthrate!$F$3)^10</f>
        <v>18601.320014710647</v>
      </c>
      <c r="U125" s="4">
        <f>P125*(1+0.01*growthrate!$F$3)^10</f>
        <v>633692.02933103777</v>
      </c>
      <c r="V125" s="4">
        <f>Q125*(1+0.01*growthrate!$F$3)^10</f>
        <v>293450.07381149731</v>
      </c>
      <c r="W125" s="4">
        <f>R125*(1+0.01*growthrate!$F$3)^10</f>
        <v>398960.29293658689</v>
      </c>
    </row>
    <row r="126" spans="1:23" x14ac:dyDescent="0.2">
      <c r="A126" s="2" t="s">
        <v>259</v>
      </c>
      <c r="B126" s="8" t="s">
        <v>260</v>
      </c>
      <c r="C126" s="4" t="s">
        <v>779</v>
      </c>
      <c r="D126" s="5">
        <v>7418765</v>
      </c>
      <c r="E126" s="5">
        <v>74862</v>
      </c>
      <c r="F126" s="5">
        <v>7493627</v>
      </c>
      <c r="G126" s="5">
        <v>8062754</v>
      </c>
      <c r="H126" s="14">
        <v>5109516</v>
      </c>
      <c r="I126" s="12">
        <f>D126*(1+0.01*growthrate!E127)^2</f>
        <v>7418765</v>
      </c>
      <c r="J126" s="4">
        <f>E126*(1+0.01*growthrate!$E$3)^2</f>
        <v>77124.703949999981</v>
      </c>
      <c r="K126" s="4">
        <f>F126*(1+0.01*growthrate!$E$3)^2</f>
        <v>7720121.8760749977</v>
      </c>
      <c r="L126" s="4">
        <f>G126*(1+0.01*growthrate!$E$3)^2</f>
        <v>8306450.739649998</v>
      </c>
      <c r="M126" s="4">
        <f>H126*(1+0.01*growthrate!$E$3)^2</f>
        <v>5263951.1210999982</v>
      </c>
      <c r="N126" s="12">
        <f>I126*(1+0.01*growthrate!$E$3)^5</f>
        <v>7992116.8630772596</v>
      </c>
      <c r="O126" s="4">
        <f>J126*(1+0.01*growthrate!$E$3)^5</f>
        <v>83085.209869653001</v>
      </c>
      <c r="P126" s="4">
        <f>K126*(1+0.01*growthrate!$E$3)^5</f>
        <v>8316763.805133421</v>
      </c>
      <c r="Q126" s="4">
        <f>L126*(1+0.01*growthrate!$E$3)^5</f>
        <v>8948406.5108784717</v>
      </c>
      <c r="R126" s="4">
        <f>M126*(1+0.01*growthrate!$E$3)^5</f>
        <v>5670770.339990247</v>
      </c>
      <c r="S126" s="12">
        <f>N126*(1+0.01*growthrate!$F$3)^10</f>
        <v>8569520.6804588418</v>
      </c>
      <c r="T126" s="4">
        <f>O126*(1+0.01*growthrate!$F$3)^10</f>
        <v>89087.839481880161</v>
      </c>
      <c r="U126" s="4">
        <f>P126*(1+0.01*growthrate!$F$3)^10</f>
        <v>8917622.2825075891</v>
      </c>
      <c r="V126" s="4">
        <f>Q126*(1+0.01*growthrate!$F$3)^10</f>
        <v>9594899.0694062021</v>
      </c>
      <c r="W126" s="4">
        <f>R126*(1+0.01*growthrate!$F$3)^10</f>
        <v>6080464.6047139848</v>
      </c>
    </row>
    <row r="127" spans="1:23" x14ac:dyDescent="0.2">
      <c r="A127" s="2" t="s">
        <v>261</v>
      </c>
      <c r="B127" s="8" t="s">
        <v>262</v>
      </c>
      <c r="C127" s="4" t="s">
        <v>779</v>
      </c>
      <c r="D127" s="5">
        <v>6627813</v>
      </c>
      <c r="E127" s="5">
        <v>12831</v>
      </c>
      <c r="F127" s="5">
        <v>6640644</v>
      </c>
      <c r="G127" s="5">
        <v>2722040</v>
      </c>
      <c r="H127" s="14">
        <v>5936138</v>
      </c>
      <c r="I127" s="12">
        <f>D127*(1+0.01*growthrate!E128)^2</f>
        <v>6627813</v>
      </c>
      <c r="J127" s="4">
        <f>E127*(1+0.01*growthrate!$E$3)^2</f>
        <v>13218.816974999996</v>
      </c>
      <c r="K127" s="4">
        <f>F127*(1+0.01*growthrate!$E$3)^2</f>
        <v>6841357.4648999982</v>
      </c>
      <c r="L127" s="4">
        <f>G127*(1+0.01*growthrate!$E$3)^2</f>
        <v>2804313.6589999991</v>
      </c>
      <c r="M127" s="4">
        <f>H127*(1+0.01*growthrate!$E$3)^2</f>
        <v>6115557.7710499987</v>
      </c>
      <c r="N127" s="12">
        <f>I127*(1+0.01*growthrate!$E$3)^5</f>
        <v>7140036.9256369062</v>
      </c>
      <c r="O127" s="4">
        <f>J127*(1+0.01*growthrate!$E$3)^5</f>
        <v>14240.420077442728</v>
      </c>
      <c r="P127" s="4">
        <f>K127*(1+0.01*growthrate!$E$3)^5</f>
        <v>7370084.961791723</v>
      </c>
      <c r="Q127" s="4">
        <f>L127*(1+0.01*growthrate!$E$3)^5</f>
        <v>3021042.2467151587</v>
      </c>
      <c r="R127" s="4">
        <f>M127*(1+0.01*growthrate!$E$3)^5</f>
        <v>6588192.5615829425</v>
      </c>
      <c r="S127" s="12">
        <f>N127*(1+0.01*growthrate!$F$3)^10</f>
        <v>7655880.8062681546</v>
      </c>
      <c r="T127" s="4">
        <f>O127*(1+0.01*growthrate!$F$3)^10</f>
        <v>15269.242985653658</v>
      </c>
      <c r="U127" s="4">
        <f>P127*(1+0.01*growthrate!$F$3)^10</f>
        <v>7902549.0466232616</v>
      </c>
      <c r="V127" s="4">
        <f>Q127*(1+0.01*growthrate!$F$3)^10</f>
        <v>3239302.4843479604</v>
      </c>
      <c r="W127" s="4">
        <f>R127*(1+0.01*growthrate!$F$3)^10</f>
        <v>7064167.5253972532</v>
      </c>
    </row>
    <row r="128" spans="1:23" x14ac:dyDescent="0.2">
      <c r="A128" s="2" t="s">
        <v>263</v>
      </c>
      <c r="B128" s="8" t="s">
        <v>264</v>
      </c>
      <c r="C128" s="4" t="s">
        <v>779</v>
      </c>
      <c r="D128" s="5">
        <v>170505</v>
      </c>
      <c r="E128" s="5">
        <v>4788</v>
      </c>
      <c r="F128" s="5">
        <v>175293</v>
      </c>
      <c r="G128" s="5">
        <v>438850</v>
      </c>
      <c r="H128" s="14">
        <v>2387662</v>
      </c>
      <c r="I128" s="12">
        <f>D128*(1+0.01*growthrate!E129)^2</f>
        <v>170505</v>
      </c>
      <c r="J128" s="4">
        <f>E128*(1+0.01*growthrate!$E$3)^2</f>
        <v>4932.7172999999984</v>
      </c>
      <c r="K128" s="4">
        <f>F128*(1+0.01*growthrate!$E$3)^2</f>
        <v>180591.23092499995</v>
      </c>
      <c r="L128" s="4">
        <f>G128*(1+0.01*growthrate!$E$3)^2</f>
        <v>452114.2412499999</v>
      </c>
      <c r="M128" s="4">
        <f>H128*(1+0.01*growthrate!$E$3)^2</f>
        <v>2459829.0839499994</v>
      </c>
      <c r="N128" s="12">
        <f>I128*(1+0.01*growthrate!$E$3)^5</f>
        <v>183682.30908230523</v>
      </c>
      <c r="O128" s="4">
        <f>J128*(1+0.01*growthrate!$E$3)^5</f>
        <v>5313.9374429737181</v>
      </c>
      <c r="P128" s="4">
        <f>K128*(1+0.01*growthrate!$E$3)^5</f>
        <v>194548.04431729158</v>
      </c>
      <c r="Q128" s="4">
        <f>L128*(1+0.01*growthrate!$E$3)^5</f>
        <v>487055.44002694584</v>
      </c>
      <c r="R128" s="4">
        <f>M128*(1+0.01*growthrate!$E$3)^5</f>
        <v>2649934.5244288882</v>
      </c>
      <c r="S128" s="12">
        <f>N128*(1+0.01*growthrate!$F$3)^10</f>
        <v>196952.7439704095</v>
      </c>
      <c r="T128" s="4">
        <f>O128*(1+0.01*growthrate!$F$3)^10</f>
        <v>5697.8517196874536</v>
      </c>
      <c r="U128" s="4">
        <f>P128*(1+0.01*growthrate!$F$3)^10</f>
        <v>208603.49237660252</v>
      </c>
      <c r="V128" s="4">
        <f>Q128*(1+0.01*growthrate!$F$3)^10</f>
        <v>522243.57292916445</v>
      </c>
      <c r="W128" s="4">
        <f>R128*(1+0.01*growthrate!$F$3)^10</f>
        <v>2841383.4654829549</v>
      </c>
    </row>
    <row r="129" spans="1:23" x14ac:dyDescent="0.2">
      <c r="A129" s="2" t="s">
        <v>265</v>
      </c>
      <c r="B129" s="8" t="s">
        <v>266</v>
      </c>
      <c r="C129" s="4" t="s">
        <v>779</v>
      </c>
      <c r="D129" s="5">
        <v>924352</v>
      </c>
      <c r="E129" s="5">
        <v>79886</v>
      </c>
      <c r="F129" s="5">
        <v>1004238</v>
      </c>
      <c r="G129" s="5">
        <v>1743863</v>
      </c>
      <c r="H129" s="14">
        <v>4516545</v>
      </c>
      <c r="I129" s="12">
        <f>D129*(1+0.01*growthrate!E130)^2</f>
        <v>924352</v>
      </c>
      <c r="J129" s="4">
        <f>E129*(1+0.01*growthrate!$E$3)^2</f>
        <v>82300.554349999977</v>
      </c>
      <c r="K129" s="4">
        <f>F129*(1+0.01*growthrate!$E$3)^2</f>
        <v>1034591.0935499998</v>
      </c>
      <c r="L129" s="4">
        <f>G129*(1+0.01*growthrate!$E$3)^2</f>
        <v>1796571.2591749995</v>
      </c>
      <c r="M129" s="4">
        <f>H129*(1+0.01*growthrate!$E$3)^2</f>
        <v>4653057.5726249991</v>
      </c>
      <c r="N129" s="12">
        <f>I129*(1+0.01*growthrate!$E$3)^5</f>
        <v>995789.62355852919</v>
      </c>
      <c r="O129" s="4">
        <f>J129*(1+0.01*growthrate!$E$3)^5</f>
        <v>88661.070712071538</v>
      </c>
      <c r="P129" s="4">
        <f>K129*(1+0.01*growthrate!$E$3)^5</f>
        <v>1114548.4356426569</v>
      </c>
      <c r="Q129" s="4">
        <f>L129*(1+0.01*growthrate!$E$3)^5</f>
        <v>1935417.4793476355</v>
      </c>
      <c r="R129" s="4">
        <f>M129*(1+0.01*growthrate!$E$3)^5</f>
        <v>5012664.4921419667</v>
      </c>
      <c r="S129" s="12">
        <f>N129*(1+0.01*growthrate!$F$3)^10</f>
        <v>1067732.1063577959</v>
      </c>
      <c r="T129" s="4">
        <f>O129*(1+0.01*growthrate!$F$3)^10</f>
        <v>95066.537694016704</v>
      </c>
      <c r="U129" s="4">
        <f>P129*(1+0.01*growthrate!$F$3)^10</f>
        <v>1195070.8469664764</v>
      </c>
      <c r="V129" s="4">
        <f>Q129*(1+0.01*growthrate!$F$3)^10</f>
        <v>2075244.9443294327</v>
      </c>
      <c r="W129" s="4">
        <f>R129*(1+0.01*growthrate!$F$3)^10</f>
        <v>5374812.8018579315</v>
      </c>
    </row>
    <row r="130" spans="1:23" x14ac:dyDescent="0.2">
      <c r="A130" s="2" t="s">
        <v>267</v>
      </c>
      <c r="B130" s="8" t="s">
        <v>268</v>
      </c>
      <c r="C130" s="4" t="s">
        <v>779</v>
      </c>
      <c r="D130" s="5">
        <v>420524</v>
      </c>
      <c r="E130" s="5">
        <v>1616</v>
      </c>
      <c r="F130" s="5">
        <v>422140</v>
      </c>
      <c r="G130" s="5">
        <v>1675795</v>
      </c>
      <c r="H130" s="14">
        <v>5046860</v>
      </c>
      <c r="I130" s="12">
        <f>D130*(1+0.01*growthrate!E131)^2</f>
        <v>420524</v>
      </c>
      <c r="J130" s="4">
        <f>E130*(1+0.01*growthrate!$E$3)^2</f>
        <v>1664.8435999999995</v>
      </c>
      <c r="K130" s="4">
        <f>F130*(1+0.01*growthrate!$E$3)^2</f>
        <v>434899.18149999989</v>
      </c>
      <c r="L130" s="4">
        <f>G130*(1+0.01*growthrate!$E$3)^2</f>
        <v>1726445.9038749996</v>
      </c>
      <c r="M130" s="4">
        <f>H130*(1+0.01*growthrate!$E$3)^2</f>
        <v>5199401.3434999986</v>
      </c>
      <c r="N130" s="12">
        <f>I130*(1+0.01*growthrate!$E$3)^5</f>
        <v>453023.77844947262</v>
      </c>
      <c r="O130" s="4">
        <f>J130*(1+0.01*growthrate!$E$3)^5</f>
        <v>1793.5093792492751</v>
      </c>
      <c r="P130" s="4">
        <f>K130*(1+0.01*growthrate!$E$3)^5</f>
        <v>468509.93153235706</v>
      </c>
      <c r="Q130" s="4">
        <f>L130*(1+0.01*growthrate!$E$3)^5</f>
        <v>1859872.5558162371</v>
      </c>
      <c r="R130" s="4">
        <f>M130*(1+0.01*growthrate!$E$3)^5</f>
        <v>5601231.8971274737</v>
      </c>
      <c r="S130" s="12">
        <f>N130*(1+0.01*growthrate!$F$3)^10</f>
        <v>485753.23718021455</v>
      </c>
      <c r="T130" s="4">
        <f>O130*(1+0.01*growthrate!$F$3)^10</f>
        <v>1923.0844567700344</v>
      </c>
      <c r="U130" s="4">
        <f>P130*(1+0.01*growthrate!$F$3)^10</f>
        <v>502358.21323075646</v>
      </c>
      <c r="V130" s="4">
        <f>Q130*(1+0.01*growthrate!$F$3)^10</f>
        <v>1994242.151753057</v>
      </c>
      <c r="W130" s="4">
        <f>R130*(1+0.01*growthrate!$F$3)^10</f>
        <v>6005902.2410237733</v>
      </c>
    </row>
    <row r="131" spans="1:23" x14ac:dyDescent="0.2">
      <c r="A131" s="2" t="s">
        <v>269</v>
      </c>
      <c r="B131" s="8" t="s">
        <v>270</v>
      </c>
      <c r="C131" s="4" t="s">
        <v>779</v>
      </c>
      <c r="D131" s="5">
        <v>2144841</v>
      </c>
      <c r="E131" s="5">
        <v>508153</v>
      </c>
      <c r="F131" s="5">
        <v>2652994</v>
      </c>
      <c r="G131" s="5">
        <v>4091426</v>
      </c>
      <c r="H131" s="14">
        <v>5012773</v>
      </c>
      <c r="I131" s="12">
        <f>D131*(1+0.01*growthrate!E132)^2</f>
        <v>2144841</v>
      </c>
      <c r="J131" s="4">
        <f>E131*(1+0.01*growthrate!$E$3)^2</f>
        <v>523511.92442499986</v>
      </c>
      <c r="K131" s="4">
        <f>F131*(1+0.01*growthrate!$E$3)^2</f>
        <v>2733180.7436499991</v>
      </c>
      <c r="L131" s="4">
        <f>G131*(1+0.01*growthrate!$E$3)^2</f>
        <v>4215089.3508499991</v>
      </c>
      <c r="M131" s="4">
        <f>H131*(1+0.01*growthrate!$E$3)^2</f>
        <v>5164284.063924999</v>
      </c>
      <c r="N131" s="12">
        <f>I131*(1+0.01*growthrate!$E$3)^5</f>
        <v>2310602.9001753652</v>
      </c>
      <c r="O131" s="4">
        <f>J131*(1+0.01*growthrate!$E$3)^5</f>
        <v>563971.02202577784</v>
      </c>
      <c r="P131" s="4">
        <f>K131*(1+0.01*growthrate!$E$3)^5</f>
        <v>2944411.8948589428</v>
      </c>
      <c r="Q131" s="4">
        <f>L131*(1+0.01*growthrate!$E$3)^5</f>
        <v>4540848.3326140754</v>
      </c>
      <c r="R131" s="4">
        <f>M131*(1+0.01*growthrate!$E$3)^5</f>
        <v>5563400.6135813911</v>
      </c>
      <c r="S131" s="12">
        <f>N131*(1+0.01*growthrate!$F$3)^10</f>
        <v>2477536.2618705439</v>
      </c>
      <c r="T131" s="4">
        <f>O131*(1+0.01*growthrate!$F$3)^10</f>
        <v>604716.04948085616</v>
      </c>
      <c r="U131" s="4">
        <f>P131*(1+0.01*growthrate!$F$3)^10</f>
        <v>3157135.8448664364</v>
      </c>
      <c r="V131" s="4">
        <f>Q131*(1+0.01*growthrate!$F$3)^10</f>
        <v>4868909.49667376</v>
      </c>
      <c r="W131" s="4">
        <f>R131*(1+0.01*growthrate!$F$3)^10</f>
        <v>5965337.773277536</v>
      </c>
    </row>
    <row r="132" spans="1:23" x14ac:dyDescent="0.2">
      <c r="A132" s="2" t="s">
        <v>271</v>
      </c>
      <c r="B132" s="8" t="s">
        <v>272</v>
      </c>
      <c r="C132" s="4" t="s">
        <v>779</v>
      </c>
      <c r="D132" s="5">
        <v>1501782</v>
      </c>
      <c r="E132" s="5">
        <v>14790</v>
      </c>
      <c r="F132" s="5">
        <v>1516572</v>
      </c>
      <c r="G132" s="5">
        <v>1961494</v>
      </c>
      <c r="H132" s="14">
        <v>2311396</v>
      </c>
      <c r="I132" s="12">
        <f>D132*(1+0.01*growthrate!E133)^2</f>
        <v>1501782</v>
      </c>
      <c r="J132" s="4">
        <f>E132*(1+0.01*growthrate!$E$3)^2</f>
        <v>15237.027749999996</v>
      </c>
      <c r="K132" s="4">
        <f>F132*(1+0.01*growthrate!$E$3)^2</f>
        <v>1562410.3886999995</v>
      </c>
      <c r="L132" s="4">
        <f>G132*(1+0.01*growthrate!$E$3)^2</f>
        <v>2020780.1561499995</v>
      </c>
      <c r="M132" s="4">
        <f>H132*(1+0.01*growthrate!$E$3)^2</f>
        <v>2381257.9440999995</v>
      </c>
      <c r="N132" s="12">
        <f>I132*(1+0.01*growthrate!$E$3)^5</f>
        <v>1617845.7259214835</v>
      </c>
      <c r="O132" s="4">
        <f>J132*(1+0.01*growthrate!$E$3)^5</f>
        <v>16414.606261817313</v>
      </c>
      <c r="P132" s="4">
        <f>K132*(1+0.01*growthrate!$E$3)^5</f>
        <v>1683159.7192492771</v>
      </c>
      <c r="Q132" s="4">
        <f>L132*(1+0.01*growthrate!$E$3)^5</f>
        <v>2176954.1375873624</v>
      </c>
      <c r="R132" s="4">
        <f>M132*(1+0.01*growthrate!$E$3)^5</f>
        <v>2565291.092301521</v>
      </c>
      <c r="S132" s="12">
        <f>N132*(1+0.01*growthrate!$F$3)^10</f>
        <v>1734729.6897180113</v>
      </c>
      <c r="T132" s="4">
        <f>O132*(1+0.01*growthrate!$F$3)^10</f>
        <v>17600.506878483175</v>
      </c>
      <c r="U132" s="4">
        <f>P132*(1+0.01*growthrate!$F$3)^10</f>
        <v>1804762.4014682209</v>
      </c>
      <c r="V132" s="4">
        <f>Q132*(1+0.01*growthrate!$F$3)^10</f>
        <v>2334231.8214403973</v>
      </c>
      <c r="W132" s="4">
        <f>R132*(1+0.01*growthrate!$F$3)^10</f>
        <v>2750624.8273765044</v>
      </c>
    </row>
    <row r="133" spans="1:23" x14ac:dyDescent="0.2">
      <c r="A133" s="2" t="s">
        <v>273</v>
      </c>
      <c r="B133" s="8" t="s">
        <v>274</v>
      </c>
      <c r="C133" s="4" t="s">
        <v>779</v>
      </c>
      <c r="D133" s="5">
        <v>914751</v>
      </c>
      <c r="E133" s="5">
        <v>5648</v>
      </c>
      <c r="F133" s="5">
        <v>920399</v>
      </c>
      <c r="G133" s="5">
        <v>1845773</v>
      </c>
      <c r="H133" s="14">
        <v>2121791</v>
      </c>
      <c r="I133" s="12">
        <f>D133*(1+0.01*growthrate!E134)^2</f>
        <v>914751</v>
      </c>
      <c r="J133" s="4">
        <f>E133*(1+0.01*growthrate!$E$3)^2</f>
        <v>5818.710799999998</v>
      </c>
      <c r="K133" s="4">
        <f>F133*(1+0.01*growthrate!$E$3)^2</f>
        <v>948218.05977499974</v>
      </c>
      <c r="L133" s="4">
        <f>G133*(1+0.01*growthrate!$E$3)^2</f>
        <v>1901561.4889249995</v>
      </c>
      <c r="M133" s="4">
        <f>H133*(1+0.01*growthrate!$E$3)^2</f>
        <v>2185922.1329749995</v>
      </c>
      <c r="N133" s="12">
        <f>I133*(1+0.01*growthrate!$E$3)^5</f>
        <v>985446.61983723531</v>
      </c>
      <c r="O133" s="4">
        <f>J133*(1+0.01*growthrate!$E$3)^5</f>
        <v>6268.4040680692488</v>
      </c>
      <c r="P133" s="4">
        <f>K133*(1+0.01*growthrate!$E$3)^5</f>
        <v>1021500.1479898847</v>
      </c>
      <c r="Q133" s="4">
        <f>L133*(1+0.01*growthrate!$E$3)^5</f>
        <v>2048521.7744214558</v>
      </c>
      <c r="R133" s="4">
        <f>M133*(1+0.01*growthrate!$E$3)^5</f>
        <v>2354858.947590779</v>
      </c>
      <c r="S133" s="12">
        <f>N133*(1+0.01*growthrate!$F$3)^10</f>
        <v>1056641.8550756639</v>
      </c>
      <c r="T133" s="4">
        <f>O133*(1+0.01*growthrate!$F$3)^10</f>
        <v>6721.2753786121011</v>
      </c>
      <c r="U133" s="4">
        <f>P133*(1+0.01*growthrate!$F$3)^10</f>
        <v>1095300.1305239375</v>
      </c>
      <c r="V133" s="4">
        <f>Q133*(1+0.01*growthrate!$F$3)^10</f>
        <v>2196520.6479120031</v>
      </c>
      <c r="W133" s="4">
        <f>R133*(1+0.01*growthrate!$F$3)^10</f>
        <v>2524989.6612713793</v>
      </c>
    </row>
    <row r="134" spans="1:23" x14ac:dyDescent="0.2">
      <c r="A134" s="2" t="s">
        <v>275</v>
      </c>
      <c r="B134" s="8" t="s">
        <v>276</v>
      </c>
      <c r="C134" s="4" t="s">
        <v>779</v>
      </c>
      <c r="D134" s="5">
        <v>465725</v>
      </c>
      <c r="E134" s="5">
        <v>101107</v>
      </c>
      <c r="F134" s="5">
        <v>566832</v>
      </c>
      <c r="G134" s="5">
        <v>63544</v>
      </c>
      <c r="H134" s="14">
        <v>277973</v>
      </c>
      <c r="I134" s="12">
        <f>D134*(1+0.01*growthrate!E135)^2</f>
        <v>465725</v>
      </c>
      <c r="J134" s="4">
        <f>E134*(1+0.01*growthrate!$E$3)^2</f>
        <v>104162.95907499998</v>
      </c>
      <c r="K134" s="4">
        <f>F134*(1+0.01*growthrate!$E$3)^2</f>
        <v>583964.49719999987</v>
      </c>
      <c r="L134" s="4">
        <f>G134*(1+0.01*growthrate!$E$3)^2</f>
        <v>65464.617399999981</v>
      </c>
      <c r="M134" s="4">
        <f>H134*(1+0.01*growthrate!$E$3)^2</f>
        <v>286374.73392499995</v>
      </c>
      <c r="N134" s="12">
        <f>I134*(1+0.01*growthrate!$E$3)^5</f>
        <v>501718.09270905022</v>
      </c>
      <c r="O134" s="4">
        <f>J134*(1+0.01*growthrate!$E$3)^5</f>
        <v>112213.0896087602</v>
      </c>
      <c r="P134" s="4">
        <f>K134*(1+0.01*growthrate!$E$3)^5</f>
        <v>629095.61166994134</v>
      </c>
      <c r="Q134" s="4">
        <f>L134*(1+0.01*growthrate!$E$3)^5</f>
        <v>70523.985145430663</v>
      </c>
      <c r="R134" s="4">
        <f>M134*(1+0.01*growthrate!$E$3)^5</f>
        <v>308506.91997404629</v>
      </c>
      <c r="S134" s="12">
        <f>N134*(1+0.01*growthrate!$F$3)^10</f>
        <v>537965.55341848603</v>
      </c>
      <c r="T134" s="4">
        <f>O134*(1+0.01*growthrate!$F$3)^10</f>
        <v>120320.11149173757</v>
      </c>
      <c r="U134" s="4">
        <f>P134*(1+0.01*growthrate!$F$3)^10</f>
        <v>674545.67376229726</v>
      </c>
      <c r="V134" s="4">
        <f>Q134*(1+0.01*growthrate!$F$3)^10</f>
        <v>75619.108119427648</v>
      </c>
      <c r="W134" s="4">
        <f>R134*(1+0.01*growthrate!$F$3)^10</f>
        <v>330795.51714216394</v>
      </c>
    </row>
    <row r="135" spans="1:23" x14ac:dyDescent="0.2">
      <c r="A135" s="2" t="s">
        <v>277</v>
      </c>
      <c r="B135" s="8" t="s">
        <v>278</v>
      </c>
      <c r="C135" s="4" t="s">
        <v>779</v>
      </c>
      <c r="D135" s="5">
        <v>532983</v>
      </c>
      <c r="E135" s="5">
        <v>19718</v>
      </c>
      <c r="F135" s="5">
        <v>552701</v>
      </c>
      <c r="G135" s="5">
        <v>142672</v>
      </c>
      <c r="H135" s="14">
        <v>307132</v>
      </c>
      <c r="I135" s="12">
        <f>D135*(1+0.01*growthrate!E136)^2</f>
        <v>532983</v>
      </c>
      <c r="J135" s="4">
        <f>E135*(1+0.01*growthrate!$E$3)^2</f>
        <v>20313.976549999996</v>
      </c>
      <c r="K135" s="4">
        <f>F135*(1+0.01*growthrate!$E$3)^2</f>
        <v>569406.3877249998</v>
      </c>
      <c r="L135" s="4">
        <f>G135*(1+0.01*growthrate!$E$3)^2</f>
        <v>146984.26119999995</v>
      </c>
      <c r="M135" s="4">
        <f>H135*(1+0.01*growthrate!$E$3)^2</f>
        <v>316415.06469999993</v>
      </c>
      <c r="N135" s="12">
        <f>I135*(1+0.01*growthrate!$E$3)^5</f>
        <v>574174.06024230551</v>
      </c>
      <c r="O135" s="4">
        <f>J135*(1+0.01*growthrate!$E$3)^5</f>
        <v>21883.921992597283</v>
      </c>
      <c r="P135" s="4">
        <f>K135*(1+0.01*growthrate!$E$3)^5</f>
        <v>613412.39320572617</v>
      </c>
      <c r="Q135" s="4">
        <f>L135*(1+0.01*growthrate!$E$3)^5</f>
        <v>158343.79341352262</v>
      </c>
      <c r="R135" s="4">
        <f>M135*(1+0.01*growthrate!$E$3)^5</f>
        <v>340868.88778934925</v>
      </c>
      <c r="S135" s="12">
        <f>N135*(1+0.01*growthrate!$F$3)^10</f>
        <v>615656.22321680165</v>
      </c>
      <c r="T135" s="4">
        <f>O135*(1+0.01*growthrate!$F$3)^10</f>
        <v>23464.962449623479</v>
      </c>
      <c r="U135" s="4">
        <f>P135*(1+0.01*growthrate!$F$3)^10</f>
        <v>657729.39501315274</v>
      </c>
      <c r="V135" s="4">
        <f>Q135*(1+0.01*growthrate!$F$3)^10</f>
        <v>169783.60496057817</v>
      </c>
      <c r="W135" s="4">
        <f>R135*(1+0.01*growthrate!$F$3)^10</f>
        <v>365495.5293172613</v>
      </c>
    </row>
    <row r="136" spans="1:23" x14ac:dyDescent="0.2">
      <c r="A136" s="2" t="s">
        <v>279</v>
      </c>
      <c r="B136" s="8" t="s">
        <v>280</v>
      </c>
      <c r="C136" s="4" t="s">
        <v>779</v>
      </c>
      <c r="D136" s="5">
        <v>554590</v>
      </c>
      <c r="E136" s="5">
        <v>903</v>
      </c>
      <c r="F136" s="5">
        <v>555493</v>
      </c>
      <c r="G136" s="5">
        <v>847095</v>
      </c>
      <c r="H136" s="14">
        <v>920506</v>
      </c>
      <c r="I136" s="12">
        <f>D136*(1+0.01*growthrate!E137)^2</f>
        <v>554590</v>
      </c>
      <c r="J136" s="4">
        <f>E136*(1+0.01*growthrate!$E$3)^2</f>
        <v>930.29317499999979</v>
      </c>
      <c r="K136" s="4">
        <f>F136*(1+0.01*growthrate!$E$3)^2</f>
        <v>572282.77592499985</v>
      </c>
      <c r="L136" s="4">
        <f>G136*(1+0.01*growthrate!$E$3)^2</f>
        <v>872698.44637499971</v>
      </c>
      <c r="M136" s="4">
        <f>H136*(1+0.01*growthrate!$E$3)^2</f>
        <v>948328.29384999978</v>
      </c>
      <c r="N136" s="12">
        <f>I136*(1+0.01*growthrate!$E$3)^5</f>
        <v>597450.93571423518</v>
      </c>
      <c r="O136" s="4">
        <f>J136*(1+0.01*growthrate!$E$3)^5</f>
        <v>1002.1899563503067</v>
      </c>
      <c r="P136" s="4">
        <f>K136*(1+0.01*growthrate!$E$3)^5</f>
        <v>616511.08020254807</v>
      </c>
      <c r="Q136" s="4">
        <f>L136*(1+0.01*growthrate!$E$3)^5</f>
        <v>940144.07649453264</v>
      </c>
      <c r="R136" s="4">
        <f>M136*(1+0.01*growthrate!$E$3)^5</f>
        <v>1021618.9013955652</v>
      </c>
      <c r="S136" s="12">
        <f>N136*(1+0.01*growthrate!$F$3)^10</f>
        <v>640614.77539397322</v>
      </c>
      <c r="T136" s="4">
        <f>O136*(1+0.01*growthrate!$F$3)^10</f>
        <v>1074.5948418708797</v>
      </c>
      <c r="U136" s="4">
        <f>P136*(1+0.01*growthrate!$F$3)^10</f>
        <v>661051.95182212675</v>
      </c>
      <c r="V136" s="4">
        <f>Q136*(1+0.01*growthrate!$F$3)^10</f>
        <v>1008066.3539032255</v>
      </c>
      <c r="W136" s="4">
        <f>R136*(1+0.01*growthrate!$F$3)^10</f>
        <v>1095427.4634675481</v>
      </c>
    </row>
    <row r="137" spans="1:23" x14ac:dyDescent="0.2">
      <c r="A137" s="2" t="s">
        <v>281</v>
      </c>
      <c r="B137" s="8" t="s">
        <v>282</v>
      </c>
      <c r="C137" s="4" t="s">
        <v>779</v>
      </c>
      <c r="D137" s="5">
        <v>1627873</v>
      </c>
      <c r="E137" s="5">
        <v>17308</v>
      </c>
      <c r="F137" s="5">
        <v>1645181</v>
      </c>
      <c r="G137" s="5">
        <v>689998</v>
      </c>
      <c r="H137" s="14">
        <v>1780119</v>
      </c>
      <c r="I137" s="12">
        <f>D137*(1+0.01*growthrate!E138)^2</f>
        <v>1627873</v>
      </c>
      <c r="J137" s="4">
        <f>E137*(1+0.01*growthrate!$E$3)^2</f>
        <v>17831.134299999994</v>
      </c>
      <c r="K137" s="4">
        <f>F137*(1+0.01*growthrate!$E$3)^2</f>
        <v>1694906.5957249994</v>
      </c>
      <c r="L137" s="4">
        <f>G137*(1+0.01*growthrate!$E$3)^2</f>
        <v>710853.18954999978</v>
      </c>
      <c r="M137" s="4">
        <f>H137*(1+0.01*growthrate!$E$3)^2</f>
        <v>1833923.0967749995</v>
      </c>
      <c r="N137" s="12">
        <f>I137*(1+0.01*growthrate!$E$3)^5</f>
        <v>1753681.5432552681</v>
      </c>
      <c r="O137" s="4">
        <f>J137*(1+0.01*growthrate!$E$3)^5</f>
        <v>19209.195752503994</v>
      </c>
      <c r="P137" s="4">
        <f>K137*(1+0.01*growthrate!$E$3)^5</f>
        <v>1825895.7636526618</v>
      </c>
      <c r="Q137" s="4">
        <f>L137*(1+0.01*growthrate!$E$3)^5</f>
        <v>765790.77021240187</v>
      </c>
      <c r="R137" s="4">
        <f>M137*(1+0.01*growthrate!$E$3)^5</f>
        <v>1975656.0165098023</v>
      </c>
      <c r="S137" s="12">
        <f>N137*(1+0.01*growthrate!$F$3)^10</f>
        <v>1880379.1923130844</v>
      </c>
      <c r="T137" s="4">
        <f>O137*(1+0.01*growthrate!$F$3)^10</f>
        <v>20596.996149613711</v>
      </c>
      <c r="U137" s="4">
        <f>P137*(1+0.01*growthrate!$F$3)^10</f>
        <v>1957810.6495503602</v>
      </c>
      <c r="V137" s="4">
        <f>Q137*(1+0.01*growthrate!$F$3)^10</f>
        <v>821116.60210545198</v>
      </c>
      <c r="W137" s="4">
        <f>R137*(1+0.01*growthrate!$F$3)^10</f>
        <v>2118390.581745679</v>
      </c>
    </row>
    <row r="138" spans="1:23" x14ac:dyDescent="0.2">
      <c r="A138" s="2" t="s">
        <v>283</v>
      </c>
      <c r="B138" s="8" t="s">
        <v>284</v>
      </c>
      <c r="C138" s="4" t="s">
        <v>779</v>
      </c>
      <c r="D138" s="5">
        <v>398284</v>
      </c>
      <c r="E138" s="5">
        <v>36211</v>
      </c>
      <c r="F138" s="5">
        <v>434495</v>
      </c>
      <c r="G138" s="5">
        <v>118485</v>
      </c>
      <c r="H138" s="14">
        <v>418336</v>
      </c>
      <c r="I138" s="12">
        <f>D138*(1+0.01*growthrate!E139)^2</f>
        <v>398284</v>
      </c>
      <c r="J138" s="4">
        <f>E138*(1+0.01*growthrate!$E$3)^2</f>
        <v>37305.477474999992</v>
      </c>
      <c r="K138" s="4">
        <f>F138*(1+0.01*growthrate!$E$3)^2</f>
        <v>447627.61137499986</v>
      </c>
      <c r="L138" s="4">
        <f>G138*(1+0.01*growthrate!$E$3)^2</f>
        <v>122066.20912499996</v>
      </c>
      <c r="M138" s="4">
        <f>H138*(1+0.01*growthrate!$E$3)^2</f>
        <v>430980.20559999987</v>
      </c>
      <c r="N138" s="12">
        <f>I138*(1+0.01*growthrate!$E$3)^5</f>
        <v>429064.9822030841</v>
      </c>
      <c r="O138" s="4">
        <f>J138*(1+0.01*growthrate!$E$3)^5</f>
        <v>40188.594141086331</v>
      </c>
      <c r="P138" s="4">
        <f>K138*(1+0.01*growthrate!$E$3)^5</f>
        <v>482222.06543125852</v>
      </c>
      <c r="Q138" s="4">
        <f>L138*(1+0.01*growthrate!$E$3)^5</f>
        <v>131499.97450516731</v>
      </c>
      <c r="R138" s="4">
        <f>M138*(1+0.01*growthrate!$E$3)^5</f>
        <v>464288.08148367872</v>
      </c>
      <c r="S138" s="12">
        <f>N138*(1+0.01*growthrate!$F$3)^10</f>
        <v>460063.49772446894</v>
      </c>
      <c r="T138" s="4">
        <f>O138*(1+0.01*growthrate!$F$3)^10</f>
        <v>43092.08617827954</v>
      </c>
      <c r="U138" s="4">
        <f>P138*(1+0.01*growthrate!$F$3)^10</f>
        <v>517061.00312147039</v>
      </c>
      <c r="V138" s="4">
        <f>Q138*(1+0.01*growthrate!$F$3)^10</f>
        <v>141000.4095670777</v>
      </c>
      <c r="W138" s="4">
        <f>R138*(1+0.01*growthrate!$F$3)^10</f>
        <v>497831.34858128044</v>
      </c>
    </row>
    <row r="139" spans="1:23" x14ac:dyDescent="0.2">
      <c r="A139" s="2" t="s">
        <v>285</v>
      </c>
      <c r="B139" s="8" t="s">
        <v>286</v>
      </c>
      <c r="C139" s="4" t="s">
        <v>779</v>
      </c>
      <c r="D139" s="5">
        <v>288901</v>
      </c>
      <c r="E139" s="5">
        <v>155761</v>
      </c>
      <c r="F139" s="5">
        <v>444662</v>
      </c>
      <c r="G139" s="5">
        <v>50328</v>
      </c>
      <c r="H139" s="14">
        <v>289761</v>
      </c>
      <c r="I139" s="12">
        <f>D139*(1+0.01*growthrate!E140)^2</f>
        <v>288901</v>
      </c>
      <c r="J139" s="4">
        <f>E139*(1+0.01*growthrate!$E$3)^2</f>
        <v>160468.87622499996</v>
      </c>
      <c r="K139" s="4">
        <f>F139*(1+0.01*growthrate!$E$3)^2</f>
        <v>458101.9089499999</v>
      </c>
      <c r="L139" s="4">
        <f>G139*(1+0.01*growthrate!$E$3)^2</f>
        <v>51849.163799999988</v>
      </c>
      <c r="M139" s="4">
        <f>H139*(1+0.01*growthrate!$E$3)^2</f>
        <v>298519.02622499992</v>
      </c>
      <c r="N139" s="12">
        <f>I139*(1+0.01*growthrate!$E$3)^5</f>
        <v>311228.42600619962</v>
      </c>
      <c r="O139" s="4">
        <f>J139*(1+0.01*growthrate!$E$3)^5</f>
        <v>172870.55347849402</v>
      </c>
      <c r="P139" s="4">
        <f>K139*(1+0.01*growthrate!$E$3)^5</f>
        <v>493505.85866073094</v>
      </c>
      <c r="Q139" s="4">
        <f>L139*(1+0.01*growthrate!$E$3)^5</f>
        <v>55856.274776520746</v>
      </c>
      <c r="R139" s="4">
        <f>M139*(1+0.01*growthrate!$E$3)^5</f>
        <v>321589.77180733246</v>
      </c>
      <c r="S139" s="12">
        <f>N139*(1+0.01*growthrate!$F$3)^10</f>
        <v>333713.64291836176</v>
      </c>
      <c r="T139" s="4">
        <f>O139*(1+0.01*growthrate!$F$3)^10</f>
        <v>185359.87504390924</v>
      </c>
      <c r="U139" s="4">
        <f>P139*(1+0.01*growthrate!$F$3)^10</f>
        <v>529160.0128194784</v>
      </c>
      <c r="V139" s="4">
        <f>Q139*(1+0.01*growthrate!$F$3)^10</f>
        <v>59891.704542278654</v>
      </c>
      <c r="W139" s="4">
        <f>R139*(1+0.01*growthrate!$F$3)^10</f>
        <v>344823.56143449387</v>
      </c>
    </row>
    <row r="140" spans="1:23" x14ac:dyDescent="0.2">
      <c r="A140" s="2" t="s">
        <v>287</v>
      </c>
      <c r="B140" s="8" t="s">
        <v>288</v>
      </c>
      <c r="C140" s="4" t="s">
        <v>779</v>
      </c>
      <c r="D140" s="5">
        <v>618297</v>
      </c>
      <c r="E140" s="5">
        <v>18729</v>
      </c>
      <c r="F140" s="5">
        <v>637026</v>
      </c>
      <c r="G140" s="5">
        <v>150860</v>
      </c>
      <c r="H140" s="14">
        <v>319083</v>
      </c>
      <c r="I140" s="12">
        <f>D140*(1+0.01*growthrate!E141)^2</f>
        <v>618297</v>
      </c>
      <c r="J140" s="4">
        <f>E140*(1+0.01*growthrate!$E$3)^2</f>
        <v>19295.084024999996</v>
      </c>
      <c r="K140" s="4">
        <f>F140*(1+0.01*growthrate!$E$3)^2</f>
        <v>656280.11084999982</v>
      </c>
      <c r="L140" s="4">
        <f>G140*(1+0.01*growthrate!$E$3)^2</f>
        <v>155419.74349999995</v>
      </c>
      <c r="M140" s="4">
        <f>H140*(1+0.01*growthrate!$E$3)^2</f>
        <v>328727.2836749999</v>
      </c>
      <c r="N140" s="12">
        <f>I140*(1+0.01*growthrate!$E$3)^5</f>
        <v>666081.46774969692</v>
      </c>
      <c r="O140" s="4">
        <f>J140*(1+0.01*growthrate!$E$3)^5</f>
        <v>20786.285373737424</v>
      </c>
      <c r="P140" s="4">
        <f>K140*(1+0.01*growthrate!$E$3)^5</f>
        <v>707000.06548616884</v>
      </c>
      <c r="Q140" s="4">
        <f>L140*(1+0.01*growthrate!$E$3)^5</f>
        <v>167431.2035603624</v>
      </c>
      <c r="R140" s="4">
        <f>M140*(1+0.01*growthrate!$E$3)^5</f>
        <v>354132.64434343838</v>
      </c>
      <c r="S140" s="12">
        <f>N140*(1+0.01*growthrate!$F$3)^10</f>
        <v>714203.63472433225</v>
      </c>
      <c r="T140" s="4">
        <f>O140*(1+0.01*growthrate!$F$3)^10</f>
        <v>22288.025241860138</v>
      </c>
      <c r="U140" s="4">
        <f>P140*(1+0.01*growthrate!$F$3)^10</f>
        <v>758078.46482573519</v>
      </c>
      <c r="V140" s="4">
        <f>Q140*(1+0.01*growthrate!$F$3)^10</f>
        <v>179527.55021554913</v>
      </c>
      <c r="W140" s="4">
        <f>R140*(1+0.01*growthrate!$F$3)^10</f>
        <v>379717.54809378274</v>
      </c>
    </row>
    <row r="141" spans="1:23" x14ac:dyDescent="0.2">
      <c r="A141" s="2" t="s">
        <v>289</v>
      </c>
      <c r="B141" s="8" t="s">
        <v>290</v>
      </c>
      <c r="C141" s="4" t="s">
        <v>779</v>
      </c>
      <c r="D141" s="5">
        <v>562326</v>
      </c>
      <c r="E141" s="5">
        <v>-31650</v>
      </c>
      <c r="F141" s="5">
        <v>530676</v>
      </c>
      <c r="G141" s="5">
        <v>276290</v>
      </c>
      <c r="H141" s="14">
        <v>293393</v>
      </c>
      <c r="I141" s="12">
        <f>D141*(1+0.01*growthrate!E142)^2</f>
        <v>562326</v>
      </c>
      <c r="J141" s="4">
        <f>E141*(1+0.01*growthrate!$E$3)^2</f>
        <v>-32606.621249999993</v>
      </c>
      <c r="K141" s="4">
        <f>F141*(1+0.01*growthrate!$E$3)^2</f>
        <v>546715.68209999986</v>
      </c>
      <c r="L141" s="4">
        <f>G141*(1+0.01*growthrate!$E$3)^2</f>
        <v>284640.86524999992</v>
      </c>
      <c r="M141" s="4">
        <f>H141*(1+0.01*growthrate!$E$3)^2</f>
        <v>302260.80342499993</v>
      </c>
      <c r="N141" s="12">
        <f>I141*(1+0.01*growthrate!$E$3)^5</f>
        <v>605784.80476828467</v>
      </c>
      <c r="O141" s="4">
        <f>J141*(1+0.01*growthrate!$E$3)^5</f>
        <v>-35126.591493341315</v>
      </c>
      <c r="P141" s="4">
        <f>K141*(1+0.01*growthrate!$E$3)^5</f>
        <v>588968.05899906461</v>
      </c>
      <c r="Q141" s="4">
        <f>L141*(1+0.01*growthrate!$E$3)^5</f>
        <v>306639.05098563258</v>
      </c>
      <c r="R141" s="4">
        <f>M141*(1+0.01*growthrate!$E$3)^5</f>
        <v>325620.72853099171</v>
      </c>
      <c r="S141" s="12">
        <f>N141*(1+0.01*growthrate!$F$3)^10</f>
        <v>649550.73872264451</v>
      </c>
      <c r="T141" s="4">
        <f>O141*(1+0.01*growthrate!$F$3)^10</f>
        <v>-37664.37070344777</v>
      </c>
      <c r="U141" s="4">
        <f>P141*(1+0.01*growthrate!$F$3)^10</f>
        <v>631519.03909708851</v>
      </c>
      <c r="V141" s="4">
        <f>Q141*(1+0.01*growthrate!$F$3)^10</f>
        <v>328792.70084219857</v>
      </c>
      <c r="W141" s="4">
        <f>R141*(1+0.01*growthrate!$F$3)^10</f>
        <v>349145.74135218491</v>
      </c>
    </row>
    <row r="142" spans="1:23" x14ac:dyDescent="0.2">
      <c r="A142" s="2" t="s">
        <v>291</v>
      </c>
      <c r="B142" s="8" t="s">
        <v>292</v>
      </c>
      <c r="C142" s="4" t="s">
        <v>779</v>
      </c>
      <c r="D142" s="5">
        <v>666805</v>
      </c>
      <c r="E142" s="5">
        <v>-2309</v>
      </c>
      <c r="F142" s="5">
        <v>664496</v>
      </c>
      <c r="G142" s="5">
        <v>21683</v>
      </c>
      <c r="H142" s="14">
        <v>108519</v>
      </c>
      <c r="I142" s="12">
        <f>D142*(1+0.01*growthrate!E143)^2</f>
        <v>666805</v>
      </c>
      <c r="J142" s="4">
        <f>E142*(1+0.01*growthrate!$E$3)^2</f>
        <v>-2378.7895249999992</v>
      </c>
      <c r="K142" s="4">
        <f>F142*(1+0.01*growthrate!$E$3)^2</f>
        <v>684580.39159999986</v>
      </c>
      <c r="L142" s="4">
        <f>G142*(1+0.01*growthrate!$E$3)^2</f>
        <v>22338.368674999994</v>
      </c>
      <c r="M142" s="4">
        <f>H142*(1+0.01*growthrate!$E$3)^2</f>
        <v>111798.98677499997</v>
      </c>
      <c r="N142" s="12">
        <f>I142*(1+0.01*growthrate!$E$3)^5</f>
        <v>718338.36021012021</v>
      </c>
      <c r="O142" s="4">
        <f>J142*(1+0.01*growthrate!$E$3)^5</f>
        <v>-2562.6319038902079</v>
      </c>
      <c r="P142" s="4">
        <f>K142*(1+0.01*growthrate!$E$3)^5</f>
        <v>737487.50524358067</v>
      </c>
      <c r="Q142" s="4">
        <f>L142*(1+0.01*growthrate!$E$3)^5</f>
        <v>24064.767246449279</v>
      </c>
      <c r="R142" s="4">
        <f>M142*(1+0.01*growthrate!$E$3)^5</f>
        <v>120439.26010318818</v>
      </c>
      <c r="S142" s="12">
        <f>N142*(1+0.01*growthrate!$F$3)^10</f>
        <v>770235.913569625</v>
      </c>
      <c r="T142" s="4">
        <f>O142*(1+0.01*growthrate!$F$3)^10</f>
        <v>-2747.7735214616396</v>
      </c>
      <c r="U142" s="4">
        <f>P142*(1+0.01*growthrate!$F$3)^10</f>
        <v>790768.52053580503</v>
      </c>
      <c r="V142" s="4">
        <f>Q142*(1+0.01*growthrate!$F$3)^10</f>
        <v>25803.36650751526</v>
      </c>
      <c r="W142" s="4">
        <f>R142*(1+0.01*growthrate!$F$3)^10</f>
        <v>129140.59539865557</v>
      </c>
    </row>
    <row r="143" spans="1:23" x14ac:dyDescent="0.2">
      <c r="A143" s="2" t="s">
        <v>293</v>
      </c>
      <c r="B143" s="8" t="s">
        <v>294</v>
      </c>
      <c r="C143" s="4" t="s">
        <v>779</v>
      </c>
      <c r="D143" s="5">
        <v>70884</v>
      </c>
      <c r="E143" s="5">
        <v>386</v>
      </c>
      <c r="F143" s="5">
        <v>71270</v>
      </c>
      <c r="G143" s="5">
        <v>862886</v>
      </c>
      <c r="H143" s="14">
        <v>1275544</v>
      </c>
      <c r="I143" s="12">
        <f>D143*(1+0.01*growthrate!E144)^2</f>
        <v>70884</v>
      </c>
      <c r="J143" s="4">
        <f>E143*(1+0.01*growthrate!$E$3)^2</f>
        <v>397.6668499999999</v>
      </c>
      <c r="K143" s="4">
        <f>F143*(1+0.01*growthrate!$E$3)^2</f>
        <v>73424.135749999987</v>
      </c>
      <c r="L143" s="4">
        <f>G143*(1+0.01*growthrate!$E$3)^2</f>
        <v>888966.7293499998</v>
      </c>
      <c r="M143" s="4">
        <f>H143*(1+0.01*growthrate!$E$3)^2</f>
        <v>1314097.3173999996</v>
      </c>
      <c r="N143" s="12">
        <f>I143*(1+0.01*growthrate!$E$3)^5</f>
        <v>76362.199331339987</v>
      </c>
      <c r="O143" s="4">
        <f>J143*(1+0.01*growthrate!$E$3)^5</f>
        <v>428.40013638008679</v>
      </c>
      <c r="P143" s="4">
        <f>K143*(1+0.01*growthrate!$E$3)^5</f>
        <v>79098.646942509804</v>
      </c>
      <c r="Q143" s="4">
        <f>L143*(1+0.01*growthrate!$E$3)^5</f>
        <v>957669.63751416467</v>
      </c>
      <c r="R143" s="4">
        <f>M143*(1+0.01*growthrate!$E$3)^5</f>
        <v>1415656.0195823871</v>
      </c>
      <c r="S143" s="12">
        <f>N143*(1+0.01*growthrate!$F$3)^10</f>
        <v>81879.113830084199</v>
      </c>
      <c r="T143" s="4">
        <f>O143*(1+0.01*growthrate!$F$3)^10</f>
        <v>459.35061900571372</v>
      </c>
      <c r="U143" s="4">
        <f>P143*(1+0.01*growthrate!$F$3)^10</f>
        <v>84813.260664604182</v>
      </c>
      <c r="V143" s="4">
        <f>Q143*(1+0.01*growthrate!$F$3)^10</f>
        <v>1026858.0783195966</v>
      </c>
      <c r="W143" s="4">
        <f>R143*(1+0.01*growthrate!$F$3)^10</f>
        <v>1517932.4506969536</v>
      </c>
    </row>
    <row r="144" spans="1:23" x14ac:dyDescent="0.2">
      <c r="A144" s="2" t="s">
        <v>295</v>
      </c>
      <c r="B144" s="8" t="s">
        <v>296</v>
      </c>
      <c r="C144" s="4" t="s">
        <v>779</v>
      </c>
      <c r="D144" s="5">
        <v>0</v>
      </c>
      <c r="E144" s="5">
        <v>0</v>
      </c>
      <c r="F144" s="5">
        <v>0</v>
      </c>
      <c r="G144" s="5">
        <v>91970</v>
      </c>
      <c r="H144" s="14">
        <v>3196901</v>
      </c>
      <c r="I144" s="12">
        <f>D144*(1+0.01*growthrate!E145)^2</f>
        <v>0</v>
      </c>
      <c r="J144" s="4">
        <f>E144*(1+0.01*growthrate!$E$3)^2</f>
        <v>0</v>
      </c>
      <c r="K144" s="4">
        <f>F144*(1+0.01*growthrate!$E$3)^2</f>
        <v>0</v>
      </c>
      <c r="L144" s="4">
        <f>G144*(1+0.01*growthrate!$E$3)^2</f>
        <v>94749.793249999973</v>
      </c>
      <c r="M144" s="4">
        <f>H144*(1+0.01*growthrate!$E$3)^2</f>
        <v>3293527.3327249992</v>
      </c>
      <c r="N144" s="12">
        <f>I144*(1+0.01*growthrate!$E$3)^5</f>
        <v>0</v>
      </c>
      <c r="O144" s="4">
        <f>J144*(1+0.01*growthrate!$E$3)^5</f>
        <v>0</v>
      </c>
      <c r="P144" s="4">
        <f>K144*(1+0.01*growthrate!$E$3)^5</f>
        <v>0</v>
      </c>
      <c r="Q144" s="4">
        <f>L144*(1+0.01*growthrate!$E$3)^5</f>
        <v>102072.43663957663</v>
      </c>
      <c r="R144" s="4">
        <f>M144*(1+0.01*growthrate!$E$3)^5</f>
        <v>3548064.311900611</v>
      </c>
      <c r="S144" s="12">
        <f>N144*(1+0.01*growthrate!$F$3)^10</f>
        <v>0</v>
      </c>
      <c r="T144" s="4">
        <f>O144*(1+0.01*growthrate!$F$3)^10</f>
        <v>0</v>
      </c>
      <c r="U144" s="4">
        <f>P144*(1+0.01*growthrate!$F$3)^10</f>
        <v>0</v>
      </c>
      <c r="V144" s="4">
        <f>Q144*(1+0.01*growthrate!$F$3)^10</f>
        <v>109446.83012941836</v>
      </c>
      <c r="W144" s="4">
        <f>R144*(1+0.01*growthrate!$F$3)^10</f>
        <v>3804400.1379533298</v>
      </c>
    </row>
    <row r="145" spans="1:23" x14ac:dyDescent="0.2">
      <c r="A145" s="2" t="s">
        <v>297</v>
      </c>
      <c r="B145" s="8" t="s">
        <v>298</v>
      </c>
      <c r="C145" s="4" t="s">
        <v>779</v>
      </c>
      <c r="D145" s="5">
        <v>207231</v>
      </c>
      <c r="E145" s="5">
        <v>1469</v>
      </c>
      <c r="F145" s="5">
        <v>208700</v>
      </c>
      <c r="G145" s="5">
        <v>210481</v>
      </c>
      <c r="H145" s="14">
        <v>1795486</v>
      </c>
      <c r="I145" s="12">
        <f>D145*(1+0.01*growthrate!E146)^2</f>
        <v>207231</v>
      </c>
      <c r="J145" s="4">
        <f>E145*(1+0.01*growthrate!$E$3)^2</f>
        <v>1513.4005249999996</v>
      </c>
      <c r="K145" s="4">
        <f>F145*(1+0.01*growthrate!$E$3)^2</f>
        <v>215007.95749999993</v>
      </c>
      <c r="L145" s="4">
        <f>G145*(1+0.01*growthrate!$E$3)^2</f>
        <v>216842.78822499994</v>
      </c>
      <c r="M145" s="4">
        <f>H145*(1+0.01*growthrate!$E$3)^2</f>
        <v>1849754.5643499994</v>
      </c>
      <c r="N145" s="12">
        <f>I145*(1+0.01*growthrate!$E$3)^5</f>
        <v>223246.64140896278</v>
      </c>
      <c r="O145" s="4">
        <f>J145*(1+0.01*growthrate!$E$3)^5</f>
        <v>1630.3621770527136</v>
      </c>
      <c r="P145" s="4">
        <f>K145*(1+0.01*growthrate!$E$3)^5</f>
        <v>231624.63332260129</v>
      </c>
      <c r="Q145" s="4">
        <f>L145*(1+0.01*growthrate!$E$3)^5</f>
        <v>233601.26711247937</v>
      </c>
      <c r="R145" s="4">
        <f>M145*(1+0.01*growthrate!$E$3)^5</f>
        <v>1992711.0032863638</v>
      </c>
      <c r="S145" s="12">
        <f>N145*(1+0.01*growthrate!$F$3)^10</f>
        <v>239375.46749791462</v>
      </c>
      <c r="T145" s="4">
        <f>O145*(1+0.01*growthrate!$F$3)^10</f>
        <v>1748.1504127445426</v>
      </c>
      <c r="U145" s="4">
        <f>P145*(1+0.01*growthrate!$F$3)^10</f>
        <v>248358.74141578353</v>
      </c>
      <c r="V145" s="4">
        <f>Q145*(1+0.01*growthrate!$F$3)^10</f>
        <v>250478.18041176585</v>
      </c>
      <c r="W145" s="4">
        <f>R145*(1+0.01*growthrate!$F$3)^10</f>
        <v>2136677.7344976501</v>
      </c>
    </row>
    <row r="146" spans="1:23" x14ac:dyDescent="0.2">
      <c r="A146" s="2" t="s">
        <v>299</v>
      </c>
      <c r="B146" s="8" t="s">
        <v>300</v>
      </c>
      <c r="C146" s="4" t="s">
        <v>779</v>
      </c>
      <c r="D146" s="5">
        <v>53895</v>
      </c>
      <c r="E146" s="5">
        <v>-1885</v>
      </c>
      <c r="F146" s="5">
        <v>52010</v>
      </c>
      <c r="G146" s="5">
        <v>142781</v>
      </c>
      <c r="H146" s="14">
        <v>535593</v>
      </c>
      <c r="I146" s="12">
        <f>D146*(1+0.01*growthrate!E147)^2</f>
        <v>53895</v>
      </c>
      <c r="J146" s="4">
        <f>E146*(1+0.01*growthrate!$E$3)^2</f>
        <v>-1941.9741249999995</v>
      </c>
      <c r="K146" s="4">
        <f>F146*(1+0.01*growthrate!$E$3)^2</f>
        <v>53582.002249999983</v>
      </c>
      <c r="L146" s="4">
        <f>G146*(1+0.01*growthrate!$E$3)^2</f>
        <v>147096.55572499995</v>
      </c>
      <c r="M146" s="4">
        <f>H146*(1+0.01*growthrate!$E$3)^2</f>
        <v>551781.29842499981</v>
      </c>
      <c r="N146" s="12">
        <f>I146*(1+0.01*growthrate!$E$3)^5</f>
        <v>58060.221389348349</v>
      </c>
      <c r="O146" s="4">
        <f>J146*(1+0.01*growthrate!$E$3)^5</f>
        <v>-2092.0576608198539</v>
      </c>
      <c r="P146" s="4">
        <f>K146*(1+0.01*growthrate!$E$3)^5</f>
        <v>57723.033920021531</v>
      </c>
      <c r="Q146" s="4">
        <f>L146*(1+0.01*growthrate!$E$3)^5</f>
        <v>158464.76650902894</v>
      </c>
      <c r="R146" s="4">
        <f>M146*(1+0.01*growthrate!$E$3)^5</f>
        <v>594425.16643580259</v>
      </c>
      <c r="S146" s="12">
        <f>N146*(1+0.01*growthrate!$F$3)^10</f>
        <v>62254.878955369168</v>
      </c>
      <c r="T146" s="4">
        <f>O146*(1+0.01*growthrate!$F$3)^10</f>
        <v>-2243.2018570615814</v>
      </c>
      <c r="U146" s="4">
        <f>P146*(1+0.01*growthrate!$F$3)^10</f>
        <v>61893.330814733599</v>
      </c>
      <c r="V146" s="4">
        <f>Q146*(1+0.01*growthrate!$F$3)^10</f>
        <v>169913.31795920935</v>
      </c>
      <c r="W146" s="4">
        <f>R146*(1+0.01*growthrate!$F$3)^10</f>
        <v>637370.40436561452</v>
      </c>
    </row>
    <row r="147" spans="1:23" x14ac:dyDescent="0.2">
      <c r="A147" s="2" t="s">
        <v>301</v>
      </c>
      <c r="B147" s="8" t="s">
        <v>302</v>
      </c>
      <c r="C147" s="4" t="s">
        <v>779</v>
      </c>
      <c r="D147" s="5">
        <v>878723</v>
      </c>
      <c r="E147" s="5">
        <v>22828</v>
      </c>
      <c r="F147" s="5">
        <v>901551</v>
      </c>
      <c r="G147" s="5">
        <v>253269</v>
      </c>
      <c r="H147" s="14">
        <v>414472</v>
      </c>
      <c r="I147" s="12">
        <f>D147*(1+0.01*growthrate!E148)^2</f>
        <v>878723</v>
      </c>
      <c r="J147" s="4">
        <f>E147*(1+0.01*growthrate!$E$3)^2</f>
        <v>23517.976299999995</v>
      </c>
      <c r="K147" s="4">
        <f>F147*(1+0.01*growthrate!$E$3)^2</f>
        <v>928800.37897499977</v>
      </c>
      <c r="L147" s="4">
        <f>G147*(1+0.01*growthrate!$E$3)^2</f>
        <v>260924.05552499992</v>
      </c>
      <c r="M147" s="4">
        <f>H147*(1+0.01*growthrate!$E$3)^2</f>
        <v>426999.41619999986</v>
      </c>
      <c r="N147" s="12">
        <f>I147*(1+0.01*growthrate!$E$3)^5</f>
        <v>946634.23174528906</v>
      </c>
      <c r="O147" s="4">
        <f>J147*(1+0.01*growthrate!$E$3)^5</f>
        <v>25335.539671721817</v>
      </c>
      <c r="P147" s="4">
        <f>K147*(1+0.01*growthrate!$E$3)^5</f>
        <v>1000581.7910715119</v>
      </c>
      <c r="Q147" s="4">
        <f>L147*(1+0.01*growthrate!$E$3)^5</f>
        <v>281089.31124572072</v>
      </c>
      <c r="R147" s="4">
        <f>M147*(1+0.01*growthrate!$E$3)^5</f>
        <v>459999.6407402262</v>
      </c>
      <c r="S147" s="12">
        <f>N147*(1+0.01*growthrate!$F$3)^10</f>
        <v>1015025.4012487032</v>
      </c>
      <c r="T147" s="4">
        <f>O147*(1+0.01*growthrate!$F$3)^10</f>
        <v>27165.948006897495</v>
      </c>
      <c r="U147" s="4">
        <f>P147*(1+0.01*growthrate!$F$3)^10</f>
        <v>1072870.4920083424</v>
      </c>
      <c r="V147" s="4">
        <f>Q147*(1+0.01*growthrate!$F$3)^10</f>
        <v>301397.07752579823</v>
      </c>
      <c r="W147" s="4">
        <f>R147*(1+0.01*growthrate!$F$3)^10</f>
        <v>493233.08228118176</v>
      </c>
    </row>
    <row r="148" spans="1:23" x14ac:dyDescent="0.2">
      <c r="A148" s="2" t="s">
        <v>303</v>
      </c>
      <c r="B148" s="8" t="s">
        <v>304</v>
      </c>
      <c r="C148" s="4" t="s">
        <v>779</v>
      </c>
      <c r="D148" s="5">
        <v>247121</v>
      </c>
      <c r="E148" s="5">
        <v>2441</v>
      </c>
      <c r="F148" s="5">
        <v>249562</v>
      </c>
      <c r="G148" s="5">
        <v>117181</v>
      </c>
      <c r="H148" s="14">
        <v>136743</v>
      </c>
      <c r="I148" s="12">
        <f>D148*(1+0.01*growthrate!E149)^2</f>
        <v>247121</v>
      </c>
      <c r="J148" s="4">
        <f>E148*(1+0.01*growthrate!$E$3)^2</f>
        <v>2514.7792249999993</v>
      </c>
      <c r="K148" s="4">
        <f>F148*(1+0.01*growthrate!$E$3)^2</f>
        <v>257105.01144999993</v>
      </c>
      <c r="L148" s="4">
        <f>G148*(1+0.01*growthrate!$E$3)^2</f>
        <v>120722.79572499997</v>
      </c>
      <c r="M148" s="4">
        <f>H148*(1+0.01*growthrate!$E$3)^2</f>
        <v>140876.05717499997</v>
      </c>
      <c r="N148" s="12">
        <f>I148*(1+0.01*growthrate!$E$3)^5</f>
        <v>266219.50032391044</v>
      </c>
      <c r="O148" s="4">
        <f>J148*(1+0.01*growthrate!$E$3)^5</f>
        <v>2709.1314323932429</v>
      </c>
      <c r="P148" s="4">
        <f>K148*(1+0.01*growthrate!$E$3)^5</f>
        <v>276975.11615359382</v>
      </c>
      <c r="Q148" s="4">
        <f>L148*(1+0.01*growthrate!$E$3)^5</f>
        <v>130052.73673874339</v>
      </c>
      <c r="R148" s="4">
        <f>M148*(1+0.01*growthrate!$E$3)^5</f>
        <v>151763.52292492799</v>
      </c>
      <c r="S148" s="12">
        <f>N148*(1+0.01*growthrate!$F$3)^10</f>
        <v>285452.97230410582</v>
      </c>
      <c r="T148" s="4">
        <f>O148*(1+0.01*growthrate!$F$3)^10</f>
        <v>2904.8571528314692</v>
      </c>
      <c r="U148" s="4">
        <f>P148*(1+0.01*growthrate!$F$3)^10</f>
        <v>296985.64554482885</v>
      </c>
      <c r="V148" s="4">
        <f>Q148*(1+0.01*growthrate!$F$3)^10</f>
        <v>139448.61369354543</v>
      </c>
      <c r="W148" s="4">
        <f>R148*(1+0.01*growthrate!$F$3)^10</f>
        <v>162727.93185155003</v>
      </c>
    </row>
    <row r="149" spans="1:23" x14ac:dyDescent="0.2">
      <c r="A149" s="2" t="s">
        <v>305</v>
      </c>
      <c r="B149" s="8" t="s">
        <v>306</v>
      </c>
      <c r="C149" s="4" t="s">
        <v>779</v>
      </c>
      <c r="D149" s="5">
        <v>12181</v>
      </c>
      <c r="E149" s="5">
        <v>7</v>
      </c>
      <c r="F149" s="5">
        <v>12188</v>
      </c>
      <c r="G149" s="5">
        <v>38417</v>
      </c>
      <c r="H149" s="14">
        <v>607534</v>
      </c>
      <c r="I149" s="12">
        <f>D149*(1+0.01*growthrate!E150)^2</f>
        <v>12181</v>
      </c>
      <c r="J149" s="4">
        <f>E149*(1+0.01*growthrate!$E$3)^2</f>
        <v>7.2115749999999981</v>
      </c>
      <c r="K149" s="4">
        <f>F149*(1+0.01*growthrate!$E$3)^2</f>
        <v>12556.382299999997</v>
      </c>
      <c r="L149" s="4">
        <f>G149*(1+0.01*growthrate!$E$3)^2</f>
        <v>39578.153824999987</v>
      </c>
      <c r="M149" s="4">
        <f>H149*(1+0.01*growthrate!$E$3)^2</f>
        <v>625896.71514999983</v>
      </c>
      <c r="N149" s="12">
        <f>I149*(1+0.01*growthrate!$E$3)^5</f>
        <v>13122.396451315562</v>
      </c>
      <c r="O149" s="4">
        <f>J149*(1+0.01*growthrate!$E$3)^5</f>
        <v>7.768914390312454</v>
      </c>
      <c r="P149" s="4">
        <f>K149*(1+0.01*growthrate!$E$3)^5</f>
        <v>13526.789798446885</v>
      </c>
      <c r="Q149" s="4">
        <f>L149*(1+0.01*growthrate!$E$3)^5</f>
        <v>42636.912018947645</v>
      </c>
      <c r="R149" s="4">
        <f>M149*(1+0.01*growthrate!$E$3)^5</f>
        <v>674268.51931486954</v>
      </c>
      <c r="S149" s="12">
        <f>N149*(1+0.01*growthrate!$F$3)^10</f>
        <v>14070.445877267868</v>
      </c>
      <c r="T149" s="4">
        <f>O149*(1+0.01*growthrate!$F$3)^10</f>
        <v>8.3301925726424759</v>
      </c>
      <c r="U149" s="4">
        <f>P149*(1+0.01*growthrate!$F$3)^10</f>
        <v>14504.05529648093</v>
      </c>
      <c r="V149" s="4">
        <f>Q149*(1+0.01*growthrate!$F$3)^10</f>
        <v>45717.286866172282</v>
      </c>
      <c r="W149" s="4">
        <f>R149*(1+0.01*growthrate!$F$3)^10</f>
        <v>722982.17348968203</v>
      </c>
    </row>
    <row r="150" spans="1:23" x14ac:dyDescent="0.2">
      <c r="A150" s="2" t="s">
        <v>307</v>
      </c>
      <c r="B150" s="8" t="s">
        <v>308</v>
      </c>
      <c r="C150" s="4" t="s">
        <v>779</v>
      </c>
      <c r="D150" s="5">
        <v>872124</v>
      </c>
      <c r="E150" s="5">
        <v>39199</v>
      </c>
      <c r="F150" s="5">
        <v>911323</v>
      </c>
      <c r="G150" s="5">
        <v>210557</v>
      </c>
      <c r="H150" s="14">
        <v>1023727</v>
      </c>
      <c r="I150" s="12">
        <f>D150*(1+0.01*growthrate!E151)^2</f>
        <v>872124</v>
      </c>
      <c r="J150" s="4">
        <f>E150*(1+0.01*growthrate!$E$3)^2</f>
        <v>40383.78977499999</v>
      </c>
      <c r="K150" s="4">
        <f>F150*(1+0.01*growthrate!$E$3)^2</f>
        <v>938867.73767499975</v>
      </c>
      <c r="L150" s="4">
        <f>G150*(1+0.01*growthrate!$E$3)^2</f>
        <v>216921.08532499993</v>
      </c>
      <c r="M150" s="4">
        <f>H150*(1+0.01*growthrate!$E$3)^2</f>
        <v>1054669.1485749998</v>
      </c>
      <c r="N150" s="12">
        <f>I150*(1+0.01*growthrate!$E$3)^5</f>
        <v>939525.23460365599</v>
      </c>
      <c r="O150" s="4">
        <f>J150*(1+0.01*growthrate!$E$3)^5</f>
        <v>43504.810740836845</v>
      </c>
      <c r="P150" s="4">
        <f>K150*(1+0.01*growthrate!$E$3)^5</f>
        <v>1011427.1955603882</v>
      </c>
      <c r="Q150" s="4">
        <f>L150*(1+0.01*growthrate!$E$3)^5</f>
        <v>233685.61532585992</v>
      </c>
      <c r="R150" s="4">
        <f>M150*(1+0.01*growthrate!$E$3)^5</f>
        <v>1136178.2031501997</v>
      </c>
      <c r="S150" s="12">
        <f>N150*(1+0.01*growthrate!$F$3)^10</f>
        <v>1007402.8027474233</v>
      </c>
      <c r="T150" s="4">
        <f>O150*(1+0.01*growthrate!$F$3)^10</f>
        <v>46647.888379287491</v>
      </c>
      <c r="U150" s="4">
        <f>P150*(1+0.01*growthrate!$F$3)^10</f>
        <v>1084499.4408397514</v>
      </c>
      <c r="V150" s="4">
        <f>Q150*(1+0.01*growthrate!$F$3)^10</f>
        <v>250568.62250255456</v>
      </c>
      <c r="W150" s="4">
        <f>R150*(1+0.01*growthrate!$F$3)^10</f>
        <v>1218263.2931162235</v>
      </c>
    </row>
    <row r="151" spans="1:23" x14ac:dyDescent="0.2">
      <c r="A151" s="2" t="s">
        <v>309</v>
      </c>
      <c r="B151" s="8" t="s">
        <v>310</v>
      </c>
      <c r="C151" s="4" t="s">
        <v>779</v>
      </c>
      <c r="D151" s="5">
        <v>2909625</v>
      </c>
      <c r="E151" s="5">
        <v>-68181</v>
      </c>
      <c r="F151" s="5">
        <v>2841444</v>
      </c>
      <c r="G151" s="5">
        <v>106128</v>
      </c>
      <c r="H151" s="14">
        <v>68562</v>
      </c>
      <c r="I151" s="12">
        <f>D151*(1+0.01*growthrate!E152)^2</f>
        <v>2909625</v>
      </c>
      <c r="J151" s="4">
        <f>E151*(1+0.01*growthrate!$E$3)^2</f>
        <v>-70241.77072499998</v>
      </c>
      <c r="K151" s="4">
        <f>F151*(1+0.01*growthrate!$E$3)^2</f>
        <v>2927326.6448999993</v>
      </c>
      <c r="L151" s="4">
        <f>G151*(1+0.01*growthrate!$E$3)^2</f>
        <v>109335.71879999997</v>
      </c>
      <c r="M151" s="4">
        <f>H151*(1+0.01*growthrate!$E$3)^2</f>
        <v>70634.286449999985</v>
      </c>
      <c r="N151" s="12">
        <f>I151*(1+0.01*growthrate!$E$3)^5</f>
        <v>3134492.4698020727</v>
      </c>
      <c r="O151" s="4">
        <f>J151*(1+0.01*growthrate!$E$3)^5</f>
        <v>-75670.336006556201</v>
      </c>
      <c r="P151" s="4">
        <f>K151*(1+0.01*growthrate!$E$3)^5</f>
        <v>3153562.1686952831</v>
      </c>
      <c r="Q151" s="4">
        <f>L151*(1+0.01*growthrate!$E$3)^5</f>
        <v>117785.62091644002</v>
      </c>
      <c r="R151" s="4">
        <f>M151*(1+0.01*growthrate!$E$3)^5</f>
        <v>76093.186918371794</v>
      </c>
      <c r="S151" s="12">
        <f>N151*(1+0.01*growthrate!$F$3)^10</f>
        <v>3360949.1080901017</v>
      </c>
      <c r="T151" s="4">
        <f>O151*(1+0.01*growthrate!$F$3)^10</f>
        <v>-81137.2656850481</v>
      </c>
      <c r="U151" s="4">
        <f>P151*(1+0.01*growthrate!$F$3)^10</f>
        <v>3381396.5291970759</v>
      </c>
      <c r="V151" s="4">
        <f>Q151*(1+0.01*growthrate!$F$3)^10</f>
        <v>126295.23962134296</v>
      </c>
      <c r="W151" s="4">
        <f>R151*(1+0.01*growthrate!$F$3)^10</f>
        <v>81590.666166501935</v>
      </c>
    </row>
    <row r="152" spans="1:23" x14ac:dyDescent="0.2">
      <c r="A152" s="2" t="s">
        <v>311</v>
      </c>
      <c r="B152" s="8" t="s">
        <v>312</v>
      </c>
      <c r="C152" s="4" t="s">
        <v>779</v>
      </c>
      <c r="D152" s="5">
        <v>2510765</v>
      </c>
      <c r="E152" s="5">
        <v>-147725</v>
      </c>
      <c r="F152" s="5">
        <v>2363040</v>
      </c>
      <c r="G152" s="5">
        <v>1023443</v>
      </c>
      <c r="H152" s="14">
        <v>681098</v>
      </c>
      <c r="I152" s="12">
        <f>D152*(1+0.01*growthrate!E153)^2</f>
        <v>2510765</v>
      </c>
      <c r="J152" s="4">
        <f>E152*(1+0.01*growthrate!$E$3)^2</f>
        <v>-152189.98812499995</v>
      </c>
      <c r="K152" s="4">
        <f>F152*(1+0.01*growthrate!$E$3)^2</f>
        <v>2434462.8839999991</v>
      </c>
      <c r="L152" s="4">
        <f>G152*(1+0.01*growthrate!$E$3)^2</f>
        <v>1054376.5646749998</v>
      </c>
      <c r="M152" s="4">
        <f>H152*(1+0.01*growthrate!$E$3)^2</f>
        <v>701684.18704999983</v>
      </c>
      <c r="N152" s="12">
        <f>I152*(1+0.01*growthrate!$E$3)^5</f>
        <v>2704806.9720127508</v>
      </c>
      <c r="O152" s="4">
        <f>J152*(1+0.01*growthrate!$E$3)^5</f>
        <v>-163951.83975841533</v>
      </c>
      <c r="P152" s="4">
        <f>K152*(1+0.01*growthrate!$E$3)^5</f>
        <v>2622607.9229834201</v>
      </c>
      <c r="Q152" s="4">
        <f>L152*(1+0.01*growthrate!$E$3)^5</f>
        <v>1135863.0071949358</v>
      </c>
      <c r="R152" s="4">
        <f>M152*(1+0.01*growthrate!$E$3)^5</f>
        <v>755913.15048757603</v>
      </c>
      <c r="S152" s="12">
        <f>N152*(1+0.01*growthrate!$F$3)^10</f>
        <v>2900220.2645955551</v>
      </c>
      <c r="T152" s="4">
        <f>O152*(1+0.01*growthrate!$F$3)^10</f>
        <v>-175796.81397051568</v>
      </c>
      <c r="U152" s="4">
        <f>P152*(1+0.01*growthrate!$F$3)^10</f>
        <v>2812082.6081224396</v>
      </c>
      <c r="V152" s="4">
        <f>Q152*(1+0.01*growthrate!$F$3)^10</f>
        <v>1217925.3253032765</v>
      </c>
      <c r="W152" s="4">
        <f>R152*(1+0.01*growthrate!$F$3)^10</f>
        <v>810525.3572630923</v>
      </c>
    </row>
    <row r="153" spans="1:23" x14ac:dyDescent="0.2">
      <c r="A153" s="2" t="s">
        <v>313</v>
      </c>
      <c r="B153" s="8" t="s">
        <v>314</v>
      </c>
      <c r="C153" s="4" t="s">
        <v>779</v>
      </c>
      <c r="D153" s="5">
        <v>1324147</v>
      </c>
      <c r="E153" s="5">
        <v>-100018</v>
      </c>
      <c r="F153" s="5">
        <v>1224129</v>
      </c>
      <c r="G153" s="5">
        <v>1172303</v>
      </c>
      <c r="H153" s="14">
        <v>286851</v>
      </c>
      <c r="I153" s="12">
        <f>D153*(1+0.01*growthrate!E154)^2</f>
        <v>1324147</v>
      </c>
      <c r="J153" s="4">
        <f>E153*(1+0.01*growthrate!$E$3)^2</f>
        <v>-103041.04404999997</v>
      </c>
      <c r="K153" s="4">
        <f>F153*(1+0.01*growthrate!$E$3)^2</f>
        <v>1261128.2990249996</v>
      </c>
      <c r="L153" s="4">
        <f>G153*(1+0.01*growthrate!$E$3)^2</f>
        <v>1207735.8581749997</v>
      </c>
      <c r="M153" s="4">
        <f>H153*(1+0.01*growthrate!$E$3)^2</f>
        <v>295521.07147499995</v>
      </c>
      <c r="N153" s="12">
        <f>I153*(1+0.01*growthrate!$E$3)^5</f>
        <v>1426482.3818914825</v>
      </c>
      <c r="O153" s="4">
        <f>J153*(1+0.01*growthrate!$E$3)^5</f>
        <v>-111004.46849861015</v>
      </c>
      <c r="P153" s="4">
        <f>K153*(1+0.01*growthrate!$E$3)^5</f>
        <v>1358593.343385542</v>
      </c>
      <c r="Q153" s="4">
        <f>L153*(1+0.01*growthrate!$E$3)^5</f>
        <v>1301074.5209294944</v>
      </c>
      <c r="R153" s="4">
        <f>M153*(1+0.01*growthrate!$E$3)^5</f>
        <v>318360.12311078829</v>
      </c>
      <c r="S153" s="12">
        <f>N153*(1+0.01*growthrate!$F$3)^10</f>
        <v>1529540.9816145322</v>
      </c>
      <c r="T153" s="4">
        <f>O153*(1+0.01*growthrate!$F$3)^10</f>
        <v>-119024.17153293647</v>
      </c>
      <c r="U153" s="4">
        <f>P153*(1+0.01*growthrate!$F$3)^10</f>
        <v>1456747.1862508946</v>
      </c>
      <c r="V153" s="4">
        <f>Q153*(1+0.01*growthrate!$F$3)^10</f>
        <v>1395072.8204980704</v>
      </c>
      <c r="W153" s="4">
        <f>R153*(1+0.01*growthrate!$F$3)^10</f>
        <v>341360.58137929533</v>
      </c>
    </row>
    <row r="154" spans="1:23" x14ac:dyDescent="0.2">
      <c r="A154" s="2" t="s">
        <v>315</v>
      </c>
      <c r="B154" s="8" t="s">
        <v>316</v>
      </c>
      <c r="C154" s="4" t="s">
        <v>779</v>
      </c>
      <c r="D154" s="5">
        <v>2595815</v>
      </c>
      <c r="E154" s="5">
        <v>22492</v>
      </c>
      <c r="F154" s="5">
        <v>2618307</v>
      </c>
      <c r="G154" s="5">
        <v>2041856</v>
      </c>
      <c r="H154" s="14">
        <v>3097263</v>
      </c>
      <c r="I154" s="12">
        <f>D154*(1+0.01*growthrate!E155)^2</f>
        <v>2595815</v>
      </c>
      <c r="J154" s="4">
        <f>E154*(1+0.01*growthrate!$E$3)^2</f>
        <v>23171.820699999993</v>
      </c>
      <c r="K154" s="4">
        <f>F154*(1+0.01*growthrate!$E$3)^2</f>
        <v>2697445.3290749993</v>
      </c>
      <c r="L154" s="4">
        <f>G154*(1+0.01*growthrate!$E$3)^2</f>
        <v>2103571.0975999995</v>
      </c>
      <c r="M154" s="4">
        <f>H154*(1+0.01*growthrate!$E$3)^2</f>
        <v>3190877.774174999</v>
      </c>
      <c r="N154" s="12">
        <f>I154*(1+0.01*growthrate!$E$3)^5</f>
        <v>2796429.9765431168</v>
      </c>
      <c r="O154" s="4">
        <f>J154*(1+0.01*growthrate!$E$3)^5</f>
        <v>24962.631780986816</v>
      </c>
      <c r="P154" s="4">
        <f>K154*(1+0.01*growthrate!$E$3)^5</f>
        <v>2905914.7043651189</v>
      </c>
      <c r="Q154" s="4">
        <f>L154*(1+0.01*growthrate!$E$3)^5</f>
        <v>2266143.4944779752</v>
      </c>
      <c r="R154" s="4">
        <f>M154*(1+0.01*growthrate!$E$3)^5</f>
        <v>3437481.584468903</v>
      </c>
      <c r="S154" s="12">
        <f>N154*(1+0.01*growthrate!$F$3)^10</f>
        <v>2998462.7259584675</v>
      </c>
      <c r="T154" s="4">
        <f>O154*(1+0.01*growthrate!$F$3)^10</f>
        <v>26766.098763410653</v>
      </c>
      <c r="U154" s="4">
        <f>P154*(1+0.01*growthrate!$F$3)^10</f>
        <v>3115857.3606139724</v>
      </c>
      <c r="V154" s="4">
        <f>Q154*(1+0.01*growthrate!$F$3)^10</f>
        <v>2429864.8122293539</v>
      </c>
      <c r="W154" s="4">
        <f>R154*(1+0.01*growthrate!$F$3)^10</f>
        <v>3685828.1768743363</v>
      </c>
    </row>
    <row r="155" spans="1:23" x14ac:dyDescent="0.2">
      <c r="A155" s="2" t="s">
        <v>317</v>
      </c>
      <c r="B155" s="8" t="s">
        <v>318</v>
      </c>
      <c r="C155" s="4" t="s">
        <v>779</v>
      </c>
      <c r="D155" s="5">
        <v>932191</v>
      </c>
      <c r="E155" s="5">
        <v>4963</v>
      </c>
      <c r="F155" s="5">
        <v>937154</v>
      </c>
      <c r="G155" s="5">
        <v>728613</v>
      </c>
      <c r="H155" s="14">
        <v>1387979</v>
      </c>
      <c r="I155" s="12">
        <f>D155*(1+0.01*growthrate!E156)^2</f>
        <v>932191</v>
      </c>
      <c r="J155" s="4">
        <f>E155*(1+0.01*growthrate!$E$3)^2</f>
        <v>5113.0066749999987</v>
      </c>
      <c r="K155" s="4">
        <f>F155*(1+0.01*growthrate!$E$3)^2</f>
        <v>965479.47964999976</v>
      </c>
      <c r="L155" s="4">
        <f>G155*(1+0.01*growthrate!$E$3)^2</f>
        <v>750635.32792499976</v>
      </c>
      <c r="M155" s="4">
        <f>H155*(1+0.01*growthrate!$E$3)^2</f>
        <v>1429930.6652749996</v>
      </c>
      <c r="N155" s="12">
        <f>I155*(1+0.01*growthrate!$E$3)^5</f>
        <v>1004234.4528649787</v>
      </c>
      <c r="O155" s="4">
        <f>J155*(1+0.01*growthrate!$E$3)^5</f>
        <v>5508.1603027315305</v>
      </c>
      <c r="P155" s="4">
        <f>K155*(1+0.01*growthrate!$E$3)^5</f>
        <v>1040095.599505554</v>
      </c>
      <c r="Q155" s="4">
        <f>L155*(1+0.01*growthrate!$E$3)^5</f>
        <v>808647.43152410397</v>
      </c>
      <c r="R155" s="4">
        <f>M155*(1+0.01*growthrate!$E$3)^5</f>
        <v>1540441.4323644985</v>
      </c>
      <c r="S155" s="12">
        <f>N155*(1+0.01*growthrate!$F$3)^10</f>
        <v>1076787.0464474354</v>
      </c>
      <c r="T155" s="4">
        <f>O155*(1+0.01*growthrate!$F$3)^10</f>
        <v>5906.1065340035166</v>
      </c>
      <c r="U155" s="4">
        <f>P155*(1+0.01*growthrate!$F$3)^10</f>
        <v>1115239.0414603124</v>
      </c>
      <c r="V155" s="4">
        <f>Q155*(1+0.01*growthrate!$F$3)^10</f>
        <v>867069.51441867894</v>
      </c>
      <c r="W155" s="4">
        <f>R155*(1+0.01*growthrate!$F$3)^10</f>
        <v>1651733.1938262475</v>
      </c>
    </row>
    <row r="156" spans="1:23" x14ac:dyDescent="0.2">
      <c r="A156" s="2" t="s">
        <v>319</v>
      </c>
      <c r="B156" s="8" t="s">
        <v>320</v>
      </c>
      <c r="C156" s="4" t="s">
        <v>779</v>
      </c>
      <c r="D156" s="5">
        <v>40559</v>
      </c>
      <c r="E156" s="5">
        <v>-220</v>
      </c>
      <c r="F156" s="5">
        <v>40339</v>
      </c>
      <c r="G156" s="5">
        <v>1364606</v>
      </c>
      <c r="H156" s="14">
        <v>886077</v>
      </c>
      <c r="I156" s="12">
        <f>D156*(1+0.01*growthrate!E157)^2</f>
        <v>40559</v>
      </c>
      <c r="J156" s="4">
        <f>E156*(1+0.01*growthrate!$E$3)^2</f>
        <v>-226.64949999999993</v>
      </c>
      <c r="K156" s="4">
        <f>F156*(1+0.01*growthrate!$E$3)^2</f>
        <v>41558.24627499999</v>
      </c>
      <c r="L156" s="4">
        <f>G156*(1+0.01*growthrate!$E$3)^2</f>
        <v>1405851.2163499997</v>
      </c>
      <c r="M156" s="4">
        <f>H156*(1+0.01*growthrate!$E$3)^2</f>
        <v>912858.67732499971</v>
      </c>
      <c r="N156" s="12">
        <f>I156*(1+0.01*growthrate!$E$3)^5</f>
        <v>43693.561913546335</v>
      </c>
      <c r="O156" s="4">
        <f>J156*(1+0.01*growthrate!$E$3)^5</f>
        <v>-244.16588083839142</v>
      </c>
      <c r="P156" s="4">
        <f>K156*(1+0.01*growthrate!$E$3)^5</f>
        <v>44770.033941544876</v>
      </c>
      <c r="Q156" s="4">
        <f>L156*(1+0.01*growthrate!$E$3)^5</f>
        <v>1514501.0272152454</v>
      </c>
      <c r="R156" s="4">
        <f>M156*(1+0.01*growthrate!$E$3)^5</f>
        <v>983408.0508892698</v>
      </c>
      <c r="S156" s="12">
        <f>N156*(1+0.01*growthrate!$F$3)^10</f>
        <v>46850.276195395083</v>
      </c>
      <c r="T156" s="4">
        <f>O156*(1+0.01*growthrate!$F$3)^10</f>
        <v>-261.80605228304927</v>
      </c>
      <c r="U156" s="4">
        <f>P156*(1+0.01*growthrate!$F$3)^10</f>
        <v>48004.519741117845</v>
      </c>
      <c r="V156" s="4">
        <f>Q156*(1+0.01*growthrate!$F$3)^10</f>
        <v>1623918.6808261944</v>
      </c>
      <c r="W156" s="4">
        <f>R156*(1+0.01*growthrate!$F$3)^10</f>
        <v>1054456.0063127612</v>
      </c>
    </row>
    <row r="157" spans="1:23" x14ac:dyDescent="0.2">
      <c r="A157" s="2" t="s">
        <v>321</v>
      </c>
      <c r="B157" s="8" t="s">
        <v>322</v>
      </c>
      <c r="C157" s="4" t="s">
        <v>779</v>
      </c>
      <c r="D157" s="5">
        <v>2258040</v>
      </c>
      <c r="E157" s="5">
        <v>23732</v>
      </c>
      <c r="F157" s="5">
        <v>2281772</v>
      </c>
      <c r="G157" s="5">
        <v>4059382</v>
      </c>
      <c r="H157" s="14">
        <v>2619338</v>
      </c>
      <c r="I157" s="12">
        <f>D157*(1+0.01*growthrate!E158)^2</f>
        <v>2258040</v>
      </c>
      <c r="J157" s="4">
        <f>E157*(1+0.01*growthrate!$E$3)^2</f>
        <v>24449.299699999992</v>
      </c>
      <c r="K157" s="4">
        <f>F157*(1+0.01*growthrate!$E$3)^2</f>
        <v>2350738.5586999995</v>
      </c>
      <c r="L157" s="4">
        <f>G157*(1+0.01*growthrate!$E$3)^2</f>
        <v>4182076.8209499987</v>
      </c>
      <c r="M157" s="4">
        <f>H157*(1+0.01*growthrate!$E$3)^2</f>
        <v>2698507.4910499994</v>
      </c>
      <c r="N157" s="12">
        <f>I157*(1+0.01*growthrate!$E$3)^5</f>
        <v>2432550.3721310725</v>
      </c>
      <c r="O157" s="4">
        <f>J157*(1+0.01*growthrate!$E$3)^5</f>
        <v>26338.839472985022</v>
      </c>
      <c r="P157" s="4">
        <f>K157*(1+0.01*growthrate!$E$3)^5</f>
        <v>2532413.0466017188</v>
      </c>
      <c r="Q157" s="4">
        <f>L157*(1+0.01*growthrate!$E$3)^5</f>
        <v>4505284.4622250497</v>
      </c>
      <c r="R157" s="4">
        <f>M157*(1+0.01*growthrate!$E$3)^5</f>
        <v>2907058.9544703206</v>
      </c>
      <c r="S157" s="12">
        <f>N157*(1+0.01*growthrate!$F$3)^10</f>
        <v>2608294.0324034099</v>
      </c>
      <c r="T157" s="4">
        <f>O157*(1+0.01*growthrate!$F$3)^10</f>
        <v>28241.732876278751</v>
      </c>
      <c r="U157" s="4">
        <f>P157*(1+0.01*growthrate!$F$3)^10</f>
        <v>2715371.4524090816</v>
      </c>
      <c r="V157" s="4">
        <f>Q157*(1+0.01*growthrate!$F$3)^10</f>
        <v>4830776.2551312223</v>
      </c>
      <c r="W157" s="4">
        <f>R157*(1+0.01*growthrate!$F$3)^10</f>
        <v>3117084.2789771715</v>
      </c>
    </row>
    <row r="158" spans="1:23" x14ac:dyDescent="0.2">
      <c r="A158" s="2" t="s">
        <v>323</v>
      </c>
      <c r="B158" s="8" t="s">
        <v>324</v>
      </c>
      <c r="C158" s="4" t="s">
        <v>779</v>
      </c>
      <c r="D158" s="5">
        <v>4262767</v>
      </c>
      <c r="E158" s="5">
        <v>21850</v>
      </c>
      <c r="F158" s="5">
        <v>4284617</v>
      </c>
      <c r="G158" s="5">
        <v>6602379</v>
      </c>
      <c r="H158" s="14">
        <v>3176877</v>
      </c>
      <c r="I158" s="12">
        <f>D158*(1+0.01*growthrate!E159)^2</f>
        <v>4262767</v>
      </c>
      <c r="J158" s="4">
        <f>E158*(1+0.01*growthrate!$E$3)^2</f>
        <v>22510.416249999995</v>
      </c>
      <c r="K158" s="4">
        <f>F158*(1+0.01*growthrate!$E$3)^2</f>
        <v>4414119.5488249986</v>
      </c>
      <c r="L158" s="4">
        <f>G158*(1+0.01*growthrate!$E$3)^2</f>
        <v>6801935.9052749984</v>
      </c>
      <c r="M158" s="4">
        <f>H158*(1+0.01*growthrate!$E$3)^2</f>
        <v>3272898.1073249993</v>
      </c>
      <c r="N158" s="12">
        <f>I158*(1+0.01*growthrate!$E$3)^5</f>
        <v>4592210.7013861826</v>
      </c>
      <c r="O158" s="4">
        <f>J158*(1+0.01*growthrate!$E$3)^5</f>
        <v>24250.111346903876</v>
      </c>
      <c r="P158" s="4">
        <f>K158*(1+0.01*growthrate!$E$3)^5</f>
        <v>4755260.3811824825</v>
      </c>
      <c r="Q158" s="4">
        <f>L158*(1+0.01*growthrate!$E$3)^5</f>
        <v>7327616.7461995361</v>
      </c>
      <c r="R158" s="4">
        <f>M158*(1+0.01*growthrate!$E$3)^5</f>
        <v>3525840.7773646656</v>
      </c>
      <c r="S158" s="12">
        <f>N158*(1+0.01*growthrate!$F$3)^10</f>
        <v>4923982.6254743887</v>
      </c>
      <c r="T158" s="4">
        <f>O158*(1+0.01*growthrate!$F$3)^10</f>
        <v>26002.101101748303</v>
      </c>
      <c r="U158" s="4">
        <f>P158*(1+0.01*growthrate!$F$3)^10</f>
        <v>5098812.1014310988</v>
      </c>
      <c r="V158" s="4">
        <f>Q158*(1+0.01*growthrate!$F$3)^10</f>
        <v>7857012.6439386662</v>
      </c>
      <c r="W158" s="4">
        <f>R158*(1+0.01*growthrate!$F$3)^10</f>
        <v>3780571.0270855306</v>
      </c>
    </row>
    <row r="159" spans="1:23" x14ac:dyDescent="0.2">
      <c r="A159" s="2" t="s">
        <v>325</v>
      </c>
      <c r="B159" s="8" t="s">
        <v>326</v>
      </c>
      <c r="C159" s="4" t="s">
        <v>779</v>
      </c>
      <c r="D159" s="5">
        <v>624419</v>
      </c>
      <c r="E159" s="5">
        <v>-18309</v>
      </c>
      <c r="F159" s="5">
        <v>606110</v>
      </c>
      <c r="G159" s="5">
        <v>375157</v>
      </c>
      <c r="H159" s="14">
        <v>850846</v>
      </c>
      <c r="I159" s="12">
        <f>D159*(1+0.01*growthrate!E160)^2</f>
        <v>624419</v>
      </c>
      <c r="J159" s="4">
        <f>E159*(1+0.01*growthrate!$E$3)^2</f>
        <v>-18862.389524999995</v>
      </c>
      <c r="K159" s="4">
        <f>F159*(1+0.01*growthrate!$E$3)^2</f>
        <v>624429.67474999989</v>
      </c>
      <c r="L159" s="4">
        <f>G159*(1+0.01*growthrate!$E$3)^2</f>
        <v>386496.12032499991</v>
      </c>
      <c r="M159" s="4">
        <f>H159*(1+0.01*growthrate!$E$3)^2</f>
        <v>876562.82034999982</v>
      </c>
      <c r="N159" s="12">
        <f>I159*(1+0.01*growthrate!$E$3)^5</f>
        <v>672676.60042147711</v>
      </c>
      <c r="O159" s="4">
        <f>J159*(1+0.01*growthrate!$E$3)^5</f>
        <v>-20320.150510318676</v>
      </c>
      <c r="P159" s="4">
        <f>K159*(1+0.01*growthrate!$E$3)^5</f>
        <v>672688.10015889746</v>
      </c>
      <c r="Q159" s="4">
        <f>L159*(1+0.01*growthrate!$E$3)^5</f>
        <v>416366.08798949281</v>
      </c>
      <c r="R159" s="4">
        <f>M159*(1+0.01*growthrate!$E$3)^5</f>
        <v>944307.10476282728</v>
      </c>
      <c r="S159" s="12">
        <f>N159*(1+0.01*growthrate!$F$3)^10</f>
        <v>721275.24375976739</v>
      </c>
      <c r="T159" s="4">
        <f>O159*(1+0.01*growthrate!$F$3)^10</f>
        <v>-21788.213687501586</v>
      </c>
      <c r="U159" s="4">
        <f>P159*(1+0.01*growthrate!$F$3)^10</f>
        <v>721287.57431490463</v>
      </c>
      <c r="V159" s="4">
        <f>Q159*(1+0.01*growthrate!$F$3)^10</f>
        <v>446447.15071069053</v>
      </c>
      <c r="W159" s="4">
        <f>R159*(1+0.01*growthrate!$F$3)^10</f>
        <v>1012530.1470946516</v>
      </c>
    </row>
    <row r="160" spans="1:23" x14ac:dyDescent="0.2">
      <c r="A160" s="2" t="s">
        <v>327</v>
      </c>
      <c r="B160" s="8" t="s">
        <v>328</v>
      </c>
      <c r="C160" s="4" t="s">
        <v>779</v>
      </c>
      <c r="D160" s="5">
        <v>1918077</v>
      </c>
      <c r="E160" s="5">
        <v>-1642</v>
      </c>
      <c r="F160" s="5">
        <v>1916435</v>
      </c>
      <c r="G160" s="5">
        <v>2205080</v>
      </c>
      <c r="H160" s="14">
        <v>5102508</v>
      </c>
      <c r="I160" s="12">
        <f>D160*(1+0.01*growthrate!E161)^2</f>
        <v>1918077</v>
      </c>
      <c r="J160" s="4">
        <f>E160*(1+0.01*growthrate!$E$3)^2</f>
        <v>-1691.6294499999995</v>
      </c>
      <c r="K160" s="4">
        <f>F160*(1+0.01*growthrate!$E$3)^2</f>
        <v>1974359.2478749994</v>
      </c>
      <c r="L160" s="4">
        <f>G160*(1+0.01*growthrate!$E$3)^2</f>
        <v>2271728.5429999996</v>
      </c>
      <c r="M160" s="4">
        <f>H160*(1+0.01*growthrate!$E$3)^2</f>
        <v>5256731.304299999</v>
      </c>
      <c r="N160" s="12">
        <f>I160*(1+0.01*growthrate!$E$3)^5</f>
        <v>2066313.670318529</v>
      </c>
      <c r="O160" s="4">
        <f>J160*(1+0.01*growthrate!$E$3)^5</f>
        <v>-1822.3653469847213</v>
      </c>
      <c r="P160" s="4">
        <f>K160*(1+0.01*growthrate!$E$3)^5</f>
        <v>2126945.6356569212</v>
      </c>
      <c r="Q160" s="4">
        <f>L160*(1+0.01*growthrate!$E$3)^5</f>
        <v>2447296.8205414554</v>
      </c>
      <c r="R160" s="4">
        <f>M160*(1+0.01*growthrate!$E$3)^5</f>
        <v>5662992.5468406323</v>
      </c>
      <c r="S160" s="12">
        <f>N160*(1+0.01*growthrate!$F$3)^10</f>
        <v>2215597.9490134083</v>
      </c>
      <c r="T160" s="4">
        <f>O160*(1+0.01*growthrate!$F$3)^10</f>
        <v>-1954.0251720398494</v>
      </c>
      <c r="U160" s="4">
        <f>P160*(1+0.01*growthrate!$F$3)^10</f>
        <v>2280610.3718502978</v>
      </c>
      <c r="V160" s="4">
        <f>Q160*(1+0.01*growthrate!$F$3)^10</f>
        <v>2624105.8625832107</v>
      </c>
      <c r="W160" s="4">
        <f>R160*(1+0.01*growthrate!$F$3)^10</f>
        <v>6072124.8919212604</v>
      </c>
    </row>
    <row r="161" spans="1:23" x14ac:dyDescent="0.2">
      <c r="A161" s="2" t="s">
        <v>329</v>
      </c>
      <c r="B161" s="8" t="s">
        <v>330</v>
      </c>
      <c r="C161" s="4" t="s">
        <v>779</v>
      </c>
      <c r="D161" s="5">
        <v>2210190</v>
      </c>
      <c r="E161" s="5">
        <v>-15887</v>
      </c>
      <c r="F161" s="5">
        <v>2194303</v>
      </c>
      <c r="G161" s="5">
        <v>6735416</v>
      </c>
      <c r="H161" s="14">
        <v>2944829</v>
      </c>
      <c r="I161" s="12">
        <f>D161*(1+0.01*growthrate!E162)^2</f>
        <v>2210190</v>
      </c>
      <c r="J161" s="4">
        <f>E161*(1+0.01*growthrate!$E$3)^2</f>
        <v>-16367.184574999996</v>
      </c>
      <c r="K161" s="4">
        <f>F161*(1+0.01*growthrate!$E$3)^2</f>
        <v>2260625.8081749994</v>
      </c>
      <c r="L161" s="4">
        <f>G161*(1+0.01*growthrate!$E$3)^2</f>
        <v>6938993.9485999979</v>
      </c>
      <c r="M161" s="4">
        <f>H161*(1+0.01*growthrate!$E$3)^2</f>
        <v>3033836.4565249993</v>
      </c>
      <c r="N161" s="12">
        <f>I161*(1+0.01*growthrate!$E$3)^5</f>
        <v>2381002.332545205</v>
      </c>
      <c r="O161" s="4">
        <f>J161*(1+0.01*growthrate!$E$3)^5</f>
        <v>-17632.106131270568</v>
      </c>
      <c r="P161" s="4">
        <f>K161*(1+0.01*growthrate!$E$3)^5</f>
        <v>2435336.0219151126</v>
      </c>
      <c r="Q161" s="4">
        <f>L161*(1+0.01*growthrate!$E$3)^5</f>
        <v>7475267.1838772502</v>
      </c>
      <c r="R161" s="4">
        <f>M161*(1+0.01*growthrate!$E$3)^5</f>
        <v>3268303.4850156335</v>
      </c>
      <c r="S161" s="12">
        <f>N161*(1+0.01*growthrate!$F$3)^10</f>
        <v>2553021.8186912956</v>
      </c>
      <c r="T161" s="4">
        <f>O161*(1+0.01*growthrate!$F$3)^10</f>
        <v>-18905.967057367292</v>
      </c>
      <c r="U161" s="4">
        <f>P161*(1+0.01*growthrate!$F$3)^10</f>
        <v>2611280.936103872</v>
      </c>
      <c r="V161" s="4">
        <f>Q161*(1+0.01*growthrate!$F$3)^10</f>
        <v>8015330.3338367576</v>
      </c>
      <c r="W161" s="4">
        <f>R161*(1+0.01*growthrate!$F$3)^10</f>
        <v>3504427.5233574533</v>
      </c>
    </row>
    <row r="162" spans="1:23" x14ac:dyDescent="0.2">
      <c r="A162" s="2" t="s">
        <v>331</v>
      </c>
      <c r="B162" s="8" t="s">
        <v>332</v>
      </c>
      <c r="C162" s="4" t="s">
        <v>779</v>
      </c>
      <c r="D162" s="5">
        <v>2257192</v>
      </c>
      <c r="E162" s="5">
        <v>8470</v>
      </c>
      <c r="F162" s="5">
        <v>2265662</v>
      </c>
      <c r="G162" s="5">
        <v>9944368</v>
      </c>
      <c r="H162" s="14">
        <v>6936826</v>
      </c>
      <c r="I162" s="12">
        <f>D162*(1+0.01*growthrate!E163)^2</f>
        <v>2257192</v>
      </c>
      <c r="J162" s="4">
        <f>E162*(1+0.01*growthrate!$E$3)^2</f>
        <v>8726.0057499999984</v>
      </c>
      <c r="K162" s="4">
        <f>F162*(1+0.01*growthrate!$E$3)^2</f>
        <v>2334141.6339499992</v>
      </c>
      <c r="L162" s="4">
        <f>G162*(1+0.01*growthrate!$E$3)^2</f>
        <v>10244936.522799997</v>
      </c>
      <c r="M162" s="4">
        <f>H162*(1+0.01*growthrate!$E$3)^2</f>
        <v>7146491.565849998</v>
      </c>
      <c r="N162" s="12">
        <f>I162*(1+0.01*growthrate!$E$3)^5</f>
        <v>2431636.8352957787</v>
      </c>
      <c r="O162" s="4">
        <f>J162*(1+0.01*growthrate!$E$3)^5</f>
        <v>9400.3864122780706</v>
      </c>
      <c r="P162" s="4">
        <f>K162*(1+0.01*growthrate!$E$3)^5</f>
        <v>2514533.4450548706</v>
      </c>
      <c r="Q162" s="4">
        <f>L162*(1+0.01*growthrate!$E$3)^5</f>
        <v>11036706.23682324</v>
      </c>
      <c r="R162" s="4">
        <f>M162*(1+0.01*growthrate!$E$3)^5</f>
        <v>7698801.0477847969</v>
      </c>
      <c r="S162" s="12">
        <f>N162*(1+0.01*growthrate!$F$3)^10</f>
        <v>2607314.4955752417</v>
      </c>
      <c r="T162" s="4">
        <f>O162*(1+0.01*growthrate!$F$3)^10</f>
        <v>10079.533012897398</v>
      </c>
      <c r="U162" s="4">
        <f>P162*(1+0.01*growthrate!$F$3)^10</f>
        <v>2696200.1092168996</v>
      </c>
      <c r="V162" s="4">
        <f>Q162*(1+0.01*growthrate!$F$3)^10</f>
        <v>11834071.493317645</v>
      </c>
      <c r="W162" s="4">
        <f>R162*(1+0.01*growthrate!$F$3)^10</f>
        <v>8255013.7747018887</v>
      </c>
    </row>
    <row r="163" spans="1:23" x14ac:dyDescent="0.2">
      <c r="A163" s="2" t="s">
        <v>333</v>
      </c>
      <c r="B163" s="8" t="s">
        <v>334</v>
      </c>
      <c r="C163" s="4" t="s">
        <v>779</v>
      </c>
      <c r="D163" s="5">
        <v>253965</v>
      </c>
      <c r="E163" s="5">
        <v>2607</v>
      </c>
      <c r="F163" s="5">
        <v>256572</v>
      </c>
      <c r="G163" s="5">
        <v>1048602</v>
      </c>
      <c r="H163" s="14">
        <v>1087794</v>
      </c>
      <c r="I163" s="12">
        <f>D163*(1+0.01*growthrate!E164)^2</f>
        <v>253965</v>
      </c>
      <c r="J163" s="4">
        <f>E163*(1+0.01*growthrate!$E$3)^2</f>
        <v>2685.7965749999994</v>
      </c>
      <c r="K163" s="4">
        <f>F163*(1+0.01*growthrate!$E$3)^2</f>
        <v>264326.88869999995</v>
      </c>
      <c r="L163" s="4">
        <f>G163*(1+0.01*growthrate!$E$3)^2</f>
        <v>1080295.9954499998</v>
      </c>
      <c r="M163" s="4">
        <f>H163*(1+0.01*growthrate!$E$3)^2</f>
        <v>1120672.5736499997</v>
      </c>
      <c r="N163" s="12">
        <f>I163*(1+0.01*growthrate!$E$3)^5</f>
        <v>273592.43204649509</v>
      </c>
      <c r="O163" s="4">
        <f>J163*(1+0.01*growthrate!$E$3)^5</f>
        <v>2893.3656879349387</v>
      </c>
      <c r="P163" s="4">
        <f>K163*(1+0.01*growthrate!$E$3)^5</f>
        <v>284755.12899303529</v>
      </c>
      <c r="Q163" s="4">
        <f>L163*(1+0.01*growthrate!$E$3)^5</f>
        <v>1163785.5953586316</v>
      </c>
      <c r="R163" s="4">
        <f>M163*(1+0.01*growthrate!$E$3)^5</f>
        <v>1207282.6371850779</v>
      </c>
      <c r="S163" s="12">
        <f>N163*(1+0.01*growthrate!$F$3)^10</f>
        <v>293358.57378050522</v>
      </c>
      <c r="T163" s="4">
        <f>O163*(1+0.01*growthrate!$F$3)^10</f>
        <v>3102.4017195541342</v>
      </c>
      <c r="U163" s="4">
        <f>P163*(1+0.01*growthrate!$F$3)^10</f>
        <v>305327.73839257506</v>
      </c>
      <c r="V163" s="4">
        <f>Q163*(1+0.01*growthrate!$F$3)^10</f>
        <v>1247865.2274368638</v>
      </c>
      <c r="W163" s="4">
        <f>R163*(1+0.01*growthrate!$F$3)^10</f>
        <v>1294504.7856235786</v>
      </c>
    </row>
    <row r="164" spans="1:23" x14ac:dyDescent="0.2">
      <c r="A164" s="2" t="s">
        <v>335</v>
      </c>
      <c r="B164" s="8" t="s">
        <v>336</v>
      </c>
      <c r="C164" s="4" t="s">
        <v>779</v>
      </c>
      <c r="D164" s="5">
        <v>7103089</v>
      </c>
      <c r="E164" s="5">
        <v>16473</v>
      </c>
      <c r="F164" s="5">
        <v>7119562</v>
      </c>
      <c r="G164" s="5">
        <v>7447754</v>
      </c>
      <c r="H164" s="14">
        <v>545993</v>
      </c>
      <c r="I164" s="12">
        <f>D164*(1+0.01*growthrate!E165)^2</f>
        <v>7103089</v>
      </c>
      <c r="J164" s="4">
        <f>E164*(1+0.01*growthrate!$E$3)^2</f>
        <v>16970.896424999995</v>
      </c>
      <c r="K164" s="4">
        <f>F164*(1+0.01*growthrate!$E$3)^2</f>
        <v>7334750.7614499982</v>
      </c>
      <c r="L164" s="4">
        <f>G164*(1+0.01*growthrate!$E$3)^2</f>
        <v>7672862.364649998</v>
      </c>
      <c r="M164" s="4">
        <f>H164*(1+0.01*growthrate!$E$3)^2</f>
        <v>562495.6384249999</v>
      </c>
      <c r="N164" s="12">
        <f>I164*(1+0.01*growthrate!$E$3)^5</f>
        <v>7652044.1578670563</v>
      </c>
      <c r="O164" s="4">
        <f>J164*(1+0.01*growthrate!$E$3)^5</f>
        <v>18282.475250231008</v>
      </c>
      <c r="P164" s="4">
        <f>K164*(1+0.01*growthrate!$E$3)^5</f>
        <v>7901609.6677888175</v>
      </c>
      <c r="Q164" s="4">
        <f>L164*(1+0.01*growthrate!$E$3)^5</f>
        <v>8265851.8894438781</v>
      </c>
      <c r="R164" s="4">
        <f>M164*(1+0.01*growthrate!$E$3)^5</f>
        <v>605967.55352998117</v>
      </c>
      <c r="S164" s="12">
        <f>N164*(1+0.01*growthrate!$F$3)^10</f>
        <v>8204878.8552595647</v>
      </c>
      <c r="T164" s="4">
        <f>O164*(1+0.01*growthrate!$F$3)^10</f>
        <v>19603.3231784485</v>
      </c>
      <c r="U164" s="4">
        <f>P164*(1+0.01*growthrate!$F$3)^10</f>
        <v>8472474.6418382321</v>
      </c>
      <c r="V164" s="4">
        <f>Q164*(1+0.01*growthrate!$F$3)^10</f>
        <v>8863032.1505240425</v>
      </c>
      <c r="W164" s="4">
        <f>R164*(1+0.01*growthrate!$F$3)^10</f>
        <v>649746.69047354057</v>
      </c>
    </row>
    <row r="165" spans="1:23" x14ac:dyDescent="0.2">
      <c r="A165" s="2" t="s">
        <v>337</v>
      </c>
      <c r="B165" s="8" t="s">
        <v>338</v>
      </c>
      <c r="C165" s="4" t="s">
        <v>779</v>
      </c>
      <c r="D165" s="5">
        <v>7184045</v>
      </c>
      <c r="E165" s="5">
        <v>-97747</v>
      </c>
      <c r="F165" s="5">
        <v>7086298</v>
      </c>
      <c r="G165" s="5">
        <v>3391345</v>
      </c>
      <c r="H165" s="14">
        <v>913801</v>
      </c>
      <c r="I165" s="12">
        <f>D165*(1+0.01*growthrate!E166)^2</f>
        <v>7184045</v>
      </c>
      <c r="J165" s="4">
        <f>E165*(1+0.01*growthrate!$E$3)^2</f>
        <v>-100701.40307499998</v>
      </c>
      <c r="K165" s="4">
        <f>F165*(1+0.01*growthrate!$E$3)^2</f>
        <v>7300481.3570499979</v>
      </c>
      <c r="L165" s="4">
        <f>G165*(1+0.01*growthrate!$E$3)^2</f>
        <v>3493848.4026249992</v>
      </c>
      <c r="M165" s="4">
        <f>H165*(1+0.01*growthrate!$E$3)^2</f>
        <v>941420.63522499974</v>
      </c>
      <c r="N165" s="12">
        <f>I165*(1+0.01*growthrate!$E$3)^5</f>
        <v>7739256.7616855195</v>
      </c>
      <c r="O165" s="4">
        <f>J165*(1+0.01*growthrate!$E$3)^5</f>
        <v>-108484.01070141023</v>
      </c>
      <c r="P165" s="4">
        <f>K165*(1+0.01*growthrate!$E$3)^5</f>
        <v>7864691.786606052</v>
      </c>
      <c r="Q165" s="4">
        <f>L165*(1+0.01*growthrate!$E$3)^5</f>
        <v>3763866.9961448847</v>
      </c>
      <c r="R165" s="4">
        <f>M165*(1+0.01*growthrate!$E$3)^5</f>
        <v>1014177.3912545587</v>
      </c>
      <c r="S165" s="12">
        <f>N165*(1+0.01*growthrate!$F$3)^10</f>
        <v>8298392.27915252</v>
      </c>
      <c r="T165" s="4">
        <f>O165*(1+0.01*growthrate!$F$3)^10</f>
        <v>-116321.61905686918</v>
      </c>
      <c r="U165" s="4">
        <f>P165*(1+0.01*growthrate!$F$3)^10</f>
        <v>8432889.5667330343</v>
      </c>
      <c r="V165" s="4">
        <f>Q165*(1+0.01*growthrate!$F$3)^10</f>
        <v>4035793.8471811716</v>
      </c>
      <c r="W165" s="4">
        <f>R165*(1+0.01*growthrate!$F$3)^10</f>
        <v>1087448.3290104668</v>
      </c>
    </row>
    <row r="166" spans="1:23" x14ac:dyDescent="0.2">
      <c r="A166" s="2" t="s">
        <v>339</v>
      </c>
      <c r="B166" s="8" t="s">
        <v>340</v>
      </c>
      <c r="C166" s="4" t="s">
        <v>779</v>
      </c>
      <c r="D166" s="5">
        <v>608739</v>
      </c>
      <c r="E166" s="5">
        <v>5498</v>
      </c>
      <c r="F166" s="5">
        <v>614237</v>
      </c>
      <c r="G166" s="5">
        <v>4348940</v>
      </c>
      <c r="H166" s="14">
        <v>864478</v>
      </c>
      <c r="I166" s="12">
        <f>D166*(1+0.01*growthrate!E167)^2</f>
        <v>608739</v>
      </c>
      <c r="J166" s="4">
        <f>E166*(1+0.01*growthrate!$E$3)^2</f>
        <v>5664.1770499999984</v>
      </c>
      <c r="K166" s="4">
        <f>F166*(1+0.01*growthrate!$E$3)^2</f>
        <v>632802.31332499988</v>
      </c>
      <c r="L166" s="4">
        <f>G166*(1+0.01*growthrate!$E$3)^2</f>
        <v>4480386.7114999983</v>
      </c>
      <c r="M166" s="4">
        <f>H166*(1+0.01*growthrate!$E$3)^2</f>
        <v>890606.84754999971</v>
      </c>
      <c r="N166" s="12">
        <f>I166*(1+0.01*growthrate!$E$3)^5</f>
        <v>655784.78724057006</v>
      </c>
      <c r="O166" s="4">
        <f>J166*(1+0.01*growthrate!$E$3)^5</f>
        <v>6101.9273311339821</v>
      </c>
      <c r="P166" s="4">
        <f>K166*(1+0.01*growthrate!$E$3)^5</f>
        <v>681707.8097660502</v>
      </c>
      <c r="Q166" s="4">
        <f>L166*(1+0.01*growthrate!$E$3)^5</f>
        <v>4826648.9355150629</v>
      </c>
      <c r="R166" s="4">
        <f>M166*(1+0.01*growthrate!$E$3)^5</f>
        <v>959436.51061550423</v>
      </c>
      <c r="S166" s="12">
        <f>N166*(1+0.01*growthrate!$F$3)^10</f>
        <v>703163.05335211928</v>
      </c>
      <c r="T166" s="4">
        <f>O166*(1+0.01*growthrate!$F$3)^10</f>
        <v>6542.7712520554769</v>
      </c>
      <c r="U166" s="4">
        <f>P166*(1+0.01*growthrate!$F$3)^10</f>
        <v>730958.92789174244</v>
      </c>
      <c r="V166" s="4">
        <f>Q166*(1+0.01*growthrate!$F$3)^10</f>
        <v>5175358.2409811094</v>
      </c>
      <c r="W166" s="4">
        <f>R166*(1+0.01*growthrate!$F$3)^10</f>
        <v>1028752.6021161175</v>
      </c>
    </row>
    <row r="167" spans="1:23" x14ac:dyDescent="0.2">
      <c r="A167" s="2" t="s">
        <v>341</v>
      </c>
      <c r="B167" s="8" t="s">
        <v>342</v>
      </c>
      <c r="C167" s="4" t="s">
        <v>779</v>
      </c>
      <c r="D167" s="5">
        <v>3201779</v>
      </c>
      <c r="E167" s="5">
        <v>20591</v>
      </c>
      <c r="F167" s="5">
        <v>3222370</v>
      </c>
      <c r="G167" s="5">
        <v>3367253</v>
      </c>
      <c r="H167" s="14">
        <v>578075</v>
      </c>
      <c r="I167" s="12">
        <f>D167*(1+0.01*growthrate!E168)^2</f>
        <v>3201779</v>
      </c>
      <c r="J167" s="4">
        <f>E167*(1+0.01*growthrate!$E$3)^2</f>
        <v>21213.362974999993</v>
      </c>
      <c r="K167" s="4">
        <f>F167*(1+0.01*growthrate!$E$3)^2</f>
        <v>3319766.133249999</v>
      </c>
      <c r="L167" s="4">
        <f>G167*(1+0.01*growthrate!$E$3)^2</f>
        <v>3469028.2219249993</v>
      </c>
      <c r="M167" s="4">
        <f>H167*(1+0.01*growthrate!$E$3)^2</f>
        <v>595547.31687499979</v>
      </c>
      <c r="N167" s="12">
        <f>I167*(1+0.01*growthrate!$E$3)^5</f>
        <v>3449225.3006729078</v>
      </c>
      <c r="O167" s="4">
        <f>J167*(1+0.01*growthrate!$E$3)^5</f>
        <v>22852.816601560535</v>
      </c>
      <c r="P167" s="4">
        <f>K167*(1+0.01*growthrate!$E$3)^5</f>
        <v>3576330.9519873061</v>
      </c>
      <c r="Q167" s="4">
        <f>L167*(1+0.01*growthrate!$E$3)^5</f>
        <v>3737128.6125032548</v>
      </c>
      <c r="R167" s="4">
        <f>M167*(1+0.01*growthrate!$E$3)^5</f>
        <v>641573.598025696</v>
      </c>
      <c r="S167" s="12">
        <f>N167*(1+0.01*growthrate!$F$3)^10</f>
        <v>3698420.3374495395</v>
      </c>
      <c r="T167" s="4">
        <f>O167*(1+0.01*growthrate!$F$3)^10</f>
        <v>24503.856466183035</v>
      </c>
      <c r="U167" s="4">
        <f>P167*(1+0.01*growthrate!$F$3)^10</f>
        <v>3834708.9486151338</v>
      </c>
      <c r="V167" s="4">
        <f>Q167*(1+0.01*growthrate!$F$3)^10</f>
        <v>4007123.7044011569</v>
      </c>
      <c r="W167" s="4">
        <f>R167*(1+0.01*growthrate!$F$3)^10</f>
        <v>687925.15306147141</v>
      </c>
    </row>
    <row r="168" spans="1:23" x14ac:dyDescent="0.2">
      <c r="A168" s="2" t="s">
        <v>343</v>
      </c>
      <c r="B168" s="8" t="s">
        <v>344</v>
      </c>
      <c r="C168" s="4" t="s">
        <v>779</v>
      </c>
      <c r="D168" s="5">
        <v>2346134</v>
      </c>
      <c r="E168" s="5">
        <v>130075</v>
      </c>
      <c r="F168" s="5">
        <v>2476209</v>
      </c>
      <c r="G168" s="5">
        <v>611417</v>
      </c>
      <c r="H168" s="14">
        <v>203465</v>
      </c>
      <c r="I168" s="12">
        <f>D168*(1+0.01*growthrate!E169)^2</f>
        <v>2346134</v>
      </c>
      <c r="J168" s="4">
        <f>E168*(1+0.01*growthrate!$E$3)^2</f>
        <v>134006.51687499997</v>
      </c>
      <c r="K168" s="4">
        <f>F168*(1+0.01*growthrate!$E$3)^2</f>
        <v>2551052.4170249994</v>
      </c>
      <c r="L168" s="4">
        <f>G168*(1+0.01*growthrate!$E$3)^2</f>
        <v>629897.07882499986</v>
      </c>
      <c r="M168" s="4">
        <f>H168*(1+0.01*growthrate!$E$3)^2</f>
        <v>209614.72962499995</v>
      </c>
      <c r="N168" s="12">
        <f>I168*(1+0.01*growthrate!$E$3)^5</f>
        <v>2527452.6291692625</v>
      </c>
      <c r="O168" s="4">
        <f>J168*(1+0.01*growthrate!$E$3)^5</f>
        <v>144363.07704569894</v>
      </c>
      <c r="P168" s="4">
        <f>K168*(1+0.01*growthrate!$E$3)^5</f>
        <v>2748207.9619316016</v>
      </c>
      <c r="Q168" s="4">
        <f>L168*(1+0.01*growthrate!$E$3)^5</f>
        <v>678578.04711166711</v>
      </c>
      <c r="R168" s="4">
        <f>M168*(1+0.01*growthrate!$E$3)^5</f>
        <v>225814.59520356052</v>
      </c>
      <c r="S168" s="12">
        <f>N168*(1+0.01*growthrate!$F$3)^10</f>
        <v>2710052.6613429091</v>
      </c>
      <c r="T168" s="4">
        <f>O168*(1+0.01*growthrate!$F$3)^10</f>
        <v>154792.82841235289</v>
      </c>
      <c r="U168" s="4">
        <f>P168*(1+0.01*growthrate!$F$3)^10</f>
        <v>2946756.8314443505</v>
      </c>
      <c r="V168" s="4">
        <f>Q168*(1+0.01*growthrate!$F$3)^10</f>
        <v>727603.05031247786</v>
      </c>
      <c r="W168" s="4">
        <f>R168*(1+0.01*growthrate!$F$3)^10</f>
        <v>242128.94739895736</v>
      </c>
    </row>
    <row r="169" spans="1:23" x14ac:dyDescent="0.2">
      <c r="A169" s="2" t="s">
        <v>345</v>
      </c>
      <c r="B169" s="8" t="s">
        <v>346</v>
      </c>
      <c r="C169" s="4" t="s">
        <v>779</v>
      </c>
      <c r="D169" s="5">
        <v>1615592</v>
      </c>
      <c r="E169" s="5">
        <v>6871</v>
      </c>
      <c r="F169" s="5">
        <v>1622463</v>
      </c>
      <c r="G169" s="5">
        <v>3971011</v>
      </c>
      <c r="H169" s="14">
        <v>1040090</v>
      </c>
      <c r="I169" s="12">
        <f>D169*(1+0.01*growthrate!E170)^2</f>
        <v>1615592</v>
      </c>
      <c r="J169" s="4">
        <f>E169*(1+0.01*growthrate!$E$3)^2</f>
        <v>7078.6759749999983</v>
      </c>
      <c r="K169" s="4">
        <f>F169*(1+0.01*growthrate!$E$3)^2</f>
        <v>1671501.9441749996</v>
      </c>
      <c r="L169" s="4">
        <f>G169*(1+0.01*growthrate!$E$3)^2</f>
        <v>4091034.8074749988</v>
      </c>
      <c r="M169" s="4">
        <f>H169*(1+0.01*growthrate!$E$3)^2</f>
        <v>1071526.7202499998</v>
      </c>
      <c r="N169" s="12">
        <f>I169*(1+0.01*growthrate!$E$3)^5</f>
        <v>1740451.418403564</v>
      </c>
      <c r="O169" s="4">
        <f>J169*(1+0.01*growthrate!$E$3)^5</f>
        <v>7625.7443965481252</v>
      </c>
      <c r="P169" s="4">
        <f>K169*(1+0.01*growthrate!$E$3)^5</f>
        <v>1800682.3069213594</v>
      </c>
      <c r="Q169" s="4">
        <f>L169*(1+0.01*growthrate!$E$3)^5</f>
        <v>4407206.3574270066</v>
      </c>
      <c r="R169" s="4">
        <f>M169*(1+0.01*growthrate!$E$3)^5</f>
        <v>1154338.5954600116</v>
      </c>
      <c r="S169" s="12">
        <f>N169*(1+0.01*growthrate!$F$3)^10</f>
        <v>1866193.2350174002</v>
      </c>
      <c r="T169" s="4">
        <f>O169*(1+0.01*growthrate!$F$3)^10</f>
        <v>8176.6790238037802</v>
      </c>
      <c r="U169" s="4">
        <f>P169*(1+0.01*growthrate!$F$3)^10</f>
        <v>1930775.6045696044</v>
      </c>
      <c r="V169" s="4">
        <f>Q169*(1+0.01*growthrate!$F$3)^10</f>
        <v>4725612.3340116525</v>
      </c>
      <c r="W169" s="4">
        <f>R169*(1+0.01*growthrate!$F$3)^10</f>
        <v>1237735.7132685306</v>
      </c>
    </row>
    <row r="170" spans="1:23" x14ac:dyDescent="0.2">
      <c r="A170" s="2" t="s">
        <v>347</v>
      </c>
      <c r="B170" s="8" t="s">
        <v>348</v>
      </c>
      <c r="C170" s="4" t="s">
        <v>779</v>
      </c>
      <c r="D170" s="5">
        <v>2559209</v>
      </c>
      <c r="E170" s="5">
        <v>-867</v>
      </c>
      <c r="F170" s="5">
        <v>2558342</v>
      </c>
      <c r="G170" s="5">
        <v>4341791</v>
      </c>
      <c r="H170" s="14">
        <v>1762612</v>
      </c>
      <c r="I170" s="12">
        <f>D170*(1+0.01*growthrate!E171)^2</f>
        <v>2559209</v>
      </c>
      <c r="J170" s="4">
        <f>E170*(1+0.01*growthrate!$E$3)^2</f>
        <v>-893.20507499999974</v>
      </c>
      <c r="K170" s="4">
        <f>F170*(1+0.01*growthrate!$E$3)^2</f>
        <v>2635667.8869499993</v>
      </c>
      <c r="L170" s="4">
        <f>G170*(1+0.01*growthrate!$E$3)^2</f>
        <v>4473021.632974999</v>
      </c>
      <c r="M170" s="4">
        <f>H170*(1+0.01*growthrate!$E$3)^2</f>
        <v>1815886.9476999994</v>
      </c>
      <c r="N170" s="12">
        <f>I170*(1+0.01*growthrate!$E$3)^5</f>
        <v>2756994.9182969257</v>
      </c>
      <c r="O170" s="4">
        <f>J170*(1+0.01*growthrate!$E$3)^5</f>
        <v>-962.23553948584254</v>
      </c>
      <c r="P170" s="4">
        <f>K170*(1+0.01*growthrate!$E$3)^5</f>
        <v>2839362.8541629636</v>
      </c>
      <c r="Q170" s="4">
        <f>L170*(1+0.01*growthrate!$E$3)^5</f>
        <v>4818714.6542327292</v>
      </c>
      <c r="R170" s="4">
        <f>M170*(1+0.01*growthrate!$E$3)^5</f>
        <v>1956225.9616196307</v>
      </c>
      <c r="S170" s="12">
        <f>N170*(1+0.01*growthrate!$F$3)^10</f>
        <v>2956178.6161330622</v>
      </c>
      <c r="T170" s="4">
        <f>O170*(1+0.01*growthrate!$F$3)^10</f>
        <v>-1031.7538514972896</v>
      </c>
      <c r="U170" s="4">
        <f>P170*(1+0.01*growthrate!$F$3)^10</f>
        <v>3044497.3609541855</v>
      </c>
      <c r="V170" s="4">
        <f>Q170*(1+0.01*growthrate!$F$3)^10</f>
        <v>5166850.7343094219</v>
      </c>
      <c r="W170" s="4">
        <f>R170*(1+0.01*growthrate!$F$3)^10</f>
        <v>2097556.7701214999</v>
      </c>
    </row>
    <row r="171" spans="1:23" x14ac:dyDescent="0.2">
      <c r="A171" s="2" t="s">
        <v>349</v>
      </c>
      <c r="B171" s="8" t="s">
        <v>350</v>
      </c>
      <c r="C171" s="4" t="s">
        <v>779</v>
      </c>
      <c r="D171" s="5">
        <v>3648335</v>
      </c>
      <c r="E171" s="5">
        <v>32767</v>
      </c>
      <c r="F171" s="5">
        <v>3681102</v>
      </c>
      <c r="G171" s="5">
        <v>1434285</v>
      </c>
      <c r="H171" s="14">
        <v>520149</v>
      </c>
      <c r="I171" s="12">
        <f>D171*(1+0.01*growthrate!E172)^2</f>
        <v>3648335</v>
      </c>
      <c r="J171" s="4">
        <f>E171*(1+0.01*growthrate!$E$3)^2</f>
        <v>33757.382574999989</v>
      </c>
      <c r="K171" s="4">
        <f>F171*(1+0.01*growthrate!$E$3)^2</f>
        <v>3792363.3079499989</v>
      </c>
      <c r="L171" s="4">
        <f>G171*(1+0.01*growthrate!$E$3)^2</f>
        <v>1477636.2641249995</v>
      </c>
      <c r="M171" s="4">
        <f>H171*(1+0.01*growthrate!$E$3)^2</f>
        <v>535870.50352499983</v>
      </c>
      <c r="N171" s="12">
        <f>I171*(1+0.01*growthrate!$E$3)^5</f>
        <v>3930292.9363114988</v>
      </c>
      <c r="O171" s="4">
        <f>J171*(1+0.01*growthrate!$E$3)^5</f>
        <v>36366.288261052599</v>
      </c>
      <c r="P171" s="4">
        <f>K171*(1+0.01*growthrate!$E$3)^5</f>
        <v>4085452.3285725652</v>
      </c>
      <c r="Q171" s="4">
        <f>L171*(1+0.01*growthrate!$E$3)^5</f>
        <v>1591833.9109013283</v>
      </c>
      <c r="R171" s="4">
        <f>M171*(1+0.01*growthrate!$E$3)^5</f>
        <v>577284.72160094755</v>
      </c>
      <c r="S171" s="12">
        <f>N171*(1+0.01*growthrate!$F$3)^10</f>
        <v>4214243.5070718396</v>
      </c>
      <c r="T171" s="4">
        <f>O171*(1+0.01*growthrate!$F$3)^10</f>
        <v>38993.631432539434</v>
      </c>
      <c r="U171" s="4">
        <f>P171*(1+0.01*growthrate!$F$3)^10</f>
        <v>4380612.6485056235</v>
      </c>
      <c r="V171" s="4">
        <f>Q171*(1+0.01*growthrate!$F$3)^10</f>
        <v>1706838.6077217876</v>
      </c>
      <c r="W171" s="4">
        <f>R171*(1+0.01*growthrate!$F$3)^10</f>
        <v>618991.61949534446</v>
      </c>
    </row>
    <row r="172" spans="1:23" x14ac:dyDescent="0.2">
      <c r="A172" s="2" t="s">
        <v>351</v>
      </c>
      <c r="B172" s="8" t="s">
        <v>352</v>
      </c>
      <c r="C172" s="4" t="s">
        <v>779</v>
      </c>
      <c r="D172" s="5">
        <v>178822</v>
      </c>
      <c r="E172" s="5">
        <v>367</v>
      </c>
      <c r="F172" s="5">
        <v>179189</v>
      </c>
      <c r="G172" s="5">
        <v>486636</v>
      </c>
      <c r="H172" s="14">
        <v>1866082</v>
      </c>
      <c r="I172" s="12">
        <f>D172*(1+0.01*growthrate!E173)^2</f>
        <v>178822</v>
      </c>
      <c r="J172" s="4">
        <f>E172*(1+0.01*growthrate!$E$3)^2</f>
        <v>378.0925749999999</v>
      </c>
      <c r="K172" s="4">
        <f>F172*(1+0.01*growthrate!$E$3)^2</f>
        <v>184604.98752499995</v>
      </c>
      <c r="L172" s="4">
        <f>G172*(1+0.01*growthrate!$E$3)^2</f>
        <v>501344.57309999986</v>
      </c>
      <c r="M172" s="4">
        <f>H172*(1+0.01*growthrate!$E$3)^2</f>
        <v>1922484.3284499994</v>
      </c>
      <c r="N172" s="12">
        <f>I172*(1+0.01*growthrate!$E$3)^5</f>
        <v>192642.08014261158</v>
      </c>
      <c r="O172" s="4">
        <f>J172*(1+0.01*growthrate!$E$3)^5</f>
        <v>407.31308303495297</v>
      </c>
      <c r="P172" s="4">
        <f>K172*(1+0.01*growthrate!$E$3)^5</f>
        <v>198872.00009795692</v>
      </c>
      <c r="Q172" s="4">
        <f>L172*(1+0.01*growthrate!$E$3)^5</f>
        <v>540090.48903487017</v>
      </c>
      <c r="R172" s="4">
        <f>M172*(1+0.01*growthrate!$E$3)^5</f>
        <v>2071061.6147575779</v>
      </c>
      <c r="S172" s="12">
        <f>N172*(1+0.01*growthrate!$F$3)^10</f>
        <v>206559.8286400784</v>
      </c>
      <c r="T172" s="4">
        <f>O172*(1+0.01*growthrate!$F$3)^10</f>
        <v>436.7400963085413</v>
      </c>
      <c r="U172" s="4">
        <f>P172*(1+0.01*growthrate!$F$3)^10</f>
        <v>213239.83955703327</v>
      </c>
      <c r="V172" s="4">
        <f>Q172*(1+0.01*growthrate!$F$3)^10</f>
        <v>579110.22754006344</v>
      </c>
      <c r="W172" s="4">
        <f>R172*(1+0.01*growthrate!$F$3)^10</f>
        <v>2220688.9166202596</v>
      </c>
    </row>
    <row r="173" spans="1:23" x14ac:dyDescent="0.2">
      <c r="A173" s="2" t="s">
        <v>353</v>
      </c>
      <c r="B173" s="8" t="s">
        <v>354</v>
      </c>
      <c r="C173" s="4" t="s">
        <v>779</v>
      </c>
      <c r="D173" s="5">
        <v>145449</v>
      </c>
      <c r="E173" s="5">
        <v>420</v>
      </c>
      <c r="F173" s="5">
        <v>145869</v>
      </c>
      <c r="G173" s="5">
        <v>1497041</v>
      </c>
      <c r="H173" s="14">
        <v>9153504</v>
      </c>
      <c r="I173" s="12">
        <f>D173*(1+0.01*growthrate!E174)^2</f>
        <v>145449</v>
      </c>
      <c r="J173" s="4">
        <f>E173*(1+0.01*growthrate!$E$3)^2</f>
        <v>432.69449999999989</v>
      </c>
      <c r="K173" s="4">
        <f>F173*(1+0.01*growthrate!$E$3)^2</f>
        <v>150277.89052499997</v>
      </c>
      <c r="L173" s="4">
        <f>G173*(1+0.01*growthrate!$E$3)^2</f>
        <v>1542289.0642249996</v>
      </c>
      <c r="M173" s="4">
        <f>H173*(1+0.01*growthrate!$E$3)^2</f>
        <v>9430168.6583999973</v>
      </c>
      <c r="N173" s="12">
        <f>I173*(1+0.01*growthrate!$E$3)^5</f>
        <v>156689.88108097835</v>
      </c>
      <c r="O173" s="4">
        <f>J173*(1+0.01*growthrate!$E$3)^5</f>
        <v>466.13486341874727</v>
      </c>
      <c r="P173" s="4">
        <f>K173*(1+0.01*growthrate!$E$3)^5</f>
        <v>161891.96760006965</v>
      </c>
      <c r="Q173" s="4">
        <f>L173*(1+0.01*growthrate!$E$3)^5</f>
        <v>1661483.3382553924</v>
      </c>
      <c r="R173" s="4">
        <f>M173*(1+0.01*growthrate!$E$3)^5</f>
        <v>10158969.849626087</v>
      </c>
      <c r="S173" s="12">
        <f>N173*(1+0.01*growthrate!$F$3)^10</f>
        <v>168010.20297206586</v>
      </c>
      <c r="T173" s="4">
        <f>O173*(1+0.01*growthrate!$F$3)^10</f>
        <v>499.81155435854862</v>
      </c>
      <c r="U173" s="4">
        <f>P173*(1+0.01*growthrate!$F$3)^10</f>
        <v>173588.12291125508</v>
      </c>
      <c r="V173" s="4">
        <f>Q173*(1+0.01*growthrate!$F$3)^10</f>
        <v>1781519.974163038</v>
      </c>
      <c r="W173" s="4">
        <f>R173*(1+0.01*growthrate!$F$3)^10</f>
        <v>10892921.576350456</v>
      </c>
    </row>
    <row r="174" spans="1:23" x14ac:dyDescent="0.2">
      <c r="A174" s="2" t="s">
        <v>355</v>
      </c>
      <c r="B174" s="8" t="s">
        <v>356</v>
      </c>
      <c r="C174" s="4" t="s">
        <v>779</v>
      </c>
      <c r="D174" s="5">
        <v>446781</v>
      </c>
      <c r="E174" s="5">
        <v>57454</v>
      </c>
      <c r="F174" s="5">
        <v>504235</v>
      </c>
      <c r="G174" s="5">
        <v>2087519</v>
      </c>
      <c r="H174" s="14">
        <v>3970082</v>
      </c>
      <c r="I174" s="12">
        <f>D174*(1+0.01*growthrate!E175)^2</f>
        <v>446781</v>
      </c>
      <c r="J174" s="4">
        <f>E174*(1+0.01*growthrate!$E$3)^2</f>
        <v>59190.547149999984</v>
      </c>
      <c r="K174" s="4">
        <f>F174*(1+0.01*growthrate!$E$3)^2</f>
        <v>519475.50287499989</v>
      </c>
      <c r="L174" s="4">
        <f>G174*(1+0.01*growthrate!$E$3)^2</f>
        <v>2150614.2617749996</v>
      </c>
      <c r="M174" s="4">
        <f>H174*(1+0.01*growthrate!$E$3)^2</f>
        <v>4090077.7284499989</v>
      </c>
      <c r="N174" s="12">
        <f>I174*(1+0.01*growthrate!$E$3)^5</f>
        <v>481310.02453946462</v>
      </c>
      <c r="O174" s="4">
        <f>J174*(1+0.01*growthrate!$E$3)^5</f>
        <v>63765.029625858821</v>
      </c>
      <c r="P174" s="4">
        <f>K174*(1+0.01*growthrate!$E$3)^5</f>
        <v>559622.64965702861</v>
      </c>
      <c r="Q174" s="4">
        <f>L174*(1+0.01*growthrate!$E$3)^5</f>
        <v>2316822.3427358093</v>
      </c>
      <c r="R174" s="4">
        <f>M174*(1+0.01*growthrate!$E$3)^5</f>
        <v>4406175.3115029214</v>
      </c>
      <c r="S174" s="12">
        <f>N174*(1+0.01*growthrate!$F$3)^10</f>
        <v>516083.07031373581</v>
      </c>
      <c r="T174" s="4">
        <f>O174*(1+0.01*growthrate!$F$3)^10</f>
        <v>68371.840581228695</v>
      </c>
      <c r="U174" s="4">
        <f>P174*(1+0.01*growthrate!$F$3)^10</f>
        <v>600053.52169519698</v>
      </c>
      <c r="V174" s="4">
        <f>Q174*(1+0.01*growthrate!$F$3)^10</f>
        <v>2484205.0384357218</v>
      </c>
      <c r="W174" s="4">
        <f>R174*(1+0.01*growthrate!$F$3)^10</f>
        <v>4724506.7984545128</v>
      </c>
    </row>
    <row r="175" spans="1:23" x14ac:dyDescent="0.2">
      <c r="A175" s="2" t="s">
        <v>357</v>
      </c>
      <c r="B175" s="8" t="s">
        <v>358</v>
      </c>
      <c r="C175" s="4" t="s">
        <v>779</v>
      </c>
      <c r="D175" s="5">
        <v>239864</v>
      </c>
      <c r="E175" s="5">
        <v>119576</v>
      </c>
      <c r="F175" s="5">
        <v>359440</v>
      </c>
      <c r="G175" s="5">
        <v>249747</v>
      </c>
      <c r="H175" s="14">
        <v>1058919</v>
      </c>
      <c r="I175" s="12">
        <f>D175*(1+0.01*growthrate!E176)^2</f>
        <v>239864</v>
      </c>
      <c r="J175" s="4">
        <f>E175*(1+0.01*growthrate!$E$3)^2</f>
        <v>123190.18459999996</v>
      </c>
      <c r="K175" s="4">
        <f>F175*(1+0.01*growthrate!$E$3)^2</f>
        <v>370304.07399999991</v>
      </c>
      <c r="L175" s="4">
        <f>G175*(1+0.01*growthrate!$E$3)^2</f>
        <v>257295.60307499993</v>
      </c>
      <c r="M175" s="4">
        <f>H175*(1+0.01*growthrate!$E$3)^2</f>
        <v>1090924.8267749997</v>
      </c>
      <c r="N175" s="12">
        <f>I175*(1+0.01*growthrate!$E$3)^5</f>
        <v>258401.65030772155</v>
      </c>
      <c r="O175" s="4">
        <f>J175*(1+0.01*growthrate!$E$3)^5</f>
        <v>132710.81530514316</v>
      </c>
      <c r="P175" s="4">
        <f>K175*(1+0.01*growthrate!$E$3)^5</f>
        <v>398922.65549341554</v>
      </c>
      <c r="Q175" s="4">
        <f>L175*(1+0.01*growthrate!$E$3)^5</f>
        <v>277180.43746248068</v>
      </c>
      <c r="R175" s="4">
        <f>M175*(1+0.01*growthrate!$E$3)^5</f>
        <v>1175235.8653250393</v>
      </c>
      <c r="S175" s="12">
        <f>N175*(1+0.01*growthrate!$F$3)^10</f>
        <v>277070.30866964784</v>
      </c>
      <c r="T175" s="4">
        <f>O175*(1+0.01*growthrate!$F$3)^10</f>
        <v>142298.72958089956</v>
      </c>
      <c r="U175" s="4">
        <f>P175*(1+0.01*growthrate!$F$3)^10</f>
        <v>427743.48833008745</v>
      </c>
      <c r="V175" s="4">
        <f>Q175*(1+0.01*growthrate!$F$3)^10</f>
        <v>297205.80063424871</v>
      </c>
      <c r="W175" s="4">
        <f>R175*(1+0.01*growthrate!$F$3)^10</f>
        <v>1260142.7412614285</v>
      </c>
    </row>
    <row r="176" spans="1:23" x14ac:dyDescent="0.2">
      <c r="A176" s="2" t="s">
        <v>359</v>
      </c>
      <c r="B176" s="8" t="s">
        <v>360</v>
      </c>
      <c r="C176" s="4" t="s">
        <v>779</v>
      </c>
      <c r="D176" s="5">
        <v>187462</v>
      </c>
      <c r="E176" s="5">
        <v>13950</v>
      </c>
      <c r="F176" s="5">
        <v>201412</v>
      </c>
      <c r="G176" s="5">
        <v>542809</v>
      </c>
      <c r="H176" s="14">
        <v>1616901</v>
      </c>
      <c r="I176" s="12">
        <f>D176*(1+0.01*growthrate!E177)^2</f>
        <v>187462</v>
      </c>
      <c r="J176" s="4">
        <f>E176*(1+0.01*growthrate!$E$3)^2</f>
        <v>14371.638749999996</v>
      </c>
      <c r="K176" s="4">
        <f>F176*(1+0.01*growthrate!$E$3)^2</f>
        <v>207499.67769999994</v>
      </c>
      <c r="L176" s="4">
        <f>G176*(1+0.01*growthrate!$E$3)^2</f>
        <v>559215.40202499984</v>
      </c>
      <c r="M176" s="4">
        <f>H176*(1+0.01*growthrate!$E$3)^2</f>
        <v>1665771.8327249996</v>
      </c>
      <c r="N176" s="12">
        <f>I176*(1+0.01*growthrate!$E$3)^5</f>
        <v>201949.81393617258</v>
      </c>
      <c r="O176" s="4">
        <f>J176*(1+0.01*growthrate!$E$3)^5</f>
        <v>15482.33653497982</v>
      </c>
      <c r="P176" s="4">
        <f>K176*(1+0.01*growthrate!$E$3)^5</f>
        <v>223536.08359737316</v>
      </c>
      <c r="Q176" s="4">
        <f>L176*(1+0.01*growthrate!$E$3)^5</f>
        <v>602433.80732730182</v>
      </c>
      <c r="R176" s="4">
        <f>M176*(1+0.01*growthrate!$E$3)^5</f>
        <v>1794509.3495157997</v>
      </c>
      <c r="S176" s="12">
        <f>N176*(1+0.01*growthrate!$F$3)^10</f>
        <v>216540.01519123139</v>
      </c>
      <c r="T176" s="4">
        <f>O176*(1+0.01*growthrate!$F$3)^10</f>
        <v>16600.883769766078</v>
      </c>
      <c r="U176" s="4">
        <f>P176*(1+0.01*growthrate!$F$3)^10</f>
        <v>239685.82092015236</v>
      </c>
      <c r="V176" s="4">
        <f>Q176*(1+0.01*growthrate!$F$3)^10</f>
        <v>645957.64288049855</v>
      </c>
      <c r="W176" s="4">
        <f>R176*(1+0.01*growthrate!$F$3)^10</f>
        <v>1924156.6715568847</v>
      </c>
    </row>
    <row r="177" spans="1:23" x14ac:dyDescent="0.2">
      <c r="A177" s="2" t="s">
        <v>361</v>
      </c>
      <c r="B177" s="8" t="s">
        <v>362</v>
      </c>
      <c r="C177" s="4" t="s">
        <v>779</v>
      </c>
      <c r="D177" s="5">
        <v>857713</v>
      </c>
      <c r="E177" s="5">
        <v>7689</v>
      </c>
      <c r="F177" s="5">
        <v>865402</v>
      </c>
      <c r="G177" s="5">
        <v>330211</v>
      </c>
      <c r="H177" s="14">
        <v>1139084</v>
      </c>
      <c r="I177" s="12">
        <f>D177*(1+0.01*growthrate!E178)^2</f>
        <v>857713</v>
      </c>
      <c r="J177" s="4">
        <f>E177*(1+0.01*growthrate!$E$3)^2</f>
        <v>7921.4000249999981</v>
      </c>
      <c r="K177" s="4">
        <f>F177*(1+0.01*growthrate!$E$3)^2</f>
        <v>891558.77544999972</v>
      </c>
      <c r="L177" s="4">
        <f>G177*(1+0.01*growthrate!$E$3)^2</f>
        <v>340191.62747499993</v>
      </c>
      <c r="M177" s="4">
        <f>H177*(1+0.01*growthrate!$E$3)^2</f>
        <v>1173512.8138999997</v>
      </c>
      <c r="N177" s="12">
        <f>I177*(1+0.01*growthrate!$E$3)^5</f>
        <v>924000.49482367828</v>
      </c>
      <c r="O177" s="4">
        <f>J177*(1+0.01*growthrate!$E$3)^5</f>
        <v>8533.5975353017802</v>
      </c>
      <c r="P177" s="4">
        <f>K177*(1+0.01*growthrate!$E$3)^5</f>
        <v>960462.00731502543</v>
      </c>
      <c r="Q177" s="4">
        <f>L177*(1+0.01*growthrate!$E$3)^5</f>
        <v>366482.99853420944</v>
      </c>
      <c r="R177" s="4">
        <f>M177*(1+0.01*growthrate!$E$3)^5</f>
        <v>1264206.5827678102</v>
      </c>
      <c r="S177" s="12">
        <f>N177*(1+0.01*growthrate!$F$3)^10</f>
        <v>990756.45223947591</v>
      </c>
      <c r="T177" s="4">
        <f>O177*(1+0.01*growthrate!$F$3)^10</f>
        <v>9150.121527292571</v>
      </c>
      <c r="U177" s="4">
        <f>P177*(1+0.01*growthrate!$F$3)^10</f>
        <v>1029852.1875357063</v>
      </c>
      <c r="V177" s="4">
        <f>Q177*(1+0.01*growthrate!$F$3)^10</f>
        <v>392960.17422926362</v>
      </c>
      <c r="W177" s="4">
        <f>R177*(1+0.01*growthrate!$F$3)^10</f>
        <v>1355541.2966308403</v>
      </c>
    </row>
    <row r="178" spans="1:23" x14ac:dyDescent="0.2">
      <c r="A178" s="2" t="s">
        <v>363</v>
      </c>
      <c r="B178" s="8" t="s">
        <v>364</v>
      </c>
      <c r="C178" s="4" t="s">
        <v>779</v>
      </c>
      <c r="D178" s="5">
        <v>15054</v>
      </c>
      <c r="E178" s="5">
        <v>0</v>
      </c>
      <c r="F178" s="5">
        <v>15054</v>
      </c>
      <c r="G178" s="5">
        <v>219441</v>
      </c>
      <c r="H178" s="14">
        <v>1648599</v>
      </c>
      <c r="I178" s="12">
        <f>D178*(1+0.01*growthrate!E179)^2</f>
        <v>15054</v>
      </c>
      <c r="J178" s="4">
        <f>E178*(1+0.01*growthrate!$E$3)^2</f>
        <v>0</v>
      </c>
      <c r="K178" s="4">
        <f>F178*(1+0.01*growthrate!$E$3)^2</f>
        <v>15509.007149999996</v>
      </c>
      <c r="L178" s="4">
        <f>G178*(1+0.01*growthrate!$E$3)^2</f>
        <v>226073.60422499993</v>
      </c>
      <c r="M178" s="4">
        <f>H178*(1+0.01*growthrate!$E$3)^2</f>
        <v>1698427.9047749995</v>
      </c>
      <c r="N178" s="12">
        <f>I178*(1+0.01*growthrate!$E$3)^5</f>
        <v>16217.433394475371</v>
      </c>
      <c r="O178" s="4">
        <f>J178*(1+0.01*growthrate!$E$3)^5</f>
        <v>0</v>
      </c>
      <c r="P178" s="4">
        <f>K178*(1+0.01*growthrate!$E$3)^5</f>
        <v>16707.605318823385</v>
      </c>
      <c r="Q178" s="4">
        <f>L178*(1+0.01*growthrate!$E$3)^5</f>
        <v>243545.47753207933</v>
      </c>
      <c r="R178" s="4">
        <f>M178*(1+0.01*growthrate!$E$3)^5</f>
        <v>1829689.2135649603</v>
      </c>
      <c r="S178" s="12">
        <f>N178*(1+0.01*growthrate!$F$3)^10</f>
        <v>17389.088928363068</v>
      </c>
      <c r="T178" s="4">
        <f>O178*(1+0.01*growthrate!$F$3)^10</f>
        <v>0</v>
      </c>
      <c r="U178" s="4">
        <f>P178*(1+0.01*growthrate!$F$3)^10</f>
        <v>17914.674141222837</v>
      </c>
      <c r="V178" s="4">
        <f>Q178*(1+0.01*growthrate!$F$3)^10</f>
        <v>261140.82690474825</v>
      </c>
      <c r="W178" s="4">
        <f>R178*(1+0.01*growthrate!$F$3)^10</f>
        <v>1961878.1635808307</v>
      </c>
    </row>
    <row r="179" spans="1:23" x14ac:dyDescent="0.2">
      <c r="A179" s="2" t="s">
        <v>365</v>
      </c>
      <c r="B179" s="8" t="s">
        <v>366</v>
      </c>
      <c r="C179" s="4" t="s">
        <v>779</v>
      </c>
      <c r="D179" s="5">
        <v>809778</v>
      </c>
      <c r="E179" s="5">
        <v>0</v>
      </c>
      <c r="F179" s="5">
        <v>809778</v>
      </c>
      <c r="G179" s="5">
        <v>625716</v>
      </c>
      <c r="H179" s="14">
        <v>6035675</v>
      </c>
      <c r="I179" s="12">
        <f>D179*(1+0.01*growthrate!E180)^2</f>
        <v>809778</v>
      </c>
      <c r="J179" s="4">
        <f>E179*(1+0.01*growthrate!$E$3)^2</f>
        <v>0</v>
      </c>
      <c r="K179" s="4">
        <f>F179*(1+0.01*growthrate!$E$3)^2</f>
        <v>834253.54004999972</v>
      </c>
      <c r="L179" s="4">
        <f>G179*(1+0.01*growthrate!$E$3)^2</f>
        <v>644628.26609999978</v>
      </c>
      <c r="M179" s="4">
        <f>H179*(1+0.01*growthrate!$E$3)^2</f>
        <v>6218103.2768749986</v>
      </c>
      <c r="N179" s="12">
        <f>I179*(1+0.01*growthrate!$E$3)^5</f>
        <v>872360.88609748089</v>
      </c>
      <c r="O179" s="4">
        <f>J179*(1+0.01*growthrate!$E$3)^5</f>
        <v>0</v>
      </c>
      <c r="P179" s="4">
        <f>K179*(1+0.01*growthrate!$E$3)^5</f>
        <v>898727.99387977691</v>
      </c>
      <c r="Q179" s="4">
        <f>L179*(1+0.01*growthrate!$E$3)^5</f>
        <v>694447.71952124964</v>
      </c>
      <c r="R179" s="4">
        <f>M179*(1+0.01*growthrate!$E$3)^5</f>
        <v>6698663.1946784463</v>
      </c>
      <c r="S179" s="12">
        <f>N179*(1+0.01*growthrate!$F$3)^10</f>
        <v>935386.05382170773</v>
      </c>
      <c r="T179" s="4">
        <f>O179*(1+0.01*growthrate!$F$3)^10</f>
        <v>0</v>
      </c>
      <c r="U179" s="4">
        <f>P179*(1+0.01*growthrate!$F$3)^10</f>
        <v>963658.09729846846</v>
      </c>
      <c r="V179" s="4">
        <f>Q179*(1+0.01*growthrate!$F$3)^10</f>
        <v>744619.25368336565</v>
      </c>
      <c r="W179" s="4">
        <f>R179*(1+0.01*growthrate!$F$3)^10</f>
        <v>7182619.2936976971</v>
      </c>
    </row>
    <row r="180" spans="1:23" x14ac:dyDescent="0.2">
      <c r="A180" s="2" t="s">
        <v>367</v>
      </c>
      <c r="B180" s="8" t="s">
        <v>368</v>
      </c>
      <c r="C180" s="4" t="s">
        <v>779</v>
      </c>
      <c r="D180" s="5">
        <v>16604</v>
      </c>
      <c r="E180" s="5">
        <v>0</v>
      </c>
      <c r="F180" s="5">
        <v>16604</v>
      </c>
      <c r="G180" s="5">
        <v>430189</v>
      </c>
      <c r="H180" s="14">
        <v>6342451</v>
      </c>
      <c r="I180" s="12">
        <f>D180*(1+0.01*growthrate!E181)^2</f>
        <v>16604</v>
      </c>
      <c r="J180" s="4">
        <f>E180*(1+0.01*growthrate!$E$3)^2</f>
        <v>0</v>
      </c>
      <c r="K180" s="4">
        <f>F180*(1+0.01*growthrate!$E$3)^2</f>
        <v>17105.855899999995</v>
      </c>
      <c r="L180" s="4">
        <f>G180*(1+0.01*growthrate!$E$3)^2</f>
        <v>443191.46252499986</v>
      </c>
      <c r="M180" s="4">
        <f>H180*(1+0.01*growthrate!$E$3)^2</f>
        <v>6534151.581474998</v>
      </c>
      <c r="N180" s="12">
        <f>I180*(1+0.01*growthrate!$E$3)^5</f>
        <v>17887.223600496152</v>
      </c>
      <c r="O180" s="4">
        <f>J180*(1+0.01*growthrate!$E$3)^5</f>
        <v>0</v>
      </c>
      <c r="P180" s="4">
        <f>K180*(1+0.01*growthrate!$E$3)^5</f>
        <v>18427.86493382114</v>
      </c>
      <c r="Q180" s="4">
        <f>L180*(1+0.01*growthrate!$E$3)^5</f>
        <v>477443.07323630346</v>
      </c>
      <c r="R180" s="4">
        <f>M180*(1+0.01*growthrate!$E$3)^5</f>
        <v>7039136.9776788019</v>
      </c>
      <c r="S180" s="12">
        <f>N180*(1+0.01*growthrate!$F$3)^10</f>
        <v>19179.515913812964</v>
      </c>
      <c r="T180" s="4">
        <f>O180*(1+0.01*growthrate!$F$3)^10</f>
        <v>0</v>
      </c>
      <c r="U180" s="4">
        <f>P180*(1+0.01*growthrate!$F$3)^10</f>
        <v>19759.216782307954</v>
      </c>
      <c r="V180" s="4">
        <f>Q180*(1+0.01*growthrate!$F$3)^10</f>
        <v>511936.74466178491</v>
      </c>
      <c r="W180" s="4">
        <f>R180*(1+0.01*growthrate!$F$3)^10</f>
        <v>7547691.173221264</v>
      </c>
    </row>
    <row r="181" spans="1:23" x14ac:dyDescent="0.2">
      <c r="A181" s="2" t="s">
        <v>369</v>
      </c>
      <c r="B181" s="8" t="s">
        <v>370</v>
      </c>
      <c r="C181" s="4" t="s">
        <v>779</v>
      </c>
      <c r="D181" s="5">
        <v>504058</v>
      </c>
      <c r="E181" s="5">
        <v>701675</v>
      </c>
      <c r="F181" s="5">
        <v>1205733</v>
      </c>
      <c r="G181" s="5">
        <v>153560</v>
      </c>
      <c r="H181" s="14">
        <v>681922</v>
      </c>
      <c r="I181" s="12">
        <f>D181*(1+0.01*growthrate!E182)^2</f>
        <v>504058</v>
      </c>
      <c r="J181" s="4">
        <f>E181*(1+0.01*growthrate!$E$3)^2</f>
        <v>722883.12687499984</v>
      </c>
      <c r="K181" s="4">
        <f>F181*(1+0.01*growthrate!$E$3)^2</f>
        <v>1242176.2799249997</v>
      </c>
      <c r="L181" s="4">
        <f>G181*(1+0.01*growthrate!$E$3)^2</f>
        <v>158201.35099999997</v>
      </c>
      <c r="M181" s="4">
        <f>H181*(1+0.01*growthrate!$E$3)^2</f>
        <v>702533.09244999976</v>
      </c>
      <c r="N181" s="12">
        <f>I181*(1+0.01*growthrate!$E$3)^5</f>
        <v>543013.62042994995</v>
      </c>
      <c r="O181" s="4">
        <f>J181*(1+0.01*growthrate!$E$3)^5</f>
        <v>778750.429260356</v>
      </c>
      <c r="P181" s="4">
        <f>K181*(1+0.01*growthrate!$E$3)^5</f>
        <v>1338176.6363678009</v>
      </c>
      <c r="Q181" s="4">
        <f>L181*(1+0.01*growthrate!$E$3)^5</f>
        <v>170427.78482519722</v>
      </c>
      <c r="R181" s="4">
        <f>M181*(1+0.01*growthrate!$E$3)^5</f>
        <v>756827.66269580706</v>
      </c>
      <c r="S181" s="12">
        <f>N181*(1+0.01*growthrate!$F$3)^10</f>
        <v>582244.54543993832</v>
      </c>
      <c r="T181" s="4">
        <f>O181*(1+0.01*growthrate!$F$3)^10</f>
        <v>835012.55334413005</v>
      </c>
      <c r="U181" s="4">
        <f>P181*(1+0.01*growthrate!$F$3)^10</f>
        <v>1434855.4401699901</v>
      </c>
      <c r="V181" s="4">
        <f>Q181*(1+0.01*growthrate!$F$3)^10</f>
        <v>182740.62449356838</v>
      </c>
      <c r="W181" s="4">
        <f>R181*(1+0.01*growthrate!$F$3)^10</f>
        <v>811505.93993164331</v>
      </c>
    </row>
    <row r="182" spans="1:23" x14ac:dyDescent="0.2">
      <c r="A182" s="2" t="s">
        <v>371</v>
      </c>
      <c r="B182" s="8" t="s">
        <v>372</v>
      </c>
      <c r="C182" s="4" t="s">
        <v>779</v>
      </c>
      <c r="D182" s="5">
        <v>828094</v>
      </c>
      <c r="E182" s="5">
        <v>38075</v>
      </c>
      <c r="F182" s="5">
        <v>866169</v>
      </c>
      <c r="G182" s="5">
        <v>219968</v>
      </c>
      <c r="H182" s="14">
        <v>1379185</v>
      </c>
      <c r="I182" s="12">
        <f>D182*(1+0.01*growthrate!E183)^2</f>
        <v>828094</v>
      </c>
      <c r="J182" s="4">
        <f>E182*(1+0.01*growthrate!$E$3)^2</f>
        <v>39225.81687499999</v>
      </c>
      <c r="K182" s="4">
        <f>F182*(1+0.01*growthrate!$E$3)^2</f>
        <v>892348.95802499971</v>
      </c>
      <c r="L182" s="4">
        <f>G182*(1+0.01*growthrate!$E$3)^2</f>
        <v>226616.53279999993</v>
      </c>
      <c r="M182" s="4">
        <f>H182*(1+0.01*growthrate!$E$3)^2</f>
        <v>1420870.8666249996</v>
      </c>
      <c r="N182" s="12">
        <f>I182*(1+0.01*growthrate!$E$3)^5</f>
        <v>892092.41991262708</v>
      </c>
      <c r="O182" s="4">
        <f>J182*(1+0.01*growthrate!$E$3)^5</f>
        <v>42257.345058735242</v>
      </c>
      <c r="P182" s="4">
        <f>K182*(1+0.01*growthrate!$E$3)^5</f>
        <v>961313.25836322119</v>
      </c>
      <c r="Q182" s="4">
        <f>L182*(1+0.01*growthrate!$E$3)^5</f>
        <v>244130.36580117856</v>
      </c>
      <c r="R182" s="4">
        <f>M182*(1+0.01*growthrate!$E$3)^5</f>
        <v>1530681.4562004402</v>
      </c>
      <c r="S182" s="12">
        <f>N182*(1+0.01*growthrate!$F$3)^10</f>
        <v>956543.12521880469</v>
      </c>
      <c r="T182" s="4">
        <f>O182*(1+0.01*growthrate!$F$3)^10</f>
        <v>45310.297457623186</v>
      </c>
      <c r="U182" s="4">
        <f>P182*(1+0.01*growthrate!$F$3)^10</f>
        <v>1030764.9386361659</v>
      </c>
      <c r="V182" s="4">
        <f>Q182*(1+0.01*growthrate!$F$3)^10</f>
        <v>261767.97140271717</v>
      </c>
      <c r="W182" s="4">
        <f>R182*(1+0.01*growthrate!$F$3)^10</f>
        <v>1641268.0918999875</v>
      </c>
    </row>
    <row r="183" spans="1:23" x14ac:dyDescent="0.2">
      <c r="A183" s="2" t="s">
        <v>373</v>
      </c>
      <c r="B183" s="8" t="s">
        <v>374</v>
      </c>
      <c r="C183" s="4" t="s">
        <v>779</v>
      </c>
      <c r="D183" s="5">
        <v>956366</v>
      </c>
      <c r="E183" s="5">
        <v>112514</v>
      </c>
      <c r="F183" s="5">
        <v>1068880</v>
      </c>
      <c r="G183" s="5">
        <v>1553721</v>
      </c>
      <c r="H183" s="14">
        <v>1978923</v>
      </c>
      <c r="I183" s="12">
        <f>D183*(1+0.01*growthrate!E184)^2</f>
        <v>956366</v>
      </c>
      <c r="J183" s="4">
        <f>E183*(1+0.01*growthrate!$E$3)^2</f>
        <v>115914.73564999997</v>
      </c>
      <c r="K183" s="4">
        <f>F183*(1+0.01*growthrate!$E$3)^2</f>
        <v>1101186.8979999998</v>
      </c>
      <c r="L183" s="4">
        <f>G183*(1+0.01*growthrate!$E$3)^2</f>
        <v>1600682.2172249996</v>
      </c>
      <c r="M183" s="4">
        <f>H183*(1+0.01*growthrate!$E$3)^2</f>
        <v>2038735.9476749995</v>
      </c>
      <c r="N183" s="12">
        <f>I183*(1+0.01*growthrate!$E$3)^5</f>
        <v>1030277.7936588835</v>
      </c>
      <c r="O183" s="4">
        <f>J183*(1+0.01*growthrate!$E$3)^5</f>
        <v>124873.09053023079</v>
      </c>
      <c r="P183" s="4">
        <f>K183*(1+0.01*growthrate!$E$3)^5</f>
        <v>1186291.0305024539</v>
      </c>
      <c r="Q183" s="4">
        <f>L183*(1+0.01*growthrate!$E$3)^5</f>
        <v>1724389.3479186653</v>
      </c>
      <c r="R183" s="4">
        <f>M183*(1+0.01*growthrate!$E$3)^5</f>
        <v>2196297.6245743278</v>
      </c>
      <c r="S183" s="12">
        <f>N183*(1+0.01*growthrate!$F$3)^10</f>
        <v>1104711.9318495332</v>
      </c>
      <c r="T183" s="4">
        <f>O183*(1+0.01*growthrate!$F$3)^10</f>
        <v>133894.75530261366</v>
      </c>
      <c r="U183" s="4">
        <f>P183*(1+0.01*growthrate!$F$3)^10</f>
        <v>1271996.6052922988</v>
      </c>
      <c r="V183" s="4">
        <f>Q183*(1+0.01*growthrate!$F$3)^10</f>
        <v>1848970.7334512344</v>
      </c>
      <c r="W183" s="4">
        <f>R183*(1+0.01*growthrate!$F$3)^10</f>
        <v>2354972.810918767</v>
      </c>
    </row>
    <row r="184" spans="1:23" x14ac:dyDescent="0.2">
      <c r="A184" s="2" t="s">
        <v>375</v>
      </c>
      <c r="B184" s="8" t="s">
        <v>376</v>
      </c>
      <c r="C184" s="4" t="s">
        <v>779</v>
      </c>
      <c r="D184" s="5">
        <v>1791339</v>
      </c>
      <c r="E184" s="5">
        <v>18080</v>
      </c>
      <c r="F184" s="5">
        <v>1809419</v>
      </c>
      <c r="G184" s="5">
        <v>844399</v>
      </c>
      <c r="H184" s="14">
        <v>3744100</v>
      </c>
      <c r="I184" s="12">
        <f>D184*(1+0.01*growthrate!E185)^2</f>
        <v>1791339</v>
      </c>
      <c r="J184" s="4">
        <f>E184*(1+0.01*growthrate!$E$3)^2</f>
        <v>18626.467999999993</v>
      </c>
      <c r="K184" s="4">
        <f>F184*(1+0.01*growthrate!$E$3)^2</f>
        <v>1864108.6892749995</v>
      </c>
      <c r="L184" s="4">
        <f>G184*(1+0.01*growthrate!$E$3)^2</f>
        <v>869920.95977499976</v>
      </c>
      <c r="M184" s="4">
        <f>H184*(1+0.01*growthrate!$E$3)^2</f>
        <v>3857265.4224999989</v>
      </c>
      <c r="N184" s="12">
        <f>I184*(1+0.01*growthrate!$E$3)^5</f>
        <v>1929780.8502342312</v>
      </c>
      <c r="O184" s="4">
        <f>J184*(1+0.01*growthrate!$E$3)^5</f>
        <v>20065.996025264165</v>
      </c>
      <c r="P184" s="4">
        <f>K184*(1+0.01*growthrate!$E$3)^5</f>
        <v>2008174.4724578245</v>
      </c>
      <c r="Q184" s="4">
        <f>L184*(1+0.01*growthrate!$E$3)^5</f>
        <v>937151.93460934947</v>
      </c>
      <c r="R184" s="4">
        <f>M184*(1+0.01*growthrate!$E$3)^5</f>
        <v>4155370.3383955513</v>
      </c>
      <c r="S184" s="12">
        <f>N184*(1+0.01*growthrate!$F$3)^10</f>
        <v>2069201.087541183</v>
      </c>
      <c r="T184" s="4">
        <f>O184*(1+0.01*growthrate!$F$3)^10</f>
        <v>21515.697387625136</v>
      </c>
      <c r="U184" s="4">
        <f>P184*(1+0.01*growthrate!$F$3)^10</f>
        <v>2153258.3877997398</v>
      </c>
      <c r="V184" s="4">
        <f>Q184*(1+0.01*growthrate!$F$3)^10</f>
        <v>1004858.0397352478</v>
      </c>
      <c r="W184" s="4">
        <f>R184*(1+0.01*growthrate!$F$3)^10</f>
        <v>4455582.0016043847</v>
      </c>
    </row>
    <row r="185" spans="1:23" x14ac:dyDescent="0.2">
      <c r="A185" s="2" t="s">
        <v>377</v>
      </c>
      <c r="B185" s="8" t="s">
        <v>378</v>
      </c>
      <c r="C185" s="4" t="s">
        <v>779</v>
      </c>
      <c r="D185" s="5">
        <v>325994</v>
      </c>
      <c r="E185" s="5">
        <v>-578</v>
      </c>
      <c r="F185" s="5">
        <v>325416</v>
      </c>
      <c r="G185" s="5">
        <v>301249</v>
      </c>
      <c r="H185" s="14">
        <v>1027217</v>
      </c>
      <c r="I185" s="12">
        <f>D185*(1+0.01*growthrate!E186)^2</f>
        <v>325994</v>
      </c>
      <c r="J185" s="4">
        <f>E185*(1+0.01*growthrate!$E$3)^2</f>
        <v>-595.47004999999979</v>
      </c>
      <c r="K185" s="4">
        <f>F185*(1+0.01*growthrate!$E$3)^2</f>
        <v>335251.69859999989</v>
      </c>
      <c r="L185" s="4">
        <f>G185*(1+0.01*growthrate!$E$3)^2</f>
        <v>310354.25102499989</v>
      </c>
      <c r="M185" s="4">
        <f>H185*(1+0.01*growthrate!$E$3)^2</f>
        <v>1058264.6338249997</v>
      </c>
      <c r="N185" s="12">
        <f>I185*(1+0.01*growthrate!$E$3)^5</f>
        <v>351188.12156228273</v>
      </c>
      <c r="O185" s="4">
        <f>J185*(1+0.01*growthrate!$E$3)^5</f>
        <v>-641.49035965722828</v>
      </c>
      <c r="P185" s="4">
        <f>K185*(1+0.01*growthrate!$E$3)^5</f>
        <v>361161.29217684537</v>
      </c>
      <c r="Q185" s="4">
        <f>L185*(1+0.01*growthrate!$E$3)^5</f>
        <v>334339.67016674805</v>
      </c>
      <c r="R185" s="4">
        <f>M185*(1+0.01*growthrate!$E$3)^5</f>
        <v>1140051.5618962268</v>
      </c>
      <c r="S185" s="12">
        <f>N185*(1+0.01*growthrate!$F$3)^10</f>
        <v>376560.29335145408</v>
      </c>
      <c r="T185" s="4">
        <f>O185*(1+0.01*growthrate!$F$3)^10</f>
        <v>-687.83590099819298</v>
      </c>
      <c r="U185" s="4">
        <f>P185*(1+0.01*growthrate!$F$3)^10</f>
        <v>387253.99231700343</v>
      </c>
      <c r="V185" s="4">
        <f>Q185*(1+0.01*growthrate!$F$3)^10</f>
        <v>358494.59747371048</v>
      </c>
      <c r="W185" s="4">
        <f>R185*(1+0.01*growthrate!$F$3)^10</f>
        <v>1222416.4891274408</v>
      </c>
    </row>
    <row r="186" spans="1:23" x14ac:dyDescent="0.2">
      <c r="A186" s="2" t="s">
        <v>379</v>
      </c>
      <c r="B186" s="8" t="s">
        <v>380</v>
      </c>
      <c r="C186" s="4" t="s">
        <v>779</v>
      </c>
      <c r="D186" s="5">
        <v>2015773</v>
      </c>
      <c r="E186" s="5">
        <v>909701</v>
      </c>
      <c r="F186" s="5">
        <v>2925474</v>
      </c>
      <c r="G186" s="5">
        <v>635824</v>
      </c>
      <c r="H186" s="14">
        <v>4511080</v>
      </c>
      <c r="I186" s="12">
        <f>D186*(1+0.01*growthrate!E187)^2</f>
        <v>2015773</v>
      </c>
      <c r="J186" s="4">
        <f>E186*(1+0.01*growthrate!$E$3)^2</f>
        <v>937196.71272499976</v>
      </c>
      <c r="K186" s="4">
        <f>F186*(1+0.01*growthrate!$E$3)^2</f>
        <v>3013896.4516499992</v>
      </c>
      <c r="L186" s="4">
        <f>G186*(1+0.01*growthrate!$E$3)^2</f>
        <v>655041.78039999981</v>
      </c>
      <c r="M186" s="4">
        <f>H186*(1+0.01*growthrate!$E$3)^2</f>
        <v>4647427.3929999983</v>
      </c>
      <c r="N186" s="12">
        <f>I186*(1+0.01*growthrate!$E$3)^5</f>
        <v>2171560.0083620166</v>
      </c>
      <c r="O186" s="4">
        <f>J186*(1+0.01*growthrate!$E$3)^5</f>
        <v>1009627.0271116615</v>
      </c>
      <c r="P186" s="4">
        <f>K186*(1+0.01*growthrate!$E$3)^5</f>
        <v>3246822.4367264197</v>
      </c>
      <c r="Q186" s="4">
        <f>L186*(1+0.01*growthrate!$E$3)^5</f>
        <v>705666.03190086083</v>
      </c>
      <c r="R186" s="4">
        <f>M186*(1+0.01*growthrate!$E$3)^5</f>
        <v>5006599.1896929573</v>
      </c>
      <c r="S186" s="12">
        <f>N186*(1+0.01*growthrate!$F$3)^10</f>
        <v>2328447.9843492229</v>
      </c>
      <c r="T186" s="4">
        <f>O186*(1+0.01*growthrate!$F$3)^10</f>
        <v>1082569.2162179193</v>
      </c>
      <c r="U186" s="4">
        <f>P186*(1+0.01*growthrate!$F$3)^10</f>
        <v>3481394.5408940967</v>
      </c>
      <c r="V186" s="4">
        <f>Q186*(1+0.01*growthrate!$F$3)^10</f>
        <v>756648.0517582614</v>
      </c>
      <c r="W186" s="4">
        <f>R186*(1+0.01*growthrate!$F$3)^10</f>
        <v>5368309.3015137166</v>
      </c>
    </row>
    <row r="187" spans="1:23" x14ac:dyDescent="0.2">
      <c r="A187" s="2" t="s">
        <v>381</v>
      </c>
      <c r="B187" s="8" t="s">
        <v>382</v>
      </c>
      <c r="C187" s="4" t="s">
        <v>779</v>
      </c>
      <c r="D187" s="5">
        <v>9621663</v>
      </c>
      <c r="E187" s="5">
        <v>13625</v>
      </c>
      <c r="F187" s="5">
        <v>9635288</v>
      </c>
      <c r="G187" s="5">
        <v>4470166</v>
      </c>
      <c r="H187" s="14">
        <v>4505678</v>
      </c>
      <c r="I187" s="12">
        <f>D187*(1+0.01*growthrate!E188)^2</f>
        <v>9621663</v>
      </c>
      <c r="J187" s="4">
        <f>E187*(1+0.01*growthrate!$E$3)^2</f>
        <v>14036.815624999996</v>
      </c>
      <c r="K187" s="4">
        <f>F187*(1+0.01*growthrate!$E$3)^2</f>
        <v>9926514.5797999967</v>
      </c>
      <c r="L187" s="4">
        <f>G187*(1+0.01*growthrate!$E$3)^2</f>
        <v>4605276.7673499985</v>
      </c>
      <c r="M187" s="4">
        <f>H187*(1+0.01*growthrate!$E$3)^2</f>
        <v>4641862.1175499987</v>
      </c>
      <c r="N187" s="12">
        <f>I187*(1+0.01*growthrate!$E$3)^5</f>
        <v>10365263.64066614</v>
      </c>
      <c r="O187" s="4">
        <f>J187*(1+0.01*growthrate!$E$3)^5</f>
        <v>15121.636938286741</v>
      </c>
      <c r="P187" s="4">
        <f>K187*(1+0.01*growthrate!$E$3)^5</f>
        <v>10693675.371143557</v>
      </c>
      <c r="Q187" s="4">
        <f>L187*(1+0.01*growthrate!$E$3)^5</f>
        <v>4961190.9949264945</v>
      </c>
      <c r="R187" s="4">
        <f>M187*(1+0.01*growthrate!$E$3)^5</f>
        <v>5000603.807473463</v>
      </c>
      <c r="S187" s="12">
        <f>N187*(1+0.01*growthrate!$F$3)^10</f>
        <v>11114119.406519234</v>
      </c>
      <c r="T187" s="4">
        <f>O187*(1+0.01*growthrate!$F$3)^10</f>
        <v>16214.124828893393</v>
      </c>
      <c r="U187" s="4">
        <f>P187*(1+0.01*growthrate!$F$3)^10</f>
        <v>11466257.790410168</v>
      </c>
      <c r="V187" s="4">
        <f>Q187*(1+0.01*growthrate!$F$3)^10</f>
        <v>5319620.5159541322</v>
      </c>
      <c r="W187" s="4">
        <f>R187*(1+0.01*growthrate!$F$3)^10</f>
        <v>5361880.7729026591</v>
      </c>
    </row>
    <row r="188" spans="1:23" x14ac:dyDescent="0.2">
      <c r="A188" s="2" t="s">
        <v>383</v>
      </c>
      <c r="B188" s="8" t="s">
        <v>384</v>
      </c>
      <c r="C188" s="4" t="s">
        <v>779</v>
      </c>
      <c r="D188" s="5">
        <v>39218995</v>
      </c>
      <c r="E188" s="5">
        <v>434330</v>
      </c>
      <c r="F188" s="5">
        <v>39653325</v>
      </c>
      <c r="G188" s="5">
        <v>35454848</v>
      </c>
      <c r="H188" s="14">
        <v>41601954</v>
      </c>
      <c r="I188" s="12">
        <f>D188*(1+0.01*growthrate!E189)^2</f>
        <v>39218995</v>
      </c>
      <c r="J188" s="4">
        <f>E188*(1+0.01*growthrate!$E$3)^2</f>
        <v>447457.62424999988</v>
      </c>
      <c r="K188" s="4">
        <f>F188*(1+0.01*growthrate!$E$3)^2</f>
        <v>40851846.748124987</v>
      </c>
      <c r="L188" s="4">
        <f>G188*(1+0.01*growthrate!$E$3)^2</f>
        <v>36526470.780799992</v>
      </c>
      <c r="M188" s="4">
        <f>H188*(1+0.01*growthrate!$E$3)^2</f>
        <v>42859373.059649989</v>
      </c>
      <c r="N188" s="12">
        <f>I188*(1+0.01*growthrate!$E$3)^5</f>
        <v>42249995.961921252</v>
      </c>
      <c r="O188" s="4">
        <f>J188*(1+0.01*growthrate!$E$3)^5</f>
        <v>482038.94102062978</v>
      </c>
      <c r="P188" s="4">
        <f>K188*(1+0.01*growthrate!$E$3)^5</f>
        <v>44009041.030890942</v>
      </c>
      <c r="Q188" s="4">
        <f>L188*(1+0.01*growthrate!$E$3)^5</f>
        <v>39349382.690505825</v>
      </c>
      <c r="R188" s="4">
        <f>M188*(1+0.01*growthrate!$E$3)^5</f>
        <v>46171717.013673827</v>
      </c>
      <c r="S188" s="12">
        <f>N188*(1+0.01*growthrate!$F$3)^10</f>
        <v>45302417.413048118</v>
      </c>
      <c r="T188" s="4">
        <f>O188*(1+0.01*growthrate!$F$3)^10</f>
        <v>516864.64858225815</v>
      </c>
      <c r="U188" s="4">
        <f>P188*(1+0.01*growthrate!$F$3)^10</f>
        <v>47188547.627939746</v>
      </c>
      <c r="V188" s="4">
        <f>Q188*(1+0.01*growthrate!$F$3)^10</f>
        <v>42192244.496252574</v>
      </c>
      <c r="W188" s="4">
        <f>R188*(1+0.01*growthrate!$F$3)^10</f>
        <v>49507469.745459139</v>
      </c>
    </row>
    <row r="189" spans="1:23" x14ac:dyDescent="0.2">
      <c r="A189" s="2" t="s">
        <v>385</v>
      </c>
      <c r="B189" s="8" t="s">
        <v>386</v>
      </c>
      <c r="C189" s="4" t="s">
        <v>779</v>
      </c>
      <c r="D189" s="5">
        <v>3723434</v>
      </c>
      <c r="E189" s="5">
        <v>2851</v>
      </c>
      <c r="F189" s="5">
        <v>3726285</v>
      </c>
      <c r="G189" s="5">
        <v>5872915</v>
      </c>
      <c r="H189" s="14">
        <v>5221221</v>
      </c>
      <c r="I189" s="12">
        <f>D189*(1+0.01*growthrate!E190)^2</f>
        <v>3723434</v>
      </c>
      <c r="J189" s="4">
        <f>E189*(1+0.01*growthrate!$E$3)^2</f>
        <v>2937.1714749999992</v>
      </c>
      <c r="K189" s="4">
        <f>F189*(1+0.01*growthrate!$E$3)^2</f>
        <v>3838911.964124999</v>
      </c>
      <c r="L189" s="4">
        <f>G189*(1+0.01*growthrate!$E$3)^2</f>
        <v>6050423.8558749985</v>
      </c>
      <c r="M189" s="4">
        <f>H189*(1+0.01*growthrate!$E$3)^2</f>
        <v>5379032.4047249984</v>
      </c>
      <c r="N189" s="12">
        <f>I189*(1+0.01*growthrate!$E$3)^5</f>
        <v>4011195.8877192112</v>
      </c>
      <c r="O189" s="4">
        <f>J189*(1+0.01*growthrate!$E$3)^5</f>
        <v>3164.1678466829726</v>
      </c>
      <c r="P189" s="4">
        <f>K189*(1+0.01*growthrate!$E$3)^5</f>
        <v>4135598.4512722064</v>
      </c>
      <c r="Q189" s="4">
        <f>L189*(1+0.01*growthrate!$E$3)^5</f>
        <v>6518024.8366545523</v>
      </c>
      <c r="R189" s="4">
        <f>M189*(1+0.01*growthrate!$E$3)^5</f>
        <v>5794745.5659859404</v>
      </c>
      <c r="S189" s="12">
        <f>N189*(1+0.01*growthrate!$F$3)^10</f>
        <v>4300991.4271881627</v>
      </c>
      <c r="T189" s="4">
        <f>O189*(1+0.01*growthrate!$F$3)^10</f>
        <v>3392.7684320862431</v>
      </c>
      <c r="U189" s="4">
        <f>P189*(1+0.01*growthrate!$F$3)^10</f>
        <v>4434381.6615070105</v>
      </c>
      <c r="V189" s="4">
        <f>Q189*(1+0.01*growthrate!$F$3)^10</f>
        <v>6988930.4161086557</v>
      </c>
      <c r="W189" s="4">
        <f>R189*(1+0.01*growthrate!$F$3)^10</f>
        <v>6213396.6277607037</v>
      </c>
    </row>
    <row r="190" spans="1:23" x14ac:dyDescent="0.2">
      <c r="A190" s="2" t="s">
        <v>387</v>
      </c>
      <c r="B190" s="8" t="s">
        <v>388</v>
      </c>
      <c r="C190" s="4" t="s">
        <v>779</v>
      </c>
      <c r="D190" s="5">
        <v>1015941</v>
      </c>
      <c r="E190" s="5">
        <v>1713</v>
      </c>
      <c r="F190" s="5">
        <v>1017654</v>
      </c>
      <c r="G190" s="5">
        <v>4731970</v>
      </c>
      <c r="H190" s="14">
        <v>7619346</v>
      </c>
      <c r="I190" s="12">
        <f>D190*(1+0.01*growthrate!E191)^2</f>
        <v>1015941</v>
      </c>
      <c r="J190" s="4">
        <f>E190*(1+0.01*growthrate!$E$3)^2</f>
        <v>1764.7754249999996</v>
      </c>
      <c r="K190" s="4">
        <f>F190*(1+0.01*growthrate!$E$3)^2</f>
        <v>1048412.5921499997</v>
      </c>
      <c r="L190" s="4">
        <f>G190*(1+0.01*growthrate!$E$3)^2</f>
        <v>4874993.7932499982</v>
      </c>
      <c r="M190" s="4">
        <f>H190*(1+0.01*growthrate!$E$3)^2</f>
        <v>7849640.7328499975</v>
      </c>
      <c r="N190" s="12">
        <f>I190*(1+0.01*growthrate!$E$3)^5</f>
        <v>1094456.9881902952</v>
      </c>
      <c r="O190" s="4">
        <f>J190*(1+0.01*growthrate!$E$3)^5</f>
        <v>1901.1643358007479</v>
      </c>
      <c r="P190" s="4">
        <f>K190*(1+0.01*growthrate!$E$3)^5</f>
        <v>1129438.1149941471</v>
      </c>
      <c r="Q190" s="4">
        <f>L190*(1+0.01*growthrate!$E$3)^5</f>
        <v>5251752.8325038319</v>
      </c>
      <c r="R190" s="4">
        <f>M190*(1+0.01*growthrate!$E$3)^5</f>
        <v>8456292.3977385201</v>
      </c>
      <c r="S190" s="12">
        <f>N190*(1+0.01*growthrate!$F$3)^10</f>
        <v>1173527.8593709383</v>
      </c>
      <c r="T190" s="4">
        <f>O190*(1+0.01*growthrate!$F$3)^10</f>
        <v>2038.517125276652</v>
      </c>
      <c r="U190" s="4">
        <f>P190*(1+0.01*growthrate!$F$3)^10</f>
        <v>1211036.256045701</v>
      </c>
      <c r="V190" s="4">
        <f>Q190*(1+0.01*growthrate!$F$3)^10</f>
        <v>5631174.4782810025</v>
      </c>
      <c r="W190" s="4">
        <f>R190*(1+0.01*growthrate!$F$3)^10</f>
        <v>9067231.351084739</v>
      </c>
    </row>
    <row r="191" spans="1:23" x14ac:dyDescent="0.2">
      <c r="A191" s="2" t="s">
        <v>389</v>
      </c>
      <c r="B191" s="8" t="s">
        <v>390</v>
      </c>
      <c r="C191" s="4" t="s">
        <v>779</v>
      </c>
      <c r="D191" s="5">
        <v>3136090</v>
      </c>
      <c r="E191" s="5">
        <v>1135</v>
      </c>
      <c r="F191" s="5">
        <v>3137225</v>
      </c>
      <c r="G191" s="5">
        <v>1526828</v>
      </c>
      <c r="H191" s="14">
        <v>3400151</v>
      </c>
      <c r="I191" s="12">
        <f>D191*(1+0.01*growthrate!E192)^2</f>
        <v>3136090</v>
      </c>
      <c r="J191" s="4">
        <f>E191*(1+0.01*growthrate!$E$3)^2</f>
        <v>1169.3053749999997</v>
      </c>
      <c r="K191" s="4">
        <f>F191*(1+0.01*growthrate!$E$3)^2</f>
        <v>3232047.6256249989</v>
      </c>
      <c r="L191" s="4">
        <f>G191*(1+0.01*growthrate!$E$3)^2</f>
        <v>1572976.3762999997</v>
      </c>
      <c r="M191" s="4">
        <f>H191*(1+0.01*growthrate!$E$3)^2</f>
        <v>3502920.5639749989</v>
      </c>
      <c r="N191" s="12">
        <f>I191*(1+0.01*growthrate!$E$3)^5</f>
        <v>3378459.5917417472</v>
      </c>
      <c r="O191" s="4">
        <f>J191*(1+0.01*growthrate!$E$3)^5</f>
        <v>1259.6739761435194</v>
      </c>
      <c r="P191" s="4">
        <f>K191*(1+0.01*growthrate!$E$3)^5</f>
        <v>3481833.206878284</v>
      </c>
      <c r="Q191" s="4">
        <f>L191*(1+0.01*growthrate!$E$3)^5</f>
        <v>1694542.2886759979</v>
      </c>
      <c r="R191" s="4">
        <f>M191*(1+0.01*growthrate!$E$3)^5</f>
        <v>3773640.2904478973</v>
      </c>
      <c r="S191" s="12">
        <f>N191*(1+0.01*growthrate!$F$3)^10</f>
        <v>3622542.041806173</v>
      </c>
      <c r="T191" s="4">
        <f>O191*(1+0.01*growthrate!$F$3)^10</f>
        <v>1350.6812242784588</v>
      </c>
      <c r="U191" s="4">
        <f>P191*(1+0.01*growthrate!$F$3)^10</f>
        <v>3733384.0562440418</v>
      </c>
      <c r="V191" s="4">
        <f>Q191*(1+0.01*growthrate!$F$3)^10</f>
        <v>1816967.3236146527</v>
      </c>
      <c r="W191" s="4">
        <f>R191*(1+0.01*growthrate!$F$3)^10</f>
        <v>4046273.2294375557</v>
      </c>
    </row>
    <row r="192" spans="1:23" x14ac:dyDescent="0.2">
      <c r="A192" s="2" t="s">
        <v>391</v>
      </c>
      <c r="B192" s="8" t="s">
        <v>392</v>
      </c>
      <c r="C192" s="4" t="s">
        <v>779</v>
      </c>
      <c r="D192" s="5">
        <v>3115188</v>
      </c>
      <c r="E192" s="5">
        <v>-12164</v>
      </c>
      <c r="F192" s="5">
        <v>3103024</v>
      </c>
      <c r="G192" s="5">
        <v>1225418</v>
      </c>
      <c r="H192" s="14">
        <v>3197045</v>
      </c>
      <c r="I192" s="12">
        <f>D192*(1+0.01*growthrate!E193)^2</f>
        <v>3115188</v>
      </c>
      <c r="J192" s="4">
        <f>E192*(1+0.01*growthrate!$E$3)^2</f>
        <v>-12531.656899999996</v>
      </c>
      <c r="K192" s="4">
        <f>F192*(1+0.01*growthrate!$E$3)^2</f>
        <v>3196812.9003999992</v>
      </c>
      <c r="L192" s="4">
        <f>G192*(1+0.01*growthrate!$E$3)^2</f>
        <v>1262456.2590499998</v>
      </c>
      <c r="M192" s="4">
        <f>H192*(1+0.01*growthrate!$E$3)^2</f>
        <v>3293675.6851249989</v>
      </c>
      <c r="N192" s="12">
        <f>I192*(1+0.01*growthrate!$E$3)^5</f>
        <v>3355942.2014925564</v>
      </c>
      <c r="O192" s="4">
        <f>J192*(1+0.01*growthrate!$E$3)^5</f>
        <v>-13500.153520537242</v>
      </c>
      <c r="P192" s="4">
        <f>K192*(1+0.01*growthrate!$E$3)^5</f>
        <v>3443875.4010121305</v>
      </c>
      <c r="Q192" s="4">
        <f>L192*(1+0.01*growthrate!$E$3)^5</f>
        <v>1360023.9334782725</v>
      </c>
      <c r="R192" s="4">
        <f>M192*(1+0.01*growthrate!$E$3)^5</f>
        <v>3548224.1295680683</v>
      </c>
      <c r="S192" s="12">
        <f>N192*(1+0.01*growthrate!$F$3)^10</f>
        <v>3598397.8451288352</v>
      </c>
      <c r="T192" s="4">
        <f>O192*(1+0.01*growthrate!$F$3)^10</f>
        <v>-14475.49463623187</v>
      </c>
      <c r="U192" s="4">
        <f>P192*(1+0.01*growthrate!$F$3)^10</f>
        <v>3692683.9253616212</v>
      </c>
      <c r="V192" s="4">
        <f>Q192*(1+0.01*growthrate!$F$3)^10</f>
        <v>1458281.1317117712</v>
      </c>
      <c r="W192" s="4">
        <f>R192*(1+0.01*growthrate!$F$3)^10</f>
        <v>3804571.5019148234</v>
      </c>
    </row>
    <row r="193" spans="1:23" x14ac:dyDescent="0.2">
      <c r="A193" s="2" t="s">
        <v>393</v>
      </c>
      <c r="B193" s="8" t="s">
        <v>394</v>
      </c>
      <c r="C193" s="4" t="s">
        <v>779</v>
      </c>
      <c r="D193" s="5">
        <v>1632389</v>
      </c>
      <c r="E193" s="5">
        <v>33645</v>
      </c>
      <c r="F193" s="5">
        <v>1666034</v>
      </c>
      <c r="G193" s="5">
        <v>2393150</v>
      </c>
      <c r="H193" s="14">
        <v>2703678</v>
      </c>
      <c r="I193" s="12">
        <f>D193*(1+0.01*growthrate!E194)^2</f>
        <v>1632389</v>
      </c>
      <c r="J193" s="4">
        <f>E193*(1+0.01*growthrate!$E$3)^2</f>
        <v>34661.92012499999</v>
      </c>
      <c r="K193" s="4">
        <f>F193*(1+0.01*growthrate!$E$3)^2</f>
        <v>1716389.8776499995</v>
      </c>
      <c r="L193" s="4">
        <f>G193*(1+0.01*growthrate!$E$3)^2</f>
        <v>2465482.9587499993</v>
      </c>
      <c r="M193" s="4">
        <f>H193*(1+0.01*growthrate!$E$3)^2</f>
        <v>2785396.6675499994</v>
      </c>
      <c r="N193" s="12">
        <f>I193*(1+0.01*growthrate!$E$3)^5</f>
        <v>1758546.5578168097</v>
      </c>
      <c r="O193" s="4">
        <f>J193*(1+0.01*growthrate!$E$3)^5</f>
        <v>37340.732094580359</v>
      </c>
      <c r="P193" s="4">
        <f>K193*(1+0.01*growthrate!$E$3)^5</f>
        <v>1849039.3596214028</v>
      </c>
      <c r="Q193" s="4">
        <f>L193*(1+0.01*growthrate!$E$3)^5</f>
        <v>2656025.3533108928</v>
      </c>
      <c r="R193" s="4">
        <f>M193*(1+0.01*growthrate!$E$3)^5</f>
        <v>3000663.274424457</v>
      </c>
      <c r="S193" s="12">
        <f>N193*(1+0.01*growthrate!$F$3)^10</f>
        <v>1885595.6879687561</v>
      </c>
      <c r="T193" s="4">
        <f>O193*(1+0.01*growthrate!$F$3)^10</f>
        <v>40038.475586650871</v>
      </c>
      <c r="U193" s="4">
        <f>P193*(1+0.01*growthrate!$F$3)^10</f>
        <v>1982626.2932242623</v>
      </c>
      <c r="V193" s="4">
        <f>Q193*(1+0.01*growthrate!$F$3)^10</f>
        <v>2847914.3364599063</v>
      </c>
      <c r="W193" s="4">
        <f>R193*(1+0.01*growthrate!$F$3)^10</f>
        <v>3217451.1992024099</v>
      </c>
    </row>
    <row r="194" spans="1:23" x14ac:dyDescent="0.2">
      <c r="A194" s="2" t="s">
        <v>395</v>
      </c>
      <c r="B194" s="8" t="s">
        <v>396</v>
      </c>
      <c r="C194" s="4" t="s">
        <v>779</v>
      </c>
      <c r="D194" s="5">
        <v>0</v>
      </c>
      <c r="E194" s="5">
        <v>7534734</v>
      </c>
      <c r="F194" s="5">
        <v>7534734</v>
      </c>
      <c r="G194" s="5">
        <v>687072</v>
      </c>
      <c r="H194" s="14">
        <v>423210</v>
      </c>
      <c r="I194" s="12">
        <f>D194*(1+0.01*growthrate!E195)^2</f>
        <v>0</v>
      </c>
      <c r="J194" s="4">
        <f>E194*(1+0.01*growthrate!$E$3)^2</f>
        <v>7762471.3351499978</v>
      </c>
      <c r="K194" s="4">
        <f>F194*(1+0.01*growthrate!$E$3)^2</f>
        <v>7762471.3351499978</v>
      </c>
      <c r="L194" s="4">
        <f>G194*(1+0.01*growthrate!$E$3)^2</f>
        <v>707838.75119999982</v>
      </c>
      <c r="M194" s="4">
        <f>H194*(1+0.01*growthrate!$E$3)^2</f>
        <v>436001.52224999986</v>
      </c>
      <c r="N194" s="12">
        <f>I194*(1+0.01*growthrate!$E$3)^5</f>
        <v>0</v>
      </c>
      <c r="O194" s="4">
        <f>J194*(1+0.01*growthrate!$E$3)^5</f>
        <v>8362386.1999680744</v>
      </c>
      <c r="P194" s="4">
        <f>K194*(1+0.01*growthrate!$E$3)^5</f>
        <v>8362386.1999680744</v>
      </c>
      <c r="Q194" s="4">
        <f>L194*(1+0.01*growthrate!$E$3)^5</f>
        <v>762543.36399725126</v>
      </c>
      <c r="R194" s="4">
        <f>M194*(1+0.01*growthrate!$E$3)^5</f>
        <v>469697.46558916196</v>
      </c>
      <c r="S194" s="12">
        <f>N194*(1+0.01*growthrate!$F$3)^10</f>
        <v>0</v>
      </c>
      <c r="T194" s="4">
        <f>O194*(1+0.01*growthrate!$F$3)^10</f>
        <v>8966540.7433766779</v>
      </c>
      <c r="U194" s="4">
        <f>P194*(1+0.01*growthrate!$F$3)^10</f>
        <v>8966540.7433766779</v>
      </c>
      <c r="V194" s="4">
        <f>Q194*(1+0.01*growthrate!$F$3)^10</f>
        <v>817634.58161008742</v>
      </c>
      <c r="W194" s="4">
        <f>R194*(1+0.01*growthrate!$F$3)^10</f>
        <v>503631.54266686033</v>
      </c>
    </row>
    <row r="195" spans="1:23" x14ac:dyDescent="0.2">
      <c r="A195" s="2" t="s">
        <v>397</v>
      </c>
      <c r="B195" s="8" t="s">
        <v>398</v>
      </c>
      <c r="C195" s="4" t="s">
        <v>779</v>
      </c>
      <c r="D195" s="5">
        <v>1489871</v>
      </c>
      <c r="E195" s="5">
        <v>206293</v>
      </c>
      <c r="F195" s="5">
        <v>1696164</v>
      </c>
      <c r="G195" s="5">
        <v>3774229</v>
      </c>
      <c r="H195" s="14">
        <v>2464840</v>
      </c>
      <c r="I195" s="12">
        <f>D195*(1+0.01*growthrate!E196)^2</f>
        <v>1489871</v>
      </c>
      <c r="J195" s="4">
        <f>E195*(1+0.01*growthrate!$E$3)^2</f>
        <v>212528.20592499993</v>
      </c>
      <c r="K195" s="4">
        <f>F195*(1+0.01*growthrate!$E$3)^2</f>
        <v>1747430.5568999995</v>
      </c>
      <c r="L195" s="4">
        <f>G195*(1+0.01*growthrate!$E$3)^2</f>
        <v>3888305.0715249991</v>
      </c>
      <c r="M195" s="4">
        <f>H195*(1+0.01*growthrate!$E$3)^2</f>
        <v>2539339.7889999994</v>
      </c>
      <c r="N195" s="12">
        <f>I195*(1+0.01*growthrate!$E$3)^5</f>
        <v>1605014.1961512165</v>
      </c>
      <c r="O195" s="4">
        <f>J195*(1+0.01*growthrate!$E$3)^5</f>
        <v>228953.23661724673</v>
      </c>
      <c r="P195" s="4">
        <f>K195*(1+0.01*growthrate!$E$3)^5</f>
        <v>1882478.9868471334</v>
      </c>
      <c r="Q195" s="4">
        <f>L195*(1+0.01*growthrate!$E$3)^5</f>
        <v>4188808.8557763696</v>
      </c>
      <c r="R195" s="4">
        <f>M195*(1+0.01*growthrate!$E$3)^5</f>
        <v>2735590.1351168216</v>
      </c>
      <c r="S195" s="12">
        <f>N195*(1+0.01*growthrate!$F$3)^10</f>
        <v>1720971.1246704669</v>
      </c>
      <c r="T195" s="4">
        <f>O195*(1+0.01*growthrate!$F$3)^10</f>
        <v>245494.34519830492</v>
      </c>
      <c r="U195" s="4">
        <f>P195*(1+0.01*growthrate!$F$3)^10</f>
        <v>2018481.8221119363</v>
      </c>
      <c r="V195" s="4">
        <f>Q195*(1+0.01*growthrate!$F$3)^10</f>
        <v>4491436.3404645491</v>
      </c>
      <c r="W195" s="4">
        <f>R195*(1+0.01*growthrate!$F$3)^10</f>
        <v>2933227.4086788693</v>
      </c>
    </row>
    <row r="196" spans="1:23" x14ac:dyDescent="0.2">
      <c r="A196" s="2" t="s">
        <v>399</v>
      </c>
      <c r="B196" s="8" t="s">
        <v>400</v>
      </c>
      <c r="C196" s="4" t="s">
        <v>779</v>
      </c>
      <c r="D196" s="5">
        <v>3532661</v>
      </c>
      <c r="E196" s="5">
        <v>1364968</v>
      </c>
      <c r="F196" s="5">
        <v>4897629</v>
      </c>
      <c r="G196" s="5">
        <v>698356</v>
      </c>
      <c r="H196" s="14">
        <v>1082505</v>
      </c>
      <c r="I196" s="12">
        <f>D196*(1+0.01*growthrate!E197)^2</f>
        <v>3532661</v>
      </c>
      <c r="J196" s="4">
        <f>E196*(1+0.01*growthrate!$E$3)^2</f>
        <v>1406224.1577999997</v>
      </c>
      <c r="K196" s="4">
        <f>F196*(1+0.01*growthrate!$E$3)^2</f>
        <v>5045659.8365249988</v>
      </c>
      <c r="L196" s="4">
        <f>G196*(1+0.01*growthrate!$E$3)^2</f>
        <v>719463.81009999977</v>
      </c>
      <c r="M196" s="4">
        <f>H196*(1+0.01*growthrate!$E$3)^2</f>
        <v>1115223.7136249996</v>
      </c>
      <c r="N196" s="12">
        <f>I196*(1+0.01*growthrate!$E$3)^5</f>
        <v>3805679.1864461778</v>
      </c>
      <c r="O196" s="4">
        <f>J196*(1+0.01*growthrate!$E$3)^5</f>
        <v>1514902.7910737158</v>
      </c>
      <c r="P196" s="4">
        <f>K196*(1+0.01*growthrate!$E$3)^5</f>
        <v>5435608.6309302282</v>
      </c>
      <c r="Q196" s="4">
        <f>L196*(1+0.01*growthrate!$E$3)^5</f>
        <v>775066.85399443493</v>
      </c>
      <c r="R196" s="4">
        <f>M196*(1+0.01*growthrate!$E$3)^5</f>
        <v>1201412.6674407404</v>
      </c>
      <c r="S196" s="12">
        <f>N196*(1+0.01*growthrate!$F$3)^10</f>
        <v>4080626.8289331738</v>
      </c>
      <c r="T196" s="4">
        <f>O196*(1+0.01*growthrate!$F$3)^10</f>
        <v>1624349.470784951</v>
      </c>
      <c r="U196" s="4">
        <f>P196*(1+0.01*growthrate!$F$3)^10</f>
        <v>5828313.2456226293</v>
      </c>
      <c r="V196" s="4">
        <f>Q196*(1+0.01*growthrate!$F$3)^10</f>
        <v>831062.85203718708</v>
      </c>
      <c r="W196" s="4">
        <f>R196*(1+0.01*growthrate!$F$3)^10</f>
        <v>1288210.7301211918</v>
      </c>
    </row>
    <row r="197" spans="1:23" x14ac:dyDescent="0.2">
      <c r="A197" s="2" t="s">
        <v>401</v>
      </c>
      <c r="B197" s="8" t="s">
        <v>402</v>
      </c>
      <c r="C197" s="4" t="s">
        <v>779</v>
      </c>
      <c r="D197" s="5">
        <v>1153631</v>
      </c>
      <c r="E197" s="5">
        <v>1043507</v>
      </c>
      <c r="F197" s="5">
        <v>2197138</v>
      </c>
      <c r="G197" s="5">
        <v>1365876</v>
      </c>
      <c r="H197" s="14">
        <v>1332549</v>
      </c>
      <c r="I197" s="12">
        <f>D197*(1+0.01*growthrate!E198)^2</f>
        <v>1153631</v>
      </c>
      <c r="J197" s="4">
        <f>E197*(1+0.01*growthrate!$E$3)^2</f>
        <v>1075046.9990749997</v>
      </c>
      <c r="K197" s="4">
        <f>F197*(1+0.01*growthrate!$E$3)^2</f>
        <v>2263546.4960499993</v>
      </c>
      <c r="L197" s="4">
        <f>G197*(1+0.01*growthrate!$E$3)^2</f>
        <v>1407159.6020999996</v>
      </c>
      <c r="M197" s="4">
        <f>H197*(1+0.01*growthrate!$E$3)^2</f>
        <v>1372825.2935249996</v>
      </c>
      <c r="N197" s="12">
        <f>I197*(1+0.01*growthrate!$E$3)^5</f>
        <v>1242788.2226851345</v>
      </c>
      <c r="O197" s="4">
        <f>J197*(1+0.01*growthrate!$E$3)^5</f>
        <v>1158130.9355273969</v>
      </c>
      <c r="P197" s="4">
        <f>K197*(1+0.01*growthrate!$E$3)^5</f>
        <v>2438482.4322431893</v>
      </c>
      <c r="Q197" s="4">
        <f>L197*(1+0.01*growthrate!$E$3)^5</f>
        <v>1515910.5302546306</v>
      </c>
      <c r="R197" s="4">
        <f>M197*(1+0.01*growthrate!$E$3)^5</f>
        <v>1478922.728842353</v>
      </c>
      <c r="S197" s="12">
        <f>N197*(1+0.01*growthrate!$F$3)^10</f>
        <v>1332575.531388097</v>
      </c>
      <c r="T197" s="4">
        <f>O197*(1+0.01*growthrate!$F$3)^10</f>
        <v>1241802.0372714903</v>
      </c>
      <c r="U197" s="4">
        <f>P197*(1+0.01*growthrate!$F$3)^10</f>
        <v>2614654.6640957925</v>
      </c>
      <c r="V197" s="4">
        <f>Q197*(1+0.01*growthrate!$F$3)^10</f>
        <v>1625430.0157643736</v>
      </c>
      <c r="W197" s="4">
        <f>R197*(1+0.01*growthrate!$F$3)^10</f>
        <v>1585769.9689260228</v>
      </c>
    </row>
    <row r="198" spans="1:23" x14ac:dyDescent="0.2">
      <c r="A198" s="2" t="s">
        <v>403</v>
      </c>
      <c r="B198" s="8" t="s">
        <v>404</v>
      </c>
      <c r="C198" s="4" t="s">
        <v>779</v>
      </c>
      <c r="D198" s="5">
        <v>3123043</v>
      </c>
      <c r="E198" s="5">
        <v>6087624</v>
      </c>
      <c r="F198" s="5">
        <v>9210667</v>
      </c>
      <c r="G198" s="5">
        <v>11666006</v>
      </c>
      <c r="H198" s="14">
        <v>4022563</v>
      </c>
      <c r="I198" s="12">
        <f>D198*(1+0.01*growthrate!E199)^2</f>
        <v>3123043</v>
      </c>
      <c r="J198" s="4">
        <f>E198*(1+0.01*growthrate!$E$3)^2</f>
        <v>6271622.435399998</v>
      </c>
      <c r="K198" s="4">
        <f>F198*(1+0.01*growthrate!$E$3)^2</f>
        <v>9489059.4100749977</v>
      </c>
      <c r="L198" s="4">
        <f>G198*(1+0.01*growthrate!$E$3)^2</f>
        <v>12018611.031349996</v>
      </c>
      <c r="M198" s="4">
        <f>H198*(1+0.01*growthrate!$E$3)^2</f>
        <v>4144144.9666749989</v>
      </c>
      <c r="N198" s="12">
        <f>I198*(1+0.01*growthrate!$E$3)^5</f>
        <v>3364404.267343068</v>
      </c>
      <c r="O198" s="4">
        <f>J198*(1+0.01*growthrate!$E$3)^5</f>
        <v>6756318.5280587804</v>
      </c>
      <c r="P198" s="4">
        <f>K198*(1+0.01*growthrate!$E$3)^5</f>
        <v>10222411.914382292</v>
      </c>
      <c r="Q198" s="4">
        <f>L198*(1+0.01*growthrate!$E$3)^5</f>
        <v>12947457.412981633</v>
      </c>
      <c r="R198" s="4">
        <f>M198*(1+0.01*growthrate!$E$3)^5</f>
        <v>4464421.0823769197</v>
      </c>
      <c r="S198" s="12">
        <f>N198*(1+0.01*growthrate!$F$3)^10</f>
        <v>3607471.2670454215</v>
      </c>
      <c r="T198" s="4">
        <f>O198*(1+0.01*growthrate!$F$3)^10</f>
        <v>7244440.032834297</v>
      </c>
      <c r="U198" s="4">
        <f>P198*(1+0.01*growthrate!$F$3)^10</f>
        <v>10960947.118926166</v>
      </c>
      <c r="V198" s="4">
        <f>Q198*(1+0.01*growthrate!$F$3)^10</f>
        <v>13882868.076228937</v>
      </c>
      <c r="W198" s="4">
        <f>R198*(1+0.01*growthrate!$F$3)^10</f>
        <v>4786960.6322266338</v>
      </c>
    </row>
    <row r="199" spans="1:23" x14ac:dyDescent="0.2">
      <c r="A199" s="2" t="s">
        <v>405</v>
      </c>
      <c r="B199" s="8" t="s">
        <v>406</v>
      </c>
      <c r="C199" s="4" t="s">
        <v>779</v>
      </c>
      <c r="D199" s="5">
        <v>3017097</v>
      </c>
      <c r="E199" s="5">
        <v>2872385</v>
      </c>
      <c r="F199" s="5">
        <v>5889482</v>
      </c>
      <c r="G199" s="5">
        <v>7206778</v>
      </c>
      <c r="H199" s="14">
        <v>2104849</v>
      </c>
      <c r="I199" s="12">
        <f>D199*(1+0.01*growthrate!E200)^2</f>
        <v>3017097</v>
      </c>
      <c r="J199" s="4">
        <f>E199*(1+0.01*growthrate!$E$3)^2</f>
        <v>2959202.8366249991</v>
      </c>
      <c r="K199" s="4">
        <f>F199*(1+0.01*growthrate!$E$3)^2</f>
        <v>6067491.5934499986</v>
      </c>
      <c r="L199" s="4">
        <f>G199*(1+0.01*growthrate!$E$3)^2</f>
        <v>7424602.8650499983</v>
      </c>
      <c r="M199" s="4">
        <f>H199*(1+0.01*growthrate!$E$3)^2</f>
        <v>2168468.0610249992</v>
      </c>
      <c r="N199" s="12">
        <f>I199*(1+0.01*growthrate!$E$3)^5</f>
        <v>3250270.3362675342</v>
      </c>
      <c r="O199" s="4">
        <f>J199*(1+0.01*growthrate!$E$3)^5</f>
        <v>3187901.880145377</v>
      </c>
      <c r="P199" s="4">
        <f>K199*(1+0.01*growthrate!$E$3)^5</f>
        <v>6536411.6373265963</v>
      </c>
      <c r="Q199" s="4">
        <f>L199*(1+0.01*growthrate!$E$3)^5</f>
        <v>7998405.9017124586</v>
      </c>
      <c r="R199" s="4">
        <f>M199*(1+0.01*growthrate!$E$3)^5</f>
        <v>2336055.9550763969</v>
      </c>
      <c r="S199" s="12">
        <f>N199*(1+0.01*growthrate!$F$3)^10</f>
        <v>3485091.5396902766</v>
      </c>
      <c r="T199" s="4">
        <f>O199*(1+0.01*growthrate!$F$3)^10</f>
        <v>3418217.1703956658</v>
      </c>
      <c r="U199" s="4">
        <f>P199*(1+0.01*growthrate!$F$3)^10</f>
        <v>7008645.6018730802</v>
      </c>
      <c r="V199" s="4">
        <f>Q199*(1+0.01*growthrate!$F$3)^10</f>
        <v>8576264.0811833143</v>
      </c>
      <c r="W199" s="4">
        <f>R199*(1+0.01*growthrate!$F$3)^10</f>
        <v>2504828.2151905634</v>
      </c>
    </row>
    <row r="200" spans="1:23" x14ac:dyDescent="0.2">
      <c r="A200" s="2" t="s">
        <v>407</v>
      </c>
      <c r="B200" s="8" t="s">
        <v>408</v>
      </c>
      <c r="C200" s="4" t="s">
        <v>779</v>
      </c>
      <c r="D200" s="5">
        <v>174852</v>
      </c>
      <c r="E200" s="5">
        <v>1169825</v>
      </c>
      <c r="F200" s="5">
        <v>1344677</v>
      </c>
      <c r="G200" s="5">
        <v>199830</v>
      </c>
      <c r="H200" s="14">
        <v>188408</v>
      </c>
      <c r="I200" s="12">
        <f>D200*(1+0.01*growthrate!E201)^2</f>
        <v>174852</v>
      </c>
      <c r="J200" s="4">
        <f>E200*(1+0.01*growthrate!$E$3)^2</f>
        <v>1205182.9606249996</v>
      </c>
      <c r="K200" s="4">
        <f>F200*(1+0.01*growthrate!$E$3)^2</f>
        <v>1385319.8623249996</v>
      </c>
      <c r="L200" s="4">
        <f>G200*(1+0.01*growthrate!$E$3)^2</f>
        <v>205869.86174999995</v>
      </c>
      <c r="M200" s="4">
        <f>H200*(1+0.01*growthrate!$E$3)^2</f>
        <v>194102.63179999994</v>
      </c>
      <c r="N200" s="12">
        <f>I200*(1+0.01*growthrate!$E$3)^5</f>
        <v>188365.26264719063</v>
      </c>
      <c r="O200" s="4">
        <f>J200*(1+0.01*growthrate!$E$3)^5</f>
        <v>1298324.3252353237</v>
      </c>
      <c r="P200" s="4">
        <f>K200*(1+0.01*growthrate!$E$3)^5</f>
        <v>1492382.9279460257</v>
      </c>
      <c r="Q200" s="4">
        <f>L200*(1+0.01*growthrate!$E$3)^5</f>
        <v>221780.30894516254</v>
      </c>
      <c r="R200" s="4">
        <f>M200*(1+0.01*growthrate!$E$3)^5</f>
        <v>209103.66034999842</v>
      </c>
      <c r="S200" s="12">
        <f>N200*(1+0.01*growthrate!$F$3)^10</f>
        <v>201974.02532895835</v>
      </c>
      <c r="T200" s="4">
        <f>O200*(1+0.01*growthrate!$F$3)^10</f>
        <v>1392123.932327355</v>
      </c>
      <c r="U200" s="4">
        <f>P200*(1+0.01*growthrate!$F$3)^10</f>
        <v>1600202.6225718812</v>
      </c>
      <c r="V200" s="4">
        <f>Q200*(1+0.01*growthrate!$F$3)^10</f>
        <v>237803.19739873515</v>
      </c>
      <c r="W200" s="4">
        <f>R200*(1+0.01*growthrate!$F$3)^10</f>
        <v>224210.70317520341</v>
      </c>
    </row>
    <row r="201" spans="1:23" x14ac:dyDescent="0.2">
      <c r="A201" s="2" t="s">
        <v>409</v>
      </c>
      <c r="B201" s="8" t="s">
        <v>410</v>
      </c>
      <c r="C201" s="4" t="s">
        <v>779</v>
      </c>
      <c r="D201" s="5">
        <v>295061</v>
      </c>
      <c r="E201" s="5">
        <v>453158</v>
      </c>
      <c r="F201" s="5">
        <v>748219</v>
      </c>
      <c r="G201" s="5">
        <v>686818</v>
      </c>
      <c r="H201" s="14">
        <v>300499</v>
      </c>
      <c r="I201" s="12">
        <f>D201*(1+0.01*growthrate!E202)^2</f>
        <v>295061</v>
      </c>
      <c r="J201" s="4">
        <f>E201*(1+0.01*growthrate!$E$3)^2</f>
        <v>466854.70054999989</v>
      </c>
      <c r="K201" s="4">
        <f>F201*(1+0.01*growthrate!$E$3)^2</f>
        <v>770833.91927499976</v>
      </c>
      <c r="L201" s="4">
        <f>G201*(1+0.01*growthrate!$E$3)^2</f>
        <v>707577.07404999982</v>
      </c>
      <c r="M201" s="4">
        <f>H201*(1+0.01*growthrate!$E$3)^2</f>
        <v>309581.58227499994</v>
      </c>
      <c r="N201" s="12">
        <f>I201*(1+0.01*growthrate!$E$3)^5</f>
        <v>317864.49547012738</v>
      </c>
      <c r="O201" s="4">
        <f>J201*(1+0.01*growthrate!$E$3)^5</f>
        <v>502935.10104074446</v>
      </c>
      <c r="P201" s="4">
        <f>K201*(1+0.01*growthrate!$E$3)^5</f>
        <v>830407.05088645627</v>
      </c>
      <c r="Q201" s="4">
        <f>L201*(1+0.01*growthrate!$E$3)^5</f>
        <v>762261.4633893742</v>
      </c>
      <c r="R201" s="4">
        <f>M201*(1+0.01*growthrate!$E$3)^5</f>
        <v>333507.2864820718</v>
      </c>
      <c r="S201" s="12">
        <f>N201*(1+0.01*growthrate!$F$3)^10</f>
        <v>340829.14629279496</v>
      </c>
      <c r="T201" s="4">
        <f>O201*(1+0.01*growthrate!$F$3)^10</f>
        <v>539270.48654764565</v>
      </c>
      <c r="U201" s="4">
        <f>P201*(1+0.01*growthrate!$F$3)^10</f>
        <v>890401.19378714007</v>
      </c>
      <c r="V201" s="4">
        <f>Q201*(1+0.01*growthrate!$F$3)^10</f>
        <v>817332.31462245155</v>
      </c>
      <c r="W201" s="4">
        <f>R201*(1+0.01*growthrate!$F$3)^10</f>
        <v>357602.07684092742</v>
      </c>
    </row>
    <row r="202" spans="1:23" x14ac:dyDescent="0.2">
      <c r="A202" s="2" t="s">
        <v>411</v>
      </c>
      <c r="B202" s="8" t="s">
        <v>412</v>
      </c>
      <c r="C202" s="4" t="s">
        <v>779</v>
      </c>
      <c r="D202" s="5">
        <v>810684</v>
      </c>
      <c r="E202" s="5">
        <v>683477</v>
      </c>
      <c r="F202" s="5">
        <v>1494161</v>
      </c>
      <c r="G202" s="5">
        <v>459211</v>
      </c>
      <c r="H202" s="14">
        <v>430652</v>
      </c>
      <c r="I202" s="12">
        <f>D202*(1+0.01*growthrate!E203)^2</f>
        <v>810684</v>
      </c>
      <c r="J202" s="4">
        <f>E202*(1+0.01*growthrate!$E$3)^2</f>
        <v>704135.09232499986</v>
      </c>
      <c r="K202" s="4">
        <f>F202*(1+0.01*growthrate!$E$3)^2</f>
        <v>1539322.0162249997</v>
      </c>
      <c r="L202" s="4">
        <f>G202*(1+0.01*growthrate!$E$3)^2</f>
        <v>473090.65247499989</v>
      </c>
      <c r="M202" s="4">
        <f>H202*(1+0.01*growthrate!$E$3)^2</f>
        <v>443668.45669999986</v>
      </c>
      <c r="N202" s="12">
        <f>I202*(1+0.01*growthrate!$E$3)^5</f>
        <v>873336.90540500009</v>
      </c>
      <c r="O202" s="4">
        <f>J202*(1+0.01*growthrate!$E$3)^5</f>
        <v>758553.4715353694</v>
      </c>
      <c r="P202" s="4">
        <f>K202*(1+0.01*growthrate!$E$3)^5</f>
        <v>1658286.9849062355</v>
      </c>
      <c r="Q202" s="4">
        <f>L202*(1+0.01*growthrate!$E$3)^5</f>
        <v>509652.99229853897</v>
      </c>
      <c r="R202" s="4">
        <f>M202*(1+0.01*growthrate!$E$3)^5</f>
        <v>477956.93143097701</v>
      </c>
      <c r="S202" s="12">
        <f>N202*(1+0.01*growthrate!$F$3)^10</f>
        <v>936432.58727255766</v>
      </c>
      <c r="T202" s="4">
        <f>O202*(1+0.01*growthrate!$F$3)^10</f>
        <v>813356.43271028041</v>
      </c>
      <c r="U202" s="4">
        <f>P202*(1+0.01*growthrate!$F$3)^10</f>
        <v>1778092.6949331509</v>
      </c>
      <c r="V202" s="4">
        <f>Q202*(1+0.01*growthrate!$F$3)^10</f>
        <v>546473.7230679607</v>
      </c>
      <c r="W202" s="4">
        <f>R202*(1+0.01*growthrate!$F$3)^10</f>
        <v>512487.72739908972</v>
      </c>
    </row>
    <row r="203" spans="1:23" x14ac:dyDescent="0.2">
      <c r="A203" s="2" t="s">
        <v>413</v>
      </c>
      <c r="B203" s="8" t="s">
        <v>414</v>
      </c>
      <c r="C203" s="4" t="s">
        <v>779</v>
      </c>
      <c r="D203" s="5">
        <v>3579429</v>
      </c>
      <c r="E203" s="5">
        <v>3563621</v>
      </c>
      <c r="F203" s="5">
        <v>7143050</v>
      </c>
      <c r="G203" s="5">
        <v>1899952</v>
      </c>
      <c r="H203" s="14">
        <v>5727673</v>
      </c>
      <c r="I203" s="12">
        <f>D203*(1+0.01*growthrate!E204)^2</f>
        <v>3579429</v>
      </c>
      <c r="J203" s="4">
        <f>E203*(1+0.01*growthrate!$E$3)^2</f>
        <v>3671331.4447249989</v>
      </c>
      <c r="K203" s="4">
        <f>F203*(1+0.01*growthrate!$E$3)^2</f>
        <v>7358948.6862499984</v>
      </c>
      <c r="L203" s="4">
        <f>G203*(1+0.01*growthrate!$E$3)^2</f>
        <v>1957378.0491999995</v>
      </c>
      <c r="M203" s="4">
        <f>H203*(1+0.01*growthrate!$E$3)^2</f>
        <v>5900791.9164249981</v>
      </c>
      <c r="N203" s="12">
        <f>I203*(1+0.01*growthrate!$E$3)^5</f>
        <v>3856061.604739842</v>
      </c>
      <c r="O203" s="4">
        <f>J203*(1+0.01*growthrate!$E$3)^5</f>
        <v>3955066.6383599513</v>
      </c>
      <c r="P203" s="4">
        <f>K203*(1+0.01*growthrate!$E$3)^5</f>
        <v>7927677.7051030546</v>
      </c>
      <c r="Q203" s="4">
        <f>L203*(1+0.01*growthrate!$E$3)^5</f>
        <v>2108652.0619575614</v>
      </c>
      <c r="R203" s="4">
        <f>M203*(1+0.01*growthrate!$E$3)^5</f>
        <v>6356828.7418148722</v>
      </c>
      <c r="S203" s="12">
        <f>N203*(1+0.01*growthrate!$F$3)^10</f>
        <v>4134649.2090980257</v>
      </c>
      <c r="T203" s="4">
        <f>O203*(1+0.01*growthrate!$F$3)^10</f>
        <v>4240807.0265589654</v>
      </c>
      <c r="U203" s="4">
        <f>P203*(1+0.01*growthrate!$F$3)^10</f>
        <v>8500426.0080019776</v>
      </c>
      <c r="V203" s="4">
        <f>Q203*(1+0.01*growthrate!$F$3)^10</f>
        <v>2260995.1483967458</v>
      </c>
      <c r="W203" s="4">
        <f>R203*(1+0.01*growthrate!$F$3)^10</f>
        <v>6816088.4404464075</v>
      </c>
    </row>
    <row r="204" spans="1:23" x14ac:dyDescent="0.2">
      <c r="A204" s="2" t="s">
        <v>415</v>
      </c>
      <c r="B204" s="8" t="s">
        <v>416</v>
      </c>
      <c r="C204" s="4" t="s">
        <v>779</v>
      </c>
      <c r="D204" s="5">
        <v>8247311</v>
      </c>
      <c r="E204" s="5">
        <v>8094664</v>
      </c>
      <c r="F204" s="5">
        <v>16341975</v>
      </c>
      <c r="G204" s="5">
        <v>5467592</v>
      </c>
      <c r="H204" s="14">
        <v>7268395</v>
      </c>
      <c r="I204" s="12">
        <f>D204*(1+0.01*growthrate!E205)^2</f>
        <v>8247311</v>
      </c>
      <c r="J204" s="4">
        <f>E204*(1+0.01*growthrate!$E$3)^2</f>
        <v>8339325.219399998</v>
      </c>
      <c r="K204" s="4">
        <f>F204*(1+0.01*growthrate!$E$3)^2</f>
        <v>16835911.194374997</v>
      </c>
      <c r="L204" s="4">
        <f>G204*(1+0.01*growthrate!$E$3)^2</f>
        <v>5632849.9681999981</v>
      </c>
      <c r="M204" s="4">
        <f>H204*(1+0.01*growthrate!$E$3)^2</f>
        <v>7488082.2388749979</v>
      </c>
      <c r="N204" s="12">
        <f>I204*(1+0.01*growthrate!$E$3)^5</f>
        <v>8884696.2153596431</v>
      </c>
      <c r="O204" s="4">
        <f>J204*(1+0.01*growthrate!$E$3)^5</f>
        <v>8983821.6620491687</v>
      </c>
      <c r="P204" s="4">
        <f>K204*(1+0.01*growthrate!$E$3)^5</f>
        <v>18137057.820518054</v>
      </c>
      <c r="Q204" s="4">
        <f>L204*(1+0.01*growthrate!$E$3)^5</f>
        <v>6068179.1670224648</v>
      </c>
      <c r="R204" s="4">
        <f>M204*(1+0.01*growthrate!$E$3)^5</f>
        <v>8066791.2157107275</v>
      </c>
      <c r="S204" s="12">
        <f>N204*(1+0.01*growthrate!$F$3)^10</f>
        <v>9526585.9172888882</v>
      </c>
      <c r="T204" s="4">
        <f>O204*(1+0.01*growthrate!$F$3)^10</f>
        <v>9632872.8472623508</v>
      </c>
      <c r="U204" s="4">
        <f>P204*(1+0.01*growthrate!$F$3)^10</f>
        <v>19447399.823901292</v>
      </c>
      <c r="V204" s="4">
        <f>Q204*(1+0.01*growthrate!$F$3)^10</f>
        <v>6506584.8955199178</v>
      </c>
      <c r="W204" s="4">
        <f>R204*(1+0.01*growthrate!$F$3)^10</f>
        <v>8649590.0062902458</v>
      </c>
    </row>
    <row r="205" spans="1:23" x14ac:dyDescent="0.2">
      <c r="A205" s="2" t="s">
        <v>417</v>
      </c>
      <c r="B205" s="8" t="s">
        <v>418</v>
      </c>
      <c r="C205" s="4" t="s">
        <v>779</v>
      </c>
      <c r="D205" s="5">
        <v>1349441</v>
      </c>
      <c r="E205" s="5">
        <v>230141</v>
      </c>
      <c r="F205" s="5">
        <v>1579582</v>
      </c>
      <c r="G205" s="5">
        <v>1123776</v>
      </c>
      <c r="H205" s="14">
        <v>2492758</v>
      </c>
      <c r="I205" s="12">
        <f>D205*(1+0.01*growthrate!E206)^2</f>
        <v>1349441</v>
      </c>
      <c r="J205" s="4">
        <f>E205*(1+0.01*growthrate!$E$3)^2</f>
        <v>237097.01172499993</v>
      </c>
      <c r="K205" s="4">
        <f>F205*(1+0.01*growthrate!$E$3)^2</f>
        <v>1627324.8659499995</v>
      </c>
      <c r="L205" s="4">
        <f>G205*(1+0.01*growthrate!$E$3)^2</f>
        <v>1157742.1295999996</v>
      </c>
      <c r="M205" s="4">
        <f>H205*(1+0.01*growthrate!$E$3)^2</f>
        <v>2568101.6105499994</v>
      </c>
      <c r="N205" s="12">
        <f>I205*(1+0.01*growthrate!$E$3)^5</f>
        <v>1453731.2034857338</v>
      </c>
      <c r="O205" s="4">
        <f>J205*(1+0.01*growthrate!$E$3)^5</f>
        <v>255420.81810012835</v>
      </c>
      <c r="P205" s="4">
        <f>K205*(1+0.01*growthrate!$E$3)^5</f>
        <v>1753091.0472112182</v>
      </c>
      <c r="Q205" s="4">
        <f>L205*(1+0.01*growthrate!$E$3)^5</f>
        <v>1247217.0768411097</v>
      </c>
      <c r="R205" s="4">
        <f>M205*(1+0.01*growthrate!$E$3)^5</f>
        <v>2766574.7853952134</v>
      </c>
      <c r="S205" s="12">
        <f>N205*(1+0.01*growthrate!$F$3)^10</f>
        <v>1558758.4397887061</v>
      </c>
      <c r="T205" s="4">
        <f>O205*(1+0.01*growthrate!$F$3)^10</f>
        <v>273874.12126578746</v>
      </c>
      <c r="U205" s="4">
        <f>P205*(1+0.01*growthrate!$F$3)^10</f>
        <v>1879746.0348971069</v>
      </c>
      <c r="V205" s="4">
        <f>Q205*(1+0.01*growthrate!$F$3)^10</f>
        <v>1337324.3555019815</v>
      </c>
      <c r="W205" s="4">
        <f>R205*(1+0.01*growthrate!$F$3)^10</f>
        <v>2966450.5967135881</v>
      </c>
    </row>
    <row r="206" spans="1:23" x14ac:dyDescent="0.2">
      <c r="A206" s="2" t="s">
        <v>419</v>
      </c>
      <c r="B206" s="8" t="s">
        <v>420</v>
      </c>
      <c r="C206" s="4" t="s">
        <v>779</v>
      </c>
      <c r="D206" s="5">
        <v>2959447</v>
      </c>
      <c r="E206" s="5">
        <v>1520862</v>
      </c>
      <c r="F206" s="5">
        <v>4480309</v>
      </c>
      <c r="G206" s="5">
        <v>1976520</v>
      </c>
      <c r="H206" s="14">
        <v>1959574</v>
      </c>
      <c r="I206" s="12">
        <f>D206*(1+0.01*growthrate!E207)^2</f>
        <v>2959447</v>
      </c>
      <c r="J206" s="4">
        <f>E206*(1+0.01*growthrate!$E$3)^2</f>
        <v>1566830.0539499996</v>
      </c>
      <c r="K206" s="4">
        <f>F206*(1+0.01*growthrate!$E$3)^2</f>
        <v>4615726.3395249983</v>
      </c>
      <c r="L206" s="4">
        <f>G206*(1+0.01*growthrate!$E$3)^2</f>
        <v>2036260.3169999993</v>
      </c>
      <c r="M206" s="4">
        <f>H206*(1+0.01*growthrate!$E$3)^2</f>
        <v>2018802.1241499993</v>
      </c>
      <c r="N206" s="12">
        <f>I206*(1+0.01*growthrate!$E$3)^5</f>
        <v>3188164.9134435998</v>
      </c>
      <c r="O206" s="4">
        <f>J206*(1+0.01*growthrate!$E$3)^5</f>
        <v>1687920.9539256257</v>
      </c>
      <c r="P206" s="4">
        <f>K206*(1+0.01*growthrate!$E$3)^5</f>
        <v>4972448.151878057</v>
      </c>
      <c r="Q206" s="4">
        <f>L206*(1+0.01*growthrate!$E$3)^5</f>
        <v>2193630.6672486244</v>
      </c>
      <c r="R206" s="4">
        <f>M206*(1+0.01*growthrate!$E$3)^5</f>
        <v>2174823.2353545912</v>
      </c>
      <c r="S206" s="12">
        <f>N206*(1+0.01*growthrate!$F$3)^10</f>
        <v>3418499.2069733818</v>
      </c>
      <c r="T206" s="4">
        <f>O206*(1+0.01*growthrate!$F$3)^10</f>
        <v>1809867.6194877403</v>
      </c>
      <c r="U206" s="4">
        <f>P206*(1+0.01*growthrate!$F$3)^10</f>
        <v>5331690.9649918918</v>
      </c>
      <c r="V206" s="4">
        <f>Q206*(1+0.01*growthrate!$F$3)^10</f>
        <v>2352113.1748113297</v>
      </c>
      <c r="W206" s="4">
        <f>R206*(1+0.01*growthrate!$F$3)^10</f>
        <v>2331946.9686204726</v>
      </c>
    </row>
    <row r="207" spans="1:23" x14ac:dyDescent="0.2">
      <c r="A207" s="2" t="s">
        <v>421</v>
      </c>
      <c r="B207" s="8" t="s">
        <v>422</v>
      </c>
      <c r="C207" s="4" t="s">
        <v>779</v>
      </c>
      <c r="D207" s="5">
        <v>394071</v>
      </c>
      <c r="E207" s="5">
        <v>1921153</v>
      </c>
      <c r="F207" s="5">
        <v>2315224</v>
      </c>
      <c r="G207" s="5">
        <v>20599</v>
      </c>
      <c r="H207" s="14">
        <v>26972</v>
      </c>
      <c r="I207" s="12">
        <f>D207*(1+0.01*growthrate!E208)^2</f>
        <v>394071</v>
      </c>
      <c r="J207" s="4">
        <f>E207*(1+0.01*growthrate!$E$3)^2</f>
        <v>1979219.8494249994</v>
      </c>
      <c r="K207" s="4">
        <f>F207*(1+0.01*growthrate!$E$3)^2</f>
        <v>2385201.6453999993</v>
      </c>
      <c r="L207" s="4">
        <f>G207*(1+0.01*growthrate!$E$3)^2</f>
        <v>21221.604774999993</v>
      </c>
      <c r="M207" s="4">
        <f>H207*(1+0.01*growthrate!$E$3)^2</f>
        <v>27787.228699999992</v>
      </c>
      <c r="N207" s="12">
        <f>I207*(1+0.01*growthrate!$E$3)^5</f>
        <v>424526.38469471928</v>
      </c>
      <c r="O207" s="4">
        <f>J207*(1+0.01*growthrate!$E$3)^5</f>
        <v>2132181.8839559918</v>
      </c>
      <c r="P207" s="4">
        <f>K207*(1+0.01*growthrate!$E$3)^5</f>
        <v>2569539.5786281088</v>
      </c>
      <c r="Q207" s="4">
        <f>L207*(1+0.01*growthrate!$E$3)^5</f>
        <v>22861.695360863749</v>
      </c>
      <c r="R207" s="4">
        <f>M207*(1+0.01*growthrate!$E$3)^5</f>
        <v>29934.736990786787</v>
      </c>
      <c r="S207" s="12">
        <f>N207*(1+0.01*growthrate!$F$3)^10</f>
        <v>455197.00166659773</v>
      </c>
      <c r="T207" s="4">
        <f>O207*(1+0.01*growthrate!$F$3)^10</f>
        <v>2286224.9216442588</v>
      </c>
      <c r="U207" s="4">
        <f>P207*(1+0.01*growthrate!$F$3)^10</f>
        <v>2755180.2526862295</v>
      </c>
      <c r="V207" s="4">
        <f>Q207*(1+0.01*growthrate!$F$3)^10</f>
        <v>24513.376686266052</v>
      </c>
      <c r="W207" s="4">
        <f>R207*(1+0.01*growthrate!$F$3)^10</f>
        <v>32097.422009901838</v>
      </c>
    </row>
    <row r="208" spans="1:23" x14ac:dyDescent="0.2">
      <c r="A208" s="2" t="s">
        <v>423</v>
      </c>
      <c r="B208" s="8" t="s">
        <v>424</v>
      </c>
      <c r="C208" s="4" t="s">
        <v>779</v>
      </c>
      <c r="D208" s="5">
        <v>5140201</v>
      </c>
      <c r="E208" s="5">
        <v>875855</v>
      </c>
      <c r="F208" s="5">
        <v>6016056</v>
      </c>
      <c r="G208" s="5">
        <v>4649788</v>
      </c>
      <c r="H208" s="14">
        <v>3272707</v>
      </c>
      <c r="I208" s="12">
        <f>D208*(1+0.01*growthrate!E209)^2</f>
        <v>5140201</v>
      </c>
      <c r="J208" s="4">
        <f>E208*(1+0.01*growthrate!$E$3)^2</f>
        <v>902327.71737499977</v>
      </c>
      <c r="K208" s="4">
        <f>F208*(1+0.01*growthrate!$E$3)^2</f>
        <v>6197891.2925999984</v>
      </c>
      <c r="L208" s="4">
        <f>G208*(1+0.01*growthrate!$E$3)^2</f>
        <v>4790327.8422999987</v>
      </c>
      <c r="M208" s="4">
        <f>H208*(1+0.01*growthrate!$E$3)^2</f>
        <v>3371624.5690749991</v>
      </c>
      <c r="N208" s="12">
        <f>I208*(1+0.01*growthrate!$E$3)^5</f>
        <v>5537456.3140504649</v>
      </c>
      <c r="O208" s="4">
        <f>J208*(1+0.01*growthrate!$E$3)^5</f>
        <v>972063.21618958784</v>
      </c>
      <c r="P208" s="4">
        <f>K208*(1+0.01*growthrate!$E$3)^5</f>
        <v>6676889.1473322259</v>
      </c>
      <c r="Q208" s="4">
        <f>L208*(1+0.01*growthrate!$E$3)^5</f>
        <v>5160543.5578717384</v>
      </c>
      <c r="R208" s="4">
        <f>M208*(1+0.01*growthrate!$E$3)^5</f>
        <v>3632197.2153680432</v>
      </c>
      <c r="S208" s="12">
        <f>N208*(1+0.01*growthrate!$F$3)^10</f>
        <v>5937519.0845397078</v>
      </c>
      <c r="T208" s="4">
        <f>O208*(1+0.01*growthrate!$F$3)^10</f>
        <v>1042291.5451016824</v>
      </c>
      <c r="U208" s="4">
        <f>P208*(1+0.01*growthrate!$F$3)^10</f>
        <v>7159272.1439716006</v>
      </c>
      <c r="V208" s="4">
        <f>Q208*(1+0.01*growthrate!$F$3)^10</f>
        <v>5533375.6374231596</v>
      </c>
      <c r="W208" s="4">
        <f>R208*(1+0.01*growthrate!$F$3)^10</f>
        <v>3894611.363405006</v>
      </c>
    </row>
    <row r="209" spans="1:23" x14ac:dyDescent="0.2">
      <c r="A209" s="2" t="s">
        <v>425</v>
      </c>
      <c r="B209" s="8" t="s">
        <v>426</v>
      </c>
      <c r="C209" s="4" t="s">
        <v>779</v>
      </c>
      <c r="D209" s="5">
        <v>190736</v>
      </c>
      <c r="E209" s="5">
        <v>52311</v>
      </c>
      <c r="F209" s="5">
        <v>243047</v>
      </c>
      <c r="G209" s="5">
        <v>484764</v>
      </c>
      <c r="H209" s="14">
        <v>1625728</v>
      </c>
      <c r="I209" s="12">
        <f>D209*(1+0.01*growthrate!E210)^2</f>
        <v>190736</v>
      </c>
      <c r="J209" s="4">
        <f>E209*(1+0.01*growthrate!$E$3)^2</f>
        <v>53892.099974999983</v>
      </c>
      <c r="K209" s="4">
        <f>F209*(1+0.01*growthrate!$E$3)^2</f>
        <v>250393.09557499993</v>
      </c>
      <c r="L209" s="4">
        <f>G209*(1+0.01*growthrate!$E$3)^2</f>
        <v>499415.99189999985</v>
      </c>
      <c r="M209" s="4">
        <f>H209*(1+0.01*growthrate!$E$3)^2</f>
        <v>1674865.6287999996</v>
      </c>
      <c r="N209" s="12">
        <f>I209*(1+0.01*growthrate!$E$3)^5</f>
        <v>205476.84176489001</v>
      </c>
      <c r="O209" s="4">
        <f>J209*(1+0.01*growthrate!$E$3)^5</f>
        <v>58057.09723880497</v>
      </c>
      <c r="P209" s="4">
        <f>K209*(1+0.01*growthrate!$E$3)^5</f>
        <v>269744.4765460387</v>
      </c>
      <c r="Q209" s="4">
        <f>L209*(1+0.01*growthrate!$E$3)^5</f>
        <v>538012.85935791803</v>
      </c>
      <c r="R209" s="4">
        <f>M209*(1+0.01*growthrate!$E$3)^5</f>
        <v>1804305.9505619837</v>
      </c>
      <c r="S209" s="12">
        <f>N209*(1+0.01*growthrate!$F$3)^10</f>
        <v>220321.85903017523</v>
      </c>
      <c r="T209" s="4">
        <f>O209*(1+0.01*growthrate!$F$3)^10</f>
        <v>62251.529095357226</v>
      </c>
      <c r="U209" s="4">
        <f>P209*(1+0.01*growthrate!$F$3)^10</f>
        <v>289232.61631471943</v>
      </c>
      <c r="V209" s="4">
        <f>Q209*(1+0.01*growthrate!$F$3)^10</f>
        <v>576882.49604063679</v>
      </c>
      <c r="W209" s="4">
        <f>R209*(1+0.01*growthrate!$F$3)^10</f>
        <v>1934661.0443909869</v>
      </c>
    </row>
    <row r="210" spans="1:23" x14ac:dyDescent="0.2">
      <c r="A210" s="2" t="s">
        <v>427</v>
      </c>
      <c r="B210" s="8" t="s">
        <v>428</v>
      </c>
      <c r="C210" s="4" t="s">
        <v>779</v>
      </c>
      <c r="D210" s="5">
        <v>2603374</v>
      </c>
      <c r="E210" s="5">
        <v>881548</v>
      </c>
      <c r="F210" s="5">
        <v>3484922</v>
      </c>
      <c r="G210" s="5">
        <v>1408371</v>
      </c>
      <c r="H210" s="14">
        <v>1551542</v>
      </c>
      <c r="I210" s="12">
        <f>D210*(1+0.01*growthrate!E211)^2</f>
        <v>2603374</v>
      </c>
      <c r="J210" s="4">
        <f>E210*(1+0.01*growthrate!$E$3)^2</f>
        <v>908192.78829999978</v>
      </c>
      <c r="K210" s="4">
        <f>F210*(1+0.01*growthrate!$E$3)^2</f>
        <v>3590253.7674499992</v>
      </c>
      <c r="L210" s="4">
        <f>G210*(1+0.01*growthrate!$E$3)^2</f>
        <v>1450939.0134749997</v>
      </c>
      <c r="M210" s="4">
        <f>H210*(1+0.01*growthrate!$E$3)^2</f>
        <v>1598437.3569499995</v>
      </c>
      <c r="N210" s="12">
        <f>I210*(1+0.01*growthrate!$E$3)^5</f>
        <v>2804573.1663284791</v>
      </c>
      <c r="O210" s="4">
        <f>J210*(1+0.01*growthrate!$E$3)^5</f>
        <v>978381.56327873771</v>
      </c>
      <c r="P210" s="4">
        <f>K210*(1+0.01*growthrate!$E$3)^5</f>
        <v>3867722.9535594946</v>
      </c>
      <c r="Q210" s="4">
        <f>L210*(1+0.01*growthrate!$E$3)^5</f>
        <v>1563073.3898283918</v>
      </c>
      <c r="R210" s="4">
        <f>M210*(1+0.01*growthrate!$E$3)^5</f>
        <v>1721970.9958534522</v>
      </c>
      <c r="S210" s="12">
        <f>N210*(1+0.01*growthrate!$F$3)^10</f>
        <v>3007194.2340765423</v>
      </c>
      <c r="T210" s="4">
        <f>O210*(1+0.01*growthrate!$F$3)^10</f>
        <v>1049066.3717182614</v>
      </c>
      <c r="U210" s="4">
        <f>P210*(1+0.01*growthrate!$F$3)^10</f>
        <v>4147153.0515197669</v>
      </c>
      <c r="V210" s="4">
        <f>Q210*(1+0.01*growthrate!$F$3)^10</f>
        <v>1676000.2348178655</v>
      </c>
      <c r="W210" s="4">
        <f>R210*(1+0.01*growthrate!$F$3)^10</f>
        <v>1846377.6635061218</v>
      </c>
    </row>
    <row r="211" spans="1:23" x14ac:dyDescent="0.2">
      <c r="A211" s="2" t="s">
        <v>429</v>
      </c>
      <c r="B211" s="8" t="s">
        <v>430</v>
      </c>
      <c r="C211" s="4" t="s">
        <v>779</v>
      </c>
      <c r="D211" s="5">
        <v>3777608</v>
      </c>
      <c r="E211" s="5">
        <v>24174</v>
      </c>
      <c r="F211" s="5">
        <v>3801782</v>
      </c>
      <c r="G211" s="5">
        <v>2143204</v>
      </c>
      <c r="H211" s="14">
        <v>3358811</v>
      </c>
      <c r="I211" s="12">
        <f>D211*(1+0.01*growthrate!E212)^2</f>
        <v>3777608</v>
      </c>
      <c r="J211" s="4">
        <f>E211*(1+0.01*growthrate!$E$3)^2</f>
        <v>24904.659149999992</v>
      </c>
      <c r="K211" s="4">
        <f>F211*(1+0.01*growthrate!$E$3)^2</f>
        <v>3916690.8609499987</v>
      </c>
      <c r="L211" s="4">
        <f>G211*(1+0.01*growthrate!$E$3)^2</f>
        <v>2207982.3408999993</v>
      </c>
      <c r="M211" s="4">
        <f>H211*(1+0.01*growthrate!$E$3)^2</f>
        <v>3460331.0624749991</v>
      </c>
      <c r="N211" s="12">
        <f>I211*(1+0.01*growthrate!$E$3)^5</f>
        <v>4069556.6713456432</v>
      </c>
      <c r="O211" s="4">
        <f>J211*(1+0.01*growthrate!$E$3)^5</f>
        <v>26829.390924487609</v>
      </c>
      <c r="P211" s="4">
        <f>K211*(1+0.01*growthrate!$E$3)^5</f>
        <v>4219388.4126615515</v>
      </c>
      <c r="Q211" s="4">
        <f>L211*(1+0.01*growthrate!$E$3)^5</f>
        <v>2378624.0567107447</v>
      </c>
      <c r="R211" s="4">
        <f>M211*(1+0.01*growthrate!$E$3)^5</f>
        <v>3727759.3017485379</v>
      </c>
      <c r="S211" s="12">
        <f>N211*(1+0.01*growthrate!$F$3)^10</f>
        <v>4363568.5830009133</v>
      </c>
      <c r="T211" s="4">
        <f>O211*(1+0.01*growthrate!$F$3)^10</f>
        <v>28767.725035865602</v>
      </c>
      <c r="U211" s="4">
        <f>P211*(1+0.01*growthrate!$F$3)^10</f>
        <v>4524225.1684579793</v>
      </c>
      <c r="V211" s="4">
        <f>Q211*(1+0.01*growthrate!$F$3)^10</f>
        <v>2550471.7203510925</v>
      </c>
      <c r="W211" s="4">
        <f>R211*(1+0.01*growthrate!$F$3)^10</f>
        <v>3997077.4921585498</v>
      </c>
    </row>
    <row r="212" spans="1:23" x14ac:dyDescent="0.2">
      <c r="A212" s="2" t="s">
        <v>431</v>
      </c>
      <c r="B212" s="8" t="s">
        <v>432</v>
      </c>
      <c r="C212" s="4" t="s">
        <v>779</v>
      </c>
      <c r="D212" s="5">
        <v>1865914</v>
      </c>
      <c r="E212" s="5">
        <v>673757</v>
      </c>
      <c r="F212" s="5">
        <v>2539671</v>
      </c>
      <c r="G212" s="5">
        <v>1939181</v>
      </c>
      <c r="H212" s="14">
        <v>4105614</v>
      </c>
      <c r="I212" s="12">
        <f>D212*(1+0.01*growthrate!E213)^2</f>
        <v>1865914</v>
      </c>
      <c r="J212" s="4">
        <f>E212*(1+0.01*growthrate!$E$3)^2</f>
        <v>694121.30532499985</v>
      </c>
      <c r="K212" s="4">
        <f>F212*(1+0.01*growthrate!$E$3)^2</f>
        <v>2616432.5559749994</v>
      </c>
      <c r="L212" s="4">
        <f>G212*(1+0.01*growthrate!$E$3)^2</f>
        <v>1997792.7457249996</v>
      </c>
      <c r="M212" s="4">
        <f>H212*(1+0.01*growthrate!$E$3)^2</f>
        <v>4229706.183149999</v>
      </c>
      <c r="N212" s="12">
        <f>I212*(1+0.01*growthrate!$E$3)^5</f>
        <v>2010119.3048239083</v>
      </c>
      <c r="O212" s="4">
        <f>J212*(1+0.01*growthrate!$E$3)^5</f>
        <v>747765.7789819641</v>
      </c>
      <c r="P212" s="4">
        <f>K212*(1+0.01*growthrate!$E$3)^5</f>
        <v>2818640.9397941749</v>
      </c>
      <c r="Q212" s="4">
        <f>L212*(1+0.01*growthrate!$E$3)^5</f>
        <v>2152190.1680457853</v>
      </c>
      <c r="R212" s="4">
        <f>M212*(1+0.01*growthrate!$E$3)^5</f>
        <v>4556594.8122383254</v>
      </c>
      <c r="S212" s="12">
        <f>N212*(1+0.01*growthrate!$F$3)^10</f>
        <v>2155343.727825006</v>
      </c>
      <c r="T212" s="4">
        <f>O212*(1+0.01*growthrate!$F$3)^10</f>
        <v>801789.36530941108</v>
      </c>
      <c r="U212" s="4">
        <f>P212*(1+0.01*growthrate!$F$3)^10</f>
        <v>3022278.3573079277</v>
      </c>
      <c r="V212" s="4">
        <f>Q212*(1+0.01*growthrate!$F$3)^10</f>
        <v>2307678.7376013445</v>
      </c>
      <c r="W212" s="4">
        <f>R212*(1+0.01*growthrate!$F$3)^10</f>
        <v>4885793.6069909958</v>
      </c>
    </row>
    <row r="213" spans="1:23" x14ac:dyDescent="0.2">
      <c r="A213" s="2" t="s">
        <v>433</v>
      </c>
      <c r="B213" s="8" t="s">
        <v>434</v>
      </c>
      <c r="C213" s="4" t="s">
        <v>779</v>
      </c>
      <c r="D213" s="5">
        <v>11925105</v>
      </c>
      <c r="E213" s="5">
        <v>477572</v>
      </c>
      <c r="F213" s="5">
        <v>12402677</v>
      </c>
      <c r="G213" s="5">
        <v>17116296</v>
      </c>
      <c r="H213" s="14">
        <v>7441610</v>
      </c>
      <c r="I213" s="12">
        <f>D213*(1+0.01*growthrate!E214)^2</f>
        <v>11925105</v>
      </c>
      <c r="J213" s="4">
        <f>E213*(1+0.01*growthrate!$E$3)^2</f>
        <v>492006.61369999987</v>
      </c>
      <c r="K213" s="4">
        <f>F213*(1+0.01*growthrate!$E$3)^2</f>
        <v>12777547.912324997</v>
      </c>
      <c r="L213" s="4">
        <f>G213*(1+0.01*growthrate!$E$3)^2</f>
        <v>17633636.046599995</v>
      </c>
      <c r="M213" s="4">
        <f>H213*(1+0.01*growthrate!$E$3)^2</f>
        <v>7666532.6622499982</v>
      </c>
      <c r="N213" s="12">
        <f>I213*(1+0.01*growthrate!$E$3)^5</f>
        <v>12846724.861141572</v>
      </c>
      <c r="O213" s="4">
        <f>J213*(1+0.01*growthrate!$E$3)^5</f>
        <v>530030.85474432854</v>
      </c>
      <c r="P213" s="4">
        <f>K213*(1+0.01*growthrate!$E$3)^5</f>
        <v>13765047.974813901</v>
      </c>
      <c r="Q213" s="4">
        <f>L213*(1+0.01*growthrate!$E$3)^5</f>
        <v>18996434.043321073</v>
      </c>
      <c r="R213" s="4">
        <f>M213*(1+0.01*growthrate!$E$3)^5</f>
        <v>8259033.0022990098</v>
      </c>
      <c r="S213" s="12">
        <f>N213*(1+0.01*growthrate!$F$3)^10</f>
        <v>13774857.933111934</v>
      </c>
      <c r="T213" s="4">
        <f>O213*(1+0.01*growthrate!$F$3)^10</f>
        <v>568323.81818600185</v>
      </c>
      <c r="U213" s="4">
        <f>P213*(1+0.01*growthrate!$F$3)^10</f>
        <v>14759526.832326241</v>
      </c>
      <c r="V213" s="4">
        <f>Q213*(1+0.01*growthrate!$F$3)^10</f>
        <v>20368863.115764305</v>
      </c>
      <c r="W213" s="4">
        <f>R213*(1+0.01*growthrate!$F$3)^10</f>
        <v>8855720.6215002835</v>
      </c>
    </row>
    <row r="214" spans="1:23" x14ac:dyDescent="0.2">
      <c r="A214" s="2" t="s">
        <v>435</v>
      </c>
      <c r="B214" s="8" t="s">
        <v>436</v>
      </c>
      <c r="C214" s="4" t="s">
        <v>779</v>
      </c>
      <c r="D214" s="5">
        <v>1539396</v>
      </c>
      <c r="E214" s="5">
        <v>13272</v>
      </c>
      <c r="F214" s="5">
        <v>1552668</v>
      </c>
      <c r="G214" s="5">
        <v>3609249</v>
      </c>
      <c r="H214" s="14">
        <v>2641273</v>
      </c>
      <c r="I214" s="12">
        <f>D214*(1+0.01*growthrate!E215)^2</f>
        <v>1539396</v>
      </c>
      <c r="J214" s="4">
        <f>E214*(1+0.01*growthrate!$E$3)^2</f>
        <v>13673.146199999996</v>
      </c>
      <c r="K214" s="4">
        <f>F214*(1+0.01*growthrate!$E$3)^2</f>
        <v>1599597.3902999996</v>
      </c>
      <c r="L214" s="4">
        <f>G214*(1+0.01*growthrate!$E$3)^2</f>
        <v>3718338.551024999</v>
      </c>
      <c r="M214" s="4">
        <f>H214*(1+0.01*growthrate!$E$3)^2</f>
        <v>2721105.4764249991</v>
      </c>
      <c r="N214" s="12">
        <f>I214*(1+0.01*growthrate!$E$3)^5</f>
        <v>1658366.6864435903</v>
      </c>
      <c r="O214" s="4">
        <f>J214*(1+0.01*growthrate!$E$3)^5</f>
        <v>14729.861684032412</v>
      </c>
      <c r="P214" s="4">
        <f>K214*(1+0.01*growthrate!$E$3)^5</f>
        <v>1723220.6812253797</v>
      </c>
      <c r="Q214" s="4">
        <f>L214*(1+0.01*growthrate!$E$3)^5</f>
        <v>4005706.6420458336</v>
      </c>
      <c r="R214" s="4">
        <f>M214*(1+0.01*growthrate!$E$3)^5</f>
        <v>2931403.4026348209</v>
      </c>
      <c r="S214" s="12">
        <f>N214*(1+0.01*growthrate!$F$3)^10</f>
        <v>1778178.1546410518</v>
      </c>
      <c r="T214" s="4">
        <f>O214*(1+0.01*growthrate!$F$3)^10</f>
        <v>15794.045117730135</v>
      </c>
      <c r="U214" s="4">
        <f>P214*(1+0.01*growthrate!$F$3)^10</f>
        <v>1847717.634482807</v>
      </c>
      <c r="V214" s="4">
        <f>Q214*(1+0.01*growthrate!$F$3)^10</f>
        <v>4295105.6018024692</v>
      </c>
      <c r="W214" s="4">
        <f>R214*(1+0.01*growthrate!$F$3)^10</f>
        <v>3143187.5324173016</v>
      </c>
    </row>
    <row r="215" spans="1:23" x14ac:dyDescent="0.2">
      <c r="A215" s="2" t="s">
        <v>437</v>
      </c>
      <c r="B215" s="8" t="s">
        <v>438</v>
      </c>
      <c r="C215" s="4" t="s">
        <v>779</v>
      </c>
      <c r="D215" s="5">
        <v>2694</v>
      </c>
      <c r="E215" s="5">
        <v>682606</v>
      </c>
      <c r="F215" s="5">
        <v>685300</v>
      </c>
      <c r="G215" s="5">
        <v>577444</v>
      </c>
      <c r="H215" s="14">
        <v>1603925</v>
      </c>
      <c r="I215" s="12">
        <f>D215*(1+0.01*growthrate!E216)^2</f>
        <v>2694</v>
      </c>
      <c r="J215" s="4">
        <f>E215*(1+0.01*growthrate!$E$3)^2</f>
        <v>703237.76634999982</v>
      </c>
      <c r="K215" s="4">
        <f>F215*(1+0.01*growthrate!$E$3)^2</f>
        <v>706013.19249999977</v>
      </c>
      <c r="L215" s="4">
        <f>G215*(1+0.01*growthrate!$E$3)^2</f>
        <v>594897.24489999982</v>
      </c>
      <c r="M215" s="4">
        <f>H215*(1+0.01*growthrate!$E$3)^2</f>
        <v>1652403.6331249995</v>
      </c>
      <c r="N215" s="12">
        <f>I215*(1+0.01*growthrate!$E$3)^5</f>
        <v>2902.2031064645043</v>
      </c>
      <c r="O215" s="4">
        <f>J215*(1+0.01*growthrate!$E$3)^5</f>
        <v>757586.79661623191</v>
      </c>
      <c r="P215" s="4">
        <f>K215*(1+0.01*growthrate!$E$3)^5</f>
        <v>760576.71881158929</v>
      </c>
      <c r="Q215" s="4">
        <f>L215*(1+0.01*growthrate!$E$3)^5</f>
        <v>640873.28588565497</v>
      </c>
      <c r="R215" s="4">
        <f>M215*(1+0.01*growthrate!$E$3)^5</f>
        <v>1780108.001925986</v>
      </c>
      <c r="S215" s="12">
        <f>N215*(1+0.01*growthrate!$F$3)^10</f>
        <v>3111.8776121303376</v>
      </c>
      <c r="T215" s="4">
        <f>O215*(1+0.01*growthrate!$F$3)^10</f>
        <v>812319.9187487415</v>
      </c>
      <c r="U215" s="4">
        <f>P215*(1+0.01*growthrate!$F$3)^10</f>
        <v>815525.85286169848</v>
      </c>
      <c r="V215" s="4">
        <f>Q215*(1+0.01*growthrate!$F$3)^10</f>
        <v>687174.24570242316</v>
      </c>
      <c r="W215" s="4">
        <f>R215*(1+0.01*growthrate!$F$3)^10</f>
        <v>1908714.8745822262</v>
      </c>
    </row>
    <row r="216" spans="1:23" x14ac:dyDescent="0.2">
      <c r="A216" s="2" t="s">
        <v>439</v>
      </c>
      <c r="B216" s="8" t="s">
        <v>440</v>
      </c>
      <c r="C216" s="4" t="s">
        <v>779</v>
      </c>
      <c r="D216" s="5">
        <v>618815</v>
      </c>
      <c r="E216" s="5">
        <v>1055879</v>
      </c>
      <c r="F216" s="5">
        <v>1674694</v>
      </c>
      <c r="G216" s="5">
        <v>661677</v>
      </c>
      <c r="H216" s="14">
        <v>1063076</v>
      </c>
      <c r="I216" s="12">
        <f>D216*(1+0.01*growthrate!E217)^2</f>
        <v>618815</v>
      </c>
      <c r="J216" s="4">
        <f>E216*(1+0.01*growthrate!$E$3)^2</f>
        <v>1087792.9427749997</v>
      </c>
      <c r="K216" s="4">
        <f>F216*(1+0.01*growthrate!$E$3)^2</f>
        <v>1725311.6261499994</v>
      </c>
      <c r="L216" s="4">
        <f>G216*(1+0.01*growthrate!$E$3)^2</f>
        <v>681676.18732499983</v>
      </c>
      <c r="M216" s="4">
        <f>H216*(1+0.01*growthrate!$E$3)^2</f>
        <v>1095207.4720999997</v>
      </c>
      <c r="N216" s="12">
        <f>I216*(1+0.01*growthrate!$E$3)^5</f>
        <v>666639.50086370902</v>
      </c>
      <c r="O216" s="4">
        <f>J216*(1+0.01*growthrate!$E$3)^5</f>
        <v>1171861.9367898176</v>
      </c>
      <c r="P216" s="4">
        <f>K216*(1+0.01*growthrate!$E$3)^5</f>
        <v>1858650.6165671321</v>
      </c>
      <c r="Q216" s="4">
        <f>L216*(1+0.01*growthrate!$E$3)^5</f>
        <v>734358.85243411059</v>
      </c>
      <c r="R216" s="4">
        <f>M216*(1+0.01*growthrate!$E$3)^5</f>
        <v>1179849.4906279717</v>
      </c>
      <c r="S216" s="12">
        <f>N216*(1+0.01*growthrate!$F$3)^10</f>
        <v>714801.98387172783</v>
      </c>
      <c r="T216" s="4">
        <f>O216*(1+0.01*growthrate!$F$3)^10</f>
        <v>1256525.0576298807</v>
      </c>
      <c r="U216" s="4">
        <f>P216*(1+0.01*growthrate!$F$3)^10</f>
        <v>1992931.9314641312</v>
      </c>
      <c r="V216" s="4">
        <f>Q216*(1+0.01*growthrate!$F$3)^10</f>
        <v>787413.83298405097</v>
      </c>
      <c r="W216" s="4">
        <f>R216*(1+0.01*growthrate!$F$3)^10</f>
        <v>1265089.6856220674</v>
      </c>
    </row>
    <row r="217" spans="1:23" x14ac:dyDescent="0.2">
      <c r="A217" s="2" t="s">
        <v>441</v>
      </c>
      <c r="B217" s="8" t="s">
        <v>442</v>
      </c>
      <c r="C217" s="4" t="s">
        <v>779</v>
      </c>
      <c r="D217" s="5">
        <v>1100882</v>
      </c>
      <c r="E217" s="5">
        <v>1854235</v>
      </c>
      <c r="F217" s="5">
        <v>2955117</v>
      </c>
      <c r="G217" s="5">
        <v>1436643</v>
      </c>
      <c r="H217" s="14">
        <v>2611262</v>
      </c>
      <c r="I217" s="12">
        <f>D217*(1+0.01*growthrate!E218)^2</f>
        <v>1100882</v>
      </c>
      <c r="J217" s="4">
        <f>E217*(1+0.01*growthrate!$E$3)^2</f>
        <v>1910279.2528749995</v>
      </c>
      <c r="K217" s="4">
        <f>F217*(1+0.01*growthrate!$E$3)^2</f>
        <v>3044435.4113249993</v>
      </c>
      <c r="L217" s="4">
        <f>G217*(1+0.01*growthrate!$E$3)^2</f>
        <v>1480065.5346749995</v>
      </c>
      <c r="M217" s="4">
        <f>H217*(1+0.01*growthrate!$E$3)^2</f>
        <v>2690187.3939499995</v>
      </c>
      <c r="N217" s="12">
        <f>I217*(1+0.01*growthrate!$E$3)^5</f>
        <v>1185962.5687642377</v>
      </c>
      <c r="O217" s="4">
        <f>J217*(1+0.01*growthrate!$E$3)^5</f>
        <v>2057913.2820744307</v>
      </c>
      <c r="P217" s="4">
        <f>K217*(1+0.01*growthrate!$E$3)^5</f>
        <v>3279721.569479567</v>
      </c>
      <c r="Q217" s="4">
        <f>L217*(1+0.01*growthrate!$E$3)^5</f>
        <v>1594450.9252059506</v>
      </c>
      <c r="R217" s="4">
        <f>M217*(1+0.01*growthrate!$E$3)^5</f>
        <v>2898095.8469537259</v>
      </c>
      <c r="S217" s="12">
        <f>N217*(1+0.01*growthrate!$F$3)^10</f>
        <v>1271644.4132877765</v>
      </c>
      <c r="T217" s="4">
        <f>O217*(1+0.01*growthrate!$F$3)^10</f>
        <v>2206590.6607048176</v>
      </c>
      <c r="U217" s="4">
        <f>P217*(1+0.01*growthrate!$F$3)^10</f>
        <v>3516670.5263842167</v>
      </c>
      <c r="V217" s="4">
        <f>Q217*(1+0.01*growthrate!$F$3)^10</f>
        <v>1709644.6925912579</v>
      </c>
      <c r="W217" s="4">
        <f>R217*(1+0.01*growthrate!$F$3)^10</f>
        <v>3107473.616803363</v>
      </c>
    </row>
    <row r="218" spans="1:23" x14ac:dyDescent="0.2">
      <c r="A218" s="2" t="s">
        <v>443</v>
      </c>
      <c r="B218" s="8" t="s">
        <v>444</v>
      </c>
      <c r="C218" s="4" t="s">
        <v>779</v>
      </c>
      <c r="D218" s="5">
        <v>305692</v>
      </c>
      <c r="E218" s="5">
        <v>25126</v>
      </c>
      <c r="F218" s="5">
        <v>330818</v>
      </c>
      <c r="G218" s="5">
        <v>163303</v>
      </c>
      <c r="H218" s="14">
        <v>491269</v>
      </c>
      <c r="I218" s="12">
        <f>D218*(1+0.01*growthrate!E219)^2</f>
        <v>305692</v>
      </c>
      <c r="J218" s="4">
        <f>E218*(1+0.01*growthrate!$E$3)^2</f>
        <v>25885.433349999992</v>
      </c>
      <c r="K218" s="4">
        <f>F218*(1+0.01*growthrate!$E$3)^2</f>
        <v>340816.9740499999</v>
      </c>
      <c r="L218" s="4">
        <f>G218*(1+0.01*growthrate!$E$3)^2</f>
        <v>168238.83317499995</v>
      </c>
      <c r="M218" s="4">
        <f>H218*(1+0.01*growthrate!$E$3)^2</f>
        <v>506117.60552499985</v>
      </c>
      <c r="N218" s="12">
        <f>I218*(1+0.01*growthrate!$E$3)^5</f>
        <v>329317.10171542212</v>
      </c>
      <c r="O218" s="4">
        <f>J218*(1+0.01*growthrate!$E$3)^5</f>
        <v>27885.963281570104</v>
      </c>
      <c r="P218" s="4">
        <f>K218*(1+0.01*growthrate!$E$3)^5</f>
        <v>367156.67439634079</v>
      </c>
      <c r="Q218" s="4">
        <f>L218*(1+0.01*growthrate!$E$3)^5</f>
        <v>181241.00381159925</v>
      </c>
      <c r="R218" s="4">
        <f>M218*(1+0.01*growthrate!$E$3)^5</f>
        <v>545232.40051634412</v>
      </c>
      <c r="S218" s="12">
        <f>N218*(1+0.01*growthrate!$F$3)^10</f>
        <v>353109.16518461285</v>
      </c>
      <c r="T218" s="4">
        <f>O218*(1+0.01*growthrate!$F$3)^10</f>
        <v>29900.631225744983</v>
      </c>
      <c r="U218" s="4">
        <f>P218*(1+0.01*growthrate!$F$3)^10</f>
        <v>393682.52092806267</v>
      </c>
      <c r="V218" s="4">
        <f>Q218*(1+0.01*growthrate!$F$3)^10</f>
        <v>194335.06252717634</v>
      </c>
      <c r="W218" s="4">
        <f>R218*(1+0.01*growthrate!$F$3)^10</f>
        <v>584623.62499564234</v>
      </c>
    </row>
    <row r="219" spans="1:23" x14ac:dyDescent="0.2">
      <c r="A219" s="2" t="s">
        <v>445</v>
      </c>
      <c r="B219" s="8" t="s">
        <v>446</v>
      </c>
      <c r="C219" s="4" t="s">
        <v>779</v>
      </c>
      <c r="D219" s="5">
        <v>1025841</v>
      </c>
      <c r="E219" s="5">
        <v>276144</v>
      </c>
      <c r="F219" s="5">
        <v>1301985</v>
      </c>
      <c r="G219" s="5">
        <v>1201570</v>
      </c>
      <c r="H219" s="14">
        <v>2821636</v>
      </c>
      <c r="I219" s="12">
        <f>D219*(1+0.01*growthrate!E220)^2</f>
        <v>1025841</v>
      </c>
      <c r="J219" s="4">
        <f>E219*(1+0.01*growthrate!$E$3)^2</f>
        <v>284490.45239999995</v>
      </c>
      <c r="K219" s="4">
        <f>F219*(1+0.01*growthrate!$E$3)^2</f>
        <v>1341337.4966249997</v>
      </c>
      <c r="L219" s="4">
        <f>G219*(1+0.01*growthrate!$E$3)^2</f>
        <v>1237887.4532499996</v>
      </c>
      <c r="M219" s="4">
        <f>H219*(1+0.01*growthrate!$E$3)^2</f>
        <v>2906919.9480999992</v>
      </c>
      <c r="N219" s="12">
        <f>I219*(1+0.01*growthrate!$E$3)^5</f>
        <v>1105122.0998287504</v>
      </c>
      <c r="O219" s="4">
        <f>J219*(1+0.01*growthrate!$E$3)^5</f>
        <v>306477.01362834894</v>
      </c>
      <c r="P219" s="4">
        <f>K219*(1+0.01*growthrate!$E$3)^5</f>
        <v>1445001.4289244229</v>
      </c>
      <c r="Q219" s="4">
        <f>L219*(1+0.01*growthrate!$E$3)^5</f>
        <v>1333556.3519953906</v>
      </c>
      <c r="R219" s="4">
        <f>M219*(1+0.01*growthrate!$E$3)^5</f>
        <v>3131578.3606605246</v>
      </c>
      <c r="S219" s="12">
        <f>N219*(1+0.01*growthrate!$F$3)^10</f>
        <v>1184963.4897941342</v>
      </c>
      <c r="T219" s="4">
        <f>O219*(1+0.01*growthrate!$F$3)^10</f>
        <v>328618.95682568348</v>
      </c>
      <c r="U219" s="4">
        <f>P219*(1+0.01*growthrate!$F$3)^10</f>
        <v>1549397.9680988449</v>
      </c>
      <c r="V219" s="4">
        <f>Q219*(1+0.01*growthrate!$F$3)^10</f>
        <v>1429901.3556442885</v>
      </c>
      <c r="W219" s="4">
        <f>R219*(1+0.01*growthrate!$F$3)^10</f>
        <v>3357824.4642715179</v>
      </c>
    </row>
    <row r="220" spans="1:23" x14ac:dyDescent="0.2">
      <c r="A220" s="2" t="s">
        <v>447</v>
      </c>
      <c r="B220" s="8" t="s">
        <v>448</v>
      </c>
      <c r="C220" s="4" t="s">
        <v>779</v>
      </c>
      <c r="D220" s="5">
        <v>3160346</v>
      </c>
      <c r="E220" s="5">
        <v>1127645</v>
      </c>
      <c r="F220" s="5">
        <v>4287991</v>
      </c>
      <c r="G220" s="5">
        <v>5335404</v>
      </c>
      <c r="H220" s="14">
        <v>5076359</v>
      </c>
      <c r="I220" s="12">
        <f>D220*(1+0.01*growthrate!E221)^2</f>
        <v>3160346</v>
      </c>
      <c r="J220" s="4">
        <f>E220*(1+0.01*growthrate!$E$3)^2</f>
        <v>1161728.0701249996</v>
      </c>
      <c r="K220" s="4">
        <f>F220*(1+0.01*growthrate!$E$3)^2</f>
        <v>4417595.5279749986</v>
      </c>
      <c r="L220" s="4">
        <f>G220*(1+0.01*growthrate!$E$3)^2</f>
        <v>5496666.5858999984</v>
      </c>
      <c r="M220" s="4">
        <f>H220*(1+0.01*growthrate!$E$3)^2</f>
        <v>5229791.9507749984</v>
      </c>
      <c r="N220" s="12">
        <f>I220*(1+0.01*growthrate!$E$3)^5</f>
        <v>3404590.1925399667</v>
      </c>
      <c r="O220" s="4">
        <f>J220*(1+0.01*growthrate!$E$3)^5</f>
        <v>1251511.0668091266</v>
      </c>
      <c r="P220" s="4">
        <f>K220*(1+0.01*growthrate!$E$3)^5</f>
        <v>4759004.9979186133</v>
      </c>
      <c r="Q220" s="4">
        <f>L220*(1+0.01*growthrate!$E$3)^5</f>
        <v>5921470.9876758046</v>
      </c>
      <c r="R220" s="4">
        <f>M220*(1+0.01*growthrate!$E$3)^5</f>
        <v>5633971.2122131623</v>
      </c>
      <c r="S220" s="12">
        <f>N220*(1+0.01*growthrate!$F$3)^10</f>
        <v>3650560.4914571876</v>
      </c>
      <c r="T220" s="4">
        <f>O220*(1+0.01*growthrate!$F$3)^10</f>
        <v>1341928.5719396321</v>
      </c>
      <c r="U220" s="4">
        <f>P220*(1+0.01*growthrate!$F$3)^10</f>
        <v>5102827.2542511122</v>
      </c>
      <c r="V220" s="4">
        <f>Q220*(1+0.01*growthrate!$F$3)^10</f>
        <v>6349277.538978138</v>
      </c>
      <c r="W220" s="4">
        <f>R220*(1+0.01*growthrate!$F$3)^10</f>
        <v>6041006.8625523979</v>
      </c>
    </row>
    <row r="221" spans="1:23" x14ac:dyDescent="0.2">
      <c r="A221" s="2" t="s">
        <v>449</v>
      </c>
      <c r="B221" s="8" t="s">
        <v>450</v>
      </c>
      <c r="C221" s="4" t="s">
        <v>779</v>
      </c>
      <c r="D221" s="5">
        <v>2426471</v>
      </c>
      <c r="E221" s="5">
        <v>95230</v>
      </c>
      <c r="F221" s="5">
        <v>2521701</v>
      </c>
      <c r="G221" s="5">
        <v>1643558</v>
      </c>
      <c r="H221" s="14">
        <v>1239535</v>
      </c>
      <c r="I221" s="12">
        <f>D221*(1+0.01*growthrate!E222)^2</f>
        <v>2426471</v>
      </c>
      <c r="J221" s="4">
        <f>E221*(1+0.01*growthrate!$E$3)^2</f>
        <v>98108.326749999978</v>
      </c>
      <c r="K221" s="4">
        <f>F221*(1+0.01*growthrate!$E$3)^2</f>
        <v>2597919.4127249992</v>
      </c>
      <c r="L221" s="4">
        <f>G221*(1+0.01*growthrate!$E$3)^2</f>
        <v>1693234.5405499996</v>
      </c>
      <c r="M221" s="4">
        <f>H221*(1+0.01*growthrate!$E$3)^2</f>
        <v>1276999.9453749997</v>
      </c>
      <c r="N221" s="12">
        <f>I221*(1+0.01*growthrate!$E$3)^5</f>
        <v>2613998.3941893214</v>
      </c>
      <c r="O221" s="4">
        <f>J221*(1+0.01*growthrate!$E$3)^5</f>
        <v>105690.53105563644</v>
      </c>
      <c r="P221" s="4">
        <f>K221*(1+0.01*growthrate!$E$3)^5</f>
        <v>2798697.0267093293</v>
      </c>
      <c r="Q221" s="4">
        <f>L221*(1+0.01*growthrate!$E$3)^5</f>
        <v>1824094.4853590224</v>
      </c>
      <c r="R221" s="4">
        <f>M221*(1+0.01*growthrate!$E$3)^5</f>
        <v>1375691.6141137069</v>
      </c>
      <c r="S221" s="12">
        <f>N221*(1+0.01*growthrate!$F$3)^10</f>
        <v>2802851.0695558693</v>
      </c>
      <c r="T221" s="4">
        <f>O221*(1+0.01*growthrate!$F$3)^10</f>
        <v>113326.31981324902</v>
      </c>
      <c r="U221" s="4">
        <f>P221*(1+0.01*growthrate!$F$3)^10</f>
        <v>3000893.5629464434</v>
      </c>
      <c r="V221" s="4">
        <f>Q221*(1+0.01*growthrate!$F$3)^10</f>
        <v>1955879.2349010177</v>
      </c>
      <c r="W221" s="4">
        <f>R221*(1+0.01*growthrate!$F$3)^10</f>
        <v>1475080.7500757703</v>
      </c>
    </row>
    <row r="222" spans="1:23" x14ac:dyDescent="0.2">
      <c r="A222" s="2" t="s">
        <v>451</v>
      </c>
      <c r="B222" s="8" t="s">
        <v>452</v>
      </c>
      <c r="C222" s="4" t="s">
        <v>779</v>
      </c>
      <c r="D222" s="5">
        <v>4296645</v>
      </c>
      <c r="E222" s="5">
        <v>1021409</v>
      </c>
      <c r="F222" s="5">
        <v>5318054</v>
      </c>
      <c r="G222" s="5">
        <v>2127152</v>
      </c>
      <c r="H222" s="14">
        <v>3425265</v>
      </c>
      <c r="I222" s="12">
        <f>D222*(1+0.01*growthrate!E223)^2</f>
        <v>4296645</v>
      </c>
      <c r="J222" s="4">
        <f>E222*(1+0.01*growthrate!$E$3)^2</f>
        <v>1052281.0870249998</v>
      </c>
      <c r="K222" s="4">
        <f>F222*(1+0.01*growthrate!$E$3)^2</f>
        <v>5478792.1821499988</v>
      </c>
      <c r="L222" s="4">
        <f>G222*(1+0.01*growthrate!$E$3)^2</f>
        <v>2191445.1691999994</v>
      </c>
      <c r="M222" s="4">
        <f>H222*(1+0.01*growthrate!$E$3)^2</f>
        <v>3528793.634624999</v>
      </c>
      <c r="N222" s="12">
        <f>I222*(1+0.01*growthrate!$E$3)^5</f>
        <v>4628706.9288697774</v>
      </c>
      <c r="O222" s="4">
        <f>J222*(1+0.01*growthrate!$E$3)^5</f>
        <v>1133605.5826420935</v>
      </c>
      <c r="P222" s="4">
        <f>K222*(1+0.01*growthrate!$E$3)^5</f>
        <v>5902215.1784369592</v>
      </c>
      <c r="Q222" s="4">
        <f>L222*(1+0.01*growthrate!$E$3)^5</f>
        <v>2360808.8261688454</v>
      </c>
      <c r="R222" s="4">
        <f>M222*(1+0.01*growthrate!$E$3)^5</f>
        <v>3801512.9355905126</v>
      </c>
      <c r="S222" s="12">
        <f>N222*(1+0.01*growthrate!$F$3)^10</f>
        <v>4963115.5838054027</v>
      </c>
      <c r="T222" s="4">
        <f>O222*(1+0.01*growthrate!$F$3)^10</f>
        <v>1215504.8093471685</v>
      </c>
      <c r="U222" s="4">
        <f>P222*(1+0.01*growthrate!$F$3)^10</f>
        <v>6328630.561673088</v>
      </c>
      <c r="V222" s="4">
        <f>Q222*(1+0.01*growthrate!$F$3)^10</f>
        <v>2531369.3987545129</v>
      </c>
      <c r="W222" s="4">
        <f>R222*(1+0.01*growthrate!$F$3)^10</f>
        <v>4076159.5803331761</v>
      </c>
    </row>
    <row r="223" spans="1:23" x14ac:dyDescent="0.2">
      <c r="A223" s="2" t="s">
        <v>453</v>
      </c>
      <c r="B223" s="8" t="s">
        <v>454</v>
      </c>
      <c r="C223" s="4" t="s">
        <v>779</v>
      </c>
      <c r="D223" s="5">
        <v>3529420</v>
      </c>
      <c r="E223" s="5">
        <v>11670</v>
      </c>
      <c r="F223" s="5">
        <v>3541090</v>
      </c>
      <c r="G223" s="5">
        <v>1114629</v>
      </c>
      <c r="H223" s="14">
        <v>2063540</v>
      </c>
      <c r="I223" s="12">
        <f>D223*(1+0.01*growthrate!E224)^2</f>
        <v>3529420</v>
      </c>
      <c r="J223" s="4">
        <f>E223*(1+0.01*growthrate!$E$3)^2</f>
        <v>12022.725749999996</v>
      </c>
      <c r="K223" s="4">
        <f>F223*(1+0.01*growthrate!$E$3)^2</f>
        <v>3648119.4452499989</v>
      </c>
      <c r="L223" s="4">
        <f>G223*(1+0.01*growthrate!$E$3)^2</f>
        <v>1148318.6615249997</v>
      </c>
      <c r="M223" s="4">
        <f>H223*(1+0.01*growthrate!$E$3)^2</f>
        <v>2125910.4964999994</v>
      </c>
      <c r="N223" s="12">
        <f>I223*(1+0.01*growthrate!$E$3)^5</f>
        <v>3802187.7089895881</v>
      </c>
      <c r="O223" s="4">
        <f>J223*(1+0.01*growthrate!$E$3)^5</f>
        <v>12951.890133563762</v>
      </c>
      <c r="P223" s="4">
        <f>K223*(1+0.01*growthrate!$E$3)^5</f>
        <v>3930060.7226273613</v>
      </c>
      <c r="Q223" s="4">
        <f>L223*(1+0.01*growthrate!$E$3)^5</f>
        <v>1237065.3254227971</v>
      </c>
      <c r="R223" s="4">
        <f>M223*(1+0.01*growthrate!$E$3)^5</f>
        <v>2290209.3715693373</v>
      </c>
      <c r="S223" s="12">
        <f>N223*(1+0.01*growthrate!$F$3)^10</f>
        <v>4076883.103862307</v>
      </c>
      <c r="T223" s="4">
        <f>O223*(1+0.01*growthrate!$F$3)^10</f>
        <v>13887.621046105385</v>
      </c>
      <c r="U223" s="4">
        <f>P223*(1+0.01*growthrate!$F$3)^10</f>
        <v>4213994.5167226493</v>
      </c>
      <c r="V223" s="4">
        <f>Q223*(1+0.01*growthrate!$F$3)^10</f>
        <v>1326439.1738645586</v>
      </c>
      <c r="W223" s="4">
        <f>R223*(1+0.01*growthrate!$F$3)^10</f>
        <v>2455669.3687643795</v>
      </c>
    </row>
    <row r="224" spans="1:23" x14ac:dyDescent="0.2">
      <c r="A224" s="2" t="s">
        <v>455</v>
      </c>
      <c r="B224" s="8" t="s">
        <v>456</v>
      </c>
      <c r="C224" s="4" t="s">
        <v>779</v>
      </c>
      <c r="D224" s="5">
        <v>2966846</v>
      </c>
      <c r="E224" s="5">
        <v>23515</v>
      </c>
      <c r="F224" s="5">
        <v>2990361</v>
      </c>
      <c r="G224" s="5">
        <v>690344</v>
      </c>
      <c r="H224" s="14">
        <v>1784096</v>
      </c>
      <c r="I224" s="12">
        <f>D224*(1+0.01*growthrate!E225)^2</f>
        <v>2966846</v>
      </c>
      <c r="J224" s="4">
        <f>E224*(1+0.01*growthrate!$E$3)^2</f>
        <v>24225.740874999992</v>
      </c>
      <c r="K224" s="4">
        <f>F224*(1+0.01*growthrate!$E$3)^2</f>
        <v>3080744.661224999</v>
      </c>
      <c r="L224" s="4">
        <f>G224*(1+0.01*growthrate!$E$3)^2</f>
        <v>711209.64739999978</v>
      </c>
      <c r="M224" s="4">
        <f>H224*(1+0.01*growthrate!$E$3)^2</f>
        <v>1838020.3015999994</v>
      </c>
      <c r="N224" s="12">
        <f>I224*(1+0.01*growthrate!$E$3)^5</f>
        <v>3196135.7377883405</v>
      </c>
      <c r="O224" s="4">
        <f>J224*(1+0.01*growthrate!$E$3)^5</f>
        <v>26098.003126885338</v>
      </c>
      <c r="P224" s="4">
        <f>K224*(1+0.01*growthrate!$E$3)^5</f>
        <v>3318836.9435898773</v>
      </c>
      <c r="Q224" s="4">
        <f>L224*(1+0.01*growthrate!$E$3)^5</f>
        <v>766174.77655226586</v>
      </c>
      <c r="R224" s="4">
        <f>M224*(1+0.01*growthrate!$E$3)^5</f>
        <v>1980069.8697284125</v>
      </c>
      <c r="S224" s="12">
        <f>N224*(1+0.01*growthrate!$F$3)^10</f>
        <v>3427045.8968219911</v>
      </c>
      <c r="T224" s="4">
        <f>O224*(1+0.01*growthrate!$F$3)^10</f>
        <v>27983.496906526834</v>
      </c>
      <c r="U224" s="4">
        <f>P224*(1+0.01*growthrate!$F$3)^10</f>
        <v>3558611.8559599612</v>
      </c>
      <c r="V224" s="4">
        <f>Q224*(1+0.01*growthrate!$F$3)^10</f>
        <v>821528.35162404261</v>
      </c>
      <c r="W224" s="4">
        <f>R224*(1+0.01*growthrate!$F$3)^10</f>
        <v>2123123.3211544501</v>
      </c>
    </row>
    <row r="225" spans="1:23" x14ac:dyDescent="0.2">
      <c r="A225" s="2" t="s">
        <v>457</v>
      </c>
      <c r="B225" s="8" t="s">
        <v>458</v>
      </c>
      <c r="C225" s="4" t="s">
        <v>779</v>
      </c>
      <c r="D225" s="5">
        <v>991137</v>
      </c>
      <c r="E225" s="5">
        <v>1176311</v>
      </c>
      <c r="F225" s="5">
        <v>2167448</v>
      </c>
      <c r="G225" s="5">
        <v>1214459</v>
      </c>
      <c r="H225" s="14">
        <v>3542180</v>
      </c>
      <c r="I225" s="12">
        <f>D225*(1+0.01*growthrate!E226)^2</f>
        <v>991137</v>
      </c>
      <c r="J225" s="4">
        <f>E225*(1+0.01*growthrate!$E$3)^2</f>
        <v>1211864.9999749996</v>
      </c>
      <c r="K225" s="4">
        <f>F225*(1+0.01*growthrate!$E$3)^2</f>
        <v>2232959.1157999993</v>
      </c>
      <c r="L225" s="4">
        <f>G225*(1+0.01*growthrate!$E$3)^2</f>
        <v>1251166.0232749996</v>
      </c>
      <c r="M225" s="4">
        <f>H225*(1+0.01*growthrate!$E$3)^2</f>
        <v>3649242.3904999988</v>
      </c>
      <c r="N225" s="12">
        <f>I225*(1+0.01*growthrate!$E$3)^5</f>
        <v>1067736.035757947</v>
      </c>
      <c r="O225" s="4">
        <f>J225*(1+0.01*growthrate!$E$3)^5</f>
        <v>1305522.7793404048</v>
      </c>
      <c r="P225" s="4">
        <f>K225*(1+0.01*growthrate!$E$3)^5</f>
        <v>2405531.1367791356</v>
      </c>
      <c r="Q225" s="4">
        <f>L225*(1+0.01*growthrate!$E$3)^5</f>
        <v>1347861.1430777819</v>
      </c>
      <c r="R225" s="4">
        <f>M225*(1+0.01*growthrate!$E$3)^5</f>
        <v>3931270.4535824242</v>
      </c>
      <c r="S225" s="12">
        <f>N225*(1+0.01*growthrate!$F$3)^10</f>
        <v>1144876.4071470031</v>
      </c>
      <c r="T225" s="4">
        <f>O225*(1+0.01*growthrate!$F$3)^10</f>
        <v>1399842.4507596635</v>
      </c>
      <c r="U225" s="4">
        <f>P225*(1+0.01*growthrate!$F$3)^10</f>
        <v>2579322.7473126845</v>
      </c>
      <c r="V225" s="4">
        <f>Q225*(1+0.01*growthrate!$F$3)^10</f>
        <v>1445239.6202255443</v>
      </c>
      <c r="W225" s="4">
        <f>R225*(1+0.01*growthrate!$F$3)^10</f>
        <v>4215291.6467089616</v>
      </c>
    </row>
    <row r="226" spans="1:23" x14ac:dyDescent="0.2">
      <c r="A226" s="2" t="s">
        <v>459</v>
      </c>
      <c r="B226" s="8" t="s">
        <v>460</v>
      </c>
      <c r="C226" s="4" t="s">
        <v>779</v>
      </c>
      <c r="D226" s="5">
        <v>1721107</v>
      </c>
      <c r="E226" s="5">
        <v>792268</v>
      </c>
      <c r="F226" s="5">
        <v>2513375</v>
      </c>
      <c r="G226" s="5">
        <v>2995561</v>
      </c>
      <c r="H226" s="14">
        <v>4588241</v>
      </c>
      <c r="I226" s="12">
        <f>D226*(1+0.01*growthrate!E227)^2</f>
        <v>1721107</v>
      </c>
      <c r="J226" s="4">
        <f>E226*(1+0.01*growthrate!$E$3)^2</f>
        <v>816214.30029999977</v>
      </c>
      <c r="K226" s="4">
        <f>F226*(1+0.01*growthrate!$E$3)^2</f>
        <v>2589341.7593749994</v>
      </c>
      <c r="L226" s="4">
        <f>G226*(1+0.01*growthrate!$E$3)^2</f>
        <v>3086101.8312249994</v>
      </c>
      <c r="M226" s="4">
        <f>H226*(1+0.01*growthrate!$E$3)^2</f>
        <v>4726920.584224999</v>
      </c>
      <c r="N226" s="12">
        <f>I226*(1+0.01*growthrate!$E$3)^5</f>
        <v>1854121.0400734239</v>
      </c>
      <c r="O226" s="4">
        <f>J226*(1+0.01*growthrate!$E$3)^5</f>
        <v>879294.60945486685</v>
      </c>
      <c r="P226" s="4">
        <f>K226*(1+0.01*growthrate!$E$3)^5</f>
        <v>2789456.4579645093</v>
      </c>
      <c r="Q226" s="4">
        <f>L226*(1+0.01*growthrate!$E$3)^5</f>
        <v>3324608.1371369669</v>
      </c>
      <c r="R226" s="4">
        <f>M226*(1+0.01*growthrate!$E$3)^5</f>
        <v>5092235.9330173722</v>
      </c>
      <c r="S226" s="12">
        <f>N226*(1+0.01*growthrate!$F$3)^10</f>
        <v>1988075.1081591719</v>
      </c>
      <c r="T226" s="4">
        <f>O226*(1+0.01*growthrate!$F$3)^10</f>
        <v>942820.71559175861</v>
      </c>
      <c r="U226" s="4">
        <f>P226*(1+0.01*growthrate!$F$3)^10</f>
        <v>2990985.3938950407</v>
      </c>
      <c r="V226" s="4">
        <f>Q226*(1+0.01*growthrate!$F$3)^10</f>
        <v>3564799.9990139245</v>
      </c>
      <c r="W226" s="4">
        <f>R226*(1+0.01*growthrate!$F$3)^10</f>
        <v>5460133.0142419552</v>
      </c>
    </row>
    <row r="227" spans="1:23" x14ac:dyDescent="0.2">
      <c r="A227" s="2" t="s">
        <v>461</v>
      </c>
      <c r="B227" s="8" t="s">
        <v>462</v>
      </c>
      <c r="C227" s="4" t="s">
        <v>779</v>
      </c>
      <c r="D227" s="5">
        <v>907747</v>
      </c>
      <c r="E227" s="5">
        <v>2151714</v>
      </c>
      <c r="F227" s="5">
        <v>3059461</v>
      </c>
      <c r="G227" s="5">
        <v>868786</v>
      </c>
      <c r="H227" s="14">
        <v>3178991</v>
      </c>
      <c r="I227" s="12">
        <f>D227*(1+0.01*growthrate!E228)^2</f>
        <v>907747</v>
      </c>
      <c r="J227" s="4">
        <f>E227*(1+0.01*growthrate!$E$3)^2</f>
        <v>2216749.5556499995</v>
      </c>
      <c r="K227" s="4">
        <f>F227*(1+0.01*growthrate!$E$3)^2</f>
        <v>3151933.2087249993</v>
      </c>
      <c r="L227" s="4">
        <f>G227*(1+0.01*growthrate!$E$3)^2</f>
        <v>895045.0568499997</v>
      </c>
      <c r="M227" s="4">
        <f>H227*(1+0.01*growthrate!$E$3)^2</f>
        <v>3275076.0029749991</v>
      </c>
      <c r="N227" s="12">
        <f>I227*(1+0.01*growthrate!$E$3)^5</f>
        <v>977901.32267402916</v>
      </c>
      <c r="O227" s="4">
        <f>J227*(1+0.01*growthrate!$E$3)^5</f>
        <v>2388068.8369195391</v>
      </c>
      <c r="P227" s="4">
        <f>K227*(1+0.01*growthrate!$E$3)^5</f>
        <v>3395527.2270713905</v>
      </c>
      <c r="Q227" s="4">
        <f>L227*(1+0.01*growthrate!$E$3)^5</f>
        <v>964217.72250028513</v>
      </c>
      <c r="R227" s="4">
        <f>M227*(1+0.01*growthrate!$E$3)^5</f>
        <v>3528186.9895105399</v>
      </c>
      <c r="S227" s="12">
        <f>N227*(1+0.01*growthrate!$F$3)^10</f>
        <v>1048551.4353297986</v>
      </c>
      <c r="T227" s="4">
        <f>O227*(1+0.01*growthrate!$F$3)^10</f>
        <v>2560598.8544644052</v>
      </c>
      <c r="U227" s="4">
        <f>P227*(1+0.01*growthrate!$F$3)^10</f>
        <v>3640842.7569270465</v>
      </c>
      <c r="V227" s="4">
        <f>Q227*(1+0.01*growthrate!$F$3)^10</f>
        <v>1033879.2406308238</v>
      </c>
      <c r="W227" s="4">
        <f>R227*(1+0.01*growthrate!$F$3)^10</f>
        <v>3783086.7452424685</v>
      </c>
    </row>
    <row r="228" spans="1:23" x14ac:dyDescent="0.2">
      <c r="A228" s="2" t="s">
        <v>463</v>
      </c>
      <c r="B228" s="8" t="s">
        <v>464</v>
      </c>
      <c r="C228" s="4" t="s">
        <v>779</v>
      </c>
      <c r="D228" s="5">
        <v>167657</v>
      </c>
      <c r="E228" s="5">
        <v>120845</v>
      </c>
      <c r="F228" s="5">
        <v>288502</v>
      </c>
      <c r="G228" s="5">
        <v>275495</v>
      </c>
      <c r="H228" s="14">
        <v>523273</v>
      </c>
      <c r="I228" s="12">
        <f>D228*(1+0.01*growthrate!E229)^2</f>
        <v>167657</v>
      </c>
      <c r="J228" s="4">
        <f>E228*(1+0.01*growthrate!$E$3)^2</f>
        <v>124497.54012499997</v>
      </c>
      <c r="K228" s="4">
        <f>F228*(1+0.01*growthrate!$E$3)^2</f>
        <v>297221.97294999991</v>
      </c>
      <c r="L228" s="4">
        <f>G228*(1+0.01*growthrate!$E$3)^2</f>
        <v>283821.8363749999</v>
      </c>
      <c r="M228" s="4">
        <f>H228*(1+0.01*growthrate!$E$3)^2</f>
        <v>539088.92642499984</v>
      </c>
      <c r="N228" s="12">
        <f>I228*(1+0.01*growthrate!$E$3)^5</f>
        <v>180614.20423924254</v>
      </c>
      <c r="O228" s="4">
        <f>J228*(1+0.01*growthrate!$E$3)^5</f>
        <v>134119.20849961552</v>
      </c>
      <c r="P228" s="4">
        <f>K228*(1+0.01*growthrate!$E$3)^5</f>
        <v>320192.47706198908</v>
      </c>
      <c r="Q228" s="4">
        <f>L228*(1+0.01*growthrate!$E$3)^5</f>
        <v>305756.72427987563</v>
      </c>
      <c r="R228" s="4">
        <f>M228*(1+0.01*growthrate!$E$3)^5</f>
        <v>580751.87710885273</v>
      </c>
      <c r="S228" s="12">
        <f>N228*(1+0.01*growthrate!$F$3)^10</f>
        <v>193662.97877391832</v>
      </c>
      <c r="T228" s="4">
        <f>O228*(1+0.01*growthrate!$F$3)^10</f>
        <v>143808.8744915686</v>
      </c>
      <c r="U228" s="4">
        <f>P228*(1+0.01*growthrate!$F$3)^10</f>
        <v>343325.31679892854</v>
      </c>
      <c r="V228" s="4">
        <f>Q228*(1+0.01*growthrate!$F$3)^10</f>
        <v>327846.6289714484</v>
      </c>
      <c r="W228" s="4">
        <f>R228*(1+0.01*growthrate!$F$3)^10</f>
        <v>622709.26543776388</v>
      </c>
    </row>
    <row r="229" spans="1:23" x14ac:dyDescent="0.2">
      <c r="A229" s="2" t="s">
        <v>465</v>
      </c>
      <c r="B229" s="8" t="s">
        <v>466</v>
      </c>
      <c r="C229" s="4" t="s">
        <v>779</v>
      </c>
      <c r="D229" s="5">
        <v>1364386</v>
      </c>
      <c r="E229" s="5">
        <v>2099920</v>
      </c>
      <c r="F229" s="5">
        <v>3464306</v>
      </c>
      <c r="G229" s="5">
        <v>1404708</v>
      </c>
      <c r="H229" s="14">
        <v>2930149</v>
      </c>
      <c r="I229" s="12">
        <f>D229*(1+0.01*growthrate!E230)^2</f>
        <v>1364386</v>
      </c>
      <c r="J229" s="4">
        <f>E229*(1+0.01*growthrate!$E$3)^2</f>
        <v>2163390.0819999995</v>
      </c>
      <c r="K229" s="4">
        <f>F229*(1+0.01*growthrate!$E$3)^2</f>
        <v>3569014.6488499991</v>
      </c>
      <c r="L229" s="4">
        <f>G229*(1+0.01*growthrate!$E$3)^2</f>
        <v>1447165.2992999996</v>
      </c>
      <c r="M229" s="4">
        <f>H229*(1+0.01*growthrate!$E$3)^2</f>
        <v>3018712.7535249991</v>
      </c>
      <c r="N229" s="12">
        <f>I229*(1+0.01*growthrate!$E$3)^5</f>
        <v>1469831.2129237859</v>
      </c>
      <c r="O229" s="4">
        <f>J229*(1+0.01*growthrate!$E$3)^5</f>
        <v>2330585.5295007043</v>
      </c>
      <c r="P229" s="4">
        <f>K229*(1+0.01*growthrate!$E$3)^5</f>
        <v>3844842.390835111</v>
      </c>
      <c r="Q229" s="4">
        <f>L229*(1+0.01*growthrate!$E$3)^5</f>
        <v>1559008.0279124326</v>
      </c>
      <c r="R229" s="4">
        <f>M229*(1+0.01*growthrate!$E$3)^5</f>
        <v>3252010.9616942354</v>
      </c>
      <c r="S229" s="12">
        <f>N229*(1+0.01*growthrate!$F$3)^10</f>
        <v>1576021.6212709958</v>
      </c>
      <c r="T229" s="4">
        <f>O229*(1+0.01*growthrate!$F$3)^10</f>
        <v>2498962.5695919129</v>
      </c>
      <c r="U229" s="4">
        <f>P229*(1+0.01*growthrate!$F$3)^10</f>
        <v>4122619.4443658241</v>
      </c>
      <c r="V229" s="4">
        <f>Q229*(1+0.01*growthrate!$F$3)^10</f>
        <v>1671641.1640473527</v>
      </c>
      <c r="W229" s="4">
        <f>R229*(1+0.01*growthrate!$F$3)^10</f>
        <v>3486957.9195051114</v>
      </c>
    </row>
    <row r="230" spans="1:23" x14ac:dyDescent="0.2">
      <c r="A230" s="2" t="s">
        <v>467</v>
      </c>
      <c r="B230" s="8" t="s">
        <v>468</v>
      </c>
      <c r="C230" s="4" t="s">
        <v>779</v>
      </c>
      <c r="D230" s="5">
        <v>150336</v>
      </c>
      <c r="E230" s="5">
        <v>1110783</v>
      </c>
      <c r="F230" s="5">
        <v>1261119</v>
      </c>
      <c r="G230" s="5">
        <v>268544</v>
      </c>
      <c r="H230" s="14">
        <v>938312</v>
      </c>
      <c r="I230" s="12">
        <f>D230*(1+0.01*growthrate!E231)^2</f>
        <v>150336</v>
      </c>
      <c r="J230" s="4">
        <f>E230*(1+0.01*growthrate!$E$3)^2</f>
        <v>1144356.4161749997</v>
      </c>
      <c r="K230" s="4">
        <f>F230*(1+0.01*growthrate!$E$3)^2</f>
        <v>1299236.3217749996</v>
      </c>
      <c r="L230" s="4">
        <f>G230*(1+0.01*growthrate!$E$3)^2</f>
        <v>276660.74239999993</v>
      </c>
      <c r="M230" s="4">
        <f>H230*(1+0.01*growthrate!$E$3)^2</f>
        <v>966672.48019999976</v>
      </c>
      <c r="N230" s="12">
        <f>I230*(1+0.01*growthrate!$E$3)^5</f>
        <v>161954.56800796129</v>
      </c>
      <c r="O230" s="4">
        <f>J230*(1+0.01*growthrate!$E$3)^5</f>
        <v>1232796.861887777</v>
      </c>
      <c r="P230" s="4">
        <f>K230*(1+0.01*growthrate!$E$3)^5</f>
        <v>1399646.5067137789</v>
      </c>
      <c r="Q230" s="4">
        <f>L230*(1+0.01*growthrate!$E$3)^5</f>
        <v>298042.19229029538</v>
      </c>
      <c r="R230" s="4">
        <f>M230*(1+0.01*growthrate!$E$3)^5</f>
        <v>1041380.7999146943</v>
      </c>
      <c r="S230" s="12">
        <f>N230*(1+0.01*growthrate!$F$3)^10</f>
        <v>173655.24599006178</v>
      </c>
      <c r="T230" s="4">
        <f>O230*(1+0.01*growthrate!$F$3)^10</f>
        <v>1321862.3280596468</v>
      </c>
      <c r="U230" s="4">
        <f>P230*(1+0.01*growthrate!$F$3)^10</f>
        <v>1500766.3038597582</v>
      </c>
      <c r="V230" s="4">
        <f>Q230*(1+0.01*growthrate!$F$3)^10</f>
        <v>319574.74774681445</v>
      </c>
      <c r="W230" s="4">
        <f>R230*(1+0.01*growthrate!$F$3)^10</f>
        <v>1116617.0933173297</v>
      </c>
    </row>
    <row r="231" spans="1:23" x14ac:dyDescent="0.2">
      <c r="A231" s="2" t="s">
        <v>469</v>
      </c>
      <c r="B231" s="8" t="s">
        <v>470</v>
      </c>
      <c r="C231" s="4" t="s">
        <v>779</v>
      </c>
      <c r="D231" s="5">
        <v>937080</v>
      </c>
      <c r="E231" s="5">
        <v>740466</v>
      </c>
      <c r="F231" s="5">
        <v>1677546</v>
      </c>
      <c r="G231" s="5">
        <v>2553021</v>
      </c>
      <c r="H231" s="14">
        <v>3033835</v>
      </c>
      <c r="I231" s="12">
        <f>D231*(1+0.01*growthrate!E232)^2</f>
        <v>937080</v>
      </c>
      <c r="J231" s="4">
        <f>E231*(1+0.01*growthrate!$E$3)^2</f>
        <v>762846.58484999975</v>
      </c>
      <c r="K231" s="4">
        <f>F231*(1+0.01*growthrate!$E$3)^2</f>
        <v>1728249.8278499995</v>
      </c>
      <c r="L231" s="4">
        <f>G231*(1+0.01*growthrate!$E$3)^2</f>
        <v>2630186.0597249991</v>
      </c>
      <c r="M231" s="4">
        <f>H231*(1+0.01*growthrate!$E$3)^2</f>
        <v>3125532.662874999</v>
      </c>
      <c r="N231" s="12">
        <f>I231*(1+0.01*growthrate!$E$3)^5</f>
        <v>1009501.2943599694</v>
      </c>
      <c r="O231" s="4">
        <f>J231*(1+0.01*growthrate!$E$3)^5</f>
        <v>821802.42327672883</v>
      </c>
      <c r="P231" s="4">
        <f>K231*(1+0.01*growthrate!$E$3)^5</f>
        <v>1861815.894258728</v>
      </c>
      <c r="Q231" s="4">
        <f>L231*(1+0.01*growthrate!$E$3)^5</f>
        <v>2833457.3693814129</v>
      </c>
      <c r="R231" s="4">
        <f>M231*(1+0.01*growthrate!$E$3)^5</f>
        <v>3367086.3413333693</v>
      </c>
      <c r="S231" s="12">
        <f>N231*(1+0.01*growthrate!$F$3)^10</f>
        <v>1082434.3996937997</v>
      </c>
      <c r="T231" s="4">
        <f>O231*(1+0.01*growthrate!$F$3)^10</f>
        <v>881174.91049918346</v>
      </c>
      <c r="U231" s="4">
        <f>P231*(1+0.01*growthrate!$F$3)^10</f>
        <v>1996325.8899237281</v>
      </c>
      <c r="V231" s="4">
        <f>Q231*(1+0.01*growthrate!$F$3)^10</f>
        <v>3038165.2245714664</v>
      </c>
      <c r="W231" s="4">
        <f>R231*(1+0.01*growthrate!$F$3)^10</f>
        <v>3610347.1119461125</v>
      </c>
    </row>
    <row r="232" spans="1:23" x14ac:dyDescent="0.2">
      <c r="A232" s="2" t="s">
        <v>471</v>
      </c>
      <c r="B232" s="8" t="s">
        <v>472</v>
      </c>
      <c r="C232" s="4" t="s">
        <v>779</v>
      </c>
      <c r="D232" s="5">
        <v>222876</v>
      </c>
      <c r="E232" s="5">
        <v>1321805</v>
      </c>
      <c r="F232" s="5">
        <v>1544681</v>
      </c>
      <c r="G232" s="5">
        <v>820143</v>
      </c>
      <c r="H232" s="14">
        <v>2826753</v>
      </c>
      <c r="I232" s="12">
        <f>D232*(1+0.01*growthrate!E233)^2</f>
        <v>222876</v>
      </c>
      <c r="J232" s="4">
        <f>E232*(1+0.01*growthrate!$E$3)^2</f>
        <v>1361756.5561249997</v>
      </c>
      <c r="K232" s="4">
        <f>F232*(1+0.01*growthrate!$E$3)^2</f>
        <v>1591368.9832249996</v>
      </c>
      <c r="L232" s="4">
        <f>G232*(1+0.01*growthrate!$E$3)^2</f>
        <v>844931.82217499975</v>
      </c>
      <c r="M232" s="4">
        <f>H232*(1+0.01*growthrate!$E$3)^2</f>
        <v>2912191.6094249994</v>
      </c>
      <c r="N232" s="12">
        <f>I232*(1+0.01*growthrate!$E$3)^5</f>
        <v>240100.7496497338</v>
      </c>
      <c r="O232" s="4">
        <f>J232*(1+0.01*growthrate!$E$3)^5</f>
        <v>1466998.5550981362</v>
      </c>
      <c r="P232" s="4">
        <f>K232*(1+0.01*growthrate!$E$3)^5</f>
        <v>1714356.3499060334</v>
      </c>
      <c r="Q232" s="4">
        <f>L232*(1+0.01*growthrate!$E$3)^5</f>
        <v>910231.53640200384</v>
      </c>
      <c r="R232" s="4">
        <f>M232*(1+0.01*growthrate!$E$3)^5</f>
        <v>3137257.4370798431</v>
      </c>
      <c r="S232" s="12">
        <f>N232*(1+0.01*growthrate!$F$3)^10</f>
        <v>257447.22890911697</v>
      </c>
      <c r="T232" s="4">
        <f>O232*(1+0.01*growthrate!$F$3)^10</f>
        <v>1572984.3133545269</v>
      </c>
      <c r="U232" s="4">
        <f>P232*(1+0.01*growthrate!$F$3)^10</f>
        <v>1838212.8847574221</v>
      </c>
      <c r="V232" s="4">
        <f>Q232*(1+0.01*growthrate!$F$3)^10</f>
        <v>975992.73244353116</v>
      </c>
      <c r="W232" s="4">
        <f>R232*(1+0.01*growthrate!$F$3)^10</f>
        <v>3363913.83504212</v>
      </c>
    </row>
    <row r="233" spans="1:23" x14ac:dyDescent="0.2">
      <c r="A233" s="2" t="s">
        <v>473</v>
      </c>
      <c r="B233" s="8" t="s">
        <v>474</v>
      </c>
      <c r="C233" s="4" t="s">
        <v>779</v>
      </c>
      <c r="D233" s="5">
        <v>9991</v>
      </c>
      <c r="E233" s="5">
        <v>234481</v>
      </c>
      <c r="F233" s="5">
        <v>244472</v>
      </c>
      <c r="G233" s="5">
        <v>214673</v>
      </c>
      <c r="H233" s="14">
        <v>3841812</v>
      </c>
      <c r="I233" s="12">
        <f>D233*(1+0.01*growthrate!E234)^2</f>
        <v>9991</v>
      </c>
      <c r="J233" s="4">
        <f>E233*(1+0.01*growthrate!$E$3)^2</f>
        <v>241568.18822499993</v>
      </c>
      <c r="K233" s="4">
        <f>F233*(1+0.01*growthrate!$E$3)^2</f>
        <v>251861.16619999992</v>
      </c>
      <c r="L233" s="4">
        <f>G233*(1+0.01*growthrate!$E$3)^2</f>
        <v>221161.49142499993</v>
      </c>
      <c r="M233" s="4">
        <f>H233*(1+0.01*growthrate!$E$3)^2</f>
        <v>3957930.7676999988</v>
      </c>
      <c r="N233" s="12">
        <f>I233*(1+0.01*growthrate!$E$3)^5</f>
        <v>10763.144482808784</v>
      </c>
      <c r="O233" s="4">
        <f>J233*(1+0.01*growthrate!$E$3)^5</f>
        <v>260237.5450221221</v>
      </c>
      <c r="P233" s="4">
        <f>K233*(1+0.01*growthrate!$E$3)^5</f>
        <v>271326.00554692373</v>
      </c>
      <c r="Q233" s="4">
        <f>L233*(1+0.01*growthrate!$E$3)^5</f>
        <v>238253.73698736363</v>
      </c>
      <c r="R233" s="4">
        <f>M233*(1+0.01*growthrate!$E$3)^5</f>
        <v>4263815.5045250105</v>
      </c>
      <c r="S233" s="12">
        <f>N233*(1+0.01*growthrate!$F$3)^10</f>
        <v>11540.745813954789</v>
      </c>
      <c r="T233" s="4">
        <f>O233*(1+0.01*growthrate!$F$3)^10</f>
        <v>279038.84066082578</v>
      </c>
      <c r="U233" s="4">
        <f>P233*(1+0.01*growthrate!$F$3)^10</f>
        <v>290928.40551700734</v>
      </c>
      <c r="V233" s="4">
        <f>Q233*(1+0.01*growthrate!$F$3)^10</f>
        <v>255466.77573526834</v>
      </c>
      <c r="W233" s="4">
        <f>R233*(1+0.01*growthrate!$F$3)^10</f>
        <v>4571861.9696983919</v>
      </c>
    </row>
    <row r="234" spans="1:23" x14ac:dyDescent="0.2">
      <c r="A234" s="2" t="s">
        <v>475</v>
      </c>
      <c r="B234" s="8" t="s">
        <v>476</v>
      </c>
      <c r="C234" s="4" t="s">
        <v>779</v>
      </c>
      <c r="D234" s="5">
        <v>4097468</v>
      </c>
      <c r="E234" s="5">
        <v>17739253</v>
      </c>
      <c r="F234" s="5">
        <v>21836721</v>
      </c>
      <c r="G234" s="5">
        <v>6431590</v>
      </c>
      <c r="H234" s="14">
        <v>6489735</v>
      </c>
      <c r="I234" s="12">
        <f>D234*(1+0.01*growthrate!E235)^2</f>
        <v>4097468</v>
      </c>
      <c r="J234" s="4">
        <f>E234*(1+0.01*growthrate!$E$3)^2</f>
        <v>18275421.921924993</v>
      </c>
      <c r="K234" s="4">
        <f>F234*(1+0.01*growthrate!$E$3)^2</f>
        <v>22496735.892224994</v>
      </c>
      <c r="L234" s="4">
        <f>G234*(1+0.01*growthrate!$E$3)^2</f>
        <v>6625984.8077499978</v>
      </c>
      <c r="M234" s="4">
        <f>H234*(1+0.01*growthrate!$E$3)^2</f>
        <v>6685887.2403749982</v>
      </c>
      <c r="N234" s="12">
        <f>I234*(1+0.01*growthrate!$E$3)^5</f>
        <v>4414136.7328280993</v>
      </c>
      <c r="O234" s="4">
        <f>J234*(1+0.01*growthrate!$E$3)^5</f>
        <v>19687819.700727623</v>
      </c>
      <c r="P234" s="4">
        <f>K234*(1+0.01*growthrate!$E$3)^5</f>
        <v>24235373.716305453</v>
      </c>
      <c r="Q234" s="4">
        <f>L234*(1+0.01*growthrate!$E$3)^5</f>
        <v>7138067.4433699539</v>
      </c>
      <c r="R234" s="4">
        <f>M234*(1+0.01*growthrate!$E$3)^5</f>
        <v>7202599.375830628</v>
      </c>
      <c r="S234" s="12">
        <f>N234*(1+0.01*growthrate!$F$3)^10</f>
        <v>4733043.4059467223</v>
      </c>
      <c r="T234" s="4">
        <f>O234*(1+0.01*growthrate!$F$3)^10</f>
        <v>21110199.083546538</v>
      </c>
      <c r="U234" s="4">
        <f>P234*(1+0.01*growthrate!$F$3)^10</f>
        <v>25986298.726438001</v>
      </c>
      <c r="V234" s="4">
        <f>Q234*(1+0.01*growthrate!$F$3)^10</f>
        <v>7653769.0354688037</v>
      </c>
      <c r="W234" s="4">
        <f>R234*(1+0.01*growthrate!$F$3)^10</f>
        <v>7722963.185059703</v>
      </c>
    </row>
    <row r="235" spans="1:23" x14ac:dyDescent="0.2">
      <c r="A235" s="2" t="s">
        <v>477</v>
      </c>
      <c r="B235" s="8" t="s">
        <v>478</v>
      </c>
      <c r="C235" s="4" t="s">
        <v>779</v>
      </c>
      <c r="D235" s="5">
        <v>387536</v>
      </c>
      <c r="E235" s="5">
        <v>112396</v>
      </c>
      <c r="F235" s="5">
        <v>499932</v>
      </c>
      <c r="G235" s="5">
        <v>745474</v>
      </c>
      <c r="H235" s="14">
        <v>1098639</v>
      </c>
      <c r="I235" s="12">
        <f>D235*(1+0.01*growthrate!E236)^2</f>
        <v>387536</v>
      </c>
      <c r="J235" s="4">
        <f>E235*(1+0.01*growthrate!$E$3)^2</f>
        <v>115793.16909999997</v>
      </c>
      <c r="K235" s="4">
        <f>F235*(1+0.01*growthrate!$E$3)^2</f>
        <v>515042.44469999988</v>
      </c>
      <c r="L235" s="4">
        <f>G235*(1+0.01*growthrate!$E$3)^2</f>
        <v>768005.95164999983</v>
      </c>
      <c r="M235" s="4">
        <f>H235*(1+0.01*growthrate!$E$3)^2</f>
        <v>1131845.3637749997</v>
      </c>
      <c r="N235" s="12">
        <f>I235*(1+0.01*growthrate!$E$3)^5</f>
        <v>417486.33372933487</v>
      </c>
      <c r="O235" s="4">
        <f>J235*(1+0.01*growthrate!$E$3)^5</f>
        <v>124742.12883050837</v>
      </c>
      <c r="P235" s="4">
        <f>K235*(1+0.01*growthrate!$E$3)^5</f>
        <v>554846.98699681228</v>
      </c>
      <c r="Q235" s="4">
        <f>L235*(1+0.01*growthrate!$E$3)^5</f>
        <v>827360.52660054096</v>
      </c>
      <c r="R235" s="4">
        <f>M235*(1+0.01*growthrate!$E$3)^5</f>
        <v>1219318.9052654977</v>
      </c>
      <c r="S235" s="12">
        <f>N235*(1+0.01*growthrate!$F$3)^10</f>
        <v>447648.33047310408</v>
      </c>
      <c r="T235" s="4">
        <f>O235*(1+0.01*growthrate!$F$3)^10</f>
        <v>133754.3320563891</v>
      </c>
      <c r="U235" s="4">
        <f>P235*(1+0.01*growthrate!$F$3)^10</f>
        <v>594932.83331804269</v>
      </c>
      <c r="V235" s="4">
        <f>Q235*(1+0.01*growthrate!$F$3)^10</f>
        <v>887134.56827115396</v>
      </c>
      <c r="W235" s="4">
        <f>R235*(1+0.01*growthrate!$F$3)^10</f>
        <v>1307410.6339736225</v>
      </c>
    </row>
    <row r="236" spans="1:23" x14ac:dyDescent="0.2">
      <c r="A236" s="2" t="s">
        <v>479</v>
      </c>
      <c r="B236" s="8" t="s">
        <v>480</v>
      </c>
      <c r="C236" s="4" t="s">
        <v>779</v>
      </c>
      <c r="D236" s="5">
        <v>153120</v>
      </c>
      <c r="E236" s="5">
        <v>478483</v>
      </c>
      <c r="F236" s="5">
        <v>631603</v>
      </c>
      <c r="G236" s="5">
        <v>163436</v>
      </c>
      <c r="H236" s="14">
        <v>320517</v>
      </c>
      <c r="I236" s="12">
        <f>D236*(1+0.01*growthrate!E237)^2</f>
        <v>153120</v>
      </c>
      <c r="J236" s="4">
        <f>E236*(1+0.01*growthrate!$E$3)^2</f>
        <v>492945.14867499989</v>
      </c>
      <c r="K236" s="4">
        <f>F236*(1+0.01*growthrate!$E$3)^2</f>
        <v>650693.20067499985</v>
      </c>
      <c r="L236" s="4">
        <f>G236*(1+0.01*growthrate!$E$3)^2</f>
        <v>168375.85309999995</v>
      </c>
      <c r="M236" s="4">
        <f>H236*(1+0.01*growthrate!$E$3)^2</f>
        <v>330204.6263249999</v>
      </c>
      <c r="N236" s="12">
        <f>I236*(1+0.01*growthrate!$E$3)^5</f>
        <v>164953.72667477539</v>
      </c>
      <c r="O236" s="4">
        <f>J236*(1+0.01*growthrate!$E$3)^5</f>
        <v>531041.92345998203</v>
      </c>
      <c r="P236" s="4">
        <f>K236*(1+0.01*growthrate!$E$3)^5</f>
        <v>700981.37652350252</v>
      </c>
      <c r="Q236" s="4">
        <f>L236*(1+0.01*growthrate!$E$3)^5</f>
        <v>181388.61318501519</v>
      </c>
      <c r="R236" s="4">
        <f>M236*(1+0.01*growthrate!$E$3)^5</f>
        <v>355724.16194853955</v>
      </c>
      <c r="S236" s="12">
        <f>N236*(1+0.01*growthrate!$F$3)^10</f>
        <v>176871.08387876663</v>
      </c>
      <c r="T236" s="4">
        <f>O236*(1+0.01*growthrate!$F$3)^10</f>
        <v>569407.93324795575</v>
      </c>
      <c r="U236" s="4">
        <f>P236*(1+0.01*growthrate!$F$3)^10</f>
        <v>751624.94563695812</v>
      </c>
      <c r="V236" s="4">
        <f>Q236*(1+0.01*growthrate!$F$3)^10</f>
        <v>194493.33618605655</v>
      </c>
      <c r="W236" s="4">
        <f>R236*(1+0.01*growthrate!$F$3)^10</f>
        <v>381424.04754366411</v>
      </c>
    </row>
    <row r="237" spans="1:23" x14ac:dyDescent="0.2">
      <c r="A237" s="2" t="s">
        <v>481</v>
      </c>
      <c r="B237" s="8" t="s">
        <v>482</v>
      </c>
      <c r="C237" s="4" t="s">
        <v>779</v>
      </c>
      <c r="D237" s="5">
        <v>62772</v>
      </c>
      <c r="E237" s="5">
        <v>267836</v>
      </c>
      <c r="F237" s="5">
        <v>330608</v>
      </c>
      <c r="G237" s="5">
        <v>51948</v>
      </c>
      <c r="H237" s="14">
        <v>173931</v>
      </c>
      <c r="I237" s="12">
        <f>D237*(1+0.01*growthrate!E238)^2</f>
        <v>62772</v>
      </c>
      <c r="J237" s="4">
        <f>E237*(1+0.01*growthrate!$E$3)^2</f>
        <v>275931.34309999994</v>
      </c>
      <c r="K237" s="4">
        <f>F237*(1+0.01*growthrate!$E$3)^2</f>
        <v>340600.62679999991</v>
      </c>
      <c r="L237" s="4">
        <f>G237*(1+0.01*growthrate!$E$3)^2</f>
        <v>53518.128299999982</v>
      </c>
      <c r="M237" s="4">
        <f>H237*(1+0.01*growthrate!$E$3)^2</f>
        <v>179188.06447499996</v>
      </c>
      <c r="N237" s="12">
        <f>I237*(1+0.01*growthrate!$E$3)^5</f>
        <v>67623.271491829946</v>
      </c>
      <c r="O237" s="4">
        <f>J237*(1+0.01*growthrate!$E$3)^5</f>
        <v>297256.42209196097</v>
      </c>
      <c r="P237" s="4">
        <f>K237*(1+0.01*growthrate!$E$3)^5</f>
        <v>366923.60696463141</v>
      </c>
      <c r="Q237" s="4">
        <f>L237*(1+0.01*growthrate!$E$3)^5</f>
        <v>57654.223535421625</v>
      </c>
      <c r="R237" s="4">
        <f>M237*(1+0.01*growthrate!$E$3)^5</f>
        <v>193036.43554591938</v>
      </c>
      <c r="S237" s="12">
        <f>N237*(1+0.01*growthrate!$F$3)^10</f>
        <v>72508.827568168359</v>
      </c>
      <c r="T237" s="4">
        <f>O237*(1+0.01*growthrate!$F$3)^10</f>
        <v>318732.20826946723</v>
      </c>
      <c r="U237" s="4">
        <f>P237*(1+0.01*growthrate!$F$3)^10</f>
        <v>393432.61515088344</v>
      </c>
      <c r="V237" s="4">
        <f>Q237*(1+0.01*growthrate!$F$3)^10</f>
        <v>61819.549109090192</v>
      </c>
      <c r="W237" s="4">
        <f>R237*(1+0.01*growthrate!$F$3)^10</f>
        <v>206982.6749074684</v>
      </c>
    </row>
    <row r="238" spans="1:23" x14ac:dyDescent="0.2">
      <c r="A238" s="2" t="s">
        <v>483</v>
      </c>
      <c r="B238" s="8" t="s">
        <v>484</v>
      </c>
      <c r="C238" s="4" t="s">
        <v>779</v>
      </c>
      <c r="D238" s="5">
        <v>24023</v>
      </c>
      <c r="E238" s="5">
        <v>489762</v>
      </c>
      <c r="F238" s="5">
        <v>513785</v>
      </c>
      <c r="G238" s="5">
        <v>166473</v>
      </c>
      <c r="H238" s="14">
        <v>796481</v>
      </c>
      <c r="I238" s="12">
        <f>D238*(1+0.01*growthrate!E239)^2</f>
        <v>24023</v>
      </c>
      <c r="J238" s="4">
        <f>E238*(1+0.01*growthrate!$E$3)^2</f>
        <v>504565.05644999986</v>
      </c>
      <c r="K238" s="4">
        <f>F238*(1+0.01*growthrate!$E$3)^2</f>
        <v>529314.15162499982</v>
      </c>
      <c r="L238" s="4">
        <f>G238*(1+0.01*growthrate!$E$3)^2</f>
        <v>171504.64642499996</v>
      </c>
      <c r="M238" s="4">
        <f>H238*(1+0.01*growthrate!$E$3)^2</f>
        <v>820554.63822499977</v>
      </c>
      <c r="N238" s="12">
        <f>I238*(1+0.01*growthrate!$E$3)^5</f>
        <v>25879.593625314323</v>
      </c>
      <c r="O238" s="4">
        <f>J238*(1+0.01*growthrate!$E$3)^5</f>
        <v>543559.86423260113</v>
      </c>
      <c r="P238" s="4">
        <f>K238*(1+0.01*growthrate!$E$3)^5</f>
        <v>570221.66857524065</v>
      </c>
      <c r="Q238" s="4">
        <f>L238*(1+0.01*growthrate!$E$3)^5</f>
        <v>184759.21218549789</v>
      </c>
      <c r="R238" s="4">
        <f>M238*(1+0.01*growthrate!$E$3)^5</f>
        <v>883970.38607292203</v>
      </c>
      <c r="S238" s="12">
        <f>N238*(1+0.01*growthrate!$F$3)^10</f>
        <v>27749.308046105085</v>
      </c>
      <c r="T238" s="4">
        <f>O238*(1+0.01*growthrate!$F$3)^10</f>
        <v>582830.25353750342</v>
      </c>
      <c r="U238" s="4">
        <f>P238*(1+0.01*growthrate!$F$3)^10</f>
        <v>611418.28441930213</v>
      </c>
      <c r="V238" s="4">
        <f>Q238*(1+0.01*growthrate!$F$3)^10</f>
        <v>198107.44973507299</v>
      </c>
      <c r="W238" s="4">
        <f>R238*(1+0.01*growthrate!$F$3)^10</f>
        <v>947834.30149297894</v>
      </c>
    </row>
    <row r="239" spans="1:23" x14ac:dyDescent="0.2">
      <c r="A239" s="2" t="s">
        <v>485</v>
      </c>
      <c r="B239" s="8" t="s">
        <v>486</v>
      </c>
      <c r="C239" s="4" t="s">
        <v>779</v>
      </c>
      <c r="D239" s="5">
        <v>175939</v>
      </c>
      <c r="E239" s="5">
        <v>402147</v>
      </c>
      <c r="F239" s="5">
        <v>578086</v>
      </c>
      <c r="G239" s="5">
        <v>165341</v>
      </c>
      <c r="H239" s="14">
        <v>318757</v>
      </c>
      <c r="I239" s="12">
        <f>D239*(1+0.01*growthrate!E240)^2</f>
        <v>175939</v>
      </c>
      <c r="J239" s="4">
        <f>E239*(1+0.01*growthrate!$E$3)^2</f>
        <v>414301.89307499991</v>
      </c>
      <c r="K239" s="4">
        <f>F239*(1+0.01*growthrate!$E$3)^2</f>
        <v>595558.64934999985</v>
      </c>
      <c r="L239" s="4">
        <f>G239*(1+0.01*growthrate!$E$3)^2</f>
        <v>170338.43172499994</v>
      </c>
      <c r="M239" s="4">
        <f>H239*(1+0.01*growthrate!$E$3)^2</f>
        <v>328391.43032499991</v>
      </c>
      <c r="N239" s="12">
        <f>I239*(1+0.01*growthrate!$E$3)^5</f>
        <v>189536.27035941294</v>
      </c>
      <c r="O239" s="4">
        <f>J239*(1+0.01*growthrate!$E$3)^5</f>
        <v>446320.80218871182</v>
      </c>
      <c r="P239" s="4">
        <f>K239*(1+0.01*growthrate!$E$3)^5</f>
        <v>641585.80631973792</v>
      </c>
      <c r="Q239" s="4">
        <f>L239*(1+0.01*growthrate!$E$3)^5</f>
        <v>183502.86774409306</v>
      </c>
      <c r="R239" s="4">
        <f>M239*(1+0.01*growthrate!$E$3)^5</f>
        <v>353770.83490183245</v>
      </c>
      <c r="S239" s="12">
        <f>N239*(1+0.01*growthrate!$F$3)^10</f>
        <v>203229.63444714161</v>
      </c>
      <c r="T239" s="4">
        <f>O239*(1+0.01*growthrate!$F$3)^10</f>
        <v>478565.99321577919</v>
      </c>
      <c r="U239" s="4">
        <f>P239*(1+0.01*growthrate!$F$3)^10</f>
        <v>687938.24336408556</v>
      </c>
      <c r="V239" s="4">
        <f>Q239*(1+0.01*growthrate!$F$3)^10</f>
        <v>196760.33859332566</v>
      </c>
      <c r="W239" s="4">
        <f>R239*(1+0.01*growthrate!$F$3)^10</f>
        <v>379329.59912539972</v>
      </c>
    </row>
    <row r="240" spans="1:23" x14ac:dyDescent="0.2">
      <c r="A240" s="2" t="s">
        <v>487</v>
      </c>
      <c r="B240" s="8" t="s">
        <v>488</v>
      </c>
      <c r="C240" s="4" t="s">
        <v>779</v>
      </c>
      <c r="D240" s="5">
        <v>242185</v>
      </c>
      <c r="E240" s="5">
        <v>396113</v>
      </c>
      <c r="F240" s="5">
        <v>638298</v>
      </c>
      <c r="G240" s="5">
        <v>265666</v>
      </c>
      <c r="H240" s="14">
        <v>506853</v>
      </c>
      <c r="I240" s="12">
        <f>D240*(1+0.01*growthrate!E241)^2</f>
        <v>242185</v>
      </c>
      <c r="J240" s="4">
        <f>E240*(1+0.01*growthrate!$E$3)^2</f>
        <v>408085.51542499987</v>
      </c>
      <c r="K240" s="4">
        <f>F240*(1+0.01*growthrate!$E$3)^2</f>
        <v>657590.55704999983</v>
      </c>
      <c r="L240" s="4">
        <f>G240*(1+0.01*growthrate!$E$3)^2</f>
        <v>273695.75484999991</v>
      </c>
      <c r="M240" s="4">
        <f>H240*(1+0.01*growthrate!$E$3)^2</f>
        <v>522172.63192499988</v>
      </c>
      <c r="N240" s="12">
        <f>I240*(1+0.01*growthrate!$E$3)^5</f>
        <v>260902.0264807372</v>
      </c>
      <c r="O240" s="4">
        <f>J240*(1+0.01*growthrate!$E$3)^5</f>
        <v>439623.99798426247</v>
      </c>
      <c r="P240" s="4">
        <f>K240*(1+0.01*growthrate!$E$3)^5</f>
        <v>708411.78821537981</v>
      </c>
      <c r="Q240" s="4">
        <f>L240*(1+0.01*growthrate!$E$3)^5</f>
        <v>294848.05863096408</v>
      </c>
      <c r="R240" s="4">
        <f>M240*(1+0.01*growthrate!$E$3)^5</f>
        <v>562528.22363900556</v>
      </c>
      <c r="S240" s="12">
        <f>N240*(1+0.01*growthrate!$F$3)^10</f>
        <v>279751.32869108603</v>
      </c>
      <c r="T240" s="4">
        <f>O240*(1+0.01*growthrate!$F$3)^10</f>
        <v>471385.36721816135</v>
      </c>
      <c r="U240" s="4">
        <f>P240*(1+0.01*growthrate!$F$3)^10</f>
        <v>759592.17981893534</v>
      </c>
      <c r="V240" s="4">
        <f>Q240*(1+0.01*growthrate!$F$3)^10</f>
        <v>316149.84857194807</v>
      </c>
      <c r="W240" s="4">
        <f>R240*(1+0.01*growthrate!$F$3)^10</f>
        <v>603169.01371736545</v>
      </c>
    </row>
    <row r="241" spans="1:23" x14ac:dyDescent="0.2">
      <c r="A241" s="2" t="s">
        <v>489</v>
      </c>
      <c r="B241" s="8" t="s">
        <v>490</v>
      </c>
      <c r="C241" s="4" t="s">
        <v>779</v>
      </c>
      <c r="D241" s="5">
        <v>1129912</v>
      </c>
      <c r="E241" s="5">
        <v>2201178</v>
      </c>
      <c r="F241" s="5">
        <v>3331090</v>
      </c>
      <c r="G241" s="5">
        <v>1933544</v>
      </c>
      <c r="H241" s="14">
        <v>3202217</v>
      </c>
      <c r="I241" s="12">
        <f>D241*(1+0.01*growthrate!E242)^2</f>
        <v>1129912</v>
      </c>
      <c r="J241" s="4">
        <f>E241*(1+0.01*growthrate!$E$3)^2</f>
        <v>2267708.6050499994</v>
      </c>
      <c r="K241" s="4">
        <f>F241*(1+0.01*growthrate!$E$3)^2</f>
        <v>3431772.1952499989</v>
      </c>
      <c r="L241" s="4">
        <f>G241*(1+0.01*growthrate!$E$3)^2</f>
        <v>1991985.3673999994</v>
      </c>
      <c r="M241" s="4">
        <f>H241*(1+0.01*growthrate!$E$3)^2</f>
        <v>3299004.008824999</v>
      </c>
      <c r="N241" s="12">
        <f>I241*(1+0.01*growthrate!$E$3)^5</f>
        <v>1217236.1233970011</v>
      </c>
      <c r="O241" s="4">
        <f>J241*(1+0.01*growthrate!$E$3)^5</f>
        <v>2442966.2056913124</v>
      </c>
      <c r="P241" s="4">
        <f>K241*(1+0.01*growthrate!$E$3)^5</f>
        <v>3696993.2909179875</v>
      </c>
      <c r="Q241" s="4">
        <f>L241*(1+0.01*growthrate!$E$3)^5</f>
        <v>2145933.9722717577</v>
      </c>
      <c r="R241" s="4">
        <f>M241*(1+0.01*growthrate!$E$3)^5</f>
        <v>3553964.2474575965</v>
      </c>
      <c r="S241" s="12">
        <f>N241*(1+0.01*growthrate!$F$3)^10</f>
        <v>1305177.3780539769</v>
      </c>
      <c r="T241" s="4">
        <f>O241*(1+0.01*growthrate!$F$3)^10</f>
        <v>2619462.3752377173</v>
      </c>
      <c r="U241" s="4">
        <f>P241*(1+0.01*growthrate!$F$3)^10</f>
        <v>3964088.7395433751</v>
      </c>
      <c r="V241" s="4">
        <f>Q241*(1+0.01*growthrate!$F$3)^10</f>
        <v>2300970.5525253462</v>
      </c>
      <c r="W241" s="4">
        <f>R241*(1+0.01*growthrate!$F$3)^10</f>
        <v>3810726.3241984961</v>
      </c>
    </row>
    <row r="242" spans="1:23" x14ac:dyDescent="0.2">
      <c r="A242" s="2" t="s">
        <v>491</v>
      </c>
      <c r="B242" s="8" t="s">
        <v>492</v>
      </c>
      <c r="C242" s="4" t="s">
        <v>779</v>
      </c>
      <c r="D242" s="5">
        <v>0</v>
      </c>
      <c r="E242" s="5">
        <v>18056337</v>
      </c>
      <c r="F242" s="5">
        <v>18056337</v>
      </c>
      <c r="G242" s="5">
        <v>11623347</v>
      </c>
      <c r="H242" s="14">
        <v>28708511</v>
      </c>
      <c r="I242" s="12">
        <f>D242*(1+0.01*growthrate!E243)^2</f>
        <v>0</v>
      </c>
      <c r="J242" s="4">
        <f>E242*(1+0.01*growthrate!$E$3)^2</f>
        <v>18602089.785824995</v>
      </c>
      <c r="K242" s="4">
        <f>F242*(1+0.01*growthrate!$E$3)^2</f>
        <v>18602089.785824995</v>
      </c>
      <c r="L242" s="4">
        <f>G242*(1+0.01*growthrate!$E$3)^2</f>
        <v>11974662.663074996</v>
      </c>
      <c r="M242" s="4">
        <f>H242*(1+0.01*growthrate!$E$3)^2</f>
        <v>29576225.744974993</v>
      </c>
      <c r="N242" s="12">
        <f>I242*(1+0.01*growthrate!$E$3)^5</f>
        <v>0</v>
      </c>
      <c r="O242" s="4">
        <f>J242*(1+0.01*growthrate!$E$3)^5</f>
        <v>20039733.765090175</v>
      </c>
      <c r="P242" s="4">
        <f>K242*(1+0.01*growthrate!$E$3)^5</f>
        <v>20039733.765090175</v>
      </c>
      <c r="Q242" s="4">
        <f>L242*(1+0.01*growthrate!$E$3)^5</f>
        <v>12900112.538842157</v>
      </c>
      <c r="R242" s="4">
        <f>M242*(1+0.01*growthrate!$E$3)^5</f>
        <v>31861994.89033477</v>
      </c>
      <c r="S242" s="12">
        <f>N242*(1+0.01*growthrate!$F$3)^10</f>
        <v>0</v>
      </c>
      <c r="T242" s="4">
        <f>O242*(1+0.01*growthrate!$F$3)^10</f>
        <v>21487537.766647078</v>
      </c>
      <c r="U242" s="4">
        <f>P242*(1+0.01*growthrate!$F$3)^10</f>
        <v>21487537.766647078</v>
      </c>
      <c r="V242" s="4">
        <f>Q242*(1+0.01*growthrate!$F$3)^10</f>
        <v>13832102.692663744</v>
      </c>
      <c r="W242" s="4">
        <f>R242*(1+0.01*growthrate!$F$3)^10</f>
        <v>34163917.871974975</v>
      </c>
    </row>
    <row r="243" spans="1:23" x14ac:dyDescent="0.2">
      <c r="A243" s="2" t="s">
        <v>493</v>
      </c>
      <c r="B243" s="8" t="s">
        <v>494</v>
      </c>
      <c r="C243" s="4" t="s">
        <v>779</v>
      </c>
      <c r="D243" s="5">
        <v>0</v>
      </c>
      <c r="E243" s="5">
        <v>3138369</v>
      </c>
      <c r="F243" s="5">
        <v>3138369</v>
      </c>
      <c r="G243" s="5">
        <v>3455845</v>
      </c>
      <c r="H243" s="14">
        <v>1567411</v>
      </c>
      <c r="I243" s="12">
        <f>D243*(1+0.01*growthrate!E244)^2</f>
        <v>0</v>
      </c>
      <c r="J243" s="4">
        <f>E243*(1+0.01*growthrate!$E$3)^2</f>
        <v>3233226.2030249992</v>
      </c>
      <c r="K243" s="4">
        <f>F243*(1+0.01*growthrate!$E$3)^2</f>
        <v>3233226.2030249992</v>
      </c>
      <c r="L243" s="4">
        <f>G243*(1+0.01*growthrate!$E$3)^2</f>
        <v>3560297.9151249989</v>
      </c>
      <c r="M243" s="4">
        <f>H243*(1+0.01*growthrate!$E$3)^2</f>
        <v>1614785.9974749996</v>
      </c>
      <c r="N243" s="12">
        <f>I243*(1+0.01*growthrate!$E$3)^5</f>
        <v>0</v>
      </c>
      <c r="O243" s="4">
        <f>J243*(1+0.01*growthrate!$E$3)^5</f>
        <v>3483102.8694586442</v>
      </c>
      <c r="P243" s="4">
        <f>K243*(1+0.01*growthrate!$E$3)^5</f>
        <v>3483102.8694586442</v>
      </c>
      <c r="Q243" s="4">
        <f>L243*(1+0.01*growthrate!$E$3)^5</f>
        <v>3835451.9930270491</v>
      </c>
      <c r="R243" s="4">
        <f>M243*(1+0.01*growthrate!$E$3)^5</f>
        <v>1739583.1247762907</v>
      </c>
      <c r="S243" s="12">
        <f>N243*(1+0.01*growthrate!$F$3)^10</f>
        <v>0</v>
      </c>
      <c r="T243" s="4">
        <f>O243*(1+0.01*growthrate!$F$3)^10</f>
        <v>3734745.4477159143</v>
      </c>
      <c r="U243" s="4">
        <f>P243*(1+0.01*growthrate!$F$3)^10</f>
        <v>3734745.4477159143</v>
      </c>
      <c r="V243" s="4">
        <f>Q243*(1+0.01*growthrate!$F$3)^10</f>
        <v>4112550.6216005199</v>
      </c>
      <c r="W243" s="4">
        <f>R243*(1+0.01*growthrate!$F$3)^10</f>
        <v>1865262.2100683025</v>
      </c>
    </row>
    <row r="244" spans="1:23" x14ac:dyDescent="0.2">
      <c r="A244" s="2" t="s">
        <v>495</v>
      </c>
      <c r="B244" s="8" t="s">
        <v>496</v>
      </c>
      <c r="C244" s="4" t="s">
        <v>779</v>
      </c>
      <c r="D244" s="5">
        <v>0</v>
      </c>
      <c r="E244" s="5">
        <v>337816</v>
      </c>
      <c r="F244" s="5">
        <v>337816</v>
      </c>
      <c r="G244" s="5">
        <v>531215</v>
      </c>
      <c r="H244" s="14">
        <v>1040536</v>
      </c>
      <c r="I244" s="12">
        <f>D244*(1+0.01*growthrate!E245)^2</f>
        <v>0</v>
      </c>
      <c r="J244" s="4">
        <f>E244*(1+0.01*growthrate!$E$3)^2</f>
        <v>348026.48859999992</v>
      </c>
      <c r="K244" s="4">
        <f>F244*(1+0.01*growthrate!$E$3)^2</f>
        <v>348026.48859999992</v>
      </c>
      <c r="L244" s="4">
        <f>G244*(1+0.01*growthrate!$E$3)^2</f>
        <v>547270.97337499983</v>
      </c>
      <c r="M244" s="4">
        <f>H244*(1+0.01*growthrate!$E$3)^2</f>
        <v>1071986.2005999996</v>
      </c>
      <c r="N244" s="12">
        <f>I244*(1+0.01*growthrate!$E$3)^5</f>
        <v>0</v>
      </c>
      <c r="O244" s="4">
        <f>J244*(1+0.01*growthrate!$E$3)^5</f>
        <v>374923.36909682746</v>
      </c>
      <c r="P244" s="4">
        <f>K244*(1+0.01*growthrate!$E$3)^5</f>
        <v>374923.36909682746</v>
      </c>
      <c r="Q244" s="4">
        <f>L244*(1+0.01*growthrate!$E$3)^5</f>
        <v>589566.2654071186</v>
      </c>
      <c r="R244" s="4">
        <f>M244*(1+0.01*growthrate!$E$3)^5</f>
        <v>1154833.5862911656</v>
      </c>
      <c r="S244" s="12">
        <f>N244*(1+0.01*growthrate!$F$3)^10</f>
        <v>0</v>
      </c>
      <c r="T244" s="4">
        <f>O244*(1+0.01*growthrate!$F$3)^10</f>
        <v>402010.33344568446</v>
      </c>
      <c r="U244" s="4">
        <f>P244*(1+0.01*growthrate!$F$3)^10</f>
        <v>402010.33344568446</v>
      </c>
      <c r="V244" s="4">
        <f>Q244*(1+0.01*growthrate!$F$3)^10</f>
        <v>632160.46392518189</v>
      </c>
      <c r="W244" s="4">
        <f>R244*(1+0.01*growthrate!$F$3)^10</f>
        <v>1238266.4655381588</v>
      </c>
    </row>
    <row r="245" spans="1:23" x14ac:dyDescent="0.2">
      <c r="A245" s="2" t="s">
        <v>497</v>
      </c>
      <c r="B245" s="8" t="s">
        <v>498</v>
      </c>
      <c r="C245" s="4" t="s">
        <v>779</v>
      </c>
      <c r="D245" s="5">
        <v>0</v>
      </c>
      <c r="E245" s="5">
        <v>771809</v>
      </c>
      <c r="F245" s="5">
        <v>771809</v>
      </c>
      <c r="G245" s="5">
        <v>713972</v>
      </c>
      <c r="H245" s="14">
        <v>1110038</v>
      </c>
      <c r="I245" s="12">
        <f>D245*(1+0.01*growthrate!E246)^2</f>
        <v>0</v>
      </c>
      <c r="J245" s="4">
        <f>E245*(1+0.01*growthrate!$E$3)^2</f>
        <v>795136.92702499975</v>
      </c>
      <c r="K245" s="4">
        <f>F245*(1+0.01*growthrate!$E$3)^2</f>
        <v>795136.92702499975</v>
      </c>
      <c r="L245" s="4">
        <f>G245*(1+0.01*growthrate!$E$3)^2</f>
        <v>735551.80369999981</v>
      </c>
      <c r="M245" s="4">
        <f>H245*(1+0.01*growthrate!$E$3)^2</f>
        <v>1143588.8985499998</v>
      </c>
      <c r="N245" s="12">
        <f>I245*(1+0.01*growthrate!$E$3)^5</f>
        <v>0</v>
      </c>
      <c r="O245" s="4">
        <f>J245*(1+0.01*growthrate!$E$3)^5</f>
        <v>856588.29238180921</v>
      </c>
      <c r="P245" s="4">
        <f>K245*(1+0.01*growthrate!$E$3)^5</f>
        <v>856588.29238180921</v>
      </c>
      <c r="Q245" s="4">
        <f>L245*(1+0.01*growthrate!$E$3)^5</f>
        <v>792398.19215430913</v>
      </c>
      <c r="R245" s="4">
        <f>M245*(1+0.01*growthrate!$E$3)^5</f>
        <v>1231970.0274276652</v>
      </c>
      <c r="S245" s="12">
        <f>N245*(1+0.01*growthrate!$F$3)^10</f>
        <v>0</v>
      </c>
      <c r="T245" s="4">
        <f>O245*(1+0.01*growthrate!$F$3)^10</f>
        <v>918473.94275694527</v>
      </c>
      <c r="U245" s="4">
        <f>P245*(1+0.01*growthrate!$F$3)^10</f>
        <v>918473.94275694527</v>
      </c>
      <c r="V245" s="4">
        <f>Q245*(1+0.01*growthrate!$F$3)^10</f>
        <v>849646.32163924212</v>
      </c>
      <c r="W245" s="4">
        <f>R245*(1+0.01*growthrate!$F$3)^10</f>
        <v>1320975.7575644157</v>
      </c>
    </row>
    <row r="246" spans="1:23" x14ac:dyDescent="0.2">
      <c r="A246" s="2" t="s">
        <v>499</v>
      </c>
      <c r="B246" s="8" t="s">
        <v>500</v>
      </c>
      <c r="C246" s="4" t="s">
        <v>779</v>
      </c>
      <c r="D246" s="5">
        <v>0</v>
      </c>
      <c r="E246" s="5">
        <v>469951</v>
      </c>
      <c r="F246" s="5">
        <v>469951</v>
      </c>
      <c r="G246" s="5">
        <v>158367</v>
      </c>
      <c r="H246" s="14">
        <v>876160</v>
      </c>
      <c r="I246" s="12">
        <f>D246*(1+0.01*growthrate!E247)^2</f>
        <v>0</v>
      </c>
      <c r="J246" s="4">
        <f>E246*(1+0.01*growthrate!$E$3)^2</f>
        <v>484155.2689749999</v>
      </c>
      <c r="K246" s="4">
        <f>F246*(1+0.01*growthrate!$E$3)^2</f>
        <v>484155.2689749999</v>
      </c>
      <c r="L246" s="4">
        <f>G246*(1+0.01*growthrate!$E$3)^2</f>
        <v>163153.64257499995</v>
      </c>
      <c r="M246" s="4">
        <f>H246*(1+0.01*growthrate!$E$3)^2</f>
        <v>902641.93599999975</v>
      </c>
      <c r="N246" s="12">
        <f>I246*(1+0.01*growthrate!$E$3)^5</f>
        <v>0</v>
      </c>
      <c r="O246" s="4">
        <f>J246*(1+0.01*growthrate!$E$3)^5</f>
        <v>521572.72666310408</v>
      </c>
      <c r="P246" s="4">
        <f>K246*(1+0.01*growthrate!$E$3)^5</f>
        <v>521572.72666310408</v>
      </c>
      <c r="Q246" s="4">
        <f>L246*(1+0.01*growthrate!$E$3)^5</f>
        <v>175762.80932151605</v>
      </c>
      <c r="R246" s="4">
        <f>M246*(1+0.01*growthrate!$E$3)^5</f>
        <v>972401.71888802282</v>
      </c>
      <c r="S246" s="12">
        <f>N246*(1+0.01*growthrate!$F$3)^10</f>
        <v>0</v>
      </c>
      <c r="T246" s="4">
        <f>O246*(1+0.01*growthrate!$F$3)^10</f>
        <v>559254.61852941499</v>
      </c>
      <c r="U246" s="4">
        <f>P246*(1+0.01*growthrate!$F$3)^10</f>
        <v>559254.61852941499</v>
      </c>
      <c r="V246" s="4">
        <f>Q246*(1+0.01*growthrate!$F$3)^10</f>
        <v>188461.08673595299</v>
      </c>
      <c r="W246" s="4">
        <f>R246*(1+0.01*growthrate!$F$3)^10</f>
        <v>1042654.5034923474</v>
      </c>
    </row>
    <row r="247" spans="1:23" x14ac:dyDescent="0.2">
      <c r="A247" s="2" t="s">
        <v>501</v>
      </c>
      <c r="B247" s="8" t="s">
        <v>502</v>
      </c>
      <c r="C247" s="4" t="s">
        <v>779</v>
      </c>
      <c r="D247" s="5">
        <v>10474</v>
      </c>
      <c r="E247" s="5">
        <v>213381</v>
      </c>
      <c r="F247" s="5">
        <v>223855</v>
      </c>
      <c r="G247" s="5">
        <v>23250</v>
      </c>
      <c r="H247" s="14">
        <v>124338</v>
      </c>
      <c r="I247" s="12">
        <f>D247*(1+0.01*growthrate!E248)^2</f>
        <v>10474</v>
      </c>
      <c r="J247" s="4">
        <f>E247*(1+0.01*growthrate!$E$3)^2</f>
        <v>219830.44072499993</v>
      </c>
      <c r="K247" s="4">
        <f>F247*(1+0.01*growthrate!$E$3)^2</f>
        <v>230621.01737499994</v>
      </c>
      <c r="L247" s="4">
        <f>G247*(1+0.01*growthrate!$E$3)^2</f>
        <v>23952.731249999993</v>
      </c>
      <c r="M247" s="4">
        <f>H247*(1+0.01*growthrate!$E$3)^2</f>
        <v>128096.11604999997</v>
      </c>
      <c r="N247" s="12">
        <f>I247*(1+0.01*growthrate!$E$3)^5</f>
        <v>11283.472656684937</v>
      </c>
      <c r="O247" s="4">
        <f>J247*(1+0.01*growthrate!$E$3)^5</f>
        <v>236819.81735989454</v>
      </c>
      <c r="P247" s="4">
        <f>K247*(1+0.01*growthrate!$E$3)^5</f>
        <v>248444.33297762778</v>
      </c>
      <c r="Q247" s="4">
        <f>L247*(1+0.01*growthrate!$E$3)^5</f>
        <v>25803.894224966367</v>
      </c>
      <c r="R247" s="4">
        <f>M247*(1+0.01*growthrate!$E$3)^5</f>
        <v>137995.89678038142</v>
      </c>
      <c r="S247" s="12">
        <f>N247*(1+0.01*growthrate!$F$3)^10</f>
        <v>12098.665964904661</v>
      </c>
      <c r="T247" s="4">
        <f>O247*(1+0.01*growthrate!$F$3)^10</f>
        <v>253929.26019186061</v>
      </c>
      <c r="U247" s="4">
        <f>P247*(1+0.01*growthrate!$F$3)^10</f>
        <v>266393.60833555454</v>
      </c>
      <c r="V247" s="4">
        <f>Q247*(1+0.01*growthrate!$F$3)^10</f>
        <v>27668.1396162768</v>
      </c>
      <c r="W247" s="4">
        <f>R247*(1+0.01*growthrate!$F$3)^10</f>
        <v>147965.64058531719</v>
      </c>
    </row>
    <row r="248" spans="1:23" x14ac:dyDescent="0.2">
      <c r="A248" s="2" t="s">
        <v>503</v>
      </c>
      <c r="B248" s="8" t="s">
        <v>504</v>
      </c>
      <c r="C248" s="4" t="s">
        <v>779</v>
      </c>
      <c r="D248" s="5">
        <v>2315968</v>
      </c>
      <c r="E248" s="5">
        <v>15014</v>
      </c>
      <c r="F248" s="5">
        <v>2330982</v>
      </c>
      <c r="G248" s="5">
        <v>2245771</v>
      </c>
      <c r="H248" s="14">
        <v>5513408</v>
      </c>
      <c r="I248" s="12">
        <f>D248*(1+0.01*growthrate!E249)^2</f>
        <v>2315968</v>
      </c>
      <c r="J248" s="4">
        <f>E248*(1+0.01*growthrate!$E$3)^2</f>
        <v>15467.798149999995</v>
      </c>
      <c r="K248" s="4">
        <f>F248*(1+0.01*growthrate!$E$3)^2</f>
        <v>2401435.9309499995</v>
      </c>
      <c r="L248" s="4">
        <f>G248*(1+0.01*growthrate!$E$3)^2</f>
        <v>2313649.4284749995</v>
      </c>
      <c r="M248" s="4">
        <f>H248*(1+0.01*growthrate!$E$3)^2</f>
        <v>5680050.7567999987</v>
      </c>
      <c r="N248" s="12">
        <f>I248*(1+0.01*growthrate!$E$3)^5</f>
        <v>2494955.2799080866</v>
      </c>
      <c r="O248" s="4">
        <f>J248*(1+0.01*growthrate!$E$3)^5</f>
        <v>16663.211522307312</v>
      </c>
      <c r="P248" s="4">
        <f>K248*(1+0.01*growthrate!$E$3)^5</f>
        <v>2587028.5147656151</v>
      </c>
      <c r="Q248" s="4">
        <f>L248*(1+0.01*growthrate!$E$3)^5</f>
        <v>2492457.5198923419</v>
      </c>
      <c r="R248" s="4">
        <f>M248*(1+0.01*growthrate!$E$3)^5</f>
        <v>6119027.821551973</v>
      </c>
      <c r="S248" s="12">
        <f>N248*(1+0.01*growthrate!$F$3)^10</f>
        <v>2675207.4868635018</v>
      </c>
      <c r="T248" s="4">
        <f>O248*(1+0.01*growthrate!$F$3)^10</f>
        <v>17867.073040807736</v>
      </c>
      <c r="U248" s="4">
        <f>P248*(1+0.01*growthrate!$F$3)^10</f>
        <v>2773932.7061947579</v>
      </c>
      <c r="V248" s="4">
        <f>Q248*(1+0.01*growthrate!$F$3)^10</f>
        <v>2672529.2720079813</v>
      </c>
      <c r="W248" s="4">
        <f>R248*(1+0.01*growthrate!$F$3)^10</f>
        <v>6561107.1959353732</v>
      </c>
    </row>
    <row r="249" spans="1:23" x14ac:dyDescent="0.2">
      <c r="A249" s="2" t="s">
        <v>505</v>
      </c>
      <c r="B249" s="8" t="s">
        <v>506</v>
      </c>
      <c r="C249" s="4" t="s">
        <v>779</v>
      </c>
      <c r="D249" s="5">
        <v>6853129</v>
      </c>
      <c r="E249" s="5">
        <v>105954</v>
      </c>
      <c r="F249" s="5">
        <v>6959083</v>
      </c>
      <c r="G249" s="5">
        <v>11745179</v>
      </c>
      <c r="H249" s="14">
        <v>14677812</v>
      </c>
      <c r="I249" s="12">
        <f>D249*(1+0.01*growthrate!E250)^2</f>
        <v>6853129</v>
      </c>
      <c r="J249" s="4">
        <f>E249*(1+0.01*growthrate!$E$3)^2</f>
        <v>109156.45964999998</v>
      </c>
      <c r="K249" s="4">
        <f>F249*(1+0.01*growthrate!$E$3)^2</f>
        <v>7169421.2836749982</v>
      </c>
      <c r="L249" s="4">
        <f>G249*(1+0.01*growthrate!$E$3)^2</f>
        <v>12100177.035274997</v>
      </c>
      <c r="M249" s="4">
        <f>H249*(1+0.01*growthrate!$E$3)^2</f>
        <v>15121448.867699996</v>
      </c>
      <c r="N249" s="12">
        <f>I249*(1+0.01*growthrate!$E$3)^5</f>
        <v>7382766.248256118</v>
      </c>
      <c r="O249" s="4">
        <f>J249*(1+0.01*growthrate!$E$3)^5</f>
        <v>117592.50790159512</v>
      </c>
      <c r="P249" s="4">
        <f>K249*(1+0.01*growthrate!$E$3)^5</f>
        <v>7723502.8660112526</v>
      </c>
      <c r="Q249" s="4">
        <f>L249*(1+0.01*growthrate!$E$3)^5</f>
        <v>13035327.164270807</v>
      </c>
      <c r="R249" s="4">
        <f>M249*(1+0.01*growthrate!$E$3)^5</f>
        <v>16290094.98072869</v>
      </c>
      <c r="S249" s="12">
        <f>N249*(1+0.01*growthrate!$F$3)^10</f>
        <v>7916146.5137866251</v>
      </c>
      <c r="T249" s="4">
        <f>O249*(1+0.01*growthrate!$F$3)^10</f>
        <v>126088.17483453729</v>
      </c>
      <c r="U249" s="4">
        <f>P249*(1+0.01*growthrate!$F$3)^10</f>
        <v>8281500.2170003606</v>
      </c>
      <c r="V249" s="4">
        <f>Q249*(1+0.01*growthrate!$F$3)^10</f>
        <v>13977086.124308057</v>
      </c>
      <c r="W249" s="4">
        <f>R249*(1+0.01*growthrate!$F$3)^10</f>
        <v>17467000.072148945</v>
      </c>
    </row>
    <row r="250" spans="1:23" x14ac:dyDescent="0.2">
      <c r="A250" s="2" t="s">
        <v>507</v>
      </c>
      <c r="B250" s="8" t="s">
        <v>508</v>
      </c>
      <c r="C250" s="4" t="s">
        <v>779</v>
      </c>
      <c r="D250" s="5">
        <v>0</v>
      </c>
      <c r="E250" s="5">
        <v>5290776</v>
      </c>
      <c r="F250" s="5">
        <v>5290776</v>
      </c>
      <c r="G250" s="5">
        <v>6416412</v>
      </c>
      <c r="H250" s="14">
        <v>6653363</v>
      </c>
      <c r="I250" s="12">
        <f>D250*(1+0.01*growthrate!E251)^2</f>
        <v>0</v>
      </c>
      <c r="J250" s="4">
        <f>E250*(1+0.01*growthrate!$E$3)^2</f>
        <v>5450689.7045999989</v>
      </c>
      <c r="K250" s="4">
        <f>F250*(1+0.01*growthrate!$E$3)^2</f>
        <v>5450689.7045999989</v>
      </c>
      <c r="L250" s="4">
        <f>G250*(1+0.01*growthrate!$E$3)^2</f>
        <v>6610348.052699998</v>
      </c>
      <c r="M250" s="4">
        <f>H250*(1+0.01*growthrate!$E$3)^2</f>
        <v>6854460.8966749981</v>
      </c>
      <c r="N250" s="12">
        <f>I250*(1+0.01*growthrate!$E$3)^5</f>
        <v>0</v>
      </c>
      <c r="O250" s="4">
        <f>J250*(1+0.01*growthrate!$E$3)^5</f>
        <v>5871940.8289028239</v>
      </c>
      <c r="P250" s="4">
        <f>K250*(1+0.01*growthrate!$E$3)^5</f>
        <v>5871940.8289028239</v>
      </c>
      <c r="Q250" s="4">
        <f>L250*(1+0.01*growthrate!$E$3)^5</f>
        <v>7121222.2172819311</v>
      </c>
      <c r="R250" s="4">
        <f>M250*(1+0.01*growthrate!$E$3)^5</f>
        <v>7384201.0792389205</v>
      </c>
      <c r="S250" s="12">
        <f>N250*(1+0.01*growthrate!$F$3)^10</f>
        <v>0</v>
      </c>
      <c r="T250" s="4">
        <f>O250*(1+0.01*growthrate!$F$3)^10</f>
        <v>6296168.9912450109</v>
      </c>
      <c r="U250" s="4">
        <f>P250*(1+0.01*growthrate!$F$3)^10</f>
        <v>6296168.9912450109</v>
      </c>
      <c r="V250" s="4">
        <f>Q250*(1+0.01*growthrate!$F$3)^10</f>
        <v>7635706.7979162941</v>
      </c>
      <c r="W250" s="4">
        <f>R250*(1+0.01*growthrate!$F$3)^10</f>
        <v>7917685.0065277526</v>
      </c>
    </row>
    <row r="251" spans="1:23" x14ac:dyDescent="0.2">
      <c r="A251" s="2" t="s">
        <v>509</v>
      </c>
      <c r="B251" s="8" t="s">
        <v>510</v>
      </c>
      <c r="C251" s="4" t="s">
        <v>779</v>
      </c>
      <c r="D251" s="5">
        <v>34357</v>
      </c>
      <c r="E251" s="5">
        <v>163215</v>
      </c>
      <c r="F251" s="5">
        <v>197572</v>
      </c>
      <c r="G251" s="5">
        <v>776151</v>
      </c>
      <c r="H251" s="14">
        <v>416854</v>
      </c>
      <c r="I251" s="12">
        <f>D251*(1+0.01*growthrate!E252)^2</f>
        <v>34357</v>
      </c>
      <c r="J251" s="4">
        <f>E251*(1+0.01*growthrate!$E$3)^2</f>
        <v>168148.17337499995</v>
      </c>
      <c r="K251" s="4">
        <f>F251*(1+0.01*growthrate!$E$3)^2</f>
        <v>203543.61369999996</v>
      </c>
      <c r="L251" s="4">
        <f>G251*(1+0.01*growthrate!$E$3)^2</f>
        <v>799610.1639749998</v>
      </c>
      <c r="M251" s="4">
        <f>H251*(1+0.01*growthrate!$E$3)^2</f>
        <v>429453.41214999987</v>
      </c>
      <c r="N251" s="12">
        <f>I251*(1+0.01*growthrate!$E$3)^5</f>
        <v>37012.246521455447</v>
      </c>
      <c r="O251" s="4">
        <f>J251*(1+0.01*growthrate!$E$3)^5</f>
        <v>181143.33745926389</v>
      </c>
      <c r="P251" s="4">
        <f>K251*(1+0.01*growthrate!$E$3)^5</f>
        <v>219274.27913183032</v>
      </c>
      <c r="Q251" s="4">
        <f>L251*(1+0.01*growthrate!$E$3)^5</f>
        <v>861407.23899362888</v>
      </c>
      <c r="R251" s="4">
        <f>M251*(1+0.01*growthrate!$E$3)^5</f>
        <v>462643.29132275825</v>
      </c>
      <c r="S251" s="12">
        <f>N251*(1+0.01*growthrate!$F$3)^10</f>
        <v>39686.258025227173</v>
      </c>
      <c r="T251" s="4">
        <f>O251*(1+0.01*growthrate!$F$3)^10</f>
        <v>194230.34010626312</v>
      </c>
      <c r="U251" s="4">
        <f>P251*(1+0.01*growthrate!$F$3)^10</f>
        <v>235116.11528030277</v>
      </c>
      <c r="V251" s="4">
        <f>Q251*(1+0.01*growthrate!$F$3)^10</f>
        <v>923641.0422070045</v>
      </c>
      <c r="W251" s="4">
        <f>R251*(1+0.01*growthrate!$F$3)^10</f>
        <v>496067.72781090101</v>
      </c>
    </row>
    <row r="252" spans="1:23" x14ac:dyDescent="0.2">
      <c r="A252" s="2" t="s">
        <v>511</v>
      </c>
      <c r="B252" s="8" t="s">
        <v>512</v>
      </c>
      <c r="C252" s="4" t="s">
        <v>779</v>
      </c>
      <c r="D252" s="5">
        <v>346129</v>
      </c>
      <c r="E252" s="5">
        <v>0</v>
      </c>
      <c r="F252" s="5">
        <v>346129</v>
      </c>
      <c r="G252" s="5">
        <v>396643</v>
      </c>
      <c r="H252" s="14">
        <v>1992697</v>
      </c>
      <c r="I252" s="12">
        <f>D252*(1+0.01*growthrate!E253)^2</f>
        <v>346129</v>
      </c>
      <c r="J252" s="4">
        <f>E252*(1+0.01*growthrate!$E$3)^2</f>
        <v>0</v>
      </c>
      <c r="K252" s="4">
        <f>F252*(1+0.01*growthrate!$E$3)^2</f>
        <v>356590.74902499991</v>
      </c>
      <c r="L252" s="4">
        <f>G252*(1+0.01*growthrate!$E$3)^2</f>
        <v>408631.53467499989</v>
      </c>
      <c r="M252" s="4">
        <f>H252*(1+0.01*growthrate!$E$3)^2</f>
        <v>2052926.2668249994</v>
      </c>
      <c r="N252" s="12">
        <f>I252*(1+0.01*growthrate!$E$3)^5</f>
        <v>372879.2349804946</v>
      </c>
      <c r="O252" s="4">
        <f>J252*(1+0.01*growthrate!$E$3)^5</f>
        <v>0</v>
      </c>
      <c r="P252" s="4">
        <f>K252*(1+0.01*growthrate!$E$3)^5</f>
        <v>384149.50985777995</v>
      </c>
      <c r="Q252" s="4">
        <f>L252*(1+0.01*growthrate!$E$3)^5</f>
        <v>440212.21578810038</v>
      </c>
      <c r="R252" s="4">
        <f>M252*(1+0.01*growthrate!$E$3)^5</f>
        <v>2211584.6284046364</v>
      </c>
      <c r="S252" s="12">
        <f>N252*(1+0.01*growthrate!$F$3)^10</f>
        <v>399818.51744954032</v>
      </c>
      <c r="T252" s="4">
        <f>O252*(1+0.01*growthrate!$F$3)^10</f>
        <v>0</v>
      </c>
      <c r="U252" s="4">
        <f>P252*(1+0.01*growthrate!$F$3)^10</f>
        <v>411903.03213945258</v>
      </c>
      <c r="V252" s="4">
        <f>Q252*(1+0.01*growthrate!$F$3)^10</f>
        <v>472016.08179866138</v>
      </c>
      <c r="W252" s="4">
        <f>R252*(1+0.01*growthrate!$F$3)^10</f>
        <v>2371364.2498467062</v>
      </c>
    </row>
    <row r="253" spans="1:23" x14ac:dyDescent="0.2">
      <c r="A253" s="2" t="s">
        <v>513</v>
      </c>
      <c r="B253" s="8" t="s">
        <v>514</v>
      </c>
      <c r="C253" s="4" t="s">
        <v>779</v>
      </c>
      <c r="D253" s="5">
        <v>177173</v>
      </c>
      <c r="E253" s="5">
        <v>92470</v>
      </c>
      <c r="F253" s="5">
        <v>269643</v>
      </c>
      <c r="G253" s="5">
        <v>620289</v>
      </c>
      <c r="H253" s="14">
        <v>1195155</v>
      </c>
      <c r="I253" s="12">
        <f>D253*(1+0.01*growthrate!E254)^2</f>
        <v>177173</v>
      </c>
      <c r="J253" s="4">
        <f>E253*(1+0.01*growthrate!$E$3)^2</f>
        <v>95264.905749999976</v>
      </c>
      <c r="K253" s="4">
        <f>F253*(1+0.01*growthrate!$E$3)^2</f>
        <v>277792.95967499993</v>
      </c>
      <c r="L253" s="4">
        <f>G253*(1+0.01*growthrate!$E$3)^2</f>
        <v>639037.23502499983</v>
      </c>
      <c r="M253" s="4">
        <f>H253*(1+0.01*growthrate!$E$3)^2</f>
        <v>1231278.5598749996</v>
      </c>
      <c r="N253" s="12">
        <f>I253*(1+0.01*growthrate!$E$3)^5</f>
        <v>190865.63882020625</v>
      </c>
      <c r="O253" s="4">
        <f>J253*(1+0.01*growthrate!$E$3)^5</f>
        <v>102627.35909602752</v>
      </c>
      <c r="P253" s="4">
        <f>K253*(1+0.01*growthrate!$E$3)^5</f>
        <v>299261.91184957448</v>
      </c>
      <c r="Q253" s="4">
        <f>L253*(1+0.01*growthrate!$E$3)^5</f>
        <v>688424.59117893176</v>
      </c>
      <c r="R253" s="4">
        <f>M253*(1+0.01*growthrate!$E$3)^5</f>
        <v>1326436.6968791259</v>
      </c>
      <c r="S253" s="12">
        <f>N253*(1+0.01*growthrate!$F$3)^10</f>
        <v>204655.04535039654</v>
      </c>
      <c r="T253" s="4">
        <f>O253*(1+0.01*growthrate!$F$3)^10</f>
        <v>110041.84388460711</v>
      </c>
      <c r="U253" s="4">
        <f>P253*(1+0.01*growthrate!$F$3)^10</f>
        <v>320882.58798071934</v>
      </c>
      <c r="V253" s="4">
        <f>Q253*(1+0.01*growthrate!$F$3)^10</f>
        <v>738160.97438454709</v>
      </c>
      <c r="W253" s="4">
        <f>R253*(1+0.01*growthrate!$F$3)^10</f>
        <v>1422267.329165217</v>
      </c>
    </row>
    <row r="254" spans="1:23" x14ac:dyDescent="0.2">
      <c r="A254" s="2" t="s">
        <v>515</v>
      </c>
      <c r="B254" s="8" t="s">
        <v>516</v>
      </c>
      <c r="C254" s="4" t="s">
        <v>779</v>
      </c>
      <c r="D254" s="5">
        <v>5786022</v>
      </c>
      <c r="E254" s="5">
        <v>4636610</v>
      </c>
      <c r="F254" s="5">
        <v>10422632</v>
      </c>
      <c r="G254" s="5">
        <v>2492621</v>
      </c>
      <c r="H254" s="14">
        <v>2574562</v>
      </c>
      <c r="I254" s="12">
        <f>D254*(1+0.01*growthrate!E255)^2</f>
        <v>5786022</v>
      </c>
      <c r="J254" s="4">
        <f>E254*(1+0.01*growthrate!$E$3)^2</f>
        <v>4776751.5372499991</v>
      </c>
      <c r="K254" s="4">
        <f>F254*(1+0.01*growthrate!$E$3)^2</f>
        <v>10737656.052199997</v>
      </c>
      <c r="L254" s="4">
        <f>G254*(1+0.01*growthrate!$E$3)^2</f>
        <v>2567960.4697249993</v>
      </c>
      <c r="M254" s="4">
        <f>H254*(1+0.01*growthrate!$E$3)^2</f>
        <v>2652378.1364499992</v>
      </c>
      <c r="N254" s="12">
        <f>I254*(1+0.01*growthrate!$E$3)^5</f>
        <v>6233188.9467230747</v>
      </c>
      <c r="O254" s="4">
        <f>J254*(1+0.01*growthrate!$E$3)^5</f>
        <v>5145918.0216095187</v>
      </c>
      <c r="P254" s="4">
        <f>K254*(1+0.01*growthrate!$E$3)^5</f>
        <v>11567505.104247296</v>
      </c>
      <c r="Q254" s="4">
        <f>L254*(1+0.01*growthrate!$E$3)^5</f>
        <v>2766422.7366421456</v>
      </c>
      <c r="R254" s="4">
        <f>M254*(1+0.01*growthrate!$E$3)^5</f>
        <v>2857364.5386502305</v>
      </c>
      <c r="S254" s="12">
        <f>N254*(1+0.01*growthrate!$F$3)^10</f>
        <v>6683516.0820688931</v>
      </c>
      <c r="T254" s="4">
        <f>O254*(1+0.01*growthrate!$F$3)^10</f>
        <v>5517693.4548914051</v>
      </c>
      <c r="U254" s="4">
        <f>P254*(1+0.01*growthrate!$F$3)^10</f>
        <v>12403218.810540829</v>
      </c>
      <c r="V254" s="4">
        <f>Q254*(1+0.01*growthrate!$F$3)^10</f>
        <v>2966287.562944666</v>
      </c>
      <c r="W254" s="4">
        <f>R254*(1+0.01*growthrate!$F$3)^10</f>
        <v>3063799.6071725087</v>
      </c>
    </row>
    <row r="255" spans="1:23" x14ac:dyDescent="0.2">
      <c r="A255" s="2" t="s">
        <v>517</v>
      </c>
      <c r="B255" s="8" t="s">
        <v>518</v>
      </c>
      <c r="C255" s="4" t="s">
        <v>779</v>
      </c>
      <c r="D255" s="5">
        <v>159117</v>
      </c>
      <c r="E255" s="5">
        <v>630530</v>
      </c>
      <c r="F255" s="5">
        <v>789647</v>
      </c>
      <c r="G255" s="5">
        <v>71834</v>
      </c>
      <c r="H255" s="14">
        <v>7199</v>
      </c>
      <c r="I255" s="12">
        <f>D255*(1+0.01*growthrate!E256)^2</f>
        <v>159117</v>
      </c>
      <c r="J255" s="4">
        <f>E255*(1+0.01*growthrate!$E$3)^2</f>
        <v>649587.76924999978</v>
      </c>
      <c r="K255" s="4">
        <f>F255*(1+0.01*growthrate!$E$3)^2</f>
        <v>813514.0805749998</v>
      </c>
      <c r="L255" s="4">
        <f>G255*(1+0.01*growthrate!$E$3)^2</f>
        <v>74005.182649999973</v>
      </c>
      <c r="M255" s="4">
        <f>H255*(1+0.01*growthrate!$E$3)^2</f>
        <v>7416.5897749999976</v>
      </c>
      <c r="N255" s="12">
        <f>I255*(1+0.01*growthrate!$E$3)^5</f>
        <v>171414.19884606998</v>
      </c>
      <c r="O255" s="4">
        <f>J255*(1+0.01*growthrate!$E$3)^5</f>
        <v>699790.51293195877</v>
      </c>
      <c r="P255" s="4">
        <f>K255*(1+0.01*growthrate!$E$3)^5</f>
        <v>876385.70593815122</v>
      </c>
      <c r="Q255" s="4">
        <f>L255*(1+0.01*growthrate!$E$3)^5</f>
        <v>79724.599473386406</v>
      </c>
      <c r="R255" s="4">
        <f>M255*(1+0.01*growthrate!$E$3)^5</f>
        <v>7989.7735279799081</v>
      </c>
      <c r="S255" s="12">
        <f>N255*(1+0.01*growthrate!$F$3)^10</f>
        <v>183798.30364118147</v>
      </c>
      <c r="T255" s="4">
        <f>O255*(1+0.01*growthrate!$F$3)^10</f>
        <v>750348.04611832288</v>
      </c>
      <c r="U255" s="4">
        <f>P255*(1+0.01*growthrate!$F$3)^10</f>
        <v>939701.65348705905</v>
      </c>
      <c r="V255" s="4">
        <f>Q255*(1+0.01*growthrate!$F$3)^10</f>
        <v>85484.436180457094</v>
      </c>
      <c r="W255" s="4">
        <f>R255*(1+0.01*growthrate!$F$3)^10</f>
        <v>8567.0080472075988</v>
      </c>
    </row>
    <row r="256" spans="1:23" x14ac:dyDescent="0.2">
      <c r="A256" s="2" t="s">
        <v>519</v>
      </c>
      <c r="B256" s="8" t="s">
        <v>520</v>
      </c>
      <c r="C256" s="4" t="s">
        <v>779</v>
      </c>
      <c r="D256" s="5">
        <v>249702</v>
      </c>
      <c r="E256" s="5">
        <v>444250</v>
      </c>
      <c r="F256" s="5">
        <v>693952</v>
      </c>
      <c r="G256" s="5">
        <v>383938</v>
      </c>
      <c r="H256" s="14">
        <v>794176</v>
      </c>
      <c r="I256" s="12">
        <f>D256*(1+0.01*growthrate!E257)^2</f>
        <v>249702</v>
      </c>
      <c r="J256" s="4">
        <f>E256*(1+0.01*growthrate!$E$3)^2</f>
        <v>457677.45624999987</v>
      </c>
      <c r="K256" s="4">
        <f>F256*(1+0.01*growthrate!$E$3)^2</f>
        <v>714926.6991999998</v>
      </c>
      <c r="L256" s="4">
        <f>G256*(1+0.01*growthrate!$E$3)^2</f>
        <v>395542.52604999987</v>
      </c>
      <c r="M256" s="4">
        <f>H256*(1+0.01*growthrate!$E$3)^2</f>
        <v>818179.96959999984</v>
      </c>
      <c r="N256" s="12">
        <f>I256*(1+0.01*growthrate!$E$3)^5</f>
        <v>268999.97033793601</v>
      </c>
      <c r="O256" s="4">
        <f>J256*(1+0.01*growthrate!$E$3)^5</f>
        <v>493048.60255661543</v>
      </c>
      <c r="P256" s="4">
        <f>K256*(1+0.01*growthrate!$E$3)^5</f>
        <v>770179.09699801542</v>
      </c>
      <c r="Q256" s="4">
        <f>L256*(1+0.01*growthrate!$E$3)^5</f>
        <v>426111.6361696833</v>
      </c>
      <c r="R256" s="4">
        <f>M256*(1+0.01*growthrate!$E$3)^5</f>
        <v>881412.19354868343</v>
      </c>
      <c r="S256" s="12">
        <f>N256*(1+0.01*growthrate!$F$3)^10</f>
        <v>288434.32201342593</v>
      </c>
      <c r="T256" s="4">
        <f>O256*(1+0.01*growthrate!$F$3)^10</f>
        <v>528669.7214852029</v>
      </c>
      <c r="U256" s="4">
        <f>P256*(1+0.01*growthrate!$F$3)^10</f>
        <v>825821.97088148457</v>
      </c>
      <c r="V256" s="4">
        <f>Q256*(1+0.01*growthrate!$F$3)^10</f>
        <v>456896.78227931535</v>
      </c>
      <c r="W256" s="4">
        <f>R256*(1+0.01*growthrate!$F$3)^10</f>
        <v>945091.28808155889</v>
      </c>
    </row>
    <row r="257" spans="1:23" x14ac:dyDescent="0.2">
      <c r="A257" s="2" t="s">
        <v>521</v>
      </c>
      <c r="B257" s="8" t="s">
        <v>522</v>
      </c>
      <c r="C257" s="4" t="s">
        <v>779</v>
      </c>
      <c r="D257" s="5">
        <v>118344</v>
      </c>
      <c r="E257" s="5">
        <v>971892</v>
      </c>
      <c r="F257" s="5">
        <v>1090236</v>
      </c>
      <c r="G257" s="5">
        <v>684614</v>
      </c>
      <c r="H257" s="14">
        <v>2921923</v>
      </c>
      <c r="I257" s="12">
        <f>D257*(1+0.01*growthrate!E258)^2</f>
        <v>118344</v>
      </c>
      <c r="J257" s="4">
        <f>E257*(1+0.01*growthrate!$E$3)^2</f>
        <v>1001267.4356999997</v>
      </c>
      <c r="K257" s="4">
        <f>F257*(1+0.01*growthrate!$E$3)^2</f>
        <v>1123188.3830999997</v>
      </c>
      <c r="L257" s="4">
        <f>G257*(1+0.01*growthrate!$E$3)^2</f>
        <v>705306.45814999985</v>
      </c>
      <c r="M257" s="4">
        <f>H257*(1+0.01*growthrate!$E$3)^2</f>
        <v>3010238.1226749993</v>
      </c>
      <c r="N257" s="12">
        <f>I257*(1+0.01*growthrate!$E$3)^5</f>
        <v>127490.09815569239</v>
      </c>
      <c r="O257" s="4">
        <f>J257*(1+0.01*growthrate!$E$3)^5</f>
        <v>1078649.392089936</v>
      </c>
      <c r="P257" s="4">
        <f>K257*(1+0.01*growthrate!$E$3)^5</f>
        <v>1209992.8784623842</v>
      </c>
      <c r="Q257" s="4">
        <f>L257*(1+0.01*growthrate!$E$3)^5</f>
        <v>759815.36520133866</v>
      </c>
      <c r="R257" s="4">
        <f>M257*(1+0.01*growthrate!$E$3)^5</f>
        <v>3242881.3774407054</v>
      </c>
      <c r="S257" s="12">
        <f>N257*(1+0.01*growthrate!$F$3)^10</f>
        <v>136700.83301037591</v>
      </c>
      <c r="T257" s="4">
        <f>O257*(1+0.01*growthrate!$F$3)^10</f>
        <v>1156578.217115806</v>
      </c>
      <c r="U257" s="4">
        <f>P257*(1+0.01*growthrate!$F$3)^10</f>
        <v>1297410.8328039206</v>
      </c>
      <c r="V257" s="4">
        <f>Q257*(1+0.01*growthrate!$F$3)^10</f>
        <v>814709.4939895795</v>
      </c>
      <c r="W257" s="4">
        <f>R257*(1+0.01*growthrate!$F$3)^10</f>
        <v>3477168.7532047462</v>
      </c>
    </row>
    <row r="258" spans="1:23" x14ac:dyDescent="0.2">
      <c r="A258" s="2" t="s">
        <v>523</v>
      </c>
      <c r="B258" s="8" t="s">
        <v>524</v>
      </c>
      <c r="C258" s="4" t="s">
        <v>779</v>
      </c>
      <c r="D258" s="5">
        <v>295454</v>
      </c>
      <c r="E258" s="5">
        <v>501131</v>
      </c>
      <c r="F258" s="5">
        <v>796585</v>
      </c>
      <c r="G258" s="5">
        <v>154930</v>
      </c>
      <c r="H258" s="14">
        <v>742876</v>
      </c>
      <c r="I258" s="12">
        <f>D258*(1+0.01*growthrate!E259)^2</f>
        <v>295454</v>
      </c>
      <c r="J258" s="4">
        <f>E258*(1+0.01*growthrate!$E$3)^2</f>
        <v>516277.68447499984</v>
      </c>
      <c r="K258" s="4">
        <f>F258*(1+0.01*growthrate!$E$3)^2</f>
        <v>820661.78162499983</v>
      </c>
      <c r="L258" s="4">
        <f>G258*(1+0.01*growthrate!$E$3)^2</f>
        <v>159612.75924999994</v>
      </c>
      <c r="M258" s="4">
        <f>H258*(1+0.01*growthrate!$E$3)^2</f>
        <v>765329.42709999974</v>
      </c>
      <c r="N258" s="12">
        <f>I258*(1+0.01*growthrate!$E$3)^5</f>
        <v>318287.86808365391</v>
      </c>
      <c r="O258" s="4">
        <f>J258*(1+0.01*growthrate!$E$3)^5</f>
        <v>556177.69104738149</v>
      </c>
      <c r="P258" s="4">
        <f>K258*(1+0.01*growthrate!$E$3)^5</f>
        <v>884085.80994386389</v>
      </c>
      <c r="Q258" s="4">
        <f>L258*(1+0.01*growthrate!$E$3)^5</f>
        <v>171948.27235587264</v>
      </c>
      <c r="R258" s="4">
        <f>M258*(1+0.01*growthrate!$E$3)^5</f>
        <v>824477.14951682207</v>
      </c>
      <c r="S258" s="12">
        <f>N258*(1+0.01*growthrate!$F$3)^10</f>
        <v>341283.10616717028</v>
      </c>
      <c r="T258" s="4">
        <f>O258*(1+0.01*growthrate!$F$3)^10</f>
        <v>596359.67630298529</v>
      </c>
      <c r="U258" s="4">
        <f>P258*(1+0.01*growthrate!$F$3)^10</f>
        <v>947958.06435405836</v>
      </c>
      <c r="V258" s="4">
        <f>Q258*(1+0.01*growthrate!$F$3)^10</f>
        <v>184370.96218278556</v>
      </c>
      <c r="W258" s="4">
        <f>R258*(1+0.01*growthrate!$F$3)^10</f>
        <v>884042.87679919321</v>
      </c>
    </row>
    <row r="259" spans="1:23" x14ac:dyDescent="0.2">
      <c r="A259" s="2" t="s">
        <v>525</v>
      </c>
      <c r="B259" s="8" t="s">
        <v>526</v>
      </c>
      <c r="C259" s="4" t="s">
        <v>779</v>
      </c>
      <c r="D259" s="5">
        <v>640771</v>
      </c>
      <c r="E259" s="5">
        <v>1091823</v>
      </c>
      <c r="F259" s="5">
        <v>1732594</v>
      </c>
      <c r="G259" s="5">
        <v>987076</v>
      </c>
      <c r="H259" s="14">
        <v>722013</v>
      </c>
      <c r="I259" s="12">
        <f>D259*(1+0.01*growthrate!E260)^2</f>
        <v>640771</v>
      </c>
      <c r="J259" s="4">
        <f>E259*(1+0.01*growthrate!$E$3)^2</f>
        <v>1124823.3501749998</v>
      </c>
      <c r="K259" s="4">
        <f>F259*(1+0.01*growthrate!$E$3)^2</f>
        <v>1784961.6536499995</v>
      </c>
      <c r="L259" s="4">
        <f>G259*(1+0.01*growthrate!$E$3)^2</f>
        <v>1016910.3720999997</v>
      </c>
      <c r="M259" s="4">
        <f>H259*(1+0.01*growthrate!$E$3)^2</f>
        <v>743835.84292499977</v>
      </c>
      <c r="N259" s="12">
        <f>I259*(1+0.01*growthrate!$E$3)^5</f>
        <v>690292.34845299437</v>
      </c>
      <c r="O259" s="4">
        <f>J259*(1+0.01*growthrate!$E$3)^5</f>
        <v>1211754.2023391593</v>
      </c>
      <c r="P259" s="4">
        <f>K259*(1+0.01*growthrate!$E$3)^5</f>
        <v>1922910.6370241453</v>
      </c>
      <c r="Q259" s="4">
        <f>L259*(1+0.01*growthrate!$E$3)^5</f>
        <v>1095501.2772474366</v>
      </c>
      <c r="R259" s="4">
        <f>M259*(1+0.01*growthrate!$E$3)^5</f>
        <v>801322.45509895228</v>
      </c>
      <c r="S259" s="12">
        <f>N259*(1+0.01*growthrate!$F$3)^10</f>
        <v>740163.67089917162</v>
      </c>
      <c r="T259" s="4">
        <f>O259*(1+0.01*growthrate!$F$3)^10</f>
        <v>1299299.4064628896</v>
      </c>
      <c r="U259" s="4">
        <f>P259*(1+0.01*growthrate!$F$3)^10</f>
        <v>2061834.5243149886</v>
      </c>
      <c r="V259" s="4">
        <f>Q259*(1+0.01*growthrate!$F$3)^10</f>
        <v>1174647.594833378</v>
      </c>
      <c r="W259" s="4">
        <f>R259*(1+0.01*growthrate!$F$3)^10</f>
        <v>859215.33285018743</v>
      </c>
    </row>
    <row r="260" spans="1:23" x14ac:dyDescent="0.2">
      <c r="A260" s="2" t="s">
        <v>527</v>
      </c>
      <c r="B260" s="8" t="s">
        <v>528</v>
      </c>
      <c r="C260" s="4" t="s">
        <v>779</v>
      </c>
      <c r="D260" s="5">
        <v>203065</v>
      </c>
      <c r="E260" s="5">
        <v>1625589</v>
      </c>
      <c r="F260" s="5">
        <v>1828654</v>
      </c>
      <c r="G260" s="5">
        <v>118102</v>
      </c>
      <c r="H260" s="14">
        <v>168925</v>
      </c>
      <c r="I260" s="12">
        <f>D260*(1+0.01*growthrate!E261)^2</f>
        <v>203065</v>
      </c>
      <c r="J260" s="4">
        <f>E260*(1+0.01*growthrate!$E$3)^2</f>
        <v>1674722.4275249995</v>
      </c>
      <c r="K260" s="4">
        <f>F260*(1+0.01*growthrate!$E$3)^2</f>
        <v>1883925.0671499996</v>
      </c>
      <c r="L260" s="4">
        <f>G260*(1+0.01*growthrate!$E$3)^2</f>
        <v>121671.63294999997</v>
      </c>
      <c r="M260" s="4">
        <f>H260*(1+0.01*growthrate!$E$3)^2</f>
        <v>174030.75812499996</v>
      </c>
      <c r="N260" s="12">
        <f>I260*(1+0.01*growthrate!$E$3)^5</f>
        <v>218758.67624878045</v>
      </c>
      <c r="O260" s="4">
        <f>J260*(1+0.01*growthrate!$E$3)^5</f>
        <v>1804151.6821190903</v>
      </c>
      <c r="P260" s="4">
        <f>K260*(1+0.01*growthrate!$E$3)^5</f>
        <v>2029522.3393574902</v>
      </c>
      <c r="Q260" s="4">
        <f>L260*(1+0.01*growthrate!$E$3)^5</f>
        <v>131074.90390352593</v>
      </c>
      <c r="R260" s="4">
        <f>M260*(1+0.01*growthrate!$E$3)^5</f>
        <v>187480.55191193306</v>
      </c>
      <c r="S260" s="12">
        <f>N260*(1+0.01*growthrate!$F$3)^10</f>
        <v>234563.26180669895</v>
      </c>
      <c r="T260" s="4">
        <f>O260*(1+0.01*growthrate!$F$3)^10</f>
        <v>1934495.6305670445</v>
      </c>
      <c r="U260" s="4">
        <f>P260*(1+0.01*growthrate!$F$3)^10</f>
        <v>2176148.566961851</v>
      </c>
      <c r="V260" s="4">
        <f>Q260*(1+0.01*growthrate!$F$3)^10</f>
        <v>140544.62903060313</v>
      </c>
      <c r="W260" s="4">
        <f>R260*(1+0.01*growthrate!$F$3)^10</f>
        <v>201025.39719051862</v>
      </c>
    </row>
    <row r="261" spans="1:23" x14ac:dyDescent="0.2">
      <c r="A261" s="2" t="s">
        <v>529</v>
      </c>
      <c r="B261" s="8" t="s">
        <v>530</v>
      </c>
      <c r="C261" s="4" t="s">
        <v>779</v>
      </c>
      <c r="D261" s="5">
        <v>326444</v>
      </c>
      <c r="E261" s="5">
        <v>1774715</v>
      </c>
      <c r="F261" s="5">
        <v>2101159</v>
      </c>
      <c r="G261" s="5">
        <v>191361</v>
      </c>
      <c r="H261" s="14">
        <v>552328</v>
      </c>
      <c r="I261" s="12">
        <f>D261*(1+0.01*growthrate!E262)^2</f>
        <v>326444</v>
      </c>
      <c r="J261" s="4">
        <f>E261*(1+0.01*growthrate!$E$3)^2</f>
        <v>1828355.7608749995</v>
      </c>
      <c r="K261" s="4">
        <f>F261*(1+0.01*growthrate!$E$3)^2</f>
        <v>2164666.5307749994</v>
      </c>
      <c r="L261" s="4">
        <f>G261*(1+0.01*growthrate!$E$3)^2</f>
        <v>197144.88622499994</v>
      </c>
      <c r="M261" s="4">
        <f>H261*(1+0.01*growthrate!$E$3)^2</f>
        <v>569022.11379999982</v>
      </c>
      <c r="N261" s="12">
        <f>I261*(1+0.01*growthrate!$E$3)^5</f>
        <v>351672.89936403069</v>
      </c>
      <c r="O261" s="4">
        <f>J261*(1+0.01*growthrate!$E$3)^5</f>
        <v>1969658.414600481</v>
      </c>
      <c r="P261" s="4">
        <f>K261*(1+0.01*growthrate!$E$3)^5</f>
        <v>2331960.6273477897</v>
      </c>
      <c r="Q261" s="4">
        <f>L261*(1+0.01*growthrate!$E$3)^5</f>
        <v>212381.03237779735</v>
      </c>
      <c r="R261" s="4">
        <f>M261*(1+0.01*growthrate!$E$3)^5</f>
        <v>612998.42105321388</v>
      </c>
      <c r="S261" s="12">
        <f>N261*(1+0.01*growthrate!$F$3)^10</f>
        <v>377080.09473432665</v>
      </c>
      <c r="T261" s="4">
        <f>O261*(1+0.01*growthrate!$F$3)^10</f>
        <v>2111959.6730795992</v>
      </c>
      <c r="U261" s="4">
        <f>P261*(1+0.01*growthrate!$F$3)^10</f>
        <v>2500437.0136772706</v>
      </c>
      <c r="V261" s="4">
        <f>Q261*(1+0.01*growthrate!$F$3)^10</f>
        <v>227724.85441334813</v>
      </c>
      <c r="W261" s="4">
        <f>R261*(1+0.01*growthrate!$F$3)^10</f>
        <v>657285.51475178194</v>
      </c>
    </row>
    <row r="262" spans="1:23" x14ac:dyDescent="0.2">
      <c r="A262" s="2" t="s">
        <v>531</v>
      </c>
      <c r="B262" s="8" t="s">
        <v>532</v>
      </c>
      <c r="C262" s="4" t="s">
        <v>779</v>
      </c>
      <c r="D262" s="5">
        <v>133330</v>
      </c>
      <c r="E262" s="5">
        <v>188368</v>
      </c>
      <c r="F262" s="5">
        <v>321698</v>
      </c>
      <c r="G262" s="5">
        <v>69247</v>
      </c>
      <c r="H262" s="14">
        <v>65176</v>
      </c>
      <c r="I262" s="12">
        <f>D262*(1+0.01*growthrate!E263)^2</f>
        <v>133330</v>
      </c>
      <c r="J262" s="4">
        <f>E262*(1+0.01*growthrate!$E$3)^2</f>
        <v>194061.42279999994</v>
      </c>
      <c r="K262" s="4">
        <f>F262*(1+0.01*growthrate!$E$3)^2</f>
        <v>331421.3220499999</v>
      </c>
      <c r="L262" s="4">
        <f>G262*(1+0.01*growthrate!$E$3)^2</f>
        <v>71339.990574999974</v>
      </c>
      <c r="M262" s="4">
        <f>H262*(1+0.01*growthrate!$E$3)^2</f>
        <v>67145.944599999988</v>
      </c>
      <c r="N262" s="12">
        <f>I262*(1+0.01*growthrate!$E$3)^5</f>
        <v>143634.27623790363</v>
      </c>
      <c r="O262" s="4">
        <f>J262*(1+0.01*growthrate!$E$3)^5</f>
        <v>209059.26655348233</v>
      </c>
      <c r="P262" s="4">
        <f>K262*(1+0.01*growthrate!$E$3)^5</f>
        <v>357034.88879067654</v>
      </c>
      <c r="Q262" s="4">
        <f>L262*(1+0.01*growthrate!$E$3)^5</f>
        <v>76853.430683709492</v>
      </c>
      <c r="R262" s="4">
        <f>M262*(1+0.01*growthrate!$E$3)^5</f>
        <v>72335.252043286368</v>
      </c>
      <c r="S262" s="12">
        <f>N262*(1+0.01*growthrate!$F$3)^10</f>
        <v>154011.37417421601</v>
      </c>
      <c r="T262" s="4">
        <f>O262*(1+0.01*growthrate!$F$3)^10</f>
        <v>224163.10207478827</v>
      </c>
      <c r="U262" s="4">
        <f>P262*(1+0.01*growthrate!$F$3)^10</f>
        <v>382829.4700334199</v>
      </c>
      <c r="V262" s="4">
        <f>Q262*(1+0.01*growthrate!$F$3)^10</f>
        <v>82405.835011110496</v>
      </c>
      <c r="W262" s="4">
        <f>R262*(1+0.01*growthrate!$F$3)^10</f>
        <v>77561.233016363723</v>
      </c>
    </row>
    <row r="263" spans="1:23" x14ac:dyDescent="0.2">
      <c r="A263" s="2" t="s">
        <v>533</v>
      </c>
      <c r="B263" s="8" t="s">
        <v>534</v>
      </c>
      <c r="C263" s="4" t="s">
        <v>779</v>
      </c>
      <c r="D263" s="5">
        <v>246690</v>
      </c>
      <c r="E263" s="5">
        <v>102576</v>
      </c>
      <c r="F263" s="5">
        <v>349266</v>
      </c>
      <c r="G263" s="5">
        <v>80111</v>
      </c>
      <c r="H263" s="14">
        <v>157189</v>
      </c>
      <c r="I263" s="12">
        <f>D263*(1+0.01*growthrate!E264)^2</f>
        <v>246690</v>
      </c>
      <c r="J263" s="4">
        <f>E263*(1+0.01*growthrate!$E$3)^2</f>
        <v>105676.35959999997</v>
      </c>
      <c r="K263" s="4">
        <f>F263*(1+0.01*growthrate!$E$3)^2</f>
        <v>359822.56484999991</v>
      </c>
      <c r="L263" s="4">
        <f>G263*(1+0.01*growthrate!$E$3)^2</f>
        <v>82532.35497499998</v>
      </c>
      <c r="M263" s="4">
        <f>H263*(1+0.01*growthrate!$E$3)^2</f>
        <v>161940.03752499996</v>
      </c>
      <c r="N263" s="12">
        <f>I263*(1+0.01*growthrate!$E$3)^5</f>
        <v>265755.19091823627</v>
      </c>
      <c r="O263" s="4">
        <f>J263*(1+0.01*growthrate!$E$3)^5</f>
        <v>113843.4517858129</v>
      </c>
      <c r="P263" s="4">
        <f>K263*(1+0.01*growthrate!$E$3)^5</f>
        <v>387631.09334955283</v>
      </c>
      <c r="Q263" s="4">
        <f>L263*(1+0.01*growthrate!$E$3)^5</f>
        <v>88910.785817474432</v>
      </c>
      <c r="R263" s="4">
        <f>M263*(1+0.01*growthrate!$E$3)^5</f>
        <v>174455.41201411778</v>
      </c>
      <c r="S263" s="12">
        <f>N263*(1+0.01*growthrate!$F$3)^10</f>
        <v>284955.11809073231</v>
      </c>
      <c r="T263" s="4">
        <f>O263*(1+0.01*growthrate!$F$3)^10</f>
        <v>122068.26190448209</v>
      </c>
      <c r="U263" s="4">
        <f>P263*(1+0.01*growthrate!$F$3)^10</f>
        <v>415636.14843950677</v>
      </c>
      <c r="V263" s="4">
        <f>Q263*(1+0.01*growthrate!$F$3)^10</f>
        <v>95334.293883851642</v>
      </c>
      <c r="W263" s="4">
        <f>R263*(1+0.01*growthrate!$F$3)^10</f>
        <v>187059.23432872834</v>
      </c>
    </row>
    <row r="264" spans="1:23" x14ac:dyDescent="0.2">
      <c r="A264" s="2" t="s">
        <v>535</v>
      </c>
      <c r="B264" s="8" t="s">
        <v>536</v>
      </c>
      <c r="C264" s="4" t="s">
        <v>779</v>
      </c>
      <c r="D264" s="5">
        <v>29524</v>
      </c>
      <c r="E264" s="5">
        <v>2345489</v>
      </c>
      <c r="F264" s="5">
        <v>2375013</v>
      </c>
      <c r="G264" s="5">
        <v>306351</v>
      </c>
      <c r="H264" s="14">
        <v>310133</v>
      </c>
      <c r="I264" s="12">
        <f>D264*(1+0.01*growthrate!E265)^2</f>
        <v>29524</v>
      </c>
      <c r="J264" s="4">
        <f>E264*(1+0.01*growthrate!$E$3)^2</f>
        <v>2416381.4050249993</v>
      </c>
      <c r="K264" s="4">
        <f>F264*(1+0.01*growthrate!$E$3)^2</f>
        <v>2446797.7679249994</v>
      </c>
      <c r="L264" s="4">
        <f>G264*(1+0.01*growthrate!$E$3)^2</f>
        <v>315610.4589749999</v>
      </c>
      <c r="M264" s="4">
        <f>H264*(1+0.01*growthrate!$E$3)^2</f>
        <v>319506.76992499991</v>
      </c>
      <c r="N264" s="12">
        <f>I264*(1+0.01*growthrate!$E$3)^5</f>
        <v>31805.732930682265</v>
      </c>
      <c r="O264" s="4">
        <f>J264*(1+0.01*growthrate!$E$3)^5</f>
        <v>2603129.0349170812</v>
      </c>
      <c r="P264" s="4">
        <f>K264*(1+0.01*growthrate!$E$3)^5</f>
        <v>2635896.0961255934</v>
      </c>
      <c r="Q264" s="4">
        <f>L264*(1+0.01*growthrate!$E$3)^5</f>
        <v>340002.09891237295</v>
      </c>
      <c r="R264" s="4">
        <f>M264*(1+0.01*growthrate!$E$3)^5</f>
        <v>344199.53237296751</v>
      </c>
      <c r="S264" s="12">
        <f>N264*(1+0.01*growthrate!$F$3)^10</f>
        <v>34103.591173175977</v>
      </c>
      <c r="T264" s="4">
        <f>O264*(1+0.01*growthrate!$F$3)^10</f>
        <v>2791196.4352878043</v>
      </c>
      <c r="U264" s="4">
        <f>P264*(1+0.01*growthrate!$F$3)^10</f>
        <v>2826330.8075041897</v>
      </c>
      <c r="V264" s="4">
        <f>Q264*(1+0.01*growthrate!$F$3)^10</f>
        <v>364566.11783165648</v>
      </c>
      <c r="W264" s="4">
        <f>R264*(1+0.01*growthrate!$F$3)^10</f>
        <v>369066.8018759042</v>
      </c>
    </row>
    <row r="265" spans="1:23" x14ac:dyDescent="0.2">
      <c r="A265" s="2" t="s">
        <v>537</v>
      </c>
      <c r="B265" s="8" t="s">
        <v>538</v>
      </c>
      <c r="C265" s="4" t="s">
        <v>779</v>
      </c>
      <c r="D265" s="5">
        <v>227073</v>
      </c>
      <c r="E265" s="5">
        <v>279338</v>
      </c>
      <c r="F265" s="5">
        <v>506411</v>
      </c>
      <c r="G265" s="5">
        <v>258521</v>
      </c>
      <c r="H265" s="14">
        <v>1455199</v>
      </c>
      <c r="I265" s="12">
        <f>D265*(1+0.01*growthrate!E266)^2</f>
        <v>227073</v>
      </c>
      <c r="J265" s="4">
        <f>E265*(1+0.01*growthrate!$E$3)^2</f>
        <v>287780.9910499999</v>
      </c>
      <c r="K265" s="4">
        <f>F265*(1+0.01*growthrate!$E$3)^2</f>
        <v>521717.27247499989</v>
      </c>
      <c r="L265" s="4">
        <f>G265*(1+0.01*growthrate!$E$3)^2</f>
        <v>266334.79722499993</v>
      </c>
      <c r="M265" s="4">
        <f>H265*(1+0.01*growthrate!$E$3)^2</f>
        <v>1499182.3897749996</v>
      </c>
      <c r="N265" s="12">
        <f>I265*(1+0.01*growthrate!$E$3)^5</f>
        <v>244622.11061403653</v>
      </c>
      <c r="O265" s="4">
        <f>J265*(1+0.01*growthrate!$E$3)^5</f>
        <v>310021.85828015715</v>
      </c>
      <c r="P265" s="4">
        <f>K265*(1+0.01*growthrate!$E$3)^5</f>
        <v>562037.67218750296</v>
      </c>
      <c r="Q265" s="4">
        <f>L265*(1+0.01*growthrate!$E$3)^5</f>
        <v>286918.21672828088</v>
      </c>
      <c r="R265" s="4">
        <f>M265*(1+0.01*growthrate!$E$3)^5</f>
        <v>1615045.2074097563</v>
      </c>
      <c r="S265" s="12">
        <f>N265*(1+0.01*growthrate!$F$3)^10</f>
        <v>262295.24314004165</v>
      </c>
      <c r="T265" s="4">
        <f>O265*(1+0.01*growthrate!$F$3)^10</f>
        <v>332419.90469382913</v>
      </c>
      <c r="U265" s="4">
        <f>P265*(1+0.01*growthrate!$F$3)^10</f>
        <v>602643.02155777859</v>
      </c>
      <c r="V265" s="4">
        <f>Q265*(1+0.01*growthrate!$F$3)^10</f>
        <v>307647.10201030085</v>
      </c>
      <c r="W265" s="4">
        <f>R265*(1+0.01*growthrate!$F$3)^10</f>
        <v>1731726.8430738228</v>
      </c>
    </row>
    <row r="266" spans="1:23" x14ac:dyDescent="0.2">
      <c r="A266" s="2" t="s">
        <v>539</v>
      </c>
      <c r="B266" s="8" t="s">
        <v>540</v>
      </c>
      <c r="C266" s="4" t="s">
        <v>779</v>
      </c>
      <c r="D266" s="5">
        <v>611496</v>
      </c>
      <c r="E266" s="5">
        <v>803100</v>
      </c>
      <c r="F266" s="5">
        <v>1414596</v>
      </c>
      <c r="G266" s="5">
        <v>286603</v>
      </c>
      <c r="H266" s="14">
        <v>741710</v>
      </c>
      <c r="I266" s="12">
        <f>D266*(1+0.01*growthrate!E267)^2</f>
        <v>611496</v>
      </c>
      <c r="J266" s="4">
        <f>E266*(1+0.01*growthrate!$E$3)^2</f>
        <v>827373.69749999978</v>
      </c>
      <c r="K266" s="4">
        <f>F266*(1+0.01*growthrate!$E$3)^2</f>
        <v>1457352.1640999997</v>
      </c>
      <c r="L266" s="4">
        <f>G266*(1+0.01*growthrate!$E$3)^2</f>
        <v>295265.57567499991</v>
      </c>
      <c r="M266" s="4">
        <f>H266*(1+0.01*growthrate!$E$3)^2</f>
        <v>764128.18474999978</v>
      </c>
      <c r="N266" s="12">
        <f>I266*(1+0.01*growthrate!$E$3)^5</f>
        <v>658754.85923927929</v>
      </c>
      <c r="O266" s="4">
        <f>J266*(1+0.01*growthrate!$E$3)^5</f>
        <v>891316.44955141889</v>
      </c>
      <c r="P266" s="4">
        <f>K266*(1+0.01*growthrate!$E$3)^5</f>
        <v>1569982.1744112053</v>
      </c>
      <c r="Q266" s="4">
        <f>L266*(1+0.01*growthrate!$E$3)^5</f>
        <v>318084.88157238864</v>
      </c>
      <c r="R266" s="4">
        <f>M266*(1+0.01*growthrate!$E$3)^5</f>
        <v>823183.07034837862</v>
      </c>
      <c r="S266" s="12">
        <f>N266*(1+0.01*growthrate!$F$3)^10</f>
        <v>706347.70315785182</v>
      </c>
      <c r="T266" s="4">
        <f>O266*(1+0.01*growthrate!$F$3)^10</f>
        <v>955711.09358416765</v>
      </c>
      <c r="U266" s="4">
        <f>P266*(1+0.01*growthrate!$F$3)^10</f>
        <v>1683408.1560699653</v>
      </c>
      <c r="V266" s="4">
        <f>Q266*(1+0.01*growthrate!$F$3)^10</f>
        <v>341065.45455672167</v>
      </c>
      <c r="W266" s="4">
        <f>R266*(1+0.01*growthrate!$F$3)^10</f>
        <v>882655.30472209305</v>
      </c>
    </row>
    <row r="267" spans="1:23" x14ac:dyDescent="0.2">
      <c r="A267" s="2" t="s">
        <v>541</v>
      </c>
      <c r="B267" s="8" t="s">
        <v>542</v>
      </c>
      <c r="C267" s="4" t="s">
        <v>779</v>
      </c>
      <c r="D267" s="5">
        <v>12380714</v>
      </c>
      <c r="E267" s="5">
        <v>0</v>
      </c>
      <c r="F267" s="5">
        <v>12380714</v>
      </c>
      <c r="G267" s="5">
        <v>1457680</v>
      </c>
      <c r="H267" s="14">
        <v>38620150</v>
      </c>
      <c r="I267" s="12">
        <f>D267*(1+0.01*growthrate!E268)^2</f>
        <v>12380714</v>
      </c>
      <c r="J267" s="4">
        <f>E267*(1+0.01*growthrate!$E$3)^2</f>
        <v>0</v>
      </c>
      <c r="K267" s="4">
        <f>F267*(1+0.01*growthrate!$E$3)^2</f>
        <v>12754921.080649996</v>
      </c>
      <c r="L267" s="4">
        <f>G267*(1+0.01*growthrate!$E$3)^2</f>
        <v>1501738.3779999996</v>
      </c>
      <c r="M267" s="4">
        <f>H267*(1+0.01*growthrate!$E$3)^2</f>
        <v>39787444.03374999</v>
      </c>
      <c r="N267" s="12">
        <f>I267*(1+0.01*growthrate!$E$3)^5</f>
        <v>13337545.148867328</v>
      </c>
      <c r="O267" s="4">
        <f>J267*(1+0.01*growthrate!$E$3)^5</f>
        <v>0</v>
      </c>
      <c r="P267" s="4">
        <f>K267*(1+0.01*growthrate!$E$3)^5</f>
        <v>13740672.450991837</v>
      </c>
      <c r="Q267" s="4">
        <f>L267*(1+0.01*growthrate!$E$3)^5</f>
        <v>1617798.7326386655</v>
      </c>
      <c r="R267" s="4">
        <f>M267*(1+0.01*growthrate!$E$3)^5</f>
        <v>42862377.013003647</v>
      </c>
      <c r="S267" s="12">
        <f>N267*(1+0.01*growthrate!$F$3)^10</f>
        <v>14301138.351443445</v>
      </c>
      <c r="T267" s="4">
        <f>O267*(1+0.01*growthrate!$F$3)^10</f>
        <v>0</v>
      </c>
      <c r="U267" s="4">
        <f>P267*(1+0.01*growthrate!$F$3)^10</f>
        <v>14733390.258115817</v>
      </c>
      <c r="V267" s="4">
        <f>Q267*(1+0.01*growthrate!$F$3)^10</f>
        <v>1734679.3013270693</v>
      </c>
      <c r="W267" s="4">
        <f>R267*(1+0.01*growthrate!$F$3)^10</f>
        <v>45959040.95490548</v>
      </c>
    </row>
    <row r="268" spans="1:23" x14ac:dyDescent="0.2">
      <c r="A268" s="2" t="s">
        <v>543</v>
      </c>
      <c r="B268" s="8" t="s">
        <v>544</v>
      </c>
      <c r="C268" s="4" t="s">
        <v>779</v>
      </c>
      <c r="D268" s="5">
        <v>17</v>
      </c>
      <c r="E268" s="5">
        <v>64</v>
      </c>
      <c r="F268" s="5">
        <v>81</v>
      </c>
      <c r="G268" s="5">
        <v>972893</v>
      </c>
      <c r="H268" s="14">
        <v>7057898</v>
      </c>
      <c r="I268" s="12">
        <f>D268*(1+0.01*growthrate!E269)^2</f>
        <v>17</v>
      </c>
      <c r="J268" s="4">
        <f>E268*(1+0.01*growthrate!$E$3)^2</f>
        <v>65.934399999999982</v>
      </c>
      <c r="K268" s="4">
        <f>F268*(1+0.01*growthrate!$E$3)^2</f>
        <v>83.448224999999979</v>
      </c>
      <c r="L268" s="4">
        <f>G268*(1+0.01*growthrate!$E$3)^2</f>
        <v>1002298.6909249998</v>
      </c>
      <c r="M268" s="4">
        <f>H268*(1+0.01*growthrate!$E$3)^2</f>
        <v>7271222.9670499982</v>
      </c>
      <c r="N268" s="12">
        <f>I268*(1+0.01*growthrate!$E$3)^5</f>
        <v>18.313828066034361</v>
      </c>
      <c r="O268" s="4">
        <f>J268*(1+0.01*growthrate!$E$3)^5</f>
        <v>71.030074425713863</v>
      </c>
      <c r="P268" s="4">
        <f>K268*(1+0.01*growthrate!$E$3)^5</f>
        <v>89.897437945044118</v>
      </c>
      <c r="Q268" s="4">
        <f>L268*(1+0.01*growthrate!$E$3)^5</f>
        <v>1079760.3468477507</v>
      </c>
      <c r="R268" s="4">
        <f>M268*(1+0.01*growthrate!$E$3)^5</f>
        <v>7833172.1910796417</v>
      </c>
      <c r="S268" s="12">
        <f>N268*(1+0.01*growthrate!$F$3)^10</f>
        <v>19.636941130740805</v>
      </c>
      <c r="T268" s="4">
        <f>O268*(1+0.01*growthrate!$F$3)^10</f>
        <v>76.161760664159786</v>
      </c>
      <c r="U268" s="4">
        <f>P268*(1+0.01*growthrate!$F$3)^10</f>
        <v>96.392228340577233</v>
      </c>
      <c r="V268" s="4">
        <f>Q268*(1+0.01*growthrate!$F$3)^10</f>
        <v>1157769.4346536938</v>
      </c>
      <c r="W268" s="4">
        <f>R268*(1+0.01*growthrate!$F$3)^10</f>
        <v>8399092.7854383122</v>
      </c>
    </row>
    <row r="269" spans="1:23" x14ac:dyDescent="0.2">
      <c r="A269" s="2" t="s">
        <v>545</v>
      </c>
      <c r="B269" s="8" t="s">
        <v>546</v>
      </c>
      <c r="C269" s="4" t="s">
        <v>779</v>
      </c>
      <c r="D269" s="5">
        <v>914</v>
      </c>
      <c r="E269" s="5">
        <v>329</v>
      </c>
      <c r="F269" s="5">
        <v>1243</v>
      </c>
      <c r="G269" s="5">
        <v>78490</v>
      </c>
      <c r="H269" s="14">
        <v>688700</v>
      </c>
      <c r="I269" s="12">
        <f>D269*(1+0.01*growthrate!E270)^2</f>
        <v>914</v>
      </c>
      <c r="J269" s="4">
        <f>E269*(1+0.01*growthrate!$E$3)^2</f>
        <v>338.9440249999999</v>
      </c>
      <c r="K269" s="4">
        <f>F269*(1+0.01*growthrate!$E$3)^2</f>
        <v>1280.5696749999997</v>
      </c>
      <c r="L269" s="4">
        <f>G269*(1+0.01*growthrate!$E$3)^2</f>
        <v>80862.360249999983</v>
      </c>
      <c r="M269" s="4">
        <f>H269*(1+0.01*growthrate!$E$3)^2</f>
        <v>709515.95749999979</v>
      </c>
      <c r="N269" s="12">
        <f>I269*(1+0.01*growthrate!$E$3)^5</f>
        <v>984.63757955031815</v>
      </c>
      <c r="O269" s="4">
        <f>J269*(1+0.01*growthrate!$E$3)^5</f>
        <v>365.13897634468532</v>
      </c>
      <c r="P269" s="4">
        <f>K269*(1+0.01*growthrate!$E$3)^5</f>
        <v>1379.5372267369116</v>
      </c>
      <c r="Q269" s="4">
        <f>L269*(1+0.01*growthrate!$E$3)^5</f>
        <v>87111.727213660648</v>
      </c>
      <c r="R269" s="4">
        <f>M269*(1+0.01*growthrate!$E$3)^5</f>
        <v>764350.19151545526</v>
      </c>
      <c r="S269" s="12">
        <f>N269*(1+0.01*growthrate!$F$3)^10</f>
        <v>1055.7743643233589</v>
      </c>
      <c r="T269" s="4">
        <f>O269*(1+0.01*growthrate!$F$3)^10</f>
        <v>391.51905091419638</v>
      </c>
      <c r="U269" s="4">
        <f>P269*(1+0.01*growthrate!$F$3)^10</f>
        <v>1479.2041953992284</v>
      </c>
      <c r="V269" s="4">
        <f>Q269*(1+0.01*growthrate!$F$3)^10</f>
        <v>93405.259289529713</v>
      </c>
      <c r="W269" s="4">
        <f>R269*(1+0.01*growthrate!$F$3)^10</f>
        <v>819571.94639698183</v>
      </c>
    </row>
    <row r="270" spans="1:23" x14ac:dyDescent="0.2">
      <c r="A270" s="2" t="s">
        <v>547</v>
      </c>
      <c r="B270" s="8" t="s">
        <v>548</v>
      </c>
      <c r="C270" s="4" t="s">
        <v>779</v>
      </c>
      <c r="D270" s="5">
        <v>103128</v>
      </c>
      <c r="E270" s="5">
        <v>16212</v>
      </c>
      <c r="F270" s="5">
        <v>119340</v>
      </c>
      <c r="G270" s="5">
        <v>30330326</v>
      </c>
      <c r="H270" s="14">
        <v>9924933</v>
      </c>
      <c r="I270" s="12">
        <f>D270*(1+0.01*growthrate!E271)^2</f>
        <v>103128</v>
      </c>
      <c r="J270" s="4">
        <f>E270*(1+0.01*growthrate!$E$3)^2</f>
        <v>16702.007699999995</v>
      </c>
      <c r="K270" s="4">
        <f>F270*(1+0.01*growthrate!$E$3)^2</f>
        <v>122947.05149999997</v>
      </c>
      <c r="L270" s="4">
        <f>G270*(1+0.01*growthrate!$E$3)^2</f>
        <v>31247060.103349991</v>
      </c>
      <c r="M270" s="4">
        <f>H270*(1+0.01*growthrate!$E$3)^2</f>
        <v>10224914.099924996</v>
      </c>
      <c r="N270" s="12">
        <f>I270*(1+0.01*growthrate!$E$3)^5</f>
        <v>111098.14475258774</v>
      </c>
      <c r="O270" s="4">
        <f>J270*(1+0.01*growthrate!$E$3)^5</f>
        <v>17992.805727963645</v>
      </c>
      <c r="P270" s="4">
        <f>K270*(1+0.01*growthrate!$E$3)^5</f>
        <v>132448.89190569834</v>
      </c>
      <c r="Q270" s="4">
        <f>L270*(1+0.01*growthrate!$E$3)^5</f>
        <v>33661958.017752565</v>
      </c>
      <c r="R270" s="4">
        <f>M270*(1+0.01*growthrate!$E$3)^5</f>
        <v>11015136.400940994</v>
      </c>
      <c r="S270" s="12">
        <f>N270*(1+0.01*growthrate!$F$3)^10</f>
        <v>119124.6155841787</v>
      </c>
      <c r="T270" s="4">
        <f>O270*(1+0.01*growthrate!$F$3)^10</f>
        <v>19292.725998239977</v>
      </c>
      <c r="U270" s="4">
        <f>P270*(1+0.01*growthrate!$F$3)^10</f>
        <v>142017.88308845047</v>
      </c>
      <c r="V270" s="4">
        <f>Q270*(1+0.01*growthrate!$F$3)^10</f>
        <v>36093922.338717856</v>
      </c>
      <c r="W270" s="4">
        <f>R270*(1+0.01*growthrate!$F$3)^10</f>
        <v>11810943.308653459</v>
      </c>
    </row>
    <row r="271" spans="1:23" x14ac:dyDescent="0.2">
      <c r="A271" s="2" t="s">
        <v>549</v>
      </c>
      <c r="B271" s="8" t="s">
        <v>550</v>
      </c>
      <c r="C271" s="4" t="s">
        <v>779</v>
      </c>
      <c r="D271" s="5">
        <v>11500</v>
      </c>
      <c r="E271" s="5">
        <v>6949</v>
      </c>
      <c r="F271" s="5">
        <v>18449</v>
      </c>
      <c r="G271" s="5">
        <v>446253</v>
      </c>
      <c r="H271" s="14">
        <v>7167366</v>
      </c>
      <c r="I271" s="12">
        <f>D271*(1+0.01*growthrate!E272)^2</f>
        <v>11500</v>
      </c>
      <c r="J271" s="4">
        <f>E271*(1+0.01*growthrate!$E$3)^2</f>
        <v>7159.033524999998</v>
      </c>
      <c r="K271" s="4">
        <f>F271*(1+0.01*growthrate!$E$3)^2</f>
        <v>19006.621024999993</v>
      </c>
      <c r="L271" s="4">
        <f>G271*(1+0.01*growthrate!$E$3)^2</f>
        <v>459740.99692499987</v>
      </c>
      <c r="M271" s="4">
        <f>H271*(1+0.01*growthrate!$E$3)^2</f>
        <v>7383999.6373499976</v>
      </c>
      <c r="N271" s="12">
        <f>I271*(1+0.01*growthrate!$E$3)^5</f>
        <v>12388.766044670305</v>
      </c>
      <c r="O271" s="4">
        <f>J271*(1+0.01*growthrate!$E$3)^5</f>
        <v>7712.3122997544633</v>
      </c>
      <c r="P271" s="4">
        <f>K271*(1+0.01*growthrate!$E$3)^5</f>
        <v>20475.528798124924</v>
      </c>
      <c r="Q271" s="4">
        <f>L271*(1+0.01*growthrate!$E$3)^5</f>
        <v>495271.62191715767</v>
      </c>
      <c r="R271" s="4">
        <f>M271*(1+0.01*growthrate!$E$3)^5</f>
        <v>7954664.6940051736</v>
      </c>
      <c r="S271" s="12">
        <f>N271*(1+0.01*growthrate!$F$3)^10</f>
        <v>13283.813117854077</v>
      </c>
      <c r="T271" s="4">
        <f>O271*(1+0.01*growthrate!$F$3)^10</f>
        <v>8269.5011696132242</v>
      </c>
      <c r="U271" s="4">
        <f>P271*(1+0.01*growthrate!$F$3)^10</f>
        <v>21954.817538954434</v>
      </c>
      <c r="V271" s="4">
        <f>Q271*(1+0.01*growthrate!$F$3)^10</f>
        <v>531053.34658848902</v>
      </c>
      <c r="W271" s="4">
        <f>R271*(1+0.01*growthrate!$F$3)^10</f>
        <v>8529362.7169443164</v>
      </c>
    </row>
    <row r="272" spans="1:23" x14ac:dyDescent="0.2">
      <c r="A272" s="2" t="s">
        <v>551</v>
      </c>
      <c r="B272" s="8" t="s">
        <v>552</v>
      </c>
      <c r="C272" s="4" t="s">
        <v>779</v>
      </c>
      <c r="D272" s="5">
        <v>0</v>
      </c>
      <c r="E272" s="5">
        <v>71</v>
      </c>
      <c r="F272" s="5">
        <v>71</v>
      </c>
      <c r="G272" s="5">
        <v>2096421</v>
      </c>
      <c r="H272" s="14">
        <v>1995277</v>
      </c>
      <c r="I272" s="12">
        <f>D272*(1+0.01*growthrate!E273)^2</f>
        <v>0</v>
      </c>
      <c r="J272" s="4">
        <f>E272*(1+0.01*growthrate!$E$3)^2</f>
        <v>73.145974999999979</v>
      </c>
      <c r="K272" s="4">
        <f>F272*(1+0.01*growthrate!$E$3)^2</f>
        <v>73.145974999999979</v>
      </c>
      <c r="L272" s="4">
        <f>G272*(1+0.01*growthrate!$E$3)^2</f>
        <v>2159785.3247249993</v>
      </c>
      <c r="M272" s="4">
        <f>H272*(1+0.01*growthrate!$E$3)^2</f>
        <v>2055584.2473249994</v>
      </c>
      <c r="N272" s="12">
        <f>I272*(1+0.01*growthrate!$E$3)^5</f>
        <v>0</v>
      </c>
      <c r="O272" s="4">
        <f>J272*(1+0.01*growthrate!$E$3)^5</f>
        <v>78.798988816026323</v>
      </c>
      <c r="P272" s="4">
        <f>K272*(1+0.01*growthrate!$E$3)^5</f>
        <v>78.798988816026323</v>
      </c>
      <c r="Q272" s="4">
        <f>L272*(1+0.01*growthrate!$E$3)^5</f>
        <v>2326702.1821504608</v>
      </c>
      <c r="R272" s="4">
        <f>M272*(1+0.01*growthrate!$E$3)^5</f>
        <v>2214448.0282799234</v>
      </c>
      <c r="S272" s="12">
        <f>N272*(1+0.01*growthrate!$F$3)^10</f>
        <v>0</v>
      </c>
      <c r="T272" s="4">
        <f>O272*(1+0.01*growthrate!$F$3)^10</f>
        <v>84.49195323680226</v>
      </c>
      <c r="U272" s="4">
        <f>P272*(1+0.01*growthrate!$F$3)^10</f>
        <v>84.49195323680226</v>
      </c>
      <c r="V272" s="4">
        <f>Q272*(1+0.01*growthrate!$F$3)^10</f>
        <v>2494798.6633331017</v>
      </c>
      <c r="W272" s="4">
        <f>R272*(1+0.01*growthrate!$F$3)^10</f>
        <v>2374434.5208234806</v>
      </c>
    </row>
    <row r="273" spans="1:23" x14ac:dyDescent="0.2">
      <c r="A273" s="2" t="s">
        <v>553</v>
      </c>
      <c r="B273" s="8" t="s">
        <v>554</v>
      </c>
      <c r="C273" s="4" t="s">
        <v>779</v>
      </c>
      <c r="D273" s="5">
        <v>824</v>
      </c>
      <c r="E273" s="5">
        <v>400</v>
      </c>
      <c r="F273" s="5">
        <v>1224</v>
      </c>
      <c r="G273" s="5">
        <v>41205</v>
      </c>
      <c r="H273" s="14">
        <v>896226</v>
      </c>
      <c r="I273" s="12">
        <f>D273*(1+0.01*growthrate!E274)^2</f>
        <v>824</v>
      </c>
      <c r="J273" s="4">
        <f>E273*(1+0.01*growthrate!$E$3)^2</f>
        <v>412.08999999999992</v>
      </c>
      <c r="K273" s="4">
        <f>F273*(1+0.01*growthrate!$E$3)^2</f>
        <v>1260.9953999999996</v>
      </c>
      <c r="L273" s="4">
        <f>G273*(1+0.01*growthrate!$E$3)^2</f>
        <v>42450.421124999986</v>
      </c>
      <c r="M273" s="4">
        <f>H273*(1+0.01*growthrate!$E$3)^2</f>
        <v>923314.43084999977</v>
      </c>
      <c r="N273" s="12">
        <f>I273*(1+0.01*growthrate!$E$3)^5</f>
        <v>887.68201920072443</v>
      </c>
      <c r="O273" s="4">
        <f>J273*(1+0.01*growthrate!$E$3)^5</f>
        <v>443.93796516071171</v>
      </c>
      <c r="P273" s="4">
        <f>K273*(1+0.01*growthrate!$E$3)^5</f>
        <v>1358.4501733917775</v>
      </c>
      <c r="Q273" s="4">
        <f>L273*(1+0.01*growthrate!$E$3)^5</f>
        <v>45731.159636117809</v>
      </c>
      <c r="R273" s="4">
        <f>M273*(1+0.01*growthrate!$E$3)^5</f>
        <v>994671.86691031</v>
      </c>
      <c r="S273" s="12">
        <f>N273*(1+0.01*growthrate!$F$3)^10</f>
        <v>951.81408774884858</v>
      </c>
      <c r="T273" s="4">
        <f>O273*(1+0.01*growthrate!$F$3)^10</f>
        <v>476.0110041509987</v>
      </c>
      <c r="U273" s="4">
        <f>P273*(1+0.01*growthrate!$F$3)^10</f>
        <v>1456.5936727020558</v>
      </c>
      <c r="V273" s="4">
        <f>Q273*(1+0.01*growthrate!$F$3)^10</f>
        <v>49035.083565104746</v>
      </c>
      <c r="W273" s="4">
        <f>R273*(1+0.01*growthrate!$F$3)^10</f>
        <v>1066533.5955155825</v>
      </c>
    </row>
    <row r="274" spans="1:23" x14ac:dyDescent="0.2">
      <c r="A274" s="2" t="s">
        <v>555</v>
      </c>
      <c r="B274" s="8" t="s">
        <v>556</v>
      </c>
      <c r="C274" s="4" t="s">
        <v>779</v>
      </c>
      <c r="D274" s="5">
        <v>4136</v>
      </c>
      <c r="E274" s="5">
        <v>1686</v>
      </c>
      <c r="F274" s="5">
        <v>5822</v>
      </c>
      <c r="G274" s="5">
        <v>753149</v>
      </c>
      <c r="H274" s="14">
        <v>2002656</v>
      </c>
      <c r="I274" s="12">
        <f>D274*(1+0.01*growthrate!E275)^2</f>
        <v>4136</v>
      </c>
      <c r="J274" s="9">
        <f>E274*(1+0.01*growthrate!$E$3)^2+966657.038814344</f>
        <v>968393.998164344</v>
      </c>
      <c r="K274" s="9">
        <f>F274*(1+0.01*growthrate!$E$3)^2+966657.038814344</f>
        <v>972655.00876434403</v>
      </c>
      <c r="L274" s="4">
        <f>G274*(1+0.01*growthrate!$E$3)^2</f>
        <v>775912.92852499976</v>
      </c>
      <c r="M274" s="4">
        <f>H274*(1+0.01*growthrate!$E$3)^2</f>
        <v>2063186.2775999994</v>
      </c>
      <c r="N274" s="12">
        <f>I274*(1+0.01*growthrate!$E$3)^5</f>
        <v>4455.6466400657719</v>
      </c>
      <c r="O274" s="9">
        <f>J274*(1+0.01*growthrate!$E$3)^5+11234183.3223552</f>
        <v>12277418.686035281</v>
      </c>
      <c r="P274" s="9">
        <f>K274*(1+0.01*growthrate!$E$3)^5+11234183.3223552</f>
        <v>12282009.004595043</v>
      </c>
      <c r="Q274" s="4">
        <f>L274*(1+0.01*growthrate!$E$3)^5</f>
        <v>835878.58630706207</v>
      </c>
      <c r="R274" s="4">
        <f>M274*(1+0.01*growthrate!$E$3)^5</f>
        <v>2222637.5738922255</v>
      </c>
      <c r="S274" s="12">
        <f>N274*(1+0.01*growthrate!$F$3)^10</f>
        <v>4777.5522656908224</v>
      </c>
      <c r="T274" s="9">
        <f>O274*(1+0.01*growthrate!$F$3)^10+39575034</f>
        <v>52739455.283514723</v>
      </c>
      <c r="U274" s="9">
        <f>P274*(1+0.01*growthrate!$F$3)^10+39575034</f>
        <v>52744377.237297639</v>
      </c>
      <c r="V274" s="4">
        <f>Q274*(1+0.01*growthrate!$F$3)^10</f>
        <v>896268.02941330126</v>
      </c>
      <c r="W274" s="4">
        <f>R274*(1+0.01*growthrate!$F$3)^10</f>
        <v>2383215.7338225557</v>
      </c>
    </row>
    <row r="275" spans="1:23" x14ac:dyDescent="0.2">
      <c r="A275" s="2" t="s">
        <v>557</v>
      </c>
      <c r="B275" s="8" t="s">
        <v>558</v>
      </c>
      <c r="C275" s="4" t="s">
        <v>779</v>
      </c>
      <c r="D275" s="5">
        <v>35118</v>
      </c>
      <c r="E275" s="5">
        <v>36386</v>
      </c>
      <c r="F275" s="5">
        <v>71504</v>
      </c>
      <c r="G275" s="5">
        <v>38485754</v>
      </c>
      <c r="H275" s="14">
        <v>5764818</v>
      </c>
      <c r="I275" s="12">
        <f>D275*(1+0.01*growthrate!E276)^2</f>
        <v>35118</v>
      </c>
      <c r="J275" s="4">
        <f>E275*(1+0.01*growthrate!$E$3)^2</f>
        <v>37485.766849999993</v>
      </c>
      <c r="K275" s="4">
        <f>F275*(1+0.01*growthrate!$E$3)^2</f>
        <v>73665.208399999974</v>
      </c>
      <c r="L275" s="4">
        <f>G275*(1+0.01*growthrate!$E$3)^2</f>
        <v>39648985.914649986</v>
      </c>
      <c r="M275" s="4">
        <f>H275*(1+0.01*growthrate!$E$3)^2</f>
        <v>5939059.6240499988</v>
      </c>
      <c r="N275" s="12">
        <f>I275*(1+0.01*growthrate!$E$3)^5</f>
        <v>37832.059648411458</v>
      </c>
      <c r="O275" s="4">
        <f>J275*(1+0.01*growthrate!$E$3)^5</f>
        <v>40382.817000844138</v>
      </c>
      <c r="P275" s="4">
        <f>K275*(1+0.01*growthrate!$E$3)^5</f>
        <v>79358.350652128807</v>
      </c>
      <c r="Q275" s="4">
        <f>L275*(1+0.01*growthrate!$E$3)^5</f>
        <v>42713218.296089299</v>
      </c>
      <c r="R275" s="4">
        <f>M275*(1+0.01*growthrate!$E$3)^5</f>
        <v>6398053.9311046097</v>
      </c>
      <c r="S275" s="12">
        <f>N275*(1+0.01*growthrate!$F$3)^10</f>
        <v>40565.299919373865</v>
      </c>
      <c r="T275" s="4">
        <f>O275*(1+0.01*growthrate!$F$3)^10</f>
        <v>43300.340992595593</v>
      </c>
      <c r="U275" s="4">
        <f>P275*(1+0.01*growthrate!$F$3)^10</f>
        <v>85091.727102032513</v>
      </c>
      <c r="V275" s="4">
        <f>Q275*(1+0.01*growthrate!$F$3)^10</f>
        <v>45799106.01762078</v>
      </c>
      <c r="W275" s="4">
        <f>R275*(1+0.01*growthrate!$F$3)^10</f>
        <v>6860292.0123193804</v>
      </c>
    </row>
    <row r="276" spans="1:23" x14ac:dyDescent="0.2">
      <c r="A276" s="2" t="s">
        <v>559</v>
      </c>
      <c r="B276" s="8" t="s">
        <v>560</v>
      </c>
      <c r="C276" s="4" t="s">
        <v>779</v>
      </c>
      <c r="D276" s="5">
        <v>7352</v>
      </c>
      <c r="E276" s="5">
        <v>3848</v>
      </c>
      <c r="F276" s="5">
        <v>11200</v>
      </c>
      <c r="G276" s="5">
        <v>220906</v>
      </c>
      <c r="H276" s="14">
        <v>2589571</v>
      </c>
      <c r="I276" s="12">
        <f>D276*(1+0.01*growthrate!E277)^2</f>
        <v>7352</v>
      </c>
      <c r="J276" s="4">
        <f>E276*(1+0.01*growthrate!$E$3)^2</f>
        <v>3964.3057999999987</v>
      </c>
      <c r="K276" s="4">
        <f>F276*(1+0.01*growthrate!$E$3)^2</f>
        <v>11538.519999999997</v>
      </c>
      <c r="L276" s="4">
        <f>G276*(1+0.01*growthrate!$E$3)^2</f>
        <v>227582.88384999993</v>
      </c>
      <c r="M276" s="4">
        <f>H276*(1+0.01*growthrate!$E$3)^2</f>
        <v>2667840.7834749995</v>
      </c>
      <c r="N276" s="12">
        <f>I276*(1+0.01*growthrate!$E$3)^5</f>
        <v>7920.19199655792</v>
      </c>
      <c r="O276" s="4">
        <f>J276*(1+0.01*growthrate!$E$3)^5</f>
        <v>4270.683224846046</v>
      </c>
      <c r="P276" s="4">
        <f>K276*(1+0.01*growthrate!$E$3)^5</f>
        <v>12430.263024499927</v>
      </c>
      <c r="Q276" s="4">
        <f>L276*(1+0.01*growthrate!$E$3)^5</f>
        <v>245171.40032948041</v>
      </c>
      <c r="R276" s="4">
        <f>M276*(1+0.01*growthrate!$E$3)^5</f>
        <v>2874022.2009479734</v>
      </c>
      <c r="S276" s="12">
        <f>N276*(1+0.01*growthrate!$F$3)^10</f>
        <v>8492.39948195332</v>
      </c>
      <c r="T276" s="4">
        <f>O276*(1+0.01*growthrate!$F$3)^10</f>
        <v>4579.2258599326069</v>
      </c>
      <c r="U276" s="4">
        <f>P276*(1+0.01*growthrate!$F$3)^10</f>
        <v>13328.308116227963</v>
      </c>
      <c r="V276" s="4">
        <f>Q276*(1+0.01*growthrate!$F$3)^10</f>
        <v>262884.21720745123</v>
      </c>
      <c r="W276" s="4">
        <f>R276*(1+0.01*growthrate!$F$3)^10</f>
        <v>3081660.7300757645</v>
      </c>
    </row>
    <row r="277" spans="1:23" x14ac:dyDescent="0.2">
      <c r="A277" s="2" t="s">
        <v>561</v>
      </c>
      <c r="B277" s="8" t="s">
        <v>562</v>
      </c>
      <c r="C277" s="4" t="s">
        <v>779</v>
      </c>
      <c r="D277" s="5">
        <v>8967</v>
      </c>
      <c r="E277" s="5">
        <v>5656</v>
      </c>
      <c r="F277" s="5">
        <v>14623</v>
      </c>
      <c r="G277" s="5">
        <v>223035</v>
      </c>
      <c r="H277" s="14">
        <v>2588910</v>
      </c>
      <c r="I277" s="12">
        <f>D277*(1+0.01*growthrate!E278)^2</f>
        <v>8967</v>
      </c>
      <c r="J277" s="4">
        <f>E277*(1+0.01*growthrate!$E$3)^2</f>
        <v>5826.9525999999987</v>
      </c>
      <c r="K277" s="4">
        <f>F277*(1+0.01*growthrate!$E$3)^2</f>
        <v>15064.980174999995</v>
      </c>
      <c r="L277" s="4">
        <f>G277*(1+0.01*growthrate!$E$3)^2</f>
        <v>229776.23287499993</v>
      </c>
      <c r="M277" s="4">
        <f>H277*(1+0.01*growthrate!$E$3)^2</f>
        <v>2667159.8047499992</v>
      </c>
      <c r="N277" s="12">
        <f>I277*(1+0.01*growthrate!$E$3)^5</f>
        <v>9660.005662831185</v>
      </c>
      <c r="O277" s="4">
        <f>J277*(1+0.01*growthrate!$E$3)^5</f>
        <v>6277.2828273724635</v>
      </c>
      <c r="P277" s="4">
        <f>K277*(1+0.01*growthrate!$E$3)^5</f>
        <v>16229.262161362716</v>
      </c>
      <c r="Q277" s="4">
        <f>L277*(1+0.01*growthrate!$E$3)^5</f>
        <v>247534.26014904832</v>
      </c>
      <c r="R277" s="4">
        <f>M277*(1+0.01*growthrate!$E$3)^5</f>
        <v>2873288.5934605449</v>
      </c>
      <c r="S277" s="12">
        <f>N277*(1+0.01*growthrate!$F$3)^10</f>
        <v>10357.908889373697</v>
      </c>
      <c r="T277" s="4">
        <f>O277*(1+0.01*growthrate!$F$3)^10</f>
        <v>6730.795598695122</v>
      </c>
      <c r="U277" s="4">
        <f>P277*(1+0.01*growthrate!$F$3)^10</f>
        <v>17401.772284250132</v>
      </c>
      <c r="V277" s="4">
        <f>Q277*(1+0.01*growthrate!$F$3)^10</f>
        <v>265417.78577704495</v>
      </c>
      <c r="W277" s="4">
        <f>R277*(1+0.01*growthrate!$F$3)^10</f>
        <v>3080874.1218914045</v>
      </c>
    </row>
    <row r="278" spans="1:23" x14ac:dyDescent="0.2">
      <c r="A278" s="2" t="s">
        <v>563</v>
      </c>
      <c r="B278" s="8" t="s">
        <v>564</v>
      </c>
      <c r="C278" s="4" t="s">
        <v>779</v>
      </c>
      <c r="D278" s="5">
        <v>3483</v>
      </c>
      <c r="E278" s="5">
        <v>4455</v>
      </c>
      <c r="F278" s="5">
        <v>7938</v>
      </c>
      <c r="G278" s="5">
        <v>32619</v>
      </c>
      <c r="H278" s="14">
        <v>2211300</v>
      </c>
      <c r="I278" s="12">
        <f>D278*(1+0.01*growthrate!E279)^2</f>
        <v>3483</v>
      </c>
      <c r="J278" s="4">
        <f>E278*(1+0.01*growthrate!$E$3)^2</f>
        <v>4589.6523749999988</v>
      </c>
      <c r="K278" s="4">
        <f>F278*(1+0.01*growthrate!$E$3)^2</f>
        <v>8177.9260499999982</v>
      </c>
      <c r="L278" s="4">
        <f>G278*(1+0.01*growthrate!$E$3)^2</f>
        <v>33604.909274999991</v>
      </c>
      <c r="M278" s="4">
        <f>H278*(1+0.01*growthrate!$E$3)^2</f>
        <v>2278136.5424999995</v>
      </c>
      <c r="N278" s="12">
        <f>I278*(1+0.01*growthrate!$E$3)^5</f>
        <v>3752.1801855292756</v>
      </c>
      <c r="O278" s="4">
        <f>J278*(1+0.01*growthrate!$E$3)^5</f>
        <v>4944.3590869774262</v>
      </c>
      <c r="P278" s="4">
        <f>K278*(1+0.01*growthrate!$E$3)^5</f>
        <v>8809.9489186143237</v>
      </c>
      <c r="Q278" s="4">
        <f>L278*(1+0.01*growthrate!$E$3)^5</f>
        <v>36202.031213943133</v>
      </c>
      <c r="R278" s="4">
        <f>M278*(1+0.01*growthrate!$E$3)^5</f>
        <v>2454200.0558997043</v>
      </c>
      <c r="S278" s="12">
        <f>N278*(1+0.01*growthrate!$F$3)^10</f>
        <v>4023.2627034335433</v>
      </c>
      <c r="T278" s="4">
        <f>O278*(1+0.01*growthrate!$F$3)^10</f>
        <v>5301.5725587317474</v>
      </c>
      <c r="U278" s="4">
        <f>P278*(1+0.01*growthrate!$F$3)^10</f>
        <v>9446.4383773765694</v>
      </c>
      <c r="V278" s="4">
        <f>Q278*(1+0.01*growthrate!$F$3)^10</f>
        <v>38817.507361003562</v>
      </c>
      <c r="W278" s="4">
        <f>R278*(1+0.01*growthrate!$F$3)^10</f>
        <v>2631507.8336977586</v>
      </c>
    </row>
    <row r="279" spans="1:23" x14ac:dyDescent="0.2">
      <c r="A279" s="2" t="s">
        <v>565</v>
      </c>
      <c r="B279" s="8" t="s">
        <v>566</v>
      </c>
      <c r="C279" s="4" t="s">
        <v>779</v>
      </c>
      <c r="D279" s="5">
        <v>1930</v>
      </c>
      <c r="E279" s="5">
        <v>83</v>
      </c>
      <c r="F279" s="5">
        <v>2013</v>
      </c>
      <c r="G279" s="5">
        <v>16170</v>
      </c>
      <c r="H279" s="14">
        <v>1949720</v>
      </c>
      <c r="I279" s="12">
        <f>D279*(1+0.01*growthrate!E280)^2</f>
        <v>1930</v>
      </c>
      <c r="J279" s="4">
        <f>E279*(1+0.01*growthrate!$E$3)^2</f>
        <v>85.508674999999982</v>
      </c>
      <c r="K279" s="4">
        <f>F279*(1+0.01*growthrate!$E$3)^2</f>
        <v>2073.8429249999995</v>
      </c>
      <c r="L279" s="4">
        <f>G279*(1+0.01*growthrate!$E$3)^2</f>
        <v>16658.738249999995</v>
      </c>
      <c r="M279" s="4">
        <f>H279*(1+0.01*growthrate!$E$3)^2</f>
        <v>2008650.2869999995</v>
      </c>
      <c r="N279" s="12">
        <f>I279*(1+0.01*growthrate!$E$3)^5</f>
        <v>2079.1581274968426</v>
      </c>
      <c r="O279" s="4">
        <f>J279*(1+0.01*growthrate!$E$3)^5</f>
        <v>92.117127770847674</v>
      </c>
      <c r="P279" s="4">
        <f>K279*(1+0.01*growthrate!$E$3)^5</f>
        <v>2234.1178096712815</v>
      </c>
      <c r="Q279" s="4">
        <f>L279*(1+0.01*growthrate!$E$3)^5</f>
        <v>17946.192241621768</v>
      </c>
      <c r="R279" s="4">
        <f>M279*(1+0.01*growthrate!$E$3)^5</f>
        <v>2163886.8235828569</v>
      </c>
      <c r="S279" s="12">
        <f>N279*(1+0.01*growthrate!$F$3)^10</f>
        <v>2229.3703754311623</v>
      </c>
      <c r="T279" s="4">
        <f>O279*(1+0.01*growthrate!$F$3)^10</f>
        <v>98.772283361332228</v>
      </c>
      <c r="U279" s="4">
        <f>P279*(1+0.01*growthrate!$F$3)^10</f>
        <v>2395.5253783899007</v>
      </c>
      <c r="V279" s="4">
        <f>Q279*(1+0.01*growthrate!$F$3)^10</f>
        <v>19242.744842804121</v>
      </c>
      <c r="W279" s="4">
        <f>R279*(1+0.01*growthrate!$F$3)^10</f>
        <v>2320220.4375332128</v>
      </c>
    </row>
    <row r="280" spans="1:23" x14ac:dyDescent="0.2">
      <c r="A280" s="2" t="s">
        <v>567</v>
      </c>
      <c r="B280" s="8" t="s">
        <v>568</v>
      </c>
      <c r="C280" s="4" t="s">
        <v>779</v>
      </c>
      <c r="D280" s="5">
        <v>0</v>
      </c>
      <c r="E280" s="5">
        <v>0</v>
      </c>
      <c r="F280" s="5">
        <v>0</v>
      </c>
      <c r="G280" s="5">
        <v>3</v>
      </c>
      <c r="H280" s="14">
        <v>2215</v>
      </c>
      <c r="I280" s="12">
        <f>D280*(1+0.01*growthrate!E281)^2</f>
        <v>0</v>
      </c>
      <c r="J280" s="4">
        <f>E280*(1+0.01*growthrate!$E$3)^2</f>
        <v>0</v>
      </c>
      <c r="K280" s="4">
        <f>F280*(1+0.01*growthrate!$E$3)^2</f>
        <v>0</v>
      </c>
      <c r="L280" s="4">
        <f>G280*(1+0.01*growthrate!$E$3)^2</f>
        <v>3.0906749999999992</v>
      </c>
      <c r="M280" s="4">
        <f>H280*(1+0.01*growthrate!$E$3)^2</f>
        <v>2281.9483749999995</v>
      </c>
      <c r="N280" s="12">
        <f>I280*(1+0.01*growthrate!$E$3)^5</f>
        <v>0</v>
      </c>
      <c r="O280" s="4">
        <f>J280*(1+0.01*growthrate!$E$3)^5</f>
        <v>0</v>
      </c>
      <c r="P280" s="4">
        <f>K280*(1+0.01*growthrate!$E$3)^5</f>
        <v>0</v>
      </c>
      <c r="Q280" s="4">
        <f>L280*(1+0.01*growthrate!$E$3)^5</f>
        <v>3.3295347387053376</v>
      </c>
      <c r="R280" s="4">
        <f>M280*(1+0.01*growthrate!$E$3)^5</f>
        <v>2458.3064820774412</v>
      </c>
      <c r="S280" s="12">
        <f>N280*(1+0.01*growthrate!$F$3)^10</f>
        <v>0</v>
      </c>
      <c r="T280" s="4">
        <f>O280*(1+0.01*growthrate!$F$3)^10</f>
        <v>0</v>
      </c>
      <c r="U280" s="4">
        <f>P280*(1+0.01*growthrate!$F$3)^10</f>
        <v>0</v>
      </c>
      <c r="V280" s="4">
        <f>Q280*(1+0.01*growthrate!$F$3)^10</f>
        <v>3.5700825311324902</v>
      </c>
      <c r="W280" s="4">
        <f>R280*(1+0.01*growthrate!$F$3)^10</f>
        <v>2635.9109354861553</v>
      </c>
    </row>
    <row r="281" spans="1:23" x14ac:dyDescent="0.2">
      <c r="A281" s="2" t="s">
        <v>569</v>
      </c>
      <c r="B281" s="8" t="s">
        <v>570</v>
      </c>
      <c r="C281" s="4" t="s">
        <v>779</v>
      </c>
      <c r="D281" s="5">
        <v>136728</v>
      </c>
      <c r="E281" s="5">
        <v>31053</v>
      </c>
      <c r="F281" s="5">
        <v>167781</v>
      </c>
      <c r="G281" s="5">
        <v>184719</v>
      </c>
      <c r="H281" s="14">
        <v>6501889</v>
      </c>
      <c r="I281" s="12">
        <f>D281*(1+0.01*growthrate!E282)^2</f>
        <v>136728</v>
      </c>
      <c r="J281" s="4">
        <f>E281*(1+0.01*growthrate!$E$3)^2</f>
        <v>31991.57692499999</v>
      </c>
      <c r="K281" s="4">
        <f>F281*(1+0.01*growthrate!$E$3)^2</f>
        <v>172852.18072499995</v>
      </c>
      <c r="L281" s="4">
        <f>G281*(1+0.01*growthrate!$E$3)^2</f>
        <v>190302.13177499996</v>
      </c>
      <c r="M281" s="4">
        <f>H281*(1+0.01*growthrate!$E$3)^2</f>
        <v>6698408.5950249983</v>
      </c>
      <c r="N281" s="12">
        <f>I281*(1+0.01*growthrate!$E$3)^5</f>
        <v>147294.88728310273</v>
      </c>
      <c r="O281" s="4">
        <f>J281*(1+0.01*growthrate!$E$3)^5</f>
        <v>34464.014080338951</v>
      </c>
      <c r="P281" s="4">
        <f>K281*(1+0.01*growthrate!$E$3)^5</f>
        <v>186210.88933157342</v>
      </c>
      <c r="Q281" s="4">
        <f>L281*(1+0.01*growthrate!$E$3)^5</f>
        <v>205009.44246630376</v>
      </c>
      <c r="R281" s="4">
        <f>M281*(1+0.01*growthrate!$E$3)^5</f>
        <v>7216088.4309020359</v>
      </c>
      <c r="S281" s="12">
        <f>N281*(1+0.01*growthrate!$F$3)^10</f>
        <v>157936.45217199583</v>
      </c>
      <c r="T281" s="4">
        <f>O281*(1+0.01*growthrate!$F$3)^10</f>
        <v>36953.924279752406</v>
      </c>
      <c r="U281" s="4">
        <f>P281*(1+0.01*growthrate!$F$3)^10</f>
        <v>199664.00571864677</v>
      </c>
      <c r="V281" s="4">
        <f>Q281*(1+0.01*growthrate!$F$3)^10</f>
        <v>219820.69168942081</v>
      </c>
      <c r="W281" s="4">
        <f>R281*(1+0.01*growthrate!$F$3)^10</f>
        <v>7737426.7794208312</v>
      </c>
    </row>
    <row r="282" spans="1:23" x14ac:dyDescent="0.2">
      <c r="A282" s="2" t="s">
        <v>571</v>
      </c>
      <c r="B282" s="8" t="s">
        <v>572</v>
      </c>
      <c r="C282" s="4" t="s">
        <v>779</v>
      </c>
      <c r="D282" s="5">
        <v>0</v>
      </c>
      <c r="E282" s="5">
        <v>0</v>
      </c>
      <c r="F282" s="5">
        <v>0</v>
      </c>
      <c r="G282" s="5">
        <v>348511</v>
      </c>
      <c r="H282" s="14">
        <v>5512792</v>
      </c>
      <c r="I282" s="12">
        <f>D282*(1+0.01*growthrate!E283)^2</f>
        <v>0</v>
      </c>
      <c r="J282" s="4">
        <f>E282*(1+0.01*growthrate!$E$3)^2</f>
        <v>0</v>
      </c>
      <c r="K282" s="4">
        <f>F282*(1+0.01*growthrate!$E$3)^2</f>
        <v>0</v>
      </c>
      <c r="L282" s="4">
        <f>G282*(1+0.01*growthrate!$E$3)^2</f>
        <v>359044.74497499992</v>
      </c>
      <c r="M282" s="4">
        <f>H282*(1+0.01*growthrate!$E$3)^2</f>
        <v>5679416.1381999981</v>
      </c>
      <c r="N282" s="12">
        <f>I282*(1+0.01*growthrate!$E$3)^5</f>
        <v>0</v>
      </c>
      <c r="O282" s="4">
        <f>J282*(1+0.01*growthrate!$E$3)^5</f>
        <v>0</v>
      </c>
      <c r="P282" s="4">
        <f>K282*(1+0.01*growthrate!$E$3)^5</f>
        <v>0</v>
      </c>
      <c r="Q282" s="4">
        <f>L282*(1+0.01*growthrate!$E$3)^5</f>
        <v>386793.160440312</v>
      </c>
      <c r="R282" s="4">
        <f>M282*(1+0.01*growthrate!$E$3)^5</f>
        <v>6118344.1570856245</v>
      </c>
      <c r="S282" s="12">
        <f>N282*(1+0.01*growthrate!$F$3)^10</f>
        <v>0</v>
      </c>
      <c r="T282" s="4">
        <f>O282*(1+0.01*growthrate!$F$3)^10</f>
        <v>0</v>
      </c>
      <c r="U282" s="4">
        <f>P282*(1+0.01*growthrate!$F$3)^10</f>
        <v>0</v>
      </c>
      <c r="V282" s="4">
        <f>Q282*(1+0.01*growthrate!$F$3)^10</f>
        <v>414737.67766917177</v>
      </c>
      <c r="W282" s="4">
        <f>R282*(1+0.01*growthrate!$F$3)^10</f>
        <v>6560374.1389889801</v>
      </c>
    </row>
    <row r="283" spans="1:23" x14ac:dyDescent="0.2">
      <c r="A283" s="2" t="s">
        <v>573</v>
      </c>
      <c r="B283" s="8" t="s">
        <v>574</v>
      </c>
      <c r="C283" s="4" t="s">
        <v>779</v>
      </c>
      <c r="D283" s="5">
        <v>0</v>
      </c>
      <c r="E283" s="5">
        <v>0</v>
      </c>
      <c r="F283" s="5">
        <v>0</v>
      </c>
      <c r="G283" s="5">
        <v>4724733</v>
      </c>
      <c r="H283" s="14">
        <v>42253964</v>
      </c>
      <c r="I283" s="12">
        <f>D283*(1+0.01*growthrate!E284)^2</f>
        <v>0</v>
      </c>
      <c r="J283" s="4">
        <f>E283*(1+0.01*growthrate!$E$3)^2</f>
        <v>0</v>
      </c>
      <c r="K283" s="4">
        <f>F283*(1+0.01*growthrate!$E$3)^2</f>
        <v>0</v>
      </c>
      <c r="L283" s="4">
        <f>G283*(1+0.01*growthrate!$E$3)^2</f>
        <v>4867538.0549249984</v>
      </c>
      <c r="M283" s="4">
        <f>H283*(1+0.01*growthrate!$E$3)^2</f>
        <v>43531090.06189999</v>
      </c>
      <c r="N283" s="12">
        <f>I283*(1+0.01*growthrate!$E$3)^5</f>
        <v>0</v>
      </c>
      <c r="O283" s="4">
        <f>J283*(1+0.01*growthrate!$E$3)^5</f>
        <v>0</v>
      </c>
      <c r="P283" s="4">
        <f>K283*(1+0.01*growthrate!$E$3)^5</f>
        <v>0</v>
      </c>
      <c r="Q283" s="4">
        <f>L283*(1+0.01*growthrate!$E$3)^5</f>
        <v>5243720.884869162</v>
      </c>
      <c r="R283" s="4">
        <f>M283*(1+0.01*growthrate!$E$3)^5</f>
        <v>46895346.995334916</v>
      </c>
      <c r="S283" s="12">
        <f>N283*(1+0.01*growthrate!$F$3)^10</f>
        <v>0</v>
      </c>
      <c r="T283" s="4">
        <f>O283*(1+0.01*growthrate!$F$3)^10</f>
        <v>0</v>
      </c>
      <c r="U283" s="4">
        <f>P283*(1+0.01*growthrate!$F$3)^10</f>
        <v>0</v>
      </c>
      <c r="V283" s="4">
        <f>Q283*(1+0.01*growthrate!$F$3)^10</f>
        <v>5622562.2491884008</v>
      </c>
      <c r="W283" s="4">
        <f>R283*(1+0.01*growthrate!$F$3)^10</f>
        <v>50283379.582500376</v>
      </c>
    </row>
    <row r="284" spans="1:23" x14ac:dyDescent="0.2">
      <c r="A284" s="2" t="s">
        <v>575</v>
      </c>
      <c r="B284" s="8" t="s">
        <v>576</v>
      </c>
      <c r="C284" s="4" t="s">
        <v>779</v>
      </c>
      <c r="D284" s="5">
        <v>0</v>
      </c>
      <c r="E284" s="5">
        <v>0</v>
      </c>
      <c r="F284" s="5">
        <v>0</v>
      </c>
      <c r="G284" s="5">
        <v>4757344</v>
      </c>
      <c r="H284" s="14">
        <v>51551759</v>
      </c>
      <c r="I284" s="12">
        <f>D284*(1+0.01*growthrate!E285)^2</f>
        <v>0</v>
      </c>
      <c r="J284" s="4">
        <f>E284*(1+0.01*growthrate!$E$3)^2</f>
        <v>0</v>
      </c>
      <c r="K284" s="4">
        <f>F284*(1+0.01*growthrate!$E$3)^2</f>
        <v>0</v>
      </c>
      <c r="L284" s="4">
        <f>G284*(1+0.01*growthrate!$E$3)^2</f>
        <v>4901134.7223999985</v>
      </c>
      <c r="M284" s="4">
        <f>H284*(1+0.01*growthrate!$E$3)^2</f>
        <v>53109910.915774986</v>
      </c>
      <c r="N284" s="12">
        <f>I284*(1+0.01*growthrate!$E$3)^5</f>
        <v>0</v>
      </c>
      <c r="O284" s="4">
        <f>J284*(1+0.01*growthrate!$E$3)^5</f>
        <v>0</v>
      </c>
      <c r="P284" s="4">
        <f>K284*(1+0.01*growthrate!$E$3)^5</f>
        <v>0</v>
      </c>
      <c r="Q284" s="4">
        <f>L284*(1+0.01*growthrate!$E$3)^5</f>
        <v>5279914.0373238018</v>
      </c>
      <c r="R284" s="4">
        <f>M284*(1+0.01*growthrate!$E$3)^5</f>
        <v>57214457.477288514</v>
      </c>
      <c r="S284" s="12">
        <f>N284*(1+0.01*growthrate!$F$3)^10</f>
        <v>0</v>
      </c>
      <c r="T284" s="4">
        <f>O284*(1+0.01*growthrate!$F$3)^10</f>
        <v>0</v>
      </c>
      <c r="U284" s="4">
        <f>P284*(1+0.01*growthrate!$F$3)^10</f>
        <v>0</v>
      </c>
      <c r="V284" s="4">
        <f>Q284*(1+0.01*growthrate!$F$3)^10</f>
        <v>5661370.2363293217</v>
      </c>
      <c r="W284" s="4">
        <f>R284*(1+0.01*growthrate!$F$3)^10</f>
        <v>61348011.418350711</v>
      </c>
    </row>
    <row r="285" spans="1:23" x14ac:dyDescent="0.2">
      <c r="A285" s="2" t="s">
        <v>577</v>
      </c>
      <c r="B285" s="8" t="s">
        <v>578</v>
      </c>
      <c r="C285" s="4" t="s">
        <v>779</v>
      </c>
      <c r="D285" s="5">
        <v>1550</v>
      </c>
      <c r="E285" s="5">
        <v>0</v>
      </c>
      <c r="F285" s="5">
        <v>1550</v>
      </c>
      <c r="G285" s="5">
        <v>618403</v>
      </c>
      <c r="H285" s="14">
        <v>10019838</v>
      </c>
      <c r="I285" s="12">
        <f>D285*(1+0.01*growthrate!E286)^2</f>
        <v>1550</v>
      </c>
      <c r="J285" s="4">
        <f>E285*(1+0.01*growthrate!$E$3)^2</f>
        <v>0</v>
      </c>
      <c r="K285" s="4">
        <f>F285*(1+0.01*growthrate!$E$3)^2</f>
        <v>1596.8487499999997</v>
      </c>
      <c r="L285" s="4">
        <f>G285*(1+0.01*growthrate!$E$3)^2</f>
        <v>637094.23067499988</v>
      </c>
      <c r="M285" s="4">
        <f>H285*(1+0.01*growthrate!$E$3)^2</f>
        <v>10322687.603549996</v>
      </c>
      <c r="N285" s="12">
        <f>I285*(1+0.01*growthrate!$E$3)^5</f>
        <v>1669.79020602078</v>
      </c>
      <c r="O285" s="4">
        <f>J285*(1+0.01*growthrate!$E$3)^5</f>
        <v>0</v>
      </c>
      <c r="P285" s="4">
        <f>K285*(1+0.01*growthrate!$E$3)^5</f>
        <v>1720.2596149977578</v>
      </c>
      <c r="Q285" s="4">
        <f>L285*(1+0.01*growthrate!$E$3)^5</f>
        <v>686331.42367319902</v>
      </c>
      <c r="R285" s="4">
        <f>M285*(1+0.01*growthrate!$E$3)^5</f>
        <v>11120466.232399937</v>
      </c>
      <c r="S285" s="12">
        <f>N285*(1+0.01*growthrate!$F$3)^10</f>
        <v>1790.4269854498971</v>
      </c>
      <c r="T285" s="4">
        <f>O285*(1+0.01*growthrate!$F$3)^10</f>
        <v>0</v>
      </c>
      <c r="U285" s="4">
        <f>P285*(1+0.01*growthrate!$F$3)^10</f>
        <v>1844.5426410851198</v>
      </c>
      <c r="V285" s="4">
        <f>Q285*(1+0.01*growthrate!$F$3)^10</f>
        <v>735916.58249997511</v>
      </c>
      <c r="W285" s="4">
        <f>R285*(1+0.01*growthrate!$F$3)^10</f>
        <v>11923882.869525835</v>
      </c>
    </row>
    <row r="286" spans="1:23" x14ac:dyDescent="0.2">
      <c r="A286" s="2" t="s">
        <v>579</v>
      </c>
      <c r="B286" s="8" t="s">
        <v>580</v>
      </c>
      <c r="C286" s="4" t="s">
        <v>779</v>
      </c>
      <c r="D286" s="5">
        <v>0</v>
      </c>
      <c r="E286" s="5">
        <v>0</v>
      </c>
      <c r="F286" s="5">
        <v>0</v>
      </c>
      <c r="G286" s="5">
        <v>175868</v>
      </c>
      <c r="H286" s="14">
        <v>6853507</v>
      </c>
      <c r="I286" s="12">
        <f>D286*(1+0.01*growthrate!E287)^2</f>
        <v>0</v>
      </c>
      <c r="J286" s="4">
        <f>E286*(1+0.01*growthrate!$E$3)^2</f>
        <v>0</v>
      </c>
      <c r="K286" s="4">
        <f>F286*(1+0.01*growthrate!$E$3)^2</f>
        <v>0</v>
      </c>
      <c r="L286" s="4">
        <f>G286*(1+0.01*growthrate!$E$3)^2</f>
        <v>181183.61029999994</v>
      </c>
      <c r="M286" s="4">
        <f>H286*(1+0.01*growthrate!$E$3)^2</f>
        <v>7060654.2490749983</v>
      </c>
      <c r="N286" s="12">
        <f>I286*(1+0.01*growthrate!$E$3)^5</f>
        <v>0</v>
      </c>
      <c r="O286" s="4">
        <f>J286*(1+0.01*growthrate!$E$3)^5</f>
        <v>0</v>
      </c>
      <c r="P286" s="4">
        <f>K286*(1+0.01*growthrate!$E$3)^5</f>
        <v>0</v>
      </c>
      <c r="Q286" s="4">
        <f>L286*(1+0.01*growthrate!$E$3)^5</f>
        <v>195186.20514221009</v>
      </c>
      <c r="R286" s="4">
        <f>M286*(1+0.01*growthrate!$E$3)^5</f>
        <v>7606329.879486734</v>
      </c>
      <c r="S286" s="12">
        <f>N286*(1+0.01*growthrate!$F$3)^10</f>
        <v>0</v>
      </c>
      <c r="T286" s="4">
        <f>O286*(1+0.01*growthrate!$F$3)^10</f>
        <v>0</v>
      </c>
      <c r="U286" s="4">
        <f>P286*(1+0.01*growthrate!$F$3)^10</f>
        <v>0</v>
      </c>
      <c r="V286" s="4">
        <f>Q286*(1+0.01*growthrate!$F$3)^10</f>
        <v>209287.75819506956</v>
      </c>
      <c r="W286" s="4">
        <f>R286*(1+0.01*growthrate!$F$3)^10</f>
        <v>8155861.8725647461</v>
      </c>
    </row>
    <row r="287" spans="1:23" x14ac:dyDescent="0.2">
      <c r="A287" s="2" t="s">
        <v>581</v>
      </c>
      <c r="B287" s="8" t="s">
        <v>582</v>
      </c>
      <c r="C287" s="4" t="s">
        <v>779</v>
      </c>
      <c r="D287" s="5">
        <v>0</v>
      </c>
      <c r="E287" s="5">
        <v>0</v>
      </c>
      <c r="F287" s="5">
        <v>0</v>
      </c>
      <c r="G287" s="5">
        <v>117541</v>
      </c>
      <c r="H287" s="14">
        <v>2783514</v>
      </c>
      <c r="I287" s="12">
        <f>D287*(1+0.01*growthrate!E288)^2</f>
        <v>0</v>
      </c>
      <c r="J287" s="4">
        <f>E287*(1+0.01*growthrate!$E$3)^2</f>
        <v>0</v>
      </c>
      <c r="K287" s="4">
        <f>F287*(1+0.01*growthrate!$E$3)^2</f>
        <v>0</v>
      </c>
      <c r="L287" s="4">
        <f>G287*(1+0.01*growthrate!$E$3)^2</f>
        <v>121093.67672499997</v>
      </c>
      <c r="M287" s="4">
        <f>H287*(1+0.01*growthrate!$E$3)^2</f>
        <v>2867645.7106499993</v>
      </c>
      <c r="N287" s="12">
        <f>I287*(1+0.01*growthrate!$E$3)^5</f>
        <v>0</v>
      </c>
      <c r="O287" s="4">
        <f>J287*(1+0.01*growthrate!$E$3)^5</f>
        <v>0</v>
      </c>
      <c r="P287" s="4">
        <f>K287*(1+0.01*growthrate!$E$3)^5</f>
        <v>0</v>
      </c>
      <c r="Q287" s="4">
        <f>L287*(1+0.01*growthrate!$E$3)^5</f>
        <v>130452.28090738803</v>
      </c>
      <c r="R287" s="4">
        <f>M287*(1+0.01*growthrate!$E$3)^5</f>
        <v>3089268.8528908831</v>
      </c>
      <c r="S287" s="12">
        <f>N287*(1+0.01*growthrate!$F$3)^10</f>
        <v>0</v>
      </c>
      <c r="T287" s="4">
        <f>O287*(1+0.01*growthrate!$F$3)^10</f>
        <v>0</v>
      </c>
      <c r="U287" s="4">
        <f>P287*(1+0.01*growthrate!$F$3)^10</f>
        <v>0</v>
      </c>
      <c r="V287" s="4">
        <f>Q287*(1+0.01*growthrate!$F$3)^10</f>
        <v>139877.02359728134</v>
      </c>
      <c r="W287" s="4">
        <f>R287*(1+0.01*growthrate!$F$3)^10</f>
        <v>3312458.2355209072</v>
      </c>
    </row>
    <row r="288" spans="1:23" x14ac:dyDescent="0.2">
      <c r="A288" s="2" t="s">
        <v>583</v>
      </c>
      <c r="B288" s="8" t="s">
        <v>584</v>
      </c>
      <c r="C288" s="4" t="s">
        <v>779</v>
      </c>
      <c r="D288" s="5">
        <v>0</v>
      </c>
      <c r="E288" s="5">
        <v>0</v>
      </c>
      <c r="F288" s="5">
        <v>0</v>
      </c>
      <c r="G288" s="5">
        <v>17679</v>
      </c>
      <c r="H288" s="14">
        <v>749326</v>
      </c>
      <c r="I288" s="12">
        <f>D288*(1+0.01*growthrate!E289)^2</f>
        <v>0</v>
      </c>
      <c r="J288" s="4">
        <f>E288*(1+0.01*growthrate!$E$3)^2</f>
        <v>0</v>
      </c>
      <c r="K288" s="4">
        <f>F288*(1+0.01*growthrate!$E$3)^2</f>
        <v>0</v>
      </c>
      <c r="L288" s="4">
        <f>G288*(1+0.01*growthrate!$E$3)^2</f>
        <v>18213.347774999995</v>
      </c>
      <c r="M288" s="4">
        <f>H288*(1+0.01*growthrate!$E$3)^2</f>
        <v>771974.37834999978</v>
      </c>
      <c r="N288" s="12">
        <f>I288*(1+0.01*growthrate!$E$3)^5</f>
        <v>0</v>
      </c>
      <c r="O288" s="4">
        <f>J288*(1+0.01*growthrate!$E$3)^5</f>
        <v>0</v>
      </c>
      <c r="P288" s="4">
        <f>K288*(1+0.01*growthrate!$E$3)^5</f>
        <v>0</v>
      </c>
      <c r="Q288" s="4">
        <f>L288*(1+0.01*growthrate!$E$3)^5</f>
        <v>19620.948215190554</v>
      </c>
      <c r="R288" s="4">
        <f>M288*(1+0.01*growthrate!$E$3)^5</f>
        <v>831635.64920503856</v>
      </c>
      <c r="S288" s="12">
        <f>N288*(1+0.01*growthrate!$F$3)^10</f>
        <v>0</v>
      </c>
      <c r="T288" s="4">
        <f>O288*(1+0.01*growthrate!$F$3)^10</f>
        <v>0</v>
      </c>
      <c r="U288" s="4">
        <f>P288*(1+0.01*growthrate!$F$3)^10</f>
        <v>0</v>
      </c>
      <c r="V288" s="4">
        <f>Q288*(1+0.01*growthrate!$F$3)^10</f>
        <v>21038.496355963762</v>
      </c>
      <c r="W288" s="4">
        <f>R288*(1+0.01*growthrate!$F$3)^10</f>
        <v>891718.55424112803</v>
      </c>
    </row>
    <row r="289" spans="1:23" x14ac:dyDescent="0.2">
      <c r="A289" s="2" t="s">
        <v>585</v>
      </c>
      <c r="B289" s="8" t="s">
        <v>586</v>
      </c>
      <c r="C289" s="4" t="s">
        <v>779</v>
      </c>
      <c r="D289" s="5">
        <v>0</v>
      </c>
      <c r="E289" s="5">
        <v>0</v>
      </c>
      <c r="F289" s="5">
        <v>0</v>
      </c>
      <c r="G289" s="5">
        <v>32996</v>
      </c>
      <c r="H289" s="14">
        <v>1136667</v>
      </c>
      <c r="I289" s="12">
        <f>D289*(1+0.01*growthrate!E290)^2</f>
        <v>0</v>
      </c>
      <c r="J289" s="4">
        <f>E289*(1+0.01*growthrate!$E$3)^2</f>
        <v>0</v>
      </c>
      <c r="K289" s="4">
        <f>F289*(1+0.01*growthrate!$E$3)^2</f>
        <v>0</v>
      </c>
      <c r="L289" s="4">
        <f>G289*(1+0.01*growthrate!$E$3)^2</f>
        <v>33993.304099999994</v>
      </c>
      <c r="M289" s="4">
        <f>H289*(1+0.01*growthrate!$E$3)^2</f>
        <v>1171022.7600749996</v>
      </c>
      <c r="N289" s="12">
        <f>I289*(1+0.01*growthrate!$E$3)^5</f>
        <v>0</v>
      </c>
      <c r="O289" s="4">
        <f>J289*(1+0.01*growthrate!$E$3)^5</f>
        <v>0</v>
      </c>
      <c r="P289" s="4">
        <f>K289*(1+0.01*growthrate!$E$3)^5</f>
        <v>0</v>
      </c>
      <c r="Q289" s="4">
        <f>L289*(1+0.01*growthrate!$E$3)^5</f>
        <v>36620.44274610711</v>
      </c>
      <c r="R289" s="4">
        <f>M289*(1+0.01*growthrate!$E$3)^5</f>
        <v>1261524.0876133267</v>
      </c>
      <c r="S289" s="12">
        <f>N289*(1+0.01*growthrate!$F$3)^10</f>
        <v>0</v>
      </c>
      <c r="T289" s="4">
        <f>O289*(1+0.01*growthrate!$F$3)^10</f>
        <v>0</v>
      </c>
      <c r="U289" s="4">
        <f>P289*(1+0.01*growthrate!$F$3)^10</f>
        <v>0</v>
      </c>
      <c r="V289" s="4">
        <f>Q289*(1+0.01*growthrate!$F$3)^10</f>
        <v>39266.147732415884</v>
      </c>
      <c r="W289" s="4">
        <f>R289*(1+0.01*growthrate!$F$3)^10</f>
        <v>1352665.0001382581</v>
      </c>
    </row>
    <row r="290" spans="1:23" x14ac:dyDescent="0.2">
      <c r="A290" s="2" t="s">
        <v>587</v>
      </c>
      <c r="B290" s="8" t="s">
        <v>588</v>
      </c>
      <c r="C290" s="4" t="s">
        <v>779</v>
      </c>
      <c r="D290" s="5">
        <v>0</v>
      </c>
      <c r="E290" s="5">
        <v>0</v>
      </c>
      <c r="F290" s="5">
        <v>0</v>
      </c>
      <c r="G290" s="5">
        <v>54921</v>
      </c>
      <c r="H290" s="14">
        <v>2166470</v>
      </c>
      <c r="I290" s="12">
        <f>D290*(1+0.01*growthrate!E291)^2</f>
        <v>0</v>
      </c>
      <c r="J290" s="4">
        <f>E290*(1+0.01*growthrate!$E$3)^2</f>
        <v>0</v>
      </c>
      <c r="K290" s="4">
        <f>F290*(1+0.01*growthrate!$E$3)^2</f>
        <v>0</v>
      </c>
      <c r="L290" s="4">
        <f>G290*(1+0.01*growthrate!$E$3)^2</f>
        <v>56580.987224999983</v>
      </c>
      <c r="M290" s="4">
        <f>H290*(1+0.01*growthrate!$E$3)^2</f>
        <v>2231951.5557499994</v>
      </c>
      <c r="N290" s="12">
        <f>I290*(1+0.01*growthrate!$E$3)^5</f>
        <v>0</v>
      </c>
      <c r="O290" s="4">
        <f>J290*(1+0.01*growthrate!$E$3)^5</f>
        <v>0</v>
      </c>
      <c r="P290" s="4">
        <f>K290*(1+0.01*growthrate!$E$3)^5</f>
        <v>0</v>
      </c>
      <c r="Q290" s="4">
        <f>L290*(1+0.01*growthrate!$E$3)^5</f>
        <v>60953.79246147861</v>
      </c>
      <c r="R290" s="4">
        <f>M290*(1+0.01*growthrate!$E$3)^5</f>
        <v>2404445.7084543174</v>
      </c>
      <c r="S290" s="12">
        <f>N290*(1+0.01*growthrate!$F$3)^10</f>
        <v>0</v>
      </c>
      <c r="T290" s="4">
        <f>O290*(1+0.01*growthrate!$F$3)^10</f>
        <v>0</v>
      </c>
      <c r="U290" s="4">
        <f>P290*(1+0.01*growthrate!$F$3)^10</f>
        <v>0</v>
      </c>
      <c r="V290" s="4">
        <f>Q290*(1+0.01*growthrate!$F$3)^10</f>
        <v>65357.500897442485</v>
      </c>
      <c r="W290" s="4">
        <f>R290*(1+0.01*growthrate!$F$3)^10</f>
        <v>2578158.900407535</v>
      </c>
    </row>
    <row r="291" spans="1:23" x14ac:dyDescent="0.2">
      <c r="A291" s="2" t="s">
        <v>589</v>
      </c>
      <c r="B291" s="8" t="s">
        <v>590</v>
      </c>
      <c r="C291" s="4" t="s">
        <v>779</v>
      </c>
      <c r="D291" s="5">
        <v>0</v>
      </c>
      <c r="E291" s="5">
        <v>0</v>
      </c>
      <c r="F291" s="5">
        <v>0</v>
      </c>
      <c r="G291" s="5">
        <v>15961</v>
      </c>
      <c r="H291" s="14">
        <v>801561</v>
      </c>
      <c r="I291" s="12">
        <f>D291*(1+0.01*growthrate!E292)^2</f>
        <v>0</v>
      </c>
      <c r="J291" s="4">
        <f>E291*(1+0.01*growthrate!$E$3)^2</f>
        <v>0</v>
      </c>
      <c r="K291" s="4">
        <f>F291*(1+0.01*growthrate!$E$3)^2</f>
        <v>0</v>
      </c>
      <c r="L291" s="4">
        <f>G291*(1+0.01*growthrate!$E$3)^2</f>
        <v>16443.421224999995</v>
      </c>
      <c r="M291" s="4">
        <f>H291*(1+0.01*growthrate!$E$3)^2</f>
        <v>825788.18122499983</v>
      </c>
      <c r="N291" s="12">
        <f>I291*(1+0.01*growthrate!$E$3)^5</f>
        <v>0</v>
      </c>
      <c r="O291" s="4">
        <f>J291*(1+0.01*growthrate!$E$3)^5</f>
        <v>0</v>
      </c>
      <c r="P291" s="4">
        <f>K291*(1+0.01*growthrate!$E$3)^5</f>
        <v>0</v>
      </c>
      <c r="Q291" s="4">
        <f>L291*(1+0.01*growthrate!$E$3)^5</f>
        <v>17714.234654825297</v>
      </c>
      <c r="R291" s="4">
        <f>M291*(1+0.01*growthrate!$E$3)^5</f>
        <v>889608.39823046315</v>
      </c>
      <c r="S291" s="12">
        <f>N291*(1+0.01*growthrate!$F$3)^10</f>
        <v>0</v>
      </c>
      <c r="T291" s="4">
        <f>O291*(1+0.01*growthrate!$F$3)^10</f>
        <v>0</v>
      </c>
      <c r="U291" s="4">
        <f>P291*(1+0.01*growthrate!$F$3)^10</f>
        <v>0</v>
      </c>
      <c r="V291" s="4">
        <f>Q291*(1+0.01*growthrate!$F$3)^10</f>
        <v>18994.029093135225</v>
      </c>
      <c r="W291" s="4">
        <f>R291*(1+0.01*growthrate!$F$3)^10</f>
        <v>953879.64124569669</v>
      </c>
    </row>
    <row r="292" spans="1:23" x14ac:dyDescent="0.2">
      <c r="A292" s="2" t="s">
        <v>591</v>
      </c>
      <c r="B292" s="8" t="s">
        <v>592</v>
      </c>
      <c r="C292" s="4" t="s">
        <v>779</v>
      </c>
      <c r="D292" s="5">
        <v>0</v>
      </c>
      <c r="E292" s="5">
        <v>0</v>
      </c>
      <c r="F292" s="5">
        <v>0</v>
      </c>
      <c r="G292" s="5">
        <v>115421</v>
      </c>
      <c r="H292" s="14">
        <v>4440341</v>
      </c>
      <c r="I292" s="12">
        <f>D292*(1+0.01*growthrate!E293)^2</f>
        <v>0</v>
      </c>
      <c r="J292" s="4">
        <f>E292*(1+0.01*growthrate!$E$3)^2</f>
        <v>0</v>
      </c>
      <c r="K292" s="4">
        <f>F292*(1+0.01*growthrate!$E$3)^2</f>
        <v>0</v>
      </c>
      <c r="L292" s="4">
        <f>G292*(1+0.01*growthrate!$E$3)^2</f>
        <v>118909.59972499996</v>
      </c>
      <c r="M292" s="4">
        <f>H292*(1+0.01*growthrate!$E$3)^2</f>
        <v>4574550.3067249991</v>
      </c>
      <c r="N292" s="12">
        <f>I292*(1+0.01*growthrate!$E$3)^5</f>
        <v>0</v>
      </c>
      <c r="O292" s="4">
        <f>J292*(1+0.01*growthrate!$E$3)^5</f>
        <v>0</v>
      </c>
      <c r="P292" s="4">
        <f>K292*(1+0.01*growthrate!$E$3)^5</f>
        <v>0</v>
      </c>
      <c r="Q292" s="4">
        <f>L292*(1+0.01*growthrate!$E$3)^5</f>
        <v>128099.40969203625</v>
      </c>
      <c r="R292" s="4">
        <f>M292*(1+0.01*growthrate!$E$3)^5</f>
        <v>4928089.8703991994</v>
      </c>
      <c r="S292" s="12">
        <f>N292*(1+0.01*growthrate!$F$3)^10</f>
        <v>0</v>
      </c>
      <c r="T292" s="4">
        <f>O292*(1+0.01*growthrate!$F$3)^10</f>
        <v>0</v>
      </c>
      <c r="U292" s="4">
        <f>P292*(1+0.01*growthrate!$F$3)^10</f>
        <v>0</v>
      </c>
      <c r="V292" s="4">
        <f>Q292*(1+0.01*growthrate!$F$3)^10</f>
        <v>137354.16527528103</v>
      </c>
      <c r="W292" s="4">
        <f>R292*(1+0.01*growthrate!$F$3)^10</f>
        <v>5284127.9454571242</v>
      </c>
    </row>
    <row r="293" spans="1:23" x14ac:dyDescent="0.2">
      <c r="A293" s="2" t="s">
        <v>593</v>
      </c>
      <c r="B293" s="8" t="s">
        <v>594</v>
      </c>
      <c r="C293" s="4" t="s">
        <v>779</v>
      </c>
      <c r="D293" s="5">
        <v>0</v>
      </c>
      <c r="E293" s="5">
        <v>0</v>
      </c>
      <c r="F293" s="5">
        <v>0</v>
      </c>
      <c r="G293" s="5">
        <v>42192</v>
      </c>
      <c r="H293" s="14">
        <v>1079929</v>
      </c>
      <c r="I293" s="12">
        <f>D293*(1+0.01*growthrate!E294)^2</f>
        <v>0</v>
      </c>
      <c r="J293" s="4">
        <f>E293*(1+0.01*growthrate!$E$3)^2</f>
        <v>0</v>
      </c>
      <c r="K293" s="4">
        <f>F293*(1+0.01*growthrate!$E$3)^2</f>
        <v>0</v>
      </c>
      <c r="L293" s="4">
        <f>G293*(1+0.01*growthrate!$E$3)^2</f>
        <v>43467.253199999992</v>
      </c>
      <c r="M293" s="4">
        <f>H293*(1+0.01*growthrate!$E$3)^2</f>
        <v>1112569.8540249998</v>
      </c>
      <c r="N293" s="12">
        <f>I293*(1+0.01*growthrate!$E$3)^5</f>
        <v>0</v>
      </c>
      <c r="O293" s="4">
        <f>J293*(1+0.01*growthrate!$E$3)^5</f>
        <v>0</v>
      </c>
      <c r="P293" s="4">
        <f>K293*(1+0.01*growthrate!$E$3)^5</f>
        <v>0</v>
      </c>
      <c r="Q293" s="4">
        <f>L293*(1+0.01*growthrate!$E$3)^5</f>
        <v>46826.576565151874</v>
      </c>
      <c r="R293" s="4">
        <f>M293*(1+0.01*growthrate!$E$3)^5</f>
        <v>1198553.7069451057</v>
      </c>
      <c r="S293" s="12">
        <f>N293*(1+0.01*growthrate!$F$3)^10</f>
        <v>0</v>
      </c>
      <c r="T293" s="4">
        <f>O293*(1+0.01*growthrate!$F$3)^10</f>
        <v>0</v>
      </c>
      <c r="U293" s="4">
        <f>P293*(1+0.01*growthrate!$F$3)^10</f>
        <v>0</v>
      </c>
      <c r="V293" s="4">
        <f>Q293*(1+0.01*growthrate!$F$3)^10</f>
        <v>50209.640717847346</v>
      </c>
      <c r="W293" s="4">
        <f>R293*(1+0.01*growthrate!$F$3)^10</f>
        <v>1285145.2192544597</v>
      </c>
    </row>
    <row r="294" spans="1:23" x14ac:dyDescent="0.2">
      <c r="A294" s="2" t="s">
        <v>595</v>
      </c>
      <c r="B294" s="8" t="s">
        <v>596</v>
      </c>
      <c r="C294" s="4" t="s">
        <v>779</v>
      </c>
      <c r="D294" s="5">
        <v>0</v>
      </c>
      <c r="E294" s="5">
        <v>0</v>
      </c>
      <c r="F294" s="5">
        <v>0</v>
      </c>
      <c r="G294" s="5">
        <v>359625</v>
      </c>
      <c r="H294" s="14">
        <v>4998537</v>
      </c>
      <c r="I294" s="12">
        <f>D294*(1+0.01*growthrate!E295)^2</f>
        <v>0</v>
      </c>
      <c r="J294" s="4">
        <f>E294*(1+0.01*growthrate!$E$3)^2</f>
        <v>0</v>
      </c>
      <c r="K294" s="4">
        <f>F294*(1+0.01*growthrate!$E$3)^2</f>
        <v>0</v>
      </c>
      <c r="L294" s="4">
        <f>G294*(1+0.01*growthrate!$E$3)^2</f>
        <v>370494.66562499991</v>
      </c>
      <c r="M294" s="4">
        <f>H294*(1+0.01*growthrate!$E$3)^2</f>
        <v>5149617.7808249984</v>
      </c>
      <c r="N294" s="12">
        <f>I294*(1+0.01*growthrate!$E$3)^5</f>
        <v>0</v>
      </c>
      <c r="O294" s="4">
        <f>J294*(1+0.01*growthrate!$E$3)^5</f>
        <v>0</v>
      </c>
      <c r="P294" s="4">
        <f>K294*(1+0.01*growthrate!$E$3)^5</f>
        <v>0</v>
      </c>
      <c r="Q294" s="4">
        <f>L294*(1+0.01*growthrate!$E$3)^5</f>
        <v>399127.97680230235</v>
      </c>
      <c r="R294" s="4">
        <f>M294*(1+0.01*growthrate!$E$3)^5</f>
        <v>5547600.8614013204</v>
      </c>
      <c r="S294" s="12">
        <f>N294*(1+0.01*growthrate!$F$3)^10</f>
        <v>0</v>
      </c>
      <c r="T294" s="4">
        <f>O294*(1+0.01*growthrate!$F$3)^10</f>
        <v>0</v>
      </c>
      <c r="U294" s="4">
        <f>P294*(1+0.01*growthrate!$F$3)^10</f>
        <v>0</v>
      </c>
      <c r="V294" s="4">
        <f>Q294*(1+0.01*growthrate!$F$3)^10</f>
        <v>427963.64341950725</v>
      </c>
      <c r="W294" s="4">
        <f>R294*(1+0.01*growthrate!$F$3)^10</f>
        <v>5948396.5416398011</v>
      </c>
    </row>
    <row r="295" spans="1:23" x14ac:dyDescent="0.2">
      <c r="A295" s="2" t="s">
        <v>597</v>
      </c>
      <c r="B295" s="8" t="s">
        <v>598</v>
      </c>
      <c r="C295" s="4" t="s">
        <v>779</v>
      </c>
      <c r="D295" s="5">
        <v>0</v>
      </c>
      <c r="E295" s="5">
        <v>0</v>
      </c>
      <c r="F295" s="5">
        <v>0</v>
      </c>
      <c r="G295" s="5">
        <v>484770</v>
      </c>
      <c r="H295" s="14">
        <v>8045561</v>
      </c>
      <c r="I295" s="12">
        <f>D295*(1+0.01*growthrate!E296)^2</f>
        <v>0</v>
      </c>
      <c r="J295" s="4">
        <f>E295*(1+0.01*growthrate!$E$3)^2</f>
        <v>0</v>
      </c>
      <c r="K295" s="4">
        <f>F295*(1+0.01*growthrate!$E$3)^2</f>
        <v>0</v>
      </c>
      <c r="L295" s="4">
        <f>G295*(1+0.01*growthrate!$E$3)^2</f>
        <v>499422.17324999988</v>
      </c>
      <c r="M295" s="4">
        <f>H295*(1+0.01*growthrate!$E$3)^2</f>
        <v>8288738.0812249975</v>
      </c>
      <c r="N295" s="12">
        <f>I295*(1+0.01*growthrate!$E$3)^5</f>
        <v>0</v>
      </c>
      <c r="O295" s="4">
        <f>J295*(1+0.01*growthrate!$E$3)^5</f>
        <v>0</v>
      </c>
      <c r="P295" s="4">
        <f>K295*(1+0.01*growthrate!$E$3)^5</f>
        <v>0</v>
      </c>
      <c r="Q295" s="4">
        <f>L295*(1+0.01*growthrate!$E$3)^5</f>
        <v>538019.51842739549</v>
      </c>
      <c r="R295" s="4">
        <f>M295*(1+0.01*growthrate!$E$3)^5</f>
        <v>8929324.9472909514</v>
      </c>
      <c r="S295" s="12">
        <f>N295*(1+0.01*growthrate!$F$3)^10</f>
        <v>0</v>
      </c>
      <c r="T295" s="4">
        <f>O295*(1+0.01*growthrate!$F$3)^10</f>
        <v>0</v>
      </c>
      <c r="U295" s="4">
        <f>P295*(1+0.01*growthrate!$F$3)^10</f>
        <v>0</v>
      </c>
      <c r="V295" s="4">
        <f>Q295*(1+0.01*growthrate!$F$3)^10</f>
        <v>576889.63620569906</v>
      </c>
      <c r="W295" s="4">
        <f>R295*(1+0.01*growthrate!$F$3)^10</f>
        <v>9574438.9264202826</v>
      </c>
    </row>
    <row r="296" spans="1:23" x14ac:dyDescent="0.2">
      <c r="A296" s="2" t="s">
        <v>599</v>
      </c>
      <c r="B296" s="8" t="s">
        <v>600</v>
      </c>
      <c r="C296" s="4" t="s">
        <v>779</v>
      </c>
      <c r="D296" s="5">
        <v>0</v>
      </c>
      <c r="E296" s="5">
        <v>0</v>
      </c>
      <c r="F296" s="5">
        <v>0</v>
      </c>
      <c r="G296" s="5">
        <v>609371</v>
      </c>
      <c r="H296" s="14">
        <v>6105809</v>
      </c>
      <c r="I296" s="12">
        <f>D296*(1+0.01*growthrate!E297)^2</f>
        <v>0</v>
      </c>
      <c r="J296" s="4">
        <f>E296*(1+0.01*growthrate!$E$3)^2</f>
        <v>0</v>
      </c>
      <c r="K296" s="4">
        <f>F296*(1+0.01*growthrate!$E$3)^2</f>
        <v>0</v>
      </c>
      <c r="L296" s="4">
        <f>G296*(1+0.01*growthrate!$E$3)^2</f>
        <v>627789.23847499979</v>
      </c>
      <c r="M296" s="4">
        <f>H296*(1+0.01*growthrate!$E$3)^2</f>
        <v>6290357.0770249981</v>
      </c>
      <c r="N296" s="12">
        <f>I296*(1+0.01*growthrate!$E$3)^5</f>
        <v>0</v>
      </c>
      <c r="O296" s="4">
        <f>J296*(1+0.01*growthrate!$E$3)^5</f>
        <v>0</v>
      </c>
      <c r="P296" s="4">
        <f>K296*(1+0.01*growthrate!$E$3)^5</f>
        <v>0</v>
      </c>
      <c r="Q296" s="4">
        <f>L296*(1+0.01*growthrate!$E$3)^5</f>
        <v>676307.30441987002</v>
      </c>
      <c r="R296" s="4">
        <f>M296*(1+0.01*growthrate!$E$3)^5</f>
        <v>6776501.057799899</v>
      </c>
      <c r="S296" s="12">
        <f>N296*(1+0.01*growthrate!$F$3)^10</f>
        <v>0</v>
      </c>
      <c r="T296" s="4">
        <f>O296*(1+0.01*growthrate!$F$3)^10</f>
        <v>0</v>
      </c>
      <c r="U296" s="4">
        <f>P296*(1+0.01*growthrate!$F$3)^10</f>
        <v>0</v>
      </c>
      <c r="V296" s="4">
        <f>Q296*(1+0.01*growthrate!$F$3)^10</f>
        <v>725168.25402624544</v>
      </c>
      <c r="W296" s="4">
        <f>R296*(1+0.01*growthrate!$F$3)^10</f>
        <v>7266080.6831105119</v>
      </c>
    </row>
    <row r="297" spans="1:23" x14ac:dyDescent="0.2">
      <c r="A297" s="2" t="s">
        <v>601</v>
      </c>
      <c r="B297" s="8" t="s">
        <v>602</v>
      </c>
      <c r="C297" s="4" t="s">
        <v>779</v>
      </c>
      <c r="D297" s="5">
        <v>5068602</v>
      </c>
      <c r="E297" s="5">
        <v>0</v>
      </c>
      <c r="F297" s="5">
        <v>5068602</v>
      </c>
      <c r="G297" s="5">
        <v>12328235</v>
      </c>
      <c r="H297" s="14">
        <v>212386661</v>
      </c>
      <c r="I297" s="12">
        <f>D297*(1+0.01*growthrate!E298)^2</f>
        <v>5068602</v>
      </c>
      <c r="J297" s="4">
        <f>E297*(1+0.01*growthrate!$E$3)^2</f>
        <v>0</v>
      </c>
      <c r="K297" s="4">
        <f>F297*(1+0.01*growthrate!$E$3)^2</f>
        <v>5221800.4954499984</v>
      </c>
      <c r="L297" s="4">
        <f>G297*(1+0.01*growthrate!$E$3)^2</f>
        <v>12700855.902874997</v>
      </c>
      <c r="M297" s="4">
        <f>H297*(1+0.01*growthrate!$E$3)^2</f>
        <v>218806047.82872495</v>
      </c>
      <c r="N297" s="12">
        <f>I297*(1+0.01*growthrate!$E$3)^5</f>
        <v>5460323.8566563474</v>
      </c>
      <c r="O297" s="4">
        <f>J297*(1+0.01*growthrate!$E$3)^5</f>
        <v>0</v>
      </c>
      <c r="P297" s="4">
        <f>K297*(1+0.01*growthrate!$E$3)^5</f>
        <v>5625362.1452237833</v>
      </c>
      <c r="Q297" s="4">
        <f>L297*(1+0.01*growthrate!$E$3)^5</f>
        <v>13682428.899807665</v>
      </c>
      <c r="R297" s="4">
        <f>M297*(1+0.01*growthrate!$E$3)^5</f>
        <v>235716255.27904472</v>
      </c>
      <c r="S297" s="12">
        <f>N297*(1+0.01*growthrate!$F$3)^10</f>
        <v>5854814.0640679486</v>
      </c>
      <c r="T297" s="4">
        <f>O297*(1+0.01*growthrate!$F$3)^10</f>
        <v>0</v>
      </c>
      <c r="U297" s="4">
        <f>P297*(1+0.01*growthrate!$F$3)^10</f>
        <v>6031775.8191543994</v>
      </c>
      <c r="V297" s="4">
        <f>Q297*(1+0.01*growthrate!$F$3)^10</f>
        <v>14670938.804398717</v>
      </c>
      <c r="W297" s="4">
        <f>R297*(1+0.01*growthrate!$F$3)^10</f>
        <v>252745969.42721939</v>
      </c>
    </row>
    <row r="298" spans="1:23" x14ac:dyDescent="0.2">
      <c r="A298" s="2" t="s">
        <v>603</v>
      </c>
      <c r="B298" s="8" t="s">
        <v>604</v>
      </c>
      <c r="C298" s="4" t="s">
        <v>779</v>
      </c>
      <c r="D298" s="5">
        <v>122151</v>
      </c>
      <c r="E298" s="5">
        <v>3394901</v>
      </c>
      <c r="F298" s="5">
        <v>3517052</v>
      </c>
      <c r="G298" s="5">
        <v>71229</v>
      </c>
      <c r="H298" s="14">
        <v>4443631</v>
      </c>
      <c r="I298" s="12">
        <f>D298*(1+0.01*growthrate!E299)^2</f>
        <v>122151</v>
      </c>
      <c r="J298" s="4">
        <f>E298*(1+0.01*growthrate!$E$3)^2</f>
        <v>3497511.882724999</v>
      </c>
      <c r="K298" s="4">
        <f>F298*(1+0.01*growthrate!$E$3)^2</f>
        <v>3623354.896699999</v>
      </c>
      <c r="L298" s="4">
        <f>G298*(1+0.01*growthrate!$E$3)^2</f>
        <v>73381.896524999975</v>
      </c>
      <c r="M298" s="4">
        <f>H298*(1+0.01*growthrate!$E$3)^2</f>
        <v>4577939.7469749991</v>
      </c>
      <c r="N298" s="12">
        <f>I298*(1+0.01*growthrate!$E$3)^5</f>
        <v>131591.3183584802</v>
      </c>
      <c r="O298" s="4">
        <f>J298*(1+0.01*growthrate!$E$3)^5</f>
        <v>3767813.6046551629</v>
      </c>
      <c r="P298" s="4">
        <f>K298*(1+0.01*growthrate!$E$3)^5</f>
        <v>3903382.2706110282</v>
      </c>
      <c r="Q298" s="4">
        <f>L298*(1+0.01*growthrate!$E$3)^5</f>
        <v>79053.143301080825</v>
      </c>
      <c r="R298" s="4">
        <f>M298*(1+0.01*growthrate!$E$3)^5</f>
        <v>4931741.260162646</v>
      </c>
      <c r="S298" s="12">
        <f>N298*(1+0.01*growthrate!$F$3)^10</f>
        <v>141098.35270947768</v>
      </c>
      <c r="T298" s="4">
        <f>O298*(1+0.01*growthrate!$F$3)^10</f>
        <v>4040025.5850080736</v>
      </c>
      <c r="U298" s="4">
        <f>P298*(1+0.01*growthrate!$F$3)^10</f>
        <v>4185388.6354281954</v>
      </c>
      <c r="V298" s="4">
        <f>Q298*(1+0.01*growthrate!$F$3)^10</f>
        <v>84764.469536678705</v>
      </c>
      <c r="W298" s="4">
        <f>R298*(1+0.01*growthrate!$F$3)^10</f>
        <v>5288043.1359662656</v>
      </c>
    </row>
    <row r="299" spans="1:23" x14ac:dyDescent="0.2">
      <c r="A299" s="2" t="s">
        <v>605</v>
      </c>
      <c r="B299" s="8" t="s">
        <v>606</v>
      </c>
      <c r="C299" s="4" t="s">
        <v>779</v>
      </c>
      <c r="D299" s="5">
        <v>403106</v>
      </c>
      <c r="E299" s="5">
        <v>2427474</v>
      </c>
      <c r="F299" s="5">
        <v>2830580</v>
      </c>
      <c r="G299" s="5">
        <v>2054976</v>
      </c>
      <c r="H299" s="14">
        <v>11893941</v>
      </c>
      <c r="I299" s="12">
        <f>D299*(1+0.01*growthrate!E300)^2</f>
        <v>403106</v>
      </c>
      <c r="J299" s="4">
        <f>E299*(1+0.01*growthrate!$E$3)^2</f>
        <v>2500844.4016499994</v>
      </c>
      <c r="K299" s="4">
        <f>F299*(1+0.01*growthrate!$E$3)^2</f>
        <v>2916134.2804999994</v>
      </c>
      <c r="L299" s="4">
        <f>G299*(1+0.01*growthrate!$E$3)^2</f>
        <v>2117087.6495999997</v>
      </c>
      <c r="M299" s="4">
        <f>H299*(1+0.01*growthrate!$E$3)^2</f>
        <v>12253435.366724996</v>
      </c>
      <c r="N299" s="12">
        <f>I299*(1+0.01*growthrate!$E$3)^5</f>
        <v>434259.64566981461</v>
      </c>
      <c r="O299" s="4">
        <f>J299*(1+0.01*growthrate!$E$3)^5</f>
        <v>2694119.6701013339</v>
      </c>
      <c r="P299" s="4">
        <f>K299*(1+0.01*growthrate!$E$3)^5</f>
        <v>3141504.8135615182</v>
      </c>
      <c r="Q299" s="4">
        <f>L299*(1+0.01*growthrate!$E$3)^5</f>
        <v>2280704.659735247</v>
      </c>
      <c r="R299" s="4">
        <f>M299*(1+0.01*growthrate!$E$3)^5</f>
        <v>13200429.913203899</v>
      </c>
      <c r="S299" s="12">
        <f>N299*(1+0.01*growthrate!$F$3)^10</f>
        <v>465633.45832049439</v>
      </c>
      <c r="T299" s="4">
        <f>O299*(1+0.01*growthrate!$F$3)^10</f>
        <v>2888760.8407261036</v>
      </c>
      <c r="U299" s="4">
        <f>P299*(1+0.01*growthrate!$F$3)^10</f>
        <v>3368468.0703243348</v>
      </c>
      <c r="V299" s="4">
        <f>Q299*(1+0.01*growthrate!$F$3)^10</f>
        <v>2445477.973165507</v>
      </c>
      <c r="W299" s="4">
        <f>R299*(1+0.01*growthrate!$F$3)^10</f>
        <v>14154116.996806832</v>
      </c>
    </row>
    <row r="300" spans="1:23" x14ac:dyDescent="0.2">
      <c r="A300" s="2" t="s">
        <v>607</v>
      </c>
      <c r="B300" s="8" t="s">
        <v>608</v>
      </c>
      <c r="C300" s="4" t="s">
        <v>779</v>
      </c>
      <c r="D300" s="5">
        <v>458769</v>
      </c>
      <c r="E300" s="5">
        <v>3379</v>
      </c>
      <c r="F300" s="5">
        <v>462148</v>
      </c>
      <c r="G300" s="5">
        <v>1001499</v>
      </c>
      <c r="H300" s="14">
        <v>18422663</v>
      </c>
      <c r="I300" s="12">
        <f>D300*(1+0.01*growthrate!E301)^2</f>
        <v>458769</v>
      </c>
      <c r="J300" s="4">
        <f>E300*(1+0.01*growthrate!$E$3)^2</f>
        <v>3481.1302749999991</v>
      </c>
      <c r="K300" s="4">
        <f>F300*(1+0.01*growthrate!$E$3)^2</f>
        <v>476116.42329999985</v>
      </c>
      <c r="L300" s="4">
        <f>G300*(1+0.01*growthrate!$E$3)^2</f>
        <v>1031769.3072749997</v>
      </c>
      <c r="M300" s="4">
        <f>H300*(1+0.01*growthrate!$E$3)^2</f>
        <v>18979487.989174996</v>
      </c>
      <c r="N300" s="12">
        <f>I300*(1+0.01*growthrate!$E$3)^5</f>
        <v>494224.50517803052</v>
      </c>
      <c r="O300" s="4">
        <f>J300*(1+0.01*growthrate!$E$3)^5</f>
        <v>3750.1659606951121</v>
      </c>
      <c r="P300" s="4">
        <f>K300*(1+0.01*growthrate!$E$3)^5</f>
        <v>512912.60680773144</v>
      </c>
      <c r="Q300" s="4">
        <f>L300*(1+0.01*growthrate!$E$3)^5</f>
        <v>1111508.5704262189</v>
      </c>
      <c r="R300" s="4">
        <f>M300*(1+0.01*growthrate!$E$3)^5</f>
        <v>20446298.812653832</v>
      </c>
      <c r="S300" s="12">
        <f>N300*(1+0.01*growthrate!$F$3)^10</f>
        <v>529930.57915346057</v>
      </c>
      <c r="T300" s="4">
        <f>O300*(1+0.01*growthrate!$F$3)^10</f>
        <v>4021.1029575655616</v>
      </c>
      <c r="U300" s="4">
        <f>P300*(1+0.01*growthrate!$F$3)^10</f>
        <v>549968.83386593929</v>
      </c>
      <c r="V300" s="4">
        <f>Q300*(1+0.01*growthrate!$F$3)^10</f>
        <v>1191811.3616155526</v>
      </c>
      <c r="W300" s="4">
        <f>R300*(1+0.01*growthrate!$F$3)^10</f>
        <v>21923475.784413625</v>
      </c>
    </row>
    <row r="301" spans="1:23" x14ac:dyDescent="0.2">
      <c r="A301" s="2" t="s">
        <v>609</v>
      </c>
      <c r="B301" s="8" t="s">
        <v>610</v>
      </c>
      <c r="C301" s="4" t="s">
        <v>779</v>
      </c>
      <c r="D301" s="5">
        <v>656513</v>
      </c>
      <c r="E301" s="5">
        <v>55587</v>
      </c>
      <c r="F301" s="5">
        <v>712100</v>
      </c>
      <c r="G301" s="5">
        <v>93706</v>
      </c>
      <c r="H301" s="14">
        <v>1342345</v>
      </c>
      <c r="I301" s="12">
        <f>D301*(1+0.01*growthrate!E302)^2</f>
        <v>656513</v>
      </c>
      <c r="J301" s="4">
        <f>E301*(1+0.01*growthrate!$E$3)^2</f>
        <v>57267.117074999987</v>
      </c>
      <c r="K301" s="4">
        <f>F301*(1+0.01*growthrate!$E$3)^2</f>
        <v>733623.2224999998</v>
      </c>
      <c r="L301" s="4">
        <f>G301*(1+0.01*growthrate!$E$3)^2</f>
        <v>96538.263849999974</v>
      </c>
      <c r="M301" s="4">
        <f>H301*(1+0.01*growthrate!$E$3)^2</f>
        <v>1382917.3776249997</v>
      </c>
      <c r="N301" s="12">
        <f>I301*(1+0.01*growthrate!$E$3)^5</f>
        <v>707250.95324214222</v>
      </c>
      <c r="O301" s="4">
        <f>J301*(1+0.01*growthrate!$E$3)^5</f>
        <v>61692.949173471206</v>
      </c>
      <c r="P301" s="4">
        <f>K301*(1+0.01*growthrate!$E$3)^5</f>
        <v>790320.56247735699</v>
      </c>
      <c r="Q301" s="4">
        <f>L301*(1+0.01*growthrate!$E$3)^5</f>
        <v>103999.12740837412</v>
      </c>
      <c r="R301" s="4">
        <f>M301*(1+0.01*growthrate!$E$3)^5</f>
        <v>1489794.7696091388</v>
      </c>
      <c r="S301" s="12">
        <f>N301*(1+0.01*growthrate!$F$3)^10</f>
        <v>758347.47838623764</v>
      </c>
      <c r="T301" s="4">
        <f>O301*(1+0.01*growthrate!$F$3)^10</f>
        <v>66150.05921935392</v>
      </c>
      <c r="U301" s="4">
        <f>P301*(1+0.01*growthrate!$F$3)^10</f>
        <v>847418.59013981535</v>
      </c>
      <c r="V301" s="4">
        <f>Q301*(1+0.01*growthrate!$F$3)^10</f>
        <v>111512.7178874337</v>
      </c>
      <c r="W301" s="4">
        <f>R301*(1+0.01*growthrate!$F$3)^10</f>
        <v>1597427.4784176808</v>
      </c>
    </row>
    <row r="302" spans="1:23" x14ac:dyDescent="0.2">
      <c r="A302" s="2" t="s">
        <v>611</v>
      </c>
      <c r="B302" s="8" t="s">
        <v>612</v>
      </c>
      <c r="C302" s="4" t="s">
        <v>779</v>
      </c>
      <c r="D302" s="5">
        <v>7703606</v>
      </c>
      <c r="E302" s="5">
        <v>27572</v>
      </c>
      <c r="F302" s="5">
        <v>7731178</v>
      </c>
      <c r="G302" s="5">
        <v>22515133</v>
      </c>
      <c r="H302" s="14">
        <v>6225569</v>
      </c>
      <c r="I302" s="12">
        <f>D302*(1+0.01*growthrate!E303)^2</f>
        <v>7703606</v>
      </c>
      <c r="J302" s="4">
        <f>E302*(1+0.01*growthrate!$E$3)^2</f>
        <v>28405.363699999991</v>
      </c>
      <c r="K302" s="4">
        <f>F302*(1+0.01*growthrate!$E$3)^2</f>
        <v>7964852.8550499976</v>
      </c>
      <c r="L302" s="4">
        <f>G302*(1+0.01*growthrate!$E$3)^2</f>
        <v>23195652.894924995</v>
      </c>
      <c r="M302" s="4">
        <f>H302*(1+0.01*growthrate!$E$3)^2</f>
        <v>6413736.8230249984</v>
      </c>
      <c r="N302" s="12">
        <f>I302*(1+0.01*growthrate!$E$3)^5</f>
        <v>8298971.516027689</v>
      </c>
      <c r="O302" s="4">
        <f>J302*(1+0.01*growthrate!$E$3)^5</f>
        <v>30600.643938527854</v>
      </c>
      <c r="P302" s="4">
        <f>K302*(1+0.01*growthrate!$E$3)^5</f>
        <v>8580408.5740381517</v>
      </c>
      <c r="Q302" s="4">
        <f>L302*(1+0.01*growthrate!$E$3)^5</f>
        <v>24988305.823356975</v>
      </c>
      <c r="R302" s="4">
        <f>M302*(1+0.01*growthrate!$E$3)^5</f>
        <v>6909416.0845690165</v>
      </c>
      <c r="S302" s="12">
        <f>N302*(1+0.01*growthrate!$F$3)^10</f>
        <v>8898544.5597895104</v>
      </c>
      <c r="T302" s="4">
        <f>O302*(1+0.01*growthrate!$F$3)^10</f>
        <v>32811.438516128335</v>
      </c>
      <c r="U302" s="4">
        <f>P302*(1+0.01*growthrate!$F$3)^10</f>
        <v>9200314.5076252744</v>
      </c>
      <c r="V302" s="4">
        <f>Q302*(1+0.01*growthrate!$F$3)^10</f>
        <v>26793627.669808216</v>
      </c>
      <c r="W302" s="4">
        <f>R302*(1+0.01*growthrate!$F$3)^10</f>
        <v>7408598.3777533211</v>
      </c>
    </row>
    <row r="303" spans="1:23" x14ac:dyDescent="0.2">
      <c r="A303" s="2" t="s">
        <v>613</v>
      </c>
      <c r="B303" s="8" t="s">
        <v>614</v>
      </c>
      <c r="C303" s="4" t="s">
        <v>779</v>
      </c>
      <c r="D303" s="5">
        <v>161852</v>
      </c>
      <c r="E303" s="5">
        <v>3126577</v>
      </c>
      <c r="F303" s="5">
        <v>3288429</v>
      </c>
      <c r="G303" s="5">
        <v>13572627</v>
      </c>
      <c r="H303" s="14">
        <v>9102172</v>
      </c>
      <c r="I303" s="12">
        <f>D303*(1+0.01*growthrate!E304)^2</f>
        <v>161852</v>
      </c>
      <c r="J303" s="4">
        <f>E303*(1+0.01*growthrate!$E$3)^2</f>
        <v>3221077.7898249989</v>
      </c>
      <c r="K303" s="4">
        <f>F303*(1+0.01*growthrate!$E$3)^2</f>
        <v>3387821.7665249989</v>
      </c>
      <c r="L303" s="4">
        <f>G303*(1+0.01*growthrate!$E$3)^2</f>
        <v>13982859.651074996</v>
      </c>
      <c r="M303" s="4">
        <f>H303*(1+0.01*growthrate!$E$3)^2</f>
        <v>9377285.148699997</v>
      </c>
      <c r="N303" s="12">
        <f>I303*(1+0.01*growthrate!$E$3)^5</f>
        <v>174360.57059669375</v>
      </c>
      <c r="O303" s="4">
        <f>J303*(1+0.01*growthrate!$E$3)^5</f>
        <v>3470015.5782457059</v>
      </c>
      <c r="P303" s="4">
        <f>K303*(1+0.01*growthrate!$E$3)^5</f>
        <v>3649646.1970886849</v>
      </c>
      <c r="Q303" s="4">
        <f>L303*(1+0.01*growthrate!$E$3)^5</f>
        <v>15063511.030663338</v>
      </c>
      <c r="R303" s="4">
        <f>M303*(1+0.01*growthrate!$E$3)^5</f>
        <v>10101999.290557012</v>
      </c>
      <c r="S303" s="12">
        <f>N303*(1+0.01*growthrate!$F$3)^10</f>
        <v>186957.54093486242</v>
      </c>
      <c r="T303" s="4">
        <f>O303*(1+0.01*growthrate!$F$3)^10</f>
        <v>3720712.643313542</v>
      </c>
      <c r="U303" s="4">
        <f>P303*(1+0.01*growthrate!$F$3)^10</f>
        <v>3913320.975923161</v>
      </c>
      <c r="V303" s="4">
        <f>Q303*(1+0.01*growthrate!$F$3)^10</f>
        <v>16151799.518092392</v>
      </c>
      <c r="W303" s="4">
        <f>R303*(1+0.01*growthrate!$F$3)^10</f>
        <v>10831835.084187759</v>
      </c>
    </row>
    <row r="304" spans="1:23" x14ac:dyDescent="0.2">
      <c r="A304" s="2" t="s">
        <v>615</v>
      </c>
      <c r="B304" s="8" t="s">
        <v>616</v>
      </c>
      <c r="C304" s="4" t="s">
        <v>779</v>
      </c>
      <c r="D304" s="5">
        <v>4</v>
      </c>
      <c r="E304" s="5">
        <v>5517</v>
      </c>
      <c r="F304" s="5">
        <v>5521</v>
      </c>
      <c r="G304" s="5">
        <v>180207</v>
      </c>
      <c r="H304" s="14">
        <v>9356587</v>
      </c>
      <c r="I304" s="12">
        <f>D304*(1+0.01*growthrate!E305)^2</f>
        <v>4</v>
      </c>
      <c r="J304" s="4">
        <f>E304*(1+0.01*growthrate!$E$3)^2</f>
        <v>5683.7513249999984</v>
      </c>
      <c r="K304" s="4">
        <f>F304*(1+0.01*growthrate!$E$3)^2</f>
        <v>5687.8722249999983</v>
      </c>
      <c r="L304" s="4">
        <f>G304*(1+0.01*growthrate!$E$3)^2</f>
        <v>185653.75657499995</v>
      </c>
      <c r="M304" s="4">
        <f>H304*(1+0.01*growthrate!$E$3)^2</f>
        <v>9639389.8420749977</v>
      </c>
      <c r="N304" s="12">
        <f>I304*(1+0.01*growthrate!$E$3)^5</f>
        <v>4.3091360155374971</v>
      </c>
      <c r="O304" s="4">
        <f>J304*(1+0.01*growthrate!$E$3)^5</f>
        <v>6123.0143844791155</v>
      </c>
      <c r="P304" s="4">
        <f>K304*(1+0.01*growthrate!$E$3)^5</f>
        <v>6127.4537641307224</v>
      </c>
      <c r="Q304" s="4">
        <f>L304*(1+0.01*growthrate!$E$3)^5</f>
        <v>200001.82221929092</v>
      </c>
      <c r="R304" s="4">
        <f>M304*(1+0.01*growthrate!$E$3)^5</f>
        <v>10384360.48407292</v>
      </c>
      <c r="S304" s="12">
        <f>N304*(1+0.01*growthrate!$F$3)^10</f>
        <v>4.6204567366448961</v>
      </c>
      <c r="T304" s="4">
        <f>O304*(1+0.01*growthrate!$F$3)^10</f>
        <v>6565.3817747526491</v>
      </c>
      <c r="U304" s="4">
        <f>P304*(1+0.01*growthrate!$F$3)^10</f>
        <v>6570.1418847941586</v>
      </c>
      <c r="V304" s="4">
        <f>Q304*(1+0.01*growthrate!$F$3)^10</f>
        <v>214451.28756259754</v>
      </c>
      <c r="W304" s="4">
        <f>R304*(1+0.01*growthrate!$F$3)^10</f>
        <v>11134595.933240451</v>
      </c>
    </row>
    <row r="305" spans="1:23" x14ac:dyDescent="0.2">
      <c r="A305" s="2" t="s">
        <v>617</v>
      </c>
      <c r="B305" s="8" t="s">
        <v>618</v>
      </c>
      <c r="C305" s="4" t="s">
        <v>779</v>
      </c>
      <c r="D305" s="5">
        <v>5726729</v>
      </c>
      <c r="E305" s="5">
        <v>206</v>
      </c>
      <c r="F305" s="5">
        <v>5726935</v>
      </c>
      <c r="G305" s="5">
        <v>66306</v>
      </c>
      <c r="H305" s="14">
        <v>2684690</v>
      </c>
      <c r="I305" s="12">
        <f>D305*(1+0.01*growthrate!E306)^2</f>
        <v>5726729</v>
      </c>
      <c r="J305" s="4">
        <f>E305*(1+0.01*growthrate!$E$3)^2</f>
        <v>212.22634999999994</v>
      </c>
      <c r="K305" s="4">
        <f>F305*(1+0.01*growthrate!$E$3)^2</f>
        <v>5900031.6103749983</v>
      </c>
      <c r="L305" s="4">
        <f>G305*(1+0.01*growthrate!$E$3)^2</f>
        <v>68310.09884999998</v>
      </c>
      <c r="M305" s="4">
        <f>H305*(1+0.01*growthrate!$E$3)^2</f>
        <v>2765834.7552499995</v>
      </c>
      <c r="N305" s="12">
        <f>I305*(1+0.01*growthrate!$E$3)^5</f>
        <v>6169313.5462807585</v>
      </c>
      <c r="O305" s="4">
        <f>J305*(1+0.01*growthrate!$E$3)^5</f>
        <v>228.62805205776652</v>
      </c>
      <c r="P305" s="4">
        <f>K305*(1+0.01*growthrate!$E$3)^5</f>
        <v>6356009.6762691503</v>
      </c>
      <c r="Q305" s="4">
        <f>L305*(1+0.01*growthrate!$E$3)^5</f>
        <v>73589.376794865369</v>
      </c>
      <c r="R305" s="4">
        <f>M305*(1+0.01*growthrate!$E$3)^5</f>
        <v>2979589.5392182777</v>
      </c>
      <c r="S305" s="12">
        <f>N305*(1+0.01*growthrate!$F$3)^10</f>
        <v>6615025.8967474215</v>
      </c>
      <c r="T305" s="4">
        <f>O305*(1+0.01*growthrate!$F$3)^10</f>
        <v>245.14566713776432</v>
      </c>
      <c r="U305" s="4">
        <f>P305*(1+0.01*growthrate!$F$3)^10</f>
        <v>6815210.200143748</v>
      </c>
      <c r="V305" s="4">
        <f>Q305*(1+0.01*growthrate!$F$3)^10</f>
        <v>78905.964103090286</v>
      </c>
      <c r="W305" s="4">
        <f>R305*(1+0.01*growthrate!$F$3)^10</f>
        <v>3194854.9568353617</v>
      </c>
    </row>
    <row r="306" spans="1:23" x14ac:dyDescent="0.2">
      <c r="A306" s="2" t="s">
        <v>619</v>
      </c>
      <c r="B306" s="8" t="s">
        <v>620</v>
      </c>
      <c r="C306" s="4" t="s">
        <v>779</v>
      </c>
      <c r="D306" s="5">
        <v>1114183</v>
      </c>
      <c r="E306" s="5">
        <v>588</v>
      </c>
      <c r="F306" s="5">
        <v>1114771</v>
      </c>
      <c r="G306" s="5">
        <v>32479</v>
      </c>
      <c r="H306" s="14">
        <v>1627450</v>
      </c>
      <c r="I306" s="12">
        <f>D306*(1+0.01*growthrate!E307)^2</f>
        <v>1114183</v>
      </c>
      <c r="J306" s="4">
        <f>E306*(1+0.01*growthrate!$E$3)^2</f>
        <v>605.77229999999986</v>
      </c>
      <c r="K306" s="4">
        <f>F306*(1+0.01*growthrate!$E$3)^2</f>
        <v>1148464.9534749996</v>
      </c>
      <c r="L306" s="4">
        <f>G306*(1+0.01*growthrate!$E$3)^2</f>
        <v>33460.677774999989</v>
      </c>
      <c r="M306" s="4">
        <f>H306*(1+0.01*growthrate!$E$3)^2</f>
        <v>1676639.6762499996</v>
      </c>
      <c r="N306" s="12">
        <f>I306*(1+0.01*growthrate!$E$3)^5</f>
        <v>1200291.5232999038</v>
      </c>
      <c r="O306" s="4">
        <f>J306*(1+0.01*growthrate!$E$3)^5</f>
        <v>652.5888087862462</v>
      </c>
      <c r="P306" s="4">
        <f>K306*(1+0.01*growthrate!$E$3)^5</f>
        <v>1237222.9234004293</v>
      </c>
      <c r="Q306" s="4">
        <f>L306*(1+0.01*growthrate!$E$3)^5</f>
        <v>36046.652926136885</v>
      </c>
      <c r="R306" s="4">
        <f>M306*(1+0.01*growthrate!$E$3)^5</f>
        <v>1806217.1035020004</v>
      </c>
      <c r="S306" s="12">
        <f>N306*(1+0.01*growthrate!$F$3)^10</f>
        <v>1287008.587051305</v>
      </c>
      <c r="T306" s="4">
        <f>O306*(1+0.01*growthrate!$F$3)^10</f>
        <v>699.73617610196811</v>
      </c>
      <c r="U306" s="4">
        <f>P306*(1+0.01*growthrate!$F$3)^10</f>
        <v>1326608.1577710323</v>
      </c>
      <c r="V306" s="4">
        <f>Q306*(1+0.01*growthrate!$F$3)^10</f>
        <v>38650.903509550713</v>
      </c>
      <c r="W306" s="4">
        <f>R306*(1+0.01*growthrate!$F$3)^10</f>
        <v>1936710.2717638568</v>
      </c>
    </row>
    <row r="307" spans="1:23" x14ac:dyDescent="0.2">
      <c r="A307" s="2" t="s">
        <v>621</v>
      </c>
      <c r="B307" s="8" t="s">
        <v>622</v>
      </c>
      <c r="C307" s="4" t="s">
        <v>779</v>
      </c>
      <c r="D307" s="5">
        <v>3990533</v>
      </c>
      <c r="E307" s="5">
        <v>212</v>
      </c>
      <c r="F307" s="5">
        <v>3990745</v>
      </c>
      <c r="G307" s="5">
        <v>116066</v>
      </c>
      <c r="H307" s="14">
        <v>2498508</v>
      </c>
      <c r="I307" s="12">
        <f>D307*(1+0.01*growthrate!E308)^2</f>
        <v>3990533</v>
      </c>
      <c r="J307" s="4">
        <f>E307*(1+0.01*growthrate!$E$3)^2</f>
        <v>218.40769999999995</v>
      </c>
      <c r="K307" s="4">
        <f>F307*(1+0.01*growthrate!$E$3)^2</f>
        <v>4111365.2676249989</v>
      </c>
      <c r="L307" s="4">
        <f>G307*(1+0.01*growthrate!$E$3)^2</f>
        <v>119574.09484999996</v>
      </c>
      <c r="M307" s="4">
        <f>H307*(1+0.01*growthrate!$E$3)^2</f>
        <v>2574025.4042999991</v>
      </c>
      <c r="N307" s="12">
        <f>I307*(1+0.01*growthrate!$E$3)^5</f>
        <v>4298937.3678727234</v>
      </c>
      <c r="O307" s="4">
        <f>J307*(1+0.01*growthrate!$E$3)^5</f>
        <v>235.28712153517719</v>
      </c>
      <c r="P307" s="4">
        <f>K307*(1+0.01*growthrate!$E$3)^5</f>
        <v>4429108.0369382109</v>
      </c>
      <c r="Q307" s="4">
        <f>L307*(1+0.01*growthrate!$E$3)^5</f>
        <v>128815.2596608579</v>
      </c>
      <c r="R307" s="4">
        <f>M307*(1+0.01*growthrate!$E$3)^5</f>
        <v>2772956.3936443985</v>
      </c>
      <c r="S307" s="12">
        <f>N307*(1+0.01*growthrate!$F$3)^10</f>
        <v>4609521.2706634412</v>
      </c>
      <c r="T307" s="4">
        <f>O307*(1+0.01*growthrate!$F$3)^10</f>
        <v>252.28583220002929</v>
      </c>
      <c r="U307" s="4">
        <f>P307*(1+0.01*growthrate!$F$3)^10</f>
        <v>4749096.3369014431</v>
      </c>
      <c r="V307" s="4">
        <f>Q307*(1+0.01*growthrate!$F$3)^10</f>
        <v>138121.73301947452</v>
      </c>
      <c r="W307" s="4">
        <f>R307*(1+0.01*growthrate!$F$3)^10</f>
        <v>2973293.2548982585</v>
      </c>
    </row>
    <row r="308" spans="1:23" x14ac:dyDescent="0.2">
      <c r="A308" s="2" t="s">
        <v>623</v>
      </c>
      <c r="B308" s="8" t="s">
        <v>624</v>
      </c>
      <c r="C308" s="4" t="s">
        <v>779</v>
      </c>
      <c r="D308" s="5">
        <v>348860</v>
      </c>
      <c r="E308" s="5">
        <v>1519</v>
      </c>
      <c r="F308" s="5">
        <v>350379</v>
      </c>
      <c r="G308" s="5">
        <v>963413</v>
      </c>
      <c r="H308" s="14">
        <v>9586790</v>
      </c>
      <c r="I308" s="12">
        <f>D308*(1+0.01*growthrate!E309)^2</f>
        <v>348860</v>
      </c>
      <c r="J308" s="4">
        <f>E308*(1+0.01*growthrate!$E$3)^2</f>
        <v>1564.9117749999996</v>
      </c>
      <c r="K308" s="4">
        <f>F308*(1+0.01*growthrate!$E$3)^2</f>
        <v>360969.2052749999</v>
      </c>
      <c r="L308" s="4">
        <f>G308*(1+0.01*growthrate!$E$3)^2</f>
        <v>992532.15792499972</v>
      </c>
      <c r="M308" s="4">
        <f>H308*(1+0.01*growthrate!$E$3)^2</f>
        <v>9876550.7277499977</v>
      </c>
      <c r="N308" s="12">
        <f>I308*(1+0.01*growthrate!$E$3)^5</f>
        <v>375821.29759510281</v>
      </c>
      <c r="O308" s="4">
        <f>J308*(1+0.01*growthrate!$E$3)^5</f>
        <v>1685.8544226978026</v>
      </c>
      <c r="P308" s="4">
        <f>K308*(1+0.01*growthrate!$E$3)^5</f>
        <v>388866.35073761246</v>
      </c>
      <c r="Q308" s="4">
        <f>L308*(1+0.01*growthrate!$E$3)^5</f>
        <v>1069239.0170734418</v>
      </c>
      <c r="R308" s="4">
        <f>M308*(1+0.01*growthrate!$E$3)^5</f>
        <v>10639850.112557648</v>
      </c>
      <c r="S308" s="12">
        <f>N308*(1+0.01*growthrate!$F$3)^10</f>
        <v>402973.13428648462</v>
      </c>
      <c r="T308" s="4">
        <f>O308*(1+0.01*growthrate!$F$3)^10</f>
        <v>1807.6517882634175</v>
      </c>
      <c r="U308" s="4">
        <f>P308*(1+0.01*growthrate!$F$3)^10</f>
        <v>416960.64905855688</v>
      </c>
      <c r="V308" s="4">
        <f>Q308*(1+0.01*growthrate!$F$3)^10</f>
        <v>1146487.9738553152</v>
      </c>
      <c r="W308" s="4">
        <f>R308*(1+0.01*growthrate!$F$3)^10</f>
        <v>11408543.836211881</v>
      </c>
    </row>
    <row r="309" spans="1:23" x14ac:dyDescent="0.2">
      <c r="A309" s="2" t="s">
        <v>625</v>
      </c>
      <c r="B309" s="8" t="s">
        <v>626</v>
      </c>
      <c r="C309" s="4" t="s">
        <v>779</v>
      </c>
      <c r="D309" s="5">
        <v>1314593</v>
      </c>
      <c r="E309" s="5">
        <v>827</v>
      </c>
      <c r="F309" s="5">
        <v>1315420</v>
      </c>
      <c r="G309" s="5">
        <v>796560</v>
      </c>
      <c r="H309" s="14">
        <v>9788332</v>
      </c>
      <c r="I309" s="12">
        <f>D309*(1+0.01*growthrate!E310)^2</f>
        <v>1314593</v>
      </c>
      <c r="J309" s="4">
        <f>E309*(1+0.01*growthrate!$E$3)^2</f>
        <v>851.99607499999979</v>
      </c>
      <c r="K309" s="4">
        <f>F309*(1+0.01*growthrate!$E$3)^2</f>
        <v>1355178.5694999998</v>
      </c>
      <c r="L309" s="4">
        <f>G309*(1+0.01*growthrate!$E$3)^2</f>
        <v>820636.02599999984</v>
      </c>
      <c r="M309" s="4">
        <f>H309*(1+0.01*growthrate!$E$3)^2</f>
        <v>10084184.334699998</v>
      </c>
      <c r="N309" s="12">
        <f>I309*(1+0.01*growthrate!$E$3)^5</f>
        <v>1416190.0105183714</v>
      </c>
      <c r="O309" s="4">
        <f>J309*(1+0.01*growthrate!$E$3)^5</f>
        <v>917.84174296977142</v>
      </c>
      <c r="P309" s="4">
        <f>K309*(1+0.01*growthrate!$E$3)^5</f>
        <v>1459912.1953292585</v>
      </c>
      <c r="Q309" s="4">
        <f>L309*(1+0.01*growthrate!$E$3)^5</f>
        <v>884058.06382104126</v>
      </c>
      <c r="R309" s="4">
        <f>M309*(1+0.01*growthrate!$E$3)^5</f>
        <v>10863530.475993698</v>
      </c>
      <c r="S309" s="12">
        <f>N309*(1+0.01*growthrate!$F$3)^10</f>
        <v>1518505.0206990561</v>
      </c>
      <c r="T309" s="4">
        <f>O309*(1+0.01*growthrate!$F$3)^10</f>
        <v>984.15275108218975</v>
      </c>
      <c r="U309" s="4">
        <f>P309*(1+0.01*growthrate!$F$3)^10</f>
        <v>1565385.9877007667</v>
      </c>
      <c r="V309" s="4">
        <f>Q309*(1+0.01*growthrate!$F$3)^10</f>
        <v>947928.31366629875</v>
      </c>
      <c r="W309" s="4">
        <f>R309*(1+0.01*growthrate!$F$3)^10</f>
        <v>11648384.360708384</v>
      </c>
    </row>
    <row r="310" spans="1:23" x14ac:dyDescent="0.2">
      <c r="A310" s="2" t="s">
        <v>627</v>
      </c>
      <c r="B310" s="8" t="s">
        <v>628</v>
      </c>
      <c r="C310" s="4" t="s">
        <v>779</v>
      </c>
      <c r="D310" s="5">
        <v>94931</v>
      </c>
      <c r="E310" s="5">
        <v>489</v>
      </c>
      <c r="F310" s="5">
        <v>95420</v>
      </c>
      <c r="G310" s="5">
        <v>111995</v>
      </c>
      <c r="H310" s="14">
        <v>2693618</v>
      </c>
      <c r="I310" s="12">
        <f>D310*(1+0.01*growthrate!E311)^2</f>
        <v>94931</v>
      </c>
      <c r="J310" s="4">
        <f>E310*(1+0.01*growthrate!$E$3)^2</f>
        <v>503.78002499999985</v>
      </c>
      <c r="K310" s="4">
        <f>F310*(1+0.01*growthrate!$E$3)^2</f>
        <v>98304.069499999969</v>
      </c>
      <c r="L310" s="4">
        <f>G310*(1+0.01*growthrate!$E$3)^2</f>
        <v>115380.04887499996</v>
      </c>
      <c r="M310" s="4">
        <f>H310*(1+0.01*growthrate!$E$3)^2</f>
        <v>2775032.6040499993</v>
      </c>
      <c r="N310" s="12">
        <f>I310*(1+0.01*growthrate!$E$3)^5</f>
        <v>102267.64777274753</v>
      </c>
      <c r="O310" s="4">
        <f>J310*(1+0.01*growthrate!$E$3)^5</f>
        <v>542.71416240896997</v>
      </c>
      <c r="P310" s="4">
        <f>K310*(1+0.01*growthrate!$E$3)^5</f>
        <v>105901.40158908776</v>
      </c>
      <c r="Q310" s="4">
        <f>L310*(1+0.01*growthrate!$E$3)^5</f>
        <v>124297.08102043475</v>
      </c>
      <c r="R310" s="4">
        <f>M310*(1+0.01*growthrate!$E$3)^5</f>
        <v>2989498.2346006646</v>
      </c>
      <c r="S310" s="12">
        <f>N310*(1+0.01*growthrate!$F$3)^10</f>
        <v>109656.14461660915</v>
      </c>
      <c r="T310" s="4">
        <f>O310*(1+0.01*growthrate!$F$3)^10</f>
        <v>581.92345257459579</v>
      </c>
      <c r="U310" s="4">
        <f>P310*(1+0.01*growthrate!$F$3)^10</f>
        <v>113552.42504022073</v>
      </c>
      <c r="V310" s="4">
        <f>Q310*(1+0.01*growthrate!$F$3)^10</f>
        <v>133277.13102472774</v>
      </c>
      <c r="W310" s="4">
        <f>R310*(1+0.01*growthrate!$F$3)^10</f>
        <v>3205479.5224480117</v>
      </c>
    </row>
    <row r="311" spans="1:23" x14ac:dyDescent="0.2">
      <c r="A311" s="2" t="s">
        <v>629</v>
      </c>
      <c r="B311" s="8" t="s">
        <v>630</v>
      </c>
      <c r="C311" s="4" t="s">
        <v>779</v>
      </c>
      <c r="D311" s="5">
        <v>1165301</v>
      </c>
      <c r="E311" s="5">
        <v>218140</v>
      </c>
      <c r="F311" s="5">
        <v>1383441</v>
      </c>
      <c r="G311" s="5">
        <v>472306</v>
      </c>
      <c r="H311" s="14">
        <v>6370732</v>
      </c>
      <c r="I311" s="12">
        <f>D311*(1+0.01*growthrate!E312)^2</f>
        <v>1165301</v>
      </c>
      <c r="J311" s="4">
        <f>E311*(1+0.01*growthrate!$E$3)^2</f>
        <v>224733.28149999995</v>
      </c>
      <c r="K311" s="4">
        <f>F311*(1+0.01*growthrate!$E$3)^2</f>
        <v>1425255.5042249996</v>
      </c>
      <c r="L311" s="4">
        <f>G311*(1+0.01*growthrate!$E$3)^2</f>
        <v>486581.44884999987</v>
      </c>
      <c r="M311" s="4">
        <f>H311*(1+0.01*growthrate!$E$3)^2</f>
        <v>6563287.3746999986</v>
      </c>
      <c r="N311" s="12">
        <f>I311*(1+0.01*growthrate!$E$3)^5</f>
        <v>1255360.1270104651</v>
      </c>
      <c r="O311" s="4">
        <f>J311*(1+0.01*growthrate!$E$3)^5</f>
        <v>242101.56930039413</v>
      </c>
      <c r="P311" s="4">
        <f>K311*(1+0.01*growthrate!$E$3)^5</f>
        <v>1535404.9561497504</v>
      </c>
      <c r="Q311" s="4">
        <f>L311*(1+0.01*growthrate!$E$3)^5</f>
        <v>524186.41143298772</v>
      </c>
      <c r="R311" s="4">
        <f>M311*(1+0.01*growthrate!$E$3)^5</f>
        <v>7070524.501660578</v>
      </c>
      <c r="S311" s="12">
        <f>N311*(1+0.01*growthrate!$F$3)^10</f>
        <v>1346055.7139172584</v>
      </c>
      <c r="T311" s="4">
        <f>O311*(1+0.01*growthrate!$F$3)^10</f>
        <v>259592.60111374714</v>
      </c>
      <c r="U311" s="4">
        <f>P311*(1+0.01*growthrate!$F$3)^10</f>
        <v>1646332.8489841544</v>
      </c>
      <c r="V311" s="4">
        <f>Q311*(1+0.01*growthrate!$F$3)^10</f>
        <v>562057.13331635389</v>
      </c>
      <c r="W311" s="4">
        <f>R311*(1+0.01*growthrate!$F$3)^10</f>
        <v>7581346.341242251</v>
      </c>
    </row>
    <row r="312" spans="1:23" x14ac:dyDescent="0.2">
      <c r="A312" s="2" t="s">
        <v>631</v>
      </c>
      <c r="B312" s="8" t="s">
        <v>632</v>
      </c>
      <c r="C312" s="4" t="s">
        <v>779</v>
      </c>
      <c r="D312" s="5">
        <v>993323</v>
      </c>
      <c r="E312" s="5">
        <v>3246882</v>
      </c>
      <c r="F312" s="5">
        <v>4240205</v>
      </c>
      <c r="G312" s="5">
        <v>9404427</v>
      </c>
      <c r="H312" s="14">
        <v>41519470</v>
      </c>
      <c r="I312" s="12">
        <f>D312*(1+0.01*growthrate!E313)^2</f>
        <v>993323</v>
      </c>
      <c r="J312" s="4">
        <f>E312*(1+0.01*growthrate!$E$3)^2</f>
        <v>3345019.0084499991</v>
      </c>
      <c r="K312" s="4">
        <f>F312*(1+0.01*growthrate!$E$3)^2</f>
        <v>4368365.1961249989</v>
      </c>
      <c r="L312" s="4">
        <f>G312*(1+0.01*growthrate!$E$3)^2</f>
        <v>9688675.8060749974</v>
      </c>
      <c r="M312" s="4">
        <f>H312*(1+0.01*growthrate!$E$3)^2</f>
        <v>42774395.980749987</v>
      </c>
      <c r="N312" s="12">
        <f>I312*(1+0.01*growthrate!$E$3)^5</f>
        <v>1070090.9785904384</v>
      </c>
      <c r="O312" s="4">
        <f>J312*(1+0.01*growthrate!$E$3)^5</f>
        <v>3603535.4704923546</v>
      </c>
      <c r="P312" s="4">
        <f>K312*(1+0.01*growthrate!$E$3)^5</f>
        <v>4705969.948910689</v>
      </c>
      <c r="Q312" s="4">
        <f>L312*(1+0.01*growthrate!$E$3)^5</f>
        <v>10437455.464706142</v>
      </c>
      <c r="R312" s="4">
        <f>M312*(1+0.01*growthrate!$E$3)^5</f>
        <v>46080172.565878034</v>
      </c>
      <c r="S312" s="12">
        <f>N312*(1+0.01*growthrate!$F$3)^10</f>
        <v>1147401.4867535795</v>
      </c>
      <c r="T312" s="4">
        <f>O312*(1+0.01*growthrate!$F$3)^10</f>
        <v>3863878.9029495069</v>
      </c>
      <c r="U312" s="4">
        <f>P312*(1+0.01*growthrate!$F$3)^10</f>
        <v>5045960.5996402139</v>
      </c>
      <c r="V312" s="4">
        <f>Q312*(1+0.01*growthrate!$F$3)^10</f>
        <v>11191526.849336911</v>
      </c>
      <c r="W312" s="4">
        <f>R312*(1+0.01*growthrate!$F$3)^10</f>
        <v>49409311.516293161</v>
      </c>
    </row>
    <row r="313" spans="1:23" x14ac:dyDescent="0.2">
      <c r="A313" s="2" t="s">
        <v>633</v>
      </c>
      <c r="B313" s="8" t="s">
        <v>634</v>
      </c>
      <c r="C313" s="4" t="s">
        <v>779</v>
      </c>
      <c r="D313" s="5">
        <v>407812</v>
      </c>
      <c r="E313" s="5">
        <v>1576786</v>
      </c>
      <c r="F313" s="5">
        <v>1984598</v>
      </c>
      <c r="G313" s="5">
        <v>1343976</v>
      </c>
      <c r="H313" s="14">
        <v>11202287</v>
      </c>
      <c r="I313" s="12">
        <f>D313*(1+0.01*growthrate!E314)^2</f>
        <v>407812</v>
      </c>
      <c r="J313" s="4">
        <f>E313*(1+0.01*growthrate!$E$3)^2</f>
        <v>1624444.3568499996</v>
      </c>
      <c r="K313" s="4">
        <f>F313*(1+0.01*growthrate!$E$3)^2</f>
        <v>2044582.4745499995</v>
      </c>
      <c r="L313" s="4">
        <f>G313*(1+0.01*growthrate!$E$3)^2</f>
        <v>1384597.6745999996</v>
      </c>
      <c r="M313" s="4">
        <f>H313*(1+0.01*growthrate!$E$3)^2</f>
        <v>11540876.124574997</v>
      </c>
      <c r="N313" s="12">
        <f>I313*(1+0.01*growthrate!$E$3)^5</f>
        <v>439329.34419209446</v>
      </c>
      <c r="O313" s="4">
        <f>J313*(1+0.01*growthrate!$E$3)^5</f>
        <v>1749987.9208347448</v>
      </c>
      <c r="P313" s="4">
        <f>K313*(1+0.01*growthrate!$E$3)^5</f>
        <v>2202595.9944550451</v>
      </c>
      <c r="Q313" s="4">
        <f>L313*(1+0.01*growthrate!$E$3)^5</f>
        <v>1491604.9266620816</v>
      </c>
      <c r="R313" s="4">
        <f>M313*(1+0.01*growthrate!$E$3)^5</f>
        <v>12432801.239815732</v>
      </c>
      <c r="S313" s="12">
        <f>N313*(1+0.01*growthrate!$F$3)^10</f>
        <v>471069.42567115708</v>
      </c>
      <c r="T313" s="4">
        <f>O313*(1+0.01*growthrate!$F$3)^10</f>
        <v>1876418.7179780914</v>
      </c>
      <c r="U313" s="4">
        <f>P313*(1+0.01*growthrate!$F$3)^10</f>
        <v>2361726.2170401588</v>
      </c>
      <c r="V313" s="4">
        <f>Q313*(1+0.01*growthrate!$F$3)^10</f>
        <v>1599368.4132871064</v>
      </c>
      <c r="W313" s="4">
        <f>R313*(1+0.01*growthrate!$F$3)^10</f>
        <v>13331029.709144196</v>
      </c>
    </row>
    <row r="314" spans="1:23" x14ac:dyDescent="0.2">
      <c r="A314" s="2" t="s">
        <v>635</v>
      </c>
      <c r="B314" s="8" t="s">
        <v>636</v>
      </c>
      <c r="C314" s="4" t="s">
        <v>779</v>
      </c>
      <c r="D314" s="5">
        <v>127329</v>
      </c>
      <c r="E314" s="5">
        <v>873989</v>
      </c>
      <c r="F314" s="5">
        <v>1001318</v>
      </c>
      <c r="G314" s="5">
        <v>1007847</v>
      </c>
      <c r="H314" s="14">
        <v>3470972</v>
      </c>
      <c r="I314" s="12">
        <f>D314*(1+0.01*growthrate!E315)^2</f>
        <v>127329</v>
      </c>
      <c r="J314" s="4">
        <f>E314*(1+0.01*growthrate!$E$3)^2</f>
        <v>900405.31752499973</v>
      </c>
      <c r="K314" s="4">
        <f>F314*(1+0.01*growthrate!$E$3)^2</f>
        <v>1031582.8365499998</v>
      </c>
      <c r="L314" s="4">
        <f>G314*(1+0.01*growthrate!$E$3)^2</f>
        <v>1038309.1755749998</v>
      </c>
      <c r="M314" s="4">
        <f>H314*(1+0.01*growthrate!$E$3)^2</f>
        <v>3575882.1286999988</v>
      </c>
      <c r="N314" s="12">
        <f>I314*(1+0.01*growthrate!$E$3)^5</f>
        <v>137169.4949305935</v>
      </c>
      <c r="O314" s="4">
        <f>J314*(1+0.01*growthrate!$E$3)^5</f>
        <v>969992.24558211304</v>
      </c>
      <c r="P314" s="4">
        <f>K314*(1+0.01*growthrate!$E$3)^5</f>
        <v>1111307.6884969838</v>
      </c>
      <c r="Q314" s="4">
        <f>L314*(1+0.01*growthrate!$E$3)^5</f>
        <v>1118553.8659333196</v>
      </c>
      <c r="R314" s="4">
        <f>M314*(1+0.01*growthrate!$E$3)^5</f>
        <v>3852240.6170245144</v>
      </c>
      <c r="S314" s="12">
        <f>N314*(1+0.01*growthrate!$F$3)^10</f>
        <v>147079.53395506449</v>
      </c>
      <c r="T314" s="4">
        <f>O314*(1+0.01*growthrate!$F$3)^10</f>
        <v>1040070.9537673179</v>
      </c>
      <c r="U314" s="4">
        <f>P314*(1+0.01*growthrate!$F$3)^10</f>
        <v>1191595.9666361744</v>
      </c>
      <c r="V314" s="4">
        <f>Q314*(1+0.01*growthrate!$F$3)^10</f>
        <v>1199365.6562514289</v>
      </c>
      <c r="W314" s="4">
        <f>R314*(1+0.01*growthrate!$F$3)^10</f>
        <v>4130552.1677500005</v>
      </c>
    </row>
    <row r="315" spans="1:23" x14ac:dyDescent="0.2">
      <c r="A315" s="2" t="s">
        <v>637</v>
      </c>
      <c r="B315" s="8" t="s">
        <v>638</v>
      </c>
      <c r="C315" s="4" t="s">
        <v>779</v>
      </c>
      <c r="D315" s="5">
        <v>188753</v>
      </c>
      <c r="E315" s="5">
        <v>1172606</v>
      </c>
      <c r="F315" s="5">
        <v>1361359</v>
      </c>
      <c r="G315" s="5">
        <v>450171</v>
      </c>
      <c r="H315" s="14">
        <v>6921093</v>
      </c>
      <c r="I315" s="12">
        <f>D315*(1+0.01*growthrate!E316)^2</f>
        <v>188753</v>
      </c>
      <c r="J315" s="4">
        <f>E315*(1+0.01*growthrate!$E$3)^2</f>
        <v>1208048.0163499997</v>
      </c>
      <c r="K315" s="4">
        <f>F315*(1+0.01*growthrate!$E$3)^2</f>
        <v>1402506.0757749996</v>
      </c>
      <c r="L315" s="4">
        <f>G315*(1+0.01*growthrate!$E$3)^2</f>
        <v>463777.4184749999</v>
      </c>
      <c r="M315" s="4">
        <f>H315*(1+0.01*growthrate!$E$3)^2</f>
        <v>7130283.0359249981</v>
      </c>
      <c r="N315" s="12">
        <f>I315*(1+0.01*growthrate!$E$3)^5</f>
        <v>203340.58758518731</v>
      </c>
      <c r="O315" s="4">
        <f>J315*(1+0.01*growthrate!$E$3)^5</f>
        <v>1301410.8039381038</v>
      </c>
      <c r="P315" s="4">
        <f>K315*(1+0.01*growthrate!$E$3)^5</f>
        <v>1510897.3607830531</v>
      </c>
      <c r="Q315" s="4">
        <f>L315*(1+0.01*growthrate!$E$3)^5</f>
        <v>499619.99428590684</v>
      </c>
      <c r="R315" s="4">
        <f>M315*(1+0.01*growthrate!$E$3)^5</f>
        <v>7681339.8577701142</v>
      </c>
      <c r="S315" s="12">
        <f>N315*(1+0.01*growthrate!$F$3)^10</f>
        <v>218031.26760298354</v>
      </c>
      <c r="T315" s="4">
        <f>O315*(1+0.01*growthrate!$F$3)^10</f>
        <v>1395433.3988337151</v>
      </c>
      <c r="U315" s="4">
        <f>P315*(1+0.01*growthrate!$F$3)^10</f>
        <v>1620054.6614999983</v>
      </c>
      <c r="V315" s="4">
        <f>Q315*(1+0.01*growthrate!$F$3)^10</f>
        <v>535715.87437414809</v>
      </c>
      <c r="W315" s="4">
        <f>R315*(1+0.01*growthrate!$F$3)^10</f>
        <v>8236291.0718811201</v>
      </c>
    </row>
    <row r="316" spans="1:23" x14ac:dyDescent="0.2">
      <c r="A316" s="2" t="s">
        <v>639</v>
      </c>
      <c r="B316" s="8" t="s">
        <v>640</v>
      </c>
      <c r="C316" s="4" t="s">
        <v>779</v>
      </c>
      <c r="D316" s="5">
        <v>3089970</v>
      </c>
      <c r="E316" s="5">
        <v>7924731</v>
      </c>
      <c r="F316" s="5">
        <v>11014701</v>
      </c>
      <c r="G316" s="5">
        <v>244437</v>
      </c>
      <c r="H316" s="14">
        <v>9959221</v>
      </c>
      <c r="I316" s="12">
        <f>D316*(1+0.01*growthrate!E317)^2</f>
        <v>3089970</v>
      </c>
      <c r="J316" s="4">
        <f>E316*(1+0.01*growthrate!$E$3)^2</f>
        <v>8164255.9944749977</v>
      </c>
      <c r="K316" s="4">
        <f>F316*(1+0.01*growthrate!$E$3)^2</f>
        <v>11347620.337724997</v>
      </c>
      <c r="L316" s="4">
        <f>G316*(1+0.01*growthrate!$E$3)^2</f>
        <v>251825.10832499992</v>
      </c>
      <c r="M316" s="4">
        <f>H316*(1+0.01*growthrate!$E$3)^2</f>
        <v>10260238.454724997</v>
      </c>
      <c r="N316" s="12">
        <f>I316*(1+0.01*growthrate!$E$3)^5</f>
        <v>3328775.2534826002</v>
      </c>
      <c r="O316" s="4">
        <f>J316*(1+0.01*growthrate!$E$3)^5</f>
        <v>8795222.3864650298</v>
      </c>
      <c r="P316" s="4">
        <f>K316*(1+0.01*growthrate!$E$3)^5</f>
        <v>12224609.871984141</v>
      </c>
      <c r="Q316" s="4">
        <f>L316*(1+0.01*growthrate!$E$3)^5</f>
        <v>271287.16097497218</v>
      </c>
      <c r="R316" s="4">
        <f>M316*(1+0.01*growthrate!$E$3)^5</f>
        <v>11053190.763314571</v>
      </c>
      <c r="S316" s="12">
        <f>N316*(1+0.01*growthrate!$F$3)^10</f>
        <v>3569268.1756326575</v>
      </c>
      <c r="T316" s="4">
        <f>O316*(1+0.01*growthrate!$F$3)^10</f>
        <v>9430647.9023413695</v>
      </c>
      <c r="U316" s="4">
        <f>P316*(1+0.01*growthrate!$F$3)^10</f>
        <v>13107797.208582524</v>
      </c>
      <c r="V316" s="4">
        <f>Q316*(1+0.01*growthrate!$F$3)^10</f>
        <v>290886.75455414411</v>
      </c>
      <c r="W316" s="4">
        <f>R316*(1+0.01*growthrate!$F$3)^10</f>
        <v>11851746.971929284</v>
      </c>
    </row>
    <row r="317" spans="1:23" x14ac:dyDescent="0.2">
      <c r="A317" s="2" t="s">
        <v>641</v>
      </c>
      <c r="B317" s="8" t="s">
        <v>642</v>
      </c>
      <c r="C317" s="4" t="s">
        <v>779</v>
      </c>
      <c r="D317" s="5">
        <v>234281</v>
      </c>
      <c r="E317" s="5">
        <v>9378</v>
      </c>
      <c r="F317" s="5">
        <v>243659</v>
      </c>
      <c r="G317" s="5">
        <v>799392</v>
      </c>
      <c r="H317" s="14">
        <v>7411074</v>
      </c>
      <c r="I317" s="12">
        <f>D317*(1+0.01*growthrate!E318)^2</f>
        <v>234281</v>
      </c>
      <c r="J317" s="4">
        <f>E317*(1+0.01*growthrate!$E$3)^2</f>
        <v>9661.4500499999976</v>
      </c>
      <c r="K317" s="4">
        <f>F317*(1+0.01*growthrate!$E$3)^2</f>
        <v>251023.59327499993</v>
      </c>
      <c r="L317" s="4">
        <f>G317*(1+0.01*growthrate!$E$3)^2</f>
        <v>823553.6231999998</v>
      </c>
      <c r="M317" s="4">
        <f>H317*(1+0.01*growthrate!$E$3)^2</f>
        <v>7635073.7116499981</v>
      </c>
      <c r="N317" s="12">
        <f>I317*(1+0.01*growthrate!$E$3)^5</f>
        <v>252387.1737140351</v>
      </c>
      <c r="O317" s="4">
        <f>J317*(1+0.01*growthrate!$E$3)^5</f>
        <v>10408.125593192886</v>
      </c>
      <c r="P317" s="4">
        <f>K317*(1+0.01*growthrate!$E$3)^5</f>
        <v>270423.70163273462</v>
      </c>
      <c r="Q317" s="4">
        <f>L317*(1+0.01*growthrate!$E$3)^5</f>
        <v>887201.14461437915</v>
      </c>
      <c r="R317" s="4">
        <f>M317*(1+0.01*growthrate!$E$3)^5</f>
        <v>8225142.7780386405</v>
      </c>
      <c r="S317" s="12">
        <f>N317*(1+0.01*growthrate!$F$3)^10</f>
        <v>270621.30617947574</v>
      </c>
      <c r="T317" s="4">
        <f>O317*(1+0.01*growthrate!$F$3)^10</f>
        <v>11160.077992320164</v>
      </c>
      <c r="U317" s="4">
        <f>P317*(1+0.01*growthrate!$F$3)^10</f>
        <v>289960.91315107048</v>
      </c>
      <c r="V317" s="4">
        <f>Q317*(1+0.01*growthrate!$F$3)^10</f>
        <v>951298.47157568787</v>
      </c>
      <c r="W317" s="4">
        <f>R317*(1+0.01*growthrate!$F$3)^10</f>
        <v>8819381.9414433967</v>
      </c>
    </row>
    <row r="318" spans="1:23" x14ac:dyDescent="0.2">
      <c r="A318" s="2" t="s">
        <v>643</v>
      </c>
      <c r="B318" s="8" t="s">
        <v>644</v>
      </c>
      <c r="C318" s="4" t="s">
        <v>779</v>
      </c>
      <c r="D318" s="5">
        <v>448632</v>
      </c>
      <c r="E318" s="5">
        <v>36518</v>
      </c>
      <c r="F318" s="5">
        <v>485150</v>
      </c>
      <c r="G318" s="5">
        <v>1407887</v>
      </c>
      <c r="H318" s="14">
        <v>13691031</v>
      </c>
      <c r="I318" s="12">
        <f>D318*(1+0.01*growthrate!E319)^2</f>
        <v>448632</v>
      </c>
      <c r="J318" s="4">
        <f>E318*(1+0.01*growthrate!$E$3)^2</f>
        <v>37621.756549999991</v>
      </c>
      <c r="K318" s="4">
        <f>F318*(1+0.01*growthrate!$E$3)^2</f>
        <v>499813.65874999989</v>
      </c>
      <c r="L318" s="4">
        <f>G318*(1+0.01*growthrate!$E$3)^2</f>
        <v>1450440.3845749996</v>
      </c>
      <c r="M318" s="4">
        <f>H318*(1+0.01*growthrate!$E$3)^2</f>
        <v>14104842.411974996</v>
      </c>
      <c r="N318" s="12">
        <f>I318*(1+0.01*growthrate!$E$3)^5</f>
        <v>483304.0772306546</v>
      </c>
      <c r="O318" s="4">
        <f>J318*(1+0.01*growthrate!$E$3)^5</f>
        <v>40529.316529347176</v>
      </c>
      <c r="P318" s="4">
        <f>K318*(1+0.01*growthrate!$E$3)^5</f>
        <v>538441.25949429825</v>
      </c>
      <c r="Q318" s="4">
        <f>L318*(1+0.01*growthrate!$E$3)^5</f>
        <v>1562536.2248905471</v>
      </c>
      <c r="R318" s="4">
        <f>M318*(1+0.01*growthrate!$E$3)^5</f>
        <v>15194921.10773056</v>
      </c>
      <c r="S318" s="12">
        <f>N318*(1+0.01*growthrate!$F$3)^10</f>
        <v>518221.18666861823</v>
      </c>
      <c r="T318" s="4">
        <f>O318*(1+0.01*growthrate!$F$3)^10</f>
        <v>43457.424623965424</v>
      </c>
      <c r="U318" s="4">
        <f>P318*(1+0.01*growthrate!$F$3)^10</f>
        <v>577341.84665964264</v>
      </c>
      <c r="V318" s="4">
        <f>Q318*(1+0.01*growthrate!$F$3)^10</f>
        <v>1675424.2615028427</v>
      </c>
      <c r="W318" s="4">
        <f>R318*(1+0.01*growthrate!$F$3)^10</f>
        <v>16292703.53543113</v>
      </c>
    </row>
    <row r="319" spans="1:23" x14ac:dyDescent="0.2">
      <c r="A319" s="2" t="s">
        <v>645</v>
      </c>
      <c r="B319" s="8" t="s">
        <v>646</v>
      </c>
      <c r="C319" s="4" t="s">
        <v>779</v>
      </c>
      <c r="D319" s="5">
        <v>2560</v>
      </c>
      <c r="E319" s="5">
        <v>1401</v>
      </c>
      <c r="F319" s="5">
        <v>3961</v>
      </c>
      <c r="G319" s="5">
        <v>132344</v>
      </c>
      <c r="H319" s="14">
        <v>955883</v>
      </c>
      <c r="I319" s="12">
        <f>D319*(1+0.01*growthrate!E320)^2</f>
        <v>2560</v>
      </c>
      <c r="J319" s="4">
        <f>E319*(1+0.01*growthrate!$E$3)^2</f>
        <v>1443.3452249999996</v>
      </c>
      <c r="K319" s="4">
        <f>F319*(1+0.01*growthrate!$E$3)^2</f>
        <v>4080.7212249999989</v>
      </c>
      <c r="L319" s="4">
        <f>G319*(1+0.01*growthrate!$E$3)^2</f>
        <v>136344.09739999997</v>
      </c>
      <c r="M319" s="4">
        <f>H319*(1+0.01*growthrate!$E$3)^2</f>
        <v>984774.56367499975</v>
      </c>
      <c r="N319" s="12">
        <f>I319*(1+0.01*growthrate!$E$3)^5</f>
        <v>2757.8470499439982</v>
      </c>
      <c r="O319" s="4">
        <f>J319*(1+0.01*growthrate!$E$3)^5</f>
        <v>1554.8927229753926</v>
      </c>
      <c r="P319" s="4">
        <f>K319*(1+0.01*growthrate!$E$3)^5</f>
        <v>4396.0957000039471</v>
      </c>
      <c r="Q319" s="4">
        <f>L319*(1+0.01*growthrate!$E$3)^5</f>
        <v>146881.31515307308</v>
      </c>
      <c r="R319" s="4">
        <f>M319*(1+0.01*growthrate!$E$3)^5</f>
        <v>1060881.8848792915</v>
      </c>
      <c r="S319" s="12">
        <f>N319*(1+0.01*growthrate!$F$3)^10</f>
        <v>2957.0923114527336</v>
      </c>
      <c r="T319" s="4">
        <f>O319*(1+0.01*growthrate!$F$3)^10</f>
        <v>1667.2285420388728</v>
      </c>
      <c r="U319" s="4">
        <f>P319*(1+0.01*growthrate!$F$3)^10</f>
        <v>4713.6989686052639</v>
      </c>
      <c r="V319" s="4">
        <f>Q319*(1+0.01*growthrate!$F$3)^10</f>
        <v>157493.00083339945</v>
      </c>
      <c r="W319" s="4">
        <f>R319*(1+0.01*growthrate!$F$3)^10</f>
        <v>1137527.0667021729</v>
      </c>
    </row>
    <row r="320" spans="1:23" x14ac:dyDescent="0.2">
      <c r="A320" s="2" t="s">
        <v>647</v>
      </c>
      <c r="B320" s="8" t="s">
        <v>648</v>
      </c>
      <c r="C320" s="4" t="s">
        <v>779</v>
      </c>
      <c r="D320" s="5">
        <v>5192</v>
      </c>
      <c r="E320" s="5">
        <v>11</v>
      </c>
      <c r="F320" s="5">
        <v>5203</v>
      </c>
      <c r="G320" s="5">
        <v>232525</v>
      </c>
      <c r="H320" s="14">
        <v>3146363</v>
      </c>
      <c r="I320" s="12">
        <f>D320*(1+0.01*growthrate!E321)^2</f>
        <v>5192</v>
      </c>
      <c r="J320" s="4">
        <f>E320*(1+0.01*growthrate!$E$3)^2</f>
        <v>11.332474999999997</v>
      </c>
      <c r="K320" s="4">
        <f>F320*(1+0.01*growthrate!$E$3)^2</f>
        <v>5360.2606749999986</v>
      </c>
      <c r="L320" s="4">
        <f>G320*(1+0.01*growthrate!$E$3)^2</f>
        <v>239553.06812499993</v>
      </c>
      <c r="M320" s="4">
        <f>H320*(1+0.01*growthrate!$E$3)^2</f>
        <v>3241461.8216749993</v>
      </c>
      <c r="N320" s="12">
        <f>I320*(1+0.01*growthrate!$E$3)^5</f>
        <v>5593.2585481676715</v>
      </c>
      <c r="O320" s="4">
        <f>J320*(1+0.01*growthrate!$E$3)^5</f>
        <v>12.20829404191957</v>
      </c>
      <c r="P320" s="4">
        <f>K320*(1+0.01*growthrate!$E$3)^5</f>
        <v>5774.523081827957</v>
      </c>
      <c r="Q320" s="4">
        <f>L320*(1+0.01*growthrate!$E$3)^5</f>
        <v>258066.68837248621</v>
      </c>
      <c r="R320" s="4">
        <f>M320*(1+0.01*growthrate!$E$3)^5</f>
        <v>3491974.9696923811</v>
      </c>
      <c r="S320" s="12">
        <f>N320*(1+0.01*growthrate!$F$3)^10</f>
        <v>5997.3528441650751</v>
      </c>
      <c r="T320" s="4">
        <f>O320*(1+0.01*growthrate!$F$3)^10</f>
        <v>13.090302614152463</v>
      </c>
      <c r="U320" s="4">
        <f>P320*(1+0.01*growthrate!$F$3)^10</f>
        <v>6191.7131364941151</v>
      </c>
      <c r="V320" s="4">
        <f>Q320*(1+0.01*growthrate!$F$3)^10</f>
        <v>276711.14685052744</v>
      </c>
      <c r="W320" s="4">
        <f>R320*(1+0.01*growthrate!$F$3)^10</f>
        <v>3744258.5276338719</v>
      </c>
    </row>
    <row r="321" spans="1:23" x14ac:dyDescent="0.2">
      <c r="A321" s="2" t="s">
        <v>649</v>
      </c>
      <c r="B321" s="8" t="s">
        <v>650</v>
      </c>
      <c r="C321" s="4" t="s">
        <v>779</v>
      </c>
      <c r="D321" s="5">
        <v>795701</v>
      </c>
      <c r="E321" s="5">
        <v>1129</v>
      </c>
      <c r="F321" s="5">
        <v>796830</v>
      </c>
      <c r="G321" s="5">
        <v>627333</v>
      </c>
      <c r="H321" s="14">
        <v>1930680</v>
      </c>
      <c r="I321" s="12">
        <f>D321*(1+0.01*growthrate!E322)^2</f>
        <v>795701</v>
      </c>
      <c r="J321" s="4">
        <f>E321*(1+0.01*growthrate!$E$3)^2</f>
        <v>1163.1240249999996</v>
      </c>
      <c r="K321" s="4">
        <f>F321*(1+0.01*growthrate!$E$3)^2</f>
        <v>820914.18674999976</v>
      </c>
      <c r="L321" s="4">
        <f>G321*(1+0.01*growthrate!$E$3)^2</f>
        <v>646294.13992499979</v>
      </c>
      <c r="M321" s="4">
        <f>H321*(1+0.01*growthrate!$E$3)^2</f>
        <v>1989034.8029999994</v>
      </c>
      <c r="N321" s="12">
        <f>I321*(1+0.01*growthrate!$E$3)^5</f>
        <v>857195.95917480055</v>
      </c>
      <c r="O321" s="4">
        <f>J321*(1+0.01*growthrate!$E$3)^5</f>
        <v>1253.0149066661086</v>
      </c>
      <c r="P321" s="4">
        <f>K321*(1+0.01*growthrate!$E$3)^5</f>
        <v>884357.7219475247</v>
      </c>
      <c r="Q321" s="4">
        <f>L321*(1+0.01*growthrate!$E$3)^5</f>
        <v>696242.33874541183</v>
      </c>
      <c r="R321" s="4">
        <f>M321*(1+0.01*growthrate!$E$3)^5</f>
        <v>2142755.3764412068</v>
      </c>
      <c r="S321" s="12">
        <f>N321*(1+0.01*growthrate!$F$3)^10</f>
        <v>919125.5114512702</v>
      </c>
      <c r="T321" s="4">
        <f>O321*(1+0.01*growthrate!$F$3)^10</f>
        <v>1343.5410592161936</v>
      </c>
      <c r="U321" s="4">
        <f>P321*(1+0.01*growthrate!$F$3)^10</f>
        <v>948249.62109410064</v>
      </c>
      <c r="V321" s="4">
        <f>Q321*(1+0.01*growthrate!$F$3)^10</f>
        <v>746543.52816764615</v>
      </c>
      <c r="W321" s="4">
        <f>R321*(1+0.01*growthrate!$F$3)^10</f>
        <v>2297562.3137356248</v>
      </c>
    </row>
    <row r="322" spans="1:23" x14ac:dyDescent="0.2">
      <c r="A322" s="2" t="s">
        <v>651</v>
      </c>
      <c r="B322" s="8" t="s">
        <v>652</v>
      </c>
      <c r="C322" s="4" t="s">
        <v>779</v>
      </c>
      <c r="D322" s="5">
        <v>9185</v>
      </c>
      <c r="E322" s="5">
        <v>7001</v>
      </c>
      <c r="F322" s="5">
        <v>16186</v>
      </c>
      <c r="G322" s="5">
        <v>1209070</v>
      </c>
      <c r="H322" s="14">
        <v>2400896</v>
      </c>
      <c r="I322" s="12">
        <f>D322*(1+0.01*growthrate!E323)^2</f>
        <v>9185</v>
      </c>
      <c r="J322" s="4">
        <f>E322*(1+0.01*growthrate!$E$3)^2</f>
        <v>7212.6052249999984</v>
      </c>
      <c r="K322" s="4">
        <f>F322*(1+0.01*growthrate!$E$3)^2</f>
        <v>16675.221849999994</v>
      </c>
      <c r="L322" s="4">
        <f>G322*(1+0.01*growthrate!$E$3)^2</f>
        <v>1245614.1407499996</v>
      </c>
      <c r="M322" s="4">
        <f>H322*(1+0.01*growthrate!$E$3)^2</f>
        <v>2473463.0815999992</v>
      </c>
      <c r="N322" s="12">
        <f>I322*(1+0.01*growthrate!$E$3)^5</f>
        <v>9894.8535756779784</v>
      </c>
      <c r="O322" s="4">
        <f>J322*(1+0.01*growthrate!$E$3)^5</f>
        <v>7770.0242352253563</v>
      </c>
      <c r="P322" s="4">
        <f>K322*(1+0.01*growthrate!$E$3)^5</f>
        <v>17963.949760228195</v>
      </c>
      <c r="Q322" s="4">
        <f>L322*(1+0.01*growthrate!$E$3)^5</f>
        <v>1341880.1888421541</v>
      </c>
      <c r="R322" s="4">
        <f>M322*(1+0.01*growthrate!$E$3)^5</f>
        <v>2664622.2120062299</v>
      </c>
      <c r="S322" s="12">
        <f>N322*(1+0.01*growthrate!$F$3)^10</f>
        <v>10609.723781520843</v>
      </c>
      <c r="T322" s="4">
        <f>O322*(1+0.01*growthrate!$F$3)^10</f>
        <v>8331.3826001528541</v>
      </c>
      <c r="U322" s="4">
        <f>P322*(1+0.01*growthrate!$F$3)^10</f>
        <v>19261.785282970159</v>
      </c>
      <c r="V322" s="4">
        <f>Q322*(1+0.01*growthrate!$F$3)^10</f>
        <v>1438826.5619721198</v>
      </c>
      <c r="W322" s="4">
        <f>R322*(1+0.01*growthrate!$F$3)^10</f>
        <v>2857132.2895552902</v>
      </c>
    </row>
    <row r="323" spans="1:23" x14ac:dyDescent="0.2">
      <c r="A323" s="2" t="s">
        <v>653</v>
      </c>
      <c r="B323" s="8" t="s">
        <v>654</v>
      </c>
      <c r="C323" s="4" t="s">
        <v>779</v>
      </c>
      <c r="D323" s="5">
        <v>5390882</v>
      </c>
      <c r="E323" s="5">
        <v>150960</v>
      </c>
      <c r="F323" s="5">
        <v>5541842</v>
      </c>
      <c r="G323" s="5">
        <v>4255664</v>
      </c>
      <c r="H323" s="14">
        <v>14002183</v>
      </c>
      <c r="I323" s="12">
        <f>D323*(1+0.01*growthrate!E324)^2</f>
        <v>5390882</v>
      </c>
      <c r="J323" s="4">
        <f>E323*(1+0.01*growthrate!$E$3)^2</f>
        <v>155522.76599999995</v>
      </c>
      <c r="K323" s="4">
        <f>F323*(1+0.01*growthrate!$E$3)^2</f>
        <v>5709344.1744499989</v>
      </c>
      <c r="L323" s="4">
        <f>G323*(1+0.01*growthrate!$E$3)^2</f>
        <v>4384291.4443999985</v>
      </c>
      <c r="M323" s="4">
        <f>H323*(1+0.01*growthrate!$E$3)^2</f>
        <v>14425398.981174996</v>
      </c>
      <c r="N323" s="12">
        <f>I323*(1+0.01*growthrate!$E$3)^5</f>
        <v>5807510.9454282038</v>
      </c>
      <c r="O323" s="4">
        <f>J323*(1+0.01*growthrate!$E$3)^5</f>
        <v>167542.18805165257</v>
      </c>
      <c r="P323" s="4">
        <f>K323*(1+0.01*growthrate!$E$3)^5</f>
        <v>6150585.1518054223</v>
      </c>
      <c r="Q323" s="4">
        <f>L323*(1+0.01*growthrate!$E$3)^5</f>
        <v>4723127.0414192369</v>
      </c>
      <c r="R323" s="4">
        <f>M323*(1+0.01*growthrate!$E$3)^5</f>
        <v>15540251.572069773</v>
      </c>
      <c r="S323" s="12">
        <f>N323*(1+0.01*growthrate!$F$3)^10</f>
        <v>6227084.2633394282</v>
      </c>
      <c r="T323" s="4">
        <f>O323*(1+0.01*growthrate!$F$3)^10</f>
        <v>179646.55296658687</v>
      </c>
      <c r="U323" s="4">
        <f>P323*(1+0.01*growthrate!$F$3)^10</f>
        <v>6594944.4381654477</v>
      </c>
      <c r="V323" s="4">
        <f>Q323*(1+0.01*growthrate!$F$3)^10</f>
        <v>5064357.2349231383</v>
      </c>
      <c r="W323" s="4">
        <f>R323*(1+0.01*growthrate!$F$3)^10</f>
        <v>16662982.975340107</v>
      </c>
    </row>
    <row r="324" spans="1:23" x14ac:dyDescent="0.2">
      <c r="A324" s="2" t="s">
        <v>655</v>
      </c>
      <c r="B324" s="8" t="s">
        <v>656</v>
      </c>
      <c r="C324" s="4" t="s">
        <v>779</v>
      </c>
      <c r="D324" s="5">
        <v>297143</v>
      </c>
      <c r="E324" s="5">
        <v>2583019</v>
      </c>
      <c r="F324" s="5">
        <v>2880162</v>
      </c>
      <c r="G324" s="5">
        <v>1025993</v>
      </c>
      <c r="H324" s="14">
        <v>12785539</v>
      </c>
      <c r="I324" s="12">
        <f>D324*(1+0.01*growthrate!E325)^2</f>
        <v>297143</v>
      </c>
      <c r="J324" s="4">
        <f>E324*(1+0.01*growthrate!$E$3)^2</f>
        <v>2661090.7492749994</v>
      </c>
      <c r="K324" s="4">
        <f>F324*(1+0.01*growthrate!$E$3)^2</f>
        <v>2967214.8964499994</v>
      </c>
      <c r="L324" s="4">
        <f>G324*(1+0.01*growthrate!$E$3)^2</f>
        <v>1057003.6384249998</v>
      </c>
      <c r="M324" s="4">
        <f>H324*(1+0.01*growthrate!$E$3)^2</f>
        <v>13171981.916274996</v>
      </c>
      <c r="N324" s="12">
        <f>I324*(1+0.01*growthrate!$E$3)^5</f>
        <v>320107.40076621465</v>
      </c>
      <c r="O324" s="4">
        <f>J324*(1+0.01*growthrate!$E$3)^5</f>
        <v>2866750.4970786409</v>
      </c>
      <c r="P324" s="4">
        <f>K324*(1+0.01*growthrate!$E$3)^5</f>
        <v>3196533.1440330143</v>
      </c>
      <c r="Q324" s="4">
        <f>L324*(1+0.01*growthrate!$E$3)^5</f>
        <v>1138693.1117228351</v>
      </c>
      <c r="R324" s="4">
        <f>M324*(1+0.01*growthrate!$E$3)^5</f>
        <v>14189965.4178573</v>
      </c>
      <c r="S324" s="12">
        <f>N324*(1+0.01*growthrate!$F$3)^10</f>
        <v>343234.09402421862</v>
      </c>
      <c r="T324" s="4">
        <f>O324*(1+0.01*growthrate!$F$3)^10</f>
        <v>3073863.6698277709</v>
      </c>
      <c r="U324" s="4">
        <f>P324*(1+0.01*growthrate!$F$3)^10</f>
        <v>3427472.0143438717</v>
      </c>
      <c r="V324" s="4">
        <f>Q324*(1+0.01*growthrate!$F$3)^10</f>
        <v>1220959.895454739</v>
      </c>
      <c r="W324" s="4">
        <f>R324*(1+0.01*growthrate!$F$3)^10</f>
        <v>15215143.145004388</v>
      </c>
    </row>
    <row r="325" spans="1:23" x14ac:dyDescent="0.2">
      <c r="A325" s="2" t="s">
        <v>657</v>
      </c>
      <c r="B325" s="8" t="s">
        <v>658</v>
      </c>
      <c r="C325" s="4" t="s">
        <v>779</v>
      </c>
      <c r="D325" s="5">
        <v>2526802</v>
      </c>
      <c r="E325" s="5">
        <v>2343456</v>
      </c>
      <c r="F325" s="5">
        <v>4870258</v>
      </c>
      <c r="G325" s="5">
        <v>3570040</v>
      </c>
      <c r="H325" s="14">
        <v>33614917</v>
      </c>
      <c r="I325" s="12">
        <f>D325*(1+0.01*growthrate!E326)^2</f>
        <v>2526802</v>
      </c>
      <c r="J325" s="4">
        <f>E325*(1+0.01*growthrate!$E$3)^2</f>
        <v>2414286.9575999994</v>
      </c>
      <c r="K325" s="4">
        <f>F325*(1+0.01*growthrate!$E$3)^2</f>
        <v>5017461.5480499985</v>
      </c>
      <c r="L325" s="4">
        <f>G325*(1+0.01*growthrate!$E$3)^2</f>
        <v>3677944.4589999989</v>
      </c>
      <c r="M325" s="4">
        <f>H325*(1+0.01*growthrate!$E$3)^2</f>
        <v>34630927.866324991</v>
      </c>
      <c r="N325" s="12">
        <f>I325*(1+0.01*growthrate!$E$3)^5</f>
        <v>2722083.3755830447</v>
      </c>
      <c r="O325" s="4">
        <f>J325*(1+0.01*growthrate!$E$3)^5</f>
        <v>2600872.720209152</v>
      </c>
      <c r="P325" s="4">
        <f>K325*(1+0.01*growthrate!$E$3)^5</f>
        <v>5405231.0658191936</v>
      </c>
      <c r="Q325" s="4">
        <f>L325*(1+0.01*growthrate!$E$3)^5</f>
        <v>3962190.7328558676</v>
      </c>
      <c r="R325" s="4">
        <f>M325*(1+0.01*growthrate!$E$3)^5</f>
        <v>37307344.630065538</v>
      </c>
      <c r="S325" s="12">
        <f>N325*(1+0.01*growthrate!$F$3)^10</f>
        <v>2918744.8307669493</v>
      </c>
      <c r="T325" s="4">
        <f>O325*(1+0.01*growthrate!$F$3)^10</f>
        <v>2788777.1093592071</v>
      </c>
      <c r="U325" s="4">
        <f>P325*(1+0.01*growthrate!$F$3)^10</f>
        <v>5795741.0026360862</v>
      </c>
      <c r="V325" s="4">
        <f>Q325*(1+0.01*growthrate!$F$3)^10</f>
        <v>4248445.8131480776</v>
      </c>
      <c r="W325" s="4">
        <f>R325*(1+0.01*growthrate!$F$3)^10</f>
        <v>40002675.989056192</v>
      </c>
    </row>
    <row r="326" spans="1:23" x14ac:dyDescent="0.2">
      <c r="A326" s="2" t="s">
        <v>659</v>
      </c>
      <c r="B326" s="8" t="s">
        <v>660</v>
      </c>
      <c r="C326" s="4" t="s">
        <v>779</v>
      </c>
      <c r="D326" s="5">
        <v>6006881</v>
      </c>
      <c r="E326" s="5">
        <v>1188</v>
      </c>
      <c r="F326" s="5">
        <v>6008069</v>
      </c>
      <c r="G326" s="5">
        <v>2833591</v>
      </c>
      <c r="H326" s="14">
        <v>12617067</v>
      </c>
      <c r="I326" s="12">
        <f>D326*(1+0.01*growthrate!E327)^2</f>
        <v>6006881</v>
      </c>
      <c r="J326" s="4">
        <f>E326*(1+0.01*growthrate!$E$3)^2</f>
        <v>1223.9072999999996</v>
      </c>
      <c r="K326" s="4">
        <f>F326*(1+0.01*growthrate!$E$3)^2</f>
        <v>6189662.8855249984</v>
      </c>
      <c r="L326" s="4">
        <f>G326*(1+0.01*growthrate!$E$3)^2</f>
        <v>2919236.2879749993</v>
      </c>
      <c r="M326" s="4">
        <f>H326*(1+0.01*growthrate!$E$3)^2</f>
        <v>12998417.850074997</v>
      </c>
      <c r="N326" s="12">
        <f>I326*(1+0.01*growthrate!$E$3)^5</f>
        <v>6471116.8145369738</v>
      </c>
      <c r="O326" s="4">
        <f>J326*(1+0.01*growthrate!$E$3)^5</f>
        <v>1318.4957565273137</v>
      </c>
      <c r="P326" s="4">
        <f>K326*(1+0.01*growthrate!$E$3)^5</f>
        <v>6668024.8160128798</v>
      </c>
      <c r="Q326" s="4">
        <f>L326*(1+0.01*growthrate!$E$3)^5</f>
        <v>3144846.5565942656</v>
      </c>
      <c r="R326" s="4">
        <f>M326*(1+0.01*growthrate!$E$3)^5</f>
        <v>14002987.625690913</v>
      </c>
      <c r="S326" s="12">
        <f>N326*(1+0.01*growthrate!$F$3)^10</f>
        <v>6938633.4456685567</v>
      </c>
      <c r="T326" s="4">
        <f>O326*(1+0.01*growthrate!$F$3)^10</f>
        <v>1413.7526823284661</v>
      </c>
      <c r="U326" s="4">
        <f>P326*(1+0.01*growthrate!$F$3)^10</f>
        <v>7149767.3942462159</v>
      </c>
      <c r="V326" s="4">
        <f>Q326*(1+0.01*growthrate!$F$3)^10</f>
        <v>3372051.2431580815</v>
      </c>
      <c r="W326" s="4">
        <f>R326*(1+0.01*growthrate!$F$3)^10</f>
        <v>15014656.830276072</v>
      </c>
    </row>
    <row r="327" spans="1:23" x14ac:dyDescent="0.2">
      <c r="A327" s="2" t="s">
        <v>661</v>
      </c>
      <c r="B327" s="8" t="s">
        <v>662</v>
      </c>
      <c r="C327" s="4" t="s">
        <v>779</v>
      </c>
      <c r="D327" s="5">
        <v>182875</v>
      </c>
      <c r="E327" s="5">
        <v>642254</v>
      </c>
      <c r="F327" s="5">
        <v>825129</v>
      </c>
      <c r="G327" s="5">
        <v>2299044</v>
      </c>
      <c r="H327" s="14">
        <v>3626302</v>
      </c>
      <c r="I327" s="12">
        <f>D327*(1+0.01*growthrate!E328)^2</f>
        <v>182875</v>
      </c>
      <c r="J327" s="4">
        <f>E327*(1+0.01*growthrate!$E$3)^2</f>
        <v>661666.12714999984</v>
      </c>
      <c r="K327" s="4">
        <f>F327*(1+0.01*growthrate!$E$3)^2</f>
        <v>850068.52402499982</v>
      </c>
      <c r="L327" s="4">
        <f>G327*(1+0.01*growthrate!$E$3)^2</f>
        <v>2368532.6048999992</v>
      </c>
      <c r="M327" s="4">
        <f>H327*(1+0.01*growthrate!$E$3)^2</f>
        <v>3735906.9779499988</v>
      </c>
      <c r="N327" s="12">
        <f>I327*(1+0.01*growthrate!$E$3)^5</f>
        <v>197008.31221035495</v>
      </c>
      <c r="O327" s="4">
        <f>J327*(1+0.01*growthrate!$E$3)^5</f>
        <v>712802.33469081926</v>
      </c>
      <c r="P327" s="4">
        <f>K327*(1+0.01*growthrate!$E$3)^5</f>
        <v>915765.22313773225</v>
      </c>
      <c r="Q327" s="4">
        <f>L327*(1+0.01*growthrate!$E$3)^5</f>
        <v>2551582.287937358</v>
      </c>
      <c r="R327" s="4">
        <f>M327*(1+0.01*growthrate!$E$3)^5</f>
        <v>4024632.8273455477</v>
      </c>
      <c r="S327" s="12">
        <f>N327*(1+0.01*growthrate!$F$3)^10</f>
        <v>211241.50642848384</v>
      </c>
      <c r="T327" s="4">
        <f>O327*(1+0.01*growthrate!$F$3)^10</f>
        <v>764299.92864998872</v>
      </c>
      <c r="U327" s="4">
        <f>P327*(1+0.01*growthrate!$F$3)^10</f>
        <v>981926.2096102736</v>
      </c>
      <c r="V327" s="4">
        <f>Q327*(1+0.01*growthrate!$F$3)^10</f>
        <v>2735925.6075683213</v>
      </c>
      <c r="W327" s="4">
        <f>R327*(1+0.01*growthrate!$F$3)^10</f>
        <v>4315399.1409369372</v>
      </c>
    </row>
    <row r="328" spans="1:23" x14ac:dyDescent="0.2">
      <c r="A328" s="2" t="s">
        <v>663</v>
      </c>
      <c r="B328" s="8" t="s">
        <v>664</v>
      </c>
      <c r="C328" s="4" t="s">
        <v>779</v>
      </c>
      <c r="D328" s="5">
        <v>450268</v>
      </c>
      <c r="E328" s="5">
        <v>100939</v>
      </c>
      <c r="F328" s="5">
        <v>551207</v>
      </c>
      <c r="G328" s="5">
        <v>1280495</v>
      </c>
      <c r="H328" s="14">
        <v>7433113</v>
      </c>
      <c r="I328" s="12">
        <f>D328*(1+0.01*growthrate!E329)^2</f>
        <v>450268</v>
      </c>
      <c r="J328" s="4">
        <f>E328*(1+0.01*growthrate!$E$3)^2</f>
        <v>103989.88127499998</v>
      </c>
      <c r="K328" s="4">
        <f>F328*(1+0.01*growthrate!$E$3)^2</f>
        <v>567867.23157499987</v>
      </c>
      <c r="L328" s="4">
        <f>G328*(1+0.01*growthrate!$E$3)^2</f>
        <v>1319197.9613749997</v>
      </c>
      <c r="M328" s="4">
        <f>H328*(1+0.01*growthrate!$E$3)^2</f>
        <v>7657778.8404249977</v>
      </c>
      <c r="N328" s="12">
        <f>I328*(1+0.01*growthrate!$E$3)^5</f>
        <v>485066.51386100944</v>
      </c>
      <c r="O328" s="4">
        <f>J328*(1+0.01*growthrate!$E$3)^5</f>
        <v>112026.63566339269</v>
      </c>
      <c r="P328" s="4">
        <f>K328*(1+0.01*growthrate!$E$3)^5</f>
        <v>611754.284905851</v>
      </c>
      <c r="Q328" s="4">
        <f>L328*(1+0.01*growthrate!$E$3)^5</f>
        <v>1421150.8617461638</v>
      </c>
      <c r="R328" s="4">
        <f>M328*(1+0.01*growthrate!$E$3)^5</f>
        <v>8249602.6500740824</v>
      </c>
      <c r="S328" s="12">
        <f>N328*(1+0.01*growthrate!$F$3)^10</f>
        <v>520110.95347390603</v>
      </c>
      <c r="T328" s="4">
        <f>O328*(1+0.01*growthrate!$F$3)^10</f>
        <v>120120.18686999414</v>
      </c>
      <c r="U328" s="4">
        <f>P328*(1+0.01*growthrate!$F$3)^10</f>
        <v>655951.49391264876</v>
      </c>
      <c r="V328" s="4">
        <f>Q328*(1+0.01*growthrate!$F$3)^10</f>
        <v>1523824.2769008328</v>
      </c>
      <c r="W328" s="4">
        <f>R328*(1+0.01*growthrate!$F$3)^10</f>
        <v>8845608.9577446058</v>
      </c>
    </row>
    <row r="329" spans="1:23" x14ac:dyDescent="0.2">
      <c r="A329" s="2" t="s">
        <v>665</v>
      </c>
      <c r="B329" s="8" t="s">
        <v>666</v>
      </c>
      <c r="C329" s="4" t="s">
        <v>779</v>
      </c>
      <c r="D329" s="5">
        <v>3776</v>
      </c>
      <c r="E329" s="5">
        <v>8413</v>
      </c>
      <c r="F329" s="5">
        <v>12189</v>
      </c>
      <c r="G329" s="5">
        <v>137548</v>
      </c>
      <c r="H329" s="14">
        <v>624479</v>
      </c>
      <c r="I329" s="12">
        <f>D329*(1+0.01*growthrate!E330)^2</f>
        <v>3776</v>
      </c>
      <c r="J329" s="4">
        <f>E329*(1+0.01*growthrate!$E$3)^2</f>
        <v>8667.2829249999977</v>
      </c>
      <c r="K329" s="4">
        <f>F329*(1+0.01*growthrate!$E$3)^2</f>
        <v>12557.412524999996</v>
      </c>
      <c r="L329" s="4">
        <f>G329*(1+0.01*growthrate!$E$3)^2</f>
        <v>141705.38829999996</v>
      </c>
      <c r="M329" s="4">
        <f>H329*(1+0.01*growthrate!$E$3)^2</f>
        <v>643353.87777499983</v>
      </c>
      <c r="N329" s="12">
        <f>I329*(1+0.01*growthrate!$E$3)^5</f>
        <v>4067.8243986673974</v>
      </c>
      <c r="O329" s="4">
        <f>J329*(1+0.01*growthrate!$E$3)^5</f>
        <v>9337.1252522426676</v>
      </c>
      <c r="P329" s="4">
        <f>K329*(1+0.01*growthrate!$E$3)^5</f>
        <v>13527.899643359786</v>
      </c>
      <c r="Q329" s="4">
        <f>L329*(1+0.01*growthrate!$E$3)^5</f>
        <v>152656.94807981391</v>
      </c>
      <c r="R329" s="4">
        <f>M329*(1+0.01*growthrate!$E$3)^5</f>
        <v>693074.84136399021</v>
      </c>
      <c r="S329" s="12">
        <f>N329*(1+0.01*growthrate!$F$3)^10</f>
        <v>4361.7111593927821</v>
      </c>
      <c r="T329" s="4">
        <f>O329*(1+0.01*growthrate!$F$3)^10</f>
        <v>10011.701444805878</v>
      </c>
      <c r="U329" s="4">
        <f>P329*(1+0.01*growthrate!$F$3)^10</f>
        <v>14505.245323991307</v>
      </c>
      <c r="V329" s="4">
        <f>Q329*(1+0.01*growthrate!$F$3)^10</f>
        <v>163685.90399740389</v>
      </c>
      <c r="W329" s="4">
        <f>R329*(1+0.01*growthrate!$F$3)^10</f>
        <v>743147.18965302873</v>
      </c>
    </row>
    <row r="330" spans="1:23" x14ac:dyDescent="0.2">
      <c r="A330" s="2" t="s">
        <v>667</v>
      </c>
      <c r="B330" s="8" t="s">
        <v>668</v>
      </c>
      <c r="C330" s="4" t="s">
        <v>779</v>
      </c>
      <c r="D330" s="5">
        <v>2156110</v>
      </c>
      <c r="E330" s="5">
        <v>770820</v>
      </c>
      <c r="F330" s="5">
        <v>2926930</v>
      </c>
      <c r="G330" s="5">
        <v>1694263</v>
      </c>
      <c r="H330" s="14">
        <v>72020412</v>
      </c>
      <c r="I330" s="12">
        <f>D330*(1+0.01*growthrate!E331)^2</f>
        <v>2156110</v>
      </c>
      <c r="J330" s="4">
        <f>E330*(1+0.01*growthrate!$E$3)^2</f>
        <v>794118.03449999983</v>
      </c>
      <c r="K330" s="4">
        <f>F330*(1+0.01*growthrate!$E$3)^2</f>
        <v>3015396.4592499994</v>
      </c>
      <c r="L330" s="4">
        <f>G330*(1+0.01*growthrate!$E$3)^2</f>
        <v>1745472.0991749996</v>
      </c>
      <c r="M330" s="4">
        <f>H330*(1+0.01*growthrate!$E$3)^2</f>
        <v>74197228.952699974</v>
      </c>
      <c r="N330" s="12">
        <f>I330*(1+0.01*growthrate!$E$3)^5</f>
        <v>2322742.8136151382</v>
      </c>
      <c r="O330" s="4">
        <f>J330*(1+0.01*growthrate!$E$3)^5</f>
        <v>855490.65576294949</v>
      </c>
      <c r="P330" s="4">
        <f>K330*(1+0.01*growthrate!$E$3)^5</f>
        <v>3248438.3709196048</v>
      </c>
      <c r="Q330" s="4">
        <f>L330*(1+0.01*growthrate!$E$3)^5</f>
        <v>1880369.1716677072</v>
      </c>
      <c r="R330" s="4">
        <f>M330*(1+0.01*growthrate!$E$3)^5</f>
        <v>79931487.883290246</v>
      </c>
      <c r="S330" s="12">
        <f>N330*(1+0.01*growthrate!$F$3)^10</f>
        <v>2490553.2436118568</v>
      </c>
      <c r="T330" s="4">
        <f>O330*(1+0.01*growthrate!$F$3)^10</f>
        <v>917297.00554918207</v>
      </c>
      <c r="U330" s="4">
        <f>P330*(1+0.01*growthrate!$F$3)^10</f>
        <v>3483127.2209492065</v>
      </c>
      <c r="V330" s="4">
        <f>Q330*(1+0.01*growthrate!$F$3)^10</f>
        <v>2016219.5798147086</v>
      </c>
      <c r="W330" s="4">
        <f>R330*(1+0.01*growthrate!$F$3)^10</f>
        <v>85706271.588721573</v>
      </c>
    </row>
    <row r="331" spans="1:23" x14ac:dyDescent="0.2">
      <c r="A331" s="2" t="s">
        <v>669</v>
      </c>
      <c r="B331" s="8" t="s">
        <v>670</v>
      </c>
      <c r="C331" s="4" t="s">
        <v>779</v>
      </c>
      <c r="D331" s="5">
        <v>167444</v>
      </c>
      <c r="E331" s="5">
        <v>84914</v>
      </c>
      <c r="F331" s="5">
        <v>252358</v>
      </c>
      <c r="G331" s="5">
        <v>236238</v>
      </c>
      <c r="H331" s="14">
        <v>4664885</v>
      </c>
      <c r="I331" s="12">
        <f>D331*(1+0.01*growthrate!E332)^2</f>
        <v>167444</v>
      </c>
      <c r="J331" s="4">
        <f>E331*(1+0.01*growthrate!$E$3)^2</f>
        <v>87480.525649999981</v>
      </c>
      <c r="K331" s="4">
        <f>F331*(1+0.01*growthrate!$E$3)^2</f>
        <v>259985.52054999993</v>
      </c>
      <c r="L331" s="4">
        <f>G331*(1+0.01*growthrate!$E$3)^2</f>
        <v>243378.29354999994</v>
      </c>
      <c r="M331" s="4">
        <f>H331*(1+0.01*growthrate!$E$3)^2</f>
        <v>4805881.1491249986</v>
      </c>
      <c r="N331" s="12">
        <f>I331*(1+0.01*growthrate!$E$3)^5</f>
        <v>180384.74274641517</v>
      </c>
      <c r="O331" s="4">
        <f>J331*(1+0.01*growthrate!$E$3)^5</f>
        <v>94241.370934141683</v>
      </c>
      <c r="P331" s="4">
        <f>K331*(1+0.01*growthrate!$E$3)^5</f>
        <v>280078.24253006722</v>
      </c>
      <c r="Q331" s="4">
        <f>L331*(1+0.01*growthrate!$E$3)^5</f>
        <v>262187.54253409052</v>
      </c>
      <c r="R331" s="4">
        <f>M331*(1+0.01*growthrate!$E$3)^5</f>
        <v>5177298.8865218163</v>
      </c>
      <c r="S331" s="12">
        <f>N331*(1+0.01*growthrate!$F$3)^10</f>
        <v>193416.93945269199</v>
      </c>
      <c r="T331" s="4">
        <f>O331*(1+0.01*growthrate!$F$3)^10</f>
        <v>101049.99601619475</v>
      </c>
      <c r="U331" s="4">
        <f>P331*(1+0.01*growthrate!$F$3)^10</f>
        <v>300312.96246384433</v>
      </c>
      <c r="V331" s="4">
        <f>Q331*(1+0.01*growthrate!$F$3)^10</f>
        <v>281129.7189965591</v>
      </c>
      <c r="W331" s="4">
        <f>R331*(1+0.01*growthrate!$F$3)^10</f>
        <v>5551341.4827473285</v>
      </c>
    </row>
    <row r="332" spans="1:23" x14ac:dyDescent="0.2">
      <c r="A332" s="2" t="s">
        <v>671</v>
      </c>
      <c r="B332" s="8" t="s">
        <v>672</v>
      </c>
      <c r="C332" s="4" t="s">
        <v>779</v>
      </c>
      <c r="D332" s="5">
        <v>941528</v>
      </c>
      <c r="E332" s="5">
        <v>546325</v>
      </c>
      <c r="F332" s="5">
        <v>1487853</v>
      </c>
      <c r="G332" s="5">
        <v>1511274</v>
      </c>
      <c r="H332" s="14">
        <v>15729658</v>
      </c>
      <c r="I332" s="12">
        <f>D332*(1+0.01*growthrate!E333)^2</f>
        <v>941528</v>
      </c>
      <c r="J332" s="4">
        <f>E332*(1+0.01*growthrate!$E$3)^2</f>
        <v>562837.67312499986</v>
      </c>
      <c r="K332" s="4">
        <f>F332*(1+0.01*growthrate!$E$3)^2</f>
        <v>1532823.3569249995</v>
      </c>
      <c r="L332" s="4">
        <f>G332*(1+0.01*growthrate!$E$3)^2</f>
        <v>1556952.2566499996</v>
      </c>
      <c r="M332" s="4">
        <f>H332*(1+0.01*growthrate!$E$3)^2</f>
        <v>16205086.913049996</v>
      </c>
      <c r="N332" s="12">
        <f>I332*(1+0.01*growthrate!$E$3)^5</f>
        <v>1014293.0536092472</v>
      </c>
      <c r="O332" s="4">
        <f>J332*(1+0.01*growthrate!$E$3)^5</f>
        <v>606336.02204106457</v>
      </c>
      <c r="P332" s="4">
        <f>K332*(1+0.01*growthrate!$E$3)^5</f>
        <v>1651286.0831956507</v>
      </c>
      <c r="Q332" s="4">
        <f>L332*(1+0.01*growthrate!$E$3)^5</f>
        <v>1677279.7609007235</v>
      </c>
      <c r="R332" s="4">
        <f>M332*(1+0.01*growthrate!$E$3)^5</f>
        <v>17457480.912984774</v>
      </c>
      <c r="S332" s="12">
        <f>N332*(1+0.01*growthrate!$F$3)^10</f>
        <v>1087572.3475849489</v>
      </c>
      <c r="T332" s="4">
        <f>O332*(1+0.01*growthrate!$F$3)^10</f>
        <v>650141.77960698598</v>
      </c>
      <c r="U332" s="4">
        <f>P332*(1+0.01*growthrate!$F$3)^10</f>
        <v>1770586.0013976893</v>
      </c>
      <c r="V332" s="4">
        <f>Q332*(1+0.01*growthrate!$F$3)^10</f>
        <v>1798457.6357182409</v>
      </c>
      <c r="W332" s="4">
        <f>R332*(1+0.01*growthrate!$F$3)^10</f>
        <v>18718725.748829473</v>
      </c>
    </row>
    <row r="333" spans="1:23" x14ac:dyDescent="0.2">
      <c r="A333" s="2" t="s">
        <v>673</v>
      </c>
      <c r="B333" s="8" t="s">
        <v>674</v>
      </c>
      <c r="C333" s="4" t="s">
        <v>779</v>
      </c>
      <c r="D333" s="5">
        <v>0</v>
      </c>
      <c r="E333" s="5">
        <v>71079</v>
      </c>
      <c r="F333" s="5">
        <v>71079</v>
      </c>
      <c r="G333" s="5">
        <v>916817</v>
      </c>
      <c r="H333" s="14">
        <v>8070413</v>
      </c>
      <c r="I333" s="12">
        <f>D333*(1+0.01*growthrate!E334)^2</f>
        <v>0</v>
      </c>
      <c r="J333" s="4">
        <f>E333*(1+0.01*growthrate!$E$3)^2</f>
        <v>73227.362774999987</v>
      </c>
      <c r="K333" s="4">
        <f>F333*(1+0.01*growthrate!$E$3)^2</f>
        <v>73227.362774999987</v>
      </c>
      <c r="L333" s="4">
        <f>G333*(1+0.01*growthrate!$E$3)^2</f>
        <v>944527.79382499971</v>
      </c>
      <c r="M333" s="4">
        <f>H333*(1+0.01*growthrate!$E$3)^2</f>
        <v>8314341.2329249978</v>
      </c>
      <c r="N333" s="12">
        <f>I333*(1+0.01*growthrate!$E$3)^5</f>
        <v>0</v>
      </c>
      <c r="O333" s="4">
        <f>J333*(1+0.01*growthrate!$E$3)^5</f>
        <v>78886.666564145577</v>
      </c>
      <c r="P333" s="4">
        <f>K333*(1+0.01*growthrate!$E$3)^5</f>
        <v>78886.666564145577</v>
      </c>
      <c r="Q333" s="4">
        <f>L333*(1+0.01*growthrate!$E$3)^5</f>
        <v>1017524.6835118704</v>
      </c>
      <c r="R333" s="4">
        <f>M333*(1+0.01*growthrate!$E$3)^5</f>
        <v>8956906.8130663875</v>
      </c>
      <c r="S333" s="12">
        <f>N333*(1+0.01*growthrate!$F$3)^10</f>
        <v>0</v>
      </c>
      <c r="T333" s="4">
        <f>O333*(1+0.01*growthrate!$F$3)^10</f>
        <v>84585.965410122095</v>
      </c>
      <c r="U333" s="4">
        <f>P333*(1+0.01*growthrate!$F$3)^10</f>
        <v>84585.965410122095</v>
      </c>
      <c r="V333" s="4">
        <f>Q333*(1+0.01*growthrate!$F$3)^10</f>
        <v>1091037.4519817652</v>
      </c>
      <c r="W333" s="4">
        <f>R333*(1+0.01*growthrate!$F$3)^10</f>
        <v>9604013.4901081845</v>
      </c>
    </row>
    <row r="334" spans="1:23" x14ac:dyDescent="0.2">
      <c r="A334" s="2" t="s">
        <v>675</v>
      </c>
      <c r="B334" s="8" t="s">
        <v>676</v>
      </c>
      <c r="C334" s="4" t="s">
        <v>779</v>
      </c>
      <c r="D334" s="5">
        <v>0</v>
      </c>
      <c r="E334" s="5">
        <v>0</v>
      </c>
      <c r="F334" s="5">
        <v>0</v>
      </c>
      <c r="G334" s="5">
        <v>5181</v>
      </c>
      <c r="H334" s="14">
        <v>501277</v>
      </c>
      <c r="I334" s="12">
        <f>D334*(1+0.01*growthrate!E335)^2</f>
        <v>0</v>
      </c>
      <c r="J334" s="4">
        <f>E334*(1+0.01*growthrate!$E$3)^2</f>
        <v>0</v>
      </c>
      <c r="K334" s="4">
        <f>F334*(1+0.01*growthrate!$E$3)^2</f>
        <v>0</v>
      </c>
      <c r="L334" s="4">
        <f>G334*(1+0.01*growthrate!$E$3)^2</f>
        <v>5337.5957249999983</v>
      </c>
      <c r="M334" s="4">
        <f>H334*(1+0.01*growthrate!$E$3)^2</f>
        <v>516428.09732499986</v>
      </c>
      <c r="N334" s="12">
        <f>I334*(1+0.01*growthrate!$E$3)^5</f>
        <v>0</v>
      </c>
      <c r="O334" s="4">
        <f>J334*(1+0.01*growthrate!$E$3)^5</f>
        <v>0</v>
      </c>
      <c r="P334" s="4">
        <f>K334*(1+0.01*growthrate!$E$3)^5</f>
        <v>0</v>
      </c>
      <c r="Q334" s="4">
        <f>L334*(1+0.01*growthrate!$E$3)^5</f>
        <v>5750.1064937441179</v>
      </c>
      <c r="R334" s="4">
        <f>M334*(1+0.01*growthrate!$E$3)^5</f>
        <v>556339.72840466513</v>
      </c>
      <c r="S334" s="12">
        <f>N334*(1+0.01*growthrate!$F$3)^10</f>
        <v>0</v>
      </c>
      <c r="T334" s="4">
        <f>O334*(1+0.01*growthrate!$F$3)^10</f>
        <v>0</v>
      </c>
      <c r="U334" s="4">
        <f>P334*(1+0.01*growthrate!$F$3)^10</f>
        <v>0</v>
      </c>
      <c r="V334" s="4">
        <f>Q334*(1+0.01*growthrate!$F$3)^10</f>
        <v>6165.5325312658097</v>
      </c>
      <c r="W334" s="4">
        <f>R334*(1+0.01*growthrate!$F$3)^10</f>
        <v>596533.42031950038</v>
      </c>
    </row>
    <row r="335" spans="1:23" x14ac:dyDescent="0.2">
      <c r="A335" s="2" t="s">
        <v>677</v>
      </c>
      <c r="B335" s="8" t="s">
        <v>678</v>
      </c>
      <c r="C335" s="4" t="s">
        <v>779</v>
      </c>
      <c r="D335" s="5">
        <v>2009000</v>
      </c>
      <c r="E335" s="5">
        <v>55289</v>
      </c>
      <c r="F335" s="5">
        <v>2064289</v>
      </c>
      <c r="G335" s="5">
        <v>3317147</v>
      </c>
      <c r="H335" s="14">
        <v>12523860</v>
      </c>
      <c r="I335" s="12">
        <f>D335*(1+0.01*growthrate!E336)^2</f>
        <v>2009000</v>
      </c>
      <c r="J335" s="4">
        <f>E335*(1+0.01*growthrate!$E$3)^2</f>
        <v>56960.110024999987</v>
      </c>
      <c r="K335" s="4">
        <f>F335*(1+0.01*growthrate!$E$3)^2</f>
        <v>2126682.1350249993</v>
      </c>
      <c r="L335" s="4">
        <f>G335*(1+0.01*growthrate!$E$3)^2</f>
        <v>3417407.7680749991</v>
      </c>
      <c r="M335" s="4">
        <f>H335*(1+0.01*growthrate!$E$3)^2</f>
        <v>12902393.668499997</v>
      </c>
      <c r="N335" s="12">
        <f>I335*(1+0.01*growthrate!$E$3)^5</f>
        <v>2164263.5638037077</v>
      </c>
      <c r="O335" s="4">
        <f>J335*(1+0.01*growthrate!$E$3)^5</f>
        <v>61362.21538942647</v>
      </c>
      <c r="P335" s="4">
        <f>K335*(1+0.01*growthrate!$E$3)^5</f>
        <v>2291040.6454091007</v>
      </c>
      <c r="Q335" s="4">
        <f>L335*(1+0.01*growthrate!$E$3)^5</f>
        <v>3681518.7232973981</v>
      </c>
      <c r="R335" s="4">
        <f>M335*(1+0.01*growthrate!$E$3)^5</f>
        <v>13899542.310894078</v>
      </c>
      <c r="S335" s="12">
        <f>N335*(1+0.01*growthrate!$F$3)^10</f>
        <v>2320624.395979899</v>
      </c>
      <c r="T335" s="4">
        <f>O335*(1+0.01*growthrate!$F$3)^10</f>
        <v>65795.431021261407</v>
      </c>
      <c r="U335" s="4">
        <f>P335*(1+0.01*growthrate!$F$3)^10</f>
        <v>2456560.6993696522</v>
      </c>
      <c r="V335" s="4">
        <f>Q335*(1+0.01*growthrate!$F$3)^10</f>
        <v>3947496.185966182</v>
      </c>
      <c r="W335" s="4">
        <f>R335*(1+0.01*growthrate!$F$3)^10</f>
        <v>14903737.936116317</v>
      </c>
    </row>
    <row r="336" spans="1:23" x14ac:dyDescent="0.2">
      <c r="A336" s="2" t="s">
        <v>679</v>
      </c>
      <c r="B336" s="8" t="s">
        <v>680</v>
      </c>
      <c r="C336" s="4" t="s">
        <v>779</v>
      </c>
      <c r="D336" s="5">
        <v>887352</v>
      </c>
      <c r="E336" s="5">
        <v>644332</v>
      </c>
      <c r="F336" s="5">
        <v>1531684</v>
      </c>
      <c r="G336" s="5">
        <v>805816</v>
      </c>
      <c r="H336" s="14">
        <v>30754132</v>
      </c>
      <c r="I336" s="12">
        <f>D336*(1+0.01*growthrate!E337)^2</f>
        <v>887352</v>
      </c>
      <c r="J336" s="4">
        <f>E336*(1+0.01*growthrate!$E$3)^2</f>
        <v>663806.93469999987</v>
      </c>
      <c r="K336" s="4">
        <f>F336*(1+0.01*growthrate!$E$3)^2</f>
        <v>1577979.1488999997</v>
      </c>
      <c r="L336" s="4">
        <f>G336*(1+0.01*growthrate!$E$3)^2</f>
        <v>830171.78859999974</v>
      </c>
      <c r="M336" s="4">
        <f>H336*(1+0.01*growthrate!$E$3)^2</f>
        <v>31683675.639699992</v>
      </c>
      <c r="N336" s="12">
        <f>I336*(1+0.01*growthrate!$E$3)^5</f>
        <v>955930.11541480734</v>
      </c>
      <c r="O336" s="4">
        <f>J336*(1+0.01*growthrate!$E$3)^5</f>
        <v>715108.59241982922</v>
      </c>
      <c r="P336" s="4">
        <f>K336*(1+0.01*growthrate!$E$3)^5</f>
        <v>1699931.6955730489</v>
      </c>
      <c r="Q336" s="4">
        <f>L336*(1+0.01*growthrate!$E$3)^5</f>
        <v>894330.78833486012</v>
      </c>
      <c r="R336" s="4">
        <f>M336*(1+0.01*growthrate!$E$3)^5</f>
        <v>34132316.950909823</v>
      </c>
      <c r="S336" s="12">
        <f>N336*(1+0.01*growthrate!$F$3)^10</f>
        <v>1024992.8815438305</v>
      </c>
      <c r="T336" s="4">
        <f>O336*(1+0.01*growthrate!$F$3)^10</f>
        <v>766772.80581655318</v>
      </c>
      <c r="U336" s="4">
        <f>P336*(1+0.01*growthrate!$F$3)^10</f>
        <v>1822746.0972050459</v>
      </c>
      <c r="V336" s="4">
        <f>Q336*(1+0.01*growthrate!$F$3)^10</f>
        <v>958943.20830235293</v>
      </c>
      <c r="W336" s="4">
        <f>R336*(1+0.01*growthrate!$F$3)^10</f>
        <v>36598263.137780905</v>
      </c>
    </row>
    <row r="337" spans="1:23" x14ac:dyDescent="0.2">
      <c r="A337" s="2" t="s">
        <v>681</v>
      </c>
      <c r="B337" s="8" t="s">
        <v>682</v>
      </c>
      <c r="C337" s="4" t="s">
        <v>779</v>
      </c>
      <c r="D337" s="5">
        <v>0</v>
      </c>
      <c r="E337" s="5">
        <v>409333</v>
      </c>
      <c r="F337" s="5">
        <v>409333</v>
      </c>
      <c r="G337" s="5">
        <v>632670</v>
      </c>
      <c r="H337" s="14">
        <v>103835449</v>
      </c>
      <c r="I337" s="12">
        <f>D337*(1+0.01*growthrate!E338)^2</f>
        <v>0</v>
      </c>
      <c r="J337" s="4">
        <f>E337*(1+0.01*growthrate!$E$3)^2</f>
        <v>421705.08992499986</v>
      </c>
      <c r="K337" s="4">
        <f>F337*(1+0.01*growthrate!$E$3)^2</f>
        <v>421705.08992499986</v>
      </c>
      <c r="L337" s="4">
        <f>G337*(1+0.01*growthrate!$E$3)^2</f>
        <v>651792.45074999984</v>
      </c>
      <c r="M337" s="4">
        <f>H337*(1+0.01*growthrate!$E$3)^2</f>
        <v>106973875.44602497</v>
      </c>
      <c r="N337" s="12">
        <f>I337*(1+0.01*growthrate!$E$3)^5</f>
        <v>0</v>
      </c>
      <c r="O337" s="4">
        <f>J337*(1+0.01*growthrate!$E$3)^5</f>
        <v>454296.14773282397</v>
      </c>
      <c r="P337" s="4">
        <f>K337*(1+0.01*growthrate!$E$3)^5</f>
        <v>454296.14773282397</v>
      </c>
      <c r="Q337" s="4">
        <f>L337*(1+0.01*growthrate!$E$3)^5</f>
        <v>702165.58104556869</v>
      </c>
      <c r="R337" s="4">
        <f>M337*(1+0.01*growthrate!$E$3)^5</f>
        <v>115241244.85152213</v>
      </c>
      <c r="S337" s="12">
        <f>N337*(1+0.01*growthrate!$F$3)^10</f>
        <v>0</v>
      </c>
      <c r="T337" s="4">
        <f>O337*(1+0.01*growthrate!$F$3)^10</f>
        <v>487117.53090535186</v>
      </c>
      <c r="U337" s="4">
        <f>P337*(1+0.01*growthrate!$F$3)^10</f>
        <v>487117.53090535186</v>
      </c>
      <c r="V337" s="4">
        <f>Q337*(1+0.01*growthrate!$F$3)^10</f>
        <v>752894.70499053085</v>
      </c>
      <c r="W337" s="4">
        <f>R337*(1+0.01*growthrate!$F$3)^10</f>
        <v>123567040.86239952</v>
      </c>
    </row>
    <row r="338" spans="1:23" x14ac:dyDescent="0.2">
      <c r="A338" s="2" t="s">
        <v>683</v>
      </c>
      <c r="B338" s="8" t="s">
        <v>684</v>
      </c>
      <c r="C338" s="4" t="s">
        <v>779</v>
      </c>
      <c r="D338" s="5">
        <v>1165587</v>
      </c>
      <c r="E338" s="5">
        <v>0</v>
      </c>
      <c r="F338" s="5">
        <v>1165587</v>
      </c>
      <c r="G338" s="5">
        <v>451677</v>
      </c>
      <c r="H338" s="14">
        <v>41323159</v>
      </c>
      <c r="I338" s="12">
        <f>D338*(1+0.01*growthrate!E339)^2</f>
        <v>1165587</v>
      </c>
      <c r="J338" s="4">
        <f>E338*(1+0.01*growthrate!$E$3)^2</f>
        <v>0</v>
      </c>
      <c r="K338" s="4">
        <f>F338*(1+0.01*growthrate!$E$3)^2</f>
        <v>1200816.8670749997</v>
      </c>
      <c r="L338" s="4">
        <f>G338*(1+0.01*growthrate!$E$3)^2</f>
        <v>465328.93732499989</v>
      </c>
      <c r="M338" s="4">
        <f>H338*(1+0.01*growthrate!$E$3)^2</f>
        <v>42572151.480774991</v>
      </c>
      <c r="N338" s="12">
        <f>I338*(1+0.01*growthrate!$E$3)^5</f>
        <v>1255668.2302355762</v>
      </c>
      <c r="O338" s="4">
        <f>J338*(1+0.01*growthrate!$E$3)^5</f>
        <v>0</v>
      </c>
      <c r="P338" s="4">
        <f>K338*(1+0.01*growthrate!$E$3)^5</f>
        <v>1293620.802494446</v>
      </c>
      <c r="Q338" s="4">
        <f>L338*(1+0.01*growthrate!$E$3)^5</f>
        <v>501291.42072473693</v>
      </c>
      <c r="R338" s="4">
        <f>M338*(1+0.01*growthrate!$E$3)^5</f>
        <v>45862297.801181376</v>
      </c>
      <c r="S338" s="12">
        <f>N338*(1+0.01*growthrate!$F$3)^10</f>
        <v>1346386.0765739286</v>
      </c>
      <c r="T338" s="4">
        <f>O338*(1+0.01*growthrate!$F$3)^10</f>
        <v>0</v>
      </c>
      <c r="U338" s="4">
        <f>P338*(1+0.01*growthrate!$F$3)^10</f>
        <v>1387080.5957383751</v>
      </c>
      <c r="V338" s="4">
        <f>Q338*(1+0.01*growthrate!$F$3)^10</f>
        <v>537508.05580477661</v>
      </c>
      <c r="W338" s="4">
        <f>R338*(1+0.01*growthrate!$F$3)^10</f>
        <v>49175696.025703445</v>
      </c>
    </row>
    <row r="339" spans="1:23" x14ac:dyDescent="0.2">
      <c r="A339" s="2" t="s">
        <v>685</v>
      </c>
      <c r="B339" s="8" t="s">
        <v>686</v>
      </c>
      <c r="C339" s="4" t="s">
        <v>779</v>
      </c>
      <c r="D339" s="5">
        <v>0</v>
      </c>
      <c r="E339" s="5">
        <v>0</v>
      </c>
      <c r="F339" s="5">
        <v>0</v>
      </c>
      <c r="G339" s="5">
        <v>196076</v>
      </c>
      <c r="H339" s="14">
        <v>12863290</v>
      </c>
      <c r="I339" s="12">
        <f>D339*(1+0.01*growthrate!E340)^2</f>
        <v>0</v>
      </c>
      <c r="J339" s="4">
        <f>E339*(1+0.01*growthrate!$E$3)^2</f>
        <v>0</v>
      </c>
      <c r="K339" s="4">
        <f>F339*(1+0.01*growthrate!$E$3)^2</f>
        <v>0</v>
      </c>
      <c r="L339" s="4">
        <f>G339*(1+0.01*growthrate!$E$3)^2</f>
        <v>202002.39709999994</v>
      </c>
      <c r="M339" s="4">
        <f>H339*(1+0.01*growthrate!$E$3)^2</f>
        <v>13252082.940249996</v>
      </c>
      <c r="N339" s="12">
        <f>I339*(1+0.01*growthrate!$E$3)^5</f>
        <v>0</v>
      </c>
      <c r="O339" s="4">
        <f>J339*(1+0.01*growthrate!$E$3)^5</f>
        <v>0</v>
      </c>
      <c r="P339" s="4">
        <f>K339*(1+0.01*growthrate!$E$3)^5</f>
        <v>0</v>
      </c>
      <c r="Q339" s="4">
        <f>L339*(1+0.01*growthrate!$E$3)^5</f>
        <v>217613.95114212926</v>
      </c>
      <c r="R339" s="4">
        <f>M339*(1+0.01*growthrate!$E$3)^5</f>
        <v>14276256.969680328</v>
      </c>
      <c r="S339" s="12">
        <f>N339*(1+0.01*growthrate!$F$3)^10</f>
        <v>0</v>
      </c>
      <c r="T339" s="4">
        <f>O339*(1+0.01*growthrate!$F$3)^10</f>
        <v>0</v>
      </c>
      <c r="U339" s="4">
        <f>P339*(1+0.01*growthrate!$F$3)^10</f>
        <v>0</v>
      </c>
      <c r="V339" s="4">
        <f>Q339*(1+0.01*growthrate!$F$3)^10</f>
        <v>233335.83412477805</v>
      </c>
      <c r="W339" s="4">
        <f>R339*(1+0.01*growthrate!$F$3)^10</f>
        <v>15307668.973963751</v>
      </c>
    </row>
    <row r="340" spans="1:23" x14ac:dyDescent="0.2">
      <c r="A340" s="2" t="s">
        <v>687</v>
      </c>
      <c r="B340" s="8" t="s">
        <v>688</v>
      </c>
      <c r="C340" s="4" t="s">
        <v>779</v>
      </c>
      <c r="D340" s="5">
        <v>1</v>
      </c>
      <c r="E340" s="5">
        <v>35825</v>
      </c>
      <c r="F340" s="5">
        <v>35826</v>
      </c>
      <c r="G340" s="5">
        <v>307766</v>
      </c>
      <c r="H340" s="14">
        <v>32733558</v>
      </c>
      <c r="I340" s="12">
        <f>D340*(1+0.01*growthrate!E341)^2</f>
        <v>1</v>
      </c>
      <c r="J340" s="4">
        <f>E340*(1+0.01*growthrate!$E$3)^2</f>
        <v>36907.810624999991</v>
      </c>
      <c r="K340" s="4">
        <f>F340*(1+0.01*growthrate!$E$3)^2</f>
        <v>36908.840849999993</v>
      </c>
      <c r="L340" s="4">
        <f>G340*(1+0.01*growthrate!$E$3)^2</f>
        <v>317068.22734999994</v>
      </c>
      <c r="M340" s="4">
        <f>H340*(1+0.01*growthrate!$E$3)^2</f>
        <v>33722929.790549994</v>
      </c>
      <c r="N340" s="12">
        <f>I340*(1+0.01*growthrate!$E$3)^5</f>
        <v>1.0772840038843743</v>
      </c>
      <c r="O340" s="4">
        <f>J340*(1+0.01*growthrate!$E$3)^5</f>
        <v>39760.194004706238</v>
      </c>
      <c r="P340" s="4">
        <f>K340*(1+0.01*growthrate!$E$3)^5</f>
        <v>39761.303849619144</v>
      </c>
      <c r="Q340" s="4">
        <f>L340*(1+0.01*growthrate!$E$3)^5</f>
        <v>341572.52946412901</v>
      </c>
      <c r="R340" s="4">
        <f>M340*(1+0.01*growthrate!$E$3)^5</f>
        <v>36329172.827475339</v>
      </c>
      <c r="S340" s="12">
        <f>N340*(1+0.01*growthrate!$F$3)^10</f>
        <v>1.155114184161224</v>
      </c>
      <c r="T340" s="4">
        <f>O340*(1+0.01*growthrate!$F$3)^10</f>
        <v>42632.735559273817</v>
      </c>
      <c r="U340" s="4">
        <f>P340*(1+0.01*growthrate!$F$3)^10</f>
        <v>42633.9255867842</v>
      </c>
      <c r="V340" s="4">
        <f>Q340*(1+0.01*growthrate!$F$3)^10</f>
        <v>366250.0067588407</v>
      </c>
      <c r="W340" s="4">
        <f>R340*(1+0.01*growthrate!$F$3)^10</f>
        <v>38953834.532537393</v>
      </c>
    </row>
    <row r="341" spans="1:23" x14ac:dyDescent="0.2">
      <c r="A341" s="2" t="s">
        <v>689</v>
      </c>
      <c r="B341" s="8" t="s">
        <v>690</v>
      </c>
      <c r="C341" s="4" t="s">
        <v>779</v>
      </c>
      <c r="D341" s="5">
        <v>0</v>
      </c>
      <c r="E341" s="5">
        <v>0</v>
      </c>
      <c r="F341" s="5">
        <v>0</v>
      </c>
      <c r="G341" s="5">
        <v>279238</v>
      </c>
      <c r="H341" s="14">
        <v>6269045</v>
      </c>
      <c r="I341" s="12">
        <f>D341*(1+0.01*growthrate!E342)^2</f>
        <v>0</v>
      </c>
      <c r="J341" s="4">
        <f>E341*(1+0.01*growthrate!$E$3)^2</f>
        <v>0</v>
      </c>
      <c r="K341" s="4">
        <f>F341*(1+0.01*growthrate!$E$3)^2</f>
        <v>0</v>
      </c>
      <c r="L341" s="4">
        <f>G341*(1+0.01*growthrate!$E$3)^2</f>
        <v>287677.96854999993</v>
      </c>
      <c r="M341" s="4">
        <f>H341*(1+0.01*growthrate!$E$3)^2</f>
        <v>6458526.8851249982</v>
      </c>
      <c r="N341" s="12">
        <f>I341*(1+0.01*growthrate!$E$3)^5</f>
        <v>0</v>
      </c>
      <c r="O341" s="4">
        <f>J341*(1+0.01*growthrate!$E$3)^5</f>
        <v>0</v>
      </c>
      <c r="P341" s="4">
        <f>K341*(1+0.01*growthrate!$E$3)^5</f>
        <v>0</v>
      </c>
      <c r="Q341" s="4">
        <f>L341*(1+0.01*growthrate!$E$3)^5</f>
        <v>309910.87378886703</v>
      </c>
      <c r="R341" s="4">
        <f>M341*(1+0.01*growthrate!$E$3)^5</f>
        <v>6957667.7020023344</v>
      </c>
      <c r="S341" s="12">
        <f>N341*(1+0.01*growthrate!$F$3)^10</f>
        <v>0</v>
      </c>
      <c r="T341" s="4">
        <f>O341*(1+0.01*growthrate!$F$3)^10</f>
        <v>0</v>
      </c>
      <c r="U341" s="4">
        <f>P341*(1+0.01*growthrate!$F$3)^10</f>
        <v>0</v>
      </c>
      <c r="V341" s="4">
        <f>Q341*(1+0.01*growthrate!$F$3)^10</f>
        <v>332300.90194279142</v>
      </c>
      <c r="W341" s="4">
        <f>R341*(1+0.01*growthrate!$F$3)^10</f>
        <v>7460336.0137944939</v>
      </c>
    </row>
    <row r="342" spans="1:23" x14ac:dyDescent="0.2">
      <c r="A342" s="2" t="s">
        <v>691</v>
      </c>
      <c r="B342" s="8" t="s">
        <v>692</v>
      </c>
      <c r="C342" s="4" t="s">
        <v>779</v>
      </c>
      <c r="D342" s="5">
        <v>0</v>
      </c>
      <c r="E342" s="5">
        <v>0</v>
      </c>
      <c r="F342" s="5">
        <v>0</v>
      </c>
      <c r="G342" s="5">
        <v>463719</v>
      </c>
      <c r="H342" s="14">
        <v>3963758</v>
      </c>
      <c r="I342" s="12">
        <f>D342*(1+0.01*growthrate!E343)^2</f>
        <v>0</v>
      </c>
      <c r="J342" s="4">
        <f>E342*(1+0.01*growthrate!$E$3)^2</f>
        <v>0</v>
      </c>
      <c r="K342" s="4">
        <f>F342*(1+0.01*growthrate!$E$3)^2</f>
        <v>0</v>
      </c>
      <c r="L342" s="4">
        <f>G342*(1+0.01*growthrate!$E$3)^2</f>
        <v>477734.90677499986</v>
      </c>
      <c r="M342" s="4">
        <f>H342*(1+0.01*growthrate!$E$3)^2</f>
        <v>4083562.585549999</v>
      </c>
      <c r="N342" s="12">
        <f>I342*(1+0.01*growthrate!$E$3)^5</f>
        <v>0</v>
      </c>
      <c r="O342" s="4">
        <f>J342*(1+0.01*growthrate!$E$3)^5</f>
        <v>0</v>
      </c>
      <c r="P342" s="4">
        <f>K342*(1+0.01*growthrate!$E$3)^5</f>
        <v>0</v>
      </c>
      <c r="Q342" s="4">
        <f>L342*(1+0.01*growthrate!$E$3)^5</f>
        <v>514656.17316590017</v>
      </c>
      <c r="R342" s="4">
        <f>M342*(1+0.01*growthrate!$E$3)^5</f>
        <v>4399156.6522737304</v>
      </c>
      <c r="S342" s="12">
        <f>N342*(1+0.01*growthrate!$F$3)^10</f>
        <v>0</v>
      </c>
      <c r="T342" s="4">
        <f>O342*(1+0.01*growthrate!$F$3)^10</f>
        <v>0</v>
      </c>
      <c r="U342" s="4">
        <f>P342*(1+0.01*growthrate!$F$3)^10</f>
        <v>0</v>
      </c>
      <c r="V342" s="4">
        <f>Q342*(1+0.01*growthrate!$F$3)^10</f>
        <v>551838.36708474241</v>
      </c>
      <c r="W342" s="4">
        <f>R342*(1+0.01*growthrate!$F$3)^10</f>
        <v>4716981.0644788854</v>
      </c>
    </row>
    <row r="343" spans="1:23" x14ac:dyDescent="0.2">
      <c r="A343" s="2" t="s">
        <v>693</v>
      </c>
      <c r="B343" s="8" t="s">
        <v>694</v>
      </c>
      <c r="C343" s="4" t="s">
        <v>779</v>
      </c>
      <c r="D343" s="5">
        <v>8579406</v>
      </c>
      <c r="E343" s="5">
        <v>7078552</v>
      </c>
      <c r="F343" s="5">
        <v>15657958</v>
      </c>
      <c r="G343" s="5">
        <v>130558</v>
      </c>
      <c r="H343" s="14">
        <v>1958974</v>
      </c>
      <c r="I343" s="12">
        <f>D343*(1+0.01*growthrate!E344)^2</f>
        <v>8579406</v>
      </c>
      <c r="J343" s="4">
        <f>E343*(1+0.01*growthrate!$E$3)^2</f>
        <v>7292501.234199998</v>
      </c>
      <c r="K343" s="4">
        <f>F343*(1+0.01*growthrate!$E$3)^2</f>
        <v>16131219.780549996</v>
      </c>
      <c r="L343" s="4">
        <f>G343*(1+0.01*growthrate!$E$3)^2</f>
        <v>134504.11554999996</v>
      </c>
      <c r="M343" s="4">
        <f>H343*(1+0.01*growthrate!$E$3)^2</f>
        <v>2018183.9891499996</v>
      </c>
      <c r="N343" s="12">
        <f>I343*(1+0.01*growthrate!$E$3)^5</f>
        <v>9242456.8466296233</v>
      </c>
      <c r="O343" s="4">
        <f>J343*(1+0.01*growthrate!$E$3)^5</f>
        <v>7856094.9279107153</v>
      </c>
      <c r="P343" s="4">
        <f>K343*(1+0.01*growthrate!$E$3)^5</f>
        <v>17377905.032729715</v>
      </c>
      <c r="Q343" s="4">
        <f>L343*(1+0.01*growthrate!$E$3)^5</f>
        <v>144899.13213863049</v>
      </c>
      <c r="R343" s="4">
        <f>M343*(1+0.01*growthrate!$E$3)^5</f>
        <v>2174157.3284068503</v>
      </c>
      <c r="S343" s="12">
        <f>N343*(1+0.01*growthrate!$F$3)^10</f>
        <v>9910193.5622779094</v>
      </c>
      <c r="T343" s="4">
        <f>O343*(1+0.01*growthrate!$F$3)^10</f>
        <v>8423671.6136376504</v>
      </c>
      <c r="U343" s="4">
        <f>P343*(1+0.01*growthrate!$F$3)^10</f>
        <v>18633400.776335407</v>
      </c>
      <c r="V343" s="4">
        <f>Q343*(1+0.01*growthrate!$F$3)^10</f>
        <v>155367.61169986523</v>
      </c>
      <c r="W343" s="4">
        <f>R343*(1+0.01*growthrate!$F$3)^10</f>
        <v>2331232.9521142463</v>
      </c>
    </row>
    <row r="344" spans="1:23" x14ac:dyDescent="0.2">
      <c r="A344" s="2" t="s">
        <v>695</v>
      </c>
      <c r="B344" s="8" t="s">
        <v>696</v>
      </c>
      <c r="C344" s="4" t="s">
        <v>779</v>
      </c>
      <c r="D344" s="5">
        <v>0</v>
      </c>
      <c r="E344" s="5">
        <v>0</v>
      </c>
      <c r="F344" s="5">
        <v>0</v>
      </c>
      <c r="G344" s="5">
        <v>5183565</v>
      </c>
      <c r="H344" s="14">
        <v>63074471</v>
      </c>
      <c r="I344" s="12">
        <f>D344*(1+0.01*growthrate!E345)^2</f>
        <v>0</v>
      </c>
      <c r="J344" s="4">
        <f>E344*(1+0.01*growthrate!$E$3)^2</f>
        <v>0</v>
      </c>
      <c r="K344" s="4">
        <f>F344*(1+0.01*growthrate!$E$3)^2</f>
        <v>0</v>
      </c>
      <c r="L344" s="4">
        <f>G344*(1+0.01*growthrate!$E$3)^2</f>
        <v>5340238.2521249987</v>
      </c>
      <c r="M344" s="4">
        <f>H344*(1+0.01*growthrate!$E$3)^2</f>
        <v>64980896.885974981</v>
      </c>
      <c r="N344" s="12">
        <f>I344*(1+0.01*growthrate!$E$3)^5</f>
        <v>0</v>
      </c>
      <c r="O344" s="4">
        <f>J344*(1+0.01*growthrate!$E$3)^5</f>
        <v>0</v>
      </c>
      <c r="P344" s="4">
        <f>K344*(1+0.01*growthrate!$E$3)^5</f>
        <v>0</v>
      </c>
      <c r="Q344" s="4">
        <f>L344*(1+0.01*growthrate!$E$3)^5</f>
        <v>5752953.2459457116</v>
      </c>
      <c r="R344" s="4">
        <f>M344*(1+0.01*growthrate!$E$3)^5</f>
        <v>70002880.773320794</v>
      </c>
      <c r="S344" s="12">
        <f>N344*(1+0.01*growthrate!$F$3)^10</f>
        <v>0</v>
      </c>
      <c r="T344" s="4">
        <f>O344*(1+0.01*growthrate!$F$3)^10</f>
        <v>0</v>
      </c>
      <c r="U344" s="4">
        <f>P344*(1+0.01*growthrate!$F$3)^10</f>
        <v>0</v>
      </c>
      <c r="V344" s="4">
        <f>Q344*(1+0.01*growthrate!$F$3)^10</f>
        <v>6168584.9518299289</v>
      </c>
      <c r="W344" s="4">
        <f>R344*(1+0.01*growthrate!$F$3)^10</f>
        <v>75060355.69250761</v>
      </c>
    </row>
    <row r="345" spans="1:23" x14ac:dyDescent="0.2">
      <c r="A345" s="2" t="s">
        <v>697</v>
      </c>
      <c r="B345" s="8" t="s">
        <v>698</v>
      </c>
      <c r="C345" s="4" t="s">
        <v>779</v>
      </c>
      <c r="D345" s="5">
        <v>3402544</v>
      </c>
      <c r="E345" s="5">
        <v>24213</v>
      </c>
      <c r="F345" s="5">
        <v>3426757</v>
      </c>
      <c r="G345" s="5">
        <v>177400</v>
      </c>
      <c r="H345" s="14">
        <v>18956064</v>
      </c>
      <c r="I345" s="12">
        <f>D345*(1+0.01*growthrate!E346)^2</f>
        <v>3402544</v>
      </c>
      <c r="J345" s="4">
        <f>E345*(1+0.01*growthrate!$E$3)^2</f>
        <v>24944.837924999993</v>
      </c>
      <c r="K345" s="4">
        <f>F345*(1+0.01*growthrate!$E$3)^2</f>
        <v>3530330.730324999</v>
      </c>
      <c r="L345" s="4">
        <f>G345*(1+0.01*growthrate!$E$3)^2</f>
        <v>182761.91499999995</v>
      </c>
      <c r="M345" s="4">
        <f>H345*(1+0.01*growthrate!$E$3)^2</f>
        <v>19529011.034399994</v>
      </c>
      <c r="N345" s="12">
        <f>I345*(1+0.01*growthrate!$E$3)^5</f>
        <v>3665506.2237127544</v>
      </c>
      <c r="O345" s="4">
        <f>J345*(1+0.01*growthrate!$E$3)^5</f>
        <v>26872.674876090779</v>
      </c>
      <c r="P345" s="4">
        <f>K345*(1+0.01*growthrate!$E$3)^5</f>
        <v>3803168.8242005622</v>
      </c>
      <c r="Q345" s="4">
        <f>L345*(1+0.01*growthrate!$E$3)^5</f>
        <v>196886.48754877562</v>
      </c>
      <c r="R345" s="4">
        <f>M345*(1+0.01*growthrate!$E$3)^5</f>
        <v>21038291.199040551</v>
      </c>
      <c r="S345" s="12">
        <f>N345*(1+0.01*growthrate!$F$3)^10</f>
        <v>3930326.8366326676</v>
      </c>
      <c r="T345" s="4">
        <f>O345*(1+0.01*growthrate!$F$3)^10</f>
        <v>28814.136108770326</v>
      </c>
      <c r="U345" s="4">
        <f>P345*(1+0.01*growthrate!$F$3)^10</f>
        <v>4077935.1013786593</v>
      </c>
      <c r="V345" s="4">
        <f>Q345*(1+0.01*growthrate!$F$3)^10</f>
        <v>211110.88034096791</v>
      </c>
      <c r="W345" s="4">
        <f>R345*(1+0.01*growthrate!$F$3)^10</f>
        <v>22558237.648476489</v>
      </c>
    </row>
    <row r="346" spans="1:23" x14ac:dyDescent="0.2">
      <c r="A346" s="2" t="s">
        <v>699</v>
      </c>
      <c r="B346" s="8" t="s">
        <v>700</v>
      </c>
      <c r="C346" s="4" t="s">
        <v>779</v>
      </c>
      <c r="D346" s="5">
        <v>6695992</v>
      </c>
      <c r="E346" s="5">
        <v>0</v>
      </c>
      <c r="F346" s="5">
        <v>6695992</v>
      </c>
      <c r="G346" s="5">
        <v>3865427</v>
      </c>
      <c r="H346" s="14">
        <v>29284327</v>
      </c>
      <c r="I346" s="12">
        <f>D346*(1+0.01*growthrate!E347)^2</f>
        <v>6695992</v>
      </c>
      <c r="J346" s="4">
        <f>E346*(1+0.01*growthrate!$E$3)^2</f>
        <v>0</v>
      </c>
      <c r="K346" s="4">
        <f>F346*(1+0.01*growthrate!$E$3)^2</f>
        <v>6898378.3581999978</v>
      </c>
      <c r="L346" s="4">
        <f>G346*(1+0.01*growthrate!$E$3)^2</f>
        <v>3982259.5310749989</v>
      </c>
      <c r="M346" s="4">
        <f>H346*(1+0.01*growthrate!$E$3)^2</f>
        <v>30169445.783574991</v>
      </c>
      <c r="N346" s="12">
        <f>I346*(1+0.01*growthrate!$E$3)^5</f>
        <v>7213485.0717377393</v>
      </c>
      <c r="O346" s="4">
        <f>J346*(1+0.01*growthrate!$E$3)^5</f>
        <v>0</v>
      </c>
      <c r="P346" s="4">
        <f>K346*(1+0.01*growthrate!$E$3)^5</f>
        <v>7431512.6580310101</v>
      </c>
      <c r="Q346" s="4">
        <f>L346*(1+0.01*growthrate!$E$3)^5</f>
        <v>4290024.4921431858</v>
      </c>
      <c r="R346" s="4">
        <f>M346*(1+0.01*growthrate!$E$3)^5</f>
        <v>32501061.348702218</v>
      </c>
      <c r="S346" s="12">
        <f>N346*(1+0.01*growthrate!$F$3)^10</f>
        <v>7734635.3362300824</v>
      </c>
      <c r="T346" s="4">
        <f>O346*(1+0.01*growthrate!$F$3)^10</f>
        <v>0</v>
      </c>
      <c r="U346" s="4">
        <f>P346*(1+0.01*growthrate!$F$3)^10</f>
        <v>7968414.6892676344</v>
      </c>
      <c r="V346" s="4">
        <f>Q346*(1+0.01*growthrate!$F$3)^10</f>
        <v>4599964.4693559557</v>
      </c>
      <c r="W346" s="4">
        <f>R346*(1+0.01*growthrate!$F$3)^10</f>
        <v>34849154.752890505</v>
      </c>
    </row>
    <row r="347" spans="1:23" x14ac:dyDescent="0.2">
      <c r="A347" s="2" t="s">
        <v>701</v>
      </c>
      <c r="B347" s="8" t="s">
        <v>702</v>
      </c>
      <c r="C347" s="4" t="s">
        <v>779</v>
      </c>
      <c r="D347" s="5">
        <v>5843573</v>
      </c>
      <c r="E347" s="5">
        <v>3759</v>
      </c>
      <c r="F347" s="5">
        <v>5847332</v>
      </c>
      <c r="G347" s="5">
        <v>541163</v>
      </c>
      <c r="H347" s="14">
        <v>2917198</v>
      </c>
      <c r="I347" s="12">
        <f>D347*(1+0.01*growthrate!E348)^2</f>
        <v>5843573</v>
      </c>
      <c r="J347" s="4">
        <f>E347*(1+0.01*growthrate!$E$3)^2</f>
        <v>3872.6157749999988</v>
      </c>
      <c r="K347" s="4">
        <f>F347*(1+0.01*growthrate!$E$3)^2</f>
        <v>6024067.6096999981</v>
      </c>
      <c r="L347" s="4">
        <f>G347*(1+0.01*growthrate!$E$3)^2</f>
        <v>557519.65167499986</v>
      </c>
      <c r="M347" s="4">
        <f>H347*(1+0.01*growthrate!$E$3)^2</f>
        <v>3005370.3095499994</v>
      </c>
      <c r="N347" s="12">
        <f>I347*(1+0.01*growthrate!$E$3)^5</f>
        <v>6295187.7184306243</v>
      </c>
      <c r="O347" s="4">
        <f>J347*(1+0.01*growthrate!$E$3)^5</f>
        <v>4171.9070275977883</v>
      </c>
      <c r="P347" s="4">
        <f>K347*(1+0.01*growthrate!$E$3)^5</f>
        <v>6489631.6742477864</v>
      </c>
      <c r="Q347" s="4">
        <f>L347*(1+0.01*growthrate!$E$3)^5</f>
        <v>600607.00260066555</v>
      </c>
      <c r="R347" s="4">
        <f>M347*(1+0.01*growthrate!$E$3)^5</f>
        <v>3237637.3602272449</v>
      </c>
      <c r="S347" s="12">
        <f>N347*(1+0.01*growthrate!$F$3)^10</f>
        <v>6749994.0584815554</v>
      </c>
      <c r="T347" s="4">
        <f>O347*(1+0.01*growthrate!$F$3)^10</f>
        <v>4473.3134115090106</v>
      </c>
      <c r="U347" s="4">
        <f>P347*(1+0.01*growthrate!$F$3)^10</f>
        <v>6958485.9423106685</v>
      </c>
      <c r="V347" s="4">
        <f>Q347*(1+0.01*growthrate!$F$3)^10</f>
        <v>643998.85759841721</v>
      </c>
      <c r="W347" s="4">
        <f>R347*(1+0.01*growthrate!$F$3)^10</f>
        <v>3471545.8732182132</v>
      </c>
    </row>
    <row r="348" spans="1:23" x14ac:dyDescent="0.2">
      <c r="A348" s="2" t="s">
        <v>703</v>
      </c>
      <c r="B348" s="8" t="s">
        <v>704</v>
      </c>
      <c r="C348" s="4" t="s">
        <v>779</v>
      </c>
      <c r="D348" s="5">
        <v>1827697</v>
      </c>
      <c r="E348" s="5">
        <v>309</v>
      </c>
      <c r="F348" s="5">
        <v>1828006</v>
      </c>
      <c r="G348" s="5">
        <v>1592343</v>
      </c>
      <c r="H348" s="14">
        <v>23839464</v>
      </c>
      <c r="I348" s="12">
        <f>D348*(1+0.01*growthrate!E349)^2</f>
        <v>1827697</v>
      </c>
      <c r="J348" s="4">
        <f>E348*(1+0.01*growthrate!$E$3)^2</f>
        <v>318.33952499999992</v>
      </c>
      <c r="K348" s="4">
        <f>F348*(1+0.01*growthrate!$E$3)^2</f>
        <v>1883257.4813499996</v>
      </c>
      <c r="L348" s="4">
        <f>G348*(1+0.01*growthrate!$E$3)^2</f>
        <v>1640471.5671749995</v>
      </c>
      <c r="M348" s="4">
        <f>H348*(1+0.01*growthrate!$E$3)^2</f>
        <v>24560011.799399994</v>
      </c>
      <c r="N348" s="12">
        <f>I348*(1+0.01*growthrate!$E$3)^5</f>
        <v>1968948.7420474591</v>
      </c>
      <c r="O348" s="4">
        <f>J348*(1+0.01*growthrate!$E$3)^5</f>
        <v>342.94207808664976</v>
      </c>
      <c r="P348" s="4">
        <f>K348*(1+0.01*growthrate!$E$3)^5</f>
        <v>2028803.1598539299</v>
      </c>
      <c r="Q348" s="4">
        <f>L348*(1+0.01*growthrate!$E$3)^5</f>
        <v>1767253.7781447577</v>
      </c>
      <c r="R348" s="4">
        <f>M348*(1+0.01*growthrate!$E$3)^5</f>
        <v>26458107.846705101</v>
      </c>
      <c r="S348" s="12">
        <f>N348*(1+0.01*growthrate!$F$3)^10</f>
        <v>2111198.7290489166</v>
      </c>
      <c r="T348" s="4">
        <f>O348*(1+0.01*growthrate!$F$3)^10</f>
        <v>367.71850070664647</v>
      </c>
      <c r="U348" s="4">
        <f>P348*(1+0.01*growthrate!$F$3)^10</f>
        <v>2175377.4291351265</v>
      </c>
      <c r="V348" s="4">
        <f>Q348*(1+0.01*growthrate!$F$3)^10</f>
        <v>1894931.9759570342</v>
      </c>
      <c r="W348" s="4">
        <f>R348*(1+0.01*growthrate!$F$3)^10</f>
        <v>28369617.992653958</v>
      </c>
    </row>
    <row r="349" spans="1:23" x14ac:dyDescent="0.2">
      <c r="A349" s="2" t="s">
        <v>705</v>
      </c>
      <c r="B349" s="8" t="s">
        <v>706</v>
      </c>
      <c r="C349" s="4" t="s">
        <v>779</v>
      </c>
      <c r="D349" s="5">
        <v>532395</v>
      </c>
      <c r="E349" s="5">
        <v>0</v>
      </c>
      <c r="F349" s="5">
        <v>532395</v>
      </c>
      <c r="G349" s="5">
        <v>519550</v>
      </c>
      <c r="H349" s="14">
        <v>10921897</v>
      </c>
      <c r="I349" s="12">
        <f>D349*(1+0.01*growthrate!E350)^2</f>
        <v>532395</v>
      </c>
      <c r="J349" s="4">
        <f>E349*(1+0.01*growthrate!$E$3)^2</f>
        <v>0</v>
      </c>
      <c r="K349" s="4">
        <f>F349*(1+0.01*growthrate!$E$3)^2</f>
        <v>548486.63887499983</v>
      </c>
      <c r="L349" s="4">
        <f>G349*(1+0.01*growthrate!$E$3)^2</f>
        <v>535253.39874999982</v>
      </c>
      <c r="M349" s="4">
        <f>H349*(1+0.01*growthrate!$E$3)^2</f>
        <v>11252011.336824996</v>
      </c>
      <c r="N349" s="12">
        <f>I349*(1+0.01*growthrate!$E$3)^5</f>
        <v>573540.61724802142</v>
      </c>
      <c r="O349" s="4">
        <f>J349*(1+0.01*growthrate!$E$3)^5</f>
        <v>0</v>
      </c>
      <c r="P349" s="4">
        <f>K349*(1+0.01*growthrate!$E$3)^5</f>
        <v>590875.88240434276</v>
      </c>
      <c r="Q349" s="4">
        <f>L349*(1+0.01*growthrate!$E$3)^5</f>
        <v>576619.92449811939</v>
      </c>
      <c r="R349" s="4">
        <f>M349*(1+0.01*growthrate!$E$3)^5</f>
        <v>12121611.824687203</v>
      </c>
      <c r="S349" s="12">
        <f>N349*(1+0.01*growthrate!$F$3)^10</f>
        <v>614977.01607651485</v>
      </c>
      <c r="T349" s="4">
        <f>O349*(1+0.01*growthrate!$F$3)^10</f>
        <v>0</v>
      </c>
      <c r="U349" s="4">
        <f>P349*(1+0.01*growthrate!$F$3)^10</f>
        <v>633564.69638742739</v>
      </c>
      <c r="V349" s="4">
        <f>Q349*(1+0.01*growthrate!$F$3)^10</f>
        <v>618278.79301662836</v>
      </c>
      <c r="W349" s="4">
        <f>R349*(1+0.01*growthrate!$F$3)^10</f>
        <v>12997357.89550945</v>
      </c>
    </row>
    <row r="350" spans="1:23" x14ac:dyDescent="0.2">
      <c r="A350" s="2" t="s">
        <v>707</v>
      </c>
      <c r="B350" s="8" t="s">
        <v>708</v>
      </c>
      <c r="C350" s="4" t="s">
        <v>779</v>
      </c>
      <c r="D350" s="5">
        <v>507551</v>
      </c>
      <c r="E350" s="5">
        <v>148</v>
      </c>
      <c r="F350" s="5">
        <v>507699</v>
      </c>
      <c r="G350" s="5">
        <v>678432</v>
      </c>
      <c r="H350" s="14">
        <v>12915171</v>
      </c>
      <c r="I350" s="12">
        <f>D350*(1+0.01*growthrate!E351)^2</f>
        <v>507551</v>
      </c>
      <c r="J350" s="4">
        <f>E350*(1+0.01*growthrate!$E$3)^2</f>
        <v>152.47329999999997</v>
      </c>
      <c r="K350" s="4">
        <f>F350*(1+0.01*growthrate!$E$3)^2</f>
        <v>523044.20227499987</v>
      </c>
      <c r="L350" s="4">
        <f>G350*(1+0.01*growthrate!$E$3)^2</f>
        <v>698937.60719999985</v>
      </c>
      <c r="M350" s="4">
        <f>H350*(1+0.01*growthrate!$E$3)^2</f>
        <v>13305532.043474996</v>
      </c>
      <c r="N350" s="12">
        <f>I350*(1+0.01*growthrate!$E$3)^5</f>
        <v>546776.573455518</v>
      </c>
      <c r="O350" s="4">
        <f>J350*(1+0.01*growthrate!$E$3)^5</f>
        <v>164.25704710946334</v>
      </c>
      <c r="P350" s="4">
        <f>K350*(1+0.01*growthrate!$E$3)^5</f>
        <v>563467.15243532043</v>
      </c>
      <c r="Q350" s="4">
        <f>L350*(1+0.01*growthrate!$E$3)^5</f>
        <v>752954.30394977995</v>
      </c>
      <c r="R350" s="4">
        <f>M350*(1+0.01*growthrate!$E$3)^5</f>
        <v>14333836.833606584</v>
      </c>
      <c r="S350" s="12">
        <f>N350*(1+0.01*growthrate!$F$3)^10</f>
        <v>586279.35928521329</v>
      </c>
      <c r="T350" s="4">
        <f>O350*(1+0.01*growthrate!$F$3)^10</f>
        <v>176.12407153586952</v>
      </c>
      <c r="U350" s="4">
        <f>P350*(1+0.01*growthrate!$F$3)^10</f>
        <v>604175.77699114475</v>
      </c>
      <c r="V350" s="4">
        <f>Q350*(1+0.01*growthrate!$F$3)^10</f>
        <v>807352.74392042588</v>
      </c>
      <c r="W350" s="4">
        <f>R350*(1+0.01*growthrate!$F$3)^10</f>
        <v>15369408.791229643</v>
      </c>
    </row>
    <row r="351" spans="1:23" x14ac:dyDescent="0.2">
      <c r="A351" s="2" t="s">
        <v>709</v>
      </c>
      <c r="B351" s="8" t="s">
        <v>710</v>
      </c>
      <c r="C351" s="4" t="s">
        <v>779</v>
      </c>
      <c r="D351" s="5">
        <v>2713971</v>
      </c>
      <c r="E351" s="5">
        <v>28608</v>
      </c>
      <c r="F351" s="5">
        <v>2742579</v>
      </c>
      <c r="G351" s="5">
        <v>301601</v>
      </c>
      <c r="H351" s="14">
        <v>10597350</v>
      </c>
      <c r="I351" s="12">
        <f>D351*(1+0.01*growthrate!E352)^2</f>
        <v>2713971</v>
      </c>
      <c r="J351" s="4">
        <f>E351*(1+0.01*growthrate!$E$3)^2</f>
        <v>29472.676799999994</v>
      </c>
      <c r="K351" s="4">
        <f>F351*(1+0.01*growthrate!$E$3)^2</f>
        <v>2825473.4502749993</v>
      </c>
      <c r="L351" s="4">
        <f>G351*(1+0.01*growthrate!$E$3)^2</f>
        <v>310716.89022499992</v>
      </c>
      <c r="M351" s="4">
        <f>H351*(1+0.01*growthrate!$E$3)^2</f>
        <v>10917654.903749997</v>
      </c>
      <c r="N351" s="12">
        <f>I351*(1+0.01*growthrate!$E$3)^5</f>
        <v>2923717.5453060791</v>
      </c>
      <c r="O351" s="4">
        <f>J351*(1+0.01*growthrate!$E$3)^5</f>
        <v>31750.443268294101</v>
      </c>
      <c r="P351" s="4">
        <f>K351*(1+0.01*growthrate!$E$3)^5</f>
        <v>3043837.3513812488</v>
      </c>
      <c r="Q351" s="4">
        <f>L351*(1+0.01*growthrate!$E$3)^5</f>
        <v>334730.33557608951</v>
      </c>
      <c r="R351" s="4">
        <f>M351*(1+0.01*growthrate!$E$3)^5</f>
        <v>11761414.987739669</v>
      </c>
      <c r="S351" s="12">
        <f>N351*(1+0.01*growthrate!$F$3)^10</f>
        <v>3134946.3975022212</v>
      </c>
      <c r="T351" s="4">
        <f>O351*(1+0.01*growthrate!$F$3)^10</f>
        <v>34044.307016879429</v>
      </c>
      <c r="U351" s="4">
        <f>P351*(1+0.01*growthrate!$F$3)^10</f>
        <v>3263744.4593836046</v>
      </c>
      <c r="V351" s="4">
        <f>Q351*(1+0.01*growthrate!$F$3)^10</f>
        <v>358913.48715736339</v>
      </c>
      <c r="W351" s="4">
        <f>R351*(1+0.01*growthrate!$F$3)^10</f>
        <v>12611138.037098963</v>
      </c>
    </row>
    <row r="352" spans="1:23" x14ac:dyDescent="0.2">
      <c r="A352" s="2" t="s">
        <v>711</v>
      </c>
      <c r="B352" s="8" t="s">
        <v>712</v>
      </c>
      <c r="C352" s="4" t="s">
        <v>779</v>
      </c>
      <c r="D352" s="5">
        <v>8168728</v>
      </c>
      <c r="E352" s="5">
        <v>22932</v>
      </c>
      <c r="F352" s="5">
        <v>8191660</v>
      </c>
      <c r="G352" s="5">
        <v>2457358</v>
      </c>
      <c r="H352" s="14">
        <v>19618111</v>
      </c>
      <c r="I352" s="12">
        <f>D352*(1+0.01*growthrate!E353)^2</f>
        <v>8168728</v>
      </c>
      <c r="J352" s="4">
        <f>E352*(1+0.01*growthrate!$E$3)^2</f>
        <v>23625.119699999992</v>
      </c>
      <c r="K352" s="4">
        <f>F352*(1+0.01*growthrate!$E$3)^2</f>
        <v>8439252.9234999977</v>
      </c>
      <c r="L352" s="4">
        <f>G352*(1+0.01*growthrate!$E$3)^2</f>
        <v>2531631.6455499995</v>
      </c>
      <c r="M352" s="4">
        <f>H352*(1+0.01*growthrate!$E$3)^2</f>
        <v>20211068.404974993</v>
      </c>
      <c r="N352" s="12">
        <f>I352*(1+0.01*growthrate!$E$3)^5</f>
        <v>8800040.0064823963</v>
      </c>
      <c r="O352" s="4">
        <f>J352*(1+0.01*growthrate!$E$3)^5</f>
        <v>25450.963542663598</v>
      </c>
      <c r="P352" s="4">
        <f>K352*(1+0.01*growthrate!$E$3)^5</f>
        <v>9091472.1792209893</v>
      </c>
      <c r="Q352" s="4">
        <f>L352*(1+0.01*growthrate!$E$3)^5</f>
        <v>2727286.2754784906</v>
      </c>
      <c r="R352" s="4">
        <f>M352*(1+0.01*growthrate!$E$3)^5</f>
        <v>21773060.694092434</v>
      </c>
      <c r="S352" s="12">
        <f>N352*(1+0.01*growthrate!$F$3)^10</f>
        <v>9435813.5793549456</v>
      </c>
      <c r="T352" s="4">
        <f>O352*(1+0.01*growthrate!$F$3)^10</f>
        <v>27289.710867976752</v>
      </c>
      <c r="U352" s="4">
        <f>P352*(1+0.01*growthrate!$F$3)^10</f>
        <v>9748300.7556589246</v>
      </c>
      <c r="V352" s="4">
        <f>Q352*(1+0.01*growthrate!$F$3)^10</f>
        <v>2924323.6228462248</v>
      </c>
      <c r="W352" s="4">
        <f>R352*(1+0.01*growthrate!$F$3)^10</f>
        <v>23346091.79163938</v>
      </c>
    </row>
    <row r="353" spans="1:23" x14ac:dyDescent="0.2">
      <c r="A353" s="2" t="s">
        <v>713</v>
      </c>
      <c r="B353" s="8" t="s">
        <v>714</v>
      </c>
      <c r="C353" s="4" t="s">
        <v>779</v>
      </c>
      <c r="D353" s="5">
        <v>3644344</v>
      </c>
      <c r="E353" s="5">
        <v>6393</v>
      </c>
      <c r="F353" s="5">
        <v>3650737</v>
      </c>
      <c r="G353" s="5">
        <v>351564</v>
      </c>
      <c r="H353" s="14">
        <v>18206167</v>
      </c>
      <c r="I353" s="12">
        <f>D353*(1+0.01*growthrate!E354)^2</f>
        <v>3644344</v>
      </c>
      <c r="J353" s="4">
        <f>E353*(1+0.01*growthrate!$E$3)^2</f>
        <v>6586.2284249999984</v>
      </c>
      <c r="K353" s="4">
        <f>F353*(1+0.01*growthrate!$E$3)^2</f>
        <v>3761080.525824999</v>
      </c>
      <c r="L353" s="4">
        <f>G353*(1+0.01*growthrate!$E$3)^2</f>
        <v>362190.02189999988</v>
      </c>
      <c r="M353" s="4">
        <f>H353*(1+0.01*growthrate!$E$3)^2</f>
        <v>18756448.397574995</v>
      </c>
      <c r="N353" s="12">
        <f>I353*(1+0.01*growthrate!$E$3)^5</f>
        <v>3925993.4958519964</v>
      </c>
      <c r="O353" s="4">
        <f>J353*(1+0.01*growthrate!$E$3)^5</f>
        <v>7095.2385281810748</v>
      </c>
      <c r="P353" s="4">
        <f>K353*(1+0.01*growthrate!$E$3)^5</f>
        <v>4051751.8877923028</v>
      </c>
      <c r="Q353" s="4">
        <f>L353*(1+0.01*growthrate!$E$3)^5</f>
        <v>390181.51695940108</v>
      </c>
      <c r="R353" s="4">
        <f>M353*(1+0.01*growthrate!$E$3)^5</f>
        <v>20206021.828390248</v>
      </c>
      <c r="S353" s="12">
        <f>N353*(1+0.01*growthrate!$F$3)^10</f>
        <v>4209633.4463628521</v>
      </c>
      <c r="T353" s="4">
        <f>O353*(1+0.01*growthrate!$F$3)^10</f>
        <v>7607.8458738433364</v>
      </c>
      <c r="U353" s="4">
        <f>P353*(1+0.01*growthrate!$F$3)^10</f>
        <v>4344477.4631530112</v>
      </c>
      <c r="V353" s="4">
        <f>Q353*(1+0.01*growthrate!$F$3)^10</f>
        <v>418370.8316583542</v>
      </c>
      <c r="W353" s="4">
        <f>R353*(1+0.01*growthrate!$F$3)^10</f>
        <v>21665839.588526938</v>
      </c>
    </row>
    <row r="354" spans="1:23" x14ac:dyDescent="0.2">
      <c r="A354" s="2" t="s">
        <v>715</v>
      </c>
      <c r="B354" s="8" t="s">
        <v>716</v>
      </c>
      <c r="C354" s="4" t="s">
        <v>779</v>
      </c>
      <c r="D354" s="5">
        <v>4082453</v>
      </c>
      <c r="E354" s="5">
        <v>9650</v>
      </c>
      <c r="F354" s="5">
        <v>4092103</v>
      </c>
      <c r="G354" s="5">
        <v>231155</v>
      </c>
      <c r="H354" s="14">
        <v>22268617</v>
      </c>
      <c r="I354" s="12">
        <f>D354*(1+0.01*growthrate!E355)^2</f>
        <v>4082453</v>
      </c>
      <c r="J354" s="4">
        <f>E354*(1+0.01*growthrate!$E$3)^2</f>
        <v>9941.6712499999976</v>
      </c>
      <c r="K354" s="4">
        <f>F354*(1+0.01*growthrate!$E$3)^2</f>
        <v>4215786.8131749993</v>
      </c>
      <c r="L354" s="4">
        <f>G354*(1+0.01*growthrate!$E$3)^2</f>
        <v>238141.65987499992</v>
      </c>
      <c r="M354" s="4">
        <f>H354*(1+0.01*growthrate!$E$3)^2</f>
        <v>22941685.948824994</v>
      </c>
      <c r="N354" s="12">
        <f>I354*(1+0.01*growthrate!$E$3)^5</f>
        <v>4397961.3135097753</v>
      </c>
      <c r="O354" s="4">
        <f>J354*(1+0.01*growthrate!$E$3)^5</f>
        <v>10710.003409502169</v>
      </c>
      <c r="P354" s="4">
        <f>K354*(1+0.01*growthrate!$E$3)^5</f>
        <v>4541599.6976201097</v>
      </c>
      <c r="Q354" s="4">
        <f>L354*(1+0.01*growthrate!$E$3)^5</f>
        <v>256546.20084181076</v>
      </c>
      <c r="R354" s="4">
        <f>M354*(1+0.01*growthrate!$E$3)^5</f>
        <v>24714711.294808079</v>
      </c>
      <c r="S354" s="12">
        <f>N354*(1+0.01*growthrate!$F$3)^10</f>
        <v>4715699.3664715411</v>
      </c>
      <c r="T354" s="4">
        <f>O354*(1+0.01*growthrate!$F$3)^10</f>
        <v>11483.765475142844</v>
      </c>
      <c r="U354" s="4">
        <f>P354*(1+0.01*growthrate!$F$3)^10</f>
        <v>4869715.1452982854</v>
      </c>
      <c r="V354" s="4">
        <f>Q354*(1+0.01*growthrate!$F$3)^10</f>
        <v>275080.80916131026</v>
      </c>
      <c r="W354" s="4">
        <f>R354*(1+0.01*growthrate!$F$3)^10</f>
        <v>26500266.848059997</v>
      </c>
    </row>
    <row r="355" spans="1:23" x14ac:dyDescent="0.2">
      <c r="A355" s="2" t="s">
        <v>717</v>
      </c>
      <c r="B355" s="8" t="s">
        <v>718</v>
      </c>
      <c r="C355" s="4" t="s">
        <v>779</v>
      </c>
      <c r="D355" s="5">
        <v>6048286</v>
      </c>
      <c r="E355" s="5">
        <v>142783</v>
      </c>
      <c r="F355" s="5">
        <v>6191069</v>
      </c>
      <c r="G355" s="5">
        <v>1302339</v>
      </c>
      <c r="H355" s="14">
        <v>28126100</v>
      </c>
      <c r="I355" s="12">
        <f>D355*(1+0.01*growthrate!E356)^2</f>
        <v>6048286</v>
      </c>
      <c r="J355" s="4">
        <f>E355*(1+0.01*growthrate!$E$3)^2</f>
        <v>147098.61617499997</v>
      </c>
      <c r="K355" s="4">
        <f>F355*(1+0.01*growthrate!$E$3)^2</f>
        <v>6378194.0605249982</v>
      </c>
      <c r="L355" s="4">
        <f>G355*(1+0.01*growthrate!$E$3)^2</f>
        <v>1341702.1962749995</v>
      </c>
      <c r="M355" s="4">
        <f>H355*(1+0.01*growthrate!$E$3)^2</f>
        <v>28976211.372499991</v>
      </c>
      <c r="N355" s="12">
        <f>I355*(1+0.01*growthrate!$E$3)^5</f>
        <v>6515721.758717807</v>
      </c>
      <c r="O355" s="4">
        <f>J355*(1+0.01*growthrate!$E$3)^5</f>
        <v>158466.98619885475</v>
      </c>
      <c r="P355" s="4">
        <f>K355*(1+0.01*growthrate!$E$3)^5</f>
        <v>6871126.4350739056</v>
      </c>
      <c r="Q355" s="4">
        <f>L355*(1+0.01*growthrate!$E$3)^5</f>
        <v>1445394.3140235902</v>
      </c>
      <c r="R355" s="4">
        <f>M355*(1+0.01*growthrate!$E$3)^5</f>
        <v>31215609.004766732</v>
      </c>
      <c r="S355" s="12">
        <f>N355*(1+0.01*growthrate!$F$3)^10</f>
        <v>6986460.9484637529</v>
      </c>
      <c r="T355" s="4">
        <f>O355*(1+0.01*growthrate!$F$3)^10</f>
        <v>169915.69801423012</v>
      </c>
      <c r="U355" s="4">
        <f>P355*(1+0.01*growthrate!$F$3)^10</f>
        <v>7367542.4286452988</v>
      </c>
      <c r="V355" s="4">
        <f>Q355*(1+0.01*growthrate!$F$3)^10</f>
        <v>1549819.2378375186</v>
      </c>
      <c r="W355" s="4">
        <f>R355*(1+0.01*growthrate!$F$3)^10</f>
        <v>33470832.759628508</v>
      </c>
    </row>
    <row r="356" spans="1:23" x14ac:dyDescent="0.2">
      <c r="A356" s="2" t="s">
        <v>719</v>
      </c>
      <c r="B356" s="8" t="s">
        <v>720</v>
      </c>
      <c r="C356" s="4" t="s">
        <v>779</v>
      </c>
      <c r="D356" s="5">
        <v>497396</v>
      </c>
      <c r="E356" s="5">
        <v>0</v>
      </c>
      <c r="F356" s="5">
        <v>497396</v>
      </c>
      <c r="G356" s="5">
        <v>5971558</v>
      </c>
      <c r="H356" s="14">
        <v>71808579</v>
      </c>
      <c r="I356" s="12">
        <f>D356*(1+0.01*growthrate!E357)^2</f>
        <v>497396</v>
      </c>
      <c r="J356" s="4">
        <f>E356*(1+0.01*growthrate!$E$3)^2</f>
        <v>0</v>
      </c>
      <c r="K356" s="4">
        <f>F356*(1+0.01*growthrate!$E$3)^2</f>
        <v>512429.79409999988</v>
      </c>
      <c r="L356" s="4">
        <f>G356*(1+0.01*growthrate!$E$3)^2</f>
        <v>6152048.340549998</v>
      </c>
      <c r="M356" s="4">
        <f>H356*(1+0.01*growthrate!$E$3)^2</f>
        <v>73978993.300274983</v>
      </c>
      <c r="N356" s="12">
        <f>I356*(1+0.01*growthrate!$E$3)^5</f>
        <v>535836.75439607224</v>
      </c>
      <c r="O356" s="4">
        <f>J356*(1+0.01*growthrate!$E$3)^5</f>
        <v>0</v>
      </c>
      <c r="P356" s="4">
        <f>K356*(1+0.01*growthrate!$E$3)^5</f>
        <v>552032.42029769334</v>
      </c>
      <c r="Q356" s="4">
        <f>L356*(1+0.01*growthrate!$E$3)^5</f>
        <v>6627503.2683979226</v>
      </c>
      <c r="R356" s="4">
        <f>M356*(1+0.01*growthrate!$E$3)^5</f>
        <v>79696386.105855539</v>
      </c>
      <c r="S356" s="12">
        <f>N356*(1+0.01*growthrate!$F$3)^10</f>
        <v>574549.1747450562</v>
      </c>
      <c r="T356" s="4">
        <f>O356*(1+0.01*growthrate!$F$3)^10</f>
        <v>0</v>
      </c>
      <c r="U356" s="4">
        <f>P356*(1+0.01*growthrate!$F$3)^10</f>
        <v>591914.92355172534</v>
      </c>
      <c r="V356" s="4">
        <f>Q356*(1+0.01*growthrate!$F$3)^10</f>
        <v>7106318.2998148231</v>
      </c>
      <c r="W356" s="4">
        <f>R356*(1+0.01*growthrate!$F$3)^10</f>
        <v>85454184.491115794</v>
      </c>
    </row>
    <row r="357" spans="1:23" x14ac:dyDescent="0.2">
      <c r="A357" s="2" t="s">
        <v>721</v>
      </c>
      <c r="B357" s="8" t="s">
        <v>722</v>
      </c>
      <c r="C357" s="4" t="s">
        <v>779</v>
      </c>
      <c r="D357" s="5">
        <v>0</v>
      </c>
      <c r="E357" s="5">
        <v>0</v>
      </c>
      <c r="F357" s="5">
        <v>0</v>
      </c>
      <c r="G357" s="5">
        <v>378064</v>
      </c>
      <c r="H357" s="14">
        <v>75194253</v>
      </c>
      <c r="I357" s="12">
        <f>D357*(1+0.01*growthrate!E358)^2</f>
        <v>0</v>
      </c>
      <c r="J357" s="4">
        <f>E357*(1+0.01*growthrate!$E$3)^2</f>
        <v>0</v>
      </c>
      <c r="K357" s="4">
        <f>F357*(1+0.01*growthrate!$E$3)^2</f>
        <v>0</v>
      </c>
      <c r="L357" s="4">
        <f>G357*(1+0.01*growthrate!$E$3)^2</f>
        <v>389490.9843999999</v>
      </c>
      <c r="M357" s="4">
        <f>H357*(1+0.01*growthrate!$E$3)^2</f>
        <v>77466999.296924978</v>
      </c>
      <c r="N357" s="12">
        <f>I357*(1+0.01*growthrate!$E$3)^5</f>
        <v>0</v>
      </c>
      <c r="O357" s="4">
        <f>J357*(1+0.01*growthrate!$E$3)^5</f>
        <v>0</v>
      </c>
      <c r="P357" s="4">
        <f>K357*(1+0.01*growthrate!$E$3)^5</f>
        <v>0</v>
      </c>
      <c r="Q357" s="4">
        <f>L357*(1+0.01*growthrate!$E$3)^5</f>
        <v>419592.40715129825</v>
      </c>
      <c r="R357" s="4">
        <f>M357*(1+0.01*growthrate!$E$3)^5</f>
        <v>83453959.171499342</v>
      </c>
      <c r="S357" s="12">
        <f>N357*(1+0.01*growthrate!$F$3)^10</f>
        <v>0</v>
      </c>
      <c r="T357" s="4">
        <f>O357*(1+0.01*growthrate!$F$3)^10</f>
        <v>0</v>
      </c>
      <c r="U357" s="4">
        <f>P357*(1+0.01*growthrate!$F$3)^10</f>
        <v>0</v>
      </c>
      <c r="V357" s="4">
        <f>Q357*(1+0.01*growthrate!$F$3)^10</f>
        <v>449906.56068335788</v>
      </c>
      <c r="W357" s="4">
        <f>R357*(1+0.01*growthrate!$F$3)^10</f>
        <v>89483229.692285597</v>
      </c>
    </row>
    <row r="358" spans="1:23" x14ac:dyDescent="0.2">
      <c r="A358" s="2" t="s">
        <v>723</v>
      </c>
      <c r="B358" s="8" t="s">
        <v>724</v>
      </c>
      <c r="C358" s="4" t="s">
        <v>779</v>
      </c>
      <c r="D358" s="5">
        <v>0</v>
      </c>
      <c r="E358" s="5">
        <v>0</v>
      </c>
      <c r="F358" s="5">
        <v>0</v>
      </c>
      <c r="G358" s="5">
        <v>45560</v>
      </c>
      <c r="H358" s="14">
        <v>3308896</v>
      </c>
      <c r="I358" s="12">
        <f>D358*(1+0.01*growthrate!E359)^2</f>
        <v>0</v>
      </c>
      <c r="J358" s="4">
        <f>E358*(1+0.01*growthrate!$E$3)^2</f>
        <v>0</v>
      </c>
      <c r="K358" s="4">
        <f>F358*(1+0.01*growthrate!$E$3)^2</f>
        <v>0</v>
      </c>
      <c r="L358" s="4">
        <f>G358*(1+0.01*growthrate!$E$3)^2</f>
        <v>46937.050999999985</v>
      </c>
      <c r="M358" s="4">
        <f>H358*(1+0.01*growthrate!$E$3)^2</f>
        <v>3408907.381599999</v>
      </c>
      <c r="N358" s="12">
        <f>I358*(1+0.01*growthrate!$E$3)^5</f>
        <v>0</v>
      </c>
      <c r="O358" s="4">
        <f>J358*(1+0.01*growthrate!$E$3)^5</f>
        <v>0</v>
      </c>
      <c r="P358" s="4">
        <f>K358*(1+0.01*growthrate!$E$3)^5</f>
        <v>0</v>
      </c>
      <c r="Q358" s="4">
        <f>L358*(1+0.01*growthrate!$E$3)^5</f>
        <v>50564.534231805061</v>
      </c>
      <c r="R358" s="4">
        <f>M358*(1+0.01*growthrate!$E$3)^5</f>
        <v>3672361.3929210454</v>
      </c>
      <c r="S358" s="12">
        <f>N358*(1+0.01*growthrate!$F$3)^10</f>
        <v>0</v>
      </c>
      <c r="T358" s="4">
        <f>O358*(1+0.01*growthrate!$F$3)^10</f>
        <v>0</v>
      </c>
      <c r="U358" s="4">
        <f>P358*(1+0.01*growthrate!$F$3)^10</f>
        <v>0</v>
      </c>
      <c r="V358" s="4">
        <f>Q358*(1+0.01*growthrate!$F$3)^10</f>
        <v>54217.653372798748</v>
      </c>
      <c r="W358" s="4">
        <f>R358*(1+0.01*growthrate!$F$3)^10</f>
        <v>3937677.268978057</v>
      </c>
    </row>
    <row r="359" spans="1:23" x14ac:dyDescent="0.2">
      <c r="A359" s="2" t="s">
        <v>725</v>
      </c>
      <c r="B359" s="8" t="s">
        <v>726</v>
      </c>
      <c r="C359" s="4" t="s">
        <v>779</v>
      </c>
      <c r="D359" s="5">
        <v>0</v>
      </c>
      <c r="E359" s="5">
        <v>604592</v>
      </c>
      <c r="F359" s="5">
        <v>604592</v>
      </c>
      <c r="G359" s="5">
        <v>856644</v>
      </c>
      <c r="H359" s="14">
        <v>61688929</v>
      </c>
      <c r="I359" s="12">
        <f>D359*(1+0.01*growthrate!E360)^2</f>
        <v>0</v>
      </c>
      <c r="J359" s="4">
        <f>E359*(1+0.01*growthrate!$E$3)^2</f>
        <v>622865.79319999984</v>
      </c>
      <c r="K359" s="4">
        <f>F359*(1+0.01*growthrate!$E$3)^2</f>
        <v>622865.79319999984</v>
      </c>
      <c r="L359" s="4">
        <f>G359*(1+0.01*growthrate!$E$3)^2</f>
        <v>882536.06489999976</v>
      </c>
      <c r="M359" s="4">
        <f>H359*(1+0.01*growthrate!$E$3)^2</f>
        <v>63553476.879024982</v>
      </c>
      <c r="N359" s="12">
        <f>I359*(1+0.01*growthrate!$E$3)^5</f>
        <v>0</v>
      </c>
      <c r="O359" s="4">
        <f>J359*(1+0.01*growthrate!$E$3)^5</f>
        <v>671003.35558111256</v>
      </c>
      <c r="P359" s="4">
        <f>K359*(1+0.01*growthrate!$E$3)^5</f>
        <v>671003.35558111256</v>
      </c>
      <c r="Q359" s="4">
        <f>L359*(1+0.01*growthrate!$E$3)^5</f>
        <v>950741.98556783178</v>
      </c>
      <c r="R359" s="4">
        <f>M359*(1+0.01*growthrate!$E$3)^5</f>
        <v>68465144.033009037</v>
      </c>
      <c r="S359" s="12">
        <f>N359*(1+0.01*growthrate!$F$3)^10</f>
        <v>0</v>
      </c>
      <c r="T359" s="4">
        <f>O359*(1+0.01*growthrate!$F$3)^10</f>
        <v>719481.11255415156</v>
      </c>
      <c r="U359" s="4">
        <f>P359*(1+0.01*growthrate!$F$3)^10</f>
        <v>719481.11255415156</v>
      </c>
      <c r="V359" s="4">
        <f>Q359*(1+0.01*growthrate!$F$3)^10</f>
        <v>1019429.9265998203</v>
      </c>
      <c r="W359" s="4">
        <f>R359*(1+0.01*growthrate!$F$3)^10</f>
        <v>73411522.595724151</v>
      </c>
    </row>
    <row r="360" spans="1:23" x14ac:dyDescent="0.2">
      <c r="A360" s="2" t="s">
        <v>727</v>
      </c>
      <c r="B360" s="8" t="s">
        <v>728</v>
      </c>
      <c r="C360" s="4" t="s">
        <v>779</v>
      </c>
      <c r="D360" s="5">
        <v>0</v>
      </c>
      <c r="E360" s="5">
        <v>1192985</v>
      </c>
      <c r="F360" s="5">
        <v>1192985</v>
      </c>
      <c r="G360" s="5">
        <v>514058</v>
      </c>
      <c r="H360" s="14">
        <v>20279943</v>
      </c>
      <c r="I360" s="12">
        <f>D360*(1+0.01*growthrate!E361)^2</f>
        <v>0</v>
      </c>
      <c r="J360" s="4">
        <f>E360*(1+0.01*growthrate!$E$3)^2</f>
        <v>1229042.9716249998</v>
      </c>
      <c r="K360" s="4">
        <f>F360*(1+0.01*growthrate!$E$3)^2</f>
        <v>1229042.9716249998</v>
      </c>
      <c r="L360" s="4">
        <f>G360*(1+0.01*growthrate!$E$3)^2</f>
        <v>529595.40304999985</v>
      </c>
      <c r="M360" s="4">
        <f>H360*(1+0.01*growthrate!$E$3)^2</f>
        <v>20892904.277174994</v>
      </c>
      <c r="N360" s="12">
        <f>I360*(1+0.01*growthrate!$E$3)^5</f>
        <v>0</v>
      </c>
      <c r="O360" s="4">
        <f>J360*(1+0.01*growthrate!$E$3)^5</f>
        <v>1324028.3334181292</v>
      </c>
      <c r="P360" s="4">
        <f>K360*(1+0.01*growthrate!$E$3)^5</f>
        <v>1324028.3334181292</v>
      </c>
      <c r="Q360" s="4">
        <f>L360*(1+0.01*growthrate!$E$3)^5</f>
        <v>570524.65623646276</v>
      </c>
      <c r="R360" s="4">
        <f>M360*(1+0.01*growthrate!$E$3)^5</f>
        <v>22507591.572488047</v>
      </c>
      <c r="S360" s="12">
        <f>N360*(1+0.01*growthrate!$F$3)^10</f>
        <v>0</v>
      </c>
      <c r="T360" s="4">
        <f>O360*(1+0.01*growthrate!$F$3)^10</f>
        <v>1419684.9694676981</v>
      </c>
      <c r="U360" s="4">
        <f>P360*(1+0.01*growthrate!$F$3)^10</f>
        <v>1419684.9694676981</v>
      </c>
      <c r="V360" s="4">
        <f>Q360*(1+0.01*growthrate!$F$3)^10</f>
        <v>611743.1619296351</v>
      </c>
      <c r="W360" s="4">
        <f>R360*(1+0.01*growthrate!$F$3)^10</f>
        <v>24133690.078887541</v>
      </c>
    </row>
    <row r="361" spans="1:23" x14ac:dyDescent="0.2">
      <c r="A361" s="2" t="s">
        <v>729</v>
      </c>
      <c r="B361" s="8" t="s">
        <v>730</v>
      </c>
      <c r="C361" s="4" t="s">
        <v>779</v>
      </c>
      <c r="D361" s="5">
        <v>12067</v>
      </c>
      <c r="E361" s="5">
        <v>343030</v>
      </c>
      <c r="F361" s="5">
        <v>355097</v>
      </c>
      <c r="G361" s="5">
        <v>961621</v>
      </c>
      <c r="H361" s="14">
        <v>21353197</v>
      </c>
      <c r="I361" s="12">
        <f>D361*(1+0.01*growthrate!E362)^2</f>
        <v>12067</v>
      </c>
      <c r="J361" s="4">
        <f>E361*(1+0.01*growthrate!$E$3)^2</f>
        <v>353398.0817499999</v>
      </c>
      <c r="K361" s="4">
        <f>F361*(1+0.01*growthrate!$E$3)^2</f>
        <v>365829.80682499992</v>
      </c>
      <c r="L361" s="4">
        <f>G361*(1+0.01*growthrate!$E$3)^2</f>
        <v>990685.99472499976</v>
      </c>
      <c r="M361" s="4">
        <f>H361*(1+0.01*growthrate!$E$3)^2</f>
        <v>21998597.379324995</v>
      </c>
      <c r="N361" s="12">
        <f>I361*(1+0.01*growthrate!$E$3)^5</f>
        <v>12999.586074872745</v>
      </c>
      <c r="O361" s="4">
        <f>J361*(1+0.01*growthrate!$E$3)^5</f>
        <v>380710.10047269729</v>
      </c>
      <c r="P361" s="4">
        <f>K361*(1+0.01*growthrate!$E$3)^5</f>
        <v>394102.5990366831</v>
      </c>
      <c r="Q361" s="4">
        <f>L361*(1+0.01*growthrate!$E$3)^5</f>
        <v>1067250.1749895217</v>
      </c>
      <c r="R361" s="4">
        <f>M361*(1+0.01*growthrate!$E$3)^5</f>
        <v>23698737.064639535</v>
      </c>
      <c r="S361" s="12">
        <f>N361*(1+0.01*growthrate!$F$3)^10</f>
        <v>13938.762860273489</v>
      </c>
      <c r="T361" s="4">
        <f>O361*(1+0.01*growthrate!$F$3)^10</f>
        <v>408215.13688479265</v>
      </c>
      <c r="U361" s="4">
        <f>P361*(1+0.01*growthrate!$F$3)^10</f>
        <v>422575.19885251793</v>
      </c>
      <c r="V361" s="4">
        <f>Q361*(1+0.01*growthrate!$F$3)^10</f>
        <v>1144355.4445567187</v>
      </c>
      <c r="W361" s="4">
        <f>R361*(1+0.01*growthrate!$F$3)^10</f>
        <v>25410891.864510234</v>
      </c>
    </row>
    <row r="362" spans="1:23" x14ac:dyDescent="0.2">
      <c r="A362" s="2" t="s">
        <v>731</v>
      </c>
      <c r="B362" s="8" t="s">
        <v>732</v>
      </c>
      <c r="C362" s="4" t="s">
        <v>779</v>
      </c>
      <c r="D362" s="5">
        <v>78</v>
      </c>
      <c r="E362" s="5">
        <v>1364</v>
      </c>
      <c r="F362" s="5">
        <v>1442</v>
      </c>
      <c r="G362" s="5">
        <v>310786</v>
      </c>
      <c r="H362" s="14">
        <v>1892932</v>
      </c>
      <c r="I362" s="12">
        <f>D362*(1+0.01*growthrate!E363)^2</f>
        <v>78</v>
      </c>
      <c r="J362" s="4">
        <f>E362*(1+0.01*growthrate!$E$3)^2</f>
        <v>1405.2268999999997</v>
      </c>
      <c r="K362" s="4">
        <f>F362*(1+0.01*growthrate!$E$3)^2</f>
        <v>1485.5844499999996</v>
      </c>
      <c r="L362" s="4">
        <f>G362*(1+0.01*growthrate!$E$3)^2</f>
        <v>320179.50684999989</v>
      </c>
      <c r="M362" s="4">
        <f>H362*(1+0.01*growthrate!$E$3)^2</f>
        <v>1950145.8696999995</v>
      </c>
      <c r="N362" s="12">
        <f>I362*(1+0.01*growthrate!$E$3)^5</f>
        <v>84.028152302981198</v>
      </c>
      <c r="O362" s="4">
        <f>J362*(1+0.01*growthrate!$E$3)^5</f>
        <v>1513.8284611980268</v>
      </c>
      <c r="P362" s="4">
        <f>K362*(1+0.01*growthrate!$E$3)^5</f>
        <v>1600.3963644043656</v>
      </c>
      <c r="Q362" s="4">
        <f>L362*(1+0.01*growthrate!$E$3)^5</f>
        <v>344924.26110109233</v>
      </c>
      <c r="R362" s="4">
        <f>M362*(1+0.01*growthrate!$E$3)^5</f>
        <v>2100860.9506689906</v>
      </c>
      <c r="S362" s="12">
        <f>N362*(1+0.01*growthrate!$F$3)^10</f>
        <v>90.09890636457547</v>
      </c>
      <c r="T362" s="4">
        <f>O362*(1+0.01*growthrate!$F$3)^10</f>
        <v>1623.1975241549055</v>
      </c>
      <c r="U362" s="4">
        <f>P362*(1+0.01*growthrate!$F$3)^10</f>
        <v>1716.0196699643502</v>
      </c>
      <c r="V362" s="4">
        <f>Q362*(1+0.01*growthrate!$F$3)^10</f>
        <v>369843.88984018064</v>
      </c>
      <c r="W362" s="4">
        <f>R362*(1+0.01*growthrate!$F$3)^10</f>
        <v>2252641.1552738952</v>
      </c>
    </row>
    <row r="363" spans="1:23" x14ac:dyDescent="0.2">
      <c r="A363" s="2" t="s">
        <v>733</v>
      </c>
      <c r="B363" s="8" t="s">
        <v>734</v>
      </c>
      <c r="C363" s="4" t="s">
        <v>779</v>
      </c>
      <c r="D363" s="5">
        <v>0</v>
      </c>
      <c r="E363" s="5">
        <v>87733</v>
      </c>
      <c r="F363" s="5">
        <v>87733</v>
      </c>
      <c r="G363" s="5">
        <v>3591611</v>
      </c>
      <c r="H363" s="14">
        <v>35551451</v>
      </c>
      <c r="I363" s="12">
        <f>D363*(1+0.01*growthrate!E364)^2</f>
        <v>0</v>
      </c>
      <c r="J363" s="4">
        <f>E363*(1+0.01*growthrate!$E$3)^2</f>
        <v>90384.729924999978</v>
      </c>
      <c r="K363" s="4">
        <f>F363*(1+0.01*growthrate!$E$3)^2</f>
        <v>90384.729924999978</v>
      </c>
      <c r="L363" s="4">
        <f>G363*(1+0.01*growthrate!$E$3)^2</f>
        <v>3700167.442474999</v>
      </c>
      <c r="M363" s="4">
        <f>H363*(1+0.01*growthrate!$E$3)^2</f>
        <v>36625993.606474988</v>
      </c>
      <c r="N363" s="12">
        <f>I363*(1+0.01*growthrate!$E$3)^5</f>
        <v>0</v>
      </c>
      <c r="O363" s="4">
        <f>J363*(1+0.01*growthrate!$E$3)^5</f>
        <v>97370.023743611804</v>
      </c>
      <c r="P363" s="4">
        <f>K363*(1+0.01*growthrate!$E$3)^5</f>
        <v>97370.023743611804</v>
      </c>
      <c r="Q363" s="4">
        <f>L363*(1+0.01*growthrate!$E$3)^5</f>
        <v>3986131.1974720722</v>
      </c>
      <c r="R363" s="4">
        <f>M363*(1+0.01*growthrate!$E$3)^5</f>
        <v>39456597.038626872</v>
      </c>
      <c r="S363" s="12">
        <f>N363*(1+0.01*growthrate!$F$3)^10</f>
        <v>0</v>
      </c>
      <c r="T363" s="4">
        <f>O363*(1+0.01*growthrate!$F$3)^10</f>
        <v>104404.68356794893</v>
      </c>
      <c r="U363" s="4">
        <f>P363*(1+0.01*growthrate!$F$3)^10</f>
        <v>104404.68356794893</v>
      </c>
      <c r="V363" s="4">
        <f>Q363*(1+0.01*growthrate!$F$3)^10</f>
        <v>4274115.8965744311</v>
      </c>
      <c r="W363" s="4">
        <f>R363*(1+0.01*growthrate!$F$3)^10</f>
        <v>42307204.723837569</v>
      </c>
    </row>
    <row r="364" spans="1:23" x14ac:dyDescent="0.2">
      <c r="A364" s="2" t="s">
        <v>735</v>
      </c>
      <c r="B364" s="8" t="s">
        <v>736</v>
      </c>
      <c r="C364" s="4" t="s">
        <v>779</v>
      </c>
      <c r="D364" s="5">
        <v>517</v>
      </c>
      <c r="E364" s="5">
        <v>269861</v>
      </c>
      <c r="F364" s="5">
        <v>270378</v>
      </c>
      <c r="G364" s="5">
        <v>8843617</v>
      </c>
      <c r="H364" s="14">
        <v>59156756</v>
      </c>
      <c r="I364" s="12">
        <f>D364*(1+0.01*growthrate!E365)^2</f>
        <v>517</v>
      </c>
      <c r="J364" s="4">
        <f>E364*(1+0.01*growthrate!$E$3)^2</f>
        <v>278017.54872499994</v>
      </c>
      <c r="K364" s="4">
        <f>F364*(1+0.01*growthrate!$E$3)^2</f>
        <v>278550.1750499999</v>
      </c>
      <c r="L364" s="4">
        <f>G364*(1+0.01*growthrate!$E$3)^2</f>
        <v>9110915.323824998</v>
      </c>
      <c r="M364" s="4">
        <f>H364*(1+0.01*growthrate!$E$3)^2</f>
        <v>60944768.950099982</v>
      </c>
      <c r="N364" s="12">
        <f>I364*(1+0.01*growthrate!$E$3)^5</f>
        <v>556.95583000822148</v>
      </c>
      <c r="O364" s="4">
        <f>J364*(1+0.01*growthrate!$E$3)^5</f>
        <v>299503.85804058705</v>
      </c>
      <c r="P364" s="4">
        <f>K364*(1+0.01*growthrate!$E$3)^5</f>
        <v>300077.64786055725</v>
      </c>
      <c r="Q364" s="4">
        <f>L364*(1+0.01*growthrate!$E$3)^5</f>
        <v>9815043.3391016945</v>
      </c>
      <c r="R364" s="4">
        <f>M364*(1+0.01*growthrate!$E$3)^5</f>
        <v>65654824.7103718</v>
      </c>
      <c r="S364" s="12">
        <f>N364*(1+0.01*growthrate!$F$3)^10</f>
        <v>597.1940332113528</v>
      </c>
      <c r="T364" s="4">
        <f>O364*(1+0.01*growthrate!$F$3)^10</f>
        <v>321142.01397798164</v>
      </c>
      <c r="U364" s="4">
        <f>P364*(1+0.01*growthrate!$F$3)^10</f>
        <v>321757.25820084679</v>
      </c>
      <c r="V364" s="4">
        <f>Q364*(1+0.01*growthrate!$F$3)^10</f>
        <v>10524147.521242106</v>
      </c>
      <c r="W364" s="4">
        <f>R364*(1+0.01*growthrate!$F$3)^10</f>
        <v>70398167.06468904</v>
      </c>
    </row>
    <row r="365" spans="1:23" x14ac:dyDescent="0.2">
      <c r="A365" s="2" t="s">
        <v>737</v>
      </c>
      <c r="B365" s="8" t="s">
        <v>738</v>
      </c>
      <c r="C365" s="4" t="s">
        <v>779</v>
      </c>
      <c r="D365" s="5">
        <v>0</v>
      </c>
      <c r="E365" s="5">
        <v>996</v>
      </c>
      <c r="F365" s="5">
        <v>996</v>
      </c>
      <c r="G365" s="5">
        <v>103614</v>
      </c>
      <c r="H365" s="14">
        <v>3404903</v>
      </c>
      <c r="I365" s="12">
        <f>D365*(1+0.01*growthrate!E366)^2</f>
        <v>0</v>
      </c>
      <c r="J365" s="4">
        <f>E365*(1+0.01*growthrate!$E$3)^2</f>
        <v>1026.1040999999998</v>
      </c>
      <c r="K365" s="4">
        <f>F365*(1+0.01*growthrate!$E$3)^2</f>
        <v>1026.1040999999998</v>
      </c>
      <c r="L365" s="4">
        <f>G365*(1+0.01*growthrate!$E$3)^2</f>
        <v>106745.73314999997</v>
      </c>
      <c r="M365" s="4">
        <f>H365*(1+0.01*growthrate!$E$3)^2</f>
        <v>3507816.1931749992</v>
      </c>
      <c r="N365" s="12">
        <f>I365*(1+0.01*growthrate!$E$3)^5</f>
        <v>0</v>
      </c>
      <c r="O365" s="4">
        <f>J365*(1+0.01*growthrate!$E$3)^5</f>
        <v>1105.4055332501721</v>
      </c>
      <c r="P365" s="4">
        <f>K365*(1+0.01*growthrate!$E$3)^5</f>
        <v>1105.4055332501721</v>
      </c>
      <c r="Q365" s="4">
        <f>L365*(1+0.01*growthrate!$E$3)^5</f>
        <v>114995.47080540496</v>
      </c>
      <c r="R365" s="4">
        <f>M365*(1+0.01*growthrate!$E$3)^5</f>
        <v>3778914.2734740069</v>
      </c>
      <c r="S365" s="12">
        <f>N365*(1+0.01*growthrate!$F$3)^10</f>
        <v>0</v>
      </c>
      <c r="T365" s="4">
        <f>O365*(1+0.01*growthrate!$F$3)^10</f>
        <v>1185.2674003359866</v>
      </c>
      <c r="U365" s="4">
        <f>P365*(1+0.01*growthrate!$F$3)^10</f>
        <v>1185.2674003359866</v>
      </c>
      <c r="V365" s="4">
        <f>Q365*(1+0.01*growthrate!$F$3)^10</f>
        <v>123303.51046025395</v>
      </c>
      <c r="W365" s="4">
        <f>R365*(1+0.01*growthrate!$F$3)^10</f>
        <v>4051928.2401668699</v>
      </c>
    </row>
    <row r="366" spans="1:23" x14ac:dyDescent="0.2">
      <c r="A366" s="2" t="s">
        <v>739</v>
      </c>
      <c r="B366" s="8" t="s">
        <v>740</v>
      </c>
      <c r="C366" s="4" t="s">
        <v>779</v>
      </c>
      <c r="D366" s="5">
        <v>0</v>
      </c>
      <c r="E366" s="5">
        <v>69475</v>
      </c>
      <c r="F366" s="5">
        <v>69475</v>
      </c>
      <c r="G366" s="5">
        <v>1037738</v>
      </c>
      <c r="H366" s="14">
        <v>28561650</v>
      </c>
      <c r="I366" s="12">
        <f>D366*(1+0.01*growthrate!E367)^2</f>
        <v>0</v>
      </c>
      <c r="J366" s="4">
        <f>E366*(1+0.01*growthrate!$E$3)^2</f>
        <v>71574.881874999977</v>
      </c>
      <c r="K366" s="4">
        <f>F366*(1+0.01*growthrate!$E$3)^2</f>
        <v>71574.881874999977</v>
      </c>
      <c r="L366" s="4">
        <f>G366*(1+0.01*growthrate!$E$3)^2</f>
        <v>1069103.6310499997</v>
      </c>
      <c r="M366" s="4">
        <f>H366*(1+0.01*growthrate!$E$3)^2</f>
        <v>29424925.871249992</v>
      </c>
      <c r="N366" s="12">
        <f>I366*(1+0.01*growthrate!$E$3)^5</f>
        <v>0</v>
      </c>
      <c r="O366" s="4">
        <f>J366*(1+0.01*growthrate!$E$3)^5</f>
        <v>77106.475323851104</v>
      </c>
      <c r="P366" s="4">
        <f>K366*(1+0.01*growthrate!$E$3)^5</f>
        <v>77106.475323851104</v>
      </c>
      <c r="Q366" s="4">
        <f>L366*(1+0.01*growthrate!$E$3)^5</f>
        <v>1151728.2402248667</v>
      </c>
      <c r="R366" s="4">
        <f>M366*(1+0.01*growthrate!$E$3)^5</f>
        <v>31699001.956581101</v>
      </c>
      <c r="S366" s="12">
        <f>N366*(1+0.01*growthrate!$F$3)^10</f>
        <v>0</v>
      </c>
      <c r="T366" s="4">
        <f>O366*(1+0.01*growthrate!$F$3)^10</f>
        <v>82677.161283476569</v>
      </c>
      <c r="U366" s="4">
        <f>P366*(1+0.01*growthrate!$F$3)^10</f>
        <v>82677.161283476569</v>
      </c>
      <c r="V366" s="4">
        <f>Q366*(1+0.01*growthrate!$F$3)^10</f>
        <v>1234936.7685641227</v>
      </c>
      <c r="W366" s="4">
        <f>R366*(1+0.01*growthrate!$F$3)^10</f>
        <v>33989149.241773427</v>
      </c>
    </row>
    <row r="367" spans="1:23" x14ac:dyDescent="0.2">
      <c r="A367" s="2" t="s">
        <v>741</v>
      </c>
      <c r="B367" s="8" t="s">
        <v>742</v>
      </c>
      <c r="C367" s="4" t="s">
        <v>779</v>
      </c>
      <c r="D367" s="5">
        <v>8402</v>
      </c>
      <c r="E367" s="5">
        <v>1054036</v>
      </c>
      <c r="F367" s="5">
        <v>1062438</v>
      </c>
      <c r="G367" s="5">
        <v>174413</v>
      </c>
      <c r="H367" s="14">
        <v>2977465</v>
      </c>
      <c r="I367" s="12">
        <f>D367*(1+0.01*growthrate!E368)^2</f>
        <v>8402</v>
      </c>
      <c r="J367" s="4">
        <f>E367*(1+0.01*growthrate!$E$3)^2</f>
        <v>1085894.2380999997</v>
      </c>
      <c r="K367" s="4">
        <f>F367*(1+0.01*growthrate!$E$3)^2</f>
        <v>1094550.1885499996</v>
      </c>
      <c r="L367" s="4">
        <f>G367*(1+0.01*growthrate!$E$3)^2</f>
        <v>179684.63292499995</v>
      </c>
      <c r="M367" s="4">
        <f>H367*(1+0.01*growthrate!$E$3)^2</f>
        <v>3067458.8796249991</v>
      </c>
      <c r="N367" s="12">
        <f>I367*(1+0.01*growthrate!$E$3)^5</f>
        <v>9051.3402006365122</v>
      </c>
      <c r="O367" s="4">
        <f>J367*(1+0.01*growthrate!$E$3)^5</f>
        <v>1169816.4926153398</v>
      </c>
      <c r="P367" s="4">
        <f>K367*(1+0.01*growthrate!$E$3)^5</f>
        <v>1179141.4095735403</v>
      </c>
      <c r="Q367" s="4">
        <f>L367*(1+0.01*growthrate!$E$3)^5</f>
        <v>193571.38079393801</v>
      </c>
      <c r="R367" s="4">
        <f>M367*(1+0.01*growthrate!$E$3)^5</f>
        <v>3304524.3835930959</v>
      </c>
      <c r="S367" s="12">
        <f>N367*(1+0.01*growthrate!$F$3)^10</f>
        <v>9705.2693753226031</v>
      </c>
      <c r="T367" s="4">
        <f>O367*(1+0.01*growthrate!$F$3)^10</f>
        <v>1254331.8369282552</v>
      </c>
      <c r="U367" s="4">
        <f>P367*(1+0.01*growthrate!$F$3)^10</f>
        <v>1264330.4480704467</v>
      </c>
      <c r="V367" s="4">
        <f>Q367*(1+0.01*growthrate!$F$3)^10</f>
        <v>207556.26816747032</v>
      </c>
      <c r="W367" s="4">
        <f>R367*(1+0.01*growthrate!$F$3)^10</f>
        <v>3543265.2611861331</v>
      </c>
    </row>
    <row r="368" spans="1:23" x14ac:dyDescent="0.2">
      <c r="A368" s="2" t="s">
        <v>743</v>
      </c>
      <c r="B368" s="8" t="s">
        <v>744</v>
      </c>
      <c r="C368" s="4" t="s">
        <v>779</v>
      </c>
      <c r="D368" s="5">
        <v>720573</v>
      </c>
      <c r="E368" s="5">
        <v>211989</v>
      </c>
      <c r="F368" s="5">
        <v>932562</v>
      </c>
      <c r="G368" s="5">
        <v>489532</v>
      </c>
      <c r="H368" s="14">
        <v>2622415</v>
      </c>
      <c r="I368" s="12">
        <f>D368*(1+0.01*growthrate!E369)^2</f>
        <v>720573</v>
      </c>
      <c r="J368" s="4">
        <f>E368*(1+0.01*growthrate!$E$3)^2</f>
        <v>218396.36752499995</v>
      </c>
      <c r="K368" s="4">
        <f>F368*(1+0.01*growthrate!$E$3)^2</f>
        <v>960748.68644999969</v>
      </c>
      <c r="L368" s="4">
        <f>G368*(1+0.01*growthrate!$E$3)^2</f>
        <v>504328.10469999985</v>
      </c>
      <c r="M368" s="4">
        <f>H368*(1+0.01*growthrate!$E$3)^2</f>
        <v>2701677.4933749991</v>
      </c>
      <c r="N368" s="12">
        <f>I368*(1+0.01*growthrate!$E$3)^5</f>
        <v>776261.76653097523</v>
      </c>
      <c r="O368" s="4">
        <f>J368*(1+0.01*growthrate!$E$3)^5</f>
        <v>235274.91324113528</v>
      </c>
      <c r="P368" s="4">
        <f>K368*(1+0.01*growthrate!$E$3)^5</f>
        <v>1034999.1916655089</v>
      </c>
      <c r="Q368" s="4">
        <f>L368*(1+0.01*growthrate!$E$3)^5</f>
        <v>543304.59990263381</v>
      </c>
      <c r="R368" s="4">
        <f>M368*(1+0.01*growthrate!$E$3)^5</f>
        <v>2910473.9472673191</v>
      </c>
      <c r="S368" s="12">
        <f>N368*(1+0.01*growthrate!$F$3)^10</f>
        <v>832344.09302360564</v>
      </c>
      <c r="T368" s="4">
        <f>O368*(1+0.01*growthrate!$F$3)^10</f>
        <v>252272.74189741514</v>
      </c>
      <c r="U368" s="4">
        <f>P368*(1+0.01*growthrate!$F$3)^10</f>
        <v>1109774.435132659</v>
      </c>
      <c r="V368" s="4">
        <f>Q368*(1+0.01*growthrate!$F$3)^10</f>
        <v>582556.54721011675</v>
      </c>
      <c r="W368" s="4">
        <f>R368*(1+0.01*growthrate!$F$3)^10</f>
        <v>3120745.9936266029</v>
      </c>
    </row>
    <row r="369" spans="1:23" x14ac:dyDescent="0.2">
      <c r="A369" s="2" t="s">
        <v>745</v>
      </c>
      <c r="B369" s="8" t="s">
        <v>746</v>
      </c>
      <c r="C369" s="4" t="s">
        <v>779</v>
      </c>
      <c r="D369" s="5">
        <v>5618</v>
      </c>
      <c r="E369" s="5">
        <v>792235</v>
      </c>
      <c r="F369" s="5">
        <v>797853</v>
      </c>
      <c r="G369" s="5">
        <v>21278</v>
      </c>
      <c r="H369" s="14">
        <v>1575995</v>
      </c>
      <c r="I369" s="12">
        <f>D369*(1+0.01*growthrate!E370)^2</f>
        <v>5618</v>
      </c>
      <c r="J369" s="4">
        <f>E369*(1+0.01*growthrate!$E$3)^2</f>
        <v>816180.30287499982</v>
      </c>
      <c r="K369" s="4">
        <f>F369*(1+0.01*growthrate!$E$3)^2</f>
        <v>821968.10692499974</v>
      </c>
      <c r="L369" s="4">
        <f>G369*(1+0.01*growthrate!$E$3)^2</f>
        <v>21921.127549999994</v>
      </c>
      <c r="M369" s="4">
        <f>H369*(1+0.01*growthrate!$E$3)^2</f>
        <v>1623629.4488749995</v>
      </c>
      <c r="N369" s="12">
        <f>I369*(1+0.01*growthrate!$E$3)^5</f>
        <v>6052.1815338224151</v>
      </c>
      <c r="O369" s="4">
        <f>J369*(1+0.01*growthrate!$E$3)^5</f>
        <v>879257.98457274109</v>
      </c>
      <c r="P369" s="4">
        <f>K369*(1+0.01*growthrate!$E$3)^5</f>
        <v>885493.09329342318</v>
      </c>
      <c r="Q369" s="4">
        <f>L369*(1+0.01*growthrate!$E$3)^5</f>
        <v>23615.280056724059</v>
      </c>
      <c r="R369" s="4">
        <f>M369*(1+0.01*growthrate!$E$3)^5</f>
        <v>1749110.0335086395</v>
      </c>
      <c r="S369" s="12">
        <f>N369*(1+0.01*growthrate!$F$3)^10</f>
        <v>6489.4314866177565</v>
      </c>
      <c r="T369" s="4">
        <f>O369*(1+0.01*growthrate!$F$3)^10</f>
        <v>942781.44468391617</v>
      </c>
      <c r="U369" s="4">
        <f>P369*(1+0.01*growthrate!$F$3)^10</f>
        <v>949467.01923721679</v>
      </c>
      <c r="V369" s="4">
        <f>Q369*(1+0.01*growthrate!$F$3)^10</f>
        <v>25321.405365812378</v>
      </c>
      <c r="W369" s="4">
        <f>R369*(1+0.01*growthrate!$F$3)^10</f>
        <v>1875477.406217383</v>
      </c>
    </row>
    <row r="370" spans="1:23" x14ac:dyDescent="0.2">
      <c r="A370" s="2" t="s">
        <v>747</v>
      </c>
      <c r="B370" s="8" t="s">
        <v>748</v>
      </c>
      <c r="C370" s="4" t="s">
        <v>779</v>
      </c>
      <c r="D370" s="5">
        <v>29565</v>
      </c>
      <c r="E370" s="5">
        <v>758908</v>
      </c>
      <c r="F370" s="5">
        <v>788473</v>
      </c>
      <c r="G370" s="5">
        <v>251858</v>
      </c>
      <c r="H370" s="14">
        <v>3000910</v>
      </c>
      <c r="I370" s="12">
        <f>D370*(1+0.01*growthrate!E371)^2</f>
        <v>29565</v>
      </c>
      <c r="J370" s="4">
        <f>E370*(1+0.01*growthrate!$E$3)^2</f>
        <v>781845.99429999979</v>
      </c>
      <c r="K370" s="4">
        <f>F370*(1+0.01*growthrate!$E$3)^2</f>
        <v>812304.59642499976</v>
      </c>
      <c r="L370" s="4">
        <f>G370*(1+0.01*growthrate!$E$3)^2</f>
        <v>259470.40804999994</v>
      </c>
      <c r="M370" s="4">
        <f>H370*(1+0.01*growthrate!$E$3)^2</f>
        <v>3091612.5047499994</v>
      </c>
      <c r="N370" s="12">
        <f>I370*(1+0.01*growthrate!$E$3)^5</f>
        <v>31849.901574841526</v>
      </c>
      <c r="O370" s="4">
        <f>J370*(1+0.01*growthrate!$E$3)^5</f>
        <v>842270.18316046346</v>
      </c>
      <c r="P370" s="4">
        <f>K370*(1+0.01*growthrate!$E$3)^5</f>
        <v>875082.74801040452</v>
      </c>
      <c r="Q370" s="4">
        <f>L370*(1+0.01*growthrate!$E$3)^5</f>
        <v>279523.32007361634</v>
      </c>
      <c r="R370" s="4">
        <f>M370*(1+0.01*growthrate!$E$3)^5</f>
        <v>3330544.6975760786</v>
      </c>
      <c r="S370" s="12">
        <f>N370*(1+0.01*growthrate!$F$3)^10</f>
        <v>34150.950854726587</v>
      </c>
      <c r="T370" s="4">
        <f>O370*(1+0.01*growthrate!$F$3)^10</f>
        <v>903121.39784556522</v>
      </c>
      <c r="U370" s="4">
        <f>P370*(1+0.01*growthrate!$F$3)^10</f>
        <v>938304.56118987594</v>
      </c>
      <c r="V370" s="4">
        <f>Q370*(1+0.01*growthrate!$F$3)^10</f>
        <v>299717.9487086556</v>
      </c>
      <c r="W370" s="4">
        <f>R370*(1+0.01*growthrate!$F$3)^10</f>
        <v>3571165.4561669338</v>
      </c>
    </row>
    <row r="371" spans="1:23" x14ac:dyDescent="0.2">
      <c r="A371" s="2" t="s">
        <v>749</v>
      </c>
      <c r="B371" s="8" t="s">
        <v>750</v>
      </c>
      <c r="C371" s="4" t="s">
        <v>779</v>
      </c>
      <c r="D371" s="5">
        <v>1157</v>
      </c>
      <c r="E371" s="5">
        <v>807069</v>
      </c>
      <c r="F371" s="5">
        <v>808226</v>
      </c>
      <c r="G371" s="5">
        <v>484952</v>
      </c>
      <c r="H371" s="14">
        <v>14040071</v>
      </c>
      <c r="I371" s="12">
        <f>D371*(1+0.01*growthrate!E372)^2</f>
        <v>1157</v>
      </c>
      <c r="J371" s="4">
        <f>E371*(1+0.01*growthrate!$E$3)^2</f>
        <v>831462.66052499972</v>
      </c>
      <c r="K371" s="4">
        <f>F371*(1+0.01*growthrate!$E$3)^2</f>
        <v>832654.63084999972</v>
      </c>
      <c r="L371" s="4">
        <f>G371*(1+0.01*growthrate!$E$3)^2</f>
        <v>499609.67419999989</v>
      </c>
      <c r="M371" s="4">
        <f>H371*(1+0.01*growthrate!$E$3)^2</f>
        <v>14464432.145974996</v>
      </c>
      <c r="N371" s="12">
        <f>I371*(1+0.01*growthrate!$E$3)^5</f>
        <v>1246.417592494221</v>
      </c>
      <c r="O371" s="4">
        <f>J371*(1+0.01*growthrate!$E$3)^5</f>
        <v>895721.42401072592</v>
      </c>
      <c r="P371" s="4">
        <f>K371*(1+0.01*growthrate!$E$3)^5</f>
        <v>897005.51457495335</v>
      </c>
      <c r="Q371" s="4">
        <f>L371*(1+0.01*growthrate!$E$3)^5</f>
        <v>538221.51020154369</v>
      </c>
      <c r="R371" s="4">
        <f>M371*(1+0.01*growthrate!$E$3)^5</f>
        <v>15582301.376129795</v>
      </c>
      <c r="S371" s="12">
        <f>N371*(1+0.01*growthrate!$F$3)^10</f>
        <v>1336.4671110745362</v>
      </c>
      <c r="T371" s="4">
        <f>O371*(1+0.01*growthrate!$F$3)^10</f>
        <v>960434.31277285574</v>
      </c>
      <c r="U371" s="4">
        <f>P371*(1+0.01*growthrate!$F$3)^10</f>
        <v>961811.17460236256</v>
      </c>
      <c r="V371" s="4">
        <f>Q371*(1+0.01*growthrate!$F$3)^10</f>
        <v>577106.22121258778</v>
      </c>
      <c r="W371" s="4">
        <f>R371*(1+0.01*growthrate!$F$3)^10</f>
        <v>16708070.737653289</v>
      </c>
    </row>
    <row r="372" spans="1:23" x14ac:dyDescent="0.2">
      <c r="A372" s="2" t="s">
        <v>751</v>
      </c>
      <c r="B372" s="8" t="s">
        <v>752</v>
      </c>
      <c r="C372" s="4" t="s">
        <v>779</v>
      </c>
      <c r="D372" s="5">
        <v>25282</v>
      </c>
      <c r="E372" s="5">
        <v>517974</v>
      </c>
      <c r="F372" s="5">
        <v>543256</v>
      </c>
      <c r="G372" s="5">
        <v>659951</v>
      </c>
      <c r="H372" s="14">
        <v>11962715</v>
      </c>
      <c r="I372" s="12">
        <f>D372*(1+0.01*growthrate!E373)^2</f>
        <v>25282</v>
      </c>
      <c r="J372" s="4">
        <f>E372*(1+0.01*growthrate!$E$3)^2</f>
        <v>533629.76414999983</v>
      </c>
      <c r="K372" s="4">
        <f>F372*(1+0.01*growthrate!$E$3)^2</f>
        <v>559675.91259999981</v>
      </c>
      <c r="L372" s="4">
        <f>G372*(1+0.01*growthrate!$E$3)^2</f>
        <v>679898.01897499978</v>
      </c>
      <c r="M372" s="4">
        <f>H372*(1+0.01*growthrate!$E$3)^2</f>
        <v>12324288.060874997</v>
      </c>
      <c r="N372" s="12">
        <f>I372*(1+0.01*growthrate!$E$3)^5</f>
        <v>27235.89418620475</v>
      </c>
      <c r="O372" s="4">
        <f>J372*(1+0.01*growthrate!$E$3)^5</f>
        <v>574870.80891538609</v>
      </c>
      <c r="P372" s="4">
        <f>K372*(1+0.01*growthrate!$E$3)^5</f>
        <v>602929.90800336888</v>
      </c>
      <c r="Q372" s="4">
        <f>L372*(1+0.01*growthrate!$E$3)^5</f>
        <v>732443.26011444209</v>
      </c>
      <c r="R372" s="4">
        <f>M372*(1+0.01*growthrate!$E$3)^5</f>
        <v>13276758.387243807</v>
      </c>
      <c r="S372" s="12">
        <f>N372*(1+0.01*growthrate!$F$3)^10</f>
        <v>29203.596803964065</v>
      </c>
      <c r="T372" s="4">
        <f>O372*(1+0.01*growthrate!$F$3)^10</f>
        <v>616403.30966027337</v>
      </c>
      <c r="U372" s="4">
        <f>P372*(1+0.01*growthrate!$F$3)^10</f>
        <v>646489.58517763729</v>
      </c>
      <c r="V372" s="4">
        <f>Q372*(1+0.01*growthrate!$F$3)^10</f>
        <v>785359.84550113929</v>
      </c>
      <c r="W372" s="4">
        <f>R372*(1+0.01*growthrate!$F$3)^10</f>
        <v>14235959.948805535</v>
      </c>
    </row>
    <row r="373" spans="1:23" x14ac:dyDescent="0.2">
      <c r="A373" s="2" t="s">
        <v>753</v>
      </c>
      <c r="B373" s="8" t="s">
        <v>754</v>
      </c>
      <c r="C373" s="4" t="s">
        <v>779</v>
      </c>
      <c r="D373" s="5">
        <v>88500</v>
      </c>
      <c r="E373" s="5">
        <v>0</v>
      </c>
      <c r="F373" s="5">
        <v>88500</v>
      </c>
      <c r="G373" s="5">
        <v>139127</v>
      </c>
      <c r="H373" s="14">
        <v>2472060</v>
      </c>
      <c r="I373" s="12">
        <f>D373*(1+0.01*growthrate!E374)^2</f>
        <v>88500</v>
      </c>
      <c r="J373" s="4">
        <f>E373*(1+0.01*growthrate!$E$3)^2</f>
        <v>0</v>
      </c>
      <c r="K373" s="4">
        <f>F373*(1+0.01*growthrate!$E$3)^2</f>
        <v>91174.912499999977</v>
      </c>
      <c r="L373" s="4">
        <f>G373*(1+0.01*growthrate!$E$3)^2</f>
        <v>143332.11357499997</v>
      </c>
      <c r="M373" s="4">
        <f>H373*(1+0.01*growthrate!$E$3)^2</f>
        <v>2546778.0134999994</v>
      </c>
      <c r="N373" s="12">
        <f>I373*(1+0.01*growthrate!$E$3)^5</f>
        <v>95339.634343767131</v>
      </c>
      <c r="O373" s="4">
        <f>J373*(1+0.01*growthrate!$E$3)^5</f>
        <v>0</v>
      </c>
      <c r="P373" s="4">
        <f>K373*(1+0.01*growthrate!$E$3)^5</f>
        <v>98221.27479180746</v>
      </c>
      <c r="Q373" s="4">
        <f>L373*(1+0.01*growthrate!$E$3)^5</f>
        <v>154409.39319728583</v>
      </c>
      <c r="R373" s="4">
        <f>M373*(1+0.01*growthrate!$E$3)^5</f>
        <v>2743603.2153879725</v>
      </c>
      <c r="S373" s="12">
        <f>N373*(1+0.01*growthrate!$F$3)^10</f>
        <v>102227.60529826833</v>
      </c>
      <c r="T373" s="4">
        <f>O373*(1+0.01*growthrate!$F$3)^10</f>
        <v>0</v>
      </c>
      <c r="U373" s="4">
        <f>P373*(1+0.01*growthrate!$F$3)^10</f>
        <v>105317.43466840846</v>
      </c>
      <c r="V373" s="4">
        <f>Q373*(1+0.01*growthrate!$F$3)^10</f>
        <v>165564.95743628996</v>
      </c>
      <c r="W373" s="4">
        <f>R373*(1+0.01*growthrate!$F$3)^10</f>
        <v>2941819.4073037948</v>
      </c>
    </row>
    <row r="374" spans="1:23" x14ac:dyDescent="0.2">
      <c r="A374" s="2" t="s">
        <v>755</v>
      </c>
      <c r="B374" s="8" t="s">
        <v>756</v>
      </c>
      <c r="C374" s="4" t="s">
        <v>779</v>
      </c>
      <c r="D374" s="5">
        <v>0</v>
      </c>
      <c r="E374" s="5">
        <v>42012</v>
      </c>
      <c r="F374" s="5">
        <v>42012</v>
      </c>
      <c r="G374" s="5">
        <v>285695</v>
      </c>
      <c r="H374" s="14">
        <v>7065962</v>
      </c>
      <c r="I374" s="12">
        <f>D374*(1+0.01*growthrate!E375)^2</f>
        <v>0</v>
      </c>
      <c r="J374" s="4">
        <f>E374*(1+0.01*growthrate!$E$3)^2</f>
        <v>43281.812699999988</v>
      </c>
      <c r="K374" s="4">
        <f>F374*(1+0.01*growthrate!$E$3)^2</f>
        <v>43281.812699999988</v>
      </c>
      <c r="L374" s="4">
        <f>G374*(1+0.01*growthrate!$E$3)^2</f>
        <v>294330.13137499994</v>
      </c>
      <c r="M374" s="4">
        <f>H374*(1+0.01*growthrate!$E$3)^2</f>
        <v>7279530.7014499977</v>
      </c>
      <c r="N374" s="12">
        <f>I374*(1+0.01*growthrate!$E$3)^5</f>
        <v>0</v>
      </c>
      <c r="O374" s="4">
        <f>J374*(1+0.01*growthrate!$E$3)^5</f>
        <v>46626.804480829545</v>
      </c>
      <c r="P374" s="4">
        <f>K374*(1+0.01*growthrate!$E$3)^5</f>
        <v>46626.804480829545</v>
      </c>
      <c r="Q374" s="4">
        <f>L374*(1+0.01*growthrate!$E$3)^5</f>
        <v>317077.14239147381</v>
      </c>
      <c r="R374" s="4">
        <f>M374*(1+0.01*growthrate!$E$3)^5</f>
        <v>7842121.9804572808</v>
      </c>
      <c r="S374" s="12">
        <f>N374*(1+0.01*growthrate!$F$3)^10</f>
        <v>0</v>
      </c>
      <c r="T374" s="4">
        <f>O374*(1+0.01*growthrate!$F$3)^10</f>
        <v>49995.43576597939</v>
      </c>
      <c r="U374" s="4">
        <f>P374*(1+0.01*growthrate!$F$3)^10</f>
        <v>49995.43576597939</v>
      </c>
      <c r="V374" s="4">
        <f>Q374*(1+0.01*growthrate!$F$3)^10</f>
        <v>339984.90957729891</v>
      </c>
      <c r="W374" s="4">
        <f>R374*(1+0.01*growthrate!$F$3)^10</f>
        <v>8408689.1672819965</v>
      </c>
    </row>
    <row r="375" spans="1:23" x14ac:dyDescent="0.2">
      <c r="A375" s="2" t="s">
        <v>757</v>
      </c>
      <c r="B375" s="8" t="s">
        <v>758</v>
      </c>
      <c r="C375" s="4" t="s">
        <v>779</v>
      </c>
      <c r="D375" s="5">
        <v>25585</v>
      </c>
      <c r="E375" s="5">
        <v>38494</v>
      </c>
      <c r="F375" s="5">
        <v>64079</v>
      </c>
      <c r="G375" s="5">
        <v>1535437</v>
      </c>
      <c r="H375" s="14">
        <v>8398452</v>
      </c>
      <c r="I375" s="12">
        <f>D375*(1+0.01*growthrate!E376)^2</f>
        <v>25585</v>
      </c>
      <c r="J375" s="4">
        <f>E375*(1+0.01*growthrate!$E$3)^2</f>
        <v>39657.481149999992</v>
      </c>
      <c r="K375" s="4">
        <f>F375*(1+0.01*growthrate!$E$3)^2</f>
        <v>66015.787774999975</v>
      </c>
      <c r="L375" s="4">
        <f>G375*(1+0.01*growthrate!$E$3)^2</f>
        <v>1581845.5833249995</v>
      </c>
      <c r="M375" s="4">
        <f>H375*(1+0.01*growthrate!$E$3)^2</f>
        <v>8652295.211699998</v>
      </c>
      <c r="N375" s="12">
        <f>I375*(1+0.01*growthrate!$E$3)^5</f>
        <v>27562.311239381717</v>
      </c>
      <c r="O375" s="4">
        <f>J375*(1+0.01*growthrate!$E$3)^5</f>
        <v>42722.370077241088</v>
      </c>
      <c r="P375" s="4">
        <f>K375*(1+0.01*growthrate!$E$3)^5</f>
        <v>71117.752173833098</v>
      </c>
      <c r="Q375" s="4">
        <f>L375*(1+0.01*growthrate!$E$3)^5</f>
        <v>1704096.9435311691</v>
      </c>
      <c r="R375" s="4">
        <f>M375*(1+0.01*growthrate!$E$3)^5</f>
        <v>9320979.228449773</v>
      </c>
      <c r="S375" s="12">
        <f>N375*(1+0.01*growthrate!$F$3)^10</f>
        <v>29553.596401764917</v>
      </c>
      <c r="T375" s="4">
        <f>O375*(1+0.01*growthrate!$F$3)^10</f>
        <v>45808.918984471355</v>
      </c>
      <c r="U375" s="4">
        <f>P375*(1+0.01*growthrate!$F$3)^10</f>
        <v>76255.772837479599</v>
      </c>
      <c r="V375" s="4">
        <f>Q375*(1+0.01*growthrate!$F$3)^10</f>
        <v>1827212.2704514924</v>
      </c>
      <c r="W375" s="4">
        <f>R375*(1+0.01*growthrate!$F$3)^10</f>
        <v>9994388.9245849065</v>
      </c>
    </row>
    <row r="376" spans="1:23" x14ac:dyDescent="0.2">
      <c r="A376" s="2" t="s">
        <v>759</v>
      </c>
      <c r="B376" s="8" t="s">
        <v>760</v>
      </c>
      <c r="C376" s="4" t="s">
        <v>779</v>
      </c>
      <c r="D376" s="5">
        <v>1193004</v>
      </c>
      <c r="E376" s="5">
        <v>185172</v>
      </c>
      <c r="F376" s="5">
        <v>1378176</v>
      </c>
      <c r="G376" s="5">
        <v>481533</v>
      </c>
      <c r="H376" s="14">
        <v>3974086</v>
      </c>
      <c r="I376" s="12">
        <f>D376*(1+0.01*growthrate!E377)^2</f>
        <v>1193004</v>
      </c>
      <c r="J376" s="4">
        <f>E376*(1+0.01*growthrate!$E$3)^2</f>
        <v>190768.82369999995</v>
      </c>
      <c r="K376" s="4">
        <f>F376*(1+0.01*growthrate!$E$3)^2</f>
        <v>1419831.3695999996</v>
      </c>
      <c r="L376" s="4">
        <f>G376*(1+0.01*growthrate!$E$3)^2</f>
        <v>496087.33492499986</v>
      </c>
      <c r="M376" s="4">
        <f>H376*(1+0.01*growthrate!$E$3)^2</f>
        <v>4094202.7493499988</v>
      </c>
      <c r="N376" s="12">
        <f>I376*(1+0.01*growthrate!$E$3)^5</f>
        <v>1285204.1257700741</v>
      </c>
      <c r="O376" s="4">
        <f>J376*(1+0.01*growthrate!$E$3)^5</f>
        <v>205512.20221184826</v>
      </c>
      <c r="P376" s="4">
        <f>K376*(1+0.01*growthrate!$E$3)^5</f>
        <v>1529561.6226833225</v>
      </c>
      <c r="Q376" s="4">
        <f>L376*(1+0.01*growthrate!$E$3)^5</f>
        <v>534426.95044433244</v>
      </c>
      <c r="R376" s="4">
        <f>M376*(1+0.01*growthrate!$E$3)^5</f>
        <v>4410619.1305341795</v>
      </c>
      <c r="S376" s="12">
        <f>N376*(1+0.01*growthrate!$F$3)^10</f>
        <v>1378055.8421610768</v>
      </c>
      <c r="T376" s="4">
        <f>O376*(1+0.01*growthrate!$F$3)^10</f>
        <v>220359.77415162182</v>
      </c>
      <c r="U376" s="4">
        <f>P376*(1+0.01*growthrate!$F$3)^10</f>
        <v>1640067.354142017</v>
      </c>
      <c r="V376" s="4">
        <f>Q376*(1+0.01*growthrate!$F$3)^10</f>
        <v>573037.51715460711</v>
      </c>
      <c r="W376" s="4">
        <f>R376*(1+0.01*growthrate!$F$3)^10</f>
        <v>4729271.6686060634</v>
      </c>
    </row>
    <row r="377" spans="1:23" x14ac:dyDescent="0.2">
      <c r="A377" s="2" t="s">
        <v>761</v>
      </c>
      <c r="B377" s="8" t="s">
        <v>762</v>
      </c>
      <c r="C377" s="4" t="s">
        <v>779</v>
      </c>
      <c r="D377" s="5">
        <v>0</v>
      </c>
      <c r="E377" s="5">
        <v>46656</v>
      </c>
      <c r="F377" s="5">
        <v>46656</v>
      </c>
      <c r="G377" s="5">
        <v>391321</v>
      </c>
      <c r="H377" s="14">
        <v>5155816</v>
      </c>
      <c r="I377" s="12">
        <f>D377*(1+0.01*growthrate!E378)^2</f>
        <v>0</v>
      </c>
      <c r="J377" s="4">
        <f>E377*(1+0.01*growthrate!$E$3)^2</f>
        <v>48066.177599999988</v>
      </c>
      <c r="K377" s="4">
        <f>F377*(1+0.01*growthrate!$E$3)^2</f>
        <v>48066.177599999988</v>
      </c>
      <c r="L377" s="4">
        <f>G377*(1+0.01*growthrate!$E$3)^2</f>
        <v>403148.67722499988</v>
      </c>
      <c r="M377" s="4">
        <f>H377*(1+0.01*growthrate!$E$3)^2</f>
        <v>5311650.5385999987</v>
      </c>
      <c r="N377" s="12">
        <f>I377*(1+0.01*growthrate!$E$3)^5</f>
        <v>0</v>
      </c>
      <c r="O377" s="4">
        <f>J377*(1+0.01*growthrate!$E$3)^5</f>
        <v>51780.92425634541</v>
      </c>
      <c r="P377" s="4">
        <f>K377*(1+0.01*growthrate!$E$3)^5</f>
        <v>51780.92425634541</v>
      </c>
      <c r="Q377" s="4">
        <f>L377*(1+0.01*growthrate!$E$3)^5</f>
        <v>434305.62116163713</v>
      </c>
      <c r="R377" s="4">
        <f>M377*(1+0.01*growthrate!$E$3)^5</f>
        <v>5722156.1594575997</v>
      </c>
      <c r="S377" s="12">
        <f>N377*(1+0.01*growthrate!$F$3)^10</f>
        <v>0</v>
      </c>
      <c r="T377" s="4">
        <f>O377*(1+0.01*growthrate!$F$3)^10</f>
        <v>55521.923524172482</v>
      </c>
      <c r="U377" s="4">
        <f>P377*(1+0.01*growthrate!$F$3)^10</f>
        <v>55521.923524172482</v>
      </c>
      <c r="V377" s="4">
        <f>Q377*(1+0.01*growthrate!$F$3)^10</f>
        <v>465682.75538843236</v>
      </c>
      <c r="W377" s="4">
        <f>R377*(1+0.01*growthrate!$F$3)^10</f>
        <v>6135562.8784444639</v>
      </c>
    </row>
    <row r="378" spans="1:23" x14ac:dyDescent="0.2">
      <c r="A378" s="2" t="s">
        <v>763</v>
      </c>
      <c r="B378" s="8" t="s">
        <v>764</v>
      </c>
      <c r="C378" s="4" t="s">
        <v>779</v>
      </c>
      <c r="D378" s="5">
        <v>159</v>
      </c>
      <c r="E378" s="5">
        <v>2925</v>
      </c>
      <c r="F378" s="5">
        <v>3084</v>
      </c>
      <c r="G378" s="5">
        <v>26333</v>
      </c>
      <c r="H378" s="14">
        <v>1314826</v>
      </c>
      <c r="I378" s="12">
        <f>D378*(1+0.01*growthrate!E379)^2</f>
        <v>159</v>
      </c>
      <c r="J378" s="4">
        <f>E378*(1+0.01*growthrate!$E$3)^2</f>
        <v>3013.408124999999</v>
      </c>
      <c r="K378" s="4">
        <f>F378*(1+0.01*growthrate!$E$3)^2</f>
        <v>3177.2138999999993</v>
      </c>
      <c r="L378" s="4">
        <f>G378*(1+0.01*growthrate!$E$3)^2</f>
        <v>27128.914924999994</v>
      </c>
      <c r="M378" s="4">
        <f>H378*(1+0.01*growthrate!$E$3)^2</f>
        <v>1354566.6158499997</v>
      </c>
      <c r="N378" s="12">
        <f>I378*(1+0.01*growthrate!$E$3)^5</f>
        <v>171.2881566176155</v>
      </c>
      <c r="O378" s="4">
        <f>J378*(1+0.01*growthrate!$E$3)^5</f>
        <v>3246.2963702377042</v>
      </c>
      <c r="P378" s="4">
        <f>K378*(1+0.01*growthrate!$E$3)^5</f>
        <v>3422.7617113890874</v>
      </c>
      <c r="Q378" s="4">
        <f>L378*(1+0.01*growthrate!$E$3)^5</f>
        <v>29225.546091442553</v>
      </c>
      <c r="R378" s="4">
        <f>M378*(1+0.01*growthrate!$E$3)^5</f>
        <v>1459252.9474509947</v>
      </c>
      <c r="S378" s="12">
        <f>N378*(1+0.01*growthrate!$F$3)^10</f>
        <v>183.6631552816346</v>
      </c>
      <c r="T378" s="4">
        <f>O378*(1+0.01*growthrate!$F$3)^10</f>
        <v>3480.8304678541776</v>
      </c>
      <c r="U378" s="4">
        <f>P378*(1+0.01*growthrate!$F$3)^10</f>
        <v>3670.0448420042003</v>
      </c>
      <c r="V378" s="4">
        <f>Q378*(1+0.01*growthrate!$F$3)^10</f>
        <v>31336.994430770621</v>
      </c>
      <c r="W378" s="4">
        <f>R378*(1+0.01*growthrate!$F$3)^10</f>
        <v>1564679.1113596025</v>
      </c>
    </row>
    <row r="379" spans="1:23" x14ac:dyDescent="0.2">
      <c r="A379" s="2" t="s">
        <v>765</v>
      </c>
      <c r="B379" s="8" t="s">
        <v>766</v>
      </c>
      <c r="C379" s="4" t="s">
        <v>779</v>
      </c>
      <c r="D379" s="5">
        <v>0</v>
      </c>
      <c r="E379" s="5">
        <v>7619</v>
      </c>
      <c r="F379" s="5">
        <v>7619</v>
      </c>
      <c r="G379" s="5">
        <v>0</v>
      </c>
      <c r="H379" s="14">
        <v>2916457</v>
      </c>
      <c r="I379" s="12">
        <f>D379*(1+0.01*growthrate!E380)^2</f>
        <v>0</v>
      </c>
      <c r="J379" s="4">
        <f>E379*(1+0.01*growthrate!$E$3)^2</f>
        <v>7849.2842749999982</v>
      </c>
      <c r="K379" s="4">
        <f>F379*(1+0.01*growthrate!$E$3)^2</f>
        <v>7849.2842749999982</v>
      </c>
      <c r="L379" s="4">
        <f>G379*(1+0.01*growthrate!$E$3)^2</f>
        <v>0</v>
      </c>
      <c r="M379" s="4">
        <f>H379*(1+0.01*growthrate!$E$3)^2</f>
        <v>3004606.9128249991</v>
      </c>
      <c r="N379" s="12">
        <f>I379*(1+0.01*growthrate!$E$3)^5</f>
        <v>0</v>
      </c>
      <c r="O379" s="4">
        <f>J379*(1+0.01*growthrate!$E$3)^5</f>
        <v>8455.908391398656</v>
      </c>
      <c r="P379" s="4">
        <f>K379*(1+0.01*growthrate!$E$3)^5</f>
        <v>8455.908391398656</v>
      </c>
      <c r="Q379" s="4">
        <f>L379*(1+0.01*growthrate!$E$3)^5</f>
        <v>0</v>
      </c>
      <c r="R379" s="4">
        <f>M379*(1+0.01*growthrate!$E$3)^5</f>
        <v>3236814.9651467842</v>
      </c>
      <c r="S379" s="12">
        <f>N379*(1+0.01*growthrate!$F$3)^10</f>
        <v>0</v>
      </c>
      <c r="T379" s="4">
        <f>O379*(1+0.01*growthrate!$F$3)^10</f>
        <v>9066.819601566147</v>
      </c>
      <c r="U379" s="4">
        <f>P379*(1+0.01*growthrate!$F$3)^10</f>
        <v>9066.819601566147</v>
      </c>
      <c r="V379" s="4">
        <f>Q379*(1+0.01*growthrate!$F$3)^10</f>
        <v>0</v>
      </c>
      <c r="W379" s="4">
        <f>R379*(1+0.01*growthrate!$F$3)^10</f>
        <v>3470664.0628330228</v>
      </c>
    </row>
    <row r="380" spans="1:23" x14ac:dyDescent="0.2">
      <c r="A380" s="2" t="s">
        <v>767</v>
      </c>
      <c r="B380" s="8" t="s">
        <v>768</v>
      </c>
      <c r="C380" s="4" t="s">
        <v>779</v>
      </c>
      <c r="D380" s="5">
        <v>81</v>
      </c>
      <c r="E380" s="5">
        <v>25992</v>
      </c>
      <c r="F380" s="5">
        <v>26073</v>
      </c>
      <c r="G380" s="5">
        <v>97204</v>
      </c>
      <c r="H380" s="14">
        <v>5454851</v>
      </c>
      <c r="I380" s="12">
        <f>D380*(1+0.01*growthrate!E381)^2</f>
        <v>81</v>
      </c>
      <c r="J380" s="4">
        <f>E380*(1+0.01*growthrate!$E$3)^2</f>
        <v>26777.608199999991</v>
      </c>
      <c r="K380" s="4">
        <f>F380*(1+0.01*growthrate!$E$3)^2</f>
        <v>26861.056424999992</v>
      </c>
      <c r="L380" s="4">
        <f>G380*(1+0.01*growthrate!$E$3)^2</f>
        <v>100141.99089999998</v>
      </c>
      <c r="M380" s="4">
        <f>H380*(1+0.01*growthrate!$E$3)^2</f>
        <v>5619723.8714749981</v>
      </c>
      <c r="N380" s="12">
        <f>I380*(1+0.01*growthrate!$E$3)^5</f>
        <v>87.260004314634315</v>
      </c>
      <c r="O380" s="4">
        <f>J380*(1+0.01*growthrate!$E$3)^5</f>
        <v>28847.088976143044</v>
      </c>
      <c r="P380" s="4">
        <f>K380*(1+0.01*growthrate!$E$3)^5</f>
        <v>28936.986414088089</v>
      </c>
      <c r="Q380" s="4">
        <f>L380*(1+0.01*growthrate!$E$3)^5</f>
        <v>107881.36491370454</v>
      </c>
      <c r="R380" s="4">
        <f>M380*(1+0.01*growthrate!$E$3)^5</f>
        <v>6054038.6329871826</v>
      </c>
      <c r="S380" s="12">
        <f>N380*(1+0.01*growthrate!$F$3)^10</f>
        <v>93.564248917059146</v>
      </c>
      <c r="T380" s="4">
        <f>O380*(1+0.01*growthrate!$F$3)^10</f>
        <v>30931.195049731894</v>
      </c>
      <c r="U380" s="4">
        <f>P380*(1+0.01*growthrate!$F$3)^10</f>
        <v>31027.587278072471</v>
      </c>
      <c r="V380" s="4">
        <f>Q380*(1+0.01*growthrate!$F$3)^10</f>
        <v>115675.43411873418</v>
      </c>
      <c r="W380" s="4">
        <f>R380*(1+0.01*growthrate!$F$3)^10</f>
        <v>6491422.7550101979</v>
      </c>
    </row>
    <row r="381" spans="1:23" x14ac:dyDescent="0.2">
      <c r="A381" s="2" t="s">
        <v>769</v>
      </c>
      <c r="B381" s="8" t="s">
        <v>770</v>
      </c>
      <c r="C381" s="4" t="s">
        <v>779</v>
      </c>
      <c r="D381" s="5">
        <v>0</v>
      </c>
      <c r="E381" s="5">
        <v>0</v>
      </c>
      <c r="F381" s="5">
        <v>0</v>
      </c>
      <c r="G381" s="5">
        <v>6405</v>
      </c>
      <c r="H381" s="14">
        <v>0</v>
      </c>
      <c r="I381" s="12">
        <f>D381*(1+0.01*growthrate!E382)^2</f>
        <v>0</v>
      </c>
      <c r="J381" s="4">
        <f>E381*(1+0.01*growthrate!$E$3)^2</f>
        <v>0</v>
      </c>
      <c r="K381" s="4">
        <f>F381*(1+0.01*growthrate!$E$3)^2</f>
        <v>0</v>
      </c>
      <c r="L381" s="4">
        <f>G381*(1+0.01*growthrate!$E$3)^2</f>
        <v>6598.5911249999981</v>
      </c>
      <c r="M381" s="4">
        <f>H381*(1+0.01*growthrate!$E$3)^2</f>
        <v>0</v>
      </c>
      <c r="N381" s="12">
        <f>I381*(1+0.01*growthrate!$E$3)^5</f>
        <v>0</v>
      </c>
      <c r="O381" s="4">
        <f>J381*(1+0.01*growthrate!$E$3)^5</f>
        <v>0</v>
      </c>
      <c r="P381" s="4">
        <f>K381*(1+0.01*growthrate!$E$3)^5</f>
        <v>0</v>
      </c>
      <c r="Q381" s="4">
        <f>L381*(1+0.01*growthrate!$E$3)^5</f>
        <v>7108.5566671358956</v>
      </c>
      <c r="R381" s="4">
        <f>M381*(1+0.01*growthrate!$E$3)^5</f>
        <v>0</v>
      </c>
      <c r="S381" s="12">
        <f>N381*(1+0.01*growthrate!$F$3)^10</f>
        <v>0</v>
      </c>
      <c r="T381" s="4">
        <f>O381*(1+0.01*growthrate!$F$3)^10</f>
        <v>0</v>
      </c>
      <c r="U381" s="4">
        <f>P381*(1+0.01*growthrate!$F$3)^10</f>
        <v>0</v>
      </c>
      <c r="V381" s="4">
        <f>Q381*(1+0.01*growthrate!$F$3)^10</f>
        <v>7622.1262039678659</v>
      </c>
      <c r="W381" s="4">
        <f>R381*(1+0.01*growthrate!$F$3)^10</f>
        <v>0</v>
      </c>
    </row>
    <row r="382" spans="1:23" x14ac:dyDescent="0.2">
      <c r="A382" s="3" t="s">
        <v>771</v>
      </c>
      <c r="B382" s="7" t="s">
        <v>772</v>
      </c>
      <c r="C382" s="4" t="s">
        <v>779</v>
      </c>
      <c r="D382" s="5">
        <v>784205547</v>
      </c>
      <c r="E382" s="5">
        <v>231751740</v>
      </c>
      <c r="F382" s="5">
        <v>1015957287</v>
      </c>
      <c r="G382" s="5">
        <v>784205547</v>
      </c>
      <c r="H382" s="14">
        <v>2383273581</v>
      </c>
      <c r="I382" s="12">
        <f>D382*(1+0.01*growthrate!E383)^2</f>
        <v>784205547</v>
      </c>
      <c r="J382" s="9">
        <f>E382*(1+0.01*growthrate!$E$3)^2+966657.038814344</f>
        <v>239723093.38031426</v>
      </c>
      <c r="K382" s="9">
        <f>I382+J382</f>
        <v>1023928640.3803142</v>
      </c>
      <c r="L382" s="4">
        <f>G382*(1+0.01*growthrate!$E$3)^2</f>
        <v>807908159.65807474</v>
      </c>
      <c r="M382" s="4">
        <f>H382*(1+0.01*growthrate!$E$3)^2</f>
        <v>2455308024.9857244</v>
      </c>
      <c r="N382" s="12">
        <f>I382*(1+0.01*growthrate!$E$3)^5</f>
        <v>844812091.54049587</v>
      </c>
      <c r="O382" s="9">
        <f>J382*(1+0.01*growthrate!$E$3)^5+11234183.3223552-1780803.264</f>
        <v>267703233.91864789</v>
      </c>
      <c r="P382" s="9">
        <f>K382*(1+0.01*growthrate!$E$3)^5+11234183.3223552-1780803.264</f>
        <v>1112515325.4591439</v>
      </c>
      <c r="Q382" s="4">
        <f>L382*(1+0.01*growthrate!$E$3)^5</f>
        <v>870346537.00730705</v>
      </c>
      <c r="R382" s="4">
        <f>M382*(1+0.01*growthrate!$E$3)^5</f>
        <v>2645064059.9260564</v>
      </c>
      <c r="S382" s="12">
        <f>N382*(1+0.01*growthrate!$F$3)^10</f>
        <v>905846950.63761139</v>
      </c>
      <c r="T382" s="9">
        <f>O382*(1+0.01*growthrate!$F$3)^10-633497.5693+39575034</f>
        <v>325985437.13866031</v>
      </c>
      <c r="U382" s="9">
        <f>P382*(1+0.01*growthrate!$F$3)^10-633497.5693+39575034</f>
        <v>1231832387.7762718</v>
      </c>
      <c r="V382" s="4">
        <f>Q382*(1+0.01*growthrate!$F$3)^10</f>
        <v>933226174.72063291</v>
      </c>
      <c r="W382" s="4">
        <f>R382*(1+0.01*growthrate!$F$3)^10</f>
        <v>2836161126.1458912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DF7F-A2C1-BC46-8453-422997ECDC27}">
  <dimension ref="A1:T3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86" sqref="H286"/>
    </sheetView>
  </sheetViews>
  <sheetFormatPr baseColWidth="10" defaultRowHeight="16" x14ac:dyDescent="0.2"/>
  <cols>
    <col min="4" max="7" width="13.6640625" customWidth="1"/>
    <col min="8" max="8" width="13.6640625" style="10" customWidth="1"/>
    <col min="9" max="11" width="13.6640625" customWidth="1"/>
    <col min="12" max="12" width="13.6640625" style="10" customWidth="1"/>
    <col min="13" max="15" width="13.6640625" customWidth="1"/>
    <col min="16" max="16" width="13.6640625" style="10" customWidth="1"/>
    <col min="17" max="19" width="13.6640625" customWidth="1"/>
    <col min="20" max="20" width="10.83203125" style="10"/>
  </cols>
  <sheetData>
    <row r="1" spans="1:19" x14ac:dyDescent="0.2">
      <c r="A1" t="s">
        <v>773</v>
      </c>
      <c r="B1" s="4" t="s">
        <v>774</v>
      </c>
      <c r="C1" s="4" t="s">
        <v>9</v>
      </c>
      <c r="D1">
        <v>2023</v>
      </c>
      <c r="E1">
        <v>2023</v>
      </c>
      <c r="F1">
        <v>2023</v>
      </c>
      <c r="G1">
        <v>2023</v>
      </c>
      <c r="H1" s="10">
        <v>2025</v>
      </c>
      <c r="I1">
        <v>2025</v>
      </c>
      <c r="J1">
        <v>2025</v>
      </c>
      <c r="K1">
        <v>2025</v>
      </c>
      <c r="L1" s="10">
        <v>2030</v>
      </c>
      <c r="M1">
        <v>2030</v>
      </c>
      <c r="N1">
        <v>2030</v>
      </c>
      <c r="O1">
        <v>2030</v>
      </c>
      <c r="P1" s="10">
        <v>2040</v>
      </c>
      <c r="Q1">
        <v>2040</v>
      </c>
      <c r="R1">
        <v>2040</v>
      </c>
      <c r="S1">
        <v>2040</v>
      </c>
    </row>
    <row r="2" spans="1:19" x14ac:dyDescent="0.2">
      <c r="A2" t="s">
        <v>773</v>
      </c>
      <c r="B2" s="4" t="s">
        <v>774</v>
      </c>
      <c r="C2" s="4" t="s">
        <v>779</v>
      </c>
      <c r="D2" s="5" t="s">
        <v>775</v>
      </c>
      <c r="E2" s="6" t="s">
        <v>776</v>
      </c>
      <c r="F2" s="6" t="s">
        <v>777</v>
      </c>
      <c r="G2" s="7" t="s">
        <v>778</v>
      </c>
      <c r="H2" s="11" t="s">
        <v>775</v>
      </c>
      <c r="I2" s="6" t="s">
        <v>776</v>
      </c>
      <c r="J2" s="6" t="s">
        <v>777</v>
      </c>
      <c r="K2" s="7" t="s">
        <v>778</v>
      </c>
      <c r="L2" s="11" t="s">
        <v>775</v>
      </c>
      <c r="M2" s="6" t="s">
        <v>776</v>
      </c>
      <c r="N2" s="6" t="s">
        <v>777</v>
      </c>
      <c r="O2" s="7" t="s">
        <v>778</v>
      </c>
      <c r="P2" s="11" t="s">
        <v>775</v>
      </c>
      <c r="Q2" s="6" t="s">
        <v>776</v>
      </c>
      <c r="R2" s="6" t="s">
        <v>777</v>
      </c>
      <c r="S2" s="7" t="s">
        <v>778</v>
      </c>
    </row>
    <row r="3" spans="1:19" x14ac:dyDescent="0.2">
      <c r="A3" s="2" t="s">
        <v>11</v>
      </c>
      <c r="B3" s="8" t="s">
        <v>12</v>
      </c>
      <c r="C3" s="4" t="s">
        <v>779</v>
      </c>
      <c r="D3" s="5">
        <v>0</v>
      </c>
      <c r="E3" s="5">
        <v>0</v>
      </c>
      <c r="F3" s="5">
        <v>0</v>
      </c>
      <c r="G3" s="5">
        <v>248598</v>
      </c>
      <c r="H3" s="12">
        <f>D3*(1+0.01*growthrate!$E$3)^2</f>
        <v>0</v>
      </c>
      <c r="I3" s="4">
        <f>E3*(1+0.01*growthrate!$E$3)^2</f>
        <v>0</v>
      </c>
      <c r="J3" s="4">
        <f>F3*(1+0.01*growthrate!$E$3)^2</f>
        <v>0</v>
      </c>
      <c r="K3" s="4">
        <f>G3*(1+0.01*growthrate!$E$3)^2</f>
        <v>256111.87454999992</v>
      </c>
      <c r="L3" s="12">
        <f>H3*(1+0.01*growthrate!$E$3)^5</f>
        <v>0</v>
      </c>
      <c r="M3" s="4">
        <f>I3*(1+0.01*growthrate!$E$3)^5</f>
        <v>0</v>
      </c>
      <c r="N3" s="4">
        <f>J3*(1+0.01*growthrate!$E$3)^5</f>
        <v>0</v>
      </c>
      <c r="O3" s="4">
        <f>K3*(1+0.01*growthrate!$E$3)^5</f>
        <v>275905.2256575565</v>
      </c>
      <c r="P3" s="12">
        <f>L3*(1+0.01*growthrate!$F$3)^10</f>
        <v>0</v>
      </c>
      <c r="Q3" s="4">
        <f>M3*(1+0.01*growthrate!$F$3)^10</f>
        <v>0</v>
      </c>
      <c r="R3" s="4">
        <f>N3*(1+0.01*growthrate!$F$3)^10</f>
        <v>0</v>
      </c>
      <c r="S3" s="4">
        <f>O3*(1+0.01*growthrate!$F$3)^10</f>
        <v>295838.4590248249</v>
      </c>
    </row>
    <row r="4" spans="1:19" x14ac:dyDescent="0.2">
      <c r="A4" s="2" t="s">
        <v>13</v>
      </c>
      <c r="B4" s="8" t="s">
        <v>14</v>
      </c>
      <c r="C4" s="4" t="s">
        <v>779</v>
      </c>
      <c r="D4" s="5">
        <v>6778410</v>
      </c>
      <c r="E4" s="5">
        <v>102197</v>
      </c>
      <c r="F4" s="5">
        <v>6880607</v>
      </c>
      <c r="G4" s="5">
        <v>11736</v>
      </c>
      <c r="H4" s="12">
        <f>D4*(1+0.01*growthrate!E4)^2</f>
        <v>7010834.900489999</v>
      </c>
      <c r="I4" s="4">
        <f>E4*(1+0.01*growthrate!$E$3)^2</f>
        <v>105285.90432499997</v>
      </c>
      <c r="J4" s="4">
        <f>F4*(1+0.01*growthrate!$E$3)^2</f>
        <v>7088573.3465749985</v>
      </c>
      <c r="K4" s="4">
        <f>G4*(1+0.01*growthrate!$E$3)^2</f>
        <v>12090.720599999997</v>
      </c>
      <c r="L4" s="12">
        <f>H4*(1+0.01*growthrate!$E$3)^5</f>
        <v>7552660.2921721749</v>
      </c>
      <c r="M4" s="4">
        <f>I4*(1+0.01*growthrate!$E$3)^5</f>
        <v>113422.82056382313</v>
      </c>
      <c r="N4" s="4">
        <f>J4*(1+0.01*growthrate!$E$3)^5</f>
        <v>7636406.6766263731</v>
      </c>
      <c r="O4" s="4">
        <f>K4*(1+0.01*growthrate!$E$3)^5</f>
        <v>13025.139897815281</v>
      </c>
      <c r="P4" s="12">
        <f>L4*(1+0.01*growthrate!$F$3)^10</f>
        <v>8098314.8363685412</v>
      </c>
      <c r="Q4" s="4">
        <f>M4*(1+0.01*growthrate!$F$3)^10</f>
        <v>121617.24147804904</v>
      </c>
      <c r="R4" s="4">
        <f>N4*(1+0.01*growthrate!$F$3)^10</f>
        <v>8188111.6180959772</v>
      </c>
      <c r="S4" s="4">
        <f>O4*(1+0.01*growthrate!$F$3)^10</f>
        <v>13966.162861790301</v>
      </c>
    </row>
    <row r="5" spans="1:19" x14ac:dyDescent="0.2">
      <c r="A5" s="2" t="s">
        <v>15</v>
      </c>
      <c r="B5" s="8" t="s">
        <v>16</v>
      </c>
      <c r="C5" s="4" t="s">
        <v>779</v>
      </c>
      <c r="D5" s="5">
        <v>1047612</v>
      </c>
      <c r="E5" s="5">
        <v>280198</v>
      </c>
      <c r="F5" s="5">
        <v>1327810</v>
      </c>
      <c r="G5" s="5">
        <v>3157</v>
      </c>
      <c r="H5" s="12">
        <f>D5*(1+0.01*growthrate!E5)^2</f>
        <v>1047612</v>
      </c>
      <c r="I5" s="4">
        <f>E5*(1+0.01*growthrate!$E$3)^2</f>
        <v>288666.98454999994</v>
      </c>
      <c r="J5" s="4">
        <f>F5*(1+0.01*growthrate!$E$3)^2</f>
        <v>1367943.0572499996</v>
      </c>
      <c r="K5" s="4">
        <f>G5*(1+0.01*growthrate!$E$3)^2</f>
        <v>3252.4203249999991</v>
      </c>
      <c r="L5" s="12">
        <f>H5*(1+0.01*growthrate!$E$3)^5</f>
        <v>1128575.649877317</v>
      </c>
      <c r="M5" s="4">
        <f>I5*(1+0.01*growthrate!$E$3)^5</f>
        <v>310976.32490525272</v>
      </c>
      <c r="N5" s="4">
        <f>J5*(1+0.01*growthrate!$E$3)^5</f>
        <v>1473663.1738001115</v>
      </c>
      <c r="O5" s="4">
        <f>K5*(1+0.01*growthrate!$E$3)^5</f>
        <v>3503.7803900309168</v>
      </c>
      <c r="P5" s="12">
        <f>L5*(1+0.01*growthrate!$F$3)^10</f>
        <v>1210111.4806975082</v>
      </c>
      <c r="Q5" s="4">
        <f>M5*(1+0.01*growthrate!$F$3)^10</f>
        <v>333443.32835275383</v>
      </c>
      <c r="R5" s="4">
        <f>N5*(1+0.01*growthrate!$F$3)^10</f>
        <v>1580130.428554344</v>
      </c>
      <c r="S5" s="4">
        <f>O5*(1+0.01*growthrate!$F$3)^10</f>
        <v>3756.9168502617567</v>
      </c>
    </row>
    <row r="6" spans="1:19" x14ac:dyDescent="0.2">
      <c r="A6" s="2" t="s">
        <v>17</v>
      </c>
      <c r="B6" s="8" t="s">
        <v>18</v>
      </c>
      <c r="C6" s="4" t="s">
        <v>779</v>
      </c>
      <c r="D6" s="5">
        <v>43309</v>
      </c>
      <c r="E6" s="5">
        <v>5701</v>
      </c>
      <c r="F6" s="5">
        <v>49010</v>
      </c>
      <c r="G6" s="5">
        <v>8846</v>
      </c>
      <c r="H6" s="12">
        <f>D6*(1+0.01*growthrate!E6)^2</f>
        <v>43309</v>
      </c>
      <c r="I6" s="4">
        <f>E6*(1+0.01*growthrate!$E$3)^2</f>
        <v>5873.3127249999989</v>
      </c>
      <c r="J6" s="4">
        <f>F6*(1+0.01*growthrate!$E$3)^2</f>
        <v>50491.327249999988</v>
      </c>
      <c r="K6" s="4">
        <f>G6*(1+0.01*growthrate!$E$3)^2</f>
        <v>9113.3703499999974</v>
      </c>
      <c r="L6" s="12">
        <f>H6*(1+0.01*growthrate!$E$3)^5</f>
        <v>46656.092924228367</v>
      </c>
      <c r="M6" s="4">
        <f>I6*(1+0.01*growthrate!$E$3)^5</f>
        <v>6327.2258484530439</v>
      </c>
      <c r="N6" s="4">
        <f>J6*(1+0.01*growthrate!$E$3)^5</f>
        <v>54393.499181316198</v>
      </c>
      <c r="O6" s="4">
        <f>K6*(1+0.01*growthrate!$E$3)^5</f>
        <v>9817.6880995291394</v>
      </c>
      <c r="P6" s="12">
        <f>L6*(1+0.01*growthrate!$F$3)^10</f>
        <v>50026.840201838451</v>
      </c>
      <c r="Q6" s="4">
        <f>M6*(1+0.01*growthrate!$F$3)^10</f>
        <v>6784.3468366621091</v>
      </c>
      <c r="R6" s="4">
        <f>N6*(1+0.01*growthrate!$F$3)^10</f>
        <v>58323.248283601111</v>
      </c>
      <c r="S6" s="4">
        <f>O6*(1+0.01*growthrate!$F$3)^10</f>
        <v>10526.983356799336</v>
      </c>
    </row>
    <row r="7" spans="1:19" x14ac:dyDescent="0.2">
      <c r="A7" s="2" t="s">
        <v>19</v>
      </c>
      <c r="B7" s="8" t="s">
        <v>20</v>
      </c>
      <c r="C7" s="4" t="s">
        <v>779</v>
      </c>
      <c r="D7" s="5">
        <v>192086</v>
      </c>
      <c r="E7" s="5">
        <v>347759</v>
      </c>
      <c r="F7" s="5">
        <v>539845</v>
      </c>
      <c r="G7" s="5">
        <v>573328</v>
      </c>
      <c r="H7" s="12">
        <f>D7*(1+0.01*growthrate!E7)^2</f>
        <v>192086</v>
      </c>
      <c r="I7" s="4">
        <f>E7*(1+0.01*growthrate!$E$3)^2</f>
        <v>358270.01577499992</v>
      </c>
      <c r="J7" s="4">
        <f>F7*(1+0.01*growthrate!$E$3)^2</f>
        <v>556161.81512499985</v>
      </c>
      <c r="K7" s="4">
        <f>G7*(1+0.01*growthrate!$E$3)^2</f>
        <v>590656.83879999979</v>
      </c>
      <c r="L7" s="12">
        <f>H7*(1+0.01*growthrate!$E$3)^5</f>
        <v>206931.17517013391</v>
      </c>
      <c r="M7" s="4">
        <f>I7*(1+0.01*growthrate!$E$3)^5</f>
        <v>385958.55706580984</v>
      </c>
      <c r="N7" s="4">
        <f>J7*(1+0.01*growthrate!$E$3)^5</f>
        <v>599144.227005461</v>
      </c>
      <c r="O7" s="4">
        <f>K7*(1+0.01*growthrate!$E$3)^5</f>
        <v>636305.16422415117</v>
      </c>
      <c r="P7" s="12">
        <f>L7*(1+0.01*growthrate!$F$3)^10</f>
        <v>221881.26317879287</v>
      </c>
      <c r="Q7" s="4">
        <f>M7*(1+0.01*growthrate!$F$3)^10</f>
        <v>413842.7769813679</v>
      </c>
      <c r="R7" s="4">
        <f>N7*(1+0.01*growthrate!$F$3)^10</f>
        <v>642430.40133973968</v>
      </c>
      <c r="S7" s="4">
        <f>O7*(1+0.01*growthrate!$F$3)^10</f>
        <v>682276.09246970934</v>
      </c>
    </row>
    <row r="8" spans="1:19" x14ac:dyDescent="0.2">
      <c r="A8" s="2" t="s">
        <v>21</v>
      </c>
      <c r="B8" s="8" t="s">
        <v>22</v>
      </c>
      <c r="C8" s="4" t="s">
        <v>779</v>
      </c>
      <c r="D8" s="5">
        <v>166506</v>
      </c>
      <c r="E8" s="5">
        <v>1630308</v>
      </c>
      <c r="F8" s="5">
        <v>1796814</v>
      </c>
      <c r="G8" s="5">
        <v>221302</v>
      </c>
      <c r="H8" s="12">
        <f>D8*(1+0.01*growthrate!E8)^2</f>
        <v>166506</v>
      </c>
      <c r="I8" s="4">
        <f>E8*(1+0.01*growthrate!$E$3)^2</f>
        <v>1679584.0592999996</v>
      </c>
      <c r="J8" s="4">
        <f>F8*(1+0.01*growthrate!$E$3)^2</f>
        <v>1851122.7031499995</v>
      </c>
      <c r="K8" s="4">
        <f>G8*(1+0.01*growthrate!$E$3)^2</f>
        <v>227990.85294999994</v>
      </c>
      <c r="L8" s="12">
        <f>H8*(1+0.01*growthrate!$E$3)^5</f>
        <v>179374.25035077162</v>
      </c>
      <c r="M8" s="4">
        <f>I8*(1+0.01*growthrate!$E$3)^5</f>
        <v>1809389.040263074</v>
      </c>
      <c r="N8" s="4">
        <f>J8*(1+0.01*growthrate!$E$3)^5</f>
        <v>1994184.8773306974</v>
      </c>
      <c r="O8" s="4">
        <f>K8*(1+0.01*growthrate!$E$3)^5</f>
        <v>245610.89891498955</v>
      </c>
      <c r="P8" s="12">
        <f>L8*(1+0.01*growthrate!$F$3)^10</f>
        <v>192333.44234794876</v>
      </c>
      <c r="Q8" s="4">
        <f>M8*(1+0.01*growthrate!$F$3)^10</f>
        <v>1940111.370388516</v>
      </c>
      <c r="R8" s="4">
        <f>N8*(1+0.01*growthrate!$F$3)^10</f>
        <v>2138258.0910314312</v>
      </c>
      <c r="S8" s="4">
        <f>O8*(1+0.01*growthrate!$F$3)^10</f>
        <v>263355.46810156078</v>
      </c>
    </row>
    <row r="9" spans="1:19" x14ac:dyDescent="0.2">
      <c r="A9" s="2" t="s">
        <v>23</v>
      </c>
      <c r="B9" s="8" t="s">
        <v>24</v>
      </c>
      <c r="C9" s="4" t="s">
        <v>779</v>
      </c>
      <c r="D9" s="5">
        <v>40441</v>
      </c>
      <c r="E9" s="5">
        <v>131257</v>
      </c>
      <c r="F9" s="5">
        <v>171698</v>
      </c>
      <c r="G9" s="5">
        <v>85072</v>
      </c>
      <c r="H9" s="12">
        <f>D9*(1+0.01*growthrate!E9)^2</f>
        <v>40441</v>
      </c>
      <c r="I9" s="4">
        <f>E9*(1+0.01*growthrate!$E$3)^2</f>
        <v>135224.24282499996</v>
      </c>
      <c r="J9" s="4">
        <f>F9*(1+0.01*growthrate!$E$3)^2</f>
        <v>176887.57204999996</v>
      </c>
      <c r="K9" s="4">
        <f>G9*(1+0.01*growthrate!$E$3)^2</f>
        <v>87643.301199999973</v>
      </c>
      <c r="L9" s="12">
        <f>H9*(1+0.01*growthrate!$E$3)^5</f>
        <v>43566.442401087981</v>
      </c>
      <c r="M9" s="4">
        <f>I9*(1+0.01*growthrate!$E$3)^5</f>
        <v>145674.91373274883</v>
      </c>
      <c r="N9" s="4">
        <f>J9*(1+0.01*growthrate!$E$3)^5</f>
        <v>190558.1518554097</v>
      </c>
      <c r="O9" s="4">
        <f>K9*(1+0.01*growthrate!$E$3)^5</f>
        <v>94416.726430380149</v>
      </c>
      <c r="P9" s="12">
        <f>L9*(1+0.01*growthrate!$F$3)^10</f>
        <v>46713.97272166406</v>
      </c>
      <c r="Q9" s="4">
        <f>M9*(1+0.01*growthrate!$F$3)^10</f>
        <v>156199.44092961907</v>
      </c>
      <c r="R9" s="4">
        <f>N9*(1+0.01*growthrate!$F$3)^10</f>
        <v>204325.34347679545</v>
      </c>
      <c r="S9" s="4">
        <f>O9*(1+0.01*growthrate!$F$3)^10</f>
        <v>101238.02036283439</v>
      </c>
    </row>
    <row r="10" spans="1:19" x14ac:dyDescent="0.2">
      <c r="A10" s="2" t="s">
        <v>25</v>
      </c>
      <c r="B10" s="8" t="s">
        <v>26</v>
      </c>
      <c r="C10" s="4" t="s">
        <v>779</v>
      </c>
      <c r="D10" s="5">
        <v>139519</v>
      </c>
      <c r="E10" s="5">
        <v>98856</v>
      </c>
      <c r="F10" s="5">
        <v>238375</v>
      </c>
      <c r="G10" s="5">
        <v>27806</v>
      </c>
      <c r="H10" s="12">
        <f>D10*(1+0.01*growthrate!E10)^2</f>
        <v>139519</v>
      </c>
      <c r="I10" s="4">
        <f>E10*(1+0.01*growthrate!$E$3)^2</f>
        <v>101843.92259999998</v>
      </c>
      <c r="J10" s="4">
        <f>F10*(1+0.01*growthrate!$E$3)^2</f>
        <v>245579.88437499994</v>
      </c>
      <c r="K10" s="4">
        <f>G10*(1+0.01*growthrate!$E$3)^2</f>
        <v>28646.436349999993</v>
      </c>
      <c r="L10" s="12">
        <f>H10*(1+0.01*growthrate!$E$3)^5</f>
        <v>150301.58693794403</v>
      </c>
      <c r="M10" s="4">
        <f>I10*(1+0.01*growthrate!$E$3)^5</f>
        <v>109714.82870981829</v>
      </c>
      <c r="N10" s="4">
        <f>J10*(1+0.01*growthrate!$E$3)^5</f>
        <v>264559.28111296165</v>
      </c>
      <c r="O10" s="4">
        <f>K10*(1+0.01*growthrate!$E$3)^5</f>
        <v>30860.347648146872</v>
      </c>
      <c r="P10" s="12">
        <f>L10*(1+0.01*growthrate!$F$3)^10</f>
        <v>161160.37585998981</v>
      </c>
      <c r="Q10" s="4">
        <f>M10*(1+0.01*growthrate!$F$3)^10</f>
        <v>117641.35956587782</v>
      </c>
      <c r="R10" s="4">
        <f>N10*(1+0.01*growthrate!$F$3)^10</f>
        <v>283672.80778623582</v>
      </c>
      <c r="S10" s="4">
        <f>O10*(1+0.01*growthrate!$F$3)^10</f>
        <v>33089.904953556674</v>
      </c>
    </row>
    <row r="11" spans="1:19" x14ac:dyDescent="0.2">
      <c r="A11" s="2" t="s">
        <v>27</v>
      </c>
      <c r="B11" s="8" t="s">
        <v>28</v>
      </c>
      <c r="C11" s="4" t="s">
        <v>779</v>
      </c>
      <c r="D11" s="5">
        <v>382739</v>
      </c>
      <c r="E11" s="5">
        <v>22142</v>
      </c>
      <c r="F11" s="5">
        <v>404881</v>
      </c>
      <c r="G11" s="5">
        <v>666</v>
      </c>
      <c r="H11" s="12">
        <f>D11*(1+0.01*growthrate!E11)^2</f>
        <v>382739</v>
      </c>
      <c r="I11" s="4">
        <f>E11*(1+0.01*growthrate!$E$3)^2</f>
        <v>22811.241949999992</v>
      </c>
      <c r="J11" s="4">
        <f>F11*(1+0.01*growthrate!$E$3)^2</f>
        <v>417118.5282249999</v>
      </c>
      <c r="K11" s="4">
        <f>G11*(1+0.01*growthrate!$E$3)^2</f>
        <v>686.12984999999981</v>
      </c>
      <c r="L11" s="12">
        <f>H11*(1+0.01*growthrate!$E$3)^5</f>
        <v>412318.60236270155</v>
      </c>
      <c r="M11" s="4">
        <f>I11*(1+0.01*growthrate!$E$3)^5</f>
        <v>24574.186061471195</v>
      </c>
      <c r="N11" s="4">
        <f>J11*(1+0.01*growthrate!$E$3)^5</f>
        <v>449355.11818058527</v>
      </c>
      <c r="O11" s="4">
        <f>K11*(1+0.01*growthrate!$E$3)^5</f>
        <v>739.15671199258497</v>
      </c>
      <c r="P11" s="12">
        <f>L11*(1+0.01*growthrate!$F$3)^10</f>
        <v>442107.24773168273</v>
      </c>
      <c r="Q11" s="4">
        <f>M11*(1+0.01*growthrate!$F$3)^10</f>
        <v>26349.589134778533</v>
      </c>
      <c r="R11" s="4">
        <f>N11*(1+0.01*growthrate!$F$3)^10</f>
        <v>481819.52842915122</v>
      </c>
      <c r="S11" s="4">
        <f>O11*(1+0.01*growthrate!$F$3)^10</f>
        <v>792.5583219114128</v>
      </c>
    </row>
    <row r="12" spans="1:19" x14ac:dyDescent="0.2">
      <c r="A12" s="2" t="s">
        <v>29</v>
      </c>
      <c r="B12" s="8" t="s">
        <v>30</v>
      </c>
      <c r="C12" s="4" t="s">
        <v>779</v>
      </c>
      <c r="D12" s="5">
        <v>586461</v>
      </c>
      <c r="E12" s="5">
        <v>-19365</v>
      </c>
      <c r="F12" s="5">
        <v>567096</v>
      </c>
      <c r="G12" s="5">
        <v>0</v>
      </c>
      <c r="H12" s="12">
        <f>D12*(1+0.01*growthrate!E12)^2</f>
        <v>586461</v>
      </c>
      <c r="I12" s="4">
        <f>E12*(1+0.01*growthrate!$E$3)^2</f>
        <v>-19950.307124999996</v>
      </c>
      <c r="J12" s="4">
        <f>F12*(1+0.01*growthrate!$E$3)^2</f>
        <v>584236.47659999982</v>
      </c>
      <c r="K12" s="4">
        <f>G12*(1+0.01*growthrate!$E$3)^2</f>
        <v>0</v>
      </c>
      <c r="L12" s="12">
        <f>H12*(1+0.01*growthrate!$E$3)^5</f>
        <v>631785.05420203402</v>
      </c>
      <c r="M12" s="4">
        <f>I12*(1+0.01*growthrate!$E$3)^5</f>
        <v>-21492.146738342955</v>
      </c>
      <c r="N12" s="4">
        <f>J12*(1+0.01*growthrate!$E$3)^5</f>
        <v>629388.61072694731</v>
      </c>
      <c r="O12" s="4">
        <f>K12*(1+0.01*growthrate!$E$3)^5</f>
        <v>0</v>
      </c>
      <c r="P12" s="12">
        <f>L12*(1+0.01*growthrate!$F$3)^10</f>
        <v>677429.4195573756</v>
      </c>
      <c r="Q12" s="4">
        <f>M12*(1+0.01*growthrate!$F$3)^10</f>
        <v>-23044.882738460223</v>
      </c>
      <c r="R12" s="4">
        <f>N12*(1+0.01*growthrate!$F$3)^10</f>
        <v>674859.84102503676</v>
      </c>
      <c r="S12" s="4">
        <f>O12*(1+0.01*growthrate!$F$3)^10</f>
        <v>0</v>
      </c>
    </row>
    <row r="13" spans="1:19" x14ac:dyDescent="0.2">
      <c r="A13" s="2" t="s">
        <v>31</v>
      </c>
      <c r="B13" s="8" t="s">
        <v>32</v>
      </c>
      <c r="C13" s="4" t="s">
        <v>779</v>
      </c>
      <c r="D13" s="5">
        <v>325776</v>
      </c>
      <c r="E13" s="5">
        <v>42514</v>
      </c>
      <c r="F13" s="5">
        <v>368290</v>
      </c>
      <c r="G13" s="5">
        <v>61422</v>
      </c>
      <c r="H13" s="12">
        <f>D13*(1+0.01*growthrate!E13)^2</f>
        <v>325776</v>
      </c>
      <c r="I13" s="4">
        <f>E13*(1+0.01*growthrate!$E$3)^2</f>
        <v>43798.985649999988</v>
      </c>
      <c r="J13" s="4">
        <f>F13*(1+0.01*growthrate!$E$3)^2</f>
        <v>379421.56524999993</v>
      </c>
      <c r="K13" s="4">
        <f>G13*(1+0.01*growthrate!$E$3)^2</f>
        <v>63278.479949999986</v>
      </c>
      <c r="L13" s="12">
        <f>H13*(1+0.01*growthrate!$E$3)^5</f>
        <v>350953.2736494359</v>
      </c>
      <c r="M13" s="4">
        <f>I13*(1+0.01*growthrate!$E$3)^5</f>
        <v>47183.946627106241</v>
      </c>
      <c r="N13" s="4">
        <f>J13*(1+0.01*growthrate!$E$3)^5</f>
        <v>408744.78297259629</v>
      </c>
      <c r="O13" s="4">
        <f>K13*(1+0.01*growthrate!$E$3)^5</f>
        <v>68168.894240253081</v>
      </c>
      <c r="P13" s="12">
        <f>L13*(1+0.01*growthrate!$F$3)^10</f>
        <v>376308.47845930688</v>
      </c>
      <c r="Q13" s="4">
        <f>M13*(1+0.01*growthrate!$F$3)^10</f>
        <v>50592.829576188895</v>
      </c>
      <c r="R13" s="4">
        <f>N13*(1+0.01*growthrate!$F$3)^10</f>
        <v>438275.23179692827</v>
      </c>
      <c r="S13" s="4">
        <f>O13*(1+0.01*growthrate!$F$3)^10</f>
        <v>73093.869742406605</v>
      </c>
    </row>
    <row r="14" spans="1:19" x14ac:dyDescent="0.2">
      <c r="A14" s="2" t="s">
        <v>33</v>
      </c>
      <c r="B14" s="8" t="s">
        <v>34</v>
      </c>
      <c r="C14" s="4" t="s">
        <v>779</v>
      </c>
      <c r="D14" s="5">
        <v>1308522</v>
      </c>
      <c r="E14" s="5">
        <v>212816</v>
      </c>
      <c r="F14" s="5">
        <v>1521338</v>
      </c>
      <c r="G14" s="5">
        <v>8166</v>
      </c>
      <c r="H14" s="12">
        <f>D14*(1+0.01*growthrate!E14)^2</f>
        <v>1308522</v>
      </c>
      <c r="I14" s="4">
        <f>E14*(1+0.01*growthrate!$E$3)^2</f>
        <v>219248.36359999995</v>
      </c>
      <c r="J14" s="4">
        <f>F14*(1+0.01*growthrate!$E$3)^2</f>
        <v>1567320.4410499996</v>
      </c>
      <c r="K14" s="4">
        <f>G14*(1+0.01*growthrate!$E$3)^2</f>
        <v>8412.8173499999975</v>
      </c>
      <c r="L14" s="12">
        <f>H14*(1+0.01*growthrate!$E$3)^5</f>
        <v>1409649.8193307891</v>
      </c>
      <c r="M14" s="4">
        <f>I14*(1+0.01*growthrate!$E$3)^5</f>
        <v>236192.75498410506</v>
      </c>
      <c r="N14" s="4">
        <f>J14*(1+0.01*growthrate!$E$3)^5</f>
        <v>1688449.240104167</v>
      </c>
      <c r="O14" s="4">
        <f>K14*(1+0.01*growthrate!$E$3)^5</f>
        <v>9062.9935587559285</v>
      </c>
      <c r="P14" s="12">
        <f>L14*(1+0.01*growthrate!$F$3)^10</f>
        <v>1511492.3224870132</v>
      </c>
      <c r="Q14" s="4">
        <f>M14*(1+0.01*growthrate!$F$3)^10</f>
        <v>253256.89464849734</v>
      </c>
      <c r="R14" s="4">
        <f>N14*(1+0.01*growthrate!$F$3)^10</f>
        <v>1810434.07258268</v>
      </c>
      <c r="S14" s="4">
        <f>O14*(1+0.01*growthrate!$F$3)^10</f>
        <v>9717.7646497426376</v>
      </c>
    </row>
    <row r="15" spans="1:19" x14ac:dyDescent="0.2">
      <c r="A15" s="2" t="s">
        <v>35</v>
      </c>
      <c r="B15" s="8" t="s">
        <v>36</v>
      </c>
      <c r="C15" s="4" t="s">
        <v>779</v>
      </c>
      <c r="D15" s="5">
        <v>505861</v>
      </c>
      <c r="E15" s="5">
        <v>-15434</v>
      </c>
      <c r="F15" s="5">
        <v>490427</v>
      </c>
      <c r="G15" s="5">
        <v>195</v>
      </c>
      <c r="H15" s="12">
        <f>D15*(1+0.01*growthrate!E15)^2</f>
        <v>505861</v>
      </c>
      <c r="I15" s="4">
        <f>E15*(1+0.01*growthrate!$E$3)^2</f>
        <v>-15900.492649999997</v>
      </c>
      <c r="J15" s="4">
        <f>F15*(1+0.01*growthrate!$E$3)^2</f>
        <v>505250.15607499989</v>
      </c>
      <c r="K15" s="4">
        <f>G15*(1+0.01*growthrate!$E$3)^2</f>
        <v>200.89387499999995</v>
      </c>
      <c r="L15" s="12">
        <f>H15*(1+0.01*growthrate!$E$3)^5</f>
        <v>544955.96348895342</v>
      </c>
      <c r="M15" s="4">
        <f>I15*(1+0.01*growthrate!$E$3)^5</f>
        <v>-17129.346385726061</v>
      </c>
      <c r="N15" s="4">
        <f>J15*(1+0.01*growthrate!$E$3)^5</f>
        <v>544297.91109968093</v>
      </c>
      <c r="O15" s="4">
        <f>K15*(1+0.01*growthrate!$E$3)^5</f>
        <v>216.41975801584695</v>
      </c>
      <c r="P15" s="12">
        <f>L15*(1+0.01*growthrate!$F$3)^10</f>
        <v>584327.21631398087</v>
      </c>
      <c r="Q15" s="4">
        <f>M15*(1+0.01*growthrate!$F$3)^10</f>
        <v>-18366.884595166284</v>
      </c>
      <c r="R15" s="4">
        <f>N15*(1+0.01*growthrate!$F$3)^10</f>
        <v>583621.62183190463</v>
      </c>
      <c r="S15" s="4">
        <f>O15*(1+0.01*growthrate!$F$3)^10</f>
        <v>232.05536452361187</v>
      </c>
    </row>
    <row r="16" spans="1:19" x14ac:dyDescent="0.2">
      <c r="A16" s="2" t="s">
        <v>37</v>
      </c>
      <c r="B16" s="8" t="s">
        <v>38</v>
      </c>
      <c r="C16" s="4" t="s">
        <v>779</v>
      </c>
      <c r="D16" s="5">
        <v>308</v>
      </c>
      <c r="E16" s="5">
        <v>235</v>
      </c>
      <c r="F16" s="5">
        <v>543</v>
      </c>
      <c r="G16" s="5">
        <v>55225</v>
      </c>
      <c r="H16" s="12">
        <f>D16*(1+0.01*growthrate!E16)^2</f>
        <v>308</v>
      </c>
      <c r="I16" s="4">
        <f>E16*(1+0.01*growthrate!$E$3)^2</f>
        <v>242.10287499999993</v>
      </c>
      <c r="J16" s="4">
        <f>F16*(1+0.01*growthrate!$E$3)^2</f>
        <v>559.41217499999982</v>
      </c>
      <c r="K16" s="4">
        <f>G16*(1+0.01*growthrate!$E$3)^2</f>
        <v>56894.175624999982</v>
      </c>
      <c r="L16" s="12">
        <f>H16*(1+0.01*growthrate!$E$3)^5</f>
        <v>331.8034731963873</v>
      </c>
      <c r="M16" s="4">
        <f>I16*(1+0.01*growthrate!$E$3)^5</f>
        <v>260.8135545319181</v>
      </c>
      <c r="N16" s="4">
        <f>J16*(1+0.01*growthrate!$E$3)^5</f>
        <v>602.64578770566607</v>
      </c>
      <c r="O16" s="4">
        <f>K16*(1+0.01*growthrate!$E$3)^5</f>
        <v>61291.185315000752</v>
      </c>
      <c r="P16" s="12">
        <f>L16*(1+0.01*growthrate!$F$3)^10</f>
        <v>355.775168721657</v>
      </c>
      <c r="Q16" s="4">
        <f>M16*(1+0.01*growthrate!$F$3)^10</f>
        <v>279.65646493871168</v>
      </c>
      <c r="R16" s="4">
        <f>N16*(1+0.01*growthrate!$F$3)^10</f>
        <v>646.1849381349806</v>
      </c>
      <c r="S16" s="4">
        <f>O16*(1+0.01*growthrate!$F$3)^10</f>
        <v>65719.269260597255</v>
      </c>
    </row>
    <row r="17" spans="1:19" x14ac:dyDescent="0.2">
      <c r="A17" s="2" t="s">
        <v>39</v>
      </c>
      <c r="B17" s="8" t="s">
        <v>40</v>
      </c>
      <c r="C17" s="4" t="s">
        <v>779</v>
      </c>
      <c r="D17" s="5">
        <v>5581</v>
      </c>
      <c r="E17" s="5">
        <v>-21</v>
      </c>
      <c r="F17" s="5">
        <v>5560</v>
      </c>
      <c r="G17" s="5">
        <v>159380</v>
      </c>
      <c r="H17" s="12">
        <f>D17*(1+0.01*growthrate!E17)^2</f>
        <v>5581</v>
      </c>
      <c r="I17" s="4">
        <f>E17*(1+0.01*growthrate!$E$3)^2</f>
        <v>-21.634724999999996</v>
      </c>
      <c r="J17" s="4">
        <f>F17*(1+0.01*growthrate!$E$3)^2</f>
        <v>5728.0509999999986</v>
      </c>
      <c r="K17" s="4">
        <f>G17*(1+0.01*growthrate!$E$3)^2</f>
        <v>164197.26049999995</v>
      </c>
      <c r="L17" s="12">
        <f>H17*(1+0.01*growthrate!$E$3)^5</f>
        <v>6012.3220256786926</v>
      </c>
      <c r="M17" s="4">
        <f>I17*(1+0.01*growthrate!$E$3)^5</f>
        <v>-23.306743170937366</v>
      </c>
      <c r="N17" s="4">
        <f>J17*(1+0.01*growthrate!$E$3)^5</f>
        <v>6170.7377157338924</v>
      </c>
      <c r="O17" s="4">
        <f>K17*(1+0.01*growthrate!$E$3)^5</f>
        <v>176887.08221828556</v>
      </c>
      <c r="P17" s="12">
        <f>L17*(1+0.01*growthrate!$F$3)^10</f>
        <v>6446.6922618037906</v>
      </c>
      <c r="Q17" s="4">
        <f>M17*(1+0.01*growthrate!$F$3)^10</f>
        <v>-24.990577717927433</v>
      </c>
      <c r="R17" s="4">
        <f>N17*(1+0.01*growthrate!$F$3)^10</f>
        <v>6616.552957698882</v>
      </c>
      <c r="S17" s="4">
        <f>O17*(1+0.01*growthrate!$F$3)^10</f>
        <v>189666.58460396543</v>
      </c>
    </row>
    <row r="18" spans="1:19" x14ac:dyDescent="0.2">
      <c r="A18" s="2" t="s">
        <v>41</v>
      </c>
      <c r="B18" s="8" t="s">
        <v>42</v>
      </c>
      <c r="C18" s="4" t="s">
        <v>779</v>
      </c>
      <c r="D18" s="5">
        <v>8803</v>
      </c>
      <c r="E18" s="5">
        <v>-33</v>
      </c>
      <c r="F18" s="5">
        <v>8770</v>
      </c>
      <c r="G18" s="5">
        <v>27361</v>
      </c>
      <c r="H18" s="12">
        <f>D18*(1+0.01*growthrate!E18)^2</f>
        <v>8803</v>
      </c>
      <c r="I18" s="4">
        <f>E18*(1+0.01*growthrate!$E$3)^2</f>
        <v>-33.997424999999993</v>
      </c>
      <c r="J18" s="4">
        <f>F18*(1+0.01*growthrate!$E$3)^2</f>
        <v>9035.0732499999976</v>
      </c>
      <c r="K18" s="4">
        <f>G18*(1+0.01*growthrate!$E$3)^2</f>
        <v>28187.986224999993</v>
      </c>
      <c r="L18" s="12">
        <f>H18*(1+0.01*growthrate!$E$3)^5</f>
        <v>9483.3310861941463</v>
      </c>
      <c r="M18" s="4">
        <f>I18*(1+0.01*growthrate!$E$3)^5</f>
        <v>-36.624882125758717</v>
      </c>
      <c r="N18" s="4">
        <f>J18*(1+0.01*growthrate!$E$3)^5</f>
        <v>9733.3398861486039</v>
      </c>
      <c r="O18" s="4">
        <f>K18*(1+0.01*growthrate!$E$3)^5</f>
        <v>30366.466661905582</v>
      </c>
      <c r="P18" s="12">
        <f>L18*(1+0.01*growthrate!$F$3)^10</f>
        <v>10168.470163171254</v>
      </c>
      <c r="Q18" s="4">
        <f>M18*(1+0.01*growthrate!$F$3)^10</f>
        <v>-39.27090784245739</v>
      </c>
      <c r="R18" s="4">
        <f>N18*(1+0.01*growthrate!$F$3)^10</f>
        <v>10436.541266010647</v>
      </c>
      <c r="S18" s="4">
        <f>O18*(1+0.01*growthrate!$F$3)^10</f>
        <v>32560.342711438687</v>
      </c>
    </row>
    <row r="19" spans="1:19" x14ac:dyDescent="0.2">
      <c r="A19" s="2" t="s">
        <v>43</v>
      </c>
      <c r="B19" s="8" t="s">
        <v>44</v>
      </c>
      <c r="C19" s="4" t="s">
        <v>779</v>
      </c>
      <c r="D19" s="5">
        <v>30355</v>
      </c>
      <c r="E19" s="5">
        <v>3252</v>
      </c>
      <c r="F19" s="5">
        <v>33607</v>
      </c>
      <c r="G19" s="5">
        <v>24093</v>
      </c>
      <c r="H19" s="12">
        <f>D19*(1+0.01*growthrate!E19)^2</f>
        <v>30355</v>
      </c>
      <c r="I19" s="4">
        <f>E19*(1+0.01*growthrate!$E$3)^2</f>
        <v>3350.2916999999993</v>
      </c>
      <c r="J19" s="4">
        <f>F19*(1+0.01*growthrate!$E$3)^2</f>
        <v>34622.771574999992</v>
      </c>
      <c r="K19" s="4">
        <f>G19*(1+0.01*growthrate!$E$3)^2</f>
        <v>24821.210924999992</v>
      </c>
      <c r="L19" s="12">
        <f>H19*(1+0.01*growthrate!$E$3)^5</f>
        <v>32700.955937910181</v>
      </c>
      <c r="M19" s="4">
        <f>I19*(1+0.01*growthrate!$E$3)^5</f>
        <v>3609.2156567565862</v>
      </c>
      <c r="N19" s="4">
        <f>J19*(1+0.01*growthrate!$E$3)^5</f>
        <v>37298.557987890097</v>
      </c>
      <c r="O19" s="4">
        <f>K19*(1+0.01*growthrate!$E$3)^5</f>
        <v>26739.493486542564</v>
      </c>
      <c r="P19" s="12">
        <f>L19*(1+0.01*growthrate!$F$3)^10</f>
        <v>35063.491060213957</v>
      </c>
      <c r="Q19" s="4">
        <f>M19*(1+0.01*growthrate!$F$3)^10</f>
        <v>3869.9694637476196</v>
      </c>
      <c r="R19" s="4">
        <f>N19*(1+0.01*growthrate!$F$3)^10</f>
        <v>39993.254541256538</v>
      </c>
      <c r="S19" s="4">
        <f>O19*(1+0.01*growthrate!$F$3)^10</f>
        <v>28671.332807525025</v>
      </c>
    </row>
    <row r="20" spans="1:19" x14ac:dyDescent="0.2">
      <c r="A20" s="2" t="s">
        <v>45</v>
      </c>
      <c r="B20" s="8" t="s">
        <v>46</v>
      </c>
      <c r="C20" s="4" t="s">
        <v>779</v>
      </c>
      <c r="D20" s="5">
        <v>253844</v>
      </c>
      <c r="E20" s="5">
        <v>162126</v>
      </c>
      <c r="F20" s="5">
        <v>415970</v>
      </c>
      <c r="G20" s="5">
        <v>21791</v>
      </c>
      <c r="H20" s="12">
        <f>D20*(1+0.01*growthrate!E20)^2</f>
        <v>253844</v>
      </c>
      <c r="I20" s="4">
        <f>E20*(1+0.01*growthrate!$E$3)^2</f>
        <v>167026.25834999996</v>
      </c>
      <c r="J20" s="4">
        <f>F20*(1+0.01*growthrate!$E$3)^2</f>
        <v>428542.69324999989</v>
      </c>
      <c r="K20" s="4">
        <f>G20*(1+0.01*growthrate!$E$3)^2</f>
        <v>22449.632974999993</v>
      </c>
      <c r="L20" s="12">
        <f>H20*(1+0.01*growthrate!$E$3)^5</f>
        <v>273462.08068202512</v>
      </c>
      <c r="M20" s="4">
        <f>I20*(1+0.01*growthrate!$E$3)^5</f>
        <v>179934.71634911385</v>
      </c>
      <c r="N20" s="4">
        <f>J20*(1+0.01*growthrate!$E$3)^5</f>
        <v>461662.1884197531</v>
      </c>
      <c r="O20" s="4">
        <f>K20*(1+0.01*growthrate!$E$3)^5</f>
        <v>24184.630497042668</v>
      </c>
      <c r="P20" s="12">
        <f>L20*(1+0.01*growthrate!$F$3)^10</f>
        <v>293218.80496422178</v>
      </c>
      <c r="Q20" s="4">
        <f>M20*(1+0.01*growthrate!$F$3)^10</f>
        <v>192934.40014746203</v>
      </c>
      <c r="R20" s="4">
        <f>N20*(1+0.01*growthrate!$F$3)^10</f>
        <v>495015.74349172728</v>
      </c>
      <c r="S20" s="4">
        <f>O20*(1+0.01*growthrate!$F$3)^10</f>
        <v>25931.889478636029</v>
      </c>
    </row>
    <row r="21" spans="1:19" x14ac:dyDescent="0.2">
      <c r="A21" s="2" t="s">
        <v>47</v>
      </c>
      <c r="B21" s="8" t="s">
        <v>48</v>
      </c>
      <c r="C21" s="4" t="s">
        <v>779</v>
      </c>
      <c r="D21" s="5">
        <v>8917</v>
      </c>
      <c r="E21" s="5">
        <v>8824</v>
      </c>
      <c r="F21" s="5">
        <v>17741</v>
      </c>
      <c r="G21" s="5">
        <v>11893</v>
      </c>
      <c r="H21" s="12">
        <f>D21*(1+0.01*growthrate!E21)^2</f>
        <v>8917</v>
      </c>
      <c r="I21" s="4">
        <f>E21*(1+0.01*growthrate!$E$3)^2</f>
        <v>9090.7053999999971</v>
      </c>
      <c r="J21" s="4">
        <f>F21*(1+0.01*growthrate!$E$3)^2</f>
        <v>18277.221724999996</v>
      </c>
      <c r="K21" s="4">
        <f>G21*(1+0.01*growthrate!$E$3)^2</f>
        <v>12252.465924999997</v>
      </c>
      <c r="L21" s="12">
        <f>H21*(1+0.01*growthrate!$E$3)^5</f>
        <v>9606.141462636966</v>
      </c>
      <c r="M21" s="4">
        <f>I21*(1+0.01*growthrate!$E$3)^5</f>
        <v>9793.2715114452985</v>
      </c>
      <c r="N21" s="4">
        <f>J21*(1+0.01*growthrate!$E$3)^5</f>
        <v>19689.758599790464</v>
      </c>
      <c r="O21" s="4">
        <f>K21*(1+0.01*growthrate!$E$3)^5</f>
        <v>13199.385549140859</v>
      </c>
      <c r="P21" s="12">
        <f>L21*(1+0.01*growthrate!$F$3)^10</f>
        <v>10300.153180165635</v>
      </c>
      <c r="Q21" s="4">
        <f>M21*(1+0.01*growthrate!$F$3)^10</f>
        <v>10500.802751571029</v>
      </c>
      <c r="R21" s="4">
        <f>N21*(1+0.01*growthrate!$F$3)^10</f>
        <v>21112.278061607169</v>
      </c>
      <c r="S21" s="4">
        <f>O21*(1+0.01*growthrate!$F$3)^10</f>
        <v>14152.997180919567</v>
      </c>
    </row>
    <row r="22" spans="1:19" x14ac:dyDescent="0.2">
      <c r="A22" s="2" t="s">
        <v>49</v>
      </c>
      <c r="B22" s="8" t="s">
        <v>50</v>
      </c>
      <c r="C22" s="4" t="s">
        <v>779</v>
      </c>
      <c r="D22" s="5">
        <v>414803</v>
      </c>
      <c r="E22" s="5">
        <v>-5916</v>
      </c>
      <c r="F22" s="5">
        <v>408887</v>
      </c>
      <c r="G22" s="5">
        <v>1876</v>
      </c>
      <c r="H22" s="12">
        <f>D22*(1+0.01*growthrate!E22)^2</f>
        <v>414803</v>
      </c>
      <c r="I22" s="4">
        <f>E22*(1+0.01*growthrate!$E$3)^2</f>
        <v>-6094.8110999999981</v>
      </c>
      <c r="J22" s="4">
        <f>F22*(1+0.01*growthrate!$E$3)^2</f>
        <v>421245.60957499989</v>
      </c>
      <c r="K22" s="4">
        <f>G22*(1+0.01*growthrate!$E$3)^2</f>
        <v>1932.7020999999995</v>
      </c>
      <c r="L22" s="12">
        <f>H22*(1+0.01*growthrate!$E$3)^5</f>
        <v>446860.6366632501</v>
      </c>
      <c r="M22" s="4">
        <f>I22*(1+0.01*growthrate!$E$3)^5</f>
        <v>-6565.8425047269257</v>
      </c>
      <c r="N22" s="4">
        <f>J22*(1+0.01*growthrate!$E$3)^5</f>
        <v>453801.1569016698</v>
      </c>
      <c r="O22" s="4">
        <f>K22*(1+0.01*growthrate!$E$3)^5</f>
        <v>2082.0690566037379</v>
      </c>
      <c r="P22" s="12">
        <f>L22*(1+0.01*growthrate!$F$3)^10</f>
        <v>479144.82893262821</v>
      </c>
      <c r="Q22" s="4">
        <f>M22*(1+0.01*growthrate!$F$3)^10</f>
        <v>-7040.2027513932699</v>
      </c>
      <c r="R22" s="4">
        <f>N22*(1+0.01*growthrate!$F$3)^10</f>
        <v>486586.77863572352</v>
      </c>
      <c r="S22" s="4">
        <f>O22*(1+0.01*growthrate!$F$3)^10</f>
        <v>2232.4916094681839</v>
      </c>
    </row>
    <row r="23" spans="1:19" x14ac:dyDescent="0.2">
      <c r="A23" s="2" t="s">
        <v>51</v>
      </c>
      <c r="B23" s="8" t="s">
        <v>52</v>
      </c>
      <c r="C23" s="4" t="s">
        <v>779</v>
      </c>
      <c r="D23" s="5">
        <v>6272</v>
      </c>
      <c r="E23" s="5">
        <v>3058</v>
      </c>
      <c r="F23" s="5">
        <v>9330</v>
      </c>
      <c r="G23" s="5">
        <v>1533</v>
      </c>
      <c r="H23" s="12">
        <f>D23*(1+0.01*growthrate!E23)^2</f>
        <v>6272</v>
      </c>
      <c r="I23" s="4">
        <f>E23*(1+0.01*growthrate!$E$3)^2</f>
        <v>3150.4280499999991</v>
      </c>
      <c r="J23" s="4">
        <f>F23*(1+0.01*growthrate!$E$3)^2</f>
        <v>9611.9992499999971</v>
      </c>
      <c r="K23" s="4">
        <f>G23*(1+0.01*growthrate!$E$3)^2</f>
        <v>1579.3349249999997</v>
      </c>
      <c r="L23" s="12">
        <f>H23*(1+0.01*growthrate!$E$3)^5</f>
        <v>6756.7252723627953</v>
      </c>
      <c r="M23" s="4">
        <f>I23*(1+0.01*growthrate!$E$3)^5</f>
        <v>3393.9057436536409</v>
      </c>
      <c r="N23" s="4">
        <f>J23*(1+0.01*growthrate!$E$3)^5</f>
        <v>10354.853037373599</v>
      </c>
      <c r="O23" s="4">
        <f>K23*(1+0.01*growthrate!$E$3)^5</f>
        <v>1701.3922514784276</v>
      </c>
      <c r="P23" s="12">
        <f>L23*(1+0.01*growthrate!$F$3)^10</f>
        <v>7244.8761630591971</v>
      </c>
      <c r="Q23" s="4">
        <f>M23*(1+0.01*growthrate!$F$3)^10</f>
        <v>3639.1041267343849</v>
      </c>
      <c r="R23" s="4">
        <f>N23*(1+0.01*growthrate!$F$3)^10</f>
        <v>11102.956671822043</v>
      </c>
      <c r="S23" s="4">
        <f>O23*(1+0.01*growthrate!$F$3)^10</f>
        <v>1824.3121734087026</v>
      </c>
    </row>
    <row r="24" spans="1:19" x14ac:dyDescent="0.2">
      <c r="A24" s="2" t="s">
        <v>53</v>
      </c>
      <c r="B24" s="8" t="s">
        <v>54</v>
      </c>
      <c r="C24" s="4" t="s">
        <v>779</v>
      </c>
      <c r="D24" s="5">
        <v>167379</v>
      </c>
      <c r="E24" s="5">
        <v>15688</v>
      </c>
      <c r="F24" s="5">
        <v>183067</v>
      </c>
      <c r="G24" s="5">
        <v>4338</v>
      </c>
      <c r="H24" s="12">
        <f>D24*(1+0.01*growthrate!E24)^2</f>
        <v>167379</v>
      </c>
      <c r="I24" s="4">
        <f>E24*(1+0.01*growthrate!$E$3)^2</f>
        <v>16162.169799999996</v>
      </c>
      <c r="J24" s="4">
        <f>F24*(1+0.01*growthrate!$E$3)^2</f>
        <v>188600.20007499994</v>
      </c>
      <c r="K24" s="4">
        <f>G24*(1+0.01*growthrate!$E$3)^2</f>
        <v>4469.1160499999987</v>
      </c>
      <c r="L24" s="12">
        <f>H24*(1+0.01*growthrate!$E$3)^5</f>
        <v>180314.7192861627</v>
      </c>
      <c r="M24" s="4">
        <f>I24*(1+0.01*growthrate!$E$3)^5</f>
        <v>17411.246993603112</v>
      </c>
      <c r="N24" s="4">
        <f>J24*(1+0.01*growthrate!$E$3)^5</f>
        <v>203175.97867019</v>
      </c>
      <c r="O24" s="4">
        <f>K24*(1+0.01*growthrate!$E$3)^5</f>
        <v>4814.5072321679181</v>
      </c>
      <c r="P24" s="12">
        <f>L24*(1+0.01*growthrate!$F$3)^10</f>
        <v>193341.85703072153</v>
      </c>
      <c r="Q24" s="4">
        <f>M24*(1+0.01*growthrate!$F$3)^10</f>
        <v>18669.151582802169</v>
      </c>
      <c r="R24" s="4">
        <f>N24*(1+0.01*growthrate!$F$3)^10</f>
        <v>217854.76624227717</v>
      </c>
      <c r="S24" s="4">
        <f>O24*(1+0.01*growthrate!$F$3)^10</f>
        <v>5162.339340017581</v>
      </c>
    </row>
    <row r="25" spans="1:19" x14ac:dyDescent="0.2">
      <c r="A25" s="2" t="s">
        <v>55</v>
      </c>
      <c r="B25" s="8" t="s">
        <v>56</v>
      </c>
      <c r="C25" s="4" t="s">
        <v>779</v>
      </c>
      <c r="D25" s="5">
        <v>566183</v>
      </c>
      <c r="E25" s="5">
        <v>723843</v>
      </c>
      <c r="F25" s="5">
        <v>1290026</v>
      </c>
      <c r="G25" s="5">
        <v>780962</v>
      </c>
      <c r="H25" s="12">
        <f>D25*(1+0.01*growthrate!E25)^2</f>
        <v>566183</v>
      </c>
      <c r="I25" s="4">
        <f>E25*(1+0.01*growthrate!$E$3)^2</f>
        <v>745721.15467499977</v>
      </c>
      <c r="J25" s="4">
        <f>F25*(1+0.01*growthrate!$E$3)^2</f>
        <v>1329017.0358499996</v>
      </c>
      <c r="K25" s="4">
        <f>G25*(1+0.01*growthrate!$E$3)^2</f>
        <v>804566.57644999982</v>
      </c>
      <c r="L25" s="12">
        <f>H25*(1+0.01*growthrate!$E$3)^5</f>
        <v>609939.8891712667</v>
      </c>
      <c r="M25" s="4">
        <f>I25*(1+0.01*growthrate!$E$3)^5</f>
        <v>803353.47128956253</v>
      </c>
      <c r="N25" s="4">
        <f>J25*(1+0.01*growthrate!$E$3)^5</f>
        <v>1431728.7936110306</v>
      </c>
      <c r="O25" s="4">
        <f>K25*(1+0.01*growthrate!$E$3)^5</f>
        <v>866746.70286959934</v>
      </c>
      <c r="P25" s="12">
        <f>L25*(1+0.01*growthrate!$F$3)^10</f>
        <v>654006.01413095428</v>
      </c>
      <c r="Q25" s="4">
        <f>M25*(1+0.01*growthrate!$F$3)^10</f>
        <v>861393.0831941783</v>
      </c>
      <c r="R25" s="4">
        <f>N25*(1+0.01*growthrate!$F$3)^10</f>
        <v>1535166.4291022404</v>
      </c>
      <c r="S25" s="4">
        <f>O25*(1+0.01*growthrate!$F$3)^10</f>
        <v>929366.26455943065</v>
      </c>
    </row>
    <row r="26" spans="1:19" x14ac:dyDescent="0.2">
      <c r="A26" s="2" t="s">
        <v>57</v>
      </c>
      <c r="B26" s="8" t="s">
        <v>58</v>
      </c>
      <c r="C26" s="4" t="s">
        <v>779</v>
      </c>
      <c r="D26" s="5">
        <v>121382</v>
      </c>
      <c r="E26" s="5">
        <v>95493</v>
      </c>
      <c r="F26" s="5">
        <v>216875</v>
      </c>
      <c r="G26" s="5">
        <v>158973</v>
      </c>
      <c r="H26" s="12">
        <f>D26*(1+0.01*growthrate!E26)^2</f>
        <v>121382</v>
      </c>
      <c r="I26" s="4">
        <f>E26*(1+0.01*growthrate!$E$3)^2</f>
        <v>98379.27592499998</v>
      </c>
      <c r="J26" s="4">
        <f>F26*(1+0.01*growthrate!$E$3)^2</f>
        <v>223430.04687499994</v>
      </c>
      <c r="K26" s="4">
        <f>G26*(1+0.01*growthrate!$E$3)^2</f>
        <v>163777.95892499996</v>
      </c>
      <c r="L26" s="12">
        <f>H26*(1+0.01*growthrate!$E$3)^5</f>
        <v>130762.88695949312</v>
      </c>
      <c r="M26" s="4">
        <f>I26*(1+0.01*growthrate!$E$3)^5</f>
        <v>105982.42026772961</v>
      </c>
      <c r="N26" s="4">
        <f>J26*(1+0.01*growthrate!$E$3)^5</f>
        <v>240697.61548557336</v>
      </c>
      <c r="O26" s="4">
        <f>K26*(1+0.01*growthrate!$E$3)^5</f>
        <v>176435.37533873454</v>
      </c>
      <c r="P26" s="12">
        <f>L26*(1+0.01*growthrate!$F$3)^10</f>
        <v>140210.0699018577</v>
      </c>
      <c r="Q26" s="4">
        <f>M26*(1+0.01*growthrate!$F$3)^10</f>
        <v>113639.2970484783</v>
      </c>
      <c r="R26" s="4">
        <f>N26*(1+0.01*growthrate!$F$3)^10</f>
        <v>258087.2163131196</v>
      </c>
      <c r="S26" s="4">
        <f>O26*(1+0.01*growthrate!$F$3)^10</f>
        <v>189182.24340724177</v>
      </c>
    </row>
    <row r="27" spans="1:19" x14ac:dyDescent="0.2">
      <c r="A27" s="2" t="s">
        <v>59</v>
      </c>
      <c r="B27" s="8" t="s">
        <v>60</v>
      </c>
      <c r="C27" s="4" t="s">
        <v>779</v>
      </c>
      <c r="D27" s="5">
        <v>3128</v>
      </c>
      <c r="E27" s="5">
        <v>0</v>
      </c>
      <c r="F27" s="5">
        <v>3128</v>
      </c>
      <c r="G27" s="5">
        <v>39391</v>
      </c>
      <c r="H27" s="12">
        <f>D27*(1+0.01*growthrate!E27)^2</f>
        <v>3128</v>
      </c>
      <c r="I27" s="4">
        <f>E27*(1+0.01*growthrate!$E$3)^2</f>
        <v>0</v>
      </c>
      <c r="J27" s="4">
        <f>F27*(1+0.01*growthrate!$E$3)^2</f>
        <v>3222.543799999999</v>
      </c>
      <c r="K27" s="4">
        <f>G27*(1+0.01*growthrate!$E$3)^2</f>
        <v>40581.592974999992</v>
      </c>
      <c r="L27" s="12">
        <f>H27*(1+0.01*growthrate!$E$3)^5</f>
        <v>3369.7443641503228</v>
      </c>
      <c r="M27" s="4">
        <f>I27*(1+0.01*growthrate!$E$3)^5</f>
        <v>0</v>
      </c>
      <c r="N27" s="4">
        <f>J27*(1+0.01*growthrate!$E$3)^5</f>
        <v>3471.5948875567651</v>
      </c>
      <c r="O27" s="4">
        <f>K27*(1+0.01*growthrate!$E$3)^5</f>
        <v>43717.900964113986</v>
      </c>
      <c r="P27" s="12">
        <f>L27*(1+0.01*growthrate!$F$3)^10</f>
        <v>3613.1971680563088</v>
      </c>
      <c r="Q27" s="4">
        <f>M27*(1+0.01*growthrate!$F$3)^10</f>
        <v>0</v>
      </c>
      <c r="R27" s="4">
        <f>N27*(1+0.01*growthrate!$F$3)^10</f>
        <v>3722.4060524608094</v>
      </c>
      <c r="S27" s="4">
        <f>O27*(1+0.01*growthrate!$F$3)^10</f>
        <v>46876.373661279969</v>
      </c>
    </row>
    <row r="28" spans="1:19" x14ac:dyDescent="0.2">
      <c r="A28" s="2" t="s">
        <v>61</v>
      </c>
      <c r="B28" s="8" t="s">
        <v>62</v>
      </c>
      <c r="C28" s="4" t="s">
        <v>779</v>
      </c>
      <c r="D28" s="5">
        <v>1323739</v>
      </c>
      <c r="E28" s="5">
        <v>-11093</v>
      </c>
      <c r="F28" s="5">
        <v>1312646</v>
      </c>
      <c r="G28" s="5">
        <v>989</v>
      </c>
      <c r="H28" s="12">
        <f>D28*(1+0.01*growthrate!E28)^2</f>
        <v>1323739</v>
      </c>
      <c r="I28" s="4">
        <f>E28*(1+0.01*growthrate!$E$3)^2</f>
        <v>-11428.285924999996</v>
      </c>
      <c r="J28" s="4">
        <f>F28*(1+0.01*growthrate!$E$3)^2</f>
        <v>1352320.7253499997</v>
      </c>
      <c r="K28" s="4">
        <f>G28*(1+0.01*growthrate!$E$3)^2</f>
        <v>1018.8925249999998</v>
      </c>
      <c r="L28" s="12">
        <f>H28*(1+0.01*growthrate!$E$3)^5</f>
        <v>1426042.8500178978</v>
      </c>
      <c r="M28" s="4">
        <f>I28*(1+0.01*growthrate!$E$3)^5</f>
        <v>-12311.509618819437</v>
      </c>
      <c r="N28" s="4">
        <f>J28*(1+0.01*growthrate!$E$3)^5</f>
        <v>1456833.4855408689</v>
      </c>
      <c r="O28" s="4">
        <f>K28*(1+0.01*growthrate!$E$3)^5</f>
        <v>1097.6366188598597</v>
      </c>
      <c r="P28" s="12">
        <f>L28*(1+0.01*growthrate!$F$3)^10</f>
        <v>1529069.6950273945</v>
      </c>
      <c r="Q28" s="4">
        <f>M28*(1+0.01*growthrate!$F$3)^10</f>
        <v>-13200.975172617571</v>
      </c>
      <c r="R28" s="4">
        <f>N28*(1+0.01*growthrate!$F$3)^10</f>
        <v>1562084.8513869797</v>
      </c>
      <c r="S28" s="4">
        <f>O28*(1+0.01*growthrate!$F$3)^10</f>
        <v>1176.9372077633443</v>
      </c>
    </row>
    <row r="29" spans="1:19" x14ac:dyDescent="0.2">
      <c r="A29" s="2" t="s">
        <v>63</v>
      </c>
      <c r="B29" s="8" t="s">
        <v>64</v>
      </c>
      <c r="C29" s="4" t="s">
        <v>779</v>
      </c>
      <c r="D29" s="5">
        <v>27255516</v>
      </c>
      <c r="E29" s="5">
        <v>185592</v>
      </c>
      <c r="F29" s="5">
        <v>27441108</v>
      </c>
      <c r="G29" s="5">
        <v>0</v>
      </c>
      <c r="H29" s="12">
        <f>D29*(1+0.01*growthrate!E29)^2</f>
        <v>27255516</v>
      </c>
      <c r="I29" s="4">
        <f>E29*(1+0.01*growthrate!$E$3)^2</f>
        <v>191201.51819999996</v>
      </c>
      <c r="J29" s="4">
        <f>F29*(1+0.01*growthrate!$E$3)^2</f>
        <v>28270515.489299994</v>
      </c>
      <c r="K29" s="4">
        <f>G29*(1+0.01*growthrate!$E$3)^2</f>
        <v>0</v>
      </c>
      <c r="L29" s="12">
        <f>H29*(1+0.01*growthrate!$E$3)^5</f>
        <v>29361931.404414624</v>
      </c>
      <c r="M29" s="4">
        <f>I29*(1+0.01*growthrate!$E$3)^5</f>
        <v>205978.33707526702</v>
      </c>
      <c r="N29" s="4">
        <f>J29*(1+0.01*growthrate!$E$3)^5</f>
        <v>30455374.118188318</v>
      </c>
      <c r="O29" s="4">
        <f>K29*(1+0.01*growthrate!$E$3)^5</f>
        <v>0</v>
      </c>
      <c r="P29" s="12">
        <f>L29*(1+0.01*growthrate!$F$3)^10</f>
        <v>31483233.128233187</v>
      </c>
      <c r="Q29" s="4">
        <f>M29*(1+0.01*growthrate!$F$3)^10</f>
        <v>220859.58570598037</v>
      </c>
      <c r="R29" s="4">
        <f>N29*(1+0.01*growthrate!$F$3)^10</f>
        <v>32655673.435240008</v>
      </c>
      <c r="S29" s="4">
        <f>O29*(1+0.01*growthrate!$F$3)^10</f>
        <v>0</v>
      </c>
    </row>
    <row r="30" spans="1:19" x14ac:dyDescent="0.2">
      <c r="A30" s="2" t="s">
        <v>65</v>
      </c>
      <c r="B30" s="8" t="s">
        <v>66</v>
      </c>
      <c r="C30" s="4" t="s">
        <v>779</v>
      </c>
      <c r="D30" s="5">
        <v>114651227</v>
      </c>
      <c r="E30" s="5">
        <v>-321701</v>
      </c>
      <c r="F30" s="5">
        <v>114329526</v>
      </c>
      <c r="G30" s="5">
        <v>0</v>
      </c>
      <c r="H30" s="12">
        <f>D30*(1+0.01*growthrate!E30)^2</f>
        <v>114651227</v>
      </c>
      <c r="I30" s="4">
        <f>E30*(1+0.01*growthrate!$E$3)^2</f>
        <v>-331424.41272499989</v>
      </c>
      <c r="J30" s="4">
        <f>F30*(1+0.01*growthrate!$E$3)^2</f>
        <v>117785135.92334996</v>
      </c>
      <c r="K30" s="4">
        <f>G30*(1+0.01*growthrate!$E$3)^2</f>
        <v>0</v>
      </c>
      <c r="L30" s="12">
        <f>H30*(1+0.01*growthrate!$E$3)^5</f>
        <v>123511932.87281628</v>
      </c>
      <c r="M30" s="4">
        <f>I30*(1+0.01*growthrate!$E$3)^5</f>
        <v>-357038.21832541522</v>
      </c>
      <c r="N30" s="4">
        <f>J30*(1+0.01*growthrate!$E$3)^5</f>
        <v>126888042.82557169</v>
      </c>
      <c r="O30" s="4">
        <f>K30*(1+0.01*growthrate!$E$3)^5</f>
        <v>0</v>
      </c>
      <c r="P30" s="12">
        <f>L30*(1+0.01*growthrate!$F$3)^10</f>
        <v>132435258.5391883</v>
      </c>
      <c r="Q30" s="4">
        <f>M30*(1+0.01*growthrate!$F$3)^10</f>
        <v>-382833.04011595098</v>
      </c>
      <c r="R30" s="4">
        <f>N30*(1+0.01*growthrate!$F$3)^10</f>
        <v>136055281.18841925</v>
      </c>
      <c r="S30" s="4">
        <f>O30*(1+0.01*growthrate!$F$3)^10</f>
        <v>0</v>
      </c>
    </row>
    <row r="31" spans="1:19" x14ac:dyDescent="0.2">
      <c r="A31" s="2" t="s">
        <v>67</v>
      </c>
      <c r="B31" s="8" t="s">
        <v>68</v>
      </c>
      <c r="C31" s="4" t="s">
        <v>779</v>
      </c>
      <c r="D31" s="5">
        <v>48813493</v>
      </c>
      <c r="E31" s="5">
        <v>-605885</v>
      </c>
      <c r="F31" s="5">
        <v>48207608</v>
      </c>
      <c r="G31" s="5">
        <v>0</v>
      </c>
      <c r="H31" s="12">
        <f>D31*(1+0.01*growthrate!E31)^2</f>
        <v>48813493</v>
      </c>
      <c r="I31" s="4">
        <f>E31*(1+0.01*growthrate!$E$3)^2</f>
        <v>-624197.87412499986</v>
      </c>
      <c r="J31" s="4">
        <f>F31*(1+0.01*growthrate!$E$3)^2</f>
        <v>49664682.951799989</v>
      </c>
      <c r="K31" s="4">
        <f>G31*(1+0.01*growthrate!$E$3)^2</f>
        <v>0</v>
      </c>
      <c r="L31" s="12">
        <f>H31*(1+0.01*growthrate!$E$3)^5</f>
        <v>52585995.182621874</v>
      </c>
      <c r="M31" s="4">
        <f>I31*(1+0.01*growthrate!$E$3)^5</f>
        <v>-672438.38505349448</v>
      </c>
      <c r="N31" s="4">
        <f>J31*(1+0.01*growthrate!$E$3)^5</f>
        <v>53502968.501963116</v>
      </c>
      <c r="O31" s="4">
        <f>K31*(1+0.01*growthrate!$E$3)^5</f>
        <v>0</v>
      </c>
      <c r="P31" s="12">
        <f>L31*(1+0.01*growthrate!$F$3)^10</f>
        <v>56385158.142754614</v>
      </c>
      <c r="Q31" s="4">
        <f>M31*(1+0.01*growthrate!$F$3)^10</f>
        <v>-721019.81812506961</v>
      </c>
      <c r="R31" s="4">
        <f>N31*(1+0.01*growthrate!$F$3)^10</f>
        <v>57368379.729494296</v>
      </c>
      <c r="S31" s="4">
        <f>O31*(1+0.01*growthrate!$F$3)^10</f>
        <v>0</v>
      </c>
    </row>
    <row r="32" spans="1:19" x14ac:dyDescent="0.2">
      <c r="A32" s="2" t="s">
        <v>69</v>
      </c>
      <c r="B32" s="8" t="s">
        <v>70</v>
      </c>
      <c r="C32" s="4" t="s">
        <v>779</v>
      </c>
      <c r="D32" s="5">
        <v>10700648</v>
      </c>
      <c r="E32" s="5">
        <v>-127489</v>
      </c>
      <c r="F32" s="5">
        <v>10573159</v>
      </c>
      <c r="G32" s="5">
        <v>197</v>
      </c>
      <c r="H32" s="12">
        <f>D32*(1+0.01*growthrate!E32)^2</f>
        <v>10700648</v>
      </c>
      <c r="I32" s="4">
        <f>E32*(1+0.01*growthrate!$E$3)^2</f>
        <v>-131342.35502499997</v>
      </c>
      <c r="J32" s="4">
        <f>F32*(1+0.01*growthrate!$E$3)^2</f>
        <v>10892732.730774997</v>
      </c>
      <c r="K32" s="4">
        <f>G32*(1+0.01*growthrate!$E$3)^2</f>
        <v>202.95432499999995</v>
      </c>
      <c r="L32" s="12">
        <f>H32*(1+0.01*growthrate!$E$3)^5</f>
        <v>11527636.921597322</v>
      </c>
      <c r="M32" s="4">
        <f>I32*(1+0.01*growthrate!$E$3)^5</f>
        <v>-141493.01810093492</v>
      </c>
      <c r="N32" s="4">
        <f>J32*(1+0.01*growthrate!$E$3)^5</f>
        <v>11734566.729451662</v>
      </c>
      <c r="O32" s="4">
        <f>K32*(1+0.01*growthrate!$E$3)^5</f>
        <v>218.63944784165051</v>
      </c>
      <c r="P32" s="12">
        <f>L32*(1+0.01*growthrate!$F$3)^10</f>
        <v>12360470.284516433</v>
      </c>
      <c r="Q32" s="4">
        <f>M32*(1+0.01*growthrate!$F$3)^10</f>
        <v>-151715.41727051666</v>
      </c>
      <c r="R32" s="4">
        <f>N32*(1+0.01*growthrate!$F$3)^10</f>
        <v>12582350.081595421</v>
      </c>
      <c r="S32" s="4">
        <f>O32*(1+0.01*growthrate!$F$3)^10</f>
        <v>234.43541954436685</v>
      </c>
    </row>
    <row r="33" spans="1:19" x14ac:dyDescent="0.2">
      <c r="A33" s="2" t="s">
        <v>71</v>
      </c>
      <c r="B33" s="8" t="s">
        <v>72</v>
      </c>
      <c r="C33" s="4" t="s">
        <v>779</v>
      </c>
      <c r="D33" s="5">
        <v>14991110</v>
      </c>
      <c r="E33" s="5">
        <v>-60339</v>
      </c>
      <c r="F33" s="5">
        <v>14930771</v>
      </c>
      <c r="G33" s="5">
        <v>500</v>
      </c>
      <c r="H33" s="12">
        <f>D33*(1+0.01*growthrate!E33)^2</f>
        <v>14991110</v>
      </c>
      <c r="I33" s="4">
        <f>E33*(1+0.01*growthrate!$E$3)^2</f>
        <v>-62162.746274999983</v>
      </c>
      <c r="J33" s="4">
        <f>F33*(1+0.01*growthrate!$E$3)^2</f>
        <v>15382053.553474996</v>
      </c>
      <c r="K33" s="4">
        <f>G33*(1+0.01*growthrate!$E$3)^2</f>
        <v>515.11249999999984</v>
      </c>
      <c r="L33" s="12">
        <f>H33*(1+0.01*growthrate!$E$3)^5</f>
        <v>16149683.003471082</v>
      </c>
      <c r="M33" s="4">
        <f>I33*(1+0.01*growthrate!$E$3)^5</f>
        <v>-66966.932199580449</v>
      </c>
      <c r="N33" s="4">
        <f>J33*(1+0.01*growthrate!$E$3)^5</f>
        <v>16570840.240051411</v>
      </c>
      <c r="O33" s="4">
        <f>K33*(1+0.01*growthrate!$E$3)^5</f>
        <v>554.92245645088963</v>
      </c>
      <c r="P33" s="12">
        <f>L33*(1+0.01*growthrate!$F$3)^10</f>
        <v>17316443.797321167</v>
      </c>
      <c r="Q33" s="4">
        <f>M33*(1+0.01*growthrate!$F$3)^10</f>
        <v>-71805.069948667762</v>
      </c>
      <c r="R33" s="4">
        <f>N33*(1+0.01*growthrate!$F$3)^10</f>
        <v>17768028.241146527</v>
      </c>
      <c r="S33" s="4">
        <f>O33*(1+0.01*growthrate!$F$3)^10</f>
        <v>595.01375518874841</v>
      </c>
    </row>
    <row r="34" spans="1:19" x14ac:dyDescent="0.2">
      <c r="A34" s="2" t="s">
        <v>73</v>
      </c>
      <c r="B34" s="8" t="s">
        <v>74</v>
      </c>
      <c r="C34" s="4" t="s">
        <v>779</v>
      </c>
      <c r="D34" s="5">
        <v>15546</v>
      </c>
      <c r="E34" s="5">
        <v>-125</v>
      </c>
      <c r="F34" s="5">
        <v>15421</v>
      </c>
      <c r="G34" s="5">
        <v>23032</v>
      </c>
      <c r="H34" s="12">
        <f>D34*(1+0.01*growthrate!E34)^2</f>
        <v>15546</v>
      </c>
      <c r="I34" s="4">
        <f>E34*(1+0.01*growthrate!$E$3)^2</f>
        <v>-128.77812499999996</v>
      </c>
      <c r="J34" s="4">
        <f>F34*(1+0.01*growthrate!$E$3)^2</f>
        <v>15887.099724999996</v>
      </c>
      <c r="K34" s="4">
        <f>G34*(1+0.01*growthrate!$E$3)^2</f>
        <v>23728.142199999995</v>
      </c>
      <c r="L34" s="12">
        <f>H34*(1+0.01*growthrate!$E$3)^5</f>
        <v>16747.457124386481</v>
      </c>
      <c r="M34" s="4">
        <f>I34*(1+0.01*growthrate!$E$3)^5</f>
        <v>-138.73061411272241</v>
      </c>
      <c r="N34" s="4">
        <f>J34*(1+0.01*growthrate!$E$3)^5</f>
        <v>17114.918401858336</v>
      </c>
      <c r="O34" s="4">
        <f>K34*(1+0.01*growthrate!$E$3)^5</f>
        <v>25561.94803395378</v>
      </c>
      <c r="P34" s="12">
        <f>L34*(1+0.01*growthrate!$F$3)^10</f>
        <v>17957.405106970386</v>
      </c>
      <c r="Q34" s="4">
        <f>M34*(1+0.01*growthrate!$F$3)^10</f>
        <v>-148.7534387971871</v>
      </c>
      <c r="R34" s="4">
        <f>N34*(1+0.01*growthrate!$F$3)^10</f>
        <v>18351.414237531375</v>
      </c>
      <c r="S34" s="4">
        <f>O34*(1+0.01*growthrate!$F$3)^10</f>
        <v>27408.713619014507</v>
      </c>
    </row>
    <row r="35" spans="1:19" x14ac:dyDescent="0.2">
      <c r="A35" s="2" t="s">
        <v>75</v>
      </c>
      <c r="B35" s="8" t="s">
        <v>76</v>
      </c>
      <c r="C35" s="4" t="s">
        <v>779</v>
      </c>
      <c r="D35" s="5">
        <v>83893</v>
      </c>
      <c r="E35" s="5">
        <v>-8804</v>
      </c>
      <c r="F35" s="5">
        <v>75089</v>
      </c>
      <c r="G35" s="5">
        <v>5708</v>
      </c>
      <c r="H35" s="12">
        <f>D35*(1+0.01*growthrate!E35)^2</f>
        <v>83893</v>
      </c>
      <c r="I35" s="4">
        <f>E35*(1+0.01*growthrate!$E$3)^2</f>
        <v>-9070.1008999999976</v>
      </c>
      <c r="J35" s="4">
        <f>F35*(1+0.01*growthrate!$E$3)^2</f>
        <v>77358.565024999974</v>
      </c>
      <c r="K35" s="4">
        <f>G35*(1+0.01*growthrate!$E$3)^2</f>
        <v>5880.5242999999982</v>
      </c>
      <c r="L35" s="12">
        <f>H35*(1+0.01*growthrate!$E$3)^5</f>
        <v>90376.586937871805</v>
      </c>
      <c r="M35" s="4">
        <f>I35*(1+0.01*growthrate!$E$3)^5</f>
        <v>-9771.0746131872638</v>
      </c>
      <c r="N35" s="4">
        <f>J35*(1+0.01*growthrate!$E$3)^5</f>
        <v>83337.144664881693</v>
      </c>
      <c r="O35" s="4">
        <f>K35*(1+0.01*growthrate!$E$3)^5</f>
        <v>6334.9947628433556</v>
      </c>
      <c r="P35" s="12">
        <f>L35*(1+0.01*growthrate!$F$3)^10</f>
        <v>96905.994251837561</v>
      </c>
      <c r="Q35" s="4">
        <f>M35*(1+0.01*growthrate!$F$3)^10</f>
        <v>-10477.002201363481</v>
      </c>
      <c r="R35" s="4">
        <f>N35*(1+0.01*growthrate!$F$3)^10</f>
        <v>89357.975726735836</v>
      </c>
      <c r="S35" s="4">
        <f>O35*(1+0.01*growthrate!$F$3)^10</f>
        <v>6792.677029234751</v>
      </c>
    </row>
    <row r="36" spans="1:19" x14ac:dyDescent="0.2">
      <c r="A36" s="2" t="s">
        <v>77</v>
      </c>
      <c r="B36" s="8" t="s">
        <v>78</v>
      </c>
      <c r="C36" s="4" t="s">
        <v>779</v>
      </c>
      <c r="D36" s="5">
        <v>1305971</v>
      </c>
      <c r="E36" s="5">
        <v>-59919</v>
      </c>
      <c r="F36" s="5">
        <v>1246052</v>
      </c>
      <c r="G36" s="5">
        <v>6756</v>
      </c>
      <c r="H36" s="12">
        <f>D36*(1+0.01*growthrate!E36)^2</f>
        <v>1305971</v>
      </c>
      <c r="I36" s="4">
        <f>E36*(1+0.01*growthrate!$E$3)^2</f>
        <v>-61730.051774999985</v>
      </c>
      <c r="J36" s="4">
        <f>F36*(1+0.01*growthrate!$E$3)^2</f>
        <v>1283713.9216999996</v>
      </c>
      <c r="K36" s="4">
        <f>G36*(1+0.01*growthrate!$E$3)^2</f>
        <v>6960.2000999999982</v>
      </c>
      <c r="L36" s="12">
        <f>H36*(1+0.01*growthrate!$E$3)^5</f>
        <v>1406901.6678368801</v>
      </c>
      <c r="M36" s="4">
        <f>I36*(1+0.01*growthrate!$E$3)^5</f>
        <v>-66500.797336161704</v>
      </c>
      <c r="N36" s="4">
        <f>J36*(1+0.01*growthrate!$E$3)^5</f>
        <v>1382924.4734110876</v>
      </c>
      <c r="O36" s="4">
        <f>K36*(1+0.01*growthrate!$E$3)^5</f>
        <v>7498.1122315644207</v>
      </c>
      <c r="P36" s="12">
        <f>L36*(1+0.01*growthrate!$F$3)^10</f>
        <v>1508545.6262032178</v>
      </c>
      <c r="Q36" s="4">
        <f>M36*(1+0.01*growthrate!$F$3)^10</f>
        <v>-71305.258394309218</v>
      </c>
      <c r="R36" s="4">
        <f>N36*(1+0.01*growthrate!$F$3)^10</f>
        <v>1482836.1593609003</v>
      </c>
      <c r="S36" s="4">
        <f>O36*(1+0.01*growthrate!$F$3)^10</f>
        <v>8039.825860110368</v>
      </c>
    </row>
    <row r="37" spans="1:19" x14ac:dyDescent="0.2">
      <c r="A37" s="2" t="s">
        <v>79</v>
      </c>
      <c r="B37" s="8" t="s">
        <v>80</v>
      </c>
      <c r="C37" s="4" t="s">
        <v>779</v>
      </c>
      <c r="D37" s="5">
        <v>5824223</v>
      </c>
      <c r="E37" s="5">
        <v>3651032</v>
      </c>
      <c r="F37" s="5">
        <v>9475255</v>
      </c>
      <c r="G37" s="5">
        <v>32187</v>
      </c>
      <c r="H37" s="12">
        <f>D37*(1+0.01*growthrate!E37)^2</f>
        <v>5824223</v>
      </c>
      <c r="I37" s="4">
        <f>E37*(1+0.01*growthrate!$E$3)^2</f>
        <v>3761384.442199999</v>
      </c>
      <c r="J37" s="4">
        <f>F37*(1+0.01*growthrate!$E$3)^2</f>
        <v>9761644.5823749974</v>
      </c>
      <c r="K37" s="4">
        <f>G37*(1+0.01*growthrate!$E$3)^2</f>
        <v>33159.852074999988</v>
      </c>
      <c r="L37" s="12">
        <f>H37*(1+0.01*growthrate!$E$3)^5</f>
        <v>6274342.2729554623</v>
      </c>
      <c r="M37" s="4">
        <f>I37*(1+0.01*growthrate!$E$3)^5</f>
        <v>4052079.2920416086</v>
      </c>
      <c r="N37" s="4">
        <f>J37*(1+0.01*growthrate!$E$3)^5</f>
        <v>10516063.560197148</v>
      </c>
      <c r="O37" s="4">
        <f>K37*(1+0.01*growthrate!$E$3)^5</f>
        <v>35722.578211569562</v>
      </c>
      <c r="P37" s="12">
        <f>L37*(1+0.01*growthrate!$F$3)^10</f>
        <v>6727642.5990180364</v>
      </c>
      <c r="Q37" s="4">
        <f>M37*(1+0.01*growthrate!$F$3)^10</f>
        <v>4344828.5212685727</v>
      </c>
      <c r="R37" s="4">
        <f>N37*(1+0.01*growthrate!$F$3)^10</f>
        <v>11275814.117841927</v>
      </c>
      <c r="S37" s="4">
        <f>O37*(1+0.01*growthrate!$F$3)^10</f>
        <v>38303.41547652048</v>
      </c>
    </row>
    <row r="38" spans="1:19" x14ac:dyDescent="0.2">
      <c r="A38" s="2" t="s">
        <v>81</v>
      </c>
      <c r="B38" s="8" t="s">
        <v>82</v>
      </c>
      <c r="C38" s="4" t="s">
        <v>779</v>
      </c>
      <c r="D38" s="5">
        <v>505783</v>
      </c>
      <c r="E38" s="5">
        <v>248261</v>
      </c>
      <c r="F38" s="5">
        <v>754044</v>
      </c>
      <c r="G38" s="5">
        <v>60268</v>
      </c>
      <c r="H38" s="12">
        <f>D38*(1+0.01*growthrate!E38)^2</f>
        <v>505783</v>
      </c>
      <c r="I38" s="4">
        <f>E38*(1+0.01*growthrate!$E$3)^2</f>
        <v>255764.68872499993</v>
      </c>
      <c r="J38" s="4">
        <f>F38*(1+0.01*growthrate!$E$3)^2</f>
        <v>776834.9798999998</v>
      </c>
      <c r="K38" s="4">
        <f>G38*(1+0.01*growthrate!$E$3)^2</f>
        <v>62089.600299999984</v>
      </c>
      <c r="L38" s="12">
        <f>H38*(1+0.01*growthrate!$E$3)^5</f>
        <v>544871.93533665047</v>
      </c>
      <c r="M38" s="4">
        <f>I38*(1+0.01*growthrate!$E$3)^5</f>
        <v>275531.20792190859</v>
      </c>
      <c r="N38" s="4">
        <f>J38*(1+0.01*growthrate!$E$3)^5</f>
        <v>836871.89750410919</v>
      </c>
      <c r="O38" s="4">
        <f>K38*(1+0.01*growthrate!$E$3)^5</f>
        <v>66888.133210764427</v>
      </c>
      <c r="P38" s="12">
        <f>L38*(1+0.01*growthrate!$F$3)^10</f>
        <v>584237.11740761634</v>
      </c>
      <c r="Q38" s="4">
        <f>M38*(1+0.01*growthrate!$F$3)^10</f>
        <v>295437.41975382768</v>
      </c>
      <c r="R38" s="4">
        <f>N38*(1+0.01*growthrate!$F$3)^10</f>
        <v>897333.10403508914</v>
      </c>
      <c r="S38" s="4">
        <f>O38*(1+0.01*growthrate!$F$3)^10</f>
        <v>71720.577995430969</v>
      </c>
    </row>
    <row r="39" spans="1:19" x14ac:dyDescent="0.2">
      <c r="A39" s="2" t="s">
        <v>83</v>
      </c>
      <c r="B39" s="8" t="s">
        <v>84</v>
      </c>
      <c r="C39" s="4" t="s">
        <v>779</v>
      </c>
      <c r="D39" s="5">
        <v>219112</v>
      </c>
      <c r="E39" s="5">
        <v>290076</v>
      </c>
      <c r="F39" s="5">
        <v>509188</v>
      </c>
      <c r="G39" s="5">
        <v>1229871</v>
      </c>
      <c r="H39" s="12">
        <f>D39*(1+0.01*growthrate!E39)^2</f>
        <v>219112</v>
      </c>
      <c r="I39" s="4">
        <f>E39*(1+0.01*growthrate!$E$3)^2</f>
        <v>298843.54709999991</v>
      </c>
      <c r="J39" s="4">
        <f>F39*(1+0.01*growthrate!$E$3)^2</f>
        <v>524578.20729999989</v>
      </c>
      <c r="K39" s="4">
        <f>G39*(1+0.01*growthrate!$E$3)^2</f>
        <v>1267043.8509749996</v>
      </c>
      <c r="L39" s="12">
        <f>H39*(1+0.01*growthrate!$E$3)^5</f>
        <v>236045.85265911301</v>
      </c>
      <c r="M39" s="4">
        <f>I39*(1+0.01*growthrate!$E$3)^5</f>
        <v>321939.37295489648</v>
      </c>
      <c r="N39" s="4">
        <f>J39*(1+0.01*growthrate!$E$3)^5</f>
        <v>565119.71151063114</v>
      </c>
      <c r="O39" s="4">
        <f>K39*(1+0.01*growthrate!$E$3)^5</f>
        <v>1364966.0728754241</v>
      </c>
      <c r="P39" s="12">
        <f>L39*(1+0.01*growthrate!$F$3)^10</f>
        <v>253099.37911993411</v>
      </c>
      <c r="Q39" s="4">
        <f>M39*(1+0.01*growthrate!$F$3)^10</f>
        <v>345198.42010026268</v>
      </c>
      <c r="R39" s="4">
        <f>N39*(1+0.01*growthrate!$F$3)^10</f>
        <v>605947.72795409674</v>
      </c>
      <c r="S39" s="4">
        <f>O39*(1+0.01*growthrate!$F$3)^10</f>
        <v>1463580.3242154822</v>
      </c>
    </row>
    <row r="40" spans="1:19" x14ac:dyDescent="0.2">
      <c r="A40" s="2" t="s">
        <v>85</v>
      </c>
      <c r="B40" s="8" t="s">
        <v>86</v>
      </c>
      <c r="C40" s="4" t="s">
        <v>779</v>
      </c>
      <c r="D40" s="5">
        <v>1421487</v>
      </c>
      <c r="E40" s="5">
        <v>1261869</v>
      </c>
      <c r="F40" s="5">
        <v>2683356</v>
      </c>
      <c r="G40" s="5">
        <v>981664</v>
      </c>
      <c r="H40" s="12">
        <f>D40*(1+0.01*growthrate!E40)^2</f>
        <v>1421487</v>
      </c>
      <c r="I40" s="4">
        <f>E40*(1+0.01*growthrate!$E$3)^2</f>
        <v>1300008.9905249996</v>
      </c>
      <c r="J40" s="4">
        <f>F40*(1+0.01*growthrate!$E$3)^2</f>
        <v>2764460.4350999994</v>
      </c>
      <c r="K40" s="4">
        <f>G40*(1+0.01*growthrate!$E$3)^2</f>
        <v>1011334.7943999998</v>
      </c>
      <c r="L40" s="12">
        <f>H40*(1+0.01*growthrate!$E$3)^5</f>
        <v>1531345.2068295875</v>
      </c>
      <c r="M40" s="4">
        <f>I40*(1+0.01*growthrate!$E$3)^5</f>
        <v>1400478.8903984551</v>
      </c>
      <c r="N40" s="4">
        <f>J40*(1+0.01*growthrate!$E$3)^5</f>
        <v>2978109.006104467</v>
      </c>
      <c r="O40" s="4">
        <f>K40*(1+0.01*growthrate!$E$3)^5</f>
        <v>1089494.7965788122</v>
      </c>
      <c r="P40" s="12">
        <f>L40*(1+0.01*growthrate!$F$3)^10</f>
        <v>1641979.7963007856</v>
      </c>
      <c r="Q40" s="4">
        <f>M40*(1+0.01*growthrate!$F$3)^10</f>
        <v>1501658.8244925411</v>
      </c>
      <c r="R40" s="4">
        <f>N40*(1+0.01*growthrate!$F$3)^10</f>
        <v>3193267.4601365183</v>
      </c>
      <c r="S40" s="4">
        <f>O40*(1+0.01*growthrate!$F$3)^10</f>
        <v>1168207.1659472149</v>
      </c>
    </row>
    <row r="41" spans="1:19" x14ac:dyDescent="0.2">
      <c r="A41" s="2" t="s">
        <v>87</v>
      </c>
      <c r="B41" s="8" t="s">
        <v>88</v>
      </c>
      <c r="C41" s="4" t="s">
        <v>779</v>
      </c>
      <c r="D41" s="5">
        <v>1250724</v>
      </c>
      <c r="E41" s="5">
        <v>609554</v>
      </c>
      <c r="F41" s="5">
        <v>1860278</v>
      </c>
      <c r="G41" s="5">
        <v>786642</v>
      </c>
      <c r="H41" s="12">
        <f>D41*(1+0.01*growthrate!E41)^2</f>
        <v>1250724</v>
      </c>
      <c r="I41" s="4">
        <f>E41*(1+0.01*growthrate!$E$3)^2</f>
        <v>627977.7696499998</v>
      </c>
      <c r="J41" s="4">
        <f>F41*(1+0.01*growthrate!$E$3)^2</f>
        <v>1916504.9025499995</v>
      </c>
      <c r="K41" s="4">
        <f>G41*(1+0.01*growthrate!$E$3)^2</f>
        <v>810418.25444999977</v>
      </c>
      <c r="L41" s="12">
        <f>H41*(1+0.01*growthrate!$E$3)^5</f>
        <v>1347384.9584742801</v>
      </c>
      <c r="M41" s="4">
        <f>I41*(1+0.01*growthrate!$E$3)^5</f>
        <v>676510.40603893111</v>
      </c>
      <c r="N41" s="4">
        <f>J41*(1+0.01*growthrate!$E$3)^5</f>
        <v>2064620.0748830962</v>
      </c>
      <c r="O41" s="4">
        <f>K41*(1+0.01*growthrate!$E$3)^5</f>
        <v>873050.62197488139</v>
      </c>
      <c r="P41" s="12">
        <f>L41*(1+0.01*growthrate!$F$3)^10</f>
        <v>1444729.0328708626</v>
      </c>
      <c r="Q41" s="4">
        <f>M41*(1+0.01*growthrate!$F$3)^10</f>
        <v>725386.02906064456</v>
      </c>
      <c r="R41" s="4">
        <f>N41*(1+0.01*growthrate!$F$3)^10</f>
        <v>2213781.9969500289</v>
      </c>
      <c r="S41" s="4">
        <f>O41*(1+0.01*growthrate!$F$3)^10</f>
        <v>936125.62081837479</v>
      </c>
    </row>
    <row r="42" spans="1:19" x14ac:dyDescent="0.2">
      <c r="A42" s="2" t="s">
        <v>89</v>
      </c>
      <c r="B42" s="8" t="s">
        <v>90</v>
      </c>
      <c r="C42" s="4" t="s">
        <v>779</v>
      </c>
      <c r="D42" s="5">
        <v>1940572</v>
      </c>
      <c r="E42" s="5">
        <v>3215289</v>
      </c>
      <c r="F42" s="5">
        <v>5155861</v>
      </c>
      <c r="G42" s="5">
        <v>467825</v>
      </c>
      <c r="H42" s="12">
        <f>D42*(1+0.01*growthrate!E42)^2</f>
        <v>1940572</v>
      </c>
      <c r="I42" s="4">
        <f>E42*(1+0.01*growthrate!$E$3)^2</f>
        <v>3312471.1100249989</v>
      </c>
      <c r="J42" s="4">
        <f>F42*(1+0.01*growthrate!$E$3)^2</f>
        <v>5311696.8987249983</v>
      </c>
      <c r="K42" s="4">
        <f>G42*(1+0.01*growthrate!$E$3)^2</f>
        <v>481965.01062499988</v>
      </c>
      <c r="L42" s="12">
        <f>H42*(1+0.01*growthrate!$E$3)^5</f>
        <v>2090547.173985908</v>
      </c>
      <c r="M42" s="4">
        <f>I42*(1+0.01*growthrate!$E$3)^5</f>
        <v>3568472.1401590486</v>
      </c>
      <c r="N42" s="4">
        <f>J42*(1+0.01*growthrate!$E$3)^5</f>
        <v>5722206.1024786802</v>
      </c>
      <c r="O42" s="4">
        <f>K42*(1+0.01*growthrate!$E$3)^5</f>
        <v>519213.19637827488</v>
      </c>
      <c r="P42" s="12">
        <f>L42*(1+0.01*growthrate!$F$3)^10</f>
        <v>2241582.2425861149</v>
      </c>
      <c r="Q42" s="4">
        <f>M42*(1+0.01*growthrate!$F$3)^10</f>
        <v>3826282.3638141509</v>
      </c>
      <c r="R42" s="4">
        <f>N42*(1+0.01*growthrate!$F$3)^10</f>
        <v>6135616.4296824308</v>
      </c>
      <c r="S42" s="4">
        <f>O42*(1+0.01*growthrate!$F$3)^10</f>
        <v>556724.62004235236</v>
      </c>
    </row>
    <row r="43" spans="1:19" x14ac:dyDescent="0.2">
      <c r="A43" s="2" t="s">
        <v>91</v>
      </c>
      <c r="B43" s="8" t="s">
        <v>92</v>
      </c>
      <c r="C43" s="4" t="s">
        <v>779</v>
      </c>
      <c r="D43" s="5">
        <v>285030</v>
      </c>
      <c r="E43" s="5">
        <v>117032</v>
      </c>
      <c r="F43" s="5">
        <v>402062</v>
      </c>
      <c r="G43" s="5">
        <v>48014</v>
      </c>
      <c r="H43" s="12">
        <f>D43*(1+0.01*growthrate!E43)^2</f>
        <v>285030</v>
      </c>
      <c r="I43" s="4">
        <f>E43*(1+0.01*growthrate!$E$3)^2</f>
        <v>120569.29219999997</v>
      </c>
      <c r="J43" s="4">
        <f>F43*(1+0.01*growthrate!$E$3)^2</f>
        <v>414214.32394999987</v>
      </c>
      <c r="K43" s="4">
        <f>G43*(1+0.01*growthrate!$E$3)^2</f>
        <v>49465.223149999983</v>
      </c>
      <c r="L43" s="12">
        <f>H43*(1+0.01*growthrate!$E$3)^5</f>
        <v>307058.25962716318</v>
      </c>
      <c r="M43" s="4">
        <f>I43*(1+0.01*growthrate!$E$3)^5</f>
        <v>129887.36984672102</v>
      </c>
      <c r="N43" s="4">
        <f>J43*(1+0.01*growthrate!$E$3)^5</f>
        <v>446226.46537111513</v>
      </c>
      <c r="O43" s="4">
        <f>K43*(1+0.01*growthrate!$E$3)^5</f>
        <v>53288.093648066024</v>
      </c>
      <c r="P43" s="12">
        <f>L43*(1+0.01*growthrate!$F$3)^10</f>
        <v>329242.19591147365</v>
      </c>
      <c r="Q43" s="4">
        <f>M43*(1+0.01*growthrate!$F$3)^10</f>
        <v>139271.2995944992</v>
      </c>
      <c r="R43" s="4">
        <f>N43*(1+0.01*growthrate!$F$3)^10</f>
        <v>478464.84087739704</v>
      </c>
      <c r="S43" s="4">
        <f>O43*(1+0.01*growthrate!$F$3)^10</f>
        <v>57137.980883265125</v>
      </c>
    </row>
    <row r="44" spans="1:19" x14ac:dyDescent="0.2">
      <c r="A44" s="2" t="s">
        <v>93</v>
      </c>
      <c r="B44" s="8" t="s">
        <v>94</v>
      </c>
      <c r="C44" s="4" t="s">
        <v>779</v>
      </c>
      <c r="D44" s="5">
        <v>532971</v>
      </c>
      <c r="E44" s="5">
        <v>32133</v>
      </c>
      <c r="F44" s="5">
        <v>565104</v>
      </c>
      <c r="G44" s="5">
        <v>1466433</v>
      </c>
      <c r="H44" s="12">
        <f>D44*(1+0.01*growthrate!E44)^2</f>
        <v>532971</v>
      </c>
      <c r="I44" s="4">
        <f>E44*(1+0.01*growthrate!$E$3)^2</f>
        <v>33104.21992499999</v>
      </c>
      <c r="J44" s="4">
        <f>F44*(1+0.01*growthrate!$E$3)^2</f>
        <v>582184.26839999983</v>
      </c>
      <c r="K44" s="4">
        <f>G44*(1+0.01*growthrate!$E$3)^2</f>
        <v>1510755.9374249997</v>
      </c>
      <c r="L44" s="12">
        <f>H44*(1+0.01*growthrate!$E$3)^5</f>
        <v>574161.13283425884</v>
      </c>
      <c r="M44" s="4">
        <f>I44*(1+0.01*growthrate!$E$3)^5</f>
        <v>35662.646586272873</v>
      </c>
      <c r="N44" s="4">
        <f>J44*(1+0.01*growthrate!$E$3)^5</f>
        <v>627177.79966044705</v>
      </c>
      <c r="O44" s="4">
        <f>K44*(1+0.01*growthrate!$E$3)^5</f>
        <v>1627513.2051612949</v>
      </c>
      <c r="P44" s="12">
        <f>L44*(1+0.01*growthrate!$F$3)^10</f>
        <v>615642.3618465917</v>
      </c>
      <c r="Q44" s="4">
        <f>M44*(1+0.01*growthrate!$F$3)^10</f>
        <v>38239.153990960105</v>
      </c>
      <c r="R44" s="4">
        <f>N44*(1+0.01*growthrate!$F$3)^10</f>
        <v>672489.3062243649</v>
      </c>
      <c r="S44" s="4">
        <f>O44*(1+0.01*growthrate!$F$3)^10</f>
        <v>1745095.6121254037</v>
      </c>
    </row>
    <row r="45" spans="1:19" x14ac:dyDescent="0.2">
      <c r="A45" s="2" t="s">
        <v>95</v>
      </c>
      <c r="B45" s="8" t="s">
        <v>96</v>
      </c>
      <c r="C45" s="4" t="s">
        <v>779</v>
      </c>
      <c r="D45" s="5">
        <v>1305199</v>
      </c>
      <c r="E45" s="5">
        <v>38750</v>
      </c>
      <c r="F45" s="5">
        <v>1343949</v>
      </c>
      <c r="G45" s="5">
        <v>0</v>
      </c>
      <c r="H45" s="12">
        <f>D45*(1+0.01*growthrate!E45)^2</f>
        <v>1305199</v>
      </c>
      <c r="I45" s="4">
        <f>E45*(1+0.01*growthrate!$E$3)^2</f>
        <v>39921.218749999993</v>
      </c>
      <c r="J45" s="4">
        <f>F45*(1+0.01*growthrate!$E$3)^2</f>
        <v>1384569.8585249996</v>
      </c>
      <c r="K45" s="4">
        <f>G45*(1+0.01*growthrate!$E$3)^2</f>
        <v>0</v>
      </c>
      <c r="L45" s="12">
        <f>H45*(1+0.01*growthrate!$E$3)^5</f>
        <v>1406070.0045858815</v>
      </c>
      <c r="M45" s="4">
        <f>I45*(1+0.01*growthrate!$E$3)^5</f>
        <v>43006.490374943947</v>
      </c>
      <c r="N45" s="4">
        <f>J45*(1+0.01*growthrate!$E$3)^5</f>
        <v>1491574.9608494332</v>
      </c>
      <c r="O45" s="4">
        <f>K45*(1+0.01*growthrate!$E$3)^5</f>
        <v>0</v>
      </c>
      <c r="P45" s="12">
        <f>L45*(1+0.01*growthrate!$F$3)^10</f>
        <v>1507653.8780530454</v>
      </c>
      <c r="Q45" s="4">
        <f>M45*(1+0.01*growthrate!$F$3)^10</f>
        <v>46113.566027127999</v>
      </c>
      <c r="R45" s="4">
        <f>N45*(1+0.01*growthrate!$F$3)^10</f>
        <v>1599336.2825443263</v>
      </c>
      <c r="S45" s="4">
        <f>O45*(1+0.01*growthrate!$F$3)^10</f>
        <v>0</v>
      </c>
    </row>
    <row r="46" spans="1:19" x14ac:dyDescent="0.2">
      <c r="A46" s="2" t="s">
        <v>97</v>
      </c>
      <c r="B46" s="8" t="s">
        <v>98</v>
      </c>
      <c r="C46" s="4" t="s">
        <v>779</v>
      </c>
      <c r="D46" s="5">
        <v>210334</v>
      </c>
      <c r="E46" s="5">
        <v>26378</v>
      </c>
      <c r="F46" s="5">
        <v>236712</v>
      </c>
      <c r="G46" s="5">
        <v>941507</v>
      </c>
      <c r="H46" s="12">
        <f>D46*(1+0.01*growthrate!E46)^2</f>
        <v>210334</v>
      </c>
      <c r="I46" s="4">
        <f>E46*(1+0.01*growthrate!$E$3)^2</f>
        <v>27175.275049999993</v>
      </c>
      <c r="J46" s="4">
        <f>F46*(1+0.01*growthrate!$E$3)^2</f>
        <v>243866.62019999995</v>
      </c>
      <c r="K46" s="4">
        <f>G46*(1+0.01*growthrate!$E$3)^2</f>
        <v>969964.04907499976</v>
      </c>
      <c r="L46" s="12">
        <f>H46*(1+0.01*growthrate!$E$3)^5</f>
        <v>226589.45367301599</v>
      </c>
      <c r="M46" s="4">
        <f>I46*(1+0.01*growthrate!$E$3)^5</f>
        <v>29275.489112523133</v>
      </c>
      <c r="N46" s="4">
        <f>J46*(1+0.01*growthrate!$E$3)^5</f>
        <v>262713.60902280599</v>
      </c>
      <c r="O46" s="4">
        <f>K46*(1+0.01*growthrate!$E$3)^5</f>
        <v>1044926.7544114154</v>
      </c>
      <c r="P46" s="12">
        <f>L46*(1+0.01*growthrate!$F$3)^10</f>
        <v>242959.78681136691</v>
      </c>
      <c r="Q46" s="4">
        <f>M46*(1+0.01*growthrate!$F$3)^10</f>
        <v>31390.54566873761</v>
      </c>
      <c r="R46" s="4">
        <f>N46*(1+0.01*growthrate!$F$3)^10</f>
        <v>281693.792036478</v>
      </c>
      <c r="S46" s="4">
        <f>O46*(1+0.01*growthrate!$F$3)^10</f>
        <v>1120419.2312129857</v>
      </c>
    </row>
    <row r="47" spans="1:19" x14ac:dyDescent="0.2">
      <c r="A47" s="2" t="s">
        <v>99</v>
      </c>
      <c r="B47" s="8" t="s">
        <v>100</v>
      </c>
      <c r="C47" s="4" t="s">
        <v>779</v>
      </c>
      <c r="D47" s="5">
        <v>662347</v>
      </c>
      <c r="E47" s="5">
        <v>63397</v>
      </c>
      <c r="F47" s="5">
        <v>725744</v>
      </c>
      <c r="G47" s="5">
        <v>675132</v>
      </c>
      <c r="H47" s="12">
        <f>D47*(1+0.01*growthrate!E47)^2</f>
        <v>662347</v>
      </c>
      <c r="I47" s="4">
        <f>E47*(1+0.01*growthrate!$E$3)^2</f>
        <v>65313.174324999985</v>
      </c>
      <c r="J47" s="4">
        <f>F47*(1+0.01*growthrate!$E$3)^2</f>
        <v>747679.61239999975</v>
      </c>
      <c r="K47" s="4">
        <f>G47*(1+0.01*growthrate!$E$3)^2</f>
        <v>695537.8646999998</v>
      </c>
      <c r="L47" s="12">
        <f>H47*(1+0.01*growthrate!$E$3)^5</f>
        <v>713535.82812080369</v>
      </c>
      <c r="M47" s="4">
        <f>I47*(1+0.01*growthrate!$E$3)^5</f>
        <v>70360.837943234103</v>
      </c>
      <c r="N47" s="4">
        <f>J47*(1+0.01*growthrate!$E$3)^5</f>
        <v>805463.28646898875</v>
      </c>
      <c r="O47" s="4">
        <f>K47*(1+0.01*growthrate!$E$3)^5</f>
        <v>749291.81573720393</v>
      </c>
      <c r="P47" s="12">
        <f>L47*(1+0.01*growthrate!$F$3)^10</f>
        <v>765086.41453663423</v>
      </c>
      <c r="Q47" s="4">
        <f>M47*(1+0.01*growthrate!$F$3)^10</f>
        <v>75444.174075402159</v>
      </c>
      <c r="R47" s="4">
        <f>N47*(1+0.01*growthrate!$F$3)^10</f>
        <v>863655.32549140579</v>
      </c>
      <c r="S47" s="4">
        <f>O47*(1+0.01*growthrate!$F$3)^10</f>
        <v>803425.65313618002</v>
      </c>
    </row>
    <row r="48" spans="1:19" x14ac:dyDescent="0.2">
      <c r="A48" s="2" t="s">
        <v>101</v>
      </c>
      <c r="B48" s="8" t="s">
        <v>102</v>
      </c>
      <c r="C48" s="4" t="s">
        <v>779</v>
      </c>
      <c r="D48" s="5">
        <v>299240</v>
      </c>
      <c r="E48" s="5">
        <v>1518705</v>
      </c>
      <c r="F48" s="5">
        <v>1817945</v>
      </c>
      <c r="G48" s="5">
        <v>1400777</v>
      </c>
      <c r="H48" s="12">
        <f>D48*(1+0.01*growthrate!E48)^2</f>
        <v>299240</v>
      </c>
      <c r="I48" s="4">
        <f>E48*(1+0.01*growthrate!$E$3)^2</f>
        <v>1564607.8586249996</v>
      </c>
      <c r="J48" s="4">
        <f>F48*(1+0.01*growthrate!$E$3)^2</f>
        <v>1872892.3876249995</v>
      </c>
      <c r="K48" s="4">
        <f>G48*(1+0.01*growthrate!$E$3)^2</f>
        <v>1443115.4848249997</v>
      </c>
      <c r="L48" s="12">
        <f>H48*(1+0.01*growthrate!$E$3)^5</f>
        <v>322366.46532236016</v>
      </c>
      <c r="M48" s="4">
        <f>I48*(1+0.01*growthrate!$E$3)^5</f>
        <v>1685527.0184484967</v>
      </c>
      <c r="N48" s="4">
        <f>J48*(1+0.01*growthrate!$E$3)^5</f>
        <v>2017637.0101852249</v>
      </c>
      <c r="O48" s="4">
        <f>K48*(1+0.01*growthrate!$E$3)^5</f>
        <v>1554645.2275598156</v>
      </c>
      <c r="P48" s="12">
        <f>L48*(1+0.01*growthrate!$F$3)^10</f>
        <v>345656.36846840469</v>
      </c>
      <c r="Q48" s="4">
        <f>M48*(1+0.01*growthrate!$F$3)^10</f>
        <v>1807300.7301478563</v>
      </c>
      <c r="R48" s="4">
        <f>N48*(1+0.01*growthrate!$F$3)^10</f>
        <v>2163404.562353218</v>
      </c>
      <c r="S48" s="4">
        <f>O48*(1+0.01*growthrate!$F$3)^10</f>
        <v>1666963.1659040588</v>
      </c>
    </row>
    <row r="49" spans="1:19" x14ac:dyDescent="0.2">
      <c r="A49" s="2" t="s">
        <v>103</v>
      </c>
      <c r="B49" s="8" t="s">
        <v>104</v>
      </c>
      <c r="C49" s="4" t="s">
        <v>779</v>
      </c>
      <c r="D49" s="5">
        <v>145470</v>
      </c>
      <c r="E49" s="5">
        <v>238970</v>
      </c>
      <c r="F49" s="5">
        <v>384440</v>
      </c>
      <c r="G49" s="5">
        <v>583189</v>
      </c>
      <c r="H49" s="12">
        <f>D49*(1+0.01*growthrate!E49)^2</f>
        <v>145470</v>
      </c>
      <c r="I49" s="4">
        <f>E49*(1+0.01*growthrate!$E$3)^2</f>
        <v>246192.86824999994</v>
      </c>
      <c r="J49" s="4">
        <f>F49*(1+0.01*growthrate!$E$3)^2</f>
        <v>396059.69899999991</v>
      </c>
      <c r="K49" s="4">
        <f>G49*(1+0.01*growthrate!$E$3)^2</f>
        <v>600815.88752499979</v>
      </c>
      <c r="L49" s="12">
        <f>H49*(1+0.01*growthrate!$E$3)^5</f>
        <v>156712.50404505993</v>
      </c>
      <c r="M49" s="4">
        <f>I49*(1+0.01*growthrate!$E$3)^5</f>
        <v>265219.63883613818</v>
      </c>
      <c r="N49" s="4">
        <f>J49*(1+0.01*growthrate!$E$3)^5</f>
        <v>426668.77831596002</v>
      </c>
      <c r="O49" s="4">
        <f>K49*(1+0.01*growthrate!$E$3)^5</f>
        <v>647249.34491027566</v>
      </c>
      <c r="P49" s="12">
        <f>L49*(1+0.01*growthrate!$F$3)^10</f>
        <v>168034.46036993325</v>
      </c>
      <c r="Q49" s="4">
        <f>M49*(1+0.01*growthrate!$F$3)^10</f>
        <v>284380.87415491039</v>
      </c>
      <c r="R49" s="4">
        <f>N49*(1+0.01*growthrate!$F$3)^10</f>
        <v>457494.17608952487</v>
      </c>
      <c r="S49" s="4">
        <f>O49*(1+0.01*growthrate!$F$3)^10</f>
        <v>694010.95374954189</v>
      </c>
    </row>
    <row r="50" spans="1:19" x14ac:dyDescent="0.2">
      <c r="A50" s="2" t="s">
        <v>105</v>
      </c>
      <c r="B50" s="8" t="s">
        <v>106</v>
      </c>
      <c r="C50" s="4" t="s">
        <v>779</v>
      </c>
      <c r="D50" s="5">
        <v>593625</v>
      </c>
      <c r="E50" s="5">
        <v>313772</v>
      </c>
      <c r="F50" s="5">
        <v>907397</v>
      </c>
      <c r="G50" s="5">
        <v>1585653</v>
      </c>
      <c r="H50" s="12">
        <f>D50*(1+0.01*growthrate!E50)^2</f>
        <v>593625</v>
      </c>
      <c r="I50" s="4">
        <f>E50*(1+0.01*growthrate!$E$3)^2</f>
        <v>323255.75869999989</v>
      </c>
      <c r="J50" s="4">
        <f>F50*(1+0.01*growthrate!$E$3)^2</f>
        <v>934823.0743249997</v>
      </c>
      <c r="K50" s="4">
        <f>G50*(1+0.01*growthrate!$E$3)^2</f>
        <v>1633579.3619249996</v>
      </c>
      <c r="L50" s="12">
        <f>H50*(1+0.01*growthrate!$E$3)^5</f>
        <v>639502.71680586168</v>
      </c>
      <c r="M50" s="4">
        <f>I50*(1+0.01*growthrate!$E$3)^5</f>
        <v>348238.25801101705</v>
      </c>
      <c r="N50" s="4">
        <f>J50*(1+0.01*growthrate!$E$3)^5</f>
        <v>1007069.9444323357</v>
      </c>
      <c r="O50" s="4">
        <f>K50*(1+0.01*growthrate!$E$3)^5</f>
        <v>1759828.915677445</v>
      </c>
      <c r="P50" s="12">
        <f>L50*(1+0.01*growthrate!$F$3)^10</f>
        <v>685704.65757270658</v>
      </c>
      <c r="Q50" s="4">
        <f>M50*(1+0.01*growthrate!$F$3)^10</f>
        <v>373397.31198616786</v>
      </c>
      <c r="R50" s="4">
        <f>N50*(1+0.01*growthrate!$F$3)^10</f>
        <v>1079827.3928340094</v>
      </c>
      <c r="S50" s="4">
        <f>O50*(1+0.01*growthrate!$F$3)^10</f>
        <v>1886970.6919126089</v>
      </c>
    </row>
    <row r="51" spans="1:19" x14ac:dyDescent="0.2">
      <c r="A51" s="2" t="s">
        <v>107</v>
      </c>
      <c r="B51" s="8" t="s">
        <v>108</v>
      </c>
      <c r="C51" s="4" t="s">
        <v>779</v>
      </c>
      <c r="D51" s="5">
        <v>4070359</v>
      </c>
      <c r="E51" s="5">
        <v>468094</v>
      </c>
      <c r="F51" s="5">
        <v>4538453</v>
      </c>
      <c r="G51" s="5">
        <v>2533568</v>
      </c>
      <c r="H51" s="12">
        <f>D51*(1+0.01*growthrate!E51)^2</f>
        <v>4070359</v>
      </c>
      <c r="I51" s="4">
        <f>E51*(1+0.01*growthrate!$E$3)^2</f>
        <v>482242.14114999986</v>
      </c>
      <c r="J51" s="4">
        <f>F51*(1+0.01*growthrate!$E$3)^2</f>
        <v>4675627.7419249984</v>
      </c>
      <c r="K51" s="4">
        <f>G51*(1+0.01*growthrate!$E$3)^2</f>
        <v>2610145.0927999993</v>
      </c>
      <c r="L51" s="12">
        <f>H51*(1+0.01*growthrate!$E$3)^5</f>
        <v>4384932.6407667976</v>
      </c>
      <c r="M51" s="4">
        <f>I51*(1+0.01*growthrate!$E$3)^5</f>
        <v>519511.74465984543</v>
      </c>
      <c r="N51" s="4">
        <f>J51*(1+0.01*growthrate!$E$3)^5</f>
        <v>5036978.9744938184</v>
      </c>
      <c r="O51" s="4">
        <f>K51*(1+0.01*growthrate!$E$3)^5</f>
        <v>2811867.556290735</v>
      </c>
      <c r="P51" s="12">
        <f>L51*(1+0.01*growthrate!$F$3)^10</f>
        <v>4701729.4155282956</v>
      </c>
      <c r="Q51" s="4">
        <f>M51*(1+0.01*growthrate!$F$3)^10</f>
        <v>557044.73744264396</v>
      </c>
      <c r="R51" s="4">
        <f>N51*(1+0.01*growthrate!$F$3)^10</f>
        <v>5400883.9245552812</v>
      </c>
      <c r="S51" s="4">
        <f>O51*(1+0.01*growthrate!$F$3)^10</f>
        <v>3015015.6194120934</v>
      </c>
    </row>
    <row r="52" spans="1:19" x14ac:dyDescent="0.2">
      <c r="A52" s="2" t="s">
        <v>109</v>
      </c>
      <c r="B52" s="8" t="s">
        <v>110</v>
      </c>
      <c r="C52" s="4" t="s">
        <v>779</v>
      </c>
      <c r="D52" s="5">
        <v>2670615</v>
      </c>
      <c r="E52" s="5">
        <v>1650341</v>
      </c>
      <c r="F52" s="5">
        <v>4320956</v>
      </c>
      <c r="G52" s="5">
        <v>927680</v>
      </c>
      <c r="H52" s="12">
        <f>D52*(1+0.01*growthrate!E52)^2</f>
        <v>2670615</v>
      </c>
      <c r="I52" s="4">
        <f>E52*(1+0.01*growthrate!$E$3)^2</f>
        <v>1700222.5567249996</v>
      </c>
      <c r="J52" s="4">
        <f>F52*(1+0.01*growthrate!$E$3)^2</f>
        <v>4451556.8950999985</v>
      </c>
      <c r="K52" s="4">
        <f>G52*(1+0.01*growthrate!$E$3)^2</f>
        <v>955719.12799999979</v>
      </c>
      <c r="L52" s="12">
        <f>H52*(1+0.01*growthrate!$E$3)^5</f>
        <v>2877010.8200336681</v>
      </c>
      <c r="M52" s="4">
        <f>I52*(1+0.01*growthrate!$E$3)^5</f>
        <v>1831622.5634032353</v>
      </c>
      <c r="N52" s="4">
        <f>J52*(1+0.01*growthrate!$E$3)^5</f>
        <v>4795591.03547242</v>
      </c>
      <c r="O52" s="4">
        <f>K52*(1+0.01*growthrate!$E$3)^5</f>
        <v>1029580.9288007226</v>
      </c>
      <c r="P52" s="12">
        <f>L52*(1+0.01*growthrate!$F$3)^10</f>
        <v>3084865.2669337271</v>
      </c>
      <c r="Q52" s="4">
        <f>M52*(1+0.01*growthrate!$F$3)^10</f>
        <v>1963951.1915039083</v>
      </c>
      <c r="R52" s="4">
        <f>N52*(1+0.01*growthrate!$F$3)^10</f>
        <v>5142056.5111307064</v>
      </c>
      <c r="S52" s="4">
        <f>O52*(1+0.01*growthrate!$F$3)^10</f>
        <v>1103964.7208269963</v>
      </c>
    </row>
    <row r="53" spans="1:19" x14ac:dyDescent="0.2">
      <c r="A53" s="2" t="s">
        <v>111</v>
      </c>
      <c r="B53" s="8" t="s">
        <v>112</v>
      </c>
      <c r="C53" s="4" t="s">
        <v>779</v>
      </c>
      <c r="D53" s="5">
        <v>508711</v>
      </c>
      <c r="E53" s="5">
        <v>305658</v>
      </c>
      <c r="F53" s="5">
        <v>814369</v>
      </c>
      <c r="G53" s="5">
        <v>1076848</v>
      </c>
      <c r="H53" s="12">
        <f>D53*(1+0.01*growthrate!E53)^2</f>
        <v>508711</v>
      </c>
      <c r="I53" s="4">
        <f>E53*(1+0.01*growthrate!$E$3)^2</f>
        <v>314896.51304999989</v>
      </c>
      <c r="J53" s="4">
        <f>F53*(1+0.01*growthrate!$E$3)^2</f>
        <v>838983.3030249998</v>
      </c>
      <c r="K53" s="4">
        <f>G53*(1+0.01*growthrate!$E$3)^2</f>
        <v>1109395.7307999998</v>
      </c>
      <c r="L53" s="12">
        <f>H53*(1+0.01*growthrate!$E$3)^5</f>
        <v>548026.22290002392</v>
      </c>
      <c r="M53" s="4">
        <f>I53*(1+0.01*growthrate!$E$3)^5</f>
        <v>339232.97638773202</v>
      </c>
      <c r="N53" s="4">
        <f>J53*(1+0.01*growthrate!$E$3)^5</f>
        <v>903823.29187490907</v>
      </c>
      <c r="O53" s="4">
        <f>K53*(1+0.01*growthrate!$E$3)^5</f>
        <v>1195134.2747684552</v>
      </c>
      <c r="P53" s="12">
        <f>L53*(1+0.01*growthrate!$F$3)^10</f>
        <v>587619.2917388404</v>
      </c>
      <c r="Q53" s="4">
        <f>M53*(1+0.01*growthrate!$F$3)^10</f>
        <v>363741.42876696488</v>
      </c>
      <c r="R53" s="4">
        <f>N53*(1+0.01*growthrate!$F$3)^10</f>
        <v>969121.51359861169</v>
      </c>
      <c r="S53" s="4">
        <f>O53*(1+0.01*growthrate!$F$3)^10</f>
        <v>1281478.7444949867</v>
      </c>
    </row>
    <row r="54" spans="1:19" x14ac:dyDescent="0.2">
      <c r="A54" s="2" t="s">
        <v>113</v>
      </c>
      <c r="B54" s="8" t="s">
        <v>114</v>
      </c>
      <c r="C54" s="4" t="s">
        <v>779</v>
      </c>
      <c r="D54" s="5">
        <v>12578</v>
      </c>
      <c r="E54" s="5">
        <v>65531</v>
      </c>
      <c r="F54" s="5">
        <v>78109</v>
      </c>
      <c r="G54" s="5">
        <v>226302</v>
      </c>
      <c r="H54" s="12">
        <f>D54*(1+0.01*growthrate!E54)^2</f>
        <v>12578</v>
      </c>
      <c r="I54" s="4">
        <f>E54*(1+0.01*growthrate!$E$3)^2</f>
        <v>67511.674474999978</v>
      </c>
      <c r="J54" s="4">
        <f>F54*(1+0.01*growthrate!$E$3)^2</f>
        <v>80469.844524999979</v>
      </c>
      <c r="K54" s="4">
        <f>G54*(1+0.01*growthrate!$E$3)^2</f>
        <v>233141.97794999994</v>
      </c>
      <c r="L54" s="12">
        <f>H54*(1+0.01*growthrate!$E$3)^5</f>
        <v>13550.078200857659</v>
      </c>
      <c r="M54" s="4">
        <f>I54*(1+0.01*growthrate!$E$3)^5</f>
        <v>72729.246987366481</v>
      </c>
      <c r="N54" s="4">
        <f>J54*(1+0.01*growthrate!$E$3)^5</f>
        <v>86688.87630184507</v>
      </c>
      <c r="O54" s="4">
        <f>K54*(1+0.01*growthrate!$E$3)^5</f>
        <v>251160.12347949843</v>
      </c>
      <c r="P54" s="12">
        <f>L54*(1+0.01*growthrate!$F$3)^10</f>
        <v>14529.026208379875</v>
      </c>
      <c r="Q54" s="4">
        <f>M54*(1+0.01*growthrate!$F$3)^10</f>
        <v>77983.692782547718</v>
      </c>
      <c r="R54" s="4">
        <f>N54*(1+0.01*growthrate!$F$3)^10</f>
        <v>92951.858808075893</v>
      </c>
      <c r="S54" s="4">
        <f>O54*(1+0.01*growthrate!$F$3)^10</f>
        <v>269305.60565344826</v>
      </c>
    </row>
    <row r="55" spans="1:19" x14ac:dyDescent="0.2">
      <c r="A55" s="2" t="s">
        <v>115</v>
      </c>
      <c r="B55" s="8" t="s">
        <v>116</v>
      </c>
      <c r="C55" s="4" t="s">
        <v>779</v>
      </c>
      <c r="D55" s="5">
        <v>1567416</v>
      </c>
      <c r="E55" s="5">
        <v>2846575</v>
      </c>
      <c r="F55" s="5">
        <v>4413991</v>
      </c>
      <c r="G55" s="5">
        <v>1340510</v>
      </c>
      <c r="H55" s="12">
        <f>D55*(1+0.01*growthrate!E55)^2</f>
        <v>1567416</v>
      </c>
      <c r="I55" s="4">
        <f>E55*(1+0.01*growthrate!$E$3)^2</f>
        <v>2932612.7293749992</v>
      </c>
      <c r="J55" s="4">
        <f>F55*(1+0.01*growthrate!$E$3)^2</f>
        <v>4547403.8779749991</v>
      </c>
      <c r="K55" s="4">
        <f>G55*(1+0.01*growthrate!$E$3)^2</f>
        <v>1381026.9147499995</v>
      </c>
      <c r="L55" s="12">
        <f>H55*(1+0.01*growthrate!$E$3)^5</f>
        <v>1688552.1842324303</v>
      </c>
      <c r="M55" s="4">
        <f>I55*(1+0.01*growthrate!$E$3)^5</f>
        <v>3159256.7829433819</v>
      </c>
      <c r="N55" s="4">
        <f>J55*(1+0.01*growthrate!$E$3)^5</f>
        <v>4898845.4569442375</v>
      </c>
      <c r="O55" s="4">
        <f>K55*(1+0.01*growthrate!$E$3)^5</f>
        <v>1487758.2041939639</v>
      </c>
      <c r="P55" s="12">
        <f>L55*(1+0.01*growthrate!$F$3)^10</f>
        <v>1810544.454081249</v>
      </c>
      <c r="Q55" s="4">
        <f>M55*(1+0.01*growthrate!$F$3)^10</f>
        <v>3387502.5603528223</v>
      </c>
      <c r="R55" s="4">
        <f>N55*(1+0.01*growthrate!$F$3)^10</f>
        <v>5252770.7205586769</v>
      </c>
      <c r="S55" s="4">
        <f>O55*(1+0.01*growthrate!$F$3)^10</f>
        <v>1595243.777936138</v>
      </c>
    </row>
    <row r="56" spans="1:19" x14ac:dyDescent="0.2">
      <c r="A56" s="2" t="s">
        <v>117</v>
      </c>
      <c r="B56" s="8" t="s">
        <v>118</v>
      </c>
      <c r="C56" s="4" t="s">
        <v>779</v>
      </c>
      <c r="D56" s="5">
        <v>506594</v>
      </c>
      <c r="E56" s="5">
        <v>330595</v>
      </c>
      <c r="F56" s="5">
        <v>837189</v>
      </c>
      <c r="G56" s="5">
        <v>7489113</v>
      </c>
      <c r="H56" s="12">
        <f>D56*(1+0.01*growthrate!E56)^2</f>
        <v>506594</v>
      </c>
      <c r="I56" s="4">
        <f>E56*(1+0.01*growthrate!$E$3)^2</f>
        <v>340587.23387499992</v>
      </c>
      <c r="J56" s="4">
        <f>F56*(1+0.01*growthrate!$E$3)^2</f>
        <v>862493.03752499982</v>
      </c>
      <c r="K56" s="4">
        <f>G56*(1+0.01*growthrate!$E$3)^2</f>
        <v>7715471.4404249983</v>
      </c>
      <c r="L56" s="12">
        <f>H56*(1+0.01*growthrate!$E$3)^5</f>
        <v>545745.61266380071</v>
      </c>
      <c r="M56" s="4">
        <f>I56*(1+0.01*growthrate!$E$3)^5</f>
        <v>366909.17898076371</v>
      </c>
      <c r="N56" s="4">
        <f>J56*(1+0.01*growthrate!$E$3)^5</f>
        <v>929149.9527873277</v>
      </c>
      <c r="O56" s="4">
        <f>K56*(1+0.01*growthrate!$E$3)^5</f>
        <v>8311753.9651965825</v>
      </c>
      <c r="P56" s="12">
        <f>L56*(1+0.01*growthrate!$F$3)^10</f>
        <v>585173.91501097113</v>
      </c>
      <c r="Q56" s="4">
        <f>M56*(1+0.01*growthrate!$F$3)^10</f>
        <v>393417.1447932485</v>
      </c>
      <c r="R56" s="4">
        <f>N56*(1+0.01*growthrate!$F$3)^10</f>
        <v>996277.94138542609</v>
      </c>
      <c r="S56" s="4">
        <f>O56*(1+0.01*growthrate!$F$3)^10</f>
        <v>8912250.4983257446</v>
      </c>
    </row>
    <row r="57" spans="1:19" x14ac:dyDescent="0.2">
      <c r="A57" s="2" t="s">
        <v>119</v>
      </c>
      <c r="B57" s="8" t="s">
        <v>120</v>
      </c>
      <c r="C57" s="4" t="s">
        <v>779</v>
      </c>
      <c r="D57" s="5">
        <v>444237</v>
      </c>
      <c r="E57" s="5">
        <v>2610</v>
      </c>
      <c r="F57" s="5">
        <v>446847</v>
      </c>
      <c r="G57" s="5">
        <v>125901</v>
      </c>
      <c r="H57" s="12">
        <f>D57*(1+0.01*growthrate!E57)^2</f>
        <v>444237</v>
      </c>
      <c r="I57" s="4">
        <f>E57*(1+0.01*growthrate!$E$3)^2</f>
        <v>2688.8872499999993</v>
      </c>
      <c r="J57" s="4">
        <f>F57*(1+0.01*growthrate!$E$3)^2</f>
        <v>460352.95057499985</v>
      </c>
      <c r="K57" s="4">
        <f>G57*(1+0.01*growthrate!$E$3)^2</f>
        <v>129706.35772499997</v>
      </c>
      <c r="L57" s="12">
        <f>H57*(1+0.01*growthrate!$E$3)^5</f>
        <v>478569.41403358278</v>
      </c>
      <c r="M57" s="4">
        <f>I57*(1+0.01*growthrate!$E$3)^5</f>
        <v>2896.6952226736439</v>
      </c>
      <c r="N57" s="4">
        <f>J57*(1+0.01*growthrate!$E$3)^5</f>
        <v>495930.86979542131</v>
      </c>
      <c r="O57" s="4">
        <f>K57*(1+0.01*growthrate!$E$3)^5</f>
        <v>139730.58437924689</v>
      </c>
      <c r="P57" s="12">
        <f>L57*(1+0.01*growthrate!$F$3)^10</f>
        <v>513144.45982922969</v>
      </c>
      <c r="Q57" s="4">
        <f>M57*(1+0.01*growthrate!$F$3)^10</f>
        <v>3105.9718020852665</v>
      </c>
      <c r="R57" s="4">
        <f>N57*(1+0.01*growthrate!$F$3)^10</f>
        <v>531760.22292965325</v>
      </c>
      <c r="S57" s="4">
        <f>O57*(1+0.01*growthrate!$F$3)^10</f>
        <v>149825.65358403721</v>
      </c>
    </row>
    <row r="58" spans="1:19" x14ac:dyDescent="0.2">
      <c r="A58" s="2" t="s">
        <v>121</v>
      </c>
      <c r="B58" s="8" t="s">
        <v>122</v>
      </c>
      <c r="C58" s="4" t="s">
        <v>779</v>
      </c>
      <c r="D58" s="5">
        <v>3333</v>
      </c>
      <c r="E58" s="5">
        <v>5654</v>
      </c>
      <c r="F58" s="5">
        <v>8987</v>
      </c>
      <c r="G58" s="5">
        <v>254590</v>
      </c>
      <c r="H58" s="12">
        <f>D58*(1+0.01*growthrate!E58)^2</f>
        <v>3333</v>
      </c>
      <c r="I58" s="4">
        <f>E58*(1+0.01*growthrate!$E$3)^2</f>
        <v>5824.8921499999988</v>
      </c>
      <c r="J58" s="4">
        <f>F58*(1+0.01*growthrate!$E$3)^2</f>
        <v>9258.6320749999977</v>
      </c>
      <c r="K58" s="4">
        <f>G58*(1+0.01*growthrate!$E$3)^2</f>
        <v>262284.98274999991</v>
      </c>
      <c r="L58" s="12">
        <f>H58*(1+0.01*growthrate!$E$3)^5</f>
        <v>3590.5875849466197</v>
      </c>
      <c r="M58" s="4">
        <f>I58*(1+0.01*growthrate!$E$3)^5</f>
        <v>6275.0631375466601</v>
      </c>
      <c r="N58" s="4">
        <f>J58*(1+0.01*growthrate!$E$3)^5</f>
        <v>9974.17623224829</v>
      </c>
      <c r="O58" s="4">
        <f>K58*(1+0.01*growthrate!$E$3)^5</f>
        <v>282555.41637566395</v>
      </c>
      <c r="P58" s="12">
        <f>L58*(1+0.01*growthrate!$F$3)^10</f>
        <v>3849.9955758093597</v>
      </c>
      <c r="Q58" s="4">
        <f>M58*(1+0.01*growthrate!$F$3)^10</f>
        <v>6728.4155436743667</v>
      </c>
      <c r="R58" s="4">
        <f>N58*(1+0.01*growthrate!$F$3)^10</f>
        <v>10694.777235762564</v>
      </c>
      <c r="S58" s="4">
        <f>O58*(1+0.01*growthrate!$F$3)^10</f>
        <v>302969.10386700684</v>
      </c>
    </row>
    <row r="59" spans="1:19" x14ac:dyDescent="0.2">
      <c r="A59" s="2" t="s">
        <v>123</v>
      </c>
      <c r="B59" s="8" t="s">
        <v>124</v>
      </c>
      <c r="C59" s="4" t="s">
        <v>779</v>
      </c>
      <c r="D59" s="5">
        <v>553219</v>
      </c>
      <c r="E59" s="5">
        <v>201681</v>
      </c>
      <c r="F59" s="5">
        <v>754900</v>
      </c>
      <c r="G59" s="5">
        <v>214234</v>
      </c>
      <c r="H59" s="12">
        <f>D59*(1+0.01*growthrate!E59)^2</f>
        <v>553219</v>
      </c>
      <c r="I59" s="4">
        <f>E59*(1+0.01*growthrate!$E$3)^2</f>
        <v>207776.80822499996</v>
      </c>
      <c r="J59" s="4">
        <f>F59*(1+0.01*growthrate!$E$3)^2</f>
        <v>777716.8524999998</v>
      </c>
      <c r="K59" s="4">
        <f>G59*(1+0.01*growthrate!$E$3)^2</f>
        <v>220709.22264999995</v>
      </c>
      <c r="L59" s="12">
        <f>H59*(1+0.01*growthrate!$E$3)^5</f>
        <v>595973.97934490966</v>
      </c>
      <c r="M59" s="4">
        <f>I59*(1+0.01*growthrate!$E$3)^5</f>
        <v>223834.63187894374</v>
      </c>
      <c r="N59" s="4">
        <f>J59*(1+0.01*growthrate!$E$3)^5</f>
        <v>837821.92474955309</v>
      </c>
      <c r="O59" s="4">
        <f>K59*(1+0.01*growthrate!$E$3)^5</f>
        <v>237766.51507059977</v>
      </c>
      <c r="P59" s="12">
        <f>L59*(1+0.01*growthrate!$F$3)^10</f>
        <v>639031.11384748819</v>
      </c>
      <c r="Q59" s="4">
        <f>M59*(1+0.01*growthrate!$F$3)^10</f>
        <v>240005.93832044391</v>
      </c>
      <c r="R59" s="4">
        <f>N59*(1+0.01*growthrate!$F$3)^10</f>
        <v>898351.76758397219</v>
      </c>
      <c r="S59" s="4">
        <f>O59*(1+0.01*growthrate!$F$3)^10</f>
        <v>254944.35365821261</v>
      </c>
    </row>
    <row r="60" spans="1:19" x14ac:dyDescent="0.2">
      <c r="A60" s="2" t="s">
        <v>125</v>
      </c>
      <c r="B60" s="8" t="s">
        <v>126</v>
      </c>
      <c r="C60" s="4" t="s">
        <v>779</v>
      </c>
      <c r="D60" s="5">
        <v>1681614</v>
      </c>
      <c r="E60" s="5">
        <v>838339</v>
      </c>
      <c r="F60" s="5">
        <v>2519953</v>
      </c>
      <c r="G60" s="5">
        <v>114728</v>
      </c>
      <c r="H60" s="12">
        <f>D60*(1+0.01*growthrate!E60)^2</f>
        <v>1681614</v>
      </c>
      <c r="I60" s="4">
        <f>E60*(1+0.01*growthrate!$E$3)^2</f>
        <v>863677.79627499974</v>
      </c>
      <c r="J60" s="4">
        <f>F60*(1+0.01*growthrate!$E$3)^2</f>
        <v>2596118.5794249992</v>
      </c>
      <c r="K60" s="4">
        <f>G60*(1+0.01*growthrate!$E$3)^2</f>
        <v>118195.65379999997</v>
      </c>
      <c r="L60" s="12">
        <f>H60*(1+0.01*growthrate!$E$3)^5</f>
        <v>1811575.8629080183</v>
      </c>
      <c r="M60" s="4">
        <f>I60*(1+0.01*growthrate!$E$3)^5</f>
        <v>930426.27443716465</v>
      </c>
      <c r="N60" s="4">
        <f>J60*(1+0.01*growthrate!$E$3)^5</f>
        <v>2796757.0178015772</v>
      </c>
      <c r="O60" s="4">
        <f>K60*(1+0.01*growthrate!$E$3)^5</f>
        <v>127330.28716739533</v>
      </c>
      <c r="P60" s="12">
        <f>L60*(1+0.01*growthrate!$F$3)^10</f>
        <v>1942456.1836840927</v>
      </c>
      <c r="Q60" s="4">
        <f>M60*(1+0.01*growthrate!$F$3)^10</f>
        <v>997646.47302236012</v>
      </c>
      <c r="R60" s="4">
        <f>N60*(1+0.01*growthrate!$F$3)^10</f>
        <v>2998813.3948583039</v>
      </c>
      <c r="S60" s="4">
        <f>O60*(1+0.01*growthrate!$F$3)^10</f>
        <v>136529.47621058946</v>
      </c>
    </row>
    <row r="61" spans="1:19" x14ac:dyDescent="0.2">
      <c r="A61" s="2" t="s">
        <v>127</v>
      </c>
      <c r="B61" s="8" t="s">
        <v>128</v>
      </c>
      <c r="C61" s="4" t="s">
        <v>779</v>
      </c>
      <c r="D61" s="5">
        <v>9429</v>
      </c>
      <c r="E61" s="5">
        <v>314364</v>
      </c>
      <c r="F61" s="5">
        <v>323793</v>
      </c>
      <c r="G61" s="5">
        <v>962162</v>
      </c>
      <c r="H61" s="12">
        <f>D61*(1+0.01*growthrate!E61)^2</f>
        <v>9429</v>
      </c>
      <c r="I61" s="4">
        <f>E61*(1+0.01*growthrate!$E$3)^2</f>
        <v>323865.65189999994</v>
      </c>
      <c r="J61" s="4">
        <f>F61*(1+0.01*growthrate!$E$3)^2</f>
        <v>333579.6434249999</v>
      </c>
      <c r="K61" s="4">
        <f>G61*(1+0.01*growthrate!$E$3)^2</f>
        <v>991243.34644999972</v>
      </c>
      <c r="L61" s="12">
        <f>H61*(1+0.01*growthrate!$E$3)^5</f>
        <v>10157.710872625765</v>
      </c>
      <c r="M61" s="4">
        <f>I61*(1+0.01*growthrate!$E$3)^5</f>
        <v>348895.28619945492</v>
      </c>
      <c r="N61" s="4">
        <f>J61*(1+0.01*growthrate!$E$3)^5</f>
        <v>359360.01388320577</v>
      </c>
      <c r="O61" s="4">
        <f>K61*(1+0.01*growthrate!$E$3)^5</f>
        <v>1067850.6010874016</v>
      </c>
      <c r="P61" s="12">
        <f>L61*(1+0.01*growthrate!$F$3)^10</f>
        <v>10891.571642456182</v>
      </c>
      <c r="Q61" s="4">
        <f>M61*(1+0.01*growthrate!$F$3)^10</f>
        <v>374101.80827231135</v>
      </c>
      <c r="R61" s="4">
        <f>N61*(1+0.01*growthrate!$F$3)^10</f>
        <v>385322.57766766078</v>
      </c>
      <c r="S61" s="4">
        <f>O61*(1+0.01*growthrate!$F$3)^10</f>
        <v>1144999.249439833</v>
      </c>
    </row>
    <row r="62" spans="1:19" x14ac:dyDescent="0.2">
      <c r="A62" s="2" t="s">
        <v>129</v>
      </c>
      <c r="B62" s="8" t="s">
        <v>130</v>
      </c>
      <c r="C62" s="4" t="s">
        <v>779</v>
      </c>
      <c r="D62" s="5">
        <v>61063</v>
      </c>
      <c r="E62" s="5">
        <v>981722</v>
      </c>
      <c r="F62" s="5">
        <v>1042785</v>
      </c>
      <c r="G62" s="5">
        <v>588875</v>
      </c>
      <c r="H62" s="12">
        <f>D62*(1+0.01*growthrate!E62)^2</f>
        <v>61063</v>
      </c>
      <c r="I62" s="4">
        <f>E62*(1+0.01*growthrate!$E$3)^2</f>
        <v>1011394.5474499997</v>
      </c>
      <c r="J62" s="4">
        <f>F62*(1+0.01*growthrate!$E$3)^2</f>
        <v>1074303.1766249996</v>
      </c>
      <c r="K62" s="4">
        <f>G62*(1+0.01*growthrate!$E$3)^2</f>
        <v>606673.74687499984</v>
      </c>
      <c r="L62" s="12">
        <f>H62*(1+0.01*growthrate!$E$3)^5</f>
        <v>65782.193129191553</v>
      </c>
      <c r="M62" s="4">
        <f>I62*(1+0.01*growthrate!$E$3)^5</f>
        <v>1089559.1675837606</v>
      </c>
      <c r="N62" s="4">
        <f>J62*(1+0.01*growthrate!$E$3)^5</f>
        <v>1157329.6275002817</v>
      </c>
      <c r="O62" s="4">
        <f>K62*(1+0.01*growthrate!$E$3)^5</f>
        <v>653559.92308503517</v>
      </c>
      <c r="P62" s="12">
        <f>L62*(1+0.01*growthrate!$F$3)^10</f>
        <v>70534.737427436834</v>
      </c>
      <c r="Q62" s="4">
        <f>M62*(1+0.01*growthrate!$F$3)^10</f>
        <v>1168276.1875428169</v>
      </c>
      <c r="R62" s="4">
        <f>N62*(1+0.01*growthrate!$F$3)^10</f>
        <v>1240942.8374089978</v>
      </c>
      <c r="S62" s="4">
        <f>O62*(1+0.01*growthrate!$F$3)^10</f>
        <v>700777.45017354831</v>
      </c>
    </row>
    <row r="63" spans="1:19" x14ac:dyDescent="0.2">
      <c r="A63" s="2" t="s">
        <v>131</v>
      </c>
      <c r="B63" s="8" t="s">
        <v>132</v>
      </c>
      <c r="C63" s="4" t="s">
        <v>779</v>
      </c>
      <c r="D63" s="5">
        <v>3116872</v>
      </c>
      <c r="E63" s="5">
        <v>-17263</v>
      </c>
      <c r="F63" s="5">
        <v>3099609</v>
      </c>
      <c r="G63" s="5">
        <v>360309</v>
      </c>
      <c r="H63" s="12">
        <f>D63*(1+0.01*growthrate!E63)^2</f>
        <v>3116872</v>
      </c>
      <c r="I63" s="4">
        <f>E63*(1+0.01*growthrate!$E$3)^2</f>
        <v>-17784.774174999995</v>
      </c>
      <c r="J63" s="4">
        <f>F63*(1+0.01*growthrate!$E$3)^2</f>
        <v>3193294.6820249991</v>
      </c>
      <c r="K63" s="4">
        <f>G63*(1+0.01*growthrate!$E$3)^2</f>
        <v>371199.3395249999</v>
      </c>
      <c r="L63" s="12">
        <f>H63*(1+0.01*growthrate!$E$3)^5</f>
        <v>3357756.3477550973</v>
      </c>
      <c r="M63" s="4">
        <f>I63*(1+0.01*growthrate!$E$3)^5</f>
        <v>-19159.252731423414</v>
      </c>
      <c r="N63" s="4">
        <f>J63*(1+0.01*growthrate!$E$3)^5</f>
        <v>3440085.2806345709</v>
      </c>
      <c r="O63" s="4">
        <f>K63*(1+0.01*growthrate!$E$3)^5</f>
        <v>399887.11072272714</v>
      </c>
      <c r="P63" s="12">
        <f>L63*(1+0.01*growthrate!$F$3)^10</f>
        <v>3600343.0574149624</v>
      </c>
      <c r="Q63" s="4">
        <f>M63*(1+0.01*growthrate!$F$3)^10</f>
        <v>-20543.444911646726</v>
      </c>
      <c r="R63" s="4">
        <f>N63*(1+0.01*growthrate!$F$3)^10</f>
        <v>3688619.981413682</v>
      </c>
      <c r="S63" s="4">
        <f>O63*(1+0.01*growthrate!$F$3)^10</f>
        <v>428777.62223660544</v>
      </c>
    </row>
    <row r="64" spans="1:19" x14ac:dyDescent="0.2">
      <c r="A64" s="2" t="s">
        <v>133</v>
      </c>
      <c r="B64" s="8" t="s">
        <v>134</v>
      </c>
      <c r="C64" s="4" t="s">
        <v>779</v>
      </c>
      <c r="D64" s="5">
        <v>767226</v>
      </c>
      <c r="E64" s="5">
        <v>15045</v>
      </c>
      <c r="F64" s="5">
        <v>782271</v>
      </c>
      <c r="G64" s="5">
        <v>129336</v>
      </c>
      <c r="H64" s="12">
        <f>D64*(1+0.01*growthrate!E64)^2</f>
        <v>767226</v>
      </c>
      <c r="I64" s="4">
        <f>E64*(1+0.01*growthrate!$E$3)^2</f>
        <v>15499.735124999996</v>
      </c>
      <c r="J64" s="4">
        <f>F64*(1+0.01*growthrate!$E$3)^2</f>
        <v>805915.14097499975</v>
      </c>
      <c r="K64" s="4">
        <f>G64*(1+0.01*growthrate!$E$3)^2</f>
        <v>133245.18059999996</v>
      </c>
      <c r="L64" s="12">
        <f>H64*(1+0.01*growthrate!$E$3)^5</f>
        <v>826520.29716419289</v>
      </c>
      <c r="M64" s="4">
        <f>I64*(1+0.01*growthrate!$E$3)^5</f>
        <v>16697.616714607269</v>
      </c>
      <c r="N64" s="4">
        <f>J64*(1+0.01*growthrate!$E$3)^5</f>
        <v>868199.48986058764</v>
      </c>
      <c r="O64" s="4">
        <f>K64*(1+0.01*growthrate!$E$3)^5</f>
        <v>143542.90165506452</v>
      </c>
      <c r="P64" s="12">
        <f>L64*(1+0.01*growthrate!$F$3)^10</f>
        <v>886233.63505727914</v>
      </c>
      <c r="Q64" s="4">
        <f>M64*(1+0.01*growthrate!$F$3)^10</f>
        <v>17903.96389362944</v>
      </c>
      <c r="R64" s="4">
        <f>N64*(1+0.01*growthrate!$F$3)^10</f>
        <v>930924.0105705146</v>
      </c>
      <c r="S64" s="4">
        <f>O64*(1+0.01*growthrate!$F$3)^10</f>
        <v>153913.39808218391</v>
      </c>
    </row>
    <row r="65" spans="1:19" x14ac:dyDescent="0.2">
      <c r="A65" s="2" t="s">
        <v>135</v>
      </c>
      <c r="B65" s="8" t="s">
        <v>136</v>
      </c>
      <c r="C65" s="4" t="s">
        <v>779</v>
      </c>
      <c r="D65" s="5">
        <v>1415146</v>
      </c>
      <c r="E65" s="5">
        <v>24455</v>
      </c>
      <c r="F65" s="5">
        <v>1439601</v>
      </c>
      <c r="G65" s="5">
        <v>1406511</v>
      </c>
      <c r="H65" s="12">
        <f>D65*(1+0.01*growthrate!E65)^2</f>
        <v>1415146</v>
      </c>
      <c r="I65" s="4">
        <f>E65*(1+0.01*growthrate!$E$3)^2</f>
        <v>25194.152374999994</v>
      </c>
      <c r="J65" s="4">
        <f>F65*(1+0.01*growthrate!$E$3)^2</f>
        <v>1483112.9402249996</v>
      </c>
      <c r="K65" s="4">
        <f>G65*(1+0.01*growthrate!$E$3)^2</f>
        <v>1449022.7949749995</v>
      </c>
      <c r="L65" s="12">
        <f>H65*(1+0.01*growthrate!$E$3)^5</f>
        <v>1524514.1489609568</v>
      </c>
      <c r="M65" s="4">
        <f>I65*(1+0.01*growthrate!$E$3)^5</f>
        <v>27141.257345013011</v>
      </c>
      <c r="N65" s="4">
        <f>J65*(1+0.01*growthrate!$E$3)^5</f>
        <v>1597733.8464583142</v>
      </c>
      <c r="O65" s="4">
        <f>K65*(1+0.01*growthrate!$E$3)^5</f>
        <v>1561009.0782903943</v>
      </c>
      <c r="P65" s="12">
        <f>L65*(1+0.01*growthrate!$F$3)^10</f>
        <v>1634655.2172590196</v>
      </c>
      <c r="Q65" s="4">
        <f>M65*(1+0.01*growthrate!$F$3)^10</f>
        <v>29102.122766281682</v>
      </c>
      <c r="R65" s="4">
        <f>N65*(1+0.01*growthrate!$F$3)^10</f>
        <v>1713164.7939669546</v>
      </c>
      <c r="S65" s="4">
        <f>O65*(1+0.01*growthrate!$F$3)^10</f>
        <v>1673786.7836485631</v>
      </c>
    </row>
    <row r="66" spans="1:19" x14ac:dyDescent="0.2">
      <c r="A66" s="2" t="s">
        <v>137</v>
      </c>
      <c r="B66" s="8" t="s">
        <v>138</v>
      </c>
      <c r="C66" s="4" t="s">
        <v>779</v>
      </c>
      <c r="D66" s="5">
        <v>275129</v>
      </c>
      <c r="E66" s="5">
        <v>1449</v>
      </c>
      <c r="F66" s="5">
        <v>276578</v>
      </c>
      <c r="G66" s="5">
        <v>89048</v>
      </c>
      <c r="H66" s="12">
        <f>D66*(1+0.01*growthrate!E66)^2</f>
        <v>275129</v>
      </c>
      <c r="I66" s="4">
        <f>E66*(1+0.01*growthrate!$E$3)^2</f>
        <v>1492.7960249999996</v>
      </c>
      <c r="J66" s="4">
        <f>F66*(1+0.01*growthrate!$E$3)^2</f>
        <v>284937.57004999992</v>
      </c>
      <c r="K66" s="4">
        <f>G66*(1+0.01*growthrate!$E$3)^2</f>
        <v>91739.475799999971</v>
      </c>
      <c r="L66" s="12">
        <f>H66*(1+0.01*growthrate!$E$3)^5</f>
        <v>296392.07070470403</v>
      </c>
      <c r="M66" s="4">
        <f>I66*(1+0.01*growthrate!$E$3)^5</f>
        <v>1608.1652787946782</v>
      </c>
      <c r="N66" s="4">
        <f>J66*(1+0.01*growthrate!$E$3)^5</f>
        <v>306958.6863205483</v>
      </c>
      <c r="O66" s="4">
        <f>K66*(1+0.01*growthrate!$E$3)^5</f>
        <v>98829.469804077627</v>
      </c>
      <c r="P66" s="12">
        <f>L66*(1+0.01*growthrate!$F$3)^10</f>
        <v>317805.41037409339</v>
      </c>
      <c r="Q66" s="4">
        <f>M66*(1+0.01*growthrate!$F$3)^10</f>
        <v>1724.3498625369928</v>
      </c>
      <c r="R66" s="4">
        <f>N66*(1+0.01*growthrate!$F$3)^10</f>
        <v>329135.42876518727</v>
      </c>
      <c r="S66" s="4">
        <f>O66*(1+0.01*growthrate!$F$3)^10</f>
        <v>105969.56974409532</v>
      </c>
    </row>
    <row r="67" spans="1:19" x14ac:dyDescent="0.2">
      <c r="A67" s="2" t="s">
        <v>139</v>
      </c>
      <c r="B67" s="8" t="s">
        <v>140</v>
      </c>
      <c r="C67" s="4" t="s">
        <v>779</v>
      </c>
      <c r="D67" s="5">
        <v>218917</v>
      </c>
      <c r="E67" s="5">
        <v>451</v>
      </c>
      <c r="F67" s="5">
        <v>219368</v>
      </c>
      <c r="G67" s="5">
        <v>782293</v>
      </c>
      <c r="H67" s="12">
        <f>D67*(1+0.01*growthrate!E67)^2</f>
        <v>218917</v>
      </c>
      <c r="I67" s="4">
        <f>E67*(1+0.01*growthrate!$E$3)^2</f>
        <v>464.63147499999985</v>
      </c>
      <c r="J67" s="4">
        <f>F67*(1+0.01*growthrate!$E$3)^2</f>
        <v>225998.39779999995</v>
      </c>
      <c r="K67" s="4">
        <f>G67*(1+0.01*growthrate!$E$3)^2</f>
        <v>805937.80592499976</v>
      </c>
      <c r="L67" s="12">
        <f>H67*(1+0.01*growthrate!$E$3)^5</f>
        <v>235835.78227835556</v>
      </c>
      <c r="M67" s="4">
        <f>I67*(1+0.01*growthrate!$E$3)^5</f>
        <v>500.54005571870238</v>
      </c>
      <c r="N67" s="4">
        <f>J67*(1+0.01*growthrate!$E$3)^5</f>
        <v>243464.45885343751</v>
      </c>
      <c r="O67" s="4">
        <f>K67*(1+0.01*growthrate!$E$3)^5</f>
        <v>868223.90644867148</v>
      </c>
      <c r="P67" s="12">
        <f>L67*(1+0.01*growthrate!$F$3)^10</f>
        <v>252874.13185402268</v>
      </c>
      <c r="Q67" s="4">
        <f>M67*(1+0.01*growthrate!$F$3)^10</f>
        <v>536.70240718025093</v>
      </c>
      <c r="R67" s="4">
        <f>N67*(1+0.01*growthrate!$F$3)^10</f>
        <v>261053.9548964907</v>
      </c>
      <c r="S67" s="4">
        <f>O67*(1+0.01*growthrate!$F$3)^10</f>
        <v>930950.19117574289</v>
      </c>
    </row>
    <row r="68" spans="1:19" x14ac:dyDescent="0.2">
      <c r="A68" s="2" t="s">
        <v>141</v>
      </c>
      <c r="B68" s="8" t="s">
        <v>142</v>
      </c>
      <c r="C68" s="4" t="s">
        <v>779</v>
      </c>
      <c r="D68" s="5">
        <v>26874</v>
      </c>
      <c r="E68" s="5">
        <v>0</v>
      </c>
      <c r="F68" s="5">
        <v>26874</v>
      </c>
      <c r="G68" s="5">
        <v>247591</v>
      </c>
      <c r="H68" s="12">
        <f>D68*(1+0.01*growthrate!E68)^2</f>
        <v>26874</v>
      </c>
      <c r="I68" s="4">
        <f>E68*(1+0.01*growthrate!$E$3)^2</f>
        <v>0</v>
      </c>
      <c r="J68" s="4">
        <f>F68*(1+0.01*growthrate!$E$3)^2</f>
        <v>27686.266649999994</v>
      </c>
      <c r="K68" s="4">
        <f>G68*(1+0.01*growthrate!$E$3)^2</f>
        <v>255074.43797499992</v>
      </c>
      <c r="L68" s="12">
        <f>H68*(1+0.01*growthrate!$E$3)^5</f>
        <v>28950.930320388674</v>
      </c>
      <c r="M68" s="4">
        <f>I68*(1+0.01*growthrate!$E$3)^5</f>
        <v>0</v>
      </c>
      <c r="N68" s="4">
        <f>J68*(1+0.01*growthrate!$E$3)^5</f>
        <v>29825.972189322416</v>
      </c>
      <c r="O68" s="4">
        <f>K68*(1+0.01*growthrate!$E$3)^5</f>
        <v>274787.61183026439</v>
      </c>
      <c r="P68" s="12">
        <f>L68*(1+0.01*growthrate!$F$3)^10</f>
        <v>31042.538585148734</v>
      </c>
      <c r="Q68" s="4">
        <f>M68*(1+0.01*growthrate!$F$3)^10</f>
        <v>0</v>
      </c>
      <c r="R68" s="4">
        <f>N68*(1+0.01*growthrate!$F$3)^10</f>
        <v>31980.799313884847</v>
      </c>
      <c r="S68" s="4">
        <f>O68*(1+0.01*growthrate!$F$3)^10</f>
        <v>294640.10132187477</v>
      </c>
    </row>
    <row r="69" spans="1:19" x14ac:dyDescent="0.2">
      <c r="A69" s="2" t="s">
        <v>143</v>
      </c>
      <c r="B69" s="8" t="s">
        <v>144</v>
      </c>
      <c r="C69" s="4" t="s">
        <v>779</v>
      </c>
      <c r="D69" s="5">
        <v>961088</v>
      </c>
      <c r="E69" s="5">
        <v>998466</v>
      </c>
      <c r="F69" s="5">
        <v>1959554</v>
      </c>
      <c r="G69" s="5">
        <v>1183096</v>
      </c>
      <c r="H69" s="12">
        <f>D69*(1+0.01*growthrate!E69)^2</f>
        <v>961088</v>
      </c>
      <c r="I69" s="4">
        <f>E69*(1+0.01*growthrate!$E$3)^2</f>
        <v>1028644.6348499997</v>
      </c>
      <c r="J69" s="4">
        <f>F69*(1+0.01*growthrate!$E$3)^2</f>
        <v>2018781.5196499994</v>
      </c>
      <c r="K69" s="4">
        <f>G69*(1+0.01*growthrate!$E$3)^2</f>
        <v>1218855.0765999996</v>
      </c>
      <c r="L69" s="12">
        <f>H69*(1+0.01*growthrate!$E$3)^5</f>
        <v>1035364.7287252255</v>
      </c>
      <c r="M69" s="4">
        <f>I69*(1+0.01*growthrate!$E$3)^5</f>
        <v>1108142.4108053879</v>
      </c>
      <c r="N69" s="4">
        <f>J69*(1+0.01*growthrate!$E$3)^5</f>
        <v>2174801.0384563329</v>
      </c>
      <c r="O69" s="4">
        <f>K69*(1+0.01*growthrate!$E$3)^5</f>
        <v>1313053.0770744432</v>
      </c>
      <c r="P69" s="12">
        <f>L69*(1+0.01*growthrate!$F$3)^10</f>
        <v>1110166.3810271425</v>
      </c>
      <c r="Q69" s="4">
        <f>M69*(1+0.01*growthrate!$F$3)^10</f>
        <v>1188202.0081765775</v>
      </c>
      <c r="R69" s="4">
        <f>N69*(1+0.01*growthrate!$F$3)^10</f>
        <v>2331923.1680702651</v>
      </c>
      <c r="S69" s="4">
        <f>O69*(1+0.01*growthrate!$F$3)^10</f>
        <v>1407916.7874175746</v>
      </c>
    </row>
    <row r="70" spans="1:19" x14ac:dyDescent="0.2">
      <c r="A70" s="2" t="s">
        <v>145</v>
      </c>
      <c r="B70" s="8" t="s">
        <v>146</v>
      </c>
      <c r="C70" s="4" t="s">
        <v>779</v>
      </c>
      <c r="D70" s="5">
        <v>889338</v>
      </c>
      <c r="E70" s="5">
        <v>10210</v>
      </c>
      <c r="F70" s="5">
        <v>899548</v>
      </c>
      <c r="G70" s="5">
        <v>172740</v>
      </c>
      <c r="H70" s="12">
        <f>D70*(1+0.01*growthrate!E70)^2</f>
        <v>889338</v>
      </c>
      <c r="I70" s="4">
        <f>E70*(1+0.01*growthrate!$E$3)^2</f>
        <v>10518.597249999997</v>
      </c>
      <c r="J70" s="4">
        <f>F70*(1+0.01*growthrate!$E$3)^2</f>
        <v>926736.83829999971</v>
      </c>
      <c r="K70" s="4">
        <f>G70*(1+0.01*growthrate!$E$3)^2</f>
        <v>177961.06649999996</v>
      </c>
      <c r="L70" s="12">
        <f>H70*(1+0.01*growthrate!$E$3)^5</f>
        <v>958069.6014465217</v>
      </c>
      <c r="M70" s="4">
        <f>I70*(1+0.01*growthrate!$E$3)^5</f>
        <v>11331.516560727165</v>
      </c>
      <c r="N70" s="4">
        <f>J70*(1+0.01*growthrate!$E$3)^5</f>
        <v>998358.77171096962</v>
      </c>
      <c r="O70" s="4">
        <f>K70*(1+0.01*growthrate!$E$3)^5</f>
        <v>191714.61025465335</v>
      </c>
      <c r="P70" s="12">
        <f>L70*(1+0.01*growthrate!$F$3)^10</f>
        <v>1027286.9383135746</v>
      </c>
      <c r="Q70" s="4">
        <f>M70*(1+0.01*growthrate!$F$3)^10</f>
        <v>12150.18088095424</v>
      </c>
      <c r="R70" s="4">
        <f>N70*(1+0.01*growthrate!$F$3)^10</f>
        <v>1070486.8669050564</v>
      </c>
      <c r="S70" s="4">
        <f>O70*(1+0.01*growthrate!$F$3)^10</f>
        <v>205565.35214260878</v>
      </c>
    </row>
    <row r="71" spans="1:19" x14ac:dyDescent="0.2">
      <c r="A71" s="2" t="s">
        <v>147</v>
      </c>
      <c r="B71" s="8" t="s">
        <v>148</v>
      </c>
      <c r="C71" s="4" t="s">
        <v>779</v>
      </c>
      <c r="D71" s="5">
        <v>1405502</v>
      </c>
      <c r="E71" s="5">
        <v>151922</v>
      </c>
      <c r="F71" s="5">
        <v>1557424</v>
      </c>
      <c r="G71" s="5">
        <v>432476</v>
      </c>
      <c r="H71" s="12">
        <f>D71*(1+0.01*growthrate!E71)^2</f>
        <v>1405502</v>
      </c>
      <c r="I71" s="4">
        <f>E71*(1+0.01*growthrate!$E$3)^2</f>
        <v>156513.84244999997</v>
      </c>
      <c r="J71" s="4">
        <f>F71*(1+0.01*growthrate!$E$3)^2</f>
        <v>1604497.1403999997</v>
      </c>
      <c r="K71" s="4">
        <f>G71*(1+0.01*growthrate!$E$3)^2</f>
        <v>445547.58709999989</v>
      </c>
      <c r="L71" s="12">
        <f>H71*(1+0.01*growthrate!$E$3)^5</f>
        <v>1514124.8220274958</v>
      </c>
      <c r="M71" s="4">
        <f>I71*(1+0.01*growthrate!$E$3)^5</f>
        <v>168609.85885786411</v>
      </c>
      <c r="N71" s="4">
        <f>J71*(1+0.01*growthrate!$E$3)^5</f>
        <v>1728499.1036311407</v>
      </c>
      <c r="O71" s="4">
        <f>K71*(1+0.01*growthrate!$E$3)^5</f>
        <v>479981.28855210985</v>
      </c>
      <c r="P71" s="12">
        <f>L71*(1+0.01*growthrate!$F$3)^10</f>
        <v>1623515.2960669687</v>
      </c>
      <c r="Q71" s="4">
        <f>M71*(1+0.01*growthrate!$F$3)^10</f>
        <v>180791.35943157005</v>
      </c>
      <c r="R71" s="4">
        <f>N71*(1+0.01*growthrate!$F$3)^10</f>
        <v>1853377.4053221624</v>
      </c>
      <c r="S71" s="4">
        <f>O71*(1+0.01*growthrate!$F$3)^10</f>
        <v>514658.33757801825</v>
      </c>
    </row>
    <row r="72" spans="1:19" x14ac:dyDescent="0.2">
      <c r="A72" s="2" t="s">
        <v>149</v>
      </c>
      <c r="B72" s="8" t="s">
        <v>150</v>
      </c>
      <c r="C72" s="4" t="s">
        <v>779</v>
      </c>
      <c r="D72" s="5">
        <v>3098041</v>
      </c>
      <c r="E72" s="5">
        <v>4474011</v>
      </c>
      <c r="F72" s="5">
        <v>7572052</v>
      </c>
      <c r="G72" s="5">
        <v>10622716</v>
      </c>
      <c r="H72" s="12">
        <f>D72*(1+0.01*growthrate!E72)^2</f>
        <v>3098041</v>
      </c>
      <c r="I72" s="4">
        <f>E72*(1+0.01*growthrate!$E$3)^2</f>
        <v>4609237.9824749986</v>
      </c>
      <c r="J72" s="4">
        <f>F72*(1+0.01*growthrate!$E$3)^2</f>
        <v>7800917.2716999976</v>
      </c>
      <c r="K72" s="4">
        <f>G72*(1+0.01*growthrate!$E$3)^2</f>
        <v>10943787.591099998</v>
      </c>
      <c r="L72" s="12">
        <f>H72*(1+0.01*growthrate!$E$3)^5</f>
        <v>3337470.0126779508</v>
      </c>
      <c r="M72" s="4">
        <f>I72*(1+0.01*growthrate!$E$3)^5</f>
        <v>4965458.3486166019</v>
      </c>
      <c r="N72" s="4">
        <f>J72*(1+0.01*growthrate!$E$3)^5</f>
        <v>8403803.3924277425</v>
      </c>
      <c r="O72" s="4">
        <f>K72*(1+0.01*growthrate!$E$3)^5</f>
        <v>11789567.313800337</v>
      </c>
      <c r="P72" s="12">
        <f>L72*(1+0.01*growthrate!$F$3)^10</f>
        <v>3578591.1022130228</v>
      </c>
      <c r="Q72" s="4">
        <f>M72*(1+0.01*growthrate!$F$3)^10</f>
        <v>5324196.1717315344</v>
      </c>
      <c r="R72" s="4">
        <f>N72*(1+0.01*growthrate!$F$3)^10</f>
        <v>9010950.1900089439</v>
      </c>
      <c r="S72" s="4">
        <f>O72*(1+0.01*growthrate!$F$3)^10</f>
        <v>12641324.274927201</v>
      </c>
    </row>
    <row r="73" spans="1:19" x14ac:dyDescent="0.2">
      <c r="A73" s="2" t="s">
        <v>151</v>
      </c>
      <c r="B73" s="8" t="s">
        <v>152</v>
      </c>
      <c r="C73" s="4" t="s">
        <v>779</v>
      </c>
      <c r="D73" s="5">
        <v>1217207</v>
      </c>
      <c r="E73" s="5">
        <v>4381619</v>
      </c>
      <c r="F73" s="5">
        <v>5598826</v>
      </c>
      <c r="G73" s="5">
        <v>2031417</v>
      </c>
      <c r="H73" s="12">
        <f>D73*(1+0.01*growthrate!E73)^2</f>
        <v>1217207</v>
      </c>
      <c r="I73" s="4">
        <f>E73*(1+0.01*growthrate!$E$3)^2</f>
        <v>4514053.4342749985</v>
      </c>
      <c r="J73" s="4">
        <f>F73*(1+0.01*growthrate!$E$3)^2</f>
        <v>5768050.5158499982</v>
      </c>
      <c r="K73" s="4">
        <f>G73*(1+0.01*growthrate!$E$3)^2</f>
        <v>2092816.5788249995</v>
      </c>
      <c r="L73" s="12">
        <f>H73*(1+0.01*growthrate!$E$3)^5</f>
        <v>1311277.6305160876</v>
      </c>
      <c r="M73" s="4">
        <f>I73*(1+0.01*growthrate!$E$3)^5</f>
        <v>4862917.5574237807</v>
      </c>
      <c r="N73" s="4">
        <f>J73*(1+0.01*growthrate!$E$3)^5</f>
        <v>6213828.5543222167</v>
      </c>
      <c r="O73" s="4">
        <f>K73*(1+0.01*growthrate!$E$3)^5</f>
        <v>2254557.8234321936</v>
      </c>
      <c r="P73" s="12">
        <f>L73*(1+0.01*growthrate!$F$3)^10</f>
        <v>1406013.0707603311</v>
      </c>
      <c r="Q73" s="4">
        <f>M73*(1+0.01*growthrate!$F$3)^10</f>
        <v>5214247.1499927361</v>
      </c>
      <c r="R73" s="4">
        <f>N73*(1+0.01*growthrate!$F$3)^10</f>
        <v>6662756.9658167977</v>
      </c>
      <c r="S73" s="4">
        <f>O73*(1+0.01*growthrate!$F$3)^10</f>
        <v>2417442.1150485231</v>
      </c>
    </row>
    <row r="74" spans="1:19" x14ac:dyDescent="0.2">
      <c r="A74" s="2" t="s">
        <v>153</v>
      </c>
      <c r="B74" s="8" t="s">
        <v>154</v>
      </c>
      <c r="C74" s="4" t="s">
        <v>779</v>
      </c>
      <c r="D74" s="5">
        <v>5073</v>
      </c>
      <c r="E74" s="5">
        <v>117235</v>
      </c>
      <c r="F74" s="5">
        <v>122308</v>
      </c>
      <c r="G74" s="5">
        <v>41204</v>
      </c>
      <c r="H74" s="12">
        <f>D74*(1+0.01*growthrate!E74)^2</f>
        <v>5073</v>
      </c>
      <c r="I74" s="4">
        <f>E74*(1+0.01*growthrate!$E$3)^2</f>
        <v>120778.42787499996</v>
      </c>
      <c r="J74" s="4">
        <f>F74*(1+0.01*growthrate!$E$3)^2</f>
        <v>126004.75929999996</v>
      </c>
      <c r="K74" s="4">
        <f>G74*(1+0.01*growthrate!$E$3)^2</f>
        <v>42449.390899999991</v>
      </c>
      <c r="L74" s="12">
        <f>H74*(1+0.01*growthrate!$E$3)^5</f>
        <v>5465.0617517054307</v>
      </c>
      <c r="M74" s="4">
        <f>I74*(1+0.01*growthrate!$E$3)^5</f>
        <v>130112.66836404009</v>
      </c>
      <c r="N74" s="4">
        <f>J74*(1+0.01*growthrate!$E$3)^5</f>
        <v>135742.91160719079</v>
      </c>
      <c r="O74" s="4">
        <f>K74*(1+0.01*growthrate!$E$3)^5</f>
        <v>45730.04979120491</v>
      </c>
      <c r="P74" s="12">
        <f>L74*(1+0.01*growthrate!$F$3)^10</f>
        <v>5859.8942562498896</v>
      </c>
      <c r="Q74" s="4">
        <f>M74*(1+0.01*growthrate!$F$3)^10</f>
        <v>139512.87517910582</v>
      </c>
      <c r="R74" s="4">
        <f>N74*(1+0.01*growthrate!$F$3)^10</f>
        <v>145549.88473925085</v>
      </c>
      <c r="S74" s="4">
        <f>O74*(1+0.01*growthrate!$F$3)^10</f>
        <v>49033.893537594377</v>
      </c>
    </row>
    <row r="75" spans="1:19" x14ac:dyDescent="0.2">
      <c r="A75" s="2" t="s">
        <v>155</v>
      </c>
      <c r="B75" s="8" t="s">
        <v>156</v>
      </c>
      <c r="C75" s="4" t="s">
        <v>779</v>
      </c>
      <c r="D75" s="5">
        <v>9093</v>
      </c>
      <c r="E75" s="5">
        <v>132402</v>
      </c>
      <c r="F75" s="5">
        <v>141495</v>
      </c>
      <c r="G75" s="5">
        <v>84619</v>
      </c>
      <c r="H75" s="12">
        <f>D75*(1+0.01*growthrate!E75)^2</f>
        <v>9093</v>
      </c>
      <c r="I75" s="4">
        <f>E75*(1+0.01*growthrate!$E$3)^2</f>
        <v>136403.85044999997</v>
      </c>
      <c r="J75" s="4">
        <f>F75*(1+0.01*growthrate!$E$3)^2</f>
        <v>145771.68637499996</v>
      </c>
      <c r="K75" s="4">
        <f>G75*(1+0.01*growthrate!$E$3)^2</f>
        <v>87176.609274999981</v>
      </c>
      <c r="L75" s="12">
        <f>H75*(1+0.01*growthrate!$E$3)^5</f>
        <v>9795.7434473206158</v>
      </c>
      <c r="M75" s="4">
        <f>I75*(1+0.01*growthrate!$E$3)^5</f>
        <v>146945.68615802139</v>
      </c>
      <c r="N75" s="4">
        <f>J75*(1+0.01*growthrate!$E$3)^5</f>
        <v>157037.50595103725</v>
      </c>
      <c r="O75" s="4">
        <f>K75*(1+0.01*growthrate!$E$3)^5</f>
        <v>93913.966684835657</v>
      </c>
      <c r="P75" s="12">
        <f>L75*(1+0.01*growthrate!$F$3)^10</f>
        <v>10503.45327657801</v>
      </c>
      <c r="Q75" s="4">
        <f>M75*(1+0.01*growthrate!$F$3)^10</f>
        <v>157562.02242900134</v>
      </c>
      <c r="R75" s="4">
        <f>N75*(1+0.01*growthrate!$F$3)^10</f>
        <v>168382.94258086389</v>
      </c>
      <c r="S75" s="4">
        <f>O75*(1+0.01*growthrate!$F$3)^10</f>
        <v>100698.93790063339</v>
      </c>
    </row>
    <row r="76" spans="1:19" x14ac:dyDescent="0.2">
      <c r="A76" s="2" t="s">
        <v>157</v>
      </c>
      <c r="B76" s="8" t="s">
        <v>158</v>
      </c>
      <c r="C76" s="4" t="s">
        <v>779</v>
      </c>
      <c r="D76" s="5">
        <v>790011</v>
      </c>
      <c r="E76" s="5">
        <v>692958</v>
      </c>
      <c r="F76" s="5">
        <v>1482969</v>
      </c>
      <c r="G76" s="5">
        <v>1197148</v>
      </c>
      <c r="H76" s="12">
        <f>D76*(1+0.01*growthrate!E76)^2</f>
        <v>790011</v>
      </c>
      <c r="I76" s="4">
        <f>E76*(1+0.01*growthrate!$E$3)^2</f>
        <v>713902.65554999979</v>
      </c>
      <c r="J76" s="4">
        <f>F76*(1+0.01*growthrate!$E$3)^2</f>
        <v>1527791.7380249996</v>
      </c>
      <c r="K76" s="4">
        <f>G76*(1+0.01*growthrate!$E$3)^2</f>
        <v>1233331.7982999997</v>
      </c>
      <c r="L76" s="12">
        <f>H76*(1+0.01*growthrate!$E$3)^5</f>
        <v>851066.21319269843</v>
      </c>
      <c r="M76" s="4">
        <f>I76*(1+0.01*growthrate!$E$3)^5</f>
        <v>769075.91115459113</v>
      </c>
      <c r="N76" s="4">
        <f>J76*(1+0.01*growthrate!$E$3)^5</f>
        <v>1645865.6006410387</v>
      </c>
      <c r="O76" s="4">
        <f>K76*(1+0.01*growthrate!$E$3)^5</f>
        <v>1328648.6177905393</v>
      </c>
      <c r="P76" s="12">
        <f>L76*(1+0.01*growthrate!$F$3)^10</f>
        <v>912552.9117433927</v>
      </c>
      <c r="Q76" s="4">
        <f>M76*(1+0.01*growthrate!$F$3)^10</f>
        <v>824639.08353616938</v>
      </c>
      <c r="R76" s="4">
        <f>N76*(1+0.01*growthrate!$F$3)^10</f>
        <v>1764773.907037006</v>
      </c>
      <c r="S76" s="4">
        <f>O76*(1+0.01*growthrate!$F$3)^10</f>
        <v>1424639.0539933995</v>
      </c>
    </row>
    <row r="77" spans="1:19" x14ac:dyDescent="0.2">
      <c r="A77" s="2" t="s">
        <v>159</v>
      </c>
      <c r="B77" s="8" t="s">
        <v>160</v>
      </c>
      <c r="C77" s="4" t="s">
        <v>779</v>
      </c>
      <c r="D77" s="5">
        <v>291158</v>
      </c>
      <c r="E77" s="5">
        <v>-11111</v>
      </c>
      <c r="F77" s="5">
        <v>280047</v>
      </c>
      <c r="G77" s="5">
        <v>1464280</v>
      </c>
      <c r="H77" s="12">
        <f>D77*(1+0.01*growthrate!E77)^2</f>
        <v>291158</v>
      </c>
      <c r="I77" s="4">
        <f>E77*(1+0.01*growthrate!$E$3)^2</f>
        <v>-11446.829974999997</v>
      </c>
      <c r="J77" s="4">
        <f>F77*(1+0.01*growthrate!$E$3)^2</f>
        <v>288511.42057499994</v>
      </c>
      <c r="K77" s="4">
        <f>G77*(1+0.01*growthrate!$E$3)^2</f>
        <v>1508537.8629999997</v>
      </c>
      <c r="L77" s="12">
        <f>H77*(1+0.01*growthrate!$E$3)^5</f>
        <v>313659.85600296664</v>
      </c>
      <c r="M77" s="4">
        <f>I77*(1+0.01*growthrate!$E$3)^5</f>
        <v>-12331.486827251669</v>
      </c>
      <c r="N77" s="4">
        <f>J77*(1+0.01*growthrate!$E$3)^5</f>
        <v>310808.73832340457</v>
      </c>
      <c r="O77" s="4">
        <f>K77*(1+0.01*growthrate!$E$3)^5</f>
        <v>1625123.7090638173</v>
      </c>
      <c r="P77" s="12">
        <f>L77*(1+0.01*growthrate!$F$3)^10</f>
        <v>336320.73563201365</v>
      </c>
      <c r="Q77" s="4">
        <f>M77*(1+0.01*growthrate!$F$3)^10</f>
        <v>-13222.395667804365</v>
      </c>
      <c r="R77" s="4">
        <f>N77*(1+0.01*growthrate!$F$3)^10</f>
        <v>333263.63419868681</v>
      </c>
      <c r="S77" s="4">
        <f>O77*(1+0.01*growthrate!$F$3)^10</f>
        <v>1742533.4828955608</v>
      </c>
    </row>
    <row r="78" spans="1:19" x14ac:dyDescent="0.2">
      <c r="A78" s="2" t="s">
        <v>161</v>
      </c>
      <c r="B78" s="8" t="s">
        <v>162</v>
      </c>
      <c r="C78" s="4" t="s">
        <v>779</v>
      </c>
      <c r="D78" s="5">
        <v>57485</v>
      </c>
      <c r="E78" s="5">
        <v>-1407</v>
      </c>
      <c r="F78" s="5">
        <v>56078</v>
      </c>
      <c r="G78" s="5">
        <v>4479</v>
      </c>
      <c r="H78" s="12">
        <f>D78*(1+0.01*growthrate!E78)^2</f>
        <v>57485</v>
      </c>
      <c r="I78" s="4">
        <f>E78*(1+0.01*growthrate!$E$3)^2</f>
        <v>-1449.5265749999996</v>
      </c>
      <c r="J78" s="4">
        <f>F78*(1+0.01*growthrate!$E$3)^2</f>
        <v>57772.957549999985</v>
      </c>
      <c r="K78" s="4">
        <f>G78*(1+0.01*growthrate!$E$3)^2</f>
        <v>4614.377774999999</v>
      </c>
      <c r="L78" s="12">
        <f>H78*(1+0.01*growthrate!$E$3)^5</f>
        <v>61927.670963293254</v>
      </c>
      <c r="M78" s="4">
        <f>I78*(1+0.01*growthrate!$E$3)^5</f>
        <v>-1561.5517924528033</v>
      </c>
      <c r="N78" s="4">
        <f>J78*(1+0.01*growthrate!$E$3)^5</f>
        <v>62237.883025705974</v>
      </c>
      <c r="O78" s="4">
        <f>K78*(1+0.01*growthrate!$E$3)^5</f>
        <v>4970.9953648870696</v>
      </c>
      <c r="P78" s="12">
        <f>L78*(1+0.01*growthrate!$F$3)^10</f>
        <v>66401.738876507967</v>
      </c>
      <c r="Q78" s="4">
        <f>M78*(1+0.01*growthrate!$F$3)^10</f>
        <v>-1674.3687071011377</v>
      </c>
      <c r="R78" s="4">
        <f>N78*(1+0.01*growthrate!$F$3)^10</f>
        <v>66734.362726949257</v>
      </c>
      <c r="S78" s="4">
        <f>O78*(1+0.01*growthrate!$F$3)^10</f>
        <v>5330.1332189808081</v>
      </c>
    </row>
    <row r="79" spans="1:19" x14ac:dyDescent="0.2">
      <c r="A79" s="2" t="s">
        <v>163</v>
      </c>
      <c r="B79" s="8" t="s">
        <v>164</v>
      </c>
      <c r="C79" s="4" t="s">
        <v>779</v>
      </c>
      <c r="D79" s="5">
        <v>35132</v>
      </c>
      <c r="E79" s="5">
        <v>7259089</v>
      </c>
      <c r="F79" s="5">
        <v>7294221</v>
      </c>
      <c r="G79" s="5">
        <v>482444</v>
      </c>
      <c r="H79" s="12">
        <f>D79*(1+0.01*growthrate!E79)^2</f>
        <v>35132</v>
      </c>
      <c r="I79" s="4">
        <f>E79*(1+0.01*growthrate!$E$3)^2</f>
        <v>7478494.9650249984</v>
      </c>
      <c r="J79" s="4">
        <f>F79*(1+0.01*growthrate!$E$3)^2</f>
        <v>7514688.8297249982</v>
      </c>
      <c r="K79" s="4">
        <f>G79*(1+0.01*growthrate!$E$3)^2</f>
        <v>497025.86989999987</v>
      </c>
      <c r="L79" s="12">
        <f>H79*(1+0.01*growthrate!$E$3)^5</f>
        <v>37847.141624465839</v>
      </c>
      <c r="M79" s="4">
        <f>I79*(1+0.01*growthrate!$E$3)^5</f>
        <v>8056462.9989512637</v>
      </c>
      <c r="N79" s="4">
        <f>J79*(1+0.01*growthrate!$E$3)^5</f>
        <v>8095454.0704313293</v>
      </c>
      <c r="O79" s="4">
        <f>K79*(1+0.01*growthrate!$E$3)^5</f>
        <v>535438.01915998594</v>
      </c>
      <c r="P79" s="12">
        <f>L79*(1+0.01*growthrate!$F$3)^10</f>
        <v>40581.471517952123</v>
      </c>
      <c r="Q79" s="4">
        <f>M79*(1+0.01*growthrate!$F$3)^10</f>
        <v>8638515.6102786716</v>
      </c>
      <c r="R79" s="4">
        <f>N79*(1+0.01*growthrate!$F$3)^10</f>
        <v>8680323.6567732543</v>
      </c>
      <c r="S79" s="4">
        <f>O79*(1+0.01*growthrate!$F$3)^10</f>
        <v>574121.632216561</v>
      </c>
    </row>
    <row r="80" spans="1:19" x14ac:dyDescent="0.2">
      <c r="A80" s="2" t="s">
        <v>165</v>
      </c>
      <c r="B80" s="8" t="s">
        <v>166</v>
      </c>
      <c r="C80" s="4" t="s">
        <v>779</v>
      </c>
      <c r="D80" s="5">
        <v>979512</v>
      </c>
      <c r="E80" s="5">
        <v>4834862</v>
      </c>
      <c r="F80" s="5">
        <v>5814374</v>
      </c>
      <c r="G80" s="5">
        <v>1114262</v>
      </c>
      <c r="H80" s="12">
        <f>D80*(1+0.01*growthrate!E80)^2</f>
        <v>979512</v>
      </c>
      <c r="I80" s="4">
        <f>E80*(1+0.01*growthrate!$E$3)^2</f>
        <v>4980995.7039499991</v>
      </c>
      <c r="J80" s="4">
        <f>F80*(1+0.01*growthrate!$E$3)^2</f>
        <v>5990113.4541499987</v>
      </c>
      <c r="K80" s="4">
        <f>G80*(1+0.01*growthrate!$E$3)^2</f>
        <v>1147940.5689499998</v>
      </c>
      <c r="L80" s="12">
        <f>H80*(1+0.01*growthrate!$E$3)^5</f>
        <v>1055212.6092127913</v>
      </c>
      <c r="M80" s="4">
        <f>I80*(1+0.01*growthrate!$E$3)^5</f>
        <v>5365946.9952821229</v>
      </c>
      <c r="N80" s="4">
        <f>J80*(1+0.01*growthrate!$E$3)^5</f>
        <v>6453053.40560837</v>
      </c>
      <c r="O80" s="4">
        <f>K80*(1+0.01*growthrate!$E$3)^5</f>
        <v>1236658.0123397624</v>
      </c>
      <c r="P80" s="12">
        <f>L80*(1+0.01*growthrate!$F$3)^10</f>
        <v>1131448.2047561288</v>
      </c>
      <c r="Q80" s="4">
        <f>M80*(1+0.01*growthrate!$F$3)^10</f>
        <v>5753618.788878765</v>
      </c>
      <c r="R80" s="4">
        <f>N80*(1+0.01*growthrate!$F$3)^10</f>
        <v>6919265.0156236477</v>
      </c>
      <c r="S80" s="4">
        <f>O80*(1+0.01*growthrate!$F$3)^10</f>
        <v>1326002.4337682503</v>
      </c>
    </row>
    <row r="81" spans="1:19" x14ac:dyDescent="0.2">
      <c r="A81" s="2" t="s">
        <v>167</v>
      </c>
      <c r="B81" s="8" t="s">
        <v>168</v>
      </c>
      <c r="C81" s="4" t="s">
        <v>779</v>
      </c>
      <c r="D81" s="5">
        <v>76166</v>
      </c>
      <c r="E81" s="5">
        <v>13054</v>
      </c>
      <c r="F81" s="5">
        <v>89220</v>
      </c>
      <c r="G81" s="5">
        <v>77203</v>
      </c>
      <c r="H81" s="12">
        <f>D81*(1+0.01*growthrate!E81)^2</f>
        <v>76166</v>
      </c>
      <c r="I81" s="4">
        <f>E81*(1+0.01*growthrate!$E$3)^2</f>
        <v>13448.557149999997</v>
      </c>
      <c r="J81" s="4">
        <f>F81*(1+0.01*growthrate!$E$3)^2</f>
        <v>91916.674499999979</v>
      </c>
      <c r="K81" s="4">
        <f>G81*(1+0.01*growthrate!$E$3)^2</f>
        <v>79536.46067499998</v>
      </c>
      <c r="L81" s="12">
        <f>H81*(1+0.01*growthrate!$E$3)^5</f>
        <v>82052.41343985725</v>
      </c>
      <c r="M81" s="4">
        <f>I81*(1+0.01*growthrate!$E$3)^5</f>
        <v>14487.915493019826</v>
      </c>
      <c r="N81" s="4">
        <f>J81*(1+0.01*growthrate!$E$3)^5</f>
        <v>99020.363129096746</v>
      </c>
      <c r="O81" s="4">
        <f>K81*(1+0.01*growthrate!$E$3)^5</f>
        <v>85683.356810756057</v>
      </c>
      <c r="P81" s="12">
        <f>L81*(1+0.01*growthrate!$F$3)^10</f>
        <v>87980.426950823792</v>
      </c>
      <c r="Q81" s="4">
        <f>M81*(1+0.01*growthrate!$F$3)^10</f>
        <v>15534.619120467842</v>
      </c>
      <c r="R81" s="4">
        <f>N81*(1+0.01*growthrate!$F$3)^10</f>
        <v>106174.25447588025</v>
      </c>
      <c r="S81" s="4">
        <f>O81*(1+0.01*growthrate!$F$3)^10</f>
        <v>91873.69388367387</v>
      </c>
    </row>
    <row r="82" spans="1:19" x14ac:dyDescent="0.2">
      <c r="A82" s="2" t="s">
        <v>169</v>
      </c>
      <c r="B82" s="8" t="s">
        <v>170</v>
      </c>
      <c r="C82" s="4" t="s">
        <v>779</v>
      </c>
      <c r="D82" s="5">
        <v>1704718</v>
      </c>
      <c r="E82" s="5">
        <v>36004</v>
      </c>
      <c r="F82" s="5">
        <v>1740722</v>
      </c>
      <c r="G82" s="5">
        <v>444675</v>
      </c>
      <c r="H82" s="12">
        <f>D82*(1+0.01*growthrate!E82)^2</f>
        <v>1704718</v>
      </c>
      <c r="I82" s="4">
        <f>E82*(1+0.01*growthrate!$E$3)^2</f>
        <v>37092.220899999993</v>
      </c>
      <c r="J82" s="4">
        <f>F82*(1+0.01*growthrate!$E$3)^2</f>
        <v>1793335.3224499996</v>
      </c>
      <c r="K82" s="4">
        <f>G82*(1+0.01*growthrate!$E$3)^2</f>
        <v>458115.30187499989</v>
      </c>
      <c r="L82" s="12">
        <f>H82*(1+0.01*growthrate!$E$3)^5</f>
        <v>1836465.4325337627</v>
      </c>
      <c r="M82" s="4">
        <f>I82*(1+0.01*growthrate!$E$3)^5</f>
        <v>39958.856244115661</v>
      </c>
      <c r="N82" s="4">
        <f>J82*(1+0.01*growthrate!$E$3)^5</f>
        <v>1931931.4564762111</v>
      </c>
      <c r="O82" s="4">
        <f>K82*(1+0.01*growthrate!$E$3)^5</f>
        <v>493520.2866445987</v>
      </c>
      <c r="P82" s="12">
        <f>L82*(1+0.01*growthrate!$F$3)^10</f>
        <v>1969143.9417949533</v>
      </c>
      <c r="Q82" s="4">
        <f>M82*(1+0.01*growthrate!$F$3)^10</f>
        <v>42845.750483631396</v>
      </c>
      <c r="R82" s="4">
        <f>N82*(1+0.01*growthrate!$F$3)^10</f>
        <v>2071507.067919337</v>
      </c>
      <c r="S82" s="4">
        <f>O82*(1+0.01*growthrate!$F$3)^10</f>
        <v>529175.48317711335</v>
      </c>
    </row>
    <row r="83" spans="1:19" x14ac:dyDescent="0.2">
      <c r="A83" s="2" t="s">
        <v>171</v>
      </c>
      <c r="B83" s="8" t="s">
        <v>172</v>
      </c>
      <c r="C83" s="4" t="s">
        <v>779</v>
      </c>
      <c r="D83" s="5">
        <v>1017131</v>
      </c>
      <c r="E83" s="5">
        <v>-11091</v>
      </c>
      <c r="F83" s="5">
        <v>1006040</v>
      </c>
      <c r="G83" s="5">
        <v>160306</v>
      </c>
      <c r="H83" s="12">
        <f>D83*(1+0.01*growthrate!E83)^2</f>
        <v>1017131</v>
      </c>
      <c r="I83" s="4">
        <f>E83*(1+0.01*growthrate!$E$3)^2</f>
        <v>-11426.225474999997</v>
      </c>
      <c r="J83" s="4">
        <f>F83*(1+0.01*growthrate!$E$3)^2</f>
        <v>1036447.5589999998</v>
      </c>
      <c r="K83" s="4">
        <f>G83*(1+0.01*growthrate!$E$3)^2</f>
        <v>165151.24884999995</v>
      </c>
      <c r="L83" s="12">
        <f>H83*(1+0.01*growthrate!$E$3)^5</f>
        <v>1095738.9561549176</v>
      </c>
      <c r="M83" s="4">
        <f>I83*(1+0.01*growthrate!$E$3)^5</f>
        <v>-12309.289928993634</v>
      </c>
      <c r="N83" s="4">
        <f>J83*(1+0.01*growthrate!$E$3)^5</f>
        <v>1116548.376175706</v>
      </c>
      <c r="O83" s="4">
        <f>K83*(1+0.01*growthrate!$E$3)^5</f>
        <v>177914.79860763261</v>
      </c>
      <c r="P83" s="12">
        <f>L83*(1+0.01*growthrate!$F$3)^10</f>
        <v>1174902.44525009</v>
      </c>
      <c r="Q83" s="4">
        <f>M83*(1+0.01*growthrate!$F$3)^10</f>
        <v>-13198.595117596817</v>
      </c>
      <c r="R83" s="4">
        <f>N83*(1+0.01*growthrate!$F$3)^10</f>
        <v>1197215.2765401769</v>
      </c>
      <c r="S83" s="4">
        <f>O83*(1+0.01*growthrate!$F$3)^10</f>
        <v>190768.55007857498</v>
      </c>
    </row>
    <row r="84" spans="1:19" x14ac:dyDescent="0.2">
      <c r="A84" s="2" t="s">
        <v>173</v>
      </c>
      <c r="B84" s="8" t="s">
        <v>174</v>
      </c>
      <c r="C84" s="4" t="s">
        <v>779</v>
      </c>
      <c r="D84" s="5">
        <v>343065</v>
      </c>
      <c r="E84" s="5">
        <v>514</v>
      </c>
      <c r="F84" s="5">
        <v>343579</v>
      </c>
      <c r="G84" s="5">
        <v>85207</v>
      </c>
      <c r="H84" s="12">
        <f>D84*(1+0.01*growthrate!E84)^2</f>
        <v>343065</v>
      </c>
      <c r="I84" s="4">
        <f>E84*(1+0.01*growthrate!$E$3)^2</f>
        <v>529.53564999999981</v>
      </c>
      <c r="J84" s="4">
        <f>F84*(1+0.01*growthrate!$E$3)^2</f>
        <v>353963.67527499993</v>
      </c>
      <c r="K84" s="4">
        <f>G84*(1+0.01*growthrate!$E$3)^2</f>
        <v>87782.381574999978</v>
      </c>
      <c r="L84" s="12">
        <f>H84*(1+0.01*growthrate!$E$3)^5</f>
        <v>369578.43679259287</v>
      </c>
      <c r="M84" s="4">
        <f>I84*(1+0.01*growthrate!$E$3)^5</f>
        <v>570.46028523151449</v>
      </c>
      <c r="N84" s="4">
        <f>J84*(1+0.01*growthrate!$E$3)^5</f>
        <v>381319.40532988042</v>
      </c>
      <c r="O84" s="4">
        <f>K84*(1+0.01*growthrate!$E$3)^5</f>
        <v>94566.555493621898</v>
      </c>
      <c r="P84" s="12">
        <f>L84*(1+0.01*growthrate!$F$3)^10</f>
        <v>396279.24758927029</v>
      </c>
      <c r="Q84" s="4">
        <f>M84*(1+0.01*growthrate!$F$3)^10</f>
        <v>611.67414033403327</v>
      </c>
      <c r="R84" s="4">
        <f>N84*(1+0.01*growthrate!$F$3)^10</f>
        <v>408868.46198798995</v>
      </c>
      <c r="S84" s="4">
        <f>O84*(1+0.01*growthrate!$F$3)^10</f>
        <v>101398.67407673536</v>
      </c>
    </row>
    <row r="85" spans="1:19" x14ac:dyDescent="0.2">
      <c r="A85" s="2" t="s">
        <v>175</v>
      </c>
      <c r="B85" s="8" t="s">
        <v>176</v>
      </c>
      <c r="C85" s="4" t="s">
        <v>779</v>
      </c>
      <c r="D85" s="5">
        <v>107230</v>
      </c>
      <c r="E85" s="5">
        <v>121</v>
      </c>
      <c r="F85" s="5">
        <v>107351</v>
      </c>
      <c r="G85" s="5">
        <v>307859</v>
      </c>
      <c r="H85" s="12">
        <f>D85*(1+0.01*growthrate!E85)^2</f>
        <v>107230</v>
      </c>
      <c r="I85" s="4">
        <f>E85*(1+0.01*growthrate!$E$3)^2</f>
        <v>124.65722499999997</v>
      </c>
      <c r="J85" s="4">
        <f>F85*(1+0.01*growthrate!$E$3)^2</f>
        <v>110595.68397499996</v>
      </c>
      <c r="K85" s="4">
        <f>G85*(1+0.01*growthrate!$E$3)^2</f>
        <v>317164.03827499994</v>
      </c>
      <c r="L85" s="12">
        <f>H85*(1+0.01*growthrate!$E$3)^5</f>
        <v>115517.16373652146</v>
      </c>
      <c r="M85" s="4">
        <f>I85*(1+0.01*growthrate!$E$3)^5</f>
        <v>134.29123446111529</v>
      </c>
      <c r="N85" s="4">
        <f>J85*(1+0.01*growthrate!$E$3)^5</f>
        <v>119142.96124491889</v>
      </c>
      <c r="O85" s="4">
        <f>K85*(1+0.01*growthrate!$E$3)^5</f>
        <v>341675.74504102889</v>
      </c>
      <c r="P85" s="12">
        <f>L85*(1+0.01*growthrate!$F$3)^10</f>
        <v>123862.89396760805</v>
      </c>
      <c r="Q85" s="4">
        <f>M85*(1+0.01*growthrate!$F$3)^10</f>
        <v>143.99332875567711</v>
      </c>
      <c r="R85" s="4">
        <f>N85*(1+0.01*growthrate!$F$3)^10</f>
        <v>127750.64326653464</v>
      </c>
      <c r="S85" s="4">
        <f>O85*(1+0.01*growthrate!$F$3)^10</f>
        <v>366360.6793173058</v>
      </c>
    </row>
    <row r="86" spans="1:19" x14ac:dyDescent="0.2">
      <c r="A86" s="2" t="s">
        <v>177</v>
      </c>
      <c r="B86" s="8" t="s">
        <v>178</v>
      </c>
      <c r="C86" s="4" t="s">
        <v>779</v>
      </c>
      <c r="D86" s="5">
        <v>80922</v>
      </c>
      <c r="E86" s="5">
        <v>4594</v>
      </c>
      <c r="F86" s="5">
        <v>85516</v>
      </c>
      <c r="G86" s="5">
        <v>535079</v>
      </c>
      <c r="H86" s="12">
        <f>D86*(1+0.01*growthrate!E86)^2</f>
        <v>80922</v>
      </c>
      <c r="I86" s="4">
        <f>E86*(1+0.01*growthrate!$E$3)^2</f>
        <v>4732.8536499999991</v>
      </c>
      <c r="J86" s="4">
        <f>F86*(1+0.01*growthrate!$E$3)^2</f>
        <v>88100.721099999981</v>
      </c>
      <c r="K86" s="4">
        <f>G86*(1+0.01*growthrate!$E$3)^2</f>
        <v>551251.76277499984</v>
      </c>
      <c r="L86" s="12">
        <f>H86*(1+0.01*growthrate!$E$3)^5</f>
        <v>87175.976162331339</v>
      </c>
      <c r="M86" s="4">
        <f>I86*(1+0.01*growthrate!$E$3)^5</f>
        <v>5098.6275298707742</v>
      </c>
      <c r="N86" s="4">
        <f>J86*(1+0.01*growthrate!$E$3)^5</f>
        <v>94909.497571708562</v>
      </c>
      <c r="O86" s="4">
        <f>K86*(1+0.01*growthrate!$E$3)^5</f>
        <v>593854.70615057112</v>
      </c>
      <c r="P86" s="12">
        <f>L86*(1+0.01*growthrate!$F$3)^10</f>
        <v>93474.150010694575</v>
      </c>
      <c r="Q86" s="4">
        <f>M86*(1+0.01*growthrate!$F$3)^10</f>
        <v>5466.9863826742203</v>
      </c>
      <c r="R86" s="4">
        <f>N86*(1+0.01*growthrate!$F$3)^10</f>
        <v>101766.39257744202</v>
      </c>
      <c r="S86" s="4">
        <f>O86*(1+0.01*growthrate!$F$3)^10</f>
        <v>636758.73022528051</v>
      </c>
    </row>
    <row r="87" spans="1:19" x14ac:dyDescent="0.2">
      <c r="A87" s="2" t="s">
        <v>179</v>
      </c>
      <c r="B87" s="8" t="s">
        <v>180</v>
      </c>
      <c r="C87" s="4" t="s">
        <v>779</v>
      </c>
      <c r="D87" s="5">
        <v>278431</v>
      </c>
      <c r="E87" s="5">
        <v>109528</v>
      </c>
      <c r="F87" s="5">
        <v>387959</v>
      </c>
      <c r="G87" s="5">
        <v>126284</v>
      </c>
      <c r="H87" s="12">
        <f>D87*(1+0.01*growthrate!E87)^2</f>
        <v>278431</v>
      </c>
      <c r="I87" s="4">
        <f>E87*(1+0.01*growthrate!$E$3)^2</f>
        <v>112838.48379999997</v>
      </c>
      <c r="J87" s="4">
        <f>F87*(1+0.01*growthrate!$E$3)^2</f>
        <v>399685.0607749999</v>
      </c>
      <c r="K87" s="4">
        <f>G87*(1+0.01*growthrate!$E$3)^2</f>
        <v>130100.93389999996</v>
      </c>
      <c r="L87" s="12">
        <f>H87*(1+0.01*growthrate!$E$3)^5</f>
        <v>299949.26248553023</v>
      </c>
      <c r="M87" s="4">
        <f>I87*(1+0.01*growthrate!$E$3)^5</f>
        <v>121559.09362030607</v>
      </c>
      <c r="N87" s="4">
        <f>J87*(1+0.01*growthrate!$E$3)^5</f>
        <v>430574.32256446138</v>
      </c>
      <c r="O87" s="4">
        <f>K87*(1+0.01*growthrate!$E$3)^5</f>
        <v>140155.65498088827</v>
      </c>
      <c r="P87" s="12">
        <f>L87*(1+0.01*growthrate!$F$3)^10</f>
        <v>321619.59741019376</v>
      </c>
      <c r="Q87" s="4">
        <f>M87*(1+0.01*growthrate!$F$3)^10</f>
        <v>130341.33315662645</v>
      </c>
      <c r="R87" s="4">
        <f>N87*(1+0.01*growthrate!$F$3)^10</f>
        <v>461681.88289854326</v>
      </c>
      <c r="S87" s="4">
        <f>O87*(1+0.01*growthrate!$F$3)^10</f>
        <v>150281.43412051178</v>
      </c>
    </row>
    <row r="88" spans="1:19" x14ac:dyDescent="0.2">
      <c r="A88" s="2" t="s">
        <v>181</v>
      </c>
      <c r="B88" s="8" t="s">
        <v>182</v>
      </c>
      <c r="C88" s="4" t="s">
        <v>779</v>
      </c>
      <c r="D88" s="5">
        <v>2102165</v>
      </c>
      <c r="E88" s="5">
        <v>-2571</v>
      </c>
      <c r="F88" s="5">
        <v>2099594</v>
      </c>
      <c r="G88" s="5">
        <v>37676</v>
      </c>
      <c r="H88" s="12">
        <f>D88*(1+0.01*growthrate!E88)^2</f>
        <v>2102165</v>
      </c>
      <c r="I88" s="4">
        <f>E88*(1+0.01*growthrate!$E$3)^2</f>
        <v>-2648.7084749999995</v>
      </c>
      <c r="J88" s="4">
        <f>F88*(1+0.01*growthrate!$E$3)^2</f>
        <v>2163054.2286499995</v>
      </c>
      <c r="K88" s="4">
        <f>G88*(1+0.01*growthrate!$E$3)^2</f>
        <v>38814.757099999988</v>
      </c>
      <c r="L88" s="12">
        <f>H88*(1+0.01*growthrate!$E$3)^5</f>
        <v>2264628.7280255957</v>
      </c>
      <c r="M88" s="4">
        <f>I88*(1+0.01*growthrate!$E$3)^5</f>
        <v>-2853.4112710704744</v>
      </c>
      <c r="N88" s="4">
        <f>J88*(1+0.01*growthrate!$E$3)^5</f>
        <v>2330223.7200590982</v>
      </c>
      <c r="O88" s="4">
        <f>K88*(1+0.01*growthrate!$E$3)^5</f>
        <v>41814.516938487432</v>
      </c>
      <c r="P88" s="12">
        <f>L88*(1+0.01*growthrate!$F$3)^10</f>
        <v>2428240.6089472794</v>
      </c>
      <c r="Q88" s="4">
        <f>M88*(1+0.01*growthrate!$F$3)^10</f>
        <v>-3059.5607291805441</v>
      </c>
      <c r="R88" s="4">
        <f>N88*(1+0.01*growthrate!$F$3)^10</f>
        <v>2498574.6206235299</v>
      </c>
      <c r="S88" s="4">
        <f>O88*(1+0.01*growthrate!$F$3)^10</f>
        <v>44835.476480982565</v>
      </c>
    </row>
    <row r="89" spans="1:19" x14ac:dyDescent="0.2">
      <c r="A89" s="2" t="s">
        <v>183</v>
      </c>
      <c r="B89" s="8" t="s">
        <v>184</v>
      </c>
      <c r="C89" s="4" t="s">
        <v>779</v>
      </c>
      <c r="D89" s="5">
        <v>269781</v>
      </c>
      <c r="E89" s="5">
        <v>-215</v>
      </c>
      <c r="F89" s="5">
        <v>269566</v>
      </c>
      <c r="G89" s="5">
        <v>1609258</v>
      </c>
      <c r="H89" s="12">
        <f>D89*(1+0.01*growthrate!E89)^2</f>
        <v>269781</v>
      </c>
      <c r="I89" s="4">
        <f>E89*(1+0.01*growthrate!$E$3)^2</f>
        <v>-221.49837499999995</v>
      </c>
      <c r="J89" s="4">
        <f>F89*(1+0.01*growthrate!$E$3)^2</f>
        <v>277713.63234999991</v>
      </c>
      <c r="K89" s="4">
        <f>G89*(1+0.01*growthrate!$E$3)^2</f>
        <v>1657897.8230499995</v>
      </c>
      <c r="L89" s="12">
        <f>H89*(1+0.01*growthrate!$E$3)^5</f>
        <v>290630.75585193036</v>
      </c>
      <c r="M89" s="4">
        <f>I89*(1+0.01*growthrate!$E$3)^5</f>
        <v>-238.61665627388254</v>
      </c>
      <c r="N89" s="4">
        <f>J89*(1+0.01*growthrate!$E$3)^5</f>
        <v>299176.45379128098</v>
      </c>
      <c r="O89" s="4">
        <f>K89*(1+0.01*growthrate!$E$3)^5</f>
        <v>1786026.8048464914</v>
      </c>
      <c r="P89" s="12">
        <f>L89*(1+0.01*growthrate!$F$3)^10</f>
        <v>311627.85971719917</v>
      </c>
      <c r="Q89" s="4">
        <f>M89*(1+0.01*growthrate!$F$3)^10</f>
        <v>-255.85591473116179</v>
      </c>
      <c r="R89" s="4">
        <f>N89*(1+0.01*growthrate!$F$3)^10</f>
        <v>320790.9558624202</v>
      </c>
      <c r="S89" s="4">
        <f>O89*(1+0.01*growthrate!$F$3)^10</f>
        <v>1915061.2912950695</v>
      </c>
    </row>
    <row r="90" spans="1:19" x14ac:dyDescent="0.2">
      <c r="A90" s="2" t="s">
        <v>185</v>
      </c>
      <c r="B90" s="8" t="s">
        <v>186</v>
      </c>
      <c r="C90" s="4" t="s">
        <v>779</v>
      </c>
      <c r="D90" s="5">
        <v>1480567</v>
      </c>
      <c r="E90" s="5">
        <v>39476</v>
      </c>
      <c r="F90" s="5">
        <v>1520043</v>
      </c>
      <c r="G90" s="5">
        <v>908724</v>
      </c>
      <c r="H90" s="12">
        <f>D90*(1+0.01*growthrate!E90)^2</f>
        <v>1480567</v>
      </c>
      <c r="I90" s="4">
        <f>E90*(1+0.01*growthrate!$E$3)^2</f>
        <v>40669.162099999987</v>
      </c>
      <c r="J90" s="4">
        <f>F90*(1+0.01*growthrate!$E$3)^2</f>
        <v>1565986.2996749997</v>
      </c>
      <c r="K90" s="4">
        <f>G90*(1+0.01*growthrate!$E$3)^2</f>
        <v>936190.18289999978</v>
      </c>
      <c r="L90" s="12">
        <f>H90*(1+0.01*growthrate!$E$3)^5</f>
        <v>1594991.1457790765</v>
      </c>
      <c r="M90" s="4">
        <f>I90*(1+0.01*growthrate!$E$3)^5</f>
        <v>43812.237781710632</v>
      </c>
      <c r="N90" s="4">
        <f>J90*(1+0.01*growthrate!$E$3)^5</f>
        <v>1687011.9909419592</v>
      </c>
      <c r="O90" s="4">
        <f>K90*(1+0.01*growthrate!$E$3)^5</f>
        <v>1008542.7086317565</v>
      </c>
      <c r="P90" s="12">
        <f>L90*(1+0.01*growthrate!$F$3)^10</f>
        <v>1710223.942301031</v>
      </c>
      <c r="Q90" s="4">
        <f>M90*(1+0.01*growthrate!$F$3)^10</f>
        <v>46977.525999662052</v>
      </c>
      <c r="R90" s="4">
        <f>N90*(1+0.01*growthrate!$F$3)^10</f>
        <v>1808892.9869567412</v>
      </c>
      <c r="S90" s="4">
        <f>O90*(1+0.01*growthrate!$F$3)^10</f>
        <v>1081406.5593402805</v>
      </c>
    </row>
    <row r="91" spans="1:19" x14ac:dyDescent="0.2">
      <c r="A91" s="2" t="s">
        <v>187</v>
      </c>
      <c r="B91" s="8" t="s">
        <v>188</v>
      </c>
      <c r="C91" s="4" t="s">
        <v>779</v>
      </c>
      <c r="D91" s="5">
        <v>42556</v>
      </c>
      <c r="E91" s="5">
        <v>737</v>
      </c>
      <c r="F91" s="5">
        <v>43293</v>
      </c>
      <c r="G91" s="5">
        <v>328137</v>
      </c>
      <c r="H91" s="12">
        <f>D91*(1+0.01*growthrate!E91)^2</f>
        <v>42556</v>
      </c>
      <c r="I91" s="4">
        <f>E91*(1+0.01*growthrate!$E$3)^2</f>
        <v>759.27582499999983</v>
      </c>
      <c r="J91" s="4">
        <f>F91*(1+0.01*growthrate!$E$3)^2</f>
        <v>44601.530924999985</v>
      </c>
      <c r="K91" s="4">
        <f>G91*(1+0.01*growthrate!$E$3)^2</f>
        <v>338054.94082499988</v>
      </c>
      <c r="L91" s="12">
        <f>H91*(1+0.01*growthrate!$E$3)^5</f>
        <v>45844.898069303432</v>
      </c>
      <c r="M91" s="4">
        <f>I91*(1+0.01*growthrate!$E$3)^5</f>
        <v>817.95570080861125</v>
      </c>
      <c r="N91" s="4">
        <f>J91*(1+0.01*growthrate!$E$3)^5</f>
        <v>48048.515814256723</v>
      </c>
      <c r="O91" s="4">
        <f>K91*(1+0.01*growthrate!$E$3)^5</f>
        <v>364181.18018485111</v>
      </c>
      <c r="P91" s="12">
        <f>L91*(1+0.01*growthrate!$F$3)^10</f>
        <v>49157.039221165047</v>
      </c>
      <c r="Q91" s="4">
        <f>M91*(1+0.01*growthrate!$F$3)^10</f>
        <v>877.05027514821506</v>
      </c>
      <c r="R91" s="4">
        <f>N91*(1+0.01*growthrate!$F$3)^10</f>
        <v>51519.861006772961</v>
      </c>
      <c r="S91" s="4">
        <f>O91*(1+0.01*growthrate!$F$3)^10</f>
        <v>390492.05717274063</v>
      </c>
    </row>
    <row r="92" spans="1:19" x14ac:dyDescent="0.2">
      <c r="A92" s="2" t="s">
        <v>189</v>
      </c>
      <c r="B92" s="8" t="s">
        <v>190</v>
      </c>
      <c r="C92" s="4" t="s">
        <v>779</v>
      </c>
      <c r="D92" s="5">
        <v>344709</v>
      </c>
      <c r="E92" s="5">
        <v>3608</v>
      </c>
      <c r="F92" s="5">
        <v>348317</v>
      </c>
      <c r="G92" s="5">
        <v>587262</v>
      </c>
      <c r="H92" s="12">
        <f>D92*(1+0.01*growthrate!E92)^2</f>
        <v>344709</v>
      </c>
      <c r="I92" s="4">
        <f>E92*(1+0.01*growthrate!$E$3)^2</f>
        <v>3717.0517999999988</v>
      </c>
      <c r="J92" s="4">
        <f>F92*(1+0.01*growthrate!$E$3)^2</f>
        <v>358844.88132499991</v>
      </c>
      <c r="K92" s="4">
        <f>G92*(1+0.01*growthrate!$E$3)^2</f>
        <v>605011.9939499998</v>
      </c>
      <c r="L92" s="12">
        <f>H92*(1+0.01*growthrate!$E$3)^5</f>
        <v>371349.49169497879</v>
      </c>
      <c r="M92" s="4">
        <f>I92*(1+0.01*growthrate!$E$3)^5</f>
        <v>4004.320445749619</v>
      </c>
      <c r="N92" s="4">
        <f>J92*(1+0.01*growthrate!$E$3)^5</f>
        <v>386577.85052720906</v>
      </c>
      <c r="O92" s="4">
        <f>K92*(1+0.01*growthrate!$E$3)^5</f>
        <v>651769.74324052467</v>
      </c>
      <c r="P92" s="12">
        <f>L92*(1+0.01*growthrate!$F$3)^10</f>
        <v>398178.2553080314</v>
      </c>
      <c r="Q92" s="4">
        <f>M92*(1+0.01*growthrate!$F$3)^10</f>
        <v>4293.6192574420074</v>
      </c>
      <c r="R92" s="4">
        <f>N92*(1+0.01*growthrate!$F$3)^10</f>
        <v>414506.81233215856</v>
      </c>
      <c r="S92" s="4">
        <f>O92*(1+0.01*growthrate!$F$3)^10</f>
        <v>698857.93579930952</v>
      </c>
    </row>
    <row r="93" spans="1:19" x14ac:dyDescent="0.2">
      <c r="A93" s="2" t="s">
        <v>191</v>
      </c>
      <c r="B93" s="8" t="s">
        <v>192</v>
      </c>
      <c r="C93" s="4" t="s">
        <v>779</v>
      </c>
      <c r="D93" s="5">
        <v>147508</v>
      </c>
      <c r="E93" s="5">
        <v>67923</v>
      </c>
      <c r="F93" s="5">
        <v>215431</v>
      </c>
      <c r="G93" s="5">
        <v>54419</v>
      </c>
      <c r="H93" s="12">
        <f>D93*(1+0.01*growthrate!E93)^2</f>
        <v>147508</v>
      </c>
      <c r="I93" s="4">
        <f>E93*(1+0.01*growthrate!$E$3)^2</f>
        <v>69975.972674999983</v>
      </c>
      <c r="J93" s="4">
        <f>F93*(1+0.01*growthrate!$E$3)^2</f>
        <v>221942.40197499993</v>
      </c>
      <c r="K93" s="4">
        <f>G93*(1+0.01*growthrate!$E$3)^2</f>
        <v>56063.814274999982</v>
      </c>
      <c r="L93" s="12">
        <f>H93*(1+0.01*growthrate!$E$3)^5</f>
        <v>158908.00884497628</v>
      </c>
      <c r="M93" s="4">
        <f>I93*(1+0.01*growthrate!$E$3)^5</f>
        <v>75383.996019027545</v>
      </c>
      <c r="N93" s="4">
        <f>J93*(1+0.01*growthrate!$E$3)^5</f>
        <v>239094.99943134317</v>
      </c>
      <c r="O93" s="4">
        <f>K93*(1+0.01*growthrate!$E$3)^5</f>
        <v>60396.650315201921</v>
      </c>
      <c r="P93" s="12">
        <f>L93*(1+0.01*growthrate!$F$3)^10</f>
        <v>170388.58307725383</v>
      </c>
      <c r="Q93" s="4">
        <f>M93*(1+0.01*growthrate!$F$3)^10</f>
        <v>80830.23858737071</v>
      </c>
      <c r="R93" s="4">
        <f>N93*(1+0.01*growthrate!$F$3)^10</f>
        <v>256368.81658813445</v>
      </c>
      <c r="S93" s="4">
        <f>O93*(1+0.01*growthrate!$F$3)^10</f>
        <v>64760.107087232987</v>
      </c>
    </row>
    <row r="94" spans="1:19" x14ac:dyDescent="0.2">
      <c r="A94" s="2" t="s">
        <v>193</v>
      </c>
      <c r="B94" s="8" t="s">
        <v>194</v>
      </c>
      <c r="C94" s="4" t="s">
        <v>779</v>
      </c>
      <c r="D94" s="5">
        <v>132796</v>
      </c>
      <c r="E94" s="5">
        <v>438183</v>
      </c>
      <c r="F94" s="5">
        <v>570979</v>
      </c>
      <c r="G94" s="5">
        <v>439220</v>
      </c>
      <c r="H94" s="12">
        <f>D94*(1+0.01*growthrate!E94)^2</f>
        <v>132796</v>
      </c>
      <c r="I94" s="4">
        <f>E94*(1+0.01*growthrate!$E$3)^2</f>
        <v>451427.08117499988</v>
      </c>
      <c r="J94" s="4">
        <f>F94*(1+0.01*growthrate!$E$3)^2</f>
        <v>588236.84027499985</v>
      </c>
      <c r="K94" s="4">
        <f>G94*(1+0.01*growthrate!$E$3)^2</f>
        <v>452495.42449999991</v>
      </c>
      <c r="L94" s="12">
        <f>H94*(1+0.01*growthrate!$E$3)^5</f>
        <v>143059.00657982938</v>
      </c>
      <c r="M94" s="4">
        <f>I94*(1+0.01*growthrate!$E$3)^5</f>
        <v>486315.17347004032</v>
      </c>
      <c r="N94" s="4">
        <f>J94*(1+0.01*growthrate!$E$3)^5</f>
        <v>633698.138523745</v>
      </c>
      <c r="O94" s="4">
        <f>K94*(1+0.01*growthrate!$E$3)^5</f>
        <v>487466.08264471951</v>
      </c>
      <c r="P94" s="12">
        <f>L94*(1+0.01*growthrate!$F$3)^10</f>
        <v>153394.54319987391</v>
      </c>
      <c r="Q94" s="4">
        <f>M94*(1+0.01*growthrate!$F$3)^10</f>
        <v>521449.82457974262</v>
      </c>
      <c r="R94" s="4">
        <f>N94*(1+0.01*growthrate!$F$3)^10</f>
        <v>679480.71784783271</v>
      </c>
      <c r="S94" s="4">
        <f>O94*(1+0.01*growthrate!$F$3)^10</f>
        <v>522683.88310800417</v>
      </c>
    </row>
    <row r="95" spans="1:19" x14ac:dyDescent="0.2">
      <c r="A95" s="2" t="s">
        <v>195</v>
      </c>
      <c r="B95" s="8" t="s">
        <v>196</v>
      </c>
      <c r="C95" s="4" t="s">
        <v>779</v>
      </c>
      <c r="D95" s="5">
        <v>146034</v>
      </c>
      <c r="E95" s="5">
        <v>9256</v>
      </c>
      <c r="F95" s="5">
        <v>155290</v>
      </c>
      <c r="G95" s="5">
        <v>172746</v>
      </c>
      <c r="H95" s="12">
        <f>D95*(1+0.01*growthrate!E95)^2</f>
        <v>146034</v>
      </c>
      <c r="I95" s="4">
        <f>E95*(1+0.01*growthrate!$E$3)^2</f>
        <v>9535.7625999999982</v>
      </c>
      <c r="J95" s="4">
        <f>F95*(1+0.01*growthrate!$E$3)^2</f>
        <v>159983.64024999997</v>
      </c>
      <c r="K95" s="4">
        <f>G95*(1+0.01*growthrate!$E$3)^2</f>
        <v>177967.24784999996</v>
      </c>
      <c r="L95" s="12">
        <f>H95*(1+0.01*growthrate!$E$3)^5</f>
        <v>157320.09222325071</v>
      </c>
      <c r="M95" s="4">
        <f>I95*(1+0.01*growthrate!$E$3)^5</f>
        <v>10272.724513818868</v>
      </c>
      <c r="N95" s="4">
        <f>J95*(1+0.01*growthrate!$E$3)^5</f>
        <v>172347.81652451731</v>
      </c>
      <c r="O95" s="4">
        <f>K95*(1+0.01*growthrate!$E$3)^5</f>
        <v>191721.26932413076</v>
      </c>
      <c r="P95" s="12">
        <f>L95*(1+0.01*growthrate!$F$3)^10</f>
        <v>168685.94476980017</v>
      </c>
      <c r="Q95" s="4">
        <f>M95*(1+0.01*growthrate!$F$3)^10</f>
        <v>11014.894636054109</v>
      </c>
      <c r="R95" s="4">
        <f>N95*(1+0.01*growthrate!$F$3)^10</f>
        <v>184799.37208652147</v>
      </c>
      <c r="S95" s="4">
        <f>O95*(1+0.01*growthrate!$F$3)^10</f>
        <v>205572.49230767105</v>
      </c>
    </row>
    <row r="96" spans="1:19" x14ac:dyDescent="0.2">
      <c r="A96" s="2" t="s">
        <v>197</v>
      </c>
      <c r="B96" s="8" t="s">
        <v>198</v>
      </c>
      <c r="C96" s="4" t="s">
        <v>779</v>
      </c>
      <c r="D96" s="5">
        <v>280312</v>
      </c>
      <c r="E96" s="5">
        <v>16323</v>
      </c>
      <c r="F96" s="5">
        <v>296635</v>
      </c>
      <c r="G96" s="5">
        <v>446879</v>
      </c>
      <c r="H96" s="12">
        <f>D96*(1+0.01*growthrate!E96)^2</f>
        <v>280312</v>
      </c>
      <c r="I96" s="4">
        <f>E96*(1+0.01*growthrate!$E$3)^2</f>
        <v>16816.362674999997</v>
      </c>
      <c r="J96" s="4">
        <f>F96*(1+0.01*growthrate!$E$3)^2</f>
        <v>305600.79287499993</v>
      </c>
      <c r="K96" s="4">
        <f>G96*(1+0.01*growthrate!$E$3)^2</f>
        <v>460385.91777499986</v>
      </c>
      <c r="L96" s="12">
        <f>H96*(1+0.01*growthrate!$E$3)^5</f>
        <v>301975.63369683671</v>
      </c>
      <c r="M96" s="4">
        <f>I96*(1+0.01*growthrate!$E$3)^5</f>
        <v>18115.998513295744</v>
      </c>
      <c r="N96" s="4">
        <f>J96*(1+0.01*growthrate!$E$3)^5</f>
        <v>329218.84573861927</v>
      </c>
      <c r="O96" s="4">
        <f>K96*(1+0.01*growthrate!$E$3)^5</f>
        <v>495966.38483263418</v>
      </c>
      <c r="P96" s="12">
        <f>L96*(1+0.01*growthrate!$F$3)^10</f>
        <v>323792.36719060101</v>
      </c>
      <c r="Q96" s="4">
        <f>M96*(1+0.01*growthrate!$F$3)^10</f>
        <v>19424.819051891882</v>
      </c>
      <c r="R96" s="4">
        <f>N96*(1+0.01*growthrate!$F$3)^10</f>
        <v>353003.81054082874</v>
      </c>
      <c r="S96" s="4">
        <f>O96*(1+0.01*growthrate!$F$3)^10</f>
        <v>531798.30380998529</v>
      </c>
    </row>
    <row r="97" spans="1:19" x14ac:dyDescent="0.2">
      <c r="A97" s="2" t="s">
        <v>199</v>
      </c>
      <c r="B97" s="8" t="s">
        <v>200</v>
      </c>
      <c r="C97" s="4" t="s">
        <v>779</v>
      </c>
      <c r="D97" s="5">
        <v>200871</v>
      </c>
      <c r="E97" s="13">
        <v>-6360</v>
      </c>
      <c r="F97" s="5">
        <v>194511</v>
      </c>
      <c r="G97" s="5">
        <v>84731</v>
      </c>
      <c r="H97" s="12">
        <f>D97*(1+0.01*growthrate!E97)^2</f>
        <v>200871</v>
      </c>
      <c r="I97" s="4">
        <f>E97*(1+0.01*growthrate!$E$3)^2</f>
        <v>-6552.2309999999979</v>
      </c>
      <c r="J97" s="4">
        <f>F97*(1+0.01*growthrate!$E$3)^2</f>
        <v>200390.09497499996</v>
      </c>
      <c r="K97" s="4">
        <f>G97*(1+0.01*growthrate!$E$3)^2</f>
        <v>87291.99447499997</v>
      </c>
      <c r="L97" s="12">
        <f>H97*(1+0.01*growthrate!$E$3)^5</f>
        <v>216395.11514425816</v>
      </c>
      <c r="M97" s="4">
        <f>I97*(1+0.01*growthrate!$E$3)^5</f>
        <v>-7058.6136460553153</v>
      </c>
      <c r="N97" s="4">
        <f>J97*(1+0.01*growthrate!$E$3)^5</f>
        <v>215877.04385343799</v>
      </c>
      <c r="O97" s="4">
        <f>K97*(1+0.01*growthrate!$E$3)^5</f>
        <v>94038.269315080644</v>
      </c>
      <c r="P97" s="12">
        <f>L97*(1+0.01*growthrate!$F$3)^10</f>
        <v>232028.94128664923</v>
      </c>
      <c r="Q97" s="4">
        <f>M97*(1+0.01*growthrate!$F$3)^10</f>
        <v>-7568.5749660008787</v>
      </c>
      <c r="R97" s="4">
        <f>N97*(1+0.01*growthrate!$F$3)^10</f>
        <v>231473.44107103729</v>
      </c>
      <c r="S97" s="4">
        <f>O97*(1+0.01*growthrate!$F$3)^10</f>
        <v>100832.22098179566</v>
      </c>
    </row>
    <row r="98" spans="1:19" x14ac:dyDescent="0.2">
      <c r="A98" s="2" t="s">
        <v>201</v>
      </c>
      <c r="B98" s="8" t="s">
        <v>202</v>
      </c>
      <c r="C98" s="4" t="s">
        <v>779</v>
      </c>
      <c r="D98" s="5">
        <v>23136179</v>
      </c>
      <c r="E98" s="5">
        <v>57945</v>
      </c>
      <c r="F98" s="5">
        <v>23194124</v>
      </c>
      <c r="G98" s="5">
        <v>12527231</v>
      </c>
      <c r="H98" s="12">
        <f>D98*(1+0.01*growthrate!E98)^2</f>
        <v>23136179</v>
      </c>
      <c r="I98" s="4">
        <f>E98*(1+0.01*growthrate!$E$3)^2</f>
        <v>59696.387624999981</v>
      </c>
      <c r="J98" s="4">
        <f>F98*(1+0.01*growthrate!$E$3)^2</f>
        <v>23895166.397899993</v>
      </c>
      <c r="K98" s="4">
        <f>G98*(1+0.01*growthrate!$E$3)^2</f>
        <v>12905866.556974996</v>
      </c>
      <c r="L98" s="12">
        <f>H98*(1+0.01*growthrate!$E$3)^5</f>
        <v>24924235.54770558</v>
      </c>
      <c r="M98" s="4">
        <f>I98*(1+0.01*growthrate!$E$3)^5</f>
        <v>64309.963478093596</v>
      </c>
      <c r="N98" s="4">
        <f>J98*(1+0.01*growthrate!$E$3)^5</f>
        <v>25741880.530613065</v>
      </c>
      <c r="O98" s="4">
        <f>K98*(1+0.01*growthrate!$E$3)^5</f>
        <v>13903283.598095467</v>
      </c>
      <c r="P98" s="12">
        <f>L98*(1+0.01*growthrate!$F$3)^10</f>
        <v>26724928.530193046</v>
      </c>
      <c r="Q98" s="4">
        <f>M98*(1+0.01*growthrate!$F$3)^10</f>
        <v>68956.144088824047</v>
      </c>
      <c r="R98" s="4">
        <f>N98*(1+0.01*growthrate!$F$3)^10</f>
        <v>27601645.639106944</v>
      </c>
      <c r="S98" s="4">
        <f>O98*(1+0.01*growthrate!$F$3)^10</f>
        <v>14907749.518853797</v>
      </c>
    </row>
    <row r="99" spans="1:19" x14ac:dyDescent="0.2">
      <c r="A99" s="2" t="s">
        <v>203</v>
      </c>
      <c r="B99" s="8" t="s">
        <v>204</v>
      </c>
      <c r="C99" s="4" t="s">
        <v>779</v>
      </c>
      <c r="D99" s="5">
        <v>189538</v>
      </c>
      <c r="E99" s="5">
        <v>372167</v>
      </c>
      <c r="F99" s="5">
        <v>561705</v>
      </c>
      <c r="G99" s="5">
        <v>19388778</v>
      </c>
      <c r="H99" s="12">
        <f>D99*(1+0.01*growthrate!E99)^2</f>
        <v>189538</v>
      </c>
      <c r="I99" s="4">
        <f>E99*(1+0.01*growthrate!$E$3)^2</f>
        <v>383415.74757499987</v>
      </c>
      <c r="J99" s="4">
        <f>F99*(1+0.01*growthrate!$E$3)^2</f>
        <v>578682.53362499981</v>
      </c>
      <c r="K99" s="4">
        <f>G99*(1+0.01*growthrate!$E$3)^2</f>
        <v>19974803.815049995</v>
      </c>
      <c r="L99" s="12">
        <f>H99*(1+0.01*growthrate!$E$3)^5</f>
        <v>204186.25552823654</v>
      </c>
      <c r="M99" s="4">
        <f>I99*(1+0.01*growthrate!$E$3)^5</f>
        <v>413047.65169991646</v>
      </c>
      <c r="N99" s="4">
        <f>J99*(1+0.01*growthrate!$E$3)^5</f>
        <v>623405.43680149387</v>
      </c>
      <c r="O99" s="4">
        <f>K99*(1+0.01*growthrate!$E$3)^5</f>
        <v>21518536.630681932</v>
      </c>
      <c r="P99" s="12">
        <f>L99*(1+0.01*growthrate!$F$3)^10</f>
        <v>218938.03223755007</v>
      </c>
      <c r="Q99" s="4">
        <f>M99*(1+0.01*growthrate!$F$3)^10</f>
        <v>442888.96845466178</v>
      </c>
      <c r="R99" s="4">
        <f>N99*(1+0.01*growthrate!$F$3)^10</f>
        <v>668444.40271659172</v>
      </c>
      <c r="S99" s="4">
        <f>O99*(1+0.01*growthrate!$F$3)^10</f>
        <v>23073179.212601978</v>
      </c>
    </row>
    <row r="100" spans="1:19" x14ac:dyDescent="0.2">
      <c r="A100" s="2" t="s">
        <v>205</v>
      </c>
      <c r="B100" s="8" t="s">
        <v>206</v>
      </c>
      <c r="C100" s="4" t="s">
        <v>779</v>
      </c>
      <c r="D100" s="5">
        <v>3796295</v>
      </c>
      <c r="E100" s="5">
        <v>21342</v>
      </c>
      <c r="F100" s="5">
        <v>3817637</v>
      </c>
      <c r="G100" s="5">
        <v>15046080</v>
      </c>
      <c r="H100" s="12">
        <f>D100*(1+0.01*growthrate!E100)^2</f>
        <v>3796295</v>
      </c>
      <c r="I100" s="4">
        <f>E100*(1+0.01*growthrate!$E$3)^2</f>
        <v>21987.061949999996</v>
      </c>
      <c r="J100" s="4">
        <f>F100*(1+0.01*growthrate!$E$3)^2</f>
        <v>3933025.0783249987</v>
      </c>
      <c r="K100" s="4">
        <f>G100*(1+0.01*growthrate!$E$3)^2</f>
        <v>15500847.767999995</v>
      </c>
      <c r="L100" s="12">
        <f>H100*(1+0.01*growthrate!$E$3)^5</f>
        <v>4089687.8775262306</v>
      </c>
      <c r="M100" s="4">
        <f>I100*(1+0.01*growthrate!$E$3)^5</f>
        <v>23686.310131149774</v>
      </c>
      <c r="N100" s="4">
        <f>J100*(1+0.01*growthrate!$E$3)^5</f>
        <v>4236985.0037556095</v>
      </c>
      <c r="O100" s="4">
        <f>K100*(1+0.01*growthrate!$E$3)^5</f>
        <v>16698815.347113201</v>
      </c>
      <c r="P100" s="12">
        <f>L100*(1+0.01*growthrate!$F$3)^10</f>
        <v>4385154.201760334</v>
      </c>
      <c r="Q100" s="4">
        <f>M100*(1+0.01*growthrate!$F$3)^10</f>
        <v>25397.567126476537</v>
      </c>
      <c r="R100" s="4">
        <f>N100*(1+0.01*growthrate!$F$3)^10</f>
        <v>4543093.0546350153</v>
      </c>
      <c r="S100" s="4">
        <f>O100*(1+0.01*growthrate!$F$3)^10</f>
        <v>17905249.123340644</v>
      </c>
    </row>
    <row r="101" spans="1:19" x14ac:dyDescent="0.2">
      <c r="A101" s="2" t="s">
        <v>207</v>
      </c>
      <c r="B101" s="8" t="s">
        <v>208</v>
      </c>
      <c r="C101" s="4" t="s">
        <v>779</v>
      </c>
      <c r="D101" s="5">
        <v>9768</v>
      </c>
      <c r="E101" s="5">
        <v>3312</v>
      </c>
      <c r="F101" s="5">
        <v>13080</v>
      </c>
      <c r="G101" s="5">
        <v>4523322</v>
      </c>
      <c r="H101" s="12">
        <f>D101*(1+0.01*growthrate!E101)^2</f>
        <v>9768</v>
      </c>
      <c r="I101" s="4">
        <f>E101*(1+0.01*growthrate!$E$3)^2</f>
        <v>3412.1051999999991</v>
      </c>
      <c r="J101" s="4">
        <f>F101*(1+0.01*growthrate!$E$3)^2</f>
        <v>13475.342999999997</v>
      </c>
      <c r="K101" s="4">
        <f>G101*(1+0.01*growthrate!$E$3)^2</f>
        <v>4660039.4074499989</v>
      </c>
      <c r="L101" s="12">
        <f>H101*(1+0.01*growthrate!$E$3)^5</f>
        <v>10522.910149942569</v>
      </c>
      <c r="M101" s="4">
        <f>I101*(1+0.01*growthrate!$E$3)^5</f>
        <v>3675.8063515306926</v>
      </c>
      <c r="N101" s="4">
        <f>J101*(1+0.01*growthrate!$E$3)^5</f>
        <v>14516.771460755273</v>
      </c>
      <c r="O101" s="4">
        <f>K101*(1+0.01*growthrate!$E$3)^5</f>
        <v>5020185.9111167016</v>
      </c>
      <c r="P101" s="12">
        <f>L101*(1+0.01*growthrate!$F$3)^10</f>
        <v>11283.155350886836</v>
      </c>
      <c r="Q101" s="4">
        <f>M101*(1+0.01*growthrate!$F$3)^10</f>
        <v>3941.371114370269</v>
      </c>
      <c r="R101" s="4">
        <f>N101*(1+0.01*growthrate!$F$3)^10</f>
        <v>15565.559835737658</v>
      </c>
      <c r="S101" s="4">
        <f>O101*(1+0.01*growthrate!$F$3)^10</f>
        <v>5382877.618295759</v>
      </c>
    </row>
    <row r="102" spans="1:19" x14ac:dyDescent="0.2">
      <c r="A102" s="2" t="s">
        <v>209</v>
      </c>
      <c r="B102" s="8" t="s">
        <v>210</v>
      </c>
      <c r="C102" s="4" t="s">
        <v>779</v>
      </c>
      <c r="D102" s="5">
        <v>582997</v>
      </c>
      <c r="E102" s="5">
        <v>185669</v>
      </c>
      <c r="F102" s="5">
        <v>768666</v>
      </c>
      <c r="G102" s="5">
        <v>42282946</v>
      </c>
      <c r="H102" s="12">
        <f>D102*(1+0.01*growthrate!E102)^2</f>
        <v>582997</v>
      </c>
      <c r="I102" s="4">
        <f>E102*(1+0.01*growthrate!$E$3)^2</f>
        <v>191280.84552499995</v>
      </c>
      <c r="J102" s="4">
        <f>F102*(1+0.01*growthrate!$E$3)^2</f>
        <v>791898.92984999984</v>
      </c>
      <c r="K102" s="4">
        <f>G102*(1+0.01*growthrate!$E$3)^2</f>
        <v>43560948.042849988</v>
      </c>
      <c r="L102" s="12">
        <f>H102*(1+0.01*growthrate!$E$3)^5</f>
        <v>628053.34241257852</v>
      </c>
      <c r="M102" s="4">
        <f>I102*(1+0.01*growthrate!$E$3)^5</f>
        <v>206063.79513356046</v>
      </c>
      <c r="N102" s="4">
        <f>J102*(1+0.01*growthrate!$E$3)^5</f>
        <v>853100.0498205591</v>
      </c>
      <c r="O102" s="4">
        <f>K102*(1+0.01*growthrate!$E$3)^5</f>
        <v>46927512.520600632</v>
      </c>
      <c r="P102" s="12">
        <f>L102*(1+0.01*growthrate!$F$3)^10</f>
        <v>673428.10402344109</v>
      </c>
      <c r="Q102" s="4">
        <f>M102*(1+0.01*growthrate!$F$3)^10</f>
        <v>220951.21782427945</v>
      </c>
      <c r="R102" s="4">
        <f>N102*(1+0.01*growthrate!$F$3)^10</f>
        <v>914733.68629182898</v>
      </c>
      <c r="S102" s="4">
        <f>O102*(1+0.01*growthrate!$F$3)^10</f>
        <v>50317868.959806129</v>
      </c>
    </row>
    <row r="103" spans="1:19" x14ac:dyDescent="0.2">
      <c r="A103" s="2" t="s">
        <v>211</v>
      </c>
      <c r="B103" s="8" t="s">
        <v>212</v>
      </c>
      <c r="C103" s="4" t="s">
        <v>779</v>
      </c>
      <c r="D103" s="5">
        <v>6984868</v>
      </c>
      <c r="E103" s="5">
        <v>-42173</v>
      </c>
      <c r="F103" s="5">
        <v>6942695</v>
      </c>
      <c r="G103" s="5">
        <v>6084682</v>
      </c>
      <c r="H103" s="12">
        <f>D103*(1+0.01*growthrate!E103)^2</f>
        <v>6984868</v>
      </c>
      <c r="I103" s="4">
        <f>E103*(1+0.01*growthrate!$E$3)^2</f>
        <v>-43447.678924999986</v>
      </c>
      <c r="J103" s="4">
        <f>F103*(1+0.01*growthrate!$E$3)^2</f>
        <v>7152537.9563749982</v>
      </c>
      <c r="K103" s="4">
        <f>G103*(1+0.01*growthrate!$E$3)^2</f>
        <v>6268591.5134499986</v>
      </c>
      <c r="L103" s="12">
        <f>H103*(1+0.01*growthrate!$E$3)^5</f>
        <v>7524686.5656438414</v>
      </c>
      <c r="M103" s="4">
        <f>I103*(1+0.01*growthrate!$E$3)^5</f>
        <v>-46805.489511806729</v>
      </c>
      <c r="N103" s="4">
        <f>J103*(1+0.01*growthrate!$E$3)^5</f>
        <v>7705314.7275786176</v>
      </c>
      <c r="O103" s="4">
        <f>K103*(1+0.01*growthrate!$E$3)^5</f>
        <v>6753053.3643250242</v>
      </c>
      <c r="P103" s="12">
        <f>L103*(1+0.01*growthrate!$F$3)^10</f>
        <v>8068320.1012938404</v>
      </c>
      <c r="Q103" s="4">
        <f>M103*(1+0.01*growthrate!$F$3)^10</f>
        <v>-50187.030195150161</v>
      </c>
      <c r="R103" s="4">
        <f>N103*(1+0.01*growthrate!$F$3)^10</f>
        <v>8261998.0461602937</v>
      </c>
      <c r="S103" s="4">
        <f>O103*(1+0.01*growthrate!$F$3)^10</f>
        <v>7240938.9718987681</v>
      </c>
    </row>
    <row r="104" spans="1:19" x14ac:dyDescent="0.2">
      <c r="A104" s="2" t="s">
        <v>213</v>
      </c>
      <c r="B104" s="8" t="s">
        <v>214</v>
      </c>
      <c r="C104" s="4" t="s">
        <v>779</v>
      </c>
      <c r="D104" s="5">
        <v>5433359</v>
      </c>
      <c r="E104" s="5">
        <v>1851423</v>
      </c>
      <c r="F104" s="5">
        <v>7284782</v>
      </c>
      <c r="G104" s="5">
        <v>2826854</v>
      </c>
      <c r="H104" s="12">
        <f>D104*(1+0.01*growthrate!E104)^2</f>
        <v>5433359</v>
      </c>
      <c r="I104" s="4">
        <f>E104*(1+0.01*growthrate!$E$3)^2</f>
        <v>1907382.2601749995</v>
      </c>
      <c r="J104" s="4">
        <f>F104*(1+0.01*growthrate!$E$3)^2</f>
        <v>7504964.5359499976</v>
      </c>
      <c r="K104" s="4">
        <f>G104*(1+0.01*growthrate!$E$3)^2</f>
        <v>2912295.6621499993</v>
      </c>
      <c r="L104" s="12">
        <f>H104*(1+0.01*growthrate!$E$3)^5</f>
        <v>5853270.7380611999</v>
      </c>
      <c r="M104" s="4">
        <f>I104*(1+0.01*growthrate!$E$3)^5</f>
        <v>2054792.3981793507</v>
      </c>
      <c r="N104" s="4">
        <f>J104*(1+0.01*growthrate!$E$3)^5</f>
        <v>8084978.2442984488</v>
      </c>
      <c r="O104" s="4">
        <f>K104*(1+0.01*growthrate!$E$3)^5</f>
        <v>3137369.5314160464</v>
      </c>
      <c r="P104" s="12">
        <f>L104*(1+0.01*growthrate!$F$3)^10</f>
        <v>6276150.0485400436</v>
      </c>
      <c r="Q104" s="4">
        <f>M104*(1+0.01*growthrate!$F$3)^10</f>
        <v>2203244.303345636</v>
      </c>
      <c r="R104" s="4">
        <f>N104*(1+0.01*growthrate!$F$3)^10</f>
        <v>8669090.987102801</v>
      </c>
      <c r="S104" s="4">
        <f>O104*(1+0.01*growthrate!$F$3)^10</f>
        <v>3364034.0278206682</v>
      </c>
    </row>
    <row r="105" spans="1:19" x14ac:dyDescent="0.2">
      <c r="A105" s="2" t="s">
        <v>215</v>
      </c>
      <c r="B105" s="8" t="s">
        <v>216</v>
      </c>
      <c r="C105" s="4" t="s">
        <v>779</v>
      </c>
      <c r="D105" s="5">
        <v>1234634</v>
      </c>
      <c r="E105" s="5">
        <v>-11943</v>
      </c>
      <c r="F105" s="5">
        <v>1222691</v>
      </c>
      <c r="G105" s="5">
        <v>5500299</v>
      </c>
      <c r="H105" s="12">
        <f>D105*(1+0.01*growthrate!E105)^2</f>
        <v>1234634</v>
      </c>
      <c r="I105" s="4">
        <f>E105*(1+0.01*growthrate!$E$3)^2</f>
        <v>-12303.977174999996</v>
      </c>
      <c r="J105" s="4">
        <f>F105*(1+0.01*growthrate!$E$3)^2</f>
        <v>1259646.8354749996</v>
      </c>
      <c r="K105" s="4">
        <f>G105*(1+0.01*growthrate!$E$3)^2</f>
        <v>5666545.5372749986</v>
      </c>
      <c r="L105" s="12">
        <f>H105*(1+0.01*growthrate!$E$3)^5</f>
        <v>1330051.4588517805</v>
      </c>
      <c r="M105" s="4">
        <f>I105*(1+0.01*growthrate!$E$3)^5</f>
        <v>-13254.877794785949</v>
      </c>
      <c r="N105" s="4">
        <f>J105*(1+0.01*growthrate!$E$3)^5</f>
        <v>1356997.3864007893</v>
      </c>
      <c r="O105" s="4">
        <f>K105*(1+0.01*growthrate!$E$3)^5</f>
        <v>6104478.8645887431</v>
      </c>
      <c r="P105" s="12">
        <f>L105*(1+0.01*growthrate!$F$3)^10</f>
        <v>1426143.2456477087</v>
      </c>
      <c r="Q105" s="4">
        <f>M105*(1+0.01*growthrate!$F$3)^10</f>
        <v>-14212.498556438442</v>
      </c>
      <c r="R105" s="4">
        <f>N105*(1+0.01*growthrate!$F$3)^10</f>
        <v>1455035.9266909717</v>
      </c>
      <c r="S105" s="4">
        <f>O105*(1+0.01*growthrate!$F$3)^10</f>
        <v>6545507.1253018342</v>
      </c>
    </row>
    <row r="106" spans="1:19" x14ac:dyDescent="0.2">
      <c r="A106" s="2" t="s">
        <v>217</v>
      </c>
      <c r="B106" s="8" t="s">
        <v>218</v>
      </c>
      <c r="C106" s="4" t="s">
        <v>779</v>
      </c>
      <c r="D106" s="5">
        <v>890862</v>
      </c>
      <c r="E106" s="5">
        <v>41801</v>
      </c>
      <c r="F106" s="5">
        <v>932663</v>
      </c>
      <c r="G106" s="5">
        <v>1387065</v>
      </c>
      <c r="H106" s="12">
        <f>D106*(1+0.01*growthrate!E106)^2</f>
        <v>890862</v>
      </c>
      <c r="I106" s="4">
        <f>E106*(1+0.01*growthrate!$E$3)^2</f>
        <v>43064.435224999987</v>
      </c>
      <c r="J106" s="4">
        <f>F106*(1+0.01*growthrate!$E$3)^2</f>
        <v>960852.73917499976</v>
      </c>
      <c r="K106" s="4">
        <f>G106*(1+0.01*growthrate!$E$3)^2</f>
        <v>1428989.0396249995</v>
      </c>
      <c r="L106" s="12">
        <f>H106*(1+0.01*growthrate!$E$3)^5</f>
        <v>959711.38226844149</v>
      </c>
      <c r="M106" s="4">
        <f>I106*(1+0.01*growthrate!$E$3)^5</f>
        <v>46392.627204207267</v>
      </c>
      <c r="N106" s="4">
        <f>J106*(1+0.01*growthrate!$E$3)^5</f>
        <v>1035111.2860017121</v>
      </c>
      <c r="O106" s="4">
        <f>K106*(1+0.01*growthrate!$E$3)^5</f>
        <v>1539427.0341141063</v>
      </c>
      <c r="P106" s="12">
        <f>L106*(1+0.01*growthrate!$F$3)^10</f>
        <v>1029047.3323302364</v>
      </c>
      <c r="Q106" s="4">
        <f>M106*(1+0.01*growthrate!$F$3)^10</f>
        <v>49744.339961289734</v>
      </c>
      <c r="R106" s="4">
        <f>N106*(1+0.01*growthrate!$F$3)^10</f>
        <v>1109894.6279112073</v>
      </c>
      <c r="S106" s="4">
        <f>O106*(1+0.01*growthrate!$F$3)^10</f>
        <v>1650645.5086817625</v>
      </c>
    </row>
    <row r="107" spans="1:19" x14ac:dyDescent="0.2">
      <c r="A107" s="2" t="s">
        <v>219</v>
      </c>
      <c r="B107" s="8" t="s">
        <v>220</v>
      </c>
      <c r="C107" s="4" t="s">
        <v>779</v>
      </c>
      <c r="D107" s="5">
        <v>188703</v>
      </c>
      <c r="E107" s="5">
        <v>1718</v>
      </c>
      <c r="F107" s="5">
        <v>190421</v>
      </c>
      <c r="G107" s="5">
        <v>4690479</v>
      </c>
      <c r="H107" s="12">
        <f>D107*(1+0.01*growthrate!E107)^2</f>
        <v>188703</v>
      </c>
      <c r="I107" s="4">
        <f>E107*(1+0.01*growthrate!$E$3)^2</f>
        <v>1769.9265499999995</v>
      </c>
      <c r="J107" s="4">
        <f>F107*(1+0.01*growthrate!$E$3)^2</f>
        <v>196176.47472499995</v>
      </c>
      <c r="K107" s="4">
        <f>G107*(1+0.01*growthrate!$E$3)^2</f>
        <v>4832248.7277749991</v>
      </c>
      <c r="L107" s="12">
        <f>H107*(1+0.01*growthrate!$E$3)^5</f>
        <v>203286.72338499309</v>
      </c>
      <c r="M107" s="4">
        <f>I107*(1+0.01*growthrate!$E$3)^5</f>
        <v>1906.7135603652566</v>
      </c>
      <c r="N107" s="4">
        <f>J107*(1+0.01*growthrate!$E$3)^5</f>
        <v>211337.77815966969</v>
      </c>
      <c r="O107" s="4">
        <f>K107*(1+0.01*growthrate!$E$3)^5</f>
        <v>5205704.2572226245</v>
      </c>
      <c r="P107" s="12">
        <f>L107*(1+0.01*growthrate!$F$3)^10</f>
        <v>217973.51189377546</v>
      </c>
      <c r="Q107" s="4">
        <f>M107*(1+0.01*growthrate!$F$3)^10</f>
        <v>2044.4672628285393</v>
      </c>
      <c r="R107" s="4">
        <f>N107*(1+0.01*growthrate!$F$3)^10</f>
        <v>226606.22855359328</v>
      </c>
      <c r="S107" s="4">
        <f>O107*(1+0.01*growthrate!$F$3)^10</f>
        <v>5581799.0468479302</v>
      </c>
    </row>
    <row r="108" spans="1:19" x14ac:dyDescent="0.2">
      <c r="A108" s="2" t="s">
        <v>221</v>
      </c>
      <c r="B108" s="8" t="s">
        <v>222</v>
      </c>
      <c r="C108" s="4" t="s">
        <v>779</v>
      </c>
      <c r="D108" s="5">
        <v>1208913</v>
      </c>
      <c r="E108" s="5">
        <v>-30708</v>
      </c>
      <c r="F108" s="5">
        <v>1178205</v>
      </c>
      <c r="G108" s="5">
        <v>8142622</v>
      </c>
      <c r="H108" s="12">
        <f>D108*(1+0.01*growthrate!E108)^2</f>
        <v>1208913</v>
      </c>
      <c r="I108" s="4">
        <f>E108*(1+0.01*growthrate!$E$3)^2</f>
        <v>-31636.14929999999</v>
      </c>
      <c r="J108" s="4">
        <f>F108*(1+0.01*growthrate!$E$3)^2</f>
        <v>1213816.2461249996</v>
      </c>
      <c r="K108" s="4">
        <f>G108*(1+0.01*growthrate!$E$3)^2</f>
        <v>8388732.7499499973</v>
      </c>
      <c r="L108" s="12">
        <f>H108*(1+0.01*growthrate!$E$3)^5</f>
        <v>1302342.6369878706</v>
      </c>
      <c r="M108" s="4">
        <f>I108*(1+0.01*growthrate!$E$3)^5</f>
        <v>-34081.117585387838</v>
      </c>
      <c r="N108" s="4">
        <f>J108*(1+0.01*growthrate!$E$3)^5</f>
        <v>1307624.8256054407</v>
      </c>
      <c r="O108" s="4">
        <f>K108*(1+0.01*growthrate!$E$3)^5</f>
        <v>9037047.6043821108</v>
      </c>
      <c r="P108" s="12">
        <f>L108*(1+0.01*growthrate!$F$3)^10</f>
        <v>1396432.5537168977</v>
      </c>
      <c r="Q108" s="4">
        <f>M108*(1+0.01*growthrate!$F$3)^10</f>
        <v>-36543.364788672166</v>
      </c>
      <c r="R108" s="4">
        <f>N108*(1+0.01*growthrate!$F$3)^10</f>
        <v>1402096.3628643183</v>
      </c>
      <c r="S108" s="4">
        <f>O108*(1+0.01*growthrate!$F$3)^10</f>
        <v>9689944.1866050325</v>
      </c>
    </row>
    <row r="109" spans="1:19" x14ac:dyDescent="0.2">
      <c r="A109" s="2" t="s">
        <v>223</v>
      </c>
      <c r="B109" s="8" t="s">
        <v>224</v>
      </c>
      <c r="C109" s="4" t="s">
        <v>779</v>
      </c>
      <c r="D109" s="5">
        <v>1221459</v>
      </c>
      <c r="E109" s="5">
        <v>-1862</v>
      </c>
      <c r="F109" s="5">
        <v>1219597</v>
      </c>
      <c r="G109" s="5">
        <v>15919961</v>
      </c>
      <c r="H109" s="12">
        <f>D109*(1+0.01*growthrate!E109)^2</f>
        <v>1221459</v>
      </c>
      <c r="I109" s="4">
        <f>E109*(1+0.01*growthrate!$E$3)^2</f>
        <v>-1918.2789499999994</v>
      </c>
      <c r="J109" s="4">
        <f>F109*(1+0.01*growthrate!$E$3)^2</f>
        <v>1256459.3193249996</v>
      </c>
      <c r="K109" s="4">
        <f>G109*(1+0.01*growthrate!$E$3)^2</f>
        <v>16401141.821224995</v>
      </c>
      <c r="L109" s="12">
        <f>H109*(1+0.01*growthrate!$E$3)^5</f>
        <v>1315858.2421006039</v>
      </c>
      <c r="M109" s="4">
        <f>I109*(1+0.01*growthrate!$E$3)^5</f>
        <v>-2066.5312278231127</v>
      </c>
      <c r="N109" s="4">
        <f>J109*(1+0.01*growthrate!$E$3)^5</f>
        <v>1353563.5262402711</v>
      </c>
      <c r="O109" s="4">
        <f>K109*(1+0.01*growthrate!$E$3)^5</f>
        <v>17668687.72944472</v>
      </c>
      <c r="P109" s="12">
        <f>L109*(1+0.01*growthrate!$F$3)^10</f>
        <v>1410924.6162713845</v>
      </c>
      <c r="Q109" s="4">
        <f>M109*(1+0.01*growthrate!$F$3)^10</f>
        <v>-2215.8312243228984</v>
      </c>
      <c r="R109" s="4">
        <f>N109*(1+0.01*growthrate!$F$3)^10</f>
        <v>1451353.9815738637</v>
      </c>
      <c r="S109" s="4">
        <f>O109*(1+0.01*growthrate!$F$3)^10</f>
        <v>18945191.554136839</v>
      </c>
    </row>
    <row r="110" spans="1:19" x14ac:dyDescent="0.2">
      <c r="A110" s="2" t="s">
        <v>225</v>
      </c>
      <c r="B110" s="8" t="s">
        <v>226</v>
      </c>
      <c r="C110" s="4" t="s">
        <v>779</v>
      </c>
      <c r="D110" s="5">
        <v>7255855</v>
      </c>
      <c r="E110" s="5">
        <v>-11770</v>
      </c>
      <c r="F110" s="5">
        <v>7244085</v>
      </c>
      <c r="G110" s="5">
        <v>3713887</v>
      </c>
      <c r="H110" s="12">
        <f>D110*(1+0.01*growthrate!E110)^2</f>
        <v>7255855</v>
      </c>
      <c r="I110" s="4">
        <f>E110*(1+0.01*growthrate!$E$3)^2</f>
        <v>-12125.748249999997</v>
      </c>
      <c r="J110" s="4">
        <f>F110*(1+0.01*growthrate!$E$3)^2</f>
        <v>7463037.469124998</v>
      </c>
      <c r="K110" s="4">
        <f>G110*(1+0.01*growthrate!$E$3)^2</f>
        <v>3826139.2345749992</v>
      </c>
      <c r="L110" s="12">
        <f>H110*(1+0.01*growthrate!$E$3)^5</f>
        <v>7816616.5260044569</v>
      </c>
      <c r="M110" s="4">
        <f>I110*(1+0.01*growthrate!$E$3)^5</f>
        <v>-13062.874624853941</v>
      </c>
      <c r="N110" s="4">
        <f>J110*(1+0.01*growthrate!$E$3)^5</f>
        <v>8039810.8858780852</v>
      </c>
      <c r="O110" s="4">
        <f>K110*(1+0.01*growthrate!$E$3)^5</f>
        <v>4121838.5940420502</v>
      </c>
      <c r="P110" s="12">
        <f>L110*(1+0.01*growthrate!$F$3)^10</f>
        <v>8381341.0287171379</v>
      </c>
      <c r="Q110" s="4">
        <f>M110*(1+0.01*growthrate!$F$3)^10</f>
        <v>-14006.623797143136</v>
      </c>
      <c r="R110" s="4">
        <f>N110*(1+0.01*growthrate!$F$3)^10</f>
        <v>8620660.4375129677</v>
      </c>
      <c r="S110" s="4">
        <f>O110*(1+0.01*growthrate!$F$3)^10</f>
        <v>4419627.7004333502</v>
      </c>
    </row>
    <row r="111" spans="1:19" x14ac:dyDescent="0.2">
      <c r="A111" s="2" t="s">
        <v>227</v>
      </c>
      <c r="B111" s="8" t="s">
        <v>228</v>
      </c>
      <c r="C111" s="4" t="s">
        <v>779</v>
      </c>
      <c r="D111" s="5">
        <v>9435797</v>
      </c>
      <c r="E111" s="5">
        <v>26554</v>
      </c>
      <c r="F111" s="5">
        <v>9462351</v>
      </c>
      <c r="G111" s="5">
        <v>3906325</v>
      </c>
      <c r="H111" s="12">
        <f>D111*(1+0.01*growthrate!E111)^2</f>
        <v>9435797</v>
      </c>
      <c r="I111" s="4">
        <f>E111*(1+0.01*growthrate!$E$3)^2</f>
        <v>27356.594649999992</v>
      </c>
      <c r="J111" s="4">
        <f>F111*(1+0.01*growthrate!$E$3)^2</f>
        <v>9748350.5589749981</v>
      </c>
      <c r="K111" s="4">
        <f>G111*(1+0.01*growthrate!$E$3)^2</f>
        <v>4024393.6731249988</v>
      </c>
      <c r="L111" s="12">
        <f>H111*(1+0.01*growthrate!$E$3)^5</f>
        <v>10165033.172000168</v>
      </c>
      <c r="M111" s="4">
        <f>I111*(1+0.01*growthrate!$E$3)^5</f>
        <v>29470.821817193842</v>
      </c>
      <c r="N111" s="4">
        <f>J111*(1+0.01*growthrate!$E$3)^5</f>
        <v>10501742.121441064</v>
      </c>
      <c r="O111" s="4">
        <f>K111*(1+0.01*growthrate!$E$3)^5</f>
        <v>4335414.9293910423</v>
      </c>
      <c r="P111" s="12">
        <f>L111*(1+0.01*growthrate!$F$3)^10</f>
        <v>10899422.953565925</v>
      </c>
      <c r="Q111" s="4">
        <f>M111*(1+0.01*growthrate!$F$3)^10</f>
        <v>31599.990510564043</v>
      </c>
      <c r="R111" s="4">
        <f>N111*(1+0.01*growthrate!$F$3)^10</f>
        <v>11260458.002848018</v>
      </c>
      <c r="S111" s="4">
        <f>O111*(1+0.01*growthrate!$F$3)^10</f>
        <v>4648634.2144753747</v>
      </c>
    </row>
    <row r="112" spans="1:19" x14ac:dyDescent="0.2">
      <c r="A112" s="2" t="s">
        <v>229</v>
      </c>
      <c r="B112" s="8" t="s">
        <v>230</v>
      </c>
      <c r="C112" s="4" t="s">
        <v>779</v>
      </c>
      <c r="D112" s="5">
        <v>529032</v>
      </c>
      <c r="E112" s="5">
        <v>-726</v>
      </c>
      <c r="F112" s="5">
        <v>528306</v>
      </c>
      <c r="G112" s="5">
        <v>2172802</v>
      </c>
      <c r="H112" s="12">
        <f>D112*(1+0.01*growthrate!E112)^2</f>
        <v>529032</v>
      </c>
      <c r="I112" s="4">
        <f>E112*(1+0.01*growthrate!$E$3)^2</f>
        <v>-747.94334999999978</v>
      </c>
      <c r="J112" s="4">
        <f>F112*(1+0.01*growthrate!$E$3)^2</f>
        <v>544274.0488499999</v>
      </c>
      <c r="K112" s="4">
        <f>G112*(1+0.01*growthrate!$E$3)^2</f>
        <v>2238474.9404499992</v>
      </c>
      <c r="L112" s="12">
        <f>H112*(1+0.01*growthrate!$E$3)^5</f>
        <v>569917.71114295826</v>
      </c>
      <c r="M112" s="4">
        <f>I112*(1+0.01*growthrate!$E$3)^5</f>
        <v>-805.74740676669171</v>
      </c>
      <c r="N112" s="4">
        <f>J112*(1+0.01*growthrate!$E$3)^5</f>
        <v>586337.72655548737</v>
      </c>
      <c r="O112" s="4">
        <f>K112*(1+0.01*growthrate!$E$3)^5</f>
        <v>2411473.2464428116</v>
      </c>
      <c r="P112" s="12">
        <f>L112*(1+0.01*growthrate!$F$3)^10</f>
        <v>611092.36707518063</v>
      </c>
      <c r="Q112" s="4">
        <f>M112*(1+0.01*growthrate!$F$3)^10</f>
        <v>-863.95997253406256</v>
      </c>
      <c r="R112" s="4">
        <f>N112*(1+0.01*growthrate!$F$3)^10</f>
        <v>628698.67389749375</v>
      </c>
      <c r="S112" s="4">
        <f>O112*(1+0.01*growthrate!$F$3)^10</f>
        <v>2585694.1546032457</v>
      </c>
    </row>
    <row r="113" spans="1:19" x14ac:dyDescent="0.2">
      <c r="A113" s="2" t="s">
        <v>231</v>
      </c>
      <c r="B113" s="8" t="s">
        <v>232</v>
      </c>
      <c r="C113" s="4" t="s">
        <v>779</v>
      </c>
      <c r="D113" s="5">
        <v>27240997</v>
      </c>
      <c r="E113" s="5">
        <v>119867</v>
      </c>
      <c r="F113" s="5">
        <v>27360864</v>
      </c>
      <c r="G113" s="5">
        <v>12814101</v>
      </c>
      <c r="H113" s="12">
        <f>D113*(1+0.01*growthrate!E113)^2</f>
        <v>27240997</v>
      </c>
      <c r="I113" s="4">
        <f>E113*(1+0.01*growthrate!$E$3)^2</f>
        <v>123489.98007499997</v>
      </c>
      <c r="J113" s="4">
        <f>F113*(1+0.01*growthrate!$E$3)^2</f>
        <v>28187846.114399992</v>
      </c>
      <c r="K113" s="4">
        <f>G113*(1+0.01*growthrate!$E$3)^2</f>
        <v>13201407.202724997</v>
      </c>
      <c r="L113" s="12">
        <f>H113*(1+0.01*growthrate!$E$3)^5</f>
        <v>29346290.317962229</v>
      </c>
      <c r="M113" s="4">
        <f>I113*(1+0.01*growthrate!$E$3)^5</f>
        <v>133033.78017479758</v>
      </c>
      <c r="N113" s="4">
        <f>J113*(1+0.01*growthrate!$E$3)^5</f>
        <v>30366315.722997427</v>
      </c>
      <c r="O113" s="4">
        <f>K113*(1+0.01*growthrate!$E$3)^5</f>
        <v>14221664.808259603</v>
      </c>
      <c r="P113" s="12">
        <f>L113*(1+0.01*growthrate!$F$3)^10</f>
        <v>31466462.025393352</v>
      </c>
      <c r="Q113" s="4">
        <f>M113*(1+0.01*growthrate!$F$3)^10</f>
        <v>142645.0275864194</v>
      </c>
      <c r="R113" s="4">
        <f>N113*(1+0.01*growthrate!$F$3)^10</f>
        <v>32560180.867697276</v>
      </c>
      <c r="S113" s="4">
        <f>O113*(1+0.01*growthrate!$F$3)^10</f>
        <v>15249132.710755792</v>
      </c>
    </row>
    <row r="114" spans="1:19" x14ac:dyDescent="0.2">
      <c r="A114" s="2" t="s">
        <v>233</v>
      </c>
      <c r="B114" s="8" t="s">
        <v>234</v>
      </c>
      <c r="C114" s="4" t="s">
        <v>779</v>
      </c>
      <c r="D114" s="5">
        <v>1969859</v>
      </c>
      <c r="E114" s="5">
        <v>97908</v>
      </c>
      <c r="F114" s="5">
        <v>2067767</v>
      </c>
      <c r="G114" s="5">
        <v>717529</v>
      </c>
      <c r="H114" s="12">
        <f>D114*(1+0.01*growthrate!E114)^2</f>
        <v>1969859</v>
      </c>
      <c r="I114" s="4">
        <f>E114*(1+0.01*growthrate!$E$3)^2</f>
        <v>100867.26929999997</v>
      </c>
      <c r="J114" s="4">
        <f>F114*(1+0.01*growthrate!$E$3)^2</f>
        <v>2130265.2575749992</v>
      </c>
      <c r="K114" s="4">
        <f>G114*(1+0.01*growthrate!$E$3)^2</f>
        <v>739216.31402499985</v>
      </c>
      <c r="L114" s="12">
        <f>H114*(1+0.01*growthrate!$E$3)^5</f>
        <v>2122097.5906076697</v>
      </c>
      <c r="M114" s="4">
        <f>I114*(1+0.01*growthrate!$E$3)^5</f>
        <v>108662.69573238739</v>
      </c>
      <c r="N114" s="4">
        <f>J114*(1+0.01*growthrate!$E$3)^5</f>
        <v>2294900.6860161731</v>
      </c>
      <c r="O114" s="4">
        <f>K114*(1+0.01*growthrate!$E$3)^5</f>
        <v>796345.91050950077</v>
      </c>
      <c r="P114" s="12">
        <f>L114*(1+0.01*growthrate!$F$3)^10</f>
        <v>2275412.0716976444</v>
      </c>
      <c r="Q114" s="4">
        <f>M114*(1+0.01*growthrate!$F$3)^10</f>
        <v>116513.21348603994</v>
      </c>
      <c r="R114" s="4">
        <f>N114*(1+0.01*growthrate!$F$3)^10</f>
        <v>2460699.6150507452</v>
      </c>
      <c r="S114" s="4">
        <f>O114*(1+0.01*growthrate!$F$3)^10</f>
        <v>853879.24949365482</v>
      </c>
    </row>
    <row r="115" spans="1:19" x14ac:dyDescent="0.2">
      <c r="A115" s="2" t="s">
        <v>235</v>
      </c>
      <c r="B115" s="8" t="s">
        <v>236</v>
      </c>
      <c r="C115" s="4" t="s">
        <v>779</v>
      </c>
      <c r="D115" s="5">
        <v>7496493</v>
      </c>
      <c r="E115" s="5">
        <v>-58515</v>
      </c>
      <c r="F115" s="5">
        <v>7437978</v>
      </c>
      <c r="G115" s="5">
        <v>13260766</v>
      </c>
      <c r="H115" s="12">
        <f>D115*(1+0.01*growthrate!E115)^2</f>
        <v>7496493</v>
      </c>
      <c r="I115" s="4">
        <f>E115*(1+0.01*growthrate!$E$3)^2</f>
        <v>-60283.615874999981</v>
      </c>
      <c r="J115" s="4">
        <f>F115*(1+0.01*growthrate!$E$3)^2</f>
        <v>7662790.8850499978</v>
      </c>
      <c r="K115" s="4">
        <f>G115*(1+0.01*growthrate!$E$3)^2</f>
        <v>13661572.652349995</v>
      </c>
      <c r="L115" s="12">
        <f>H115*(1+0.01*growthrate!$E$3)^5</f>
        <v>8075851.9941311842</v>
      </c>
      <c r="M115" s="4">
        <f>I115*(1+0.01*growthrate!$E$3)^5</f>
        <v>-64942.575078447604</v>
      </c>
      <c r="N115" s="4">
        <f>J115*(1+0.01*growthrate!$E$3)^5</f>
        <v>8255002.0455753496</v>
      </c>
      <c r="O115" s="4">
        <f>K115*(1+0.01*growthrate!$E$3)^5</f>
        <v>14717393.686280875</v>
      </c>
      <c r="P115" s="12">
        <f>L115*(1+0.01*growthrate!$F$3)^10</f>
        <v>8659305.3957653269</v>
      </c>
      <c r="Q115" s="4">
        <f>M115*(1+0.01*growthrate!$F$3)^10</f>
        <v>-69634.459769739216</v>
      </c>
      <c r="R115" s="4">
        <f>N115*(1+0.01*growthrate!$F$3)^10</f>
        <v>8851398.4415825922</v>
      </c>
      <c r="S115" s="4">
        <f>O115*(1+0.01*growthrate!$F$3)^10</f>
        <v>15780676.348678555</v>
      </c>
    </row>
    <row r="116" spans="1:19" x14ac:dyDescent="0.2">
      <c r="A116" s="2" t="s">
        <v>237</v>
      </c>
      <c r="B116" s="8" t="s">
        <v>238</v>
      </c>
      <c r="C116" s="4" t="s">
        <v>779</v>
      </c>
      <c r="D116" s="5">
        <v>942885</v>
      </c>
      <c r="E116" s="5">
        <v>-3352</v>
      </c>
      <c r="F116" s="5">
        <v>939533</v>
      </c>
      <c r="G116" s="5">
        <v>1113492</v>
      </c>
      <c r="H116" s="12">
        <f>D116*(1+0.01*growthrate!E116)^2</f>
        <v>942885</v>
      </c>
      <c r="I116" s="4">
        <f>E116*(1+0.01*growthrate!$E$3)^2</f>
        <v>-3453.3141999999989</v>
      </c>
      <c r="J116" s="4">
        <f>F116*(1+0.01*growthrate!$E$3)^2</f>
        <v>967930.38492499979</v>
      </c>
      <c r="K116" s="4">
        <f>G116*(1+0.01*growthrate!$E$3)^2</f>
        <v>1147147.2956999997</v>
      </c>
      <c r="L116" s="12">
        <f>H116*(1+0.01*growthrate!$E$3)^5</f>
        <v>1015754.9280025183</v>
      </c>
      <c r="M116" s="4">
        <f>I116*(1+0.01*growthrate!$E$3)^5</f>
        <v>-3720.2001480467638</v>
      </c>
      <c r="N116" s="4">
        <f>J116*(1+0.01*growthrate!$E$3)^5</f>
        <v>1042735.9205533473</v>
      </c>
      <c r="O116" s="4">
        <f>K116*(1+0.01*growthrate!$E$3)^5</f>
        <v>1235803.431756828</v>
      </c>
      <c r="P116" s="12">
        <f>L116*(1+0.01*growthrate!$F$3)^10</f>
        <v>1089139.8375328558</v>
      </c>
      <c r="Q116" s="4">
        <f>M116*(1+0.01*growthrate!$F$3)^10</f>
        <v>-3988.972214785369</v>
      </c>
      <c r="R116" s="4">
        <f>N116*(1+0.01*growthrate!$F$3)^10</f>
        <v>1118070.1169075007</v>
      </c>
      <c r="S116" s="4">
        <f>O116*(1+0.01*growthrate!$F$3)^10</f>
        <v>1325086.1125852596</v>
      </c>
    </row>
    <row r="117" spans="1:19" x14ac:dyDescent="0.2">
      <c r="A117" s="2" t="s">
        <v>239</v>
      </c>
      <c r="B117" s="8" t="s">
        <v>240</v>
      </c>
      <c r="C117" s="4" t="s">
        <v>779</v>
      </c>
      <c r="D117" s="5">
        <v>437569</v>
      </c>
      <c r="E117" s="5">
        <v>-8623</v>
      </c>
      <c r="F117" s="5">
        <v>428946</v>
      </c>
      <c r="G117" s="5">
        <v>676078</v>
      </c>
      <c r="H117" s="12">
        <f>D117*(1+0.01*growthrate!E117)^2</f>
        <v>437569</v>
      </c>
      <c r="I117" s="4">
        <f>E117*(1+0.01*growthrate!$E$3)^2</f>
        <v>-8883.6301749999984</v>
      </c>
      <c r="J117" s="4">
        <f>F117*(1+0.01*growthrate!$E$3)^2</f>
        <v>441910.89284999989</v>
      </c>
      <c r="K117" s="4">
        <f>G117*(1+0.01*growthrate!$E$3)^2</f>
        <v>696512.45754999982</v>
      </c>
      <c r="L117" s="12">
        <f>H117*(1+0.01*growthrate!$E$3)^5</f>
        <v>471386.08429568179</v>
      </c>
      <c r="M117" s="4">
        <f>I117*(1+0.01*growthrate!$E$3)^5</f>
        <v>-9570.1926839520438</v>
      </c>
      <c r="N117" s="4">
        <f>J117*(1+0.01*growthrate!$E$3)^5</f>
        <v>476063.53600956657</v>
      </c>
      <c r="O117" s="4">
        <f>K117*(1+0.01*growthrate!$E$3)^5</f>
        <v>750341.72902480909</v>
      </c>
      <c r="P117" s="12">
        <f>L117*(1+0.01*growthrate!$F$3)^10</f>
        <v>505442.15844924265</v>
      </c>
      <c r="Q117" s="4">
        <f>M117*(1+0.01*growthrate!$F$3)^10</f>
        <v>-10261.607221985156</v>
      </c>
      <c r="R117" s="4">
        <f>N117*(1+0.01*growthrate!$F$3)^10</f>
        <v>510457.54046638566</v>
      </c>
      <c r="S117" s="4">
        <f>O117*(1+0.01*growthrate!$F$3)^10</f>
        <v>804551.41916099726</v>
      </c>
    </row>
    <row r="118" spans="1:19" x14ac:dyDescent="0.2">
      <c r="A118" s="2" t="s">
        <v>241</v>
      </c>
      <c r="B118" s="8" t="s">
        <v>242</v>
      </c>
      <c r="C118" s="4" t="s">
        <v>779</v>
      </c>
      <c r="D118" s="5">
        <v>10919306</v>
      </c>
      <c r="E118" s="5">
        <v>3877319</v>
      </c>
      <c r="F118" s="5">
        <v>14796625</v>
      </c>
      <c r="G118" s="5">
        <v>5376259</v>
      </c>
      <c r="H118" s="12">
        <f>D118*(1+0.01*growthrate!E118)^2</f>
        <v>10919306</v>
      </c>
      <c r="I118" s="4">
        <f>E118*(1+0.01*growthrate!$E$3)^2</f>
        <v>3994510.9667749987</v>
      </c>
      <c r="J118" s="4">
        <f>F118*(1+0.01*growthrate!$E$3)^2</f>
        <v>15243852.990624996</v>
      </c>
      <c r="K118" s="4">
        <f>G118*(1+0.01*growthrate!$E$3)^2</f>
        <v>5538756.4282749984</v>
      </c>
      <c r="L118" s="12">
        <f>H118*(1+0.01*growthrate!$E$3)^5</f>
        <v>11763193.687318671</v>
      </c>
      <c r="M118" s="4">
        <f>I118*(1+0.01*growthrate!$E$3)^5</f>
        <v>4303222.7678474132</v>
      </c>
      <c r="N118" s="4">
        <f>J118*(1+0.01*growthrate!$E$3)^5</f>
        <v>16421958.984365288</v>
      </c>
      <c r="O118" s="4">
        <f>K118*(1+0.01*growthrate!$E$3)^5</f>
        <v>5966813.7015924063</v>
      </c>
      <c r="P118" s="12">
        <f>L118*(1+0.01*growthrate!$F$3)^10</f>
        <v>12613045.241796758</v>
      </c>
      <c r="Q118" s="4">
        <f>M118*(1+0.01*growthrate!$F$3)^10</f>
        <v>4614116.2765093641</v>
      </c>
      <c r="R118" s="4">
        <f>N118*(1+0.01*growthrate!$F$3)^10</f>
        <v>17608390.810739428</v>
      </c>
      <c r="S118" s="4">
        <f>O118*(1+0.01*growthrate!$F$3)^10</f>
        <v>6397896.1129146097</v>
      </c>
    </row>
    <row r="119" spans="1:19" x14ac:dyDescent="0.2">
      <c r="A119" s="2" t="s">
        <v>243</v>
      </c>
      <c r="B119" s="8" t="s">
        <v>244</v>
      </c>
      <c r="C119" s="4" t="s">
        <v>779</v>
      </c>
      <c r="D119" s="5">
        <v>1859499</v>
      </c>
      <c r="E119" s="5">
        <v>-38711</v>
      </c>
      <c r="F119" s="5">
        <v>1820788</v>
      </c>
      <c r="G119" s="5">
        <v>1105872</v>
      </c>
      <c r="H119" s="12">
        <f>D119*(1+0.01*growthrate!E119)^2</f>
        <v>1859499</v>
      </c>
      <c r="I119" s="4">
        <f>E119*(1+0.01*growthrate!$E$3)^2</f>
        <v>-39881.039974999992</v>
      </c>
      <c r="J119" s="4">
        <f>F119*(1+0.01*growthrate!$E$3)^2</f>
        <v>1875821.3172999995</v>
      </c>
      <c r="K119" s="4">
        <f>G119*(1+0.01*growthrate!$E$3)^2</f>
        <v>1139296.9811999998</v>
      </c>
      <c r="L119" s="12">
        <f>H119*(1+0.01*growthrate!$E$3)^5</f>
        <v>2003208.5279389902</v>
      </c>
      <c r="M119" s="4">
        <f>I119*(1+0.01*growthrate!$E$3)^5</f>
        <v>-42963.20642334078</v>
      </c>
      <c r="N119" s="4">
        <f>J119*(1+0.01*growthrate!$E$3)^5</f>
        <v>2020792.2992726048</v>
      </c>
      <c r="O119" s="4">
        <f>K119*(1+0.01*growthrate!$E$3)^5</f>
        <v>1227346.4135205166</v>
      </c>
      <c r="P119" s="12">
        <f>L119*(1+0.01*growthrate!$F$3)^10</f>
        <v>2147933.6703336118</v>
      </c>
      <c r="Q119" s="4">
        <f>M119*(1+0.01*growthrate!$F$3)^10</f>
        <v>-46067.154954223282</v>
      </c>
      <c r="R119" s="4">
        <f>N119*(1+0.01*growthrate!$F$3)^10</f>
        <v>2166787.8105652216</v>
      </c>
      <c r="S119" s="4">
        <f>O119*(1+0.01*growthrate!$F$3)^10</f>
        <v>1316018.1029561833</v>
      </c>
    </row>
    <row r="120" spans="1:19" x14ac:dyDescent="0.2">
      <c r="A120" s="2" t="s">
        <v>245</v>
      </c>
      <c r="B120" s="8" t="s">
        <v>246</v>
      </c>
      <c r="C120" s="4" t="s">
        <v>779</v>
      </c>
      <c r="D120" s="5">
        <v>331893</v>
      </c>
      <c r="E120" s="5">
        <v>30518</v>
      </c>
      <c r="F120" s="5">
        <v>362411</v>
      </c>
      <c r="G120" s="5">
        <v>1023769</v>
      </c>
      <c r="H120" s="12">
        <f>D120*(1+0.01*growthrate!E120)^2</f>
        <v>331893</v>
      </c>
      <c r="I120" s="4">
        <f>E120*(1+0.01*growthrate!$E$3)^2</f>
        <v>31440.406549999992</v>
      </c>
      <c r="J120" s="4">
        <f>F120*(1+0.01*growthrate!$E$3)^2</f>
        <v>373364.87247499992</v>
      </c>
      <c r="K120" s="4">
        <f>G120*(1+0.01*growthrate!$E$3)^2</f>
        <v>1054712.4180249998</v>
      </c>
      <c r="L120" s="12">
        <f>H120*(1+0.01*growthrate!$E$3)^5</f>
        <v>357543.01990119665</v>
      </c>
      <c r="M120" s="4">
        <f>I120*(1+0.01*growthrate!$E$3)^5</f>
        <v>33870.247051936502</v>
      </c>
      <c r="N120" s="4">
        <f>J120*(1+0.01*growthrate!$E$3)^5</f>
        <v>402220.00472964672</v>
      </c>
      <c r="O120" s="4">
        <f>K120*(1+0.01*growthrate!$E$3)^5</f>
        <v>1136224.8166365416</v>
      </c>
      <c r="P120" s="12">
        <f>L120*(1+0.01*growthrate!$F$3)^10</f>
        <v>383374.31192382111</v>
      </c>
      <c r="Q120" s="4">
        <f>M120*(1+0.01*growthrate!$F$3)^10</f>
        <v>36317.259561700448</v>
      </c>
      <c r="R120" s="4">
        <f>N120*(1+0.01*growthrate!$F$3)^10</f>
        <v>431279.06006341899</v>
      </c>
      <c r="S120" s="4">
        <f>O120*(1+0.01*growthrate!$F$3)^10</f>
        <v>1218313.2742716593</v>
      </c>
    </row>
    <row r="121" spans="1:19" x14ac:dyDescent="0.2">
      <c r="A121" s="2" t="s">
        <v>247</v>
      </c>
      <c r="B121" s="8" t="s">
        <v>248</v>
      </c>
      <c r="C121" s="4" t="s">
        <v>779</v>
      </c>
      <c r="D121" s="5">
        <v>1201397</v>
      </c>
      <c r="E121" s="5">
        <v>9364</v>
      </c>
      <c r="F121" s="5">
        <v>1210761</v>
      </c>
      <c r="G121" s="5">
        <v>1855930</v>
      </c>
      <c r="H121" s="12">
        <f>D121*(1+0.01*growthrate!E121)^2</f>
        <v>1201397</v>
      </c>
      <c r="I121" s="4">
        <f>E121*(1+0.01*growthrate!$E$3)^2</f>
        <v>9647.0268999999971</v>
      </c>
      <c r="J121" s="4">
        <f>F121*(1+0.01*growthrate!$E$3)^2</f>
        <v>1247356.2512249998</v>
      </c>
      <c r="K121" s="4">
        <f>G121*(1+0.01*growthrate!$E$3)^2</f>
        <v>1912025.4842499995</v>
      </c>
      <c r="L121" s="12">
        <f>H121*(1+0.01*growthrate!$E$3)^5</f>
        <v>1294245.7704146756</v>
      </c>
      <c r="M121" s="4">
        <f>I121*(1+0.01*growthrate!$E$3)^5</f>
        <v>10392.587764412259</v>
      </c>
      <c r="N121" s="4">
        <f>J121*(1+0.01*growthrate!$E$3)^5</f>
        <v>1343756.9365898713</v>
      </c>
      <c r="O121" s="4">
        <f>K121*(1+0.01*growthrate!$E$3)^5</f>
        <v>2059794.469201799</v>
      </c>
      <c r="P121" s="12">
        <f>L121*(1+0.01*growthrate!$F$3)^10</f>
        <v>1387750.715508742</v>
      </c>
      <c r="Q121" s="4">
        <f>M121*(1+0.01*growthrate!$F$3)^10</f>
        <v>11143.417607174877</v>
      </c>
      <c r="R121" s="4">
        <f>N121*(1+0.01*growthrate!$F$3)^10</f>
        <v>1440838.8984921684</v>
      </c>
      <c r="S121" s="4">
        <f>O121*(1+0.01*growthrate!$F$3)^10</f>
        <v>2208607.7573349075</v>
      </c>
    </row>
    <row r="122" spans="1:19" x14ac:dyDescent="0.2">
      <c r="A122" s="2" t="s">
        <v>249</v>
      </c>
      <c r="B122" s="8" t="s">
        <v>250</v>
      </c>
      <c r="C122" s="4" t="s">
        <v>779</v>
      </c>
      <c r="D122" s="5">
        <v>113533</v>
      </c>
      <c r="E122" s="5">
        <v>17201</v>
      </c>
      <c r="F122" s="5">
        <v>130734</v>
      </c>
      <c r="G122" s="5">
        <v>155408</v>
      </c>
      <c r="H122" s="12">
        <f>D122*(1+0.01*growthrate!E122)^2</f>
        <v>113533</v>
      </c>
      <c r="I122" s="4">
        <f>E122*(1+0.01*growthrate!$E$3)^2</f>
        <v>17720.900224999994</v>
      </c>
      <c r="J122" s="4">
        <f>F122*(1+0.01*growthrate!$E$3)^2</f>
        <v>134685.43514999998</v>
      </c>
      <c r="K122" s="4">
        <f>G122*(1+0.01*growthrate!$E$3)^2</f>
        <v>160105.20679999996</v>
      </c>
      <c r="L122" s="12">
        <f>H122*(1+0.01*growthrate!$E$3)^5</f>
        <v>122307.28481300466</v>
      </c>
      <c r="M122" s="4">
        <f>I122*(1+0.01*growthrate!$E$3)^5</f>
        <v>19090.442346823504</v>
      </c>
      <c r="N122" s="4">
        <f>J122*(1+0.01*growthrate!$E$3)^5</f>
        <v>145094.46484330122</v>
      </c>
      <c r="O122" s="4">
        <f>K122*(1+0.01*growthrate!$E$3)^5</f>
        <v>172478.77822423971</v>
      </c>
      <c r="P122" s="12">
        <f>L122*(1+0.01*growthrate!$F$3)^10</f>
        <v>131143.57867037624</v>
      </c>
      <c r="Q122" s="4">
        <f>M122*(1+0.01*growthrate!$F$3)^10</f>
        <v>20469.663206003319</v>
      </c>
      <c r="R122" s="4">
        <f>N122*(1+0.01*growthrate!$F$3)^10</f>
        <v>155577.05654169168</v>
      </c>
      <c r="S122" s="4">
        <f>O122*(1+0.01*growthrate!$F$3)^10</f>
        <v>184939.795332746</v>
      </c>
    </row>
    <row r="123" spans="1:19" x14ac:dyDescent="0.2">
      <c r="A123" s="2" t="s">
        <v>251</v>
      </c>
      <c r="B123" s="8" t="s">
        <v>252</v>
      </c>
      <c r="C123" s="4" t="s">
        <v>779</v>
      </c>
      <c r="D123" s="5">
        <v>542392</v>
      </c>
      <c r="E123" s="5">
        <v>534468</v>
      </c>
      <c r="F123" s="5">
        <v>1076860</v>
      </c>
      <c r="G123" s="5">
        <v>786137</v>
      </c>
      <c r="H123" s="12">
        <f>D123*(1+0.01*growthrate!E123)^2</f>
        <v>542392</v>
      </c>
      <c r="I123" s="4">
        <f>E123*(1+0.01*growthrate!$E$3)^2</f>
        <v>550622.29529999988</v>
      </c>
      <c r="J123" s="4">
        <f>F123*(1+0.01*growthrate!$E$3)^2</f>
        <v>1109408.0934999997</v>
      </c>
      <c r="K123" s="4">
        <f>G123*(1+0.01*growthrate!$E$3)^2</f>
        <v>809897.99082499975</v>
      </c>
      <c r="L123" s="12">
        <f>H123*(1+0.01*growthrate!$E$3)^5</f>
        <v>584310.22543485358</v>
      </c>
      <c r="M123" s="4">
        <f>I123*(1+0.01*growthrate!$E$3)^5</f>
        <v>593176.59090878814</v>
      </c>
      <c r="N123" s="4">
        <f>J123*(1+0.01*growthrate!$E$3)^5</f>
        <v>1195147.5929074099</v>
      </c>
      <c r="O123" s="4">
        <f>K123*(1+0.01*growthrate!$E$3)^5</f>
        <v>872490.15029386594</v>
      </c>
      <c r="P123" s="12">
        <f>L123*(1+0.01*growthrate!$F$3)^10</f>
        <v>626524.69257557462</v>
      </c>
      <c r="Q123" s="4">
        <f>M123*(1+0.01*growthrate!$F$3)^10</f>
        <v>636031.62341643986</v>
      </c>
      <c r="R123" s="4">
        <f>N123*(1+0.01*growthrate!$F$3)^10</f>
        <v>1281493.024825111</v>
      </c>
      <c r="S123" s="4">
        <f>O123*(1+0.01*growthrate!$F$3)^10</f>
        <v>935524.65692563402</v>
      </c>
    </row>
    <row r="124" spans="1:19" x14ac:dyDescent="0.2">
      <c r="A124" s="2" t="s">
        <v>253</v>
      </c>
      <c r="B124" s="8" t="s">
        <v>254</v>
      </c>
      <c r="C124" s="4" t="s">
        <v>779</v>
      </c>
      <c r="D124" s="5">
        <v>295212</v>
      </c>
      <c r="E124" s="5">
        <v>6176171</v>
      </c>
      <c r="F124" s="5">
        <v>6471383</v>
      </c>
      <c r="G124" s="5">
        <v>1282830</v>
      </c>
      <c r="H124" s="12">
        <f>D124*(1+0.01*growthrate!E124)^2</f>
        <v>295212</v>
      </c>
      <c r="I124" s="4">
        <f>E124*(1+0.01*growthrate!$E$3)^2</f>
        <v>6362845.768474998</v>
      </c>
      <c r="J124" s="4">
        <f>F124*(1+0.01*growthrate!$E$3)^2</f>
        <v>6666980.5511749983</v>
      </c>
      <c r="K124" s="4">
        <f>G124*(1+0.01*growthrate!$E$3)^2</f>
        <v>1321603.5367499997</v>
      </c>
      <c r="L124" s="12">
        <f>H124*(1+0.01*growthrate!$E$3)^5</f>
        <v>318027.16535471391</v>
      </c>
      <c r="M124" s="4">
        <f>I124*(1+0.01*growthrate!$E$3)^5</f>
        <v>6854591.9655614942</v>
      </c>
      <c r="N124" s="4">
        <f>J124*(1+0.01*growthrate!$E$3)^5</f>
        <v>7182231.5019890545</v>
      </c>
      <c r="O124" s="4">
        <f>K124*(1+0.01*growthrate!$E$3)^5</f>
        <v>1423742.3496177895</v>
      </c>
      <c r="P124" s="12">
        <f>L124*(1+0.01*growthrate!$F$3)^10</f>
        <v>341003.56853460328</v>
      </c>
      <c r="Q124" s="4">
        <f>M124*(1+0.01*growthrate!$F$3)^10</f>
        <v>7349813.3987956941</v>
      </c>
      <c r="R124" s="4">
        <f>N124*(1+0.01*growthrate!$F$3)^10</f>
        <v>7701123.8001892557</v>
      </c>
      <c r="S124" s="4">
        <f>O124*(1+0.01*growthrate!$F$3)^10</f>
        <v>1526602.9911375642</v>
      </c>
    </row>
    <row r="125" spans="1:19" x14ac:dyDescent="0.2">
      <c r="A125" s="2" t="s">
        <v>255</v>
      </c>
      <c r="B125" s="8" t="s">
        <v>256</v>
      </c>
      <c r="C125" s="4" t="s">
        <v>779</v>
      </c>
      <c r="D125" s="5">
        <v>784666</v>
      </c>
      <c r="E125" s="5">
        <v>29657</v>
      </c>
      <c r="F125" s="5">
        <v>814323</v>
      </c>
      <c r="G125" s="5">
        <v>603376</v>
      </c>
      <c r="H125" s="12">
        <f>D125*(1+0.01*growthrate!E125)^2</f>
        <v>784666</v>
      </c>
      <c r="I125" s="4">
        <f>E125*(1+0.01*growthrate!$E$3)^2</f>
        <v>30553.382824999993</v>
      </c>
      <c r="J125" s="4">
        <f>F125*(1+0.01*growthrate!$E$3)^2</f>
        <v>838935.9126749998</v>
      </c>
      <c r="K125" s="4">
        <f>G125*(1+0.01*growthrate!$E$3)^2</f>
        <v>621613.03959999979</v>
      </c>
      <c r="L125" s="12">
        <f>H125*(1+0.01*growthrate!$E$3)^5</f>
        <v>845308.13019193639</v>
      </c>
      <c r="M125" s="4">
        <f>I125*(1+0.01*growthrate!$E$3)^5</f>
        <v>32914.670581928069</v>
      </c>
      <c r="N125" s="4">
        <f>J125*(1+0.01*growthrate!$E$3)^5</f>
        <v>903772.23900891561</v>
      </c>
      <c r="O125" s="4">
        <f>K125*(1+0.01*growthrate!$E$3)^5</f>
        <v>669653.78416702384</v>
      </c>
      <c r="P125" s="12">
        <f>L125*(1+0.01*growthrate!$F$3)^10</f>
        <v>906378.826429051</v>
      </c>
      <c r="Q125" s="4">
        <f>M125*(1+0.01*growthrate!$F$3)^10</f>
        <v>35292.645875265422</v>
      </c>
      <c r="R125" s="4">
        <f>N125*(1+0.01*growthrate!$F$3)^10</f>
        <v>969066.77233313431</v>
      </c>
      <c r="S125" s="4">
        <f>O125*(1+0.01*growthrate!$F$3)^10</f>
        <v>718034.03910153231</v>
      </c>
    </row>
    <row r="126" spans="1:19" x14ac:dyDescent="0.2">
      <c r="A126" s="2" t="s">
        <v>257</v>
      </c>
      <c r="B126" s="8" t="s">
        <v>258</v>
      </c>
      <c r="C126" s="4" t="s">
        <v>779</v>
      </c>
      <c r="D126" s="5">
        <v>516871</v>
      </c>
      <c r="E126" s="5">
        <v>15631</v>
      </c>
      <c r="F126" s="5">
        <v>532502</v>
      </c>
      <c r="G126" s="5">
        <v>246591</v>
      </c>
      <c r="H126" s="12">
        <f>D126*(1+0.01*growthrate!E126)^2</f>
        <v>516871</v>
      </c>
      <c r="I126" s="4">
        <f>E126*(1+0.01*growthrate!$E$3)^2</f>
        <v>16103.446974999995</v>
      </c>
      <c r="J126" s="4">
        <f>F126*(1+0.01*growthrate!$E$3)^2</f>
        <v>548596.87294999987</v>
      </c>
      <c r="K126" s="4">
        <f>G126*(1+0.01*growthrate!$E$3)^2</f>
        <v>254044.21297499994</v>
      </c>
      <c r="L126" s="12">
        <f>H126*(1+0.01*growthrate!$E$3)^5</f>
        <v>556816.8603717204</v>
      </c>
      <c r="M126" s="4">
        <f>I126*(1+0.01*growthrate!$E$3)^5</f>
        <v>17347.985833567709</v>
      </c>
      <c r="N126" s="4">
        <f>J126*(1+0.01*growthrate!$E$3)^5</f>
        <v>590994.63581002329</v>
      </c>
      <c r="O126" s="4">
        <f>K126*(1+0.01*growthrate!$E$3)^5</f>
        <v>273677.76691736263</v>
      </c>
      <c r="P126" s="12">
        <f>L126*(1+0.01*growthrate!$F$3)^10</f>
        <v>597045.02348159603</v>
      </c>
      <c r="Q126" s="4">
        <f>M126*(1+0.01*growthrate!$F$3)^10</f>
        <v>18601.320014710647</v>
      </c>
      <c r="R126" s="4">
        <f>N126*(1+0.01*growthrate!$F$3)^10</f>
        <v>633692.02933103777</v>
      </c>
      <c r="S126" s="4">
        <f>O126*(1+0.01*growthrate!$F$3)^10</f>
        <v>293450.07381149731</v>
      </c>
    </row>
    <row r="127" spans="1:19" x14ac:dyDescent="0.2">
      <c r="A127" s="2" t="s">
        <v>259</v>
      </c>
      <c r="B127" s="8" t="s">
        <v>260</v>
      </c>
      <c r="C127" s="4" t="s">
        <v>779</v>
      </c>
      <c r="D127" s="5">
        <v>7418765</v>
      </c>
      <c r="E127" s="5">
        <v>74862</v>
      </c>
      <c r="F127" s="5">
        <v>7493627</v>
      </c>
      <c r="G127" s="5">
        <v>8062754</v>
      </c>
      <c r="H127" s="12">
        <f>D127*(1+0.01*growthrate!E127)^2</f>
        <v>7418765</v>
      </c>
      <c r="I127" s="4">
        <f>E127*(1+0.01*growthrate!$E$3)^2</f>
        <v>77124.703949999981</v>
      </c>
      <c r="J127" s="4">
        <f>F127*(1+0.01*growthrate!$E$3)^2</f>
        <v>7720121.8760749977</v>
      </c>
      <c r="K127" s="4">
        <f>G127*(1+0.01*growthrate!$E$3)^2</f>
        <v>8306450.739649998</v>
      </c>
      <c r="L127" s="12">
        <f>H127*(1+0.01*growthrate!$E$3)^5</f>
        <v>7992116.8630772596</v>
      </c>
      <c r="M127" s="4">
        <f>I127*(1+0.01*growthrate!$E$3)^5</f>
        <v>83085.209869653001</v>
      </c>
      <c r="N127" s="4">
        <f>J127*(1+0.01*growthrate!$E$3)^5</f>
        <v>8316763.805133421</v>
      </c>
      <c r="O127" s="4">
        <f>K127*(1+0.01*growthrate!$E$3)^5</f>
        <v>8948406.5108784717</v>
      </c>
      <c r="P127" s="12">
        <f>L127*(1+0.01*growthrate!$F$3)^10</f>
        <v>8569520.6804588418</v>
      </c>
      <c r="Q127" s="4">
        <f>M127*(1+0.01*growthrate!$F$3)^10</f>
        <v>89087.839481880161</v>
      </c>
      <c r="R127" s="4">
        <f>N127*(1+0.01*growthrate!$F$3)^10</f>
        <v>8917622.2825075891</v>
      </c>
      <c r="S127" s="4">
        <f>O127*(1+0.01*growthrate!$F$3)^10</f>
        <v>9594899.0694062021</v>
      </c>
    </row>
    <row r="128" spans="1:19" x14ac:dyDescent="0.2">
      <c r="A128" s="2" t="s">
        <v>261</v>
      </c>
      <c r="B128" s="8" t="s">
        <v>262</v>
      </c>
      <c r="C128" s="4" t="s">
        <v>779</v>
      </c>
      <c r="D128" s="5">
        <v>6627813</v>
      </c>
      <c r="E128" s="5">
        <v>12831</v>
      </c>
      <c r="F128" s="5">
        <v>6640644</v>
      </c>
      <c r="G128" s="5">
        <v>2722040</v>
      </c>
      <c r="H128" s="12">
        <f>D128*(1+0.01*growthrate!E128)^2</f>
        <v>6627813</v>
      </c>
      <c r="I128" s="4">
        <f>E128*(1+0.01*growthrate!$E$3)^2</f>
        <v>13218.816974999996</v>
      </c>
      <c r="J128" s="4">
        <f>F128*(1+0.01*growthrate!$E$3)^2</f>
        <v>6841357.4648999982</v>
      </c>
      <c r="K128" s="4">
        <f>G128*(1+0.01*growthrate!$E$3)^2</f>
        <v>2804313.6589999991</v>
      </c>
      <c r="L128" s="12">
        <f>H128*(1+0.01*growthrate!$E$3)^5</f>
        <v>7140036.9256369062</v>
      </c>
      <c r="M128" s="4">
        <f>I128*(1+0.01*growthrate!$E$3)^5</f>
        <v>14240.420077442728</v>
      </c>
      <c r="N128" s="4">
        <f>J128*(1+0.01*growthrate!$E$3)^5</f>
        <v>7370084.961791723</v>
      </c>
      <c r="O128" s="4">
        <f>K128*(1+0.01*growthrate!$E$3)^5</f>
        <v>3021042.2467151587</v>
      </c>
      <c r="P128" s="12">
        <f>L128*(1+0.01*growthrate!$F$3)^10</f>
        <v>7655880.8062681546</v>
      </c>
      <c r="Q128" s="4">
        <f>M128*(1+0.01*growthrate!$F$3)^10</f>
        <v>15269.242985653658</v>
      </c>
      <c r="R128" s="4">
        <f>N128*(1+0.01*growthrate!$F$3)^10</f>
        <v>7902549.0466232616</v>
      </c>
      <c r="S128" s="4">
        <f>O128*(1+0.01*growthrate!$F$3)^10</f>
        <v>3239302.4843479604</v>
      </c>
    </row>
    <row r="129" spans="1:19" x14ac:dyDescent="0.2">
      <c r="A129" s="2" t="s">
        <v>263</v>
      </c>
      <c r="B129" s="8" t="s">
        <v>264</v>
      </c>
      <c r="C129" s="4" t="s">
        <v>779</v>
      </c>
      <c r="D129" s="5">
        <v>170505</v>
      </c>
      <c r="E129" s="5">
        <v>4788</v>
      </c>
      <c r="F129" s="5">
        <v>175293</v>
      </c>
      <c r="G129" s="5">
        <v>438850</v>
      </c>
      <c r="H129" s="12">
        <f>D129*(1+0.01*growthrate!E129)^2</f>
        <v>170505</v>
      </c>
      <c r="I129" s="4">
        <f>E129*(1+0.01*growthrate!$E$3)^2</f>
        <v>4932.7172999999984</v>
      </c>
      <c r="J129" s="4">
        <f>F129*(1+0.01*growthrate!$E$3)^2</f>
        <v>180591.23092499995</v>
      </c>
      <c r="K129" s="4">
        <f>G129*(1+0.01*growthrate!$E$3)^2</f>
        <v>452114.2412499999</v>
      </c>
      <c r="L129" s="12">
        <f>H129*(1+0.01*growthrate!$E$3)^5</f>
        <v>183682.30908230523</v>
      </c>
      <c r="M129" s="4">
        <f>I129*(1+0.01*growthrate!$E$3)^5</f>
        <v>5313.9374429737181</v>
      </c>
      <c r="N129" s="4">
        <f>J129*(1+0.01*growthrate!$E$3)^5</f>
        <v>194548.04431729158</v>
      </c>
      <c r="O129" s="4">
        <f>K129*(1+0.01*growthrate!$E$3)^5</f>
        <v>487055.44002694584</v>
      </c>
      <c r="P129" s="12">
        <f>L129*(1+0.01*growthrate!$F$3)^10</f>
        <v>196952.7439704095</v>
      </c>
      <c r="Q129" s="4">
        <f>M129*(1+0.01*growthrate!$F$3)^10</f>
        <v>5697.8517196874536</v>
      </c>
      <c r="R129" s="4">
        <f>N129*(1+0.01*growthrate!$F$3)^10</f>
        <v>208603.49237660252</v>
      </c>
      <c r="S129" s="4">
        <f>O129*(1+0.01*growthrate!$F$3)^10</f>
        <v>522243.57292916445</v>
      </c>
    </row>
    <row r="130" spans="1:19" x14ac:dyDescent="0.2">
      <c r="A130" s="2" t="s">
        <v>265</v>
      </c>
      <c r="B130" s="8" t="s">
        <v>266</v>
      </c>
      <c r="C130" s="4" t="s">
        <v>779</v>
      </c>
      <c r="D130" s="5">
        <v>924352</v>
      </c>
      <c r="E130" s="5">
        <v>79886</v>
      </c>
      <c r="F130" s="5">
        <v>1004238</v>
      </c>
      <c r="G130" s="5">
        <v>1743863</v>
      </c>
      <c r="H130" s="12">
        <f>D130*(1+0.01*growthrate!E130)^2</f>
        <v>924352</v>
      </c>
      <c r="I130" s="4">
        <f>E130*(1+0.01*growthrate!$E$3)^2</f>
        <v>82300.554349999977</v>
      </c>
      <c r="J130" s="4">
        <f>F130*(1+0.01*growthrate!$E$3)^2</f>
        <v>1034591.0935499998</v>
      </c>
      <c r="K130" s="4">
        <f>G130*(1+0.01*growthrate!$E$3)^2</f>
        <v>1796571.2591749995</v>
      </c>
      <c r="L130" s="12">
        <f>H130*(1+0.01*growthrate!$E$3)^5</f>
        <v>995789.62355852919</v>
      </c>
      <c r="M130" s="4">
        <f>I130*(1+0.01*growthrate!$E$3)^5</f>
        <v>88661.070712071538</v>
      </c>
      <c r="N130" s="4">
        <f>J130*(1+0.01*growthrate!$E$3)^5</f>
        <v>1114548.4356426569</v>
      </c>
      <c r="O130" s="4">
        <f>K130*(1+0.01*growthrate!$E$3)^5</f>
        <v>1935417.4793476355</v>
      </c>
      <c r="P130" s="12">
        <f>L130*(1+0.01*growthrate!$F$3)^10</f>
        <v>1067732.1063577959</v>
      </c>
      <c r="Q130" s="4">
        <f>M130*(1+0.01*growthrate!$F$3)^10</f>
        <v>95066.537694016704</v>
      </c>
      <c r="R130" s="4">
        <f>N130*(1+0.01*growthrate!$F$3)^10</f>
        <v>1195070.8469664764</v>
      </c>
      <c r="S130" s="4">
        <f>O130*(1+0.01*growthrate!$F$3)^10</f>
        <v>2075244.9443294327</v>
      </c>
    </row>
    <row r="131" spans="1:19" x14ac:dyDescent="0.2">
      <c r="A131" s="2" t="s">
        <v>267</v>
      </c>
      <c r="B131" s="8" t="s">
        <v>268</v>
      </c>
      <c r="C131" s="4" t="s">
        <v>779</v>
      </c>
      <c r="D131" s="5">
        <v>420524</v>
      </c>
      <c r="E131" s="5">
        <v>1616</v>
      </c>
      <c r="F131" s="5">
        <v>422140</v>
      </c>
      <c r="G131" s="5">
        <v>1675795</v>
      </c>
      <c r="H131" s="12">
        <f>D131*(1+0.01*growthrate!E131)^2</f>
        <v>420524</v>
      </c>
      <c r="I131" s="4">
        <f>E131*(1+0.01*growthrate!$E$3)^2</f>
        <v>1664.8435999999995</v>
      </c>
      <c r="J131" s="4">
        <f>F131*(1+0.01*growthrate!$E$3)^2</f>
        <v>434899.18149999989</v>
      </c>
      <c r="K131" s="4">
        <f>G131*(1+0.01*growthrate!$E$3)^2</f>
        <v>1726445.9038749996</v>
      </c>
      <c r="L131" s="12">
        <f>H131*(1+0.01*growthrate!$E$3)^5</f>
        <v>453023.77844947262</v>
      </c>
      <c r="M131" s="4">
        <f>I131*(1+0.01*growthrate!$E$3)^5</f>
        <v>1793.5093792492751</v>
      </c>
      <c r="N131" s="4">
        <f>J131*(1+0.01*growthrate!$E$3)^5</f>
        <v>468509.93153235706</v>
      </c>
      <c r="O131" s="4">
        <f>K131*(1+0.01*growthrate!$E$3)^5</f>
        <v>1859872.5558162371</v>
      </c>
      <c r="P131" s="12">
        <f>L131*(1+0.01*growthrate!$F$3)^10</f>
        <v>485753.23718021455</v>
      </c>
      <c r="Q131" s="4">
        <f>M131*(1+0.01*growthrate!$F$3)^10</f>
        <v>1923.0844567700344</v>
      </c>
      <c r="R131" s="4">
        <f>N131*(1+0.01*growthrate!$F$3)^10</f>
        <v>502358.21323075646</v>
      </c>
      <c r="S131" s="4">
        <f>O131*(1+0.01*growthrate!$F$3)^10</f>
        <v>1994242.151753057</v>
      </c>
    </row>
    <row r="132" spans="1:19" x14ac:dyDescent="0.2">
      <c r="A132" s="2" t="s">
        <v>269</v>
      </c>
      <c r="B132" s="8" t="s">
        <v>270</v>
      </c>
      <c r="C132" s="4" t="s">
        <v>779</v>
      </c>
      <c r="D132" s="5">
        <v>2144841</v>
      </c>
      <c r="E132" s="5">
        <v>508153</v>
      </c>
      <c r="F132" s="5">
        <v>2652994</v>
      </c>
      <c r="G132" s="5">
        <v>4091426</v>
      </c>
      <c r="H132" s="12">
        <f>D132*(1+0.01*growthrate!E132)^2</f>
        <v>2144841</v>
      </c>
      <c r="I132" s="4">
        <f>E132*(1+0.01*growthrate!$E$3)^2</f>
        <v>523511.92442499986</v>
      </c>
      <c r="J132" s="4">
        <f>F132*(1+0.01*growthrate!$E$3)^2</f>
        <v>2733180.7436499991</v>
      </c>
      <c r="K132" s="4">
        <f>G132*(1+0.01*growthrate!$E$3)^2</f>
        <v>4215089.3508499991</v>
      </c>
      <c r="L132" s="12">
        <f>H132*(1+0.01*growthrate!$E$3)^5</f>
        <v>2310602.9001753652</v>
      </c>
      <c r="M132" s="4">
        <f>I132*(1+0.01*growthrate!$E$3)^5</f>
        <v>563971.02202577784</v>
      </c>
      <c r="N132" s="4">
        <f>J132*(1+0.01*growthrate!$E$3)^5</f>
        <v>2944411.8948589428</v>
      </c>
      <c r="O132" s="4">
        <f>K132*(1+0.01*growthrate!$E$3)^5</f>
        <v>4540848.3326140754</v>
      </c>
      <c r="P132" s="12">
        <f>L132*(1+0.01*growthrate!$F$3)^10</f>
        <v>2477536.2618705439</v>
      </c>
      <c r="Q132" s="4">
        <f>M132*(1+0.01*growthrate!$F$3)^10</f>
        <v>604716.04948085616</v>
      </c>
      <c r="R132" s="4">
        <f>N132*(1+0.01*growthrate!$F$3)^10</f>
        <v>3157135.8448664364</v>
      </c>
      <c r="S132" s="4">
        <f>O132*(1+0.01*growthrate!$F$3)^10</f>
        <v>4868909.49667376</v>
      </c>
    </row>
    <row r="133" spans="1:19" x14ac:dyDescent="0.2">
      <c r="A133" s="2" t="s">
        <v>271</v>
      </c>
      <c r="B133" s="8" t="s">
        <v>272</v>
      </c>
      <c r="C133" s="4" t="s">
        <v>779</v>
      </c>
      <c r="D133" s="5">
        <v>1501782</v>
      </c>
      <c r="E133" s="5">
        <v>14790</v>
      </c>
      <c r="F133" s="5">
        <v>1516572</v>
      </c>
      <c r="G133" s="5">
        <v>1961494</v>
      </c>
      <c r="H133" s="12">
        <f>D133*(1+0.01*growthrate!E133)^2</f>
        <v>1501782</v>
      </c>
      <c r="I133" s="4">
        <f>E133*(1+0.01*growthrate!$E$3)^2</f>
        <v>15237.027749999996</v>
      </c>
      <c r="J133" s="4">
        <f>F133*(1+0.01*growthrate!$E$3)^2</f>
        <v>1562410.3886999995</v>
      </c>
      <c r="K133" s="4">
        <f>G133*(1+0.01*growthrate!$E$3)^2</f>
        <v>2020780.1561499995</v>
      </c>
      <c r="L133" s="12">
        <f>H133*(1+0.01*growthrate!$E$3)^5</f>
        <v>1617845.7259214835</v>
      </c>
      <c r="M133" s="4">
        <f>I133*(1+0.01*growthrate!$E$3)^5</f>
        <v>16414.606261817313</v>
      </c>
      <c r="N133" s="4">
        <f>J133*(1+0.01*growthrate!$E$3)^5</f>
        <v>1683159.7192492771</v>
      </c>
      <c r="O133" s="4">
        <f>K133*(1+0.01*growthrate!$E$3)^5</f>
        <v>2176954.1375873624</v>
      </c>
      <c r="P133" s="12">
        <f>L133*(1+0.01*growthrate!$F$3)^10</f>
        <v>1734729.6897180113</v>
      </c>
      <c r="Q133" s="4">
        <f>M133*(1+0.01*growthrate!$F$3)^10</f>
        <v>17600.506878483175</v>
      </c>
      <c r="R133" s="4">
        <f>N133*(1+0.01*growthrate!$F$3)^10</f>
        <v>1804762.4014682209</v>
      </c>
      <c r="S133" s="4">
        <f>O133*(1+0.01*growthrate!$F$3)^10</f>
        <v>2334231.8214403973</v>
      </c>
    </row>
    <row r="134" spans="1:19" x14ac:dyDescent="0.2">
      <c r="A134" s="2" t="s">
        <v>273</v>
      </c>
      <c r="B134" s="8" t="s">
        <v>274</v>
      </c>
      <c r="C134" s="4" t="s">
        <v>779</v>
      </c>
      <c r="D134" s="5">
        <v>914751</v>
      </c>
      <c r="E134" s="5">
        <v>5648</v>
      </c>
      <c r="F134" s="5">
        <v>920399</v>
      </c>
      <c r="G134" s="5">
        <v>1845773</v>
      </c>
      <c r="H134" s="12">
        <f>D134*(1+0.01*growthrate!E134)^2</f>
        <v>914751</v>
      </c>
      <c r="I134" s="4">
        <f>E134*(1+0.01*growthrate!$E$3)^2</f>
        <v>5818.710799999998</v>
      </c>
      <c r="J134" s="4">
        <f>F134*(1+0.01*growthrate!$E$3)^2</f>
        <v>948218.05977499974</v>
      </c>
      <c r="K134" s="4">
        <f>G134*(1+0.01*growthrate!$E$3)^2</f>
        <v>1901561.4889249995</v>
      </c>
      <c r="L134" s="12">
        <f>H134*(1+0.01*growthrate!$E$3)^5</f>
        <v>985446.61983723531</v>
      </c>
      <c r="M134" s="4">
        <f>I134*(1+0.01*growthrate!$E$3)^5</f>
        <v>6268.4040680692488</v>
      </c>
      <c r="N134" s="4">
        <f>J134*(1+0.01*growthrate!$E$3)^5</f>
        <v>1021500.1479898847</v>
      </c>
      <c r="O134" s="4">
        <f>K134*(1+0.01*growthrate!$E$3)^5</f>
        <v>2048521.7744214558</v>
      </c>
      <c r="P134" s="12">
        <f>L134*(1+0.01*growthrate!$F$3)^10</f>
        <v>1056641.8550756639</v>
      </c>
      <c r="Q134" s="4">
        <f>M134*(1+0.01*growthrate!$F$3)^10</f>
        <v>6721.2753786121011</v>
      </c>
      <c r="R134" s="4">
        <f>N134*(1+0.01*growthrate!$F$3)^10</f>
        <v>1095300.1305239375</v>
      </c>
      <c r="S134" s="4">
        <f>O134*(1+0.01*growthrate!$F$3)^10</f>
        <v>2196520.6479120031</v>
      </c>
    </row>
    <row r="135" spans="1:19" x14ac:dyDescent="0.2">
      <c r="A135" s="2" t="s">
        <v>275</v>
      </c>
      <c r="B135" s="8" t="s">
        <v>276</v>
      </c>
      <c r="C135" s="4" t="s">
        <v>779</v>
      </c>
      <c r="D135" s="5">
        <v>465725</v>
      </c>
      <c r="E135" s="5">
        <v>101107</v>
      </c>
      <c r="F135" s="5">
        <v>566832</v>
      </c>
      <c r="G135" s="5">
        <v>63544</v>
      </c>
      <c r="H135" s="12">
        <f>D135*(1+0.01*growthrate!E135)^2</f>
        <v>465725</v>
      </c>
      <c r="I135" s="4">
        <f>E135*(1+0.01*growthrate!$E$3)^2</f>
        <v>104162.95907499998</v>
      </c>
      <c r="J135" s="4">
        <f>F135*(1+0.01*growthrate!$E$3)^2</f>
        <v>583964.49719999987</v>
      </c>
      <c r="K135" s="4">
        <f>G135*(1+0.01*growthrate!$E$3)^2</f>
        <v>65464.617399999981</v>
      </c>
      <c r="L135" s="12">
        <f>H135*(1+0.01*growthrate!$E$3)^5</f>
        <v>501718.09270905022</v>
      </c>
      <c r="M135" s="4">
        <f>I135*(1+0.01*growthrate!$E$3)^5</f>
        <v>112213.0896087602</v>
      </c>
      <c r="N135" s="4">
        <f>J135*(1+0.01*growthrate!$E$3)^5</f>
        <v>629095.61166994134</v>
      </c>
      <c r="O135" s="4">
        <f>K135*(1+0.01*growthrate!$E$3)^5</f>
        <v>70523.985145430663</v>
      </c>
      <c r="P135" s="12">
        <f>L135*(1+0.01*growthrate!$F$3)^10</f>
        <v>537965.55341848603</v>
      </c>
      <c r="Q135" s="4">
        <f>M135*(1+0.01*growthrate!$F$3)^10</f>
        <v>120320.11149173757</v>
      </c>
      <c r="R135" s="4">
        <f>N135*(1+0.01*growthrate!$F$3)^10</f>
        <v>674545.67376229726</v>
      </c>
      <c r="S135" s="4">
        <f>O135*(1+0.01*growthrate!$F$3)^10</f>
        <v>75619.108119427648</v>
      </c>
    </row>
    <row r="136" spans="1:19" x14ac:dyDescent="0.2">
      <c r="A136" s="2" t="s">
        <v>277</v>
      </c>
      <c r="B136" s="8" t="s">
        <v>278</v>
      </c>
      <c r="C136" s="4" t="s">
        <v>779</v>
      </c>
      <c r="D136" s="5">
        <v>532983</v>
      </c>
      <c r="E136" s="5">
        <v>19718</v>
      </c>
      <c r="F136" s="5">
        <v>552701</v>
      </c>
      <c r="G136" s="5">
        <v>142672</v>
      </c>
      <c r="H136" s="12">
        <f>D136*(1+0.01*growthrate!E136)^2</f>
        <v>532983</v>
      </c>
      <c r="I136" s="4">
        <f>E136*(1+0.01*growthrate!$E$3)^2</f>
        <v>20313.976549999996</v>
      </c>
      <c r="J136" s="4">
        <f>F136*(1+0.01*growthrate!$E$3)^2</f>
        <v>569406.3877249998</v>
      </c>
      <c r="K136" s="4">
        <f>G136*(1+0.01*growthrate!$E$3)^2</f>
        <v>146984.26119999995</v>
      </c>
      <c r="L136" s="12">
        <f>H136*(1+0.01*growthrate!$E$3)^5</f>
        <v>574174.06024230551</v>
      </c>
      <c r="M136" s="4">
        <f>I136*(1+0.01*growthrate!$E$3)^5</f>
        <v>21883.921992597283</v>
      </c>
      <c r="N136" s="4">
        <f>J136*(1+0.01*growthrate!$E$3)^5</f>
        <v>613412.39320572617</v>
      </c>
      <c r="O136" s="4">
        <f>K136*(1+0.01*growthrate!$E$3)^5</f>
        <v>158343.79341352262</v>
      </c>
      <c r="P136" s="12">
        <f>L136*(1+0.01*growthrate!$F$3)^10</f>
        <v>615656.22321680165</v>
      </c>
      <c r="Q136" s="4">
        <f>M136*(1+0.01*growthrate!$F$3)^10</f>
        <v>23464.962449623479</v>
      </c>
      <c r="R136" s="4">
        <f>N136*(1+0.01*growthrate!$F$3)^10</f>
        <v>657729.39501315274</v>
      </c>
      <c r="S136" s="4">
        <f>O136*(1+0.01*growthrate!$F$3)^10</f>
        <v>169783.60496057817</v>
      </c>
    </row>
    <row r="137" spans="1:19" x14ac:dyDescent="0.2">
      <c r="A137" s="2" t="s">
        <v>279</v>
      </c>
      <c r="B137" s="8" t="s">
        <v>280</v>
      </c>
      <c r="C137" s="4" t="s">
        <v>779</v>
      </c>
      <c r="D137" s="5">
        <v>554590</v>
      </c>
      <c r="E137" s="5">
        <v>903</v>
      </c>
      <c r="F137" s="5">
        <v>555493</v>
      </c>
      <c r="G137" s="5">
        <v>847095</v>
      </c>
      <c r="H137" s="12">
        <f>D137*(1+0.01*growthrate!E137)^2</f>
        <v>554590</v>
      </c>
      <c r="I137" s="4">
        <f>E137*(1+0.01*growthrate!$E$3)^2</f>
        <v>930.29317499999979</v>
      </c>
      <c r="J137" s="4">
        <f>F137*(1+0.01*growthrate!$E$3)^2</f>
        <v>572282.77592499985</v>
      </c>
      <c r="K137" s="4">
        <f>G137*(1+0.01*growthrate!$E$3)^2</f>
        <v>872698.44637499971</v>
      </c>
      <c r="L137" s="12">
        <f>H137*(1+0.01*growthrate!$E$3)^5</f>
        <v>597450.93571423518</v>
      </c>
      <c r="M137" s="4">
        <f>I137*(1+0.01*growthrate!$E$3)^5</f>
        <v>1002.1899563503067</v>
      </c>
      <c r="N137" s="4">
        <f>J137*(1+0.01*growthrate!$E$3)^5</f>
        <v>616511.08020254807</v>
      </c>
      <c r="O137" s="4">
        <f>K137*(1+0.01*growthrate!$E$3)^5</f>
        <v>940144.07649453264</v>
      </c>
      <c r="P137" s="12">
        <f>L137*(1+0.01*growthrate!$F$3)^10</f>
        <v>640614.77539397322</v>
      </c>
      <c r="Q137" s="4">
        <f>M137*(1+0.01*growthrate!$F$3)^10</f>
        <v>1074.5948418708797</v>
      </c>
      <c r="R137" s="4">
        <f>N137*(1+0.01*growthrate!$F$3)^10</f>
        <v>661051.95182212675</v>
      </c>
      <c r="S137" s="4">
        <f>O137*(1+0.01*growthrate!$F$3)^10</f>
        <v>1008066.3539032255</v>
      </c>
    </row>
    <row r="138" spans="1:19" x14ac:dyDescent="0.2">
      <c r="A138" s="2" t="s">
        <v>281</v>
      </c>
      <c r="B138" s="8" t="s">
        <v>282</v>
      </c>
      <c r="C138" s="4" t="s">
        <v>779</v>
      </c>
      <c r="D138" s="5">
        <v>1627873</v>
      </c>
      <c r="E138" s="5">
        <v>17308</v>
      </c>
      <c r="F138" s="5">
        <v>1645181</v>
      </c>
      <c r="G138" s="5">
        <v>689998</v>
      </c>
      <c r="H138" s="12">
        <f>D138*(1+0.01*growthrate!E138)^2</f>
        <v>1627873</v>
      </c>
      <c r="I138" s="4">
        <f>E138*(1+0.01*growthrate!$E$3)^2</f>
        <v>17831.134299999994</v>
      </c>
      <c r="J138" s="4">
        <f>F138*(1+0.01*growthrate!$E$3)^2</f>
        <v>1694906.5957249994</v>
      </c>
      <c r="K138" s="4">
        <f>G138*(1+0.01*growthrate!$E$3)^2</f>
        <v>710853.18954999978</v>
      </c>
      <c r="L138" s="12">
        <f>H138*(1+0.01*growthrate!$E$3)^5</f>
        <v>1753681.5432552681</v>
      </c>
      <c r="M138" s="4">
        <f>I138*(1+0.01*growthrate!$E$3)^5</f>
        <v>19209.195752503994</v>
      </c>
      <c r="N138" s="4">
        <f>J138*(1+0.01*growthrate!$E$3)^5</f>
        <v>1825895.7636526618</v>
      </c>
      <c r="O138" s="4">
        <f>K138*(1+0.01*growthrate!$E$3)^5</f>
        <v>765790.77021240187</v>
      </c>
      <c r="P138" s="12">
        <f>L138*(1+0.01*growthrate!$F$3)^10</f>
        <v>1880379.1923130844</v>
      </c>
      <c r="Q138" s="4">
        <f>M138*(1+0.01*growthrate!$F$3)^10</f>
        <v>20596.996149613711</v>
      </c>
      <c r="R138" s="4">
        <f>N138*(1+0.01*growthrate!$F$3)^10</f>
        <v>1957810.6495503602</v>
      </c>
      <c r="S138" s="4">
        <f>O138*(1+0.01*growthrate!$F$3)^10</f>
        <v>821116.60210545198</v>
      </c>
    </row>
    <row r="139" spans="1:19" x14ac:dyDescent="0.2">
      <c r="A139" s="2" t="s">
        <v>283</v>
      </c>
      <c r="B139" s="8" t="s">
        <v>284</v>
      </c>
      <c r="C139" s="4" t="s">
        <v>779</v>
      </c>
      <c r="D139" s="5">
        <v>398284</v>
      </c>
      <c r="E139" s="5">
        <v>36211</v>
      </c>
      <c r="F139" s="5">
        <v>434495</v>
      </c>
      <c r="G139" s="5">
        <v>118485</v>
      </c>
      <c r="H139" s="12">
        <f>D139*(1+0.01*growthrate!E139)^2</f>
        <v>398284</v>
      </c>
      <c r="I139" s="4">
        <f>E139*(1+0.01*growthrate!$E$3)^2</f>
        <v>37305.477474999992</v>
      </c>
      <c r="J139" s="4">
        <f>F139*(1+0.01*growthrate!$E$3)^2</f>
        <v>447627.61137499986</v>
      </c>
      <c r="K139" s="4">
        <f>G139*(1+0.01*growthrate!$E$3)^2</f>
        <v>122066.20912499996</v>
      </c>
      <c r="L139" s="12">
        <f>H139*(1+0.01*growthrate!$E$3)^5</f>
        <v>429064.9822030841</v>
      </c>
      <c r="M139" s="4">
        <f>I139*(1+0.01*growthrate!$E$3)^5</f>
        <v>40188.594141086331</v>
      </c>
      <c r="N139" s="4">
        <f>J139*(1+0.01*growthrate!$E$3)^5</f>
        <v>482222.06543125852</v>
      </c>
      <c r="O139" s="4">
        <f>K139*(1+0.01*growthrate!$E$3)^5</f>
        <v>131499.97450516731</v>
      </c>
      <c r="P139" s="12">
        <f>L139*(1+0.01*growthrate!$F$3)^10</f>
        <v>460063.49772446894</v>
      </c>
      <c r="Q139" s="4">
        <f>M139*(1+0.01*growthrate!$F$3)^10</f>
        <v>43092.08617827954</v>
      </c>
      <c r="R139" s="4">
        <f>N139*(1+0.01*growthrate!$F$3)^10</f>
        <v>517061.00312147039</v>
      </c>
      <c r="S139" s="4">
        <f>O139*(1+0.01*growthrate!$F$3)^10</f>
        <v>141000.4095670777</v>
      </c>
    </row>
    <row r="140" spans="1:19" x14ac:dyDescent="0.2">
      <c r="A140" s="2" t="s">
        <v>285</v>
      </c>
      <c r="B140" s="8" t="s">
        <v>286</v>
      </c>
      <c r="C140" s="4" t="s">
        <v>779</v>
      </c>
      <c r="D140" s="5">
        <v>288901</v>
      </c>
      <c r="E140" s="5">
        <v>155761</v>
      </c>
      <c r="F140" s="5">
        <v>444662</v>
      </c>
      <c r="G140" s="5">
        <v>50328</v>
      </c>
      <c r="H140" s="12">
        <f>D140*(1+0.01*growthrate!E140)^2</f>
        <v>288901</v>
      </c>
      <c r="I140" s="4">
        <f>E140*(1+0.01*growthrate!$E$3)^2</f>
        <v>160468.87622499996</v>
      </c>
      <c r="J140" s="4">
        <f>F140*(1+0.01*growthrate!$E$3)^2</f>
        <v>458101.9089499999</v>
      </c>
      <c r="K140" s="4">
        <f>G140*(1+0.01*growthrate!$E$3)^2</f>
        <v>51849.163799999988</v>
      </c>
      <c r="L140" s="12">
        <f>H140*(1+0.01*growthrate!$E$3)^5</f>
        <v>311228.42600619962</v>
      </c>
      <c r="M140" s="4">
        <f>I140*(1+0.01*growthrate!$E$3)^5</f>
        <v>172870.55347849402</v>
      </c>
      <c r="N140" s="4">
        <f>J140*(1+0.01*growthrate!$E$3)^5</f>
        <v>493505.85866073094</v>
      </c>
      <c r="O140" s="4">
        <f>K140*(1+0.01*growthrate!$E$3)^5</f>
        <v>55856.274776520746</v>
      </c>
      <c r="P140" s="12">
        <f>L140*(1+0.01*growthrate!$F$3)^10</f>
        <v>333713.64291836176</v>
      </c>
      <c r="Q140" s="4">
        <f>M140*(1+0.01*growthrate!$F$3)^10</f>
        <v>185359.87504390924</v>
      </c>
      <c r="R140" s="4">
        <f>N140*(1+0.01*growthrate!$F$3)^10</f>
        <v>529160.0128194784</v>
      </c>
      <c r="S140" s="4">
        <f>O140*(1+0.01*growthrate!$F$3)^10</f>
        <v>59891.704542278654</v>
      </c>
    </row>
    <row r="141" spans="1:19" x14ac:dyDescent="0.2">
      <c r="A141" s="2" t="s">
        <v>287</v>
      </c>
      <c r="B141" s="8" t="s">
        <v>288</v>
      </c>
      <c r="C141" s="4" t="s">
        <v>779</v>
      </c>
      <c r="D141" s="5">
        <v>618297</v>
      </c>
      <c r="E141" s="5">
        <v>18729</v>
      </c>
      <c r="F141" s="5">
        <v>637026</v>
      </c>
      <c r="G141" s="5">
        <v>150860</v>
      </c>
      <c r="H141" s="12">
        <f>D141*(1+0.01*growthrate!E141)^2</f>
        <v>618297</v>
      </c>
      <c r="I141" s="4">
        <f>E141*(1+0.01*growthrate!$E$3)^2</f>
        <v>19295.084024999996</v>
      </c>
      <c r="J141" s="4">
        <f>F141*(1+0.01*growthrate!$E$3)^2</f>
        <v>656280.11084999982</v>
      </c>
      <c r="K141" s="4">
        <f>G141*(1+0.01*growthrate!$E$3)^2</f>
        <v>155419.74349999995</v>
      </c>
      <c r="L141" s="12">
        <f>H141*(1+0.01*growthrate!$E$3)^5</f>
        <v>666081.46774969692</v>
      </c>
      <c r="M141" s="4">
        <f>I141*(1+0.01*growthrate!$E$3)^5</f>
        <v>20786.285373737424</v>
      </c>
      <c r="N141" s="4">
        <f>J141*(1+0.01*growthrate!$E$3)^5</f>
        <v>707000.06548616884</v>
      </c>
      <c r="O141" s="4">
        <f>K141*(1+0.01*growthrate!$E$3)^5</f>
        <v>167431.2035603624</v>
      </c>
      <c r="P141" s="12">
        <f>L141*(1+0.01*growthrate!$F$3)^10</f>
        <v>714203.63472433225</v>
      </c>
      <c r="Q141" s="4">
        <f>M141*(1+0.01*growthrate!$F$3)^10</f>
        <v>22288.025241860138</v>
      </c>
      <c r="R141" s="4">
        <f>N141*(1+0.01*growthrate!$F$3)^10</f>
        <v>758078.46482573519</v>
      </c>
      <c r="S141" s="4">
        <f>O141*(1+0.01*growthrate!$F$3)^10</f>
        <v>179527.55021554913</v>
      </c>
    </row>
    <row r="142" spans="1:19" x14ac:dyDescent="0.2">
      <c r="A142" s="2" t="s">
        <v>289</v>
      </c>
      <c r="B142" s="8" t="s">
        <v>290</v>
      </c>
      <c r="C142" s="4" t="s">
        <v>779</v>
      </c>
      <c r="D142" s="5">
        <v>562326</v>
      </c>
      <c r="E142" s="5">
        <v>-31650</v>
      </c>
      <c r="F142" s="5">
        <v>530676</v>
      </c>
      <c r="G142" s="5">
        <v>276290</v>
      </c>
      <c r="H142" s="12">
        <f>D142*(1+0.01*growthrate!E142)^2</f>
        <v>562326</v>
      </c>
      <c r="I142" s="4">
        <f>E142*(1+0.01*growthrate!$E$3)^2</f>
        <v>-32606.621249999993</v>
      </c>
      <c r="J142" s="4">
        <f>F142*(1+0.01*growthrate!$E$3)^2</f>
        <v>546715.68209999986</v>
      </c>
      <c r="K142" s="4">
        <f>G142*(1+0.01*growthrate!$E$3)^2</f>
        <v>284640.86524999992</v>
      </c>
      <c r="L142" s="12">
        <f>H142*(1+0.01*growthrate!$E$3)^5</f>
        <v>605784.80476828467</v>
      </c>
      <c r="M142" s="4">
        <f>I142*(1+0.01*growthrate!$E$3)^5</f>
        <v>-35126.591493341315</v>
      </c>
      <c r="N142" s="4">
        <f>J142*(1+0.01*growthrate!$E$3)^5</f>
        <v>588968.05899906461</v>
      </c>
      <c r="O142" s="4">
        <f>K142*(1+0.01*growthrate!$E$3)^5</f>
        <v>306639.05098563258</v>
      </c>
      <c r="P142" s="12">
        <f>L142*(1+0.01*growthrate!$F$3)^10</f>
        <v>649550.73872264451</v>
      </c>
      <c r="Q142" s="4">
        <f>M142*(1+0.01*growthrate!$F$3)^10</f>
        <v>-37664.37070344777</v>
      </c>
      <c r="R142" s="4">
        <f>N142*(1+0.01*growthrate!$F$3)^10</f>
        <v>631519.03909708851</v>
      </c>
      <c r="S142" s="4">
        <f>O142*(1+0.01*growthrate!$F$3)^10</f>
        <v>328792.70084219857</v>
      </c>
    </row>
    <row r="143" spans="1:19" x14ac:dyDescent="0.2">
      <c r="A143" s="2" t="s">
        <v>291</v>
      </c>
      <c r="B143" s="8" t="s">
        <v>292</v>
      </c>
      <c r="C143" s="4" t="s">
        <v>779</v>
      </c>
      <c r="D143" s="5">
        <v>666805</v>
      </c>
      <c r="E143" s="5">
        <v>-2309</v>
      </c>
      <c r="F143" s="5">
        <v>664496</v>
      </c>
      <c r="G143" s="5">
        <v>21683</v>
      </c>
      <c r="H143" s="12">
        <f>D143*(1+0.01*growthrate!E143)^2</f>
        <v>666805</v>
      </c>
      <c r="I143" s="4">
        <f>E143*(1+0.01*growthrate!$E$3)^2</f>
        <v>-2378.7895249999992</v>
      </c>
      <c r="J143" s="4">
        <f>F143*(1+0.01*growthrate!$E$3)^2</f>
        <v>684580.39159999986</v>
      </c>
      <c r="K143" s="4">
        <f>G143*(1+0.01*growthrate!$E$3)^2</f>
        <v>22338.368674999994</v>
      </c>
      <c r="L143" s="12">
        <f>H143*(1+0.01*growthrate!$E$3)^5</f>
        <v>718338.36021012021</v>
      </c>
      <c r="M143" s="4">
        <f>I143*(1+0.01*growthrate!$E$3)^5</f>
        <v>-2562.6319038902079</v>
      </c>
      <c r="N143" s="4">
        <f>J143*(1+0.01*growthrate!$E$3)^5</f>
        <v>737487.50524358067</v>
      </c>
      <c r="O143" s="4">
        <f>K143*(1+0.01*growthrate!$E$3)^5</f>
        <v>24064.767246449279</v>
      </c>
      <c r="P143" s="12">
        <f>L143*(1+0.01*growthrate!$F$3)^10</f>
        <v>770235.913569625</v>
      </c>
      <c r="Q143" s="4">
        <f>M143*(1+0.01*growthrate!$F$3)^10</f>
        <v>-2747.7735214616396</v>
      </c>
      <c r="R143" s="4">
        <f>N143*(1+0.01*growthrate!$F$3)^10</f>
        <v>790768.52053580503</v>
      </c>
      <c r="S143" s="4">
        <f>O143*(1+0.01*growthrate!$F$3)^10</f>
        <v>25803.36650751526</v>
      </c>
    </row>
    <row r="144" spans="1:19" x14ac:dyDescent="0.2">
      <c r="A144" s="2" t="s">
        <v>293</v>
      </c>
      <c r="B144" s="8" t="s">
        <v>294</v>
      </c>
      <c r="C144" s="4" t="s">
        <v>779</v>
      </c>
      <c r="D144" s="5">
        <v>70884</v>
      </c>
      <c r="E144" s="5">
        <v>386</v>
      </c>
      <c r="F144" s="5">
        <v>71270</v>
      </c>
      <c r="G144" s="5">
        <v>862886</v>
      </c>
      <c r="H144" s="12">
        <f>D144*(1+0.01*growthrate!E144)^2</f>
        <v>70884</v>
      </c>
      <c r="I144" s="4">
        <f>E144*(1+0.01*growthrate!$E$3)^2</f>
        <v>397.6668499999999</v>
      </c>
      <c r="J144" s="4">
        <f>F144*(1+0.01*growthrate!$E$3)^2</f>
        <v>73424.135749999987</v>
      </c>
      <c r="K144" s="4">
        <f>G144*(1+0.01*growthrate!$E$3)^2</f>
        <v>888966.7293499998</v>
      </c>
      <c r="L144" s="12">
        <f>H144*(1+0.01*growthrate!$E$3)^5</f>
        <v>76362.199331339987</v>
      </c>
      <c r="M144" s="4">
        <f>I144*(1+0.01*growthrate!$E$3)^5</f>
        <v>428.40013638008679</v>
      </c>
      <c r="N144" s="4">
        <f>J144*(1+0.01*growthrate!$E$3)^5</f>
        <v>79098.646942509804</v>
      </c>
      <c r="O144" s="4">
        <f>K144*(1+0.01*growthrate!$E$3)^5</f>
        <v>957669.63751416467</v>
      </c>
      <c r="P144" s="12">
        <f>L144*(1+0.01*growthrate!$F$3)^10</f>
        <v>81879.113830084199</v>
      </c>
      <c r="Q144" s="4">
        <f>M144*(1+0.01*growthrate!$F$3)^10</f>
        <v>459.35061900571372</v>
      </c>
      <c r="R144" s="4">
        <f>N144*(1+0.01*growthrate!$F$3)^10</f>
        <v>84813.260664604182</v>
      </c>
      <c r="S144" s="4">
        <f>O144*(1+0.01*growthrate!$F$3)^10</f>
        <v>1026858.0783195966</v>
      </c>
    </row>
    <row r="145" spans="1:19" x14ac:dyDescent="0.2">
      <c r="A145" s="2" t="s">
        <v>295</v>
      </c>
      <c r="B145" s="8" t="s">
        <v>296</v>
      </c>
      <c r="C145" s="4" t="s">
        <v>779</v>
      </c>
      <c r="D145" s="5">
        <v>0</v>
      </c>
      <c r="E145" s="5">
        <v>0</v>
      </c>
      <c r="F145" s="5">
        <v>0</v>
      </c>
      <c r="G145" s="5">
        <v>91970</v>
      </c>
      <c r="H145" s="12">
        <f>D145*(1+0.01*growthrate!E145)^2</f>
        <v>0</v>
      </c>
      <c r="I145" s="4">
        <f>E145*(1+0.01*growthrate!$E$3)^2</f>
        <v>0</v>
      </c>
      <c r="J145" s="4">
        <f>F145*(1+0.01*growthrate!$E$3)^2</f>
        <v>0</v>
      </c>
      <c r="K145" s="4">
        <f>G145*(1+0.01*growthrate!$E$3)^2</f>
        <v>94749.793249999973</v>
      </c>
      <c r="L145" s="12">
        <f>H145*(1+0.01*growthrate!$E$3)^5</f>
        <v>0</v>
      </c>
      <c r="M145" s="4">
        <f>I145*(1+0.01*growthrate!$E$3)^5</f>
        <v>0</v>
      </c>
      <c r="N145" s="4">
        <f>J145*(1+0.01*growthrate!$E$3)^5</f>
        <v>0</v>
      </c>
      <c r="O145" s="4">
        <f>K145*(1+0.01*growthrate!$E$3)^5</f>
        <v>102072.43663957663</v>
      </c>
      <c r="P145" s="12">
        <f>L145*(1+0.01*growthrate!$F$3)^10</f>
        <v>0</v>
      </c>
      <c r="Q145" s="4">
        <f>M145*(1+0.01*growthrate!$F$3)^10</f>
        <v>0</v>
      </c>
      <c r="R145" s="4">
        <f>N145*(1+0.01*growthrate!$F$3)^10</f>
        <v>0</v>
      </c>
      <c r="S145" s="4">
        <f>O145*(1+0.01*growthrate!$F$3)^10</f>
        <v>109446.83012941836</v>
      </c>
    </row>
    <row r="146" spans="1:19" x14ac:dyDescent="0.2">
      <c r="A146" s="2" t="s">
        <v>297</v>
      </c>
      <c r="B146" s="8" t="s">
        <v>298</v>
      </c>
      <c r="C146" s="4" t="s">
        <v>779</v>
      </c>
      <c r="D146" s="5">
        <v>207231</v>
      </c>
      <c r="E146" s="5">
        <v>1469</v>
      </c>
      <c r="F146" s="5">
        <v>208700</v>
      </c>
      <c r="G146" s="5">
        <v>210481</v>
      </c>
      <c r="H146" s="12">
        <f>D146*(1+0.01*growthrate!E146)^2</f>
        <v>207231</v>
      </c>
      <c r="I146" s="4">
        <f>E146*(1+0.01*growthrate!$E$3)^2</f>
        <v>1513.4005249999996</v>
      </c>
      <c r="J146" s="4">
        <f>F146*(1+0.01*growthrate!$E$3)^2</f>
        <v>215007.95749999993</v>
      </c>
      <c r="K146" s="4">
        <f>G146*(1+0.01*growthrate!$E$3)^2</f>
        <v>216842.78822499994</v>
      </c>
      <c r="L146" s="12">
        <f>H146*(1+0.01*growthrate!$E$3)^5</f>
        <v>223246.64140896278</v>
      </c>
      <c r="M146" s="4">
        <f>I146*(1+0.01*growthrate!$E$3)^5</f>
        <v>1630.3621770527136</v>
      </c>
      <c r="N146" s="4">
        <f>J146*(1+0.01*growthrate!$E$3)^5</f>
        <v>231624.63332260129</v>
      </c>
      <c r="O146" s="4">
        <f>K146*(1+0.01*growthrate!$E$3)^5</f>
        <v>233601.26711247937</v>
      </c>
      <c r="P146" s="12">
        <f>L146*(1+0.01*growthrate!$F$3)^10</f>
        <v>239375.46749791462</v>
      </c>
      <c r="Q146" s="4">
        <f>M146*(1+0.01*growthrate!$F$3)^10</f>
        <v>1748.1504127445426</v>
      </c>
      <c r="R146" s="4">
        <f>N146*(1+0.01*growthrate!$F$3)^10</f>
        <v>248358.74141578353</v>
      </c>
      <c r="S146" s="4">
        <f>O146*(1+0.01*growthrate!$F$3)^10</f>
        <v>250478.18041176585</v>
      </c>
    </row>
    <row r="147" spans="1:19" x14ac:dyDescent="0.2">
      <c r="A147" s="2" t="s">
        <v>299</v>
      </c>
      <c r="B147" s="8" t="s">
        <v>300</v>
      </c>
      <c r="C147" s="4" t="s">
        <v>779</v>
      </c>
      <c r="D147" s="5">
        <v>53895</v>
      </c>
      <c r="E147" s="5">
        <v>-1885</v>
      </c>
      <c r="F147" s="5">
        <v>52010</v>
      </c>
      <c r="G147" s="5">
        <v>142781</v>
      </c>
      <c r="H147" s="12">
        <f>D147*(1+0.01*growthrate!E147)^2</f>
        <v>53895</v>
      </c>
      <c r="I147" s="4">
        <f>E147*(1+0.01*growthrate!$E$3)^2</f>
        <v>-1941.9741249999995</v>
      </c>
      <c r="J147" s="4">
        <f>F147*(1+0.01*growthrate!$E$3)^2</f>
        <v>53582.002249999983</v>
      </c>
      <c r="K147" s="4">
        <f>G147*(1+0.01*growthrate!$E$3)^2</f>
        <v>147096.55572499995</v>
      </c>
      <c r="L147" s="12">
        <f>H147*(1+0.01*growthrate!$E$3)^5</f>
        <v>58060.221389348349</v>
      </c>
      <c r="M147" s="4">
        <f>I147*(1+0.01*growthrate!$E$3)^5</f>
        <v>-2092.0576608198539</v>
      </c>
      <c r="N147" s="4">
        <f>J147*(1+0.01*growthrate!$E$3)^5</f>
        <v>57723.033920021531</v>
      </c>
      <c r="O147" s="4">
        <f>K147*(1+0.01*growthrate!$E$3)^5</f>
        <v>158464.76650902894</v>
      </c>
      <c r="P147" s="12">
        <f>L147*(1+0.01*growthrate!$F$3)^10</f>
        <v>62254.878955369168</v>
      </c>
      <c r="Q147" s="4">
        <f>M147*(1+0.01*growthrate!$F$3)^10</f>
        <v>-2243.2018570615814</v>
      </c>
      <c r="R147" s="4">
        <f>N147*(1+0.01*growthrate!$F$3)^10</f>
        <v>61893.330814733599</v>
      </c>
      <c r="S147" s="4">
        <f>O147*(1+0.01*growthrate!$F$3)^10</f>
        <v>169913.31795920935</v>
      </c>
    </row>
    <row r="148" spans="1:19" x14ac:dyDescent="0.2">
      <c r="A148" s="2" t="s">
        <v>301</v>
      </c>
      <c r="B148" s="8" t="s">
        <v>302</v>
      </c>
      <c r="C148" s="4" t="s">
        <v>779</v>
      </c>
      <c r="D148" s="5">
        <v>878723</v>
      </c>
      <c r="E148" s="5">
        <v>22828</v>
      </c>
      <c r="F148" s="5">
        <v>901551</v>
      </c>
      <c r="G148" s="5">
        <v>253269</v>
      </c>
      <c r="H148" s="12">
        <f>D148*(1+0.01*growthrate!E148)^2</f>
        <v>878723</v>
      </c>
      <c r="I148" s="4">
        <f>E148*(1+0.01*growthrate!$E$3)^2</f>
        <v>23517.976299999995</v>
      </c>
      <c r="J148" s="4">
        <f>F148*(1+0.01*growthrate!$E$3)^2</f>
        <v>928800.37897499977</v>
      </c>
      <c r="K148" s="4">
        <f>G148*(1+0.01*growthrate!$E$3)^2</f>
        <v>260924.05552499992</v>
      </c>
      <c r="L148" s="12">
        <f>H148*(1+0.01*growthrate!$E$3)^5</f>
        <v>946634.23174528906</v>
      </c>
      <c r="M148" s="4">
        <f>I148*(1+0.01*growthrate!$E$3)^5</f>
        <v>25335.539671721817</v>
      </c>
      <c r="N148" s="4">
        <f>J148*(1+0.01*growthrate!$E$3)^5</f>
        <v>1000581.7910715119</v>
      </c>
      <c r="O148" s="4">
        <f>K148*(1+0.01*growthrate!$E$3)^5</f>
        <v>281089.31124572072</v>
      </c>
      <c r="P148" s="12">
        <f>L148*(1+0.01*growthrate!$F$3)^10</f>
        <v>1015025.4012487032</v>
      </c>
      <c r="Q148" s="4">
        <f>M148*(1+0.01*growthrate!$F$3)^10</f>
        <v>27165.948006897495</v>
      </c>
      <c r="R148" s="4">
        <f>N148*(1+0.01*growthrate!$F$3)^10</f>
        <v>1072870.4920083424</v>
      </c>
      <c r="S148" s="4">
        <f>O148*(1+0.01*growthrate!$F$3)^10</f>
        <v>301397.07752579823</v>
      </c>
    </row>
    <row r="149" spans="1:19" x14ac:dyDescent="0.2">
      <c r="A149" s="2" t="s">
        <v>303</v>
      </c>
      <c r="B149" s="8" t="s">
        <v>304</v>
      </c>
      <c r="C149" s="4" t="s">
        <v>779</v>
      </c>
      <c r="D149" s="5">
        <v>247121</v>
      </c>
      <c r="E149" s="5">
        <v>2441</v>
      </c>
      <c r="F149" s="5">
        <v>249562</v>
      </c>
      <c r="G149" s="5">
        <v>117181</v>
      </c>
      <c r="H149" s="12">
        <f>D149*(1+0.01*growthrate!E149)^2</f>
        <v>247121</v>
      </c>
      <c r="I149" s="4">
        <f>E149*(1+0.01*growthrate!$E$3)^2</f>
        <v>2514.7792249999993</v>
      </c>
      <c r="J149" s="4">
        <f>F149*(1+0.01*growthrate!$E$3)^2</f>
        <v>257105.01144999993</v>
      </c>
      <c r="K149" s="4">
        <f>G149*(1+0.01*growthrate!$E$3)^2</f>
        <v>120722.79572499997</v>
      </c>
      <c r="L149" s="12">
        <f>H149*(1+0.01*growthrate!$E$3)^5</f>
        <v>266219.50032391044</v>
      </c>
      <c r="M149" s="4">
        <f>I149*(1+0.01*growthrate!$E$3)^5</f>
        <v>2709.1314323932429</v>
      </c>
      <c r="N149" s="4">
        <f>J149*(1+0.01*growthrate!$E$3)^5</f>
        <v>276975.11615359382</v>
      </c>
      <c r="O149" s="4">
        <f>K149*(1+0.01*growthrate!$E$3)^5</f>
        <v>130052.73673874339</v>
      </c>
      <c r="P149" s="12">
        <f>L149*(1+0.01*growthrate!$F$3)^10</f>
        <v>285452.97230410582</v>
      </c>
      <c r="Q149" s="4">
        <f>M149*(1+0.01*growthrate!$F$3)^10</f>
        <v>2904.8571528314692</v>
      </c>
      <c r="R149" s="4">
        <f>N149*(1+0.01*growthrate!$F$3)^10</f>
        <v>296985.64554482885</v>
      </c>
      <c r="S149" s="4">
        <f>O149*(1+0.01*growthrate!$F$3)^10</f>
        <v>139448.61369354543</v>
      </c>
    </row>
    <row r="150" spans="1:19" x14ac:dyDescent="0.2">
      <c r="A150" s="2" t="s">
        <v>305</v>
      </c>
      <c r="B150" s="8" t="s">
        <v>306</v>
      </c>
      <c r="C150" s="4" t="s">
        <v>779</v>
      </c>
      <c r="D150" s="5">
        <v>12181</v>
      </c>
      <c r="E150" s="5">
        <v>7</v>
      </c>
      <c r="F150" s="5">
        <v>12188</v>
      </c>
      <c r="G150" s="5">
        <v>38417</v>
      </c>
      <c r="H150" s="12">
        <f>D150*(1+0.01*growthrate!E150)^2</f>
        <v>12181</v>
      </c>
      <c r="I150" s="4">
        <f>E150*(1+0.01*growthrate!$E$3)^2</f>
        <v>7.2115749999999981</v>
      </c>
      <c r="J150" s="4">
        <f>F150*(1+0.01*growthrate!$E$3)^2</f>
        <v>12556.382299999997</v>
      </c>
      <c r="K150" s="4">
        <f>G150*(1+0.01*growthrate!$E$3)^2</f>
        <v>39578.153824999987</v>
      </c>
      <c r="L150" s="12">
        <f>H150*(1+0.01*growthrate!$E$3)^5</f>
        <v>13122.396451315562</v>
      </c>
      <c r="M150" s="4">
        <f>I150*(1+0.01*growthrate!$E$3)^5</f>
        <v>7.768914390312454</v>
      </c>
      <c r="N150" s="4">
        <f>J150*(1+0.01*growthrate!$E$3)^5</f>
        <v>13526.789798446885</v>
      </c>
      <c r="O150" s="4">
        <f>K150*(1+0.01*growthrate!$E$3)^5</f>
        <v>42636.912018947645</v>
      </c>
      <c r="P150" s="12">
        <f>L150*(1+0.01*growthrate!$F$3)^10</f>
        <v>14070.445877267868</v>
      </c>
      <c r="Q150" s="4">
        <f>M150*(1+0.01*growthrate!$F$3)^10</f>
        <v>8.3301925726424759</v>
      </c>
      <c r="R150" s="4">
        <f>N150*(1+0.01*growthrate!$F$3)^10</f>
        <v>14504.05529648093</v>
      </c>
      <c r="S150" s="4">
        <f>O150*(1+0.01*growthrate!$F$3)^10</f>
        <v>45717.286866172282</v>
      </c>
    </row>
    <row r="151" spans="1:19" x14ac:dyDescent="0.2">
      <c r="A151" s="2" t="s">
        <v>307</v>
      </c>
      <c r="B151" s="8" t="s">
        <v>308</v>
      </c>
      <c r="C151" s="4" t="s">
        <v>779</v>
      </c>
      <c r="D151" s="5">
        <v>872124</v>
      </c>
      <c r="E151" s="5">
        <v>39199</v>
      </c>
      <c r="F151" s="5">
        <v>911323</v>
      </c>
      <c r="G151" s="5">
        <v>210557</v>
      </c>
      <c r="H151" s="12">
        <f>D151*(1+0.01*growthrate!E151)^2</f>
        <v>872124</v>
      </c>
      <c r="I151" s="4">
        <f>E151*(1+0.01*growthrate!$E$3)^2</f>
        <v>40383.78977499999</v>
      </c>
      <c r="J151" s="4">
        <f>F151*(1+0.01*growthrate!$E$3)^2</f>
        <v>938867.73767499975</v>
      </c>
      <c r="K151" s="4">
        <f>G151*(1+0.01*growthrate!$E$3)^2</f>
        <v>216921.08532499993</v>
      </c>
      <c r="L151" s="12">
        <f>H151*(1+0.01*growthrate!$E$3)^5</f>
        <v>939525.23460365599</v>
      </c>
      <c r="M151" s="4">
        <f>I151*(1+0.01*growthrate!$E$3)^5</f>
        <v>43504.810740836845</v>
      </c>
      <c r="N151" s="4">
        <f>J151*(1+0.01*growthrate!$E$3)^5</f>
        <v>1011427.1955603882</v>
      </c>
      <c r="O151" s="4">
        <f>K151*(1+0.01*growthrate!$E$3)^5</f>
        <v>233685.61532585992</v>
      </c>
      <c r="P151" s="12">
        <f>L151*(1+0.01*growthrate!$F$3)^10</f>
        <v>1007402.8027474233</v>
      </c>
      <c r="Q151" s="4">
        <f>M151*(1+0.01*growthrate!$F$3)^10</f>
        <v>46647.888379287491</v>
      </c>
      <c r="R151" s="4">
        <f>N151*(1+0.01*growthrate!$F$3)^10</f>
        <v>1084499.4408397514</v>
      </c>
      <c r="S151" s="4">
        <f>O151*(1+0.01*growthrate!$F$3)^10</f>
        <v>250568.62250255456</v>
      </c>
    </row>
    <row r="152" spans="1:19" x14ac:dyDescent="0.2">
      <c r="A152" s="2" t="s">
        <v>309</v>
      </c>
      <c r="B152" s="8" t="s">
        <v>310</v>
      </c>
      <c r="C152" s="4" t="s">
        <v>779</v>
      </c>
      <c r="D152" s="5">
        <v>2909625</v>
      </c>
      <c r="E152" s="5">
        <v>-68181</v>
      </c>
      <c r="F152" s="5">
        <v>2841444</v>
      </c>
      <c r="G152" s="5">
        <v>106128</v>
      </c>
      <c r="H152" s="12">
        <f>D152*(1+0.01*growthrate!E152)^2</f>
        <v>2909625</v>
      </c>
      <c r="I152" s="4">
        <f>E152*(1+0.01*growthrate!$E$3)^2</f>
        <v>-70241.77072499998</v>
      </c>
      <c r="J152" s="4">
        <f>F152*(1+0.01*growthrate!$E$3)^2</f>
        <v>2927326.6448999993</v>
      </c>
      <c r="K152" s="4">
        <f>G152*(1+0.01*growthrate!$E$3)^2</f>
        <v>109335.71879999997</v>
      </c>
      <c r="L152" s="12">
        <f>H152*(1+0.01*growthrate!$E$3)^5</f>
        <v>3134492.4698020727</v>
      </c>
      <c r="M152" s="4">
        <f>I152*(1+0.01*growthrate!$E$3)^5</f>
        <v>-75670.336006556201</v>
      </c>
      <c r="N152" s="4">
        <f>J152*(1+0.01*growthrate!$E$3)^5</f>
        <v>3153562.1686952831</v>
      </c>
      <c r="O152" s="4">
        <f>K152*(1+0.01*growthrate!$E$3)^5</f>
        <v>117785.62091644002</v>
      </c>
      <c r="P152" s="12">
        <f>L152*(1+0.01*growthrate!$F$3)^10</f>
        <v>3360949.1080901017</v>
      </c>
      <c r="Q152" s="4">
        <f>M152*(1+0.01*growthrate!$F$3)^10</f>
        <v>-81137.2656850481</v>
      </c>
      <c r="R152" s="4">
        <f>N152*(1+0.01*growthrate!$F$3)^10</f>
        <v>3381396.5291970759</v>
      </c>
      <c r="S152" s="4">
        <f>O152*(1+0.01*growthrate!$F$3)^10</f>
        <v>126295.23962134296</v>
      </c>
    </row>
    <row r="153" spans="1:19" x14ac:dyDescent="0.2">
      <c r="A153" s="2" t="s">
        <v>311</v>
      </c>
      <c r="B153" s="8" t="s">
        <v>312</v>
      </c>
      <c r="C153" s="4" t="s">
        <v>779</v>
      </c>
      <c r="D153" s="5">
        <v>2510765</v>
      </c>
      <c r="E153" s="5">
        <v>-147725</v>
      </c>
      <c r="F153" s="5">
        <v>2363040</v>
      </c>
      <c r="G153" s="5">
        <v>1023443</v>
      </c>
      <c r="H153" s="12">
        <f>D153*(1+0.01*growthrate!E153)^2</f>
        <v>2510765</v>
      </c>
      <c r="I153" s="4">
        <f>E153*(1+0.01*growthrate!$E$3)^2</f>
        <v>-152189.98812499995</v>
      </c>
      <c r="J153" s="4">
        <f>F153*(1+0.01*growthrate!$E$3)^2</f>
        <v>2434462.8839999991</v>
      </c>
      <c r="K153" s="4">
        <f>G153*(1+0.01*growthrate!$E$3)^2</f>
        <v>1054376.5646749998</v>
      </c>
      <c r="L153" s="12">
        <f>H153*(1+0.01*growthrate!$E$3)^5</f>
        <v>2704806.9720127508</v>
      </c>
      <c r="M153" s="4">
        <f>I153*(1+0.01*growthrate!$E$3)^5</f>
        <v>-163951.83975841533</v>
      </c>
      <c r="N153" s="4">
        <f>J153*(1+0.01*growthrate!$E$3)^5</f>
        <v>2622607.9229834201</v>
      </c>
      <c r="O153" s="4">
        <f>K153*(1+0.01*growthrate!$E$3)^5</f>
        <v>1135863.0071949358</v>
      </c>
      <c r="P153" s="12">
        <f>L153*(1+0.01*growthrate!$F$3)^10</f>
        <v>2900220.2645955551</v>
      </c>
      <c r="Q153" s="4">
        <f>M153*(1+0.01*growthrate!$F$3)^10</f>
        <v>-175796.81397051568</v>
      </c>
      <c r="R153" s="4">
        <f>N153*(1+0.01*growthrate!$F$3)^10</f>
        <v>2812082.6081224396</v>
      </c>
      <c r="S153" s="4">
        <f>O153*(1+0.01*growthrate!$F$3)^10</f>
        <v>1217925.3253032765</v>
      </c>
    </row>
    <row r="154" spans="1:19" x14ac:dyDescent="0.2">
      <c r="A154" s="2" t="s">
        <v>313</v>
      </c>
      <c r="B154" s="8" t="s">
        <v>314</v>
      </c>
      <c r="C154" s="4" t="s">
        <v>779</v>
      </c>
      <c r="D154" s="5">
        <v>1324147</v>
      </c>
      <c r="E154" s="5">
        <v>-100018</v>
      </c>
      <c r="F154" s="5">
        <v>1224129</v>
      </c>
      <c r="G154" s="5">
        <v>1172303</v>
      </c>
      <c r="H154" s="12">
        <f>D154*(1+0.01*growthrate!E154)^2</f>
        <v>1324147</v>
      </c>
      <c r="I154" s="4">
        <f>E154*(1+0.01*growthrate!$E$3)^2</f>
        <v>-103041.04404999997</v>
      </c>
      <c r="J154" s="4">
        <f>F154*(1+0.01*growthrate!$E$3)^2</f>
        <v>1261128.2990249996</v>
      </c>
      <c r="K154" s="4">
        <f>G154*(1+0.01*growthrate!$E$3)^2</f>
        <v>1207735.8581749997</v>
      </c>
      <c r="L154" s="12">
        <f>H154*(1+0.01*growthrate!$E$3)^5</f>
        <v>1426482.3818914825</v>
      </c>
      <c r="M154" s="4">
        <f>I154*(1+0.01*growthrate!$E$3)^5</f>
        <v>-111004.46849861015</v>
      </c>
      <c r="N154" s="4">
        <f>J154*(1+0.01*growthrate!$E$3)^5</f>
        <v>1358593.343385542</v>
      </c>
      <c r="O154" s="4">
        <f>K154*(1+0.01*growthrate!$E$3)^5</f>
        <v>1301074.5209294944</v>
      </c>
      <c r="P154" s="12">
        <f>L154*(1+0.01*growthrate!$F$3)^10</f>
        <v>1529540.9816145322</v>
      </c>
      <c r="Q154" s="4">
        <f>M154*(1+0.01*growthrate!$F$3)^10</f>
        <v>-119024.17153293647</v>
      </c>
      <c r="R154" s="4">
        <f>N154*(1+0.01*growthrate!$F$3)^10</f>
        <v>1456747.1862508946</v>
      </c>
      <c r="S154" s="4">
        <f>O154*(1+0.01*growthrate!$F$3)^10</f>
        <v>1395072.8204980704</v>
      </c>
    </row>
    <row r="155" spans="1:19" x14ac:dyDescent="0.2">
      <c r="A155" s="2" t="s">
        <v>315</v>
      </c>
      <c r="B155" s="8" t="s">
        <v>316</v>
      </c>
      <c r="C155" s="4" t="s">
        <v>779</v>
      </c>
      <c r="D155" s="5">
        <v>2595815</v>
      </c>
      <c r="E155" s="5">
        <v>22492</v>
      </c>
      <c r="F155" s="5">
        <v>2618307</v>
      </c>
      <c r="G155" s="5">
        <v>2041856</v>
      </c>
      <c r="H155" s="12">
        <f>D155*(1+0.01*growthrate!E155)^2</f>
        <v>2595815</v>
      </c>
      <c r="I155" s="4">
        <f>E155*(1+0.01*growthrate!$E$3)^2</f>
        <v>23171.820699999993</v>
      </c>
      <c r="J155" s="4">
        <f>F155*(1+0.01*growthrate!$E$3)^2</f>
        <v>2697445.3290749993</v>
      </c>
      <c r="K155" s="4">
        <f>G155*(1+0.01*growthrate!$E$3)^2</f>
        <v>2103571.0975999995</v>
      </c>
      <c r="L155" s="12">
        <f>H155*(1+0.01*growthrate!$E$3)^5</f>
        <v>2796429.9765431168</v>
      </c>
      <c r="M155" s="4">
        <f>I155*(1+0.01*growthrate!$E$3)^5</f>
        <v>24962.631780986816</v>
      </c>
      <c r="N155" s="4">
        <f>J155*(1+0.01*growthrate!$E$3)^5</f>
        <v>2905914.7043651189</v>
      </c>
      <c r="O155" s="4">
        <f>K155*(1+0.01*growthrate!$E$3)^5</f>
        <v>2266143.4944779752</v>
      </c>
      <c r="P155" s="12">
        <f>L155*(1+0.01*growthrate!$F$3)^10</f>
        <v>2998462.7259584675</v>
      </c>
      <c r="Q155" s="4">
        <f>M155*(1+0.01*growthrate!$F$3)^10</f>
        <v>26766.098763410653</v>
      </c>
      <c r="R155" s="4">
        <f>N155*(1+0.01*growthrate!$F$3)^10</f>
        <v>3115857.3606139724</v>
      </c>
      <c r="S155" s="4">
        <f>O155*(1+0.01*growthrate!$F$3)^10</f>
        <v>2429864.8122293539</v>
      </c>
    </row>
    <row r="156" spans="1:19" x14ac:dyDescent="0.2">
      <c r="A156" s="2" t="s">
        <v>317</v>
      </c>
      <c r="B156" s="8" t="s">
        <v>318</v>
      </c>
      <c r="C156" s="4" t="s">
        <v>779</v>
      </c>
      <c r="D156" s="5">
        <v>932191</v>
      </c>
      <c r="E156" s="5">
        <v>4963</v>
      </c>
      <c r="F156" s="5">
        <v>937154</v>
      </c>
      <c r="G156" s="5">
        <v>728613</v>
      </c>
      <c r="H156" s="12">
        <f>D156*(1+0.01*growthrate!E156)^2</f>
        <v>932191</v>
      </c>
      <c r="I156" s="4">
        <f>E156*(1+0.01*growthrate!$E$3)^2</f>
        <v>5113.0066749999987</v>
      </c>
      <c r="J156" s="4">
        <f>F156*(1+0.01*growthrate!$E$3)^2</f>
        <v>965479.47964999976</v>
      </c>
      <c r="K156" s="4">
        <f>G156*(1+0.01*growthrate!$E$3)^2</f>
        <v>750635.32792499976</v>
      </c>
      <c r="L156" s="12">
        <f>H156*(1+0.01*growthrate!$E$3)^5</f>
        <v>1004234.4528649787</v>
      </c>
      <c r="M156" s="4">
        <f>I156*(1+0.01*growthrate!$E$3)^5</f>
        <v>5508.1603027315305</v>
      </c>
      <c r="N156" s="4">
        <f>J156*(1+0.01*growthrate!$E$3)^5</f>
        <v>1040095.599505554</v>
      </c>
      <c r="O156" s="4">
        <f>K156*(1+0.01*growthrate!$E$3)^5</f>
        <v>808647.43152410397</v>
      </c>
      <c r="P156" s="12">
        <f>L156*(1+0.01*growthrate!$F$3)^10</f>
        <v>1076787.0464474354</v>
      </c>
      <c r="Q156" s="4">
        <f>M156*(1+0.01*growthrate!$F$3)^10</f>
        <v>5906.1065340035166</v>
      </c>
      <c r="R156" s="4">
        <f>N156*(1+0.01*growthrate!$F$3)^10</f>
        <v>1115239.0414603124</v>
      </c>
      <c r="S156" s="4">
        <f>O156*(1+0.01*growthrate!$F$3)^10</f>
        <v>867069.51441867894</v>
      </c>
    </row>
    <row r="157" spans="1:19" x14ac:dyDescent="0.2">
      <c r="A157" s="2" t="s">
        <v>319</v>
      </c>
      <c r="B157" s="8" t="s">
        <v>320</v>
      </c>
      <c r="C157" s="4" t="s">
        <v>779</v>
      </c>
      <c r="D157" s="5">
        <v>40559</v>
      </c>
      <c r="E157" s="5">
        <v>-220</v>
      </c>
      <c r="F157" s="5">
        <v>40339</v>
      </c>
      <c r="G157" s="5">
        <v>1364606</v>
      </c>
      <c r="H157" s="12">
        <f>D157*(1+0.01*growthrate!E157)^2</f>
        <v>40559</v>
      </c>
      <c r="I157" s="4">
        <f>E157*(1+0.01*growthrate!$E$3)^2</f>
        <v>-226.64949999999993</v>
      </c>
      <c r="J157" s="4">
        <f>F157*(1+0.01*growthrate!$E$3)^2</f>
        <v>41558.24627499999</v>
      </c>
      <c r="K157" s="4">
        <f>G157*(1+0.01*growthrate!$E$3)^2</f>
        <v>1405851.2163499997</v>
      </c>
      <c r="L157" s="12">
        <f>H157*(1+0.01*growthrate!$E$3)^5</f>
        <v>43693.561913546335</v>
      </c>
      <c r="M157" s="4">
        <f>I157*(1+0.01*growthrate!$E$3)^5</f>
        <v>-244.16588083839142</v>
      </c>
      <c r="N157" s="4">
        <f>J157*(1+0.01*growthrate!$E$3)^5</f>
        <v>44770.033941544876</v>
      </c>
      <c r="O157" s="4">
        <f>K157*(1+0.01*growthrate!$E$3)^5</f>
        <v>1514501.0272152454</v>
      </c>
      <c r="P157" s="12">
        <f>L157*(1+0.01*growthrate!$F$3)^10</f>
        <v>46850.276195395083</v>
      </c>
      <c r="Q157" s="4">
        <f>M157*(1+0.01*growthrate!$F$3)^10</f>
        <v>-261.80605228304927</v>
      </c>
      <c r="R157" s="4">
        <f>N157*(1+0.01*growthrate!$F$3)^10</f>
        <v>48004.519741117845</v>
      </c>
      <c r="S157" s="4">
        <f>O157*(1+0.01*growthrate!$F$3)^10</f>
        <v>1623918.6808261944</v>
      </c>
    </row>
    <row r="158" spans="1:19" x14ac:dyDescent="0.2">
      <c r="A158" s="2" t="s">
        <v>321</v>
      </c>
      <c r="B158" s="8" t="s">
        <v>322</v>
      </c>
      <c r="C158" s="4" t="s">
        <v>779</v>
      </c>
      <c r="D158" s="5">
        <v>2258040</v>
      </c>
      <c r="E158" s="5">
        <v>23732</v>
      </c>
      <c r="F158" s="5">
        <v>2281772</v>
      </c>
      <c r="G158" s="5">
        <v>4059382</v>
      </c>
      <c r="H158" s="12">
        <f>D158*(1+0.01*growthrate!E158)^2</f>
        <v>2258040</v>
      </c>
      <c r="I158" s="4">
        <f>E158*(1+0.01*growthrate!$E$3)^2</f>
        <v>24449.299699999992</v>
      </c>
      <c r="J158" s="4">
        <f>F158*(1+0.01*growthrate!$E$3)^2</f>
        <v>2350738.5586999995</v>
      </c>
      <c r="K158" s="4">
        <f>G158*(1+0.01*growthrate!$E$3)^2</f>
        <v>4182076.8209499987</v>
      </c>
      <c r="L158" s="12">
        <f>H158*(1+0.01*growthrate!$E$3)^5</f>
        <v>2432550.3721310725</v>
      </c>
      <c r="M158" s="4">
        <f>I158*(1+0.01*growthrate!$E$3)^5</f>
        <v>26338.839472985022</v>
      </c>
      <c r="N158" s="4">
        <f>J158*(1+0.01*growthrate!$E$3)^5</f>
        <v>2532413.0466017188</v>
      </c>
      <c r="O158" s="4">
        <f>K158*(1+0.01*growthrate!$E$3)^5</f>
        <v>4505284.4622250497</v>
      </c>
      <c r="P158" s="12">
        <f>L158*(1+0.01*growthrate!$F$3)^10</f>
        <v>2608294.0324034099</v>
      </c>
      <c r="Q158" s="4">
        <f>M158*(1+0.01*growthrate!$F$3)^10</f>
        <v>28241.732876278751</v>
      </c>
      <c r="R158" s="4">
        <f>N158*(1+0.01*growthrate!$F$3)^10</f>
        <v>2715371.4524090816</v>
      </c>
      <c r="S158" s="4">
        <f>O158*(1+0.01*growthrate!$F$3)^10</f>
        <v>4830776.2551312223</v>
      </c>
    </row>
    <row r="159" spans="1:19" x14ac:dyDescent="0.2">
      <c r="A159" s="2" t="s">
        <v>323</v>
      </c>
      <c r="B159" s="8" t="s">
        <v>324</v>
      </c>
      <c r="C159" s="4" t="s">
        <v>779</v>
      </c>
      <c r="D159" s="5">
        <v>4262767</v>
      </c>
      <c r="E159" s="5">
        <v>21850</v>
      </c>
      <c r="F159" s="5">
        <v>4284617</v>
      </c>
      <c r="G159" s="5">
        <v>6602379</v>
      </c>
      <c r="H159" s="12">
        <f>D159*(1+0.01*growthrate!E159)^2</f>
        <v>4262767</v>
      </c>
      <c r="I159" s="4">
        <f>E159*(1+0.01*growthrate!$E$3)^2</f>
        <v>22510.416249999995</v>
      </c>
      <c r="J159" s="4">
        <f>F159*(1+0.01*growthrate!$E$3)^2</f>
        <v>4414119.5488249986</v>
      </c>
      <c r="K159" s="4">
        <f>G159*(1+0.01*growthrate!$E$3)^2</f>
        <v>6801935.9052749984</v>
      </c>
      <c r="L159" s="12">
        <f>H159*(1+0.01*growthrate!$E$3)^5</f>
        <v>4592210.7013861826</v>
      </c>
      <c r="M159" s="4">
        <f>I159*(1+0.01*growthrate!$E$3)^5</f>
        <v>24250.111346903876</v>
      </c>
      <c r="N159" s="4">
        <f>J159*(1+0.01*growthrate!$E$3)^5</f>
        <v>4755260.3811824825</v>
      </c>
      <c r="O159" s="4">
        <f>K159*(1+0.01*growthrate!$E$3)^5</f>
        <v>7327616.7461995361</v>
      </c>
      <c r="P159" s="12">
        <f>L159*(1+0.01*growthrate!$F$3)^10</f>
        <v>4923982.6254743887</v>
      </c>
      <c r="Q159" s="4">
        <f>M159*(1+0.01*growthrate!$F$3)^10</f>
        <v>26002.101101748303</v>
      </c>
      <c r="R159" s="4">
        <f>N159*(1+0.01*growthrate!$F$3)^10</f>
        <v>5098812.1014310988</v>
      </c>
      <c r="S159" s="4">
        <f>O159*(1+0.01*growthrate!$F$3)^10</f>
        <v>7857012.6439386662</v>
      </c>
    </row>
    <row r="160" spans="1:19" x14ac:dyDescent="0.2">
      <c r="A160" s="2" t="s">
        <v>325</v>
      </c>
      <c r="B160" s="8" t="s">
        <v>326</v>
      </c>
      <c r="C160" s="4" t="s">
        <v>779</v>
      </c>
      <c r="D160" s="5">
        <v>624419</v>
      </c>
      <c r="E160" s="5">
        <v>-18309</v>
      </c>
      <c r="F160" s="5">
        <v>606110</v>
      </c>
      <c r="G160" s="5">
        <v>375157</v>
      </c>
      <c r="H160" s="12">
        <f>D160*(1+0.01*growthrate!E160)^2</f>
        <v>624419</v>
      </c>
      <c r="I160" s="4">
        <f>E160*(1+0.01*growthrate!$E$3)^2</f>
        <v>-18862.389524999995</v>
      </c>
      <c r="J160" s="4">
        <f>F160*(1+0.01*growthrate!$E$3)^2</f>
        <v>624429.67474999989</v>
      </c>
      <c r="K160" s="4">
        <f>G160*(1+0.01*growthrate!$E$3)^2</f>
        <v>386496.12032499991</v>
      </c>
      <c r="L160" s="12">
        <f>H160*(1+0.01*growthrate!$E$3)^5</f>
        <v>672676.60042147711</v>
      </c>
      <c r="M160" s="4">
        <f>I160*(1+0.01*growthrate!$E$3)^5</f>
        <v>-20320.150510318676</v>
      </c>
      <c r="N160" s="4">
        <f>J160*(1+0.01*growthrate!$E$3)^5</f>
        <v>672688.10015889746</v>
      </c>
      <c r="O160" s="4">
        <f>K160*(1+0.01*growthrate!$E$3)^5</f>
        <v>416366.08798949281</v>
      </c>
      <c r="P160" s="12">
        <f>L160*(1+0.01*growthrate!$F$3)^10</f>
        <v>721275.24375976739</v>
      </c>
      <c r="Q160" s="4">
        <f>M160*(1+0.01*growthrate!$F$3)^10</f>
        <v>-21788.213687501586</v>
      </c>
      <c r="R160" s="4">
        <f>N160*(1+0.01*growthrate!$F$3)^10</f>
        <v>721287.57431490463</v>
      </c>
      <c r="S160" s="4">
        <f>O160*(1+0.01*growthrate!$F$3)^10</f>
        <v>446447.15071069053</v>
      </c>
    </row>
    <row r="161" spans="1:19" x14ac:dyDescent="0.2">
      <c r="A161" s="2" t="s">
        <v>327</v>
      </c>
      <c r="B161" s="8" t="s">
        <v>328</v>
      </c>
      <c r="C161" s="4" t="s">
        <v>779</v>
      </c>
      <c r="D161" s="5">
        <v>1918077</v>
      </c>
      <c r="E161" s="5">
        <v>-1642</v>
      </c>
      <c r="F161" s="5">
        <v>1916435</v>
      </c>
      <c r="G161" s="5">
        <v>2205080</v>
      </c>
      <c r="H161" s="12">
        <f>D161*(1+0.01*growthrate!E161)^2</f>
        <v>1918077</v>
      </c>
      <c r="I161" s="4">
        <f>E161*(1+0.01*growthrate!$E$3)^2</f>
        <v>-1691.6294499999995</v>
      </c>
      <c r="J161" s="4">
        <f>F161*(1+0.01*growthrate!$E$3)^2</f>
        <v>1974359.2478749994</v>
      </c>
      <c r="K161" s="4">
        <f>G161*(1+0.01*growthrate!$E$3)^2</f>
        <v>2271728.5429999996</v>
      </c>
      <c r="L161" s="12">
        <f>H161*(1+0.01*growthrate!$E$3)^5</f>
        <v>2066313.670318529</v>
      </c>
      <c r="M161" s="4">
        <f>I161*(1+0.01*growthrate!$E$3)^5</f>
        <v>-1822.3653469847213</v>
      </c>
      <c r="N161" s="4">
        <f>J161*(1+0.01*growthrate!$E$3)^5</f>
        <v>2126945.6356569212</v>
      </c>
      <c r="O161" s="4">
        <f>K161*(1+0.01*growthrate!$E$3)^5</f>
        <v>2447296.8205414554</v>
      </c>
      <c r="P161" s="12">
        <f>L161*(1+0.01*growthrate!$F$3)^10</f>
        <v>2215597.9490134083</v>
      </c>
      <c r="Q161" s="4">
        <f>M161*(1+0.01*growthrate!$F$3)^10</f>
        <v>-1954.0251720398494</v>
      </c>
      <c r="R161" s="4">
        <f>N161*(1+0.01*growthrate!$F$3)^10</f>
        <v>2280610.3718502978</v>
      </c>
      <c r="S161" s="4">
        <f>O161*(1+0.01*growthrate!$F$3)^10</f>
        <v>2624105.8625832107</v>
      </c>
    </row>
    <row r="162" spans="1:19" x14ac:dyDescent="0.2">
      <c r="A162" s="2" t="s">
        <v>329</v>
      </c>
      <c r="B162" s="8" t="s">
        <v>330</v>
      </c>
      <c r="C162" s="4" t="s">
        <v>779</v>
      </c>
      <c r="D162" s="5">
        <v>2210190</v>
      </c>
      <c r="E162" s="5">
        <v>-15887</v>
      </c>
      <c r="F162" s="5">
        <v>2194303</v>
      </c>
      <c r="G162" s="5">
        <v>6735416</v>
      </c>
      <c r="H162" s="12">
        <f>D162*(1+0.01*growthrate!E162)^2</f>
        <v>2210190</v>
      </c>
      <c r="I162" s="4">
        <f>E162*(1+0.01*growthrate!$E$3)^2</f>
        <v>-16367.184574999996</v>
      </c>
      <c r="J162" s="4">
        <f>F162*(1+0.01*growthrate!$E$3)^2</f>
        <v>2260625.8081749994</v>
      </c>
      <c r="K162" s="4">
        <f>G162*(1+0.01*growthrate!$E$3)^2</f>
        <v>6938993.9485999979</v>
      </c>
      <c r="L162" s="12">
        <f>H162*(1+0.01*growthrate!$E$3)^5</f>
        <v>2381002.332545205</v>
      </c>
      <c r="M162" s="4">
        <f>I162*(1+0.01*growthrate!$E$3)^5</f>
        <v>-17632.106131270568</v>
      </c>
      <c r="N162" s="4">
        <f>J162*(1+0.01*growthrate!$E$3)^5</f>
        <v>2435336.0219151126</v>
      </c>
      <c r="O162" s="4">
        <f>K162*(1+0.01*growthrate!$E$3)^5</f>
        <v>7475267.1838772502</v>
      </c>
      <c r="P162" s="12">
        <f>L162*(1+0.01*growthrate!$F$3)^10</f>
        <v>2553021.8186912956</v>
      </c>
      <c r="Q162" s="4">
        <f>M162*(1+0.01*growthrate!$F$3)^10</f>
        <v>-18905.967057367292</v>
      </c>
      <c r="R162" s="4">
        <f>N162*(1+0.01*growthrate!$F$3)^10</f>
        <v>2611280.936103872</v>
      </c>
      <c r="S162" s="4">
        <f>O162*(1+0.01*growthrate!$F$3)^10</f>
        <v>8015330.3338367576</v>
      </c>
    </row>
    <row r="163" spans="1:19" x14ac:dyDescent="0.2">
      <c r="A163" s="2" t="s">
        <v>331</v>
      </c>
      <c r="B163" s="8" t="s">
        <v>332</v>
      </c>
      <c r="C163" s="4" t="s">
        <v>779</v>
      </c>
      <c r="D163" s="5">
        <v>2257192</v>
      </c>
      <c r="E163" s="5">
        <v>8470</v>
      </c>
      <c r="F163" s="5">
        <v>2265662</v>
      </c>
      <c r="G163" s="5">
        <v>9944368</v>
      </c>
      <c r="H163" s="12">
        <f>D163*(1+0.01*growthrate!E163)^2</f>
        <v>2257192</v>
      </c>
      <c r="I163" s="4">
        <f>E163*(1+0.01*growthrate!$E$3)^2</f>
        <v>8726.0057499999984</v>
      </c>
      <c r="J163" s="4">
        <f>F163*(1+0.01*growthrate!$E$3)^2</f>
        <v>2334141.6339499992</v>
      </c>
      <c r="K163" s="4">
        <f>G163*(1+0.01*growthrate!$E$3)^2</f>
        <v>10244936.522799997</v>
      </c>
      <c r="L163" s="12">
        <f>H163*(1+0.01*growthrate!$E$3)^5</f>
        <v>2431636.8352957787</v>
      </c>
      <c r="M163" s="4">
        <f>I163*(1+0.01*growthrate!$E$3)^5</f>
        <v>9400.3864122780706</v>
      </c>
      <c r="N163" s="4">
        <f>J163*(1+0.01*growthrate!$E$3)^5</f>
        <v>2514533.4450548706</v>
      </c>
      <c r="O163" s="4">
        <f>K163*(1+0.01*growthrate!$E$3)^5</f>
        <v>11036706.23682324</v>
      </c>
      <c r="P163" s="12">
        <f>L163*(1+0.01*growthrate!$F$3)^10</f>
        <v>2607314.4955752417</v>
      </c>
      <c r="Q163" s="4">
        <f>M163*(1+0.01*growthrate!$F$3)^10</f>
        <v>10079.533012897398</v>
      </c>
      <c r="R163" s="4">
        <f>N163*(1+0.01*growthrate!$F$3)^10</f>
        <v>2696200.1092168996</v>
      </c>
      <c r="S163" s="4">
        <f>O163*(1+0.01*growthrate!$F$3)^10</f>
        <v>11834071.493317645</v>
      </c>
    </row>
    <row r="164" spans="1:19" x14ac:dyDescent="0.2">
      <c r="A164" s="2" t="s">
        <v>333</v>
      </c>
      <c r="B164" s="8" t="s">
        <v>334</v>
      </c>
      <c r="C164" s="4" t="s">
        <v>779</v>
      </c>
      <c r="D164" s="5">
        <v>253965</v>
      </c>
      <c r="E164" s="5">
        <v>2607</v>
      </c>
      <c r="F164" s="5">
        <v>256572</v>
      </c>
      <c r="G164" s="5">
        <v>1048602</v>
      </c>
      <c r="H164" s="12">
        <f>D164*(1+0.01*growthrate!E164)^2</f>
        <v>253965</v>
      </c>
      <c r="I164" s="4">
        <f>E164*(1+0.01*growthrate!$E$3)^2</f>
        <v>2685.7965749999994</v>
      </c>
      <c r="J164" s="4">
        <f>F164*(1+0.01*growthrate!$E$3)^2</f>
        <v>264326.88869999995</v>
      </c>
      <c r="K164" s="4">
        <f>G164*(1+0.01*growthrate!$E$3)^2</f>
        <v>1080295.9954499998</v>
      </c>
      <c r="L164" s="12">
        <f>H164*(1+0.01*growthrate!$E$3)^5</f>
        <v>273592.43204649509</v>
      </c>
      <c r="M164" s="4">
        <f>I164*(1+0.01*growthrate!$E$3)^5</f>
        <v>2893.3656879349387</v>
      </c>
      <c r="N164" s="4">
        <f>J164*(1+0.01*growthrate!$E$3)^5</f>
        <v>284755.12899303529</v>
      </c>
      <c r="O164" s="4">
        <f>K164*(1+0.01*growthrate!$E$3)^5</f>
        <v>1163785.5953586316</v>
      </c>
      <c r="P164" s="12">
        <f>L164*(1+0.01*growthrate!$F$3)^10</f>
        <v>293358.57378050522</v>
      </c>
      <c r="Q164" s="4">
        <f>M164*(1+0.01*growthrate!$F$3)^10</f>
        <v>3102.4017195541342</v>
      </c>
      <c r="R164" s="4">
        <f>N164*(1+0.01*growthrate!$F$3)^10</f>
        <v>305327.73839257506</v>
      </c>
      <c r="S164" s="4">
        <f>O164*(1+0.01*growthrate!$F$3)^10</f>
        <v>1247865.2274368638</v>
      </c>
    </row>
    <row r="165" spans="1:19" x14ac:dyDescent="0.2">
      <c r="A165" s="2" t="s">
        <v>335</v>
      </c>
      <c r="B165" s="8" t="s">
        <v>336</v>
      </c>
      <c r="C165" s="4" t="s">
        <v>779</v>
      </c>
      <c r="D165" s="5">
        <v>7103089</v>
      </c>
      <c r="E165" s="5">
        <v>16473</v>
      </c>
      <c r="F165" s="5">
        <v>7119562</v>
      </c>
      <c r="G165" s="5">
        <v>7447754</v>
      </c>
      <c r="H165" s="12">
        <f>D165*(1+0.01*growthrate!E165)^2</f>
        <v>7103089</v>
      </c>
      <c r="I165" s="4">
        <f>E165*(1+0.01*growthrate!$E$3)^2</f>
        <v>16970.896424999995</v>
      </c>
      <c r="J165" s="4">
        <f>F165*(1+0.01*growthrate!$E$3)^2</f>
        <v>7334750.7614499982</v>
      </c>
      <c r="K165" s="4">
        <f>G165*(1+0.01*growthrate!$E$3)^2</f>
        <v>7672862.364649998</v>
      </c>
      <c r="L165" s="12">
        <f>H165*(1+0.01*growthrate!$E$3)^5</f>
        <v>7652044.1578670563</v>
      </c>
      <c r="M165" s="4">
        <f>I165*(1+0.01*growthrate!$E$3)^5</f>
        <v>18282.475250231008</v>
      </c>
      <c r="N165" s="4">
        <f>J165*(1+0.01*growthrate!$E$3)^5</f>
        <v>7901609.6677888175</v>
      </c>
      <c r="O165" s="4">
        <f>K165*(1+0.01*growthrate!$E$3)^5</f>
        <v>8265851.8894438781</v>
      </c>
      <c r="P165" s="12">
        <f>L165*(1+0.01*growthrate!$F$3)^10</f>
        <v>8204878.8552595647</v>
      </c>
      <c r="Q165" s="4">
        <f>M165*(1+0.01*growthrate!$F$3)^10</f>
        <v>19603.3231784485</v>
      </c>
      <c r="R165" s="4">
        <f>N165*(1+0.01*growthrate!$F$3)^10</f>
        <v>8472474.6418382321</v>
      </c>
      <c r="S165" s="4">
        <f>O165*(1+0.01*growthrate!$F$3)^10</f>
        <v>8863032.1505240425</v>
      </c>
    </row>
    <row r="166" spans="1:19" x14ac:dyDescent="0.2">
      <c r="A166" s="2" t="s">
        <v>337</v>
      </c>
      <c r="B166" s="8" t="s">
        <v>338</v>
      </c>
      <c r="C166" s="4" t="s">
        <v>779</v>
      </c>
      <c r="D166" s="5">
        <v>7184045</v>
      </c>
      <c r="E166" s="5">
        <v>-97747</v>
      </c>
      <c r="F166" s="5">
        <v>7086298</v>
      </c>
      <c r="G166" s="5">
        <v>3391345</v>
      </c>
      <c r="H166" s="12">
        <f>D166*(1+0.01*growthrate!E166)^2</f>
        <v>7184045</v>
      </c>
      <c r="I166" s="4">
        <f>E166*(1+0.01*growthrate!$E$3)^2</f>
        <v>-100701.40307499998</v>
      </c>
      <c r="J166" s="4">
        <f>F166*(1+0.01*growthrate!$E$3)^2</f>
        <v>7300481.3570499979</v>
      </c>
      <c r="K166" s="4">
        <f>G166*(1+0.01*growthrate!$E$3)^2</f>
        <v>3493848.4026249992</v>
      </c>
      <c r="L166" s="12">
        <f>H166*(1+0.01*growthrate!$E$3)^5</f>
        <v>7739256.7616855195</v>
      </c>
      <c r="M166" s="4">
        <f>I166*(1+0.01*growthrate!$E$3)^5</f>
        <v>-108484.01070141023</v>
      </c>
      <c r="N166" s="4">
        <f>J166*(1+0.01*growthrate!$E$3)^5</f>
        <v>7864691.786606052</v>
      </c>
      <c r="O166" s="4">
        <f>K166*(1+0.01*growthrate!$E$3)^5</f>
        <v>3763866.9961448847</v>
      </c>
      <c r="P166" s="12">
        <f>L166*(1+0.01*growthrate!$F$3)^10</f>
        <v>8298392.27915252</v>
      </c>
      <c r="Q166" s="4">
        <f>M166*(1+0.01*growthrate!$F$3)^10</f>
        <v>-116321.61905686918</v>
      </c>
      <c r="R166" s="4">
        <f>N166*(1+0.01*growthrate!$F$3)^10</f>
        <v>8432889.5667330343</v>
      </c>
      <c r="S166" s="4">
        <f>O166*(1+0.01*growthrate!$F$3)^10</f>
        <v>4035793.8471811716</v>
      </c>
    </row>
    <row r="167" spans="1:19" x14ac:dyDescent="0.2">
      <c r="A167" s="2" t="s">
        <v>339</v>
      </c>
      <c r="B167" s="8" t="s">
        <v>340</v>
      </c>
      <c r="C167" s="4" t="s">
        <v>779</v>
      </c>
      <c r="D167" s="5">
        <v>608739</v>
      </c>
      <c r="E167" s="5">
        <v>5498</v>
      </c>
      <c r="F167" s="5">
        <v>614237</v>
      </c>
      <c r="G167" s="5">
        <v>4348940</v>
      </c>
      <c r="H167" s="12">
        <f>D167*(1+0.01*growthrate!E167)^2</f>
        <v>608739</v>
      </c>
      <c r="I167" s="4">
        <f>E167*(1+0.01*growthrate!$E$3)^2</f>
        <v>5664.1770499999984</v>
      </c>
      <c r="J167" s="4">
        <f>F167*(1+0.01*growthrate!$E$3)^2</f>
        <v>632802.31332499988</v>
      </c>
      <c r="K167" s="4">
        <f>G167*(1+0.01*growthrate!$E$3)^2</f>
        <v>4480386.7114999983</v>
      </c>
      <c r="L167" s="12">
        <f>H167*(1+0.01*growthrate!$E$3)^5</f>
        <v>655784.78724057006</v>
      </c>
      <c r="M167" s="4">
        <f>I167*(1+0.01*growthrate!$E$3)^5</f>
        <v>6101.9273311339821</v>
      </c>
      <c r="N167" s="4">
        <f>J167*(1+0.01*growthrate!$E$3)^5</f>
        <v>681707.8097660502</v>
      </c>
      <c r="O167" s="4">
        <f>K167*(1+0.01*growthrate!$E$3)^5</f>
        <v>4826648.9355150629</v>
      </c>
      <c r="P167" s="12">
        <f>L167*(1+0.01*growthrate!$F$3)^10</f>
        <v>703163.05335211928</v>
      </c>
      <c r="Q167" s="4">
        <f>M167*(1+0.01*growthrate!$F$3)^10</f>
        <v>6542.7712520554769</v>
      </c>
      <c r="R167" s="4">
        <f>N167*(1+0.01*growthrate!$F$3)^10</f>
        <v>730958.92789174244</v>
      </c>
      <c r="S167" s="4">
        <f>O167*(1+0.01*growthrate!$F$3)^10</f>
        <v>5175358.2409811094</v>
      </c>
    </row>
    <row r="168" spans="1:19" x14ac:dyDescent="0.2">
      <c r="A168" s="2" t="s">
        <v>341</v>
      </c>
      <c r="B168" s="8" t="s">
        <v>342</v>
      </c>
      <c r="C168" s="4" t="s">
        <v>779</v>
      </c>
      <c r="D168" s="5">
        <v>3201779</v>
      </c>
      <c r="E168" s="5">
        <v>20591</v>
      </c>
      <c r="F168" s="5">
        <v>3222370</v>
      </c>
      <c r="G168" s="5">
        <v>3367253</v>
      </c>
      <c r="H168" s="12">
        <f>D168*(1+0.01*growthrate!E168)^2</f>
        <v>3201779</v>
      </c>
      <c r="I168" s="4">
        <f>E168*(1+0.01*growthrate!$E$3)^2</f>
        <v>21213.362974999993</v>
      </c>
      <c r="J168" s="4">
        <f>F168*(1+0.01*growthrate!$E$3)^2</f>
        <v>3319766.133249999</v>
      </c>
      <c r="K168" s="4">
        <f>G168*(1+0.01*growthrate!$E$3)^2</f>
        <v>3469028.2219249993</v>
      </c>
      <c r="L168" s="12">
        <f>H168*(1+0.01*growthrate!$E$3)^5</f>
        <v>3449225.3006729078</v>
      </c>
      <c r="M168" s="4">
        <f>I168*(1+0.01*growthrate!$E$3)^5</f>
        <v>22852.816601560535</v>
      </c>
      <c r="N168" s="4">
        <f>J168*(1+0.01*growthrate!$E$3)^5</f>
        <v>3576330.9519873061</v>
      </c>
      <c r="O168" s="4">
        <f>K168*(1+0.01*growthrate!$E$3)^5</f>
        <v>3737128.6125032548</v>
      </c>
      <c r="P168" s="12">
        <f>L168*(1+0.01*growthrate!$F$3)^10</f>
        <v>3698420.3374495395</v>
      </c>
      <c r="Q168" s="4">
        <f>M168*(1+0.01*growthrate!$F$3)^10</f>
        <v>24503.856466183035</v>
      </c>
      <c r="R168" s="4">
        <f>N168*(1+0.01*growthrate!$F$3)^10</f>
        <v>3834708.9486151338</v>
      </c>
      <c r="S168" s="4">
        <f>O168*(1+0.01*growthrate!$F$3)^10</f>
        <v>4007123.7044011569</v>
      </c>
    </row>
    <row r="169" spans="1:19" x14ac:dyDescent="0.2">
      <c r="A169" s="2" t="s">
        <v>343</v>
      </c>
      <c r="B169" s="8" t="s">
        <v>344</v>
      </c>
      <c r="C169" s="4" t="s">
        <v>779</v>
      </c>
      <c r="D169" s="5">
        <v>2346134</v>
      </c>
      <c r="E169" s="5">
        <v>130075</v>
      </c>
      <c r="F169" s="5">
        <v>2476209</v>
      </c>
      <c r="G169" s="5">
        <v>611417</v>
      </c>
      <c r="H169" s="12">
        <f>D169*(1+0.01*growthrate!E169)^2</f>
        <v>2346134</v>
      </c>
      <c r="I169" s="4">
        <f>E169*(1+0.01*growthrate!$E$3)^2</f>
        <v>134006.51687499997</v>
      </c>
      <c r="J169" s="4">
        <f>F169*(1+0.01*growthrate!$E$3)^2</f>
        <v>2551052.4170249994</v>
      </c>
      <c r="K169" s="4">
        <f>G169*(1+0.01*growthrate!$E$3)^2</f>
        <v>629897.07882499986</v>
      </c>
      <c r="L169" s="12">
        <f>H169*(1+0.01*growthrate!$E$3)^5</f>
        <v>2527452.6291692625</v>
      </c>
      <c r="M169" s="4">
        <f>I169*(1+0.01*growthrate!$E$3)^5</f>
        <v>144363.07704569894</v>
      </c>
      <c r="N169" s="4">
        <f>J169*(1+0.01*growthrate!$E$3)^5</f>
        <v>2748207.9619316016</v>
      </c>
      <c r="O169" s="4">
        <f>K169*(1+0.01*growthrate!$E$3)^5</f>
        <v>678578.04711166711</v>
      </c>
      <c r="P169" s="12">
        <f>L169*(1+0.01*growthrate!$F$3)^10</f>
        <v>2710052.6613429091</v>
      </c>
      <c r="Q169" s="4">
        <f>M169*(1+0.01*growthrate!$F$3)^10</f>
        <v>154792.82841235289</v>
      </c>
      <c r="R169" s="4">
        <f>N169*(1+0.01*growthrate!$F$3)^10</f>
        <v>2946756.8314443505</v>
      </c>
      <c r="S169" s="4">
        <f>O169*(1+0.01*growthrate!$F$3)^10</f>
        <v>727603.05031247786</v>
      </c>
    </row>
    <row r="170" spans="1:19" x14ac:dyDescent="0.2">
      <c r="A170" s="2" t="s">
        <v>345</v>
      </c>
      <c r="B170" s="8" t="s">
        <v>346</v>
      </c>
      <c r="C170" s="4" t="s">
        <v>779</v>
      </c>
      <c r="D170" s="5">
        <v>1615592</v>
      </c>
      <c r="E170" s="5">
        <v>6871</v>
      </c>
      <c r="F170" s="5">
        <v>1622463</v>
      </c>
      <c r="G170" s="5">
        <v>3971011</v>
      </c>
      <c r="H170" s="12">
        <f>D170*(1+0.01*growthrate!E170)^2</f>
        <v>1615592</v>
      </c>
      <c r="I170" s="4">
        <f>E170*(1+0.01*growthrate!$E$3)^2</f>
        <v>7078.6759749999983</v>
      </c>
      <c r="J170" s="4">
        <f>F170*(1+0.01*growthrate!$E$3)^2</f>
        <v>1671501.9441749996</v>
      </c>
      <c r="K170" s="4">
        <f>G170*(1+0.01*growthrate!$E$3)^2</f>
        <v>4091034.8074749988</v>
      </c>
      <c r="L170" s="12">
        <f>H170*(1+0.01*growthrate!$E$3)^5</f>
        <v>1740451.418403564</v>
      </c>
      <c r="M170" s="4">
        <f>I170*(1+0.01*growthrate!$E$3)^5</f>
        <v>7625.7443965481252</v>
      </c>
      <c r="N170" s="4">
        <f>J170*(1+0.01*growthrate!$E$3)^5</f>
        <v>1800682.3069213594</v>
      </c>
      <c r="O170" s="4">
        <f>K170*(1+0.01*growthrate!$E$3)^5</f>
        <v>4407206.3574270066</v>
      </c>
      <c r="P170" s="12">
        <f>L170*(1+0.01*growthrate!$F$3)^10</f>
        <v>1866193.2350174002</v>
      </c>
      <c r="Q170" s="4">
        <f>M170*(1+0.01*growthrate!$F$3)^10</f>
        <v>8176.6790238037802</v>
      </c>
      <c r="R170" s="4">
        <f>N170*(1+0.01*growthrate!$F$3)^10</f>
        <v>1930775.6045696044</v>
      </c>
      <c r="S170" s="4">
        <f>O170*(1+0.01*growthrate!$F$3)^10</f>
        <v>4725612.3340116525</v>
      </c>
    </row>
    <row r="171" spans="1:19" x14ac:dyDescent="0.2">
      <c r="A171" s="2" t="s">
        <v>347</v>
      </c>
      <c r="B171" s="8" t="s">
        <v>348</v>
      </c>
      <c r="C171" s="4" t="s">
        <v>779</v>
      </c>
      <c r="D171" s="5">
        <v>2559209</v>
      </c>
      <c r="E171" s="5">
        <v>-867</v>
      </c>
      <c r="F171" s="5">
        <v>2558342</v>
      </c>
      <c r="G171" s="5">
        <v>4341791</v>
      </c>
      <c r="H171" s="12">
        <f>D171*(1+0.01*growthrate!E171)^2</f>
        <v>2559209</v>
      </c>
      <c r="I171" s="4">
        <f>E171*(1+0.01*growthrate!$E$3)^2</f>
        <v>-893.20507499999974</v>
      </c>
      <c r="J171" s="4">
        <f>F171*(1+0.01*growthrate!$E$3)^2</f>
        <v>2635667.8869499993</v>
      </c>
      <c r="K171" s="4">
        <f>G171*(1+0.01*growthrate!$E$3)^2</f>
        <v>4473021.632974999</v>
      </c>
      <c r="L171" s="12">
        <f>H171*(1+0.01*growthrate!$E$3)^5</f>
        <v>2756994.9182969257</v>
      </c>
      <c r="M171" s="4">
        <f>I171*(1+0.01*growthrate!$E$3)^5</f>
        <v>-962.23553948584254</v>
      </c>
      <c r="N171" s="4">
        <f>J171*(1+0.01*growthrate!$E$3)^5</f>
        <v>2839362.8541629636</v>
      </c>
      <c r="O171" s="4">
        <f>K171*(1+0.01*growthrate!$E$3)^5</f>
        <v>4818714.6542327292</v>
      </c>
      <c r="P171" s="12">
        <f>L171*(1+0.01*growthrate!$F$3)^10</f>
        <v>2956178.6161330622</v>
      </c>
      <c r="Q171" s="4">
        <f>M171*(1+0.01*growthrate!$F$3)^10</f>
        <v>-1031.7538514972896</v>
      </c>
      <c r="R171" s="4">
        <f>N171*(1+0.01*growthrate!$F$3)^10</f>
        <v>3044497.3609541855</v>
      </c>
      <c r="S171" s="4">
        <f>O171*(1+0.01*growthrate!$F$3)^10</f>
        <v>5166850.7343094219</v>
      </c>
    </row>
    <row r="172" spans="1:19" x14ac:dyDescent="0.2">
      <c r="A172" s="2" t="s">
        <v>349</v>
      </c>
      <c r="B172" s="8" t="s">
        <v>350</v>
      </c>
      <c r="C172" s="4" t="s">
        <v>779</v>
      </c>
      <c r="D172" s="5">
        <v>3648335</v>
      </c>
      <c r="E172" s="5">
        <v>32767</v>
      </c>
      <c r="F172" s="5">
        <v>3681102</v>
      </c>
      <c r="G172" s="5">
        <v>1434285</v>
      </c>
      <c r="H172" s="12">
        <f>D172*(1+0.01*growthrate!E172)^2</f>
        <v>3648335</v>
      </c>
      <c r="I172" s="4">
        <f>E172*(1+0.01*growthrate!$E$3)^2</f>
        <v>33757.382574999989</v>
      </c>
      <c r="J172" s="4">
        <f>F172*(1+0.01*growthrate!$E$3)^2</f>
        <v>3792363.3079499989</v>
      </c>
      <c r="K172" s="4">
        <f>G172*(1+0.01*growthrate!$E$3)^2</f>
        <v>1477636.2641249995</v>
      </c>
      <c r="L172" s="12">
        <f>H172*(1+0.01*growthrate!$E$3)^5</f>
        <v>3930292.9363114988</v>
      </c>
      <c r="M172" s="4">
        <f>I172*(1+0.01*growthrate!$E$3)^5</f>
        <v>36366.288261052599</v>
      </c>
      <c r="N172" s="4">
        <f>J172*(1+0.01*growthrate!$E$3)^5</f>
        <v>4085452.3285725652</v>
      </c>
      <c r="O172" s="4">
        <f>K172*(1+0.01*growthrate!$E$3)^5</f>
        <v>1591833.9109013283</v>
      </c>
      <c r="P172" s="12">
        <f>L172*(1+0.01*growthrate!$F$3)^10</f>
        <v>4214243.5070718396</v>
      </c>
      <c r="Q172" s="4">
        <f>M172*(1+0.01*growthrate!$F$3)^10</f>
        <v>38993.631432539434</v>
      </c>
      <c r="R172" s="4">
        <f>N172*(1+0.01*growthrate!$F$3)^10</f>
        <v>4380612.6485056235</v>
      </c>
      <c r="S172" s="4">
        <f>O172*(1+0.01*growthrate!$F$3)^10</f>
        <v>1706838.6077217876</v>
      </c>
    </row>
    <row r="173" spans="1:19" x14ac:dyDescent="0.2">
      <c r="A173" s="2" t="s">
        <v>351</v>
      </c>
      <c r="B173" s="8" t="s">
        <v>352</v>
      </c>
      <c r="C173" s="4" t="s">
        <v>779</v>
      </c>
      <c r="D173" s="5">
        <v>178822</v>
      </c>
      <c r="E173" s="5">
        <v>367</v>
      </c>
      <c r="F173" s="5">
        <v>179189</v>
      </c>
      <c r="G173" s="5">
        <v>486636</v>
      </c>
      <c r="H173" s="12">
        <f>D173*(1+0.01*growthrate!E173)^2</f>
        <v>178822</v>
      </c>
      <c r="I173" s="4">
        <f>E173*(1+0.01*growthrate!$E$3)^2</f>
        <v>378.0925749999999</v>
      </c>
      <c r="J173" s="4">
        <f>F173*(1+0.01*growthrate!$E$3)^2</f>
        <v>184604.98752499995</v>
      </c>
      <c r="K173" s="4">
        <f>G173*(1+0.01*growthrate!$E$3)^2</f>
        <v>501344.57309999986</v>
      </c>
      <c r="L173" s="12">
        <f>H173*(1+0.01*growthrate!$E$3)^5</f>
        <v>192642.08014261158</v>
      </c>
      <c r="M173" s="4">
        <f>I173*(1+0.01*growthrate!$E$3)^5</f>
        <v>407.31308303495297</v>
      </c>
      <c r="N173" s="4">
        <f>J173*(1+0.01*growthrate!$E$3)^5</f>
        <v>198872.00009795692</v>
      </c>
      <c r="O173" s="4">
        <f>K173*(1+0.01*growthrate!$E$3)^5</f>
        <v>540090.48903487017</v>
      </c>
      <c r="P173" s="12">
        <f>L173*(1+0.01*growthrate!$F$3)^10</f>
        <v>206559.8286400784</v>
      </c>
      <c r="Q173" s="4">
        <f>M173*(1+0.01*growthrate!$F$3)^10</f>
        <v>436.7400963085413</v>
      </c>
      <c r="R173" s="4">
        <f>N173*(1+0.01*growthrate!$F$3)^10</f>
        <v>213239.83955703327</v>
      </c>
      <c r="S173" s="4">
        <f>O173*(1+0.01*growthrate!$F$3)^10</f>
        <v>579110.22754006344</v>
      </c>
    </row>
    <row r="174" spans="1:19" x14ac:dyDescent="0.2">
      <c r="A174" s="2" t="s">
        <v>353</v>
      </c>
      <c r="B174" s="8" t="s">
        <v>354</v>
      </c>
      <c r="C174" s="4" t="s">
        <v>779</v>
      </c>
      <c r="D174" s="5">
        <v>145449</v>
      </c>
      <c r="E174" s="5">
        <v>420</v>
      </c>
      <c r="F174" s="5">
        <v>145869</v>
      </c>
      <c r="G174" s="5">
        <v>1497041</v>
      </c>
      <c r="H174" s="12">
        <f>D174*(1+0.01*growthrate!E174)^2</f>
        <v>145449</v>
      </c>
      <c r="I174" s="4">
        <f>E174*(1+0.01*growthrate!$E$3)^2</f>
        <v>432.69449999999989</v>
      </c>
      <c r="J174" s="4">
        <f>F174*(1+0.01*growthrate!$E$3)^2</f>
        <v>150277.89052499997</v>
      </c>
      <c r="K174" s="4">
        <f>G174*(1+0.01*growthrate!$E$3)^2</f>
        <v>1542289.0642249996</v>
      </c>
      <c r="L174" s="12">
        <f>H174*(1+0.01*growthrate!$E$3)^5</f>
        <v>156689.88108097835</v>
      </c>
      <c r="M174" s="4">
        <f>I174*(1+0.01*growthrate!$E$3)^5</f>
        <v>466.13486341874727</v>
      </c>
      <c r="N174" s="4">
        <f>J174*(1+0.01*growthrate!$E$3)^5</f>
        <v>161891.96760006965</v>
      </c>
      <c r="O174" s="4">
        <f>K174*(1+0.01*growthrate!$E$3)^5</f>
        <v>1661483.3382553924</v>
      </c>
      <c r="P174" s="12">
        <f>L174*(1+0.01*growthrate!$F$3)^10</f>
        <v>168010.20297206586</v>
      </c>
      <c r="Q174" s="4">
        <f>M174*(1+0.01*growthrate!$F$3)^10</f>
        <v>499.81155435854862</v>
      </c>
      <c r="R174" s="4">
        <f>N174*(1+0.01*growthrate!$F$3)^10</f>
        <v>173588.12291125508</v>
      </c>
      <c r="S174" s="4">
        <f>O174*(1+0.01*growthrate!$F$3)^10</f>
        <v>1781519.974163038</v>
      </c>
    </row>
    <row r="175" spans="1:19" x14ac:dyDescent="0.2">
      <c r="A175" s="2" t="s">
        <v>355</v>
      </c>
      <c r="B175" s="8" t="s">
        <v>356</v>
      </c>
      <c r="C175" s="4" t="s">
        <v>779</v>
      </c>
      <c r="D175" s="5">
        <v>446781</v>
      </c>
      <c r="E175" s="5">
        <v>57454</v>
      </c>
      <c r="F175" s="5">
        <v>504235</v>
      </c>
      <c r="G175" s="5">
        <v>2087519</v>
      </c>
      <c r="H175" s="12">
        <f>D175*(1+0.01*growthrate!E175)^2</f>
        <v>446781</v>
      </c>
      <c r="I175" s="4">
        <f>E175*(1+0.01*growthrate!$E$3)^2</f>
        <v>59190.547149999984</v>
      </c>
      <c r="J175" s="4">
        <f>F175*(1+0.01*growthrate!$E$3)^2</f>
        <v>519475.50287499989</v>
      </c>
      <c r="K175" s="4">
        <f>G175*(1+0.01*growthrate!$E$3)^2</f>
        <v>2150614.2617749996</v>
      </c>
      <c r="L175" s="12">
        <f>H175*(1+0.01*growthrate!$E$3)^5</f>
        <v>481310.02453946462</v>
      </c>
      <c r="M175" s="4">
        <f>I175*(1+0.01*growthrate!$E$3)^5</f>
        <v>63765.029625858821</v>
      </c>
      <c r="N175" s="4">
        <f>J175*(1+0.01*growthrate!$E$3)^5</f>
        <v>559622.64965702861</v>
      </c>
      <c r="O175" s="4">
        <f>K175*(1+0.01*growthrate!$E$3)^5</f>
        <v>2316822.3427358093</v>
      </c>
      <c r="P175" s="12">
        <f>L175*(1+0.01*growthrate!$F$3)^10</f>
        <v>516083.07031373581</v>
      </c>
      <c r="Q175" s="4">
        <f>M175*(1+0.01*growthrate!$F$3)^10</f>
        <v>68371.840581228695</v>
      </c>
      <c r="R175" s="4">
        <f>N175*(1+0.01*growthrate!$F$3)^10</f>
        <v>600053.52169519698</v>
      </c>
      <c r="S175" s="4">
        <f>O175*(1+0.01*growthrate!$F$3)^10</f>
        <v>2484205.0384357218</v>
      </c>
    </row>
    <row r="176" spans="1:19" x14ac:dyDescent="0.2">
      <c r="A176" s="2" t="s">
        <v>357</v>
      </c>
      <c r="B176" s="8" t="s">
        <v>358</v>
      </c>
      <c r="C176" s="4" t="s">
        <v>779</v>
      </c>
      <c r="D176" s="5">
        <v>239864</v>
      </c>
      <c r="E176" s="5">
        <v>119576</v>
      </c>
      <c r="F176" s="5">
        <v>359440</v>
      </c>
      <c r="G176" s="5">
        <v>249747</v>
      </c>
      <c r="H176" s="12">
        <f>D176*(1+0.01*growthrate!E176)^2</f>
        <v>239864</v>
      </c>
      <c r="I176" s="4">
        <f>E176*(1+0.01*growthrate!$E$3)^2</f>
        <v>123190.18459999996</v>
      </c>
      <c r="J176" s="4">
        <f>F176*(1+0.01*growthrate!$E$3)^2</f>
        <v>370304.07399999991</v>
      </c>
      <c r="K176" s="4">
        <f>G176*(1+0.01*growthrate!$E$3)^2</f>
        <v>257295.60307499993</v>
      </c>
      <c r="L176" s="12">
        <f>H176*(1+0.01*growthrate!$E$3)^5</f>
        <v>258401.65030772155</v>
      </c>
      <c r="M176" s="4">
        <f>I176*(1+0.01*growthrate!$E$3)^5</f>
        <v>132710.81530514316</v>
      </c>
      <c r="N176" s="4">
        <f>J176*(1+0.01*growthrate!$E$3)^5</f>
        <v>398922.65549341554</v>
      </c>
      <c r="O176" s="4">
        <f>K176*(1+0.01*growthrate!$E$3)^5</f>
        <v>277180.43746248068</v>
      </c>
      <c r="P176" s="12">
        <f>L176*(1+0.01*growthrate!$F$3)^10</f>
        <v>277070.30866964784</v>
      </c>
      <c r="Q176" s="4">
        <f>M176*(1+0.01*growthrate!$F$3)^10</f>
        <v>142298.72958089956</v>
      </c>
      <c r="R176" s="4">
        <f>N176*(1+0.01*growthrate!$F$3)^10</f>
        <v>427743.48833008745</v>
      </c>
      <c r="S176" s="4">
        <f>O176*(1+0.01*growthrate!$F$3)^10</f>
        <v>297205.80063424871</v>
      </c>
    </row>
    <row r="177" spans="1:19" x14ac:dyDescent="0.2">
      <c r="A177" s="2" t="s">
        <v>359</v>
      </c>
      <c r="B177" s="8" t="s">
        <v>360</v>
      </c>
      <c r="C177" s="4" t="s">
        <v>779</v>
      </c>
      <c r="D177" s="5">
        <v>187462</v>
      </c>
      <c r="E177" s="5">
        <v>13950</v>
      </c>
      <c r="F177" s="5">
        <v>201412</v>
      </c>
      <c r="G177" s="5">
        <v>542809</v>
      </c>
      <c r="H177" s="12">
        <f>D177*(1+0.01*growthrate!E177)^2</f>
        <v>187462</v>
      </c>
      <c r="I177" s="4">
        <f>E177*(1+0.01*growthrate!$E$3)^2</f>
        <v>14371.638749999996</v>
      </c>
      <c r="J177" s="4">
        <f>F177*(1+0.01*growthrate!$E$3)^2</f>
        <v>207499.67769999994</v>
      </c>
      <c r="K177" s="4">
        <f>G177*(1+0.01*growthrate!$E$3)^2</f>
        <v>559215.40202499984</v>
      </c>
      <c r="L177" s="12">
        <f>H177*(1+0.01*growthrate!$E$3)^5</f>
        <v>201949.81393617258</v>
      </c>
      <c r="M177" s="4">
        <f>I177*(1+0.01*growthrate!$E$3)^5</f>
        <v>15482.33653497982</v>
      </c>
      <c r="N177" s="4">
        <f>J177*(1+0.01*growthrate!$E$3)^5</f>
        <v>223536.08359737316</v>
      </c>
      <c r="O177" s="4">
        <f>K177*(1+0.01*growthrate!$E$3)^5</f>
        <v>602433.80732730182</v>
      </c>
      <c r="P177" s="12">
        <f>L177*(1+0.01*growthrate!$F$3)^10</f>
        <v>216540.01519123139</v>
      </c>
      <c r="Q177" s="4">
        <f>M177*(1+0.01*growthrate!$F$3)^10</f>
        <v>16600.883769766078</v>
      </c>
      <c r="R177" s="4">
        <f>N177*(1+0.01*growthrate!$F$3)^10</f>
        <v>239685.82092015236</v>
      </c>
      <c r="S177" s="4">
        <f>O177*(1+0.01*growthrate!$F$3)^10</f>
        <v>645957.64288049855</v>
      </c>
    </row>
    <row r="178" spans="1:19" x14ac:dyDescent="0.2">
      <c r="A178" s="2" t="s">
        <v>361</v>
      </c>
      <c r="B178" s="8" t="s">
        <v>362</v>
      </c>
      <c r="C178" s="4" t="s">
        <v>779</v>
      </c>
      <c r="D178" s="5">
        <v>857713</v>
      </c>
      <c r="E178" s="5">
        <v>7689</v>
      </c>
      <c r="F178" s="5">
        <v>865402</v>
      </c>
      <c r="G178" s="5">
        <v>330211</v>
      </c>
      <c r="H178" s="12">
        <f>D178*(1+0.01*growthrate!E178)^2</f>
        <v>857713</v>
      </c>
      <c r="I178" s="4">
        <f>E178*(1+0.01*growthrate!$E$3)^2</f>
        <v>7921.4000249999981</v>
      </c>
      <c r="J178" s="4">
        <f>F178*(1+0.01*growthrate!$E$3)^2</f>
        <v>891558.77544999972</v>
      </c>
      <c r="K178" s="4">
        <f>G178*(1+0.01*growthrate!$E$3)^2</f>
        <v>340191.62747499993</v>
      </c>
      <c r="L178" s="12">
        <f>H178*(1+0.01*growthrate!$E$3)^5</f>
        <v>924000.49482367828</v>
      </c>
      <c r="M178" s="4">
        <f>I178*(1+0.01*growthrate!$E$3)^5</f>
        <v>8533.5975353017802</v>
      </c>
      <c r="N178" s="4">
        <f>J178*(1+0.01*growthrate!$E$3)^5</f>
        <v>960462.00731502543</v>
      </c>
      <c r="O178" s="4">
        <f>K178*(1+0.01*growthrate!$E$3)^5</f>
        <v>366482.99853420944</v>
      </c>
      <c r="P178" s="12">
        <f>L178*(1+0.01*growthrate!$F$3)^10</f>
        <v>990756.45223947591</v>
      </c>
      <c r="Q178" s="4">
        <f>M178*(1+0.01*growthrate!$F$3)^10</f>
        <v>9150.121527292571</v>
      </c>
      <c r="R178" s="4">
        <f>N178*(1+0.01*growthrate!$F$3)^10</f>
        <v>1029852.1875357063</v>
      </c>
      <c r="S178" s="4">
        <f>O178*(1+0.01*growthrate!$F$3)^10</f>
        <v>392960.17422926362</v>
      </c>
    </row>
    <row r="179" spans="1:19" x14ac:dyDescent="0.2">
      <c r="A179" s="2" t="s">
        <v>363</v>
      </c>
      <c r="B179" s="8" t="s">
        <v>364</v>
      </c>
      <c r="C179" s="4" t="s">
        <v>779</v>
      </c>
      <c r="D179" s="5">
        <v>15054</v>
      </c>
      <c r="E179" s="5">
        <v>0</v>
      </c>
      <c r="F179" s="5">
        <v>15054</v>
      </c>
      <c r="G179" s="5">
        <v>219441</v>
      </c>
      <c r="H179" s="12">
        <f>D179*(1+0.01*growthrate!E179)^2</f>
        <v>15054</v>
      </c>
      <c r="I179" s="4">
        <f>E179*(1+0.01*growthrate!$E$3)^2</f>
        <v>0</v>
      </c>
      <c r="J179" s="4">
        <f>F179*(1+0.01*growthrate!$E$3)^2</f>
        <v>15509.007149999996</v>
      </c>
      <c r="K179" s="4">
        <f>G179*(1+0.01*growthrate!$E$3)^2</f>
        <v>226073.60422499993</v>
      </c>
      <c r="L179" s="12">
        <f>H179*(1+0.01*growthrate!$E$3)^5</f>
        <v>16217.433394475371</v>
      </c>
      <c r="M179" s="4">
        <f>I179*(1+0.01*growthrate!$E$3)^5</f>
        <v>0</v>
      </c>
      <c r="N179" s="4">
        <f>J179*(1+0.01*growthrate!$E$3)^5</f>
        <v>16707.605318823385</v>
      </c>
      <c r="O179" s="4">
        <f>K179*(1+0.01*growthrate!$E$3)^5</f>
        <v>243545.47753207933</v>
      </c>
      <c r="P179" s="12">
        <f>L179*(1+0.01*growthrate!$F$3)^10</f>
        <v>17389.088928363068</v>
      </c>
      <c r="Q179" s="4">
        <f>M179*(1+0.01*growthrate!$F$3)^10</f>
        <v>0</v>
      </c>
      <c r="R179" s="4">
        <f>N179*(1+0.01*growthrate!$F$3)^10</f>
        <v>17914.674141222837</v>
      </c>
      <c r="S179" s="4">
        <f>O179*(1+0.01*growthrate!$F$3)^10</f>
        <v>261140.82690474825</v>
      </c>
    </row>
    <row r="180" spans="1:19" x14ac:dyDescent="0.2">
      <c r="A180" s="2" t="s">
        <v>365</v>
      </c>
      <c r="B180" s="8" t="s">
        <v>366</v>
      </c>
      <c r="C180" s="4" t="s">
        <v>779</v>
      </c>
      <c r="D180" s="5">
        <v>809778</v>
      </c>
      <c r="E180" s="5">
        <v>0</v>
      </c>
      <c r="F180" s="5">
        <v>809778</v>
      </c>
      <c r="G180" s="5">
        <v>625716</v>
      </c>
      <c r="H180" s="12">
        <f>D180*(1+0.01*growthrate!E180)^2</f>
        <v>809778</v>
      </c>
      <c r="I180" s="4">
        <f>E180*(1+0.01*growthrate!$E$3)^2</f>
        <v>0</v>
      </c>
      <c r="J180" s="4">
        <f>F180*(1+0.01*growthrate!$E$3)^2</f>
        <v>834253.54004999972</v>
      </c>
      <c r="K180" s="4">
        <f>G180*(1+0.01*growthrate!$E$3)^2</f>
        <v>644628.26609999978</v>
      </c>
      <c r="L180" s="12">
        <f>H180*(1+0.01*growthrate!$E$3)^5</f>
        <v>872360.88609748089</v>
      </c>
      <c r="M180" s="4">
        <f>I180*(1+0.01*growthrate!$E$3)^5</f>
        <v>0</v>
      </c>
      <c r="N180" s="4">
        <f>J180*(1+0.01*growthrate!$E$3)^5</f>
        <v>898727.99387977691</v>
      </c>
      <c r="O180" s="4">
        <f>K180*(1+0.01*growthrate!$E$3)^5</f>
        <v>694447.71952124964</v>
      </c>
      <c r="P180" s="12">
        <f>L180*(1+0.01*growthrate!$F$3)^10</f>
        <v>935386.05382170773</v>
      </c>
      <c r="Q180" s="4">
        <f>M180*(1+0.01*growthrate!$F$3)^10</f>
        <v>0</v>
      </c>
      <c r="R180" s="4">
        <f>N180*(1+0.01*growthrate!$F$3)^10</f>
        <v>963658.09729846846</v>
      </c>
      <c r="S180" s="4">
        <f>O180*(1+0.01*growthrate!$F$3)^10</f>
        <v>744619.25368336565</v>
      </c>
    </row>
    <row r="181" spans="1:19" x14ac:dyDescent="0.2">
      <c r="A181" s="2" t="s">
        <v>367</v>
      </c>
      <c r="B181" s="8" t="s">
        <v>368</v>
      </c>
      <c r="C181" s="4" t="s">
        <v>779</v>
      </c>
      <c r="D181" s="5">
        <v>16604</v>
      </c>
      <c r="E181" s="5">
        <v>0</v>
      </c>
      <c r="F181" s="5">
        <v>16604</v>
      </c>
      <c r="G181" s="5">
        <v>430189</v>
      </c>
      <c r="H181" s="12">
        <f>D181*(1+0.01*growthrate!E181)^2</f>
        <v>16604</v>
      </c>
      <c r="I181" s="4">
        <f>E181*(1+0.01*growthrate!$E$3)^2</f>
        <v>0</v>
      </c>
      <c r="J181" s="4">
        <f>F181*(1+0.01*growthrate!$E$3)^2</f>
        <v>17105.855899999995</v>
      </c>
      <c r="K181" s="4">
        <f>G181*(1+0.01*growthrate!$E$3)^2</f>
        <v>443191.46252499986</v>
      </c>
      <c r="L181" s="12">
        <f>H181*(1+0.01*growthrate!$E$3)^5</f>
        <v>17887.223600496152</v>
      </c>
      <c r="M181" s="4">
        <f>I181*(1+0.01*growthrate!$E$3)^5</f>
        <v>0</v>
      </c>
      <c r="N181" s="4">
        <f>J181*(1+0.01*growthrate!$E$3)^5</f>
        <v>18427.86493382114</v>
      </c>
      <c r="O181" s="4">
        <f>K181*(1+0.01*growthrate!$E$3)^5</f>
        <v>477443.07323630346</v>
      </c>
      <c r="P181" s="12">
        <f>L181*(1+0.01*growthrate!$F$3)^10</f>
        <v>19179.515913812964</v>
      </c>
      <c r="Q181" s="4">
        <f>M181*(1+0.01*growthrate!$F$3)^10</f>
        <v>0</v>
      </c>
      <c r="R181" s="4">
        <f>N181*(1+0.01*growthrate!$F$3)^10</f>
        <v>19759.216782307954</v>
      </c>
      <c r="S181" s="4">
        <f>O181*(1+0.01*growthrate!$F$3)^10</f>
        <v>511936.74466178491</v>
      </c>
    </row>
    <row r="182" spans="1:19" x14ac:dyDescent="0.2">
      <c r="A182" s="2" t="s">
        <v>369</v>
      </c>
      <c r="B182" s="8" t="s">
        <v>370</v>
      </c>
      <c r="C182" s="4" t="s">
        <v>779</v>
      </c>
      <c r="D182" s="5">
        <v>504058</v>
      </c>
      <c r="E182" s="5">
        <v>701675</v>
      </c>
      <c r="F182" s="5">
        <v>1205733</v>
      </c>
      <c r="G182" s="5">
        <v>153560</v>
      </c>
      <c r="H182" s="12">
        <f>D182*(1+0.01*growthrate!E182)^2</f>
        <v>504058</v>
      </c>
      <c r="I182" s="4">
        <f>E182*(1+0.01*growthrate!$E$3)^2</f>
        <v>722883.12687499984</v>
      </c>
      <c r="J182" s="4">
        <f>F182*(1+0.01*growthrate!$E$3)^2</f>
        <v>1242176.2799249997</v>
      </c>
      <c r="K182" s="4">
        <f>G182*(1+0.01*growthrate!$E$3)^2</f>
        <v>158201.35099999997</v>
      </c>
      <c r="L182" s="12">
        <f>H182*(1+0.01*growthrate!$E$3)^5</f>
        <v>543013.62042994995</v>
      </c>
      <c r="M182" s="4">
        <f>I182*(1+0.01*growthrate!$E$3)^5</f>
        <v>778750.429260356</v>
      </c>
      <c r="N182" s="4">
        <f>J182*(1+0.01*growthrate!$E$3)^5</f>
        <v>1338176.6363678009</v>
      </c>
      <c r="O182" s="4">
        <f>K182*(1+0.01*growthrate!$E$3)^5</f>
        <v>170427.78482519722</v>
      </c>
      <c r="P182" s="12">
        <f>L182*(1+0.01*growthrate!$F$3)^10</f>
        <v>582244.54543993832</v>
      </c>
      <c r="Q182" s="4">
        <f>M182*(1+0.01*growthrate!$F$3)^10</f>
        <v>835012.55334413005</v>
      </c>
      <c r="R182" s="4">
        <f>N182*(1+0.01*growthrate!$F$3)^10</f>
        <v>1434855.4401699901</v>
      </c>
      <c r="S182" s="4">
        <f>O182*(1+0.01*growthrate!$F$3)^10</f>
        <v>182740.62449356838</v>
      </c>
    </row>
    <row r="183" spans="1:19" x14ac:dyDescent="0.2">
      <c r="A183" s="2" t="s">
        <v>371</v>
      </c>
      <c r="B183" s="8" t="s">
        <v>372</v>
      </c>
      <c r="C183" s="4" t="s">
        <v>779</v>
      </c>
      <c r="D183" s="5">
        <v>828094</v>
      </c>
      <c r="E183" s="5">
        <v>38075</v>
      </c>
      <c r="F183" s="5">
        <v>866169</v>
      </c>
      <c r="G183" s="5">
        <v>219968</v>
      </c>
      <c r="H183" s="12">
        <f>D183*(1+0.01*growthrate!E183)^2</f>
        <v>828094</v>
      </c>
      <c r="I183" s="4">
        <f>E183*(1+0.01*growthrate!$E$3)^2</f>
        <v>39225.81687499999</v>
      </c>
      <c r="J183" s="4">
        <f>F183*(1+0.01*growthrate!$E$3)^2</f>
        <v>892348.95802499971</v>
      </c>
      <c r="K183" s="4">
        <f>G183*(1+0.01*growthrate!$E$3)^2</f>
        <v>226616.53279999993</v>
      </c>
      <c r="L183" s="12">
        <f>H183*(1+0.01*growthrate!$E$3)^5</f>
        <v>892092.41991262708</v>
      </c>
      <c r="M183" s="4">
        <f>I183*(1+0.01*growthrate!$E$3)^5</f>
        <v>42257.345058735242</v>
      </c>
      <c r="N183" s="4">
        <f>J183*(1+0.01*growthrate!$E$3)^5</f>
        <v>961313.25836322119</v>
      </c>
      <c r="O183" s="4">
        <f>K183*(1+0.01*growthrate!$E$3)^5</f>
        <v>244130.36580117856</v>
      </c>
      <c r="P183" s="12">
        <f>L183*(1+0.01*growthrate!$F$3)^10</f>
        <v>956543.12521880469</v>
      </c>
      <c r="Q183" s="4">
        <f>M183*(1+0.01*growthrate!$F$3)^10</f>
        <v>45310.297457623186</v>
      </c>
      <c r="R183" s="4">
        <f>N183*(1+0.01*growthrate!$F$3)^10</f>
        <v>1030764.9386361659</v>
      </c>
      <c r="S183" s="4">
        <f>O183*(1+0.01*growthrate!$F$3)^10</f>
        <v>261767.97140271717</v>
      </c>
    </row>
    <row r="184" spans="1:19" x14ac:dyDescent="0.2">
      <c r="A184" s="2" t="s">
        <v>373</v>
      </c>
      <c r="B184" s="8" t="s">
        <v>374</v>
      </c>
      <c r="C184" s="4" t="s">
        <v>779</v>
      </c>
      <c r="D184" s="5">
        <v>956366</v>
      </c>
      <c r="E184" s="5">
        <v>112514</v>
      </c>
      <c r="F184" s="5">
        <v>1068880</v>
      </c>
      <c r="G184" s="5">
        <v>1553721</v>
      </c>
      <c r="H184" s="12">
        <f>D184*(1+0.01*growthrate!E184)^2</f>
        <v>956366</v>
      </c>
      <c r="I184" s="4">
        <f>E184*(1+0.01*growthrate!$E$3)^2</f>
        <v>115914.73564999997</v>
      </c>
      <c r="J184" s="4">
        <f>F184*(1+0.01*growthrate!$E$3)^2</f>
        <v>1101186.8979999998</v>
      </c>
      <c r="K184" s="4">
        <f>G184*(1+0.01*growthrate!$E$3)^2</f>
        <v>1600682.2172249996</v>
      </c>
      <c r="L184" s="12">
        <f>H184*(1+0.01*growthrate!$E$3)^5</f>
        <v>1030277.7936588835</v>
      </c>
      <c r="M184" s="4">
        <f>I184*(1+0.01*growthrate!$E$3)^5</f>
        <v>124873.09053023079</v>
      </c>
      <c r="N184" s="4">
        <f>J184*(1+0.01*growthrate!$E$3)^5</f>
        <v>1186291.0305024539</v>
      </c>
      <c r="O184" s="4">
        <f>K184*(1+0.01*growthrate!$E$3)^5</f>
        <v>1724389.3479186653</v>
      </c>
      <c r="P184" s="12">
        <f>L184*(1+0.01*growthrate!$F$3)^10</f>
        <v>1104711.9318495332</v>
      </c>
      <c r="Q184" s="4">
        <f>M184*(1+0.01*growthrate!$F$3)^10</f>
        <v>133894.75530261366</v>
      </c>
      <c r="R184" s="4">
        <f>N184*(1+0.01*growthrate!$F$3)^10</f>
        <v>1271996.6052922988</v>
      </c>
      <c r="S184" s="4">
        <f>O184*(1+0.01*growthrate!$F$3)^10</f>
        <v>1848970.7334512344</v>
      </c>
    </row>
    <row r="185" spans="1:19" x14ac:dyDescent="0.2">
      <c r="A185" s="2" t="s">
        <v>375</v>
      </c>
      <c r="B185" s="8" t="s">
        <v>376</v>
      </c>
      <c r="C185" s="4" t="s">
        <v>779</v>
      </c>
      <c r="D185" s="5">
        <v>1791339</v>
      </c>
      <c r="E185" s="5">
        <v>18080</v>
      </c>
      <c r="F185" s="5">
        <v>1809419</v>
      </c>
      <c r="G185" s="5">
        <v>844399</v>
      </c>
      <c r="H185" s="12">
        <f>D185*(1+0.01*growthrate!E185)^2</f>
        <v>1791339</v>
      </c>
      <c r="I185" s="4">
        <f>E185*(1+0.01*growthrate!$E$3)^2</f>
        <v>18626.467999999993</v>
      </c>
      <c r="J185" s="4">
        <f>F185*(1+0.01*growthrate!$E$3)^2</f>
        <v>1864108.6892749995</v>
      </c>
      <c r="K185" s="4">
        <f>G185*(1+0.01*growthrate!$E$3)^2</f>
        <v>869920.95977499976</v>
      </c>
      <c r="L185" s="12">
        <f>H185*(1+0.01*growthrate!$E$3)^5</f>
        <v>1929780.8502342312</v>
      </c>
      <c r="M185" s="4">
        <f>I185*(1+0.01*growthrate!$E$3)^5</f>
        <v>20065.996025264165</v>
      </c>
      <c r="N185" s="4">
        <f>J185*(1+0.01*growthrate!$E$3)^5</f>
        <v>2008174.4724578245</v>
      </c>
      <c r="O185" s="4">
        <f>K185*(1+0.01*growthrate!$E$3)^5</f>
        <v>937151.93460934947</v>
      </c>
      <c r="P185" s="12">
        <f>L185*(1+0.01*growthrate!$F$3)^10</f>
        <v>2069201.087541183</v>
      </c>
      <c r="Q185" s="4">
        <f>M185*(1+0.01*growthrate!$F$3)^10</f>
        <v>21515.697387625136</v>
      </c>
      <c r="R185" s="4">
        <f>N185*(1+0.01*growthrate!$F$3)^10</f>
        <v>2153258.3877997398</v>
      </c>
      <c r="S185" s="4">
        <f>O185*(1+0.01*growthrate!$F$3)^10</f>
        <v>1004858.0397352478</v>
      </c>
    </row>
    <row r="186" spans="1:19" x14ac:dyDescent="0.2">
      <c r="A186" s="2" t="s">
        <v>377</v>
      </c>
      <c r="B186" s="8" t="s">
        <v>378</v>
      </c>
      <c r="C186" s="4" t="s">
        <v>779</v>
      </c>
      <c r="D186" s="5">
        <v>325994</v>
      </c>
      <c r="E186" s="5">
        <v>-578</v>
      </c>
      <c r="F186" s="5">
        <v>325416</v>
      </c>
      <c r="G186" s="5">
        <v>301249</v>
      </c>
      <c r="H186" s="12">
        <f>D186*(1+0.01*growthrate!E186)^2</f>
        <v>325994</v>
      </c>
      <c r="I186" s="4">
        <f>E186*(1+0.01*growthrate!$E$3)^2</f>
        <v>-595.47004999999979</v>
      </c>
      <c r="J186" s="4">
        <f>F186*(1+0.01*growthrate!$E$3)^2</f>
        <v>335251.69859999989</v>
      </c>
      <c r="K186" s="4">
        <f>G186*(1+0.01*growthrate!$E$3)^2</f>
        <v>310354.25102499989</v>
      </c>
      <c r="L186" s="12">
        <f>H186*(1+0.01*growthrate!$E$3)^5</f>
        <v>351188.12156228273</v>
      </c>
      <c r="M186" s="4">
        <f>I186*(1+0.01*growthrate!$E$3)^5</f>
        <v>-641.49035965722828</v>
      </c>
      <c r="N186" s="4">
        <f>J186*(1+0.01*growthrate!$E$3)^5</f>
        <v>361161.29217684537</v>
      </c>
      <c r="O186" s="4">
        <f>K186*(1+0.01*growthrate!$E$3)^5</f>
        <v>334339.67016674805</v>
      </c>
      <c r="P186" s="12">
        <f>L186*(1+0.01*growthrate!$F$3)^10</f>
        <v>376560.29335145408</v>
      </c>
      <c r="Q186" s="4">
        <f>M186*(1+0.01*growthrate!$F$3)^10</f>
        <v>-687.83590099819298</v>
      </c>
      <c r="R186" s="4">
        <f>N186*(1+0.01*growthrate!$F$3)^10</f>
        <v>387253.99231700343</v>
      </c>
      <c r="S186" s="4">
        <f>O186*(1+0.01*growthrate!$F$3)^10</f>
        <v>358494.59747371048</v>
      </c>
    </row>
    <row r="187" spans="1:19" x14ac:dyDescent="0.2">
      <c r="A187" s="2" t="s">
        <v>379</v>
      </c>
      <c r="B187" s="8" t="s">
        <v>380</v>
      </c>
      <c r="C187" s="4" t="s">
        <v>779</v>
      </c>
      <c r="D187" s="5">
        <v>2015773</v>
      </c>
      <c r="E187" s="5">
        <v>909701</v>
      </c>
      <c r="F187" s="5">
        <v>2925474</v>
      </c>
      <c r="G187" s="5">
        <v>635824</v>
      </c>
      <c r="H187" s="12">
        <f>D187*(1+0.01*growthrate!E187)^2</f>
        <v>2015773</v>
      </c>
      <c r="I187" s="4">
        <f>E187*(1+0.01*growthrate!$E$3)^2</f>
        <v>937196.71272499976</v>
      </c>
      <c r="J187" s="4">
        <f>F187*(1+0.01*growthrate!$E$3)^2</f>
        <v>3013896.4516499992</v>
      </c>
      <c r="K187" s="4">
        <f>G187*(1+0.01*growthrate!$E$3)^2</f>
        <v>655041.78039999981</v>
      </c>
      <c r="L187" s="12">
        <f>H187*(1+0.01*growthrate!$E$3)^5</f>
        <v>2171560.0083620166</v>
      </c>
      <c r="M187" s="4">
        <f>I187*(1+0.01*growthrate!$E$3)^5</f>
        <v>1009627.0271116615</v>
      </c>
      <c r="N187" s="4">
        <f>J187*(1+0.01*growthrate!$E$3)^5</f>
        <v>3246822.4367264197</v>
      </c>
      <c r="O187" s="4">
        <f>K187*(1+0.01*growthrate!$E$3)^5</f>
        <v>705666.03190086083</v>
      </c>
      <c r="P187" s="12">
        <f>L187*(1+0.01*growthrate!$F$3)^10</f>
        <v>2328447.9843492229</v>
      </c>
      <c r="Q187" s="4">
        <f>M187*(1+0.01*growthrate!$F$3)^10</f>
        <v>1082569.2162179193</v>
      </c>
      <c r="R187" s="4">
        <f>N187*(1+0.01*growthrate!$F$3)^10</f>
        <v>3481394.5408940967</v>
      </c>
      <c r="S187" s="4">
        <f>O187*(1+0.01*growthrate!$F$3)^10</f>
        <v>756648.0517582614</v>
      </c>
    </row>
    <row r="188" spans="1:19" x14ac:dyDescent="0.2">
      <c r="A188" s="2" t="s">
        <v>381</v>
      </c>
      <c r="B188" s="8" t="s">
        <v>382</v>
      </c>
      <c r="C188" s="4" t="s">
        <v>779</v>
      </c>
      <c r="D188" s="5">
        <v>9621663</v>
      </c>
      <c r="E188" s="5">
        <v>13625</v>
      </c>
      <c r="F188" s="5">
        <v>9635288</v>
      </c>
      <c r="G188" s="5">
        <v>4470166</v>
      </c>
      <c r="H188" s="12">
        <f>D188*(1+0.01*growthrate!E188)^2</f>
        <v>9621663</v>
      </c>
      <c r="I188" s="4">
        <f>E188*(1+0.01*growthrate!$E$3)^2</f>
        <v>14036.815624999996</v>
      </c>
      <c r="J188" s="4">
        <f>F188*(1+0.01*growthrate!$E$3)^2</f>
        <v>9926514.5797999967</v>
      </c>
      <c r="K188" s="4">
        <f>G188*(1+0.01*growthrate!$E$3)^2</f>
        <v>4605276.7673499985</v>
      </c>
      <c r="L188" s="12">
        <f>H188*(1+0.01*growthrate!$E$3)^5</f>
        <v>10365263.64066614</v>
      </c>
      <c r="M188" s="4">
        <f>I188*(1+0.01*growthrate!$E$3)^5</f>
        <v>15121.636938286741</v>
      </c>
      <c r="N188" s="4">
        <f>J188*(1+0.01*growthrate!$E$3)^5</f>
        <v>10693675.371143557</v>
      </c>
      <c r="O188" s="4">
        <f>K188*(1+0.01*growthrate!$E$3)^5</f>
        <v>4961190.9949264945</v>
      </c>
      <c r="P188" s="12">
        <f>L188*(1+0.01*growthrate!$F$3)^10</f>
        <v>11114119.406519234</v>
      </c>
      <c r="Q188" s="4">
        <f>M188*(1+0.01*growthrate!$F$3)^10</f>
        <v>16214.124828893393</v>
      </c>
      <c r="R188" s="4">
        <f>N188*(1+0.01*growthrate!$F$3)^10</f>
        <v>11466257.790410168</v>
      </c>
      <c r="S188" s="4">
        <f>O188*(1+0.01*growthrate!$F$3)^10</f>
        <v>5319620.5159541322</v>
      </c>
    </row>
    <row r="189" spans="1:19" x14ac:dyDescent="0.2">
      <c r="A189" s="2" t="s">
        <v>383</v>
      </c>
      <c r="B189" s="8" t="s">
        <v>384</v>
      </c>
      <c r="C189" s="4" t="s">
        <v>779</v>
      </c>
      <c r="D189" s="5">
        <v>39218995</v>
      </c>
      <c r="E189" s="5">
        <v>434330</v>
      </c>
      <c r="F189" s="5">
        <v>39653325</v>
      </c>
      <c r="G189" s="5">
        <v>35454848</v>
      </c>
      <c r="H189" s="12">
        <f>D189*(1+0.01*growthrate!E189)^2</f>
        <v>39218995</v>
      </c>
      <c r="I189" s="4">
        <f>E189*(1+0.01*growthrate!$E$3)^2</f>
        <v>447457.62424999988</v>
      </c>
      <c r="J189" s="4">
        <f>F189*(1+0.01*growthrate!$E$3)^2</f>
        <v>40851846.748124987</v>
      </c>
      <c r="K189" s="4">
        <f>G189*(1+0.01*growthrate!$E$3)^2</f>
        <v>36526470.780799992</v>
      </c>
      <c r="L189" s="12">
        <f>H189*(1+0.01*growthrate!$E$3)^5</f>
        <v>42249995.961921252</v>
      </c>
      <c r="M189" s="4">
        <f>I189*(1+0.01*growthrate!$E$3)^5</f>
        <v>482038.94102062978</v>
      </c>
      <c r="N189" s="4">
        <f>J189*(1+0.01*growthrate!$E$3)^5</f>
        <v>44009041.030890942</v>
      </c>
      <c r="O189" s="4">
        <f>K189*(1+0.01*growthrate!$E$3)^5</f>
        <v>39349382.690505825</v>
      </c>
      <c r="P189" s="12">
        <f>L189*(1+0.01*growthrate!$F$3)^10</f>
        <v>45302417.413048118</v>
      </c>
      <c r="Q189" s="4">
        <f>M189*(1+0.01*growthrate!$F$3)^10</f>
        <v>516864.64858225815</v>
      </c>
      <c r="R189" s="4">
        <f>N189*(1+0.01*growthrate!$F$3)^10</f>
        <v>47188547.627939746</v>
      </c>
      <c r="S189" s="4">
        <f>O189*(1+0.01*growthrate!$F$3)^10</f>
        <v>42192244.496252574</v>
      </c>
    </row>
    <row r="190" spans="1:19" x14ac:dyDescent="0.2">
      <c r="A190" s="2" t="s">
        <v>385</v>
      </c>
      <c r="B190" s="8" t="s">
        <v>386</v>
      </c>
      <c r="C190" s="4" t="s">
        <v>779</v>
      </c>
      <c r="D190" s="5">
        <v>3723434</v>
      </c>
      <c r="E190" s="5">
        <v>2851</v>
      </c>
      <c r="F190" s="5">
        <v>3726285</v>
      </c>
      <c r="G190" s="5">
        <v>5872915</v>
      </c>
      <c r="H190" s="12">
        <f>D190*(1+0.01*growthrate!E190)^2</f>
        <v>3723434</v>
      </c>
      <c r="I190" s="4">
        <f>E190*(1+0.01*growthrate!$E$3)^2</f>
        <v>2937.1714749999992</v>
      </c>
      <c r="J190" s="4">
        <f>F190*(1+0.01*growthrate!$E$3)^2</f>
        <v>3838911.964124999</v>
      </c>
      <c r="K190" s="4">
        <f>G190*(1+0.01*growthrate!$E$3)^2</f>
        <v>6050423.8558749985</v>
      </c>
      <c r="L190" s="12">
        <f>H190*(1+0.01*growthrate!$E$3)^5</f>
        <v>4011195.8877192112</v>
      </c>
      <c r="M190" s="4">
        <f>I190*(1+0.01*growthrate!$E$3)^5</f>
        <v>3164.1678466829726</v>
      </c>
      <c r="N190" s="4">
        <f>J190*(1+0.01*growthrate!$E$3)^5</f>
        <v>4135598.4512722064</v>
      </c>
      <c r="O190" s="4">
        <f>K190*(1+0.01*growthrate!$E$3)^5</f>
        <v>6518024.8366545523</v>
      </c>
      <c r="P190" s="12">
        <f>L190*(1+0.01*growthrate!$F$3)^10</f>
        <v>4300991.4271881627</v>
      </c>
      <c r="Q190" s="4">
        <f>M190*(1+0.01*growthrate!$F$3)^10</f>
        <v>3392.7684320862431</v>
      </c>
      <c r="R190" s="4">
        <f>N190*(1+0.01*growthrate!$F$3)^10</f>
        <v>4434381.6615070105</v>
      </c>
      <c r="S190" s="4">
        <f>O190*(1+0.01*growthrate!$F$3)^10</f>
        <v>6988930.4161086557</v>
      </c>
    </row>
    <row r="191" spans="1:19" x14ac:dyDescent="0.2">
      <c r="A191" s="2" t="s">
        <v>387</v>
      </c>
      <c r="B191" s="8" t="s">
        <v>388</v>
      </c>
      <c r="C191" s="4" t="s">
        <v>779</v>
      </c>
      <c r="D191" s="5">
        <v>1015941</v>
      </c>
      <c r="E191" s="5">
        <v>1713</v>
      </c>
      <c r="F191" s="5">
        <v>1017654</v>
      </c>
      <c r="G191" s="5">
        <v>4731970</v>
      </c>
      <c r="H191" s="12">
        <f>D191*(1+0.01*growthrate!E191)^2</f>
        <v>1015941</v>
      </c>
      <c r="I191" s="4">
        <f>E191*(1+0.01*growthrate!$E$3)^2</f>
        <v>1764.7754249999996</v>
      </c>
      <c r="J191" s="4">
        <f>F191*(1+0.01*growthrate!$E$3)^2</f>
        <v>1048412.5921499997</v>
      </c>
      <c r="K191" s="4">
        <f>G191*(1+0.01*growthrate!$E$3)^2</f>
        <v>4874993.7932499982</v>
      </c>
      <c r="L191" s="12">
        <f>H191*(1+0.01*growthrate!$E$3)^5</f>
        <v>1094456.9881902952</v>
      </c>
      <c r="M191" s="4">
        <f>I191*(1+0.01*growthrate!$E$3)^5</f>
        <v>1901.1643358007479</v>
      </c>
      <c r="N191" s="4">
        <f>J191*(1+0.01*growthrate!$E$3)^5</f>
        <v>1129438.1149941471</v>
      </c>
      <c r="O191" s="4">
        <f>K191*(1+0.01*growthrate!$E$3)^5</f>
        <v>5251752.8325038319</v>
      </c>
      <c r="P191" s="12">
        <f>L191*(1+0.01*growthrate!$F$3)^10</f>
        <v>1173527.8593709383</v>
      </c>
      <c r="Q191" s="4">
        <f>M191*(1+0.01*growthrate!$F$3)^10</f>
        <v>2038.517125276652</v>
      </c>
      <c r="R191" s="4">
        <f>N191*(1+0.01*growthrate!$F$3)^10</f>
        <v>1211036.256045701</v>
      </c>
      <c r="S191" s="4">
        <f>O191*(1+0.01*growthrate!$F$3)^10</f>
        <v>5631174.4782810025</v>
      </c>
    </row>
    <row r="192" spans="1:19" x14ac:dyDescent="0.2">
      <c r="A192" s="2" t="s">
        <v>389</v>
      </c>
      <c r="B192" s="8" t="s">
        <v>390</v>
      </c>
      <c r="C192" s="4" t="s">
        <v>779</v>
      </c>
      <c r="D192" s="5">
        <v>3136090</v>
      </c>
      <c r="E192" s="5">
        <v>1135</v>
      </c>
      <c r="F192" s="5">
        <v>3137225</v>
      </c>
      <c r="G192" s="5">
        <v>1526828</v>
      </c>
      <c r="H192" s="12">
        <f>D192*(1+0.01*growthrate!E192)^2</f>
        <v>3136090</v>
      </c>
      <c r="I192" s="4">
        <f>E192*(1+0.01*growthrate!$E$3)^2</f>
        <v>1169.3053749999997</v>
      </c>
      <c r="J192" s="4">
        <f>F192*(1+0.01*growthrate!$E$3)^2</f>
        <v>3232047.6256249989</v>
      </c>
      <c r="K192" s="4">
        <f>G192*(1+0.01*growthrate!$E$3)^2</f>
        <v>1572976.3762999997</v>
      </c>
      <c r="L192" s="12">
        <f>H192*(1+0.01*growthrate!$E$3)^5</f>
        <v>3378459.5917417472</v>
      </c>
      <c r="M192" s="4">
        <f>I192*(1+0.01*growthrate!$E$3)^5</f>
        <v>1259.6739761435194</v>
      </c>
      <c r="N192" s="4">
        <f>J192*(1+0.01*growthrate!$E$3)^5</f>
        <v>3481833.206878284</v>
      </c>
      <c r="O192" s="4">
        <f>K192*(1+0.01*growthrate!$E$3)^5</f>
        <v>1694542.2886759979</v>
      </c>
      <c r="P192" s="12">
        <f>L192*(1+0.01*growthrate!$F$3)^10</f>
        <v>3622542.041806173</v>
      </c>
      <c r="Q192" s="4">
        <f>M192*(1+0.01*growthrate!$F$3)^10</f>
        <v>1350.6812242784588</v>
      </c>
      <c r="R192" s="4">
        <f>N192*(1+0.01*growthrate!$F$3)^10</f>
        <v>3733384.0562440418</v>
      </c>
      <c r="S192" s="4">
        <f>O192*(1+0.01*growthrate!$F$3)^10</f>
        <v>1816967.3236146527</v>
      </c>
    </row>
    <row r="193" spans="1:19" x14ac:dyDescent="0.2">
      <c r="A193" s="2" t="s">
        <v>391</v>
      </c>
      <c r="B193" s="8" t="s">
        <v>392</v>
      </c>
      <c r="C193" s="4" t="s">
        <v>779</v>
      </c>
      <c r="D193" s="5">
        <v>3115188</v>
      </c>
      <c r="E193" s="5">
        <v>-12164</v>
      </c>
      <c r="F193" s="5">
        <v>3103024</v>
      </c>
      <c r="G193" s="5">
        <v>1225418</v>
      </c>
      <c r="H193" s="12">
        <f>D193*(1+0.01*growthrate!E193)^2</f>
        <v>3115188</v>
      </c>
      <c r="I193" s="4">
        <f>E193*(1+0.01*growthrate!$E$3)^2</f>
        <v>-12531.656899999996</v>
      </c>
      <c r="J193" s="4">
        <f>F193*(1+0.01*growthrate!$E$3)^2</f>
        <v>3196812.9003999992</v>
      </c>
      <c r="K193" s="4">
        <f>G193*(1+0.01*growthrate!$E$3)^2</f>
        <v>1262456.2590499998</v>
      </c>
      <c r="L193" s="12">
        <f>H193*(1+0.01*growthrate!$E$3)^5</f>
        <v>3355942.2014925564</v>
      </c>
      <c r="M193" s="4">
        <f>I193*(1+0.01*growthrate!$E$3)^5</f>
        <v>-13500.153520537242</v>
      </c>
      <c r="N193" s="4">
        <f>J193*(1+0.01*growthrate!$E$3)^5</f>
        <v>3443875.4010121305</v>
      </c>
      <c r="O193" s="4">
        <f>K193*(1+0.01*growthrate!$E$3)^5</f>
        <v>1360023.9334782725</v>
      </c>
      <c r="P193" s="12">
        <f>L193*(1+0.01*growthrate!$F$3)^10</f>
        <v>3598397.8451288352</v>
      </c>
      <c r="Q193" s="4">
        <f>M193*(1+0.01*growthrate!$F$3)^10</f>
        <v>-14475.49463623187</v>
      </c>
      <c r="R193" s="4">
        <f>N193*(1+0.01*growthrate!$F$3)^10</f>
        <v>3692683.9253616212</v>
      </c>
      <c r="S193" s="4">
        <f>O193*(1+0.01*growthrate!$F$3)^10</f>
        <v>1458281.1317117712</v>
      </c>
    </row>
    <row r="194" spans="1:19" x14ac:dyDescent="0.2">
      <c r="A194" s="2" t="s">
        <v>393</v>
      </c>
      <c r="B194" s="8" t="s">
        <v>394</v>
      </c>
      <c r="C194" s="4" t="s">
        <v>779</v>
      </c>
      <c r="D194" s="5">
        <v>1632389</v>
      </c>
      <c r="E194" s="5">
        <v>33645</v>
      </c>
      <c r="F194" s="5">
        <v>1666034</v>
      </c>
      <c r="G194" s="5">
        <v>2393150</v>
      </c>
      <c r="H194" s="12">
        <f>D194*(1+0.01*growthrate!E194)^2</f>
        <v>1632389</v>
      </c>
      <c r="I194" s="4">
        <f>E194*(1+0.01*growthrate!$E$3)^2</f>
        <v>34661.92012499999</v>
      </c>
      <c r="J194" s="4">
        <f>F194*(1+0.01*growthrate!$E$3)^2</f>
        <v>1716389.8776499995</v>
      </c>
      <c r="K194" s="4">
        <f>G194*(1+0.01*growthrate!$E$3)^2</f>
        <v>2465482.9587499993</v>
      </c>
      <c r="L194" s="12">
        <f>H194*(1+0.01*growthrate!$E$3)^5</f>
        <v>1758546.5578168097</v>
      </c>
      <c r="M194" s="4">
        <f>I194*(1+0.01*growthrate!$E$3)^5</f>
        <v>37340.732094580359</v>
      </c>
      <c r="N194" s="4">
        <f>J194*(1+0.01*growthrate!$E$3)^5</f>
        <v>1849039.3596214028</v>
      </c>
      <c r="O194" s="4">
        <f>K194*(1+0.01*growthrate!$E$3)^5</f>
        <v>2656025.3533108928</v>
      </c>
      <c r="P194" s="12">
        <f>L194*(1+0.01*growthrate!$F$3)^10</f>
        <v>1885595.6879687561</v>
      </c>
      <c r="Q194" s="4">
        <f>M194*(1+0.01*growthrate!$F$3)^10</f>
        <v>40038.475586650871</v>
      </c>
      <c r="R194" s="4">
        <f>N194*(1+0.01*growthrate!$F$3)^10</f>
        <v>1982626.2932242623</v>
      </c>
      <c r="S194" s="4">
        <f>O194*(1+0.01*growthrate!$F$3)^10</f>
        <v>2847914.3364599063</v>
      </c>
    </row>
    <row r="195" spans="1:19" x14ac:dyDescent="0.2">
      <c r="A195" s="2" t="s">
        <v>395</v>
      </c>
      <c r="B195" s="8" t="s">
        <v>396</v>
      </c>
      <c r="C195" s="4" t="s">
        <v>779</v>
      </c>
      <c r="D195" s="5">
        <v>0</v>
      </c>
      <c r="E195" s="5">
        <v>7534734</v>
      </c>
      <c r="F195" s="5">
        <v>7534734</v>
      </c>
      <c r="G195" s="5">
        <v>687072</v>
      </c>
      <c r="H195" s="12">
        <f>D195*(1+0.01*growthrate!E195)^2</f>
        <v>0</v>
      </c>
      <c r="I195" s="4">
        <f>E195*(1+0.01*growthrate!$E$3)^2</f>
        <v>7762471.3351499978</v>
      </c>
      <c r="J195" s="4">
        <f>F195*(1+0.01*growthrate!$E$3)^2</f>
        <v>7762471.3351499978</v>
      </c>
      <c r="K195" s="4">
        <f>G195*(1+0.01*growthrate!$E$3)^2</f>
        <v>707838.75119999982</v>
      </c>
      <c r="L195" s="12">
        <f>H195*(1+0.01*growthrate!$E$3)^5</f>
        <v>0</v>
      </c>
      <c r="M195" s="4">
        <f>I195*(1+0.01*growthrate!$E$3)^5</f>
        <v>8362386.1999680744</v>
      </c>
      <c r="N195" s="4">
        <f>J195*(1+0.01*growthrate!$E$3)^5</f>
        <v>8362386.1999680744</v>
      </c>
      <c r="O195" s="4">
        <f>K195*(1+0.01*growthrate!$E$3)^5</f>
        <v>762543.36399725126</v>
      </c>
      <c r="P195" s="12">
        <f>L195*(1+0.01*growthrate!$F$3)^10</f>
        <v>0</v>
      </c>
      <c r="Q195" s="4">
        <f>M195*(1+0.01*growthrate!$F$3)^10</f>
        <v>8966540.7433766779</v>
      </c>
      <c r="R195" s="4">
        <f>N195*(1+0.01*growthrate!$F$3)^10</f>
        <v>8966540.7433766779</v>
      </c>
      <c r="S195" s="4">
        <f>O195*(1+0.01*growthrate!$F$3)^10</f>
        <v>817634.58161008742</v>
      </c>
    </row>
    <row r="196" spans="1:19" x14ac:dyDescent="0.2">
      <c r="A196" s="2" t="s">
        <v>397</v>
      </c>
      <c r="B196" s="8" t="s">
        <v>398</v>
      </c>
      <c r="C196" s="4" t="s">
        <v>779</v>
      </c>
      <c r="D196" s="5">
        <v>1489871</v>
      </c>
      <c r="E196" s="5">
        <v>206293</v>
      </c>
      <c r="F196" s="5">
        <v>1696164</v>
      </c>
      <c r="G196" s="5">
        <v>3774229</v>
      </c>
      <c r="H196" s="12">
        <f>D196*(1+0.01*growthrate!E196)^2</f>
        <v>1489871</v>
      </c>
      <c r="I196" s="4">
        <f>E196*(1+0.01*growthrate!$E$3)^2</f>
        <v>212528.20592499993</v>
      </c>
      <c r="J196" s="4">
        <f>F196*(1+0.01*growthrate!$E$3)^2</f>
        <v>1747430.5568999995</v>
      </c>
      <c r="K196" s="4">
        <f>G196*(1+0.01*growthrate!$E$3)^2</f>
        <v>3888305.0715249991</v>
      </c>
      <c r="L196" s="12">
        <f>H196*(1+0.01*growthrate!$E$3)^5</f>
        <v>1605014.1961512165</v>
      </c>
      <c r="M196" s="4">
        <f>I196*(1+0.01*growthrate!$E$3)^5</f>
        <v>228953.23661724673</v>
      </c>
      <c r="N196" s="4">
        <f>J196*(1+0.01*growthrate!$E$3)^5</f>
        <v>1882478.9868471334</v>
      </c>
      <c r="O196" s="4">
        <f>K196*(1+0.01*growthrate!$E$3)^5</f>
        <v>4188808.8557763696</v>
      </c>
      <c r="P196" s="12">
        <f>L196*(1+0.01*growthrate!$F$3)^10</f>
        <v>1720971.1246704669</v>
      </c>
      <c r="Q196" s="4">
        <f>M196*(1+0.01*growthrate!$F$3)^10</f>
        <v>245494.34519830492</v>
      </c>
      <c r="R196" s="4">
        <f>N196*(1+0.01*growthrate!$F$3)^10</f>
        <v>2018481.8221119363</v>
      </c>
      <c r="S196" s="4">
        <f>O196*(1+0.01*growthrate!$F$3)^10</f>
        <v>4491436.3404645491</v>
      </c>
    </row>
    <row r="197" spans="1:19" x14ac:dyDescent="0.2">
      <c r="A197" s="2" t="s">
        <v>399</v>
      </c>
      <c r="B197" s="8" t="s">
        <v>400</v>
      </c>
      <c r="C197" s="4" t="s">
        <v>779</v>
      </c>
      <c r="D197" s="5">
        <v>3532661</v>
      </c>
      <c r="E197" s="5">
        <v>1364968</v>
      </c>
      <c r="F197" s="5">
        <v>4897629</v>
      </c>
      <c r="G197" s="5">
        <v>698356</v>
      </c>
      <c r="H197" s="12">
        <f>D197*(1+0.01*growthrate!E197)^2</f>
        <v>3532661</v>
      </c>
      <c r="I197" s="4">
        <f>E197*(1+0.01*growthrate!$E$3)^2</f>
        <v>1406224.1577999997</v>
      </c>
      <c r="J197" s="4">
        <f>F197*(1+0.01*growthrate!$E$3)^2</f>
        <v>5045659.8365249988</v>
      </c>
      <c r="K197" s="4">
        <f>G197*(1+0.01*growthrate!$E$3)^2</f>
        <v>719463.81009999977</v>
      </c>
      <c r="L197" s="12">
        <f>H197*(1+0.01*growthrate!$E$3)^5</f>
        <v>3805679.1864461778</v>
      </c>
      <c r="M197" s="4">
        <f>I197*(1+0.01*growthrate!$E$3)^5</f>
        <v>1514902.7910737158</v>
      </c>
      <c r="N197" s="4">
        <f>J197*(1+0.01*growthrate!$E$3)^5</f>
        <v>5435608.6309302282</v>
      </c>
      <c r="O197" s="4">
        <f>K197*(1+0.01*growthrate!$E$3)^5</f>
        <v>775066.85399443493</v>
      </c>
      <c r="P197" s="12">
        <f>L197*(1+0.01*growthrate!$F$3)^10</f>
        <v>4080626.8289331738</v>
      </c>
      <c r="Q197" s="4">
        <f>M197*(1+0.01*growthrate!$F$3)^10</f>
        <v>1624349.470784951</v>
      </c>
      <c r="R197" s="4">
        <f>N197*(1+0.01*growthrate!$F$3)^10</f>
        <v>5828313.2456226293</v>
      </c>
      <c r="S197" s="4">
        <f>O197*(1+0.01*growthrate!$F$3)^10</f>
        <v>831062.85203718708</v>
      </c>
    </row>
    <row r="198" spans="1:19" x14ac:dyDescent="0.2">
      <c r="A198" s="2" t="s">
        <v>401</v>
      </c>
      <c r="B198" s="8" t="s">
        <v>402</v>
      </c>
      <c r="C198" s="4" t="s">
        <v>779</v>
      </c>
      <c r="D198" s="5">
        <v>1153631</v>
      </c>
      <c r="E198" s="5">
        <v>1043507</v>
      </c>
      <c r="F198" s="5">
        <v>2197138</v>
      </c>
      <c r="G198" s="5">
        <v>1365876</v>
      </c>
      <c r="H198" s="12">
        <f>D198*(1+0.01*growthrate!E198)^2</f>
        <v>1153631</v>
      </c>
      <c r="I198" s="4">
        <f>E198*(1+0.01*growthrate!$E$3)^2</f>
        <v>1075046.9990749997</v>
      </c>
      <c r="J198" s="4">
        <f>F198*(1+0.01*growthrate!$E$3)^2</f>
        <v>2263546.4960499993</v>
      </c>
      <c r="K198" s="4">
        <f>G198*(1+0.01*growthrate!$E$3)^2</f>
        <v>1407159.6020999996</v>
      </c>
      <c r="L198" s="12">
        <f>H198*(1+0.01*growthrate!$E$3)^5</f>
        <v>1242788.2226851345</v>
      </c>
      <c r="M198" s="4">
        <f>I198*(1+0.01*growthrate!$E$3)^5</f>
        <v>1158130.9355273969</v>
      </c>
      <c r="N198" s="4">
        <f>J198*(1+0.01*growthrate!$E$3)^5</f>
        <v>2438482.4322431893</v>
      </c>
      <c r="O198" s="4">
        <f>K198*(1+0.01*growthrate!$E$3)^5</f>
        <v>1515910.5302546306</v>
      </c>
      <c r="P198" s="12">
        <f>L198*(1+0.01*growthrate!$F$3)^10</f>
        <v>1332575.531388097</v>
      </c>
      <c r="Q198" s="4">
        <f>M198*(1+0.01*growthrate!$F$3)^10</f>
        <v>1241802.0372714903</v>
      </c>
      <c r="R198" s="4">
        <f>N198*(1+0.01*growthrate!$F$3)^10</f>
        <v>2614654.6640957925</v>
      </c>
      <c r="S198" s="4">
        <f>O198*(1+0.01*growthrate!$F$3)^10</f>
        <v>1625430.0157643736</v>
      </c>
    </row>
    <row r="199" spans="1:19" x14ac:dyDescent="0.2">
      <c r="A199" s="2" t="s">
        <v>403</v>
      </c>
      <c r="B199" s="8" t="s">
        <v>404</v>
      </c>
      <c r="C199" s="4" t="s">
        <v>779</v>
      </c>
      <c r="D199" s="5">
        <v>3123043</v>
      </c>
      <c r="E199" s="5">
        <v>6087624</v>
      </c>
      <c r="F199" s="5">
        <v>9210667</v>
      </c>
      <c r="G199" s="5">
        <v>11666006</v>
      </c>
      <c r="H199" s="12">
        <f>D199*(1+0.01*growthrate!E199)^2</f>
        <v>3123043</v>
      </c>
      <c r="I199" s="4">
        <f>E199*(1+0.01*growthrate!$E$3)^2</f>
        <v>6271622.435399998</v>
      </c>
      <c r="J199" s="4">
        <f>F199*(1+0.01*growthrate!$E$3)^2</f>
        <v>9489059.4100749977</v>
      </c>
      <c r="K199" s="4">
        <f>G199*(1+0.01*growthrate!$E$3)^2</f>
        <v>12018611.031349996</v>
      </c>
      <c r="L199" s="12">
        <f>H199*(1+0.01*growthrate!$E$3)^5</f>
        <v>3364404.267343068</v>
      </c>
      <c r="M199" s="4">
        <f>I199*(1+0.01*growthrate!$E$3)^5</f>
        <v>6756318.5280587804</v>
      </c>
      <c r="N199" s="4">
        <f>J199*(1+0.01*growthrate!$E$3)^5</f>
        <v>10222411.914382292</v>
      </c>
      <c r="O199" s="4">
        <f>K199*(1+0.01*growthrate!$E$3)^5</f>
        <v>12947457.412981633</v>
      </c>
      <c r="P199" s="12">
        <f>L199*(1+0.01*growthrate!$F$3)^10</f>
        <v>3607471.2670454215</v>
      </c>
      <c r="Q199" s="4">
        <f>M199*(1+0.01*growthrate!$F$3)^10</f>
        <v>7244440.032834297</v>
      </c>
      <c r="R199" s="4">
        <f>N199*(1+0.01*growthrate!$F$3)^10</f>
        <v>10960947.118926166</v>
      </c>
      <c r="S199" s="4">
        <f>O199*(1+0.01*growthrate!$F$3)^10</f>
        <v>13882868.076228937</v>
      </c>
    </row>
    <row r="200" spans="1:19" x14ac:dyDescent="0.2">
      <c r="A200" s="2" t="s">
        <v>405</v>
      </c>
      <c r="B200" s="8" t="s">
        <v>406</v>
      </c>
      <c r="C200" s="4" t="s">
        <v>779</v>
      </c>
      <c r="D200" s="5">
        <v>3017097</v>
      </c>
      <c r="E200" s="5">
        <v>2872385</v>
      </c>
      <c r="F200" s="5">
        <v>5889482</v>
      </c>
      <c r="G200" s="5">
        <v>7206778</v>
      </c>
      <c r="H200" s="12">
        <f>D200*(1+0.01*growthrate!E200)^2</f>
        <v>3017097</v>
      </c>
      <c r="I200" s="4">
        <f>E200*(1+0.01*growthrate!$E$3)^2</f>
        <v>2959202.8366249991</v>
      </c>
      <c r="J200" s="4">
        <f>F200*(1+0.01*growthrate!$E$3)^2</f>
        <v>6067491.5934499986</v>
      </c>
      <c r="K200" s="4">
        <f>G200*(1+0.01*growthrate!$E$3)^2</f>
        <v>7424602.8650499983</v>
      </c>
      <c r="L200" s="12">
        <f>H200*(1+0.01*growthrate!$E$3)^5</f>
        <v>3250270.3362675342</v>
      </c>
      <c r="M200" s="4">
        <f>I200*(1+0.01*growthrate!$E$3)^5</f>
        <v>3187901.880145377</v>
      </c>
      <c r="N200" s="4">
        <f>J200*(1+0.01*growthrate!$E$3)^5</f>
        <v>6536411.6373265963</v>
      </c>
      <c r="O200" s="4">
        <f>K200*(1+0.01*growthrate!$E$3)^5</f>
        <v>7998405.9017124586</v>
      </c>
      <c r="P200" s="12">
        <f>L200*(1+0.01*growthrate!$F$3)^10</f>
        <v>3485091.5396902766</v>
      </c>
      <c r="Q200" s="4">
        <f>M200*(1+0.01*growthrate!$F$3)^10</f>
        <v>3418217.1703956658</v>
      </c>
      <c r="R200" s="4">
        <f>N200*(1+0.01*growthrate!$F$3)^10</f>
        <v>7008645.6018730802</v>
      </c>
      <c r="S200" s="4">
        <f>O200*(1+0.01*growthrate!$F$3)^10</f>
        <v>8576264.0811833143</v>
      </c>
    </row>
    <row r="201" spans="1:19" x14ac:dyDescent="0.2">
      <c r="A201" s="2" t="s">
        <v>407</v>
      </c>
      <c r="B201" s="8" t="s">
        <v>408</v>
      </c>
      <c r="C201" s="4" t="s">
        <v>779</v>
      </c>
      <c r="D201" s="5">
        <v>174852</v>
      </c>
      <c r="E201" s="5">
        <v>1169825</v>
      </c>
      <c r="F201" s="5">
        <v>1344677</v>
      </c>
      <c r="G201" s="5">
        <v>199830</v>
      </c>
      <c r="H201" s="12">
        <f>D201*(1+0.01*growthrate!E201)^2</f>
        <v>174852</v>
      </c>
      <c r="I201" s="4">
        <f>E201*(1+0.01*growthrate!$E$3)^2</f>
        <v>1205182.9606249996</v>
      </c>
      <c r="J201" s="4">
        <f>F201*(1+0.01*growthrate!$E$3)^2</f>
        <v>1385319.8623249996</v>
      </c>
      <c r="K201" s="4">
        <f>G201*(1+0.01*growthrate!$E$3)^2</f>
        <v>205869.86174999995</v>
      </c>
      <c r="L201" s="12">
        <f>H201*(1+0.01*growthrate!$E$3)^5</f>
        <v>188365.26264719063</v>
      </c>
      <c r="M201" s="4">
        <f>I201*(1+0.01*growthrate!$E$3)^5</f>
        <v>1298324.3252353237</v>
      </c>
      <c r="N201" s="4">
        <f>J201*(1+0.01*growthrate!$E$3)^5</f>
        <v>1492382.9279460257</v>
      </c>
      <c r="O201" s="4">
        <f>K201*(1+0.01*growthrate!$E$3)^5</f>
        <v>221780.30894516254</v>
      </c>
      <c r="P201" s="12">
        <f>L201*(1+0.01*growthrate!$F$3)^10</f>
        <v>201974.02532895835</v>
      </c>
      <c r="Q201" s="4">
        <f>M201*(1+0.01*growthrate!$F$3)^10</f>
        <v>1392123.932327355</v>
      </c>
      <c r="R201" s="4">
        <f>N201*(1+0.01*growthrate!$F$3)^10</f>
        <v>1600202.6225718812</v>
      </c>
      <c r="S201" s="4">
        <f>O201*(1+0.01*growthrate!$F$3)^10</f>
        <v>237803.19739873515</v>
      </c>
    </row>
    <row r="202" spans="1:19" x14ac:dyDescent="0.2">
      <c r="A202" s="2" t="s">
        <v>409</v>
      </c>
      <c r="B202" s="8" t="s">
        <v>410</v>
      </c>
      <c r="C202" s="4" t="s">
        <v>779</v>
      </c>
      <c r="D202" s="5">
        <v>295061</v>
      </c>
      <c r="E202" s="5">
        <v>453158</v>
      </c>
      <c r="F202" s="5">
        <v>748219</v>
      </c>
      <c r="G202" s="5">
        <v>686818</v>
      </c>
      <c r="H202" s="12">
        <f>D202*(1+0.01*growthrate!E202)^2</f>
        <v>295061</v>
      </c>
      <c r="I202" s="4">
        <f>E202*(1+0.01*growthrate!$E$3)^2</f>
        <v>466854.70054999989</v>
      </c>
      <c r="J202" s="4">
        <f>F202*(1+0.01*growthrate!$E$3)^2</f>
        <v>770833.91927499976</v>
      </c>
      <c r="K202" s="4">
        <f>G202*(1+0.01*growthrate!$E$3)^2</f>
        <v>707577.07404999982</v>
      </c>
      <c r="L202" s="12">
        <f>H202*(1+0.01*growthrate!$E$3)^5</f>
        <v>317864.49547012738</v>
      </c>
      <c r="M202" s="4">
        <f>I202*(1+0.01*growthrate!$E$3)^5</f>
        <v>502935.10104074446</v>
      </c>
      <c r="N202" s="4">
        <f>J202*(1+0.01*growthrate!$E$3)^5</f>
        <v>830407.05088645627</v>
      </c>
      <c r="O202" s="4">
        <f>K202*(1+0.01*growthrate!$E$3)^5</f>
        <v>762261.4633893742</v>
      </c>
      <c r="P202" s="12">
        <f>L202*(1+0.01*growthrate!$F$3)^10</f>
        <v>340829.14629279496</v>
      </c>
      <c r="Q202" s="4">
        <f>M202*(1+0.01*growthrate!$F$3)^10</f>
        <v>539270.48654764565</v>
      </c>
      <c r="R202" s="4">
        <f>N202*(1+0.01*growthrate!$F$3)^10</f>
        <v>890401.19378714007</v>
      </c>
      <c r="S202" s="4">
        <f>O202*(1+0.01*growthrate!$F$3)^10</f>
        <v>817332.31462245155</v>
      </c>
    </row>
    <row r="203" spans="1:19" x14ac:dyDescent="0.2">
      <c r="A203" s="2" t="s">
        <v>411</v>
      </c>
      <c r="B203" s="8" t="s">
        <v>412</v>
      </c>
      <c r="C203" s="4" t="s">
        <v>779</v>
      </c>
      <c r="D203" s="5">
        <v>810684</v>
      </c>
      <c r="E203" s="5">
        <v>683477</v>
      </c>
      <c r="F203" s="5">
        <v>1494161</v>
      </c>
      <c r="G203" s="5">
        <v>459211</v>
      </c>
      <c r="H203" s="12">
        <f>D203*(1+0.01*growthrate!E203)^2</f>
        <v>810684</v>
      </c>
      <c r="I203" s="4">
        <f>E203*(1+0.01*growthrate!$E$3)^2</f>
        <v>704135.09232499986</v>
      </c>
      <c r="J203" s="4">
        <f>F203*(1+0.01*growthrate!$E$3)^2</f>
        <v>1539322.0162249997</v>
      </c>
      <c r="K203" s="4">
        <f>G203*(1+0.01*growthrate!$E$3)^2</f>
        <v>473090.65247499989</v>
      </c>
      <c r="L203" s="12">
        <f>H203*(1+0.01*growthrate!$E$3)^5</f>
        <v>873336.90540500009</v>
      </c>
      <c r="M203" s="4">
        <f>I203*(1+0.01*growthrate!$E$3)^5</f>
        <v>758553.4715353694</v>
      </c>
      <c r="N203" s="4">
        <f>J203*(1+0.01*growthrate!$E$3)^5</f>
        <v>1658286.9849062355</v>
      </c>
      <c r="O203" s="4">
        <f>K203*(1+0.01*growthrate!$E$3)^5</f>
        <v>509652.99229853897</v>
      </c>
      <c r="P203" s="12">
        <f>L203*(1+0.01*growthrate!$F$3)^10</f>
        <v>936432.58727255766</v>
      </c>
      <c r="Q203" s="4">
        <f>M203*(1+0.01*growthrate!$F$3)^10</f>
        <v>813356.43271028041</v>
      </c>
      <c r="R203" s="4">
        <f>N203*(1+0.01*growthrate!$F$3)^10</f>
        <v>1778092.6949331509</v>
      </c>
      <c r="S203" s="4">
        <f>O203*(1+0.01*growthrate!$F$3)^10</f>
        <v>546473.7230679607</v>
      </c>
    </row>
    <row r="204" spans="1:19" x14ac:dyDescent="0.2">
      <c r="A204" s="2" t="s">
        <v>413</v>
      </c>
      <c r="B204" s="8" t="s">
        <v>414</v>
      </c>
      <c r="C204" s="4" t="s">
        <v>779</v>
      </c>
      <c r="D204" s="5">
        <v>3579429</v>
      </c>
      <c r="E204" s="5">
        <v>3563621</v>
      </c>
      <c r="F204" s="5">
        <v>7143050</v>
      </c>
      <c r="G204" s="5">
        <v>1899952</v>
      </c>
      <c r="H204" s="12">
        <f>D204*(1+0.01*growthrate!E204)^2</f>
        <v>3579429</v>
      </c>
      <c r="I204" s="4">
        <f>E204*(1+0.01*growthrate!$E$3)^2</f>
        <v>3671331.4447249989</v>
      </c>
      <c r="J204" s="4">
        <f>F204*(1+0.01*growthrate!$E$3)^2</f>
        <v>7358948.6862499984</v>
      </c>
      <c r="K204" s="4">
        <f>G204*(1+0.01*growthrate!$E$3)^2</f>
        <v>1957378.0491999995</v>
      </c>
      <c r="L204" s="12">
        <f>H204*(1+0.01*growthrate!$E$3)^5</f>
        <v>3856061.604739842</v>
      </c>
      <c r="M204" s="4">
        <f>I204*(1+0.01*growthrate!$E$3)^5</f>
        <v>3955066.6383599513</v>
      </c>
      <c r="N204" s="4">
        <f>J204*(1+0.01*growthrate!$E$3)^5</f>
        <v>7927677.7051030546</v>
      </c>
      <c r="O204" s="4">
        <f>K204*(1+0.01*growthrate!$E$3)^5</f>
        <v>2108652.0619575614</v>
      </c>
      <c r="P204" s="12">
        <f>L204*(1+0.01*growthrate!$F$3)^10</f>
        <v>4134649.2090980257</v>
      </c>
      <c r="Q204" s="4">
        <f>M204*(1+0.01*growthrate!$F$3)^10</f>
        <v>4240807.0265589654</v>
      </c>
      <c r="R204" s="4">
        <f>N204*(1+0.01*growthrate!$F$3)^10</f>
        <v>8500426.0080019776</v>
      </c>
      <c r="S204" s="4">
        <f>O204*(1+0.01*growthrate!$F$3)^10</f>
        <v>2260995.1483967458</v>
      </c>
    </row>
    <row r="205" spans="1:19" x14ac:dyDescent="0.2">
      <c r="A205" s="2" t="s">
        <v>415</v>
      </c>
      <c r="B205" s="8" t="s">
        <v>416</v>
      </c>
      <c r="C205" s="4" t="s">
        <v>779</v>
      </c>
      <c r="D205" s="5">
        <v>8247311</v>
      </c>
      <c r="E205" s="5">
        <v>8094664</v>
      </c>
      <c r="F205" s="5">
        <v>16341975</v>
      </c>
      <c r="G205" s="5">
        <v>5467592</v>
      </c>
      <c r="H205" s="12">
        <f>D205*(1+0.01*growthrate!E205)^2</f>
        <v>8247311</v>
      </c>
      <c r="I205" s="4">
        <f>E205*(1+0.01*growthrate!$E$3)^2</f>
        <v>8339325.219399998</v>
      </c>
      <c r="J205" s="4">
        <f>F205*(1+0.01*growthrate!$E$3)^2</f>
        <v>16835911.194374997</v>
      </c>
      <c r="K205" s="4">
        <f>G205*(1+0.01*growthrate!$E$3)^2</f>
        <v>5632849.9681999981</v>
      </c>
      <c r="L205" s="12">
        <f>H205*(1+0.01*growthrate!$E$3)^5</f>
        <v>8884696.2153596431</v>
      </c>
      <c r="M205" s="4">
        <f>I205*(1+0.01*growthrate!$E$3)^5</f>
        <v>8983821.6620491687</v>
      </c>
      <c r="N205" s="4">
        <f>J205*(1+0.01*growthrate!$E$3)^5</f>
        <v>18137057.820518054</v>
      </c>
      <c r="O205" s="4">
        <f>K205*(1+0.01*growthrate!$E$3)^5</f>
        <v>6068179.1670224648</v>
      </c>
      <c r="P205" s="12">
        <f>L205*(1+0.01*growthrate!$F$3)^10</f>
        <v>9526585.9172888882</v>
      </c>
      <c r="Q205" s="4">
        <f>M205*(1+0.01*growthrate!$F$3)^10</f>
        <v>9632872.8472623508</v>
      </c>
      <c r="R205" s="4">
        <f>N205*(1+0.01*growthrate!$F$3)^10</f>
        <v>19447399.823901292</v>
      </c>
      <c r="S205" s="4">
        <f>O205*(1+0.01*growthrate!$F$3)^10</f>
        <v>6506584.8955199178</v>
      </c>
    </row>
    <row r="206" spans="1:19" x14ac:dyDescent="0.2">
      <c r="A206" s="2" t="s">
        <v>417</v>
      </c>
      <c r="B206" s="8" t="s">
        <v>418</v>
      </c>
      <c r="C206" s="4" t="s">
        <v>779</v>
      </c>
      <c r="D206" s="5">
        <v>1349441</v>
      </c>
      <c r="E206" s="5">
        <v>230141</v>
      </c>
      <c r="F206" s="5">
        <v>1579582</v>
      </c>
      <c r="G206" s="5">
        <v>1123776</v>
      </c>
      <c r="H206" s="12">
        <f>D206*(1+0.01*growthrate!E206)^2</f>
        <v>1349441</v>
      </c>
      <c r="I206" s="4">
        <f>E206*(1+0.01*growthrate!$E$3)^2</f>
        <v>237097.01172499993</v>
      </c>
      <c r="J206" s="4">
        <f>F206*(1+0.01*growthrate!$E$3)^2</f>
        <v>1627324.8659499995</v>
      </c>
      <c r="K206" s="4">
        <f>G206*(1+0.01*growthrate!$E$3)^2</f>
        <v>1157742.1295999996</v>
      </c>
      <c r="L206" s="12">
        <f>H206*(1+0.01*growthrate!$E$3)^5</f>
        <v>1453731.2034857338</v>
      </c>
      <c r="M206" s="4">
        <f>I206*(1+0.01*growthrate!$E$3)^5</f>
        <v>255420.81810012835</v>
      </c>
      <c r="N206" s="4">
        <f>J206*(1+0.01*growthrate!$E$3)^5</f>
        <v>1753091.0472112182</v>
      </c>
      <c r="O206" s="4">
        <f>K206*(1+0.01*growthrate!$E$3)^5</f>
        <v>1247217.0768411097</v>
      </c>
      <c r="P206" s="12">
        <f>L206*(1+0.01*growthrate!$F$3)^10</f>
        <v>1558758.4397887061</v>
      </c>
      <c r="Q206" s="4">
        <f>M206*(1+0.01*growthrate!$F$3)^10</f>
        <v>273874.12126578746</v>
      </c>
      <c r="R206" s="4">
        <f>N206*(1+0.01*growthrate!$F$3)^10</f>
        <v>1879746.0348971069</v>
      </c>
      <c r="S206" s="4">
        <f>O206*(1+0.01*growthrate!$F$3)^10</f>
        <v>1337324.3555019815</v>
      </c>
    </row>
    <row r="207" spans="1:19" x14ac:dyDescent="0.2">
      <c r="A207" s="2" t="s">
        <v>419</v>
      </c>
      <c r="B207" s="8" t="s">
        <v>420</v>
      </c>
      <c r="C207" s="4" t="s">
        <v>779</v>
      </c>
      <c r="D207" s="5">
        <v>2959447</v>
      </c>
      <c r="E207" s="5">
        <v>1520862</v>
      </c>
      <c r="F207" s="5">
        <v>4480309</v>
      </c>
      <c r="G207" s="5">
        <v>1976520</v>
      </c>
      <c r="H207" s="12">
        <f>D207*(1+0.01*growthrate!E207)^2</f>
        <v>2959447</v>
      </c>
      <c r="I207" s="4">
        <f>E207*(1+0.01*growthrate!$E$3)^2</f>
        <v>1566830.0539499996</v>
      </c>
      <c r="J207" s="4">
        <f>F207*(1+0.01*growthrate!$E$3)^2</f>
        <v>4615726.3395249983</v>
      </c>
      <c r="K207" s="4">
        <f>G207*(1+0.01*growthrate!$E$3)^2</f>
        <v>2036260.3169999993</v>
      </c>
      <c r="L207" s="12">
        <f>H207*(1+0.01*growthrate!$E$3)^5</f>
        <v>3188164.9134435998</v>
      </c>
      <c r="M207" s="4">
        <f>I207*(1+0.01*growthrate!$E$3)^5</f>
        <v>1687920.9539256257</v>
      </c>
      <c r="N207" s="4">
        <f>J207*(1+0.01*growthrate!$E$3)^5</f>
        <v>4972448.151878057</v>
      </c>
      <c r="O207" s="4">
        <f>K207*(1+0.01*growthrate!$E$3)^5</f>
        <v>2193630.6672486244</v>
      </c>
      <c r="P207" s="12">
        <f>L207*(1+0.01*growthrate!$F$3)^10</f>
        <v>3418499.2069733818</v>
      </c>
      <c r="Q207" s="4">
        <f>M207*(1+0.01*growthrate!$F$3)^10</f>
        <v>1809867.6194877403</v>
      </c>
      <c r="R207" s="4">
        <f>N207*(1+0.01*growthrate!$F$3)^10</f>
        <v>5331690.9649918918</v>
      </c>
      <c r="S207" s="4">
        <f>O207*(1+0.01*growthrate!$F$3)^10</f>
        <v>2352113.1748113297</v>
      </c>
    </row>
    <row r="208" spans="1:19" x14ac:dyDescent="0.2">
      <c r="A208" s="2" t="s">
        <v>421</v>
      </c>
      <c r="B208" s="8" t="s">
        <v>422</v>
      </c>
      <c r="C208" s="4" t="s">
        <v>779</v>
      </c>
      <c r="D208" s="5">
        <v>394071</v>
      </c>
      <c r="E208" s="5">
        <v>1921153</v>
      </c>
      <c r="F208" s="5">
        <v>2315224</v>
      </c>
      <c r="G208" s="5">
        <v>20599</v>
      </c>
      <c r="H208" s="12">
        <f>D208*(1+0.01*growthrate!E208)^2</f>
        <v>394071</v>
      </c>
      <c r="I208" s="4">
        <f>E208*(1+0.01*growthrate!$E$3)^2</f>
        <v>1979219.8494249994</v>
      </c>
      <c r="J208" s="4">
        <f>F208*(1+0.01*growthrate!$E$3)^2</f>
        <v>2385201.6453999993</v>
      </c>
      <c r="K208" s="4">
        <f>G208*(1+0.01*growthrate!$E$3)^2</f>
        <v>21221.604774999993</v>
      </c>
      <c r="L208" s="12">
        <f>H208*(1+0.01*growthrate!$E$3)^5</f>
        <v>424526.38469471928</v>
      </c>
      <c r="M208" s="4">
        <f>I208*(1+0.01*growthrate!$E$3)^5</f>
        <v>2132181.8839559918</v>
      </c>
      <c r="N208" s="4">
        <f>J208*(1+0.01*growthrate!$E$3)^5</f>
        <v>2569539.5786281088</v>
      </c>
      <c r="O208" s="4">
        <f>K208*(1+0.01*growthrate!$E$3)^5</f>
        <v>22861.695360863749</v>
      </c>
      <c r="P208" s="12">
        <f>L208*(1+0.01*growthrate!$F$3)^10</f>
        <v>455197.00166659773</v>
      </c>
      <c r="Q208" s="4">
        <f>M208*(1+0.01*growthrate!$F$3)^10</f>
        <v>2286224.9216442588</v>
      </c>
      <c r="R208" s="4">
        <f>N208*(1+0.01*growthrate!$F$3)^10</f>
        <v>2755180.2526862295</v>
      </c>
      <c r="S208" s="4">
        <f>O208*(1+0.01*growthrate!$F$3)^10</f>
        <v>24513.376686266052</v>
      </c>
    </row>
    <row r="209" spans="1:19" x14ac:dyDescent="0.2">
      <c r="A209" s="2" t="s">
        <v>423</v>
      </c>
      <c r="B209" s="8" t="s">
        <v>424</v>
      </c>
      <c r="C209" s="4" t="s">
        <v>779</v>
      </c>
      <c r="D209" s="5">
        <v>5140201</v>
      </c>
      <c r="E209" s="5">
        <v>875855</v>
      </c>
      <c r="F209" s="5">
        <v>6016056</v>
      </c>
      <c r="G209" s="5">
        <v>4649788</v>
      </c>
      <c r="H209" s="12">
        <f>D209*(1+0.01*growthrate!E209)^2</f>
        <v>5140201</v>
      </c>
      <c r="I209" s="4">
        <f>E209*(1+0.01*growthrate!$E$3)^2</f>
        <v>902327.71737499977</v>
      </c>
      <c r="J209" s="4">
        <f>F209*(1+0.01*growthrate!$E$3)^2</f>
        <v>6197891.2925999984</v>
      </c>
      <c r="K209" s="4">
        <f>G209*(1+0.01*growthrate!$E$3)^2</f>
        <v>4790327.8422999987</v>
      </c>
      <c r="L209" s="12">
        <f>H209*(1+0.01*growthrate!$E$3)^5</f>
        <v>5537456.3140504649</v>
      </c>
      <c r="M209" s="4">
        <f>I209*(1+0.01*growthrate!$E$3)^5</f>
        <v>972063.21618958784</v>
      </c>
      <c r="N209" s="4">
        <f>J209*(1+0.01*growthrate!$E$3)^5</f>
        <v>6676889.1473322259</v>
      </c>
      <c r="O209" s="4">
        <f>K209*(1+0.01*growthrate!$E$3)^5</f>
        <v>5160543.5578717384</v>
      </c>
      <c r="P209" s="12">
        <f>L209*(1+0.01*growthrate!$F$3)^10</f>
        <v>5937519.0845397078</v>
      </c>
      <c r="Q209" s="4">
        <f>M209*(1+0.01*growthrate!$F$3)^10</f>
        <v>1042291.5451016824</v>
      </c>
      <c r="R209" s="4">
        <f>N209*(1+0.01*growthrate!$F$3)^10</f>
        <v>7159272.1439716006</v>
      </c>
      <c r="S209" s="4">
        <f>O209*(1+0.01*growthrate!$F$3)^10</f>
        <v>5533375.6374231596</v>
      </c>
    </row>
    <row r="210" spans="1:19" x14ac:dyDescent="0.2">
      <c r="A210" s="2" t="s">
        <v>425</v>
      </c>
      <c r="B210" s="8" t="s">
        <v>426</v>
      </c>
      <c r="C210" s="4" t="s">
        <v>779</v>
      </c>
      <c r="D210" s="5">
        <v>190736</v>
      </c>
      <c r="E210" s="5">
        <v>52311</v>
      </c>
      <c r="F210" s="5">
        <v>243047</v>
      </c>
      <c r="G210" s="5">
        <v>484764</v>
      </c>
      <c r="H210" s="12">
        <f>D210*(1+0.01*growthrate!E210)^2</f>
        <v>190736</v>
      </c>
      <c r="I210" s="4">
        <f>E210*(1+0.01*growthrate!$E$3)^2</f>
        <v>53892.099974999983</v>
      </c>
      <c r="J210" s="4">
        <f>F210*(1+0.01*growthrate!$E$3)^2</f>
        <v>250393.09557499993</v>
      </c>
      <c r="K210" s="4">
        <f>G210*(1+0.01*growthrate!$E$3)^2</f>
        <v>499415.99189999985</v>
      </c>
      <c r="L210" s="12">
        <f>H210*(1+0.01*growthrate!$E$3)^5</f>
        <v>205476.84176489001</v>
      </c>
      <c r="M210" s="4">
        <f>I210*(1+0.01*growthrate!$E$3)^5</f>
        <v>58057.09723880497</v>
      </c>
      <c r="N210" s="4">
        <f>J210*(1+0.01*growthrate!$E$3)^5</f>
        <v>269744.4765460387</v>
      </c>
      <c r="O210" s="4">
        <f>K210*(1+0.01*growthrate!$E$3)^5</f>
        <v>538012.85935791803</v>
      </c>
      <c r="P210" s="12">
        <f>L210*(1+0.01*growthrate!$F$3)^10</f>
        <v>220321.85903017523</v>
      </c>
      <c r="Q210" s="4">
        <f>M210*(1+0.01*growthrate!$F$3)^10</f>
        <v>62251.529095357226</v>
      </c>
      <c r="R210" s="4">
        <f>N210*(1+0.01*growthrate!$F$3)^10</f>
        <v>289232.61631471943</v>
      </c>
      <c r="S210" s="4">
        <f>O210*(1+0.01*growthrate!$F$3)^10</f>
        <v>576882.49604063679</v>
      </c>
    </row>
    <row r="211" spans="1:19" x14ac:dyDescent="0.2">
      <c r="A211" s="2" t="s">
        <v>427</v>
      </c>
      <c r="B211" s="8" t="s">
        <v>428</v>
      </c>
      <c r="C211" s="4" t="s">
        <v>779</v>
      </c>
      <c r="D211" s="5">
        <v>2603374</v>
      </c>
      <c r="E211" s="5">
        <v>881548</v>
      </c>
      <c r="F211" s="5">
        <v>3484922</v>
      </c>
      <c r="G211" s="5">
        <v>1408371</v>
      </c>
      <c r="H211" s="12">
        <f>D211*(1+0.01*growthrate!E211)^2</f>
        <v>2603374</v>
      </c>
      <c r="I211" s="4">
        <f>E211*(1+0.01*growthrate!$E$3)^2</f>
        <v>908192.78829999978</v>
      </c>
      <c r="J211" s="4">
        <f>F211*(1+0.01*growthrate!$E$3)^2</f>
        <v>3590253.7674499992</v>
      </c>
      <c r="K211" s="4">
        <f>G211*(1+0.01*growthrate!$E$3)^2</f>
        <v>1450939.0134749997</v>
      </c>
      <c r="L211" s="12">
        <f>H211*(1+0.01*growthrate!$E$3)^5</f>
        <v>2804573.1663284791</v>
      </c>
      <c r="M211" s="4">
        <f>I211*(1+0.01*growthrate!$E$3)^5</f>
        <v>978381.56327873771</v>
      </c>
      <c r="N211" s="4">
        <f>J211*(1+0.01*growthrate!$E$3)^5</f>
        <v>3867722.9535594946</v>
      </c>
      <c r="O211" s="4">
        <f>K211*(1+0.01*growthrate!$E$3)^5</f>
        <v>1563073.3898283918</v>
      </c>
      <c r="P211" s="12">
        <f>L211*(1+0.01*growthrate!$F$3)^10</f>
        <v>3007194.2340765423</v>
      </c>
      <c r="Q211" s="4">
        <f>M211*(1+0.01*growthrate!$F$3)^10</f>
        <v>1049066.3717182614</v>
      </c>
      <c r="R211" s="4">
        <f>N211*(1+0.01*growthrate!$F$3)^10</f>
        <v>4147153.0515197669</v>
      </c>
      <c r="S211" s="4">
        <f>O211*(1+0.01*growthrate!$F$3)^10</f>
        <v>1676000.2348178655</v>
      </c>
    </row>
    <row r="212" spans="1:19" x14ac:dyDescent="0.2">
      <c r="A212" s="2" t="s">
        <v>429</v>
      </c>
      <c r="B212" s="8" t="s">
        <v>430</v>
      </c>
      <c r="C212" s="4" t="s">
        <v>779</v>
      </c>
      <c r="D212" s="5">
        <v>3777608</v>
      </c>
      <c r="E212" s="5">
        <v>24174</v>
      </c>
      <c r="F212" s="5">
        <v>3801782</v>
      </c>
      <c r="G212" s="5">
        <v>2143204</v>
      </c>
      <c r="H212" s="12">
        <f>D212*(1+0.01*growthrate!E212)^2</f>
        <v>3777608</v>
      </c>
      <c r="I212" s="4">
        <f>E212*(1+0.01*growthrate!$E$3)^2</f>
        <v>24904.659149999992</v>
      </c>
      <c r="J212" s="4">
        <f>F212*(1+0.01*growthrate!$E$3)^2</f>
        <v>3916690.8609499987</v>
      </c>
      <c r="K212" s="4">
        <f>G212*(1+0.01*growthrate!$E$3)^2</f>
        <v>2207982.3408999993</v>
      </c>
      <c r="L212" s="12">
        <f>H212*(1+0.01*growthrate!$E$3)^5</f>
        <v>4069556.6713456432</v>
      </c>
      <c r="M212" s="4">
        <f>I212*(1+0.01*growthrate!$E$3)^5</f>
        <v>26829.390924487609</v>
      </c>
      <c r="N212" s="4">
        <f>J212*(1+0.01*growthrate!$E$3)^5</f>
        <v>4219388.4126615515</v>
      </c>
      <c r="O212" s="4">
        <f>K212*(1+0.01*growthrate!$E$3)^5</f>
        <v>2378624.0567107447</v>
      </c>
      <c r="P212" s="12">
        <f>L212*(1+0.01*growthrate!$F$3)^10</f>
        <v>4363568.5830009133</v>
      </c>
      <c r="Q212" s="4">
        <f>M212*(1+0.01*growthrate!$F$3)^10</f>
        <v>28767.725035865602</v>
      </c>
      <c r="R212" s="4">
        <f>N212*(1+0.01*growthrate!$F$3)^10</f>
        <v>4524225.1684579793</v>
      </c>
      <c r="S212" s="4">
        <f>O212*(1+0.01*growthrate!$F$3)^10</f>
        <v>2550471.7203510925</v>
      </c>
    </row>
    <row r="213" spans="1:19" x14ac:dyDescent="0.2">
      <c r="A213" s="2" t="s">
        <v>431</v>
      </c>
      <c r="B213" s="8" t="s">
        <v>432</v>
      </c>
      <c r="C213" s="4" t="s">
        <v>779</v>
      </c>
      <c r="D213" s="5">
        <v>1865914</v>
      </c>
      <c r="E213" s="5">
        <v>673757</v>
      </c>
      <c r="F213" s="5">
        <v>2539671</v>
      </c>
      <c r="G213" s="5">
        <v>1939181</v>
      </c>
      <c r="H213" s="12">
        <f>D213*(1+0.01*growthrate!E213)^2</f>
        <v>1865914</v>
      </c>
      <c r="I213" s="4">
        <f>E213*(1+0.01*growthrate!$E$3)^2</f>
        <v>694121.30532499985</v>
      </c>
      <c r="J213" s="4">
        <f>F213*(1+0.01*growthrate!$E$3)^2</f>
        <v>2616432.5559749994</v>
      </c>
      <c r="K213" s="4">
        <f>G213*(1+0.01*growthrate!$E$3)^2</f>
        <v>1997792.7457249996</v>
      </c>
      <c r="L213" s="12">
        <f>H213*(1+0.01*growthrate!$E$3)^5</f>
        <v>2010119.3048239083</v>
      </c>
      <c r="M213" s="4">
        <f>I213*(1+0.01*growthrate!$E$3)^5</f>
        <v>747765.7789819641</v>
      </c>
      <c r="N213" s="4">
        <f>J213*(1+0.01*growthrate!$E$3)^5</f>
        <v>2818640.9397941749</v>
      </c>
      <c r="O213" s="4">
        <f>K213*(1+0.01*growthrate!$E$3)^5</f>
        <v>2152190.1680457853</v>
      </c>
      <c r="P213" s="12">
        <f>L213*(1+0.01*growthrate!$F$3)^10</f>
        <v>2155343.727825006</v>
      </c>
      <c r="Q213" s="4">
        <f>M213*(1+0.01*growthrate!$F$3)^10</f>
        <v>801789.36530941108</v>
      </c>
      <c r="R213" s="4">
        <f>N213*(1+0.01*growthrate!$F$3)^10</f>
        <v>3022278.3573079277</v>
      </c>
      <c r="S213" s="4">
        <f>O213*(1+0.01*growthrate!$F$3)^10</f>
        <v>2307678.7376013445</v>
      </c>
    </row>
    <row r="214" spans="1:19" x14ac:dyDescent="0.2">
      <c r="A214" s="2" t="s">
        <v>433</v>
      </c>
      <c r="B214" s="8" t="s">
        <v>434</v>
      </c>
      <c r="C214" s="4" t="s">
        <v>779</v>
      </c>
      <c r="D214" s="5">
        <v>11925105</v>
      </c>
      <c r="E214" s="5">
        <v>477572</v>
      </c>
      <c r="F214" s="5">
        <v>12402677</v>
      </c>
      <c r="G214" s="5">
        <v>17116296</v>
      </c>
      <c r="H214" s="12">
        <f>D214*(1+0.01*growthrate!E214)^2</f>
        <v>11925105</v>
      </c>
      <c r="I214" s="4">
        <f>E214*(1+0.01*growthrate!$E$3)^2</f>
        <v>492006.61369999987</v>
      </c>
      <c r="J214" s="4">
        <f>F214*(1+0.01*growthrate!$E$3)^2</f>
        <v>12777547.912324997</v>
      </c>
      <c r="K214" s="4">
        <f>G214*(1+0.01*growthrate!$E$3)^2</f>
        <v>17633636.046599995</v>
      </c>
      <c r="L214" s="12">
        <f>H214*(1+0.01*growthrate!$E$3)^5</f>
        <v>12846724.861141572</v>
      </c>
      <c r="M214" s="4">
        <f>I214*(1+0.01*growthrate!$E$3)^5</f>
        <v>530030.85474432854</v>
      </c>
      <c r="N214" s="4">
        <f>J214*(1+0.01*growthrate!$E$3)^5</f>
        <v>13765047.974813901</v>
      </c>
      <c r="O214" s="4">
        <f>K214*(1+0.01*growthrate!$E$3)^5</f>
        <v>18996434.043321073</v>
      </c>
      <c r="P214" s="12">
        <f>L214*(1+0.01*growthrate!$F$3)^10</f>
        <v>13774857.933111934</v>
      </c>
      <c r="Q214" s="4">
        <f>M214*(1+0.01*growthrate!$F$3)^10</f>
        <v>568323.81818600185</v>
      </c>
      <c r="R214" s="4">
        <f>N214*(1+0.01*growthrate!$F$3)^10</f>
        <v>14759526.832326241</v>
      </c>
      <c r="S214" s="4">
        <f>O214*(1+0.01*growthrate!$F$3)^10</f>
        <v>20368863.115764305</v>
      </c>
    </row>
    <row r="215" spans="1:19" x14ac:dyDescent="0.2">
      <c r="A215" s="2" t="s">
        <v>435</v>
      </c>
      <c r="B215" s="8" t="s">
        <v>436</v>
      </c>
      <c r="C215" s="4" t="s">
        <v>779</v>
      </c>
      <c r="D215" s="5">
        <v>1539396</v>
      </c>
      <c r="E215" s="5">
        <v>13272</v>
      </c>
      <c r="F215" s="5">
        <v>1552668</v>
      </c>
      <c r="G215" s="5">
        <v>3609249</v>
      </c>
      <c r="H215" s="12">
        <f>D215*(1+0.01*growthrate!E215)^2</f>
        <v>1539396</v>
      </c>
      <c r="I215" s="4">
        <f>E215*(1+0.01*growthrate!$E$3)^2</f>
        <v>13673.146199999996</v>
      </c>
      <c r="J215" s="4">
        <f>F215*(1+0.01*growthrate!$E$3)^2</f>
        <v>1599597.3902999996</v>
      </c>
      <c r="K215" s="4">
        <f>G215*(1+0.01*growthrate!$E$3)^2</f>
        <v>3718338.551024999</v>
      </c>
      <c r="L215" s="12">
        <f>H215*(1+0.01*growthrate!$E$3)^5</f>
        <v>1658366.6864435903</v>
      </c>
      <c r="M215" s="4">
        <f>I215*(1+0.01*growthrate!$E$3)^5</f>
        <v>14729.861684032412</v>
      </c>
      <c r="N215" s="4">
        <f>J215*(1+0.01*growthrate!$E$3)^5</f>
        <v>1723220.6812253797</v>
      </c>
      <c r="O215" s="4">
        <f>K215*(1+0.01*growthrate!$E$3)^5</f>
        <v>4005706.6420458336</v>
      </c>
      <c r="P215" s="12">
        <f>L215*(1+0.01*growthrate!$F$3)^10</f>
        <v>1778178.1546410518</v>
      </c>
      <c r="Q215" s="4">
        <f>M215*(1+0.01*growthrate!$F$3)^10</f>
        <v>15794.045117730135</v>
      </c>
      <c r="R215" s="4">
        <f>N215*(1+0.01*growthrate!$F$3)^10</f>
        <v>1847717.634482807</v>
      </c>
      <c r="S215" s="4">
        <f>O215*(1+0.01*growthrate!$F$3)^10</f>
        <v>4295105.6018024692</v>
      </c>
    </row>
    <row r="216" spans="1:19" x14ac:dyDescent="0.2">
      <c r="A216" s="2" t="s">
        <v>437</v>
      </c>
      <c r="B216" s="8" t="s">
        <v>438</v>
      </c>
      <c r="C216" s="4" t="s">
        <v>779</v>
      </c>
      <c r="D216" s="5">
        <v>2694</v>
      </c>
      <c r="E216" s="5">
        <v>682606</v>
      </c>
      <c r="F216" s="5">
        <v>685300</v>
      </c>
      <c r="G216" s="5">
        <v>577444</v>
      </c>
      <c r="H216" s="12">
        <f>D216*(1+0.01*growthrate!E216)^2</f>
        <v>2694</v>
      </c>
      <c r="I216" s="4">
        <f>E216*(1+0.01*growthrate!$E$3)^2</f>
        <v>703237.76634999982</v>
      </c>
      <c r="J216" s="4">
        <f>F216*(1+0.01*growthrate!$E$3)^2</f>
        <v>706013.19249999977</v>
      </c>
      <c r="K216" s="4">
        <f>G216*(1+0.01*growthrate!$E$3)^2</f>
        <v>594897.24489999982</v>
      </c>
      <c r="L216" s="12">
        <f>H216*(1+0.01*growthrate!$E$3)^5</f>
        <v>2902.2031064645043</v>
      </c>
      <c r="M216" s="4">
        <f>I216*(1+0.01*growthrate!$E$3)^5</f>
        <v>757586.79661623191</v>
      </c>
      <c r="N216" s="4">
        <f>J216*(1+0.01*growthrate!$E$3)^5</f>
        <v>760576.71881158929</v>
      </c>
      <c r="O216" s="4">
        <f>K216*(1+0.01*growthrate!$E$3)^5</f>
        <v>640873.28588565497</v>
      </c>
      <c r="P216" s="12">
        <f>L216*(1+0.01*growthrate!$F$3)^10</f>
        <v>3111.8776121303376</v>
      </c>
      <c r="Q216" s="4">
        <f>M216*(1+0.01*growthrate!$F$3)^10</f>
        <v>812319.9187487415</v>
      </c>
      <c r="R216" s="4">
        <f>N216*(1+0.01*growthrate!$F$3)^10</f>
        <v>815525.85286169848</v>
      </c>
      <c r="S216" s="4">
        <f>O216*(1+0.01*growthrate!$F$3)^10</f>
        <v>687174.24570242316</v>
      </c>
    </row>
    <row r="217" spans="1:19" x14ac:dyDescent="0.2">
      <c r="A217" s="2" t="s">
        <v>439</v>
      </c>
      <c r="B217" s="8" t="s">
        <v>440</v>
      </c>
      <c r="C217" s="4" t="s">
        <v>779</v>
      </c>
      <c r="D217" s="5">
        <v>618815</v>
      </c>
      <c r="E217" s="5">
        <v>1055879</v>
      </c>
      <c r="F217" s="5">
        <v>1674694</v>
      </c>
      <c r="G217" s="5">
        <v>661677</v>
      </c>
      <c r="H217" s="12">
        <f>D217*(1+0.01*growthrate!E217)^2</f>
        <v>618815</v>
      </c>
      <c r="I217" s="4">
        <f>E217*(1+0.01*growthrate!$E$3)^2</f>
        <v>1087792.9427749997</v>
      </c>
      <c r="J217" s="4">
        <f>F217*(1+0.01*growthrate!$E$3)^2</f>
        <v>1725311.6261499994</v>
      </c>
      <c r="K217" s="4">
        <f>G217*(1+0.01*growthrate!$E$3)^2</f>
        <v>681676.18732499983</v>
      </c>
      <c r="L217" s="12">
        <f>H217*(1+0.01*growthrate!$E$3)^5</f>
        <v>666639.50086370902</v>
      </c>
      <c r="M217" s="4">
        <f>I217*(1+0.01*growthrate!$E$3)^5</f>
        <v>1171861.9367898176</v>
      </c>
      <c r="N217" s="4">
        <f>J217*(1+0.01*growthrate!$E$3)^5</f>
        <v>1858650.6165671321</v>
      </c>
      <c r="O217" s="4">
        <f>K217*(1+0.01*growthrate!$E$3)^5</f>
        <v>734358.85243411059</v>
      </c>
      <c r="P217" s="12">
        <f>L217*(1+0.01*growthrate!$F$3)^10</f>
        <v>714801.98387172783</v>
      </c>
      <c r="Q217" s="4">
        <f>M217*(1+0.01*growthrate!$F$3)^10</f>
        <v>1256525.0576298807</v>
      </c>
      <c r="R217" s="4">
        <f>N217*(1+0.01*growthrate!$F$3)^10</f>
        <v>1992931.9314641312</v>
      </c>
      <c r="S217" s="4">
        <f>O217*(1+0.01*growthrate!$F$3)^10</f>
        <v>787413.83298405097</v>
      </c>
    </row>
    <row r="218" spans="1:19" x14ac:dyDescent="0.2">
      <c r="A218" s="2" t="s">
        <v>441</v>
      </c>
      <c r="B218" s="8" t="s">
        <v>442</v>
      </c>
      <c r="C218" s="4" t="s">
        <v>779</v>
      </c>
      <c r="D218" s="5">
        <v>1100882</v>
      </c>
      <c r="E218" s="5">
        <v>1854235</v>
      </c>
      <c r="F218" s="5">
        <v>2955117</v>
      </c>
      <c r="G218" s="5">
        <v>1436643</v>
      </c>
      <c r="H218" s="12">
        <f>D218*(1+0.01*growthrate!E218)^2</f>
        <v>1100882</v>
      </c>
      <c r="I218" s="4">
        <f>E218*(1+0.01*growthrate!$E$3)^2</f>
        <v>1910279.2528749995</v>
      </c>
      <c r="J218" s="4">
        <f>F218*(1+0.01*growthrate!$E$3)^2</f>
        <v>3044435.4113249993</v>
      </c>
      <c r="K218" s="4">
        <f>G218*(1+0.01*growthrate!$E$3)^2</f>
        <v>1480065.5346749995</v>
      </c>
      <c r="L218" s="12">
        <f>H218*(1+0.01*growthrate!$E$3)^5</f>
        <v>1185962.5687642377</v>
      </c>
      <c r="M218" s="4">
        <f>I218*(1+0.01*growthrate!$E$3)^5</f>
        <v>2057913.2820744307</v>
      </c>
      <c r="N218" s="4">
        <f>J218*(1+0.01*growthrate!$E$3)^5</f>
        <v>3279721.569479567</v>
      </c>
      <c r="O218" s="4">
        <f>K218*(1+0.01*growthrate!$E$3)^5</f>
        <v>1594450.9252059506</v>
      </c>
      <c r="P218" s="12">
        <f>L218*(1+0.01*growthrate!$F$3)^10</f>
        <v>1271644.4132877765</v>
      </c>
      <c r="Q218" s="4">
        <f>M218*(1+0.01*growthrate!$F$3)^10</f>
        <v>2206590.6607048176</v>
      </c>
      <c r="R218" s="4">
        <f>N218*(1+0.01*growthrate!$F$3)^10</f>
        <v>3516670.5263842167</v>
      </c>
      <c r="S218" s="4">
        <f>O218*(1+0.01*growthrate!$F$3)^10</f>
        <v>1709644.6925912579</v>
      </c>
    </row>
    <row r="219" spans="1:19" x14ac:dyDescent="0.2">
      <c r="A219" s="2" t="s">
        <v>443</v>
      </c>
      <c r="B219" s="8" t="s">
        <v>444</v>
      </c>
      <c r="C219" s="4" t="s">
        <v>779</v>
      </c>
      <c r="D219" s="5">
        <v>305692</v>
      </c>
      <c r="E219" s="5">
        <v>25126</v>
      </c>
      <c r="F219" s="5">
        <v>330818</v>
      </c>
      <c r="G219" s="5">
        <v>163303</v>
      </c>
      <c r="H219" s="12">
        <f>D219*(1+0.01*growthrate!E219)^2</f>
        <v>305692</v>
      </c>
      <c r="I219" s="4">
        <f>E219*(1+0.01*growthrate!$E$3)^2</f>
        <v>25885.433349999992</v>
      </c>
      <c r="J219" s="4">
        <f>F219*(1+0.01*growthrate!$E$3)^2</f>
        <v>340816.9740499999</v>
      </c>
      <c r="K219" s="4">
        <f>G219*(1+0.01*growthrate!$E$3)^2</f>
        <v>168238.83317499995</v>
      </c>
      <c r="L219" s="12">
        <f>H219*(1+0.01*growthrate!$E$3)^5</f>
        <v>329317.10171542212</v>
      </c>
      <c r="M219" s="4">
        <f>I219*(1+0.01*growthrate!$E$3)^5</f>
        <v>27885.963281570104</v>
      </c>
      <c r="N219" s="4">
        <f>J219*(1+0.01*growthrate!$E$3)^5</f>
        <v>367156.67439634079</v>
      </c>
      <c r="O219" s="4">
        <f>K219*(1+0.01*growthrate!$E$3)^5</f>
        <v>181241.00381159925</v>
      </c>
      <c r="P219" s="12">
        <f>L219*(1+0.01*growthrate!$F$3)^10</f>
        <v>353109.16518461285</v>
      </c>
      <c r="Q219" s="4">
        <f>M219*(1+0.01*growthrate!$F$3)^10</f>
        <v>29900.631225744983</v>
      </c>
      <c r="R219" s="4">
        <f>N219*(1+0.01*growthrate!$F$3)^10</f>
        <v>393682.52092806267</v>
      </c>
      <c r="S219" s="4">
        <f>O219*(1+0.01*growthrate!$F$3)^10</f>
        <v>194335.06252717634</v>
      </c>
    </row>
    <row r="220" spans="1:19" x14ac:dyDescent="0.2">
      <c r="A220" s="2" t="s">
        <v>445</v>
      </c>
      <c r="B220" s="8" t="s">
        <v>446</v>
      </c>
      <c r="C220" s="4" t="s">
        <v>779</v>
      </c>
      <c r="D220" s="5">
        <v>1025841</v>
      </c>
      <c r="E220" s="5">
        <v>276144</v>
      </c>
      <c r="F220" s="5">
        <v>1301985</v>
      </c>
      <c r="G220" s="5">
        <v>1201570</v>
      </c>
      <c r="H220" s="12">
        <f>D220*(1+0.01*growthrate!E220)^2</f>
        <v>1025841</v>
      </c>
      <c r="I220" s="4">
        <f>E220*(1+0.01*growthrate!$E$3)^2</f>
        <v>284490.45239999995</v>
      </c>
      <c r="J220" s="4">
        <f>F220*(1+0.01*growthrate!$E$3)^2</f>
        <v>1341337.4966249997</v>
      </c>
      <c r="K220" s="4">
        <f>G220*(1+0.01*growthrate!$E$3)^2</f>
        <v>1237887.4532499996</v>
      </c>
      <c r="L220" s="12">
        <f>H220*(1+0.01*growthrate!$E$3)^5</f>
        <v>1105122.0998287504</v>
      </c>
      <c r="M220" s="4">
        <f>I220*(1+0.01*growthrate!$E$3)^5</f>
        <v>306477.01362834894</v>
      </c>
      <c r="N220" s="4">
        <f>J220*(1+0.01*growthrate!$E$3)^5</f>
        <v>1445001.4289244229</v>
      </c>
      <c r="O220" s="4">
        <f>K220*(1+0.01*growthrate!$E$3)^5</f>
        <v>1333556.3519953906</v>
      </c>
      <c r="P220" s="12">
        <f>L220*(1+0.01*growthrate!$F$3)^10</f>
        <v>1184963.4897941342</v>
      </c>
      <c r="Q220" s="4">
        <f>M220*(1+0.01*growthrate!$F$3)^10</f>
        <v>328618.95682568348</v>
      </c>
      <c r="R220" s="4">
        <f>N220*(1+0.01*growthrate!$F$3)^10</f>
        <v>1549397.9680988449</v>
      </c>
      <c r="S220" s="4">
        <f>O220*(1+0.01*growthrate!$F$3)^10</f>
        <v>1429901.3556442885</v>
      </c>
    </row>
    <row r="221" spans="1:19" x14ac:dyDescent="0.2">
      <c r="A221" s="2" t="s">
        <v>447</v>
      </c>
      <c r="B221" s="8" t="s">
        <v>448</v>
      </c>
      <c r="C221" s="4" t="s">
        <v>779</v>
      </c>
      <c r="D221" s="5">
        <v>3160346</v>
      </c>
      <c r="E221" s="5">
        <v>1127645</v>
      </c>
      <c r="F221" s="5">
        <v>4287991</v>
      </c>
      <c r="G221" s="5">
        <v>5335404</v>
      </c>
      <c r="H221" s="12">
        <f>D221*(1+0.01*growthrate!E221)^2</f>
        <v>3160346</v>
      </c>
      <c r="I221" s="4">
        <f>E221*(1+0.01*growthrate!$E$3)^2</f>
        <v>1161728.0701249996</v>
      </c>
      <c r="J221" s="4">
        <f>F221*(1+0.01*growthrate!$E$3)^2</f>
        <v>4417595.5279749986</v>
      </c>
      <c r="K221" s="4">
        <f>G221*(1+0.01*growthrate!$E$3)^2</f>
        <v>5496666.5858999984</v>
      </c>
      <c r="L221" s="12">
        <f>H221*(1+0.01*growthrate!$E$3)^5</f>
        <v>3404590.1925399667</v>
      </c>
      <c r="M221" s="4">
        <f>I221*(1+0.01*growthrate!$E$3)^5</f>
        <v>1251511.0668091266</v>
      </c>
      <c r="N221" s="4">
        <f>J221*(1+0.01*growthrate!$E$3)^5</f>
        <v>4759004.9979186133</v>
      </c>
      <c r="O221" s="4">
        <f>K221*(1+0.01*growthrate!$E$3)^5</f>
        <v>5921470.9876758046</v>
      </c>
      <c r="P221" s="12">
        <f>L221*(1+0.01*growthrate!$F$3)^10</f>
        <v>3650560.4914571876</v>
      </c>
      <c r="Q221" s="4">
        <f>M221*(1+0.01*growthrate!$F$3)^10</f>
        <v>1341928.5719396321</v>
      </c>
      <c r="R221" s="4">
        <f>N221*(1+0.01*growthrate!$F$3)^10</f>
        <v>5102827.2542511122</v>
      </c>
      <c r="S221" s="4">
        <f>O221*(1+0.01*growthrate!$F$3)^10</f>
        <v>6349277.538978138</v>
      </c>
    </row>
    <row r="222" spans="1:19" x14ac:dyDescent="0.2">
      <c r="A222" s="2" t="s">
        <v>449</v>
      </c>
      <c r="B222" s="8" t="s">
        <v>450</v>
      </c>
      <c r="C222" s="4" t="s">
        <v>779</v>
      </c>
      <c r="D222" s="5">
        <v>2426471</v>
      </c>
      <c r="E222" s="5">
        <v>95230</v>
      </c>
      <c r="F222" s="5">
        <v>2521701</v>
      </c>
      <c r="G222" s="5">
        <v>1643558</v>
      </c>
      <c r="H222" s="12">
        <f>D222*(1+0.01*growthrate!E222)^2</f>
        <v>2426471</v>
      </c>
      <c r="I222" s="4">
        <f>E222*(1+0.01*growthrate!$E$3)^2</f>
        <v>98108.326749999978</v>
      </c>
      <c r="J222" s="4">
        <f>F222*(1+0.01*growthrate!$E$3)^2</f>
        <v>2597919.4127249992</v>
      </c>
      <c r="K222" s="4">
        <f>G222*(1+0.01*growthrate!$E$3)^2</f>
        <v>1693234.5405499996</v>
      </c>
      <c r="L222" s="12">
        <f>H222*(1+0.01*growthrate!$E$3)^5</f>
        <v>2613998.3941893214</v>
      </c>
      <c r="M222" s="4">
        <f>I222*(1+0.01*growthrate!$E$3)^5</f>
        <v>105690.53105563644</v>
      </c>
      <c r="N222" s="4">
        <f>J222*(1+0.01*growthrate!$E$3)^5</f>
        <v>2798697.0267093293</v>
      </c>
      <c r="O222" s="4">
        <f>K222*(1+0.01*growthrate!$E$3)^5</f>
        <v>1824094.4853590224</v>
      </c>
      <c r="P222" s="12">
        <f>L222*(1+0.01*growthrate!$F$3)^10</f>
        <v>2802851.0695558693</v>
      </c>
      <c r="Q222" s="4">
        <f>M222*(1+0.01*growthrate!$F$3)^10</f>
        <v>113326.31981324902</v>
      </c>
      <c r="R222" s="4">
        <f>N222*(1+0.01*growthrate!$F$3)^10</f>
        <v>3000893.5629464434</v>
      </c>
      <c r="S222" s="4">
        <f>O222*(1+0.01*growthrate!$F$3)^10</f>
        <v>1955879.2349010177</v>
      </c>
    </row>
    <row r="223" spans="1:19" x14ac:dyDescent="0.2">
      <c r="A223" s="2" t="s">
        <v>451</v>
      </c>
      <c r="B223" s="8" t="s">
        <v>452</v>
      </c>
      <c r="C223" s="4" t="s">
        <v>779</v>
      </c>
      <c r="D223" s="5">
        <v>4296645</v>
      </c>
      <c r="E223" s="5">
        <v>1021409</v>
      </c>
      <c r="F223" s="5">
        <v>5318054</v>
      </c>
      <c r="G223" s="5">
        <v>2127152</v>
      </c>
      <c r="H223" s="12">
        <f>D223*(1+0.01*growthrate!E223)^2</f>
        <v>4296645</v>
      </c>
      <c r="I223" s="4">
        <f>E223*(1+0.01*growthrate!$E$3)^2</f>
        <v>1052281.0870249998</v>
      </c>
      <c r="J223" s="4">
        <f>F223*(1+0.01*growthrate!$E$3)^2</f>
        <v>5478792.1821499988</v>
      </c>
      <c r="K223" s="4">
        <f>G223*(1+0.01*growthrate!$E$3)^2</f>
        <v>2191445.1691999994</v>
      </c>
      <c r="L223" s="12">
        <f>H223*(1+0.01*growthrate!$E$3)^5</f>
        <v>4628706.9288697774</v>
      </c>
      <c r="M223" s="4">
        <f>I223*(1+0.01*growthrate!$E$3)^5</f>
        <v>1133605.5826420935</v>
      </c>
      <c r="N223" s="4">
        <f>J223*(1+0.01*growthrate!$E$3)^5</f>
        <v>5902215.1784369592</v>
      </c>
      <c r="O223" s="4">
        <f>K223*(1+0.01*growthrate!$E$3)^5</f>
        <v>2360808.8261688454</v>
      </c>
      <c r="P223" s="12">
        <f>L223*(1+0.01*growthrate!$F$3)^10</f>
        <v>4963115.5838054027</v>
      </c>
      <c r="Q223" s="4">
        <f>M223*(1+0.01*growthrate!$F$3)^10</f>
        <v>1215504.8093471685</v>
      </c>
      <c r="R223" s="4">
        <f>N223*(1+0.01*growthrate!$F$3)^10</f>
        <v>6328630.561673088</v>
      </c>
      <c r="S223" s="4">
        <f>O223*(1+0.01*growthrate!$F$3)^10</f>
        <v>2531369.3987545129</v>
      </c>
    </row>
    <row r="224" spans="1:19" x14ac:dyDescent="0.2">
      <c r="A224" s="2" t="s">
        <v>453</v>
      </c>
      <c r="B224" s="8" t="s">
        <v>454</v>
      </c>
      <c r="C224" s="4" t="s">
        <v>779</v>
      </c>
      <c r="D224" s="5">
        <v>3529420</v>
      </c>
      <c r="E224" s="5">
        <v>11670</v>
      </c>
      <c r="F224" s="5">
        <v>3541090</v>
      </c>
      <c r="G224" s="5">
        <v>1114629</v>
      </c>
      <c r="H224" s="12">
        <f>D224*(1+0.01*growthrate!E224)^2</f>
        <v>3529420</v>
      </c>
      <c r="I224" s="4">
        <f>E224*(1+0.01*growthrate!$E$3)^2</f>
        <v>12022.725749999996</v>
      </c>
      <c r="J224" s="4">
        <f>F224*(1+0.01*growthrate!$E$3)^2</f>
        <v>3648119.4452499989</v>
      </c>
      <c r="K224" s="4">
        <f>G224*(1+0.01*growthrate!$E$3)^2</f>
        <v>1148318.6615249997</v>
      </c>
      <c r="L224" s="12">
        <f>H224*(1+0.01*growthrate!$E$3)^5</f>
        <v>3802187.7089895881</v>
      </c>
      <c r="M224" s="4">
        <f>I224*(1+0.01*growthrate!$E$3)^5</f>
        <v>12951.890133563762</v>
      </c>
      <c r="N224" s="4">
        <f>J224*(1+0.01*growthrate!$E$3)^5</f>
        <v>3930060.7226273613</v>
      </c>
      <c r="O224" s="4">
        <f>K224*(1+0.01*growthrate!$E$3)^5</f>
        <v>1237065.3254227971</v>
      </c>
      <c r="P224" s="12">
        <f>L224*(1+0.01*growthrate!$F$3)^10</f>
        <v>4076883.103862307</v>
      </c>
      <c r="Q224" s="4">
        <f>M224*(1+0.01*growthrate!$F$3)^10</f>
        <v>13887.621046105385</v>
      </c>
      <c r="R224" s="4">
        <f>N224*(1+0.01*growthrate!$F$3)^10</f>
        <v>4213994.5167226493</v>
      </c>
      <c r="S224" s="4">
        <f>O224*(1+0.01*growthrate!$F$3)^10</f>
        <v>1326439.1738645586</v>
      </c>
    </row>
    <row r="225" spans="1:19" x14ac:dyDescent="0.2">
      <c r="A225" s="2" t="s">
        <v>455</v>
      </c>
      <c r="B225" s="8" t="s">
        <v>456</v>
      </c>
      <c r="C225" s="4" t="s">
        <v>779</v>
      </c>
      <c r="D225" s="5">
        <v>2966846</v>
      </c>
      <c r="E225" s="5">
        <v>23515</v>
      </c>
      <c r="F225" s="5">
        <v>2990361</v>
      </c>
      <c r="G225" s="5">
        <v>690344</v>
      </c>
      <c r="H225" s="12">
        <f>D225*(1+0.01*growthrate!E225)^2</f>
        <v>2966846</v>
      </c>
      <c r="I225" s="4">
        <f>E225*(1+0.01*growthrate!$E$3)^2</f>
        <v>24225.740874999992</v>
      </c>
      <c r="J225" s="4">
        <f>F225*(1+0.01*growthrate!$E$3)^2</f>
        <v>3080744.661224999</v>
      </c>
      <c r="K225" s="4">
        <f>G225*(1+0.01*growthrate!$E$3)^2</f>
        <v>711209.64739999978</v>
      </c>
      <c r="L225" s="12">
        <f>H225*(1+0.01*growthrate!$E$3)^5</f>
        <v>3196135.7377883405</v>
      </c>
      <c r="M225" s="4">
        <f>I225*(1+0.01*growthrate!$E$3)^5</f>
        <v>26098.003126885338</v>
      </c>
      <c r="N225" s="4">
        <f>J225*(1+0.01*growthrate!$E$3)^5</f>
        <v>3318836.9435898773</v>
      </c>
      <c r="O225" s="4">
        <f>K225*(1+0.01*growthrate!$E$3)^5</f>
        <v>766174.77655226586</v>
      </c>
      <c r="P225" s="12">
        <f>L225*(1+0.01*growthrate!$F$3)^10</f>
        <v>3427045.8968219911</v>
      </c>
      <c r="Q225" s="4">
        <f>M225*(1+0.01*growthrate!$F$3)^10</f>
        <v>27983.496906526834</v>
      </c>
      <c r="R225" s="4">
        <f>N225*(1+0.01*growthrate!$F$3)^10</f>
        <v>3558611.8559599612</v>
      </c>
      <c r="S225" s="4">
        <f>O225*(1+0.01*growthrate!$F$3)^10</f>
        <v>821528.35162404261</v>
      </c>
    </row>
    <row r="226" spans="1:19" x14ac:dyDescent="0.2">
      <c r="A226" s="2" t="s">
        <v>457</v>
      </c>
      <c r="B226" s="8" t="s">
        <v>458</v>
      </c>
      <c r="C226" s="4" t="s">
        <v>779</v>
      </c>
      <c r="D226" s="5">
        <v>991137</v>
      </c>
      <c r="E226" s="5">
        <v>1176311</v>
      </c>
      <c r="F226" s="5">
        <v>2167448</v>
      </c>
      <c r="G226" s="5">
        <v>1214459</v>
      </c>
      <c r="H226" s="12">
        <f>D226*(1+0.01*growthrate!E226)^2</f>
        <v>991137</v>
      </c>
      <c r="I226" s="4">
        <f>E226*(1+0.01*growthrate!$E$3)^2</f>
        <v>1211864.9999749996</v>
      </c>
      <c r="J226" s="4">
        <f>F226*(1+0.01*growthrate!$E$3)^2</f>
        <v>2232959.1157999993</v>
      </c>
      <c r="K226" s="4">
        <f>G226*(1+0.01*growthrate!$E$3)^2</f>
        <v>1251166.0232749996</v>
      </c>
      <c r="L226" s="12">
        <f>H226*(1+0.01*growthrate!$E$3)^5</f>
        <v>1067736.035757947</v>
      </c>
      <c r="M226" s="4">
        <f>I226*(1+0.01*growthrate!$E$3)^5</f>
        <v>1305522.7793404048</v>
      </c>
      <c r="N226" s="4">
        <f>J226*(1+0.01*growthrate!$E$3)^5</f>
        <v>2405531.1367791356</v>
      </c>
      <c r="O226" s="4">
        <f>K226*(1+0.01*growthrate!$E$3)^5</f>
        <v>1347861.1430777819</v>
      </c>
      <c r="P226" s="12">
        <f>L226*(1+0.01*growthrate!$F$3)^10</f>
        <v>1144876.4071470031</v>
      </c>
      <c r="Q226" s="4">
        <f>M226*(1+0.01*growthrate!$F$3)^10</f>
        <v>1399842.4507596635</v>
      </c>
      <c r="R226" s="4">
        <f>N226*(1+0.01*growthrate!$F$3)^10</f>
        <v>2579322.7473126845</v>
      </c>
      <c r="S226" s="4">
        <f>O226*(1+0.01*growthrate!$F$3)^10</f>
        <v>1445239.6202255443</v>
      </c>
    </row>
    <row r="227" spans="1:19" x14ac:dyDescent="0.2">
      <c r="A227" s="2" t="s">
        <v>459</v>
      </c>
      <c r="B227" s="8" t="s">
        <v>460</v>
      </c>
      <c r="C227" s="4" t="s">
        <v>779</v>
      </c>
      <c r="D227" s="5">
        <v>1721107</v>
      </c>
      <c r="E227" s="5">
        <v>792268</v>
      </c>
      <c r="F227" s="5">
        <v>2513375</v>
      </c>
      <c r="G227" s="5">
        <v>2995561</v>
      </c>
      <c r="H227" s="12">
        <f>D227*(1+0.01*growthrate!E227)^2</f>
        <v>1721107</v>
      </c>
      <c r="I227" s="4">
        <f>E227*(1+0.01*growthrate!$E$3)^2</f>
        <v>816214.30029999977</v>
      </c>
      <c r="J227" s="4">
        <f>F227*(1+0.01*growthrate!$E$3)^2</f>
        <v>2589341.7593749994</v>
      </c>
      <c r="K227" s="4">
        <f>G227*(1+0.01*growthrate!$E$3)^2</f>
        <v>3086101.8312249994</v>
      </c>
      <c r="L227" s="12">
        <f>H227*(1+0.01*growthrate!$E$3)^5</f>
        <v>1854121.0400734239</v>
      </c>
      <c r="M227" s="4">
        <f>I227*(1+0.01*growthrate!$E$3)^5</f>
        <v>879294.60945486685</v>
      </c>
      <c r="N227" s="4">
        <f>J227*(1+0.01*growthrate!$E$3)^5</f>
        <v>2789456.4579645093</v>
      </c>
      <c r="O227" s="4">
        <f>K227*(1+0.01*growthrate!$E$3)^5</f>
        <v>3324608.1371369669</v>
      </c>
      <c r="P227" s="12">
        <f>L227*(1+0.01*growthrate!$F$3)^10</f>
        <v>1988075.1081591719</v>
      </c>
      <c r="Q227" s="4">
        <f>M227*(1+0.01*growthrate!$F$3)^10</f>
        <v>942820.71559175861</v>
      </c>
      <c r="R227" s="4">
        <f>N227*(1+0.01*growthrate!$F$3)^10</f>
        <v>2990985.3938950407</v>
      </c>
      <c r="S227" s="4">
        <f>O227*(1+0.01*growthrate!$F$3)^10</f>
        <v>3564799.9990139245</v>
      </c>
    </row>
    <row r="228" spans="1:19" x14ac:dyDescent="0.2">
      <c r="A228" s="2" t="s">
        <v>461</v>
      </c>
      <c r="B228" s="8" t="s">
        <v>462</v>
      </c>
      <c r="C228" s="4" t="s">
        <v>779</v>
      </c>
      <c r="D228" s="5">
        <v>907747</v>
      </c>
      <c r="E228" s="5">
        <v>2151714</v>
      </c>
      <c r="F228" s="5">
        <v>3059461</v>
      </c>
      <c r="G228" s="5">
        <v>868786</v>
      </c>
      <c r="H228" s="12">
        <f>D228*(1+0.01*growthrate!E228)^2</f>
        <v>907747</v>
      </c>
      <c r="I228" s="4">
        <f>E228*(1+0.01*growthrate!$E$3)^2</f>
        <v>2216749.5556499995</v>
      </c>
      <c r="J228" s="4">
        <f>F228*(1+0.01*growthrate!$E$3)^2</f>
        <v>3151933.2087249993</v>
      </c>
      <c r="K228" s="4">
        <f>G228*(1+0.01*growthrate!$E$3)^2</f>
        <v>895045.0568499997</v>
      </c>
      <c r="L228" s="12">
        <f>H228*(1+0.01*growthrate!$E$3)^5</f>
        <v>977901.32267402916</v>
      </c>
      <c r="M228" s="4">
        <f>I228*(1+0.01*growthrate!$E$3)^5</f>
        <v>2388068.8369195391</v>
      </c>
      <c r="N228" s="4">
        <f>J228*(1+0.01*growthrate!$E$3)^5</f>
        <v>3395527.2270713905</v>
      </c>
      <c r="O228" s="4">
        <f>K228*(1+0.01*growthrate!$E$3)^5</f>
        <v>964217.72250028513</v>
      </c>
      <c r="P228" s="12">
        <f>L228*(1+0.01*growthrate!$F$3)^10</f>
        <v>1048551.4353297986</v>
      </c>
      <c r="Q228" s="4">
        <f>M228*(1+0.01*growthrate!$F$3)^10</f>
        <v>2560598.8544644052</v>
      </c>
      <c r="R228" s="4">
        <f>N228*(1+0.01*growthrate!$F$3)^10</f>
        <v>3640842.7569270465</v>
      </c>
      <c r="S228" s="4">
        <f>O228*(1+0.01*growthrate!$F$3)^10</f>
        <v>1033879.2406308238</v>
      </c>
    </row>
    <row r="229" spans="1:19" x14ac:dyDescent="0.2">
      <c r="A229" s="2" t="s">
        <v>463</v>
      </c>
      <c r="B229" s="8" t="s">
        <v>464</v>
      </c>
      <c r="C229" s="4" t="s">
        <v>779</v>
      </c>
      <c r="D229" s="5">
        <v>167657</v>
      </c>
      <c r="E229" s="5">
        <v>120845</v>
      </c>
      <c r="F229" s="5">
        <v>288502</v>
      </c>
      <c r="G229" s="5">
        <v>275495</v>
      </c>
      <c r="H229" s="12">
        <f>D229*(1+0.01*growthrate!E229)^2</f>
        <v>167657</v>
      </c>
      <c r="I229" s="4">
        <f>E229*(1+0.01*growthrate!$E$3)^2</f>
        <v>124497.54012499997</v>
      </c>
      <c r="J229" s="4">
        <f>F229*(1+0.01*growthrate!$E$3)^2</f>
        <v>297221.97294999991</v>
      </c>
      <c r="K229" s="4">
        <f>G229*(1+0.01*growthrate!$E$3)^2</f>
        <v>283821.8363749999</v>
      </c>
      <c r="L229" s="12">
        <f>H229*(1+0.01*growthrate!$E$3)^5</f>
        <v>180614.20423924254</v>
      </c>
      <c r="M229" s="4">
        <f>I229*(1+0.01*growthrate!$E$3)^5</f>
        <v>134119.20849961552</v>
      </c>
      <c r="N229" s="4">
        <f>J229*(1+0.01*growthrate!$E$3)^5</f>
        <v>320192.47706198908</v>
      </c>
      <c r="O229" s="4">
        <f>K229*(1+0.01*growthrate!$E$3)^5</f>
        <v>305756.72427987563</v>
      </c>
      <c r="P229" s="12">
        <f>L229*(1+0.01*growthrate!$F$3)^10</f>
        <v>193662.97877391832</v>
      </c>
      <c r="Q229" s="4">
        <f>M229*(1+0.01*growthrate!$F$3)^10</f>
        <v>143808.8744915686</v>
      </c>
      <c r="R229" s="4">
        <f>N229*(1+0.01*growthrate!$F$3)^10</f>
        <v>343325.31679892854</v>
      </c>
      <c r="S229" s="4">
        <f>O229*(1+0.01*growthrate!$F$3)^10</f>
        <v>327846.6289714484</v>
      </c>
    </row>
    <row r="230" spans="1:19" x14ac:dyDescent="0.2">
      <c r="A230" s="2" t="s">
        <v>465</v>
      </c>
      <c r="B230" s="8" t="s">
        <v>466</v>
      </c>
      <c r="C230" s="4" t="s">
        <v>779</v>
      </c>
      <c r="D230" s="5">
        <v>1364386</v>
      </c>
      <c r="E230" s="5">
        <v>2099920</v>
      </c>
      <c r="F230" s="5">
        <v>3464306</v>
      </c>
      <c r="G230" s="5">
        <v>1404708</v>
      </c>
      <c r="H230" s="12">
        <f>D230*(1+0.01*growthrate!E230)^2</f>
        <v>1364386</v>
      </c>
      <c r="I230" s="4">
        <f>E230*(1+0.01*growthrate!$E$3)^2</f>
        <v>2163390.0819999995</v>
      </c>
      <c r="J230" s="4">
        <f>F230*(1+0.01*growthrate!$E$3)^2</f>
        <v>3569014.6488499991</v>
      </c>
      <c r="K230" s="4">
        <f>G230*(1+0.01*growthrate!$E$3)^2</f>
        <v>1447165.2992999996</v>
      </c>
      <c r="L230" s="12">
        <f>H230*(1+0.01*growthrate!$E$3)^5</f>
        <v>1469831.2129237859</v>
      </c>
      <c r="M230" s="4">
        <f>I230*(1+0.01*growthrate!$E$3)^5</f>
        <v>2330585.5295007043</v>
      </c>
      <c r="N230" s="4">
        <f>J230*(1+0.01*growthrate!$E$3)^5</f>
        <v>3844842.390835111</v>
      </c>
      <c r="O230" s="4">
        <f>K230*(1+0.01*growthrate!$E$3)^5</f>
        <v>1559008.0279124326</v>
      </c>
      <c r="P230" s="12">
        <f>L230*(1+0.01*growthrate!$F$3)^10</f>
        <v>1576021.6212709958</v>
      </c>
      <c r="Q230" s="4">
        <f>M230*(1+0.01*growthrate!$F$3)^10</f>
        <v>2498962.5695919129</v>
      </c>
      <c r="R230" s="4">
        <f>N230*(1+0.01*growthrate!$F$3)^10</f>
        <v>4122619.4443658241</v>
      </c>
      <c r="S230" s="4">
        <f>O230*(1+0.01*growthrate!$F$3)^10</f>
        <v>1671641.1640473527</v>
      </c>
    </row>
    <row r="231" spans="1:19" x14ac:dyDescent="0.2">
      <c r="A231" s="2" t="s">
        <v>467</v>
      </c>
      <c r="B231" s="8" t="s">
        <v>468</v>
      </c>
      <c r="C231" s="4" t="s">
        <v>779</v>
      </c>
      <c r="D231" s="5">
        <v>150336</v>
      </c>
      <c r="E231" s="5">
        <v>1110783</v>
      </c>
      <c r="F231" s="5">
        <v>1261119</v>
      </c>
      <c r="G231" s="5">
        <v>268544</v>
      </c>
      <c r="H231" s="12">
        <f>D231*(1+0.01*growthrate!E231)^2</f>
        <v>150336</v>
      </c>
      <c r="I231" s="4">
        <f>E231*(1+0.01*growthrate!$E$3)^2</f>
        <v>1144356.4161749997</v>
      </c>
      <c r="J231" s="4">
        <f>F231*(1+0.01*growthrate!$E$3)^2</f>
        <v>1299236.3217749996</v>
      </c>
      <c r="K231" s="4">
        <f>G231*(1+0.01*growthrate!$E$3)^2</f>
        <v>276660.74239999993</v>
      </c>
      <c r="L231" s="12">
        <f>H231*(1+0.01*growthrate!$E$3)^5</f>
        <v>161954.56800796129</v>
      </c>
      <c r="M231" s="4">
        <f>I231*(1+0.01*growthrate!$E$3)^5</f>
        <v>1232796.861887777</v>
      </c>
      <c r="N231" s="4">
        <f>J231*(1+0.01*growthrate!$E$3)^5</f>
        <v>1399646.5067137789</v>
      </c>
      <c r="O231" s="4">
        <f>K231*(1+0.01*growthrate!$E$3)^5</f>
        <v>298042.19229029538</v>
      </c>
      <c r="P231" s="12">
        <f>L231*(1+0.01*growthrate!$F$3)^10</f>
        <v>173655.24599006178</v>
      </c>
      <c r="Q231" s="4">
        <f>M231*(1+0.01*growthrate!$F$3)^10</f>
        <v>1321862.3280596468</v>
      </c>
      <c r="R231" s="4">
        <f>N231*(1+0.01*growthrate!$F$3)^10</f>
        <v>1500766.3038597582</v>
      </c>
      <c r="S231" s="4">
        <f>O231*(1+0.01*growthrate!$F$3)^10</f>
        <v>319574.74774681445</v>
      </c>
    </row>
    <row r="232" spans="1:19" x14ac:dyDescent="0.2">
      <c r="A232" s="2" t="s">
        <v>469</v>
      </c>
      <c r="B232" s="8" t="s">
        <v>470</v>
      </c>
      <c r="C232" s="4" t="s">
        <v>779</v>
      </c>
      <c r="D232" s="5">
        <v>937080</v>
      </c>
      <c r="E232" s="5">
        <v>740466</v>
      </c>
      <c r="F232" s="5">
        <v>1677546</v>
      </c>
      <c r="G232" s="5">
        <v>2553021</v>
      </c>
      <c r="H232" s="12">
        <f>D232*(1+0.01*growthrate!E232)^2</f>
        <v>937080</v>
      </c>
      <c r="I232" s="4">
        <f>E232*(1+0.01*growthrate!$E$3)^2</f>
        <v>762846.58484999975</v>
      </c>
      <c r="J232" s="4">
        <f>F232*(1+0.01*growthrate!$E$3)^2</f>
        <v>1728249.8278499995</v>
      </c>
      <c r="K232" s="4">
        <f>G232*(1+0.01*growthrate!$E$3)^2</f>
        <v>2630186.0597249991</v>
      </c>
      <c r="L232" s="12">
        <f>H232*(1+0.01*growthrate!$E$3)^5</f>
        <v>1009501.2943599694</v>
      </c>
      <c r="M232" s="4">
        <f>I232*(1+0.01*growthrate!$E$3)^5</f>
        <v>821802.42327672883</v>
      </c>
      <c r="N232" s="4">
        <f>J232*(1+0.01*growthrate!$E$3)^5</f>
        <v>1861815.894258728</v>
      </c>
      <c r="O232" s="4">
        <f>K232*(1+0.01*growthrate!$E$3)^5</f>
        <v>2833457.3693814129</v>
      </c>
      <c r="P232" s="12">
        <f>L232*(1+0.01*growthrate!$F$3)^10</f>
        <v>1082434.3996937997</v>
      </c>
      <c r="Q232" s="4">
        <f>M232*(1+0.01*growthrate!$F$3)^10</f>
        <v>881174.91049918346</v>
      </c>
      <c r="R232" s="4">
        <f>N232*(1+0.01*growthrate!$F$3)^10</f>
        <v>1996325.8899237281</v>
      </c>
      <c r="S232" s="4">
        <f>O232*(1+0.01*growthrate!$F$3)^10</f>
        <v>3038165.2245714664</v>
      </c>
    </row>
    <row r="233" spans="1:19" x14ac:dyDescent="0.2">
      <c r="A233" s="2" t="s">
        <v>471</v>
      </c>
      <c r="B233" s="8" t="s">
        <v>472</v>
      </c>
      <c r="C233" s="4" t="s">
        <v>779</v>
      </c>
      <c r="D233" s="5">
        <v>222876</v>
      </c>
      <c r="E233" s="5">
        <v>1321805</v>
      </c>
      <c r="F233" s="5">
        <v>1544681</v>
      </c>
      <c r="G233" s="5">
        <v>820143</v>
      </c>
      <c r="H233" s="12">
        <f>D233*(1+0.01*growthrate!E233)^2</f>
        <v>222876</v>
      </c>
      <c r="I233" s="4">
        <f>E233*(1+0.01*growthrate!$E$3)^2</f>
        <v>1361756.5561249997</v>
      </c>
      <c r="J233" s="4">
        <f>F233*(1+0.01*growthrate!$E$3)^2</f>
        <v>1591368.9832249996</v>
      </c>
      <c r="K233" s="4">
        <f>G233*(1+0.01*growthrate!$E$3)^2</f>
        <v>844931.82217499975</v>
      </c>
      <c r="L233" s="12">
        <f>H233*(1+0.01*growthrate!$E$3)^5</f>
        <v>240100.7496497338</v>
      </c>
      <c r="M233" s="4">
        <f>I233*(1+0.01*growthrate!$E$3)^5</f>
        <v>1466998.5550981362</v>
      </c>
      <c r="N233" s="4">
        <f>J233*(1+0.01*growthrate!$E$3)^5</f>
        <v>1714356.3499060334</v>
      </c>
      <c r="O233" s="4">
        <f>K233*(1+0.01*growthrate!$E$3)^5</f>
        <v>910231.53640200384</v>
      </c>
      <c r="P233" s="12">
        <f>L233*(1+0.01*growthrate!$F$3)^10</f>
        <v>257447.22890911697</v>
      </c>
      <c r="Q233" s="4">
        <f>M233*(1+0.01*growthrate!$F$3)^10</f>
        <v>1572984.3133545269</v>
      </c>
      <c r="R233" s="4">
        <f>N233*(1+0.01*growthrate!$F$3)^10</f>
        <v>1838212.8847574221</v>
      </c>
      <c r="S233" s="4">
        <f>O233*(1+0.01*growthrate!$F$3)^10</f>
        <v>975992.73244353116</v>
      </c>
    </row>
    <row r="234" spans="1:19" x14ac:dyDescent="0.2">
      <c r="A234" s="2" t="s">
        <v>473</v>
      </c>
      <c r="B234" s="8" t="s">
        <v>474</v>
      </c>
      <c r="C234" s="4" t="s">
        <v>779</v>
      </c>
      <c r="D234" s="5">
        <v>9991</v>
      </c>
      <c r="E234" s="5">
        <v>234481</v>
      </c>
      <c r="F234" s="5">
        <v>244472</v>
      </c>
      <c r="G234" s="5">
        <v>214673</v>
      </c>
      <c r="H234" s="12">
        <f>D234*(1+0.01*growthrate!E234)^2</f>
        <v>9991</v>
      </c>
      <c r="I234" s="4">
        <f>E234*(1+0.01*growthrate!$E$3)^2</f>
        <v>241568.18822499993</v>
      </c>
      <c r="J234" s="4">
        <f>F234*(1+0.01*growthrate!$E$3)^2</f>
        <v>251861.16619999992</v>
      </c>
      <c r="K234" s="4">
        <f>G234*(1+0.01*growthrate!$E$3)^2</f>
        <v>221161.49142499993</v>
      </c>
      <c r="L234" s="12">
        <f>H234*(1+0.01*growthrate!$E$3)^5</f>
        <v>10763.144482808784</v>
      </c>
      <c r="M234" s="4">
        <f>I234*(1+0.01*growthrate!$E$3)^5</f>
        <v>260237.5450221221</v>
      </c>
      <c r="N234" s="4">
        <f>J234*(1+0.01*growthrate!$E$3)^5</f>
        <v>271326.00554692373</v>
      </c>
      <c r="O234" s="4">
        <f>K234*(1+0.01*growthrate!$E$3)^5</f>
        <v>238253.73698736363</v>
      </c>
      <c r="P234" s="12">
        <f>L234*(1+0.01*growthrate!$F$3)^10</f>
        <v>11540.745813954789</v>
      </c>
      <c r="Q234" s="4">
        <f>M234*(1+0.01*growthrate!$F$3)^10</f>
        <v>279038.84066082578</v>
      </c>
      <c r="R234" s="4">
        <f>N234*(1+0.01*growthrate!$F$3)^10</f>
        <v>290928.40551700734</v>
      </c>
      <c r="S234" s="4">
        <f>O234*(1+0.01*growthrate!$F$3)^10</f>
        <v>255466.77573526834</v>
      </c>
    </row>
    <row r="235" spans="1:19" x14ac:dyDescent="0.2">
      <c r="A235" s="2" t="s">
        <v>475</v>
      </c>
      <c r="B235" s="8" t="s">
        <v>476</v>
      </c>
      <c r="C235" s="4" t="s">
        <v>779</v>
      </c>
      <c r="D235" s="5">
        <v>4097468</v>
      </c>
      <c r="E235" s="5">
        <v>17739253</v>
      </c>
      <c r="F235" s="5">
        <v>21836721</v>
      </c>
      <c r="G235" s="5">
        <v>6431590</v>
      </c>
      <c r="H235" s="12">
        <f>D235*(1+0.01*growthrate!E235)^2</f>
        <v>4097468</v>
      </c>
      <c r="I235" s="4">
        <f>E235*(1+0.01*growthrate!$E$3)^2</f>
        <v>18275421.921924993</v>
      </c>
      <c r="J235" s="4">
        <f>F235*(1+0.01*growthrate!$E$3)^2</f>
        <v>22496735.892224994</v>
      </c>
      <c r="K235" s="4">
        <f>G235*(1+0.01*growthrate!$E$3)^2</f>
        <v>6625984.8077499978</v>
      </c>
      <c r="L235" s="12">
        <f>H235*(1+0.01*growthrate!$E$3)^5</f>
        <v>4414136.7328280993</v>
      </c>
      <c r="M235" s="4">
        <f>I235*(1+0.01*growthrate!$E$3)^5</f>
        <v>19687819.700727623</v>
      </c>
      <c r="N235" s="4">
        <f>J235*(1+0.01*growthrate!$E$3)^5</f>
        <v>24235373.716305453</v>
      </c>
      <c r="O235" s="4">
        <f>K235*(1+0.01*growthrate!$E$3)^5</f>
        <v>7138067.4433699539</v>
      </c>
      <c r="P235" s="12">
        <f>L235*(1+0.01*growthrate!$F$3)^10</f>
        <v>4733043.4059467223</v>
      </c>
      <c r="Q235" s="4">
        <f>M235*(1+0.01*growthrate!$F$3)^10</f>
        <v>21110199.083546538</v>
      </c>
      <c r="R235" s="4">
        <f>N235*(1+0.01*growthrate!$F$3)^10</f>
        <v>25986298.726438001</v>
      </c>
      <c r="S235" s="4">
        <f>O235*(1+0.01*growthrate!$F$3)^10</f>
        <v>7653769.0354688037</v>
      </c>
    </row>
    <row r="236" spans="1:19" x14ac:dyDescent="0.2">
      <c r="A236" s="2" t="s">
        <v>477</v>
      </c>
      <c r="B236" s="8" t="s">
        <v>478</v>
      </c>
      <c r="C236" s="4" t="s">
        <v>779</v>
      </c>
      <c r="D236" s="5">
        <v>387536</v>
      </c>
      <c r="E236" s="5">
        <v>112396</v>
      </c>
      <c r="F236" s="5">
        <v>499932</v>
      </c>
      <c r="G236" s="5">
        <v>745474</v>
      </c>
      <c r="H236" s="12">
        <f>D236*(1+0.01*growthrate!E236)^2</f>
        <v>387536</v>
      </c>
      <c r="I236" s="4">
        <f>E236*(1+0.01*growthrate!$E$3)^2</f>
        <v>115793.16909999997</v>
      </c>
      <c r="J236" s="4">
        <f>F236*(1+0.01*growthrate!$E$3)^2</f>
        <v>515042.44469999988</v>
      </c>
      <c r="K236" s="4">
        <f>G236*(1+0.01*growthrate!$E$3)^2</f>
        <v>768005.95164999983</v>
      </c>
      <c r="L236" s="12">
        <f>H236*(1+0.01*growthrate!$E$3)^5</f>
        <v>417486.33372933487</v>
      </c>
      <c r="M236" s="4">
        <f>I236*(1+0.01*growthrate!$E$3)^5</f>
        <v>124742.12883050837</v>
      </c>
      <c r="N236" s="4">
        <f>J236*(1+0.01*growthrate!$E$3)^5</f>
        <v>554846.98699681228</v>
      </c>
      <c r="O236" s="4">
        <f>K236*(1+0.01*growthrate!$E$3)^5</f>
        <v>827360.52660054096</v>
      </c>
      <c r="P236" s="12">
        <f>L236*(1+0.01*growthrate!$F$3)^10</f>
        <v>447648.33047310408</v>
      </c>
      <c r="Q236" s="4">
        <f>M236*(1+0.01*growthrate!$F$3)^10</f>
        <v>133754.3320563891</v>
      </c>
      <c r="R236" s="4">
        <f>N236*(1+0.01*growthrate!$F$3)^10</f>
        <v>594932.83331804269</v>
      </c>
      <c r="S236" s="4">
        <f>O236*(1+0.01*growthrate!$F$3)^10</f>
        <v>887134.56827115396</v>
      </c>
    </row>
    <row r="237" spans="1:19" x14ac:dyDescent="0.2">
      <c r="A237" s="2" t="s">
        <v>479</v>
      </c>
      <c r="B237" s="8" t="s">
        <v>480</v>
      </c>
      <c r="C237" s="4" t="s">
        <v>779</v>
      </c>
      <c r="D237" s="5">
        <v>153120</v>
      </c>
      <c r="E237" s="5">
        <v>478483</v>
      </c>
      <c r="F237" s="5">
        <v>631603</v>
      </c>
      <c r="G237" s="5">
        <v>163436</v>
      </c>
      <c r="H237" s="12">
        <f>D237*(1+0.01*growthrate!E237)^2</f>
        <v>153120</v>
      </c>
      <c r="I237" s="4">
        <f>E237*(1+0.01*growthrate!$E$3)^2</f>
        <v>492945.14867499989</v>
      </c>
      <c r="J237" s="4">
        <f>F237*(1+0.01*growthrate!$E$3)^2</f>
        <v>650693.20067499985</v>
      </c>
      <c r="K237" s="4">
        <f>G237*(1+0.01*growthrate!$E$3)^2</f>
        <v>168375.85309999995</v>
      </c>
      <c r="L237" s="12">
        <f>H237*(1+0.01*growthrate!$E$3)^5</f>
        <v>164953.72667477539</v>
      </c>
      <c r="M237" s="4">
        <f>I237*(1+0.01*growthrate!$E$3)^5</f>
        <v>531041.92345998203</v>
      </c>
      <c r="N237" s="4">
        <f>J237*(1+0.01*growthrate!$E$3)^5</f>
        <v>700981.37652350252</v>
      </c>
      <c r="O237" s="4">
        <f>K237*(1+0.01*growthrate!$E$3)^5</f>
        <v>181388.61318501519</v>
      </c>
      <c r="P237" s="12">
        <f>L237*(1+0.01*growthrate!$F$3)^10</f>
        <v>176871.08387876663</v>
      </c>
      <c r="Q237" s="4">
        <f>M237*(1+0.01*growthrate!$F$3)^10</f>
        <v>569407.93324795575</v>
      </c>
      <c r="R237" s="4">
        <f>N237*(1+0.01*growthrate!$F$3)^10</f>
        <v>751624.94563695812</v>
      </c>
      <c r="S237" s="4">
        <f>O237*(1+0.01*growthrate!$F$3)^10</f>
        <v>194493.33618605655</v>
      </c>
    </row>
    <row r="238" spans="1:19" x14ac:dyDescent="0.2">
      <c r="A238" s="2" t="s">
        <v>481</v>
      </c>
      <c r="B238" s="8" t="s">
        <v>482</v>
      </c>
      <c r="C238" s="4" t="s">
        <v>779</v>
      </c>
      <c r="D238" s="5">
        <v>62772</v>
      </c>
      <c r="E238" s="5">
        <v>267836</v>
      </c>
      <c r="F238" s="5">
        <v>330608</v>
      </c>
      <c r="G238" s="5">
        <v>51948</v>
      </c>
      <c r="H238" s="12">
        <f>D238*(1+0.01*growthrate!E238)^2</f>
        <v>62772</v>
      </c>
      <c r="I238" s="4">
        <f>E238*(1+0.01*growthrate!$E$3)^2</f>
        <v>275931.34309999994</v>
      </c>
      <c r="J238" s="4">
        <f>F238*(1+0.01*growthrate!$E$3)^2</f>
        <v>340600.62679999991</v>
      </c>
      <c r="K238" s="4">
        <f>G238*(1+0.01*growthrate!$E$3)^2</f>
        <v>53518.128299999982</v>
      </c>
      <c r="L238" s="12">
        <f>H238*(1+0.01*growthrate!$E$3)^5</f>
        <v>67623.271491829946</v>
      </c>
      <c r="M238" s="4">
        <f>I238*(1+0.01*growthrate!$E$3)^5</f>
        <v>297256.42209196097</v>
      </c>
      <c r="N238" s="4">
        <f>J238*(1+0.01*growthrate!$E$3)^5</f>
        <v>366923.60696463141</v>
      </c>
      <c r="O238" s="4">
        <f>K238*(1+0.01*growthrate!$E$3)^5</f>
        <v>57654.223535421625</v>
      </c>
      <c r="P238" s="12">
        <f>L238*(1+0.01*growthrate!$F$3)^10</f>
        <v>72508.827568168359</v>
      </c>
      <c r="Q238" s="4">
        <f>M238*(1+0.01*growthrate!$F$3)^10</f>
        <v>318732.20826946723</v>
      </c>
      <c r="R238" s="4">
        <f>N238*(1+0.01*growthrate!$F$3)^10</f>
        <v>393432.61515088344</v>
      </c>
      <c r="S238" s="4">
        <f>O238*(1+0.01*growthrate!$F$3)^10</f>
        <v>61819.549109090192</v>
      </c>
    </row>
    <row r="239" spans="1:19" x14ac:dyDescent="0.2">
      <c r="A239" s="2" t="s">
        <v>483</v>
      </c>
      <c r="B239" s="8" t="s">
        <v>484</v>
      </c>
      <c r="C239" s="4" t="s">
        <v>779</v>
      </c>
      <c r="D239" s="5">
        <v>24023</v>
      </c>
      <c r="E239" s="5">
        <v>489762</v>
      </c>
      <c r="F239" s="5">
        <v>513785</v>
      </c>
      <c r="G239" s="5">
        <v>166473</v>
      </c>
      <c r="H239" s="12">
        <f>D239*(1+0.01*growthrate!E239)^2</f>
        <v>24023</v>
      </c>
      <c r="I239" s="4">
        <f>E239*(1+0.01*growthrate!$E$3)^2</f>
        <v>504565.05644999986</v>
      </c>
      <c r="J239" s="4">
        <f>F239*(1+0.01*growthrate!$E$3)^2</f>
        <v>529314.15162499982</v>
      </c>
      <c r="K239" s="4">
        <f>G239*(1+0.01*growthrate!$E$3)^2</f>
        <v>171504.64642499996</v>
      </c>
      <c r="L239" s="12">
        <f>H239*(1+0.01*growthrate!$E$3)^5</f>
        <v>25879.593625314323</v>
      </c>
      <c r="M239" s="4">
        <f>I239*(1+0.01*growthrate!$E$3)^5</f>
        <v>543559.86423260113</v>
      </c>
      <c r="N239" s="4">
        <f>J239*(1+0.01*growthrate!$E$3)^5</f>
        <v>570221.66857524065</v>
      </c>
      <c r="O239" s="4">
        <f>K239*(1+0.01*growthrate!$E$3)^5</f>
        <v>184759.21218549789</v>
      </c>
      <c r="P239" s="12">
        <f>L239*(1+0.01*growthrate!$F$3)^10</f>
        <v>27749.308046105085</v>
      </c>
      <c r="Q239" s="4">
        <f>M239*(1+0.01*growthrate!$F$3)^10</f>
        <v>582830.25353750342</v>
      </c>
      <c r="R239" s="4">
        <f>N239*(1+0.01*growthrate!$F$3)^10</f>
        <v>611418.28441930213</v>
      </c>
      <c r="S239" s="4">
        <f>O239*(1+0.01*growthrate!$F$3)^10</f>
        <v>198107.44973507299</v>
      </c>
    </row>
    <row r="240" spans="1:19" x14ac:dyDescent="0.2">
      <c r="A240" s="2" t="s">
        <v>485</v>
      </c>
      <c r="B240" s="8" t="s">
        <v>486</v>
      </c>
      <c r="C240" s="4" t="s">
        <v>779</v>
      </c>
      <c r="D240" s="5">
        <v>175939</v>
      </c>
      <c r="E240" s="5">
        <v>402147</v>
      </c>
      <c r="F240" s="5">
        <v>578086</v>
      </c>
      <c r="G240" s="5">
        <v>165341</v>
      </c>
      <c r="H240" s="12">
        <f>D240*(1+0.01*growthrate!E240)^2</f>
        <v>175939</v>
      </c>
      <c r="I240" s="4">
        <f>E240*(1+0.01*growthrate!$E$3)^2</f>
        <v>414301.89307499991</v>
      </c>
      <c r="J240" s="4">
        <f>F240*(1+0.01*growthrate!$E$3)^2</f>
        <v>595558.64934999985</v>
      </c>
      <c r="K240" s="4">
        <f>G240*(1+0.01*growthrate!$E$3)^2</f>
        <v>170338.43172499994</v>
      </c>
      <c r="L240" s="12">
        <f>H240*(1+0.01*growthrate!$E$3)^5</f>
        <v>189536.27035941294</v>
      </c>
      <c r="M240" s="4">
        <f>I240*(1+0.01*growthrate!$E$3)^5</f>
        <v>446320.80218871182</v>
      </c>
      <c r="N240" s="4">
        <f>J240*(1+0.01*growthrate!$E$3)^5</f>
        <v>641585.80631973792</v>
      </c>
      <c r="O240" s="4">
        <f>K240*(1+0.01*growthrate!$E$3)^5</f>
        <v>183502.86774409306</v>
      </c>
      <c r="P240" s="12">
        <f>L240*(1+0.01*growthrate!$F$3)^10</f>
        <v>203229.63444714161</v>
      </c>
      <c r="Q240" s="4">
        <f>M240*(1+0.01*growthrate!$F$3)^10</f>
        <v>478565.99321577919</v>
      </c>
      <c r="R240" s="4">
        <f>N240*(1+0.01*growthrate!$F$3)^10</f>
        <v>687938.24336408556</v>
      </c>
      <c r="S240" s="4">
        <f>O240*(1+0.01*growthrate!$F$3)^10</f>
        <v>196760.33859332566</v>
      </c>
    </row>
    <row r="241" spans="1:19" x14ac:dyDescent="0.2">
      <c r="A241" s="2" t="s">
        <v>487</v>
      </c>
      <c r="B241" s="8" t="s">
        <v>488</v>
      </c>
      <c r="C241" s="4" t="s">
        <v>779</v>
      </c>
      <c r="D241" s="5">
        <v>242185</v>
      </c>
      <c r="E241" s="5">
        <v>396113</v>
      </c>
      <c r="F241" s="5">
        <v>638298</v>
      </c>
      <c r="G241" s="5">
        <v>265666</v>
      </c>
      <c r="H241" s="12">
        <f>D241*(1+0.01*growthrate!E241)^2</f>
        <v>242185</v>
      </c>
      <c r="I241" s="4">
        <f>E241*(1+0.01*growthrate!$E$3)^2</f>
        <v>408085.51542499987</v>
      </c>
      <c r="J241" s="4">
        <f>F241*(1+0.01*growthrate!$E$3)^2</f>
        <v>657590.55704999983</v>
      </c>
      <c r="K241" s="4">
        <f>G241*(1+0.01*growthrate!$E$3)^2</f>
        <v>273695.75484999991</v>
      </c>
      <c r="L241" s="12">
        <f>H241*(1+0.01*growthrate!$E$3)^5</f>
        <v>260902.0264807372</v>
      </c>
      <c r="M241" s="4">
        <f>I241*(1+0.01*growthrate!$E$3)^5</f>
        <v>439623.99798426247</v>
      </c>
      <c r="N241" s="4">
        <f>J241*(1+0.01*growthrate!$E$3)^5</f>
        <v>708411.78821537981</v>
      </c>
      <c r="O241" s="4">
        <f>K241*(1+0.01*growthrate!$E$3)^5</f>
        <v>294848.05863096408</v>
      </c>
      <c r="P241" s="12">
        <f>L241*(1+0.01*growthrate!$F$3)^10</f>
        <v>279751.32869108603</v>
      </c>
      <c r="Q241" s="4">
        <f>M241*(1+0.01*growthrate!$F$3)^10</f>
        <v>471385.36721816135</v>
      </c>
      <c r="R241" s="4">
        <f>N241*(1+0.01*growthrate!$F$3)^10</f>
        <v>759592.17981893534</v>
      </c>
      <c r="S241" s="4">
        <f>O241*(1+0.01*growthrate!$F$3)^10</f>
        <v>316149.84857194807</v>
      </c>
    </row>
    <row r="242" spans="1:19" x14ac:dyDescent="0.2">
      <c r="A242" s="2" t="s">
        <v>489</v>
      </c>
      <c r="B242" s="8" t="s">
        <v>490</v>
      </c>
      <c r="C242" s="4" t="s">
        <v>779</v>
      </c>
      <c r="D242" s="5">
        <v>1129912</v>
      </c>
      <c r="E242" s="5">
        <v>2201178</v>
      </c>
      <c r="F242" s="5">
        <v>3331090</v>
      </c>
      <c r="G242" s="5">
        <v>1933544</v>
      </c>
      <c r="H242" s="12">
        <f>D242*(1+0.01*growthrate!E242)^2</f>
        <v>1129912</v>
      </c>
      <c r="I242" s="4">
        <f>E242*(1+0.01*growthrate!$E$3)^2</f>
        <v>2267708.6050499994</v>
      </c>
      <c r="J242" s="4">
        <f>F242*(1+0.01*growthrate!$E$3)^2</f>
        <v>3431772.1952499989</v>
      </c>
      <c r="K242" s="4">
        <f>G242*(1+0.01*growthrate!$E$3)^2</f>
        <v>1991985.3673999994</v>
      </c>
      <c r="L242" s="12">
        <f>H242*(1+0.01*growthrate!$E$3)^5</f>
        <v>1217236.1233970011</v>
      </c>
      <c r="M242" s="4">
        <f>I242*(1+0.01*growthrate!$E$3)^5</f>
        <v>2442966.2056913124</v>
      </c>
      <c r="N242" s="4">
        <f>J242*(1+0.01*growthrate!$E$3)^5</f>
        <v>3696993.2909179875</v>
      </c>
      <c r="O242" s="4">
        <f>K242*(1+0.01*growthrate!$E$3)^5</f>
        <v>2145933.9722717577</v>
      </c>
      <c r="P242" s="12">
        <f>L242*(1+0.01*growthrate!$F$3)^10</f>
        <v>1305177.3780539769</v>
      </c>
      <c r="Q242" s="4">
        <f>M242*(1+0.01*growthrate!$F$3)^10</f>
        <v>2619462.3752377173</v>
      </c>
      <c r="R242" s="4">
        <f>N242*(1+0.01*growthrate!$F$3)^10</f>
        <v>3964088.7395433751</v>
      </c>
      <c r="S242" s="4">
        <f>O242*(1+0.01*growthrate!$F$3)^10</f>
        <v>2300970.5525253462</v>
      </c>
    </row>
    <row r="243" spans="1:19" x14ac:dyDescent="0.2">
      <c r="A243" s="2" t="s">
        <v>491</v>
      </c>
      <c r="B243" s="8" t="s">
        <v>492</v>
      </c>
      <c r="C243" s="4" t="s">
        <v>779</v>
      </c>
      <c r="D243" s="5">
        <v>0</v>
      </c>
      <c r="E243" s="5">
        <v>18056337</v>
      </c>
      <c r="F243" s="5">
        <v>18056337</v>
      </c>
      <c r="G243" s="5">
        <v>11623347</v>
      </c>
      <c r="H243" s="12">
        <f>D243*(1+0.01*growthrate!E243)^2</f>
        <v>0</v>
      </c>
      <c r="I243" s="4">
        <f>E243*(1+0.01*growthrate!$E$3)^2</f>
        <v>18602089.785824995</v>
      </c>
      <c r="J243" s="4">
        <f>F243*(1+0.01*growthrate!$E$3)^2</f>
        <v>18602089.785824995</v>
      </c>
      <c r="K243" s="4">
        <f>G243*(1+0.01*growthrate!$E$3)^2</f>
        <v>11974662.663074996</v>
      </c>
      <c r="L243" s="12">
        <f>H243*(1+0.01*growthrate!$E$3)^5</f>
        <v>0</v>
      </c>
      <c r="M243" s="4">
        <f>I243*(1+0.01*growthrate!$E$3)^5</f>
        <v>20039733.765090175</v>
      </c>
      <c r="N243" s="4">
        <f>J243*(1+0.01*growthrate!$E$3)^5</f>
        <v>20039733.765090175</v>
      </c>
      <c r="O243" s="4">
        <f>K243*(1+0.01*growthrate!$E$3)^5</f>
        <v>12900112.538842157</v>
      </c>
      <c r="P243" s="12">
        <f>L243*(1+0.01*growthrate!$F$3)^10</f>
        <v>0</v>
      </c>
      <c r="Q243" s="4">
        <f>M243*(1+0.01*growthrate!$F$3)^10</f>
        <v>21487537.766647078</v>
      </c>
      <c r="R243" s="4">
        <f>N243*(1+0.01*growthrate!$F$3)^10</f>
        <v>21487537.766647078</v>
      </c>
      <c r="S243" s="4">
        <f>O243*(1+0.01*growthrate!$F$3)^10</f>
        <v>13832102.692663744</v>
      </c>
    </row>
    <row r="244" spans="1:19" x14ac:dyDescent="0.2">
      <c r="A244" s="2" t="s">
        <v>493</v>
      </c>
      <c r="B244" s="8" t="s">
        <v>494</v>
      </c>
      <c r="C244" s="4" t="s">
        <v>779</v>
      </c>
      <c r="D244" s="5">
        <v>0</v>
      </c>
      <c r="E244" s="5">
        <v>3138369</v>
      </c>
      <c r="F244" s="5">
        <v>3138369</v>
      </c>
      <c r="G244" s="5">
        <v>3455845</v>
      </c>
      <c r="H244" s="12">
        <f>D244*(1+0.01*growthrate!E244)^2</f>
        <v>0</v>
      </c>
      <c r="I244" s="4">
        <f>E244*(1+0.01*growthrate!$E$3)^2</f>
        <v>3233226.2030249992</v>
      </c>
      <c r="J244" s="4">
        <f>F244*(1+0.01*growthrate!$E$3)^2</f>
        <v>3233226.2030249992</v>
      </c>
      <c r="K244" s="4">
        <f>G244*(1+0.01*growthrate!$E$3)^2</f>
        <v>3560297.9151249989</v>
      </c>
      <c r="L244" s="12">
        <f>H244*(1+0.01*growthrate!$E$3)^5</f>
        <v>0</v>
      </c>
      <c r="M244" s="4">
        <f>I244*(1+0.01*growthrate!$E$3)^5</f>
        <v>3483102.8694586442</v>
      </c>
      <c r="N244" s="4">
        <f>J244*(1+0.01*growthrate!$E$3)^5</f>
        <v>3483102.8694586442</v>
      </c>
      <c r="O244" s="4">
        <f>K244*(1+0.01*growthrate!$E$3)^5</f>
        <v>3835451.9930270491</v>
      </c>
      <c r="P244" s="12">
        <f>L244*(1+0.01*growthrate!$F$3)^10</f>
        <v>0</v>
      </c>
      <c r="Q244" s="4">
        <f>M244*(1+0.01*growthrate!$F$3)^10</f>
        <v>3734745.4477159143</v>
      </c>
      <c r="R244" s="4">
        <f>N244*(1+0.01*growthrate!$F$3)^10</f>
        <v>3734745.4477159143</v>
      </c>
      <c r="S244" s="4">
        <f>O244*(1+0.01*growthrate!$F$3)^10</f>
        <v>4112550.6216005199</v>
      </c>
    </row>
    <row r="245" spans="1:19" x14ac:dyDescent="0.2">
      <c r="A245" s="2" t="s">
        <v>495</v>
      </c>
      <c r="B245" s="8" t="s">
        <v>496</v>
      </c>
      <c r="C245" s="4" t="s">
        <v>779</v>
      </c>
      <c r="D245" s="5">
        <v>0</v>
      </c>
      <c r="E245" s="5">
        <v>337816</v>
      </c>
      <c r="F245" s="5">
        <v>337816</v>
      </c>
      <c r="G245" s="5">
        <v>531215</v>
      </c>
      <c r="H245" s="12">
        <f>D245*(1+0.01*growthrate!E245)^2</f>
        <v>0</v>
      </c>
      <c r="I245" s="4">
        <f>E245*(1+0.01*growthrate!$E$3)^2</f>
        <v>348026.48859999992</v>
      </c>
      <c r="J245" s="4">
        <f>F245*(1+0.01*growthrate!$E$3)^2</f>
        <v>348026.48859999992</v>
      </c>
      <c r="K245" s="4">
        <f>G245*(1+0.01*growthrate!$E$3)^2</f>
        <v>547270.97337499983</v>
      </c>
      <c r="L245" s="12">
        <f>H245*(1+0.01*growthrate!$E$3)^5</f>
        <v>0</v>
      </c>
      <c r="M245" s="4">
        <f>I245*(1+0.01*growthrate!$E$3)^5</f>
        <v>374923.36909682746</v>
      </c>
      <c r="N245" s="4">
        <f>J245*(1+0.01*growthrate!$E$3)^5</f>
        <v>374923.36909682746</v>
      </c>
      <c r="O245" s="4">
        <f>K245*(1+0.01*growthrate!$E$3)^5</f>
        <v>589566.2654071186</v>
      </c>
      <c r="P245" s="12">
        <f>L245*(1+0.01*growthrate!$F$3)^10</f>
        <v>0</v>
      </c>
      <c r="Q245" s="4">
        <f>M245*(1+0.01*growthrate!$F$3)^10</f>
        <v>402010.33344568446</v>
      </c>
      <c r="R245" s="4">
        <f>N245*(1+0.01*growthrate!$F$3)^10</f>
        <v>402010.33344568446</v>
      </c>
      <c r="S245" s="4">
        <f>O245*(1+0.01*growthrate!$F$3)^10</f>
        <v>632160.46392518189</v>
      </c>
    </row>
    <row r="246" spans="1:19" x14ac:dyDescent="0.2">
      <c r="A246" s="2" t="s">
        <v>497</v>
      </c>
      <c r="B246" s="8" t="s">
        <v>498</v>
      </c>
      <c r="C246" s="4" t="s">
        <v>779</v>
      </c>
      <c r="D246" s="5">
        <v>0</v>
      </c>
      <c r="E246" s="5">
        <v>771809</v>
      </c>
      <c r="F246" s="5">
        <v>771809</v>
      </c>
      <c r="G246" s="5">
        <v>713972</v>
      </c>
      <c r="H246" s="12">
        <f>D246*(1+0.01*growthrate!E246)^2</f>
        <v>0</v>
      </c>
      <c r="I246" s="4">
        <f>E246*(1+0.01*growthrate!$E$3)^2</f>
        <v>795136.92702499975</v>
      </c>
      <c r="J246" s="4">
        <f>F246*(1+0.01*growthrate!$E$3)^2</f>
        <v>795136.92702499975</v>
      </c>
      <c r="K246" s="4">
        <f>G246*(1+0.01*growthrate!$E$3)^2</f>
        <v>735551.80369999981</v>
      </c>
      <c r="L246" s="12">
        <f>H246*(1+0.01*growthrate!$E$3)^5</f>
        <v>0</v>
      </c>
      <c r="M246" s="4">
        <f>I246*(1+0.01*growthrate!$E$3)^5</f>
        <v>856588.29238180921</v>
      </c>
      <c r="N246" s="4">
        <f>J246*(1+0.01*growthrate!$E$3)^5</f>
        <v>856588.29238180921</v>
      </c>
      <c r="O246" s="4">
        <f>K246*(1+0.01*growthrate!$E$3)^5</f>
        <v>792398.19215430913</v>
      </c>
      <c r="P246" s="12">
        <f>L246*(1+0.01*growthrate!$F$3)^10</f>
        <v>0</v>
      </c>
      <c r="Q246" s="4">
        <f>M246*(1+0.01*growthrate!$F$3)^10</f>
        <v>918473.94275694527</v>
      </c>
      <c r="R246" s="4">
        <f>N246*(1+0.01*growthrate!$F$3)^10</f>
        <v>918473.94275694527</v>
      </c>
      <c r="S246" s="4">
        <f>O246*(1+0.01*growthrate!$F$3)^10</f>
        <v>849646.32163924212</v>
      </c>
    </row>
    <row r="247" spans="1:19" x14ac:dyDescent="0.2">
      <c r="A247" s="2" t="s">
        <v>499</v>
      </c>
      <c r="B247" s="8" t="s">
        <v>500</v>
      </c>
      <c r="C247" s="4" t="s">
        <v>779</v>
      </c>
      <c r="D247" s="5">
        <v>0</v>
      </c>
      <c r="E247" s="5">
        <v>469951</v>
      </c>
      <c r="F247" s="5">
        <v>469951</v>
      </c>
      <c r="G247" s="5">
        <v>158367</v>
      </c>
      <c r="H247" s="12">
        <f>D247*(1+0.01*growthrate!E247)^2</f>
        <v>0</v>
      </c>
      <c r="I247" s="4">
        <f>E247*(1+0.01*growthrate!$E$3)^2</f>
        <v>484155.2689749999</v>
      </c>
      <c r="J247" s="4">
        <f>F247*(1+0.01*growthrate!$E$3)^2</f>
        <v>484155.2689749999</v>
      </c>
      <c r="K247" s="4">
        <f>G247*(1+0.01*growthrate!$E$3)^2</f>
        <v>163153.64257499995</v>
      </c>
      <c r="L247" s="12">
        <f>H247*(1+0.01*growthrate!$E$3)^5</f>
        <v>0</v>
      </c>
      <c r="M247" s="4">
        <f>I247*(1+0.01*growthrate!$E$3)^5</f>
        <v>521572.72666310408</v>
      </c>
      <c r="N247" s="4">
        <f>J247*(1+0.01*growthrate!$E$3)^5</f>
        <v>521572.72666310408</v>
      </c>
      <c r="O247" s="4">
        <f>K247*(1+0.01*growthrate!$E$3)^5</f>
        <v>175762.80932151605</v>
      </c>
      <c r="P247" s="12">
        <f>L247*(1+0.01*growthrate!$F$3)^10</f>
        <v>0</v>
      </c>
      <c r="Q247" s="4">
        <f>M247*(1+0.01*growthrate!$F$3)^10</f>
        <v>559254.61852941499</v>
      </c>
      <c r="R247" s="4">
        <f>N247*(1+0.01*growthrate!$F$3)^10</f>
        <v>559254.61852941499</v>
      </c>
      <c r="S247" s="4">
        <f>O247*(1+0.01*growthrate!$F$3)^10</f>
        <v>188461.08673595299</v>
      </c>
    </row>
    <row r="248" spans="1:19" x14ac:dyDescent="0.2">
      <c r="A248" s="2" t="s">
        <v>501</v>
      </c>
      <c r="B248" s="8" t="s">
        <v>502</v>
      </c>
      <c r="C248" s="4" t="s">
        <v>779</v>
      </c>
      <c r="D248" s="5">
        <v>10474</v>
      </c>
      <c r="E248" s="5">
        <v>213381</v>
      </c>
      <c r="F248" s="5">
        <v>223855</v>
      </c>
      <c r="G248" s="5">
        <v>23250</v>
      </c>
      <c r="H248" s="12">
        <f>D248*(1+0.01*growthrate!E248)^2</f>
        <v>10474</v>
      </c>
      <c r="I248" s="4">
        <f>E248*(1+0.01*growthrate!$E$3)^2</f>
        <v>219830.44072499993</v>
      </c>
      <c r="J248" s="4">
        <f>F248*(1+0.01*growthrate!$E$3)^2</f>
        <v>230621.01737499994</v>
      </c>
      <c r="K248" s="4">
        <f>G248*(1+0.01*growthrate!$E$3)^2</f>
        <v>23952.731249999993</v>
      </c>
      <c r="L248" s="12">
        <f>H248*(1+0.01*growthrate!$E$3)^5</f>
        <v>11283.472656684937</v>
      </c>
      <c r="M248" s="4">
        <f>I248*(1+0.01*growthrate!$E$3)^5</f>
        <v>236819.81735989454</v>
      </c>
      <c r="N248" s="4">
        <f>J248*(1+0.01*growthrate!$E$3)^5</f>
        <v>248444.33297762778</v>
      </c>
      <c r="O248" s="4">
        <f>K248*(1+0.01*growthrate!$E$3)^5</f>
        <v>25803.894224966367</v>
      </c>
      <c r="P248" s="12">
        <f>L248*(1+0.01*growthrate!$F$3)^10</f>
        <v>12098.665964904661</v>
      </c>
      <c r="Q248" s="4">
        <f>M248*(1+0.01*growthrate!$F$3)^10</f>
        <v>253929.26019186061</v>
      </c>
      <c r="R248" s="4">
        <f>N248*(1+0.01*growthrate!$F$3)^10</f>
        <v>266393.60833555454</v>
      </c>
      <c r="S248" s="4">
        <f>O248*(1+0.01*growthrate!$F$3)^10</f>
        <v>27668.1396162768</v>
      </c>
    </row>
    <row r="249" spans="1:19" x14ac:dyDescent="0.2">
      <c r="A249" s="2" t="s">
        <v>503</v>
      </c>
      <c r="B249" s="8" t="s">
        <v>504</v>
      </c>
      <c r="C249" s="4" t="s">
        <v>779</v>
      </c>
      <c r="D249" s="5">
        <v>2315968</v>
      </c>
      <c r="E249" s="5">
        <v>15014</v>
      </c>
      <c r="F249" s="5">
        <v>2330982</v>
      </c>
      <c r="G249" s="5">
        <v>2245771</v>
      </c>
      <c r="H249" s="12">
        <f>D249*(1+0.01*growthrate!E249)^2</f>
        <v>2315968</v>
      </c>
      <c r="I249" s="4">
        <f>E249*(1+0.01*growthrate!$E$3)^2</f>
        <v>15467.798149999995</v>
      </c>
      <c r="J249" s="4">
        <f>F249*(1+0.01*growthrate!$E$3)^2</f>
        <v>2401435.9309499995</v>
      </c>
      <c r="K249" s="4">
        <f>G249*(1+0.01*growthrate!$E$3)^2</f>
        <v>2313649.4284749995</v>
      </c>
      <c r="L249" s="12">
        <f>H249*(1+0.01*growthrate!$E$3)^5</f>
        <v>2494955.2799080866</v>
      </c>
      <c r="M249" s="4">
        <f>I249*(1+0.01*growthrate!$E$3)^5</f>
        <v>16663.211522307312</v>
      </c>
      <c r="N249" s="4">
        <f>J249*(1+0.01*growthrate!$E$3)^5</f>
        <v>2587028.5147656151</v>
      </c>
      <c r="O249" s="4">
        <f>K249*(1+0.01*growthrate!$E$3)^5</f>
        <v>2492457.5198923419</v>
      </c>
      <c r="P249" s="12">
        <f>L249*(1+0.01*growthrate!$F$3)^10</f>
        <v>2675207.4868635018</v>
      </c>
      <c r="Q249" s="4">
        <f>M249*(1+0.01*growthrate!$F$3)^10</f>
        <v>17867.073040807736</v>
      </c>
      <c r="R249" s="4">
        <f>N249*(1+0.01*growthrate!$F$3)^10</f>
        <v>2773932.7061947579</v>
      </c>
      <c r="S249" s="4">
        <f>O249*(1+0.01*growthrate!$F$3)^10</f>
        <v>2672529.2720079813</v>
      </c>
    </row>
    <row r="250" spans="1:19" x14ac:dyDescent="0.2">
      <c r="A250" s="2" t="s">
        <v>505</v>
      </c>
      <c r="B250" s="8" t="s">
        <v>506</v>
      </c>
      <c r="C250" s="4" t="s">
        <v>779</v>
      </c>
      <c r="D250" s="5">
        <v>6853129</v>
      </c>
      <c r="E250" s="5">
        <v>105954</v>
      </c>
      <c r="F250" s="5">
        <v>6959083</v>
      </c>
      <c r="G250" s="5">
        <v>11745179</v>
      </c>
      <c r="H250" s="12">
        <f>D250*(1+0.01*growthrate!E250)^2</f>
        <v>6853129</v>
      </c>
      <c r="I250" s="4">
        <f>E250*(1+0.01*growthrate!$E$3)^2</f>
        <v>109156.45964999998</v>
      </c>
      <c r="J250" s="4">
        <f>F250*(1+0.01*growthrate!$E$3)^2</f>
        <v>7169421.2836749982</v>
      </c>
      <c r="K250" s="4">
        <f>G250*(1+0.01*growthrate!$E$3)^2</f>
        <v>12100177.035274997</v>
      </c>
      <c r="L250" s="12">
        <f>H250*(1+0.01*growthrate!$E$3)^5</f>
        <v>7382766.248256118</v>
      </c>
      <c r="M250" s="4">
        <f>I250*(1+0.01*growthrate!$E$3)^5</f>
        <v>117592.50790159512</v>
      </c>
      <c r="N250" s="4">
        <f>J250*(1+0.01*growthrate!$E$3)^5</f>
        <v>7723502.8660112526</v>
      </c>
      <c r="O250" s="4">
        <f>K250*(1+0.01*growthrate!$E$3)^5</f>
        <v>13035327.164270807</v>
      </c>
      <c r="P250" s="12">
        <f>L250*(1+0.01*growthrate!$F$3)^10</f>
        <v>7916146.5137866251</v>
      </c>
      <c r="Q250" s="4">
        <f>M250*(1+0.01*growthrate!$F$3)^10</f>
        <v>126088.17483453729</v>
      </c>
      <c r="R250" s="4">
        <f>N250*(1+0.01*growthrate!$F$3)^10</f>
        <v>8281500.2170003606</v>
      </c>
      <c r="S250" s="4">
        <f>O250*(1+0.01*growthrate!$F$3)^10</f>
        <v>13977086.124308057</v>
      </c>
    </row>
    <row r="251" spans="1:19" x14ac:dyDescent="0.2">
      <c r="A251" s="2" t="s">
        <v>507</v>
      </c>
      <c r="B251" s="8" t="s">
        <v>508</v>
      </c>
      <c r="C251" s="4" t="s">
        <v>779</v>
      </c>
      <c r="D251" s="5">
        <v>0</v>
      </c>
      <c r="E251" s="5">
        <v>5290776</v>
      </c>
      <c r="F251" s="5">
        <v>5290776</v>
      </c>
      <c r="G251" s="5">
        <v>6416412</v>
      </c>
      <c r="H251" s="12">
        <f>D251*(1+0.01*growthrate!E251)^2</f>
        <v>0</v>
      </c>
      <c r="I251" s="4">
        <f>E251*(1+0.01*growthrate!$E$3)^2</f>
        <v>5450689.7045999989</v>
      </c>
      <c r="J251" s="4">
        <f>F251*(1+0.01*growthrate!$E$3)^2</f>
        <v>5450689.7045999989</v>
      </c>
      <c r="K251" s="4">
        <f>G251*(1+0.01*growthrate!$E$3)^2</f>
        <v>6610348.052699998</v>
      </c>
      <c r="L251" s="12">
        <f>H251*(1+0.01*growthrate!$E$3)^5</f>
        <v>0</v>
      </c>
      <c r="M251" s="4">
        <f>I251*(1+0.01*growthrate!$E$3)^5</f>
        <v>5871940.8289028239</v>
      </c>
      <c r="N251" s="4">
        <f>J251*(1+0.01*growthrate!$E$3)^5</f>
        <v>5871940.8289028239</v>
      </c>
      <c r="O251" s="4">
        <f>K251*(1+0.01*growthrate!$E$3)^5</f>
        <v>7121222.2172819311</v>
      </c>
      <c r="P251" s="12">
        <f>L251*(1+0.01*growthrate!$F$3)^10</f>
        <v>0</v>
      </c>
      <c r="Q251" s="4">
        <f>M251*(1+0.01*growthrate!$F$3)^10</f>
        <v>6296168.9912450109</v>
      </c>
      <c r="R251" s="4">
        <f>N251*(1+0.01*growthrate!$F$3)^10</f>
        <v>6296168.9912450109</v>
      </c>
      <c r="S251" s="4">
        <f>O251*(1+0.01*growthrate!$F$3)^10</f>
        <v>7635706.7979162941</v>
      </c>
    </row>
    <row r="252" spans="1:19" x14ac:dyDescent="0.2">
      <c r="A252" s="2" t="s">
        <v>509</v>
      </c>
      <c r="B252" s="8" t="s">
        <v>510</v>
      </c>
      <c r="C252" s="4" t="s">
        <v>779</v>
      </c>
      <c r="D252" s="5">
        <v>34357</v>
      </c>
      <c r="E252" s="5">
        <v>163215</v>
      </c>
      <c r="F252" s="5">
        <v>197572</v>
      </c>
      <c r="G252" s="5">
        <v>776151</v>
      </c>
      <c r="H252" s="12">
        <f>D252*(1+0.01*growthrate!E252)^2</f>
        <v>34357</v>
      </c>
      <c r="I252" s="4">
        <f>E252*(1+0.01*growthrate!$E$3)^2</f>
        <v>168148.17337499995</v>
      </c>
      <c r="J252" s="4">
        <f>F252*(1+0.01*growthrate!$E$3)^2</f>
        <v>203543.61369999996</v>
      </c>
      <c r="K252" s="4">
        <f>G252*(1+0.01*growthrate!$E$3)^2</f>
        <v>799610.1639749998</v>
      </c>
      <c r="L252" s="12">
        <f>H252*(1+0.01*growthrate!$E$3)^5</f>
        <v>37012.246521455447</v>
      </c>
      <c r="M252" s="4">
        <f>I252*(1+0.01*growthrate!$E$3)^5</f>
        <v>181143.33745926389</v>
      </c>
      <c r="N252" s="4">
        <f>J252*(1+0.01*growthrate!$E$3)^5</f>
        <v>219274.27913183032</v>
      </c>
      <c r="O252" s="4">
        <f>K252*(1+0.01*growthrate!$E$3)^5</f>
        <v>861407.23899362888</v>
      </c>
      <c r="P252" s="12">
        <f>L252*(1+0.01*growthrate!$F$3)^10</f>
        <v>39686.258025227173</v>
      </c>
      <c r="Q252" s="4">
        <f>M252*(1+0.01*growthrate!$F$3)^10</f>
        <v>194230.34010626312</v>
      </c>
      <c r="R252" s="4">
        <f>N252*(1+0.01*growthrate!$F$3)^10</f>
        <v>235116.11528030277</v>
      </c>
      <c r="S252" s="4">
        <f>O252*(1+0.01*growthrate!$F$3)^10</f>
        <v>923641.0422070045</v>
      </c>
    </row>
    <row r="253" spans="1:19" x14ac:dyDescent="0.2">
      <c r="A253" s="2" t="s">
        <v>511</v>
      </c>
      <c r="B253" s="8" t="s">
        <v>512</v>
      </c>
      <c r="C253" s="4" t="s">
        <v>779</v>
      </c>
      <c r="D253" s="5">
        <v>346129</v>
      </c>
      <c r="E253" s="5">
        <v>0</v>
      </c>
      <c r="F253" s="5">
        <v>346129</v>
      </c>
      <c r="G253" s="5">
        <v>396643</v>
      </c>
      <c r="H253" s="12">
        <f>D253*(1+0.01*growthrate!E253)^2</f>
        <v>346129</v>
      </c>
      <c r="I253" s="4">
        <f>E253*(1+0.01*growthrate!$E$3)^2</f>
        <v>0</v>
      </c>
      <c r="J253" s="4">
        <f>F253*(1+0.01*growthrate!$E$3)^2</f>
        <v>356590.74902499991</v>
      </c>
      <c r="K253" s="4">
        <f>G253*(1+0.01*growthrate!$E$3)^2</f>
        <v>408631.53467499989</v>
      </c>
      <c r="L253" s="12">
        <f>H253*(1+0.01*growthrate!$E$3)^5</f>
        <v>372879.2349804946</v>
      </c>
      <c r="M253" s="4">
        <f>I253*(1+0.01*growthrate!$E$3)^5</f>
        <v>0</v>
      </c>
      <c r="N253" s="4">
        <f>J253*(1+0.01*growthrate!$E$3)^5</f>
        <v>384149.50985777995</v>
      </c>
      <c r="O253" s="4">
        <f>K253*(1+0.01*growthrate!$E$3)^5</f>
        <v>440212.21578810038</v>
      </c>
      <c r="P253" s="12">
        <f>L253*(1+0.01*growthrate!$F$3)^10</f>
        <v>399818.51744954032</v>
      </c>
      <c r="Q253" s="4">
        <f>M253*(1+0.01*growthrate!$F$3)^10</f>
        <v>0</v>
      </c>
      <c r="R253" s="4">
        <f>N253*(1+0.01*growthrate!$F$3)^10</f>
        <v>411903.03213945258</v>
      </c>
      <c r="S253" s="4">
        <f>O253*(1+0.01*growthrate!$F$3)^10</f>
        <v>472016.08179866138</v>
      </c>
    </row>
    <row r="254" spans="1:19" x14ac:dyDescent="0.2">
      <c r="A254" s="2" t="s">
        <v>513</v>
      </c>
      <c r="B254" s="8" t="s">
        <v>514</v>
      </c>
      <c r="C254" s="4" t="s">
        <v>779</v>
      </c>
      <c r="D254" s="5">
        <v>177173</v>
      </c>
      <c r="E254" s="5">
        <v>92470</v>
      </c>
      <c r="F254" s="5">
        <v>269643</v>
      </c>
      <c r="G254" s="5">
        <v>620289</v>
      </c>
      <c r="H254" s="12">
        <f>D254*(1+0.01*growthrate!E254)^2</f>
        <v>177173</v>
      </c>
      <c r="I254" s="4">
        <f>E254*(1+0.01*growthrate!$E$3)^2</f>
        <v>95264.905749999976</v>
      </c>
      <c r="J254" s="4">
        <f>F254*(1+0.01*growthrate!$E$3)^2</f>
        <v>277792.95967499993</v>
      </c>
      <c r="K254" s="4">
        <f>G254*(1+0.01*growthrate!$E$3)^2</f>
        <v>639037.23502499983</v>
      </c>
      <c r="L254" s="12">
        <f>H254*(1+0.01*growthrate!$E$3)^5</f>
        <v>190865.63882020625</v>
      </c>
      <c r="M254" s="4">
        <f>I254*(1+0.01*growthrate!$E$3)^5</f>
        <v>102627.35909602752</v>
      </c>
      <c r="N254" s="4">
        <f>J254*(1+0.01*growthrate!$E$3)^5</f>
        <v>299261.91184957448</v>
      </c>
      <c r="O254" s="4">
        <f>K254*(1+0.01*growthrate!$E$3)^5</f>
        <v>688424.59117893176</v>
      </c>
      <c r="P254" s="12">
        <f>L254*(1+0.01*growthrate!$F$3)^10</f>
        <v>204655.04535039654</v>
      </c>
      <c r="Q254" s="4">
        <f>M254*(1+0.01*growthrate!$F$3)^10</f>
        <v>110041.84388460711</v>
      </c>
      <c r="R254" s="4">
        <f>N254*(1+0.01*growthrate!$F$3)^10</f>
        <v>320882.58798071934</v>
      </c>
      <c r="S254" s="4">
        <f>O254*(1+0.01*growthrate!$F$3)^10</f>
        <v>738160.97438454709</v>
      </c>
    </row>
    <row r="255" spans="1:19" x14ac:dyDescent="0.2">
      <c r="A255" s="2" t="s">
        <v>515</v>
      </c>
      <c r="B255" s="8" t="s">
        <v>516</v>
      </c>
      <c r="C255" s="4" t="s">
        <v>779</v>
      </c>
      <c r="D255" s="5">
        <v>5786022</v>
      </c>
      <c r="E255" s="5">
        <v>4636610</v>
      </c>
      <c r="F255" s="5">
        <v>10422632</v>
      </c>
      <c r="G255" s="5">
        <v>2492621</v>
      </c>
      <c r="H255" s="12">
        <f>D255*(1+0.01*growthrate!E255)^2</f>
        <v>5786022</v>
      </c>
      <c r="I255" s="4">
        <f>E255*(1+0.01*growthrate!$E$3)^2</f>
        <v>4776751.5372499991</v>
      </c>
      <c r="J255" s="4">
        <f>F255*(1+0.01*growthrate!$E$3)^2</f>
        <v>10737656.052199997</v>
      </c>
      <c r="K255" s="4">
        <f>G255*(1+0.01*growthrate!$E$3)^2</f>
        <v>2567960.4697249993</v>
      </c>
      <c r="L255" s="12">
        <f>H255*(1+0.01*growthrate!$E$3)^5</f>
        <v>6233188.9467230747</v>
      </c>
      <c r="M255" s="4">
        <f>I255*(1+0.01*growthrate!$E$3)^5</f>
        <v>5145918.0216095187</v>
      </c>
      <c r="N255" s="4">
        <f>J255*(1+0.01*growthrate!$E$3)^5</f>
        <v>11567505.104247296</v>
      </c>
      <c r="O255" s="4">
        <f>K255*(1+0.01*growthrate!$E$3)^5</f>
        <v>2766422.7366421456</v>
      </c>
      <c r="P255" s="12">
        <f>L255*(1+0.01*growthrate!$F$3)^10</f>
        <v>6683516.0820688931</v>
      </c>
      <c r="Q255" s="4">
        <f>M255*(1+0.01*growthrate!$F$3)^10</f>
        <v>5517693.4548914051</v>
      </c>
      <c r="R255" s="4">
        <f>N255*(1+0.01*growthrate!$F$3)^10</f>
        <v>12403218.810540829</v>
      </c>
      <c r="S255" s="4">
        <f>O255*(1+0.01*growthrate!$F$3)^10</f>
        <v>2966287.562944666</v>
      </c>
    </row>
    <row r="256" spans="1:19" x14ac:dyDescent="0.2">
      <c r="A256" s="2" t="s">
        <v>517</v>
      </c>
      <c r="B256" s="8" t="s">
        <v>518</v>
      </c>
      <c r="C256" s="4" t="s">
        <v>779</v>
      </c>
      <c r="D256" s="5">
        <v>159117</v>
      </c>
      <c r="E256" s="5">
        <v>630530</v>
      </c>
      <c r="F256" s="5">
        <v>789647</v>
      </c>
      <c r="G256" s="5">
        <v>71834</v>
      </c>
      <c r="H256" s="12">
        <f>D256*(1+0.01*growthrate!E256)^2</f>
        <v>159117</v>
      </c>
      <c r="I256" s="4">
        <f>E256*(1+0.01*growthrate!$E$3)^2</f>
        <v>649587.76924999978</v>
      </c>
      <c r="J256" s="4">
        <f>F256*(1+0.01*growthrate!$E$3)^2</f>
        <v>813514.0805749998</v>
      </c>
      <c r="K256" s="4">
        <f>G256*(1+0.01*growthrate!$E$3)^2</f>
        <v>74005.182649999973</v>
      </c>
      <c r="L256" s="12">
        <f>H256*(1+0.01*growthrate!$E$3)^5</f>
        <v>171414.19884606998</v>
      </c>
      <c r="M256" s="4">
        <f>I256*(1+0.01*growthrate!$E$3)^5</f>
        <v>699790.51293195877</v>
      </c>
      <c r="N256" s="4">
        <f>J256*(1+0.01*growthrate!$E$3)^5</f>
        <v>876385.70593815122</v>
      </c>
      <c r="O256" s="4">
        <f>K256*(1+0.01*growthrate!$E$3)^5</f>
        <v>79724.599473386406</v>
      </c>
      <c r="P256" s="12">
        <f>L256*(1+0.01*growthrate!$F$3)^10</f>
        <v>183798.30364118147</v>
      </c>
      <c r="Q256" s="4">
        <f>M256*(1+0.01*growthrate!$F$3)^10</f>
        <v>750348.04611832288</v>
      </c>
      <c r="R256" s="4">
        <f>N256*(1+0.01*growthrate!$F$3)^10</f>
        <v>939701.65348705905</v>
      </c>
      <c r="S256" s="4">
        <f>O256*(1+0.01*growthrate!$F$3)^10</f>
        <v>85484.436180457094</v>
      </c>
    </row>
    <row r="257" spans="1:19" x14ac:dyDescent="0.2">
      <c r="A257" s="2" t="s">
        <v>519</v>
      </c>
      <c r="B257" s="8" t="s">
        <v>520</v>
      </c>
      <c r="C257" s="4" t="s">
        <v>779</v>
      </c>
      <c r="D257" s="5">
        <v>249702</v>
      </c>
      <c r="E257" s="5">
        <v>444250</v>
      </c>
      <c r="F257" s="5">
        <v>693952</v>
      </c>
      <c r="G257" s="5">
        <v>383938</v>
      </c>
      <c r="H257" s="12">
        <f>D257*(1+0.01*growthrate!E257)^2</f>
        <v>249702</v>
      </c>
      <c r="I257" s="4">
        <f>E257*(1+0.01*growthrate!$E$3)^2</f>
        <v>457677.45624999987</v>
      </c>
      <c r="J257" s="4">
        <f>F257*(1+0.01*growthrate!$E$3)^2</f>
        <v>714926.6991999998</v>
      </c>
      <c r="K257" s="4">
        <f>G257*(1+0.01*growthrate!$E$3)^2</f>
        <v>395542.52604999987</v>
      </c>
      <c r="L257" s="12">
        <f>H257*(1+0.01*growthrate!$E$3)^5</f>
        <v>268999.97033793601</v>
      </c>
      <c r="M257" s="4">
        <f>I257*(1+0.01*growthrate!$E$3)^5</f>
        <v>493048.60255661543</v>
      </c>
      <c r="N257" s="4">
        <f>J257*(1+0.01*growthrate!$E$3)^5</f>
        <v>770179.09699801542</v>
      </c>
      <c r="O257" s="4">
        <f>K257*(1+0.01*growthrate!$E$3)^5</f>
        <v>426111.6361696833</v>
      </c>
      <c r="P257" s="12">
        <f>L257*(1+0.01*growthrate!$F$3)^10</f>
        <v>288434.32201342593</v>
      </c>
      <c r="Q257" s="4">
        <f>M257*(1+0.01*growthrate!$F$3)^10</f>
        <v>528669.7214852029</v>
      </c>
      <c r="R257" s="4">
        <f>N257*(1+0.01*growthrate!$F$3)^10</f>
        <v>825821.97088148457</v>
      </c>
      <c r="S257" s="4">
        <f>O257*(1+0.01*growthrate!$F$3)^10</f>
        <v>456896.78227931535</v>
      </c>
    </row>
    <row r="258" spans="1:19" x14ac:dyDescent="0.2">
      <c r="A258" s="2" t="s">
        <v>521</v>
      </c>
      <c r="B258" s="8" t="s">
        <v>522</v>
      </c>
      <c r="C258" s="4" t="s">
        <v>779</v>
      </c>
      <c r="D258" s="5">
        <v>118344</v>
      </c>
      <c r="E258" s="5">
        <v>971892</v>
      </c>
      <c r="F258" s="5">
        <v>1090236</v>
      </c>
      <c r="G258" s="5">
        <v>684614</v>
      </c>
      <c r="H258" s="12">
        <f>D258*(1+0.01*growthrate!E258)^2</f>
        <v>118344</v>
      </c>
      <c r="I258" s="4">
        <f>E258*(1+0.01*growthrate!$E$3)^2</f>
        <v>1001267.4356999997</v>
      </c>
      <c r="J258" s="4">
        <f>F258*(1+0.01*growthrate!$E$3)^2</f>
        <v>1123188.3830999997</v>
      </c>
      <c r="K258" s="4">
        <f>G258*(1+0.01*growthrate!$E$3)^2</f>
        <v>705306.45814999985</v>
      </c>
      <c r="L258" s="12">
        <f>H258*(1+0.01*growthrate!$E$3)^5</f>
        <v>127490.09815569239</v>
      </c>
      <c r="M258" s="4">
        <f>I258*(1+0.01*growthrate!$E$3)^5</f>
        <v>1078649.392089936</v>
      </c>
      <c r="N258" s="4">
        <f>J258*(1+0.01*growthrate!$E$3)^5</f>
        <v>1209992.8784623842</v>
      </c>
      <c r="O258" s="4">
        <f>K258*(1+0.01*growthrate!$E$3)^5</f>
        <v>759815.36520133866</v>
      </c>
      <c r="P258" s="12">
        <f>L258*(1+0.01*growthrate!$F$3)^10</f>
        <v>136700.83301037591</v>
      </c>
      <c r="Q258" s="4">
        <f>M258*(1+0.01*growthrate!$F$3)^10</f>
        <v>1156578.217115806</v>
      </c>
      <c r="R258" s="4">
        <f>N258*(1+0.01*growthrate!$F$3)^10</f>
        <v>1297410.8328039206</v>
      </c>
      <c r="S258" s="4">
        <f>O258*(1+0.01*growthrate!$F$3)^10</f>
        <v>814709.4939895795</v>
      </c>
    </row>
    <row r="259" spans="1:19" x14ac:dyDescent="0.2">
      <c r="A259" s="2" t="s">
        <v>523</v>
      </c>
      <c r="B259" s="8" t="s">
        <v>524</v>
      </c>
      <c r="C259" s="4" t="s">
        <v>779</v>
      </c>
      <c r="D259" s="5">
        <v>295454</v>
      </c>
      <c r="E259" s="5">
        <v>501131</v>
      </c>
      <c r="F259" s="5">
        <v>796585</v>
      </c>
      <c r="G259" s="5">
        <v>154930</v>
      </c>
      <c r="H259" s="12">
        <f>D259*(1+0.01*growthrate!E259)^2</f>
        <v>295454</v>
      </c>
      <c r="I259" s="4">
        <f>E259*(1+0.01*growthrate!$E$3)^2</f>
        <v>516277.68447499984</v>
      </c>
      <c r="J259" s="4">
        <f>F259*(1+0.01*growthrate!$E$3)^2</f>
        <v>820661.78162499983</v>
      </c>
      <c r="K259" s="4">
        <f>G259*(1+0.01*growthrate!$E$3)^2</f>
        <v>159612.75924999994</v>
      </c>
      <c r="L259" s="12">
        <f>H259*(1+0.01*growthrate!$E$3)^5</f>
        <v>318287.86808365391</v>
      </c>
      <c r="M259" s="4">
        <f>I259*(1+0.01*growthrate!$E$3)^5</f>
        <v>556177.69104738149</v>
      </c>
      <c r="N259" s="4">
        <f>J259*(1+0.01*growthrate!$E$3)^5</f>
        <v>884085.80994386389</v>
      </c>
      <c r="O259" s="4">
        <f>K259*(1+0.01*growthrate!$E$3)^5</f>
        <v>171948.27235587264</v>
      </c>
      <c r="P259" s="12">
        <f>L259*(1+0.01*growthrate!$F$3)^10</f>
        <v>341283.10616717028</v>
      </c>
      <c r="Q259" s="4">
        <f>M259*(1+0.01*growthrate!$F$3)^10</f>
        <v>596359.67630298529</v>
      </c>
      <c r="R259" s="4">
        <f>N259*(1+0.01*growthrate!$F$3)^10</f>
        <v>947958.06435405836</v>
      </c>
      <c r="S259" s="4">
        <f>O259*(1+0.01*growthrate!$F$3)^10</f>
        <v>184370.96218278556</v>
      </c>
    </row>
    <row r="260" spans="1:19" x14ac:dyDescent="0.2">
      <c r="A260" s="2" t="s">
        <v>525</v>
      </c>
      <c r="B260" s="8" t="s">
        <v>526</v>
      </c>
      <c r="C260" s="4" t="s">
        <v>779</v>
      </c>
      <c r="D260" s="5">
        <v>640771</v>
      </c>
      <c r="E260" s="5">
        <v>1091823</v>
      </c>
      <c r="F260" s="5">
        <v>1732594</v>
      </c>
      <c r="G260" s="5">
        <v>987076</v>
      </c>
      <c r="H260" s="12">
        <f>D260*(1+0.01*growthrate!E260)^2</f>
        <v>640771</v>
      </c>
      <c r="I260" s="4">
        <f>E260*(1+0.01*growthrate!$E$3)^2</f>
        <v>1124823.3501749998</v>
      </c>
      <c r="J260" s="4">
        <f>F260*(1+0.01*growthrate!$E$3)^2</f>
        <v>1784961.6536499995</v>
      </c>
      <c r="K260" s="4">
        <f>G260*(1+0.01*growthrate!$E$3)^2</f>
        <v>1016910.3720999997</v>
      </c>
      <c r="L260" s="12">
        <f>H260*(1+0.01*growthrate!$E$3)^5</f>
        <v>690292.34845299437</v>
      </c>
      <c r="M260" s="4">
        <f>I260*(1+0.01*growthrate!$E$3)^5</f>
        <v>1211754.2023391593</v>
      </c>
      <c r="N260" s="4">
        <f>J260*(1+0.01*growthrate!$E$3)^5</f>
        <v>1922910.6370241453</v>
      </c>
      <c r="O260" s="4">
        <f>K260*(1+0.01*growthrate!$E$3)^5</f>
        <v>1095501.2772474366</v>
      </c>
      <c r="P260" s="12">
        <f>L260*(1+0.01*growthrate!$F$3)^10</f>
        <v>740163.67089917162</v>
      </c>
      <c r="Q260" s="4">
        <f>M260*(1+0.01*growthrate!$F$3)^10</f>
        <v>1299299.4064628896</v>
      </c>
      <c r="R260" s="4">
        <f>N260*(1+0.01*growthrate!$F$3)^10</f>
        <v>2061834.5243149886</v>
      </c>
      <c r="S260" s="4">
        <f>O260*(1+0.01*growthrate!$F$3)^10</f>
        <v>1174647.594833378</v>
      </c>
    </row>
    <row r="261" spans="1:19" x14ac:dyDescent="0.2">
      <c r="A261" s="2" t="s">
        <v>527</v>
      </c>
      <c r="B261" s="8" t="s">
        <v>528</v>
      </c>
      <c r="C261" s="4" t="s">
        <v>779</v>
      </c>
      <c r="D261" s="5">
        <v>203065</v>
      </c>
      <c r="E261" s="5">
        <v>1625589</v>
      </c>
      <c r="F261" s="5">
        <v>1828654</v>
      </c>
      <c r="G261" s="5">
        <v>118102</v>
      </c>
      <c r="H261" s="12">
        <f>D261*(1+0.01*growthrate!E261)^2</f>
        <v>203065</v>
      </c>
      <c r="I261" s="4">
        <f>E261*(1+0.01*growthrate!$E$3)^2</f>
        <v>1674722.4275249995</v>
      </c>
      <c r="J261" s="4">
        <f>F261*(1+0.01*growthrate!$E$3)^2</f>
        <v>1883925.0671499996</v>
      </c>
      <c r="K261" s="4">
        <f>G261*(1+0.01*growthrate!$E$3)^2</f>
        <v>121671.63294999997</v>
      </c>
      <c r="L261" s="12">
        <f>H261*(1+0.01*growthrate!$E$3)^5</f>
        <v>218758.67624878045</v>
      </c>
      <c r="M261" s="4">
        <f>I261*(1+0.01*growthrate!$E$3)^5</f>
        <v>1804151.6821190903</v>
      </c>
      <c r="N261" s="4">
        <f>J261*(1+0.01*growthrate!$E$3)^5</f>
        <v>2029522.3393574902</v>
      </c>
      <c r="O261" s="4">
        <f>K261*(1+0.01*growthrate!$E$3)^5</f>
        <v>131074.90390352593</v>
      </c>
      <c r="P261" s="12">
        <f>L261*(1+0.01*growthrate!$F$3)^10</f>
        <v>234563.26180669895</v>
      </c>
      <c r="Q261" s="4">
        <f>M261*(1+0.01*growthrate!$F$3)^10</f>
        <v>1934495.6305670445</v>
      </c>
      <c r="R261" s="4">
        <f>N261*(1+0.01*growthrate!$F$3)^10</f>
        <v>2176148.566961851</v>
      </c>
      <c r="S261" s="4">
        <f>O261*(1+0.01*growthrate!$F$3)^10</f>
        <v>140544.62903060313</v>
      </c>
    </row>
    <row r="262" spans="1:19" x14ac:dyDescent="0.2">
      <c r="A262" s="2" t="s">
        <v>529</v>
      </c>
      <c r="B262" s="8" t="s">
        <v>530</v>
      </c>
      <c r="C262" s="4" t="s">
        <v>779</v>
      </c>
      <c r="D262" s="5">
        <v>326444</v>
      </c>
      <c r="E262" s="5">
        <v>1774715</v>
      </c>
      <c r="F262" s="5">
        <v>2101159</v>
      </c>
      <c r="G262" s="5">
        <v>191361</v>
      </c>
      <c r="H262" s="12">
        <f>D262*(1+0.01*growthrate!E262)^2</f>
        <v>326444</v>
      </c>
      <c r="I262" s="4">
        <f>E262*(1+0.01*growthrate!$E$3)^2</f>
        <v>1828355.7608749995</v>
      </c>
      <c r="J262" s="4">
        <f>F262*(1+0.01*growthrate!$E$3)^2</f>
        <v>2164666.5307749994</v>
      </c>
      <c r="K262" s="4">
        <f>G262*(1+0.01*growthrate!$E$3)^2</f>
        <v>197144.88622499994</v>
      </c>
      <c r="L262" s="12">
        <f>H262*(1+0.01*growthrate!$E$3)^5</f>
        <v>351672.89936403069</v>
      </c>
      <c r="M262" s="4">
        <f>I262*(1+0.01*growthrate!$E$3)^5</f>
        <v>1969658.414600481</v>
      </c>
      <c r="N262" s="4">
        <f>J262*(1+0.01*growthrate!$E$3)^5</f>
        <v>2331960.6273477897</v>
      </c>
      <c r="O262" s="4">
        <f>K262*(1+0.01*growthrate!$E$3)^5</f>
        <v>212381.03237779735</v>
      </c>
      <c r="P262" s="12">
        <f>L262*(1+0.01*growthrate!$F$3)^10</f>
        <v>377080.09473432665</v>
      </c>
      <c r="Q262" s="4">
        <f>M262*(1+0.01*growthrate!$F$3)^10</f>
        <v>2111959.6730795992</v>
      </c>
      <c r="R262" s="4">
        <f>N262*(1+0.01*growthrate!$F$3)^10</f>
        <v>2500437.0136772706</v>
      </c>
      <c r="S262" s="4">
        <f>O262*(1+0.01*growthrate!$F$3)^10</f>
        <v>227724.85441334813</v>
      </c>
    </row>
    <row r="263" spans="1:19" x14ac:dyDescent="0.2">
      <c r="A263" s="2" t="s">
        <v>531</v>
      </c>
      <c r="B263" s="8" t="s">
        <v>532</v>
      </c>
      <c r="C263" s="4" t="s">
        <v>779</v>
      </c>
      <c r="D263" s="5">
        <v>133330</v>
      </c>
      <c r="E263" s="5">
        <v>188368</v>
      </c>
      <c r="F263" s="5">
        <v>321698</v>
      </c>
      <c r="G263" s="5">
        <v>69247</v>
      </c>
      <c r="H263" s="12">
        <f>D263*(1+0.01*growthrate!E263)^2</f>
        <v>133330</v>
      </c>
      <c r="I263" s="4">
        <f>E263*(1+0.01*growthrate!$E$3)^2</f>
        <v>194061.42279999994</v>
      </c>
      <c r="J263" s="4">
        <f>F263*(1+0.01*growthrate!$E$3)^2</f>
        <v>331421.3220499999</v>
      </c>
      <c r="K263" s="4">
        <f>G263*(1+0.01*growthrate!$E$3)^2</f>
        <v>71339.990574999974</v>
      </c>
      <c r="L263" s="12">
        <f>H263*(1+0.01*growthrate!$E$3)^5</f>
        <v>143634.27623790363</v>
      </c>
      <c r="M263" s="4">
        <f>I263*(1+0.01*growthrate!$E$3)^5</f>
        <v>209059.26655348233</v>
      </c>
      <c r="N263" s="4">
        <f>J263*(1+0.01*growthrate!$E$3)^5</f>
        <v>357034.88879067654</v>
      </c>
      <c r="O263" s="4">
        <f>K263*(1+0.01*growthrate!$E$3)^5</f>
        <v>76853.430683709492</v>
      </c>
      <c r="P263" s="12">
        <f>L263*(1+0.01*growthrate!$F$3)^10</f>
        <v>154011.37417421601</v>
      </c>
      <c r="Q263" s="4">
        <f>M263*(1+0.01*growthrate!$F$3)^10</f>
        <v>224163.10207478827</v>
      </c>
      <c r="R263" s="4">
        <f>N263*(1+0.01*growthrate!$F$3)^10</f>
        <v>382829.4700334199</v>
      </c>
      <c r="S263" s="4">
        <f>O263*(1+0.01*growthrate!$F$3)^10</f>
        <v>82405.835011110496</v>
      </c>
    </row>
    <row r="264" spans="1:19" x14ac:dyDescent="0.2">
      <c r="A264" s="2" t="s">
        <v>533</v>
      </c>
      <c r="B264" s="8" t="s">
        <v>534</v>
      </c>
      <c r="C264" s="4" t="s">
        <v>779</v>
      </c>
      <c r="D264" s="5">
        <v>246690</v>
      </c>
      <c r="E264" s="5">
        <v>102576</v>
      </c>
      <c r="F264" s="5">
        <v>349266</v>
      </c>
      <c r="G264" s="5">
        <v>80111</v>
      </c>
      <c r="H264" s="12">
        <f>D264*(1+0.01*growthrate!E264)^2</f>
        <v>246690</v>
      </c>
      <c r="I264" s="4">
        <f>E264*(1+0.01*growthrate!$E$3)^2</f>
        <v>105676.35959999997</v>
      </c>
      <c r="J264" s="4">
        <f>F264*(1+0.01*growthrate!$E$3)^2</f>
        <v>359822.56484999991</v>
      </c>
      <c r="K264" s="4">
        <f>G264*(1+0.01*growthrate!$E$3)^2</f>
        <v>82532.35497499998</v>
      </c>
      <c r="L264" s="12">
        <f>H264*(1+0.01*growthrate!$E$3)^5</f>
        <v>265755.19091823627</v>
      </c>
      <c r="M264" s="4">
        <f>I264*(1+0.01*growthrate!$E$3)^5</f>
        <v>113843.4517858129</v>
      </c>
      <c r="N264" s="4">
        <f>J264*(1+0.01*growthrate!$E$3)^5</f>
        <v>387631.09334955283</v>
      </c>
      <c r="O264" s="4">
        <f>K264*(1+0.01*growthrate!$E$3)^5</f>
        <v>88910.785817474432</v>
      </c>
      <c r="P264" s="12">
        <f>L264*(1+0.01*growthrate!$F$3)^10</f>
        <v>284955.11809073231</v>
      </c>
      <c r="Q264" s="4">
        <f>M264*(1+0.01*growthrate!$F$3)^10</f>
        <v>122068.26190448209</v>
      </c>
      <c r="R264" s="4">
        <f>N264*(1+0.01*growthrate!$F$3)^10</f>
        <v>415636.14843950677</v>
      </c>
      <c r="S264" s="4">
        <f>O264*(1+0.01*growthrate!$F$3)^10</f>
        <v>95334.293883851642</v>
      </c>
    </row>
    <row r="265" spans="1:19" x14ac:dyDescent="0.2">
      <c r="A265" s="2" t="s">
        <v>535</v>
      </c>
      <c r="B265" s="8" t="s">
        <v>536</v>
      </c>
      <c r="C265" s="4" t="s">
        <v>779</v>
      </c>
      <c r="D265" s="5">
        <v>29524</v>
      </c>
      <c r="E265" s="5">
        <v>2345489</v>
      </c>
      <c r="F265" s="5">
        <v>2375013</v>
      </c>
      <c r="G265" s="5">
        <v>306351</v>
      </c>
      <c r="H265" s="12">
        <f>D265*(1+0.01*growthrate!E265)^2</f>
        <v>29524</v>
      </c>
      <c r="I265" s="4">
        <f>E265*(1+0.01*growthrate!$E$3)^2</f>
        <v>2416381.4050249993</v>
      </c>
      <c r="J265" s="4">
        <f>F265*(1+0.01*growthrate!$E$3)^2</f>
        <v>2446797.7679249994</v>
      </c>
      <c r="K265" s="4">
        <f>G265*(1+0.01*growthrate!$E$3)^2</f>
        <v>315610.4589749999</v>
      </c>
      <c r="L265" s="12">
        <f>H265*(1+0.01*growthrate!$E$3)^5</f>
        <v>31805.732930682265</v>
      </c>
      <c r="M265" s="4">
        <f>I265*(1+0.01*growthrate!$E$3)^5</f>
        <v>2603129.0349170812</v>
      </c>
      <c r="N265" s="4">
        <f>J265*(1+0.01*growthrate!$E$3)^5</f>
        <v>2635896.0961255934</v>
      </c>
      <c r="O265" s="4">
        <f>K265*(1+0.01*growthrate!$E$3)^5</f>
        <v>340002.09891237295</v>
      </c>
      <c r="P265" s="12">
        <f>L265*(1+0.01*growthrate!$F$3)^10</f>
        <v>34103.591173175977</v>
      </c>
      <c r="Q265" s="4">
        <f>M265*(1+0.01*growthrate!$F$3)^10</f>
        <v>2791196.4352878043</v>
      </c>
      <c r="R265" s="4">
        <f>N265*(1+0.01*growthrate!$F$3)^10</f>
        <v>2826330.8075041897</v>
      </c>
      <c r="S265" s="4">
        <f>O265*(1+0.01*growthrate!$F$3)^10</f>
        <v>364566.11783165648</v>
      </c>
    </row>
    <row r="266" spans="1:19" x14ac:dyDescent="0.2">
      <c r="A266" s="2" t="s">
        <v>537</v>
      </c>
      <c r="B266" s="8" t="s">
        <v>538</v>
      </c>
      <c r="C266" s="4" t="s">
        <v>779</v>
      </c>
      <c r="D266" s="5">
        <v>227073</v>
      </c>
      <c r="E266" s="5">
        <v>279338</v>
      </c>
      <c r="F266" s="5">
        <v>506411</v>
      </c>
      <c r="G266" s="5">
        <v>258521</v>
      </c>
      <c r="H266" s="12">
        <f>D266*(1+0.01*growthrate!E266)^2</f>
        <v>227073</v>
      </c>
      <c r="I266" s="4">
        <f>E266*(1+0.01*growthrate!$E$3)^2</f>
        <v>287780.9910499999</v>
      </c>
      <c r="J266" s="4">
        <f>F266*(1+0.01*growthrate!$E$3)^2</f>
        <v>521717.27247499989</v>
      </c>
      <c r="K266" s="4">
        <f>G266*(1+0.01*growthrate!$E$3)^2</f>
        <v>266334.79722499993</v>
      </c>
      <c r="L266" s="12">
        <f>H266*(1+0.01*growthrate!$E$3)^5</f>
        <v>244622.11061403653</v>
      </c>
      <c r="M266" s="4">
        <f>I266*(1+0.01*growthrate!$E$3)^5</f>
        <v>310021.85828015715</v>
      </c>
      <c r="N266" s="4">
        <f>J266*(1+0.01*growthrate!$E$3)^5</f>
        <v>562037.67218750296</v>
      </c>
      <c r="O266" s="4">
        <f>K266*(1+0.01*growthrate!$E$3)^5</f>
        <v>286918.21672828088</v>
      </c>
      <c r="P266" s="12">
        <f>L266*(1+0.01*growthrate!$F$3)^10</f>
        <v>262295.24314004165</v>
      </c>
      <c r="Q266" s="4">
        <f>M266*(1+0.01*growthrate!$F$3)^10</f>
        <v>332419.90469382913</v>
      </c>
      <c r="R266" s="4">
        <f>N266*(1+0.01*growthrate!$F$3)^10</f>
        <v>602643.02155777859</v>
      </c>
      <c r="S266" s="4">
        <f>O266*(1+0.01*growthrate!$F$3)^10</f>
        <v>307647.10201030085</v>
      </c>
    </row>
    <row r="267" spans="1:19" x14ac:dyDescent="0.2">
      <c r="A267" s="2" t="s">
        <v>539</v>
      </c>
      <c r="B267" s="8" t="s">
        <v>540</v>
      </c>
      <c r="C267" s="4" t="s">
        <v>779</v>
      </c>
      <c r="D267" s="5">
        <v>611496</v>
      </c>
      <c r="E267" s="5">
        <v>803100</v>
      </c>
      <c r="F267" s="5">
        <v>1414596</v>
      </c>
      <c r="G267" s="5">
        <v>286603</v>
      </c>
      <c r="H267" s="12">
        <f>D267*(1+0.01*growthrate!E267)^2</f>
        <v>611496</v>
      </c>
      <c r="I267" s="4">
        <f>E267*(1+0.01*growthrate!$E$3)^2</f>
        <v>827373.69749999978</v>
      </c>
      <c r="J267" s="4">
        <f>F267*(1+0.01*growthrate!$E$3)^2</f>
        <v>1457352.1640999997</v>
      </c>
      <c r="K267" s="4">
        <f>G267*(1+0.01*growthrate!$E$3)^2</f>
        <v>295265.57567499991</v>
      </c>
      <c r="L267" s="12">
        <f>H267*(1+0.01*growthrate!$E$3)^5</f>
        <v>658754.85923927929</v>
      </c>
      <c r="M267" s="4">
        <f>I267*(1+0.01*growthrate!$E$3)^5</f>
        <v>891316.44955141889</v>
      </c>
      <c r="N267" s="4">
        <f>J267*(1+0.01*growthrate!$E$3)^5</f>
        <v>1569982.1744112053</v>
      </c>
      <c r="O267" s="4">
        <f>K267*(1+0.01*growthrate!$E$3)^5</f>
        <v>318084.88157238864</v>
      </c>
      <c r="P267" s="12">
        <f>L267*(1+0.01*growthrate!$F$3)^10</f>
        <v>706347.70315785182</v>
      </c>
      <c r="Q267" s="4">
        <f>M267*(1+0.01*growthrate!$F$3)^10</f>
        <v>955711.09358416765</v>
      </c>
      <c r="R267" s="4">
        <f>N267*(1+0.01*growthrate!$F$3)^10</f>
        <v>1683408.1560699653</v>
      </c>
      <c r="S267" s="4">
        <f>O267*(1+0.01*growthrate!$F$3)^10</f>
        <v>341065.45455672167</v>
      </c>
    </row>
    <row r="268" spans="1:19" x14ac:dyDescent="0.2">
      <c r="A268" s="2" t="s">
        <v>541</v>
      </c>
      <c r="B268" s="8" t="s">
        <v>542</v>
      </c>
      <c r="C268" s="4" t="s">
        <v>779</v>
      </c>
      <c r="D268" s="5">
        <v>12380714</v>
      </c>
      <c r="E268" s="5">
        <v>0</v>
      </c>
      <c r="F268" s="5">
        <v>12380714</v>
      </c>
      <c r="G268" s="5">
        <v>1457680</v>
      </c>
      <c r="H268" s="12">
        <f>D268*(1+0.01*growthrate!E268)^2</f>
        <v>12380714</v>
      </c>
      <c r="I268" s="4">
        <f>E268*(1+0.01*growthrate!$E$3)^2</f>
        <v>0</v>
      </c>
      <c r="J268" s="4">
        <f>F268*(1+0.01*growthrate!$E$3)^2</f>
        <v>12754921.080649996</v>
      </c>
      <c r="K268" s="4">
        <f>G268*(1+0.01*growthrate!$E$3)^2</f>
        <v>1501738.3779999996</v>
      </c>
      <c r="L268" s="12">
        <f>H268*(1+0.01*growthrate!$E$3)^5</f>
        <v>13337545.148867328</v>
      </c>
      <c r="M268" s="4">
        <f>I268*(1+0.01*growthrate!$E$3)^5</f>
        <v>0</v>
      </c>
      <c r="N268" s="4">
        <f>J268*(1+0.01*growthrate!$E$3)^5</f>
        <v>13740672.450991837</v>
      </c>
      <c r="O268" s="4">
        <f>K268*(1+0.01*growthrate!$E$3)^5</f>
        <v>1617798.7326386655</v>
      </c>
      <c r="P268" s="12">
        <f>L268*(1+0.01*growthrate!$F$3)^10</f>
        <v>14301138.351443445</v>
      </c>
      <c r="Q268" s="4">
        <f>M268*(1+0.01*growthrate!$F$3)^10</f>
        <v>0</v>
      </c>
      <c r="R268" s="4">
        <f>N268*(1+0.01*growthrate!$F$3)^10</f>
        <v>14733390.258115817</v>
      </c>
      <c r="S268" s="4">
        <f>O268*(1+0.01*growthrate!$F$3)^10</f>
        <v>1734679.3013270693</v>
      </c>
    </row>
    <row r="269" spans="1:19" x14ac:dyDescent="0.2">
      <c r="A269" s="2" t="s">
        <v>543</v>
      </c>
      <c r="B269" s="8" t="s">
        <v>544</v>
      </c>
      <c r="C269" s="4" t="s">
        <v>779</v>
      </c>
      <c r="D269" s="5">
        <v>17</v>
      </c>
      <c r="E269" s="5">
        <v>64</v>
      </c>
      <c r="F269" s="5">
        <v>81</v>
      </c>
      <c r="G269" s="5">
        <v>972893</v>
      </c>
      <c r="H269" s="12">
        <f>D269*(1+0.01*growthrate!E269)^2</f>
        <v>17</v>
      </c>
      <c r="I269" s="4">
        <f>E269*(1+0.01*growthrate!$E$3)^2</f>
        <v>65.934399999999982</v>
      </c>
      <c r="J269" s="4">
        <f>F269*(1+0.01*growthrate!$E$3)^2</f>
        <v>83.448224999999979</v>
      </c>
      <c r="K269" s="4">
        <f>G269*(1+0.01*growthrate!$E$3)^2</f>
        <v>1002298.6909249998</v>
      </c>
      <c r="L269" s="12">
        <f>H269*(1+0.01*growthrate!$E$3)^5</f>
        <v>18.313828066034361</v>
      </c>
      <c r="M269" s="4">
        <f>I269*(1+0.01*growthrate!$E$3)^5</f>
        <v>71.030074425713863</v>
      </c>
      <c r="N269" s="4">
        <f>J269*(1+0.01*growthrate!$E$3)^5</f>
        <v>89.897437945044118</v>
      </c>
      <c r="O269" s="4">
        <f>K269*(1+0.01*growthrate!$E$3)^5</f>
        <v>1079760.3468477507</v>
      </c>
      <c r="P269" s="12">
        <f>L269*(1+0.01*growthrate!$F$3)^10</f>
        <v>19.636941130740805</v>
      </c>
      <c r="Q269" s="4">
        <f>M269*(1+0.01*growthrate!$F$3)^10</f>
        <v>76.161760664159786</v>
      </c>
      <c r="R269" s="4">
        <f>N269*(1+0.01*growthrate!$F$3)^10</f>
        <v>96.392228340577233</v>
      </c>
      <c r="S269" s="4">
        <f>O269*(1+0.01*growthrate!$F$3)^10</f>
        <v>1157769.4346536938</v>
      </c>
    </row>
    <row r="270" spans="1:19" x14ac:dyDescent="0.2">
      <c r="A270" s="2" t="s">
        <v>545</v>
      </c>
      <c r="B270" s="8" t="s">
        <v>546</v>
      </c>
      <c r="C270" s="4" t="s">
        <v>779</v>
      </c>
      <c r="D270" s="5">
        <v>914</v>
      </c>
      <c r="E270" s="5">
        <v>329</v>
      </c>
      <c r="F270" s="5">
        <v>1243</v>
      </c>
      <c r="G270" s="5">
        <v>78490</v>
      </c>
      <c r="H270" s="12">
        <f>D270*(1+0.01*growthrate!E270)^2</f>
        <v>914</v>
      </c>
      <c r="I270" s="4">
        <f>E270*(1+0.01*growthrate!$E$3)^2</f>
        <v>338.9440249999999</v>
      </c>
      <c r="J270" s="4">
        <f>F270*(1+0.01*growthrate!$E$3)^2</f>
        <v>1280.5696749999997</v>
      </c>
      <c r="K270" s="4">
        <f>G270*(1+0.01*growthrate!$E$3)^2</f>
        <v>80862.360249999983</v>
      </c>
      <c r="L270" s="12">
        <f>H270*(1+0.01*growthrate!$E$3)^5</f>
        <v>984.63757955031815</v>
      </c>
      <c r="M270" s="4">
        <f>I270*(1+0.01*growthrate!$E$3)^5</f>
        <v>365.13897634468532</v>
      </c>
      <c r="N270" s="4">
        <f>J270*(1+0.01*growthrate!$E$3)^5</f>
        <v>1379.5372267369116</v>
      </c>
      <c r="O270" s="4">
        <f>K270*(1+0.01*growthrate!$E$3)^5</f>
        <v>87111.727213660648</v>
      </c>
      <c r="P270" s="12">
        <f>L270*(1+0.01*growthrate!$F$3)^10</f>
        <v>1055.7743643233589</v>
      </c>
      <c r="Q270" s="4">
        <f>M270*(1+0.01*growthrate!$F$3)^10</f>
        <v>391.51905091419638</v>
      </c>
      <c r="R270" s="4">
        <f>N270*(1+0.01*growthrate!$F$3)^10</f>
        <v>1479.2041953992284</v>
      </c>
      <c r="S270" s="4">
        <f>O270*(1+0.01*growthrate!$F$3)^10</f>
        <v>93405.259289529713</v>
      </c>
    </row>
    <row r="271" spans="1:19" x14ac:dyDescent="0.2">
      <c r="A271" s="2" t="s">
        <v>547</v>
      </c>
      <c r="B271" s="8" t="s">
        <v>548</v>
      </c>
      <c r="C271" s="4" t="s">
        <v>779</v>
      </c>
      <c r="D271" s="5">
        <v>103128</v>
      </c>
      <c r="E271" s="5">
        <v>16212</v>
      </c>
      <c r="F271" s="5">
        <v>119340</v>
      </c>
      <c r="G271" s="5">
        <v>30330326</v>
      </c>
      <c r="H271" s="12">
        <f>D271*(1+0.01*growthrate!E271)^2</f>
        <v>103128</v>
      </c>
      <c r="I271" s="4">
        <f>E271*(1+0.01*growthrate!$E$3)^2</f>
        <v>16702.007699999995</v>
      </c>
      <c r="J271" s="4">
        <f>F271*(1+0.01*growthrate!$E$3)^2</f>
        <v>122947.05149999997</v>
      </c>
      <c r="K271" s="4">
        <f>G271*(1+0.01*growthrate!$E$3)^2</f>
        <v>31247060.103349991</v>
      </c>
      <c r="L271" s="12">
        <f>H271*(1+0.01*growthrate!$E$3)^5</f>
        <v>111098.14475258774</v>
      </c>
      <c r="M271" s="4">
        <f>I271*(1+0.01*growthrate!$E$3)^5</f>
        <v>17992.805727963645</v>
      </c>
      <c r="N271" s="4">
        <f>J271*(1+0.01*growthrate!$E$3)^5</f>
        <v>132448.89190569834</v>
      </c>
      <c r="O271" s="4">
        <f>K271*(1+0.01*growthrate!$E$3)^5</f>
        <v>33661958.017752565</v>
      </c>
      <c r="P271" s="12">
        <f>L271*(1+0.01*growthrate!$F$3)^10</f>
        <v>119124.6155841787</v>
      </c>
      <c r="Q271" s="4">
        <f>M271*(1+0.01*growthrate!$F$3)^10</f>
        <v>19292.725998239977</v>
      </c>
      <c r="R271" s="4">
        <f>N271*(1+0.01*growthrate!$F$3)^10</f>
        <v>142017.88308845047</v>
      </c>
      <c r="S271" s="4">
        <f>O271*(1+0.01*growthrate!$F$3)^10</f>
        <v>36093922.338717856</v>
      </c>
    </row>
    <row r="272" spans="1:19" x14ac:dyDescent="0.2">
      <c r="A272" s="2" t="s">
        <v>549</v>
      </c>
      <c r="B272" s="8" t="s">
        <v>550</v>
      </c>
      <c r="C272" s="4" t="s">
        <v>779</v>
      </c>
      <c r="D272" s="5">
        <v>11500</v>
      </c>
      <c r="E272" s="5">
        <v>6949</v>
      </c>
      <c r="F272" s="5">
        <v>18449</v>
      </c>
      <c r="G272" s="5">
        <v>446253</v>
      </c>
      <c r="H272" s="12">
        <f>D272*(1+0.01*growthrate!E272)^2</f>
        <v>11500</v>
      </c>
      <c r="I272" s="4">
        <f>E272*(1+0.01*growthrate!$E$3)^2</f>
        <v>7159.033524999998</v>
      </c>
      <c r="J272" s="4">
        <f>F272*(1+0.01*growthrate!$E$3)^2</f>
        <v>19006.621024999993</v>
      </c>
      <c r="K272" s="4">
        <f>G272*(1+0.01*growthrate!$E$3)^2</f>
        <v>459740.99692499987</v>
      </c>
      <c r="L272" s="12">
        <f>H272*(1+0.01*growthrate!$E$3)^5</f>
        <v>12388.766044670305</v>
      </c>
      <c r="M272" s="4">
        <f>I272*(1+0.01*growthrate!$E$3)^5</f>
        <v>7712.3122997544633</v>
      </c>
      <c r="N272" s="4">
        <f>J272*(1+0.01*growthrate!$E$3)^5</f>
        <v>20475.528798124924</v>
      </c>
      <c r="O272" s="4">
        <f>K272*(1+0.01*growthrate!$E$3)^5</f>
        <v>495271.62191715767</v>
      </c>
      <c r="P272" s="12">
        <f>L272*(1+0.01*growthrate!$F$3)^10</f>
        <v>13283.813117854077</v>
      </c>
      <c r="Q272" s="4">
        <f>M272*(1+0.01*growthrate!$F$3)^10</f>
        <v>8269.5011696132242</v>
      </c>
      <c r="R272" s="4">
        <f>N272*(1+0.01*growthrate!$F$3)^10</f>
        <v>21954.817538954434</v>
      </c>
      <c r="S272" s="4">
        <f>O272*(1+0.01*growthrate!$F$3)^10</f>
        <v>531053.34658848902</v>
      </c>
    </row>
    <row r="273" spans="1:19" x14ac:dyDescent="0.2">
      <c r="A273" s="2" t="s">
        <v>551</v>
      </c>
      <c r="B273" s="8" t="s">
        <v>552</v>
      </c>
      <c r="C273" s="4" t="s">
        <v>779</v>
      </c>
      <c r="D273" s="5">
        <v>0</v>
      </c>
      <c r="E273" s="5">
        <v>71</v>
      </c>
      <c r="F273" s="5">
        <v>71</v>
      </c>
      <c r="G273" s="5">
        <v>2096421</v>
      </c>
      <c r="H273" s="12">
        <f>D273*(1+0.01*growthrate!E273)^2</f>
        <v>0</v>
      </c>
      <c r="I273" s="4">
        <f>E273*(1+0.01*growthrate!$E$3)^2</f>
        <v>73.145974999999979</v>
      </c>
      <c r="J273" s="4">
        <f>F273*(1+0.01*growthrate!$E$3)^2</f>
        <v>73.145974999999979</v>
      </c>
      <c r="K273" s="4">
        <f>G273*(1+0.01*growthrate!$E$3)^2</f>
        <v>2159785.3247249993</v>
      </c>
      <c r="L273" s="12">
        <f>H273*(1+0.01*growthrate!$E$3)^5</f>
        <v>0</v>
      </c>
      <c r="M273" s="4">
        <f>I273*(1+0.01*growthrate!$E$3)^5</f>
        <v>78.798988816026323</v>
      </c>
      <c r="N273" s="4">
        <f>J273*(1+0.01*growthrate!$E$3)^5</f>
        <v>78.798988816026323</v>
      </c>
      <c r="O273" s="4">
        <f>K273*(1+0.01*growthrate!$E$3)^5</f>
        <v>2326702.1821504608</v>
      </c>
      <c r="P273" s="12">
        <f>L273*(1+0.01*growthrate!$F$3)^10</f>
        <v>0</v>
      </c>
      <c r="Q273" s="4">
        <f>M273*(1+0.01*growthrate!$F$3)^10</f>
        <v>84.49195323680226</v>
      </c>
      <c r="R273" s="4">
        <f>N273*(1+0.01*growthrate!$F$3)^10</f>
        <v>84.49195323680226</v>
      </c>
      <c r="S273" s="4">
        <f>O273*(1+0.01*growthrate!$F$3)^10</f>
        <v>2494798.6633331017</v>
      </c>
    </row>
    <row r="274" spans="1:19" x14ac:dyDescent="0.2">
      <c r="A274" s="2" t="s">
        <v>553</v>
      </c>
      <c r="B274" s="8" t="s">
        <v>554</v>
      </c>
      <c r="C274" s="4" t="s">
        <v>779</v>
      </c>
      <c r="D274" s="5">
        <v>824</v>
      </c>
      <c r="E274" s="5">
        <v>400</v>
      </c>
      <c r="F274" s="5">
        <v>1224</v>
      </c>
      <c r="G274" s="5">
        <v>41205</v>
      </c>
      <c r="H274" s="12">
        <f>D274*(1+0.01*growthrate!E274)^2</f>
        <v>824</v>
      </c>
      <c r="I274" s="4">
        <f>E274*(1+0.01*growthrate!$E$3)^2</f>
        <v>412.08999999999992</v>
      </c>
      <c r="J274" s="4">
        <f>F274*(1+0.01*growthrate!$E$3)^2</f>
        <v>1260.9953999999996</v>
      </c>
      <c r="K274" s="4">
        <f>G274*(1+0.01*growthrate!$E$3)^2</f>
        <v>42450.421124999986</v>
      </c>
      <c r="L274" s="12">
        <f>H274*(1+0.01*growthrate!$E$3)^5</f>
        <v>887.68201920072443</v>
      </c>
      <c r="M274" s="4">
        <f>I274*(1+0.01*growthrate!$E$3)^5</f>
        <v>443.93796516071171</v>
      </c>
      <c r="N274" s="4">
        <f>J274*(1+0.01*growthrate!$E$3)^5</f>
        <v>1358.4501733917775</v>
      </c>
      <c r="O274" s="4">
        <f>K274*(1+0.01*growthrate!$E$3)^5</f>
        <v>45731.159636117809</v>
      </c>
      <c r="P274" s="12">
        <f>L274*(1+0.01*growthrate!$F$3)^10</f>
        <v>951.81408774884858</v>
      </c>
      <c r="Q274" s="4">
        <f>M274*(1+0.01*growthrate!$F$3)^10</f>
        <v>476.0110041509987</v>
      </c>
      <c r="R274" s="4">
        <f>N274*(1+0.01*growthrate!$F$3)^10</f>
        <v>1456.5936727020558</v>
      </c>
      <c r="S274" s="4">
        <f>O274*(1+0.01*growthrate!$F$3)^10</f>
        <v>49035.083565104746</v>
      </c>
    </row>
    <row r="275" spans="1:19" x14ac:dyDescent="0.2">
      <c r="A275" s="2" t="s">
        <v>555</v>
      </c>
      <c r="B275" s="8" t="s">
        <v>556</v>
      </c>
      <c r="C275" s="4" t="s">
        <v>779</v>
      </c>
      <c r="D275" s="5">
        <v>4136</v>
      </c>
      <c r="E275" s="5">
        <v>1686</v>
      </c>
      <c r="F275" s="5">
        <v>5822</v>
      </c>
      <c r="G275" s="5">
        <v>753149</v>
      </c>
      <c r="H275" s="12">
        <f>D275*(1+0.01*growthrate!E275)^2</f>
        <v>4136</v>
      </c>
      <c r="I275" s="4">
        <f>E275*(1+0.01*growthrate!$E$3)^2</f>
        <v>1736.9593499999996</v>
      </c>
      <c r="J275" s="4">
        <f>F275*(1+0.01*growthrate!$E$3)^2</f>
        <v>5997.9699499999988</v>
      </c>
      <c r="K275" s="4">
        <f>G275*(1+0.01*growthrate!$E$3)^2</f>
        <v>775912.92852499976</v>
      </c>
      <c r="L275" s="12">
        <f>H275*(1+0.01*growthrate!$E$3)^5</f>
        <v>4455.6466400657719</v>
      </c>
      <c r="M275" s="4">
        <f>I275*(1+0.01*growthrate!$E$3)^5</f>
        <v>1871.1985231523997</v>
      </c>
      <c r="N275" s="4">
        <f>J275*(1+0.01*growthrate!$E$3)^5</f>
        <v>6461.5170829141589</v>
      </c>
      <c r="O275" s="4">
        <f>K275*(1+0.01*growthrate!$E$3)^5</f>
        <v>835878.58630706207</v>
      </c>
      <c r="P275" s="12">
        <f>L275*(1+0.01*growthrate!$F$3)^10</f>
        <v>4777.5522656908224</v>
      </c>
      <c r="Q275" s="4">
        <f>M275*(1+0.01*growthrate!$F$3)^10</f>
        <v>2006.3863824964594</v>
      </c>
      <c r="R275" s="4">
        <f>N275*(1+0.01*growthrate!$F$3)^10</f>
        <v>6928.340165417786</v>
      </c>
      <c r="S275" s="4">
        <f>O275*(1+0.01*growthrate!$F$3)^10</f>
        <v>896268.02941330126</v>
      </c>
    </row>
    <row r="276" spans="1:19" x14ac:dyDescent="0.2">
      <c r="A276" s="2" t="s">
        <v>557</v>
      </c>
      <c r="B276" s="8" t="s">
        <v>558</v>
      </c>
      <c r="C276" s="4" t="s">
        <v>779</v>
      </c>
      <c r="D276" s="5">
        <v>35118</v>
      </c>
      <c r="E276" s="5">
        <v>36386</v>
      </c>
      <c r="F276" s="5">
        <v>71504</v>
      </c>
      <c r="G276" s="5">
        <v>38485754</v>
      </c>
      <c r="H276" s="12">
        <f>D276*(1+0.01*growthrate!E276)^2</f>
        <v>35118</v>
      </c>
      <c r="I276" s="4">
        <f>E276*(1+0.01*growthrate!$E$3)^2</f>
        <v>37485.766849999993</v>
      </c>
      <c r="J276" s="4">
        <f>F276*(1+0.01*growthrate!$E$3)^2</f>
        <v>73665.208399999974</v>
      </c>
      <c r="K276" s="4">
        <f>G276*(1+0.01*growthrate!$E$3)^2</f>
        <v>39648985.914649986</v>
      </c>
      <c r="L276" s="12">
        <f>H276*(1+0.01*growthrate!$E$3)^5</f>
        <v>37832.059648411458</v>
      </c>
      <c r="M276" s="4">
        <f>I276*(1+0.01*growthrate!$E$3)^5</f>
        <v>40382.817000844138</v>
      </c>
      <c r="N276" s="4">
        <f>J276*(1+0.01*growthrate!$E$3)^5</f>
        <v>79358.350652128807</v>
      </c>
      <c r="O276" s="4">
        <f>K276*(1+0.01*growthrate!$E$3)^5</f>
        <v>42713218.296089299</v>
      </c>
      <c r="P276" s="12">
        <f>L276*(1+0.01*growthrate!$F$3)^10</f>
        <v>40565.299919373865</v>
      </c>
      <c r="Q276" s="4">
        <f>M276*(1+0.01*growthrate!$F$3)^10</f>
        <v>43300.340992595593</v>
      </c>
      <c r="R276" s="4">
        <f>N276*(1+0.01*growthrate!$F$3)^10</f>
        <v>85091.727102032513</v>
      </c>
      <c r="S276" s="4">
        <f>O276*(1+0.01*growthrate!$F$3)^10</f>
        <v>45799106.01762078</v>
      </c>
    </row>
    <row r="277" spans="1:19" x14ac:dyDescent="0.2">
      <c r="A277" s="2" t="s">
        <v>559</v>
      </c>
      <c r="B277" s="8" t="s">
        <v>560</v>
      </c>
      <c r="C277" s="4" t="s">
        <v>779</v>
      </c>
      <c r="D277" s="5">
        <v>7352</v>
      </c>
      <c r="E277" s="5">
        <v>3848</v>
      </c>
      <c r="F277" s="5">
        <v>11200</v>
      </c>
      <c r="G277" s="5">
        <v>220906</v>
      </c>
      <c r="H277" s="12">
        <f>D277*(1+0.01*growthrate!E277)^2</f>
        <v>7352</v>
      </c>
      <c r="I277" s="4">
        <f>E277*(1+0.01*growthrate!$E$3)^2</f>
        <v>3964.3057999999987</v>
      </c>
      <c r="J277" s="4">
        <f>F277*(1+0.01*growthrate!$E$3)^2</f>
        <v>11538.519999999997</v>
      </c>
      <c r="K277" s="4">
        <f>G277*(1+0.01*growthrate!$E$3)^2</f>
        <v>227582.88384999993</v>
      </c>
      <c r="L277" s="12">
        <f>H277*(1+0.01*growthrate!$E$3)^5</f>
        <v>7920.19199655792</v>
      </c>
      <c r="M277" s="4">
        <f>I277*(1+0.01*growthrate!$E$3)^5</f>
        <v>4270.683224846046</v>
      </c>
      <c r="N277" s="4">
        <f>J277*(1+0.01*growthrate!$E$3)^5</f>
        <v>12430.263024499927</v>
      </c>
      <c r="O277" s="4">
        <f>K277*(1+0.01*growthrate!$E$3)^5</f>
        <v>245171.40032948041</v>
      </c>
      <c r="P277" s="12">
        <f>L277*(1+0.01*growthrate!$F$3)^10</f>
        <v>8492.39948195332</v>
      </c>
      <c r="Q277" s="4">
        <f>M277*(1+0.01*growthrate!$F$3)^10</f>
        <v>4579.2258599326069</v>
      </c>
      <c r="R277" s="4">
        <f>N277*(1+0.01*growthrate!$F$3)^10</f>
        <v>13328.308116227963</v>
      </c>
      <c r="S277" s="4">
        <f>O277*(1+0.01*growthrate!$F$3)^10</f>
        <v>262884.21720745123</v>
      </c>
    </row>
    <row r="278" spans="1:19" x14ac:dyDescent="0.2">
      <c r="A278" s="2" t="s">
        <v>561</v>
      </c>
      <c r="B278" s="8" t="s">
        <v>562</v>
      </c>
      <c r="C278" s="4" t="s">
        <v>779</v>
      </c>
      <c r="D278" s="5">
        <v>8967</v>
      </c>
      <c r="E278" s="5">
        <v>5656</v>
      </c>
      <c r="F278" s="5">
        <v>14623</v>
      </c>
      <c r="G278" s="5">
        <v>223035</v>
      </c>
      <c r="H278" s="12">
        <f>D278*(1+0.01*growthrate!E278)^2</f>
        <v>8967</v>
      </c>
      <c r="I278" s="4">
        <f>E278*(1+0.01*growthrate!$E$3)^2</f>
        <v>5826.9525999999987</v>
      </c>
      <c r="J278" s="4">
        <f>F278*(1+0.01*growthrate!$E$3)^2</f>
        <v>15064.980174999995</v>
      </c>
      <c r="K278" s="4">
        <f>G278*(1+0.01*growthrate!$E$3)^2</f>
        <v>229776.23287499993</v>
      </c>
      <c r="L278" s="12">
        <f>H278*(1+0.01*growthrate!$E$3)^5</f>
        <v>9660.005662831185</v>
      </c>
      <c r="M278" s="4">
        <f>I278*(1+0.01*growthrate!$E$3)^5</f>
        <v>6277.2828273724635</v>
      </c>
      <c r="N278" s="4">
        <f>J278*(1+0.01*growthrate!$E$3)^5</f>
        <v>16229.262161362716</v>
      </c>
      <c r="O278" s="4">
        <f>K278*(1+0.01*growthrate!$E$3)^5</f>
        <v>247534.26014904832</v>
      </c>
      <c r="P278" s="12">
        <f>L278*(1+0.01*growthrate!$F$3)^10</f>
        <v>10357.908889373697</v>
      </c>
      <c r="Q278" s="4">
        <f>M278*(1+0.01*growthrate!$F$3)^10</f>
        <v>6730.795598695122</v>
      </c>
      <c r="R278" s="4">
        <f>N278*(1+0.01*growthrate!$F$3)^10</f>
        <v>17401.772284250132</v>
      </c>
      <c r="S278" s="4">
        <f>O278*(1+0.01*growthrate!$F$3)^10</f>
        <v>265417.78577704495</v>
      </c>
    </row>
    <row r="279" spans="1:19" x14ac:dyDescent="0.2">
      <c r="A279" s="2" t="s">
        <v>563</v>
      </c>
      <c r="B279" s="8" t="s">
        <v>564</v>
      </c>
      <c r="C279" s="4" t="s">
        <v>779</v>
      </c>
      <c r="D279" s="5">
        <v>3483</v>
      </c>
      <c r="E279" s="5">
        <v>4455</v>
      </c>
      <c r="F279" s="5">
        <v>7938</v>
      </c>
      <c r="G279" s="5">
        <v>32619</v>
      </c>
      <c r="H279" s="12">
        <f>D279*(1+0.01*growthrate!E279)^2</f>
        <v>3483</v>
      </c>
      <c r="I279" s="4">
        <f>E279*(1+0.01*growthrate!$E$3)^2</f>
        <v>4589.6523749999988</v>
      </c>
      <c r="J279" s="4">
        <f>F279*(1+0.01*growthrate!$E$3)^2</f>
        <v>8177.9260499999982</v>
      </c>
      <c r="K279" s="4">
        <f>G279*(1+0.01*growthrate!$E$3)^2</f>
        <v>33604.909274999991</v>
      </c>
      <c r="L279" s="12">
        <f>H279*(1+0.01*growthrate!$E$3)^5</f>
        <v>3752.1801855292756</v>
      </c>
      <c r="M279" s="4">
        <f>I279*(1+0.01*growthrate!$E$3)^5</f>
        <v>4944.3590869774262</v>
      </c>
      <c r="N279" s="4">
        <f>J279*(1+0.01*growthrate!$E$3)^5</f>
        <v>8809.9489186143237</v>
      </c>
      <c r="O279" s="4">
        <f>K279*(1+0.01*growthrate!$E$3)^5</f>
        <v>36202.031213943133</v>
      </c>
      <c r="P279" s="12">
        <f>L279*(1+0.01*growthrate!$F$3)^10</f>
        <v>4023.2627034335433</v>
      </c>
      <c r="Q279" s="4">
        <f>M279*(1+0.01*growthrate!$F$3)^10</f>
        <v>5301.5725587317474</v>
      </c>
      <c r="R279" s="4">
        <f>N279*(1+0.01*growthrate!$F$3)^10</f>
        <v>9446.4383773765694</v>
      </c>
      <c r="S279" s="4">
        <f>O279*(1+0.01*growthrate!$F$3)^10</f>
        <v>38817.507361003562</v>
      </c>
    </row>
    <row r="280" spans="1:19" x14ac:dyDescent="0.2">
      <c r="A280" s="2" t="s">
        <v>565</v>
      </c>
      <c r="B280" s="8" t="s">
        <v>566</v>
      </c>
      <c r="C280" s="4" t="s">
        <v>779</v>
      </c>
      <c r="D280" s="5">
        <v>1930</v>
      </c>
      <c r="E280" s="5">
        <v>83</v>
      </c>
      <c r="F280" s="5">
        <v>2013</v>
      </c>
      <c r="G280" s="5">
        <v>16170</v>
      </c>
      <c r="H280" s="12">
        <f>D280*(1+0.01*growthrate!E280)^2</f>
        <v>1930</v>
      </c>
      <c r="I280" s="4">
        <f>E280*(1+0.01*growthrate!$E$3)^2</f>
        <v>85.508674999999982</v>
      </c>
      <c r="J280" s="4">
        <f>F280*(1+0.01*growthrate!$E$3)^2</f>
        <v>2073.8429249999995</v>
      </c>
      <c r="K280" s="4">
        <f>G280*(1+0.01*growthrate!$E$3)^2</f>
        <v>16658.738249999995</v>
      </c>
      <c r="L280" s="12">
        <f>H280*(1+0.01*growthrate!$E$3)^5</f>
        <v>2079.1581274968426</v>
      </c>
      <c r="M280" s="4">
        <f>I280*(1+0.01*growthrate!$E$3)^5</f>
        <v>92.117127770847674</v>
      </c>
      <c r="N280" s="4">
        <f>J280*(1+0.01*growthrate!$E$3)^5</f>
        <v>2234.1178096712815</v>
      </c>
      <c r="O280" s="4">
        <f>K280*(1+0.01*growthrate!$E$3)^5</f>
        <v>17946.192241621768</v>
      </c>
      <c r="P280" s="12">
        <f>L280*(1+0.01*growthrate!$F$3)^10</f>
        <v>2229.3703754311623</v>
      </c>
      <c r="Q280" s="4">
        <f>M280*(1+0.01*growthrate!$F$3)^10</f>
        <v>98.772283361332228</v>
      </c>
      <c r="R280" s="4">
        <f>N280*(1+0.01*growthrate!$F$3)^10</f>
        <v>2395.5253783899007</v>
      </c>
      <c r="S280" s="4">
        <f>O280*(1+0.01*growthrate!$F$3)^10</f>
        <v>19242.744842804121</v>
      </c>
    </row>
    <row r="281" spans="1:19" x14ac:dyDescent="0.2">
      <c r="A281" s="2" t="s">
        <v>567</v>
      </c>
      <c r="B281" s="8" t="s">
        <v>568</v>
      </c>
      <c r="C281" s="4" t="s">
        <v>779</v>
      </c>
      <c r="D281" s="5">
        <v>0</v>
      </c>
      <c r="E281" s="5">
        <v>0</v>
      </c>
      <c r="F281" s="5">
        <v>0</v>
      </c>
      <c r="G281" s="5">
        <v>3</v>
      </c>
      <c r="H281" s="12">
        <f>D281*(1+0.01*growthrate!E281)^2</f>
        <v>0</v>
      </c>
      <c r="I281" s="4">
        <f>E281*(1+0.01*growthrate!$E$3)^2</f>
        <v>0</v>
      </c>
      <c r="J281" s="4">
        <f>F281*(1+0.01*growthrate!$E$3)^2</f>
        <v>0</v>
      </c>
      <c r="K281" s="4">
        <f>G281*(1+0.01*growthrate!$E$3)^2</f>
        <v>3.0906749999999992</v>
      </c>
      <c r="L281" s="12">
        <f>H281*(1+0.01*growthrate!$E$3)^5</f>
        <v>0</v>
      </c>
      <c r="M281" s="4">
        <f>I281*(1+0.01*growthrate!$E$3)^5</f>
        <v>0</v>
      </c>
      <c r="N281" s="4">
        <f>J281*(1+0.01*growthrate!$E$3)^5</f>
        <v>0</v>
      </c>
      <c r="O281" s="4">
        <f>K281*(1+0.01*growthrate!$E$3)^5</f>
        <v>3.3295347387053376</v>
      </c>
      <c r="P281" s="12">
        <f>L281*(1+0.01*growthrate!$F$3)^10</f>
        <v>0</v>
      </c>
      <c r="Q281" s="4">
        <f>M281*(1+0.01*growthrate!$F$3)^10</f>
        <v>0</v>
      </c>
      <c r="R281" s="4">
        <f>N281*(1+0.01*growthrate!$F$3)^10</f>
        <v>0</v>
      </c>
      <c r="S281" s="4">
        <f>O281*(1+0.01*growthrate!$F$3)^10</f>
        <v>3.5700825311324902</v>
      </c>
    </row>
    <row r="282" spans="1:19" x14ac:dyDescent="0.2">
      <c r="A282" s="2" t="s">
        <v>569</v>
      </c>
      <c r="B282" s="8" t="s">
        <v>570</v>
      </c>
      <c r="C282" s="4" t="s">
        <v>779</v>
      </c>
      <c r="D282" s="5">
        <v>136728</v>
      </c>
      <c r="E282" s="5">
        <v>31053</v>
      </c>
      <c r="F282" s="5">
        <v>167781</v>
      </c>
      <c r="G282" s="5">
        <v>184719</v>
      </c>
      <c r="H282" s="12">
        <f>D282*(1+0.01*growthrate!E282)^2</f>
        <v>136728</v>
      </c>
      <c r="I282" s="4">
        <f>E282*(1+0.01*growthrate!$E$3)^2</f>
        <v>31991.57692499999</v>
      </c>
      <c r="J282" s="4">
        <f>F282*(1+0.01*growthrate!$E$3)^2</f>
        <v>172852.18072499995</v>
      </c>
      <c r="K282" s="4">
        <f>G282*(1+0.01*growthrate!$E$3)^2</f>
        <v>190302.13177499996</v>
      </c>
      <c r="L282" s="12">
        <f>H282*(1+0.01*growthrate!$E$3)^5</f>
        <v>147294.88728310273</v>
      </c>
      <c r="M282" s="4">
        <f>I282*(1+0.01*growthrate!$E$3)^5</f>
        <v>34464.014080338951</v>
      </c>
      <c r="N282" s="4">
        <f>J282*(1+0.01*growthrate!$E$3)^5</f>
        <v>186210.88933157342</v>
      </c>
      <c r="O282" s="4">
        <f>K282*(1+0.01*growthrate!$E$3)^5</f>
        <v>205009.44246630376</v>
      </c>
      <c r="P282" s="12">
        <f>L282*(1+0.01*growthrate!$F$3)^10</f>
        <v>157936.45217199583</v>
      </c>
      <c r="Q282" s="4">
        <f>M282*(1+0.01*growthrate!$F$3)^10</f>
        <v>36953.924279752406</v>
      </c>
      <c r="R282" s="4">
        <f>N282*(1+0.01*growthrate!$F$3)^10</f>
        <v>199664.00571864677</v>
      </c>
      <c r="S282" s="4">
        <f>O282*(1+0.01*growthrate!$F$3)^10</f>
        <v>219820.69168942081</v>
      </c>
    </row>
    <row r="283" spans="1:19" x14ac:dyDescent="0.2">
      <c r="A283" s="2" t="s">
        <v>571</v>
      </c>
      <c r="B283" s="8" t="s">
        <v>572</v>
      </c>
      <c r="C283" s="4" t="s">
        <v>779</v>
      </c>
      <c r="D283" s="5">
        <v>0</v>
      </c>
      <c r="E283" s="5">
        <v>0</v>
      </c>
      <c r="F283" s="5">
        <v>0</v>
      </c>
      <c r="G283" s="5">
        <v>348511</v>
      </c>
      <c r="H283" s="12">
        <f>D283*(1+0.01*growthrate!E283)^2</f>
        <v>0</v>
      </c>
      <c r="I283" s="4">
        <f>E283*(1+0.01*growthrate!$E$3)^2</f>
        <v>0</v>
      </c>
      <c r="J283" s="4">
        <f>F283*(1+0.01*growthrate!$E$3)^2</f>
        <v>0</v>
      </c>
      <c r="K283" s="4">
        <f>G283*(1+0.01*growthrate!$E$3)^2</f>
        <v>359044.74497499992</v>
      </c>
      <c r="L283" s="12">
        <f>H283*(1+0.01*growthrate!$E$3)^5</f>
        <v>0</v>
      </c>
      <c r="M283" s="4">
        <f>I283*(1+0.01*growthrate!$E$3)^5</f>
        <v>0</v>
      </c>
      <c r="N283" s="4">
        <f>J283*(1+0.01*growthrate!$E$3)^5</f>
        <v>0</v>
      </c>
      <c r="O283" s="4">
        <f>K283*(1+0.01*growthrate!$E$3)^5</f>
        <v>386793.160440312</v>
      </c>
      <c r="P283" s="12">
        <f>L283*(1+0.01*growthrate!$F$3)^10</f>
        <v>0</v>
      </c>
      <c r="Q283" s="4">
        <f>M283*(1+0.01*growthrate!$F$3)^10</f>
        <v>0</v>
      </c>
      <c r="R283" s="4">
        <f>N283*(1+0.01*growthrate!$F$3)^10</f>
        <v>0</v>
      </c>
      <c r="S283" s="4">
        <f>O283*(1+0.01*growthrate!$F$3)^10</f>
        <v>414737.67766917177</v>
      </c>
    </row>
    <row r="284" spans="1:19" x14ac:dyDescent="0.2">
      <c r="A284" s="2" t="s">
        <v>573</v>
      </c>
      <c r="B284" s="8" t="s">
        <v>574</v>
      </c>
      <c r="C284" s="4" t="s">
        <v>779</v>
      </c>
      <c r="D284" s="5">
        <v>0</v>
      </c>
      <c r="E284" s="5">
        <v>0</v>
      </c>
      <c r="F284" s="5">
        <v>0</v>
      </c>
      <c r="G284" s="5">
        <v>4724733</v>
      </c>
      <c r="H284" s="12">
        <f>D284*(1+0.01*growthrate!E284)^2</f>
        <v>0</v>
      </c>
      <c r="I284" s="4">
        <f>E284*(1+0.01*growthrate!$E$3)^2</f>
        <v>0</v>
      </c>
      <c r="J284" s="4">
        <f>F284*(1+0.01*growthrate!$E$3)^2</f>
        <v>0</v>
      </c>
      <c r="K284" s="4">
        <f>G284*(1+0.01*growthrate!$E$3)^2</f>
        <v>4867538.0549249984</v>
      </c>
      <c r="L284" s="12">
        <f>H284*(1+0.01*growthrate!$E$3)^5</f>
        <v>0</v>
      </c>
      <c r="M284" s="4">
        <f>I284*(1+0.01*growthrate!$E$3)^5</f>
        <v>0</v>
      </c>
      <c r="N284" s="4">
        <f>J284*(1+0.01*growthrate!$E$3)^5</f>
        <v>0</v>
      </c>
      <c r="O284" s="4">
        <f>K284*(1+0.01*growthrate!$E$3)^5</f>
        <v>5243720.884869162</v>
      </c>
      <c r="P284" s="12">
        <f>L284*(1+0.01*growthrate!$F$3)^10</f>
        <v>0</v>
      </c>
      <c r="Q284" s="4">
        <f>M284*(1+0.01*growthrate!$F$3)^10</f>
        <v>0</v>
      </c>
      <c r="R284" s="4">
        <f>N284*(1+0.01*growthrate!$F$3)^10</f>
        <v>0</v>
      </c>
      <c r="S284" s="4">
        <f>O284*(1+0.01*growthrate!$F$3)^10</f>
        <v>5622562.2491884008</v>
      </c>
    </row>
    <row r="285" spans="1:19" x14ac:dyDescent="0.2">
      <c r="A285" s="2" t="s">
        <v>575</v>
      </c>
      <c r="B285" s="8" t="s">
        <v>576</v>
      </c>
      <c r="C285" s="4" t="s">
        <v>779</v>
      </c>
      <c r="D285" s="5">
        <v>0</v>
      </c>
      <c r="E285" s="5">
        <v>0</v>
      </c>
      <c r="F285" s="5">
        <v>0</v>
      </c>
      <c r="G285" s="5">
        <v>4757344</v>
      </c>
      <c r="H285" s="12">
        <f>D285*(1+0.01*growthrate!E285)^2</f>
        <v>0</v>
      </c>
      <c r="I285" s="4">
        <f>E285*(1+0.01*growthrate!$E$3)^2</f>
        <v>0</v>
      </c>
      <c r="J285" s="4">
        <f>F285*(1+0.01*growthrate!$E$3)^2</f>
        <v>0</v>
      </c>
      <c r="K285" s="4">
        <f>G285*(1+0.01*growthrate!$E$3)^2</f>
        <v>4901134.7223999985</v>
      </c>
      <c r="L285" s="12">
        <f>H285*(1+0.01*growthrate!$E$3)^5</f>
        <v>0</v>
      </c>
      <c r="M285" s="4">
        <f>I285*(1+0.01*growthrate!$E$3)^5</f>
        <v>0</v>
      </c>
      <c r="N285" s="4">
        <f>J285*(1+0.01*growthrate!$E$3)^5</f>
        <v>0</v>
      </c>
      <c r="O285" s="4">
        <f>K285*(1+0.01*growthrate!$E$3)^5</f>
        <v>5279914.0373238018</v>
      </c>
      <c r="P285" s="12">
        <f>L285*(1+0.01*growthrate!$F$3)^10</f>
        <v>0</v>
      </c>
      <c r="Q285" s="4">
        <f>M285*(1+0.01*growthrate!$F$3)^10</f>
        <v>0</v>
      </c>
      <c r="R285" s="4">
        <f>N285*(1+0.01*growthrate!$F$3)^10</f>
        <v>0</v>
      </c>
      <c r="S285" s="4">
        <f>O285*(1+0.01*growthrate!$F$3)^10</f>
        <v>5661370.2363293217</v>
      </c>
    </row>
    <row r="286" spans="1:19" x14ac:dyDescent="0.2">
      <c r="A286" s="2" t="s">
        <v>577</v>
      </c>
      <c r="B286" s="8" t="s">
        <v>578</v>
      </c>
      <c r="C286" s="4" t="s">
        <v>779</v>
      </c>
      <c r="D286" s="5">
        <v>1550</v>
      </c>
      <c r="E286" s="5">
        <v>0</v>
      </c>
      <c r="F286" s="5">
        <v>1550</v>
      </c>
      <c r="G286" s="5">
        <v>618403</v>
      </c>
      <c r="H286" s="12">
        <f>D286*(1+0.01*growthrate!E286)^2</f>
        <v>1550</v>
      </c>
      <c r="I286" s="4">
        <f>E286*(1+0.01*growthrate!$E$3)^2</f>
        <v>0</v>
      </c>
      <c r="J286" s="4">
        <f>F286*(1+0.01*growthrate!$E$3)^2</f>
        <v>1596.8487499999997</v>
      </c>
      <c r="K286" s="4">
        <f>G286*(1+0.01*growthrate!$E$3)^2</f>
        <v>637094.23067499988</v>
      </c>
      <c r="L286" s="12">
        <f>H286*(1+0.01*growthrate!$E$3)^5</f>
        <v>1669.79020602078</v>
      </c>
      <c r="M286" s="4">
        <f>I286*(1+0.01*growthrate!$E$3)^5</f>
        <v>0</v>
      </c>
      <c r="N286" s="4">
        <f>J286*(1+0.01*growthrate!$E$3)^5</f>
        <v>1720.2596149977578</v>
      </c>
      <c r="O286" s="4">
        <f>K286*(1+0.01*growthrate!$E$3)^5</f>
        <v>686331.42367319902</v>
      </c>
      <c r="P286" s="12">
        <f>L286*(1+0.01*growthrate!$F$3)^10</f>
        <v>1790.4269854498971</v>
      </c>
      <c r="Q286" s="4">
        <f>M286*(1+0.01*growthrate!$F$3)^10</f>
        <v>0</v>
      </c>
      <c r="R286" s="4">
        <f>N286*(1+0.01*growthrate!$F$3)^10</f>
        <v>1844.5426410851198</v>
      </c>
      <c r="S286" s="4">
        <f>O286*(1+0.01*growthrate!$F$3)^10</f>
        <v>735916.58249997511</v>
      </c>
    </row>
    <row r="287" spans="1:19" x14ac:dyDescent="0.2">
      <c r="A287" s="2" t="s">
        <v>579</v>
      </c>
      <c r="B287" s="8" t="s">
        <v>580</v>
      </c>
      <c r="C287" s="4" t="s">
        <v>779</v>
      </c>
      <c r="D287" s="5">
        <v>0</v>
      </c>
      <c r="E287" s="5">
        <v>0</v>
      </c>
      <c r="F287" s="5">
        <v>0</v>
      </c>
      <c r="G287" s="5">
        <v>175868</v>
      </c>
      <c r="H287" s="12">
        <f>D287*(1+0.01*growthrate!E287)^2</f>
        <v>0</v>
      </c>
      <c r="I287" s="4">
        <f>E287*(1+0.01*growthrate!$E$3)^2</f>
        <v>0</v>
      </c>
      <c r="J287" s="4">
        <f>F287*(1+0.01*growthrate!$E$3)^2</f>
        <v>0</v>
      </c>
      <c r="K287" s="4">
        <f>G287*(1+0.01*growthrate!$E$3)^2</f>
        <v>181183.61029999994</v>
      </c>
      <c r="L287" s="12">
        <f>H287*(1+0.01*growthrate!$E$3)^5</f>
        <v>0</v>
      </c>
      <c r="M287" s="4">
        <f>I287*(1+0.01*growthrate!$E$3)^5</f>
        <v>0</v>
      </c>
      <c r="N287" s="4">
        <f>J287*(1+0.01*growthrate!$E$3)^5</f>
        <v>0</v>
      </c>
      <c r="O287" s="4">
        <f>K287*(1+0.01*growthrate!$E$3)^5</f>
        <v>195186.20514221009</v>
      </c>
      <c r="P287" s="12">
        <f>L287*(1+0.01*growthrate!$F$3)^10</f>
        <v>0</v>
      </c>
      <c r="Q287" s="4">
        <f>M287*(1+0.01*growthrate!$F$3)^10</f>
        <v>0</v>
      </c>
      <c r="R287" s="4">
        <f>N287*(1+0.01*growthrate!$F$3)^10</f>
        <v>0</v>
      </c>
      <c r="S287" s="4">
        <f>O287*(1+0.01*growthrate!$F$3)^10</f>
        <v>209287.75819506956</v>
      </c>
    </row>
    <row r="288" spans="1:19" x14ac:dyDescent="0.2">
      <c r="A288" s="2" t="s">
        <v>581</v>
      </c>
      <c r="B288" s="8" t="s">
        <v>582</v>
      </c>
      <c r="C288" s="4" t="s">
        <v>779</v>
      </c>
      <c r="D288" s="5">
        <v>0</v>
      </c>
      <c r="E288" s="5">
        <v>0</v>
      </c>
      <c r="F288" s="5">
        <v>0</v>
      </c>
      <c r="G288" s="5">
        <v>117541</v>
      </c>
      <c r="H288" s="12">
        <f>D288*(1+0.01*growthrate!E288)^2</f>
        <v>0</v>
      </c>
      <c r="I288" s="4">
        <f>E288*(1+0.01*growthrate!$E$3)^2</f>
        <v>0</v>
      </c>
      <c r="J288" s="4">
        <f>F288*(1+0.01*growthrate!$E$3)^2</f>
        <v>0</v>
      </c>
      <c r="K288" s="4">
        <f>G288*(1+0.01*growthrate!$E$3)^2</f>
        <v>121093.67672499997</v>
      </c>
      <c r="L288" s="12">
        <f>H288*(1+0.01*growthrate!$E$3)^5</f>
        <v>0</v>
      </c>
      <c r="M288" s="4">
        <f>I288*(1+0.01*growthrate!$E$3)^5</f>
        <v>0</v>
      </c>
      <c r="N288" s="4">
        <f>J288*(1+0.01*growthrate!$E$3)^5</f>
        <v>0</v>
      </c>
      <c r="O288" s="4">
        <f>K288*(1+0.01*growthrate!$E$3)^5</f>
        <v>130452.28090738803</v>
      </c>
      <c r="P288" s="12">
        <f>L288*(1+0.01*growthrate!$F$3)^10</f>
        <v>0</v>
      </c>
      <c r="Q288" s="4">
        <f>M288*(1+0.01*growthrate!$F$3)^10</f>
        <v>0</v>
      </c>
      <c r="R288" s="4">
        <f>N288*(1+0.01*growthrate!$F$3)^10</f>
        <v>0</v>
      </c>
      <c r="S288" s="4">
        <f>O288*(1+0.01*growthrate!$F$3)^10</f>
        <v>139877.02359728134</v>
      </c>
    </row>
    <row r="289" spans="1:19" x14ac:dyDescent="0.2">
      <c r="A289" s="2" t="s">
        <v>583</v>
      </c>
      <c r="B289" s="8" t="s">
        <v>584</v>
      </c>
      <c r="C289" s="4" t="s">
        <v>779</v>
      </c>
      <c r="D289" s="5">
        <v>0</v>
      </c>
      <c r="E289" s="5">
        <v>0</v>
      </c>
      <c r="F289" s="5">
        <v>0</v>
      </c>
      <c r="G289" s="5">
        <v>17679</v>
      </c>
      <c r="H289" s="12">
        <f>D289*(1+0.01*growthrate!E289)^2</f>
        <v>0</v>
      </c>
      <c r="I289" s="4">
        <f>E289*(1+0.01*growthrate!$E$3)^2</f>
        <v>0</v>
      </c>
      <c r="J289" s="4">
        <f>F289*(1+0.01*growthrate!$E$3)^2</f>
        <v>0</v>
      </c>
      <c r="K289" s="4">
        <f>G289*(1+0.01*growthrate!$E$3)^2</f>
        <v>18213.347774999995</v>
      </c>
      <c r="L289" s="12">
        <f>H289*(1+0.01*growthrate!$E$3)^5</f>
        <v>0</v>
      </c>
      <c r="M289" s="4">
        <f>I289*(1+0.01*growthrate!$E$3)^5</f>
        <v>0</v>
      </c>
      <c r="N289" s="4">
        <f>J289*(1+0.01*growthrate!$E$3)^5</f>
        <v>0</v>
      </c>
      <c r="O289" s="4">
        <f>K289*(1+0.01*growthrate!$E$3)^5</f>
        <v>19620.948215190554</v>
      </c>
      <c r="P289" s="12">
        <f>L289*(1+0.01*growthrate!$F$3)^10</f>
        <v>0</v>
      </c>
      <c r="Q289" s="4">
        <f>M289*(1+0.01*growthrate!$F$3)^10</f>
        <v>0</v>
      </c>
      <c r="R289" s="4">
        <f>N289*(1+0.01*growthrate!$F$3)^10</f>
        <v>0</v>
      </c>
      <c r="S289" s="4">
        <f>O289*(1+0.01*growthrate!$F$3)^10</f>
        <v>21038.496355963762</v>
      </c>
    </row>
    <row r="290" spans="1:19" x14ac:dyDescent="0.2">
      <c r="A290" s="2" t="s">
        <v>585</v>
      </c>
      <c r="B290" s="8" t="s">
        <v>586</v>
      </c>
      <c r="C290" s="4" t="s">
        <v>779</v>
      </c>
      <c r="D290" s="5">
        <v>0</v>
      </c>
      <c r="E290" s="5">
        <v>0</v>
      </c>
      <c r="F290" s="5">
        <v>0</v>
      </c>
      <c r="G290" s="5">
        <v>32996</v>
      </c>
      <c r="H290" s="12">
        <f>D290*(1+0.01*growthrate!E290)^2</f>
        <v>0</v>
      </c>
      <c r="I290" s="4">
        <f>E290*(1+0.01*growthrate!$E$3)^2</f>
        <v>0</v>
      </c>
      <c r="J290" s="4">
        <f>F290*(1+0.01*growthrate!$E$3)^2</f>
        <v>0</v>
      </c>
      <c r="K290" s="4">
        <f>G290*(1+0.01*growthrate!$E$3)^2</f>
        <v>33993.304099999994</v>
      </c>
      <c r="L290" s="12">
        <f>H290*(1+0.01*growthrate!$E$3)^5</f>
        <v>0</v>
      </c>
      <c r="M290" s="4">
        <f>I290*(1+0.01*growthrate!$E$3)^5</f>
        <v>0</v>
      </c>
      <c r="N290" s="4">
        <f>J290*(1+0.01*growthrate!$E$3)^5</f>
        <v>0</v>
      </c>
      <c r="O290" s="4">
        <f>K290*(1+0.01*growthrate!$E$3)^5</f>
        <v>36620.44274610711</v>
      </c>
      <c r="P290" s="12">
        <f>L290*(1+0.01*growthrate!$F$3)^10</f>
        <v>0</v>
      </c>
      <c r="Q290" s="4">
        <f>M290*(1+0.01*growthrate!$F$3)^10</f>
        <v>0</v>
      </c>
      <c r="R290" s="4">
        <f>N290*(1+0.01*growthrate!$F$3)^10</f>
        <v>0</v>
      </c>
      <c r="S290" s="4">
        <f>O290*(1+0.01*growthrate!$F$3)^10</f>
        <v>39266.147732415884</v>
      </c>
    </row>
    <row r="291" spans="1:19" x14ac:dyDescent="0.2">
      <c r="A291" s="2" t="s">
        <v>587</v>
      </c>
      <c r="B291" s="8" t="s">
        <v>588</v>
      </c>
      <c r="C291" s="4" t="s">
        <v>779</v>
      </c>
      <c r="D291" s="5">
        <v>0</v>
      </c>
      <c r="E291" s="5">
        <v>0</v>
      </c>
      <c r="F291" s="5">
        <v>0</v>
      </c>
      <c r="G291" s="5">
        <v>54921</v>
      </c>
      <c r="H291" s="12">
        <f>D291*(1+0.01*growthrate!E291)^2</f>
        <v>0</v>
      </c>
      <c r="I291" s="4">
        <f>E291*(1+0.01*growthrate!$E$3)^2</f>
        <v>0</v>
      </c>
      <c r="J291" s="4">
        <f>F291*(1+0.01*growthrate!$E$3)^2</f>
        <v>0</v>
      </c>
      <c r="K291" s="4">
        <f>G291*(1+0.01*growthrate!$E$3)^2</f>
        <v>56580.987224999983</v>
      </c>
      <c r="L291" s="12">
        <f>H291*(1+0.01*growthrate!$E$3)^5</f>
        <v>0</v>
      </c>
      <c r="M291" s="4">
        <f>I291*(1+0.01*growthrate!$E$3)^5</f>
        <v>0</v>
      </c>
      <c r="N291" s="4">
        <f>J291*(1+0.01*growthrate!$E$3)^5</f>
        <v>0</v>
      </c>
      <c r="O291" s="4">
        <f>K291*(1+0.01*growthrate!$E$3)^5</f>
        <v>60953.79246147861</v>
      </c>
      <c r="P291" s="12">
        <f>L291*(1+0.01*growthrate!$F$3)^10</f>
        <v>0</v>
      </c>
      <c r="Q291" s="4">
        <f>M291*(1+0.01*growthrate!$F$3)^10</f>
        <v>0</v>
      </c>
      <c r="R291" s="4">
        <f>N291*(1+0.01*growthrate!$F$3)^10</f>
        <v>0</v>
      </c>
      <c r="S291" s="4">
        <f>O291*(1+0.01*growthrate!$F$3)^10</f>
        <v>65357.500897442485</v>
      </c>
    </row>
    <row r="292" spans="1:19" x14ac:dyDescent="0.2">
      <c r="A292" s="2" t="s">
        <v>589</v>
      </c>
      <c r="B292" s="8" t="s">
        <v>590</v>
      </c>
      <c r="C292" s="4" t="s">
        <v>779</v>
      </c>
      <c r="D292" s="5">
        <v>0</v>
      </c>
      <c r="E292" s="5">
        <v>0</v>
      </c>
      <c r="F292" s="5">
        <v>0</v>
      </c>
      <c r="G292" s="5">
        <v>15961</v>
      </c>
      <c r="H292" s="12">
        <f>D292*(1+0.01*growthrate!E292)^2</f>
        <v>0</v>
      </c>
      <c r="I292" s="4">
        <f>E292*(1+0.01*growthrate!$E$3)^2</f>
        <v>0</v>
      </c>
      <c r="J292" s="4">
        <f>F292*(1+0.01*growthrate!$E$3)^2</f>
        <v>0</v>
      </c>
      <c r="K292" s="4">
        <f>G292*(1+0.01*growthrate!$E$3)^2</f>
        <v>16443.421224999995</v>
      </c>
      <c r="L292" s="12">
        <f>H292*(1+0.01*growthrate!$E$3)^5</f>
        <v>0</v>
      </c>
      <c r="M292" s="4">
        <f>I292*(1+0.01*growthrate!$E$3)^5</f>
        <v>0</v>
      </c>
      <c r="N292" s="4">
        <f>J292*(1+0.01*growthrate!$E$3)^5</f>
        <v>0</v>
      </c>
      <c r="O292" s="4">
        <f>K292*(1+0.01*growthrate!$E$3)^5</f>
        <v>17714.234654825297</v>
      </c>
      <c r="P292" s="12">
        <f>L292*(1+0.01*growthrate!$F$3)^10</f>
        <v>0</v>
      </c>
      <c r="Q292" s="4">
        <f>M292*(1+0.01*growthrate!$F$3)^10</f>
        <v>0</v>
      </c>
      <c r="R292" s="4">
        <f>N292*(1+0.01*growthrate!$F$3)^10</f>
        <v>0</v>
      </c>
      <c r="S292" s="4">
        <f>O292*(1+0.01*growthrate!$F$3)^10</f>
        <v>18994.029093135225</v>
      </c>
    </row>
    <row r="293" spans="1:19" x14ac:dyDescent="0.2">
      <c r="A293" s="2" t="s">
        <v>591</v>
      </c>
      <c r="B293" s="8" t="s">
        <v>592</v>
      </c>
      <c r="C293" s="4" t="s">
        <v>779</v>
      </c>
      <c r="D293" s="5">
        <v>0</v>
      </c>
      <c r="E293" s="5">
        <v>0</v>
      </c>
      <c r="F293" s="5">
        <v>0</v>
      </c>
      <c r="G293" s="5">
        <v>115421</v>
      </c>
      <c r="H293" s="12">
        <f>D293*(1+0.01*growthrate!E293)^2</f>
        <v>0</v>
      </c>
      <c r="I293" s="4">
        <f>E293*(1+0.01*growthrate!$E$3)^2</f>
        <v>0</v>
      </c>
      <c r="J293" s="4">
        <f>F293*(1+0.01*growthrate!$E$3)^2</f>
        <v>0</v>
      </c>
      <c r="K293" s="4">
        <f>G293*(1+0.01*growthrate!$E$3)^2</f>
        <v>118909.59972499996</v>
      </c>
      <c r="L293" s="12">
        <f>H293*(1+0.01*growthrate!$E$3)^5</f>
        <v>0</v>
      </c>
      <c r="M293" s="4">
        <f>I293*(1+0.01*growthrate!$E$3)^5</f>
        <v>0</v>
      </c>
      <c r="N293" s="4">
        <f>J293*(1+0.01*growthrate!$E$3)^5</f>
        <v>0</v>
      </c>
      <c r="O293" s="4">
        <f>K293*(1+0.01*growthrate!$E$3)^5</f>
        <v>128099.40969203625</v>
      </c>
      <c r="P293" s="12">
        <f>L293*(1+0.01*growthrate!$F$3)^10</f>
        <v>0</v>
      </c>
      <c r="Q293" s="4">
        <f>M293*(1+0.01*growthrate!$F$3)^10</f>
        <v>0</v>
      </c>
      <c r="R293" s="4">
        <f>N293*(1+0.01*growthrate!$F$3)^10</f>
        <v>0</v>
      </c>
      <c r="S293" s="4">
        <f>O293*(1+0.01*growthrate!$F$3)^10</f>
        <v>137354.16527528103</v>
      </c>
    </row>
    <row r="294" spans="1:19" x14ac:dyDescent="0.2">
      <c r="A294" s="2" t="s">
        <v>593</v>
      </c>
      <c r="B294" s="8" t="s">
        <v>594</v>
      </c>
      <c r="C294" s="4" t="s">
        <v>779</v>
      </c>
      <c r="D294" s="5">
        <v>0</v>
      </c>
      <c r="E294" s="5">
        <v>0</v>
      </c>
      <c r="F294" s="5">
        <v>0</v>
      </c>
      <c r="G294" s="5">
        <v>42192</v>
      </c>
      <c r="H294" s="12">
        <f>D294*(1+0.01*growthrate!E294)^2</f>
        <v>0</v>
      </c>
      <c r="I294" s="4">
        <f>E294*(1+0.01*growthrate!$E$3)^2</f>
        <v>0</v>
      </c>
      <c r="J294" s="4">
        <f>F294*(1+0.01*growthrate!$E$3)^2</f>
        <v>0</v>
      </c>
      <c r="K294" s="4">
        <f>G294*(1+0.01*growthrate!$E$3)^2</f>
        <v>43467.253199999992</v>
      </c>
      <c r="L294" s="12">
        <f>H294*(1+0.01*growthrate!$E$3)^5</f>
        <v>0</v>
      </c>
      <c r="M294" s="4">
        <f>I294*(1+0.01*growthrate!$E$3)^5</f>
        <v>0</v>
      </c>
      <c r="N294" s="4">
        <f>J294*(1+0.01*growthrate!$E$3)^5</f>
        <v>0</v>
      </c>
      <c r="O294" s="4">
        <f>K294*(1+0.01*growthrate!$E$3)^5</f>
        <v>46826.576565151874</v>
      </c>
      <c r="P294" s="12">
        <f>L294*(1+0.01*growthrate!$F$3)^10</f>
        <v>0</v>
      </c>
      <c r="Q294" s="4">
        <f>M294*(1+0.01*growthrate!$F$3)^10</f>
        <v>0</v>
      </c>
      <c r="R294" s="4">
        <f>N294*(1+0.01*growthrate!$F$3)^10</f>
        <v>0</v>
      </c>
      <c r="S294" s="4">
        <f>O294*(1+0.01*growthrate!$F$3)^10</f>
        <v>50209.640717847346</v>
      </c>
    </row>
    <row r="295" spans="1:19" x14ac:dyDescent="0.2">
      <c r="A295" s="2" t="s">
        <v>595</v>
      </c>
      <c r="B295" s="8" t="s">
        <v>596</v>
      </c>
      <c r="C295" s="4" t="s">
        <v>779</v>
      </c>
      <c r="D295" s="5">
        <v>0</v>
      </c>
      <c r="E295" s="5">
        <v>0</v>
      </c>
      <c r="F295" s="5">
        <v>0</v>
      </c>
      <c r="G295" s="5">
        <v>359625</v>
      </c>
      <c r="H295" s="12">
        <f>D295*(1+0.01*growthrate!E295)^2</f>
        <v>0</v>
      </c>
      <c r="I295" s="4">
        <f>E295*(1+0.01*growthrate!$E$3)^2</f>
        <v>0</v>
      </c>
      <c r="J295" s="4">
        <f>F295*(1+0.01*growthrate!$E$3)^2</f>
        <v>0</v>
      </c>
      <c r="K295" s="4">
        <f>G295*(1+0.01*growthrate!$E$3)^2</f>
        <v>370494.66562499991</v>
      </c>
      <c r="L295" s="12">
        <f>H295*(1+0.01*growthrate!$E$3)^5</f>
        <v>0</v>
      </c>
      <c r="M295" s="4">
        <f>I295*(1+0.01*growthrate!$E$3)^5</f>
        <v>0</v>
      </c>
      <c r="N295" s="4">
        <f>J295*(1+0.01*growthrate!$E$3)^5</f>
        <v>0</v>
      </c>
      <c r="O295" s="4">
        <f>K295*(1+0.01*growthrate!$E$3)^5</f>
        <v>399127.97680230235</v>
      </c>
      <c r="P295" s="12">
        <f>L295*(1+0.01*growthrate!$F$3)^10</f>
        <v>0</v>
      </c>
      <c r="Q295" s="4">
        <f>M295*(1+0.01*growthrate!$F$3)^10</f>
        <v>0</v>
      </c>
      <c r="R295" s="4">
        <f>N295*(1+0.01*growthrate!$F$3)^10</f>
        <v>0</v>
      </c>
      <c r="S295" s="4">
        <f>O295*(1+0.01*growthrate!$F$3)^10</f>
        <v>427963.64341950725</v>
      </c>
    </row>
    <row r="296" spans="1:19" x14ac:dyDescent="0.2">
      <c r="A296" s="2" t="s">
        <v>597</v>
      </c>
      <c r="B296" s="8" t="s">
        <v>598</v>
      </c>
      <c r="C296" s="4" t="s">
        <v>779</v>
      </c>
      <c r="D296" s="5">
        <v>0</v>
      </c>
      <c r="E296" s="5">
        <v>0</v>
      </c>
      <c r="F296" s="5">
        <v>0</v>
      </c>
      <c r="G296" s="5">
        <v>484770</v>
      </c>
      <c r="H296" s="12">
        <f>D296*(1+0.01*growthrate!E296)^2</f>
        <v>0</v>
      </c>
      <c r="I296" s="4">
        <f>E296*(1+0.01*growthrate!$E$3)^2</f>
        <v>0</v>
      </c>
      <c r="J296" s="4">
        <f>F296*(1+0.01*growthrate!$E$3)^2</f>
        <v>0</v>
      </c>
      <c r="K296" s="4">
        <f>G296*(1+0.01*growthrate!$E$3)^2</f>
        <v>499422.17324999988</v>
      </c>
      <c r="L296" s="12">
        <f>H296*(1+0.01*growthrate!$E$3)^5</f>
        <v>0</v>
      </c>
      <c r="M296" s="4">
        <f>I296*(1+0.01*growthrate!$E$3)^5</f>
        <v>0</v>
      </c>
      <c r="N296" s="4">
        <f>J296*(1+0.01*growthrate!$E$3)^5</f>
        <v>0</v>
      </c>
      <c r="O296" s="4">
        <f>K296*(1+0.01*growthrate!$E$3)^5</f>
        <v>538019.51842739549</v>
      </c>
      <c r="P296" s="12">
        <f>L296*(1+0.01*growthrate!$F$3)^10</f>
        <v>0</v>
      </c>
      <c r="Q296" s="4">
        <f>M296*(1+0.01*growthrate!$F$3)^10</f>
        <v>0</v>
      </c>
      <c r="R296" s="4">
        <f>N296*(1+0.01*growthrate!$F$3)^10</f>
        <v>0</v>
      </c>
      <c r="S296" s="4">
        <f>O296*(1+0.01*growthrate!$F$3)^10</f>
        <v>576889.63620569906</v>
      </c>
    </row>
    <row r="297" spans="1:19" x14ac:dyDescent="0.2">
      <c r="A297" s="2" t="s">
        <v>599</v>
      </c>
      <c r="B297" s="8" t="s">
        <v>600</v>
      </c>
      <c r="C297" s="4" t="s">
        <v>779</v>
      </c>
      <c r="D297" s="5">
        <v>0</v>
      </c>
      <c r="E297" s="5">
        <v>0</v>
      </c>
      <c r="F297" s="5">
        <v>0</v>
      </c>
      <c r="G297" s="5">
        <v>609371</v>
      </c>
      <c r="H297" s="12">
        <f>D297*(1+0.01*growthrate!E297)^2</f>
        <v>0</v>
      </c>
      <c r="I297" s="4">
        <f>E297*(1+0.01*growthrate!$E$3)^2</f>
        <v>0</v>
      </c>
      <c r="J297" s="4">
        <f>F297*(1+0.01*growthrate!$E$3)^2</f>
        <v>0</v>
      </c>
      <c r="K297" s="4">
        <f>G297*(1+0.01*growthrate!$E$3)^2</f>
        <v>627789.23847499979</v>
      </c>
      <c r="L297" s="12">
        <f>H297*(1+0.01*growthrate!$E$3)^5</f>
        <v>0</v>
      </c>
      <c r="M297" s="4">
        <f>I297*(1+0.01*growthrate!$E$3)^5</f>
        <v>0</v>
      </c>
      <c r="N297" s="4">
        <f>J297*(1+0.01*growthrate!$E$3)^5</f>
        <v>0</v>
      </c>
      <c r="O297" s="4">
        <f>K297*(1+0.01*growthrate!$E$3)^5</f>
        <v>676307.30441987002</v>
      </c>
      <c r="P297" s="12">
        <f>L297*(1+0.01*growthrate!$F$3)^10</f>
        <v>0</v>
      </c>
      <c r="Q297" s="4">
        <f>M297*(1+0.01*growthrate!$F$3)^10</f>
        <v>0</v>
      </c>
      <c r="R297" s="4">
        <f>N297*(1+0.01*growthrate!$F$3)^10</f>
        <v>0</v>
      </c>
      <c r="S297" s="4">
        <f>O297*(1+0.01*growthrate!$F$3)^10</f>
        <v>725168.25402624544</v>
      </c>
    </row>
    <row r="298" spans="1:19" x14ac:dyDescent="0.2">
      <c r="A298" s="2" t="s">
        <v>601</v>
      </c>
      <c r="B298" s="8" t="s">
        <v>602</v>
      </c>
      <c r="C298" s="4" t="s">
        <v>779</v>
      </c>
      <c r="D298" s="5">
        <v>5068602</v>
      </c>
      <c r="E298" s="5">
        <v>0</v>
      </c>
      <c r="F298" s="5">
        <v>5068602</v>
      </c>
      <c r="G298" s="5">
        <v>12328235</v>
      </c>
      <c r="H298" s="12">
        <f>D298*(1+0.01*growthrate!E298)^2</f>
        <v>5068602</v>
      </c>
      <c r="I298" s="4">
        <f>E298*(1+0.01*growthrate!$E$3)^2</f>
        <v>0</v>
      </c>
      <c r="J298" s="4">
        <f>F298*(1+0.01*growthrate!$E$3)^2</f>
        <v>5221800.4954499984</v>
      </c>
      <c r="K298" s="4">
        <f>G298*(1+0.01*growthrate!$E$3)^2</f>
        <v>12700855.902874997</v>
      </c>
      <c r="L298" s="12">
        <f>H298*(1+0.01*growthrate!$E$3)^5</f>
        <v>5460323.8566563474</v>
      </c>
      <c r="M298" s="4">
        <f>I298*(1+0.01*growthrate!$E$3)^5</f>
        <v>0</v>
      </c>
      <c r="N298" s="4">
        <f>J298*(1+0.01*growthrate!$E$3)^5</f>
        <v>5625362.1452237833</v>
      </c>
      <c r="O298" s="4">
        <f>K298*(1+0.01*growthrate!$E$3)^5</f>
        <v>13682428.899807665</v>
      </c>
      <c r="P298" s="12">
        <f>L298*(1+0.01*growthrate!$F$3)^10</f>
        <v>5854814.0640679486</v>
      </c>
      <c r="Q298" s="4">
        <f>M298*(1+0.01*growthrate!$F$3)^10</f>
        <v>0</v>
      </c>
      <c r="R298" s="4">
        <f>N298*(1+0.01*growthrate!$F$3)^10</f>
        <v>6031775.8191543994</v>
      </c>
      <c r="S298" s="4">
        <f>O298*(1+0.01*growthrate!$F$3)^10</f>
        <v>14670938.804398717</v>
      </c>
    </row>
    <row r="299" spans="1:19" x14ac:dyDescent="0.2">
      <c r="A299" s="2" t="s">
        <v>603</v>
      </c>
      <c r="B299" s="8" t="s">
        <v>604</v>
      </c>
      <c r="C299" s="4" t="s">
        <v>779</v>
      </c>
      <c r="D299" s="5">
        <v>122151</v>
      </c>
      <c r="E299" s="5">
        <v>3394901</v>
      </c>
      <c r="F299" s="5">
        <v>3517052</v>
      </c>
      <c r="G299" s="5">
        <v>71229</v>
      </c>
      <c r="H299" s="12">
        <f>D299*(1+0.01*growthrate!E299)^2</f>
        <v>122151</v>
      </c>
      <c r="I299" s="4">
        <f>E299*(1+0.01*growthrate!$E$3)^2</f>
        <v>3497511.882724999</v>
      </c>
      <c r="J299" s="4">
        <f>F299*(1+0.01*growthrate!$E$3)^2</f>
        <v>3623354.896699999</v>
      </c>
      <c r="K299" s="4">
        <f>G299*(1+0.01*growthrate!$E$3)^2</f>
        <v>73381.896524999975</v>
      </c>
      <c r="L299" s="12">
        <f>H299*(1+0.01*growthrate!$E$3)^5</f>
        <v>131591.3183584802</v>
      </c>
      <c r="M299" s="4">
        <f>I299*(1+0.01*growthrate!$E$3)^5</f>
        <v>3767813.6046551629</v>
      </c>
      <c r="N299" s="4">
        <f>J299*(1+0.01*growthrate!$E$3)^5</f>
        <v>3903382.2706110282</v>
      </c>
      <c r="O299" s="4">
        <f>K299*(1+0.01*growthrate!$E$3)^5</f>
        <v>79053.143301080825</v>
      </c>
      <c r="P299" s="12">
        <f>L299*(1+0.01*growthrate!$F$3)^10</f>
        <v>141098.35270947768</v>
      </c>
      <c r="Q299" s="4">
        <f>M299*(1+0.01*growthrate!$F$3)^10</f>
        <v>4040025.5850080736</v>
      </c>
      <c r="R299" s="4">
        <f>N299*(1+0.01*growthrate!$F$3)^10</f>
        <v>4185388.6354281954</v>
      </c>
      <c r="S299" s="4">
        <f>O299*(1+0.01*growthrate!$F$3)^10</f>
        <v>84764.469536678705</v>
      </c>
    </row>
    <row r="300" spans="1:19" x14ac:dyDescent="0.2">
      <c r="A300" s="2" t="s">
        <v>605</v>
      </c>
      <c r="B300" s="8" t="s">
        <v>606</v>
      </c>
      <c r="C300" s="4" t="s">
        <v>779</v>
      </c>
      <c r="D300" s="5">
        <v>403106</v>
      </c>
      <c r="E300" s="5">
        <v>2427474</v>
      </c>
      <c r="F300" s="5">
        <v>2830580</v>
      </c>
      <c r="G300" s="5">
        <v>2054976</v>
      </c>
      <c r="H300" s="12">
        <f>D300*(1+0.01*growthrate!E300)^2</f>
        <v>403106</v>
      </c>
      <c r="I300" s="4">
        <f>E300*(1+0.01*growthrate!$E$3)^2</f>
        <v>2500844.4016499994</v>
      </c>
      <c r="J300" s="4">
        <f>F300*(1+0.01*growthrate!$E$3)^2</f>
        <v>2916134.2804999994</v>
      </c>
      <c r="K300" s="4">
        <f>G300*(1+0.01*growthrate!$E$3)^2</f>
        <v>2117087.6495999997</v>
      </c>
      <c r="L300" s="12">
        <f>H300*(1+0.01*growthrate!$E$3)^5</f>
        <v>434259.64566981461</v>
      </c>
      <c r="M300" s="4">
        <f>I300*(1+0.01*growthrate!$E$3)^5</f>
        <v>2694119.6701013339</v>
      </c>
      <c r="N300" s="4">
        <f>J300*(1+0.01*growthrate!$E$3)^5</f>
        <v>3141504.8135615182</v>
      </c>
      <c r="O300" s="4">
        <f>K300*(1+0.01*growthrate!$E$3)^5</f>
        <v>2280704.659735247</v>
      </c>
      <c r="P300" s="12">
        <f>L300*(1+0.01*growthrate!$F$3)^10</f>
        <v>465633.45832049439</v>
      </c>
      <c r="Q300" s="4">
        <f>M300*(1+0.01*growthrate!$F$3)^10</f>
        <v>2888760.8407261036</v>
      </c>
      <c r="R300" s="4">
        <f>N300*(1+0.01*growthrate!$F$3)^10</f>
        <v>3368468.0703243348</v>
      </c>
      <c r="S300" s="4">
        <f>O300*(1+0.01*growthrate!$F$3)^10</f>
        <v>2445477.973165507</v>
      </c>
    </row>
    <row r="301" spans="1:19" x14ac:dyDescent="0.2">
      <c r="A301" s="2" t="s">
        <v>607</v>
      </c>
      <c r="B301" s="8" t="s">
        <v>608</v>
      </c>
      <c r="C301" s="4" t="s">
        <v>779</v>
      </c>
      <c r="D301" s="5">
        <v>458769</v>
      </c>
      <c r="E301" s="5">
        <v>3379</v>
      </c>
      <c r="F301" s="5">
        <v>462148</v>
      </c>
      <c r="G301" s="5">
        <v>1001499</v>
      </c>
      <c r="H301" s="12">
        <f>D301*(1+0.01*growthrate!E301)^2</f>
        <v>458769</v>
      </c>
      <c r="I301" s="4">
        <f>E301*(1+0.01*growthrate!$E$3)^2</f>
        <v>3481.1302749999991</v>
      </c>
      <c r="J301" s="4">
        <f>F301*(1+0.01*growthrate!$E$3)^2</f>
        <v>476116.42329999985</v>
      </c>
      <c r="K301" s="4">
        <f>G301*(1+0.01*growthrate!$E$3)^2</f>
        <v>1031769.3072749997</v>
      </c>
      <c r="L301" s="12">
        <f>H301*(1+0.01*growthrate!$E$3)^5</f>
        <v>494224.50517803052</v>
      </c>
      <c r="M301" s="4">
        <f>I301*(1+0.01*growthrate!$E$3)^5</f>
        <v>3750.1659606951121</v>
      </c>
      <c r="N301" s="4">
        <f>J301*(1+0.01*growthrate!$E$3)^5</f>
        <v>512912.60680773144</v>
      </c>
      <c r="O301" s="4">
        <f>K301*(1+0.01*growthrate!$E$3)^5</f>
        <v>1111508.5704262189</v>
      </c>
      <c r="P301" s="12">
        <f>L301*(1+0.01*growthrate!$F$3)^10</f>
        <v>529930.57915346057</v>
      </c>
      <c r="Q301" s="4">
        <f>M301*(1+0.01*growthrate!$F$3)^10</f>
        <v>4021.1029575655616</v>
      </c>
      <c r="R301" s="4">
        <f>N301*(1+0.01*growthrate!$F$3)^10</f>
        <v>549968.83386593929</v>
      </c>
      <c r="S301" s="4">
        <f>O301*(1+0.01*growthrate!$F$3)^10</f>
        <v>1191811.3616155526</v>
      </c>
    </row>
    <row r="302" spans="1:19" x14ac:dyDescent="0.2">
      <c r="A302" s="2" t="s">
        <v>609</v>
      </c>
      <c r="B302" s="8" t="s">
        <v>610</v>
      </c>
      <c r="C302" s="4" t="s">
        <v>779</v>
      </c>
      <c r="D302" s="5">
        <v>656513</v>
      </c>
      <c r="E302" s="5">
        <v>55587</v>
      </c>
      <c r="F302" s="5">
        <v>712100</v>
      </c>
      <c r="G302" s="5">
        <v>93706</v>
      </c>
      <c r="H302" s="12">
        <f>D302*(1+0.01*growthrate!E302)^2</f>
        <v>656513</v>
      </c>
      <c r="I302" s="4">
        <f>E302*(1+0.01*growthrate!$E$3)^2</f>
        <v>57267.117074999987</v>
      </c>
      <c r="J302" s="4">
        <f>F302*(1+0.01*growthrate!$E$3)^2</f>
        <v>733623.2224999998</v>
      </c>
      <c r="K302" s="4">
        <f>G302*(1+0.01*growthrate!$E$3)^2</f>
        <v>96538.263849999974</v>
      </c>
      <c r="L302" s="12">
        <f>H302*(1+0.01*growthrate!$E$3)^5</f>
        <v>707250.95324214222</v>
      </c>
      <c r="M302" s="4">
        <f>I302*(1+0.01*growthrate!$E$3)^5</f>
        <v>61692.949173471206</v>
      </c>
      <c r="N302" s="4">
        <f>J302*(1+0.01*growthrate!$E$3)^5</f>
        <v>790320.56247735699</v>
      </c>
      <c r="O302" s="4">
        <f>K302*(1+0.01*growthrate!$E$3)^5</f>
        <v>103999.12740837412</v>
      </c>
      <c r="P302" s="12">
        <f>L302*(1+0.01*growthrate!$F$3)^10</f>
        <v>758347.47838623764</v>
      </c>
      <c r="Q302" s="4">
        <f>M302*(1+0.01*growthrate!$F$3)^10</f>
        <v>66150.05921935392</v>
      </c>
      <c r="R302" s="4">
        <f>N302*(1+0.01*growthrate!$F$3)^10</f>
        <v>847418.59013981535</v>
      </c>
      <c r="S302" s="4">
        <f>O302*(1+0.01*growthrate!$F$3)^10</f>
        <v>111512.7178874337</v>
      </c>
    </row>
    <row r="303" spans="1:19" x14ac:dyDescent="0.2">
      <c r="A303" s="2" t="s">
        <v>611</v>
      </c>
      <c r="B303" s="8" t="s">
        <v>612</v>
      </c>
      <c r="C303" s="4" t="s">
        <v>779</v>
      </c>
      <c r="D303" s="5">
        <v>7703606</v>
      </c>
      <c r="E303" s="5">
        <v>27572</v>
      </c>
      <c r="F303" s="5">
        <v>7731178</v>
      </c>
      <c r="G303" s="5">
        <v>22515133</v>
      </c>
      <c r="H303" s="12">
        <f>D303*(1+0.01*growthrate!E303)^2</f>
        <v>7703606</v>
      </c>
      <c r="I303" s="4">
        <f>E303*(1+0.01*growthrate!$E$3)^2</f>
        <v>28405.363699999991</v>
      </c>
      <c r="J303" s="4">
        <f>F303*(1+0.01*growthrate!$E$3)^2</f>
        <v>7964852.8550499976</v>
      </c>
      <c r="K303" s="4">
        <f>G303*(1+0.01*growthrate!$E$3)^2</f>
        <v>23195652.894924995</v>
      </c>
      <c r="L303" s="12">
        <f>H303*(1+0.01*growthrate!$E$3)^5</f>
        <v>8298971.516027689</v>
      </c>
      <c r="M303" s="4">
        <f>I303*(1+0.01*growthrate!$E$3)^5</f>
        <v>30600.643938527854</v>
      </c>
      <c r="N303" s="4">
        <f>J303*(1+0.01*growthrate!$E$3)^5</f>
        <v>8580408.5740381517</v>
      </c>
      <c r="O303" s="4">
        <f>K303*(1+0.01*growthrate!$E$3)^5</f>
        <v>24988305.823356975</v>
      </c>
      <c r="P303" s="12">
        <f>L303*(1+0.01*growthrate!$F$3)^10</f>
        <v>8898544.5597895104</v>
      </c>
      <c r="Q303" s="4">
        <f>M303*(1+0.01*growthrate!$F$3)^10</f>
        <v>32811.438516128335</v>
      </c>
      <c r="R303" s="4">
        <f>N303*(1+0.01*growthrate!$F$3)^10</f>
        <v>9200314.5076252744</v>
      </c>
      <c r="S303" s="4">
        <f>O303*(1+0.01*growthrate!$F$3)^10</f>
        <v>26793627.669808216</v>
      </c>
    </row>
    <row r="304" spans="1:19" x14ac:dyDescent="0.2">
      <c r="A304" s="2" t="s">
        <v>613</v>
      </c>
      <c r="B304" s="8" t="s">
        <v>614</v>
      </c>
      <c r="C304" s="4" t="s">
        <v>779</v>
      </c>
      <c r="D304" s="5">
        <v>161852</v>
      </c>
      <c r="E304" s="5">
        <v>3126577</v>
      </c>
      <c r="F304" s="5">
        <v>3288429</v>
      </c>
      <c r="G304" s="5">
        <v>13572627</v>
      </c>
      <c r="H304" s="12">
        <f>D304*(1+0.01*growthrate!E304)^2</f>
        <v>161852</v>
      </c>
      <c r="I304" s="4">
        <f>E304*(1+0.01*growthrate!$E$3)^2</f>
        <v>3221077.7898249989</v>
      </c>
      <c r="J304" s="4">
        <f>F304*(1+0.01*growthrate!$E$3)^2</f>
        <v>3387821.7665249989</v>
      </c>
      <c r="K304" s="4">
        <f>G304*(1+0.01*growthrate!$E$3)^2</f>
        <v>13982859.651074996</v>
      </c>
      <c r="L304" s="12">
        <f>H304*(1+0.01*growthrate!$E$3)^5</f>
        <v>174360.57059669375</v>
      </c>
      <c r="M304" s="4">
        <f>I304*(1+0.01*growthrate!$E$3)^5</f>
        <v>3470015.5782457059</v>
      </c>
      <c r="N304" s="4">
        <f>J304*(1+0.01*growthrate!$E$3)^5</f>
        <v>3649646.1970886849</v>
      </c>
      <c r="O304" s="4">
        <f>K304*(1+0.01*growthrate!$E$3)^5</f>
        <v>15063511.030663338</v>
      </c>
      <c r="P304" s="12">
        <f>L304*(1+0.01*growthrate!$F$3)^10</f>
        <v>186957.54093486242</v>
      </c>
      <c r="Q304" s="4">
        <f>M304*(1+0.01*growthrate!$F$3)^10</f>
        <v>3720712.643313542</v>
      </c>
      <c r="R304" s="4">
        <f>N304*(1+0.01*growthrate!$F$3)^10</f>
        <v>3913320.975923161</v>
      </c>
      <c r="S304" s="4">
        <f>O304*(1+0.01*growthrate!$F$3)^10</f>
        <v>16151799.518092392</v>
      </c>
    </row>
    <row r="305" spans="1:19" x14ac:dyDescent="0.2">
      <c r="A305" s="2" t="s">
        <v>615</v>
      </c>
      <c r="B305" s="8" t="s">
        <v>616</v>
      </c>
      <c r="C305" s="4" t="s">
        <v>779</v>
      </c>
      <c r="D305" s="5">
        <v>4</v>
      </c>
      <c r="E305" s="5">
        <v>5517</v>
      </c>
      <c r="F305" s="5">
        <v>5521</v>
      </c>
      <c r="G305" s="5">
        <v>180207</v>
      </c>
      <c r="H305" s="12">
        <f>D305*(1+0.01*growthrate!E305)^2</f>
        <v>4</v>
      </c>
      <c r="I305" s="4">
        <f>E305*(1+0.01*growthrate!$E$3)^2</f>
        <v>5683.7513249999984</v>
      </c>
      <c r="J305" s="4">
        <f>F305*(1+0.01*growthrate!$E$3)^2</f>
        <v>5687.8722249999983</v>
      </c>
      <c r="K305" s="4">
        <f>G305*(1+0.01*growthrate!$E$3)^2</f>
        <v>185653.75657499995</v>
      </c>
      <c r="L305" s="12">
        <f>H305*(1+0.01*growthrate!$E$3)^5</f>
        <v>4.3091360155374971</v>
      </c>
      <c r="M305" s="4">
        <f>I305*(1+0.01*growthrate!$E$3)^5</f>
        <v>6123.0143844791155</v>
      </c>
      <c r="N305" s="4">
        <f>J305*(1+0.01*growthrate!$E$3)^5</f>
        <v>6127.4537641307224</v>
      </c>
      <c r="O305" s="4">
        <f>K305*(1+0.01*growthrate!$E$3)^5</f>
        <v>200001.82221929092</v>
      </c>
      <c r="P305" s="12">
        <f>L305*(1+0.01*growthrate!$F$3)^10</f>
        <v>4.6204567366448961</v>
      </c>
      <c r="Q305" s="4">
        <f>M305*(1+0.01*growthrate!$F$3)^10</f>
        <v>6565.3817747526491</v>
      </c>
      <c r="R305" s="4">
        <f>N305*(1+0.01*growthrate!$F$3)^10</f>
        <v>6570.1418847941586</v>
      </c>
      <c r="S305" s="4">
        <f>O305*(1+0.01*growthrate!$F$3)^10</f>
        <v>214451.28756259754</v>
      </c>
    </row>
    <row r="306" spans="1:19" x14ac:dyDescent="0.2">
      <c r="A306" s="2" t="s">
        <v>617</v>
      </c>
      <c r="B306" s="8" t="s">
        <v>618</v>
      </c>
      <c r="C306" s="4" t="s">
        <v>779</v>
      </c>
      <c r="D306" s="5">
        <v>5726729</v>
      </c>
      <c r="E306" s="5">
        <v>206</v>
      </c>
      <c r="F306" s="5">
        <v>5726935</v>
      </c>
      <c r="G306" s="5">
        <v>66306</v>
      </c>
      <c r="H306" s="12">
        <f>D306*(1+0.01*growthrate!E306)^2</f>
        <v>5726729</v>
      </c>
      <c r="I306" s="4">
        <f>E306*(1+0.01*growthrate!$E$3)^2</f>
        <v>212.22634999999994</v>
      </c>
      <c r="J306" s="4">
        <f>F306*(1+0.01*growthrate!$E$3)^2</f>
        <v>5900031.6103749983</v>
      </c>
      <c r="K306" s="4">
        <f>G306*(1+0.01*growthrate!$E$3)^2</f>
        <v>68310.09884999998</v>
      </c>
      <c r="L306" s="12">
        <f>H306*(1+0.01*growthrate!$E$3)^5</f>
        <v>6169313.5462807585</v>
      </c>
      <c r="M306" s="4">
        <f>I306*(1+0.01*growthrate!$E$3)^5</f>
        <v>228.62805205776652</v>
      </c>
      <c r="N306" s="4">
        <f>J306*(1+0.01*growthrate!$E$3)^5</f>
        <v>6356009.6762691503</v>
      </c>
      <c r="O306" s="4">
        <f>K306*(1+0.01*growthrate!$E$3)^5</f>
        <v>73589.376794865369</v>
      </c>
      <c r="P306" s="12">
        <f>L306*(1+0.01*growthrate!$F$3)^10</f>
        <v>6615025.8967474215</v>
      </c>
      <c r="Q306" s="4">
        <f>M306*(1+0.01*growthrate!$F$3)^10</f>
        <v>245.14566713776432</v>
      </c>
      <c r="R306" s="4">
        <f>N306*(1+0.01*growthrate!$F$3)^10</f>
        <v>6815210.200143748</v>
      </c>
      <c r="S306" s="4">
        <f>O306*(1+0.01*growthrate!$F$3)^10</f>
        <v>78905.964103090286</v>
      </c>
    </row>
    <row r="307" spans="1:19" x14ac:dyDescent="0.2">
      <c r="A307" s="2" t="s">
        <v>619</v>
      </c>
      <c r="B307" s="8" t="s">
        <v>620</v>
      </c>
      <c r="C307" s="4" t="s">
        <v>779</v>
      </c>
      <c r="D307" s="5">
        <v>1114183</v>
      </c>
      <c r="E307" s="5">
        <v>588</v>
      </c>
      <c r="F307" s="5">
        <v>1114771</v>
      </c>
      <c r="G307" s="5">
        <v>32479</v>
      </c>
      <c r="H307" s="12">
        <f>D307*(1+0.01*growthrate!E307)^2</f>
        <v>1114183</v>
      </c>
      <c r="I307" s="4">
        <f>E307*(1+0.01*growthrate!$E$3)^2</f>
        <v>605.77229999999986</v>
      </c>
      <c r="J307" s="4">
        <f>F307*(1+0.01*growthrate!$E$3)^2</f>
        <v>1148464.9534749996</v>
      </c>
      <c r="K307" s="4">
        <f>G307*(1+0.01*growthrate!$E$3)^2</f>
        <v>33460.677774999989</v>
      </c>
      <c r="L307" s="12">
        <f>H307*(1+0.01*growthrate!$E$3)^5</f>
        <v>1200291.5232999038</v>
      </c>
      <c r="M307" s="4">
        <f>I307*(1+0.01*growthrate!$E$3)^5</f>
        <v>652.5888087862462</v>
      </c>
      <c r="N307" s="4">
        <f>J307*(1+0.01*growthrate!$E$3)^5</f>
        <v>1237222.9234004293</v>
      </c>
      <c r="O307" s="4">
        <f>K307*(1+0.01*growthrate!$E$3)^5</f>
        <v>36046.652926136885</v>
      </c>
      <c r="P307" s="12">
        <f>L307*(1+0.01*growthrate!$F$3)^10</f>
        <v>1287008.587051305</v>
      </c>
      <c r="Q307" s="4">
        <f>M307*(1+0.01*growthrate!$F$3)^10</f>
        <v>699.73617610196811</v>
      </c>
      <c r="R307" s="4">
        <f>N307*(1+0.01*growthrate!$F$3)^10</f>
        <v>1326608.1577710323</v>
      </c>
      <c r="S307" s="4">
        <f>O307*(1+0.01*growthrate!$F$3)^10</f>
        <v>38650.903509550713</v>
      </c>
    </row>
    <row r="308" spans="1:19" x14ac:dyDescent="0.2">
      <c r="A308" s="2" t="s">
        <v>621</v>
      </c>
      <c r="B308" s="8" t="s">
        <v>622</v>
      </c>
      <c r="C308" s="4" t="s">
        <v>779</v>
      </c>
      <c r="D308" s="5">
        <v>3990533</v>
      </c>
      <c r="E308" s="5">
        <v>212</v>
      </c>
      <c r="F308" s="5">
        <v>3990745</v>
      </c>
      <c r="G308" s="5">
        <v>116066</v>
      </c>
      <c r="H308" s="12">
        <f>D308*(1+0.01*growthrate!E308)^2</f>
        <v>3990533</v>
      </c>
      <c r="I308" s="4">
        <f>E308*(1+0.01*growthrate!$E$3)^2</f>
        <v>218.40769999999995</v>
      </c>
      <c r="J308" s="4">
        <f>F308*(1+0.01*growthrate!$E$3)^2</f>
        <v>4111365.2676249989</v>
      </c>
      <c r="K308" s="4">
        <f>G308*(1+0.01*growthrate!$E$3)^2</f>
        <v>119574.09484999996</v>
      </c>
      <c r="L308" s="12">
        <f>H308*(1+0.01*growthrate!$E$3)^5</f>
        <v>4298937.3678727234</v>
      </c>
      <c r="M308" s="4">
        <f>I308*(1+0.01*growthrate!$E$3)^5</f>
        <v>235.28712153517719</v>
      </c>
      <c r="N308" s="4">
        <f>J308*(1+0.01*growthrate!$E$3)^5</f>
        <v>4429108.0369382109</v>
      </c>
      <c r="O308" s="4">
        <f>K308*(1+0.01*growthrate!$E$3)^5</f>
        <v>128815.2596608579</v>
      </c>
      <c r="P308" s="12">
        <f>L308*(1+0.01*growthrate!$F$3)^10</f>
        <v>4609521.2706634412</v>
      </c>
      <c r="Q308" s="4">
        <f>M308*(1+0.01*growthrate!$F$3)^10</f>
        <v>252.28583220002929</v>
      </c>
      <c r="R308" s="4">
        <f>N308*(1+0.01*growthrate!$F$3)^10</f>
        <v>4749096.3369014431</v>
      </c>
      <c r="S308" s="4">
        <f>O308*(1+0.01*growthrate!$F$3)^10</f>
        <v>138121.73301947452</v>
      </c>
    </row>
    <row r="309" spans="1:19" x14ac:dyDescent="0.2">
      <c r="A309" s="2" t="s">
        <v>623</v>
      </c>
      <c r="B309" s="8" t="s">
        <v>624</v>
      </c>
      <c r="C309" s="4" t="s">
        <v>779</v>
      </c>
      <c r="D309" s="5">
        <v>348860</v>
      </c>
      <c r="E309" s="5">
        <v>1519</v>
      </c>
      <c r="F309" s="5">
        <v>350379</v>
      </c>
      <c r="G309" s="5">
        <v>963413</v>
      </c>
      <c r="H309" s="12">
        <f>D309*(1+0.01*growthrate!E309)^2</f>
        <v>348860</v>
      </c>
      <c r="I309" s="4">
        <f>E309*(1+0.01*growthrate!$E$3)^2</f>
        <v>1564.9117749999996</v>
      </c>
      <c r="J309" s="4">
        <f>F309*(1+0.01*growthrate!$E$3)^2</f>
        <v>360969.2052749999</v>
      </c>
      <c r="K309" s="4">
        <f>G309*(1+0.01*growthrate!$E$3)^2</f>
        <v>992532.15792499972</v>
      </c>
      <c r="L309" s="12">
        <f>H309*(1+0.01*growthrate!$E$3)^5</f>
        <v>375821.29759510281</v>
      </c>
      <c r="M309" s="4">
        <f>I309*(1+0.01*growthrate!$E$3)^5</f>
        <v>1685.8544226978026</v>
      </c>
      <c r="N309" s="4">
        <f>J309*(1+0.01*growthrate!$E$3)^5</f>
        <v>388866.35073761246</v>
      </c>
      <c r="O309" s="4">
        <f>K309*(1+0.01*growthrate!$E$3)^5</f>
        <v>1069239.0170734418</v>
      </c>
      <c r="P309" s="12">
        <f>L309*(1+0.01*growthrate!$F$3)^10</f>
        <v>402973.13428648462</v>
      </c>
      <c r="Q309" s="4">
        <f>M309*(1+0.01*growthrate!$F$3)^10</f>
        <v>1807.6517882634175</v>
      </c>
      <c r="R309" s="4">
        <f>N309*(1+0.01*growthrate!$F$3)^10</f>
        <v>416960.64905855688</v>
      </c>
      <c r="S309" s="4">
        <f>O309*(1+0.01*growthrate!$F$3)^10</f>
        <v>1146487.9738553152</v>
      </c>
    </row>
    <row r="310" spans="1:19" x14ac:dyDescent="0.2">
      <c r="A310" s="2" t="s">
        <v>625</v>
      </c>
      <c r="B310" s="8" t="s">
        <v>626</v>
      </c>
      <c r="C310" s="4" t="s">
        <v>779</v>
      </c>
      <c r="D310" s="5">
        <v>1314593</v>
      </c>
      <c r="E310" s="5">
        <v>827</v>
      </c>
      <c r="F310" s="5">
        <v>1315420</v>
      </c>
      <c r="G310" s="5">
        <v>796560</v>
      </c>
      <c r="H310" s="12">
        <f>D310*(1+0.01*growthrate!E310)^2</f>
        <v>1314593</v>
      </c>
      <c r="I310" s="4">
        <f>E310*(1+0.01*growthrate!$E$3)^2</f>
        <v>851.99607499999979</v>
      </c>
      <c r="J310" s="4">
        <f>F310*(1+0.01*growthrate!$E$3)^2</f>
        <v>1355178.5694999998</v>
      </c>
      <c r="K310" s="4">
        <f>G310*(1+0.01*growthrate!$E$3)^2</f>
        <v>820636.02599999984</v>
      </c>
      <c r="L310" s="12">
        <f>H310*(1+0.01*growthrate!$E$3)^5</f>
        <v>1416190.0105183714</v>
      </c>
      <c r="M310" s="4">
        <f>I310*(1+0.01*growthrate!$E$3)^5</f>
        <v>917.84174296977142</v>
      </c>
      <c r="N310" s="4">
        <f>J310*(1+0.01*growthrate!$E$3)^5</f>
        <v>1459912.1953292585</v>
      </c>
      <c r="O310" s="4">
        <f>K310*(1+0.01*growthrate!$E$3)^5</f>
        <v>884058.06382104126</v>
      </c>
      <c r="P310" s="12">
        <f>L310*(1+0.01*growthrate!$F$3)^10</f>
        <v>1518505.0206990561</v>
      </c>
      <c r="Q310" s="4">
        <f>M310*(1+0.01*growthrate!$F$3)^10</f>
        <v>984.15275108218975</v>
      </c>
      <c r="R310" s="4">
        <f>N310*(1+0.01*growthrate!$F$3)^10</f>
        <v>1565385.9877007667</v>
      </c>
      <c r="S310" s="4">
        <f>O310*(1+0.01*growthrate!$F$3)^10</f>
        <v>947928.31366629875</v>
      </c>
    </row>
    <row r="311" spans="1:19" x14ac:dyDescent="0.2">
      <c r="A311" s="2" t="s">
        <v>627</v>
      </c>
      <c r="B311" s="8" t="s">
        <v>628</v>
      </c>
      <c r="C311" s="4" t="s">
        <v>779</v>
      </c>
      <c r="D311" s="5">
        <v>94931</v>
      </c>
      <c r="E311" s="5">
        <v>489</v>
      </c>
      <c r="F311" s="5">
        <v>95420</v>
      </c>
      <c r="G311" s="5">
        <v>111995</v>
      </c>
      <c r="H311" s="12">
        <f>D311*(1+0.01*growthrate!E311)^2</f>
        <v>94931</v>
      </c>
      <c r="I311" s="4">
        <f>E311*(1+0.01*growthrate!$E$3)^2</f>
        <v>503.78002499999985</v>
      </c>
      <c r="J311" s="4">
        <f>F311*(1+0.01*growthrate!$E$3)^2</f>
        <v>98304.069499999969</v>
      </c>
      <c r="K311" s="4">
        <f>G311*(1+0.01*growthrate!$E$3)^2</f>
        <v>115380.04887499996</v>
      </c>
      <c r="L311" s="12">
        <f>H311*(1+0.01*growthrate!$E$3)^5</f>
        <v>102267.64777274753</v>
      </c>
      <c r="M311" s="4">
        <f>I311*(1+0.01*growthrate!$E$3)^5</f>
        <v>542.71416240896997</v>
      </c>
      <c r="N311" s="4">
        <f>J311*(1+0.01*growthrate!$E$3)^5</f>
        <v>105901.40158908776</v>
      </c>
      <c r="O311" s="4">
        <f>K311*(1+0.01*growthrate!$E$3)^5</f>
        <v>124297.08102043475</v>
      </c>
      <c r="P311" s="12">
        <f>L311*(1+0.01*growthrate!$F$3)^10</f>
        <v>109656.14461660915</v>
      </c>
      <c r="Q311" s="4">
        <f>M311*(1+0.01*growthrate!$F$3)^10</f>
        <v>581.92345257459579</v>
      </c>
      <c r="R311" s="4">
        <f>N311*(1+0.01*growthrate!$F$3)^10</f>
        <v>113552.42504022073</v>
      </c>
      <c r="S311" s="4">
        <f>O311*(1+0.01*growthrate!$F$3)^10</f>
        <v>133277.13102472774</v>
      </c>
    </row>
    <row r="312" spans="1:19" x14ac:dyDescent="0.2">
      <c r="A312" s="2" t="s">
        <v>629</v>
      </c>
      <c r="B312" s="8" t="s">
        <v>630</v>
      </c>
      <c r="C312" s="4" t="s">
        <v>779</v>
      </c>
      <c r="D312" s="5">
        <v>1165301</v>
      </c>
      <c r="E312" s="5">
        <v>218140</v>
      </c>
      <c r="F312" s="5">
        <v>1383441</v>
      </c>
      <c r="G312" s="5">
        <v>472306</v>
      </c>
      <c r="H312" s="12">
        <f>D312*(1+0.01*growthrate!E312)^2</f>
        <v>1165301</v>
      </c>
      <c r="I312" s="4">
        <f>E312*(1+0.01*growthrate!$E$3)^2</f>
        <v>224733.28149999995</v>
      </c>
      <c r="J312" s="4">
        <f>F312*(1+0.01*growthrate!$E$3)^2</f>
        <v>1425255.5042249996</v>
      </c>
      <c r="K312" s="4">
        <f>G312*(1+0.01*growthrate!$E$3)^2</f>
        <v>486581.44884999987</v>
      </c>
      <c r="L312" s="12">
        <f>H312*(1+0.01*growthrate!$E$3)^5</f>
        <v>1255360.1270104651</v>
      </c>
      <c r="M312" s="4">
        <f>I312*(1+0.01*growthrate!$E$3)^5</f>
        <v>242101.56930039413</v>
      </c>
      <c r="N312" s="4">
        <f>J312*(1+0.01*growthrate!$E$3)^5</f>
        <v>1535404.9561497504</v>
      </c>
      <c r="O312" s="4">
        <f>K312*(1+0.01*growthrate!$E$3)^5</f>
        <v>524186.41143298772</v>
      </c>
      <c r="P312" s="12">
        <f>L312*(1+0.01*growthrate!$F$3)^10</f>
        <v>1346055.7139172584</v>
      </c>
      <c r="Q312" s="4">
        <f>M312*(1+0.01*growthrate!$F$3)^10</f>
        <v>259592.60111374714</v>
      </c>
      <c r="R312" s="4">
        <f>N312*(1+0.01*growthrate!$F$3)^10</f>
        <v>1646332.8489841544</v>
      </c>
      <c r="S312" s="4">
        <f>O312*(1+0.01*growthrate!$F$3)^10</f>
        <v>562057.13331635389</v>
      </c>
    </row>
    <row r="313" spans="1:19" x14ac:dyDescent="0.2">
      <c r="A313" s="2" t="s">
        <v>631</v>
      </c>
      <c r="B313" s="8" t="s">
        <v>632</v>
      </c>
      <c r="C313" s="4" t="s">
        <v>779</v>
      </c>
      <c r="D313" s="5">
        <v>993323</v>
      </c>
      <c r="E313" s="5">
        <v>3246882</v>
      </c>
      <c r="F313" s="5">
        <v>4240205</v>
      </c>
      <c r="G313" s="5">
        <v>9404427</v>
      </c>
      <c r="H313" s="12">
        <f>D313*(1+0.01*growthrate!E313)^2</f>
        <v>993323</v>
      </c>
      <c r="I313" s="4">
        <f>E313*(1+0.01*growthrate!$E$3)^2</f>
        <v>3345019.0084499991</v>
      </c>
      <c r="J313" s="4">
        <f>F313*(1+0.01*growthrate!$E$3)^2</f>
        <v>4368365.1961249989</v>
      </c>
      <c r="K313" s="4">
        <f>G313*(1+0.01*growthrate!$E$3)^2</f>
        <v>9688675.8060749974</v>
      </c>
      <c r="L313" s="12">
        <f>H313*(1+0.01*growthrate!$E$3)^5</f>
        <v>1070090.9785904384</v>
      </c>
      <c r="M313" s="4">
        <f>I313*(1+0.01*growthrate!$E$3)^5</f>
        <v>3603535.4704923546</v>
      </c>
      <c r="N313" s="4">
        <f>J313*(1+0.01*growthrate!$E$3)^5</f>
        <v>4705969.948910689</v>
      </c>
      <c r="O313" s="4">
        <f>K313*(1+0.01*growthrate!$E$3)^5</f>
        <v>10437455.464706142</v>
      </c>
      <c r="P313" s="12">
        <f>L313*(1+0.01*growthrate!$F$3)^10</f>
        <v>1147401.4867535795</v>
      </c>
      <c r="Q313" s="4">
        <f>M313*(1+0.01*growthrate!$F$3)^10</f>
        <v>3863878.9029495069</v>
      </c>
      <c r="R313" s="4">
        <f>N313*(1+0.01*growthrate!$F$3)^10</f>
        <v>5045960.5996402139</v>
      </c>
      <c r="S313" s="4">
        <f>O313*(1+0.01*growthrate!$F$3)^10</f>
        <v>11191526.849336911</v>
      </c>
    </row>
    <row r="314" spans="1:19" x14ac:dyDescent="0.2">
      <c r="A314" s="2" t="s">
        <v>633</v>
      </c>
      <c r="B314" s="8" t="s">
        <v>634</v>
      </c>
      <c r="C314" s="4" t="s">
        <v>779</v>
      </c>
      <c r="D314" s="5">
        <v>407812</v>
      </c>
      <c r="E314" s="5">
        <v>1576786</v>
      </c>
      <c r="F314" s="5">
        <v>1984598</v>
      </c>
      <c r="G314" s="5">
        <v>1343976</v>
      </c>
      <c r="H314" s="12">
        <f>D314*(1+0.01*growthrate!E314)^2</f>
        <v>407812</v>
      </c>
      <c r="I314" s="4">
        <f>E314*(1+0.01*growthrate!$E$3)^2</f>
        <v>1624444.3568499996</v>
      </c>
      <c r="J314" s="4">
        <f>F314*(1+0.01*growthrate!$E$3)^2</f>
        <v>2044582.4745499995</v>
      </c>
      <c r="K314" s="4">
        <f>G314*(1+0.01*growthrate!$E$3)^2</f>
        <v>1384597.6745999996</v>
      </c>
      <c r="L314" s="12">
        <f>H314*(1+0.01*growthrate!$E$3)^5</f>
        <v>439329.34419209446</v>
      </c>
      <c r="M314" s="4">
        <f>I314*(1+0.01*growthrate!$E$3)^5</f>
        <v>1749987.9208347448</v>
      </c>
      <c r="N314" s="4">
        <f>J314*(1+0.01*growthrate!$E$3)^5</f>
        <v>2202595.9944550451</v>
      </c>
      <c r="O314" s="4">
        <f>K314*(1+0.01*growthrate!$E$3)^5</f>
        <v>1491604.9266620816</v>
      </c>
      <c r="P314" s="12">
        <f>L314*(1+0.01*growthrate!$F$3)^10</f>
        <v>471069.42567115708</v>
      </c>
      <c r="Q314" s="4">
        <f>M314*(1+0.01*growthrate!$F$3)^10</f>
        <v>1876418.7179780914</v>
      </c>
      <c r="R314" s="4">
        <f>N314*(1+0.01*growthrate!$F$3)^10</f>
        <v>2361726.2170401588</v>
      </c>
      <c r="S314" s="4">
        <f>O314*(1+0.01*growthrate!$F$3)^10</f>
        <v>1599368.4132871064</v>
      </c>
    </row>
    <row r="315" spans="1:19" x14ac:dyDescent="0.2">
      <c r="A315" s="2" t="s">
        <v>635</v>
      </c>
      <c r="B315" s="8" t="s">
        <v>636</v>
      </c>
      <c r="C315" s="4" t="s">
        <v>779</v>
      </c>
      <c r="D315" s="5">
        <v>127329</v>
      </c>
      <c r="E315" s="5">
        <v>873989</v>
      </c>
      <c r="F315" s="5">
        <v>1001318</v>
      </c>
      <c r="G315" s="5">
        <v>1007847</v>
      </c>
      <c r="H315" s="12">
        <f>D315*(1+0.01*growthrate!E315)^2</f>
        <v>127329</v>
      </c>
      <c r="I315" s="4">
        <f>E315*(1+0.01*growthrate!$E$3)^2</f>
        <v>900405.31752499973</v>
      </c>
      <c r="J315" s="4">
        <f>F315*(1+0.01*growthrate!$E$3)^2</f>
        <v>1031582.8365499998</v>
      </c>
      <c r="K315" s="4">
        <f>G315*(1+0.01*growthrate!$E$3)^2</f>
        <v>1038309.1755749998</v>
      </c>
      <c r="L315" s="12">
        <f>H315*(1+0.01*growthrate!$E$3)^5</f>
        <v>137169.4949305935</v>
      </c>
      <c r="M315" s="4">
        <f>I315*(1+0.01*growthrate!$E$3)^5</f>
        <v>969992.24558211304</v>
      </c>
      <c r="N315" s="4">
        <f>J315*(1+0.01*growthrate!$E$3)^5</f>
        <v>1111307.6884969838</v>
      </c>
      <c r="O315" s="4">
        <f>K315*(1+0.01*growthrate!$E$3)^5</f>
        <v>1118553.8659333196</v>
      </c>
      <c r="P315" s="12">
        <f>L315*(1+0.01*growthrate!$F$3)^10</f>
        <v>147079.53395506449</v>
      </c>
      <c r="Q315" s="4">
        <f>M315*(1+0.01*growthrate!$F$3)^10</f>
        <v>1040070.9537673179</v>
      </c>
      <c r="R315" s="4">
        <f>N315*(1+0.01*growthrate!$F$3)^10</f>
        <v>1191595.9666361744</v>
      </c>
      <c r="S315" s="4">
        <f>O315*(1+0.01*growthrate!$F$3)^10</f>
        <v>1199365.6562514289</v>
      </c>
    </row>
    <row r="316" spans="1:19" x14ac:dyDescent="0.2">
      <c r="A316" s="2" t="s">
        <v>637</v>
      </c>
      <c r="B316" s="8" t="s">
        <v>638</v>
      </c>
      <c r="C316" s="4" t="s">
        <v>779</v>
      </c>
      <c r="D316" s="5">
        <v>188753</v>
      </c>
      <c r="E316" s="5">
        <v>1172606</v>
      </c>
      <c r="F316" s="5">
        <v>1361359</v>
      </c>
      <c r="G316" s="5">
        <v>450171</v>
      </c>
      <c r="H316" s="12">
        <f>D316*(1+0.01*growthrate!E316)^2</f>
        <v>188753</v>
      </c>
      <c r="I316" s="4">
        <f>E316*(1+0.01*growthrate!$E$3)^2</f>
        <v>1208048.0163499997</v>
      </c>
      <c r="J316" s="4">
        <f>F316*(1+0.01*growthrate!$E$3)^2</f>
        <v>1402506.0757749996</v>
      </c>
      <c r="K316" s="4">
        <f>G316*(1+0.01*growthrate!$E$3)^2</f>
        <v>463777.4184749999</v>
      </c>
      <c r="L316" s="12">
        <f>H316*(1+0.01*growthrate!$E$3)^5</f>
        <v>203340.58758518731</v>
      </c>
      <c r="M316" s="4">
        <f>I316*(1+0.01*growthrate!$E$3)^5</f>
        <v>1301410.8039381038</v>
      </c>
      <c r="N316" s="4">
        <f>J316*(1+0.01*growthrate!$E$3)^5</f>
        <v>1510897.3607830531</v>
      </c>
      <c r="O316" s="4">
        <f>K316*(1+0.01*growthrate!$E$3)^5</f>
        <v>499619.99428590684</v>
      </c>
      <c r="P316" s="12">
        <f>L316*(1+0.01*growthrate!$F$3)^10</f>
        <v>218031.26760298354</v>
      </c>
      <c r="Q316" s="4">
        <f>M316*(1+0.01*growthrate!$F$3)^10</f>
        <v>1395433.3988337151</v>
      </c>
      <c r="R316" s="4">
        <f>N316*(1+0.01*growthrate!$F$3)^10</f>
        <v>1620054.6614999983</v>
      </c>
      <c r="S316" s="4">
        <f>O316*(1+0.01*growthrate!$F$3)^10</f>
        <v>535715.87437414809</v>
      </c>
    </row>
    <row r="317" spans="1:19" x14ac:dyDescent="0.2">
      <c r="A317" s="2" t="s">
        <v>639</v>
      </c>
      <c r="B317" s="8" t="s">
        <v>640</v>
      </c>
      <c r="C317" s="4" t="s">
        <v>779</v>
      </c>
      <c r="D317" s="5">
        <v>3089970</v>
      </c>
      <c r="E317" s="5">
        <v>7924731</v>
      </c>
      <c r="F317" s="5">
        <v>11014701</v>
      </c>
      <c r="G317" s="5">
        <v>244437</v>
      </c>
      <c r="H317" s="12">
        <f>D317*(1+0.01*growthrate!E317)^2</f>
        <v>3089970</v>
      </c>
      <c r="I317" s="4">
        <f>E317*(1+0.01*growthrate!$E$3)^2</f>
        <v>8164255.9944749977</v>
      </c>
      <c r="J317" s="4">
        <f>F317*(1+0.01*growthrate!$E$3)^2</f>
        <v>11347620.337724997</v>
      </c>
      <c r="K317" s="4">
        <f>G317*(1+0.01*growthrate!$E$3)^2</f>
        <v>251825.10832499992</v>
      </c>
      <c r="L317" s="12">
        <f>H317*(1+0.01*growthrate!$E$3)^5</f>
        <v>3328775.2534826002</v>
      </c>
      <c r="M317" s="4">
        <f>I317*(1+0.01*growthrate!$E$3)^5</f>
        <v>8795222.3864650298</v>
      </c>
      <c r="N317" s="4">
        <f>J317*(1+0.01*growthrate!$E$3)^5</f>
        <v>12224609.871984141</v>
      </c>
      <c r="O317" s="4">
        <f>K317*(1+0.01*growthrate!$E$3)^5</f>
        <v>271287.16097497218</v>
      </c>
      <c r="P317" s="12">
        <f>L317*(1+0.01*growthrate!$F$3)^10</f>
        <v>3569268.1756326575</v>
      </c>
      <c r="Q317" s="4">
        <f>M317*(1+0.01*growthrate!$F$3)^10</f>
        <v>9430647.9023413695</v>
      </c>
      <c r="R317" s="4">
        <f>N317*(1+0.01*growthrate!$F$3)^10</f>
        <v>13107797.208582524</v>
      </c>
      <c r="S317" s="4">
        <f>O317*(1+0.01*growthrate!$F$3)^10</f>
        <v>290886.75455414411</v>
      </c>
    </row>
    <row r="318" spans="1:19" x14ac:dyDescent="0.2">
      <c r="A318" s="2" t="s">
        <v>641</v>
      </c>
      <c r="B318" s="8" t="s">
        <v>642</v>
      </c>
      <c r="C318" s="4" t="s">
        <v>779</v>
      </c>
      <c r="D318" s="5">
        <v>234281</v>
      </c>
      <c r="E318" s="5">
        <v>9378</v>
      </c>
      <c r="F318" s="5">
        <v>243659</v>
      </c>
      <c r="G318" s="5">
        <v>799392</v>
      </c>
      <c r="H318" s="12">
        <f>D318*(1+0.01*growthrate!E318)^2</f>
        <v>234281</v>
      </c>
      <c r="I318" s="4">
        <f>E318*(1+0.01*growthrate!$E$3)^2</f>
        <v>9661.4500499999976</v>
      </c>
      <c r="J318" s="4">
        <f>F318*(1+0.01*growthrate!$E$3)^2</f>
        <v>251023.59327499993</v>
      </c>
      <c r="K318" s="4">
        <f>G318*(1+0.01*growthrate!$E$3)^2</f>
        <v>823553.6231999998</v>
      </c>
      <c r="L318" s="12">
        <f>H318*(1+0.01*growthrate!$E$3)^5</f>
        <v>252387.1737140351</v>
      </c>
      <c r="M318" s="4">
        <f>I318*(1+0.01*growthrate!$E$3)^5</f>
        <v>10408.125593192886</v>
      </c>
      <c r="N318" s="4">
        <f>J318*(1+0.01*growthrate!$E$3)^5</f>
        <v>270423.70163273462</v>
      </c>
      <c r="O318" s="4">
        <f>K318*(1+0.01*growthrate!$E$3)^5</f>
        <v>887201.14461437915</v>
      </c>
      <c r="P318" s="12">
        <f>L318*(1+0.01*growthrate!$F$3)^10</f>
        <v>270621.30617947574</v>
      </c>
      <c r="Q318" s="4">
        <f>M318*(1+0.01*growthrate!$F$3)^10</f>
        <v>11160.077992320164</v>
      </c>
      <c r="R318" s="4">
        <f>N318*(1+0.01*growthrate!$F$3)^10</f>
        <v>289960.91315107048</v>
      </c>
      <c r="S318" s="4">
        <f>O318*(1+0.01*growthrate!$F$3)^10</f>
        <v>951298.47157568787</v>
      </c>
    </row>
    <row r="319" spans="1:19" x14ac:dyDescent="0.2">
      <c r="A319" s="2" t="s">
        <v>643</v>
      </c>
      <c r="B319" s="8" t="s">
        <v>644</v>
      </c>
      <c r="C319" s="4" t="s">
        <v>779</v>
      </c>
      <c r="D319" s="5">
        <v>448632</v>
      </c>
      <c r="E319" s="5">
        <v>36518</v>
      </c>
      <c r="F319" s="5">
        <v>485150</v>
      </c>
      <c r="G319" s="5">
        <v>1407887</v>
      </c>
      <c r="H319" s="12">
        <f>D319*(1+0.01*growthrate!E319)^2</f>
        <v>448632</v>
      </c>
      <c r="I319" s="4">
        <f>E319*(1+0.01*growthrate!$E$3)^2</f>
        <v>37621.756549999991</v>
      </c>
      <c r="J319" s="4">
        <f>F319*(1+0.01*growthrate!$E$3)^2</f>
        <v>499813.65874999989</v>
      </c>
      <c r="K319" s="4">
        <f>G319*(1+0.01*growthrate!$E$3)^2</f>
        <v>1450440.3845749996</v>
      </c>
      <c r="L319" s="12">
        <f>H319*(1+0.01*growthrate!$E$3)^5</f>
        <v>483304.0772306546</v>
      </c>
      <c r="M319" s="4">
        <f>I319*(1+0.01*growthrate!$E$3)^5</f>
        <v>40529.316529347176</v>
      </c>
      <c r="N319" s="4">
        <f>J319*(1+0.01*growthrate!$E$3)^5</f>
        <v>538441.25949429825</v>
      </c>
      <c r="O319" s="4">
        <f>K319*(1+0.01*growthrate!$E$3)^5</f>
        <v>1562536.2248905471</v>
      </c>
      <c r="P319" s="12">
        <f>L319*(1+0.01*growthrate!$F$3)^10</f>
        <v>518221.18666861823</v>
      </c>
      <c r="Q319" s="4">
        <f>M319*(1+0.01*growthrate!$F$3)^10</f>
        <v>43457.424623965424</v>
      </c>
      <c r="R319" s="4">
        <f>N319*(1+0.01*growthrate!$F$3)^10</f>
        <v>577341.84665964264</v>
      </c>
      <c r="S319" s="4">
        <f>O319*(1+0.01*growthrate!$F$3)^10</f>
        <v>1675424.2615028427</v>
      </c>
    </row>
    <row r="320" spans="1:19" x14ac:dyDescent="0.2">
      <c r="A320" s="2" t="s">
        <v>645</v>
      </c>
      <c r="B320" s="8" t="s">
        <v>646</v>
      </c>
      <c r="C320" s="4" t="s">
        <v>779</v>
      </c>
      <c r="D320" s="5">
        <v>2560</v>
      </c>
      <c r="E320" s="5">
        <v>1401</v>
      </c>
      <c r="F320" s="5">
        <v>3961</v>
      </c>
      <c r="G320" s="5">
        <v>132344</v>
      </c>
      <c r="H320" s="12">
        <f>D320*(1+0.01*growthrate!E320)^2</f>
        <v>2560</v>
      </c>
      <c r="I320" s="4">
        <f>E320*(1+0.01*growthrate!$E$3)^2</f>
        <v>1443.3452249999996</v>
      </c>
      <c r="J320" s="4">
        <f>F320*(1+0.01*growthrate!$E$3)^2</f>
        <v>4080.7212249999989</v>
      </c>
      <c r="K320" s="4">
        <f>G320*(1+0.01*growthrate!$E$3)^2</f>
        <v>136344.09739999997</v>
      </c>
      <c r="L320" s="12">
        <f>H320*(1+0.01*growthrate!$E$3)^5</f>
        <v>2757.8470499439982</v>
      </c>
      <c r="M320" s="4">
        <f>I320*(1+0.01*growthrate!$E$3)^5</f>
        <v>1554.8927229753926</v>
      </c>
      <c r="N320" s="4">
        <f>J320*(1+0.01*growthrate!$E$3)^5</f>
        <v>4396.0957000039471</v>
      </c>
      <c r="O320" s="4">
        <f>K320*(1+0.01*growthrate!$E$3)^5</f>
        <v>146881.31515307308</v>
      </c>
      <c r="P320" s="12">
        <f>L320*(1+0.01*growthrate!$F$3)^10</f>
        <v>2957.0923114527336</v>
      </c>
      <c r="Q320" s="4">
        <f>M320*(1+0.01*growthrate!$F$3)^10</f>
        <v>1667.2285420388728</v>
      </c>
      <c r="R320" s="4">
        <f>N320*(1+0.01*growthrate!$F$3)^10</f>
        <v>4713.6989686052639</v>
      </c>
      <c r="S320" s="4">
        <f>O320*(1+0.01*growthrate!$F$3)^10</f>
        <v>157493.00083339945</v>
      </c>
    </row>
    <row r="321" spans="1:19" x14ac:dyDescent="0.2">
      <c r="A321" s="2" t="s">
        <v>647</v>
      </c>
      <c r="B321" s="8" t="s">
        <v>648</v>
      </c>
      <c r="C321" s="4" t="s">
        <v>779</v>
      </c>
      <c r="D321" s="5">
        <v>5192</v>
      </c>
      <c r="E321" s="5">
        <v>11</v>
      </c>
      <c r="F321" s="5">
        <v>5203</v>
      </c>
      <c r="G321" s="5">
        <v>232525</v>
      </c>
      <c r="H321" s="12">
        <f>D321*(1+0.01*growthrate!E321)^2</f>
        <v>5192</v>
      </c>
      <c r="I321" s="4">
        <f>E321*(1+0.01*growthrate!$E$3)^2</f>
        <v>11.332474999999997</v>
      </c>
      <c r="J321" s="4">
        <f>F321*(1+0.01*growthrate!$E$3)^2</f>
        <v>5360.2606749999986</v>
      </c>
      <c r="K321" s="4">
        <f>G321*(1+0.01*growthrate!$E$3)^2</f>
        <v>239553.06812499993</v>
      </c>
      <c r="L321" s="12">
        <f>H321*(1+0.01*growthrate!$E$3)^5</f>
        <v>5593.2585481676715</v>
      </c>
      <c r="M321" s="4">
        <f>I321*(1+0.01*growthrate!$E$3)^5</f>
        <v>12.20829404191957</v>
      </c>
      <c r="N321" s="4">
        <f>J321*(1+0.01*growthrate!$E$3)^5</f>
        <v>5774.523081827957</v>
      </c>
      <c r="O321" s="4">
        <f>K321*(1+0.01*growthrate!$E$3)^5</f>
        <v>258066.68837248621</v>
      </c>
      <c r="P321" s="12">
        <f>L321*(1+0.01*growthrate!$F$3)^10</f>
        <v>5997.3528441650751</v>
      </c>
      <c r="Q321" s="4">
        <f>M321*(1+0.01*growthrate!$F$3)^10</f>
        <v>13.090302614152463</v>
      </c>
      <c r="R321" s="4">
        <f>N321*(1+0.01*growthrate!$F$3)^10</f>
        <v>6191.7131364941151</v>
      </c>
      <c r="S321" s="4">
        <f>O321*(1+0.01*growthrate!$F$3)^10</f>
        <v>276711.14685052744</v>
      </c>
    </row>
    <row r="322" spans="1:19" x14ac:dyDescent="0.2">
      <c r="A322" s="2" t="s">
        <v>649</v>
      </c>
      <c r="B322" s="8" t="s">
        <v>650</v>
      </c>
      <c r="C322" s="4" t="s">
        <v>779</v>
      </c>
      <c r="D322" s="5">
        <v>795701</v>
      </c>
      <c r="E322" s="5">
        <v>1129</v>
      </c>
      <c r="F322" s="5">
        <v>796830</v>
      </c>
      <c r="G322" s="5">
        <v>627333</v>
      </c>
      <c r="H322" s="12">
        <f>D322*(1+0.01*growthrate!E322)^2</f>
        <v>795701</v>
      </c>
      <c r="I322" s="4">
        <f>E322*(1+0.01*growthrate!$E$3)^2</f>
        <v>1163.1240249999996</v>
      </c>
      <c r="J322" s="4">
        <f>F322*(1+0.01*growthrate!$E$3)^2</f>
        <v>820914.18674999976</v>
      </c>
      <c r="K322" s="4">
        <f>G322*(1+0.01*growthrate!$E$3)^2</f>
        <v>646294.13992499979</v>
      </c>
      <c r="L322" s="12">
        <f>H322*(1+0.01*growthrate!$E$3)^5</f>
        <v>857195.95917480055</v>
      </c>
      <c r="M322" s="4">
        <f>I322*(1+0.01*growthrate!$E$3)^5</f>
        <v>1253.0149066661086</v>
      </c>
      <c r="N322" s="4">
        <f>J322*(1+0.01*growthrate!$E$3)^5</f>
        <v>884357.7219475247</v>
      </c>
      <c r="O322" s="4">
        <f>K322*(1+0.01*growthrate!$E$3)^5</f>
        <v>696242.33874541183</v>
      </c>
      <c r="P322" s="12">
        <f>L322*(1+0.01*growthrate!$F$3)^10</f>
        <v>919125.5114512702</v>
      </c>
      <c r="Q322" s="4">
        <f>M322*(1+0.01*growthrate!$F$3)^10</f>
        <v>1343.5410592161936</v>
      </c>
      <c r="R322" s="4">
        <f>N322*(1+0.01*growthrate!$F$3)^10</f>
        <v>948249.62109410064</v>
      </c>
      <c r="S322" s="4">
        <f>O322*(1+0.01*growthrate!$F$3)^10</f>
        <v>746543.52816764615</v>
      </c>
    </row>
    <row r="323" spans="1:19" x14ac:dyDescent="0.2">
      <c r="A323" s="2" t="s">
        <v>651</v>
      </c>
      <c r="B323" s="8" t="s">
        <v>652</v>
      </c>
      <c r="C323" s="4" t="s">
        <v>779</v>
      </c>
      <c r="D323" s="5">
        <v>9185</v>
      </c>
      <c r="E323" s="5">
        <v>7001</v>
      </c>
      <c r="F323" s="5">
        <v>16186</v>
      </c>
      <c r="G323" s="5">
        <v>1209070</v>
      </c>
      <c r="H323" s="12">
        <f>D323*(1+0.01*growthrate!E323)^2</f>
        <v>9185</v>
      </c>
      <c r="I323" s="4">
        <f>E323*(1+0.01*growthrate!$E$3)^2</f>
        <v>7212.6052249999984</v>
      </c>
      <c r="J323" s="4">
        <f>F323*(1+0.01*growthrate!$E$3)^2</f>
        <v>16675.221849999994</v>
      </c>
      <c r="K323" s="4">
        <f>G323*(1+0.01*growthrate!$E$3)^2</f>
        <v>1245614.1407499996</v>
      </c>
      <c r="L323" s="12">
        <f>H323*(1+0.01*growthrate!$E$3)^5</f>
        <v>9894.8535756779784</v>
      </c>
      <c r="M323" s="4">
        <f>I323*(1+0.01*growthrate!$E$3)^5</f>
        <v>7770.0242352253563</v>
      </c>
      <c r="N323" s="4">
        <f>J323*(1+0.01*growthrate!$E$3)^5</f>
        <v>17963.949760228195</v>
      </c>
      <c r="O323" s="4">
        <f>K323*(1+0.01*growthrate!$E$3)^5</f>
        <v>1341880.1888421541</v>
      </c>
      <c r="P323" s="12">
        <f>L323*(1+0.01*growthrate!$F$3)^10</f>
        <v>10609.723781520843</v>
      </c>
      <c r="Q323" s="4">
        <f>M323*(1+0.01*growthrate!$F$3)^10</f>
        <v>8331.3826001528541</v>
      </c>
      <c r="R323" s="4">
        <f>N323*(1+0.01*growthrate!$F$3)^10</f>
        <v>19261.785282970159</v>
      </c>
      <c r="S323" s="4">
        <f>O323*(1+0.01*growthrate!$F$3)^10</f>
        <v>1438826.5619721198</v>
      </c>
    </row>
    <row r="324" spans="1:19" x14ac:dyDescent="0.2">
      <c r="A324" s="2" t="s">
        <v>653</v>
      </c>
      <c r="B324" s="8" t="s">
        <v>654</v>
      </c>
      <c r="C324" s="4" t="s">
        <v>779</v>
      </c>
      <c r="D324" s="5">
        <v>5390882</v>
      </c>
      <c r="E324" s="5">
        <v>150960</v>
      </c>
      <c r="F324" s="5">
        <v>5541842</v>
      </c>
      <c r="G324" s="5">
        <v>4255664</v>
      </c>
      <c r="H324" s="12">
        <f>D324*(1+0.01*growthrate!E324)^2</f>
        <v>5390882</v>
      </c>
      <c r="I324" s="4">
        <f>E324*(1+0.01*growthrate!$E$3)^2</f>
        <v>155522.76599999995</v>
      </c>
      <c r="J324" s="4">
        <f>F324*(1+0.01*growthrate!$E$3)^2</f>
        <v>5709344.1744499989</v>
      </c>
      <c r="K324" s="4">
        <f>G324*(1+0.01*growthrate!$E$3)^2</f>
        <v>4384291.4443999985</v>
      </c>
      <c r="L324" s="12">
        <f>H324*(1+0.01*growthrate!$E$3)^5</f>
        <v>5807510.9454282038</v>
      </c>
      <c r="M324" s="4">
        <f>I324*(1+0.01*growthrate!$E$3)^5</f>
        <v>167542.18805165257</v>
      </c>
      <c r="N324" s="4">
        <f>J324*(1+0.01*growthrate!$E$3)^5</f>
        <v>6150585.1518054223</v>
      </c>
      <c r="O324" s="4">
        <f>K324*(1+0.01*growthrate!$E$3)^5</f>
        <v>4723127.0414192369</v>
      </c>
      <c r="P324" s="12">
        <f>L324*(1+0.01*growthrate!$F$3)^10</f>
        <v>6227084.2633394282</v>
      </c>
      <c r="Q324" s="4">
        <f>M324*(1+0.01*growthrate!$F$3)^10</f>
        <v>179646.55296658687</v>
      </c>
      <c r="R324" s="4">
        <f>N324*(1+0.01*growthrate!$F$3)^10</f>
        <v>6594944.4381654477</v>
      </c>
      <c r="S324" s="4">
        <f>O324*(1+0.01*growthrate!$F$3)^10</f>
        <v>5064357.2349231383</v>
      </c>
    </row>
    <row r="325" spans="1:19" x14ac:dyDescent="0.2">
      <c r="A325" s="2" t="s">
        <v>655</v>
      </c>
      <c r="B325" s="8" t="s">
        <v>656</v>
      </c>
      <c r="C325" s="4" t="s">
        <v>779</v>
      </c>
      <c r="D325" s="5">
        <v>297143</v>
      </c>
      <c r="E325" s="5">
        <v>2583019</v>
      </c>
      <c r="F325" s="5">
        <v>2880162</v>
      </c>
      <c r="G325" s="5">
        <v>1025993</v>
      </c>
      <c r="H325" s="12">
        <f>D325*(1+0.01*growthrate!E325)^2</f>
        <v>297143</v>
      </c>
      <c r="I325" s="4">
        <f>E325*(1+0.01*growthrate!$E$3)^2</f>
        <v>2661090.7492749994</v>
      </c>
      <c r="J325" s="4">
        <f>F325*(1+0.01*growthrate!$E$3)^2</f>
        <v>2967214.8964499994</v>
      </c>
      <c r="K325" s="4">
        <f>G325*(1+0.01*growthrate!$E$3)^2</f>
        <v>1057003.6384249998</v>
      </c>
      <c r="L325" s="12">
        <f>H325*(1+0.01*growthrate!$E$3)^5</f>
        <v>320107.40076621465</v>
      </c>
      <c r="M325" s="4">
        <f>I325*(1+0.01*growthrate!$E$3)^5</f>
        <v>2866750.4970786409</v>
      </c>
      <c r="N325" s="4">
        <f>J325*(1+0.01*growthrate!$E$3)^5</f>
        <v>3196533.1440330143</v>
      </c>
      <c r="O325" s="4">
        <f>K325*(1+0.01*growthrate!$E$3)^5</f>
        <v>1138693.1117228351</v>
      </c>
      <c r="P325" s="12">
        <f>L325*(1+0.01*growthrate!$F$3)^10</f>
        <v>343234.09402421862</v>
      </c>
      <c r="Q325" s="4">
        <f>M325*(1+0.01*growthrate!$F$3)^10</f>
        <v>3073863.6698277709</v>
      </c>
      <c r="R325" s="4">
        <f>N325*(1+0.01*growthrate!$F$3)^10</f>
        <v>3427472.0143438717</v>
      </c>
      <c r="S325" s="4">
        <f>O325*(1+0.01*growthrate!$F$3)^10</f>
        <v>1220959.895454739</v>
      </c>
    </row>
    <row r="326" spans="1:19" x14ac:dyDescent="0.2">
      <c r="A326" s="2" t="s">
        <v>657</v>
      </c>
      <c r="B326" s="8" t="s">
        <v>658</v>
      </c>
      <c r="C326" s="4" t="s">
        <v>779</v>
      </c>
      <c r="D326" s="5">
        <v>2526802</v>
      </c>
      <c r="E326" s="5">
        <v>2343456</v>
      </c>
      <c r="F326" s="5">
        <v>4870258</v>
      </c>
      <c r="G326" s="5">
        <v>3570040</v>
      </c>
      <c r="H326" s="12">
        <f>D326*(1+0.01*growthrate!E326)^2</f>
        <v>2526802</v>
      </c>
      <c r="I326" s="4">
        <f>E326*(1+0.01*growthrate!$E$3)^2</f>
        <v>2414286.9575999994</v>
      </c>
      <c r="J326" s="4">
        <f>F326*(1+0.01*growthrate!$E$3)^2</f>
        <v>5017461.5480499985</v>
      </c>
      <c r="K326" s="4">
        <f>G326*(1+0.01*growthrate!$E$3)^2</f>
        <v>3677944.4589999989</v>
      </c>
      <c r="L326" s="12">
        <f>H326*(1+0.01*growthrate!$E$3)^5</f>
        <v>2722083.3755830447</v>
      </c>
      <c r="M326" s="4">
        <f>I326*(1+0.01*growthrate!$E$3)^5</f>
        <v>2600872.720209152</v>
      </c>
      <c r="N326" s="4">
        <f>J326*(1+0.01*growthrate!$E$3)^5</f>
        <v>5405231.0658191936</v>
      </c>
      <c r="O326" s="4">
        <f>K326*(1+0.01*growthrate!$E$3)^5</f>
        <v>3962190.7328558676</v>
      </c>
      <c r="P326" s="12">
        <f>L326*(1+0.01*growthrate!$F$3)^10</f>
        <v>2918744.8307669493</v>
      </c>
      <c r="Q326" s="4">
        <f>M326*(1+0.01*growthrate!$F$3)^10</f>
        <v>2788777.1093592071</v>
      </c>
      <c r="R326" s="4">
        <f>N326*(1+0.01*growthrate!$F$3)^10</f>
        <v>5795741.0026360862</v>
      </c>
      <c r="S326" s="4">
        <f>O326*(1+0.01*growthrate!$F$3)^10</f>
        <v>4248445.8131480776</v>
      </c>
    </row>
    <row r="327" spans="1:19" x14ac:dyDescent="0.2">
      <c r="A327" s="2" t="s">
        <v>659</v>
      </c>
      <c r="B327" s="8" t="s">
        <v>660</v>
      </c>
      <c r="C327" s="4" t="s">
        <v>779</v>
      </c>
      <c r="D327" s="5">
        <v>6006881</v>
      </c>
      <c r="E327" s="5">
        <v>1188</v>
      </c>
      <c r="F327" s="5">
        <v>6008069</v>
      </c>
      <c r="G327" s="5">
        <v>2833591</v>
      </c>
      <c r="H327" s="12">
        <f>D327*(1+0.01*growthrate!E327)^2</f>
        <v>6006881</v>
      </c>
      <c r="I327" s="4">
        <f>E327*(1+0.01*growthrate!$E$3)^2</f>
        <v>1223.9072999999996</v>
      </c>
      <c r="J327" s="4">
        <f>F327*(1+0.01*growthrate!$E$3)^2</f>
        <v>6189662.8855249984</v>
      </c>
      <c r="K327" s="4">
        <f>G327*(1+0.01*growthrate!$E$3)^2</f>
        <v>2919236.2879749993</v>
      </c>
      <c r="L327" s="12">
        <f>H327*(1+0.01*growthrate!$E$3)^5</f>
        <v>6471116.8145369738</v>
      </c>
      <c r="M327" s="4">
        <f>I327*(1+0.01*growthrate!$E$3)^5</f>
        <v>1318.4957565273137</v>
      </c>
      <c r="N327" s="4">
        <f>J327*(1+0.01*growthrate!$E$3)^5</f>
        <v>6668024.8160128798</v>
      </c>
      <c r="O327" s="4">
        <f>K327*(1+0.01*growthrate!$E$3)^5</f>
        <v>3144846.5565942656</v>
      </c>
      <c r="P327" s="12">
        <f>L327*(1+0.01*growthrate!$F$3)^10</f>
        <v>6938633.4456685567</v>
      </c>
      <c r="Q327" s="4">
        <f>M327*(1+0.01*growthrate!$F$3)^10</f>
        <v>1413.7526823284661</v>
      </c>
      <c r="R327" s="4">
        <f>N327*(1+0.01*growthrate!$F$3)^10</f>
        <v>7149767.3942462159</v>
      </c>
      <c r="S327" s="4">
        <f>O327*(1+0.01*growthrate!$F$3)^10</f>
        <v>3372051.2431580815</v>
      </c>
    </row>
    <row r="328" spans="1:19" x14ac:dyDescent="0.2">
      <c r="A328" s="2" t="s">
        <v>661</v>
      </c>
      <c r="B328" s="8" t="s">
        <v>662</v>
      </c>
      <c r="C328" s="4" t="s">
        <v>779</v>
      </c>
      <c r="D328" s="5">
        <v>182875</v>
      </c>
      <c r="E328" s="5">
        <v>642254</v>
      </c>
      <c r="F328" s="5">
        <v>825129</v>
      </c>
      <c r="G328" s="5">
        <v>2299044</v>
      </c>
      <c r="H328" s="12">
        <f>D328*(1+0.01*growthrate!E328)^2</f>
        <v>182875</v>
      </c>
      <c r="I328" s="4">
        <f>E328*(1+0.01*growthrate!$E$3)^2</f>
        <v>661666.12714999984</v>
      </c>
      <c r="J328" s="4">
        <f>F328*(1+0.01*growthrate!$E$3)^2</f>
        <v>850068.52402499982</v>
      </c>
      <c r="K328" s="4">
        <f>G328*(1+0.01*growthrate!$E$3)^2</f>
        <v>2368532.6048999992</v>
      </c>
      <c r="L328" s="12">
        <f>H328*(1+0.01*growthrate!$E$3)^5</f>
        <v>197008.31221035495</v>
      </c>
      <c r="M328" s="4">
        <f>I328*(1+0.01*growthrate!$E$3)^5</f>
        <v>712802.33469081926</v>
      </c>
      <c r="N328" s="4">
        <f>J328*(1+0.01*growthrate!$E$3)^5</f>
        <v>915765.22313773225</v>
      </c>
      <c r="O328" s="4">
        <f>K328*(1+0.01*growthrate!$E$3)^5</f>
        <v>2551582.287937358</v>
      </c>
      <c r="P328" s="12">
        <f>L328*(1+0.01*growthrate!$F$3)^10</f>
        <v>211241.50642848384</v>
      </c>
      <c r="Q328" s="4">
        <f>M328*(1+0.01*growthrate!$F$3)^10</f>
        <v>764299.92864998872</v>
      </c>
      <c r="R328" s="4">
        <f>N328*(1+0.01*growthrate!$F$3)^10</f>
        <v>981926.2096102736</v>
      </c>
      <c r="S328" s="4">
        <f>O328*(1+0.01*growthrate!$F$3)^10</f>
        <v>2735925.6075683213</v>
      </c>
    </row>
    <row r="329" spans="1:19" x14ac:dyDescent="0.2">
      <c r="A329" s="2" t="s">
        <v>663</v>
      </c>
      <c r="B329" s="8" t="s">
        <v>664</v>
      </c>
      <c r="C329" s="4" t="s">
        <v>779</v>
      </c>
      <c r="D329" s="5">
        <v>450268</v>
      </c>
      <c r="E329" s="5">
        <v>100939</v>
      </c>
      <c r="F329" s="5">
        <v>551207</v>
      </c>
      <c r="G329" s="5">
        <v>1280495</v>
      </c>
      <c r="H329" s="12">
        <f>D329*(1+0.01*growthrate!E329)^2</f>
        <v>450268</v>
      </c>
      <c r="I329" s="4">
        <f>E329*(1+0.01*growthrate!$E$3)^2</f>
        <v>103989.88127499998</v>
      </c>
      <c r="J329" s="4">
        <f>F329*(1+0.01*growthrate!$E$3)^2</f>
        <v>567867.23157499987</v>
      </c>
      <c r="K329" s="4">
        <f>G329*(1+0.01*growthrate!$E$3)^2</f>
        <v>1319197.9613749997</v>
      </c>
      <c r="L329" s="12">
        <f>H329*(1+0.01*growthrate!$E$3)^5</f>
        <v>485066.51386100944</v>
      </c>
      <c r="M329" s="4">
        <f>I329*(1+0.01*growthrate!$E$3)^5</f>
        <v>112026.63566339269</v>
      </c>
      <c r="N329" s="4">
        <f>J329*(1+0.01*growthrate!$E$3)^5</f>
        <v>611754.284905851</v>
      </c>
      <c r="O329" s="4">
        <f>K329*(1+0.01*growthrate!$E$3)^5</f>
        <v>1421150.8617461638</v>
      </c>
      <c r="P329" s="12">
        <f>L329*(1+0.01*growthrate!$F$3)^10</f>
        <v>520110.95347390603</v>
      </c>
      <c r="Q329" s="4">
        <f>M329*(1+0.01*growthrate!$F$3)^10</f>
        <v>120120.18686999414</v>
      </c>
      <c r="R329" s="4">
        <f>N329*(1+0.01*growthrate!$F$3)^10</f>
        <v>655951.49391264876</v>
      </c>
      <c r="S329" s="4">
        <f>O329*(1+0.01*growthrate!$F$3)^10</f>
        <v>1523824.2769008328</v>
      </c>
    </row>
    <row r="330" spans="1:19" x14ac:dyDescent="0.2">
      <c r="A330" s="2" t="s">
        <v>665</v>
      </c>
      <c r="B330" s="8" t="s">
        <v>666</v>
      </c>
      <c r="C330" s="4" t="s">
        <v>779</v>
      </c>
      <c r="D330" s="5">
        <v>3776</v>
      </c>
      <c r="E330" s="5">
        <v>8413</v>
      </c>
      <c r="F330" s="5">
        <v>12189</v>
      </c>
      <c r="G330" s="5">
        <v>137548</v>
      </c>
      <c r="H330" s="12">
        <f>D330*(1+0.01*growthrate!E330)^2</f>
        <v>3776</v>
      </c>
      <c r="I330" s="4">
        <f>E330*(1+0.01*growthrate!$E$3)^2</f>
        <v>8667.2829249999977</v>
      </c>
      <c r="J330" s="4">
        <f>F330*(1+0.01*growthrate!$E$3)^2</f>
        <v>12557.412524999996</v>
      </c>
      <c r="K330" s="4">
        <f>G330*(1+0.01*growthrate!$E$3)^2</f>
        <v>141705.38829999996</v>
      </c>
      <c r="L330" s="12">
        <f>H330*(1+0.01*growthrate!$E$3)^5</f>
        <v>4067.8243986673974</v>
      </c>
      <c r="M330" s="4">
        <f>I330*(1+0.01*growthrate!$E$3)^5</f>
        <v>9337.1252522426676</v>
      </c>
      <c r="N330" s="4">
        <f>J330*(1+0.01*growthrate!$E$3)^5</f>
        <v>13527.899643359786</v>
      </c>
      <c r="O330" s="4">
        <f>K330*(1+0.01*growthrate!$E$3)^5</f>
        <v>152656.94807981391</v>
      </c>
      <c r="P330" s="12">
        <f>L330*(1+0.01*growthrate!$F$3)^10</f>
        <v>4361.7111593927821</v>
      </c>
      <c r="Q330" s="4">
        <f>M330*(1+0.01*growthrate!$F$3)^10</f>
        <v>10011.701444805878</v>
      </c>
      <c r="R330" s="4">
        <f>N330*(1+0.01*growthrate!$F$3)^10</f>
        <v>14505.245323991307</v>
      </c>
      <c r="S330" s="4">
        <f>O330*(1+0.01*growthrate!$F$3)^10</f>
        <v>163685.90399740389</v>
      </c>
    </row>
    <row r="331" spans="1:19" x14ac:dyDescent="0.2">
      <c r="A331" s="2" t="s">
        <v>667</v>
      </c>
      <c r="B331" s="8" t="s">
        <v>668</v>
      </c>
      <c r="C331" s="4" t="s">
        <v>779</v>
      </c>
      <c r="D331" s="5">
        <v>2156110</v>
      </c>
      <c r="E331" s="5">
        <v>770820</v>
      </c>
      <c r="F331" s="5">
        <v>2926930</v>
      </c>
      <c r="G331" s="5">
        <v>1694263</v>
      </c>
      <c r="H331" s="12">
        <f>D331*(1+0.01*growthrate!E331)^2</f>
        <v>2156110</v>
      </c>
      <c r="I331" s="4">
        <f>E331*(1+0.01*growthrate!$E$3)^2</f>
        <v>794118.03449999983</v>
      </c>
      <c r="J331" s="4">
        <f>F331*(1+0.01*growthrate!$E$3)^2</f>
        <v>3015396.4592499994</v>
      </c>
      <c r="K331" s="4">
        <f>G331*(1+0.01*growthrate!$E$3)^2</f>
        <v>1745472.0991749996</v>
      </c>
      <c r="L331" s="12">
        <f>H331*(1+0.01*growthrate!$E$3)^5</f>
        <v>2322742.8136151382</v>
      </c>
      <c r="M331" s="4">
        <f>I331*(1+0.01*growthrate!$E$3)^5</f>
        <v>855490.65576294949</v>
      </c>
      <c r="N331" s="4">
        <f>J331*(1+0.01*growthrate!$E$3)^5</f>
        <v>3248438.3709196048</v>
      </c>
      <c r="O331" s="4">
        <f>K331*(1+0.01*growthrate!$E$3)^5</f>
        <v>1880369.1716677072</v>
      </c>
      <c r="P331" s="12">
        <f>L331*(1+0.01*growthrate!$F$3)^10</f>
        <v>2490553.2436118568</v>
      </c>
      <c r="Q331" s="4">
        <f>M331*(1+0.01*growthrate!$F$3)^10</f>
        <v>917297.00554918207</v>
      </c>
      <c r="R331" s="4">
        <f>N331*(1+0.01*growthrate!$F$3)^10</f>
        <v>3483127.2209492065</v>
      </c>
      <c r="S331" s="4">
        <f>O331*(1+0.01*growthrate!$F$3)^10</f>
        <v>2016219.5798147086</v>
      </c>
    </row>
    <row r="332" spans="1:19" x14ac:dyDescent="0.2">
      <c r="A332" s="2" t="s">
        <v>669</v>
      </c>
      <c r="B332" s="8" t="s">
        <v>670</v>
      </c>
      <c r="C332" s="4" t="s">
        <v>779</v>
      </c>
      <c r="D332" s="5">
        <v>167444</v>
      </c>
      <c r="E332" s="5">
        <v>84914</v>
      </c>
      <c r="F332" s="5">
        <v>252358</v>
      </c>
      <c r="G332" s="5">
        <v>236238</v>
      </c>
      <c r="H332" s="12">
        <f>D332*(1+0.01*growthrate!E332)^2</f>
        <v>167444</v>
      </c>
      <c r="I332" s="4">
        <f>E332*(1+0.01*growthrate!$E$3)^2</f>
        <v>87480.525649999981</v>
      </c>
      <c r="J332" s="4">
        <f>F332*(1+0.01*growthrate!$E$3)^2</f>
        <v>259985.52054999993</v>
      </c>
      <c r="K332" s="4">
        <f>G332*(1+0.01*growthrate!$E$3)^2</f>
        <v>243378.29354999994</v>
      </c>
      <c r="L332" s="12">
        <f>H332*(1+0.01*growthrate!$E$3)^5</f>
        <v>180384.74274641517</v>
      </c>
      <c r="M332" s="4">
        <f>I332*(1+0.01*growthrate!$E$3)^5</f>
        <v>94241.370934141683</v>
      </c>
      <c r="N332" s="4">
        <f>J332*(1+0.01*growthrate!$E$3)^5</f>
        <v>280078.24253006722</v>
      </c>
      <c r="O332" s="4">
        <f>K332*(1+0.01*growthrate!$E$3)^5</f>
        <v>262187.54253409052</v>
      </c>
      <c r="P332" s="12">
        <f>L332*(1+0.01*growthrate!$F$3)^10</f>
        <v>193416.93945269199</v>
      </c>
      <c r="Q332" s="4">
        <f>M332*(1+0.01*growthrate!$F$3)^10</f>
        <v>101049.99601619475</v>
      </c>
      <c r="R332" s="4">
        <f>N332*(1+0.01*growthrate!$F$3)^10</f>
        <v>300312.96246384433</v>
      </c>
      <c r="S332" s="4">
        <f>O332*(1+0.01*growthrate!$F$3)^10</f>
        <v>281129.7189965591</v>
      </c>
    </row>
    <row r="333" spans="1:19" x14ac:dyDescent="0.2">
      <c r="A333" s="2" t="s">
        <v>671</v>
      </c>
      <c r="B333" s="8" t="s">
        <v>672</v>
      </c>
      <c r="C333" s="4" t="s">
        <v>779</v>
      </c>
      <c r="D333" s="5">
        <v>941528</v>
      </c>
      <c r="E333" s="5">
        <v>546325</v>
      </c>
      <c r="F333" s="5">
        <v>1487853</v>
      </c>
      <c r="G333" s="5">
        <v>1511274</v>
      </c>
      <c r="H333" s="12">
        <f>D333*(1+0.01*growthrate!E333)^2</f>
        <v>941528</v>
      </c>
      <c r="I333" s="4">
        <f>E333*(1+0.01*growthrate!$E$3)^2</f>
        <v>562837.67312499986</v>
      </c>
      <c r="J333" s="4">
        <f>F333*(1+0.01*growthrate!$E$3)^2</f>
        <v>1532823.3569249995</v>
      </c>
      <c r="K333" s="4">
        <f>G333*(1+0.01*growthrate!$E$3)^2</f>
        <v>1556952.2566499996</v>
      </c>
      <c r="L333" s="12">
        <f>H333*(1+0.01*growthrate!$E$3)^5</f>
        <v>1014293.0536092472</v>
      </c>
      <c r="M333" s="4">
        <f>I333*(1+0.01*growthrate!$E$3)^5</f>
        <v>606336.02204106457</v>
      </c>
      <c r="N333" s="4">
        <f>J333*(1+0.01*growthrate!$E$3)^5</f>
        <v>1651286.0831956507</v>
      </c>
      <c r="O333" s="4">
        <f>K333*(1+0.01*growthrate!$E$3)^5</f>
        <v>1677279.7609007235</v>
      </c>
      <c r="P333" s="12">
        <f>L333*(1+0.01*growthrate!$F$3)^10</f>
        <v>1087572.3475849489</v>
      </c>
      <c r="Q333" s="4">
        <f>M333*(1+0.01*growthrate!$F$3)^10</f>
        <v>650141.77960698598</v>
      </c>
      <c r="R333" s="4">
        <f>N333*(1+0.01*growthrate!$F$3)^10</f>
        <v>1770586.0013976893</v>
      </c>
      <c r="S333" s="4">
        <f>O333*(1+0.01*growthrate!$F$3)^10</f>
        <v>1798457.6357182409</v>
      </c>
    </row>
    <row r="334" spans="1:19" x14ac:dyDescent="0.2">
      <c r="A334" s="2" t="s">
        <v>673</v>
      </c>
      <c r="B334" s="8" t="s">
        <v>674</v>
      </c>
      <c r="C334" s="4" t="s">
        <v>779</v>
      </c>
      <c r="D334" s="5">
        <v>0</v>
      </c>
      <c r="E334" s="5">
        <v>71079</v>
      </c>
      <c r="F334" s="5">
        <v>71079</v>
      </c>
      <c r="G334" s="5">
        <v>916817</v>
      </c>
      <c r="H334" s="12">
        <f>D334*(1+0.01*growthrate!E334)^2</f>
        <v>0</v>
      </c>
      <c r="I334" s="4">
        <f>E334*(1+0.01*growthrate!$E$3)^2</f>
        <v>73227.362774999987</v>
      </c>
      <c r="J334" s="4">
        <f>F334*(1+0.01*growthrate!$E$3)^2</f>
        <v>73227.362774999987</v>
      </c>
      <c r="K334" s="4">
        <f>G334*(1+0.01*growthrate!$E$3)^2</f>
        <v>944527.79382499971</v>
      </c>
      <c r="L334" s="12">
        <f>H334*(1+0.01*growthrate!$E$3)^5</f>
        <v>0</v>
      </c>
      <c r="M334" s="4">
        <f>I334*(1+0.01*growthrate!$E$3)^5</f>
        <v>78886.666564145577</v>
      </c>
      <c r="N334" s="4">
        <f>J334*(1+0.01*growthrate!$E$3)^5</f>
        <v>78886.666564145577</v>
      </c>
      <c r="O334" s="4">
        <f>K334*(1+0.01*growthrate!$E$3)^5</f>
        <v>1017524.6835118704</v>
      </c>
      <c r="P334" s="12">
        <f>L334*(1+0.01*growthrate!$F$3)^10</f>
        <v>0</v>
      </c>
      <c r="Q334" s="4">
        <f>M334*(1+0.01*growthrate!$F$3)^10</f>
        <v>84585.965410122095</v>
      </c>
      <c r="R334" s="4">
        <f>N334*(1+0.01*growthrate!$F$3)^10</f>
        <v>84585.965410122095</v>
      </c>
      <c r="S334" s="4">
        <f>O334*(1+0.01*growthrate!$F$3)^10</f>
        <v>1091037.4519817652</v>
      </c>
    </row>
    <row r="335" spans="1:19" x14ac:dyDescent="0.2">
      <c r="A335" s="2" t="s">
        <v>675</v>
      </c>
      <c r="B335" s="8" t="s">
        <v>676</v>
      </c>
      <c r="C335" s="4" t="s">
        <v>779</v>
      </c>
      <c r="D335" s="5">
        <v>0</v>
      </c>
      <c r="E335" s="5">
        <v>0</v>
      </c>
      <c r="F335" s="5">
        <v>0</v>
      </c>
      <c r="G335" s="5">
        <v>5181</v>
      </c>
      <c r="H335" s="12">
        <f>D335*(1+0.01*growthrate!E335)^2</f>
        <v>0</v>
      </c>
      <c r="I335" s="4">
        <f>E335*(1+0.01*growthrate!$E$3)^2</f>
        <v>0</v>
      </c>
      <c r="J335" s="4">
        <f>F335*(1+0.01*growthrate!$E$3)^2</f>
        <v>0</v>
      </c>
      <c r="K335" s="4">
        <f>G335*(1+0.01*growthrate!$E$3)^2</f>
        <v>5337.5957249999983</v>
      </c>
      <c r="L335" s="12">
        <f>H335*(1+0.01*growthrate!$E$3)^5</f>
        <v>0</v>
      </c>
      <c r="M335" s="4">
        <f>I335*(1+0.01*growthrate!$E$3)^5</f>
        <v>0</v>
      </c>
      <c r="N335" s="4">
        <f>J335*(1+0.01*growthrate!$E$3)^5</f>
        <v>0</v>
      </c>
      <c r="O335" s="4">
        <f>K335*(1+0.01*growthrate!$E$3)^5</f>
        <v>5750.1064937441179</v>
      </c>
      <c r="P335" s="12">
        <f>L335*(1+0.01*growthrate!$F$3)^10</f>
        <v>0</v>
      </c>
      <c r="Q335" s="4">
        <f>M335*(1+0.01*growthrate!$F$3)^10</f>
        <v>0</v>
      </c>
      <c r="R335" s="4">
        <f>N335*(1+0.01*growthrate!$F$3)^10</f>
        <v>0</v>
      </c>
      <c r="S335" s="4">
        <f>O335*(1+0.01*growthrate!$F$3)^10</f>
        <v>6165.5325312658097</v>
      </c>
    </row>
    <row r="336" spans="1:19" x14ac:dyDescent="0.2">
      <c r="A336" s="2" t="s">
        <v>677</v>
      </c>
      <c r="B336" s="8" t="s">
        <v>678</v>
      </c>
      <c r="C336" s="4" t="s">
        <v>779</v>
      </c>
      <c r="D336" s="5">
        <v>2009000</v>
      </c>
      <c r="E336" s="5">
        <v>55289</v>
      </c>
      <c r="F336" s="5">
        <v>2064289</v>
      </c>
      <c r="G336" s="5">
        <v>3317147</v>
      </c>
      <c r="H336" s="12">
        <f>D336*(1+0.01*growthrate!E336)^2</f>
        <v>2009000</v>
      </c>
      <c r="I336" s="4">
        <f>E336*(1+0.01*growthrate!$E$3)^2</f>
        <v>56960.110024999987</v>
      </c>
      <c r="J336" s="4">
        <f>F336*(1+0.01*growthrate!$E$3)^2</f>
        <v>2126682.1350249993</v>
      </c>
      <c r="K336" s="4">
        <f>G336*(1+0.01*growthrate!$E$3)^2</f>
        <v>3417407.7680749991</v>
      </c>
      <c r="L336" s="12">
        <f>H336*(1+0.01*growthrate!$E$3)^5</f>
        <v>2164263.5638037077</v>
      </c>
      <c r="M336" s="4">
        <f>I336*(1+0.01*growthrate!$E$3)^5</f>
        <v>61362.21538942647</v>
      </c>
      <c r="N336" s="4">
        <f>J336*(1+0.01*growthrate!$E$3)^5</f>
        <v>2291040.6454091007</v>
      </c>
      <c r="O336" s="4">
        <f>K336*(1+0.01*growthrate!$E$3)^5</f>
        <v>3681518.7232973981</v>
      </c>
      <c r="P336" s="12">
        <f>L336*(1+0.01*growthrate!$F$3)^10</f>
        <v>2320624.395979899</v>
      </c>
      <c r="Q336" s="4">
        <f>M336*(1+0.01*growthrate!$F$3)^10</f>
        <v>65795.431021261407</v>
      </c>
      <c r="R336" s="4">
        <f>N336*(1+0.01*growthrate!$F$3)^10</f>
        <v>2456560.6993696522</v>
      </c>
      <c r="S336" s="4">
        <f>O336*(1+0.01*growthrate!$F$3)^10</f>
        <v>3947496.185966182</v>
      </c>
    </row>
    <row r="337" spans="1:19" x14ac:dyDescent="0.2">
      <c r="A337" s="2" t="s">
        <v>679</v>
      </c>
      <c r="B337" s="8" t="s">
        <v>680</v>
      </c>
      <c r="C337" s="4" t="s">
        <v>779</v>
      </c>
      <c r="D337" s="5">
        <v>887352</v>
      </c>
      <c r="E337" s="5">
        <v>644332</v>
      </c>
      <c r="F337" s="5">
        <v>1531684</v>
      </c>
      <c r="G337" s="5">
        <v>805816</v>
      </c>
      <c r="H337" s="12">
        <f>D337*(1+0.01*growthrate!E337)^2</f>
        <v>887352</v>
      </c>
      <c r="I337" s="4">
        <f>E337*(1+0.01*growthrate!$E$3)^2</f>
        <v>663806.93469999987</v>
      </c>
      <c r="J337" s="4">
        <f>F337*(1+0.01*growthrate!$E$3)^2</f>
        <v>1577979.1488999997</v>
      </c>
      <c r="K337" s="4">
        <f>G337*(1+0.01*growthrate!$E$3)^2</f>
        <v>830171.78859999974</v>
      </c>
      <c r="L337" s="12">
        <f>H337*(1+0.01*growthrate!$E$3)^5</f>
        <v>955930.11541480734</v>
      </c>
      <c r="M337" s="4">
        <f>I337*(1+0.01*growthrate!$E$3)^5</f>
        <v>715108.59241982922</v>
      </c>
      <c r="N337" s="4">
        <f>J337*(1+0.01*growthrate!$E$3)^5</f>
        <v>1699931.6955730489</v>
      </c>
      <c r="O337" s="4">
        <f>K337*(1+0.01*growthrate!$E$3)^5</f>
        <v>894330.78833486012</v>
      </c>
      <c r="P337" s="12">
        <f>L337*(1+0.01*growthrate!$F$3)^10</f>
        <v>1024992.8815438305</v>
      </c>
      <c r="Q337" s="4">
        <f>M337*(1+0.01*growthrate!$F$3)^10</f>
        <v>766772.80581655318</v>
      </c>
      <c r="R337" s="4">
        <f>N337*(1+0.01*growthrate!$F$3)^10</f>
        <v>1822746.0972050459</v>
      </c>
      <c r="S337" s="4">
        <f>O337*(1+0.01*growthrate!$F$3)^10</f>
        <v>958943.20830235293</v>
      </c>
    </row>
    <row r="338" spans="1:19" x14ac:dyDescent="0.2">
      <c r="A338" s="2" t="s">
        <v>681</v>
      </c>
      <c r="B338" s="8" t="s">
        <v>682</v>
      </c>
      <c r="C338" s="4" t="s">
        <v>779</v>
      </c>
      <c r="D338" s="5">
        <v>0</v>
      </c>
      <c r="E338" s="5">
        <v>409333</v>
      </c>
      <c r="F338" s="5">
        <v>409333</v>
      </c>
      <c r="G338" s="5">
        <v>632670</v>
      </c>
      <c r="H338" s="12">
        <f>D338*(1+0.01*growthrate!E338)^2</f>
        <v>0</v>
      </c>
      <c r="I338" s="4">
        <f>E338*(1+0.01*growthrate!$E$3)^2</f>
        <v>421705.08992499986</v>
      </c>
      <c r="J338" s="4">
        <f>F338*(1+0.01*growthrate!$E$3)^2</f>
        <v>421705.08992499986</v>
      </c>
      <c r="K338" s="4">
        <f>G338*(1+0.01*growthrate!$E$3)^2</f>
        <v>651792.45074999984</v>
      </c>
      <c r="L338" s="12">
        <f>H338*(1+0.01*growthrate!$E$3)^5</f>
        <v>0</v>
      </c>
      <c r="M338" s="4">
        <f>I338*(1+0.01*growthrate!$E$3)^5</f>
        <v>454296.14773282397</v>
      </c>
      <c r="N338" s="4">
        <f>J338*(1+0.01*growthrate!$E$3)^5</f>
        <v>454296.14773282397</v>
      </c>
      <c r="O338" s="4">
        <f>K338*(1+0.01*growthrate!$E$3)^5</f>
        <v>702165.58104556869</v>
      </c>
      <c r="P338" s="12">
        <f>L338*(1+0.01*growthrate!$F$3)^10</f>
        <v>0</v>
      </c>
      <c r="Q338" s="4">
        <f>M338*(1+0.01*growthrate!$F$3)^10</f>
        <v>487117.53090535186</v>
      </c>
      <c r="R338" s="4">
        <f>N338*(1+0.01*growthrate!$F$3)^10</f>
        <v>487117.53090535186</v>
      </c>
      <c r="S338" s="4">
        <f>O338*(1+0.01*growthrate!$F$3)^10</f>
        <v>752894.70499053085</v>
      </c>
    </row>
    <row r="339" spans="1:19" x14ac:dyDescent="0.2">
      <c r="A339" s="2" t="s">
        <v>683</v>
      </c>
      <c r="B339" s="8" t="s">
        <v>684</v>
      </c>
      <c r="C339" s="4" t="s">
        <v>779</v>
      </c>
      <c r="D339" s="5">
        <v>1165587</v>
      </c>
      <c r="E339" s="5">
        <v>0</v>
      </c>
      <c r="F339" s="5">
        <v>1165587</v>
      </c>
      <c r="G339" s="5">
        <v>451677</v>
      </c>
      <c r="H339" s="12">
        <f>D339*(1+0.01*growthrate!E339)^2</f>
        <v>1165587</v>
      </c>
      <c r="I339" s="4">
        <f>E339*(1+0.01*growthrate!$E$3)^2</f>
        <v>0</v>
      </c>
      <c r="J339" s="4">
        <f>F339*(1+0.01*growthrate!$E$3)^2</f>
        <v>1200816.8670749997</v>
      </c>
      <c r="K339" s="4">
        <f>G339*(1+0.01*growthrate!$E$3)^2</f>
        <v>465328.93732499989</v>
      </c>
      <c r="L339" s="12">
        <f>H339*(1+0.01*growthrate!$E$3)^5</f>
        <v>1255668.2302355762</v>
      </c>
      <c r="M339" s="4">
        <f>I339*(1+0.01*growthrate!$E$3)^5</f>
        <v>0</v>
      </c>
      <c r="N339" s="4">
        <f>J339*(1+0.01*growthrate!$E$3)^5</f>
        <v>1293620.802494446</v>
      </c>
      <c r="O339" s="4">
        <f>K339*(1+0.01*growthrate!$E$3)^5</f>
        <v>501291.42072473693</v>
      </c>
      <c r="P339" s="12">
        <f>L339*(1+0.01*growthrate!$F$3)^10</f>
        <v>1346386.0765739286</v>
      </c>
      <c r="Q339" s="4">
        <f>M339*(1+0.01*growthrate!$F$3)^10</f>
        <v>0</v>
      </c>
      <c r="R339" s="4">
        <f>N339*(1+0.01*growthrate!$F$3)^10</f>
        <v>1387080.5957383751</v>
      </c>
      <c r="S339" s="4">
        <f>O339*(1+0.01*growthrate!$F$3)^10</f>
        <v>537508.05580477661</v>
      </c>
    </row>
    <row r="340" spans="1:19" x14ac:dyDescent="0.2">
      <c r="A340" s="2" t="s">
        <v>685</v>
      </c>
      <c r="B340" s="8" t="s">
        <v>686</v>
      </c>
      <c r="C340" s="4" t="s">
        <v>779</v>
      </c>
      <c r="D340" s="5">
        <v>0</v>
      </c>
      <c r="E340" s="5">
        <v>0</v>
      </c>
      <c r="F340" s="5">
        <v>0</v>
      </c>
      <c r="G340" s="5">
        <v>196076</v>
      </c>
      <c r="H340" s="12">
        <f>D340*(1+0.01*growthrate!E340)^2</f>
        <v>0</v>
      </c>
      <c r="I340" s="4">
        <f>E340*(1+0.01*growthrate!$E$3)^2</f>
        <v>0</v>
      </c>
      <c r="J340" s="4">
        <f>F340*(1+0.01*growthrate!$E$3)^2</f>
        <v>0</v>
      </c>
      <c r="K340" s="4">
        <f>G340*(1+0.01*growthrate!$E$3)^2</f>
        <v>202002.39709999994</v>
      </c>
      <c r="L340" s="12">
        <f>H340*(1+0.01*growthrate!$E$3)^5</f>
        <v>0</v>
      </c>
      <c r="M340" s="4">
        <f>I340*(1+0.01*growthrate!$E$3)^5</f>
        <v>0</v>
      </c>
      <c r="N340" s="4">
        <f>J340*(1+0.01*growthrate!$E$3)^5</f>
        <v>0</v>
      </c>
      <c r="O340" s="4">
        <f>K340*(1+0.01*growthrate!$E$3)^5</f>
        <v>217613.95114212926</v>
      </c>
      <c r="P340" s="12">
        <f>L340*(1+0.01*growthrate!$F$3)^10</f>
        <v>0</v>
      </c>
      <c r="Q340" s="4">
        <f>M340*(1+0.01*growthrate!$F$3)^10</f>
        <v>0</v>
      </c>
      <c r="R340" s="4">
        <f>N340*(1+0.01*growthrate!$F$3)^10</f>
        <v>0</v>
      </c>
      <c r="S340" s="4">
        <f>O340*(1+0.01*growthrate!$F$3)^10</f>
        <v>233335.83412477805</v>
      </c>
    </row>
    <row r="341" spans="1:19" x14ac:dyDescent="0.2">
      <c r="A341" s="2" t="s">
        <v>687</v>
      </c>
      <c r="B341" s="8" t="s">
        <v>688</v>
      </c>
      <c r="C341" s="4" t="s">
        <v>779</v>
      </c>
      <c r="D341" s="5">
        <v>1</v>
      </c>
      <c r="E341" s="5">
        <v>35825</v>
      </c>
      <c r="F341" s="5">
        <v>35826</v>
      </c>
      <c r="G341" s="5">
        <v>307766</v>
      </c>
      <c r="H341" s="12">
        <f>D341*(1+0.01*growthrate!E341)^2</f>
        <v>1</v>
      </c>
      <c r="I341" s="4">
        <f>E341*(1+0.01*growthrate!$E$3)^2</f>
        <v>36907.810624999991</v>
      </c>
      <c r="J341" s="4">
        <f>F341*(1+0.01*growthrate!$E$3)^2</f>
        <v>36908.840849999993</v>
      </c>
      <c r="K341" s="4">
        <f>G341*(1+0.01*growthrate!$E$3)^2</f>
        <v>317068.22734999994</v>
      </c>
      <c r="L341" s="12">
        <f>H341*(1+0.01*growthrate!$E$3)^5</f>
        <v>1.0772840038843743</v>
      </c>
      <c r="M341" s="4">
        <f>I341*(1+0.01*growthrate!$E$3)^5</f>
        <v>39760.194004706238</v>
      </c>
      <c r="N341" s="4">
        <f>J341*(1+0.01*growthrate!$E$3)^5</f>
        <v>39761.303849619144</v>
      </c>
      <c r="O341" s="4">
        <f>K341*(1+0.01*growthrate!$E$3)^5</f>
        <v>341572.52946412901</v>
      </c>
      <c r="P341" s="12">
        <f>L341*(1+0.01*growthrate!$F$3)^10</f>
        <v>1.155114184161224</v>
      </c>
      <c r="Q341" s="4">
        <f>M341*(1+0.01*growthrate!$F$3)^10</f>
        <v>42632.735559273817</v>
      </c>
      <c r="R341" s="4">
        <f>N341*(1+0.01*growthrate!$F$3)^10</f>
        <v>42633.9255867842</v>
      </c>
      <c r="S341" s="4">
        <f>O341*(1+0.01*growthrate!$F$3)^10</f>
        <v>366250.0067588407</v>
      </c>
    </row>
    <row r="342" spans="1:19" x14ac:dyDescent="0.2">
      <c r="A342" s="2" t="s">
        <v>689</v>
      </c>
      <c r="B342" s="8" t="s">
        <v>690</v>
      </c>
      <c r="C342" s="4" t="s">
        <v>779</v>
      </c>
      <c r="D342" s="5">
        <v>0</v>
      </c>
      <c r="E342" s="5">
        <v>0</v>
      </c>
      <c r="F342" s="5">
        <v>0</v>
      </c>
      <c r="G342" s="5">
        <v>279238</v>
      </c>
      <c r="H342" s="12">
        <f>D342*(1+0.01*growthrate!E342)^2</f>
        <v>0</v>
      </c>
      <c r="I342" s="4">
        <f>E342*(1+0.01*growthrate!$E$3)^2</f>
        <v>0</v>
      </c>
      <c r="J342" s="4">
        <f>F342*(1+0.01*growthrate!$E$3)^2</f>
        <v>0</v>
      </c>
      <c r="K342" s="4">
        <f>G342*(1+0.01*growthrate!$E$3)^2</f>
        <v>287677.96854999993</v>
      </c>
      <c r="L342" s="12">
        <f>H342*(1+0.01*growthrate!$E$3)^5</f>
        <v>0</v>
      </c>
      <c r="M342" s="4">
        <f>I342*(1+0.01*growthrate!$E$3)^5</f>
        <v>0</v>
      </c>
      <c r="N342" s="4">
        <f>J342*(1+0.01*growthrate!$E$3)^5</f>
        <v>0</v>
      </c>
      <c r="O342" s="4">
        <f>K342*(1+0.01*growthrate!$E$3)^5</f>
        <v>309910.87378886703</v>
      </c>
      <c r="P342" s="12">
        <f>L342*(1+0.01*growthrate!$F$3)^10</f>
        <v>0</v>
      </c>
      <c r="Q342" s="4">
        <f>M342*(1+0.01*growthrate!$F$3)^10</f>
        <v>0</v>
      </c>
      <c r="R342" s="4">
        <f>N342*(1+0.01*growthrate!$F$3)^10</f>
        <v>0</v>
      </c>
      <c r="S342" s="4">
        <f>O342*(1+0.01*growthrate!$F$3)^10</f>
        <v>332300.90194279142</v>
      </c>
    </row>
    <row r="343" spans="1:19" x14ac:dyDescent="0.2">
      <c r="A343" s="2" t="s">
        <v>691</v>
      </c>
      <c r="B343" s="8" t="s">
        <v>692</v>
      </c>
      <c r="C343" s="4" t="s">
        <v>779</v>
      </c>
      <c r="D343" s="5">
        <v>0</v>
      </c>
      <c r="E343" s="5">
        <v>0</v>
      </c>
      <c r="F343" s="5">
        <v>0</v>
      </c>
      <c r="G343" s="5">
        <v>463719</v>
      </c>
      <c r="H343" s="12">
        <f>D343*(1+0.01*growthrate!E343)^2</f>
        <v>0</v>
      </c>
      <c r="I343" s="4">
        <f>E343*(1+0.01*growthrate!$E$3)^2</f>
        <v>0</v>
      </c>
      <c r="J343" s="4">
        <f>F343*(1+0.01*growthrate!$E$3)^2</f>
        <v>0</v>
      </c>
      <c r="K343" s="4">
        <f>G343*(1+0.01*growthrate!$E$3)^2</f>
        <v>477734.90677499986</v>
      </c>
      <c r="L343" s="12">
        <f>H343*(1+0.01*growthrate!$E$3)^5</f>
        <v>0</v>
      </c>
      <c r="M343" s="4">
        <f>I343*(1+0.01*growthrate!$E$3)^5</f>
        <v>0</v>
      </c>
      <c r="N343" s="4">
        <f>J343*(1+0.01*growthrate!$E$3)^5</f>
        <v>0</v>
      </c>
      <c r="O343" s="4">
        <f>K343*(1+0.01*growthrate!$E$3)^5</f>
        <v>514656.17316590017</v>
      </c>
      <c r="P343" s="12">
        <f>L343*(1+0.01*growthrate!$F$3)^10</f>
        <v>0</v>
      </c>
      <c r="Q343" s="4">
        <f>M343*(1+0.01*growthrate!$F$3)^10</f>
        <v>0</v>
      </c>
      <c r="R343" s="4">
        <f>N343*(1+0.01*growthrate!$F$3)^10</f>
        <v>0</v>
      </c>
      <c r="S343" s="4">
        <f>O343*(1+0.01*growthrate!$F$3)^10</f>
        <v>551838.36708474241</v>
      </c>
    </row>
    <row r="344" spans="1:19" x14ac:dyDescent="0.2">
      <c r="A344" s="2" t="s">
        <v>693</v>
      </c>
      <c r="B344" s="8" t="s">
        <v>694</v>
      </c>
      <c r="C344" s="4" t="s">
        <v>779</v>
      </c>
      <c r="D344" s="5">
        <v>8579406</v>
      </c>
      <c r="E344" s="5">
        <v>7078552</v>
      </c>
      <c r="F344" s="5">
        <v>15657958</v>
      </c>
      <c r="G344" s="5">
        <v>130558</v>
      </c>
      <c r="H344" s="12">
        <f>D344*(1+0.01*growthrate!E344)^2</f>
        <v>8579406</v>
      </c>
      <c r="I344" s="4">
        <f>E344*(1+0.01*growthrate!$E$3)^2</f>
        <v>7292501.234199998</v>
      </c>
      <c r="J344" s="4">
        <f>F344*(1+0.01*growthrate!$E$3)^2</f>
        <v>16131219.780549996</v>
      </c>
      <c r="K344" s="4">
        <f>G344*(1+0.01*growthrate!$E$3)^2</f>
        <v>134504.11554999996</v>
      </c>
      <c r="L344" s="12">
        <f>H344*(1+0.01*growthrate!$E$3)^5</f>
        <v>9242456.8466296233</v>
      </c>
      <c r="M344" s="4">
        <f>I344*(1+0.01*growthrate!$E$3)^5</f>
        <v>7856094.9279107153</v>
      </c>
      <c r="N344" s="4">
        <f>J344*(1+0.01*growthrate!$E$3)^5</f>
        <v>17377905.032729715</v>
      </c>
      <c r="O344" s="4">
        <f>K344*(1+0.01*growthrate!$E$3)^5</f>
        <v>144899.13213863049</v>
      </c>
      <c r="P344" s="12">
        <f>L344*(1+0.01*growthrate!$F$3)^10</f>
        <v>9910193.5622779094</v>
      </c>
      <c r="Q344" s="4">
        <f>M344*(1+0.01*growthrate!$F$3)^10</f>
        <v>8423671.6136376504</v>
      </c>
      <c r="R344" s="4">
        <f>N344*(1+0.01*growthrate!$F$3)^10</f>
        <v>18633400.776335407</v>
      </c>
      <c r="S344" s="4">
        <f>O344*(1+0.01*growthrate!$F$3)^10</f>
        <v>155367.61169986523</v>
      </c>
    </row>
    <row r="345" spans="1:19" x14ac:dyDescent="0.2">
      <c r="A345" s="2" t="s">
        <v>695</v>
      </c>
      <c r="B345" s="8" t="s">
        <v>696</v>
      </c>
      <c r="C345" s="4" t="s">
        <v>779</v>
      </c>
      <c r="D345" s="5">
        <v>0</v>
      </c>
      <c r="E345" s="5">
        <v>0</v>
      </c>
      <c r="F345" s="5">
        <v>0</v>
      </c>
      <c r="G345" s="5">
        <v>5183565</v>
      </c>
      <c r="H345" s="12">
        <f>D345*(1+0.01*growthrate!E345)^2</f>
        <v>0</v>
      </c>
      <c r="I345" s="4">
        <f>E345*(1+0.01*growthrate!$E$3)^2</f>
        <v>0</v>
      </c>
      <c r="J345" s="4">
        <f>F345*(1+0.01*growthrate!$E$3)^2</f>
        <v>0</v>
      </c>
      <c r="K345" s="4">
        <f>G345*(1+0.01*growthrate!$E$3)^2</f>
        <v>5340238.2521249987</v>
      </c>
      <c r="L345" s="12">
        <f>H345*(1+0.01*growthrate!$E$3)^5</f>
        <v>0</v>
      </c>
      <c r="M345" s="4">
        <f>I345*(1+0.01*growthrate!$E$3)^5</f>
        <v>0</v>
      </c>
      <c r="N345" s="4">
        <f>J345*(1+0.01*growthrate!$E$3)^5</f>
        <v>0</v>
      </c>
      <c r="O345" s="4">
        <f>K345*(1+0.01*growthrate!$E$3)^5</f>
        <v>5752953.2459457116</v>
      </c>
      <c r="P345" s="12">
        <f>L345*(1+0.01*growthrate!$F$3)^10</f>
        <v>0</v>
      </c>
      <c r="Q345" s="4">
        <f>M345*(1+0.01*growthrate!$F$3)^10</f>
        <v>0</v>
      </c>
      <c r="R345" s="4">
        <f>N345*(1+0.01*growthrate!$F$3)^10</f>
        <v>0</v>
      </c>
      <c r="S345" s="4">
        <f>O345*(1+0.01*growthrate!$F$3)^10</f>
        <v>6168584.9518299289</v>
      </c>
    </row>
    <row r="346" spans="1:19" x14ac:dyDescent="0.2">
      <c r="A346" s="2" t="s">
        <v>697</v>
      </c>
      <c r="B346" s="8" t="s">
        <v>698</v>
      </c>
      <c r="C346" s="4" t="s">
        <v>779</v>
      </c>
      <c r="D346" s="5">
        <v>3402544</v>
      </c>
      <c r="E346" s="5">
        <v>24213</v>
      </c>
      <c r="F346" s="5">
        <v>3426757</v>
      </c>
      <c r="G346" s="5">
        <v>177400</v>
      </c>
      <c r="H346" s="12">
        <f>D346*(1+0.01*growthrate!E346)^2</f>
        <v>3402544</v>
      </c>
      <c r="I346" s="4">
        <f>E346*(1+0.01*growthrate!$E$3)^2</f>
        <v>24944.837924999993</v>
      </c>
      <c r="J346" s="4">
        <f>F346*(1+0.01*growthrate!$E$3)^2</f>
        <v>3530330.730324999</v>
      </c>
      <c r="K346" s="4">
        <f>G346*(1+0.01*growthrate!$E$3)^2</f>
        <v>182761.91499999995</v>
      </c>
      <c r="L346" s="12">
        <f>H346*(1+0.01*growthrate!$E$3)^5</f>
        <v>3665506.2237127544</v>
      </c>
      <c r="M346" s="4">
        <f>I346*(1+0.01*growthrate!$E$3)^5</f>
        <v>26872.674876090779</v>
      </c>
      <c r="N346" s="4">
        <f>J346*(1+0.01*growthrate!$E$3)^5</f>
        <v>3803168.8242005622</v>
      </c>
      <c r="O346" s="4">
        <f>K346*(1+0.01*growthrate!$E$3)^5</f>
        <v>196886.48754877562</v>
      </c>
      <c r="P346" s="12">
        <f>L346*(1+0.01*growthrate!$F$3)^10</f>
        <v>3930326.8366326676</v>
      </c>
      <c r="Q346" s="4">
        <f>M346*(1+0.01*growthrate!$F$3)^10</f>
        <v>28814.136108770326</v>
      </c>
      <c r="R346" s="4">
        <f>N346*(1+0.01*growthrate!$F$3)^10</f>
        <v>4077935.1013786593</v>
      </c>
      <c r="S346" s="4">
        <f>O346*(1+0.01*growthrate!$F$3)^10</f>
        <v>211110.88034096791</v>
      </c>
    </row>
    <row r="347" spans="1:19" x14ac:dyDescent="0.2">
      <c r="A347" s="2" t="s">
        <v>699</v>
      </c>
      <c r="B347" s="8" t="s">
        <v>700</v>
      </c>
      <c r="C347" s="4" t="s">
        <v>779</v>
      </c>
      <c r="D347" s="5">
        <v>6695992</v>
      </c>
      <c r="E347" s="5">
        <v>0</v>
      </c>
      <c r="F347" s="5">
        <v>6695992</v>
      </c>
      <c r="G347" s="5">
        <v>3865427</v>
      </c>
      <c r="H347" s="12">
        <f>D347*(1+0.01*growthrate!E347)^2</f>
        <v>6695992</v>
      </c>
      <c r="I347" s="4">
        <f>E347*(1+0.01*growthrate!$E$3)^2</f>
        <v>0</v>
      </c>
      <c r="J347" s="4">
        <f>F347*(1+0.01*growthrate!$E$3)^2</f>
        <v>6898378.3581999978</v>
      </c>
      <c r="K347" s="4">
        <f>G347*(1+0.01*growthrate!$E$3)^2</f>
        <v>3982259.5310749989</v>
      </c>
      <c r="L347" s="12">
        <f>H347*(1+0.01*growthrate!$E$3)^5</f>
        <v>7213485.0717377393</v>
      </c>
      <c r="M347" s="4">
        <f>I347*(1+0.01*growthrate!$E$3)^5</f>
        <v>0</v>
      </c>
      <c r="N347" s="4">
        <f>J347*(1+0.01*growthrate!$E$3)^5</f>
        <v>7431512.6580310101</v>
      </c>
      <c r="O347" s="4">
        <f>K347*(1+0.01*growthrate!$E$3)^5</f>
        <v>4290024.4921431858</v>
      </c>
      <c r="P347" s="12">
        <f>L347*(1+0.01*growthrate!$F$3)^10</f>
        <v>7734635.3362300824</v>
      </c>
      <c r="Q347" s="4">
        <f>M347*(1+0.01*growthrate!$F$3)^10</f>
        <v>0</v>
      </c>
      <c r="R347" s="4">
        <f>N347*(1+0.01*growthrate!$F$3)^10</f>
        <v>7968414.6892676344</v>
      </c>
      <c r="S347" s="4">
        <f>O347*(1+0.01*growthrate!$F$3)^10</f>
        <v>4599964.4693559557</v>
      </c>
    </row>
    <row r="348" spans="1:19" x14ac:dyDescent="0.2">
      <c r="A348" s="2" t="s">
        <v>701</v>
      </c>
      <c r="B348" s="8" t="s">
        <v>702</v>
      </c>
      <c r="C348" s="4" t="s">
        <v>779</v>
      </c>
      <c r="D348" s="5">
        <v>5843573</v>
      </c>
      <c r="E348" s="5">
        <v>3759</v>
      </c>
      <c r="F348" s="5">
        <v>5847332</v>
      </c>
      <c r="G348" s="5">
        <v>541163</v>
      </c>
      <c r="H348" s="12">
        <f>D348*(1+0.01*growthrate!E348)^2</f>
        <v>5843573</v>
      </c>
      <c r="I348" s="4">
        <f>E348*(1+0.01*growthrate!$E$3)^2</f>
        <v>3872.6157749999988</v>
      </c>
      <c r="J348" s="4">
        <f>F348*(1+0.01*growthrate!$E$3)^2</f>
        <v>6024067.6096999981</v>
      </c>
      <c r="K348" s="4">
        <f>G348*(1+0.01*growthrate!$E$3)^2</f>
        <v>557519.65167499986</v>
      </c>
      <c r="L348" s="12">
        <f>H348*(1+0.01*growthrate!$E$3)^5</f>
        <v>6295187.7184306243</v>
      </c>
      <c r="M348" s="4">
        <f>I348*(1+0.01*growthrate!$E$3)^5</f>
        <v>4171.9070275977883</v>
      </c>
      <c r="N348" s="4">
        <f>J348*(1+0.01*growthrate!$E$3)^5</f>
        <v>6489631.6742477864</v>
      </c>
      <c r="O348" s="4">
        <f>K348*(1+0.01*growthrate!$E$3)^5</f>
        <v>600607.00260066555</v>
      </c>
      <c r="P348" s="12">
        <f>L348*(1+0.01*growthrate!$F$3)^10</f>
        <v>6749994.0584815554</v>
      </c>
      <c r="Q348" s="4">
        <f>M348*(1+0.01*growthrate!$F$3)^10</f>
        <v>4473.3134115090106</v>
      </c>
      <c r="R348" s="4">
        <f>N348*(1+0.01*growthrate!$F$3)^10</f>
        <v>6958485.9423106685</v>
      </c>
      <c r="S348" s="4">
        <f>O348*(1+0.01*growthrate!$F$3)^10</f>
        <v>643998.85759841721</v>
      </c>
    </row>
    <row r="349" spans="1:19" x14ac:dyDescent="0.2">
      <c r="A349" s="2" t="s">
        <v>703</v>
      </c>
      <c r="B349" s="8" t="s">
        <v>704</v>
      </c>
      <c r="C349" s="4" t="s">
        <v>779</v>
      </c>
      <c r="D349" s="5">
        <v>1827697</v>
      </c>
      <c r="E349" s="5">
        <v>309</v>
      </c>
      <c r="F349" s="5">
        <v>1828006</v>
      </c>
      <c r="G349" s="5">
        <v>1592343</v>
      </c>
      <c r="H349" s="12">
        <f>D349*(1+0.01*growthrate!E349)^2</f>
        <v>1827697</v>
      </c>
      <c r="I349" s="4">
        <f>E349*(1+0.01*growthrate!$E$3)^2</f>
        <v>318.33952499999992</v>
      </c>
      <c r="J349" s="4">
        <f>F349*(1+0.01*growthrate!$E$3)^2</f>
        <v>1883257.4813499996</v>
      </c>
      <c r="K349" s="4">
        <f>G349*(1+0.01*growthrate!$E$3)^2</f>
        <v>1640471.5671749995</v>
      </c>
      <c r="L349" s="12">
        <f>H349*(1+0.01*growthrate!$E$3)^5</f>
        <v>1968948.7420474591</v>
      </c>
      <c r="M349" s="4">
        <f>I349*(1+0.01*growthrate!$E$3)^5</f>
        <v>342.94207808664976</v>
      </c>
      <c r="N349" s="4">
        <f>J349*(1+0.01*growthrate!$E$3)^5</f>
        <v>2028803.1598539299</v>
      </c>
      <c r="O349" s="4">
        <f>K349*(1+0.01*growthrate!$E$3)^5</f>
        <v>1767253.7781447577</v>
      </c>
      <c r="P349" s="12">
        <f>L349*(1+0.01*growthrate!$F$3)^10</f>
        <v>2111198.7290489166</v>
      </c>
      <c r="Q349" s="4">
        <f>M349*(1+0.01*growthrate!$F$3)^10</f>
        <v>367.71850070664647</v>
      </c>
      <c r="R349" s="4">
        <f>N349*(1+0.01*growthrate!$F$3)^10</f>
        <v>2175377.4291351265</v>
      </c>
      <c r="S349" s="4">
        <f>O349*(1+0.01*growthrate!$F$3)^10</f>
        <v>1894931.9759570342</v>
      </c>
    </row>
    <row r="350" spans="1:19" x14ac:dyDescent="0.2">
      <c r="A350" s="2" t="s">
        <v>705</v>
      </c>
      <c r="B350" s="8" t="s">
        <v>706</v>
      </c>
      <c r="C350" s="4" t="s">
        <v>779</v>
      </c>
      <c r="D350" s="5">
        <v>532395</v>
      </c>
      <c r="E350" s="5">
        <v>0</v>
      </c>
      <c r="F350" s="5">
        <v>532395</v>
      </c>
      <c r="G350" s="5">
        <v>519550</v>
      </c>
      <c r="H350" s="12">
        <f>D350*(1+0.01*growthrate!E350)^2</f>
        <v>532395</v>
      </c>
      <c r="I350" s="4">
        <f>E350*(1+0.01*growthrate!$E$3)^2</f>
        <v>0</v>
      </c>
      <c r="J350" s="4">
        <f>F350*(1+0.01*growthrate!$E$3)^2</f>
        <v>548486.63887499983</v>
      </c>
      <c r="K350" s="4">
        <f>G350*(1+0.01*growthrate!$E$3)^2</f>
        <v>535253.39874999982</v>
      </c>
      <c r="L350" s="12">
        <f>H350*(1+0.01*growthrate!$E$3)^5</f>
        <v>573540.61724802142</v>
      </c>
      <c r="M350" s="4">
        <f>I350*(1+0.01*growthrate!$E$3)^5</f>
        <v>0</v>
      </c>
      <c r="N350" s="4">
        <f>J350*(1+0.01*growthrate!$E$3)^5</f>
        <v>590875.88240434276</v>
      </c>
      <c r="O350" s="4">
        <f>K350*(1+0.01*growthrate!$E$3)^5</f>
        <v>576619.92449811939</v>
      </c>
      <c r="P350" s="12">
        <f>L350*(1+0.01*growthrate!$F$3)^10</f>
        <v>614977.01607651485</v>
      </c>
      <c r="Q350" s="4">
        <f>M350*(1+0.01*growthrate!$F$3)^10</f>
        <v>0</v>
      </c>
      <c r="R350" s="4">
        <f>N350*(1+0.01*growthrate!$F$3)^10</f>
        <v>633564.69638742739</v>
      </c>
      <c r="S350" s="4">
        <f>O350*(1+0.01*growthrate!$F$3)^10</f>
        <v>618278.79301662836</v>
      </c>
    </row>
    <row r="351" spans="1:19" x14ac:dyDescent="0.2">
      <c r="A351" s="2" t="s">
        <v>707</v>
      </c>
      <c r="B351" s="8" t="s">
        <v>708</v>
      </c>
      <c r="C351" s="4" t="s">
        <v>779</v>
      </c>
      <c r="D351" s="5">
        <v>507551</v>
      </c>
      <c r="E351" s="5">
        <v>148</v>
      </c>
      <c r="F351" s="5">
        <v>507699</v>
      </c>
      <c r="G351" s="5">
        <v>678432</v>
      </c>
      <c r="H351" s="12">
        <f>D351*(1+0.01*growthrate!E351)^2</f>
        <v>507551</v>
      </c>
      <c r="I351" s="4">
        <f>E351*(1+0.01*growthrate!$E$3)^2</f>
        <v>152.47329999999997</v>
      </c>
      <c r="J351" s="4">
        <f>F351*(1+0.01*growthrate!$E$3)^2</f>
        <v>523044.20227499987</v>
      </c>
      <c r="K351" s="4">
        <f>G351*(1+0.01*growthrate!$E$3)^2</f>
        <v>698937.60719999985</v>
      </c>
      <c r="L351" s="12">
        <f>H351*(1+0.01*growthrate!$E$3)^5</f>
        <v>546776.573455518</v>
      </c>
      <c r="M351" s="4">
        <f>I351*(1+0.01*growthrate!$E$3)^5</f>
        <v>164.25704710946334</v>
      </c>
      <c r="N351" s="4">
        <f>J351*(1+0.01*growthrate!$E$3)^5</f>
        <v>563467.15243532043</v>
      </c>
      <c r="O351" s="4">
        <f>K351*(1+0.01*growthrate!$E$3)^5</f>
        <v>752954.30394977995</v>
      </c>
      <c r="P351" s="12">
        <f>L351*(1+0.01*growthrate!$F$3)^10</f>
        <v>586279.35928521329</v>
      </c>
      <c r="Q351" s="4">
        <f>M351*(1+0.01*growthrate!$F$3)^10</f>
        <v>176.12407153586952</v>
      </c>
      <c r="R351" s="4">
        <f>N351*(1+0.01*growthrate!$F$3)^10</f>
        <v>604175.77699114475</v>
      </c>
      <c r="S351" s="4">
        <f>O351*(1+0.01*growthrate!$F$3)^10</f>
        <v>807352.74392042588</v>
      </c>
    </row>
    <row r="352" spans="1:19" x14ac:dyDescent="0.2">
      <c r="A352" s="2" t="s">
        <v>709</v>
      </c>
      <c r="B352" s="8" t="s">
        <v>710</v>
      </c>
      <c r="C352" s="4" t="s">
        <v>779</v>
      </c>
      <c r="D352" s="5">
        <v>2713971</v>
      </c>
      <c r="E352" s="5">
        <v>28608</v>
      </c>
      <c r="F352" s="5">
        <v>2742579</v>
      </c>
      <c r="G352" s="5">
        <v>301601</v>
      </c>
      <c r="H352" s="12">
        <f>D352*(1+0.01*growthrate!E352)^2</f>
        <v>2713971</v>
      </c>
      <c r="I352" s="4">
        <f>E352*(1+0.01*growthrate!$E$3)^2</f>
        <v>29472.676799999994</v>
      </c>
      <c r="J352" s="4">
        <f>F352*(1+0.01*growthrate!$E$3)^2</f>
        <v>2825473.4502749993</v>
      </c>
      <c r="K352" s="4">
        <f>G352*(1+0.01*growthrate!$E$3)^2</f>
        <v>310716.89022499992</v>
      </c>
      <c r="L352" s="12">
        <f>H352*(1+0.01*growthrate!$E$3)^5</f>
        <v>2923717.5453060791</v>
      </c>
      <c r="M352" s="4">
        <f>I352*(1+0.01*growthrate!$E$3)^5</f>
        <v>31750.443268294101</v>
      </c>
      <c r="N352" s="4">
        <f>J352*(1+0.01*growthrate!$E$3)^5</f>
        <v>3043837.3513812488</v>
      </c>
      <c r="O352" s="4">
        <f>K352*(1+0.01*growthrate!$E$3)^5</f>
        <v>334730.33557608951</v>
      </c>
      <c r="P352" s="12">
        <f>L352*(1+0.01*growthrate!$F$3)^10</f>
        <v>3134946.3975022212</v>
      </c>
      <c r="Q352" s="4">
        <f>M352*(1+0.01*growthrate!$F$3)^10</f>
        <v>34044.307016879429</v>
      </c>
      <c r="R352" s="4">
        <f>N352*(1+0.01*growthrate!$F$3)^10</f>
        <v>3263744.4593836046</v>
      </c>
      <c r="S352" s="4">
        <f>O352*(1+0.01*growthrate!$F$3)^10</f>
        <v>358913.48715736339</v>
      </c>
    </row>
    <row r="353" spans="1:19" x14ac:dyDescent="0.2">
      <c r="A353" s="2" t="s">
        <v>711</v>
      </c>
      <c r="B353" s="8" t="s">
        <v>712</v>
      </c>
      <c r="C353" s="4" t="s">
        <v>779</v>
      </c>
      <c r="D353" s="5">
        <v>8168728</v>
      </c>
      <c r="E353" s="5">
        <v>22932</v>
      </c>
      <c r="F353" s="5">
        <v>8191660</v>
      </c>
      <c r="G353" s="5">
        <v>2457358</v>
      </c>
      <c r="H353" s="12">
        <f>D353*(1+0.01*growthrate!E353)^2</f>
        <v>8168728</v>
      </c>
      <c r="I353" s="4">
        <f>E353*(1+0.01*growthrate!$E$3)^2</f>
        <v>23625.119699999992</v>
      </c>
      <c r="J353" s="4">
        <f>F353*(1+0.01*growthrate!$E$3)^2</f>
        <v>8439252.9234999977</v>
      </c>
      <c r="K353" s="4">
        <f>G353*(1+0.01*growthrate!$E$3)^2</f>
        <v>2531631.6455499995</v>
      </c>
      <c r="L353" s="12">
        <f>H353*(1+0.01*growthrate!$E$3)^5</f>
        <v>8800040.0064823963</v>
      </c>
      <c r="M353" s="4">
        <f>I353*(1+0.01*growthrate!$E$3)^5</f>
        <v>25450.963542663598</v>
      </c>
      <c r="N353" s="4">
        <f>J353*(1+0.01*growthrate!$E$3)^5</f>
        <v>9091472.1792209893</v>
      </c>
      <c r="O353" s="4">
        <f>K353*(1+0.01*growthrate!$E$3)^5</f>
        <v>2727286.2754784906</v>
      </c>
      <c r="P353" s="12">
        <f>L353*(1+0.01*growthrate!$F$3)^10</f>
        <v>9435813.5793549456</v>
      </c>
      <c r="Q353" s="4">
        <f>M353*(1+0.01*growthrate!$F$3)^10</f>
        <v>27289.710867976752</v>
      </c>
      <c r="R353" s="4">
        <f>N353*(1+0.01*growthrate!$F$3)^10</f>
        <v>9748300.7556589246</v>
      </c>
      <c r="S353" s="4">
        <f>O353*(1+0.01*growthrate!$F$3)^10</f>
        <v>2924323.6228462248</v>
      </c>
    </row>
    <row r="354" spans="1:19" x14ac:dyDescent="0.2">
      <c r="A354" s="2" t="s">
        <v>713</v>
      </c>
      <c r="B354" s="8" t="s">
        <v>714</v>
      </c>
      <c r="C354" s="4" t="s">
        <v>779</v>
      </c>
      <c r="D354" s="5">
        <v>3644344</v>
      </c>
      <c r="E354" s="5">
        <v>6393</v>
      </c>
      <c r="F354" s="5">
        <v>3650737</v>
      </c>
      <c r="G354" s="5">
        <v>351564</v>
      </c>
      <c r="H354" s="12">
        <f>D354*(1+0.01*growthrate!E354)^2</f>
        <v>3644344</v>
      </c>
      <c r="I354" s="4">
        <f>E354*(1+0.01*growthrate!$E$3)^2</f>
        <v>6586.2284249999984</v>
      </c>
      <c r="J354" s="4">
        <f>F354*(1+0.01*growthrate!$E$3)^2</f>
        <v>3761080.525824999</v>
      </c>
      <c r="K354" s="4">
        <f>G354*(1+0.01*growthrate!$E$3)^2</f>
        <v>362190.02189999988</v>
      </c>
      <c r="L354" s="12">
        <f>H354*(1+0.01*growthrate!$E$3)^5</f>
        <v>3925993.4958519964</v>
      </c>
      <c r="M354" s="4">
        <f>I354*(1+0.01*growthrate!$E$3)^5</f>
        <v>7095.2385281810748</v>
      </c>
      <c r="N354" s="4">
        <f>J354*(1+0.01*growthrate!$E$3)^5</f>
        <v>4051751.8877923028</v>
      </c>
      <c r="O354" s="4">
        <f>K354*(1+0.01*growthrate!$E$3)^5</f>
        <v>390181.51695940108</v>
      </c>
      <c r="P354" s="12">
        <f>L354*(1+0.01*growthrate!$F$3)^10</f>
        <v>4209633.4463628521</v>
      </c>
      <c r="Q354" s="4">
        <f>M354*(1+0.01*growthrate!$F$3)^10</f>
        <v>7607.8458738433364</v>
      </c>
      <c r="R354" s="4">
        <f>N354*(1+0.01*growthrate!$F$3)^10</f>
        <v>4344477.4631530112</v>
      </c>
      <c r="S354" s="4">
        <f>O354*(1+0.01*growthrate!$F$3)^10</f>
        <v>418370.8316583542</v>
      </c>
    </row>
    <row r="355" spans="1:19" x14ac:dyDescent="0.2">
      <c r="A355" s="2" t="s">
        <v>715</v>
      </c>
      <c r="B355" s="8" t="s">
        <v>716</v>
      </c>
      <c r="C355" s="4" t="s">
        <v>779</v>
      </c>
      <c r="D355" s="5">
        <v>4082453</v>
      </c>
      <c r="E355" s="5">
        <v>9650</v>
      </c>
      <c r="F355" s="5">
        <v>4092103</v>
      </c>
      <c r="G355" s="5">
        <v>231155</v>
      </c>
      <c r="H355" s="12">
        <f>D355*(1+0.01*growthrate!E355)^2</f>
        <v>4082453</v>
      </c>
      <c r="I355" s="4">
        <f>E355*(1+0.01*growthrate!$E$3)^2</f>
        <v>9941.6712499999976</v>
      </c>
      <c r="J355" s="4">
        <f>F355*(1+0.01*growthrate!$E$3)^2</f>
        <v>4215786.8131749993</v>
      </c>
      <c r="K355" s="4">
        <f>G355*(1+0.01*growthrate!$E$3)^2</f>
        <v>238141.65987499992</v>
      </c>
      <c r="L355" s="12">
        <f>H355*(1+0.01*growthrate!$E$3)^5</f>
        <v>4397961.3135097753</v>
      </c>
      <c r="M355" s="4">
        <f>I355*(1+0.01*growthrate!$E$3)^5</f>
        <v>10710.003409502169</v>
      </c>
      <c r="N355" s="4">
        <f>J355*(1+0.01*growthrate!$E$3)^5</f>
        <v>4541599.6976201097</v>
      </c>
      <c r="O355" s="4">
        <f>K355*(1+0.01*growthrate!$E$3)^5</f>
        <v>256546.20084181076</v>
      </c>
      <c r="P355" s="12">
        <f>L355*(1+0.01*growthrate!$F$3)^10</f>
        <v>4715699.3664715411</v>
      </c>
      <c r="Q355" s="4">
        <f>M355*(1+0.01*growthrate!$F$3)^10</f>
        <v>11483.765475142844</v>
      </c>
      <c r="R355" s="4">
        <f>N355*(1+0.01*growthrate!$F$3)^10</f>
        <v>4869715.1452982854</v>
      </c>
      <c r="S355" s="4">
        <f>O355*(1+0.01*growthrate!$F$3)^10</f>
        <v>275080.80916131026</v>
      </c>
    </row>
    <row r="356" spans="1:19" x14ac:dyDescent="0.2">
      <c r="A356" s="2" t="s">
        <v>717</v>
      </c>
      <c r="B356" s="8" t="s">
        <v>718</v>
      </c>
      <c r="C356" s="4" t="s">
        <v>779</v>
      </c>
      <c r="D356" s="5">
        <v>6048286</v>
      </c>
      <c r="E356" s="5">
        <v>142783</v>
      </c>
      <c r="F356" s="5">
        <v>6191069</v>
      </c>
      <c r="G356" s="5">
        <v>1302339</v>
      </c>
      <c r="H356" s="12">
        <f>D356*(1+0.01*growthrate!E356)^2</f>
        <v>6048286</v>
      </c>
      <c r="I356" s="4">
        <f>E356*(1+0.01*growthrate!$E$3)^2</f>
        <v>147098.61617499997</v>
      </c>
      <c r="J356" s="4">
        <f>F356*(1+0.01*growthrate!$E$3)^2</f>
        <v>6378194.0605249982</v>
      </c>
      <c r="K356" s="4">
        <f>G356*(1+0.01*growthrate!$E$3)^2</f>
        <v>1341702.1962749995</v>
      </c>
      <c r="L356" s="12">
        <f>H356*(1+0.01*growthrate!$E$3)^5</f>
        <v>6515721.758717807</v>
      </c>
      <c r="M356" s="4">
        <f>I356*(1+0.01*growthrate!$E$3)^5</f>
        <v>158466.98619885475</v>
      </c>
      <c r="N356" s="4">
        <f>J356*(1+0.01*growthrate!$E$3)^5</f>
        <v>6871126.4350739056</v>
      </c>
      <c r="O356" s="4">
        <f>K356*(1+0.01*growthrate!$E$3)^5</f>
        <v>1445394.3140235902</v>
      </c>
      <c r="P356" s="12">
        <f>L356*(1+0.01*growthrate!$F$3)^10</f>
        <v>6986460.9484637529</v>
      </c>
      <c r="Q356" s="4">
        <f>M356*(1+0.01*growthrate!$F$3)^10</f>
        <v>169915.69801423012</v>
      </c>
      <c r="R356" s="4">
        <f>N356*(1+0.01*growthrate!$F$3)^10</f>
        <v>7367542.4286452988</v>
      </c>
      <c r="S356" s="4">
        <f>O356*(1+0.01*growthrate!$F$3)^10</f>
        <v>1549819.2378375186</v>
      </c>
    </row>
    <row r="357" spans="1:19" x14ac:dyDescent="0.2">
      <c r="A357" s="2" t="s">
        <v>719</v>
      </c>
      <c r="B357" s="8" t="s">
        <v>720</v>
      </c>
      <c r="C357" s="4" t="s">
        <v>779</v>
      </c>
      <c r="D357" s="5">
        <v>497396</v>
      </c>
      <c r="E357" s="5">
        <v>0</v>
      </c>
      <c r="F357" s="5">
        <v>497396</v>
      </c>
      <c r="G357" s="5">
        <v>5971558</v>
      </c>
      <c r="H357" s="12">
        <f>D357*(1+0.01*growthrate!E357)^2</f>
        <v>497396</v>
      </c>
      <c r="I357" s="4">
        <f>E357*(1+0.01*growthrate!$E$3)^2</f>
        <v>0</v>
      </c>
      <c r="J357" s="4">
        <f>F357*(1+0.01*growthrate!$E$3)^2</f>
        <v>512429.79409999988</v>
      </c>
      <c r="K357" s="4">
        <f>G357*(1+0.01*growthrate!$E$3)^2</f>
        <v>6152048.340549998</v>
      </c>
      <c r="L357" s="12">
        <f>H357*(1+0.01*growthrate!$E$3)^5</f>
        <v>535836.75439607224</v>
      </c>
      <c r="M357" s="4">
        <f>I357*(1+0.01*growthrate!$E$3)^5</f>
        <v>0</v>
      </c>
      <c r="N357" s="4">
        <f>J357*(1+0.01*growthrate!$E$3)^5</f>
        <v>552032.42029769334</v>
      </c>
      <c r="O357" s="4">
        <f>K357*(1+0.01*growthrate!$E$3)^5</f>
        <v>6627503.2683979226</v>
      </c>
      <c r="P357" s="12">
        <f>L357*(1+0.01*growthrate!$F$3)^10</f>
        <v>574549.1747450562</v>
      </c>
      <c r="Q357" s="4">
        <f>M357*(1+0.01*growthrate!$F$3)^10</f>
        <v>0</v>
      </c>
      <c r="R357" s="4">
        <f>N357*(1+0.01*growthrate!$F$3)^10</f>
        <v>591914.92355172534</v>
      </c>
      <c r="S357" s="4">
        <f>O357*(1+0.01*growthrate!$F$3)^10</f>
        <v>7106318.2998148231</v>
      </c>
    </row>
    <row r="358" spans="1:19" x14ac:dyDescent="0.2">
      <c r="A358" s="2" t="s">
        <v>721</v>
      </c>
      <c r="B358" s="8" t="s">
        <v>722</v>
      </c>
      <c r="C358" s="4" t="s">
        <v>779</v>
      </c>
      <c r="D358" s="5">
        <v>0</v>
      </c>
      <c r="E358" s="5">
        <v>0</v>
      </c>
      <c r="F358" s="5">
        <v>0</v>
      </c>
      <c r="G358" s="5">
        <v>378064</v>
      </c>
      <c r="H358" s="12">
        <f>D358*(1+0.01*growthrate!E358)^2</f>
        <v>0</v>
      </c>
      <c r="I358" s="4">
        <f>E358*(1+0.01*growthrate!$E$3)^2</f>
        <v>0</v>
      </c>
      <c r="J358" s="4">
        <f>F358*(1+0.01*growthrate!$E$3)^2</f>
        <v>0</v>
      </c>
      <c r="K358" s="4">
        <f>G358*(1+0.01*growthrate!$E$3)^2</f>
        <v>389490.9843999999</v>
      </c>
      <c r="L358" s="12">
        <f>H358*(1+0.01*growthrate!$E$3)^5</f>
        <v>0</v>
      </c>
      <c r="M358" s="4">
        <f>I358*(1+0.01*growthrate!$E$3)^5</f>
        <v>0</v>
      </c>
      <c r="N358" s="4">
        <f>J358*(1+0.01*growthrate!$E$3)^5</f>
        <v>0</v>
      </c>
      <c r="O358" s="4">
        <f>K358*(1+0.01*growthrate!$E$3)^5</f>
        <v>419592.40715129825</v>
      </c>
      <c r="P358" s="12">
        <f>L358*(1+0.01*growthrate!$F$3)^10</f>
        <v>0</v>
      </c>
      <c r="Q358" s="4">
        <f>M358*(1+0.01*growthrate!$F$3)^10</f>
        <v>0</v>
      </c>
      <c r="R358" s="4">
        <f>N358*(1+0.01*growthrate!$F$3)^10</f>
        <v>0</v>
      </c>
      <c r="S358" s="4">
        <f>O358*(1+0.01*growthrate!$F$3)^10</f>
        <v>449906.56068335788</v>
      </c>
    </row>
    <row r="359" spans="1:19" x14ac:dyDescent="0.2">
      <c r="A359" s="2" t="s">
        <v>723</v>
      </c>
      <c r="B359" s="8" t="s">
        <v>724</v>
      </c>
      <c r="C359" s="4" t="s">
        <v>779</v>
      </c>
      <c r="D359" s="5">
        <v>0</v>
      </c>
      <c r="E359" s="5">
        <v>0</v>
      </c>
      <c r="F359" s="5">
        <v>0</v>
      </c>
      <c r="G359" s="5">
        <v>45560</v>
      </c>
      <c r="H359" s="12">
        <f>D359*(1+0.01*growthrate!E359)^2</f>
        <v>0</v>
      </c>
      <c r="I359" s="4">
        <f>E359*(1+0.01*growthrate!$E$3)^2</f>
        <v>0</v>
      </c>
      <c r="J359" s="4">
        <f>F359*(1+0.01*growthrate!$E$3)^2</f>
        <v>0</v>
      </c>
      <c r="K359" s="4">
        <f>G359*(1+0.01*growthrate!$E$3)^2</f>
        <v>46937.050999999985</v>
      </c>
      <c r="L359" s="12">
        <f>H359*(1+0.01*growthrate!$E$3)^5</f>
        <v>0</v>
      </c>
      <c r="M359" s="4">
        <f>I359*(1+0.01*growthrate!$E$3)^5</f>
        <v>0</v>
      </c>
      <c r="N359" s="4">
        <f>J359*(1+0.01*growthrate!$E$3)^5</f>
        <v>0</v>
      </c>
      <c r="O359" s="4">
        <f>K359*(1+0.01*growthrate!$E$3)^5</f>
        <v>50564.534231805061</v>
      </c>
      <c r="P359" s="12">
        <f>L359*(1+0.01*growthrate!$F$3)^10</f>
        <v>0</v>
      </c>
      <c r="Q359" s="4">
        <f>M359*(1+0.01*growthrate!$F$3)^10</f>
        <v>0</v>
      </c>
      <c r="R359" s="4">
        <f>N359*(1+0.01*growthrate!$F$3)^10</f>
        <v>0</v>
      </c>
      <c r="S359" s="4">
        <f>O359*(1+0.01*growthrate!$F$3)^10</f>
        <v>54217.653372798748</v>
      </c>
    </row>
    <row r="360" spans="1:19" x14ac:dyDescent="0.2">
      <c r="A360" s="2" t="s">
        <v>725</v>
      </c>
      <c r="B360" s="8" t="s">
        <v>726</v>
      </c>
      <c r="C360" s="4" t="s">
        <v>779</v>
      </c>
      <c r="D360" s="5">
        <v>0</v>
      </c>
      <c r="E360" s="5">
        <v>604592</v>
      </c>
      <c r="F360" s="5">
        <v>604592</v>
      </c>
      <c r="G360" s="5">
        <v>856644</v>
      </c>
      <c r="H360" s="12">
        <f>D360*(1+0.01*growthrate!E360)^2</f>
        <v>0</v>
      </c>
      <c r="I360" s="4">
        <f>E360*(1+0.01*growthrate!$E$3)^2</f>
        <v>622865.79319999984</v>
      </c>
      <c r="J360" s="4">
        <f>F360*(1+0.01*growthrate!$E$3)^2</f>
        <v>622865.79319999984</v>
      </c>
      <c r="K360" s="4">
        <f>G360*(1+0.01*growthrate!$E$3)^2</f>
        <v>882536.06489999976</v>
      </c>
      <c r="L360" s="12">
        <f>H360*(1+0.01*growthrate!$E$3)^5</f>
        <v>0</v>
      </c>
      <c r="M360" s="4">
        <f>I360*(1+0.01*growthrate!$E$3)^5</f>
        <v>671003.35558111256</v>
      </c>
      <c r="N360" s="4">
        <f>J360*(1+0.01*growthrate!$E$3)^5</f>
        <v>671003.35558111256</v>
      </c>
      <c r="O360" s="4">
        <f>K360*(1+0.01*growthrate!$E$3)^5</f>
        <v>950741.98556783178</v>
      </c>
      <c r="P360" s="12">
        <f>L360*(1+0.01*growthrate!$F$3)^10</f>
        <v>0</v>
      </c>
      <c r="Q360" s="4">
        <f>M360*(1+0.01*growthrate!$F$3)^10</f>
        <v>719481.11255415156</v>
      </c>
      <c r="R360" s="4">
        <f>N360*(1+0.01*growthrate!$F$3)^10</f>
        <v>719481.11255415156</v>
      </c>
      <c r="S360" s="4">
        <f>O360*(1+0.01*growthrate!$F$3)^10</f>
        <v>1019429.9265998203</v>
      </c>
    </row>
    <row r="361" spans="1:19" x14ac:dyDescent="0.2">
      <c r="A361" s="2" t="s">
        <v>727</v>
      </c>
      <c r="B361" s="8" t="s">
        <v>728</v>
      </c>
      <c r="C361" s="4" t="s">
        <v>779</v>
      </c>
      <c r="D361" s="5">
        <v>0</v>
      </c>
      <c r="E361" s="5">
        <v>1192985</v>
      </c>
      <c r="F361" s="5">
        <v>1192985</v>
      </c>
      <c r="G361" s="5">
        <v>514058</v>
      </c>
      <c r="H361" s="12">
        <f>D361*(1+0.01*growthrate!E361)^2</f>
        <v>0</v>
      </c>
      <c r="I361" s="4">
        <f>E361*(1+0.01*growthrate!$E$3)^2</f>
        <v>1229042.9716249998</v>
      </c>
      <c r="J361" s="4">
        <f>F361*(1+0.01*growthrate!$E$3)^2</f>
        <v>1229042.9716249998</v>
      </c>
      <c r="K361" s="4">
        <f>G361*(1+0.01*growthrate!$E$3)^2</f>
        <v>529595.40304999985</v>
      </c>
      <c r="L361" s="12">
        <f>H361*(1+0.01*growthrate!$E$3)^5</f>
        <v>0</v>
      </c>
      <c r="M361" s="4">
        <f>I361*(1+0.01*growthrate!$E$3)^5</f>
        <v>1324028.3334181292</v>
      </c>
      <c r="N361" s="4">
        <f>J361*(1+0.01*growthrate!$E$3)^5</f>
        <v>1324028.3334181292</v>
      </c>
      <c r="O361" s="4">
        <f>K361*(1+0.01*growthrate!$E$3)^5</f>
        <v>570524.65623646276</v>
      </c>
      <c r="P361" s="12">
        <f>L361*(1+0.01*growthrate!$F$3)^10</f>
        <v>0</v>
      </c>
      <c r="Q361" s="4">
        <f>M361*(1+0.01*growthrate!$F$3)^10</f>
        <v>1419684.9694676981</v>
      </c>
      <c r="R361" s="4">
        <f>N361*(1+0.01*growthrate!$F$3)^10</f>
        <v>1419684.9694676981</v>
      </c>
      <c r="S361" s="4">
        <f>O361*(1+0.01*growthrate!$F$3)^10</f>
        <v>611743.1619296351</v>
      </c>
    </row>
    <row r="362" spans="1:19" x14ac:dyDescent="0.2">
      <c r="A362" s="2" t="s">
        <v>729</v>
      </c>
      <c r="B362" s="8" t="s">
        <v>730</v>
      </c>
      <c r="C362" s="4" t="s">
        <v>779</v>
      </c>
      <c r="D362" s="5">
        <v>12067</v>
      </c>
      <c r="E362" s="5">
        <v>343030</v>
      </c>
      <c r="F362" s="5">
        <v>355097</v>
      </c>
      <c r="G362" s="5">
        <v>961621</v>
      </c>
      <c r="H362" s="12">
        <f>D362*(1+0.01*growthrate!E362)^2</f>
        <v>12067</v>
      </c>
      <c r="I362" s="4">
        <f>E362*(1+0.01*growthrate!$E$3)^2</f>
        <v>353398.0817499999</v>
      </c>
      <c r="J362" s="4">
        <f>F362*(1+0.01*growthrate!$E$3)^2</f>
        <v>365829.80682499992</v>
      </c>
      <c r="K362" s="4">
        <f>G362*(1+0.01*growthrate!$E$3)^2</f>
        <v>990685.99472499976</v>
      </c>
      <c r="L362" s="12">
        <f>H362*(1+0.01*growthrate!$E$3)^5</f>
        <v>12999.586074872745</v>
      </c>
      <c r="M362" s="4">
        <f>I362*(1+0.01*growthrate!$E$3)^5</f>
        <v>380710.10047269729</v>
      </c>
      <c r="N362" s="4">
        <f>J362*(1+0.01*growthrate!$E$3)^5</f>
        <v>394102.5990366831</v>
      </c>
      <c r="O362" s="4">
        <f>K362*(1+0.01*growthrate!$E$3)^5</f>
        <v>1067250.1749895217</v>
      </c>
      <c r="P362" s="12">
        <f>L362*(1+0.01*growthrate!$F$3)^10</f>
        <v>13938.762860273489</v>
      </c>
      <c r="Q362" s="4">
        <f>M362*(1+0.01*growthrate!$F$3)^10</f>
        <v>408215.13688479265</v>
      </c>
      <c r="R362" s="4">
        <f>N362*(1+0.01*growthrate!$F$3)^10</f>
        <v>422575.19885251793</v>
      </c>
      <c r="S362" s="4">
        <f>O362*(1+0.01*growthrate!$F$3)^10</f>
        <v>1144355.4445567187</v>
      </c>
    </row>
    <row r="363" spans="1:19" x14ac:dyDescent="0.2">
      <c r="A363" s="2" t="s">
        <v>731</v>
      </c>
      <c r="B363" s="8" t="s">
        <v>732</v>
      </c>
      <c r="C363" s="4" t="s">
        <v>779</v>
      </c>
      <c r="D363" s="5">
        <v>78</v>
      </c>
      <c r="E363" s="5">
        <v>1364</v>
      </c>
      <c r="F363" s="5">
        <v>1442</v>
      </c>
      <c r="G363" s="5">
        <v>310786</v>
      </c>
      <c r="H363" s="12">
        <f>D363*(1+0.01*growthrate!E363)^2</f>
        <v>78</v>
      </c>
      <c r="I363" s="4">
        <f>E363*(1+0.01*growthrate!$E$3)^2</f>
        <v>1405.2268999999997</v>
      </c>
      <c r="J363" s="4">
        <f>F363*(1+0.01*growthrate!$E$3)^2</f>
        <v>1485.5844499999996</v>
      </c>
      <c r="K363" s="4">
        <f>G363*(1+0.01*growthrate!$E$3)^2</f>
        <v>320179.50684999989</v>
      </c>
      <c r="L363" s="12">
        <f>H363*(1+0.01*growthrate!$E$3)^5</f>
        <v>84.028152302981198</v>
      </c>
      <c r="M363" s="4">
        <f>I363*(1+0.01*growthrate!$E$3)^5</f>
        <v>1513.8284611980268</v>
      </c>
      <c r="N363" s="4">
        <f>J363*(1+0.01*growthrate!$E$3)^5</f>
        <v>1600.3963644043656</v>
      </c>
      <c r="O363" s="4">
        <f>K363*(1+0.01*growthrate!$E$3)^5</f>
        <v>344924.26110109233</v>
      </c>
      <c r="P363" s="12">
        <f>L363*(1+0.01*growthrate!$F$3)^10</f>
        <v>90.09890636457547</v>
      </c>
      <c r="Q363" s="4">
        <f>M363*(1+0.01*growthrate!$F$3)^10</f>
        <v>1623.1975241549055</v>
      </c>
      <c r="R363" s="4">
        <f>N363*(1+0.01*growthrate!$F$3)^10</f>
        <v>1716.0196699643502</v>
      </c>
      <c r="S363" s="4">
        <f>O363*(1+0.01*growthrate!$F$3)^10</f>
        <v>369843.88984018064</v>
      </c>
    </row>
    <row r="364" spans="1:19" x14ac:dyDescent="0.2">
      <c r="A364" s="2" t="s">
        <v>733</v>
      </c>
      <c r="B364" s="8" t="s">
        <v>734</v>
      </c>
      <c r="C364" s="4" t="s">
        <v>779</v>
      </c>
      <c r="D364" s="5">
        <v>0</v>
      </c>
      <c r="E364" s="5">
        <v>87733</v>
      </c>
      <c r="F364" s="5">
        <v>87733</v>
      </c>
      <c r="G364" s="5">
        <v>3591611</v>
      </c>
      <c r="H364" s="12">
        <f>D364*(1+0.01*growthrate!E364)^2</f>
        <v>0</v>
      </c>
      <c r="I364" s="4">
        <f>E364*(1+0.01*growthrate!$E$3)^2</f>
        <v>90384.729924999978</v>
      </c>
      <c r="J364" s="4">
        <f>F364*(1+0.01*growthrate!$E$3)^2</f>
        <v>90384.729924999978</v>
      </c>
      <c r="K364" s="4">
        <f>G364*(1+0.01*growthrate!$E$3)^2</f>
        <v>3700167.442474999</v>
      </c>
      <c r="L364" s="12">
        <f>H364*(1+0.01*growthrate!$E$3)^5</f>
        <v>0</v>
      </c>
      <c r="M364" s="4">
        <f>I364*(1+0.01*growthrate!$E$3)^5</f>
        <v>97370.023743611804</v>
      </c>
      <c r="N364" s="4">
        <f>J364*(1+0.01*growthrate!$E$3)^5</f>
        <v>97370.023743611804</v>
      </c>
      <c r="O364" s="4">
        <f>K364*(1+0.01*growthrate!$E$3)^5</f>
        <v>3986131.1974720722</v>
      </c>
      <c r="P364" s="12">
        <f>L364*(1+0.01*growthrate!$F$3)^10</f>
        <v>0</v>
      </c>
      <c r="Q364" s="4">
        <f>M364*(1+0.01*growthrate!$F$3)^10</f>
        <v>104404.68356794893</v>
      </c>
      <c r="R364" s="4">
        <f>N364*(1+0.01*growthrate!$F$3)^10</f>
        <v>104404.68356794893</v>
      </c>
      <c r="S364" s="4">
        <f>O364*(1+0.01*growthrate!$F$3)^10</f>
        <v>4274115.8965744311</v>
      </c>
    </row>
    <row r="365" spans="1:19" x14ac:dyDescent="0.2">
      <c r="A365" s="2" t="s">
        <v>735</v>
      </c>
      <c r="B365" s="8" t="s">
        <v>736</v>
      </c>
      <c r="C365" s="4" t="s">
        <v>779</v>
      </c>
      <c r="D365" s="5">
        <v>517</v>
      </c>
      <c r="E365" s="5">
        <v>269861</v>
      </c>
      <c r="F365" s="5">
        <v>270378</v>
      </c>
      <c r="G365" s="5">
        <v>8843617</v>
      </c>
      <c r="H365" s="12">
        <f>D365*(1+0.01*growthrate!E365)^2</f>
        <v>517</v>
      </c>
      <c r="I365" s="4">
        <f>E365*(1+0.01*growthrate!$E$3)^2</f>
        <v>278017.54872499994</v>
      </c>
      <c r="J365" s="4">
        <f>F365*(1+0.01*growthrate!$E$3)^2</f>
        <v>278550.1750499999</v>
      </c>
      <c r="K365" s="4">
        <f>G365*(1+0.01*growthrate!$E$3)^2</f>
        <v>9110915.323824998</v>
      </c>
      <c r="L365" s="12">
        <f>H365*(1+0.01*growthrate!$E$3)^5</f>
        <v>556.95583000822148</v>
      </c>
      <c r="M365" s="4">
        <f>I365*(1+0.01*growthrate!$E$3)^5</f>
        <v>299503.85804058705</v>
      </c>
      <c r="N365" s="4">
        <f>J365*(1+0.01*growthrate!$E$3)^5</f>
        <v>300077.64786055725</v>
      </c>
      <c r="O365" s="4">
        <f>K365*(1+0.01*growthrate!$E$3)^5</f>
        <v>9815043.3391016945</v>
      </c>
      <c r="P365" s="12">
        <f>L365*(1+0.01*growthrate!$F$3)^10</f>
        <v>597.1940332113528</v>
      </c>
      <c r="Q365" s="4">
        <f>M365*(1+0.01*growthrate!$F$3)^10</f>
        <v>321142.01397798164</v>
      </c>
      <c r="R365" s="4">
        <f>N365*(1+0.01*growthrate!$F$3)^10</f>
        <v>321757.25820084679</v>
      </c>
      <c r="S365" s="4">
        <f>O365*(1+0.01*growthrate!$F$3)^10</f>
        <v>10524147.521242106</v>
      </c>
    </row>
    <row r="366" spans="1:19" x14ac:dyDescent="0.2">
      <c r="A366" s="2" t="s">
        <v>737</v>
      </c>
      <c r="B366" s="8" t="s">
        <v>738</v>
      </c>
      <c r="C366" s="4" t="s">
        <v>779</v>
      </c>
      <c r="D366" s="5">
        <v>0</v>
      </c>
      <c r="E366" s="5">
        <v>996</v>
      </c>
      <c r="F366" s="5">
        <v>996</v>
      </c>
      <c r="G366" s="5">
        <v>103614</v>
      </c>
      <c r="H366" s="12">
        <f>D366*(1+0.01*growthrate!E366)^2</f>
        <v>0</v>
      </c>
      <c r="I366" s="4">
        <f>E366*(1+0.01*growthrate!$E$3)^2</f>
        <v>1026.1040999999998</v>
      </c>
      <c r="J366" s="4">
        <f>F366*(1+0.01*growthrate!$E$3)^2</f>
        <v>1026.1040999999998</v>
      </c>
      <c r="K366" s="4">
        <f>G366*(1+0.01*growthrate!$E$3)^2</f>
        <v>106745.73314999997</v>
      </c>
      <c r="L366" s="12">
        <f>H366*(1+0.01*growthrate!$E$3)^5</f>
        <v>0</v>
      </c>
      <c r="M366" s="4">
        <f>I366*(1+0.01*growthrate!$E$3)^5</f>
        <v>1105.4055332501721</v>
      </c>
      <c r="N366" s="4">
        <f>J366*(1+0.01*growthrate!$E$3)^5</f>
        <v>1105.4055332501721</v>
      </c>
      <c r="O366" s="4">
        <f>K366*(1+0.01*growthrate!$E$3)^5</f>
        <v>114995.47080540496</v>
      </c>
      <c r="P366" s="12">
        <f>L366*(1+0.01*growthrate!$F$3)^10</f>
        <v>0</v>
      </c>
      <c r="Q366" s="4">
        <f>M366*(1+0.01*growthrate!$F$3)^10</f>
        <v>1185.2674003359866</v>
      </c>
      <c r="R366" s="4">
        <f>N366*(1+0.01*growthrate!$F$3)^10</f>
        <v>1185.2674003359866</v>
      </c>
      <c r="S366" s="4">
        <f>O366*(1+0.01*growthrate!$F$3)^10</f>
        <v>123303.51046025395</v>
      </c>
    </row>
    <row r="367" spans="1:19" x14ac:dyDescent="0.2">
      <c r="A367" s="2" t="s">
        <v>739</v>
      </c>
      <c r="B367" s="8" t="s">
        <v>740</v>
      </c>
      <c r="C367" s="4" t="s">
        <v>779</v>
      </c>
      <c r="D367" s="5">
        <v>0</v>
      </c>
      <c r="E367" s="5">
        <v>69475</v>
      </c>
      <c r="F367" s="5">
        <v>69475</v>
      </c>
      <c r="G367" s="5">
        <v>1037738</v>
      </c>
      <c r="H367" s="12">
        <f>D367*(1+0.01*growthrate!E367)^2</f>
        <v>0</v>
      </c>
      <c r="I367" s="4">
        <f>E367*(1+0.01*growthrate!$E$3)^2</f>
        <v>71574.881874999977</v>
      </c>
      <c r="J367" s="4">
        <f>F367*(1+0.01*growthrate!$E$3)^2</f>
        <v>71574.881874999977</v>
      </c>
      <c r="K367" s="4">
        <f>G367*(1+0.01*growthrate!$E$3)^2</f>
        <v>1069103.6310499997</v>
      </c>
      <c r="L367" s="12">
        <f>H367*(1+0.01*growthrate!$E$3)^5</f>
        <v>0</v>
      </c>
      <c r="M367" s="4">
        <f>I367*(1+0.01*growthrate!$E$3)^5</f>
        <v>77106.475323851104</v>
      </c>
      <c r="N367" s="4">
        <f>J367*(1+0.01*growthrate!$E$3)^5</f>
        <v>77106.475323851104</v>
      </c>
      <c r="O367" s="4">
        <f>K367*(1+0.01*growthrate!$E$3)^5</f>
        <v>1151728.2402248667</v>
      </c>
      <c r="P367" s="12">
        <f>L367*(1+0.01*growthrate!$F$3)^10</f>
        <v>0</v>
      </c>
      <c r="Q367" s="4">
        <f>M367*(1+0.01*growthrate!$F$3)^10</f>
        <v>82677.161283476569</v>
      </c>
      <c r="R367" s="4">
        <f>N367*(1+0.01*growthrate!$F$3)^10</f>
        <v>82677.161283476569</v>
      </c>
      <c r="S367" s="4">
        <f>O367*(1+0.01*growthrate!$F$3)^10</f>
        <v>1234936.7685641227</v>
      </c>
    </row>
    <row r="368" spans="1:19" x14ac:dyDescent="0.2">
      <c r="A368" s="2" t="s">
        <v>741</v>
      </c>
      <c r="B368" s="8" t="s">
        <v>742</v>
      </c>
      <c r="C368" s="4" t="s">
        <v>779</v>
      </c>
      <c r="D368" s="5">
        <v>8402</v>
      </c>
      <c r="E368" s="5">
        <v>1054036</v>
      </c>
      <c r="F368" s="5">
        <v>1062438</v>
      </c>
      <c r="G368" s="5">
        <v>174413</v>
      </c>
      <c r="H368" s="12">
        <f>D368*(1+0.01*growthrate!E368)^2</f>
        <v>8402</v>
      </c>
      <c r="I368" s="4">
        <f>E368*(1+0.01*growthrate!$E$3)^2</f>
        <v>1085894.2380999997</v>
      </c>
      <c r="J368" s="4">
        <f>F368*(1+0.01*growthrate!$E$3)^2</f>
        <v>1094550.1885499996</v>
      </c>
      <c r="K368" s="4">
        <f>G368*(1+0.01*growthrate!$E$3)^2</f>
        <v>179684.63292499995</v>
      </c>
      <c r="L368" s="12">
        <f>H368*(1+0.01*growthrate!$E$3)^5</f>
        <v>9051.3402006365122</v>
      </c>
      <c r="M368" s="4">
        <f>I368*(1+0.01*growthrate!$E$3)^5</f>
        <v>1169816.4926153398</v>
      </c>
      <c r="N368" s="4">
        <f>J368*(1+0.01*growthrate!$E$3)^5</f>
        <v>1179141.4095735403</v>
      </c>
      <c r="O368" s="4">
        <f>K368*(1+0.01*growthrate!$E$3)^5</f>
        <v>193571.38079393801</v>
      </c>
      <c r="P368" s="12">
        <f>L368*(1+0.01*growthrate!$F$3)^10</f>
        <v>9705.2693753226031</v>
      </c>
      <c r="Q368" s="4">
        <f>M368*(1+0.01*growthrate!$F$3)^10</f>
        <v>1254331.8369282552</v>
      </c>
      <c r="R368" s="4">
        <f>N368*(1+0.01*growthrate!$F$3)^10</f>
        <v>1264330.4480704467</v>
      </c>
      <c r="S368" s="4">
        <f>O368*(1+0.01*growthrate!$F$3)^10</f>
        <v>207556.26816747032</v>
      </c>
    </row>
    <row r="369" spans="1:19" x14ac:dyDescent="0.2">
      <c r="A369" s="2" t="s">
        <v>743</v>
      </c>
      <c r="B369" s="8" t="s">
        <v>744</v>
      </c>
      <c r="C369" s="4" t="s">
        <v>779</v>
      </c>
      <c r="D369" s="5">
        <v>720573</v>
      </c>
      <c r="E369" s="5">
        <v>211989</v>
      </c>
      <c r="F369" s="5">
        <v>932562</v>
      </c>
      <c r="G369" s="5">
        <v>489532</v>
      </c>
      <c r="H369" s="12">
        <f>D369*(1+0.01*growthrate!E369)^2</f>
        <v>720573</v>
      </c>
      <c r="I369" s="4">
        <f>E369*(1+0.01*growthrate!$E$3)^2</f>
        <v>218396.36752499995</v>
      </c>
      <c r="J369" s="4">
        <f>F369*(1+0.01*growthrate!$E$3)^2</f>
        <v>960748.68644999969</v>
      </c>
      <c r="K369" s="4">
        <f>G369*(1+0.01*growthrate!$E$3)^2</f>
        <v>504328.10469999985</v>
      </c>
      <c r="L369" s="12">
        <f>H369*(1+0.01*growthrate!$E$3)^5</f>
        <v>776261.76653097523</v>
      </c>
      <c r="M369" s="4">
        <f>I369*(1+0.01*growthrate!$E$3)^5</f>
        <v>235274.91324113528</v>
      </c>
      <c r="N369" s="4">
        <f>J369*(1+0.01*growthrate!$E$3)^5</f>
        <v>1034999.1916655089</v>
      </c>
      <c r="O369" s="4">
        <f>K369*(1+0.01*growthrate!$E$3)^5</f>
        <v>543304.59990263381</v>
      </c>
      <c r="P369" s="12">
        <f>L369*(1+0.01*growthrate!$F$3)^10</f>
        <v>832344.09302360564</v>
      </c>
      <c r="Q369" s="4">
        <f>M369*(1+0.01*growthrate!$F$3)^10</f>
        <v>252272.74189741514</v>
      </c>
      <c r="R369" s="4">
        <f>N369*(1+0.01*growthrate!$F$3)^10</f>
        <v>1109774.435132659</v>
      </c>
      <c r="S369" s="4">
        <f>O369*(1+0.01*growthrate!$F$3)^10</f>
        <v>582556.54721011675</v>
      </c>
    </row>
    <row r="370" spans="1:19" x14ac:dyDescent="0.2">
      <c r="A370" s="2" t="s">
        <v>745</v>
      </c>
      <c r="B370" s="8" t="s">
        <v>746</v>
      </c>
      <c r="C370" s="4" t="s">
        <v>779</v>
      </c>
      <c r="D370" s="5">
        <v>5618</v>
      </c>
      <c r="E370" s="5">
        <v>792235</v>
      </c>
      <c r="F370" s="5">
        <v>797853</v>
      </c>
      <c r="G370" s="5">
        <v>21278</v>
      </c>
      <c r="H370" s="12">
        <f>D370*(1+0.01*growthrate!E370)^2</f>
        <v>5618</v>
      </c>
      <c r="I370" s="4">
        <f>E370*(1+0.01*growthrate!$E$3)^2</f>
        <v>816180.30287499982</v>
      </c>
      <c r="J370" s="4">
        <f>F370*(1+0.01*growthrate!$E$3)^2</f>
        <v>821968.10692499974</v>
      </c>
      <c r="K370" s="4">
        <f>G370*(1+0.01*growthrate!$E$3)^2</f>
        <v>21921.127549999994</v>
      </c>
      <c r="L370" s="12">
        <f>H370*(1+0.01*growthrate!$E$3)^5</f>
        <v>6052.1815338224151</v>
      </c>
      <c r="M370" s="4">
        <f>I370*(1+0.01*growthrate!$E$3)^5</f>
        <v>879257.98457274109</v>
      </c>
      <c r="N370" s="4">
        <f>J370*(1+0.01*growthrate!$E$3)^5</f>
        <v>885493.09329342318</v>
      </c>
      <c r="O370" s="4">
        <f>K370*(1+0.01*growthrate!$E$3)^5</f>
        <v>23615.280056724059</v>
      </c>
      <c r="P370" s="12">
        <f>L370*(1+0.01*growthrate!$F$3)^10</f>
        <v>6489.4314866177565</v>
      </c>
      <c r="Q370" s="4">
        <f>M370*(1+0.01*growthrate!$F$3)^10</f>
        <v>942781.44468391617</v>
      </c>
      <c r="R370" s="4">
        <f>N370*(1+0.01*growthrate!$F$3)^10</f>
        <v>949467.01923721679</v>
      </c>
      <c r="S370" s="4">
        <f>O370*(1+0.01*growthrate!$F$3)^10</f>
        <v>25321.405365812378</v>
      </c>
    </row>
    <row r="371" spans="1:19" x14ac:dyDescent="0.2">
      <c r="A371" s="2" t="s">
        <v>747</v>
      </c>
      <c r="B371" s="8" t="s">
        <v>748</v>
      </c>
      <c r="C371" s="4" t="s">
        <v>779</v>
      </c>
      <c r="D371" s="5">
        <v>29565</v>
      </c>
      <c r="E371" s="5">
        <v>758908</v>
      </c>
      <c r="F371" s="5">
        <v>788473</v>
      </c>
      <c r="G371" s="5">
        <v>251858</v>
      </c>
      <c r="H371" s="12">
        <f>D371*(1+0.01*growthrate!E371)^2</f>
        <v>29565</v>
      </c>
      <c r="I371" s="4">
        <f>E371*(1+0.01*growthrate!$E$3)^2</f>
        <v>781845.99429999979</v>
      </c>
      <c r="J371" s="4">
        <f>F371*(1+0.01*growthrate!$E$3)^2</f>
        <v>812304.59642499976</v>
      </c>
      <c r="K371" s="4">
        <f>G371*(1+0.01*growthrate!$E$3)^2</f>
        <v>259470.40804999994</v>
      </c>
      <c r="L371" s="12">
        <f>H371*(1+0.01*growthrate!$E$3)^5</f>
        <v>31849.901574841526</v>
      </c>
      <c r="M371" s="4">
        <f>I371*(1+0.01*growthrate!$E$3)^5</f>
        <v>842270.18316046346</v>
      </c>
      <c r="N371" s="4">
        <f>J371*(1+0.01*growthrate!$E$3)^5</f>
        <v>875082.74801040452</v>
      </c>
      <c r="O371" s="4">
        <f>K371*(1+0.01*growthrate!$E$3)^5</f>
        <v>279523.32007361634</v>
      </c>
      <c r="P371" s="12">
        <f>L371*(1+0.01*growthrate!$F$3)^10</f>
        <v>34150.950854726587</v>
      </c>
      <c r="Q371" s="4">
        <f>M371*(1+0.01*growthrate!$F$3)^10</f>
        <v>903121.39784556522</v>
      </c>
      <c r="R371" s="4">
        <f>N371*(1+0.01*growthrate!$F$3)^10</f>
        <v>938304.56118987594</v>
      </c>
      <c r="S371" s="4">
        <f>O371*(1+0.01*growthrate!$F$3)^10</f>
        <v>299717.9487086556</v>
      </c>
    </row>
    <row r="372" spans="1:19" x14ac:dyDescent="0.2">
      <c r="A372" s="2" t="s">
        <v>749</v>
      </c>
      <c r="B372" s="8" t="s">
        <v>750</v>
      </c>
      <c r="C372" s="4" t="s">
        <v>779</v>
      </c>
      <c r="D372" s="5">
        <v>1157</v>
      </c>
      <c r="E372" s="5">
        <v>807069</v>
      </c>
      <c r="F372" s="5">
        <v>808226</v>
      </c>
      <c r="G372" s="5">
        <v>484952</v>
      </c>
      <c r="H372" s="12">
        <f>D372*(1+0.01*growthrate!E372)^2</f>
        <v>1157</v>
      </c>
      <c r="I372" s="4">
        <f>E372*(1+0.01*growthrate!$E$3)^2</f>
        <v>831462.66052499972</v>
      </c>
      <c r="J372" s="4">
        <f>F372*(1+0.01*growthrate!$E$3)^2</f>
        <v>832654.63084999972</v>
      </c>
      <c r="K372" s="4">
        <f>G372*(1+0.01*growthrate!$E$3)^2</f>
        <v>499609.67419999989</v>
      </c>
      <c r="L372" s="12">
        <f>H372*(1+0.01*growthrate!$E$3)^5</f>
        <v>1246.417592494221</v>
      </c>
      <c r="M372" s="4">
        <f>I372*(1+0.01*growthrate!$E$3)^5</f>
        <v>895721.42401072592</v>
      </c>
      <c r="N372" s="4">
        <f>J372*(1+0.01*growthrate!$E$3)^5</f>
        <v>897005.51457495335</v>
      </c>
      <c r="O372" s="4">
        <f>K372*(1+0.01*growthrate!$E$3)^5</f>
        <v>538221.51020154369</v>
      </c>
      <c r="P372" s="12">
        <f>L372*(1+0.01*growthrate!$F$3)^10</f>
        <v>1336.4671110745362</v>
      </c>
      <c r="Q372" s="4">
        <f>M372*(1+0.01*growthrate!$F$3)^10</f>
        <v>960434.31277285574</v>
      </c>
      <c r="R372" s="4">
        <f>N372*(1+0.01*growthrate!$F$3)^10</f>
        <v>961811.17460236256</v>
      </c>
      <c r="S372" s="4">
        <f>O372*(1+0.01*growthrate!$F$3)^10</f>
        <v>577106.22121258778</v>
      </c>
    </row>
    <row r="373" spans="1:19" x14ac:dyDescent="0.2">
      <c r="A373" s="2" t="s">
        <v>751</v>
      </c>
      <c r="B373" s="8" t="s">
        <v>752</v>
      </c>
      <c r="C373" s="4" t="s">
        <v>779</v>
      </c>
      <c r="D373" s="5">
        <v>25282</v>
      </c>
      <c r="E373" s="5">
        <v>517974</v>
      </c>
      <c r="F373" s="5">
        <v>543256</v>
      </c>
      <c r="G373" s="5">
        <v>659951</v>
      </c>
      <c r="H373" s="12">
        <f>D373*(1+0.01*growthrate!E373)^2</f>
        <v>25282</v>
      </c>
      <c r="I373" s="4">
        <f>E373*(1+0.01*growthrate!$E$3)^2</f>
        <v>533629.76414999983</v>
      </c>
      <c r="J373" s="4">
        <f>F373*(1+0.01*growthrate!$E$3)^2</f>
        <v>559675.91259999981</v>
      </c>
      <c r="K373" s="4">
        <f>G373*(1+0.01*growthrate!$E$3)^2</f>
        <v>679898.01897499978</v>
      </c>
      <c r="L373" s="12">
        <f>H373*(1+0.01*growthrate!$E$3)^5</f>
        <v>27235.89418620475</v>
      </c>
      <c r="M373" s="4">
        <f>I373*(1+0.01*growthrate!$E$3)^5</f>
        <v>574870.80891538609</v>
      </c>
      <c r="N373" s="4">
        <f>J373*(1+0.01*growthrate!$E$3)^5</f>
        <v>602929.90800336888</v>
      </c>
      <c r="O373" s="4">
        <f>K373*(1+0.01*growthrate!$E$3)^5</f>
        <v>732443.26011444209</v>
      </c>
      <c r="P373" s="12">
        <f>L373*(1+0.01*growthrate!$F$3)^10</f>
        <v>29203.596803964065</v>
      </c>
      <c r="Q373" s="4">
        <f>M373*(1+0.01*growthrate!$F$3)^10</f>
        <v>616403.30966027337</v>
      </c>
      <c r="R373" s="4">
        <f>N373*(1+0.01*growthrate!$F$3)^10</f>
        <v>646489.58517763729</v>
      </c>
      <c r="S373" s="4">
        <f>O373*(1+0.01*growthrate!$F$3)^10</f>
        <v>785359.84550113929</v>
      </c>
    </row>
    <row r="374" spans="1:19" x14ac:dyDescent="0.2">
      <c r="A374" s="2" t="s">
        <v>753</v>
      </c>
      <c r="B374" s="8" t="s">
        <v>754</v>
      </c>
      <c r="C374" s="4" t="s">
        <v>779</v>
      </c>
      <c r="D374" s="5">
        <v>88500</v>
      </c>
      <c r="E374" s="5">
        <v>0</v>
      </c>
      <c r="F374" s="5">
        <v>88500</v>
      </c>
      <c r="G374" s="5">
        <v>139127</v>
      </c>
      <c r="H374" s="12">
        <f>D374*(1+0.01*growthrate!E374)^2</f>
        <v>88500</v>
      </c>
      <c r="I374" s="4">
        <f>E374*(1+0.01*growthrate!$E$3)^2</f>
        <v>0</v>
      </c>
      <c r="J374" s="4">
        <f>F374*(1+0.01*growthrate!$E$3)^2</f>
        <v>91174.912499999977</v>
      </c>
      <c r="K374" s="4">
        <f>G374*(1+0.01*growthrate!$E$3)^2</f>
        <v>143332.11357499997</v>
      </c>
      <c r="L374" s="12">
        <f>H374*(1+0.01*growthrate!$E$3)^5</f>
        <v>95339.634343767131</v>
      </c>
      <c r="M374" s="4">
        <f>I374*(1+0.01*growthrate!$E$3)^5</f>
        <v>0</v>
      </c>
      <c r="N374" s="4">
        <f>J374*(1+0.01*growthrate!$E$3)^5</f>
        <v>98221.27479180746</v>
      </c>
      <c r="O374" s="4">
        <f>K374*(1+0.01*growthrate!$E$3)^5</f>
        <v>154409.39319728583</v>
      </c>
      <c r="P374" s="12">
        <f>L374*(1+0.01*growthrate!$F$3)^10</f>
        <v>102227.60529826833</v>
      </c>
      <c r="Q374" s="4">
        <f>M374*(1+0.01*growthrate!$F$3)^10</f>
        <v>0</v>
      </c>
      <c r="R374" s="4">
        <f>N374*(1+0.01*growthrate!$F$3)^10</f>
        <v>105317.43466840846</v>
      </c>
      <c r="S374" s="4">
        <f>O374*(1+0.01*growthrate!$F$3)^10</f>
        <v>165564.95743628996</v>
      </c>
    </row>
    <row r="375" spans="1:19" x14ac:dyDescent="0.2">
      <c r="A375" s="2" t="s">
        <v>755</v>
      </c>
      <c r="B375" s="8" t="s">
        <v>756</v>
      </c>
      <c r="C375" s="4" t="s">
        <v>779</v>
      </c>
      <c r="D375" s="5">
        <v>0</v>
      </c>
      <c r="E375" s="5">
        <v>42012</v>
      </c>
      <c r="F375" s="5">
        <v>42012</v>
      </c>
      <c r="G375" s="5">
        <v>285695</v>
      </c>
      <c r="H375" s="12">
        <f>D375*(1+0.01*growthrate!E375)^2</f>
        <v>0</v>
      </c>
      <c r="I375" s="4">
        <f>E375*(1+0.01*growthrate!$E$3)^2</f>
        <v>43281.812699999988</v>
      </c>
      <c r="J375" s="4">
        <f>F375*(1+0.01*growthrate!$E$3)^2</f>
        <v>43281.812699999988</v>
      </c>
      <c r="K375" s="4">
        <f>G375*(1+0.01*growthrate!$E$3)^2</f>
        <v>294330.13137499994</v>
      </c>
      <c r="L375" s="12">
        <f>H375*(1+0.01*growthrate!$E$3)^5</f>
        <v>0</v>
      </c>
      <c r="M375" s="4">
        <f>I375*(1+0.01*growthrate!$E$3)^5</f>
        <v>46626.804480829545</v>
      </c>
      <c r="N375" s="4">
        <f>J375*(1+0.01*growthrate!$E$3)^5</f>
        <v>46626.804480829545</v>
      </c>
      <c r="O375" s="4">
        <f>K375*(1+0.01*growthrate!$E$3)^5</f>
        <v>317077.14239147381</v>
      </c>
      <c r="P375" s="12">
        <f>L375*(1+0.01*growthrate!$F$3)^10</f>
        <v>0</v>
      </c>
      <c r="Q375" s="4">
        <f>M375*(1+0.01*growthrate!$F$3)^10</f>
        <v>49995.43576597939</v>
      </c>
      <c r="R375" s="4">
        <f>N375*(1+0.01*growthrate!$F$3)^10</f>
        <v>49995.43576597939</v>
      </c>
      <c r="S375" s="4">
        <f>O375*(1+0.01*growthrate!$F$3)^10</f>
        <v>339984.90957729891</v>
      </c>
    </row>
    <row r="376" spans="1:19" x14ac:dyDescent="0.2">
      <c r="A376" s="2" t="s">
        <v>757</v>
      </c>
      <c r="B376" s="8" t="s">
        <v>758</v>
      </c>
      <c r="C376" s="4" t="s">
        <v>779</v>
      </c>
      <c r="D376" s="5">
        <v>25585</v>
      </c>
      <c r="E376" s="5">
        <v>38494</v>
      </c>
      <c r="F376" s="5">
        <v>64079</v>
      </c>
      <c r="G376" s="5">
        <v>1535437</v>
      </c>
      <c r="H376" s="12">
        <f>D376*(1+0.01*growthrate!E376)^2</f>
        <v>25585</v>
      </c>
      <c r="I376" s="4">
        <f>E376*(1+0.01*growthrate!$E$3)^2</f>
        <v>39657.481149999992</v>
      </c>
      <c r="J376" s="4">
        <f>F376*(1+0.01*growthrate!$E$3)^2</f>
        <v>66015.787774999975</v>
      </c>
      <c r="K376" s="4">
        <f>G376*(1+0.01*growthrate!$E$3)^2</f>
        <v>1581845.5833249995</v>
      </c>
      <c r="L376" s="12">
        <f>H376*(1+0.01*growthrate!$E$3)^5</f>
        <v>27562.311239381717</v>
      </c>
      <c r="M376" s="4">
        <f>I376*(1+0.01*growthrate!$E$3)^5</f>
        <v>42722.370077241088</v>
      </c>
      <c r="N376" s="4">
        <f>J376*(1+0.01*growthrate!$E$3)^5</f>
        <v>71117.752173833098</v>
      </c>
      <c r="O376" s="4">
        <f>K376*(1+0.01*growthrate!$E$3)^5</f>
        <v>1704096.9435311691</v>
      </c>
      <c r="P376" s="12">
        <f>L376*(1+0.01*growthrate!$F$3)^10</f>
        <v>29553.596401764917</v>
      </c>
      <c r="Q376" s="4">
        <f>M376*(1+0.01*growthrate!$F$3)^10</f>
        <v>45808.918984471355</v>
      </c>
      <c r="R376" s="4">
        <f>N376*(1+0.01*growthrate!$F$3)^10</f>
        <v>76255.772837479599</v>
      </c>
      <c r="S376" s="4">
        <f>O376*(1+0.01*growthrate!$F$3)^10</f>
        <v>1827212.2704514924</v>
      </c>
    </row>
    <row r="377" spans="1:19" x14ac:dyDescent="0.2">
      <c r="A377" s="2" t="s">
        <v>759</v>
      </c>
      <c r="B377" s="8" t="s">
        <v>760</v>
      </c>
      <c r="C377" s="4" t="s">
        <v>779</v>
      </c>
      <c r="D377" s="5">
        <v>1193004</v>
      </c>
      <c r="E377" s="5">
        <v>185172</v>
      </c>
      <c r="F377" s="5">
        <v>1378176</v>
      </c>
      <c r="G377" s="5">
        <v>481533</v>
      </c>
      <c r="H377" s="12">
        <f>D377*(1+0.01*growthrate!E377)^2</f>
        <v>1193004</v>
      </c>
      <c r="I377" s="4">
        <f>E377*(1+0.01*growthrate!$E$3)^2</f>
        <v>190768.82369999995</v>
      </c>
      <c r="J377" s="4">
        <f>F377*(1+0.01*growthrate!$E$3)^2</f>
        <v>1419831.3695999996</v>
      </c>
      <c r="K377" s="4">
        <f>G377*(1+0.01*growthrate!$E$3)^2</f>
        <v>496087.33492499986</v>
      </c>
      <c r="L377" s="12">
        <f>H377*(1+0.01*growthrate!$E$3)^5</f>
        <v>1285204.1257700741</v>
      </c>
      <c r="M377" s="4">
        <f>I377*(1+0.01*growthrate!$E$3)^5</f>
        <v>205512.20221184826</v>
      </c>
      <c r="N377" s="4">
        <f>J377*(1+0.01*growthrate!$E$3)^5</f>
        <v>1529561.6226833225</v>
      </c>
      <c r="O377" s="4">
        <f>K377*(1+0.01*growthrate!$E$3)^5</f>
        <v>534426.95044433244</v>
      </c>
      <c r="P377" s="12">
        <f>L377*(1+0.01*growthrate!$F$3)^10</f>
        <v>1378055.8421610768</v>
      </c>
      <c r="Q377" s="4">
        <f>M377*(1+0.01*growthrate!$F$3)^10</f>
        <v>220359.77415162182</v>
      </c>
      <c r="R377" s="4">
        <f>N377*(1+0.01*growthrate!$F$3)^10</f>
        <v>1640067.354142017</v>
      </c>
      <c r="S377" s="4">
        <f>O377*(1+0.01*growthrate!$F$3)^10</f>
        <v>573037.51715460711</v>
      </c>
    </row>
    <row r="378" spans="1:19" x14ac:dyDescent="0.2">
      <c r="A378" s="2" t="s">
        <v>761</v>
      </c>
      <c r="B378" s="8" t="s">
        <v>762</v>
      </c>
      <c r="C378" s="4" t="s">
        <v>779</v>
      </c>
      <c r="D378" s="5">
        <v>0</v>
      </c>
      <c r="E378" s="5">
        <v>46656</v>
      </c>
      <c r="F378" s="5">
        <v>46656</v>
      </c>
      <c r="G378" s="5">
        <v>391321</v>
      </c>
      <c r="H378" s="12">
        <f>D378*(1+0.01*growthrate!E378)^2</f>
        <v>0</v>
      </c>
      <c r="I378" s="4">
        <f>E378*(1+0.01*growthrate!$E$3)^2</f>
        <v>48066.177599999988</v>
      </c>
      <c r="J378" s="4">
        <f>F378*(1+0.01*growthrate!$E$3)^2</f>
        <v>48066.177599999988</v>
      </c>
      <c r="K378" s="4">
        <f>G378*(1+0.01*growthrate!$E$3)^2</f>
        <v>403148.67722499988</v>
      </c>
      <c r="L378" s="12">
        <f>H378*(1+0.01*growthrate!$E$3)^5</f>
        <v>0</v>
      </c>
      <c r="M378" s="4">
        <f>I378*(1+0.01*growthrate!$E$3)^5</f>
        <v>51780.92425634541</v>
      </c>
      <c r="N378" s="4">
        <f>J378*(1+0.01*growthrate!$E$3)^5</f>
        <v>51780.92425634541</v>
      </c>
      <c r="O378" s="4">
        <f>K378*(1+0.01*growthrate!$E$3)^5</f>
        <v>434305.62116163713</v>
      </c>
      <c r="P378" s="12">
        <f>L378*(1+0.01*growthrate!$F$3)^10</f>
        <v>0</v>
      </c>
      <c r="Q378" s="4">
        <f>M378*(1+0.01*growthrate!$F$3)^10</f>
        <v>55521.923524172482</v>
      </c>
      <c r="R378" s="4">
        <f>N378*(1+0.01*growthrate!$F$3)^10</f>
        <v>55521.923524172482</v>
      </c>
      <c r="S378" s="4">
        <f>O378*(1+0.01*growthrate!$F$3)^10</f>
        <v>465682.75538843236</v>
      </c>
    </row>
    <row r="379" spans="1:19" x14ac:dyDescent="0.2">
      <c r="A379" s="2" t="s">
        <v>763</v>
      </c>
      <c r="B379" s="8" t="s">
        <v>764</v>
      </c>
      <c r="C379" s="4" t="s">
        <v>779</v>
      </c>
      <c r="D379" s="5">
        <v>159</v>
      </c>
      <c r="E379" s="5">
        <v>2925</v>
      </c>
      <c r="F379" s="5">
        <v>3084</v>
      </c>
      <c r="G379" s="5">
        <v>26333</v>
      </c>
      <c r="H379" s="12">
        <f>D379*(1+0.01*growthrate!E379)^2</f>
        <v>159</v>
      </c>
      <c r="I379" s="4">
        <f>E379*(1+0.01*growthrate!$E$3)^2</f>
        <v>3013.408124999999</v>
      </c>
      <c r="J379" s="4">
        <f>F379*(1+0.01*growthrate!$E$3)^2</f>
        <v>3177.2138999999993</v>
      </c>
      <c r="K379" s="4">
        <f>G379*(1+0.01*growthrate!$E$3)^2</f>
        <v>27128.914924999994</v>
      </c>
      <c r="L379" s="12">
        <f>H379*(1+0.01*growthrate!$E$3)^5</f>
        <v>171.2881566176155</v>
      </c>
      <c r="M379" s="4">
        <f>I379*(1+0.01*growthrate!$E$3)^5</f>
        <v>3246.2963702377042</v>
      </c>
      <c r="N379" s="4">
        <f>J379*(1+0.01*growthrate!$E$3)^5</f>
        <v>3422.7617113890874</v>
      </c>
      <c r="O379" s="4">
        <f>K379*(1+0.01*growthrate!$E$3)^5</f>
        <v>29225.546091442553</v>
      </c>
      <c r="P379" s="12">
        <f>L379*(1+0.01*growthrate!$F$3)^10</f>
        <v>183.6631552816346</v>
      </c>
      <c r="Q379" s="4">
        <f>M379*(1+0.01*growthrate!$F$3)^10</f>
        <v>3480.8304678541776</v>
      </c>
      <c r="R379" s="4">
        <f>N379*(1+0.01*growthrate!$F$3)^10</f>
        <v>3670.0448420042003</v>
      </c>
      <c r="S379" s="4">
        <f>O379*(1+0.01*growthrate!$F$3)^10</f>
        <v>31336.994430770621</v>
      </c>
    </row>
    <row r="380" spans="1:19" x14ac:dyDescent="0.2">
      <c r="A380" s="2" t="s">
        <v>765</v>
      </c>
      <c r="B380" s="8" t="s">
        <v>766</v>
      </c>
      <c r="C380" s="4" t="s">
        <v>779</v>
      </c>
      <c r="D380" s="5">
        <v>0</v>
      </c>
      <c r="E380" s="5">
        <v>7619</v>
      </c>
      <c r="F380" s="5">
        <v>7619</v>
      </c>
      <c r="G380" s="5">
        <v>0</v>
      </c>
      <c r="H380" s="12">
        <f>D380*(1+0.01*growthrate!E380)^2</f>
        <v>0</v>
      </c>
      <c r="I380" s="4">
        <f>E380*(1+0.01*growthrate!$E$3)^2</f>
        <v>7849.2842749999982</v>
      </c>
      <c r="J380" s="4">
        <f>F380*(1+0.01*growthrate!$E$3)^2</f>
        <v>7849.2842749999982</v>
      </c>
      <c r="K380" s="4">
        <f>G380*(1+0.01*growthrate!$E$3)^2</f>
        <v>0</v>
      </c>
      <c r="L380" s="12">
        <f>H380*(1+0.01*growthrate!$E$3)^5</f>
        <v>0</v>
      </c>
      <c r="M380" s="4">
        <f>I380*(1+0.01*growthrate!$E$3)^5</f>
        <v>8455.908391398656</v>
      </c>
      <c r="N380" s="4">
        <f>J380*(1+0.01*growthrate!$E$3)^5</f>
        <v>8455.908391398656</v>
      </c>
      <c r="O380" s="4">
        <f>K380*(1+0.01*growthrate!$E$3)^5</f>
        <v>0</v>
      </c>
      <c r="P380" s="12">
        <f>L380*(1+0.01*growthrate!$F$3)^10</f>
        <v>0</v>
      </c>
      <c r="Q380" s="4">
        <f>M380*(1+0.01*growthrate!$F$3)^10</f>
        <v>9066.819601566147</v>
      </c>
      <c r="R380" s="4">
        <f>N380*(1+0.01*growthrate!$F$3)^10</f>
        <v>9066.819601566147</v>
      </c>
      <c r="S380" s="4">
        <f>O380*(1+0.01*growthrate!$F$3)^10</f>
        <v>0</v>
      </c>
    </row>
    <row r="381" spans="1:19" x14ac:dyDescent="0.2">
      <c r="A381" s="2" t="s">
        <v>767</v>
      </c>
      <c r="B381" s="8" t="s">
        <v>768</v>
      </c>
      <c r="C381" s="4" t="s">
        <v>779</v>
      </c>
      <c r="D381" s="5">
        <v>81</v>
      </c>
      <c r="E381" s="5">
        <v>25992</v>
      </c>
      <c r="F381" s="5">
        <v>26073</v>
      </c>
      <c r="G381" s="5">
        <v>97204</v>
      </c>
      <c r="H381" s="12">
        <f>D381*(1+0.01*growthrate!E381)^2</f>
        <v>81</v>
      </c>
      <c r="I381" s="4">
        <f>E381*(1+0.01*growthrate!$E$3)^2</f>
        <v>26777.608199999991</v>
      </c>
      <c r="J381" s="4">
        <f>F381*(1+0.01*growthrate!$E$3)^2</f>
        <v>26861.056424999992</v>
      </c>
      <c r="K381" s="4">
        <f>G381*(1+0.01*growthrate!$E$3)^2</f>
        <v>100141.99089999998</v>
      </c>
      <c r="L381" s="12">
        <f>H381*(1+0.01*growthrate!$E$3)^5</f>
        <v>87.260004314634315</v>
      </c>
      <c r="M381" s="4">
        <f>I381*(1+0.01*growthrate!$E$3)^5</f>
        <v>28847.088976143044</v>
      </c>
      <c r="N381" s="4">
        <f>J381*(1+0.01*growthrate!$E$3)^5</f>
        <v>28936.986414088089</v>
      </c>
      <c r="O381" s="4">
        <f>K381*(1+0.01*growthrate!$E$3)^5</f>
        <v>107881.36491370454</v>
      </c>
      <c r="P381" s="12">
        <f>L381*(1+0.01*growthrate!$F$3)^10</f>
        <v>93.564248917059146</v>
      </c>
      <c r="Q381" s="4">
        <f>M381*(1+0.01*growthrate!$F$3)^10</f>
        <v>30931.195049731894</v>
      </c>
      <c r="R381" s="4">
        <f>N381*(1+0.01*growthrate!$F$3)^10</f>
        <v>31027.587278072471</v>
      </c>
      <c r="S381" s="4">
        <f>O381*(1+0.01*growthrate!$F$3)^10</f>
        <v>115675.43411873418</v>
      </c>
    </row>
    <row r="382" spans="1:19" x14ac:dyDescent="0.2">
      <c r="A382" s="2" t="s">
        <v>769</v>
      </c>
      <c r="B382" s="8" t="s">
        <v>770</v>
      </c>
      <c r="C382" s="4" t="s">
        <v>779</v>
      </c>
      <c r="D382" s="5">
        <v>0</v>
      </c>
      <c r="E382" s="5">
        <v>0</v>
      </c>
      <c r="F382" s="5">
        <v>0</v>
      </c>
      <c r="G382" s="5">
        <v>6405</v>
      </c>
      <c r="H382" s="12">
        <f>D382*(1+0.01*growthrate!E382)^2</f>
        <v>0</v>
      </c>
      <c r="I382" s="4">
        <f>E382*(1+0.01*growthrate!$E$3)^2</f>
        <v>0</v>
      </c>
      <c r="J382" s="4">
        <f>F382*(1+0.01*growthrate!$E$3)^2</f>
        <v>0</v>
      </c>
      <c r="K382" s="4">
        <f>G382*(1+0.01*growthrate!$E$3)^2</f>
        <v>6598.5911249999981</v>
      </c>
      <c r="L382" s="12">
        <f>H382*(1+0.01*growthrate!$E$3)^5</f>
        <v>0</v>
      </c>
      <c r="M382" s="4">
        <f>I382*(1+0.01*growthrate!$E$3)^5</f>
        <v>0</v>
      </c>
      <c r="N382" s="4">
        <f>J382*(1+0.01*growthrate!$E$3)^5</f>
        <v>0</v>
      </c>
      <c r="O382" s="4">
        <f>K382*(1+0.01*growthrate!$E$3)^5</f>
        <v>7108.5566671358956</v>
      </c>
      <c r="P382" s="12">
        <f>L382*(1+0.01*growthrate!$F$3)^10</f>
        <v>0</v>
      </c>
      <c r="Q382" s="4">
        <f>M382*(1+0.01*growthrate!$F$3)^10</f>
        <v>0</v>
      </c>
      <c r="R382" s="4">
        <f>N382*(1+0.01*growthrate!$F$3)^10</f>
        <v>0</v>
      </c>
      <c r="S382" s="4">
        <f>O382*(1+0.01*growthrate!$F$3)^10</f>
        <v>7622.1262039678659</v>
      </c>
    </row>
    <row r="383" spans="1:19" x14ac:dyDescent="0.2">
      <c r="A383" s="3" t="s">
        <v>771</v>
      </c>
      <c r="B383" s="7" t="s">
        <v>772</v>
      </c>
      <c r="C383" s="4" t="s">
        <v>779</v>
      </c>
      <c r="D383" s="5">
        <v>784205547</v>
      </c>
      <c r="E383" s="5">
        <v>231751740</v>
      </c>
      <c r="F383" s="5">
        <v>1015957287</v>
      </c>
      <c r="G383" s="5">
        <v>784205547</v>
      </c>
      <c r="H383" s="12">
        <f>D383*(1+0.01*growthrate!E383)^2</f>
        <v>784205547</v>
      </c>
      <c r="I383" s="4">
        <f>E383*(1+0.01*growthrate!$E$3)^2</f>
        <v>238756436.34149992</v>
      </c>
      <c r="J383" s="4">
        <f>F383*(1+0.01*growthrate!$E$3)^2</f>
        <v>1046664595.9995747</v>
      </c>
      <c r="K383" s="4">
        <f>G383*(1+0.01*growthrate!$E$3)^2</f>
        <v>807908159.65807474</v>
      </c>
      <c r="L383" s="12">
        <f>H383*(1+0.01*growthrate!$E$3)^5</f>
        <v>844812091.54049587</v>
      </c>
      <c r="M383" s="4">
        <f>I383*(1+0.01*growthrate!$E$3)^5</f>
        <v>257208489.69513577</v>
      </c>
      <c r="N383" s="4">
        <f>J383*(1+0.01*growthrate!$E$3)^5</f>
        <v>1127555026.7024429</v>
      </c>
      <c r="O383" s="4">
        <f>K383*(1+0.01*growthrate!$E$3)^5</f>
        <v>870346537.00730705</v>
      </c>
      <c r="P383" s="12">
        <f>L383*(1+0.01*growthrate!$F$3)^10</f>
        <v>905846950.63761139</v>
      </c>
      <c r="Q383" s="4">
        <f>M383*(1+0.01*growthrate!$F$3)^10</f>
        <v>275790946.17785293</v>
      </c>
      <c r="R383" s="4">
        <f>N383*(1+0.01*growthrate!$F$3)^10</f>
        <v>1209017120.8984859</v>
      </c>
      <c r="S383" s="4">
        <f>O383*(1+0.01*growthrate!$F$3)^10</f>
        <v>933226174.72063291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C770-2B74-7148-9728-58C21C828E3A}">
  <dimension ref="A1:G4"/>
  <sheetViews>
    <sheetView zoomScale="125" workbookViewId="0">
      <selection activeCell="F16" sqref="F16"/>
    </sheetView>
  </sheetViews>
  <sheetFormatPr baseColWidth="10" defaultRowHeight="16" x14ac:dyDescent="0.2"/>
  <cols>
    <col min="1" max="1" width="37.6640625" customWidth="1"/>
    <col min="2" max="2" width="12.6640625" customWidth="1"/>
  </cols>
  <sheetData>
    <row r="1" spans="1:7" x14ac:dyDescent="0.2">
      <c r="A1" t="s">
        <v>1</v>
      </c>
      <c r="B1" t="s">
        <v>0</v>
      </c>
      <c r="C1" t="s">
        <v>9</v>
      </c>
      <c r="D1">
        <v>2023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 s="1" t="s">
        <v>2</v>
      </c>
      <c r="C2" t="s">
        <v>10</v>
      </c>
      <c r="E2">
        <v>1.2</v>
      </c>
      <c r="F2">
        <v>0.4</v>
      </c>
      <c r="G2">
        <v>-0.3</v>
      </c>
    </row>
    <row r="3" spans="1:7" x14ac:dyDescent="0.2">
      <c r="A3" t="s">
        <v>6</v>
      </c>
      <c r="B3" s="1" t="s">
        <v>2</v>
      </c>
      <c r="C3" t="s">
        <v>10</v>
      </c>
      <c r="E3" s="20">
        <v>1.5</v>
      </c>
      <c r="F3" s="20">
        <v>0.7</v>
      </c>
      <c r="G3" s="20">
        <v>0.1</v>
      </c>
    </row>
    <row r="4" spans="1:7" x14ac:dyDescent="0.2">
      <c r="A4" t="s">
        <v>8</v>
      </c>
      <c r="B4" s="1" t="s">
        <v>2</v>
      </c>
      <c r="C4" t="s">
        <v>10</v>
      </c>
      <c r="E4">
        <v>1.7</v>
      </c>
      <c r="F4">
        <v>1.1000000000000001</v>
      </c>
      <c r="G4">
        <v>0.5</v>
      </c>
    </row>
  </sheetData>
  <hyperlinks>
    <hyperlink ref="B2" r:id="rId1" xr:uid="{0ACFC598-EC1B-4C49-B71E-4D3F0436C2A1}"/>
    <hyperlink ref="B3" r:id="rId2" xr:uid="{121DA07B-DAEC-0F4D-8C26-62D58649B5A3}"/>
    <hyperlink ref="B4" r:id="rId3" xr:uid="{28322CF7-DFD8-174F-BE8B-F29247D1B00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EB12-3385-AC40-8B4F-733EC6D4317A}">
  <sheetPr>
    <tabColor theme="5"/>
  </sheetPr>
  <dimension ref="A1:NR382"/>
  <sheetViews>
    <sheetView topLeftCell="NB1" zoomScaleNormal="100" workbookViewId="0">
      <selection activeCell="NP33" sqref="NP33"/>
    </sheetView>
  </sheetViews>
  <sheetFormatPr baseColWidth="10" defaultColWidth="18.6640625" defaultRowHeight="13.5" customHeight="1" x14ac:dyDescent="0.2"/>
  <cols>
    <col min="1" max="16384" width="18.6640625" style="15"/>
  </cols>
  <sheetData>
    <row r="1" spans="1:382" ht="13.5" customHeight="1" x14ac:dyDescent="0.2">
      <c r="B1" s="2" t="s">
        <v>11</v>
      </c>
      <c r="C1" s="2" t="s">
        <v>13</v>
      </c>
      <c r="D1" s="2" t="s">
        <v>15</v>
      </c>
      <c r="E1" s="2" t="s">
        <v>17</v>
      </c>
      <c r="F1" s="2" t="s">
        <v>19</v>
      </c>
      <c r="G1" s="2" t="s">
        <v>21</v>
      </c>
      <c r="H1" s="2" t="s">
        <v>23</v>
      </c>
      <c r="I1" s="2" t="s">
        <v>25</v>
      </c>
      <c r="J1" s="2" t="s">
        <v>27</v>
      </c>
      <c r="K1" s="2" t="s">
        <v>29</v>
      </c>
      <c r="L1" s="2" t="s">
        <v>31</v>
      </c>
      <c r="M1" s="2" t="s">
        <v>33</v>
      </c>
      <c r="N1" s="2" t="s">
        <v>35</v>
      </c>
      <c r="O1" s="2" t="s">
        <v>37</v>
      </c>
      <c r="P1" s="2" t="s">
        <v>39</v>
      </c>
      <c r="Q1" s="2" t="s">
        <v>41</v>
      </c>
      <c r="R1" s="2" t="s">
        <v>43</v>
      </c>
      <c r="S1" s="2" t="s">
        <v>45</v>
      </c>
      <c r="T1" s="2" t="s">
        <v>47</v>
      </c>
      <c r="U1" s="2" t="s">
        <v>49</v>
      </c>
      <c r="V1" s="2" t="s">
        <v>51</v>
      </c>
      <c r="W1" s="2" t="s">
        <v>53</v>
      </c>
      <c r="X1" s="2" t="s">
        <v>55</v>
      </c>
      <c r="Y1" s="2" t="s">
        <v>57</v>
      </c>
      <c r="Z1" s="2" t="s">
        <v>59</v>
      </c>
      <c r="AA1" s="2" t="s">
        <v>61</v>
      </c>
      <c r="AB1" s="2" t="s">
        <v>63</v>
      </c>
      <c r="AC1" s="2" t="s">
        <v>65</v>
      </c>
      <c r="AD1" s="2" t="s">
        <v>67</v>
      </c>
      <c r="AE1" s="2" t="s">
        <v>69</v>
      </c>
      <c r="AF1" s="2" t="s">
        <v>71</v>
      </c>
      <c r="AG1" s="2" t="s">
        <v>73</v>
      </c>
      <c r="AH1" s="2" t="s">
        <v>75</v>
      </c>
      <c r="AI1" s="2" t="s">
        <v>77</v>
      </c>
      <c r="AJ1" s="2" t="s">
        <v>79</v>
      </c>
      <c r="AK1" s="2" t="s">
        <v>81</v>
      </c>
      <c r="AL1" s="2" t="s">
        <v>83</v>
      </c>
      <c r="AM1" s="2" t="s">
        <v>85</v>
      </c>
      <c r="AN1" s="2" t="s">
        <v>87</v>
      </c>
      <c r="AO1" s="2" t="s">
        <v>89</v>
      </c>
      <c r="AP1" s="2" t="s">
        <v>91</v>
      </c>
      <c r="AQ1" s="2" t="s">
        <v>93</v>
      </c>
      <c r="AR1" s="2" t="s">
        <v>95</v>
      </c>
      <c r="AS1" s="2" t="s">
        <v>97</v>
      </c>
      <c r="AT1" s="2" t="s">
        <v>99</v>
      </c>
      <c r="AU1" s="2" t="s">
        <v>101</v>
      </c>
      <c r="AV1" s="2" t="s">
        <v>103</v>
      </c>
      <c r="AW1" s="2" t="s">
        <v>105</v>
      </c>
      <c r="AX1" s="2" t="s">
        <v>107</v>
      </c>
      <c r="AY1" s="2" t="s">
        <v>109</v>
      </c>
      <c r="AZ1" s="2" t="s">
        <v>111</v>
      </c>
      <c r="BA1" s="2" t="s">
        <v>113</v>
      </c>
      <c r="BB1" s="2" t="s">
        <v>115</v>
      </c>
      <c r="BC1" s="2" t="s">
        <v>117</v>
      </c>
      <c r="BD1" s="2" t="s">
        <v>119</v>
      </c>
      <c r="BE1" s="2" t="s">
        <v>121</v>
      </c>
      <c r="BF1" s="2" t="s">
        <v>123</v>
      </c>
      <c r="BG1" s="2" t="s">
        <v>125</v>
      </c>
      <c r="BH1" s="2" t="s">
        <v>127</v>
      </c>
      <c r="BI1" s="2" t="s">
        <v>129</v>
      </c>
      <c r="BJ1" s="2" t="s">
        <v>131</v>
      </c>
      <c r="BK1" s="2" t="s">
        <v>133</v>
      </c>
      <c r="BL1" s="2" t="s">
        <v>135</v>
      </c>
      <c r="BM1" s="2" t="s">
        <v>137</v>
      </c>
      <c r="BN1" s="2" t="s">
        <v>139</v>
      </c>
      <c r="BO1" s="2" t="s">
        <v>141</v>
      </c>
      <c r="BP1" s="2" t="s">
        <v>143</v>
      </c>
      <c r="BQ1" s="2" t="s">
        <v>145</v>
      </c>
      <c r="BR1" s="2" t="s">
        <v>147</v>
      </c>
      <c r="BS1" s="2" t="s">
        <v>149</v>
      </c>
      <c r="BT1" s="2" t="s">
        <v>151</v>
      </c>
      <c r="BU1" s="2" t="s">
        <v>153</v>
      </c>
      <c r="BV1" s="2" t="s">
        <v>155</v>
      </c>
      <c r="BW1" s="2" t="s">
        <v>157</v>
      </c>
      <c r="BX1" s="2" t="s">
        <v>159</v>
      </c>
      <c r="BY1" s="2" t="s">
        <v>161</v>
      </c>
      <c r="BZ1" s="2" t="s">
        <v>163</v>
      </c>
      <c r="CA1" s="2" t="s">
        <v>165</v>
      </c>
      <c r="CB1" s="2" t="s">
        <v>167</v>
      </c>
      <c r="CC1" s="2" t="s">
        <v>169</v>
      </c>
      <c r="CD1" s="2" t="s">
        <v>171</v>
      </c>
      <c r="CE1" s="2" t="s">
        <v>173</v>
      </c>
      <c r="CF1" s="2" t="s">
        <v>175</v>
      </c>
      <c r="CG1" s="2" t="s">
        <v>177</v>
      </c>
      <c r="CH1" s="2" t="s">
        <v>179</v>
      </c>
      <c r="CI1" s="2" t="s">
        <v>181</v>
      </c>
      <c r="CJ1" s="2" t="s">
        <v>183</v>
      </c>
      <c r="CK1" s="2" t="s">
        <v>185</v>
      </c>
      <c r="CL1" s="2" t="s">
        <v>187</v>
      </c>
      <c r="CM1" s="2" t="s">
        <v>189</v>
      </c>
      <c r="CN1" s="2" t="s">
        <v>191</v>
      </c>
      <c r="CO1" s="2" t="s">
        <v>193</v>
      </c>
      <c r="CP1" s="2" t="s">
        <v>195</v>
      </c>
      <c r="CQ1" s="2" t="s">
        <v>197</v>
      </c>
      <c r="CR1" s="2" t="s">
        <v>199</v>
      </c>
      <c r="CS1" s="2" t="s">
        <v>201</v>
      </c>
      <c r="CT1" s="2" t="s">
        <v>203</v>
      </c>
      <c r="CU1" s="2" t="s">
        <v>205</v>
      </c>
      <c r="CV1" s="2" t="s">
        <v>207</v>
      </c>
      <c r="CW1" s="2" t="s">
        <v>209</v>
      </c>
      <c r="CX1" s="2" t="s">
        <v>211</v>
      </c>
      <c r="CY1" s="2" t="s">
        <v>213</v>
      </c>
      <c r="CZ1" s="2" t="s">
        <v>215</v>
      </c>
      <c r="DA1" s="2" t="s">
        <v>217</v>
      </c>
      <c r="DB1" s="2" t="s">
        <v>219</v>
      </c>
      <c r="DC1" s="2" t="s">
        <v>221</v>
      </c>
      <c r="DD1" s="2" t="s">
        <v>223</v>
      </c>
      <c r="DE1" s="2" t="s">
        <v>225</v>
      </c>
      <c r="DF1" s="2" t="s">
        <v>227</v>
      </c>
      <c r="DG1" s="2" t="s">
        <v>229</v>
      </c>
      <c r="DH1" s="2" t="s">
        <v>231</v>
      </c>
      <c r="DI1" s="2" t="s">
        <v>233</v>
      </c>
      <c r="DJ1" s="2" t="s">
        <v>235</v>
      </c>
      <c r="DK1" s="2" t="s">
        <v>237</v>
      </c>
      <c r="DL1" s="2" t="s">
        <v>239</v>
      </c>
      <c r="DM1" s="2" t="s">
        <v>241</v>
      </c>
      <c r="DN1" s="2" t="s">
        <v>243</v>
      </c>
      <c r="DO1" s="2" t="s">
        <v>245</v>
      </c>
      <c r="DP1" s="2" t="s">
        <v>247</v>
      </c>
      <c r="DQ1" s="2" t="s">
        <v>249</v>
      </c>
      <c r="DR1" s="2" t="s">
        <v>251</v>
      </c>
      <c r="DS1" s="2" t="s">
        <v>253</v>
      </c>
      <c r="DT1" s="2" t="s">
        <v>255</v>
      </c>
      <c r="DU1" s="2" t="s">
        <v>257</v>
      </c>
      <c r="DV1" s="2" t="s">
        <v>259</v>
      </c>
      <c r="DW1" s="2" t="s">
        <v>261</v>
      </c>
      <c r="DX1" s="2" t="s">
        <v>263</v>
      </c>
      <c r="DY1" s="2" t="s">
        <v>265</v>
      </c>
      <c r="DZ1" s="2" t="s">
        <v>267</v>
      </c>
      <c r="EA1" s="2" t="s">
        <v>269</v>
      </c>
      <c r="EB1" s="2" t="s">
        <v>271</v>
      </c>
      <c r="EC1" s="2" t="s">
        <v>273</v>
      </c>
      <c r="ED1" s="2" t="s">
        <v>275</v>
      </c>
      <c r="EE1" s="2" t="s">
        <v>277</v>
      </c>
      <c r="EF1" s="2" t="s">
        <v>279</v>
      </c>
      <c r="EG1" s="2" t="s">
        <v>281</v>
      </c>
      <c r="EH1" s="2" t="s">
        <v>283</v>
      </c>
      <c r="EI1" s="2" t="s">
        <v>285</v>
      </c>
      <c r="EJ1" s="2" t="s">
        <v>287</v>
      </c>
      <c r="EK1" s="2" t="s">
        <v>289</v>
      </c>
      <c r="EL1" s="2" t="s">
        <v>291</v>
      </c>
      <c r="EM1" s="2" t="s">
        <v>293</v>
      </c>
      <c r="EN1" s="2" t="s">
        <v>295</v>
      </c>
      <c r="EO1" s="2" t="s">
        <v>297</v>
      </c>
      <c r="EP1" s="2" t="s">
        <v>299</v>
      </c>
      <c r="EQ1" s="2" t="s">
        <v>301</v>
      </c>
      <c r="ER1" s="2" t="s">
        <v>303</v>
      </c>
      <c r="ES1" s="2" t="s">
        <v>305</v>
      </c>
      <c r="ET1" s="2" t="s">
        <v>307</v>
      </c>
      <c r="EU1" s="2" t="s">
        <v>309</v>
      </c>
      <c r="EV1" s="2" t="s">
        <v>311</v>
      </c>
      <c r="EW1" s="2" t="s">
        <v>313</v>
      </c>
      <c r="EX1" s="2" t="s">
        <v>315</v>
      </c>
      <c r="EY1" s="2" t="s">
        <v>317</v>
      </c>
      <c r="EZ1" s="2" t="s">
        <v>319</v>
      </c>
      <c r="FA1" s="2" t="s">
        <v>321</v>
      </c>
      <c r="FB1" s="2" t="s">
        <v>323</v>
      </c>
      <c r="FC1" s="2" t="s">
        <v>325</v>
      </c>
      <c r="FD1" s="2" t="s">
        <v>327</v>
      </c>
      <c r="FE1" s="2" t="s">
        <v>329</v>
      </c>
      <c r="FF1" s="2" t="s">
        <v>331</v>
      </c>
      <c r="FG1" s="2" t="s">
        <v>333</v>
      </c>
      <c r="FH1" s="2" t="s">
        <v>335</v>
      </c>
      <c r="FI1" s="2" t="s">
        <v>337</v>
      </c>
      <c r="FJ1" s="2" t="s">
        <v>339</v>
      </c>
      <c r="FK1" s="2" t="s">
        <v>341</v>
      </c>
      <c r="FL1" s="2" t="s">
        <v>343</v>
      </c>
      <c r="FM1" s="2" t="s">
        <v>345</v>
      </c>
      <c r="FN1" s="2" t="s">
        <v>347</v>
      </c>
      <c r="FO1" s="2" t="s">
        <v>349</v>
      </c>
      <c r="FP1" s="2" t="s">
        <v>351</v>
      </c>
      <c r="FQ1" s="2" t="s">
        <v>353</v>
      </c>
      <c r="FR1" s="2" t="s">
        <v>355</v>
      </c>
      <c r="FS1" s="2" t="s">
        <v>357</v>
      </c>
      <c r="FT1" s="2" t="s">
        <v>359</v>
      </c>
      <c r="FU1" s="2" t="s">
        <v>361</v>
      </c>
      <c r="FV1" s="2" t="s">
        <v>363</v>
      </c>
      <c r="FW1" s="2" t="s">
        <v>365</v>
      </c>
      <c r="FX1" s="2" t="s">
        <v>367</v>
      </c>
      <c r="FY1" s="2" t="s">
        <v>369</v>
      </c>
      <c r="FZ1" s="2" t="s">
        <v>371</v>
      </c>
      <c r="GA1" s="2" t="s">
        <v>373</v>
      </c>
      <c r="GB1" s="2" t="s">
        <v>375</v>
      </c>
      <c r="GC1" s="2" t="s">
        <v>377</v>
      </c>
      <c r="GD1" s="2" t="s">
        <v>379</v>
      </c>
      <c r="GE1" s="2" t="s">
        <v>381</v>
      </c>
      <c r="GF1" s="2" t="s">
        <v>383</v>
      </c>
      <c r="GG1" s="2" t="s">
        <v>385</v>
      </c>
      <c r="GH1" s="2" t="s">
        <v>387</v>
      </c>
      <c r="GI1" s="2" t="s">
        <v>389</v>
      </c>
      <c r="GJ1" s="2" t="s">
        <v>391</v>
      </c>
      <c r="GK1" s="2" t="s">
        <v>393</v>
      </c>
      <c r="GL1" s="2" t="s">
        <v>395</v>
      </c>
      <c r="GM1" s="2" t="s">
        <v>397</v>
      </c>
      <c r="GN1" s="2" t="s">
        <v>399</v>
      </c>
      <c r="GO1" s="2" t="s">
        <v>401</v>
      </c>
      <c r="GP1" s="2" t="s">
        <v>403</v>
      </c>
      <c r="GQ1" s="2" t="s">
        <v>405</v>
      </c>
      <c r="GR1" s="2" t="s">
        <v>407</v>
      </c>
      <c r="GS1" s="2" t="s">
        <v>409</v>
      </c>
      <c r="GT1" s="2" t="s">
        <v>411</v>
      </c>
      <c r="GU1" s="2" t="s">
        <v>413</v>
      </c>
      <c r="GV1" s="2" t="s">
        <v>415</v>
      </c>
      <c r="GW1" s="2" t="s">
        <v>417</v>
      </c>
      <c r="GX1" s="2" t="s">
        <v>419</v>
      </c>
      <c r="GY1" s="2" t="s">
        <v>421</v>
      </c>
      <c r="GZ1" s="2" t="s">
        <v>423</v>
      </c>
      <c r="HA1" s="2" t="s">
        <v>425</v>
      </c>
      <c r="HB1" s="2" t="s">
        <v>427</v>
      </c>
      <c r="HC1" s="2" t="s">
        <v>429</v>
      </c>
      <c r="HD1" s="2" t="s">
        <v>431</v>
      </c>
      <c r="HE1" s="2" t="s">
        <v>433</v>
      </c>
      <c r="HF1" s="2" t="s">
        <v>435</v>
      </c>
      <c r="HG1" s="2" t="s">
        <v>437</v>
      </c>
      <c r="HH1" s="2" t="s">
        <v>439</v>
      </c>
      <c r="HI1" s="2" t="s">
        <v>441</v>
      </c>
      <c r="HJ1" s="2" t="s">
        <v>443</v>
      </c>
      <c r="HK1" s="2" t="s">
        <v>445</v>
      </c>
      <c r="HL1" s="2" t="s">
        <v>447</v>
      </c>
      <c r="HM1" s="2" t="s">
        <v>449</v>
      </c>
      <c r="HN1" s="2" t="s">
        <v>451</v>
      </c>
      <c r="HO1" s="2" t="s">
        <v>453</v>
      </c>
      <c r="HP1" s="2" t="s">
        <v>455</v>
      </c>
      <c r="HQ1" s="2" t="s">
        <v>457</v>
      </c>
      <c r="HR1" s="2" t="s">
        <v>459</v>
      </c>
      <c r="HS1" s="2" t="s">
        <v>461</v>
      </c>
      <c r="HT1" s="2" t="s">
        <v>463</v>
      </c>
      <c r="HU1" s="2" t="s">
        <v>465</v>
      </c>
      <c r="HV1" s="2" t="s">
        <v>467</v>
      </c>
      <c r="HW1" s="2" t="s">
        <v>469</v>
      </c>
      <c r="HX1" s="2" t="s">
        <v>471</v>
      </c>
      <c r="HY1" s="2" t="s">
        <v>473</v>
      </c>
      <c r="HZ1" s="2" t="s">
        <v>475</v>
      </c>
      <c r="IA1" s="2" t="s">
        <v>477</v>
      </c>
      <c r="IB1" s="2" t="s">
        <v>479</v>
      </c>
      <c r="IC1" s="2" t="s">
        <v>481</v>
      </c>
      <c r="ID1" s="2" t="s">
        <v>483</v>
      </c>
      <c r="IE1" s="2" t="s">
        <v>485</v>
      </c>
      <c r="IF1" s="2" t="s">
        <v>487</v>
      </c>
      <c r="IG1" s="2" t="s">
        <v>489</v>
      </c>
      <c r="IH1" s="2" t="s">
        <v>491</v>
      </c>
      <c r="II1" s="2" t="s">
        <v>493</v>
      </c>
      <c r="IJ1" s="2" t="s">
        <v>495</v>
      </c>
      <c r="IK1" s="2" t="s">
        <v>497</v>
      </c>
      <c r="IL1" s="2" t="s">
        <v>499</v>
      </c>
      <c r="IM1" s="2" t="s">
        <v>501</v>
      </c>
      <c r="IN1" s="2" t="s">
        <v>503</v>
      </c>
      <c r="IO1" s="2" t="s">
        <v>505</v>
      </c>
      <c r="IP1" s="2" t="s">
        <v>507</v>
      </c>
      <c r="IQ1" s="2" t="s">
        <v>509</v>
      </c>
      <c r="IR1" s="2" t="s">
        <v>511</v>
      </c>
      <c r="IS1" s="2" t="s">
        <v>513</v>
      </c>
      <c r="IT1" s="2" t="s">
        <v>515</v>
      </c>
      <c r="IU1" s="2" t="s">
        <v>517</v>
      </c>
      <c r="IV1" s="2" t="s">
        <v>519</v>
      </c>
      <c r="IW1" s="2" t="s">
        <v>521</v>
      </c>
      <c r="IX1" s="2" t="s">
        <v>523</v>
      </c>
      <c r="IY1" s="2" t="s">
        <v>525</v>
      </c>
      <c r="IZ1" s="2" t="s">
        <v>527</v>
      </c>
      <c r="JA1" s="2" t="s">
        <v>529</v>
      </c>
      <c r="JB1" s="2" t="s">
        <v>531</v>
      </c>
      <c r="JC1" s="2" t="s">
        <v>533</v>
      </c>
      <c r="JD1" s="2" t="s">
        <v>535</v>
      </c>
      <c r="JE1" s="2" t="s">
        <v>537</v>
      </c>
      <c r="JF1" s="2" t="s">
        <v>539</v>
      </c>
      <c r="JG1" s="2" t="s">
        <v>541</v>
      </c>
      <c r="JH1" s="2" t="s">
        <v>543</v>
      </c>
      <c r="JI1" s="2" t="s">
        <v>545</v>
      </c>
      <c r="JJ1" s="2" t="s">
        <v>547</v>
      </c>
      <c r="JK1" s="2" t="s">
        <v>549</v>
      </c>
      <c r="JL1" s="2" t="s">
        <v>551</v>
      </c>
      <c r="JM1" s="2" t="s">
        <v>553</v>
      </c>
      <c r="JN1" s="2" t="s">
        <v>555</v>
      </c>
      <c r="JO1" s="2" t="s">
        <v>557</v>
      </c>
      <c r="JP1" s="2" t="s">
        <v>559</v>
      </c>
      <c r="JQ1" s="2" t="s">
        <v>561</v>
      </c>
      <c r="JR1" s="2" t="s">
        <v>563</v>
      </c>
      <c r="JS1" s="2" t="s">
        <v>565</v>
      </c>
      <c r="JT1" s="2" t="s">
        <v>567</v>
      </c>
      <c r="JU1" s="2" t="s">
        <v>569</v>
      </c>
      <c r="JV1" s="2" t="s">
        <v>571</v>
      </c>
      <c r="JW1" s="2" t="s">
        <v>573</v>
      </c>
      <c r="JX1" s="2" t="s">
        <v>575</v>
      </c>
      <c r="JY1" s="2" t="s">
        <v>577</v>
      </c>
      <c r="JZ1" s="2" t="s">
        <v>579</v>
      </c>
      <c r="KA1" s="2" t="s">
        <v>581</v>
      </c>
      <c r="KB1" s="2" t="s">
        <v>583</v>
      </c>
      <c r="KC1" s="2" t="s">
        <v>585</v>
      </c>
      <c r="KD1" s="2" t="s">
        <v>587</v>
      </c>
      <c r="KE1" s="2" t="s">
        <v>589</v>
      </c>
      <c r="KF1" s="2" t="s">
        <v>591</v>
      </c>
      <c r="KG1" s="2" t="s">
        <v>593</v>
      </c>
      <c r="KH1" s="2" t="s">
        <v>595</v>
      </c>
      <c r="KI1" s="2" t="s">
        <v>597</v>
      </c>
      <c r="KJ1" s="2" t="s">
        <v>599</v>
      </c>
      <c r="KK1" s="2" t="s">
        <v>601</v>
      </c>
      <c r="KL1" s="2" t="s">
        <v>603</v>
      </c>
      <c r="KM1" s="2" t="s">
        <v>605</v>
      </c>
      <c r="KN1" s="2" t="s">
        <v>607</v>
      </c>
      <c r="KO1" s="2" t="s">
        <v>609</v>
      </c>
      <c r="KP1" s="2" t="s">
        <v>611</v>
      </c>
      <c r="KQ1" s="2" t="s">
        <v>613</v>
      </c>
      <c r="KR1" s="2" t="s">
        <v>615</v>
      </c>
      <c r="KS1" s="2" t="s">
        <v>617</v>
      </c>
      <c r="KT1" s="2" t="s">
        <v>619</v>
      </c>
      <c r="KU1" s="2" t="s">
        <v>621</v>
      </c>
      <c r="KV1" s="2" t="s">
        <v>623</v>
      </c>
      <c r="KW1" s="2" t="s">
        <v>625</v>
      </c>
      <c r="KX1" s="2" t="s">
        <v>627</v>
      </c>
      <c r="KY1" s="2" t="s">
        <v>629</v>
      </c>
      <c r="KZ1" s="2" t="s">
        <v>631</v>
      </c>
      <c r="LA1" s="2" t="s">
        <v>633</v>
      </c>
      <c r="LB1" s="2" t="s">
        <v>635</v>
      </c>
      <c r="LC1" s="2" t="s">
        <v>637</v>
      </c>
      <c r="LD1" s="2" t="s">
        <v>639</v>
      </c>
      <c r="LE1" s="2" t="s">
        <v>641</v>
      </c>
      <c r="LF1" s="2" t="s">
        <v>643</v>
      </c>
      <c r="LG1" s="2" t="s">
        <v>645</v>
      </c>
      <c r="LH1" s="2" t="s">
        <v>647</v>
      </c>
      <c r="LI1" s="2" t="s">
        <v>649</v>
      </c>
      <c r="LJ1" s="2" t="s">
        <v>651</v>
      </c>
      <c r="LK1" s="2" t="s">
        <v>653</v>
      </c>
      <c r="LL1" s="2" t="s">
        <v>655</v>
      </c>
      <c r="LM1" s="2" t="s">
        <v>657</v>
      </c>
      <c r="LN1" s="2" t="s">
        <v>659</v>
      </c>
      <c r="LO1" s="2" t="s">
        <v>661</v>
      </c>
      <c r="LP1" s="2" t="s">
        <v>663</v>
      </c>
      <c r="LQ1" s="2" t="s">
        <v>665</v>
      </c>
      <c r="LR1" s="2" t="s">
        <v>667</v>
      </c>
      <c r="LS1" s="2" t="s">
        <v>669</v>
      </c>
      <c r="LT1" s="2" t="s">
        <v>671</v>
      </c>
      <c r="LU1" s="2" t="s">
        <v>673</v>
      </c>
      <c r="LV1" s="2" t="s">
        <v>675</v>
      </c>
      <c r="LW1" s="2" t="s">
        <v>677</v>
      </c>
      <c r="LX1" s="2" t="s">
        <v>679</v>
      </c>
      <c r="LY1" s="2" t="s">
        <v>681</v>
      </c>
      <c r="LZ1" s="2" t="s">
        <v>683</v>
      </c>
      <c r="MA1" s="2" t="s">
        <v>685</v>
      </c>
      <c r="MB1" s="2" t="s">
        <v>687</v>
      </c>
      <c r="MC1" s="2" t="s">
        <v>689</v>
      </c>
      <c r="MD1" s="2" t="s">
        <v>691</v>
      </c>
      <c r="ME1" s="2" t="s">
        <v>693</v>
      </c>
      <c r="MF1" s="2" t="s">
        <v>695</v>
      </c>
      <c r="MG1" s="2" t="s">
        <v>697</v>
      </c>
      <c r="MH1" s="2" t="s">
        <v>699</v>
      </c>
      <c r="MI1" s="2" t="s">
        <v>701</v>
      </c>
      <c r="MJ1" s="2" t="s">
        <v>703</v>
      </c>
      <c r="MK1" s="2" t="s">
        <v>705</v>
      </c>
      <c r="ML1" s="2" t="s">
        <v>707</v>
      </c>
      <c r="MM1" s="2" t="s">
        <v>709</v>
      </c>
      <c r="MN1" s="2" t="s">
        <v>711</v>
      </c>
      <c r="MO1" s="2" t="s">
        <v>713</v>
      </c>
      <c r="MP1" s="2" t="s">
        <v>715</v>
      </c>
      <c r="MQ1" s="2" t="s">
        <v>717</v>
      </c>
      <c r="MR1" s="2" t="s">
        <v>719</v>
      </c>
      <c r="MS1" s="2" t="s">
        <v>721</v>
      </c>
      <c r="MT1" s="2" t="s">
        <v>723</v>
      </c>
      <c r="MU1" s="2" t="s">
        <v>725</v>
      </c>
      <c r="MV1" s="2" t="s">
        <v>727</v>
      </c>
      <c r="MW1" s="2" t="s">
        <v>729</v>
      </c>
      <c r="MX1" s="2" t="s">
        <v>731</v>
      </c>
      <c r="MY1" s="2" t="s">
        <v>733</v>
      </c>
      <c r="MZ1" s="2" t="s">
        <v>735</v>
      </c>
      <c r="NA1" s="2" t="s">
        <v>737</v>
      </c>
      <c r="NB1" s="2" t="s">
        <v>739</v>
      </c>
      <c r="NC1" s="2" t="s">
        <v>741</v>
      </c>
      <c r="ND1" s="2" t="s">
        <v>743</v>
      </c>
      <c r="NE1" s="2" t="s">
        <v>745</v>
      </c>
      <c r="NF1" s="2" t="s">
        <v>747</v>
      </c>
      <c r="NG1" s="2" t="s">
        <v>749</v>
      </c>
      <c r="NH1" s="2" t="s">
        <v>751</v>
      </c>
      <c r="NI1" s="2" t="s">
        <v>753</v>
      </c>
      <c r="NJ1" s="2" t="s">
        <v>755</v>
      </c>
      <c r="NK1" s="2" t="s">
        <v>757</v>
      </c>
      <c r="NL1" s="2" t="s">
        <v>759</v>
      </c>
      <c r="NM1" s="2" t="s">
        <v>761</v>
      </c>
      <c r="NN1" s="2" t="s">
        <v>763</v>
      </c>
      <c r="NO1" s="2" t="s">
        <v>765</v>
      </c>
      <c r="NP1" s="2" t="s">
        <v>767</v>
      </c>
      <c r="NQ1" s="2" t="s">
        <v>769</v>
      </c>
      <c r="NR1" s="3" t="s">
        <v>771</v>
      </c>
    </row>
    <row r="2" spans="1:382" ht="13.5" customHeight="1" x14ac:dyDescent="0.2">
      <c r="A2" s="2" t="s">
        <v>11</v>
      </c>
      <c r="B2" s="16">
        <v>110358</v>
      </c>
      <c r="C2" s="16">
        <v>1952</v>
      </c>
      <c r="D2" s="16">
        <v>6084</v>
      </c>
      <c r="E2" s="16">
        <v>5141</v>
      </c>
      <c r="F2" s="16">
        <v>46111</v>
      </c>
      <c r="G2" s="16">
        <v>1700</v>
      </c>
      <c r="H2" s="16">
        <v>276</v>
      </c>
      <c r="I2" s="16">
        <v>93221</v>
      </c>
      <c r="J2" s="16">
        <v>671</v>
      </c>
      <c r="K2" s="16">
        <v>0</v>
      </c>
      <c r="L2" s="16">
        <v>5617</v>
      </c>
      <c r="M2" s="16">
        <v>51</v>
      </c>
      <c r="N2" s="16">
        <v>0</v>
      </c>
      <c r="O2" s="16">
        <v>42585</v>
      </c>
      <c r="P2" s="16">
        <v>210704</v>
      </c>
      <c r="Q2" s="16">
        <v>197493</v>
      </c>
      <c r="R2" s="16">
        <v>6693</v>
      </c>
      <c r="S2" s="16">
        <v>55174</v>
      </c>
      <c r="T2" s="16">
        <v>222</v>
      </c>
      <c r="U2" s="16">
        <v>0</v>
      </c>
      <c r="V2" s="16">
        <v>421</v>
      </c>
      <c r="W2" s="16">
        <v>1757</v>
      </c>
      <c r="X2" s="16">
        <v>0</v>
      </c>
      <c r="Y2" s="16">
        <v>0</v>
      </c>
      <c r="Z2" s="16">
        <v>26574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6931049</v>
      </c>
      <c r="AQ2" s="16">
        <v>0</v>
      </c>
      <c r="AR2" s="16">
        <v>0</v>
      </c>
      <c r="AS2" s="16">
        <v>0</v>
      </c>
      <c r="AT2" s="16">
        <v>0</v>
      </c>
      <c r="AU2" s="16">
        <v>34</v>
      </c>
      <c r="AV2" s="16">
        <v>0</v>
      </c>
      <c r="AW2" s="16">
        <v>0</v>
      </c>
      <c r="AX2" s="16">
        <v>0</v>
      </c>
      <c r="AY2" s="16">
        <v>0</v>
      </c>
      <c r="AZ2" s="16">
        <v>0</v>
      </c>
      <c r="BA2" s="16">
        <v>607</v>
      </c>
      <c r="BB2" s="16">
        <v>2</v>
      </c>
      <c r="BC2" s="16">
        <v>279673</v>
      </c>
      <c r="BD2" s="16">
        <v>0</v>
      </c>
      <c r="BE2" s="16">
        <v>0</v>
      </c>
      <c r="BF2" s="16">
        <v>0</v>
      </c>
      <c r="BG2" s="16">
        <v>0</v>
      </c>
      <c r="BH2" s="16">
        <v>0</v>
      </c>
      <c r="BI2" s="16">
        <v>0</v>
      </c>
      <c r="BJ2" s="16">
        <v>0</v>
      </c>
      <c r="BK2" s="16">
        <v>0</v>
      </c>
      <c r="BL2" s="16">
        <v>0</v>
      </c>
      <c r="BM2" s="16">
        <v>0</v>
      </c>
      <c r="BN2" s="16">
        <v>0</v>
      </c>
      <c r="BO2" s="16">
        <v>0</v>
      </c>
      <c r="BP2" s="16">
        <v>0</v>
      </c>
      <c r="BQ2" s="16">
        <v>0</v>
      </c>
      <c r="BR2" s="16">
        <v>0</v>
      </c>
      <c r="BS2" s="16">
        <v>0</v>
      </c>
      <c r="BT2" s="16">
        <v>0</v>
      </c>
      <c r="BU2" s="16">
        <v>0</v>
      </c>
      <c r="BV2" s="16">
        <v>0</v>
      </c>
      <c r="BW2" s="16">
        <v>0</v>
      </c>
      <c r="BX2" s="16">
        <v>0</v>
      </c>
      <c r="BY2" s="16">
        <v>0</v>
      </c>
      <c r="BZ2" s="16">
        <v>0</v>
      </c>
      <c r="CA2" s="16">
        <v>0</v>
      </c>
      <c r="CB2" s="16">
        <v>0</v>
      </c>
      <c r="CC2" s="16">
        <v>0</v>
      </c>
      <c r="CD2" s="16">
        <v>0</v>
      </c>
      <c r="CE2" s="16">
        <v>0</v>
      </c>
      <c r="CF2" s="16">
        <v>0</v>
      </c>
      <c r="CG2" s="16">
        <v>0</v>
      </c>
      <c r="CH2" s="16">
        <v>0</v>
      </c>
      <c r="CI2" s="16">
        <v>0</v>
      </c>
      <c r="CJ2" s="16">
        <v>0</v>
      </c>
      <c r="CK2" s="16">
        <v>0</v>
      </c>
      <c r="CL2" s="16">
        <v>0</v>
      </c>
      <c r="CM2" s="16">
        <v>0</v>
      </c>
      <c r="CN2" s="16">
        <v>0</v>
      </c>
      <c r="CO2" s="16">
        <v>0</v>
      </c>
      <c r="CP2" s="16">
        <v>0</v>
      </c>
      <c r="CQ2" s="16">
        <v>0</v>
      </c>
      <c r="CR2" s="16">
        <v>0</v>
      </c>
      <c r="CS2" s="16">
        <v>0</v>
      </c>
      <c r="CT2" s="16">
        <v>0</v>
      </c>
      <c r="CU2" s="16">
        <v>0</v>
      </c>
      <c r="CV2" s="16">
        <v>0</v>
      </c>
      <c r="CW2" s="16">
        <v>0</v>
      </c>
      <c r="CX2" s="16">
        <v>0</v>
      </c>
      <c r="CY2" s="16">
        <v>0</v>
      </c>
      <c r="CZ2" s="16">
        <v>0</v>
      </c>
      <c r="DA2" s="16">
        <v>0</v>
      </c>
      <c r="DB2" s="16">
        <v>0</v>
      </c>
      <c r="DC2" s="16">
        <v>0</v>
      </c>
      <c r="DD2" s="16">
        <v>0</v>
      </c>
      <c r="DE2" s="16">
        <v>0</v>
      </c>
      <c r="DF2" s="16">
        <v>0</v>
      </c>
      <c r="DG2" s="16">
        <v>0</v>
      </c>
      <c r="DH2" s="16">
        <v>0</v>
      </c>
      <c r="DI2" s="16">
        <v>0</v>
      </c>
      <c r="DJ2" s="16">
        <v>0</v>
      </c>
      <c r="DK2" s="16">
        <v>0</v>
      </c>
      <c r="DL2" s="16">
        <v>0</v>
      </c>
      <c r="DM2" s="16">
        <v>87</v>
      </c>
      <c r="DN2" s="16">
        <v>0</v>
      </c>
      <c r="DO2" s="16">
        <v>0</v>
      </c>
      <c r="DP2" s="16">
        <v>0</v>
      </c>
      <c r="DQ2" s="16">
        <v>0</v>
      </c>
      <c r="DR2" s="16">
        <v>0</v>
      </c>
      <c r="DS2" s="16">
        <v>0</v>
      </c>
      <c r="DT2" s="16">
        <v>0</v>
      </c>
      <c r="DU2" s="16">
        <v>0</v>
      </c>
      <c r="DV2" s="16">
        <v>0</v>
      </c>
      <c r="DW2" s="16">
        <v>0</v>
      </c>
      <c r="DX2" s="16">
        <v>0</v>
      </c>
      <c r="DY2" s="16">
        <v>0</v>
      </c>
      <c r="DZ2" s="16">
        <v>0</v>
      </c>
      <c r="EA2" s="16">
        <v>0</v>
      </c>
      <c r="EB2" s="16">
        <v>0</v>
      </c>
      <c r="EC2" s="16">
        <v>0</v>
      </c>
      <c r="ED2" s="16">
        <v>0</v>
      </c>
      <c r="EE2" s="16">
        <v>0</v>
      </c>
      <c r="EF2" s="16">
        <v>0</v>
      </c>
      <c r="EG2" s="16">
        <v>0</v>
      </c>
      <c r="EH2" s="16">
        <v>0</v>
      </c>
      <c r="EI2" s="16">
        <v>0</v>
      </c>
      <c r="EJ2" s="16">
        <v>0</v>
      </c>
      <c r="EK2" s="16">
        <v>0</v>
      </c>
      <c r="EL2" s="16">
        <v>0</v>
      </c>
      <c r="EM2" s="16">
        <v>0</v>
      </c>
      <c r="EN2" s="16">
        <v>0</v>
      </c>
      <c r="EO2" s="16">
        <v>0</v>
      </c>
      <c r="EP2" s="16">
        <v>0</v>
      </c>
      <c r="EQ2" s="16">
        <v>0</v>
      </c>
      <c r="ER2" s="16">
        <v>0</v>
      </c>
      <c r="ES2" s="16">
        <v>0</v>
      </c>
      <c r="ET2" s="16">
        <v>0</v>
      </c>
      <c r="EU2" s="16">
        <v>0</v>
      </c>
      <c r="EV2" s="16">
        <v>0</v>
      </c>
      <c r="EW2" s="16">
        <v>0</v>
      </c>
      <c r="EX2" s="16">
        <v>0</v>
      </c>
      <c r="EY2" s="16">
        <v>0</v>
      </c>
      <c r="EZ2" s="16">
        <v>0</v>
      </c>
      <c r="FA2" s="16">
        <v>0</v>
      </c>
      <c r="FB2" s="16">
        <v>0</v>
      </c>
      <c r="FC2" s="16">
        <v>0</v>
      </c>
      <c r="FD2" s="16">
        <v>0</v>
      </c>
      <c r="FE2" s="16">
        <v>0</v>
      </c>
      <c r="FF2" s="16">
        <v>0</v>
      </c>
      <c r="FG2" s="16">
        <v>0</v>
      </c>
      <c r="FH2" s="16">
        <v>0</v>
      </c>
      <c r="FI2" s="16">
        <v>0</v>
      </c>
      <c r="FJ2" s="16">
        <v>0</v>
      </c>
      <c r="FK2" s="16">
        <v>0</v>
      </c>
      <c r="FL2" s="16">
        <v>0</v>
      </c>
      <c r="FM2" s="16">
        <v>0</v>
      </c>
      <c r="FN2" s="16">
        <v>0</v>
      </c>
      <c r="FO2" s="16">
        <v>0</v>
      </c>
      <c r="FP2" s="16">
        <v>0</v>
      </c>
      <c r="FQ2" s="16">
        <v>0</v>
      </c>
      <c r="FR2" s="16">
        <v>0</v>
      </c>
      <c r="FS2" s="16">
        <v>0</v>
      </c>
      <c r="FT2" s="16">
        <v>0</v>
      </c>
      <c r="FU2" s="16">
        <v>0</v>
      </c>
      <c r="FV2" s="16">
        <v>0</v>
      </c>
      <c r="FW2" s="16">
        <v>0</v>
      </c>
      <c r="FX2" s="16">
        <v>0</v>
      </c>
      <c r="FY2" s="16">
        <v>0</v>
      </c>
      <c r="FZ2" s="16">
        <v>0</v>
      </c>
      <c r="GA2" s="16">
        <v>0</v>
      </c>
      <c r="GB2" s="16">
        <v>0</v>
      </c>
      <c r="GC2" s="16">
        <v>0</v>
      </c>
      <c r="GD2" s="16">
        <v>0</v>
      </c>
      <c r="GE2" s="16">
        <v>0</v>
      </c>
      <c r="GF2" s="16">
        <v>0</v>
      </c>
      <c r="GG2" s="16">
        <v>0</v>
      </c>
      <c r="GH2" s="16">
        <v>0</v>
      </c>
      <c r="GI2" s="16">
        <v>0</v>
      </c>
      <c r="GJ2" s="16">
        <v>0</v>
      </c>
      <c r="GK2" s="16">
        <v>0</v>
      </c>
      <c r="GL2" s="16">
        <v>0</v>
      </c>
      <c r="GM2" s="16">
        <v>0</v>
      </c>
      <c r="GN2" s="16">
        <v>0</v>
      </c>
      <c r="GO2" s="16">
        <v>0</v>
      </c>
      <c r="GP2" s="16">
        <v>0</v>
      </c>
      <c r="GQ2" s="16">
        <v>0</v>
      </c>
      <c r="GR2" s="16">
        <v>0</v>
      </c>
      <c r="GS2" s="16">
        <v>0</v>
      </c>
      <c r="GT2" s="16">
        <v>0</v>
      </c>
      <c r="GU2" s="16">
        <v>0</v>
      </c>
      <c r="GV2" s="16">
        <v>0</v>
      </c>
      <c r="GW2" s="16">
        <v>0</v>
      </c>
      <c r="GX2" s="16">
        <v>0</v>
      </c>
      <c r="GY2" s="16">
        <v>0</v>
      </c>
      <c r="GZ2" s="16">
        <v>0</v>
      </c>
      <c r="HA2" s="16">
        <v>0</v>
      </c>
      <c r="HB2" s="16">
        <v>0</v>
      </c>
      <c r="HC2" s="16">
        <v>0</v>
      </c>
      <c r="HD2" s="16">
        <v>0</v>
      </c>
      <c r="HE2" s="16">
        <v>0</v>
      </c>
      <c r="HF2" s="16">
        <v>0</v>
      </c>
      <c r="HG2" s="16">
        <v>0</v>
      </c>
      <c r="HH2" s="16">
        <v>0</v>
      </c>
      <c r="HI2" s="16">
        <v>0</v>
      </c>
      <c r="HJ2" s="16">
        <v>0</v>
      </c>
      <c r="HK2" s="16">
        <v>0</v>
      </c>
      <c r="HL2" s="16">
        <v>0</v>
      </c>
      <c r="HM2" s="16">
        <v>0</v>
      </c>
      <c r="HN2" s="16">
        <v>0</v>
      </c>
      <c r="HO2" s="16">
        <v>0</v>
      </c>
      <c r="HP2" s="16">
        <v>0</v>
      </c>
      <c r="HQ2" s="16">
        <v>0</v>
      </c>
      <c r="HR2" s="16">
        <v>0</v>
      </c>
      <c r="HS2" s="16">
        <v>0</v>
      </c>
      <c r="HT2" s="16">
        <v>0</v>
      </c>
      <c r="HU2" s="16">
        <v>0</v>
      </c>
      <c r="HV2" s="16">
        <v>0</v>
      </c>
      <c r="HW2" s="16">
        <v>0</v>
      </c>
      <c r="HX2" s="16">
        <v>0</v>
      </c>
      <c r="HY2" s="16">
        <v>0</v>
      </c>
      <c r="HZ2" s="16">
        <v>0</v>
      </c>
      <c r="IA2" s="16">
        <v>0</v>
      </c>
      <c r="IB2" s="16">
        <v>0</v>
      </c>
      <c r="IC2" s="16">
        <v>0</v>
      </c>
      <c r="ID2" s="16">
        <v>0</v>
      </c>
      <c r="IE2" s="16">
        <v>0</v>
      </c>
      <c r="IF2" s="16">
        <v>0</v>
      </c>
      <c r="IG2" s="16">
        <v>0</v>
      </c>
      <c r="IH2" s="16">
        <v>0</v>
      </c>
      <c r="II2" s="16">
        <v>0</v>
      </c>
      <c r="IJ2" s="16">
        <v>0</v>
      </c>
      <c r="IK2" s="16">
        <v>0</v>
      </c>
      <c r="IL2" s="16">
        <v>0</v>
      </c>
      <c r="IM2" s="16">
        <v>0</v>
      </c>
      <c r="IN2" s="16">
        <v>0</v>
      </c>
      <c r="IO2" s="16">
        <v>0</v>
      </c>
      <c r="IP2" s="16">
        <v>0</v>
      </c>
      <c r="IQ2" s="16">
        <v>0</v>
      </c>
      <c r="IR2" s="16">
        <v>0</v>
      </c>
      <c r="IS2" s="16">
        <v>0</v>
      </c>
      <c r="IT2" s="16">
        <v>0</v>
      </c>
      <c r="IU2" s="16">
        <v>0</v>
      </c>
      <c r="IV2" s="16">
        <v>0</v>
      </c>
      <c r="IW2" s="16">
        <v>0</v>
      </c>
      <c r="IX2" s="16">
        <v>0</v>
      </c>
      <c r="IY2" s="16">
        <v>0</v>
      </c>
      <c r="IZ2" s="16">
        <v>0</v>
      </c>
      <c r="JA2" s="16">
        <v>0</v>
      </c>
      <c r="JB2" s="16">
        <v>0</v>
      </c>
      <c r="JC2" s="16">
        <v>0</v>
      </c>
      <c r="JD2" s="16">
        <v>0</v>
      </c>
      <c r="JE2" s="16">
        <v>881</v>
      </c>
      <c r="JF2" s="16">
        <v>412</v>
      </c>
      <c r="JG2" s="16">
        <v>321</v>
      </c>
      <c r="JH2" s="16">
        <v>0</v>
      </c>
      <c r="JI2" s="16">
        <v>0</v>
      </c>
      <c r="JJ2" s="16">
        <v>0</v>
      </c>
      <c r="JK2" s="16">
        <v>0</v>
      </c>
      <c r="JL2" s="16">
        <v>0</v>
      </c>
      <c r="JM2" s="16">
        <v>0</v>
      </c>
      <c r="JN2" s="16">
        <v>0</v>
      </c>
      <c r="JO2" s="16">
        <v>0</v>
      </c>
      <c r="JP2" s="16">
        <v>0</v>
      </c>
      <c r="JQ2" s="16">
        <v>0</v>
      </c>
      <c r="JR2" s="16">
        <v>0</v>
      </c>
      <c r="JS2" s="16">
        <v>0</v>
      </c>
      <c r="JT2" s="16">
        <v>0</v>
      </c>
      <c r="JU2" s="16">
        <v>0</v>
      </c>
      <c r="JV2" s="16">
        <v>0</v>
      </c>
      <c r="JW2" s="16">
        <v>0</v>
      </c>
      <c r="JX2" s="16">
        <v>0</v>
      </c>
      <c r="JY2" s="16">
        <v>0</v>
      </c>
      <c r="JZ2" s="16">
        <v>0</v>
      </c>
      <c r="KA2" s="16">
        <v>0</v>
      </c>
      <c r="KB2" s="16">
        <v>0</v>
      </c>
      <c r="KC2" s="16">
        <v>0</v>
      </c>
      <c r="KD2" s="16">
        <v>0</v>
      </c>
      <c r="KE2" s="16">
        <v>0</v>
      </c>
      <c r="KF2" s="16">
        <v>0</v>
      </c>
      <c r="KG2" s="16">
        <v>0</v>
      </c>
      <c r="KH2" s="16">
        <v>0</v>
      </c>
      <c r="KI2" s="16">
        <v>0</v>
      </c>
      <c r="KJ2" s="16">
        <v>0</v>
      </c>
      <c r="KK2" s="16">
        <v>2722</v>
      </c>
      <c r="KL2" s="16">
        <v>0</v>
      </c>
      <c r="KM2" s="16">
        <v>0</v>
      </c>
      <c r="KN2" s="16">
        <v>0</v>
      </c>
      <c r="KO2" s="16">
        <v>0</v>
      </c>
      <c r="KP2" s="16">
        <v>0</v>
      </c>
      <c r="KQ2" s="16">
        <v>0</v>
      </c>
      <c r="KR2" s="16">
        <v>0</v>
      </c>
      <c r="KS2" s="16">
        <v>0</v>
      </c>
      <c r="KT2" s="16">
        <v>0</v>
      </c>
      <c r="KU2" s="16">
        <v>0</v>
      </c>
      <c r="KV2" s="16">
        <v>0</v>
      </c>
      <c r="KW2" s="16">
        <v>0</v>
      </c>
      <c r="KX2" s="16">
        <v>0</v>
      </c>
      <c r="KY2" s="16">
        <v>0</v>
      </c>
      <c r="KZ2" s="16">
        <v>0</v>
      </c>
      <c r="LA2" s="16">
        <v>0</v>
      </c>
      <c r="LB2" s="16">
        <v>0</v>
      </c>
      <c r="LC2" s="16">
        <v>0</v>
      </c>
      <c r="LD2" s="16">
        <v>0</v>
      </c>
      <c r="LE2" s="16">
        <v>0</v>
      </c>
      <c r="LF2" s="16">
        <v>0</v>
      </c>
      <c r="LG2" s="16">
        <v>0</v>
      </c>
      <c r="LH2" s="16">
        <v>0</v>
      </c>
      <c r="LI2" s="16">
        <v>0</v>
      </c>
      <c r="LJ2" s="16">
        <v>0</v>
      </c>
      <c r="LK2" s="16">
        <v>0</v>
      </c>
      <c r="LL2" s="16">
        <v>0</v>
      </c>
      <c r="LM2" s="16">
        <v>0</v>
      </c>
      <c r="LN2" s="16">
        <v>0</v>
      </c>
      <c r="LO2" s="16">
        <v>0</v>
      </c>
      <c r="LP2" s="16">
        <v>0</v>
      </c>
      <c r="LQ2" s="16">
        <v>0</v>
      </c>
      <c r="LR2" s="16">
        <v>0</v>
      </c>
      <c r="LS2" s="16">
        <v>0</v>
      </c>
      <c r="LT2" s="16">
        <v>0</v>
      </c>
      <c r="LU2" s="16">
        <v>0</v>
      </c>
      <c r="LV2" s="16">
        <v>0</v>
      </c>
      <c r="LW2" s="16">
        <v>0</v>
      </c>
      <c r="LX2" s="16">
        <v>0</v>
      </c>
      <c r="LY2" s="16">
        <v>0</v>
      </c>
      <c r="LZ2" s="16">
        <v>0</v>
      </c>
      <c r="MA2" s="16">
        <v>0</v>
      </c>
      <c r="MB2" s="16">
        <v>0</v>
      </c>
      <c r="MC2" s="16">
        <v>0</v>
      </c>
      <c r="MD2" s="16">
        <v>0</v>
      </c>
      <c r="ME2" s="16">
        <v>0</v>
      </c>
      <c r="MF2" s="16">
        <v>0</v>
      </c>
      <c r="MG2" s="16">
        <v>0</v>
      </c>
      <c r="MH2" s="16">
        <v>0</v>
      </c>
      <c r="MI2" s="16">
        <v>0</v>
      </c>
      <c r="MJ2" s="16">
        <v>0</v>
      </c>
      <c r="MK2" s="16">
        <v>0</v>
      </c>
      <c r="ML2" s="16">
        <v>0</v>
      </c>
      <c r="MM2" s="16">
        <v>0</v>
      </c>
      <c r="MN2" s="16">
        <v>0</v>
      </c>
      <c r="MO2" s="16">
        <v>0</v>
      </c>
      <c r="MP2" s="16">
        <v>0</v>
      </c>
      <c r="MQ2" s="16">
        <v>0</v>
      </c>
      <c r="MR2" s="16">
        <v>2</v>
      </c>
      <c r="MS2" s="16">
        <v>216</v>
      </c>
      <c r="MT2" s="16">
        <v>0</v>
      </c>
      <c r="MU2" s="16">
        <v>0</v>
      </c>
      <c r="MV2" s="16">
        <v>0</v>
      </c>
      <c r="MW2" s="16">
        <v>0</v>
      </c>
      <c r="MX2" s="16">
        <v>0</v>
      </c>
      <c r="MY2" s="16">
        <v>0</v>
      </c>
      <c r="MZ2" s="16">
        <v>0</v>
      </c>
      <c r="NA2" s="16">
        <v>0</v>
      </c>
      <c r="NB2" s="16">
        <v>0</v>
      </c>
      <c r="NC2" s="16">
        <v>84</v>
      </c>
      <c r="ND2" s="16">
        <v>0</v>
      </c>
      <c r="NE2" s="16">
        <v>0</v>
      </c>
      <c r="NF2" s="16">
        <v>0</v>
      </c>
      <c r="NG2" s="16">
        <v>0</v>
      </c>
      <c r="NH2" s="16">
        <v>0</v>
      </c>
      <c r="NI2" s="16">
        <v>0</v>
      </c>
      <c r="NJ2" s="16">
        <v>0</v>
      </c>
      <c r="NK2" s="16">
        <v>0</v>
      </c>
      <c r="NL2" s="16">
        <v>0</v>
      </c>
      <c r="NM2" s="16">
        <v>0</v>
      </c>
      <c r="NN2" s="16">
        <v>0</v>
      </c>
      <c r="NO2" s="16">
        <v>0</v>
      </c>
      <c r="NP2" s="16">
        <v>0</v>
      </c>
      <c r="NQ2" s="16">
        <v>2</v>
      </c>
      <c r="NR2" s="17">
        <v>8028897</v>
      </c>
    </row>
    <row r="3" spans="1:382" ht="13.5" customHeight="1" x14ac:dyDescent="0.2">
      <c r="A3" s="2" t="s">
        <v>13</v>
      </c>
      <c r="B3" s="16">
        <v>0</v>
      </c>
      <c r="C3" s="16">
        <v>2931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159</v>
      </c>
      <c r="P3" s="16">
        <v>2473</v>
      </c>
      <c r="Q3" s="16">
        <v>423</v>
      </c>
      <c r="R3" s="16">
        <v>412</v>
      </c>
      <c r="S3" s="16">
        <v>49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16">
        <v>0</v>
      </c>
      <c r="AE3" s="16">
        <v>0</v>
      </c>
      <c r="AF3" s="16">
        <v>0</v>
      </c>
      <c r="AG3" s="16">
        <v>0</v>
      </c>
      <c r="AH3" s="16">
        <v>0</v>
      </c>
      <c r="AI3" s="16">
        <v>0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6">
        <v>0</v>
      </c>
      <c r="AP3" s="16">
        <v>45948</v>
      </c>
      <c r="AQ3" s="16">
        <v>1544479</v>
      </c>
      <c r="AR3" s="16">
        <v>0</v>
      </c>
      <c r="AS3" s="16">
        <v>0</v>
      </c>
      <c r="AT3" s="16">
        <v>395514</v>
      </c>
      <c r="AU3" s="16">
        <v>12025</v>
      </c>
      <c r="AV3" s="16">
        <v>50678</v>
      </c>
      <c r="AW3" s="16">
        <v>114744</v>
      </c>
      <c r="AX3" s="16">
        <v>450957</v>
      </c>
      <c r="AY3" s="16">
        <v>587</v>
      </c>
      <c r="AZ3" s="16">
        <v>7142</v>
      </c>
      <c r="BA3" s="16">
        <v>57</v>
      </c>
      <c r="BB3" s="16">
        <v>204160</v>
      </c>
      <c r="BC3" s="16">
        <v>4066151</v>
      </c>
      <c r="BD3" s="16">
        <v>14120</v>
      </c>
      <c r="BE3" s="16">
        <v>0</v>
      </c>
      <c r="BF3" s="16">
        <v>76675</v>
      </c>
      <c r="BG3" s="16">
        <v>0</v>
      </c>
      <c r="BH3" s="16">
        <v>16</v>
      </c>
      <c r="BI3" s="16">
        <v>0</v>
      </c>
      <c r="BJ3" s="16">
        <v>0</v>
      </c>
      <c r="BK3" s="16">
        <v>0</v>
      </c>
      <c r="BL3" s="16">
        <v>0</v>
      </c>
      <c r="BM3" s="16">
        <v>0</v>
      </c>
      <c r="BN3" s="16">
        <v>0</v>
      </c>
      <c r="BO3" s="16">
        <v>0</v>
      </c>
      <c r="BP3" s="16">
        <v>0</v>
      </c>
      <c r="BQ3" s="16">
        <v>0</v>
      </c>
      <c r="BR3" s="16">
        <v>0</v>
      </c>
      <c r="BS3" s="16">
        <v>0</v>
      </c>
      <c r="BT3" s="16">
        <v>0</v>
      </c>
      <c r="BU3" s="16">
        <v>0</v>
      </c>
      <c r="BV3" s="16">
        <v>0</v>
      </c>
      <c r="BW3" s="16">
        <v>0</v>
      </c>
      <c r="BX3" s="16">
        <v>0</v>
      </c>
      <c r="BY3" s="16">
        <v>0</v>
      </c>
      <c r="BZ3" s="16">
        <v>0</v>
      </c>
      <c r="CA3" s="16">
        <v>0</v>
      </c>
      <c r="CB3" s="16">
        <v>0</v>
      </c>
      <c r="CC3" s="16">
        <v>0</v>
      </c>
      <c r="CD3" s="16">
        <v>0</v>
      </c>
      <c r="CE3" s="16">
        <v>0</v>
      </c>
      <c r="CF3" s="16">
        <v>0</v>
      </c>
      <c r="CG3" s="16">
        <v>0</v>
      </c>
      <c r="CH3" s="16">
        <v>0</v>
      </c>
      <c r="CI3" s="16">
        <v>0</v>
      </c>
      <c r="CJ3" s="16">
        <v>0</v>
      </c>
      <c r="CK3" s="16">
        <v>0</v>
      </c>
      <c r="CL3" s="16">
        <v>0</v>
      </c>
      <c r="CM3" s="16">
        <v>0</v>
      </c>
      <c r="CN3" s="16">
        <v>0</v>
      </c>
      <c r="CO3" s="16">
        <v>0</v>
      </c>
      <c r="CP3" s="16">
        <v>0</v>
      </c>
      <c r="CQ3" s="16">
        <v>0</v>
      </c>
      <c r="CR3" s="16">
        <v>0</v>
      </c>
      <c r="CS3" s="16">
        <v>0</v>
      </c>
      <c r="CT3" s="16">
        <v>0</v>
      </c>
      <c r="CU3" s="16">
        <v>0</v>
      </c>
      <c r="CV3" s="16">
        <v>0</v>
      </c>
      <c r="CW3" s="16">
        <v>0</v>
      </c>
      <c r="CX3" s="16">
        <v>0</v>
      </c>
      <c r="CY3" s="16">
        <v>0</v>
      </c>
      <c r="CZ3" s="16">
        <v>0</v>
      </c>
      <c r="DA3" s="16">
        <v>0</v>
      </c>
      <c r="DB3" s="16">
        <v>0</v>
      </c>
      <c r="DC3" s="16">
        <v>0</v>
      </c>
      <c r="DD3" s="16">
        <v>0</v>
      </c>
      <c r="DE3" s="16">
        <v>0</v>
      </c>
      <c r="DF3" s="16">
        <v>0</v>
      </c>
      <c r="DG3" s="16">
        <v>0</v>
      </c>
      <c r="DH3" s="16">
        <v>0</v>
      </c>
      <c r="DI3" s="16">
        <v>0</v>
      </c>
      <c r="DJ3" s="16">
        <v>0</v>
      </c>
      <c r="DK3" s="16">
        <v>0</v>
      </c>
      <c r="DL3" s="16">
        <v>0</v>
      </c>
      <c r="DM3" s="16">
        <v>0</v>
      </c>
      <c r="DN3" s="16">
        <v>0</v>
      </c>
      <c r="DO3" s="16">
        <v>0</v>
      </c>
      <c r="DP3" s="16">
        <v>0</v>
      </c>
      <c r="DQ3" s="16">
        <v>0</v>
      </c>
      <c r="DR3" s="16">
        <v>0</v>
      </c>
      <c r="DS3" s="16">
        <v>0</v>
      </c>
      <c r="DT3" s="16">
        <v>0</v>
      </c>
      <c r="DU3" s="16">
        <v>0</v>
      </c>
      <c r="DV3" s="16">
        <v>0</v>
      </c>
      <c r="DW3" s="16">
        <v>0</v>
      </c>
      <c r="DX3" s="16">
        <v>0</v>
      </c>
      <c r="DY3" s="16">
        <v>0</v>
      </c>
      <c r="DZ3" s="16">
        <v>0</v>
      </c>
      <c r="EA3" s="16">
        <v>0</v>
      </c>
      <c r="EB3" s="16">
        <v>0</v>
      </c>
      <c r="EC3" s="16">
        <v>0</v>
      </c>
      <c r="ED3" s="16">
        <v>0</v>
      </c>
      <c r="EE3" s="16">
        <v>0</v>
      </c>
      <c r="EF3" s="16">
        <v>0</v>
      </c>
      <c r="EG3" s="16">
        <v>0</v>
      </c>
      <c r="EH3" s="16">
        <v>0</v>
      </c>
      <c r="EI3" s="16">
        <v>0</v>
      </c>
      <c r="EJ3" s="16">
        <v>0</v>
      </c>
      <c r="EK3" s="16">
        <v>0</v>
      </c>
      <c r="EL3" s="16">
        <v>0</v>
      </c>
      <c r="EM3" s="16">
        <v>0</v>
      </c>
      <c r="EN3" s="16">
        <v>0</v>
      </c>
      <c r="EO3" s="16">
        <v>0</v>
      </c>
      <c r="EP3" s="16">
        <v>0</v>
      </c>
      <c r="EQ3" s="16">
        <v>0</v>
      </c>
      <c r="ER3" s="16">
        <v>0</v>
      </c>
      <c r="ES3" s="16">
        <v>0</v>
      </c>
      <c r="ET3" s="16">
        <v>0</v>
      </c>
      <c r="EU3" s="16">
        <v>0</v>
      </c>
      <c r="EV3" s="16">
        <v>0</v>
      </c>
      <c r="EW3" s="16">
        <v>0</v>
      </c>
      <c r="EX3" s="16">
        <v>0</v>
      </c>
      <c r="EY3" s="16">
        <v>0</v>
      </c>
      <c r="EZ3" s="16">
        <v>0</v>
      </c>
      <c r="FA3" s="16">
        <v>0</v>
      </c>
      <c r="FB3" s="16">
        <v>0</v>
      </c>
      <c r="FC3" s="16">
        <v>0</v>
      </c>
      <c r="FD3" s="16">
        <v>0</v>
      </c>
      <c r="FE3" s="16">
        <v>0</v>
      </c>
      <c r="FF3" s="16">
        <v>0</v>
      </c>
      <c r="FG3" s="16">
        <v>0</v>
      </c>
      <c r="FH3" s="16">
        <v>0</v>
      </c>
      <c r="FI3" s="16">
        <v>0</v>
      </c>
      <c r="FJ3" s="16">
        <v>0</v>
      </c>
      <c r="FK3" s="16">
        <v>0</v>
      </c>
      <c r="FL3" s="16">
        <v>0</v>
      </c>
      <c r="FM3" s="16">
        <v>0</v>
      </c>
      <c r="FN3" s="16">
        <v>0</v>
      </c>
      <c r="FO3" s="16">
        <v>0</v>
      </c>
      <c r="FP3" s="16">
        <v>0</v>
      </c>
      <c r="FQ3" s="16">
        <v>0</v>
      </c>
      <c r="FR3" s="16">
        <v>0</v>
      </c>
      <c r="FS3" s="16">
        <v>0</v>
      </c>
      <c r="FT3" s="16">
        <v>0</v>
      </c>
      <c r="FU3" s="16">
        <v>0</v>
      </c>
      <c r="FV3" s="16">
        <v>0</v>
      </c>
      <c r="FW3" s="16">
        <v>0</v>
      </c>
      <c r="FX3" s="16">
        <v>0</v>
      </c>
      <c r="FY3" s="16">
        <v>0</v>
      </c>
      <c r="FZ3" s="16">
        <v>0</v>
      </c>
      <c r="GA3" s="16">
        <v>0</v>
      </c>
      <c r="GB3" s="16">
        <v>0</v>
      </c>
      <c r="GC3" s="16">
        <v>0</v>
      </c>
      <c r="GD3" s="16">
        <v>0</v>
      </c>
      <c r="GE3" s="16">
        <v>0</v>
      </c>
      <c r="GF3" s="16">
        <v>0</v>
      </c>
      <c r="GG3" s="16">
        <v>0</v>
      </c>
      <c r="GH3" s="16">
        <v>0</v>
      </c>
      <c r="GI3" s="16">
        <v>0</v>
      </c>
      <c r="GJ3" s="16">
        <v>0</v>
      </c>
      <c r="GK3" s="16">
        <v>0</v>
      </c>
      <c r="GL3" s="16">
        <v>0</v>
      </c>
      <c r="GM3" s="16">
        <v>0</v>
      </c>
      <c r="GN3" s="16">
        <v>0</v>
      </c>
      <c r="GO3" s="16">
        <v>0</v>
      </c>
      <c r="GP3" s="16">
        <v>0</v>
      </c>
      <c r="GQ3" s="16">
        <v>0</v>
      </c>
      <c r="GR3" s="16">
        <v>0</v>
      </c>
      <c r="GS3" s="16">
        <v>0</v>
      </c>
      <c r="GT3" s="16">
        <v>0</v>
      </c>
      <c r="GU3" s="16">
        <v>0</v>
      </c>
      <c r="GV3" s="16">
        <v>0</v>
      </c>
      <c r="GW3" s="16">
        <v>0</v>
      </c>
      <c r="GX3" s="16">
        <v>0</v>
      </c>
      <c r="GY3" s="16">
        <v>0</v>
      </c>
      <c r="GZ3" s="16">
        <v>0</v>
      </c>
      <c r="HA3" s="16">
        <v>0</v>
      </c>
      <c r="HB3" s="16">
        <v>0</v>
      </c>
      <c r="HC3" s="16">
        <v>0</v>
      </c>
      <c r="HD3" s="16">
        <v>0</v>
      </c>
      <c r="HE3" s="16">
        <v>0</v>
      </c>
      <c r="HF3" s="16">
        <v>0</v>
      </c>
      <c r="HG3" s="16">
        <v>0</v>
      </c>
      <c r="HH3" s="16">
        <v>0</v>
      </c>
      <c r="HI3" s="16">
        <v>0</v>
      </c>
      <c r="HJ3" s="16">
        <v>0</v>
      </c>
      <c r="HK3" s="16">
        <v>0</v>
      </c>
      <c r="HL3" s="16">
        <v>0</v>
      </c>
      <c r="HM3" s="16">
        <v>0</v>
      </c>
      <c r="HN3" s="16">
        <v>0</v>
      </c>
      <c r="HO3" s="16">
        <v>0</v>
      </c>
      <c r="HP3" s="16">
        <v>0</v>
      </c>
      <c r="HQ3" s="16">
        <v>0</v>
      </c>
      <c r="HR3" s="16">
        <v>0</v>
      </c>
      <c r="HS3" s="16">
        <v>0</v>
      </c>
      <c r="HT3" s="16">
        <v>0</v>
      </c>
      <c r="HU3" s="16">
        <v>0</v>
      </c>
      <c r="HV3" s="16">
        <v>0</v>
      </c>
      <c r="HW3" s="16">
        <v>0</v>
      </c>
      <c r="HX3" s="16">
        <v>0</v>
      </c>
      <c r="HY3" s="16">
        <v>0</v>
      </c>
      <c r="HZ3" s="16">
        <v>0</v>
      </c>
      <c r="IA3" s="16">
        <v>0</v>
      </c>
      <c r="IB3" s="16">
        <v>0</v>
      </c>
      <c r="IC3" s="16">
        <v>0</v>
      </c>
      <c r="ID3" s="16">
        <v>0</v>
      </c>
      <c r="IE3" s="16">
        <v>0</v>
      </c>
      <c r="IF3" s="16">
        <v>0</v>
      </c>
      <c r="IG3" s="16">
        <v>0</v>
      </c>
      <c r="IH3" s="16">
        <v>0</v>
      </c>
      <c r="II3" s="16">
        <v>0</v>
      </c>
      <c r="IJ3" s="16">
        <v>0</v>
      </c>
      <c r="IK3" s="16">
        <v>0</v>
      </c>
      <c r="IL3" s="16">
        <v>0</v>
      </c>
      <c r="IM3" s="16">
        <v>0</v>
      </c>
      <c r="IN3" s="16">
        <v>0</v>
      </c>
      <c r="IO3" s="16">
        <v>0</v>
      </c>
      <c r="IP3" s="16">
        <v>0</v>
      </c>
      <c r="IQ3" s="16">
        <v>0</v>
      </c>
      <c r="IR3" s="16">
        <v>0</v>
      </c>
      <c r="IS3" s="16">
        <v>0</v>
      </c>
      <c r="IT3" s="16">
        <v>0</v>
      </c>
      <c r="IU3" s="16">
        <v>0</v>
      </c>
      <c r="IV3" s="16">
        <v>0</v>
      </c>
      <c r="IW3" s="16">
        <v>0</v>
      </c>
      <c r="IX3" s="16">
        <v>0</v>
      </c>
      <c r="IY3" s="16">
        <v>0</v>
      </c>
      <c r="IZ3" s="16">
        <v>0</v>
      </c>
      <c r="JA3" s="16">
        <v>0</v>
      </c>
      <c r="JB3" s="16">
        <v>0</v>
      </c>
      <c r="JC3" s="16">
        <v>0</v>
      </c>
      <c r="JD3" s="16">
        <v>0</v>
      </c>
      <c r="JE3" s="16">
        <v>70</v>
      </c>
      <c r="JF3" s="16">
        <v>66</v>
      </c>
      <c r="JG3" s="16">
        <v>42371</v>
      </c>
      <c r="JH3" s="16">
        <v>0</v>
      </c>
      <c r="JI3" s="16">
        <v>0</v>
      </c>
      <c r="JJ3" s="16">
        <v>0</v>
      </c>
      <c r="JK3" s="16">
        <v>0</v>
      </c>
      <c r="JL3" s="16">
        <v>0</v>
      </c>
      <c r="JM3" s="16">
        <v>0</v>
      </c>
      <c r="JN3" s="16">
        <v>0</v>
      </c>
      <c r="JO3" s="16">
        <v>0</v>
      </c>
      <c r="JP3" s="16">
        <v>0</v>
      </c>
      <c r="JQ3" s="16">
        <v>0</v>
      </c>
      <c r="JR3" s="16">
        <v>0</v>
      </c>
      <c r="JS3" s="16">
        <v>0</v>
      </c>
      <c r="JT3" s="16">
        <v>0</v>
      </c>
      <c r="JU3" s="16">
        <v>0</v>
      </c>
      <c r="JV3" s="16">
        <v>0</v>
      </c>
      <c r="JW3" s="16">
        <v>0</v>
      </c>
      <c r="JX3" s="16">
        <v>0</v>
      </c>
      <c r="JY3" s="16">
        <v>0</v>
      </c>
      <c r="JZ3" s="16">
        <v>0</v>
      </c>
      <c r="KA3" s="16">
        <v>0</v>
      </c>
      <c r="KB3" s="16">
        <v>0</v>
      </c>
      <c r="KC3" s="16">
        <v>0</v>
      </c>
      <c r="KD3" s="16">
        <v>0</v>
      </c>
      <c r="KE3" s="16">
        <v>0</v>
      </c>
      <c r="KF3" s="16">
        <v>0</v>
      </c>
      <c r="KG3" s="16">
        <v>0</v>
      </c>
      <c r="KH3" s="16">
        <v>0</v>
      </c>
      <c r="KI3" s="16">
        <v>0</v>
      </c>
      <c r="KJ3" s="16">
        <v>0</v>
      </c>
      <c r="KK3" s="16">
        <v>0</v>
      </c>
      <c r="KL3" s="16">
        <v>0</v>
      </c>
      <c r="KM3" s="16">
        <v>0</v>
      </c>
      <c r="KN3" s="16">
        <v>0</v>
      </c>
      <c r="KO3" s="16">
        <v>0</v>
      </c>
      <c r="KP3" s="16">
        <v>0</v>
      </c>
      <c r="KQ3" s="16">
        <v>0</v>
      </c>
      <c r="KR3" s="16">
        <v>0</v>
      </c>
      <c r="KS3" s="16">
        <v>0</v>
      </c>
      <c r="KT3" s="16">
        <v>0</v>
      </c>
      <c r="KU3" s="16">
        <v>0</v>
      </c>
      <c r="KV3" s="16">
        <v>0</v>
      </c>
      <c r="KW3" s="16">
        <v>0</v>
      </c>
      <c r="KX3" s="16">
        <v>0</v>
      </c>
      <c r="KY3" s="16">
        <v>0</v>
      </c>
      <c r="KZ3" s="16">
        <v>49530</v>
      </c>
      <c r="LA3" s="16">
        <v>1611</v>
      </c>
      <c r="LB3" s="16">
        <v>13</v>
      </c>
      <c r="LC3" s="16">
        <v>1343</v>
      </c>
      <c r="LD3" s="16">
        <v>0</v>
      </c>
      <c r="LE3" s="16">
        <v>0</v>
      </c>
      <c r="LF3" s="16">
        <v>0</v>
      </c>
      <c r="LG3" s="16">
        <v>0</v>
      </c>
      <c r="LH3" s="16">
        <v>0</v>
      </c>
      <c r="LI3" s="16">
        <v>0</v>
      </c>
      <c r="LJ3" s="16">
        <v>0</v>
      </c>
      <c r="LK3" s="16">
        <v>0</v>
      </c>
      <c r="LL3" s="16">
        <v>0</v>
      </c>
      <c r="LM3" s="16">
        <v>0</v>
      </c>
      <c r="LN3" s="16">
        <v>0</v>
      </c>
      <c r="LO3" s="16">
        <v>0</v>
      </c>
      <c r="LP3" s="16">
        <v>0</v>
      </c>
      <c r="LQ3" s="16">
        <v>0</v>
      </c>
      <c r="LR3" s="16">
        <v>0</v>
      </c>
      <c r="LS3" s="16">
        <v>0</v>
      </c>
      <c r="LT3" s="16">
        <v>0</v>
      </c>
      <c r="LU3" s="16">
        <v>0</v>
      </c>
      <c r="LV3" s="16">
        <v>0</v>
      </c>
      <c r="LW3" s="16">
        <v>0</v>
      </c>
      <c r="LX3" s="16">
        <v>0</v>
      </c>
      <c r="LY3" s="16">
        <v>0</v>
      </c>
      <c r="LZ3" s="16">
        <v>0</v>
      </c>
      <c r="MA3" s="16">
        <v>0</v>
      </c>
      <c r="MB3" s="16">
        <v>0</v>
      </c>
      <c r="MC3" s="16">
        <v>301</v>
      </c>
      <c r="MD3" s="16">
        <v>0</v>
      </c>
      <c r="ME3" s="16">
        <v>0</v>
      </c>
      <c r="MF3" s="16">
        <v>0</v>
      </c>
      <c r="MG3" s="16">
        <v>0</v>
      </c>
      <c r="MH3" s="16">
        <v>0</v>
      </c>
      <c r="MI3" s="16">
        <v>0</v>
      </c>
      <c r="MJ3" s="16">
        <v>0</v>
      </c>
      <c r="MK3" s="16">
        <v>0</v>
      </c>
      <c r="ML3" s="16">
        <v>0</v>
      </c>
      <c r="MM3" s="16">
        <v>0</v>
      </c>
      <c r="MN3" s="16">
        <v>0</v>
      </c>
      <c r="MO3" s="16">
        <v>0</v>
      </c>
      <c r="MP3" s="16">
        <v>0</v>
      </c>
      <c r="MQ3" s="16">
        <v>0</v>
      </c>
      <c r="MR3" s="16">
        <v>438</v>
      </c>
      <c r="MS3" s="16">
        <v>70</v>
      </c>
      <c r="MT3" s="16">
        <v>0</v>
      </c>
      <c r="MU3" s="16">
        <v>312</v>
      </c>
      <c r="MV3" s="16">
        <v>0</v>
      </c>
      <c r="MW3" s="16">
        <v>0</v>
      </c>
      <c r="MX3" s="16">
        <v>0</v>
      </c>
      <c r="MY3" s="16">
        <v>0</v>
      </c>
      <c r="MZ3" s="16">
        <v>0</v>
      </c>
      <c r="NA3" s="16">
        <v>0</v>
      </c>
      <c r="NB3" s="16">
        <v>3584</v>
      </c>
      <c r="NC3" s="16">
        <v>0</v>
      </c>
      <c r="ND3" s="16">
        <v>0</v>
      </c>
      <c r="NE3" s="16">
        <v>0</v>
      </c>
      <c r="NF3" s="16">
        <v>0</v>
      </c>
      <c r="NG3" s="16">
        <v>0</v>
      </c>
      <c r="NH3" s="16">
        <v>0</v>
      </c>
      <c r="NI3" s="16">
        <v>0</v>
      </c>
      <c r="NJ3" s="16">
        <v>0</v>
      </c>
      <c r="NK3" s="16">
        <v>0</v>
      </c>
      <c r="NL3" s="16">
        <v>0</v>
      </c>
      <c r="NM3" s="16">
        <v>0</v>
      </c>
      <c r="NN3" s="16">
        <v>0</v>
      </c>
      <c r="NO3" s="16">
        <v>0</v>
      </c>
      <c r="NP3" s="16">
        <v>0</v>
      </c>
      <c r="NQ3" s="16">
        <v>28</v>
      </c>
      <c r="NR3" s="17">
        <v>7089437</v>
      </c>
    </row>
    <row r="4" spans="1:382" ht="13.5" customHeight="1" x14ac:dyDescent="0.2">
      <c r="A4" s="2" t="s">
        <v>15</v>
      </c>
      <c r="B4" s="16">
        <v>0</v>
      </c>
      <c r="C4" s="16">
        <v>0</v>
      </c>
      <c r="D4" s="16">
        <v>52371</v>
      </c>
      <c r="E4" s="16">
        <v>0</v>
      </c>
      <c r="F4" s="16">
        <v>21764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15</v>
      </c>
      <c r="P4" s="16">
        <v>3425</v>
      </c>
      <c r="Q4" s="16">
        <v>1427</v>
      </c>
      <c r="R4" s="16">
        <v>1426</v>
      </c>
      <c r="S4" s="16">
        <v>1627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107</v>
      </c>
      <c r="AM4" s="16">
        <v>1481</v>
      </c>
      <c r="AN4" s="16">
        <v>175</v>
      </c>
      <c r="AO4" s="16">
        <v>0</v>
      </c>
      <c r="AP4" s="16">
        <v>0</v>
      </c>
      <c r="AQ4" s="16">
        <v>2396</v>
      </c>
      <c r="AR4" s="16">
        <v>0</v>
      </c>
      <c r="AS4" s="16">
        <v>0</v>
      </c>
      <c r="AT4" s="16">
        <v>0</v>
      </c>
      <c r="AU4" s="16">
        <v>31504</v>
      </c>
      <c r="AV4" s="16">
        <v>28</v>
      </c>
      <c r="AW4" s="16">
        <v>59521</v>
      </c>
      <c r="AX4" s="16">
        <v>980537</v>
      </c>
      <c r="AY4" s="16">
        <v>140</v>
      </c>
      <c r="AZ4" s="16">
        <v>325</v>
      </c>
      <c r="BA4" s="16">
        <v>835</v>
      </c>
      <c r="BB4" s="16">
        <v>406908</v>
      </c>
      <c r="BC4" s="16">
        <v>267</v>
      </c>
      <c r="BD4" s="16">
        <v>0</v>
      </c>
      <c r="BE4" s="16">
        <v>0</v>
      </c>
      <c r="BF4" s="16">
        <v>0</v>
      </c>
      <c r="BG4" s="16">
        <v>0</v>
      </c>
      <c r="BH4" s="16">
        <v>36494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117</v>
      </c>
      <c r="DN4" s="16">
        <v>0</v>
      </c>
      <c r="DO4" s="16">
        <v>2</v>
      </c>
      <c r="DP4" s="16">
        <v>0</v>
      </c>
      <c r="DQ4" s="16">
        <v>0</v>
      </c>
      <c r="DR4" s="16">
        <v>0</v>
      </c>
      <c r="DS4" s="16">
        <v>12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  <c r="IB4" s="16">
        <v>0</v>
      </c>
      <c r="IC4" s="16">
        <v>0</v>
      </c>
      <c r="ID4" s="16">
        <v>0</v>
      </c>
      <c r="IE4" s="16">
        <v>0</v>
      </c>
      <c r="IF4" s="16">
        <v>0</v>
      </c>
      <c r="IG4" s="16">
        <v>0</v>
      </c>
      <c r="IH4" s="16">
        <v>0</v>
      </c>
      <c r="II4" s="16">
        <v>0</v>
      </c>
      <c r="IJ4" s="16">
        <v>0</v>
      </c>
      <c r="IK4" s="16">
        <v>0</v>
      </c>
      <c r="IL4" s="16">
        <v>0</v>
      </c>
      <c r="IM4" s="16">
        <v>0</v>
      </c>
      <c r="IN4" s="16">
        <v>0</v>
      </c>
      <c r="IO4" s="16">
        <v>0</v>
      </c>
      <c r="IP4" s="16">
        <v>0</v>
      </c>
      <c r="IQ4" s="16">
        <v>0</v>
      </c>
      <c r="IR4" s="16">
        <v>0</v>
      </c>
      <c r="IS4" s="16">
        <v>0</v>
      </c>
      <c r="IT4" s="16">
        <v>0</v>
      </c>
      <c r="IU4" s="16">
        <v>0</v>
      </c>
      <c r="IV4" s="16">
        <v>0</v>
      </c>
      <c r="IW4" s="16">
        <v>0</v>
      </c>
      <c r="IX4" s="16">
        <v>0</v>
      </c>
      <c r="IY4" s="16">
        <v>0</v>
      </c>
      <c r="IZ4" s="16">
        <v>0</v>
      </c>
      <c r="JA4" s="16">
        <v>0</v>
      </c>
      <c r="JB4" s="16">
        <v>0</v>
      </c>
      <c r="JC4" s="16">
        <v>0</v>
      </c>
      <c r="JD4" s="16">
        <v>0</v>
      </c>
      <c r="JE4" s="16">
        <v>0</v>
      </c>
      <c r="JF4" s="16">
        <v>0</v>
      </c>
      <c r="JG4" s="16">
        <v>1288</v>
      </c>
      <c r="JH4" s="16">
        <v>0</v>
      </c>
      <c r="JI4" s="16">
        <v>0</v>
      </c>
      <c r="JJ4" s="16">
        <v>0</v>
      </c>
      <c r="JK4" s="16">
        <v>0</v>
      </c>
      <c r="JL4" s="16">
        <v>0</v>
      </c>
      <c r="JM4" s="16">
        <v>0</v>
      </c>
      <c r="JN4" s="16">
        <v>0</v>
      </c>
      <c r="JO4" s="16">
        <v>0</v>
      </c>
      <c r="JP4" s="16">
        <v>0</v>
      </c>
      <c r="JQ4" s="16">
        <v>0</v>
      </c>
      <c r="JR4" s="16">
        <v>0</v>
      </c>
      <c r="JS4" s="16">
        <v>0</v>
      </c>
      <c r="JT4" s="16">
        <v>0</v>
      </c>
      <c r="JU4" s="16">
        <v>0</v>
      </c>
      <c r="JV4" s="16">
        <v>0</v>
      </c>
      <c r="JW4" s="16">
        <v>0</v>
      </c>
      <c r="JX4" s="16">
        <v>0</v>
      </c>
      <c r="JY4" s="16">
        <v>0</v>
      </c>
      <c r="JZ4" s="16">
        <v>0</v>
      </c>
      <c r="KA4" s="16">
        <v>0</v>
      </c>
      <c r="KB4" s="16">
        <v>0</v>
      </c>
      <c r="KC4" s="16">
        <v>0</v>
      </c>
      <c r="KD4" s="16">
        <v>0</v>
      </c>
      <c r="KE4" s="16">
        <v>0</v>
      </c>
      <c r="KF4" s="16">
        <v>0</v>
      </c>
      <c r="KG4" s="16">
        <v>0</v>
      </c>
      <c r="KH4" s="16">
        <v>0</v>
      </c>
      <c r="KI4" s="16">
        <v>0</v>
      </c>
      <c r="KJ4" s="16">
        <v>0</v>
      </c>
      <c r="KK4" s="16">
        <v>0</v>
      </c>
      <c r="KL4" s="16">
        <v>0</v>
      </c>
      <c r="KM4" s="16">
        <v>0</v>
      </c>
      <c r="KN4" s="16">
        <v>0</v>
      </c>
      <c r="KO4" s="16">
        <v>0</v>
      </c>
      <c r="KP4" s="16">
        <v>0</v>
      </c>
      <c r="KQ4" s="16">
        <v>0</v>
      </c>
      <c r="KR4" s="16">
        <v>0</v>
      </c>
      <c r="KS4" s="16">
        <v>0</v>
      </c>
      <c r="KT4" s="16">
        <v>0</v>
      </c>
      <c r="KU4" s="16">
        <v>0</v>
      </c>
      <c r="KV4" s="16">
        <v>0</v>
      </c>
      <c r="KW4" s="16">
        <v>0</v>
      </c>
      <c r="KX4" s="16">
        <v>0</v>
      </c>
      <c r="KY4" s="16">
        <v>0</v>
      </c>
      <c r="KZ4" s="16">
        <v>30808</v>
      </c>
      <c r="LA4" s="16">
        <v>3932</v>
      </c>
      <c r="LB4" s="16">
        <v>124</v>
      </c>
      <c r="LC4" s="16">
        <v>4245</v>
      </c>
      <c r="LD4" s="16">
        <v>0</v>
      </c>
      <c r="LE4" s="16">
        <v>0</v>
      </c>
      <c r="LF4" s="16">
        <v>0</v>
      </c>
      <c r="LG4" s="16">
        <v>0</v>
      </c>
      <c r="LH4" s="16">
        <v>0</v>
      </c>
      <c r="LI4" s="16">
        <v>0</v>
      </c>
      <c r="LJ4" s="16">
        <v>0</v>
      </c>
      <c r="LK4" s="16">
        <v>0</v>
      </c>
      <c r="LL4" s="16">
        <v>0</v>
      </c>
      <c r="LM4" s="16">
        <v>0</v>
      </c>
      <c r="LN4" s="16">
        <v>0</v>
      </c>
      <c r="LO4" s="16">
        <v>0</v>
      </c>
      <c r="LP4" s="16">
        <v>0</v>
      </c>
      <c r="LQ4" s="16">
        <v>0</v>
      </c>
      <c r="LR4" s="16">
        <v>0</v>
      </c>
      <c r="LS4" s="16">
        <v>0</v>
      </c>
      <c r="LT4" s="16">
        <v>0</v>
      </c>
      <c r="LU4" s="16">
        <v>0</v>
      </c>
      <c r="LV4" s="16">
        <v>0</v>
      </c>
      <c r="LW4" s="16">
        <v>0</v>
      </c>
      <c r="LX4" s="16">
        <v>0</v>
      </c>
      <c r="LY4" s="16">
        <v>0</v>
      </c>
      <c r="LZ4" s="16">
        <v>0</v>
      </c>
      <c r="MA4" s="16">
        <v>0</v>
      </c>
      <c r="MB4" s="16">
        <v>0</v>
      </c>
      <c r="MC4" s="16">
        <v>0</v>
      </c>
      <c r="MD4" s="16">
        <v>0</v>
      </c>
      <c r="ME4" s="16">
        <v>0</v>
      </c>
      <c r="MF4" s="16">
        <v>0</v>
      </c>
      <c r="MG4" s="16">
        <v>0</v>
      </c>
      <c r="MH4" s="16">
        <v>0</v>
      </c>
      <c r="MI4" s="16">
        <v>0</v>
      </c>
      <c r="MJ4" s="16">
        <v>0</v>
      </c>
      <c r="MK4" s="16">
        <v>0</v>
      </c>
      <c r="ML4" s="16">
        <v>0</v>
      </c>
      <c r="MM4" s="16">
        <v>0</v>
      </c>
      <c r="MN4" s="16">
        <v>0</v>
      </c>
      <c r="MO4" s="16">
        <v>0</v>
      </c>
      <c r="MP4" s="16">
        <v>0</v>
      </c>
      <c r="MQ4" s="16">
        <v>0</v>
      </c>
      <c r="MR4" s="16">
        <v>88</v>
      </c>
      <c r="MS4" s="16">
        <v>0</v>
      </c>
      <c r="MT4" s="16">
        <v>0</v>
      </c>
      <c r="MU4" s="16">
        <v>3332</v>
      </c>
      <c r="MV4" s="16">
        <v>0</v>
      </c>
      <c r="MW4" s="16">
        <v>0</v>
      </c>
      <c r="MX4" s="16">
        <v>0</v>
      </c>
      <c r="MY4" s="16">
        <v>0</v>
      </c>
      <c r="MZ4" s="16">
        <v>0</v>
      </c>
      <c r="NA4" s="16">
        <v>0</v>
      </c>
      <c r="NB4" s="16">
        <v>1697</v>
      </c>
      <c r="NC4" s="16">
        <v>0</v>
      </c>
      <c r="ND4" s="16">
        <v>0</v>
      </c>
      <c r="NE4" s="16">
        <v>0</v>
      </c>
      <c r="NF4" s="16">
        <v>0</v>
      </c>
      <c r="NG4" s="16">
        <v>0</v>
      </c>
      <c r="NH4" s="16">
        <v>0</v>
      </c>
      <c r="NI4" s="16">
        <v>0</v>
      </c>
      <c r="NJ4" s="16">
        <v>0</v>
      </c>
      <c r="NK4" s="16">
        <v>0</v>
      </c>
      <c r="NL4" s="16">
        <v>0</v>
      </c>
      <c r="NM4" s="16">
        <v>0</v>
      </c>
      <c r="NN4" s="16">
        <v>0</v>
      </c>
      <c r="NO4" s="16">
        <v>0</v>
      </c>
      <c r="NP4" s="16">
        <v>0</v>
      </c>
      <c r="NQ4" s="16">
        <v>4</v>
      </c>
      <c r="NR4" s="17">
        <v>1648422</v>
      </c>
    </row>
    <row r="5" spans="1:382" ht="13.5" customHeight="1" x14ac:dyDescent="0.2">
      <c r="A5" s="2" t="s">
        <v>17</v>
      </c>
      <c r="B5" s="16">
        <v>0</v>
      </c>
      <c r="C5" s="16">
        <v>0</v>
      </c>
      <c r="D5" s="16">
        <v>0</v>
      </c>
      <c r="E5" s="16">
        <v>143928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1240</v>
      </c>
      <c r="Q5" s="16">
        <v>34592</v>
      </c>
      <c r="R5" s="16">
        <v>0</v>
      </c>
      <c r="S5" s="16">
        <v>114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5</v>
      </c>
      <c r="AM5" s="16">
        <v>0</v>
      </c>
      <c r="AN5" s="16">
        <v>5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16814</v>
      </c>
      <c r="AU5" s="16">
        <v>172257</v>
      </c>
      <c r="AV5" s="16">
        <v>25</v>
      </c>
      <c r="AW5" s="16">
        <v>1111</v>
      </c>
      <c r="AX5" s="16">
        <v>0</v>
      </c>
      <c r="AY5" s="16">
        <v>11407</v>
      </c>
      <c r="AZ5" s="16">
        <v>0</v>
      </c>
      <c r="BA5" s="16">
        <v>886</v>
      </c>
      <c r="BB5" s="16">
        <v>736</v>
      </c>
      <c r="BC5" s="16">
        <v>2547</v>
      </c>
      <c r="BD5" s="16">
        <v>5619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  <c r="IB5" s="16">
        <v>0</v>
      </c>
      <c r="IC5" s="16">
        <v>0</v>
      </c>
      <c r="ID5" s="16">
        <v>0</v>
      </c>
      <c r="IE5" s="16">
        <v>0</v>
      </c>
      <c r="IF5" s="16">
        <v>0</v>
      </c>
      <c r="IG5" s="16">
        <v>0</v>
      </c>
      <c r="IH5" s="16">
        <v>0</v>
      </c>
      <c r="II5" s="16">
        <v>0</v>
      </c>
      <c r="IJ5" s="16">
        <v>0</v>
      </c>
      <c r="IK5" s="16">
        <v>0</v>
      </c>
      <c r="IL5" s="16">
        <v>0</v>
      </c>
      <c r="IM5" s="16">
        <v>0</v>
      </c>
      <c r="IN5" s="16">
        <v>0</v>
      </c>
      <c r="IO5" s="16">
        <v>0</v>
      </c>
      <c r="IP5" s="16">
        <v>0</v>
      </c>
      <c r="IQ5" s="16">
        <v>0</v>
      </c>
      <c r="IR5" s="16">
        <v>0</v>
      </c>
      <c r="IS5" s="16">
        <v>0</v>
      </c>
      <c r="IT5" s="16">
        <v>0</v>
      </c>
      <c r="IU5" s="16">
        <v>0</v>
      </c>
      <c r="IV5" s="16">
        <v>0</v>
      </c>
      <c r="IW5" s="16">
        <v>0</v>
      </c>
      <c r="IX5" s="16">
        <v>0</v>
      </c>
      <c r="IY5" s="16">
        <v>0</v>
      </c>
      <c r="IZ5" s="16">
        <v>0</v>
      </c>
      <c r="JA5" s="16">
        <v>0</v>
      </c>
      <c r="JB5" s="16">
        <v>0</v>
      </c>
      <c r="JC5" s="16">
        <v>0</v>
      </c>
      <c r="JD5" s="16">
        <v>0</v>
      </c>
      <c r="JE5" s="16">
        <v>0</v>
      </c>
      <c r="JF5" s="16">
        <v>0</v>
      </c>
      <c r="JG5" s="16">
        <v>547</v>
      </c>
      <c r="JH5" s="16">
        <v>0</v>
      </c>
      <c r="JI5" s="16">
        <v>0</v>
      </c>
      <c r="JJ5" s="16">
        <v>0</v>
      </c>
      <c r="JK5" s="16">
        <v>0</v>
      </c>
      <c r="JL5" s="16">
        <v>0</v>
      </c>
      <c r="JM5" s="16">
        <v>0</v>
      </c>
      <c r="JN5" s="16">
        <v>0</v>
      </c>
      <c r="JO5" s="16">
        <v>0</v>
      </c>
      <c r="JP5" s="16">
        <v>0</v>
      </c>
      <c r="JQ5" s="16">
        <v>0</v>
      </c>
      <c r="JR5" s="16">
        <v>0</v>
      </c>
      <c r="JS5" s="16">
        <v>0</v>
      </c>
      <c r="JT5" s="16">
        <v>0</v>
      </c>
      <c r="JU5" s="16">
        <v>0</v>
      </c>
      <c r="JV5" s="16">
        <v>0</v>
      </c>
      <c r="JW5" s="16">
        <v>0</v>
      </c>
      <c r="JX5" s="16">
        <v>0</v>
      </c>
      <c r="JY5" s="16">
        <v>0</v>
      </c>
      <c r="JZ5" s="16">
        <v>0</v>
      </c>
      <c r="KA5" s="16">
        <v>0</v>
      </c>
      <c r="KB5" s="16">
        <v>0</v>
      </c>
      <c r="KC5" s="16">
        <v>0</v>
      </c>
      <c r="KD5" s="16">
        <v>0</v>
      </c>
      <c r="KE5" s="16">
        <v>0</v>
      </c>
      <c r="KF5" s="16">
        <v>0</v>
      </c>
      <c r="KG5" s="16">
        <v>0</v>
      </c>
      <c r="KH5" s="16">
        <v>0</v>
      </c>
      <c r="KI5" s="16">
        <v>0</v>
      </c>
      <c r="KJ5" s="16">
        <v>0</v>
      </c>
      <c r="KK5" s="16">
        <v>0</v>
      </c>
      <c r="KL5" s="16">
        <v>0</v>
      </c>
      <c r="KM5" s="16">
        <v>0</v>
      </c>
      <c r="KN5" s="16">
        <v>0</v>
      </c>
      <c r="KO5" s="16">
        <v>0</v>
      </c>
      <c r="KP5" s="16">
        <v>0</v>
      </c>
      <c r="KQ5" s="16">
        <v>0</v>
      </c>
      <c r="KR5" s="16">
        <v>0</v>
      </c>
      <c r="KS5" s="16">
        <v>0</v>
      </c>
      <c r="KT5" s="16">
        <v>0</v>
      </c>
      <c r="KU5" s="16">
        <v>0</v>
      </c>
      <c r="KV5" s="16">
        <v>0</v>
      </c>
      <c r="KW5" s="16">
        <v>0</v>
      </c>
      <c r="KX5" s="16">
        <v>0</v>
      </c>
      <c r="KY5" s="16">
        <v>0</v>
      </c>
      <c r="KZ5" s="16">
        <v>348717</v>
      </c>
      <c r="LA5" s="16">
        <v>63812</v>
      </c>
      <c r="LB5" s="16">
        <v>485</v>
      </c>
      <c r="LC5" s="16">
        <v>58024</v>
      </c>
      <c r="LD5" s="16">
        <v>119</v>
      </c>
      <c r="LE5" s="16">
        <v>0</v>
      </c>
      <c r="LF5" s="16">
        <v>0</v>
      </c>
      <c r="LG5" s="16">
        <v>0</v>
      </c>
      <c r="LH5" s="16">
        <v>0</v>
      </c>
      <c r="LI5" s="16">
        <v>0</v>
      </c>
      <c r="LJ5" s="16">
        <v>0</v>
      </c>
      <c r="LK5" s="16">
        <v>0</v>
      </c>
      <c r="LL5" s="16">
        <v>0</v>
      </c>
      <c r="LM5" s="16">
        <v>0</v>
      </c>
      <c r="LN5" s="16">
        <v>0</v>
      </c>
      <c r="LO5" s="16">
        <v>0</v>
      </c>
      <c r="LP5" s="16">
        <v>0</v>
      </c>
      <c r="LQ5" s="16">
        <v>0</v>
      </c>
      <c r="LR5" s="16">
        <v>0</v>
      </c>
      <c r="LS5" s="16">
        <v>0</v>
      </c>
      <c r="LT5" s="16">
        <v>0</v>
      </c>
      <c r="LU5" s="16">
        <v>0</v>
      </c>
      <c r="LV5" s="16">
        <v>0</v>
      </c>
      <c r="LW5" s="16">
        <v>0</v>
      </c>
      <c r="LX5" s="16">
        <v>0</v>
      </c>
      <c r="LY5" s="16">
        <v>0</v>
      </c>
      <c r="LZ5" s="16">
        <v>0</v>
      </c>
      <c r="MA5" s="16">
        <v>0</v>
      </c>
      <c r="MB5" s="16">
        <v>0</v>
      </c>
      <c r="MC5" s="16">
        <v>0</v>
      </c>
      <c r="MD5" s="16">
        <v>0</v>
      </c>
      <c r="ME5" s="16">
        <v>0</v>
      </c>
      <c r="MF5" s="16">
        <v>0</v>
      </c>
      <c r="MG5" s="16">
        <v>0</v>
      </c>
      <c r="MH5" s="16">
        <v>0</v>
      </c>
      <c r="MI5" s="16">
        <v>0</v>
      </c>
      <c r="MJ5" s="16">
        <v>0</v>
      </c>
      <c r="MK5" s="16">
        <v>0</v>
      </c>
      <c r="ML5" s="16">
        <v>0</v>
      </c>
      <c r="MM5" s="16">
        <v>0</v>
      </c>
      <c r="MN5" s="16">
        <v>0</v>
      </c>
      <c r="MO5" s="16">
        <v>0</v>
      </c>
      <c r="MP5" s="16">
        <v>0</v>
      </c>
      <c r="MQ5" s="16">
        <v>0</v>
      </c>
      <c r="MR5" s="16">
        <v>595</v>
      </c>
      <c r="MS5" s="16">
        <v>0</v>
      </c>
      <c r="MT5" s="16">
        <v>0</v>
      </c>
      <c r="MU5" s="16">
        <v>37205</v>
      </c>
      <c r="MV5" s="16">
        <v>0</v>
      </c>
      <c r="MW5" s="16">
        <v>0</v>
      </c>
      <c r="MX5" s="16">
        <v>0</v>
      </c>
      <c r="MY5" s="16">
        <v>0</v>
      </c>
      <c r="MZ5" s="16">
        <v>0</v>
      </c>
      <c r="NA5" s="16">
        <v>0</v>
      </c>
      <c r="NB5" s="16">
        <v>16578</v>
      </c>
      <c r="NC5" s="16">
        <v>0</v>
      </c>
      <c r="ND5" s="16">
        <v>0</v>
      </c>
      <c r="NE5" s="16">
        <v>437</v>
      </c>
      <c r="NF5" s="16">
        <v>0</v>
      </c>
      <c r="NG5" s="16">
        <v>990</v>
      </c>
      <c r="NH5" s="16">
        <v>1640</v>
      </c>
      <c r="NI5" s="16">
        <v>0</v>
      </c>
      <c r="NJ5" s="16">
        <v>0</v>
      </c>
      <c r="NK5" s="16">
        <v>0</v>
      </c>
      <c r="NL5" s="16">
        <v>0</v>
      </c>
      <c r="NM5" s="16">
        <v>0</v>
      </c>
      <c r="NN5" s="16">
        <v>0</v>
      </c>
      <c r="NO5" s="16">
        <v>0</v>
      </c>
      <c r="NP5" s="16">
        <v>0</v>
      </c>
      <c r="NQ5" s="16">
        <v>71</v>
      </c>
      <c r="NR5" s="17">
        <v>920506</v>
      </c>
    </row>
    <row r="6" spans="1:382" ht="13.5" customHeight="1" x14ac:dyDescent="0.2">
      <c r="A6" s="2" t="s">
        <v>19</v>
      </c>
      <c r="B6" s="16">
        <v>89</v>
      </c>
      <c r="C6" s="16">
        <v>11</v>
      </c>
      <c r="D6" s="16">
        <v>61</v>
      </c>
      <c r="E6" s="16">
        <v>19</v>
      </c>
      <c r="F6" s="16">
        <v>4568</v>
      </c>
      <c r="G6" s="16">
        <v>2</v>
      </c>
      <c r="H6" s="16">
        <v>1</v>
      </c>
      <c r="I6" s="16">
        <v>1</v>
      </c>
      <c r="J6" s="16">
        <v>3</v>
      </c>
      <c r="K6" s="16">
        <v>0</v>
      </c>
      <c r="L6" s="16">
        <v>13</v>
      </c>
      <c r="M6" s="16">
        <v>2</v>
      </c>
      <c r="N6" s="16">
        <v>0</v>
      </c>
      <c r="O6" s="16">
        <v>19</v>
      </c>
      <c r="P6" s="16">
        <v>5</v>
      </c>
      <c r="Q6" s="16">
        <v>95</v>
      </c>
      <c r="R6" s="16">
        <v>39</v>
      </c>
      <c r="S6" s="16">
        <v>17</v>
      </c>
      <c r="T6" s="16">
        <v>3</v>
      </c>
      <c r="U6" s="16">
        <v>1</v>
      </c>
      <c r="V6" s="16">
        <v>4</v>
      </c>
      <c r="W6" s="16">
        <v>3</v>
      </c>
      <c r="X6" s="16">
        <v>2</v>
      </c>
      <c r="Y6" s="16">
        <v>7</v>
      </c>
      <c r="Z6" s="16">
        <v>6</v>
      </c>
      <c r="AA6" s="16">
        <v>4</v>
      </c>
      <c r="AB6" s="16">
        <v>0</v>
      </c>
      <c r="AC6" s="16">
        <v>0</v>
      </c>
      <c r="AD6" s="16">
        <v>0</v>
      </c>
      <c r="AE6" s="16">
        <v>2</v>
      </c>
      <c r="AF6" s="16">
        <v>2</v>
      </c>
      <c r="AG6" s="16">
        <v>8</v>
      </c>
      <c r="AH6" s="16">
        <v>5</v>
      </c>
      <c r="AI6" s="16">
        <v>2</v>
      </c>
      <c r="AJ6" s="16">
        <v>5</v>
      </c>
      <c r="AK6" s="16">
        <v>1</v>
      </c>
      <c r="AL6" s="16">
        <v>226</v>
      </c>
      <c r="AM6" s="16">
        <v>213</v>
      </c>
      <c r="AN6" s="16">
        <v>172</v>
      </c>
      <c r="AO6" s="16">
        <v>272</v>
      </c>
      <c r="AP6" s="16">
        <v>41</v>
      </c>
      <c r="AQ6" s="16">
        <v>1</v>
      </c>
      <c r="AR6" s="16">
        <v>0</v>
      </c>
      <c r="AS6" s="16">
        <v>3</v>
      </c>
      <c r="AT6" s="16">
        <v>1</v>
      </c>
      <c r="AU6" s="16">
        <v>2661</v>
      </c>
      <c r="AV6" s="16">
        <v>397</v>
      </c>
      <c r="AW6" s="16">
        <v>582839</v>
      </c>
      <c r="AX6" s="16">
        <v>46</v>
      </c>
      <c r="AY6" s="16">
        <v>1189970</v>
      </c>
      <c r="AZ6" s="16">
        <v>322</v>
      </c>
      <c r="BA6" s="16">
        <v>572</v>
      </c>
      <c r="BB6" s="16">
        <v>266205</v>
      </c>
      <c r="BC6" s="16">
        <v>45</v>
      </c>
      <c r="BD6" s="16">
        <v>6</v>
      </c>
      <c r="BE6" s="16">
        <v>1</v>
      </c>
      <c r="BF6" s="16">
        <v>6</v>
      </c>
      <c r="BG6" s="16">
        <v>1</v>
      </c>
      <c r="BH6" s="16">
        <v>437</v>
      </c>
      <c r="BI6" s="16">
        <v>3</v>
      </c>
      <c r="BJ6" s="16">
        <v>29</v>
      </c>
      <c r="BK6" s="16">
        <v>12</v>
      </c>
      <c r="BL6" s="16">
        <v>4</v>
      </c>
      <c r="BM6" s="16">
        <v>38</v>
      </c>
      <c r="BN6" s="16">
        <v>3</v>
      </c>
      <c r="BO6" s="16">
        <v>2</v>
      </c>
      <c r="BP6" s="16">
        <v>2</v>
      </c>
      <c r="BQ6" s="16">
        <v>2</v>
      </c>
      <c r="BR6" s="16">
        <v>203</v>
      </c>
      <c r="BS6" s="16">
        <v>4</v>
      </c>
      <c r="BT6" s="16">
        <v>18</v>
      </c>
      <c r="BU6" s="16">
        <v>8</v>
      </c>
      <c r="BV6" s="16">
        <v>2</v>
      </c>
      <c r="BW6" s="16">
        <v>2</v>
      </c>
      <c r="BX6" s="16">
        <v>23</v>
      </c>
      <c r="BY6" s="16">
        <v>1</v>
      </c>
      <c r="BZ6" s="16">
        <v>24</v>
      </c>
      <c r="CA6" s="16">
        <v>43</v>
      </c>
      <c r="CB6" s="16">
        <v>10</v>
      </c>
      <c r="CC6" s="16">
        <v>5</v>
      </c>
      <c r="CD6" s="16">
        <v>1</v>
      </c>
      <c r="CE6" s="16">
        <v>1</v>
      </c>
      <c r="CF6" s="16">
        <v>2</v>
      </c>
      <c r="CG6" s="16">
        <v>75</v>
      </c>
      <c r="CH6" s="16">
        <v>34</v>
      </c>
      <c r="CI6" s="16">
        <v>11</v>
      </c>
      <c r="CJ6" s="16">
        <v>1</v>
      </c>
      <c r="CK6" s="16">
        <v>2</v>
      </c>
      <c r="CL6" s="16">
        <v>3</v>
      </c>
      <c r="CM6" s="16">
        <v>1</v>
      </c>
      <c r="CN6" s="16">
        <v>32</v>
      </c>
      <c r="CO6" s="16">
        <v>1</v>
      </c>
      <c r="CP6" s="16">
        <v>4</v>
      </c>
      <c r="CQ6" s="16">
        <v>16</v>
      </c>
      <c r="CR6" s="16">
        <v>2</v>
      </c>
      <c r="CS6" s="16">
        <v>1</v>
      </c>
      <c r="CT6" s="16">
        <v>1</v>
      </c>
      <c r="CU6" s="16">
        <v>1</v>
      </c>
      <c r="CV6" s="16">
        <v>2</v>
      </c>
      <c r="CW6" s="16">
        <v>5</v>
      </c>
      <c r="CX6" s="16">
        <v>7</v>
      </c>
      <c r="CY6" s="16">
        <v>19</v>
      </c>
      <c r="CZ6" s="16">
        <v>1</v>
      </c>
      <c r="DA6" s="16">
        <v>31</v>
      </c>
      <c r="DB6" s="16">
        <v>1</v>
      </c>
      <c r="DC6" s="16">
        <v>1</v>
      </c>
      <c r="DD6" s="16">
        <v>1</v>
      </c>
      <c r="DE6" s="16">
        <v>2</v>
      </c>
      <c r="DF6" s="16">
        <v>1</v>
      </c>
      <c r="DG6" s="16">
        <v>1</v>
      </c>
      <c r="DH6" s="16">
        <v>1</v>
      </c>
      <c r="DI6" s="16">
        <v>1</v>
      </c>
      <c r="DJ6" s="16">
        <v>19</v>
      </c>
      <c r="DK6" s="16">
        <v>1</v>
      </c>
      <c r="DL6" s="16">
        <v>2</v>
      </c>
      <c r="DM6" s="16">
        <v>39</v>
      </c>
      <c r="DN6" s="16">
        <v>1</v>
      </c>
      <c r="DO6" s="16">
        <v>2</v>
      </c>
      <c r="DP6" s="16">
        <v>3</v>
      </c>
      <c r="DQ6" s="16">
        <v>1</v>
      </c>
      <c r="DR6" s="16">
        <v>41</v>
      </c>
      <c r="DS6" s="16">
        <v>116</v>
      </c>
      <c r="DT6" s="16">
        <v>1</v>
      </c>
      <c r="DU6" s="16">
        <v>18</v>
      </c>
      <c r="DV6" s="16">
        <v>251</v>
      </c>
      <c r="DW6" s="16">
        <v>4</v>
      </c>
      <c r="DX6" s="16">
        <v>6</v>
      </c>
      <c r="DY6" s="16">
        <v>3</v>
      </c>
      <c r="DZ6" s="16">
        <v>10</v>
      </c>
      <c r="EA6" s="16">
        <v>1</v>
      </c>
      <c r="EB6" s="16">
        <v>187</v>
      </c>
      <c r="EC6" s="16">
        <v>3</v>
      </c>
      <c r="ED6" s="16">
        <v>32</v>
      </c>
      <c r="EE6" s="16">
        <v>23</v>
      </c>
      <c r="EF6" s="16">
        <v>52</v>
      </c>
      <c r="EG6" s="16">
        <v>1</v>
      </c>
      <c r="EH6" s="16">
        <v>9</v>
      </c>
      <c r="EI6" s="16">
        <v>281</v>
      </c>
      <c r="EJ6" s="16">
        <v>41</v>
      </c>
      <c r="EK6" s="16">
        <v>84</v>
      </c>
      <c r="EL6" s="16">
        <v>28</v>
      </c>
      <c r="EM6" s="16">
        <v>1</v>
      </c>
      <c r="EN6" s="16">
        <v>6</v>
      </c>
      <c r="EO6" s="16">
        <v>1</v>
      </c>
      <c r="EP6" s="16">
        <v>1</v>
      </c>
      <c r="EQ6" s="16">
        <v>1</v>
      </c>
      <c r="ER6" s="16">
        <v>19</v>
      </c>
      <c r="ES6" s="16">
        <v>34</v>
      </c>
      <c r="ET6" s="16">
        <v>3</v>
      </c>
      <c r="EU6" s="16">
        <v>4</v>
      </c>
      <c r="EV6" s="16">
        <v>14</v>
      </c>
      <c r="EW6" s="16">
        <v>447</v>
      </c>
      <c r="EX6" s="16">
        <v>10</v>
      </c>
      <c r="EY6" s="16">
        <v>2</v>
      </c>
      <c r="EZ6" s="16">
        <v>46</v>
      </c>
      <c r="FA6" s="16">
        <v>192</v>
      </c>
      <c r="FB6" s="16">
        <v>1</v>
      </c>
      <c r="FC6" s="16">
        <v>48</v>
      </c>
      <c r="FD6" s="16">
        <v>1</v>
      </c>
      <c r="FE6" s="16">
        <v>1</v>
      </c>
      <c r="FF6" s="16">
        <v>1</v>
      </c>
      <c r="FG6" s="16">
        <v>1</v>
      </c>
      <c r="FH6" s="16">
        <v>0</v>
      </c>
      <c r="FI6" s="16">
        <v>1</v>
      </c>
      <c r="FJ6" s="16">
        <v>1</v>
      </c>
      <c r="FK6" s="16">
        <v>1</v>
      </c>
      <c r="FL6" s="16">
        <v>1</v>
      </c>
      <c r="FM6" s="16">
        <v>1</v>
      </c>
      <c r="FN6" s="16">
        <v>3</v>
      </c>
      <c r="FO6" s="16">
        <v>2</v>
      </c>
      <c r="FP6" s="16">
        <v>1</v>
      </c>
      <c r="FQ6" s="16">
        <v>2</v>
      </c>
      <c r="FR6" s="16">
        <v>9</v>
      </c>
      <c r="FS6" s="16">
        <v>1</v>
      </c>
      <c r="FT6" s="16">
        <v>2</v>
      </c>
      <c r="FU6" s="16">
        <v>4</v>
      </c>
      <c r="FV6" s="16">
        <v>2</v>
      </c>
      <c r="FW6" s="16">
        <v>4</v>
      </c>
      <c r="FX6" s="16">
        <v>9</v>
      </c>
      <c r="FY6" s="16">
        <v>1</v>
      </c>
      <c r="FZ6" s="16">
        <v>2</v>
      </c>
      <c r="GA6" s="16">
        <v>1</v>
      </c>
      <c r="GB6" s="16">
        <v>49</v>
      </c>
      <c r="GC6" s="16">
        <v>1</v>
      </c>
      <c r="GD6" s="16">
        <v>11</v>
      </c>
      <c r="GE6" s="16">
        <v>49</v>
      </c>
      <c r="GF6" s="16">
        <v>9</v>
      </c>
      <c r="GG6" s="16">
        <v>30</v>
      </c>
      <c r="GH6" s="16">
        <v>373</v>
      </c>
      <c r="GI6" s="16">
        <v>264</v>
      </c>
      <c r="GJ6" s="16">
        <v>1</v>
      </c>
      <c r="GK6" s="16">
        <v>159</v>
      </c>
      <c r="GL6" s="16">
        <v>48</v>
      </c>
      <c r="GM6" s="16">
        <v>884</v>
      </c>
      <c r="GN6" s="16">
        <v>66</v>
      </c>
      <c r="GO6" s="16">
        <v>209</v>
      </c>
      <c r="GP6" s="16">
        <v>584</v>
      </c>
      <c r="GQ6" s="16">
        <v>10</v>
      </c>
      <c r="GR6" s="16">
        <v>64</v>
      </c>
      <c r="GS6" s="16">
        <v>222</v>
      </c>
      <c r="GT6" s="16">
        <v>25</v>
      </c>
      <c r="GU6" s="16">
        <v>2</v>
      </c>
      <c r="GV6" s="16">
        <v>1</v>
      </c>
      <c r="GW6" s="16">
        <v>1</v>
      </c>
      <c r="GX6" s="16">
        <v>106</v>
      </c>
      <c r="GY6" s="16">
        <v>10</v>
      </c>
      <c r="GZ6" s="16">
        <v>1</v>
      </c>
      <c r="HA6" s="16">
        <v>70</v>
      </c>
      <c r="HB6" s="16">
        <v>1</v>
      </c>
      <c r="HC6" s="16">
        <v>2</v>
      </c>
      <c r="HD6" s="16">
        <v>3</v>
      </c>
      <c r="HE6" s="16">
        <v>260</v>
      </c>
      <c r="HF6" s="16">
        <v>3</v>
      </c>
      <c r="HG6" s="16">
        <v>1</v>
      </c>
      <c r="HH6" s="16">
        <v>1</v>
      </c>
      <c r="HI6" s="16">
        <v>1</v>
      </c>
      <c r="HJ6" s="16">
        <v>1</v>
      </c>
      <c r="HK6" s="16">
        <v>135</v>
      </c>
      <c r="HL6" s="16">
        <v>3</v>
      </c>
      <c r="HM6" s="16">
        <v>2</v>
      </c>
      <c r="HN6" s="16">
        <v>2</v>
      </c>
      <c r="HO6" s="16">
        <v>3</v>
      </c>
      <c r="HP6" s="16">
        <v>1</v>
      </c>
      <c r="HQ6" s="16">
        <v>3</v>
      </c>
      <c r="HR6" s="16">
        <v>3</v>
      </c>
      <c r="HS6" s="16">
        <v>3</v>
      </c>
      <c r="HT6" s="16">
        <v>67</v>
      </c>
      <c r="HU6" s="16">
        <v>2</v>
      </c>
      <c r="HV6" s="16">
        <v>1</v>
      </c>
      <c r="HW6" s="16">
        <v>2</v>
      </c>
      <c r="HX6" s="16">
        <v>3</v>
      </c>
      <c r="HY6" s="16">
        <v>4</v>
      </c>
      <c r="HZ6" s="16">
        <v>8</v>
      </c>
      <c r="IA6" s="16">
        <v>2</v>
      </c>
      <c r="IB6" s="16">
        <v>34</v>
      </c>
      <c r="IC6" s="16">
        <v>67</v>
      </c>
      <c r="ID6" s="16">
        <v>1</v>
      </c>
      <c r="IE6" s="16">
        <v>20</v>
      </c>
      <c r="IF6" s="16">
        <v>1</v>
      </c>
      <c r="IG6" s="16">
        <v>9</v>
      </c>
      <c r="IH6" s="16">
        <v>2</v>
      </c>
      <c r="II6" s="16">
        <v>0</v>
      </c>
      <c r="IJ6" s="16">
        <v>34</v>
      </c>
      <c r="IK6" s="16">
        <v>2</v>
      </c>
      <c r="IL6" s="16">
        <v>14</v>
      </c>
      <c r="IM6" s="16">
        <v>11</v>
      </c>
      <c r="IN6" s="16">
        <v>118</v>
      </c>
      <c r="IO6" s="16">
        <v>3</v>
      </c>
      <c r="IP6" s="16">
        <v>280</v>
      </c>
      <c r="IQ6" s="16">
        <v>9</v>
      </c>
      <c r="IR6" s="16">
        <v>83</v>
      </c>
      <c r="IS6" s="16">
        <v>69</v>
      </c>
      <c r="IT6" s="16">
        <v>45</v>
      </c>
      <c r="IU6" s="16">
        <v>14</v>
      </c>
      <c r="IV6" s="16">
        <v>11</v>
      </c>
      <c r="IW6" s="16">
        <v>3</v>
      </c>
      <c r="IX6" s="16">
        <v>1</v>
      </c>
      <c r="IY6" s="16">
        <v>2</v>
      </c>
      <c r="IZ6" s="16">
        <v>9</v>
      </c>
      <c r="JA6" s="16">
        <v>50</v>
      </c>
      <c r="JB6" s="16">
        <v>24</v>
      </c>
      <c r="JC6" s="16">
        <v>36</v>
      </c>
      <c r="JD6" s="16">
        <v>15</v>
      </c>
      <c r="JE6" s="16">
        <v>1</v>
      </c>
      <c r="JF6" s="16">
        <v>70</v>
      </c>
      <c r="JG6" s="16">
        <v>169373</v>
      </c>
      <c r="JH6" s="16">
        <v>1</v>
      </c>
      <c r="JI6" s="16">
        <v>84</v>
      </c>
      <c r="JJ6" s="16">
        <v>2</v>
      </c>
      <c r="JK6" s="16">
        <v>2</v>
      </c>
      <c r="JL6" s="16">
        <v>45</v>
      </c>
      <c r="JM6" s="16">
        <v>0</v>
      </c>
      <c r="JN6" s="16">
        <v>157</v>
      </c>
      <c r="JO6" s="16">
        <v>1</v>
      </c>
      <c r="JP6" s="16">
        <v>13</v>
      </c>
      <c r="JQ6" s="16">
        <v>5</v>
      </c>
      <c r="JR6" s="16">
        <v>138</v>
      </c>
      <c r="JS6" s="16">
        <v>75</v>
      </c>
      <c r="JT6" s="16">
        <v>0</v>
      </c>
      <c r="JU6" s="16">
        <v>0</v>
      </c>
      <c r="JV6" s="16">
        <v>4</v>
      </c>
      <c r="JW6" s="16">
        <v>4</v>
      </c>
      <c r="JX6" s="16">
        <v>7</v>
      </c>
      <c r="JY6" s="16">
        <v>4</v>
      </c>
      <c r="JZ6" s="16">
        <v>3</v>
      </c>
      <c r="KA6" s="16">
        <v>39</v>
      </c>
      <c r="KB6" s="16">
        <v>81</v>
      </c>
      <c r="KC6" s="16">
        <v>1</v>
      </c>
      <c r="KD6" s="16">
        <v>1</v>
      </c>
      <c r="KE6" s="16">
        <v>75</v>
      </c>
      <c r="KF6" s="16">
        <v>2</v>
      </c>
      <c r="KG6" s="16">
        <v>2</v>
      </c>
      <c r="KH6" s="16">
        <v>77</v>
      </c>
      <c r="KI6" s="16">
        <v>1</v>
      </c>
      <c r="KJ6" s="16">
        <v>2</v>
      </c>
      <c r="KK6" s="16">
        <v>622</v>
      </c>
      <c r="KL6" s="16">
        <v>177</v>
      </c>
      <c r="KM6" s="16">
        <v>3</v>
      </c>
      <c r="KN6" s="16">
        <v>1</v>
      </c>
      <c r="KO6" s="16">
        <v>2</v>
      </c>
      <c r="KP6" s="16">
        <v>0</v>
      </c>
      <c r="KQ6" s="16">
        <v>1</v>
      </c>
      <c r="KR6" s="16">
        <v>4</v>
      </c>
      <c r="KS6" s="16">
        <v>4</v>
      </c>
      <c r="KT6" s="16">
        <v>2</v>
      </c>
      <c r="KU6" s="16">
        <v>16</v>
      </c>
      <c r="KV6" s="16">
        <v>2</v>
      </c>
      <c r="KW6" s="16">
        <v>12</v>
      </c>
      <c r="KX6" s="16">
        <v>9</v>
      </c>
      <c r="KY6" s="16">
        <v>3</v>
      </c>
      <c r="KZ6" s="16">
        <v>3694604</v>
      </c>
      <c r="LA6" s="16">
        <v>573867</v>
      </c>
      <c r="LB6" s="16">
        <v>442531</v>
      </c>
      <c r="LC6" s="16">
        <v>511461</v>
      </c>
      <c r="LD6" s="16">
        <v>1364</v>
      </c>
      <c r="LE6" s="16">
        <v>11</v>
      </c>
      <c r="LF6" s="16">
        <v>1</v>
      </c>
      <c r="LG6" s="16">
        <v>2</v>
      </c>
      <c r="LH6" s="16">
        <v>29</v>
      </c>
      <c r="LI6" s="16">
        <v>139</v>
      </c>
      <c r="LJ6" s="16">
        <v>1</v>
      </c>
      <c r="LK6" s="16">
        <v>7</v>
      </c>
      <c r="LL6" s="16">
        <v>27</v>
      </c>
      <c r="LM6" s="16">
        <v>91</v>
      </c>
      <c r="LN6" s="16">
        <v>18</v>
      </c>
      <c r="LO6" s="16">
        <v>2</v>
      </c>
      <c r="LP6" s="16">
        <v>19</v>
      </c>
      <c r="LQ6" s="16">
        <v>1</v>
      </c>
      <c r="LR6" s="16">
        <v>17</v>
      </c>
      <c r="LS6" s="16">
        <v>26</v>
      </c>
      <c r="LT6" s="16">
        <v>9</v>
      </c>
      <c r="LU6" s="16">
        <v>5</v>
      </c>
      <c r="LV6" s="16">
        <v>1</v>
      </c>
      <c r="LW6" s="16">
        <v>4</v>
      </c>
      <c r="LX6" s="16">
        <v>5</v>
      </c>
      <c r="LY6" s="16">
        <v>0</v>
      </c>
      <c r="LZ6" s="16">
        <v>5</v>
      </c>
      <c r="MA6" s="16">
        <v>15</v>
      </c>
      <c r="MB6" s="16">
        <v>14</v>
      </c>
      <c r="MC6" s="16">
        <v>12</v>
      </c>
      <c r="MD6" s="16">
        <v>70</v>
      </c>
      <c r="ME6" s="16">
        <v>3</v>
      </c>
      <c r="MF6" s="16">
        <v>71</v>
      </c>
      <c r="MG6" s="16">
        <v>36</v>
      </c>
      <c r="MH6" s="16">
        <v>90</v>
      </c>
      <c r="MI6" s="16">
        <v>5</v>
      </c>
      <c r="MJ6" s="16">
        <v>9</v>
      </c>
      <c r="MK6" s="16">
        <v>39</v>
      </c>
      <c r="ML6" s="16">
        <v>4</v>
      </c>
      <c r="MM6" s="16">
        <v>35</v>
      </c>
      <c r="MN6" s="16">
        <v>12</v>
      </c>
      <c r="MO6" s="16">
        <v>7</v>
      </c>
      <c r="MP6" s="16">
        <v>26</v>
      </c>
      <c r="MQ6" s="16">
        <v>104</v>
      </c>
      <c r="MR6" s="16">
        <v>84748</v>
      </c>
      <c r="MS6" s="16">
        <v>284</v>
      </c>
      <c r="MT6" s="16">
        <v>12</v>
      </c>
      <c r="MU6" s="16">
        <v>186491</v>
      </c>
      <c r="MV6" s="16">
        <v>24</v>
      </c>
      <c r="MW6" s="16">
        <v>748</v>
      </c>
      <c r="MX6" s="16">
        <v>139</v>
      </c>
      <c r="MY6" s="16">
        <v>12</v>
      </c>
      <c r="MZ6" s="16">
        <v>261</v>
      </c>
      <c r="NA6" s="16">
        <v>25</v>
      </c>
      <c r="NB6" s="16">
        <v>11954</v>
      </c>
      <c r="NC6" s="16">
        <v>8</v>
      </c>
      <c r="ND6" s="16">
        <v>5</v>
      </c>
      <c r="NE6" s="16">
        <v>32</v>
      </c>
      <c r="NF6" s="16">
        <v>6</v>
      </c>
      <c r="NG6" s="16">
        <v>58</v>
      </c>
      <c r="NH6" s="16">
        <v>215</v>
      </c>
      <c r="NI6" s="16">
        <v>68</v>
      </c>
      <c r="NJ6" s="16">
        <v>313</v>
      </c>
      <c r="NK6" s="16">
        <v>5</v>
      </c>
      <c r="NL6" s="16">
        <v>142</v>
      </c>
      <c r="NM6" s="16">
        <v>5</v>
      </c>
      <c r="NN6" s="16">
        <v>6</v>
      </c>
      <c r="NO6" s="16">
        <v>0</v>
      </c>
      <c r="NP6" s="16">
        <v>9</v>
      </c>
      <c r="NQ6" s="16">
        <v>32</v>
      </c>
      <c r="NR6" s="17">
        <v>7738542</v>
      </c>
    </row>
    <row r="7" spans="1:382" ht="13.5" customHeight="1" x14ac:dyDescent="0.2">
      <c r="A7" s="2" t="s">
        <v>21</v>
      </c>
      <c r="B7" s="16">
        <v>54</v>
      </c>
      <c r="C7" s="16">
        <v>23</v>
      </c>
      <c r="D7" s="16">
        <v>14</v>
      </c>
      <c r="E7" s="16">
        <v>2</v>
      </c>
      <c r="F7" s="16">
        <v>80</v>
      </c>
      <c r="G7" s="16">
        <v>33</v>
      </c>
      <c r="H7" s="16">
        <v>9</v>
      </c>
      <c r="I7" s="16">
        <v>12</v>
      </c>
      <c r="J7" s="16">
        <v>3</v>
      </c>
      <c r="K7" s="16">
        <v>0</v>
      </c>
      <c r="L7" s="16">
        <v>2</v>
      </c>
      <c r="M7" s="16">
        <v>0</v>
      </c>
      <c r="N7" s="16">
        <v>0</v>
      </c>
      <c r="O7" s="16">
        <v>1</v>
      </c>
      <c r="P7" s="16">
        <v>65</v>
      </c>
      <c r="Q7" s="16">
        <v>63</v>
      </c>
      <c r="R7" s="16">
        <v>21</v>
      </c>
      <c r="S7" s="16">
        <v>20</v>
      </c>
      <c r="T7" s="16">
        <v>1</v>
      </c>
      <c r="U7" s="16">
        <v>5</v>
      </c>
      <c r="V7" s="16">
        <v>1</v>
      </c>
      <c r="W7" s="16">
        <v>4</v>
      </c>
      <c r="X7" s="16">
        <v>28</v>
      </c>
      <c r="Y7" s="16">
        <v>93</v>
      </c>
      <c r="Z7" s="16">
        <v>78</v>
      </c>
      <c r="AA7" s="16">
        <v>1</v>
      </c>
      <c r="AB7" s="16">
        <v>0</v>
      </c>
      <c r="AC7" s="16">
        <v>0</v>
      </c>
      <c r="AD7" s="16">
        <v>0</v>
      </c>
      <c r="AE7" s="16">
        <v>3</v>
      </c>
      <c r="AF7" s="16">
        <v>0</v>
      </c>
      <c r="AG7" s="16">
        <v>108</v>
      </c>
      <c r="AH7" s="16">
        <v>84</v>
      </c>
      <c r="AI7" s="16">
        <v>10</v>
      </c>
      <c r="AJ7" s="16">
        <v>29</v>
      </c>
      <c r="AK7" s="16">
        <v>14</v>
      </c>
      <c r="AL7" s="16">
        <v>84</v>
      </c>
      <c r="AM7" s="16">
        <v>7643</v>
      </c>
      <c r="AN7" s="16">
        <v>940</v>
      </c>
      <c r="AO7" s="16">
        <v>10</v>
      </c>
      <c r="AP7" s="16">
        <v>5</v>
      </c>
      <c r="AQ7" s="16">
        <v>18</v>
      </c>
      <c r="AR7" s="16">
        <v>0</v>
      </c>
      <c r="AS7" s="16">
        <v>39</v>
      </c>
      <c r="AT7" s="16">
        <v>12</v>
      </c>
      <c r="AU7" s="16">
        <v>13991</v>
      </c>
      <c r="AV7" s="16">
        <v>18</v>
      </c>
      <c r="AW7" s="16">
        <v>30073</v>
      </c>
      <c r="AX7" s="16">
        <v>2</v>
      </c>
      <c r="AY7" s="16">
        <v>818256</v>
      </c>
      <c r="AZ7" s="16">
        <v>47352</v>
      </c>
      <c r="BA7" s="16">
        <v>1552</v>
      </c>
      <c r="BB7" s="16">
        <v>8996</v>
      </c>
      <c r="BC7" s="16">
        <v>20</v>
      </c>
      <c r="BD7" s="16">
        <v>1</v>
      </c>
      <c r="BE7" s="16">
        <v>26</v>
      </c>
      <c r="BF7" s="16">
        <v>73</v>
      </c>
      <c r="BG7" s="16">
        <v>13712</v>
      </c>
      <c r="BH7" s="16">
        <v>125443</v>
      </c>
      <c r="BI7" s="16">
        <v>32</v>
      </c>
      <c r="BJ7" s="16">
        <v>8</v>
      </c>
      <c r="BK7" s="16">
        <v>5</v>
      </c>
      <c r="BL7" s="16">
        <v>49</v>
      </c>
      <c r="BM7" s="16">
        <v>4</v>
      </c>
      <c r="BN7" s="16">
        <v>43</v>
      </c>
      <c r="BO7" s="16">
        <v>30</v>
      </c>
      <c r="BP7" s="16">
        <v>21</v>
      </c>
      <c r="BQ7" s="16">
        <v>22</v>
      </c>
      <c r="BR7" s="16">
        <v>5</v>
      </c>
      <c r="BS7" s="16">
        <v>51</v>
      </c>
      <c r="BT7" s="16">
        <v>1</v>
      </c>
      <c r="BU7" s="16">
        <v>4</v>
      </c>
      <c r="BV7" s="16">
        <v>1</v>
      </c>
      <c r="BW7" s="16">
        <v>11</v>
      </c>
      <c r="BX7" s="16">
        <v>3</v>
      </c>
      <c r="BY7" s="16">
        <v>1</v>
      </c>
      <c r="BZ7" s="16">
        <v>2</v>
      </c>
      <c r="CA7" s="16">
        <v>5</v>
      </c>
      <c r="CB7" s="16">
        <v>3</v>
      </c>
      <c r="CC7" s="16">
        <v>65</v>
      </c>
      <c r="CD7" s="16">
        <v>12</v>
      </c>
      <c r="CE7" s="16">
        <v>9</v>
      </c>
      <c r="CF7" s="16">
        <v>29</v>
      </c>
      <c r="CG7" s="16">
        <v>7</v>
      </c>
      <c r="CH7" s="16">
        <v>5</v>
      </c>
      <c r="CI7" s="16">
        <v>6</v>
      </c>
      <c r="CJ7" s="16">
        <v>12</v>
      </c>
      <c r="CK7" s="16">
        <v>33</v>
      </c>
      <c r="CL7" s="16">
        <v>40</v>
      </c>
      <c r="CM7" s="16">
        <v>22</v>
      </c>
      <c r="CN7" s="16">
        <v>7</v>
      </c>
      <c r="CO7" s="16">
        <v>21</v>
      </c>
      <c r="CP7" s="16">
        <v>51</v>
      </c>
      <c r="CQ7" s="16">
        <v>213</v>
      </c>
      <c r="CR7" s="16">
        <v>25</v>
      </c>
      <c r="CS7" s="16">
        <v>17</v>
      </c>
      <c r="CT7" s="16">
        <v>7</v>
      </c>
      <c r="CU7" s="16">
        <v>16</v>
      </c>
      <c r="CV7" s="16">
        <v>20</v>
      </c>
      <c r="CW7" s="16">
        <v>77</v>
      </c>
      <c r="CX7" s="16">
        <v>92</v>
      </c>
      <c r="CY7" s="16">
        <v>5</v>
      </c>
      <c r="CZ7" s="16">
        <v>23</v>
      </c>
      <c r="DA7" s="16">
        <v>2</v>
      </c>
      <c r="DB7" s="16">
        <v>14</v>
      </c>
      <c r="DC7" s="16">
        <v>21</v>
      </c>
      <c r="DD7" s="16">
        <v>21</v>
      </c>
      <c r="DE7" s="16">
        <v>21</v>
      </c>
      <c r="DF7" s="16">
        <v>21</v>
      </c>
      <c r="DG7" s="16">
        <v>9</v>
      </c>
      <c r="DH7" s="16">
        <v>30</v>
      </c>
      <c r="DI7" s="16">
        <v>8</v>
      </c>
      <c r="DJ7" s="16">
        <v>251</v>
      </c>
      <c r="DK7" s="16">
        <v>13</v>
      </c>
      <c r="DL7" s="16">
        <v>36</v>
      </c>
      <c r="DM7" s="16">
        <v>13685</v>
      </c>
      <c r="DN7" s="16">
        <v>14</v>
      </c>
      <c r="DO7" s="16">
        <v>27</v>
      </c>
      <c r="DP7" s="16">
        <v>45</v>
      </c>
      <c r="DQ7" s="16">
        <v>8</v>
      </c>
      <c r="DR7" s="16">
        <v>22</v>
      </c>
      <c r="DS7" s="16">
        <v>1485</v>
      </c>
      <c r="DT7" s="16">
        <v>12</v>
      </c>
      <c r="DU7" s="16">
        <v>5</v>
      </c>
      <c r="DV7" s="16">
        <v>7</v>
      </c>
      <c r="DW7" s="16">
        <v>59</v>
      </c>
      <c r="DX7" s="16">
        <v>77</v>
      </c>
      <c r="DY7" s="16">
        <v>43</v>
      </c>
      <c r="DZ7" s="16">
        <v>136</v>
      </c>
      <c r="EA7" s="16">
        <v>8</v>
      </c>
      <c r="EB7" s="16">
        <v>6</v>
      </c>
      <c r="EC7" s="16">
        <v>38</v>
      </c>
      <c r="ED7" s="16">
        <v>7</v>
      </c>
      <c r="EE7" s="16">
        <v>1</v>
      </c>
      <c r="EF7" s="16">
        <v>2</v>
      </c>
      <c r="EG7" s="16">
        <v>12</v>
      </c>
      <c r="EH7" s="16">
        <v>2</v>
      </c>
      <c r="EI7" s="16">
        <v>13</v>
      </c>
      <c r="EJ7" s="16">
        <v>5</v>
      </c>
      <c r="EK7" s="16">
        <v>9</v>
      </c>
      <c r="EL7" s="16">
        <v>3</v>
      </c>
      <c r="EM7" s="16">
        <v>9</v>
      </c>
      <c r="EN7" s="16">
        <v>78</v>
      </c>
      <c r="EO7" s="16">
        <v>24</v>
      </c>
      <c r="EP7" s="16">
        <v>7</v>
      </c>
      <c r="EQ7" s="16">
        <v>24</v>
      </c>
      <c r="ER7" s="16">
        <v>3</v>
      </c>
      <c r="ES7" s="16">
        <v>3</v>
      </c>
      <c r="ET7" s="16">
        <v>36</v>
      </c>
      <c r="EU7" s="16">
        <v>57</v>
      </c>
      <c r="EV7" s="16">
        <v>6</v>
      </c>
      <c r="EW7" s="16">
        <v>16</v>
      </c>
      <c r="EX7" s="16">
        <v>127</v>
      </c>
      <c r="EY7" s="16">
        <v>18</v>
      </c>
      <c r="EZ7" s="16">
        <v>1</v>
      </c>
      <c r="FA7" s="16">
        <v>5</v>
      </c>
      <c r="FB7" s="16">
        <v>16</v>
      </c>
      <c r="FC7" s="16">
        <v>1</v>
      </c>
      <c r="FD7" s="16">
        <v>23</v>
      </c>
      <c r="FE7" s="16">
        <v>9</v>
      </c>
      <c r="FF7" s="16">
        <v>17</v>
      </c>
      <c r="FG7" s="16">
        <v>17</v>
      </c>
      <c r="FH7" s="16">
        <v>5</v>
      </c>
      <c r="FI7" s="16">
        <v>23</v>
      </c>
      <c r="FJ7" s="16">
        <v>5</v>
      </c>
      <c r="FK7" s="16">
        <v>11</v>
      </c>
      <c r="FL7" s="16">
        <v>16</v>
      </c>
      <c r="FM7" s="16">
        <v>16</v>
      </c>
      <c r="FN7" s="16">
        <v>56</v>
      </c>
      <c r="FO7" s="16">
        <v>29</v>
      </c>
      <c r="FP7" s="16">
        <v>24</v>
      </c>
      <c r="FQ7" s="16">
        <v>37</v>
      </c>
      <c r="FR7" s="16">
        <v>115</v>
      </c>
      <c r="FS7" s="16">
        <v>25</v>
      </c>
      <c r="FT7" s="16">
        <v>31</v>
      </c>
      <c r="FU7" s="16">
        <v>52</v>
      </c>
      <c r="FV7" s="16">
        <v>26</v>
      </c>
      <c r="FW7" s="16">
        <v>71</v>
      </c>
      <c r="FX7" s="16">
        <v>126</v>
      </c>
      <c r="FY7" s="16">
        <v>11</v>
      </c>
      <c r="FZ7" s="16">
        <v>28</v>
      </c>
      <c r="GA7" s="16">
        <v>5</v>
      </c>
      <c r="GB7" s="16">
        <v>646</v>
      </c>
      <c r="GC7" s="16">
        <v>10</v>
      </c>
      <c r="GD7" s="16">
        <v>142</v>
      </c>
      <c r="GE7" s="16">
        <v>3</v>
      </c>
      <c r="GF7" s="16">
        <v>131</v>
      </c>
      <c r="GG7" s="16">
        <v>0</v>
      </c>
      <c r="GH7" s="16">
        <v>12</v>
      </c>
      <c r="GI7" s="16">
        <v>4</v>
      </c>
      <c r="GJ7" s="16">
        <v>17</v>
      </c>
      <c r="GK7" s="16">
        <v>4</v>
      </c>
      <c r="GL7" s="16">
        <v>28</v>
      </c>
      <c r="GM7" s="16">
        <v>529</v>
      </c>
      <c r="GN7" s="16">
        <v>5</v>
      </c>
      <c r="GO7" s="16">
        <v>125</v>
      </c>
      <c r="GP7" s="16">
        <v>4</v>
      </c>
      <c r="GQ7" s="16">
        <v>6</v>
      </c>
      <c r="GR7" s="16">
        <v>6</v>
      </c>
      <c r="GS7" s="16">
        <v>4</v>
      </c>
      <c r="GT7" s="16">
        <v>15</v>
      </c>
      <c r="GU7" s="16">
        <v>15</v>
      </c>
      <c r="GV7" s="16">
        <v>13</v>
      </c>
      <c r="GW7" s="16">
        <v>12</v>
      </c>
      <c r="GX7" s="16">
        <v>3</v>
      </c>
      <c r="GY7" s="16">
        <v>1</v>
      </c>
      <c r="GZ7" s="16">
        <v>12</v>
      </c>
      <c r="HA7" s="16">
        <v>8</v>
      </c>
      <c r="HB7" s="16">
        <v>8</v>
      </c>
      <c r="HC7" s="16">
        <v>40</v>
      </c>
      <c r="HD7" s="16">
        <v>44</v>
      </c>
      <c r="HE7" s="16">
        <v>3</v>
      </c>
      <c r="HF7" s="16">
        <v>27</v>
      </c>
      <c r="HG7" s="16">
        <v>15</v>
      </c>
      <c r="HH7" s="16">
        <v>9</v>
      </c>
      <c r="HI7" s="16">
        <v>11</v>
      </c>
      <c r="HJ7" s="16">
        <v>11</v>
      </c>
      <c r="HK7" s="16">
        <v>7</v>
      </c>
      <c r="HL7" s="16">
        <v>44</v>
      </c>
      <c r="HM7" s="16">
        <v>20</v>
      </c>
      <c r="HN7" s="16">
        <v>32</v>
      </c>
      <c r="HO7" s="16">
        <v>31</v>
      </c>
      <c r="HP7" s="16">
        <v>24</v>
      </c>
      <c r="HQ7" s="16">
        <v>43</v>
      </c>
      <c r="HR7" s="16">
        <v>34</v>
      </c>
      <c r="HS7" s="16">
        <v>38</v>
      </c>
      <c r="HT7" s="16">
        <v>3</v>
      </c>
      <c r="HU7" s="16">
        <v>29</v>
      </c>
      <c r="HV7" s="16">
        <v>10</v>
      </c>
      <c r="HW7" s="16">
        <v>21</v>
      </c>
      <c r="HX7" s="16">
        <v>55</v>
      </c>
      <c r="HY7" s="16">
        <v>51</v>
      </c>
      <c r="HZ7" s="16">
        <v>113</v>
      </c>
      <c r="IA7" s="16">
        <v>32</v>
      </c>
      <c r="IB7" s="16">
        <v>3</v>
      </c>
      <c r="IC7" s="16">
        <v>6</v>
      </c>
      <c r="ID7" s="16">
        <v>11</v>
      </c>
      <c r="IE7" s="16">
        <v>1</v>
      </c>
      <c r="IF7" s="16">
        <v>12</v>
      </c>
      <c r="IG7" s="16">
        <v>136</v>
      </c>
      <c r="IH7" s="16">
        <v>26</v>
      </c>
      <c r="II7" s="16">
        <v>0</v>
      </c>
      <c r="IJ7" s="16">
        <v>2</v>
      </c>
      <c r="IK7" s="16">
        <v>15</v>
      </c>
      <c r="IL7" s="16">
        <v>2</v>
      </c>
      <c r="IM7" s="16">
        <v>6</v>
      </c>
      <c r="IN7" s="16">
        <v>4</v>
      </c>
      <c r="IO7" s="16">
        <v>53</v>
      </c>
      <c r="IP7" s="16">
        <v>2</v>
      </c>
      <c r="IQ7" s="16">
        <v>5</v>
      </c>
      <c r="IR7" s="16">
        <v>2</v>
      </c>
      <c r="IS7" s="16">
        <v>4</v>
      </c>
      <c r="IT7" s="16">
        <v>2</v>
      </c>
      <c r="IU7" s="16">
        <v>9</v>
      </c>
      <c r="IV7" s="16">
        <v>2</v>
      </c>
      <c r="IW7" s="16">
        <v>27</v>
      </c>
      <c r="IX7" s="16">
        <v>9</v>
      </c>
      <c r="IY7" s="16">
        <v>36</v>
      </c>
      <c r="IZ7" s="16">
        <v>1</v>
      </c>
      <c r="JA7" s="16">
        <v>6</v>
      </c>
      <c r="JB7" s="16">
        <v>2</v>
      </c>
      <c r="JC7" s="16">
        <v>3</v>
      </c>
      <c r="JD7" s="16">
        <v>8</v>
      </c>
      <c r="JE7" s="16">
        <v>21</v>
      </c>
      <c r="JF7" s="16">
        <v>10</v>
      </c>
      <c r="JG7" s="16">
        <v>198012</v>
      </c>
      <c r="JH7" s="16">
        <v>6</v>
      </c>
      <c r="JI7" s="16">
        <v>3</v>
      </c>
      <c r="JJ7" s="16">
        <v>23</v>
      </c>
      <c r="JK7" s="16">
        <v>22</v>
      </c>
      <c r="JL7" s="16">
        <v>7</v>
      </c>
      <c r="JM7" s="16">
        <v>0</v>
      </c>
      <c r="JN7" s="16">
        <v>14</v>
      </c>
      <c r="JO7" s="16">
        <v>22</v>
      </c>
      <c r="JP7" s="16">
        <v>169</v>
      </c>
      <c r="JQ7" s="16">
        <v>57</v>
      </c>
      <c r="JR7" s="16">
        <v>1908</v>
      </c>
      <c r="JS7" s="16">
        <v>1015</v>
      </c>
      <c r="JT7" s="16">
        <v>0</v>
      </c>
      <c r="JU7" s="16">
        <v>0</v>
      </c>
      <c r="JV7" s="16">
        <v>40</v>
      </c>
      <c r="JW7" s="16">
        <v>64</v>
      </c>
      <c r="JX7" s="16">
        <v>91</v>
      </c>
      <c r="JY7" s="16">
        <v>65</v>
      </c>
      <c r="JZ7" s="16">
        <v>52</v>
      </c>
      <c r="KA7" s="16">
        <v>3</v>
      </c>
      <c r="KB7" s="16">
        <v>1</v>
      </c>
      <c r="KC7" s="16">
        <v>13</v>
      </c>
      <c r="KD7" s="16">
        <v>22</v>
      </c>
      <c r="KE7" s="16">
        <v>4</v>
      </c>
      <c r="KF7" s="16">
        <v>29</v>
      </c>
      <c r="KG7" s="16">
        <v>30</v>
      </c>
      <c r="KH7" s="16">
        <v>2</v>
      </c>
      <c r="KI7" s="16">
        <v>10</v>
      </c>
      <c r="KJ7" s="16">
        <v>34</v>
      </c>
      <c r="KK7" s="16">
        <v>13566</v>
      </c>
      <c r="KL7" s="16">
        <v>3</v>
      </c>
      <c r="KM7" s="16">
        <v>38</v>
      </c>
      <c r="KN7" s="16">
        <v>9</v>
      </c>
      <c r="KO7" s="16">
        <v>23</v>
      </c>
      <c r="KP7" s="16">
        <v>2</v>
      </c>
      <c r="KQ7" s="16">
        <v>11</v>
      </c>
      <c r="KR7" s="16">
        <v>56</v>
      </c>
      <c r="KS7" s="16">
        <v>49</v>
      </c>
      <c r="KT7" s="16">
        <v>25</v>
      </c>
      <c r="KU7" s="16">
        <v>215</v>
      </c>
      <c r="KV7" s="16">
        <v>18</v>
      </c>
      <c r="KW7" s="16">
        <v>183</v>
      </c>
      <c r="KX7" s="16">
        <v>1</v>
      </c>
      <c r="KY7" s="16">
        <v>52</v>
      </c>
      <c r="KZ7" s="16">
        <v>1035818</v>
      </c>
      <c r="LA7" s="16">
        <v>64734</v>
      </c>
      <c r="LB7" s="16">
        <v>601451</v>
      </c>
      <c r="LC7" s="16">
        <v>46774</v>
      </c>
      <c r="LD7" s="16">
        <v>23562</v>
      </c>
      <c r="LE7" s="16">
        <v>150</v>
      </c>
      <c r="LF7" s="16">
        <v>19</v>
      </c>
      <c r="LG7" s="16">
        <v>12</v>
      </c>
      <c r="LH7" s="16">
        <v>373</v>
      </c>
      <c r="LI7" s="16">
        <v>81</v>
      </c>
      <c r="LJ7" s="16">
        <v>16</v>
      </c>
      <c r="LK7" s="16">
        <v>100</v>
      </c>
      <c r="LL7" s="16">
        <v>362</v>
      </c>
      <c r="LM7" s="16">
        <v>1219</v>
      </c>
      <c r="LN7" s="16">
        <v>259</v>
      </c>
      <c r="LO7" s="16">
        <v>30</v>
      </c>
      <c r="LP7" s="16">
        <v>82</v>
      </c>
      <c r="LQ7" s="16">
        <v>12</v>
      </c>
      <c r="LR7" s="16">
        <v>241</v>
      </c>
      <c r="LS7" s="16">
        <v>359</v>
      </c>
      <c r="LT7" s="16">
        <v>112</v>
      </c>
      <c r="LU7" s="16">
        <v>60</v>
      </c>
      <c r="LV7" s="16">
        <v>8</v>
      </c>
      <c r="LW7" s="16">
        <v>47</v>
      </c>
      <c r="LX7" s="16">
        <v>72</v>
      </c>
      <c r="LY7" s="16">
        <v>0</v>
      </c>
      <c r="LZ7" s="16">
        <v>168</v>
      </c>
      <c r="MA7" s="16">
        <v>1275</v>
      </c>
      <c r="MB7" s="16">
        <v>201</v>
      </c>
      <c r="MC7" s="16">
        <v>733</v>
      </c>
      <c r="MD7" s="16">
        <v>8</v>
      </c>
      <c r="ME7" s="16">
        <v>46</v>
      </c>
      <c r="MF7" s="16">
        <v>959</v>
      </c>
      <c r="MG7" s="16">
        <v>496</v>
      </c>
      <c r="MH7" s="16">
        <v>1212</v>
      </c>
      <c r="MI7" s="16">
        <v>74</v>
      </c>
      <c r="MJ7" s="16">
        <v>120</v>
      </c>
      <c r="MK7" s="16">
        <v>510</v>
      </c>
      <c r="ML7" s="16">
        <v>54</v>
      </c>
      <c r="MM7" s="16">
        <v>510</v>
      </c>
      <c r="MN7" s="16">
        <v>189</v>
      </c>
      <c r="MO7" s="16">
        <v>87</v>
      </c>
      <c r="MP7" s="16">
        <v>359</v>
      </c>
      <c r="MQ7" s="16">
        <v>1406</v>
      </c>
      <c r="MR7" s="16">
        <v>6331</v>
      </c>
      <c r="MS7" s="16">
        <v>4132</v>
      </c>
      <c r="MT7" s="16">
        <v>173</v>
      </c>
      <c r="MU7" s="16">
        <v>120116</v>
      </c>
      <c r="MV7" s="16">
        <v>313</v>
      </c>
      <c r="MW7" s="16">
        <v>8048</v>
      </c>
      <c r="MX7" s="16">
        <v>46</v>
      </c>
      <c r="MY7" s="16">
        <v>48</v>
      </c>
      <c r="MZ7" s="16">
        <v>3891</v>
      </c>
      <c r="NA7" s="16">
        <v>220</v>
      </c>
      <c r="NB7" s="16">
        <v>32485</v>
      </c>
      <c r="NC7" s="16">
        <v>117</v>
      </c>
      <c r="ND7" s="16">
        <v>71</v>
      </c>
      <c r="NE7" s="16">
        <v>2322</v>
      </c>
      <c r="NF7" s="16">
        <v>88</v>
      </c>
      <c r="NG7" s="16">
        <v>994</v>
      </c>
      <c r="NH7" s="16">
        <v>3803</v>
      </c>
      <c r="NI7" s="16">
        <v>929</v>
      </c>
      <c r="NJ7" s="16">
        <v>4219</v>
      </c>
      <c r="NK7" s="16">
        <v>75</v>
      </c>
      <c r="NL7" s="16">
        <v>4</v>
      </c>
      <c r="NM7" s="16">
        <v>95</v>
      </c>
      <c r="NN7" s="16">
        <v>83</v>
      </c>
      <c r="NO7" s="16">
        <v>0</v>
      </c>
      <c r="NP7" s="16">
        <v>127</v>
      </c>
      <c r="NQ7" s="16">
        <v>248</v>
      </c>
      <c r="NR7" s="17">
        <v>3279872</v>
      </c>
    </row>
    <row r="8" spans="1:382" ht="13.5" customHeight="1" x14ac:dyDescent="0.2">
      <c r="A8" s="2" t="s">
        <v>23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40538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78</v>
      </c>
      <c r="Y8" s="16">
        <v>387</v>
      </c>
      <c r="Z8" s="16">
        <v>11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2</v>
      </c>
      <c r="AG8" s="16">
        <v>945</v>
      </c>
      <c r="AH8" s="16">
        <v>333</v>
      </c>
      <c r="AI8" s="16">
        <v>230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3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166</v>
      </c>
      <c r="AX8" s="16">
        <v>0</v>
      </c>
      <c r="AY8" s="16">
        <v>74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35</v>
      </c>
      <c r="BK8" s="16">
        <v>27</v>
      </c>
      <c r="BL8" s="16">
        <v>307</v>
      </c>
      <c r="BM8" s="16">
        <v>93</v>
      </c>
      <c r="BN8" s="16">
        <v>87</v>
      </c>
      <c r="BO8" s="16">
        <v>257</v>
      </c>
      <c r="BP8" s="16">
        <v>65</v>
      </c>
      <c r="BQ8" s="16">
        <v>16</v>
      </c>
      <c r="BR8" s="16">
        <v>9</v>
      </c>
      <c r="BS8" s="16">
        <v>969</v>
      </c>
      <c r="BT8" s="16">
        <v>21</v>
      </c>
      <c r="BU8" s="16">
        <v>19</v>
      </c>
      <c r="BV8" s="16">
        <v>11</v>
      </c>
      <c r="BW8" s="16">
        <v>14</v>
      </c>
      <c r="BX8" s="16">
        <v>7</v>
      </c>
      <c r="BY8" s="16">
        <v>0</v>
      </c>
      <c r="BZ8" s="16">
        <v>130</v>
      </c>
      <c r="CA8" s="16">
        <v>103</v>
      </c>
      <c r="CB8" s="16">
        <v>16</v>
      </c>
      <c r="CC8" s="16">
        <v>235</v>
      </c>
      <c r="CD8" s="16">
        <v>112</v>
      </c>
      <c r="CE8" s="16">
        <v>80</v>
      </c>
      <c r="CF8" s="16">
        <v>196</v>
      </c>
      <c r="CG8" s="16">
        <v>89</v>
      </c>
      <c r="CH8" s="16">
        <v>39</v>
      </c>
      <c r="CI8" s="16">
        <v>2</v>
      </c>
      <c r="CJ8" s="16">
        <v>138</v>
      </c>
      <c r="CK8" s="16">
        <v>285</v>
      </c>
      <c r="CL8" s="16">
        <v>61</v>
      </c>
      <c r="CM8" s="16">
        <v>186</v>
      </c>
      <c r="CN8" s="16">
        <v>14</v>
      </c>
      <c r="CO8" s="16">
        <v>205</v>
      </c>
      <c r="CP8" s="16">
        <v>113</v>
      </c>
      <c r="CQ8" s="16">
        <v>863</v>
      </c>
      <c r="CR8" s="16">
        <v>9</v>
      </c>
      <c r="CS8" s="16">
        <v>132</v>
      </c>
      <c r="CT8" s="16">
        <v>434</v>
      </c>
      <c r="CU8" s="16">
        <v>253</v>
      </c>
      <c r="CV8" s="16">
        <v>231</v>
      </c>
      <c r="CW8" s="16">
        <v>787</v>
      </c>
      <c r="CX8" s="16">
        <v>436</v>
      </c>
      <c r="CY8" s="16">
        <v>76</v>
      </c>
      <c r="CZ8" s="16">
        <v>91</v>
      </c>
      <c r="DA8" s="16">
        <v>12</v>
      </c>
      <c r="DB8" s="16">
        <v>665</v>
      </c>
      <c r="DC8" s="16">
        <v>44</v>
      </c>
      <c r="DD8" s="16">
        <v>638</v>
      </c>
      <c r="DE8" s="16">
        <v>127</v>
      </c>
      <c r="DF8" s="16">
        <v>147</v>
      </c>
      <c r="DG8" s="16">
        <v>88</v>
      </c>
      <c r="DH8" s="16">
        <v>484</v>
      </c>
      <c r="DI8" s="16">
        <v>68</v>
      </c>
      <c r="DJ8" s="16">
        <v>902</v>
      </c>
      <c r="DK8" s="16">
        <v>48</v>
      </c>
      <c r="DL8" s="16">
        <v>295</v>
      </c>
      <c r="DM8" s="16">
        <v>1623</v>
      </c>
      <c r="DN8" s="16">
        <v>406</v>
      </c>
      <c r="DO8" s="16">
        <v>207</v>
      </c>
      <c r="DP8" s="16">
        <v>595</v>
      </c>
      <c r="DQ8" s="16">
        <v>27</v>
      </c>
      <c r="DR8" s="16">
        <v>73</v>
      </c>
      <c r="DS8" s="16">
        <v>855</v>
      </c>
      <c r="DT8" s="16">
        <v>86</v>
      </c>
      <c r="DU8" s="16">
        <v>104</v>
      </c>
      <c r="DV8" s="16">
        <v>41</v>
      </c>
      <c r="DW8" s="16">
        <v>571</v>
      </c>
      <c r="DX8" s="16">
        <v>269</v>
      </c>
      <c r="DY8" s="16">
        <v>914</v>
      </c>
      <c r="DZ8" s="16">
        <v>762</v>
      </c>
      <c r="EA8" s="16">
        <v>370</v>
      </c>
      <c r="EB8" s="16">
        <v>27</v>
      </c>
      <c r="EC8" s="16">
        <v>48</v>
      </c>
      <c r="ED8" s="16">
        <v>47</v>
      </c>
      <c r="EE8" s="16">
        <v>4</v>
      </c>
      <c r="EF8" s="16">
        <v>3</v>
      </c>
      <c r="EG8" s="16">
        <v>70</v>
      </c>
      <c r="EH8" s="16">
        <v>25</v>
      </c>
      <c r="EI8" s="16">
        <v>58</v>
      </c>
      <c r="EJ8" s="16">
        <v>74</v>
      </c>
      <c r="EK8" s="16">
        <v>7</v>
      </c>
      <c r="EL8" s="16">
        <v>24</v>
      </c>
      <c r="EM8" s="16">
        <v>20</v>
      </c>
      <c r="EN8" s="16">
        <v>622</v>
      </c>
      <c r="EO8" s="16">
        <v>261</v>
      </c>
      <c r="EP8" s="16">
        <v>63</v>
      </c>
      <c r="EQ8" s="16">
        <v>156</v>
      </c>
      <c r="ER8" s="16">
        <v>21</v>
      </c>
      <c r="ES8" s="16">
        <v>70</v>
      </c>
      <c r="ET8" s="16">
        <v>487</v>
      </c>
      <c r="EU8" s="16">
        <v>12</v>
      </c>
      <c r="EV8" s="16">
        <v>10</v>
      </c>
      <c r="EW8" s="16">
        <v>3</v>
      </c>
      <c r="EX8" s="16">
        <v>1561</v>
      </c>
      <c r="EY8" s="16">
        <v>122</v>
      </c>
      <c r="EZ8" s="16">
        <v>6</v>
      </c>
      <c r="FA8" s="16">
        <v>13</v>
      </c>
      <c r="FB8" s="16">
        <v>0</v>
      </c>
      <c r="FC8" s="16">
        <v>29</v>
      </c>
      <c r="FD8" s="16">
        <v>294</v>
      </c>
      <c r="FE8" s="16">
        <v>36</v>
      </c>
      <c r="FF8" s="16">
        <v>90</v>
      </c>
      <c r="FG8" s="16">
        <v>119</v>
      </c>
      <c r="FH8" s="16">
        <v>71</v>
      </c>
      <c r="FI8" s="16">
        <v>50</v>
      </c>
      <c r="FJ8" s="16">
        <v>52</v>
      </c>
      <c r="FK8" s="16">
        <v>114</v>
      </c>
      <c r="FL8" s="16">
        <v>67</v>
      </c>
      <c r="FM8" s="16">
        <v>131</v>
      </c>
      <c r="FN8" s="16">
        <v>406</v>
      </c>
      <c r="FO8" s="16">
        <v>317</v>
      </c>
      <c r="FP8" s="16">
        <v>153</v>
      </c>
      <c r="FQ8" s="16">
        <v>442</v>
      </c>
      <c r="FR8" s="16">
        <v>95</v>
      </c>
      <c r="FS8" s="16">
        <v>127</v>
      </c>
      <c r="FT8" s="16">
        <v>205</v>
      </c>
      <c r="FU8" s="16">
        <v>227</v>
      </c>
      <c r="FV8" s="16">
        <v>250</v>
      </c>
      <c r="FW8" s="16">
        <v>214</v>
      </c>
      <c r="FX8" s="16">
        <v>491</v>
      </c>
      <c r="FY8" s="16">
        <v>66</v>
      </c>
      <c r="FZ8" s="16">
        <v>164</v>
      </c>
      <c r="GA8" s="16">
        <v>43</v>
      </c>
      <c r="GB8" s="16">
        <v>733</v>
      </c>
      <c r="GC8" s="16">
        <v>96</v>
      </c>
      <c r="GD8" s="16">
        <v>224</v>
      </c>
      <c r="GE8" s="16">
        <v>21</v>
      </c>
      <c r="GF8" s="16">
        <v>677</v>
      </c>
      <c r="GG8" s="16">
        <v>1</v>
      </c>
      <c r="GH8" s="16">
        <v>145</v>
      </c>
      <c r="GI8" s="16">
        <v>13</v>
      </c>
      <c r="GJ8" s="16">
        <v>134</v>
      </c>
      <c r="GK8" s="16">
        <v>15</v>
      </c>
      <c r="GL8" s="16">
        <v>104</v>
      </c>
      <c r="GM8" s="16">
        <v>4</v>
      </c>
      <c r="GN8" s="16">
        <v>60</v>
      </c>
      <c r="GO8" s="16">
        <v>152</v>
      </c>
      <c r="GP8" s="16">
        <v>14</v>
      </c>
      <c r="GQ8" s="16">
        <v>0</v>
      </c>
      <c r="GR8" s="16">
        <v>29</v>
      </c>
      <c r="GS8" s="16">
        <v>7</v>
      </c>
      <c r="GT8" s="16">
        <v>3</v>
      </c>
      <c r="GU8" s="16">
        <v>58</v>
      </c>
      <c r="GV8" s="16">
        <v>85</v>
      </c>
      <c r="GW8" s="16">
        <v>77</v>
      </c>
      <c r="GX8" s="16">
        <v>7</v>
      </c>
      <c r="GY8" s="16">
        <v>1</v>
      </c>
      <c r="GZ8" s="16">
        <v>35</v>
      </c>
      <c r="HA8" s="16">
        <v>39</v>
      </c>
      <c r="HB8" s="16">
        <v>63</v>
      </c>
      <c r="HC8" s="16">
        <v>26</v>
      </c>
      <c r="HD8" s="16">
        <v>126</v>
      </c>
      <c r="HE8" s="16">
        <v>18</v>
      </c>
      <c r="HF8" s="16">
        <v>65</v>
      </c>
      <c r="HG8" s="16">
        <v>55</v>
      </c>
      <c r="HH8" s="16">
        <v>66</v>
      </c>
      <c r="HI8" s="16">
        <v>66</v>
      </c>
      <c r="HJ8" s="16">
        <v>9</v>
      </c>
      <c r="HK8" s="16">
        <v>69</v>
      </c>
      <c r="HL8" s="16">
        <v>164</v>
      </c>
      <c r="HM8" s="16">
        <v>173</v>
      </c>
      <c r="HN8" s="16">
        <v>959</v>
      </c>
      <c r="HO8" s="16">
        <v>84</v>
      </c>
      <c r="HP8" s="16">
        <v>5</v>
      </c>
      <c r="HQ8" s="16">
        <v>276</v>
      </c>
      <c r="HR8" s="16">
        <v>243</v>
      </c>
      <c r="HS8" s="16">
        <v>175</v>
      </c>
      <c r="HT8" s="16">
        <v>7</v>
      </c>
      <c r="HU8" s="16">
        <v>173</v>
      </c>
      <c r="HV8" s="16">
        <v>75</v>
      </c>
      <c r="HW8" s="16">
        <v>87</v>
      </c>
      <c r="HX8" s="16">
        <v>213</v>
      </c>
      <c r="HY8" s="16">
        <v>344</v>
      </c>
      <c r="HZ8" s="16">
        <v>519</v>
      </c>
      <c r="IA8" s="16">
        <v>117</v>
      </c>
      <c r="IB8" s="16">
        <v>25</v>
      </c>
      <c r="IC8" s="16">
        <v>13</v>
      </c>
      <c r="ID8" s="16">
        <v>12</v>
      </c>
      <c r="IE8" s="16">
        <v>6</v>
      </c>
      <c r="IF8" s="16">
        <v>15</v>
      </c>
      <c r="IG8" s="16">
        <v>284</v>
      </c>
      <c r="IH8" s="16">
        <v>217</v>
      </c>
      <c r="II8" s="16">
        <v>0</v>
      </c>
      <c r="IJ8" s="16">
        <v>22</v>
      </c>
      <c r="IK8" s="16">
        <v>15</v>
      </c>
      <c r="IL8" s="16">
        <v>17</v>
      </c>
      <c r="IM8" s="16">
        <v>3</v>
      </c>
      <c r="IN8" s="16">
        <v>31</v>
      </c>
      <c r="IO8" s="16">
        <v>349</v>
      </c>
      <c r="IP8" s="16">
        <v>4</v>
      </c>
      <c r="IQ8" s="16">
        <v>1</v>
      </c>
      <c r="IR8" s="16">
        <v>2</v>
      </c>
      <c r="IS8" s="16">
        <v>6</v>
      </c>
      <c r="IT8" s="16">
        <v>14</v>
      </c>
      <c r="IU8" s="16">
        <v>5</v>
      </c>
      <c r="IV8" s="16">
        <v>47</v>
      </c>
      <c r="IW8" s="16">
        <v>171</v>
      </c>
      <c r="IX8" s="16">
        <v>42</v>
      </c>
      <c r="IY8" s="16">
        <v>15</v>
      </c>
      <c r="IZ8" s="16">
        <v>3</v>
      </c>
      <c r="JA8" s="16">
        <v>38</v>
      </c>
      <c r="JB8" s="16">
        <v>4</v>
      </c>
      <c r="JC8" s="16">
        <v>1</v>
      </c>
      <c r="JD8" s="16">
        <v>9</v>
      </c>
      <c r="JE8" s="16">
        <v>475</v>
      </c>
      <c r="JF8" s="16">
        <v>82</v>
      </c>
      <c r="JG8" s="16">
        <v>511</v>
      </c>
      <c r="JH8" s="16">
        <v>66</v>
      </c>
      <c r="JI8" s="16">
        <v>6</v>
      </c>
      <c r="JJ8" s="16">
        <v>522</v>
      </c>
      <c r="JK8" s="16">
        <v>86</v>
      </c>
      <c r="JL8" s="16">
        <v>139</v>
      </c>
      <c r="JM8" s="16">
        <v>0</v>
      </c>
      <c r="JN8" s="16">
        <v>287</v>
      </c>
      <c r="JO8" s="16">
        <v>72</v>
      </c>
      <c r="JP8" s="16">
        <v>831</v>
      </c>
      <c r="JQ8" s="16">
        <v>202</v>
      </c>
      <c r="JR8" s="16">
        <v>2498</v>
      </c>
      <c r="JS8" s="16">
        <v>453</v>
      </c>
      <c r="JT8" s="16">
        <v>0</v>
      </c>
      <c r="JU8" s="16">
        <v>736</v>
      </c>
      <c r="JV8" s="16">
        <v>148</v>
      </c>
      <c r="JW8" s="16">
        <v>19224</v>
      </c>
      <c r="JX8" s="16">
        <v>12553</v>
      </c>
      <c r="JY8" s="16">
        <v>14251</v>
      </c>
      <c r="JZ8" s="16">
        <v>305</v>
      </c>
      <c r="KA8" s="16">
        <v>372</v>
      </c>
      <c r="KB8" s="16">
        <v>477</v>
      </c>
      <c r="KC8" s="16">
        <v>529</v>
      </c>
      <c r="KD8" s="16">
        <v>402</v>
      </c>
      <c r="KE8" s="16">
        <v>729</v>
      </c>
      <c r="KF8" s="16">
        <v>1772</v>
      </c>
      <c r="KG8" s="16">
        <v>1237</v>
      </c>
      <c r="KH8" s="16">
        <v>1057</v>
      </c>
      <c r="KI8" s="16">
        <v>7660</v>
      </c>
      <c r="KJ8" s="16">
        <v>6623</v>
      </c>
      <c r="KK8" s="16">
        <v>41126</v>
      </c>
      <c r="KL8" s="16">
        <v>15</v>
      </c>
      <c r="KM8" s="16">
        <v>82</v>
      </c>
      <c r="KN8" s="16">
        <v>11</v>
      </c>
      <c r="KO8" s="16">
        <v>207</v>
      </c>
      <c r="KP8" s="16">
        <v>8</v>
      </c>
      <c r="KQ8" s="16">
        <v>19</v>
      </c>
      <c r="KR8" s="16">
        <v>1109</v>
      </c>
      <c r="KS8" s="16">
        <v>409</v>
      </c>
      <c r="KT8" s="16">
        <v>140</v>
      </c>
      <c r="KU8" s="16">
        <v>1691</v>
      </c>
      <c r="KV8" s="16">
        <v>1103</v>
      </c>
      <c r="KW8" s="16">
        <v>2713</v>
      </c>
      <c r="KX8" s="16">
        <v>2</v>
      </c>
      <c r="KY8" s="16">
        <v>673</v>
      </c>
      <c r="KZ8" s="16">
        <v>67075</v>
      </c>
      <c r="LA8" s="16">
        <v>16334</v>
      </c>
      <c r="LB8" s="16">
        <v>6168</v>
      </c>
      <c r="LC8" s="16">
        <v>24001</v>
      </c>
      <c r="LD8" s="16">
        <v>43457</v>
      </c>
      <c r="LE8" s="16">
        <v>234</v>
      </c>
      <c r="LF8" s="16">
        <v>65</v>
      </c>
      <c r="LG8" s="16">
        <v>71</v>
      </c>
      <c r="LH8" s="16">
        <v>539</v>
      </c>
      <c r="LI8" s="16">
        <v>1</v>
      </c>
      <c r="LJ8" s="16">
        <v>89</v>
      </c>
      <c r="LK8" s="16">
        <v>395</v>
      </c>
      <c r="LL8" s="16">
        <v>1494</v>
      </c>
      <c r="LM8" s="16">
        <v>1082</v>
      </c>
      <c r="LN8" s="16">
        <v>96</v>
      </c>
      <c r="LO8" s="16">
        <v>79</v>
      </c>
      <c r="LP8" s="16">
        <v>548</v>
      </c>
      <c r="LQ8" s="16">
        <v>547</v>
      </c>
      <c r="LR8" s="16">
        <v>2348</v>
      </c>
      <c r="LS8" s="16">
        <v>811</v>
      </c>
      <c r="LT8" s="16">
        <v>1444</v>
      </c>
      <c r="LU8" s="16">
        <v>433</v>
      </c>
      <c r="LV8" s="16">
        <v>16</v>
      </c>
      <c r="LW8" s="16">
        <v>731</v>
      </c>
      <c r="LX8" s="16">
        <v>776</v>
      </c>
      <c r="LY8" s="16">
        <v>0</v>
      </c>
      <c r="LZ8" s="16">
        <v>1097</v>
      </c>
      <c r="MA8" s="16">
        <v>162</v>
      </c>
      <c r="MB8" s="16">
        <v>1137</v>
      </c>
      <c r="MC8" s="16">
        <v>835</v>
      </c>
      <c r="MD8" s="16">
        <v>152</v>
      </c>
      <c r="ME8" s="16">
        <v>1406</v>
      </c>
      <c r="MF8" s="16">
        <v>5747</v>
      </c>
      <c r="MG8" s="16">
        <v>2808</v>
      </c>
      <c r="MH8" s="16">
        <v>6809</v>
      </c>
      <c r="MI8" s="16">
        <v>525</v>
      </c>
      <c r="MJ8" s="16">
        <v>666</v>
      </c>
      <c r="MK8" s="16">
        <v>146</v>
      </c>
      <c r="ML8" s="16">
        <v>168</v>
      </c>
      <c r="MM8" s="16">
        <v>2254</v>
      </c>
      <c r="MN8" s="16">
        <v>1402</v>
      </c>
      <c r="MO8" s="16">
        <v>737</v>
      </c>
      <c r="MP8" s="16">
        <v>2389</v>
      </c>
      <c r="MQ8" s="16">
        <v>2110</v>
      </c>
      <c r="MR8" s="16">
        <v>14470</v>
      </c>
      <c r="MS8" s="16">
        <v>60204</v>
      </c>
      <c r="MT8" s="16">
        <v>1232</v>
      </c>
      <c r="MU8" s="16">
        <v>11020</v>
      </c>
      <c r="MV8" s="16">
        <v>2064</v>
      </c>
      <c r="MW8" s="16">
        <v>7062</v>
      </c>
      <c r="MX8" s="16">
        <v>3797</v>
      </c>
      <c r="MY8" s="16">
        <v>135</v>
      </c>
      <c r="MZ8" s="16">
        <v>2999</v>
      </c>
      <c r="NA8" s="16">
        <v>7854</v>
      </c>
      <c r="NB8" s="16">
        <v>1651</v>
      </c>
      <c r="NC8" s="16">
        <v>9744</v>
      </c>
      <c r="ND8" s="16">
        <v>590</v>
      </c>
      <c r="NE8" s="16">
        <v>361</v>
      </c>
      <c r="NF8" s="16">
        <v>1084</v>
      </c>
      <c r="NG8" s="16">
        <v>885</v>
      </c>
      <c r="NH8" s="16">
        <v>1330</v>
      </c>
      <c r="NI8" s="16">
        <v>5379</v>
      </c>
      <c r="NJ8" s="16">
        <v>15886</v>
      </c>
      <c r="NK8" s="16">
        <v>319</v>
      </c>
      <c r="NL8" s="16">
        <v>75</v>
      </c>
      <c r="NM8" s="16">
        <v>1379</v>
      </c>
      <c r="NN8" s="16">
        <v>323</v>
      </c>
      <c r="NO8" s="16">
        <v>0</v>
      </c>
      <c r="NP8" s="16">
        <v>14690</v>
      </c>
      <c r="NQ8" s="16">
        <v>73</v>
      </c>
      <c r="NR8" s="17">
        <v>564393</v>
      </c>
    </row>
    <row r="9" spans="1:382" ht="13.5" customHeight="1" x14ac:dyDescent="0.2">
      <c r="A9" s="2" t="s">
        <v>25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52978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78</v>
      </c>
      <c r="AV9" s="16">
        <v>0</v>
      </c>
      <c r="AW9" s="16">
        <v>2865</v>
      </c>
      <c r="AX9" s="16">
        <v>0</v>
      </c>
      <c r="AY9" s="16">
        <v>477</v>
      </c>
      <c r="AZ9" s="16">
        <v>6542</v>
      </c>
      <c r="BA9" s="16">
        <v>521275</v>
      </c>
      <c r="BB9" s="16">
        <v>18362</v>
      </c>
      <c r="BC9" s="16">
        <v>1560</v>
      </c>
      <c r="BD9" s="16">
        <v>0</v>
      </c>
      <c r="BE9" s="16">
        <v>0</v>
      </c>
      <c r="BF9" s="16">
        <v>0</v>
      </c>
      <c r="BG9" s="16">
        <v>3800</v>
      </c>
      <c r="BH9" s="16">
        <v>8553</v>
      </c>
      <c r="BI9" s="16">
        <v>34870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568115</v>
      </c>
      <c r="DN9" s="16">
        <v>0</v>
      </c>
      <c r="DO9" s="16">
        <v>3923</v>
      </c>
      <c r="DP9" s="16">
        <v>0</v>
      </c>
      <c r="DQ9" s="16">
        <v>0</v>
      </c>
      <c r="DR9" s="16">
        <v>1124</v>
      </c>
      <c r="DS9" s="16">
        <v>9178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  <c r="IB9" s="16">
        <v>0</v>
      </c>
      <c r="IC9" s="16">
        <v>0</v>
      </c>
      <c r="ID9" s="16">
        <v>0</v>
      </c>
      <c r="IE9" s="16">
        <v>0</v>
      </c>
      <c r="IF9" s="16">
        <v>0</v>
      </c>
      <c r="IG9" s="16">
        <v>0</v>
      </c>
      <c r="IH9" s="16">
        <v>0</v>
      </c>
      <c r="II9" s="16">
        <v>0</v>
      </c>
      <c r="IJ9" s="16">
        <v>0</v>
      </c>
      <c r="IK9" s="16">
        <v>0</v>
      </c>
      <c r="IL9" s="16">
        <v>0</v>
      </c>
      <c r="IM9" s="16">
        <v>0</v>
      </c>
      <c r="IN9" s="16">
        <v>0</v>
      </c>
      <c r="IO9" s="16">
        <v>0</v>
      </c>
      <c r="IP9" s="16">
        <v>0</v>
      </c>
      <c r="IQ9" s="16">
        <v>0</v>
      </c>
      <c r="IR9" s="16">
        <v>0</v>
      </c>
      <c r="IS9" s="16">
        <v>0</v>
      </c>
      <c r="IT9" s="16">
        <v>1</v>
      </c>
      <c r="IU9" s="16">
        <v>0</v>
      </c>
      <c r="IV9" s="16">
        <v>0</v>
      </c>
      <c r="IW9" s="16">
        <v>0</v>
      </c>
      <c r="IX9" s="16">
        <v>0</v>
      </c>
      <c r="IY9" s="16">
        <v>0</v>
      </c>
      <c r="IZ9" s="16">
        <v>0</v>
      </c>
      <c r="JA9" s="16">
        <v>0</v>
      </c>
      <c r="JB9" s="16">
        <v>0</v>
      </c>
      <c r="JC9" s="16">
        <v>0</v>
      </c>
      <c r="JD9" s="16">
        <v>0</v>
      </c>
      <c r="JE9" s="16">
        <v>0</v>
      </c>
      <c r="JF9" s="16">
        <v>0</v>
      </c>
      <c r="JG9" s="16">
        <v>454</v>
      </c>
      <c r="JH9" s="16">
        <v>0</v>
      </c>
      <c r="JI9" s="16">
        <v>0</v>
      </c>
      <c r="JJ9" s="16">
        <v>0</v>
      </c>
      <c r="JK9" s="16">
        <v>0</v>
      </c>
      <c r="JL9" s="16">
        <v>0</v>
      </c>
      <c r="JM9" s="16">
        <v>0</v>
      </c>
      <c r="JN9" s="16">
        <v>0</v>
      </c>
      <c r="JO9" s="16">
        <v>0</v>
      </c>
      <c r="JP9" s="16">
        <v>0</v>
      </c>
      <c r="JQ9" s="16">
        <v>0</v>
      </c>
      <c r="JR9" s="16">
        <v>0</v>
      </c>
      <c r="JS9" s="16">
        <v>0</v>
      </c>
      <c r="JT9" s="16">
        <v>0</v>
      </c>
      <c r="JU9" s="16">
        <v>0</v>
      </c>
      <c r="JV9" s="16">
        <v>0</v>
      </c>
      <c r="JW9" s="16">
        <v>0</v>
      </c>
      <c r="JX9" s="16">
        <v>0</v>
      </c>
      <c r="JY9" s="16">
        <v>0</v>
      </c>
      <c r="JZ9" s="16">
        <v>0</v>
      </c>
      <c r="KA9" s="16">
        <v>0</v>
      </c>
      <c r="KB9" s="16">
        <v>0</v>
      </c>
      <c r="KC9" s="16">
        <v>0</v>
      </c>
      <c r="KD9" s="16">
        <v>0</v>
      </c>
      <c r="KE9" s="16">
        <v>0</v>
      </c>
      <c r="KF9" s="16">
        <v>0</v>
      </c>
      <c r="KG9" s="16">
        <v>0</v>
      </c>
      <c r="KH9" s="16">
        <v>0</v>
      </c>
      <c r="KI9" s="16">
        <v>0</v>
      </c>
      <c r="KJ9" s="16">
        <v>0</v>
      </c>
      <c r="KK9" s="16">
        <v>0</v>
      </c>
      <c r="KL9" s="16">
        <v>0</v>
      </c>
      <c r="KM9" s="16">
        <v>0</v>
      </c>
      <c r="KN9" s="16">
        <v>0</v>
      </c>
      <c r="KO9" s="16">
        <v>0</v>
      </c>
      <c r="KP9" s="16">
        <v>0</v>
      </c>
      <c r="KQ9" s="16">
        <v>0</v>
      </c>
      <c r="KR9" s="16">
        <v>0</v>
      </c>
      <c r="KS9" s="16">
        <v>0</v>
      </c>
      <c r="KT9" s="16">
        <v>0</v>
      </c>
      <c r="KU9" s="16">
        <v>0</v>
      </c>
      <c r="KV9" s="16">
        <v>0</v>
      </c>
      <c r="KW9" s="16">
        <v>0</v>
      </c>
      <c r="KX9" s="16">
        <v>0</v>
      </c>
      <c r="KY9" s="16">
        <v>0</v>
      </c>
      <c r="KZ9" s="16">
        <v>81008</v>
      </c>
      <c r="LA9" s="16">
        <v>14439</v>
      </c>
      <c r="LB9" s="16">
        <v>52</v>
      </c>
      <c r="LC9" s="16">
        <v>9713</v>
      </c>
      <c r="LD9" s="16">
        <v>0</v>
      </c>
      <c r="LE9" s="16">
        <v>0</v>
      </c>
      <c r="LF9" s="16">
        <v>0</v>
      </c>
      <c r="LG9" s="16">
        <v>0</v>
      </c>
      <c r="LH9" s="16">
        <v>0</v>
      </c>
      <c r="LI9" s="16">
        <v>0</v>
      </c>
      <c r="LJ9" s="16">
        <v>0</v>
      </c>
      <c r="LK9" s="16">
        <v>0</v>
      </c>
      <c r="LL9" s="16">
        <v>0</v>
      </c>
      <c r="LM9" s="16">
        <v>0</v>
      </c>
      <c r="LN9" s="16">
        <v>0</v>
      </c>
      <c r="LO9" s="16">
        <v>0</v>
      </c>
      <c r="LP9" s="16">
        <v>0</v>
      </c>
      <c r="LQ9" s="16">
        <v>0</v>
      </c>
      <c r="LR9" s="16">
        <v>0</v>
      </c>
      <c r="LS9" s="16">
        <v>0</v>
      </c>
      <c r="LT9" s="16">
        <v>0</v>
      </c>
      <c r="LU9" s="16">
        <v>0</v>
      </c>
      <c r="LV9" s="16">
        <v>0</v>
      </c>
      <c r="LW9" s="16">
        <v>0</v>
      </c>
      <c r="LX9" s="16">
        <v>0</v>
      </c>
      <c r="LY9" s="16">
        <v>0</v>
      </c>
      <c r="LZ9" s="16">
        <v>0</v>
      </c>
      <c r="MA9" s="16">
        <v>0</v>
      </c>
      <c r="MB9" s="16">
        <v>0</v>
      </c>
      <c r="MC9" s="16">
        <v>0</v>
      </c>
      <c r="MD9" s="16">
        <v>0</v>
      </c>
      <c r="ME9" s="16">
        <v>0</v>
      </c>
      <c r="MF9" s="16">
        <v>0</v>
      </c>
      <c r="MG9" s="16">
        <v>0</v>
      </c>
      <c r="MH9" s="16">
        <v>0</v>
      </c>
      <c r="MI9" s="16">
        <v>0</v>
      </c>
      <c r="MJ9" s="16">
        <v>0</v>
      </c>
      <c r="MK9" s="16">
        <v>0</v>
      </c>
      <c r="ML9" s="16">
        <v>0</v>
      </c>
      <c r="MM9" s="16">
        <v>13689</v>
      </c>
      <c r="MN9" s="16">
        <v>0</v>
      </c>
      <c r="MO9" s="16">
        <v>0</v>
      </c>
      <c r="MP9" s="16">
        <v>0</v>
      </c>
      <c r="MQ9" s="16">
        <v>0</v>
      </c>
      <c r="MR9" s="16">
        <v>5</v>
      </c>
      <c r="MS9" s="16">
        <v>9</v>
      </c>
      <c r="MT9" s="16">
        <v>0</v>
      </c>
      <c r="MU9" s="16">
        <v>5984</v>
      </c>
      <c r="MV9" s="16">
        <v>0</v>
      </c>
      <c r="MW9" s="16">
        <v>0</v>
      </c>
      <c r="MX9" s="16">
        <v>0</v>
      </c>
      <c r="MY9" s="16">
        <v>141722</v>
      </c>
      <c r="MZ9" s="16">
        <v>366802</v>
      </c>
      <c r="NA9" s="16">
        <v>0</v>
      </c>
      <c r="NB9" s="16">
        <v>0</v>
      </c>
      <c r="NC9" s="16">
        <v>0</v>
      </c>
      <c r="ND9" s="16">
        <v>0</v>
      </c>
      <c r="NE9" s="16">
        <v>0</v>
      </c>
      <c r="NF9" s="16">
        <v>0</v>
      </c>
      <c r="NG9" s="16">
        <v>0</v>
      </c>
      <c r="NH9" s="16">
        <v>0</v>
      </c>
      <c r="NI9" s="16">
        <v>0</v>
      </c>
      <c r="NJ9" s="16">
        <v>0</v>
      </c>
      <c r="NK9" s="16">
        <v>0</v>
      </c>
      <c r="NL9" s="16">
        <v>0</v>
      </c>
      <c r="NM9" s="16">
        <v>0</v>
      </c>
      <c r="NN9" s="16">
        <v>0</v>
      </c>
      <c r="NO9" s="16">
        <v>0</v>
      </c>
      <c r="NP9" s="16">
        <v>0</v>
      </c>
      <c r="NQ9" s="16">
        <v>479</v>
      </c>
      <c r="NR9" s="17">
        <v>1868057</v>
      </c>
    </row>
    <row r="10" spans="1:382" ht="13.5" customHeight="1" x14ac:dyDescent="0.2">
      <c r="A10" s="2" t="s">
        <v>27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430023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  <c r="IB10" s="16">
        <v>0</v>
      </c>
      <c r="IC10" s="16">
        <v>0</v>
      </c>
      <c r="ID10" s="16">
        <v>0</v>
      </c>
      <c r="IE10" s="16">
        <v>0</v>
      </c>
      <c r="IF10" s="16">
        <v>0</v>
      </c>
      <c r="IG10" s="16">
        <v>0</v>
      </c>
      <c r="IH10" s="16">
        <v>0</v>
      </c>
      <c r="II10" s="16">
        <v>0</v>
      </c>
      <c r="IJ10" s="16">
        <v>0</v>
      </c>
      <c r="IK10" s="16">
        <v>0</v>
      </c>
      <c r="IL10" s="16">
        <v>0</v>
      </c>
      <c r="IM10" s="16">
        <v>0</v>
      </c>
      <c r="IN10" s="16">
        <v>0</v>
      </c>
      <c r="IO10" s="16">
        <v>0</v>
      </c>
      <c r="IP10" s="16">
        <v>0</v>
      </c>
      <c r="IQ10" s="16">
        <v>0</v>
      </c>
      <c r="IR10" s="16">
        <v>0</v>
      </c>
      <c r="IS10" s="16">
        <v>0</v>
      </c>
      <c r="IT10" s="16">
        <v>0</v>
      </c>
      <c r="IU10" s="16">
        <v>0</v>
      </c>
      <c r="IV10" s="16">
        <v>0</v>
      </c>
      <c r="IW10" s="16">
        <v>0</v>
      </c>
      <c r="IX10" s="16">
        <v>0</v>
      </c>
      <c r="IY10" s="16">
        <v>0</v>
      </c>
      <c r="IZ10" s="16">
        <v>0</v>
      </c>
      <c r="JA10" s="16">
        <v>0</v>
      </c>
      <c r="JB10" s="16">
        <v>0</v>
      </c>
      <c r="JC10" s="16">
        <v>0</v>
      </c>
      <c r="JD10" s="16">
        <v>0</v>
      </c>
      <c r="JE10" s="16">
        <v>0</v>
      </c>
      <c r="JF10" s="16">
        <v>0</v>
      </c>
      <c r="JG10" s="16">
        <v>0</v>
      </c>
      <c r="JH10" s="16">
        <v>0</v>
      </c>
      <c r="JI10" s="16">
        <v>0</v>
      </c>
      <c r="JJ10" s="16">
        <v>0</v>
      </c>
      <c r="JK10" s="16">
        <v>0</v>
      </c>
      <c r="JL10" s="16">
        <v>0</v>
      </c>
      <c r="JM10" s="16">
        <v>0</v>
      </c>
      <c r="JN10" s="16">
        <v>0</v>
      </c>
      <c r="JO10" s="16">
        <v>0</v>
      </c>
      <c r="JP10" s="16">
        <v>0</v>
      </c>
      <c r="JQ10" s="16">
        <v>0</v>
      </c>
      <c r="JR10" s="16">
        <v>0</v>
      </c>
      <c r="JS10" s="16">
        <v>0</v>
      </c>
      <c r="JT10" s="16">
        <v>0</v>
      </c>
      <c r="JU10" s="16">
        <v>0</v>
      </c>
      <c r="JV10" s="16">
        <v>0</v>
      </c>
      <c r="JW10" s="16">
        <v>0</v>
      </c>
      <c r="JX10" s="16">
        <v>0</v>
      </c>
      <c r="JY10" s="16">
        <v>0</v>
      </c>
      <c r="JZ10" s="16">
        <v>0</v>
      </c>
      <c r="KA10" s="16">
        <v>0</v>
      </c>
      <c r="KB10" s="16">
        <v>0</v>
      </c>
      <c r="KC10" s="16">
        <v>0</v>
      </c>
      <c r="KD10" s="16">
        <v>0</v>
      </c>
      <c r="KE10" s="16">
        <v>0</v>
      </c>
      <c r="KF10" s="16">
        <v>0</v>
      </c>
      <c r="KG10" s="16">
        <v>0</v>
      </c>
      <c r="KH10" s="16">
        <v>0</v>
      </c>
      <c r="KI10" s="16">
        <v>0</v>
      </c>
      <c r="KJ10" s="16">
        <v>0</v>
      </c>
      <c r="KK10" s="16">
        <v>0</v>
      </c>
      <c r="KL10" s="16">
        <v>0</v>
      </c>
      <c r="KM10" s="16">
        <v>0</v>
      </c>
      <c r="KN10" s="16">
        <v>0</v>
      </c>
      <c r="KO10" s="16">
        <v>0</v>
      </c>
      <c r="KP10" s="16">
        <v>0</v>
      </c>
      <c r="KQ10" s="16">
        <v>0</v>
      </c>
      <c r="KR10" s="16">
        <v>0</v>
      </c>
      <c r="KS10" s="16">
        <v>0</v>
      </c>
      <c r="KT10" s="16">
        <v>0</v>
      </c>
      <c r="KU10" s="16">
        <v>0</v>
      </c>
      <c r="KV10" s="16">
        <v>0</v>
      </c>
      <c r="KW10" s="16">
        <v>0</v>
      </c>
      <c r="KX10" s="16">
        <v>0</v>
      </c>
      <c r="KY10" s="16">
        <v>0</v>
      </c>
      <c r="KZ10" s="16">
        <v>0</v>
      </c>
      <c r="LA10" s="16">
        <v>0</v>
      </c>
      <c r="LB10" s="16">
        <v>0</v>
      </c>
      <c r="LC10" s="16">
        <v>0</v>
      </c>
      <c r="LD10" s="16">
        <v>0</v>
      </c>
      <c r="LE10" s="16">
        <v>0</v>
      </c>
      <c r="LF10" s="16">
        <v>0</v>
      </c>
      <c r="LG10" s="16">
        <v>0</v>
      </c>
      <c r="LH10" s="16">
        <v>0</v>
      </c>
      <c r="LI10" s="16">
        <v>0</v>
      </c>
      <c r="LJ10" s="16">
        <v>0</v>
      </c>
      <c r="LK10" s="16">
        <v>0</v>
      </c>
      <c r="LL10" s="16">
        <v>0</v>
      </c>
      <c r="LM10" s="16">
        <v>0</v>
      </c>
      <c r="LN10" s="16">
        <v>0</v>
      </c>
      <c r="LO10" s="16">
        <v>0</v>
      </c>
      <c r="LP10" s="16">
        <v>0</v>
      </c>
      <c r="LQ10" s="16">
        <v>0</v>
      </c>
      <c r="LR10" s="16">
        <v>0</v>
      </c>
      <c r="LS10" s="16">
        <v>0</v>
      </c>
      <c r="LT10" s="16">
        <v>0</v>
      </c>
      <c r="LU10" s="16">
        <v>0</v>
      </c>
      <c r="LV10" s="16">
        <v>0</v>
      </c>
      <c r="LW10" s="16">
        <v>0</v>
      </c>
      <c r="LX10" s="16">
        <v>0</v>
      </c>
      <c r="LY10" s="16">
        <v>0</v>
      </c>
      <c r="LZ10" s="16">
        <v>0</v>
      </c>
      <c r="MA10" s="16">
        <v>0</v>
      </c>
      <c r="MB10" s="16">
        <v>0</v>
      </c>
      <c r="MC10" s="16">
        <v>0</v>
      </c>
      <c r="MD10" s="16">
        <v>0</v>
      </c>
      <c r="ME10" s="16">
        <v>0</v>
      </c>
      <c r="MF10" s="16">
        <v>0</v>
      </c>
      <c r="MG10" s="16">
        <v>0</v>
      </c>
      <c r="MH10" s="16">
        <v>0</v>
      </c>
      <c r="MI10" s="16">
        <v>0</v>
      </c>
      <c r="MJ10" s="16">
        <v>0</v>
      </c>
      <c r="MK10" s="16">
        <v>0</v>
      </c>
      <c r="ML10" s="16">
        <v>0</v>
      </c>
      <c r="MM10" s="16">
        <v>0</v>
      </c>
      <c r="MN10" s="16">
        <v>0</v>
      </c>
      <c r="MO10" s="16">
        <v>0</v>
      </c>
      <c r="MP10" s="16">
        <v>0</v>
      </c>
      <c r="MQ10" s="16">
        <v>0</v>
      </c>
      <c r="MR10" s="16">
        <v>0</v>
      </c>
      <c r="MS10" s="16">
        <v>0</v>
      </c>
      <c r="MT10" s="16">
        <v>0</v>
      </c>
      <c r="MU10" s="16">
        <v>0</v>
      </c>
      <c r="MV10" s="16">
        <v>0</v>
      </c>
      <c r="MW10" s="16">
        <v>0</v>
      </c>
      <c r="MX10" s="16">
        <v>0</v>
      </c>
      <c r="MY10" s="16">
        <v>0</v>
      </c>
      <c r="MZ10" s="16">
        <v>0</v>
      </c>
      <c r="NA10" s="16">
        <v>0</v>
      </c>
      <c r="NB10" s="16">
        <v>0</v>
      </c>
      <c r="NC10" s="16">
        <v>0</v>
      </c>
      <c r="ND10" s="16">
        <v>0</v>
      </c>
      <c r="NE10" s="16">
        <v>0</v>
      </c>
      <c r="NF10" s="16">
        <v>0</v>
      </c>
      <c r="NG10" s="16">
        <v>0</v>
      </c>
      <c r="NH10" s="16">
        <v>0</v>
      </c>
      <c r="NI10" s="16">
        <v>0</v>
      </c>
      <c r="NJ10" s="16">
        <v>0</v>
      </c>
      <c r="NK10" s="16">
        <v>0</v>
      </c>
      <c r="NL10" s="16">
        <v>0</v>
      </c>
      <c r="NM10" s="16">
        <v>0</v>
      </c>
      <c r="NN10" s="16">
        <v>0</v>
      </c>
      <c r="NO10" s="16">
        <v>0</v>
      </c>
      <c r="NP10" s="16">
        <v>0</v>
      </c>
      <c r="NQ10" s="16">
        <v>0</v>
      </c>
      <c r="NR10" s="17">
        <v>430023</v>
      </c>
    </row>
    <row r="11" spans="1:382" ht="13.5" customHeight="1" x14ac:dyDescent="0.2">
      <c r="A11" s="2" t="s">
        <v>29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3</v>
      </c>
      <c r="BR11" s="16">
        <v>15</v>
      </c>
      <c r="BS11" s="16">
        <v>0</v>
      </c>
      <c r="BT11" s="16">
        <v>0</v>
      </c>
      <c r="BU11" s="16">
        <v>0</v>
      </c>
      <c r="BV11" s="16">
        <v>0</v>
      </c>
      <c r="BW11" s="16">
        <v>196</v>
      </c>
      <c r="BX11" s="16">
        <v>0</v>
      </c>
      <c r="BY11" s="16">
        <v>0</v>
      </c>
      <c r="BZ11" s="16">
        <v>0</v>
      </c>
      <c r="CA11" s="16">
        <v>2431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124</v>
      </c>
      <c r="DL11" s="16">
        <v>0</v>
      </c>
      <c r="DM11" s="16">
        <v>1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86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530417</v>
      </c>
      <c r="EC11" s="16">
        <v>42013</v>
      </c>
      <c r="ED11" s="16">
        <v>10783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  <c r="IB11" s="16">
        <v>0</v>
      </c>
      <c r="IC11" s="16">
        <v>0</v>
      </c>
      <c r="ID11" s="16">
        <v>0</v>
      </c>
      <c r="IE11" s="16">
        <v>0</v>
      </c>
      <c r="IF11" s="16">
        <v>0</v>
      </c>
      <c r="IG11" s="16">
        <v>0</v>
      </c>
      <c r="IH11" s="16">
        <v>0</v>
      </c>
      <c r="II11" s="16">
        <v>0</v>
      </c>
      <c r="IJ11" s="16">
        <v>0</v>
      </c>
      <c r="IK11" s="16">
        <v>0</v>
      </c>
      <c r="IL11" s="16">
        <v>0</v>
      </c>
      <c r="IM11" s="16">
        <v>0</v>
      </c>
      <c r="IN11" s="16">
        <v>0</v>
      </c>
      <c r="IO11" s="16">
        <v>129</v>
      </c>
      <c r="IP11" s="16">
        <v>0</v>
      </c>
      <c r="IQ11" s="16">
        <v>0</v>
      </c>
      <c r="IR11" s="16">
        <v>0</v>
      </c>
      <c r="IS11" s="16">
        <v>0</v>
      </c>
      <c r="IT11" s="16">
        <v>0</v>
      </c>
      <c r="IU11" s="16">
        <v>0</v>
      </c>
      <c r="IV11" s="16">
        <v>0</v>
      </c>
      <c r="IW11" s="16">
        <v>0</v>
      </c>
      <c r="IX11" s="16">
        <v>0</v>
      </c>
      <c r="IY11" s="16">
        <v>0</v>
      </c>
      <c r="IZ11" s="16">
        <v>0</v>
      </c>
      <c r="JA11" s="16">
        <v>0</v>
      </c>
      <c r="JB11" s="16">
        <v>0</v>
      </c>
      <c r="JC11" s="16">
        <v>0</v>
      </c>
      <c r="JD11" s="16">
        <v>0</v>
      </c>
      <c r="JE11" s="16">
        <v>0</v>
      </c>
      <c r="JF11" s="16">
        <v>0</v>
      </c>
      <c r="JG11" s="16">
        <v>60</v>
      </c>
      <c r="JH11" s="16">
        <v>0</v>
      </c>
      <c r="JI11" s="16">
        <v>0</v>
      </c>
      <c r="JJ11" s="16">
        <v>0</v>
      </c>
      <c r="JK11" s="16">
        <v>0</v>
      </c>
      <c r="JL11" s="16">
        <v>0</v>
      </c>
      <c r="JM11" s="16">
        <v>0</v>
      </c>
      <c r="JN11" s="16">
        <v>0</v>
      </c>
      <c r="JO11" s="16">
        <v>0</v>
      </c>
      <c r="JP11" s="16">
        <v>0</v>
      </c>
      <c r="JQ11" s="16">
        <v>0</v>
      </c>
      <c r="JR11" s="16">
        <v>0</v>
      </c>
      <c r="JS11" s="16">
        <v>0</v>
      </c>
      <c r="JT11" s="16">
        <v>0</v>
      </c>
      <c r="JU11" s="16">
        <v>0</v>
      </c>
      <c r="JV11" s="16">
        <v>0</v>
      </c>
      <c r="JW11" s="16">
        <v>0</v>
      </c>
      <c r="JX11" s="16">
        <v>0</v>
      </c>
      <c r="JY11" s="16">
        <v>0</v>
      </c>
      <c r="JZ11" s="16">
        <v>0</v>
      </c>
      <c r="KA11" s="16">
        <v>0</v>
      </c>
      <c r="KB11" s="16">
        <v>0</v>
      </c>
      <c r="KC11" s="16">
        <v>0</v>
      </c>
      <c r="KD11" s="16">
        <v>0</v>
      </c>
      <c r="KE11" s="16">
        <v>0</v>
      </c>
      <c r="KF11" s="16">
        <v>0</v>
      </c>
      <c r="KG11" s="16">
        <v>0</v>
      </c>
      <c r="KH11" s="16">
        <v>0</v>
      </c>
      <c r="KI11" s="16">
        <v>0</v>
      </c>
      <c r="KJ11" s="16">
        <v>0</v>
      </c>
      <c r="KK11" s="16">
        <v>0</v>
      </c>
      <c r="KL11" s="16">
        <v>0</v>
      </c>
      <c r="KM11" s="16">
        <v>0</v>
      </c>
      <c r="KN11" s="16">
        <v>0</v>
      </c>
      <c r="KO11" s="16">
        <v>0</v>
      </c>
      <c r="KP11" s="16">
        <v>0</v>
      </c>
      <c r="KQ11" s="16">
        <v>0</v>
      </c>
      <c r="KR11" s="16">
        <v>0</v>
      </c>
      <c r="KS11" s="16">
        <v>0</v>
      </c>
      <c r="KT11" s="16">
        <v>0</v>
      </c>
      <c r="KU11" s="16">
        <v>0</v>
      </c>
      <c r="KV11" s="16">
        <v>0</v>
      </c>
      <c r="KW11" s="16">
        <v>0</v>
      </c>
      <c r="KX11" s="16">
        <v>0</v>
      </c>
      <c r="KY11" s="16">
        <v>0</v>
      </c>
      <c r="KZ11" s="16">
        <v>0</v>
      </c>
      <c r="LA11" s="16">
        <v>0</v>
      </c>
      <c r="LB11" s="16">
        <v>0</v>
      </c>
      <c r="LC11" s="16">
        <v>0</v>
      </c>
      <c r="LD11" s="16">
        <v>0</v>
      </c>
      <c r="LE11" s="16">
        <v>0</v>
      </c>
      <c r="LF11" s="16">
        <v>0</v>
      </c>
      <c r="LG11" s="16">
        <v>0</v>
      </c>
      <c r="LH11" s="16">
        <v>0</v>
      </c>
      <c r="LI11" s="16">
        <v>0</v>
      </c>
      <c r="LJ11" s="16">
        <v>0</v>
      </c>
      <c r="LK11" s="16">
        <v>0</v>
      </c>
      <c r="LL11" s="16">
        <v>0</v>
      </c>
      <c r="LM11" s="16">
        <v>0</v>
      </c>
      <c r="LN11" s="16">
        <v>0</v>
      </c>
      <c r="LO11" s="16">
        <v>0</v>
      </c>
      <c r="LP11" s="16">
        <v>0</v>
      </c>
      <c r="LQ11" s="16">
        <v>0</v>
      </c>
      <c r="LR11" s="16">
        <v>0</v>
      </c>
      <c r="LS11" s="16">
        <v>0</v>
      </c>
      <c r="LT11" s="16">
        <v>0</v>
      </c>
      <c r="LU11" s="16">
        <v>0</v>
      </c>
      <c r="LV11" s="16">
        <v>0</v>
      </c>
      <c r="LW11" s="16">
        <v>0</v>
      </c>
      <c r="LX11" s="16">
        <v>0</v>
      </c>
      <c r="LY11" s="16">
        <v>0</v>
      </c>
      <c r="LZ11" s="16">
        <v>0</v>
      </c>
      <c r="MA11" s="16">
        <v>0</v>
      </c>
      <c r="MB11" s="16">
        <v>0</v>
      </c>
      <c r="MC11" s="16">
        <v>0</v>
      </c>
      <c r="MD11" s="16">
        <v>0</v>
      </c>
      <c r="ME11" s="16">
        <v>0</v>
      </c>
      <c r="MF11" s="16">
        <v>173</v>
      </c>
      <c r="MG11" s="16">
        <v>0</v>
      </c>
      <c r="MH11" s="16">
        <v>0</v>
      </c>
      <c r="MI11" s="16">
        <v>0</v>
      </c>
      <c r="MJ11" s="16">
        <v>0</v>
      </c>
      <c r="MK11" s="16">
        <v>0</v>
      </c>
      <c r="ML11" s="16">
        <v>0</v>
      </c>
      <c r="MM11" s="16">
        <v>0</v>
      </c>
      <c r="MN11" s="16">
        <v>0</v>
      </c>
      <c r="MO11" s="16">
        <v>0</v>
      </c>
      <c r="MP11" s="16">
        <v>0</v>
      </c>
      <c r="MQ11" s="16">
        <v>30</v>
      </c>
      <c r="MR11" s="16">
        <v>0</v>
      </c>
      <c r="MS11" s="16">
        <v>0</v>
      </c>
      <c r="MT11" s="16">
        <v>0</v>
      </c>
      <c r="MU11" s="16">
        <v>0</v>
      </c>
      <c r="MV11" s="16">
        <v>0</v>
      </c>
      <c r="MW11" s="16">
        <v>0</v>
      </c>
      <c r="MX11" s="16">
        <v>0</v>
      </c>
      <c r="MY11" s="16">
        <v>0</v>
      </c>
      <c r="MZ11" s="16">
        <v>0</v>
      </c>
      <c r="NA11" s="16">
        <v>0</v>
      </c>
      <c r="NB11" s="16">
        <v>0</v>
      </c>
      <c r="NC11" s="16">
        <v>0</v>
      </c>
      <c r="ND11" s="16">
        <v>0</v>
      </c>
      <c r="NE11" s="16">
        <v>0</v>
      </c>
      <c r="NF11" s="16">
        <v>0</v>
      </c>
      <c r="NG11" s="16">
        <v>0</v>
      </c>
      <c r="NH11" s="16">
        <v>0</v>
      </c>
      <c r="NI11" s="16">
        <v>0</v>
      </c>
      <c r="NJ11" s="16">
        <v>0</v>
      </c>
      <c r="NK11" s="16">
        <v>0</v>
      </c>
      <c r="NL11" s="16">
        <v>0</v>
      </c>
      <c r="NM11" s="16">
        <v>0</v>
      </c>
      <c r="NN11" s="16">
        <v>0</v>
      </c>
      <c r="NO11" s="16">
        <v>0</v>
      </c>
      <c r="NP11" s="16">
        <v>0</v>
      </c>
      <c r="NQ11" s="16">
        <v>0</v>
      </c>
      <c r="NR11" s="17">
        <v>586461</v>
      </c>
    </row>
    <row r="12" spans="1:382" ht="13.5" customHeight="1" x14ac:dyDescent="0.2">
      <c r="A12" s="2" t="s">
        <v>31</v>
      </c>
      <c r="B12" s="16">
        <v>0</v>
      </c>
      <c r="C12" s="16">
        <v>0</v>
      </c>
      <c r="D12" s="16">
        <v>0</v>
      </c>
      <c r="E12" s="16">
        <v>0</v>
      </c>
      <c r="F12" s="16">
        <v>503802</v>
      </c>
      <c r="G12" s="16">
        <v>83347</v>
      </c>
      <c r="H12" s="16">
        <v>64424</v>
      </c>
      <c r="I12" s="16">
        <v>16074</v>
      </c>
      <c r="J12" s="16">
        <v>296</v>
      </c>
      <c r="K12" s="16">
        <v>0</v>
      </c>
      <c r="L12" s="16">
        <v>89813</v>
      </c>
      <c r="M12" s="16">
        <v>884</v>
      </c>
      <c r="N12" s="16">
        <v>29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137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768</v>
      </c>
      <c r="BB12" s="16">
        <v>0</v>
      </c>
      <c r="BC12" s="16">
        <v>26</v>
      </c>
      <c r="BD12" s="16">
        <v>0</v>
      </c>
      <c r="BE12" s="16">
        <v>0</v>
      </c>
      <c r="BF12" s="16">
        <v>0</v>
      </c>
      <c r="BG12" s="16">
        <v>0</v>
      </c>
      <c r="BH12" s="16">
        <v>50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19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173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  <c r="IB12" s="16">
        <v>0</v>
      </c>
      <c r="IC12" s="16">
        <v>0</v>
      </c>
      <c r="ID12" s="16">
        <v>0</v>
      </c>
      <c r="IE12" s="16">
        <v>0</v>
      </c>
      <c r="IF12" s="16">
        <v>0</v>
      </c>
      <c r="IG12" s="16">
        <v>0</v>
      </c>
      <c r="IH12" s="16">
        <v>0</v>
      </c>
      <c r="II12" s="16">
        <v>0</v>
      </c>
      <c r="IJ12" s="16">
        <v>0</v>
      </c>
      <c r="IK12" s="16">
        <v>0</v>
      </c>
      <c r="IL12" s="16">
        <v>0</v>
      </c>
      <c r="IM12" s="16">
        <v>0</v>
      </c>
      <c r="IN12" s="16">
        <v>0</v>
      </c>
      <c r="IO12" s="16">
        <v>0</v>
      </c>
      <c r="IP12" s="16">
        <v>0</v>
      </c>
      <c r="IQ12" s="16">
        <v>0</v>
      </c>
      <c r="IR12" s="16">
        <v>0</v>
      </c>
      <c r="IS12" s="16">
        <v>0</v>
      </c>
      <c r="IT12" s="16">
        <v>0</v>
      </c>
      <c r="IU12" s="16">
        <v>0</v>
      </c>
      <c r="IV12" s="16">
        <v>0</v>
      </c>
      <c r="IW12" s="16">
        <v>0</v>
      </c>
      <c r="IX12" s="16">
        <v>0</v>
      </c>
      <c r="IY12" s="16">
        <v>0</v>
      </c>
      <c r="IZ12" s="16">
        <v>0</v>
      </c>
      <c r="JA12" s="16">
        <v>0</v>
      </c>
      <c r="JB12" s="16">
        <v>0</v>
      </c>
      <c r="JC12" s="16">
        <v>0</v>
      </c>
      <c r="JD12" s="16">
        <v>0</v>
      </c>
      <c r="JE12" s="16">
        <v>0</v>
      </c>
      <c r="JF12" s="16">
        <v>0</v>
      </c>
      <c r="JG12" s="16">
        <v>0</v>
      </c>
      <c r="JH12" s="16">
        <v>0</v>
      </c>
      <c r="JI12" s="16">
        <v>0</v>
      </c>
      <c r="JJ12" s="16">
        <v>0</v>
      </c>
      <c r="JK12" s="16">
        <v>0</v>
      </c>
      <c r="JL12" s="16">
        <v>0</v>
      </c>
      <c r="JM12" s="16">
        <v>0</v>
      </c>
      <c r="JN12" s="16">
        <v>0</v>
      </c>
      <c r="JO12" s="16">
        <v>0</v>
      </c>
      <c r="JP12" s="16">
        <v>0</v>
      </c>
      <c r="JQ12" s="16">
        <v>0</v>
      </c>
      <c r="JR12" s="16">
        <v>0</v>
      </c>
      <c r="JS12" s="16">
        <v>0</v>
      </c>
      <c r="JT12" s="16">
        <v>0</v>
      </c>
      <c r="JU12" s="16">
        <v>0</v>
      </c>
      <c r="JV12" s="16">
        <v>0</v>
      </c>
      <c r="JW12" s="16">
        <v>129</v>
      </c>
      <c r="JX12" s="16">
        <v>107</v>
      </c>
      <c r="JY12" s="16">
        <v>112</v>
      </c>
      <c r="JZ12" s="16">
        <v>40</v>
      </c>
      <c r="KA12" s="16">
        <v>0</v>
      </c>
      <c r="KB12" s="16">
        <v>0</v>
      </c>
      <c r="KC12" s="16">
        <v>0</v>
      </c>
      <c r="KD12" s="16">
        <v>0</v>
      </c>
      <c r="KE12" s="16">
        <v>0</v>
      </c>
      <c r="KF12" s="16">
        <v>0</v>
      </c>
      <c r="KG12" s="16">
        <v>0</v>
      </c>
      <c r="KH12" s="16">
        <v>0</v>
      </c>
      <c r="KI12" s="16">
        <v>0</v>
      </c>
      <c r="KJ12" s="16">
        <v>0</v>
      </c>
      <c r="KK12" s="16">
        <v>0</v>
      </c>
      <c r="KL12" s="16">
        <v>0</v>
      </c>
      <c r="KM12" s="16">
        <v>0</v>
      </c>
      <c r="KN12" s="16">
        <v>0</v>
      </c>
      <c r="KO12" s="16">
        <v>0</v>
      </c>
      <c r="KP12" s="16">
        <v>0</v>
      </c>
      <c r="KQ12" s="16">
        <v>0</v>
      </c>
      <c r="KR12" s="16">
        <v>0</v>
      </c>
      <c r="KS12" s="16">
        <v>0</v>
      </c>
      <c r="KT12" s="16">
        <v>0</v>
      </c>
      <c r="KU12" s="16">
        <v>0</v>
      </c>
      <c r="KV12" s="16">
        <v>0</v>
      </c>
      <c r="KW12" s="16">
        <v>0</v>
      </c>
      <c r="KX12" s="16">
        <v>0</v>
      </c>
      <c r="KY12" s="16">
        <v>0</v>
      </c>
      <c r="KZ12" s="16">
        <v>0</v>
      </c>
      <c r="LA12" s="16">
        <v>0</v>
      </c>
      <c r="LB12" s="16">
        <v>0</v>
      </c>
      <c r="LC12" s="16">
        <v>0</v>
      </c>
      <c r="LD12" s="16">
        <v>96</v>
      </c>
      <c r="LE12" s="16">
        <v>0</v>
      </c>
      <c r="LF12" s="16">
        <v>0</v>
      </c>
      <c r="LG12" s="16">
        <v>0</v>
      </c>
      <c r="LH12" s="16">
        <v>0</v>
      </c>
      <c r="LI12" s="16">
        <v>0</v>
      </c>
      <c r="LJ12" s="16">
        <v>0</v>
      </c>
      <c r="LK12" s="16">
        <v>0</v>
      </c>
      <c r="LL12" s="16">
        <v>0</v>
      </c>
      <c r="LM12" s="16">
        <v>0</v>
      </c>
      <c r="LN12" s="16">
        <v>0</v>
      </c>
      <c r="LO12" s="16">
        <v>0</v>
      </c>
      <c r="LP12" s="16">
        <v>0</v>
      </c>
      <c r="LQ12" s="16">
        <v>0</v>
      </c>
      <c r="LR12" s="16">
        <v>0</v>
      </c>
      <c r="LS12" s="16">
        <v>0</v>
      </c>
      <c r="LT12" s="16">
        <v>0</v>
      </c>
      <c r="LU12" s="16">
        <v>0</v>
      </c>
      <c r="LV12" s="16">
        <v>0</v>
      </c>
      <c r="LW12" s="16">
        <v>0</v>
      </c>
      <c r="LX12" s="16">
        <v>0</v>
      </c>
      <c r="LY12" s="16">
        <v>0</v>
      </c>
      <c r="LZ12" s="16">
        <v>0</v>
      </c>
      <c r="MA12" s="16">
        <v>0</v>
      </c>
      <c r="MB12" s="16">
        <v>0</v>
      </c>
      <c r="MC12" s="16">
        <v>0</v>
      </c>
      <c r="MD12" s="16">
        <v>0</v>
      </c>
      <c r="ME12" s="16">
        <v>0</v>
      </c>
      <c r="MF12" s="16">
        <v>210</v>
      </c>
      <c r="MG12" s="16">
        <v>0</v>
      </c>
      <c r="MH12" s="16">
        <v>0</v>
      </c>
      <c r="MI12" s="16">
        <v>0</v>
      </c>
      <c r="MJ12" s="16">
        <v>0</v>
      </c>
      <c r="MK12" s="16">
        <v>0</v>
      </c>
      <c r="ML12" s="16">
        <v>0</v>
      </c>
      <c r="MM12" s="16">
        <v>0</v>
      </c>
      <c r="MN12" s="16">
        <v>0</v>
      </c>
      <c r="MO12" s="16">
        <v>0</v>
      </c>
      <c r="MP12" s="16">
        <v>0</v>
      </c>
      <c r="MQ12" s="16">
        <v>0</v>
      </c>
      <c r="MR12" s="16">
        <v>7104</v>
      </c>
      <c r="MS12" s="16">
        <v>87306</v>
      </c>
      <c r="MT12" s="16">
        <v>119</v>
      </c>
      <c r="MU12" s="16">
        <v>1973</v>
      </c>
      <c r="MV12" s="16">
        <v>0</v>
      </c>
      <c r="MW12" s="16">
        <v>0</v>
      </c>
      <c r="MX12" s="16">
        <v>6215</v>
      </c>
      <c r="MY12" s="16">
        <v>0</v>
      </c>
      <c r="MZ12" s="16">
        <v>229</v>
      </c>
      <c r="NA12" s="16">
        <v>10260</v>
      </c>
      <c r="NB12" s="16">
        <v>0</v>
      </c>
      <c r="NC12" s="16">
        <v>36392</v>
      </c>
      <c r="ND12" s="16">
        <v>0</v>
      </c>
      <c r="NE12" s="16">
        <v>0</v>
      </c>
      <c r="NF12" s="16">
        <v>0</v>
      </c>
      <c r="NG12" s="16">
        <v>0</v>
      </c>
      <c r="NH12" s="16">
        <v>0</v>
      </c>
      <c r="NI12" s="16">
        <v>0</v>
      </c>
      <c r="NJ12" s="16">
        <v>0</v>
      </c>
      <c r="NK12" s="16">
        <v>0</v>
      </c>
      <c r="NL12" s="16">
        <v>0</v>
      </c>
      <c r="NM12" s="16">
        <v>0</v>
      </c>
      <c r="NN12" s="16">
        <v>0</v>
      </c>
      <c r="NO12" s="16">
        <v>0</v>
      </c>
      <c r="NP12" s="16">
        <v>0</v>
      </c>
      <c r="NQ12" s="16">
        <v>43</v>
      </c>
      <c r="NR12" s="17">
        <v>910177</v>
      </c>
    </row>
    <row r="13" spans="1:382" ht="13.5" customHeight="1" x14ac:dyDescent="0.2">
      <c r="A13" s="2" t="s">
        <v>33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4547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1133</v>
      </c>
      <c r="AN13" s="16">
        <v>11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18488</v>
      </c>
      <c r="AV13" s="16">
        <v>204</v>
      </c>
      <c r="AW13" s="16">
        <v>1794</v>
      </c>
      <c r="AX13" s="16">
        <v>513321</v>
      </c>
      <c r="AY13" s="16">
        <v>100</v>
      </c>
      <c r="AZ13" s="16">
        <v>900980</v>
      </c>
      <c r="BA13" s="16">
        <v>804</v>
      </c>
      <c r="BB13" s="16">
        <v>72932</v>
      </c>
      <c r="BC13" s="16">
        <v>3960</v>
      </c>
      <c r="BD13" s="16">
        <v>0</v>
      </c>
      <c r="BE13" s="16">
        <v>0</v>
      </c>
      <c r="BF13" s="16">
        <v>3528</v>
      </c>
      <c r="BG13" s="16">
        <v>0</v>
      </c>
      <c r="BH13" s="16">
        <v>5365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179</v>
      </c>
      <c r="DN13" s="16">
        <v>0</v>
      </c>
      <c r="DO13" s="16">
        <v>4</v>
      </c>
      <c r="DP13" s="16">
        <v>0</v>
      </c>
      <c r="DQ13" s="16">
        <v>0</v>
      </c>
      <c r="DR13" s="16">
        <v>61</v>
      </c>
      <c r="DS13" s="16">
        <v>4698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  <c r="IB13" s="16">
        <v>0</v>
      </c>
      <c r="IC13" s="16">
        <v>0</v>
      </c>
      <c r="ID13" s="16">
        <v>0</v>
      </c>
      <c r="IE13" s="16">
        <v>0</v>
      </c>
      <c r="IF13" s="16">
        <v>0</v>
      </c>
      <c r="IG13" s="16">
        <v>0</v>
      </c>
      <c r="IH13" s="16">
        <v>0</v>
      </c>
      <c r="II13" s="16">
        <v>0</v>
      </c>
      <c r="IJ13" s="16">
        <v>0</v>
      </c>
      <c r="IK13" s="16">
        <v>0</v>
      </c>
      <c r="IL13" s="16">
        <v>0</v>
      </c>
      <c r="IM13" s="16">
        <v>0</v>
      </c>
      <c r="IN13" s="16">
        <v>0</v>
      </c>
      <c r="IO13" s="16">
        <v>0</v>
      </c>
      <c r="IP13" s="16">
        <v>0</v>
      </c>
      <c r="IQ13" s="16">
        <v>0</v>
      </c>
      <c r="IR13" s="16">
        <v>0</v>
      </c>
      <c r="IS13" s="16">
        <v>0</v>
      </c>
      <c r="IT13" s="16">
        <v>0</v>
      </c>
      <c r="IU13" s="16">
        <v>0</v>
      </c>
      <c r="IV13" s="16">
        <v>0</v>
      </c>
      <c r="IW13" s="16">
        <v>0</v>
      </c>
      <c r="IX13" s="16">
        <v>0</v>
      </c>
      <c r="IY13" s="16">
        <v>0</v>
      </c>
      <c r="IZ13" s="16">
        <v>0</v>
      </c>
      <c r="JA13" s="16">
        <v>0</v>
      </c>
      <c r="JB13" s="16">
        <v>0</v>
      </c>
      <c r="JC13" s="16">
        <v>0</v>
      </c>
      <c r="JD13" s="16">
        <v>0</v>
      </c>
      <c r="JE13" s="16">
        <v>0</v>
      </c>
      <c r="JF13" s="16">
        <v>0</v>
      </c>
      <c r="JG13" s="16">
        <v>61016</v>
      </c>
      <c r="JH13" s="16">
        <v>0</v>
      </c>
      <c r="JI13" s="16">
        <v>0</v>
      </c>
      <c r="JJ13" s="16">
        <v>0</v>
      </c>
      <c r="JK13" s="16">
        <v>0</v>
      </c>
      <c r="JL13" s="16">
        <v>0</v>
      </c>
      <c r="JM13" s="16">
        <v>0</v>
      </c>
      <c r="JN13" s="16">
        <v>0</v>
      </c>
      <c r="JO13" s="16">
        <v>0</v>
      </c>
      <c r="JP13" s="16">
        <v>0</v>
      </c>
      <c r="JQ13" s="16">
        <v>0</v>
      </c>
      <c r="JR13" s="16">
        <v>0</v>
      </c>
      <c r="JS13" s="16">
        <v>0</v>
      </c>
      <c r="JT13" s="16">
        <v>0</v>
      </c>
      <c r="JU13" s="16">
        <v>0</v>
      </c>
      <c r="JV13" s="16">
        <v>0</v>
      </c>
      <c r="JW13" s="16">
        <v>0</v>
      </c>
      <c r="JX13" s="16">
        <v>0</v>
      </c>
      <c r="JY13" s="16">
        <v>0</v>
      </c>
      <c r="JZ13" s="16">
        <v>0</v>
      </c>
      <c r="KA13" s="16">
        <v>0</v>
      </c>
      <c r="KB13" s="16">
        <v>0</v>
      </c>
      <c r="KC13" s="16">
        <v>0</v>
      </c>
      <c r="KD13" s="16">
        <v>0</v>
      </c>
      <c r="KE13" s="16">
        <v>0</v>
      </c>
      <c r="KF13" s="16">
        <v>0</v>
      </c>
      <c r="KG13" s="16">
        <v>0</v>
      </c>
      <c r="KH13" s="16">
        <v>0</v>
      </c>
      <c r="KI13" s="16">
        <v>0</v>
      </c>
      <c r="KJ13" s="16">
        <v>0</v>
      </c>
      <c r="KK13" s="16">
        <v>0</v>
      </c>
      <c r="KL13" s="16">
        <v>0</v>
      </c>
      <c r="KM13" s="16">
        <v>0</v>
      </c>
      <c r="KN13" s="16">
        <v>0</v>
      </c>
      <c r="KO13" s="16">
        <v>0</v>
      </c>
      <c r="KP13" s="16">
        <v>0</v>
      </c>
      <c r="KQ13" s="16">
        <v>0</v>
      </c>
      <c r="KR13" s="16">
        <v>0</v>
      </c>
      <c r="KS13" s="16">
        <v>0</v>
      </c>
      <c r="KT13" s="16">
        <v>0</v>
      </c>
      <c r="KU13" s="16">
        <v>0</v>
      </c>
      <c r="KV13" s="16">
        <v>0</v>
      </c>
      <c r="KW13" s="16">
        <v>0</v>
      </c>
      <c r="KX13" s="16">
        <v>0</v>
      </c>
      <c r="KY13" s="16">
        <v>0</v>
      </c>
      <c r="KZ13" s="16">
        <v>107492</v>
      </c>
      <c r="LA13" s="16">
        <v>29723</v>
      </c>
      <c r="LB13" s="16">
        <v>286</v>
      </c>
      <c r="LC13" s="16">
        <v>269984</v>
      </c>
      <c r="LD13" s="16">
        <v>0</v>
      </c>
      <c r="LE13" s="16">
        <v>0</v>
      </c>
      <c r="LF13" s="16">
        <v>0</v>
      </c>
      <c r="LG13" s="16">
        <v>0</v>
      </c>
      <c r="LH13" s="16">
        <v>0</v>
      </c>
      <c r="LI13" s="16">
        <v>0</v>
      </c>
      <c r="LJ13" s="16">
        <v>0</v>
      </c>
      <c r="LK13" s="16">
        <v>0</v>
      </c>
      <c r="LL13" s="16">
        <v>0</v>
      </c>
      <c r="LM13" s="16">
        <v>0</v>
      </c>
      <c r="LN13" s="16">
        <v>0</v>
      </c>
      <c r="LO13" s="16">
        <v>0</v>
      </c>
      <c r="LP13" s="16">
        <v>0</v>
      </c>
      <c r="LQ13" s="16">
        <v>0</v>
      </c>
      <c r="LR13" s="16">
        <v>0</v>
      </c>
      <c r="LS13" s="16">
        <v>0</v>
      </c>
      <c r="LT13" s="16">
        <v>0</v>
      </c>
      <c r="LU13" s="16">
        <v>0</v>
      </c>
      <c r="LV13" s="16">
        <v>0</v>
      </c>
      <c r="LW13" s="16">
        <v>0</v>
      </c>
      <c r="LX13" s="16">
        <v>0</v>
      </c>
      <c r="LY13" s="16">
        <v>0</v>
      </c>
      <c r="LZ13" s="16">
        <v>0</v>
      </c>
      <c r="MA13" s="16">
        <v>0</v>
      </c>
      <c r="MB13" s="16">
        <v>0</v>
      </c>
      <c r="MC13" s="16">
        <v>0</v>
      </c>
      <c r="MD13" s="16">
        <v>0</v>
      </c>
      <c r="ME13" s="16">
        <v>0</v>
      </c>
      <c r="MF13" s="16">
        <v>0</v>
      </c>
      <c r="MG13" s="16">
        <v>0</v>
      </c>
      <c r="MH13" s="16">
        <v>0</v>
      </c>
      <c r="MI13" s="16">
        <v>0</v>
      </c>
      <c r="MJ13" s="16">
        <v>0</v>
      </c>
      <c r="MK13" s="16">
        <v>0</v>
      </c>
      <c r="ML13" s="16">
        <v>0</v>
      </c>
      <c r="MM13" s="16">
        <v>21</v>
      </c>
      <c r="MN13" s="16">
        <v>0</v>
      </c>
      <c r="MO13" s="16">
        <v>0</v>
      </c>
      <c r="MP13" s="16">
        <v>0</v>
      </c>
      <c r="MQ13" s="16">
        <v>0</v>
      </c>
      <c r="MR13" s="16">
        <v>1</v>
      </c>
      <c r="MS13" s="16">
        <v>6</v>
      </c>
      <c r="MT13" s="16">
        <v>0</v>
      </c>
      <c r="MU13" s="16">
        <v>12761</v>
      </c>
      <c r="MV13" s="16">
        <v>0</v>
      </c>
      <c r="MW13" s="16">
        <v>0</v>
      </c>
      <c r="MX13" s="16">
        <v>0</v>
      </c>
      <c r="MY13" s="16">
        <v>14</v>
      </c>
      <c r="MZ13" s="16">
        <v>795</v>
      </c>
      <c r="NA13" s="16">
        <v>0</v>
      </c>
      <c r="NB13" s="16">
        <v>0</v>
      </c>
      <c r="NC13" s="16">
        <v>0</v>
      </c>
      <c r="ND13" s="16">
        <v>0</v>
      </c>
      <c r="NE13" s="16">
        <v>0</v>
      </c>
      <c r="NF13" s="16">
        <v>0</v>
      </c>
      <c r="NG13" s="16">
        <v>0</v>
      </c>
      <c r="NH13" s="16">
        <v>0</v>
      </c>
      <c r="NI13" s="16">
        <v>0</v>
      </c>
      <c r="NJ13" s="16">
        <v>0</v>
      </c>
      <c r="NK13" s="16">
        <v>0</v>
      </c>
      <c r="NL13" s="16">
        <v>0</v>
      </c>
      <c r="NM13" s="16">
        <v>0</v>
      </c>
      <c r="NN13" s="16">
        <v>0</v>
      </c>
      <c r="NO13" s="16">
        <v>0</v>
      </c>
      <c r="NP13" s="16">
        <v>0</v>
      </c>
      <c r="NQ13" s="16">
        <v>15</v>
      </c>
      <c r="NR13" s="17">
        <v>2014223</v>
      </c>
    </row>
    <row r="14" spans="1:382" ht="13.5" customHeight="1" x14ac:dyDescent="0.2">
      <c r="A14" s="2" t="s">
        <v>35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66</v>
      </c>
      <c r="O14" s="16">
        <v>2105</v>
      </c>
      <c r="P14" s="16">
        <v>5210</v>
      </c>
      <c r="Q14" s="16">
        <v>3290</v>
      </c>
      <c r="R14" s="16">
        <v>1363</v>
      </c>
      <c r="S14" s="16">
        <v>2091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337669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152907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98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  <c r="IB14" s="16">
        <v>0</v>
      </c>
      <c r="IC14" s="16">
        <v>0</v>
      </c>
      <c r="ID14" s="16">
        <v>0</v>
      </c>
      <c r="IE14" s="16">
        <v>0</v>
      </c>
      <c r="IF14" s="16">
        <v>0</v>
      </c>
      <c r="IG14" s="16">
        <v>0</v>
      </c>
      <c r="IH14" s="16">
        <v>0</v>
      </c>
      <c r="II14" s="16">
        <v>0</v>
      </c>
      <c r="IJ14" s="16">
        <v>0</v>
      </c>
      <c r="IK14" s="16">
        <v>0</v>
      </c>
      <c r="IL14" s="16">
        <v>0</v>
      </c>
      <c r="IM14" s="16">
        <v>0</v>
      </c>
      <c r="IN14" s="16">
        <v>0</v>
      </c>
      <c r="IO14" s="16">
        <v>0</v>
      </c>
      <c r="IP14" s="16">
        <v>0</v>
      </c>
      <c r="IQ14" s="16">
        <v>0</v>
      </c>
      <c r="IR14" s="16">
        <v>0</v>
      </c>
      <c r="IS14" s="16">
        <v>0</v>
      </c>
      <c r="IT14" s="16">
        <v>0</v>
      </c>
      <c r="IU14" s="16">
        <v>0</v>
      </c>
      <c r="IV14" s="16">
        <v>0</v>
      </c>
      <c r="IW14" s="16">
        <v>0</v>
      </c>
      <c r="IX14" s="16">
        <v>0</v>
      </c>
      <c r="IY14" s="16">
        <v>0</v>
      </c>
      <c r="IZ14" s="16">
        <v>0</v>
      </c>
      <c r="JA14" s="16">
        <v>0</v>
      </c>
      <c r="JB14" s="16">
        <v>0</v>
      </c>
      <c r="JC14" s="16">
        <v>0</v>
      </c>
      <c r="JD14" s="16">
        <v>0</v>
      </c>
      <c r="JE14" s="16">
        <v>0</v>
      </c>
      <c r="JF14" s="16">
        <v>0</v>
      </c>
      <c r="JG14" s="16">
        <v>7327</v>
      </c>
      <c r="JH14" s="16">
        <v>0</v>
      </c>
      <c r="JI14" s="16">
        <v>0</v>
      </c>
      <c r="JJ14" s="16">
        <v>0</v>
      </c>
      <c r="JK14" s="16">
        <v>0</v>
      </c>
      <c r="JL14" s="16">
        <v>0</v>
      </c>
      <c r="JM14" s="16">
        <v>0</v>
      </c>
      <c r="JN14" s="16">
        <v>0</v>
      </c>
      <c r="JO14" s="16">
        <v>0</v>
      </c>
      <c r="JP14" s="16">
        <v>0</v>
      </c>
      <c r="JQ14" s="16">
        <v>0</v>
      </c>
      <c r="JR14" s="16">
        <v>0</v>
      </c>
      <c r="JS14" s="16">
        <v>0</v>
      </c>
      <c r="JT14" s="16">
        <v>0</v>
      </c>
      <c r="JU14" s="16">
        <v>0</v>
      </c>
      <c r="JV14" s="16">
        <v>0</v>
      </c>
      <c r="JW14" s="16">
        <v>0</v>
      </c>
      <c r="JX14" s="16">
        <v>0</v>
      </c>
      <c r="JY14" s="16">
        <v>0</v>
      </c>
      <c r="JZ14" s="16">
        <v>0</v>
      </c>
      <c r="KA14" s="16">
        <v>0</v>
      </c>
      <c r="KB14" s="16">
        <v>0</v>
      </c>
      <c r="KC14" s="16">
        <v>0</v>
      </c>
      <c r="KD14" s="16">
        <v>0</v>
      </c>
      <c r="KE14" s="16">
        <v>0</v>
      </c>
      <c r="KF14" s="16">
        <v>0</v>
      </c>
      <c r="KG14" s="16">
        <v>0</v>
      </c>
      <c r="KH14" s="16">
        <v>0</v>
      </c>
      <c r="KI14" s="16">
        <v>0</v>
      </c>
      <c r="KJ14" s="16">
        <v>0</v>
      </c>
      <c r="KK14" s="16">
        <v>0</v>
      </c>
      <c r="KL14" s="16">
        <v>0</v>
      </c>
      <c r="KM14" s="16">
        <v>0</v>
      </c>
      <c r="KN14" s="16">
        <v>0</v>
      </c>
      <c r="KO14" s="16">
        <v>0</v>
      </c>
      <c r="KP14" s="16">
        <v>0</v>
      </c>
      <c r="KQ14" s="16">
        <v>0</v>
      </c>
      <c r="KR14" s="16">
        <v>0</v>
      </c>
      <c r="KS14" s="16">
        <v>0</v>
      </c>
      <c r="KT14" s="16">
        <v>0</v>
      </c>
      <c r="KU14" s="16">
        <v>0</v>
      </c>
      <c r="KV14" s="16">
        <v>0</v>
      </c>
      <c r="KW14" s="16">
        <v>0</v>
      </c>
      <c r="KX14" s="16">
        <v>0</v>
      </c>
      <c r="KY14" s="16">
        <v>0</v>
      </c>
      <c r="KZ14" s="16">
        <v>0</v>
      </c>
      <c r="LA14" s="16">
        <v>0</v>
      </c>
      <c r="LB14" s="16">
        <v>0</v>
      </c>
      <c r="LC14" s="16">
        <v>0</v>
      </c>
      <c r="LD14" s="16">
        <v>0</v>
      </c>
      <c r="LE14" s="16">
        <v>0</v>
      </c>
      <c r="LF14" s="16">
        <v>0</v>
      </c>
      <c r="LG14" s="16">
        <v>0</v>
      </c>
      <c r="LH14" s="16">
        <v>0</v>
      </c>
      <c r="LI14" s="16">
        <v>0</v>
      </c>
      <c r="LJ14" s="16">
        <v>0</v>
      </c>
      <c r="LK14" s="16">
        <v>0</v>
      </c>
      <c r="LL14" s="16">
        <v>0</v>
      </c>
      <c r="LM14" s="16">
        <v>0</v>
      </c>
      <c r="LN14" s="16">
        <v>0</v>
      </c>
      <c r="LO14" s="16">
        <v>0</v>
      </c>
      <c r="LP14" s="16">
        <v>0</v>
      </c>
      <c r="LQ14" s="16">
        <v>0</v>
      </c>
      <c r="LR14" s="16">
        <v>0</v>
      </c>
      <c r="LS14" s="16">
        <v>0</v>
      </c>
      <c r="LT14" s="16">
        <v>0</v>
      </c>
      <c r="LU14" s="16">
        <v>0</v>
      </c>
      <c r="LV14" s="16">
        <v>0</v>
      </c>
      <c r="LW14" s="16">
        <v>0</v>
      </c>
      <c r="LX14" s="16">
        <v>0</v>
      </c>
      <c r="LY14" s="16">
        <v>0</v>
      </c>
      <c r="LZ14" s="16">
        <v>0</v>
      </c>
      <c r="MA14" s="16">
        <v>0</v>
      </c>
      <c r="MB14" s="16">
        <v>0</v>
      </c>
      <c r="MC14" s="16">
        <v>0</v>
      </c>
      <c r="MD14" s="16">
        <v>0</v>
      </c>
      <c r="ME14" s="16">
        <v>0</v>
      </c>
      <c r="MF14" s="16">
        <v>465</v>
      </c>
      <c r="MG14" s="16">
        <v>0</v>
      </c>
      <c r="MH14" s="16">
        <v>0</v>
      </c>
      <c r="MI14" s="16">
        <v>0</v>
      </c>
      <c r="MJ14" s="16">
        <v>0</v>
      </c>
      <c r="MK14" s="16">
        <v>0</v>
      </c>
      <c r="ML14" s="16">
        <v>0</v>
      </c>
      <c r="MM14" s="16">
        <v>0</v>
      </c>
      <c r="MN14" s="16">
        <v>0</v>
      </c>
      <c r="MO14" s="16">
        <v>0</v>
      </c>
      <c r="MP14" s="16">
        <v>0</v>
      </c>
      <c r="MQ14" s="16">
        <v>0</v>
      </c>
      <c r="MR14" s="16">
        <v>41</v>
      </c>
      <c r="MS14" s="16">
        <v>4</v>
      </c>
      <c r="MT14" s="16">
        <v>0</v>
      </c>
      <c r="MU14" s="16">
        <v>0</v>
      </c>
      <c r="MV14" s="16">
        <v>0</v>
      </c>
      <c r="MW14" s="16">
        <v>0</v>
      </c>
      <c r="MX14" s="16">
        <v>0</v>
      </c>
      <c r="MY14" s="16">
        <v>0</v>
      </c>
      <c r="MZ14" s="16">
        <v>0</v>
      </c>
      <c r="NA14" s="16">
        <v>0</v>
      </c>
      <c r="NB14" s="16">
        <v>0</v>
      </c>
      <c r="NC14" s="16">
        <v>1</v>
      </c>
      <c r="ND14" s="16">
        <v>0</v>
      </c>
      <c r="NE14" s="16">
        <v>0</v>
      </c>
      <c r="NF14" s="16">
        <v>0</v>
      </c>
      <c r="NG14" s="16">
        <v>73</v>
      </c>
      <c r="NH14" s="16">
        <v>1535</v>
      </c>
      <c r="NI14" s="16">
        <v>0</v>
      </c>
      <c r="NJ14" s="16">
        <v>0</v>
      </c>
      <c r="NK14" s="16">
        <v>0</v>
      </c>
      <c r="NL14" s="16">
        <v>0</v>
      </c>
      <c r="NM14" s="16">
        <v>0</v>
      </c>
      <c r="NN14" s="16">
        <v>0</v>
      </c>
      <c r="NO14" s="16">
        <v>0</v>
      </c>
      <c r="NP14" s="16">
        <v>0</v>
      </c>
      <c r="NQ14" s="16">
        <v>3</v>
      </c>
      <c r="NR14" s="17">
        <v>514248</v>
      </c>
    </row>
    <row r="15" spans="1:382" ht="13.5" customHeight="1" x14ac:dyDescent="0.2">
      <c r="A15" s="2" t="s">
        <v>37</v>
      </c>
      <c r="B15" s="16">
        <v>5597</v>
      </c>
      <c r="C15" s="16">
        <v>70</v>
      </c>
      <c r="D15" s="16">
        <v>0</v>
      </c>
      <c r="E15" s="16">
        <v>0</v>
      </c>
      <c r="F15" s="16">
        <v>10098</v>
      </c>
      <c r="G15" s="16">
        <v>2054</v>
      </c>
      <c r="H15" s="16">
        <v>236</v>
      </c>
      <c r="I15" s="16">
        <v>2744</v>
      </c>
      <c r="J15" s="16">
        <v>0</v>
      </c>
      <c r="K15" s="16">
        <v>0</v>
      </c>
      <c r="L15" s="16">
        <v>0</v>
      </c>
      <c r="M15" s="16">
        <v>0</v>
      </c>
      <c r="N15" s="16">
        <v>33</v>
      </c>
      <c r="O15" s="16">
        <v>487</v>
      </c>
      <c r="P15" s="16">
        <v>953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509712</v>
      </c>
      <c r="AK15" s="16">
        <v>0</v>
      </c>
      <c r="AL15" s="16">
        <v>0</v>
      </c>
      <c r="AM15" s="16">
        <v>2040189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  <c r="IB15" s="16">
        <v>0</v>
      </c>
      <c r="IC15" s="16">
        <v>0</v>
      </c>
      <c r="ID15" s="16">
        <v>0</v>
      </c>
      <c r="IE15" s="16">
        <v>0</v>
      </c>
      <c r="IF15" s="16">
        <v>0</v>
      </c>
      <c r="IG15" s="16">
        <v>0</v>
      </c>
      <c r="IH15" s="16">
        <v>0</v>
      </c>
      <c r="II15" s="16">
        <v>0</v>
      </c>
      <c r="IJ15" s="16">
        <v>0</v>
      </c>
      <c r="IK15" s="16">
        <v>0</v>
      </c>
      <c r="IL15" s="16">
        <v>0</v>
      </c>
      <c r="IM15" s="16">
        <v>0</v>
      </c>
      <c r="IN15" s="16">
        <v>0</v>
      </c>
      <c r="IO15" s="16">
        <v>0</v>
      </c>
      <c r="IP15" s="16">
        <v>0</v>
      </c>
      <c r="IQ15" s="16">
        <v>0</v>
      </c>
      <c r="IR15" s="16">
        <v>0</v>
      </c>
      <c r="IS15" s="16">
        <v>0</v>
      </c>
      <c r="IT15" s="16">
        <v>0</v>
      </c>
      <c r="IU15" s="16">
        <v>0</v>
      </c>
      <c r="IV15" s="16">
        <v>0</v>
      </c>
      <c r="IW15" s="16">
        <v>0</v>
      </c>
      <c r="IX15" s="16">
        <v>0</v>
      </c>
      <c r="IY15" s="16">
        <v>0</v>
      </c>
      <c r="IZ15" s="16">
        <v>0</v>
      </c>
      <c r="JA15" s="16">
        <v>0</v>
      </c>
      <c r="JB15" s="16">
        <v>0</v>
      </c>
      <c r="JC15" s="16">
        <v>0</v>
      </c>
      <c r="JD15" s="16">
        <v>0</v>
      </c>
      <c r="JE15" s="16">
        <v>0</v>
      </c>
      <c r="JF15" s="16">
        <v>0</v>
      </c>
      <c r="JG15" s="16">
        <v>2589</v>
      </c>
      <c r="JH15" s="16">
        <v>0</v>
      </c>
      <c r="JI15" s="16">
        <v>0</v>
      </c>
      <c r="JJ15" s="16">
        <v>0</v>
      </c>
      <c r="JK15" s="16">
        <v>0</v>
      </c>
      <c r="JL15" s="16">
        <v>0</v>
      </c>
      <c r="JM15" s="16">
        <v>0</v>
      </c>
      <c r="JN15" s="16">
        <v>0</v>
      </c>
      <c r="JO15" s="16">
        <v>0</v>
      </c>
      <c r="JP15" s="16">
        <v>0</v>
      </c>
      <c r="JQ15" s="16">
        <v>0</v>
      </c>
      <c r="JR15" s="16">
        <v>0</v>
      </c>
      <c r="JS15" s="16">
        <v>0</v>
      </c>
      <c r="JT15" s="16">
        <v>0</v>
      </c>
      <c r="JU15" s="16">
        <v>0</v>
      </c>
      <c r="JV15" s="16">
        <v>0</v>
      </c>
      <c r="JW15" s="16">
        <v>0</v>
      </c>
      <c r="JX15" s="16">
        <v>0</v>
      </c>
      <c r="JY15" s="16">
        <v>0</v>
      </c>
      <c r="JZ15" s="16">
        <v>0</v>
      </c>
      <c r="KA15" s="16">
        <v>0</v>
      </c>
      <c r="KB15" s="16">
        <v>0</v>
      </c>
      <c r="KC15" s="16">
        <v>0</v>
      </c>
      <c r="KD15" s="16">
        <v>0</v>
      </c>
      <c r="KE15" s="16">
        <v>0</v>
      </c>
      <c r="KF15" s="16">
        <v>0</v>
      </c>
      <c r="KG15" s="16">
        <v>0</v>
      </c>
      <c r="KH15" s="16">
        <v>0</v>
      </c>
      <c r="KI15" s="16">
        <v>0</v>
      </c>
      <c r="KJ15" s="16">
        <v>0</v>
      </c>
      <c r="KK15" s="16">
        <v>0</v>
      </c>
      <c r="KL15" s="16">
        <v>0</v>
      </c>
      <c r="KM15" s="16">
        <v>0</v>
      </c>
      <c r="KN15" s="16">
        <v>0</v>
      </c>
      <c r="KO15" s="16">
        <v>0</v>
      </c>
      <c r="KP15" s="16">
        <v>0</v>
      </c>
      <c r="KQ15" s="16">
        <v>0</v>
      </c>
      <c r="KR15" s="16">
        <v>0</v>
      </c>
      <c r="KS15" s="16">
        <v>0</v>
      </c>
      <c r="KT15" s="16">
        <v>0</v>
      </c>
      <c r="KU15" s="16">
        <v>0</v>
      </c>
      <c r="KV15" s="16">
        <v>0</v>
      </c>
      <c r="KW15" s="16">
        <v>0</v>
      </c>
      <c r="KX15" s="16">
        <v>0</v>
      </c>
      <c r="KY15" s="16">
        <v>0</v>
      </c>
      <c r="KZ15" s="16">
        <v>0</v>
      </c>
      <c r="LA15" s="16">
        <v>0</v>
      </c>
      <c r="LB15" s="16">
        <v>0</v>
      </c>
      <c r="LC15" s="16">
        <v>0</v>
      </c>
      <c r="LD15" s="16">
        <v>0</v>
      </c>
      <c r="LE15" s="16">
        <v>0</v>
      </c>
      <c r="LF15" s="16">
        <v>0</v>
      </c>
      <c r="LG15" s="16">
        <v>0</v>
      </c>
      <c r="LH15" s="16">
        <v>0</v>
      </c>
      <c r="LI15" s="16">
        <v>0</v>
      </c>
      <c r="LJ15" s="16">
        <v>0</v>
      </c>
      <c r="LK15" s="16">
        <v>0</v>
      </c>
      <c r="LL15" s="16">
        <v>0</v>
      </c>
      <c r="LM15" s="16">
        <v>0</v>
      </c>
      <c r="LN15" s="16">
        <v>0</v>
      </c>
      <c r="LO15" s="16">
        <v>0</v>
      </c>
      <c r="LP15" s="16">
        <v>0</v>
      </c>
      <c r="LQ15" s="16">
        <v>0</v>
      </c>
      <c r="LR15" s="16">
        <v>0</v>
      </c>
      <c r="LS15" s="16">
        <v>0</v>
      </c>
      <c r="LT15" s="16">
        <v>0</v>
      </c>
      <c r="LU15" s="16">
        <v>0</v>
      </c>
      <c r="LV15" s="16">
        <v>0</v>
      </c>
      <c r="LW15" s="16">
        <v>0</v>
      </c>
      <c r="LX15" s="16">
        <v>0</v>
      </c>
      <c r="LY15" s="16">
        <v>0</v>
      </c>
      <c r="LZ15" s="16">
        <v>0</v>
      </c>
      <c r="MA15" s="16">
        <v>0</v>
      </c>
      <c r="MB15" s="16">
        <v>0</v>
      </c>
      <c r="MC15" s="16">
        <v>0</v>
      </c>
      <c r="MD15" s="16">
        <v>0</v>
      </c>
      <c r="ME15" s="16">
        <v>0</v>
      </c>
      <c r="MF15" s="16">
        <v>0</v>
      </c>
      <c r="MG15" s="16">
        <v>0</v>
      </c>
      <c r="MH15" s="16">
        <v>0</v>
      </c>
      <c r="MI15" s="16">
        <v>0</v>
      </c>
      <c r="MJ15" s="16">
        <v>0</v>
      </c>
      <c r="MK15" s="16">
        <v>0</v>
      </c>
      <c r="ML15" s="16">
        <v>0</v>
      </c>
      <c r="MM15" s="16">
        <v>0</v>
      </c>
      <c r="MN15" s="16">
        <v>0</v>
      </c>
      <c r="MO15" s="16">
        <v>0</v>
      </c>
      <c r="MP15" s="16">
        <v>0</v>
      </c>
      <c r="MQ15" s="16">
        <v>0</v>
      </c>
      <c r="MR15" s="16">
        <v>0</v>
      </c>
      <c r="MS15" s="16">
        <v>0</v>
      </c>
      <c r="MT15" s="16">
        <v>0</v>
      </c>
      <c r="MU15" s="16">
        <v>0</v>
      </c>
      <c r="MV15" s="16">
        <v>0</v>
      </c>
      <c r="MW15" s="16">
        <v>0</v>
      </c>
      <c r="MX15" s="16">
        <v>0</v>
      </c>
      <c r="MY15" s="16">
        <v>0</v>
      </c>
      <c r="MZ15" s="16">
        <v>0</v>
      </c>
      <c r="NA15" s="16">
        <v>0</v>
      </c>
      <c r="NB15" s="16">
        <v>0</v>
      </c>
      <c r="NC15" s="16">
        <v>0</v>
      </c>
      <c r="ND15" s="16">
        <v>0</v>
      </c>
      <c r="NE15" s="16">
        <v>0</v>
      </c>
      <c r="NF15" s="16">
        <v>0</v>
      </c>
      <c r="NG15" s="16">
        <v>0</v>
      </c>
      <c r="NH15" s="16">
        <v>0</v>
      </c>
      <c r="NI15" s="16">
        <v>0</v>
      </c>
      <c r="NJ15" s="16">
        <v>0</v>
      </c>
      <c r="NK15" s="16">
        <v>0</v>
      </c>
      <c r="NL15" s="16">
        <v>0</v>
      </c>
      <c r="NM15" s="16">
        <v>0</v>
      </c>
      <c r="NN15" s="16">
        <v>0</v>
      </c>
      <c r="NO15" s="16">
        <v>0</v>
      </c>
      <c r="NP15" s="16">
        <v>0</v>
      </c>
      <c r="NQ15" s="16">
        <v>0</v>
      </c>
      <c r="NR15" s="17">
        <v>2574762</v>
      </c>
    </row>
    <row r="16" spans="1:382" ht="13.5" customHeight="1" x14ac:dyDescent="0.2">
      <c r="A16" s="2" t="s">
        <v>39</v>
      </c>
      <c r="B16" s="16">
        <v>410</v>
      </c>
      <c r="C16" s="16">
        <v>6</v>
      </c>
      <c r="D16" s="16">
        <v>0</v>
      </c>
      <c r="E16" s="16">
        <v>0</v>
      </c>
      <c r="F16" s="16">
        <v>1486</v>
      </c>
      <c r="G16" s="16">
        <v>371</v>
      </c>
      <c r="H16" s="16">
        <v>0</v>
      </c>
      <c r="I16" s="16">
        <v>316</v>
      </c>
      <c r="J16" s="16">
        <v>1</v>
      </c>
      <c r="K16" s="16">
        <v>0</v>
      </c>
      <c r="L16" s="16">
        <v>0</v>
      </c>
      <c r="M16" s="16">
        <v>1080</v>
      </c>
      <c r="N16" s="16">
        <v>0</v>
      </c>
      <c r="O16" s="16">
        <v>2247</v>
      </c>
      <c r="P16" s="16">
        <v>3815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4682525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3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  <c r="IB16" s="16">
        <v>0</v>
      </c>
      <c r="IC16" s="16">
        <v>0</v>
      </c>
      <c r="ID16" s="16">
        <v>0</v>
      </c>
      <c r="IE16" s="16">
        <v>0</v>
      </c>
      <c r="IF16" s="16">
        <v>0</v>
      </c>
      <c r="IG16" s="16">
        <v>0</v>
      </c>
      <c r="IH16" s="16">
        <v>0</v>
      </c>
      <c r="II16" s="16">
        <v>0</v>
      </c>
      <c r="IJ16" s="16">
        <v>0</v>
      </c>
      <c r="IK16" s="16">
        <v>0</v>
      </c>
      <c r="IL16" s="16">
        <v>0</v>
      </c>
      <c r="IM16" s="16">
        <v>0</v>
      </c>
      <c r="IN16" s="16">
        <v>0</v>
      </c>
      <c r="IO16" s="16">
        <v>0</v>
      </c>
      <c r="IP16" s="16">
        <v>0</v>
      </c>
      <c r="IQ16" s="16">
        <v>0</v>
      </c>
      <c r="IR16" s="16">
        <v>0</v>
      </c>
      <c r="IS16" s="16">
        <v>0</v>
      </c>
      <c r="IT16" s="16">
        <v>0</v>
      </c>
      <c r="IU16" s="16">
        <v>0</v>
      </c>
      <c r="IV16" s="16">
        <v>0</v>
      </c>
      <c r="IW16" s="16">
        <v>0</v>
      </c>
      <c r="IX16" s="16">
        <v>0</v>
      </c>
      <c r="IY16" s="16">
        <v>0</v>
      </c>
      <c r="IZ16" s="16">
        <v>0</v>
      </c>
      <c r="JA16" s="16">
        <v>0</v>
      </c>
      <c r="JB16" s="16">
        <v>0</v>
      </c>
      <c r="JC16" s="16">
        <v>0</v>
      </c>
      <c r="JD16" s="16">
        <v>0</v>
      </c>
      <c r="JE16" s="16">
        <v>0</v>
      </c>
      <c r="JF16" s="16">
        <v>0</v>
      </c>
      <c r="JG16" s="16">
        <v>0</v>
      </c>
      <c r="JH16" s="16">
        <v>0</v>
      </c>
      <c r="JI16" s="16">
        <v>0</v>
      </c>
      <c r="JJ16" s="16">
        <v>0</v>
      </c>
      <c r="JK16" s="16">
        <v>0</v>
      </c>
      <c r="JL16" s="16">
        <v>0</v>
      </c>
      <c r="JM16" s="16">
        <v>0</v>
      </c>
      <c r="JN16" s="16">
        <v>0</v>
      </c>
      <c r="JO16" s="16">
        <v>0</v>
      </c>
      <c r="JP16" s="16">
        <v>0</v>
      </c>
      <c r="JQ16" s="16">
        <v>0</v>
      </c>
      <c r="JR16" s="16">
        <v>0</v>
      </c>
      <c r="JS16" s="16">
        <v>0</v>
      </c>
      <c r="JT16" s="16">
        <v>0</v>
      </c>
      <c r="JU16" s="16">
        <v>0</v>
      </c>
      <c r="JV16" s="16">
        <v>0</v>
      </c>
      <c r="JW16" s="16">
        <v>0</v>
      </c>
      <c r="JX16" s="16">
        <v>0</v>
      </c>
      <c r="JY16" s="16">
        <v>0</v>
      </c>
      <c r="JZ16" s="16">
        <v>0</v>
      </c>
      <c r="KA16" s="16">
        <v>0</v>
      </c>
      <c r="KB16" s="16">
        <v>0</v>
      </c>
      <c r="KC16" s="16">
        <v>0</v>
      </c>
      <c r="KD16" s="16">
        <v>0</v>
      </c>
      <c r="KE16" s="16">
        <v>0</v>
      </c>
      <c r="KF16" s="16">
        <v>0</v>
      </c>
      <c r="KG16" s="16">
        <v>0</v>
      </c>
      <c r="KH16" s="16">
        <v>0</v>
      </c>
      <c r="KI16" s="16">
        <v>0</v>
      </c>
      <c r="KJ16" s="16">
        <v>0</v>
      </c>
      <c r="KK16" s="16">
        <v>0</v>
      </c>
      <c r="KL16" s="16">
        <v>0</v>
      </c>
      <c r="KM16" s="16">
        <v>0</v>
      </c>
      <c r="KN16" s="16">
        <v>0</v>
      </c>
      <c r="KO16" s="16">
        <v>0</v>
      </c>
      <c r="KP16" s="16">
        <v>0</v>
      </c>
      <c r="KQ16" s="16">
        <v>0</v>
      </c>
      <c r="KR16" s="16">
        <v>0</v>
      </c>
      <c r="KS16" s="16">
        <v>0</v>
      </c>
      <c r="KT16" s="16">
        <v>0</v>
      </c>
      <c r="KU16" s="16">
        <v>0</v>
      </c>
      <c r="KV16" s="16">
        <v>0</v>
      </c>
      <c r="KW16" s="16">
        <v>0</v>
      </c>
      <c r="KX16" s="16">
        <v>0</v>
      </c>
      <c r="KY16" s="16">
        <v>0</v>
      </c>
      <c r="KZ16" s="16">
        <v>0</v>
      </c>
      <c r="LA16" s="16">
        <v>0</v>
      </c>
      <c r="LB16" s="16">
        <v>0</v>
      </c>
      <c r="LC16" s="16">
        <v>0</v>
      </c>
      <c r="LD16" s="16">
        <v>0</v>
      </c>
      <c r="LE16" s="16">
        <v>0</v>
      </c>
      <c r="LF16" s="16">
        <v>0</v>
      </c>
      <c r="LG16" s="16">
        <v>0</v>
      </c>
      <c r="LH16" s="16">
        <v>0</v>
      </c>
      <c r="LI16" s="16">
        <v>0</v>
      </c>
      <c r="LJ16" s="16">
        <v>0</v>
      </c>
      <c r="LK16" s="16">
        <v>0</v>
      </c>
      <c r="LL16" s="16">
        <v>0</v>
      </c>
      <c r="LM16" s="16">
        <v>0</v>
      </c>
      <c r="LN16" s="16">
        <v>0</v>
      </c>
      <c r="LO16" s="16">
        <v>0</v>
      </c>
      <c r="LP16" s="16">
        <v>0</v>
      </c>
      <c r="LQ16" s="16">
        <v>0</v>
      </c>
      <c r="LR16" s="16">
        <v>0</v>
      </c>
      <c r="LS16" s="16">
        <v>0</v>
      </c>
      <c r="LT16" s="16">
        <v>0</v>
      </c>
      <c r="LU16" s="16">
        <v>0</v>
      </c>
      <c r="LV16" s="16">
        <v>0</v>
      </c>
      <c r="LW16" s="16">
        <v>0</v>
      </c>
      <c r="LX16" s="16">
        <v>0</v>
      </c>
      <c r="LY16" s="16">
        <v>0</v>
      </c>
      <c r="LZ16" s="16">
        <v>0</v>
      </c>
      <c r="MA16" s="16">
        <v>0</v>
      </c>
      <c r="MB16" s="16">
        <v>0</v>
      </c>
      <c r="MC16" s="16">
        <v>365</v>
      </c>
      <c r="MD16" s="16">
        <v>0</v>
      </c>
      <c r="ME16" s="16">
        <v>0</v>
      </c>
      <c r="MF16" s="16">
        <v>0</v>
      </c>
      <c r="MG16" s="16">
        <v>0</v>
      </c>
      <c r="MH16" s="16">
        <v>0</v>
      </c>
      <c r="MI16" s="16">
        <v>0</v>
      </c>
      <c r="MJ16" s="16">
        <v>0</v>
      </c>
      <c r="MK16" s="16">
        <v>0</v>
      </c>
      <c r="ML16" s="16">
        <v>0</v>
      </c>
      <c r="MM16" s="16">
        <v>0</v>
      </c>
      <c r="MN16" s="16">
        <v>0</v>
      </c>
      <c r="MO16" s="16">
        <v>0</v>
      </c>
      <c r="MP16" s="16">
        <v>0</v>
      </c>
      <c r="MQ16" s="16">
        <v>0</v>
      </c>
      <c r="MR16" s="16">
        <v>0</v>
      </c>
      <c r="MS16" s="16">
        <v>19</v>
      </c>
      <c r="MT16" s="16">
        <v>0</v>
      </c>
      <c r="MU16" s="16">
        <v>0</v>
      </c>
      <c r="MV16" s="16">
        <v>0</v>
      </c>
      <c r="MW16" s="16">
        <v>0</v>
      </c>
      <c r="MX16" s="16">
        <v>2</v>
      </c>
      <c r="MY16" s="16">
        <v>0</v>
      </c>
      <c r="MZ16" s="16">
        <v>0</v>
      </c>
      <c r="NA16" s="16">
        <v>0</v>
      </c>
      <c r="NB16" s="16">
        <v>0</v>
      </c>
      <c r="NC16" s="16">
        <v>0</v>
      </c>
      <c r="ND16" s="16">
        <v>0</v>
      </c>
      <c r="NE16" s="16">
        <v>0</v>
      </c>
      <c r="NF16" s="16">
        <v>0</v>
      </c>
      <c r="NG16" s="16">
        <v>0</v>
      </c>
      <c r="NH16" s="16">
        <v>0</v>
      </c>
      <c r="NI16" s="16">
        <v>0</v>
      </c>
      <c r="NJ16" s="16">
        <v>0</v>
      </c>
      <c r="NK16" s="16">
        <v>0</v>
      </c>
      <c r="NL16" s="16">
        <v>0</v>
      </c>
      <c r="NM16" s="16">
        <v>0</v>
      </c>
      <c r="NN16" s="16">
        <v>0</v>
      </c>
      <c r="NO16" s="16">
        <v>0</v>
      </c>
      <c r="NP16" s="16">
        <v>0</v>
      </c>
      <c r="NQ16" s="16">
        <v>0</v>
      </c>
      <c r="NR16" s="17">
        <v>4692646</v>
      </c>
    </row>
    <row r="17" spans="1:382" ht="13.5" customHeight="1" x14ac:dyDescent="0.2">
      <c r="A17" s="2" t="s">
        <v>41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16671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8097814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99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  <c r="IB17" s="16">
        <v>0</v>
      </c>
      <c r="IC17" s="16">
        <v>0</v>
      </c>
      <c r="ID17" s="16">
        <v>0</v>
      </c>
      <c r="IE17" s="16">
        <v>0</v>
      </c>
      <c r="IF17" s="16">
        <v>0</v>
      </c>
      <c r="IG17" s="16">
        <v>0</v>
      </c>
      <c r="IH17" s="16">
        <v>0</v>
      </c>
      <c r="II17" s="16">
        <v>0</v>
      </c>
      <c r="IJ17" s="16">
        <v>0</v>
      </c>
      <c r="IK17" s="16">
        <v>0</v>
      </c>
      <c r="IL17" s="16">
        <v>0</v>
      </c>
      <c r="IM17" s="16">
        <v>0</v>
      </c>
      <c r="IN17" s="16">
        <v>0</v>
      </c>
      <c r="IO17" s="16">
        <v>0</v>
      </c>
      <c r="IP17" s="16">
        <v>0</v>
      </c>
      <c r="IQ17" s="16">
        <v>0</v>
      </c>
      <c r="IR17" s="16">
        <v>0</v>
      </c>
      <c r="IS17" s="16">
        <v>0</v>
      </c>
      <c r="IT17" s="16">
        <v>0</v>
      </c>
      <c r="IU17" s="16">
        <v>0</v>
      </c>
      <c r="IV17" s="16">
        <v>0</v>
      </c>
      <c r="IW17" s="16">
        <v>0</v>
      </c>
      <c r="IX17" s="16">
        <v>0</v>
      </c>
      <c r="IY17" s="16">
        <v>0</v>
      </c>
      <c r="IZ17" s="16">
        <v>0</v>
      </c>
      <c r="JA17" s="16">
        <v>0</v>
      </c>
      <c r="JB17" s="16">
        <v>0</v>
      </c>
      <c r="JC17" s="16">
        <v>0</v>
      </c>
      <c r="JD17" s="16">
        <v>0</v>
      </c>
      <c r="JE17" s="16">
        <v>0</v>
      </c>
      <c r="JF17" s="16">
        <v>0</v>
      </c>
      <c r="JG17" s="16">
        <v>0</v>
      </c>
      <c r="JH17" s="16">
        <v>0</v>
      </c>
      <c r="JI17" s="16">
        <v>0</v>
      </c>
      <c r="JJ17" s="16">
        <v>0</v>
      </c>
      <c r="JK17" s="16">
        <v>0</v>
      </c>
      <c r="JL17" s="16">
        <v>0</v>
      </c>
      <c r="JM17" s="16">
        <v>0</v>
      </c>
      <c r="JN17" s="16">
        <v>0</v>
      </c>
      <c r="JO17" s="16">
        <v>0</v>
      </c>
      <c r="JP17" s="16">
        <v>0</v>
      </c>
      <c r="JQ17" s="16">
        <v>0</v>
      </c>
      <c r="JR17" s="16">
        <v>0</v>
      </c>
      <c r="JS17" s="16">
        <v>0</v>
      </c>
      <c r="JT17" s="16">
        <v>0</v>
      </c>
      <c r="JU17" s="16">
        <v>0</v>
      </c>
      <c r="JV17" s="16">
        <v>0</v>
      </c>
      <c r="JW17" s="16">
        <v>0</v>
      </c>
      <c r="JX17" s="16">
        <v>0</v>
      </c>
      <c r="JY17" s="16">
        <v>0</v>
      </c>
      <c r="JZ17" s="16">
        <v>0</v>
      </c>
      <c r="KA17" s="16">
        <v>0</v>
      </c>
      <c r="KB17" s="16">
        <v>0</v>
      </c>
      <c r="KC17" s="16">
        <v>0</v>
      </c>
      <c r="KD17" s="16">
        <v>0</v>
      </c>
      <c r="KE17" s="16">
        <v>0</v>
      </c>
      <c r="KF17" s="16">
        <v>0</v>
      </c>
      <c r="KG17" s="16">
        <v>0</v>
      </c>
      <c r="KH17" s="16">
        <v>0</v>
      </c>
      <c r="KI17" s="16">
        <v>0</v>
      </c>
      <c r="KJ17" s="16">
        <v>0</v>
      </c>
      <c r="KK17" s="16">
        <v>0</v>
      </c>
      <c r="KL17" s="16">
        <v>0</v>
      </c>
      <c r="KM17" s="16">
        <v>0</v>
      </c>
      <c r="KN17" s="16">
        <v>0</v>
      </c>
      <c r="KO17" s="16">
        <v>0</v>
      </c>
      <c r="KP17" s="16">
        <v>0</v>
      </c>
      <c r="KQ17" s="16">
        <v>0</v>
      </c>
      <c r="KR17" s="16">
        <v>0</v>
      </c>
      <c r="KS17" s="16">
        <v>0</v>
      </c>
      <c r="KT17" s="16">
        <v>0</v>
      </c>
      <c r="KU17" s="16">
        <v>0</v>
      </c>
      <c r="KV17" s="16">
        <v>0</v>
      </c>
      <c r="KW17" s="16">
        <v>0</v>
      </c>
      <c r="KX17" s="16">
        <v>0</v>
      </c>
      <c r="KY17" s="16">
        <v>0</v>
      </c>
      <c r="KZ17" s="16">
        <v>0</v>
      </c>
      <c r="LA17" s="16">
        <v>0</v>
      </c>
      <c r="LB17" s="16">
        <v>0</v>
      </c>
      <c r="LC17" s="16">
        <v>0</v>
      </c>
      <c r="LD17" s="16">
        <v>0</v>
      </c>
      <c r="LE17" s="16">
        <v>0</v>
      </c>
      <c r="LF17" s="16">
        <v>0</v>
      </c>
      <c r="LG17" s="16">
        <v>0</v>
      </c>
      <c r="LH17" s="16">
        <v>0</v>
      </c>
      <c r="LI17" s="16">
        <v>0</v>
      </c>
      <c r="LJ17" s="16">
        <v>0</v>
      </c>
      <c r="LK17" s="16">
        <v>0</v>
      </c>
      <c r="LL17" s="16">
        <v>0</v>
      </c>
      <c r="LM17" s="16">
        <v>0</v>
      </c>
      <c r="LN17" s="16">
        <v>0</v>
      </c>
      <c r="LO17" s="16">
        <v>0</v>
      </c>
      <c r="LP17" s="16">
        <v>0</v>
      </c>
      <c r="LQ17" s="16">
        <v>0</v>
      </c>
      <c r="LR17" s="16">
        <v>0</v>
      </c>
      <c r="LS17" s="16">
        <v>0</v>
      </c>
      <c r="LT17" s="16">
        <v>0</v>
      </c>
      <c r="LU17" s="16">
        <v>0</v>
      </c>
      <c r="LV17" s="16">
        <v>0</v>
      </c>
      <c r="LW17" s="16">
        <v>0</v>
      </c>
      <c r="LX17" s="16">
        <v>0</v>
      </c>
      <c r="LY17" s="16">
        <v>0</v>
      </c>
      <c r="LZ17" s="16">
        <v>0</v>
      </c>
      <c r="MA17" s="16">
        <v>0</v>
      </c>
      <c r="MB17" s="16">
        <v>0</v>
      </c>
      <c r="MC17" s="16">
        <v>2516</v>
      </c>
      <c r="MD17" s="16">
        <v>0</v>
      </c>
      <c r="ME17" s="16">
        <v>0</v>
      </c>
      <c r="MF17" s="16">
        <v>0</v>
      </c>
      <c r="MG17" s="16">
        <v>0</v>
      </c>
      <c r="MH17" s="16">
        <v>0</v>
      </c>
      <c r="MI17" s="16">
        <v>0</v>
      </c>
      <c r="MJ17" s="16">
        <v>0</v>
      </c>
      <c r="MK17" s="16">
        <v>0</v>
      </c>
      <c r="ML17" s="16">
        <v>0</v>
      </c>
      <c r="MM17" s="16">
        <v>0</v>
      </c>
      <c r="MN17" s="16">
        <v>0</v>
      </c>
      <c r="MO17" s="16">
        <v>0</v>
      </c>
      <c r="MP17" s="16">
        <v>0</v>
      </c>
      <c r="MQ17" s="16">
        <v>0</v>
      </c>
      <c r="MR17" s="16">
        <v>0</v>
      </c>
      <c r="MS17" s="16">
        <v>0</v>
      </c>
      <c r="MT17" s="16">
        <v>0</v>
      </c>
      <c r="MU17" s="16">
        <v>0</v>
      </c>
      <c r="MV17" s="16">
        <v>0</v>
      </c>
      <c r="MW17" s="16">
        <v>0</v>
      </c>
      <c r="MX17" s="16">
        <v>0</v>
      </c>
      <c r="MY17" s="16">
        <v>0</v>
      </c>
      <c r="MZ17" s="16">
        <v>0</v>
      </c>
      <c r="NA17" s="16">
        <v>0</v>
      </c>
      <c r="NB17" s="16">
        <v>0</v>
      </c>
      <c r="NC17" s="16">
        <v>0</v>
      </c>
      <c r="ND17" s="16">
        <v>0</v>
      </c>
      <c r="NE17" s="16">
        <v>0</v>
      </c>
      <c r="NF17" s="16">
        <v>0</v>
      </c>
      <c r="NG17" s="16">
        <v>0</v>
      </c>
      <c r="NH17" s="16">
        <v>0</v>
      </c>
      <c r="NI17" s="16">
        <v>0</v>
      </c>
      <c r="NJ17" s="16">
        <v>0</v>
      </c>
      <c r="NK17" s="16">
        <v>0</v>
      </c>
      <c r="NL17" s="16">
        <v>0</v>
      </c>
      <c r="NM17" s="16">
        <v>0</v>
      </c>
      <c r="NN17" s="16">
        <v>0</v>
      </c>
      <c r="NO17" s="16">
        <v>0</v>
      </c>
      <c r="NP17" s="16">
        <v>0</v>
      </c>
      <c r="NQ17" s="16">
        <v>0</v>
      </c>
      <c r="NR17" s="17">
        <v>8117100</v>
      </c>
    </row>
    <row r="18" spans="1:382" ht="13.5" customHeight="1" x14ac:dyDescent="0.2">
      <c r="A18" s="2" t="s">
        <v>43</v>
      </c>
      <c r="B18" s="16">
        <v>105</v>
      </c>
      <c r="C18" s="16">
        <v>10</v>
      </c>
      <c r="D18" s="16">
        <v>0</v>
      </c>
      <c r="E18" s="16">
        <v>0</v>
      </c>
      <c r="F18" s="16">
        <v>4465</v>
      </c>
      <c r="G18" s="16">
        <v>262</v>
      </c>
      <c r="H18" s="16">
        <v>2</v>
      </c>
      <c r="I18" s="16">
        <v>145</v>
      </c>
      <c r="J18" s="16">
        <v>0</v>
      </c>
      <c r="K18" s="16">
        <v>0</v>
      </c>
      <c r="L18" s="16">
        <v>0</v>
      </c>
      <c r="M18" s="16">
        <v>933</v>
      </c>
      <c r="N18" s="16">
        <v>0</v>
      </c>
      <c r="O18" s="16">
        <v>0</v>
      </c>
      <c r="P18" s="16">
        <v>0</v>
      </c>
      <c r="Q18" s="16">
        <v>0</v>
      </c>
      <c r="R18" s="16">
        <v>578191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3432829</v>
      </c>
      <c r="AL18" s="16">
        <v>137</v>
      </c>
      <c r="AM18" s="16">
        <v>33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432692</v>
      </c>
      <c r="AV18" s="16">
        <v>0</v>
      </c>
      <c r="AW18" s="16">
        <v>7966</v>
      </c>
      <c r="AX18" s="16">
        <v>0</v>
      </c>
      <c r="AY18" s="16">
        <v>0</v>
      </c>
      <c r="AZ18" s="16">
        <v>0</v>
      </c>
      <c r="BA18" s="16">
        <v>9</v>
      </c>
      <c r="BB18" s="16">
        <v>3677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197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  <c r="IB18" s="16">
        <v>0</v>
      </c>
      <c r="IC18" s="16">
        <v>0</v>
      </c>
      <c r="ID18" s="16">
        <v>0</v>
      </c>
      <c r="IE18" s="16">
        <v>0</v>
      </c>
      <c r="IF18" s="16">
        <v>0</v>
      </c>
      <c r="IG18" s="16">
        <v>0</v>
      </c>
      <c r="IH18" s="16">
        <v>0</v>
      </c>
      <c r="II18" s="16">
        <v>0</v>
      </c>
      <c r="IJ18" s="16">
        <v>0</v>
      </c>
      <c r="IK18" s="16">
        <v>0</v>
      </c>
      <c r="IL18" s="16">
        <v>0</v>
      </c>
      <c r="IM18" s="16">
        <v>0</v>
      </c>
      <c r="IN18" s="16">
        <v>0</v>
      </c>
      <c r="IO18" s="16">
        <v>0</v>
      </c>
      <c r="IP18" s="16">
        <v>0</v>
      </c>
      <c r="IQ18" s="16">
        <v>0</v>
      </c>
      <c r="IR18" s="16">
        <v>0</v>
      </c>
      <c r="IS18" s="16">
        <v>0</v>
      </c>
      <c r="IT18" s="16">
        <v>0</v>
      </c>
      <c r="IU18" s="16">
        <v>0</v>
      </c>
      <c r="IV18" s="16">
        <v>0</v>
      </c>
      <c r="IW18" s="16">
        <v>0</v>
      </c>
      <c r="IX18" s="16">
        <v>0</v>
      </c>
      <c r="IY18" s="16">
        <v>0</v>
      </c>
      <c r="IZ18" s="16">
        <v>0</v>
      </c>
      <c r="JA18" s="16">
        <v>0</v>
      </c>
      <c r="JB18" s="16">
        <v>0</v>
      </c>
      <c r="JC18" s="16">
        <v>0</v>
      </c>
      <c r="JD18" s="16">
        <v>0</v>
      </c>
      <c r="JE18" s="16">
        <v>0</v>
      </c>
      <c r="JF18" s="16">
        <v>0</v>
      </c>
      <c r="JG18" s="16">
        <v>2916</v>
      </c>
      <c r="JH18" s="16">
        <v>0</v>
      </c>
      <c r="JI18" s="16">
        <v>0</v>
      </c>
      <c r="JJ18" s="16">
        <v>0</v>
      </c>
      <c r="JK18" s="16">
        <v>0</v>
      </c>
      <c r="JL18" s="16">
        <v>0</v>
      </c>
      <c r="JM18" s="16">
        <v>0</v>
      </c>
      <c r="JN18" s="16">
        <v>0</v>
      </c>
      <c r="JO18" s="16">
        <v>0</v>
      </c>
      <c r="JP18" s="16">
        <v>0</v>
      </c>
      <c r="JQ18" s="16">
        <v>0</v>
      </c>
      <c r="JR18" s="16">
        <v>0</v>
      </c>
      <c r="JS18" s="16">
        <v>0</v>
      </c>
      <c r="JT18" s="16">
        <v>0</v>
      </c>
      <c r="JU18" s="16">
        <v>0</v>
      </c>
      <c r="JV18" s="16">
        <v>0</v>
      </c>
      <c r="JW18" s="16">
        <v>0</v>
      </c>
      <c r="JX18" s="16">
        <v>0</v>
      </c>
      <c r="JY18" s="16">
        <v>0</v>
      </c>
      <c r="JZ18" s="16">
        <v>0</v>
      </c>
      <c r="KA18" s="16">
        <v>0</v>
      </c>
      <c r="KB18" s="16">
        <v>0</v>
      </c>
      <c r="KC18" s="16">
        <v>0</v>
      </c>
      <c r="KD18" s="16">
        <v>0</v>
      </c>
      <c r="KE18" s="16">
        <v>0</v>
      </c>
      <c r="KF18" s="16">
        <v>0</v>
      </c>
      <c r="KG18" s="16">
        <v>0</v>
      </c>
      <c r="KH18" s="16">
        <v>0</v>
      </c>
      <c r="KI18" s="16">
        <v>0</v>
      </c>
      <c r="KJ18" s="16">
        <v>0</v>
      </c>
      <c r="KK18" s="16">
        <v>0</v>
      </c>
      <c r="KL18" s="16">
        <v>0</v>
      </c>
      <c r="KM18" s="16">
        <v>0</v>
      </c>
      <c r="KN18" s="16">
        <v>0</v>
      </c>
      <c r="KO18" s="16">
        <v>0</v>
      </c>
      <c r="KP18" s="16">
        <v>0</v>
      </c>
      <c r="KQ18" s="16">
        <v>0</v>
      </c>
      <c r="KR18" s="16">
        <v>0</v>
      </c>
      <c r="KS18" s="16">
        <v>0</v>
      </c>
      <c r="KT18" s="16">
        <v>0</v>
      </c>
      <c r="KU18" s="16">
        <v>0</v>
      </c>
      <c r="KV18" s="16">
        <v>0</v>
      </c>
      <c r="KW18" s="16">
        <v>0</v>
      </c>
      <c r="KX18" s="16">
        <v>0</v>
      </c>
      <c r="KY18" s="16">
        <v>0</v>
      </c>
      <c r="KZ18" s="16">
        <v>1236355</v>
      </c>
      <c r="LA18" s="16">
        <v>257501</v>
      </c>
      <c r="LB18" s="16">
        <v>68711</v>
      </c>
      <c r="LC18" s="16">
        <v>877</v>
      </c>
      <c r="LD18" s="16">
        <v>0</v>
      </c>
      <c r="LE18" s="16">
        <v>0</v>
      </c>
      <c r="LF18" s="16">
        <v>0</v>
      </c>
      <c r="LG18" s="16">
        <v>0</v>
      </c>
      <c r="LH18" s="16">
        <v>0</v>
      </c>
      <c r="LI18" s="16">
        <v>0</v>
      </c>
      <c r="LJ18" s="16">
        <v>0</v>
      </c>
      <c r="LK18" s="16">
        <v>0</v>
      </c>
      <c r="LL18" s="16">
        <v>0</v>
      </c>
      <c r="LM18" s="16">
        <v>0</v>
      </c>
      <c r="LN18" s="16">
        <v>0</v>
      </c>
      <c r="LO18" s="16">
        <v>0</v>
      </c>
      <c r="LP18" s="16">
        <v>0</v>
      </c>
      <c r="LQ18" s="16">
        <v>0</v>
      </c>
      <c r="LR18" s="16">
        <v>0</v>
      </c>
      <c r="LS18" s="16">
        <v>0</v>
      </c>
      <c r="LT18" s="16">
        <v>0</v>
      </c>
      <c r="LU18" s="16">
        <v>0</v>
      </c>
      <c r="LV18" s="16">
        <v>0</v>
      </c>
      <c r="LW18" s="16">
        <v>0</v>
      </c>
      <c r="LX18" s="16">
        <v>0</v>
      </c>
      <c r="LY18" s="16">
        <v>0</v>
      </c>
      <c r="LZ18" s="16">
        <v>0</v>
      </c>
      <c r="MA18" s="16">
        <v>0</v>
      </c>
      <c r="MB18" s="16">
        <v>0</v>
      </c>
      <c r="MC18" s="16">
        <v>16</v>
      </c>
      <c r="MD18" s="16">
        <v>0</v>
      </c>
      <c r="ME18" s="16">
        <v>0</v>
      </c>
      <c r="MF18" s="16">
        <v>0</v>
      </c>
      <c r="MG18" s="16">
        <v>0</v>
      </c>
      <c r="MH18" s="16">
        <v>0</v>
      </c>
      <c r="MI18" s="16">
        <v>0</v>
      </c>
      <c r="MJ18" s="16">
        <v>0</v>
      </c>
      <c r="MK18" s="16">
        <v>0</v>
      </c>
      <c r="ML18" s="16">
        <v>0</v>
      </c>
      <c r="MM18" s="16">
        <v>0</v>
      </c>
      <c r="MN18" s="16">
        <v>0</v>
      </c>
      <c r="MO18" s="16">
        <v>0</v>
      </c>
      <c r="MP18" s="16">
        <v>0</v>
      </c>
      <c r="MQ18" s="16">
        <v>0</v>
      </c>
      <c r="MR18" s="16">
        <v>50</v>
      </c>
      <c r="MS18" s="16">
        <v>0</v>
      </c>
      <c r="MT18" s="16">
        <v>0</v>
      </c>
      <c r="MU18" s="16">
        <v>150528</v>
      </c>
      <c r="MV18" s="16">
        <v>0</v>
      </c>
      <c r="MW18" s="16">
        <v>0</v>
      </c>
      <c r="MX18" s="16">
        <v>0</v>
      </c>
      <c r="MY18" s="16">
        <v>0</v>
      </c>
      <c r="MZ18" s="16">
        <v>0</v>
      </c>
      <c r="NA18" s="16">
        <v>0</v>
      </c>
      <c r="NB18" s="16">
        <v>15740</v>
      </c>
      <c r="NC18" s="16">
        <v>0</v>
      </c>
      <c r="ND18" s="16">
        <v>0</v>
      </c>
      <c r="NE18" s="16">
        <v>0</v>
      </c>
      <c r="NF18" s="16">
        <v>0</v>
      </c>
      <c r="NG18" s="16">
        <v>0</v>
      </c>
      <c r="NH18" s="16">
        <v>0</v>
      </c>
      <c r="NI18" s="16">
        <v>0</v>
      </c>
      <c r="NJ18" s="16">
        <v>0</v>
      </c>
      <c r="NK18" s="16">
        <v>0</v>
      </c>
      <c r="NL18" s="16">
        <v>0</v>
      </c>
      <c r="NM18" s="16">
        <v>0</v>
      </c>
      <c r="NN18" s="16">
        <v>0</v>
      </c>
      <c r="NO18" s="16">
        <v>0</v>
      </c>
      <c r="NP18" s="16">
        <v>0</v>
      </c>
      <c r="NQ18" s="16">
        <v>78</v>
      </c>
      <c r="NR18" s="17">
        <v>6194425</v>
      </c>
    </row>
    <row r="19" spans="1:382" ht="13.5" customHeight="1" x14ac:dyDescent="0.2">
      <c r="A19" s="2" t="s">
        <v>45</v>
      </c>
      <c r="B19" s="16">
        <v>439</v>
      </c>
      <c r="C19" s="16">
        <v>140</v>
      </c>
      <c r="D19" s="16">
        <v>0</v>
      </c>
      <c r="E19" s="16">
        <v>0</v>
      </c>
      <c r="F19" s="16">
        <v>2675</v>
      </c>
      <c r="G19" s="16">
        <v>221</v>
      </c>
      <c r="H19" s="16">
        <v>0</v>
      </c>
      <c r="I19" s="16">
        <v>164</v>
      </c>
      <c r="J19" s="16">
        <v>0</v>
      </c>
      <c r="K19" s="16">
        <v>0</v>
      </c>
      <c r="L19" s="16">
        <v>14</v>
      </c>
      <c r="M19" s="16">
        <v>4289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20154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520</v>
      </c>
      <c r="AK19" s="16">
        <v>0</v>
      </c>
      <c r="AL19" s="16">
        <v>0</v>
      </c>
      <c r="AM19" s="16">
        <v>8361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235</v>
      </c>
      <c r="AV19" s="16">
        <v>0</v>
      </c>
      <c r="AW19" s="16">
        <v>0</v>
      </c>
      <c r="AX19" s="16">
        <v>0</v>
      </c>
      <c r="AY19" s="16">
        <v>0</v>
      </c>
      <c r="AZ19" s="16">
        <v>6287</v>
      </c>
      <c r="BA19" s="16">
        <v>80918</v>
      </c>
      <c r="BB19" s="16">
        <v>49705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1396</v>
      </c>
      <c r="BI19" s="16">
        <v>0</v>
      </c>
      <c r="BJ19" s="16">
        <v>44909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1596</v>
      </c>
      <c r="BT19" s="16">
        <v>0</v>
      </c>
      <c r="BU19" s="16">
        <v>0</v>
      </c>
      <c r="BV19" s="16">
        <v>52724</v>
      </c>
      <c r="BW19" s="16">
        <v>0</v>
      </c>
      <c r="BX19" s="16">
        <v>1244</v>
      </c>
      <c r="BY19" s="16">
        <v>4637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73826</v>
      </c>
      <c r="DN19" s="16">
        <v>0</v>
      </c>
      <c r="DO19" s="16">
        <v>379</v>
      </c>
      <c r="DP19" s="16">
        <v>0</v>
      </c>
      <c r="DQ19" s="16">
        <v>0</v>
      </c>
      <c r="DR19" s="16">
        <v>1180</v>
      </c>
      <c r="DS19" s="16">
        <v>2138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  <c r="IB19" s="16">
        <v>0</v>
      </c>
      <c r="IC19" s="16">
        <v>0</v>
      </c>
      <c r="ID19" s="16">
        <v>0</v>
      </c>
      <c r="IE19" s="16">
        <v>0</v>
      </c>
      <c r="IF19" s="16">
        <v>0</v>
      </c>
      <c r="IG19" s="16">
        <v>0</v>
      </c>
      <c r="IH19" s="16">
        <v>0</v>
      </c>
      <c r="II19" s="16">
        <v>0</v>
      </c>
      <c r="IJ19" s="16">
        <v>0</v>
      </c>
      <c r="IK19" s="16">
        <v>0</v>
      </c>
      <c r="IL19" s="16">
        <v>0</v>
      </c>
      <c r="IM19" s="16">
        <v>0</v>
      </c>
      <c r="IN19" s="16">
        <v>0</v>
      </c>
      <c r="IO19" s="16">
        <v>0</v>
      </c>
      <c r="IP19" s="16">
        <v>0</v>
      </c>
      <c r="IQ19" s="16">
        <v>0</v>
      </c>
      <c r="IR19" s="16">
        <v>0</v>
      </c>
      <c r="IS19" s="16">
        <v>0</v>
      </c>
      <c r="IT19" s="16">
        <v>0</v>
      </c>
      <c r="IU19" s="16">
        <v>0</v>
      </c>
      <c r="IV19" s="16">
        <v>0</v>
      </c>
      <c r="IW19" s="16">
        <v>0</v>
      </c>
      <c r="IX19" s="16">
        <v>0</v>
      </c>
      <c r="IY19" s="16">
        <v>0</v>
      </c>
      <c r="IZ19" s="16">
        <v>0</v>
      </c>
      <c r="JA19" s="16">
        <v>0</v>
      </c>
      <c r="JB19" s="16">
        <v>0</v>
      </c>
      <c r="JC19" s="16">
        <v>0</v>
      </c>
      <c r="JD19" s="16">
        <v>0</v>
      </c>
      <c r="JE19" s="16">
        <v>1313</v>
      </c>
      <c r="JF19" s="16">
        <v>604</v>
      </c>
      <c r="JG19" s="16">
        <v>2976</v>
      </c>
      <c r="JH19" s="16">
        <v>0</v>
      </c>
      <c r="JI19" s="16">
        <v>0</v>
      </c>
      <c r="JJ19" s="16">
        <v>0</v>
      </c>
      <c r="JK19" s="16">
        <v>0</v>
      </c>
      <c r="JL19" s="16">
        <v>0</v>
      </c>
      <c r="JM19" s="16">
        <v>0</v>
      </c>
      <c r="JN19" s="16">
        <v>0</v>
      </c>
      <c r="JO19" s="16">
        <v>0</v>
      </c>
      <c r="JP19" s="16">
        <v>0</v>
      </c>
      <c r="JQ19" s="16">
        <v>0</v>
      </c>
      <c r="JR19" s="16">
        <v>0</v>
      </c>
      <c r="JS19" s="16">
        <v>0</v>
      </c>
      <c r="JT19" s="16">
        <v>0</v>
      </c>
      <c r="JU19" s="16">
        <v>0</v>
      </c>
      <c r="JV19" s="16">
        <v>0</v>
      </c>
      <c r="JW19" s="16">
        <v>0</v>
      </c>
      <c r="JX19" s="16">
        <v>0</v>
      </c>
      <c r="JY19" s="16">
        <v>0</v>
      </c>
      <c r="JZ19" s="16">
        <v>0</v>
      </c>
      <c r="KA19" s="16">
        <v>0</v>
      </c>
      <c r="KB19" s="16">
        <v>0</v>
      </c>
      <c r="KC19" s="16">
        <v>0</v>
      </c>
      <c r="KD19" s="16">
        <v>0</v>
      </c>
      <c r="KE19" s="16">
        <v>0</v>
      </c>
      <c r="KF19" s="16">
        <v>0</v>
      </c>
      <c r="KG19" s="16">
        <v>0</v>
      </c>
      <c r="KH19" s="16">
        <v>0</v>
      </c>
      <c r="KI19" s="16">
        <v>0</v>
      </c>
      <c r="KJ19" s="16">
        <v>0</v>
      </c>
      <c r="KK19" s="16">
        <v>0</v>
      </c>
      <c r="KL19" s="16">
        <v>0</v>
      </c>
      <c r="KM19" s="16">
        <v>0</v>
      </c>
      <c r="KN19" s="16">
        <v>0</v>
      </c>
      <c r="KO19" s="16">
        <v>0</v>
      </c>
      <c r="KP19" s="16">
        <v>0</v>
      </c>
      <c r="KQ19" s="16">
        <v>0</v>
      </c>
      <c r="KR19" s="16">
        <v>0</v>
      </c>
      <c r="KS19" s="16">
        <v>0</v>
      </c>
      <c r="KT19" s="16">
        <v>0</v>
      </c>
      <c r="KU19" s="16">
        <v>0</v>
      </c>
      <c r="KV19" s="16">
        <v>0</v>
      </c>
      <c r="KW19" s="16">
        <v>0</v>
      </c>
      <c r="KX19" s="16">
        <v>0</v>
      </c>
      <c r="KY19" s="16">
        <v>0</v>
      </c>
      <c r="KZ19" s="16">
        <v>15922</v>
      </c>
      <c r="LA19" s="16">
        <v>20208</v>
      </c>
      <c r="LB19" s="16">
        <v>6</v>
      </c>
      <c r="LC19" s="16">
        <v>12511</v>
      </c>
      <c r="LD19" s="16">
        <v>0</v>
      </c>
      <c r="LE19" s="16">
        <v>0</v>
      </c>
      <c r="LF19" s="16">
        <v>0</v>
      </c>
      <c r="LG19" s="16">
        <v>0</v>
      </c>
      <c r="LH19" s="16">
        <v>0</v>
      </c>
      <c r="LI19" s="16">
        <v>0</v>
      </c>
      <c r="LJ19" s="16">
        <v>0</v>
      </c>
      <c r="LK19" s="16">
        <v>0</v>
      </c>
      <c r="LL19" s="16">
        <v>0</v>
      </c>
      <c r="LM19" s="16">
        <v>0</v>
      </c>
      <c r="LN19" s="16">
        <v>0</v>
      </c>
      <c r="LO19" s="16">
        <v>0</v>
      </c>
      <c r="LP19" s="16">
        <v>0</v>
      </c>
      <c r="LQ19" s="16">
        <v>0</v>
      </c>
      <c r="LR19" s="16">
        <v>0</v>
      </c>
      <c r="LS19" s="16">
        <v>0</v>
      </c>
      <c r="LT19" s="16">
        <v>0</v>
      </c>
      <c r="LU19" s="16">
        <v>0</v>
      </c>
      <c r="LV19" s="16">
        <v>0</v>
      </c>
      <c r="LW19" s="16">
        <v>0</v>
      </c>
      <c r="LX19" s="16">
        <v>0</v>
      </c>
      <c r="LY19" s="16">
        <v>0</v>
      </c>
      <c r="LZ19" s="16">
        <v>0</v>
      </c>
      <c r="MA19" s="16">
        <v>0</v>
      </c>
      <c r="MB19" s="16">
        <v>0</v>
      </c>
      <c r="MC19" s="16">
        <v>705</v>
      </c>
      <c r="MD19" s="16">
        <v>542</v>
      </c>
      <c r="ME19" s="16">
        <v>0</v>
      </c>
      <c r="MF19" s="16">
        <v>6447</v>
      </c>
      <c r="MG19" s="16">
        <v>0</v>
      </c>
      <c r="MH19" s="16">
        <v>0</v>
      </c>
      <c r="MI19" s="16">
        <v>0</v>
      </c>
      <c r="MJ19" s="16">
        <v>0</v>
      </c>
      <c r="MK19" s="16">
        <v>0</v>
      </c>
      <c r="ML19" s="16">
        <v>0</v>
      </c>
      <c r="MM19" s="16">
        <v>286</v>
      </c>
      <c r="MN19" s="16">
        <v>0</v>
      </c>
      <c r="MO19" s="16">
        <v>0</v>
      </c>
      <c r="MP19" s="16">
        <v>0</v>
      </c>
      <c r="MQ19" s="16">
        <v>0</v>
      </c>
      <c r="MR19" s="16">
        <v>181</v>
      </c>
      <c r="MS19" s="16">
        <v>231</v>
      </c>
      <c r="MT19" s="16">
        <v>0</v>
      </c>
      <c r="MU19" s="16">
        <v>1319</v>
      </c>
      <c r="MV19" s="16">
        <v>0</v>
      </c>
      <c r="MW19" s="16">
        <v>0</v>
      </c>
      <c r="MX19" s="16">
        <v>0</v>
      </c>
      <c r="MY19" s="16">
        <v>0</v>
      </c>
      <c r="MZ19" s="16">
        <v>56613</v>
      </c>
      <c r="NA19" s="16">
        <v>0</v>
      </c>
      <c r="NB19" s="16">
        <v>0</v>
      </c>
      <c r="NC19" s="16">
        <v>197</v>
      </c>
      <c r="ND19" s="16">
        <v>0</v>
      </c>
      <c r="NE19" s="16">
        <v>5</v>
      </c>
      <c r="NF19" s="16">
        <v>0</v>
      </c>
      <c r="NG19" s="16">
        <v>0</v>
      </c>
      <c r="NH19" s="16">
        <v>0</v>
      </c>
      <c r="NI19" s="16">
        <v>0</v>
      </c>
      <c r="NJ19" s="16">
        <v>0</v>
      </c>
      <c r="NK19" s="16">
        <v>0</v>
      </c>
      <c r="NL19" s="16">
        <v>0</v>
      </c>
      <c r="NM19" s="16">
        <v>0</v>
      </c>
      <c r="NN19" s="16">
        <v>0</v>
      </c>
      <c r="NO19" s="16">
        <v>0</v>
      </c>
      <c r="NP19" s="16">
        <v>0</v>
      </c>
      <c r="NQ19" s="16">
        <v>25</v>
      </c>
      <c r="NR19" s="17">
        <v>478242</v>
      </c>
    </row>
    <row r="20" spans="1:382" ht="13.5" customHeight="1" x14ac:dyDescent="0.2">
      <c r="A20" s="2" t="s">
        <v>47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33411</v>
      </c>
      <c r="U20" s="16">
        <v>85493</v>
      </c>
      <c r="V20" s="16">
        <v>0</v>
      </c>
      <c r="W20" s="16">
        <v>0</v>
      </c>
      <c r="X20" s="16">
        <v>19</v>
      </c>
      <c r="Y20" s="16">
        <v>113</v>
      </c>
      <c r="Z20" s="16">
        <v>181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4</v>
      </c>
      <c r="AG20" s="16">
        <v>98</v>
      </c>
      <c r="AH20" s="16">
        <v>34</v>
      </c>
      <c r="AI20" s="16">
        <v>73</v>
      </c>
      <c r="AJ20" s="16">
        <v>182</v>
      </c>
      <c r="AK20" s="16">
        <v>38</v>
      </c>
      <c r="AL20" s="16">
        <v>10</v>
      </c>
      <c r="AM20" s="16">
        <v>75</v>
      </c>
      <c r="AN20" s="16">
        <v>26</v>
      </c>
      <c r="AO20" s="16">
        <v>37</v>
      </c>
      <c r="AP20" s="16">
        <v>1</v>
      </c>
      <c r="AQ20" s="16">
        <v>79</v>
      </c>
      <c r="AR20" s="16">
        <v>0</v>
      </c>
      <c r="AS20" s="16">
        <v>13</v>
      </c>
      <c r="AT20" s="16">
        <v>29</v>
      </c>
      <c r="AU20" s="16">
        <v>66</v>
      </c>
      <c r="AV20" s="16">
        <v>3</v>
      </c>
      <c r="AW20" s="16">
        <v>71</v>
      </c>
      <c r="AX20" s="16">
        <v>3</v>
      </c>
      <c r="AY20" s="16">
        <v>37</v>
      </c>
      <c r="AZ20" s="16">
        <v>25</v>
      </c>
      <c r="BA20" s="16">
        <v>8</v>
      </c>
      <c r="BB20" s="16">
        <v>15</v>
      </c>
      <c r="BC20" s="16">
        <v>72</v>
      </c>
      <c r="BD20" s="16">
        <v>2</v>
      </c>
      <c r="BE20" s="16">
        <v>29</v>
      </c>
      <c r="BF20" s="16">
        <v>186</v>
      </c>
      <c r="BG20" s="16">
        <v>20</v>
      </c>
      <c r="BH20" s="16">
        <v>43</v>
      </c>
      <c r="BI20" s="16">
        <v>61</v>
      </c>
      <c r="BJ20" s="16">
        <v>10</v>
      </c>
      <c r="BK20" s="16">
        <v>9</v>
      </c>
      <c r="BL20" s="16">
        <v>72</v>
      </c>
      <c r="BM20" s="16">
        <v>8</v>
      </c>
      <c r="BN20" s="16">
        <v>43</v>
      </c>
      <c r="BO20" s="16">
        <v>66</v>
      </c>
      <c r="BP20" s="16">
        <v>47</v>
      </c>
      <c r="BQ20" s="16">
        <v>7</v>
      </c>
      <c r="BR20" s="16">
        <v>2</v>
      </c>
      <c r="BS20" s="16">
        <v>206</v>
      </c>
      <c r="BT20" s="16">
        <v>1</v>
      </c>
      <c r="BU20" s="16">
        <v>15</v>
      </c>
      <c r="BV20" s="16">
        <v>3</v>
      </c>
      <c r="BW20" s="16">
        <v>6</v>
      </c>
      <c r="BX20" s="16">
        <v>1</v>
      </c>
      <c r="BY20" s="16">
        <v>0</v>
      </c>
      <c r="BZ20" s="16">
        <v>32</v>
      </c>
      <c r="CA20" s="16">
        <v>17</v>
      </c>
      <c r="CB20" s="16">
        <v>10</v>
      </c>
      <c r="CC20" s="16">
        <v>55</v>
      </c>
      <c r="CD20" s="16">
        <v>24</v>
      </c>
      <c r="CE20" s="16">
        <v>18</v>
      </c>
      <c r="CF20" s="16">
        <v>36</v>
      </c>
      <c r="CG20" s="16">
        <v>18</v>
      </c>
      <c r="CH20" s="16">
        <v>21</v>
      </c>
      <c r="CI20" s="16">
        <v>4</v>
      </c>
      <c r="CJ20" s="16">
        <v>45</v>
      </c>
      <c r="CK20" s="16">
        <v>117</v>
      </c>
      <c r="CL20" s="16">
        <v>17</v>
      </c>
      <c r="CM20" s="16">
        <v>48</v>
      </c>
      <c r="CN20" s="16">
        <v>14</v>
      </c>
      <c r="CO20" s="16">
        <v>51</v>
      </c>
      <c r="CP20" s="16">
        <v>91</v>
      </c>
      <c r="CQ20" s="16">
        <v>545</v>
      </c>
      <c r="CR20" s="16">
        <v>15</v>
      </c>
      <c r="CS20" s="16">
        <v>9</v>
      </c>
      <c r="CT20" s="16">
        <v>34</v>
      </c>
      <c r="CU20" s="16">
        <v>39</v>
      </c>
      <c r="CV20" s="16">
        <v>14</v>
      </c>
      <c r="CW20" s="16">
        <v>139</v>
      </c>
      <c r="CX20" s="16">
        <v>41</v>
      </c>
      <c r="CY20" s="16">
        <v>9</v>
      </c>
      <c r="CZ20" s="16">
        <v>37</v>
      </c>
      <c r="DA20" s="16">
        <v>5</v>
      </c>
      <c r="DB20" s="16">
        <v>103</v>
      </c>
      <c r="DC20" s="16">
        <v>20</v>
      </c>
      <c r="DD20" s="16">
        <v>143</v>
      </c>
      <c r="DE20" s="16">
        <v>118</v>
      </c>
      <c r="DF20" s="16">
        <v>248</v>
      </c>
      <c r="DG20" s="16">
        <v>36</v>
      </c>
      <c r="DH20" s="16">
        <v>79</v>
      </c>
      <c r="DI20" s="16">
        <v>15</v>
      </c>
      <c r="DJ20" s="16">
        <v>791</v>
      </c>
      <c r="DK20" s="16">
        <v>35</v>
      </c>
      <c r="DL20" s="16">
        <v>86</v>
      </c>
      <c r="DM20" s="16">
        <v>263</v>
      </c>
      <c r="DN20" s="16">
        <v>18</v>
      </c>
      <c r="DO20" s="16">
        <v>46</v>
      </c>
      <c r="DP20" s="16">
        <v>126</v>
      </c>
      <c r="DQ20" s="16">
        <v>9</v>
      </c>
      <c r="DR20" s="16">
        <v>21</v>
      </c>
      <c r="DS20" s="16">
        <v>157</v>
      </c>
      <c r="DT20" s="16">
        <v>40</v>
      </c>
      <c r="DU20" s="16">
        <v>31</v>
      </c>
      <c r="DV20" s="16">
        <v>7</v>
      </c>
      <c r="DW20" s="16">
        <v>135</v>
      </c>
      <c r="DX20" s="16">
        <v>101</v>
      </c>
      <c r="DY20" s="16">
        <v>183</v>
      </c>
      <c r="DZ20" s="16">
        <v>321</v>
      </c>
      <c r="EA20" s="16">
        <v>120</v>
      </c>
      <c r="EB20" s="16">
        <v>6</v>
      </c>
      <c r="EC20" s="16">
        <v>30</v>
      </c>
      <c r="ED20" s="16">
        <v>18</v>
      </c>
      <c r="EE20" s="16">
        <v>2</v>
      </c>
      <c r="EF20" s="16">
        <v>1</v>
      </c>
      <c r="EG20" s="16">
        <v>20</v>
      </c>
      <c r="EH20" s="16">
        <v>10</v>
      </c>
      <c r="EI20" s="16">
        <v>22</v>
      </c>
      <c r="EJ20" s="16">
        <v>24</v>
      </c>
      <c r="EK20" s="16">
        <v>2</v>
      </c>
      <c r="EL20" s="16">
        <v>8</v>
      </c>
      <c r="EM20" s="16">
        <v>7</v>
      </c>
      <c r="EN20" s="16">
        <v>151</v>
      </c>
      <c r="EO20" s="16">
        <v>85</v>
      </c>
      <c r="EP20" s="16">
        <v>18</v>
      </c>
      <c r="EQ20" s="16">
        <v>36</v>
      </c>
      <c r="ER20" s="16">
        <v>9</v>
      </c>
      <c r="ES20" s="16">
        <v>26</v>
      </c>
      <c r="ET20" s="16">
        <v>175</v>
      </c>
      <c r="EU20" s="16">
        <v>4</v>
      </c>
      <c r="EV20" s="16">
        <v>2</v>
      </c>
      <c r="EW20" s="16">
        <v>0</v>
      </c>
      <c r="EX20" s="16">
        <v>495</v>
      </c>
      <c r="EY20" s="16">
        <v>31</v>
      </c>
      <c r="EZ20" s="16">
        <v>2</v>
      </c>
      <c r="FA20" s="16">
        <v>4</v>
      </c>
      <c r="FB20" s="16">
        <v>0</v>
      </c>
      <c r="FC20" s="16">
        <v>8</v>
      </c>
      <c r="FD20" s="16">
        <v>75</v>
      </c>
      <c r="FE20" s="16">
        <v>8</v>
      </c>
      <c r="FF20" s="16">
        <v>25</v>
      </c>
      <c r="FG20" s="16">
        <v>34</v>
      </c>
      <c r="FH20" s="16">
        <v>15</v>
      </c>
      <c r="FI20" s="16">
        <v>14</v>
      </c>
      <c r="FJ20" s="16">
        <v>15</v>
      </c>
      <c r="FK20" s="16">
        <v>25</v>
      </c>
      <c r="FL20" s="16">
        <v>16</v>
      </c>
      <c r="FM20" s="16">
        <v>34</v>
      </c>
      <c r="FN20" s="16">
        <v>137</v>
      </c>
      <c r="FO20" s="16">
        <v>75</v>
      </c>
      <c r="FP20" s="16">
        <v>57</v>
      </c>
      <c r="FQ20" s="16">
        <v>182</v>
      </c>
      <c r="FR20" s="16">
        <v>38</v>
      </c>
      <c r="FS20" s="16">
        <v>51</v>
      </c>
      <c r="FT20" s="16">
        <v>40</v>
      </c>
      <c r="FU20" s="16">
        <v>62</v>
      </c>
      <c r="FV20" s="16">
        <v>85</v>
      </c>
      <c r="FW20" s="16">
        <v>71</v>
      </c>
      <c r="FX20" s="16">
        <v>179</v>
      </c>
      <c r="FY20" s="16">
        <v>26</v>
      </c>
      <c r="FZ20" s="16">
        <v>62</v>
      </c>
      <c r="GA20" s="16">
        <v>17</v>
      </c>
      <c r="GB20" s="16">
        <v>280</v>
      </c>
      <c r="GC20" s="16">
        <v>35</v>
      </c>
      <c r="GD20" s="16">
        <v>75</v>
      </c>
      <c r="GE20" s="16">
        <v>6</v>
      </c>
      <c r="GF20" s="16">
        <v>196</v>
      </c>
      <c r="GG20" s="16">
        <v>2</v>
      </c>
      <c r="GH20" s="16">
        <v>26</v>
      </c>
      <c r="GI20" s="16">
        <v>5</v>
      </c>
      <c r="GJ20" s="16">
        <v>68</v>
      </c>
      <c r="GK20" s="16">
        <v>6</v>
      </c>
      <c r="GL20" s="16">
        <v>136</v>
      </c>
      <c r="GM20" s="16">
        <v>429</v>
      </c>
      <c r="GN20" s="16">
        <v>10</v>
      </c>
      <c r="GO20" s="16">
        <v>150</v>
      </c>
      <c r="GP20" s="16">
        <v>12</v>
      </c>
      <c r="GQ20" s="16">
        <v>0</v>
      </c>
      <c r="GR20" s="16">
        <v>26</v>
      </c>
      <c r="GS20" s="16">
        <v>4</v>
      </c>
      <c r="GT20" s="16">
        <v>2</v>
      </c>
      <c r="GU20" s="16">
        <v>86</v>
      </c>
      <c r="GV20" s="16">
        <v>15</v>
      </c>
      <c r="GW20" s="16">
        <v>47</v>
      </c>
      <c r="GX20" s="16">
        <v>3</v>
      </c>
      <c r="GY20" s="16">
        <v>5</v>
      </c>
      <c r="GZ20" s="16">
        <v>12</v>
      </c>
      <c r="HA20" s="16">
        <v>17</v>
      </c>
      <c r="HB20" s="16">
        <v>17</v>
      </c>
      <c r="HC20" s="16">
        <v>14</v>
      </c>
      <c r="HD20" s="16">
        <v>59</v>
      </c>
      <c r="HE20" s="16">
        <v>12</v>
      </c>
      <c r="HF20" s="16">
        <v>34</v>
      </c>
      <c r="HG20" s="16">
        <v>23</v>
      </c>
      <c r="HH20" s="16">
        <v>11</v>
      </c>
      <c r="HI20" s="16">
        <v>33</v>
      </c>
      <c r="HJ20" s="16">
        <v>4</v>
      </c>
      <c r="HK20" s="16">
        <v>25</v>
      </c>
      <c r="HL20" s="16">
        <v>81</v>
      </c>
      <c r="HM20" s="16">
        <v>51</v>
      </c>
      <c r="HN20" s="16">
        <v>466</v>
      </c>
      <c r="HO20" s="16">
        <v>29</v>
      </c>
      <c r="HP20" s="16">
        <v>3</v>
      </c>
      <c r="HQ20" s="16">
        <v>84</v>
      </c>
      <c r="HR20" s="16">
        <v>66</v>
      </c>
      <c r="HS20" s="16">
        <v>56</v>
      </c>
      <c r="HT20" s="16">
        <v>3</v>
      </c>
      <c r="HU20" s="16">
        <v>66</v>
      </c>
      <c r="HV20" s="16">
        <v>25</v>
      </c>
      <c r="HW20" s="16">
        <v>30</v>
      </c>
      <c r="HX20" s="16">
        <v>59</v>
      </c>
      <c r="HY20" s="16">
        <v>125</v>
      </c>
      <c r="HZ20" s="16">
        <v>201</v>
      </c>
      <c r="IA20" s="16">
        <v>41</v>
      </c>
      <c r="IB20" s="16">
        <v>8</v>
      </c>
      <c r="IC20" s="16">
        <v>3</v>
      </c>
      <c r="ID20" s="16">
        <v>3</v>
      </c>
      <c r="IE20" s="16">
        <v>2</v>
      </c>
      <c r="IF20" s="16">
        <v>6</v>
      </c>
      <c r="IG20" s="16">
        <v>99</v>
      </c>
      <c r="IH20" s="16">
        <v>147</v>
      </c>
      <c r="II20" s="16">
        <v>23</v>
      </c>
      <c r="IJ20" s="16">
        <v>30</v>
      </c>
      <c r="IK20" s="16">
        <v>6</v>
      </c>
      <c r="IL20" s="16">
        <v>7</v>
      </c>
      <c r="IM20" s="16">
        <v>16</v>
      </c>
      <c r="IN20" s="16">
        <v>16</v>
      </c>
      <c r="IO20" s="16">
        <v>226</v>
      </c>
      <c r="IP20" s="16">
        <v>2</v>
      </c>
      <c r="IQ20" s="16">
        <v>22</v>
      </c>
      <c r="IR20" s="16">
        <v>81</v>
      </c>
      <c r="IS20" s="16">
        <v>6</v>
      </c>
      <c r="IT20" s="16">
        <v>5</v>
      </c>
      <c r="IU20" s="16">
        <v>6</v>
      </c>
      <c r="IV20" s="16">
        <v>21</v>
      </c>
      <c r="IW20" s="16">
        <v>46</v>
      </c>
      <c r="IX20" s="16">
        <v>27</v>
      </c>
      <c r="IY20" s="16">
        <v>4</v>
      </c>
      <c r="IZ20" s="16">
        <v>2</v>
      </c>
      <c r="JA20" s="16">
        <v>19</v>
      </c>
      <c r="JB20" s="16">
        <v>16</v>
      </c>
      <c r="JC20" s="16">
        <v>5</v>
      </c>
      <c r="JD20" s="16">
        <v>3</v>
      </c>
      <c r="JE20" s="16">
        <v>40</v>
      </c>
      <c r="JF20" s="16">
        <v>30</v>
      </c>
      <c r="JG20" s="16">
        <v>176</v>
      </c>
      <c r="JH20" s="16">
        <v>4</v>
      </c>
      <c r="JI20" s="16">
        <v>6</v>
      </c>
      <c r="JJ20" s="16">
        <v>102</v>
      </c>
      <c r="JK20" s="16">
        <v>23</v>
      </c>
      <c r="JL20" s="16">
        <v>22</v>
      </c>
      <c r="JM20" s="16">
        <v>3</v>
      </c>
      <c r="JN20" s="16">
        <v>81</v>
      </c>
      <c r="JO20" s="16">
        <v>28</v>
      </c>
      <c r="JP20" s="16">
        <v>742</v>
      </c>
      <c r="JQ20" s="16">
        <v>45</v>
      </c>
      <c r="JR20" s="16">
        <v>1133</v>
      </c>
      <c r="JS20" s="16">
        <v>205</v>
      </c>
      <c r="JT20" s="16">
        <v>0</v>
      </c>
      <c r="JU20" s="16">
        <v>803</v>
      </c>
      <c r="JV20" s="16">
        <v>15</v>
      </c>
      <c r="JW20" s="16">
        <v>79532</v>
      </c>
      <c r="JX20" s="16">
        <v>62077</v>
      </c>
      <c r="JY20" s="16">
        <v>12404</v>
      </c>
      <c r="JZ20" s="16">
        <v>3404</v>
      </c>
      <c r="KA20" s="16">
        <v>393</v>
      </c>
      <c r="KB20" s="16">
        <v>71</v>
      </c>
      <c r="KC20" s="16">
        <v>181</v>
      </c>
      <c r="KD20" s="16">
        <v>496</v>
      </c>
      <c r="KE20" s="16">
        <v>692</v>
      </c>
      <c r="KF20" s="16">
        <v>18452</v>
      </c>
      <c r="KG20" s="16">
        <v>1339</v>
      </c>
      <c r="KH20" s="16">
        <v>82</v>
      </c>
      <c r="KI20" s="16">
        <v>1676</v>
      </c>
      <c r="KJ20" s="16">
        <v>3530</v>
      </c>
      <c r="KK20" s="16">
        <v>40125</v>
      </c>
      <c r="KL20" s="16">
        <v>3</v>
      </c>
      <c r="KM20" s="16">
        <v>44</v>
      </c>
      <c r="KN20" s="16">
        <v>3</v>
      </c>
      <c r="KO20" s="16">
        <v>83</v>
      </c>
      <c r="KP20" s="16">
        <v>4</v>
      </c>
      <c r="KQ20" s="16">
        <v>3</v>
      </c>
      <c r="KR20" s="16">
        <v>404</v>
      </c>
      <c r="KS20" s="16">
        <v>77</v>
      </c>
      <c r="KT20" s="16">
        <v>37</v>
      </c>
      <c r="KU20" s="16">
        <v>631</v>
      </c>
      <c r="KV20" s="16">
        <v>645</v>
      </c>
      <c r="KW20" s="16">
        <v>1240</v>
      </c>
      <c r="KX20" s="16">
        <v>0</v>
      </c>
      <c r="KY20" s="16">
        <v>219</v>
      </c>
      <c r="KZ20" s="16">
        <v>7931</v>
      </c>
      <c r="LA20" s="16">
        <v>3268</v>
      </c>
      <c r="LB20" s="16">
        <v>450</v>
      </c>
      <c r="LC20" s="16">
        <v>1609</v>
      </c>
      <c r="LD20" s="16">
        <v>177</v>
      </c>
      <c r="LE20" s="16">
        <v>247</v>
      </c>
      <c r="LF20" s="16">
        <v>65</v>
      </c>
      <c r="LG20" s="16">
        <v>23</v>
      </c>
      <c r="LH20" s="16">
        <v>353</v>
      </c>
      <c r="LI20" s="16">
        <v>155</v>
      </c>
      <c r="LJ20" s="16">
        <v>60</v>
      </c>
      <c r="LK20" s="16">
        <v>202</v>
      </c>
      <c r="LL20" s="16">
        <v>1387</v>
      </c>
      <c r="LM20" s="16">
        <v>517</v>
      </c>
      <c r="LN20" s="16">
        <v>112</v>
      </c>
      <c r="LO20" s="16">
        <v>47</v>
      </c>
      <c r="LP20" s="16">
        <v>275</v>
      </c>
      <c r="LQ20" s="16">
        <v>356</v>
      </c>
      <c r="LR20" s="16">
        <v>1888</v>
      </c>
      <c r="LS20" s="16">
        <v>64</v>
      </c>
      <c r="LT20" s="16">
        <v>559</v>
      </c>
      <c r="LU20" s="16">
        <v>295</v>
      </c>
      <c r="LV20" s="16">
        <v>2</v>
      </c>
      <c r="LW20" s="16">
        <v>249</v>
      </c>
      <c r="LX20" s="16">
        <v>466</v>
      </c>
      <c r="LY20" s="16">
        <v>0</v>
      </c>
      <c r="LZ20" s="16">
        <v>947</v>
      </c>
      <c r="MA20" s="16">
        <v>35</v>
      </c>
      <c r="MB20" s="16">
        <v>296</v>
      </c>
      <c r="MC20" s="16">
        <v>562</v>
      </c>
      <c r="MD20" s="16">
        <v>129</v>
      </c>
      <c r="ME20" s="16">
        <v>810</v>
      </c>
      <c r="MF20" s="16">
        <v>1667</v>
      </c>
      <c r="MG20" s="16">
        <v>929</v>
      </c>
      <c r="MH20" s="16">
        <v>4160</v>
      </c>
      <c r="MI20" s="16">
        <v>217</v>
      </c>
      <c r="MJ20" s="16">
        <v>603</v>
      </c>
      <c r="MK20" s="16">
        <v>580</v>
      </c>
      <c r="ML20" s="16">
        <v>136</v>
      </c>
      <c r="MM20" s="16">
        <v>1400</v>
      </c>
      <c r="MN20" s="16">
        <v>765</v>
      </c>
      <c r="MO20" s="16">
        <v>440</v>
      </c>
      <c r="MP20" s="16">
        <v>3173</v>
      </c>
      <c r="MQ20" s="16">
        <v>5265</v>
      </c>
      <c r="MR20" s="16">
        <v>55</v>
      </c>
      <c r="MS20" s="16">
        <v>0</v>
      </c>
      <c r="MT20" s="16">
        <v>0</v>
      </c>
      <c r="MU20" s="16">
        <v>1040</v>
      </c>
      <c r="MV20" s="16">
        <v>0</v>
      </c>
      <c r="MW20" s="16">
        <v>0</v>
      </c>
      <c r="MX20" s="16">
        <v>0</v>
      </c>
      <c r="MY20" s="16">
        <v>0</v>
      </c>
      <c r="MZ20" s="16">
        <v>0</v>
      </c>
      <c r="NA20" s="16">
        <v>0</v>
      </c>
      <c r="NB20" s="16">
        <v>0</v>
      </c>
      <c r="NC20" s="16">
        <v>0</v>
      </c>
      <c r="ND20" s="16">
        <v>118</v>
      </c>
      <c r="NE20" s="16">
        <v>196</v>
      </c>
      <c r="NF20" s="16">
        <v>0</v>
      </c>
      <c r="NG20" s="16">
        <v>390</v>
      </c>
      <c r="NH20" s="16">
        <v>330</v>
      </c>
      <c r="NI20" s="16">
        <v>3183</v>
      </c>
      <c r="NJ20" s="16">
        <v>9112</v>
      </c>
      <c r="NK20" s="16">
        <v>132</v>
      </c>
      <c r="NL20" s="16">
        <v>41</v>
      </c>
      <c r="NM20" s="16">
        <v>416</v>
      </c>
      <c r="NN20" s="16">
        <v>74</v>
      </c>
      <c r="NO20" s="16">
        <v>0</v>
      </c>
      <c r="NP20" s="16">
        <v>10671</v>
      </c>
      <c r="NQ20" s="16">
        <v>451</v>
      </c>
      <c r="NR20" s="17">
        <v>432862</v>
      </c>
    </row>
    <row r="21" spans="1:382" ht="13.5" customHeight="1" x14ac:dyDescent="0.2">
      <c r="A21" s="2" t="s">
        <v>49</v>
      </c>
      <c r="B21" s="16">
        <v>0</v>
      </c>
      <c r="C21" s="16">
        <v>0</v>
      </c>
      <c r="D21" s="16">
        <v>0</v>
      </c>
      <c r="E21" s="16">
        <v>0</v>
      </c>
      <c r="F21" s="16">
        <v>3885</v>
      </c>
      <c r="G21" s="16">
        <v>0</v>
      </c>
      <c r="H21" s="16">
        <v>2</v>
      </c>
      <c r="I21" s="16">
        <v>2</v>
      </c>
      <c r="J21" s="16">
        <v>11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326</v>
      </c>
      <c r="T21" s="16">
        <v>0</v>
      </c>
      <c r="U21" s="16">
        <v>0</v>
      </c>
      <c r="V21" s="16">
        <v>300</v>
      </c>
      <c r="W21" s="16">
        <v>35</v>
      </c>
      <c r="X21" s="16">
        <v>0</v>
      </c>
      <c r="Y21" s="16">
        <v>5821</v>
      </c>
      <c r="Z21" s="16">
        <v>0</v>
      </c>
      <c r="AA21" s="16">
        <v>91</v>
      </c>
      <c r="AB21" s="16">
        <v>0</v>
      </c>
      <c r="AC21" s="16">
        <v>0</v>
      </c>
      <c r="AD21" s="16">
        <v>0</v>
      </c>
      <c r="AE21" s="16">
        <v>2</v>
      </c>
      <c r="AF21" s="16">
        <v>30</v>
      </c>
      <c r="AG21" s="16">
        <v>0</v>
      </c>
      <c r="AH21" s="16">
        <v>947</v>
      </c>
      <c r="AI21" s="16">
        <v>269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35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405401</v>
      </c>
      <c r="CD21" s="16">
        <v>48083</v>
      </c>
      <c r="CE21" s="16">
        <v>42014</v>
      </c>
      <c r="CF21" s="16">
        <v>36039</v>
      </c>
      <c r="CG21" s="16">
        <v>94482</v>
      </c>
      <c r="CH21" s="16">
        <v>29500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30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28</v>
      </c>
      <c r="FR21" s="16">
        <v>170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  <c r="IB21" s="16">
        <v>0</v>
      </c>
      <c r="IC21" s="16">
        <v>0</v>
      </c>
      <c r="ID21" s="16">
        <v>0</v>
      </c>
      <c r="IE21" s="16">
        <v>0</v>
      </c>
      <c r="IF21" s="16">
        <v>0</v>
      </c>
      <c r="IG21" s="16">
        <v>0</v>
      </c>
      <c r="IH21" s="16">
        <v>0</v>
      </c>
      <c r="II21" s="16">
        <v>0</v>
      </c>
      <c r="IJ21" s="16">
        <v>0</v>
      </c>
      <c r="IK21" s="16">
        <v>0</v>
      </c>
      <c r="IL21" s="16">
        <v>0</v>
      </c>
      <c r="IM21" s="16">
        <v>0</v>
      </c>
      <c r="IN21" s="16">
        <v>0</v>
      </c>
      <c r="IO21" s="16">
        <v>0</v>
      </c>
      <c r="IP21" s="16">
        <v>0</v>
      </c>
      <c r="IQ21" s="16">
        <v>0</v>
      </c>
      <c r="IR21" s="16">
        <v>0</v>
      </c>
      <c r="IS21" s="16">
        <v>0</v>
      </c>
      <c r="IT21" s="16">
        <v>0</v>
      </c>
      <c r="IU21" s="16">
        <v>0</v>
      </c>
      <c r="IV21" s="16">
        <v>0</v>
      </c>
      <c r="IW21" s="16">
        <v>2528</v>
      </c>
      <c r="IX21" s="16">
        <v>0</v>
      </c>
      <c r="IY21" s="16">
        <v>0</v>
      </c>
      <c r="IZ21" s="16">
        <v>0</v>
      </c>
      <c r="JA21" s="16">
        <v>0</v>
      </c>
      <c r="JB21" s="16">
        <v>342</v>
      </c>
      <c r="JC21" s="16">
        <v>0</v>
      </c>
      <c r="JD21" s="16">
        <v>0</v>
      </c>
      <c r="JE21" s="16">
        <v>584</v>
      </c>
      <c r="JF21" s="16">
        <v>0</v>
      </c>
      <c r="JG21" s="16">
        <v>2361</v>
      </c>
      <c r="JH21" s="16">
        <v>0</v>
      </c>
      <c r="JI21" s="16">
        <v>0</v>
      </c>
      <c r="JJ21" s="16">
        <v>0</v>
      </c>
      <c r="JK21" s="16">
        <v>0</v>
      </c>
      <c r="JL21" s="16">
        <v>0</v>
      </c>
      <c r="JM21" s="16">
        <v>0</v>
      </c>
      <c r="JN21" s="16">
        <v>0</v>
      </c>
      <c r="JO21" s="16">
        <v>0</v>
      </c>
      <c r="JP21" s="16">
        <v>0</v>
      </c>
      <c r="JQ21" s="16">
        <v>0</v>
      </c>
      <c r="JR21" s="16">
        <v>0</v>
      </c>
      <c r="JS21" s="16">
        <v>0</v>
      </c>
      <c r="JT21" s="16">
        <v>0</v>
      </c>
      <c r="JU21" s="16">
        <v>0</v>
      </c>
      <c r="JV21" s="16">
        <v>0</v>
      </c>
      <c r="JW21" s="16">
        <v>85285</v>
      </c>
      <c r="JX21" s="16">
        <v>50133</v>
      </c>
      <c r="JY21" s="16">
        <v>11486</v>
      </c>
      <c r="JZ21" s="16">
        <v>0</v>
      </c>
      <c r="KA21" s="16">
        <v>0</v>
      </c>
      <c r="KB21" s="16">
        <v>0</v>
      </c>
      <c r="KC21" s="16">
        <v>0</v>
      </c>
      <c r="KD21" s="16">
        <v>0</v>
      </c>
      <c r="KE21" s="16">
        <v>669</v>
      </c>
      <c r="KF21" s="16">
        <v>0</v>
      </c>
      <c r="KG21" s="16">
        <v>0</v>
      </c>
      <c r="KH21" s="16">
        <v>0</v>
      </c>
      <c r="KI21" s="16">
        <v>2598</v>
      </c>
      <c r="KJ21" s="16">
        <v>0</v>
      </c>
      <c r="KK21" s="16">
        <v>0</v>
      </c>
      <c r="KL21" s="16">
        <v>0</v>
      </c>
      <c r="KM21" s="16">
        <v>0</v>
      </c>
      <c r="KN21" s="16">
        <v>0</v>
      </c>
      <c r="KO21" s="16">
        <v>0</v>
      </c>
      <c r="KP21" s="16">
        <v>0</v>
      </c>
      <c r="KQ21" s="16">
        <v>0</v>
      </c>
      <c r="KR21" s="16">
        <v>0</v>
      </c>
      <c r="KS21" s="16">
        <v>0</v>
      </c>
      <c r="KT21" s="16">
        <v>0</v>
      </c>
      <c r="KU21" s="16">
        <v>0</v>
      </c>
      <c r="KV21" s="16">
        <v>0</v>
      </c>
      <c r="KW21" s="16">
        <v>0</v>
      </c>
      <c r="KX21" s="16">
        <v>0</v>
      </c>
      <c r="KY21" s="16">
        <v>0</v>
      </c>
      <c r="KZ21" s="16">
        <v>0</v>
      </c>
      <c r="LA21" s="16">
        <v>0</v>
      </c>
      <c r="LB21" s="16">
        <v>0</v>
      </c>
      <c r="LC21" s="16">
        <v>0</v>
      </c>
      <c r="LD21" s="16">
        <v>180</v>
      </c>
      <c r="LE21" s="16">
        <v>0</v>
      </c>
      <c r="LF21" s="16">
        <v>0</v>
      </c>
      <c r="LG21" s="16">
        <v>0</v>
      </c>
      <c r="LH21" s="16">
        <v>0</v>
      </c>
      <c r="LI21" s="16">
        <v>0</v>
      </c>
      <c r="LJ21" s="16">
        <v>0</v>
      </c>
      <c r="LK21" s="16">
        <v>0</v>
      </c>
      <c r="LL21" s="16">
        <v>0</v>
      </c>
      <c r="LM21" s="16">
        <v>0</v>
      </c>
      <c r="LN21" s="16">
        <v>0</v>
      </c>
      <c r="LO21" s="16">
        <v>0</v>
      </c>
      <c r="LP21" s="16">
        <v>0</v>
      </c>
      <c r="LQ21" s="16">
        <v>0</v>
      </c>
      <c r="LR21" s="16">
        <v>0</v>
      </c>
      <c r="LS21" s="16">
        <v>0</v>
      </c>
      <c r="LT21" s="16">
        <v>0</v>
      </c>
      <c r="LU21" s="16">
        <v>0</v>
      </c>
      <c r="LV21" s="16">
        <v>0</v>
      </c>
      <c r="LW21" s="16">
        <v>0</v>
      </c>
      <c r="LX21" s="16">
        <v>0</v>
      </c>
      <c r="LY21" s="16">
        <v>0</v>
      </c>
      <c r="LZ21" s="16">
        <v>0</v>
      </c>
      <c r="MA21" s="16">
        <v>0</v>
      </c>
      <c r="MB21" s="16">
        <v>0</v>
      </c>
      <c r="MC21" s="16">
        <v>0</v>
      </c>
      <c r="MD21" s="16">
        <v>0</v>
      </c>
      <c r="ME21" s="16">
        <v>0</v>
      </c>
      <c r="MF21" s="16">
        <v>0</v>
      </c>
      <c r="MG21" s="16">
        <v>0</v>
      </c>
      <c r="MH21" s="16">
        <v>0</v>
      </c>
      <c r="MI21" s="16">
        <v>0</v>
      </c>
      <c r="MJ21" s="16">
        <v>0</v>
      </c>
      <c r="MK21" s="16">
        <v>0</v>
      </c>
      <c r="ML21" s="16">
        <v>0</v>
      </c>
      <c r="MM21" s="16">
        <v>0</v>
      </c>
      <c r="MN21" s="16">
        <v>241</v>
      </c>
      <c r="MO21" s="16">
        <v>0</v>
      </c>
      <c r="MP21" s="16">
        <v>0</v>
      </c>
      <c r="MQ21" s="16">
        <v>65</v>
      </c>
      <c r="MR21" s="16">
        <v>0</v>
      </c>
      <c r="MS21" s="16">
        <v>56</v>
      </c>
      <c r="MT21" s="16">
        <v>0</v>
      </c>
      <c r="MU21" s="16">
        <v>0</v>
      </c>
      <c r="MV21" s="16">
        <v>0</v>
      </c>
      <c r="MW21" s="16">
        <v>0</v>
      </c>
      <c r="MX21" s="16">
        <v>0</v>
      </c>
      <c r="MY21" s="16">
        <v>0</v>
      </c>
      <c r="MZ21" s="16">
        <v>0</v>
      </c>
      <c r="NA21" s="16">
        <v>0</v>
      </c>
      <c r="NB21" s="16">
        <v>0</v>
      </c>
      <c r="NC21" s="16">
        <v>0</v>
      </c>
      <c r="ND21" s="16">
        <v>0</v>
      </c>
      <c r="NE21" s="16">
        <v>0</v>
      </c>
      <c r="NF21" s="16">
        <v>0</v>
      </c>
      <c r="NG21" s="16">
        <v>0</v>
      </c>
      <c r="NH21" s="16">
        <v>0</v>
      </c>
      <c r="NI21" s="16">
        <v>0</v>
      </c>
      <c r="NJ21" s="16">
        <v>0</v>
      </c>
      <c r="NK21" s="16">
        <v>0</v>
      </c>
      <c r="NL21" s="16">
        <v>0</v>
      </c>
      <c r="NM21" s="16">
        <v>0</v>
      </c>
      <c r="NN21" s="16">
        <v>0</v>
      </c>
      <c r="NO21" s="16">
        <v>0</v>
      </c>
      <c r="NP21" s="16">
        <v>0</v>
      </c>
      <c r="NQ21" s="16">
        <v>0</v>
      </c>
      <c r="NR21" s="17">
        <v>824031</v>
      </c>
    </row>
    <row r="22" spans="1:382" ht="13.5" customHeight="1" x14ac:dyDescent="0.2">
      <c r="A22" s="2" t="s">
        <v>51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145</v>
      </c>
      <c r="AL22" s="16">
        <v>0</v>
      </c>
      <c r="AM22" s="16">
        <v>355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23868</v>
      </c>
      <c r="AV22" s="16">
        <v>38</v>
      </c>
      <c r="AW22" s="16">
        <v>18265</v>
      </c>
      <c r="AX22" s="16">
        <v>0</v>
      </c>
      <c r="AY22" s="16">
        <v>63366</v>
      </c>
      <c r="AZ22" s="16">
        <v>25305</v>
      </c>
      <c r="BA22" s="16">
        <v>41592</v>
      </c>
      <c r="BB22" s="16">
        <v>56124</v>
      </c>
      <c r="BC22" s="16">
        <v>0</v>
      </c>
      <c r="BD22" s="16">
        <v>0</v>
      </c>
      <c r="BE22" s="16">
        <v>0</v>
      </c>
      <c r="BF22" s="16">
        <v>0</v>
      </c>
      <c r="BG22" s="16">
        <v>1</v>
      </c>
      <c r="BH22" s="16">
        <v>368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3779</v>
      </c>
      <c r="DN22" s="16">
        <v>0</v>
      </c>
      <c r="DO22" s="16">
        <v>8</v>
      </c>
      <c r="DP22" s="16">
        <v>0</v>
      </c>
      <c r="DQ22" s="16">
        <v>0</v>
      </c>
      <c r="DR22" s="16">
        <v>1826</v>
      </c>
      <c r="DS22" s="16">
        <v>4069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  <c r="IB22" s="16">
        <v>0</v>
      </c>
      <c r="IC22" s="16">
        <v>0</v>
      </c>
      <c r="ID22" s="16">
        <v>0</v>
      </c>
      <c r="IE22" s="16">
        <v>0</v>
      </c>
      <c r="IF22" s="16">
        <v>0</v>
      </c>
      <c r="IG22" s="16">
        <v>0</v>
      </c>
      <c r="IH22" s="16">
        <v>0</v>
      </c>
      <c r="II22" s="16">
        <v>0</v>
      </c>
      <c r="IJ22" s="16">
        <v>0</v>
      </c>
      <c r="IK22" s="16">
        <v>0</v>
      </c>
      <c r="IL22" s="16">
        <v>0</v>
      </c>
      <c r="IM22" s="16">
        <v>0</v>
      </c>
      <c r="IN22" s="16">
        <v>0</v>
      </c>
      <c r="IO22" s="16">
        <v>0</v>
      </c>
      <c r="IP22" s="16">
        <v>0</v>
      </c>
      <c r="IQ22" s="16">
        <v>0</v>
      </c>
      <c r="IR22" s="16">
        <v>0</v>
      </c>
      <c r="IS22" s="16">
        <v>0</v>
      </c>
      <c r="IT22" s="16">
        <v>0</v>
      </c>
      <c r="IU22" s="16">
        <v>0</v>
      </c>
      <c r="IV22" s="16">
        <v>0</v>
      </c>
      <c r="IW22" s="16">
        <v>0</v>
      </c>
      <c r="IX22" s="16">
        <v>0</v>
      </c>
      <c r="IY22" s="16">
        <v>0</v>
      </c>
      <c r="IZ22" s="16">
        <v>0</v>
      </c>
      <c r="JA22" s="16">
        <v>0</v>
      </c>
      <c r="JB22" s="16">
        <v>0</v>
      </c>
      <c r="JC22" s="16">
        <v>0</v>
      </c>
      <c r="JD22" s="16">
        <v>0</v>
      </c>
      <c r="JE22" s="16">
        <v>0</v>
      </c>
      <c r="JF22" s="16">
        <v>0</v>
      </c>
      <c r="JG22" s="16">
        <v>27918</v>
      </c>
      <c r="JH22" s="16">
        <v>0</v>
      </c>
      <c r="JI22" s="16">
        <v>0</v>
      </c>
      <c r="JJ22" s="16">
        <v>0</v>
      </c>
      <c r="JK22" s="16">
        <v>0</v>
      </c>
      <c r="JL22" s="16">
        <v>0</v>
      </c>
      <c r="JM22" s="16">
        <v>0</v>
      </c>
      <c r="JN22" s="16">
        <v>0</v>
      </c>
      <c r="JO22" s="16">
        <v>0</v>
      </c>
      <c r="JP22" s="16">
        <v>0</v>
      </c>
      <c r="JQ22" s="16">
        <v>0</v>
      </c>
      <c r="JR22" s="16">
        <v>0</v>
      </c>
      <c r="JS22" s="16">
        <v>0</v>
      </c>
      <c r="JT22" s="16">
        <v>0</v>
      </c>
      <c r="JU22" s="16">
        <v>0</v>
      </c>
      <c r="JV22" s="16">
        <v>0</v>
      </c>
      <c r="JW22" s="16">
        <v>0</v>
      </c>
      <c r="JX22" s="16">
        <v>0</v>
      </c>
      <c r="JY22" s="16">
        <v>0</v>
      </c>
      <c r="JZ22" s="16">
        <v>0</v>
      </c>
      <c r="KA22" s="16">
        <v>0</v>
      </c>
      <c r="KB22" s="16">
        <v>0</v>
      </c>
      <c r="KC22" s="16">
        <v>0</v>
      </c>
      <c r="KD22" s="16">
        <v>0</v>
      </c>
      <c r="KE22" s="16">
        <v>0</v>
      </c>
      <c r="KF22" s="16">
        <v>0</v>
      </c>
      <c r="KG22" s="16">
        <v>0</v>
      </c>
      <c r="KH22" s="16">
        <v>0</v>
      </c>
      <c r="KI22" s="16">
        <v>0</v>
      </c>
      <c r="KJ22" s="16">
        <v>0</v>
      </c>
      <c r="KK22" s="16">
        <v>0</v>
      </c>
      <c r="KL22" s="16">
        <v>0</v>
      </c>
      <c r="KM22" s="16">
        <v>0</v>
      </c>
      <c r="KN22" s="16">
        <v>0</v>
      </c>
      <c r="KO22" s="16">
        <v>0</v>
      </c>
      <c r="KP22" s="16">
        <v>0</v>
      </c>
      <c r="KQ22" s="16">
        <v>0</v>
      </c>
      <c r="KR22" s="16">
        <v>0</v>
      </c>
      <c r="KS22" s="16">
        <v>0</v>
      </c>
      <c r="KT22" s="16">
        <v>0</v>
      </c>
      <c r="KU22" s="16">
        <v>0</v>
      </c>
      <c r="KV22" s="16">
        <v>0</v>
      </c>
      <c r="KW22" s="16">
        <v>0</v>
      </c>
      <c r="KX22" s="16">
        <v>0</v>
      </c>
      <c r="KY22" s="16">
        <v>0</v>
      </c>
      <c r="KZ22" s="16">
        <v>214646</v>
      </c>
      <c r="LA22" s="16">
        <v>26057</v>
      </c>
      <c r="LB22" s="16">
        <v>2231</v>
      </c>
      <c r="LC22" s="16">
        <v>19336</v>
      </c>
      <c r="LD22" s="16">
        <v>0</v>
      </c>
      <c r="LE22" s="16">
        <v>0</v>
      </c>
      <c r="LF22" s="16">
        <v>0</v>
      </c>
      <c r="LG22" s="16">
        <v>0</v>
      </c>
      <c r="LH22" s="16">
        <v>0</v>
      </c>
      <c r="LI22" s="16">
        <v>0</v>
      </c>
      <c r="LJ22" s="16">
        <v>0</v>
      </c>
      <c r="LK22" s="16">
        <v>0</v>
      </c>
      <c r="LL22" s="16">
        <v>0</v>
      </c>
      <c r="LM22" s="16">
        <v>0</v>
      </c>
      <c r="LN22" s="16">
        <v>0</v>
      </c>
      <c r="LO22" s="16">
        <v>0</v>
      </c>
      <c r="LP22" s="16">
        <v>0</v>
      </c>
      <c r="LQ22" s="16">
        <v>0</v>
      </c>
      <c r="LR22" s="16">
        <v>0</v>
      </c>
      <c r="LS22" s="16">
        <v>0</v>
      </c>
      <c r="LT22" s="16">
        <v>0</v>
      </c>
      <c r="LU22" s="16">
        <v>0</v>
      </c>
      <c r="LV22" s="16">
        <v>0</v>
      </c>
      <c r="LW22" s="16">
        <v>0</v>
      </c>
      <c r="LX22" s="16">
        <v>0</v>
      </c>
      <c r="LY22" s="16">
        <v>0</v>
      </c>
      <c r="LZ22" s="16">
        <v>0</v>
      </c>
      <c r="MA22" s="16">
        <v>0</v>
      </c>
      <c r="MB22" s="16">
        <v>0</v>
      </c>
      <c r="MC22" s="16">
        <v>0</v>
      </c>
      <c r="MD22" s="16">
        <v>0</v>
      </c>
      <c r="ME22" s="16">
        <v>0</v>
      </c>
      <c r="MF22" s="16">
        <v>0</v>
      </c>
      <c r="MG22" s="16">
        <v>0</v>
      </c>
      <c r="MH22" s="16">
        <v>0</v>
      </c>
      <c r="MI22" s="16">
        <v>0</v>
      </c>
      <c r="MJ22" s="16">
        <v>0</v>
      </c>
      <c r="MK22" s="16">
        <v>0</v>
      </c>
      <c r="ML22" s="16">
        <v>0</v>
      </c>
      <c r="MM22" s="16">
        <v>10</v>
      </c>
      <c r="MN22" s="16">
        <v>0</v>
      </c>
      <c r="MO22" s="16">
        <v>0</v>
      </c>
      <c r="MP22" s="16">
        <v>0</v>
      </c>
      <c r="MQ22" s="16">
        <v>0</v>
      </c>
      <c r="MR22" s="16">
        <v>247</v>
      </c>
      <c r="MS22" s="16">
        <v>0</v>
      </c>
      <c r="MT22" s="16">
        <v>0</v>
      </c>
      <c r="MU22" s="16">
        <v>33908</v>
      </c>
      <c r="MV22" s="16">
        <v>0</v>
      </c>
      <c r="MW22" s="16">
        <v>0</v>
      </c>
      <c r="MX22" s="16">
        <v>0</v>
      </c>
      <c r="MY22" s="16">
        <v>0</v>
      </c>
      <c r="MZ22" s="16">
        <v>1026</v>
      </c>
      <c r="NA22" s="16">
        <v>0</v>
      </c>
      <c r="NB22" s="16">
        <v>10225</v>
      </c>
      <c r="NC22" s="16">
        <v>0</v>
      </c>
      <c r="ND22" s="16">
        <v>0</v>
      </c>
      <c r="NE22" s="16">
        <v>0</v>
      </c>
      <c r="NF22" s="16">
        <v>0</v>
      </c>
      <c r="NG22" s="16">
        <v>0</v>
      </c>
      <c r="NH22" s="16">
        <v>0</v>
      </c>
      <c r="NI22" s="16">
        <v>0</v>
      </c>
      <c r="NJ22" s="16">
        <v>0</v>
      </c>
      <c r="NK22" s="16">
        <v>0</v>
      </c>
      <c r="NL22" s="16">
        <v>0</v>
      </c>
      <c r="NM22" s="16">
        <v>0</v>
      </c>
      <c r="NN22" s="16">
        <v>0</v>
      </c>
      <c r="NO22" s="16">
        <v>0</v>
      </c>
      <c r="NP22" s="16">
        <v>0</v>
      </c>
      <c r="NQ22" s="16">
        <v>42</v>
      </c>
      <c r="NR22" s="17">
        <v>574755</v>
      </c>
    </row>
    <row r="23" spans="1:382" ht="13.5" customHeight="1" x14ac:dyDescent="0.2">
      <c r="A23" s="2" t="s">
        <v>53</v>
      </c>
      <c r="B23" s="16">
        <v>2650</v>
      </c>
      <c r="C23" s="16">
        <v>23</v>
      </c>
      <c r="D23" s="16">
        <v>1525</v>
      </c>
      <c r="E23" s="16">
        <v>1155</v>
      </c>
      <c r="F23" s="16">
        <v>20340</v>
      </c>
      <c r="G23" s="16">
        <v>10922</v>
      </c>
      <c r="H23" s="16">
        <v>14</v>
      </c>
      <c r="I23" s="16">
        <v>3972</v>
      </c>
      <c r="J23" s="16">
        <v>31</v>
      </c>
      <c r="K23" s="16">
        <v>0</v>
      </c>
      <c r="L23" s="16">
        <v>63</v>
      </c>
      <c r="M23" s="16">
        <v>160</v>
      </c>
      <c r="N23" s="16">
        <v>88</v>
      </c>
      <c r="O23" s="16">
        <v>1108</v>
      </c>
      <c r="P23" s="16">
        <v>2013</v>
      </c>
      <c r="Q23" s="16">
        <v>34</v>
      </c>
      <c r="R23" s="16">
        <v>4</v>
      </c>
      <c r="S23" s="16">
        <v>992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51</v>
      </c>
      <c r="AN23" s="16">
        <v>98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80</v>
      </c>
      <c r="AV23" s="16">
        <v>89</v>
      </c>
      <c r="AW23" s="16">
        <v>9153</v>
      </c>
      <c r="AX23" s="16">
        <v>0</v>
      </c>
      <c r="AY23" s="16">
        <v>269</v>
      </c>
      <c r="AZ23" s="16">
        <v>0</v>
      </c>
      <c r="BA23" s="16">
        <v>1978</v>
      </c>
      <c r="BB23" s="16">
        <v>1104</v>
      </c>
      <c r="BC23" s="16">
        <v>3867</v>
      </c>
      <c r="BD23" s="16">
        <v>0</v>
      </c>
      <c r="BE23" s="16">
        <v>3</v>
      </c>
      <c r="BF23" s="16">
        <v>0</v>
      </c>
      <c r="BG23" s="16">
        <v>7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31</v>
      </c>
      <c r="CH23" s="16">
        <v>839</v>
      </c>
      <c r="CI23" s="16">
        <v>0</v>
      </c>
      <c r="CJ23" s="16">
        <v>2</v>
      </c>
      <c r="CK23" s="16">
        <v>504</v>
      </c>
      <c r="CL23" s="16">
        <v>0</v>
      </c>
      <c r="CM23" s="16">
        <v>0</v>
      </c>
      <c r="CN23" s="16">
        <v>0</v>
      </c>
      <c r="CO23" s="16">
        <v>0</v>
      </c>
      <c r="CP23" s="16">
        <v>42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17</v>
      </c>
      <c r="DG23" s="16">
        <v>0</v>
      </c>
      <c r="DH23" s="16">
        <v>0</v>
      </c>
      <c r="DI23" s="16">
        <v>177</v>
      </c>
      <c r="DJ23" s="16">
        <v>849</v>
      </c>
      <c r="DK23" s="16">
        <v>0</v>
      </c>
      <c r="DL23" s="16">
        <v>0</v>
      </c>
      <c r="DM23" s="16">
        <v>9927</v>
      </c>
      <c r="DN23" s="16">
        <v>3570</v>
      </c>
      <c r="DO23" s="16">
        <v>43</v>
      </c>
      <c r="DP23" s="16">
        <v>949</v>
      </c>
      <c r="DQ23" s="16">
        <v>0</v>
      </c>
      <c r="DR23" s="16">
        <v>125</v>
      </c>
      <c r="DS23" s="16">
        <v>2839</v>
      </c>
      <c r="DT23" s="16">
        <v>1</v>
      </c>
      <c r="DU23" s="16">
        <v>0</v>
      </c>
      <c r="DV23" s="16">
        <v>13646</v>
      </c>
      <c r="DW23" s="16">
        <v>0</v>
      </c>
      <c r="DX23" s="16">
        <v>0</v>
      </c>
      <c r="DY23" s="16">
        <v>0</v>
      </c>
      <c r="DZ23" s="16">
        <v>0</v>
      </c>
      <c r="EA23" s="16">
        <v>9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7</v>
      </c>
      <c r="FN23" s="16">
        <v>0</v>
      </c>
      <c r="FO23" s="16">
        <v>0</v>
      </c>
      <c r="FP23" s="16">
        <v>9</v>
      </c>
      <c r="FQ23" s="16">
        <v>0</v>
      </c>
      <c r="FR23" s="16">
        <v>0</v>
      </c>
      <c r="FS23" s="16">
        <v>0</v>
      </c>
      <c r="FT23" s="16">
        <v>0</v>
      </c>
      <c r="FU23" s="16">
        <v>13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  <c r="IB23" s="16">
        <v>0</v>
      </c>
      <c r="IC23" s="16">
        <v>0</v>
      </c>
      <c r="ID23" s="16">
        <v>0</v>
      </c>
      <c r="IE23" s="16">
        <v>0</v>
      </c>
      <c r="IF23" s="16">
        <v>0</v>
      </c>
      <c r="IG23" s="16">
        <v>0</v>
      </c>
      <c r="IH23" s="16">
        <v>0</v>
      </c>
      <c r="II23" s="16">
        <v>0</v>
      </c>
      <c r="IJ23" s="16">
        <v>0</v>
      </c>
      <c r="IK23" s="16">
        <v>0</v>
      </c>
      <c r="IL23" s="16">
        <v>0</v>
      </c>
      <c r="IM23" s="16">
        <v>0</v>
      </c>
      <c r="IN23" s="16">
        <v>0</v>
      </c>
      <c r="IO23" s="16">
        <v>0</v>
      </c>
      <c r="IP23" s="16">
        <v>0</v>
      </c>
      <c r="IQ23" s="16">
        <v>0</v>
      </c>
      <c r="IR23" s="16">
        <v>0</v>
      </c>
      <c r="IS23" s="16">
        <v>0</v>
      </c>
      <c r="IT23" s="16">
        <v>0</v>
      </c>
      <c r="IU23" s="16">
        <v>0</v>
      </c>
      <c r="IV23" s="16">
        <v>0</v>
      </c>
      <c r="IW23" s="16">
        <v>139</v>
      </c>
      <c r="IX23" s="16">
        <v>0</v>
      </c>
      <c r="IY23" s="16">
        <v>9</v>
      </c>
      <c r="IZ23" s="16">
        <v>5</v>
      </c>
      <c r="JA23" s="16">
        <v>11</v>
      </c>
      <c r="JB23" s="16">
        <v>0</v>
      </c>
      <c r="JC23" s="16">
        <v>229</v>
      </c>
      <c r="JD23" s="16">
        <v>0</v>
      </c>
      <c r="JE23" s="16">
        <v>61</v>
      </c>
      <c r="JF23" s="16">
        <v>140</v>
      </c>
      <c r="JG23" s="16">
        <v>58</v>
      </c>
      <c r="JH23" s="16">
        <v>0</v>
      </c>
      <c r="JI23" s="16">
        <v>0</v>
      </c>
      <c r="JJ23" s="16">
        <v>0</v>
      </c>
      <c r="JK23" s="16">
        <v>0</v>
      </c>
      <c r="JL23" s="16">
        <v>0</v>
      </c>
      <c r="JM23" s="16">
        <v>0</v>
      </c>
      <c r="JN23" s="16">
        <v>0</v>
      </c>
      <c r="JO23" s="16">
        <v>0</v>
      </c>
      <c r="JP23" s="16">
        <v>0</v>
      </c>
      <c r="JQ23" s="16">
        <v>17</v>
      </c>
      <c r="JR23" s="16">
        <v>0</v>
      </c>
      <c r="JS23" s="16">
        <v>0</v>
      </c>
      <c r="JT23" s="16">
        <v>0</v>
      </c>
      <c r="JU23" s="16">
        <v>0</v>
      </c>
      <c r="JV23" s="16">
        <v>0</v>
      </c>
      <c r="JW23" s="16">
        <v>0</v>
      </c>
      <c r="JX23" s="16">
        <v>0</v>
      </c>
      <c r="JY23" s="16">
        <v>0</v>
      </c>
      <c r="JZ23" s="16">
        <v>0</v>
      </c>
      <c r="KA23" s="16">
        <v>0</v>
      </c>
      <c r="KB23" s="16">
        <v>0</v>
      </c>
      <c r="KC23" s="16">
        <v>0</v>
      </c>
      <c r="KD23" s="16">
        <v>0</v>
      </c>
      <c r="KE23" s="16">
        <v>0</v>
      </c>
      <c r="KF23" s="16">
        <v>0</v>
      </c>
      <c r="KG23" s="16">
        <v>0</v>
      </c>
      <c r="KH23" s="16">
        <v>0</v>
      </c>
      <c r="KI23" s="16">
        <v>0</v>
      </c>
      <c r="KJ23" s="16">
        <v>0</v>
      </c>
      <c r="KK23" s="16">
        <v>0</v>
      </c>
      <c r="KL23" s="16">
        <v>0</v>
      </c>
      <c r="KM23" s="16">
        <v>0</v>
      </c>
      <c r="KN23" s="16">
        <v>0</v>
      </c>
      <c r="KO23" s="16">
        <v>0</v>
      </c>
      <c r="KP23" s="16">
        <v>0</v>
      </c>
      <c r="KQ23" s="16">
        <v>0</v>
      </c>
      <c r="KR23" s="16">
        <v>0</v>
      </c>
      <c r="KS23" s="16">
        <v>0</v>
      </c>
      <c r="KT23" s="16">
        <v>0</v>
      </c>
      <c r="KU23" s="16">
        <v>0</v>
      </c>
      <c r="KV23" s="16">
        <v>0</v>
      </c>
      <c r="KW23" s="16">
        <v>0</v>
      </c>
      <c r="KX23" s="16">
        <v>0</v>
      </c>
      <c r="KY23" s="16">
        <v>0</v>
      </c>
      <c r="KZ23" s="16">
        <v>153214</v>
      </c>
      <c r="LA23" s="16">
        <v>0</v>
      </c>
      <c r="LB23" s="16">
        <v>8</v>
      </c>
      <c r="LC23" s="16">
        <v>0</v>
      </c>
      <c r="LD23" s="16">
        <v>0</v>
      </c>
      <c r="LE23" s="16">
        <v>0</v>
      </c>
      <c r="LF23" s="16">
        <v>0</v>
      </c>
      <c r="LG23" s="16">
        <v>0</v>
      </c>
      <c r="LH23" s="16">
        <v>0</v>
      </c>
      <c r="LI23" s="16">
        <v>0</v>
      </c>
      <c r="LJ23" s="16">
        <v>0</v>
      </c>
      <c r="LK23" s="16">
        <v>0</v>
      </c>
      <c r="LL23" s="16">
        <v>0</v>
      </c>
      <c r="LM23" s="16">
        <v>0</v>
      </c>
      <c r="LN23" s="16">
        <v>0</v>
      </c>
      <c r="LO23" s="16">
        <v>0</v>
      </c>
      <c r="LP23" s="16">
        <v>0</v>
      </c>
      <c r="LQ23" s="16">
        <v>0</v>
      </c>
      <c r="LR23" s="16">
        <v>0</v>
      </c>
      <c r="LS23" s="16">
        <v>0</v>
      </c>
      <c r="LT23" s="16">
        <v>0</v>
      </c>
      <c r="LU23" s="16">
        <v>0</v>
      </c>
      <c r="LV23" s="16">
        <v>0</v>
      </c>
      <c r="LW23" s="16">
        <v>0</v>
      </c>
      <c r="LX23" s="16">
        <v>0</v>
      </c>
      <c r="LY23" s="16">
        <v>0</v>
      </c>
      <c r="LZ23" s="16">
        <v>0</v>
      </c>
      <c r="MA23" s="16">
        <v>0</v>
      </c>
      <c r="MB23" s="16">
        <v>0</v>
      </c>
      <c r="MC23" s="16">
        <v>455</v>
      </c>
      <c r="MD23" s="16">
        <v>11</v>
      </c>
      <c r="ME23" s="16">
        <v>110</v>
      </c>
      <c r="MF23" s="16">
        <v>0</v>
      </c>
      <c r="MG23" s="16">
        <v>0</v>
      </c>
      <c r="MH23" s="16">
        <v>0</v>
      </c>
      <c r="MI23" s="16">
        <v>0</v>
      </c>
      <c r="MJ23" s="16">
        <v>0</v>
      </c>
      <c r="MK23" s="16">
        <v>0</v>
      </c>
      <c r="ML23" s="16">
        <v>0</v>
      </c>
      <c r="MM23" s="16">
        <v>2</v>
      </c>
      <c r="MN23" s="16">
        <v>0</v>
      </c>
      <c r="MO23" s="16">
        <v>0</v>
      </c>
      <c r="MP23" s="16">
        <v>0</v>
      </c>
      <c r="MQ23" s="16">
        <v>0</v>
      </c>
      <c r="MR23" s="16">
        <v>19</v>
      </c>
      <c r="MS23" s="16">
        <v>559</v>
      </c>
      <c r="MT23" s="16">
        <v>1</v>
      </c>
      <c r="MU23" s="16">
        <v>6429</v>
      </c>
      <c r="MV23" s="16">
        <v>267</v>
      </c>
      <c r="MW23" s="16">
        <v>0</v>
      </c>
      <c r="MX23" s="16">
        <v>2</v>
      </c>
      <c r="MY23" s="16">
        <v>354</v>
      </c>
      <c r="MZ23" s="16">
        <v>61</v>
      </c>
      <c r="NA23" s="16">
        <v>9</v>
      </c>
      <c r="NB23" s="16">
        <v>0</v>
      </c>
      <c r="NC23" s="16">
        <v>29</v>
      </c>
      <c r="ND23" s="16">
        <v>0</v>
      </c>
      <c r="NE23" s="16">
        <v>33</v>
      </c>
      <c r="NF23" s="16">
        <v>0</v>
      </c>
      <c r="NG23" s="16">
        <v>0</v>
      </c>
      <c r="NH23" s="16">
        <v>0</v>
      </c>
      <c r="NI23" s="16">
        <v>0</v>
      </c>
      <c r="NJ23" s="16">
        <v>0</v>
      </c>
      <c r="NK23" s="16">
        <v>0</v>
      </c>
      <c r="NL23" s="16">
        <v>0</v>
      </c>
      <c r="NM23" s="16">
        <v>0</v>
      </c>
      <c r="NN23" s="16">
        <v>0</v>
      </c>
      <c r="NO23" s="16">
        <v>0</v>
      </c>
      <c r="NP23" s="16">
        <v>0</v>
      </c>
      <c r="NQ23" s="16">
        <v>143</v>
      </c>
      <c r="NR23" s="17">
        <v>257767</v>
      </c>
    </row>
    <row r="24" spans="1:382" ht="13.5" customHeight="1" x14ac:dyDescent="0.2">
      <c r="A24" s="2" t="s">
        <v>55</v>
      </c>
      <c r="B24" s="16">
        <v>27</v>
      </c>
      <c r="C24" s="16">
        <v>11</v>
      </c>
      <c r="D24" s="16">
        <v>8</v>
      </c>
      <c r="E24" s="16">
        <v>1</v>
      </c>
      <c r="F24" s="16">
        <v>39</v>
      </c>
      <c r="G24" s="16">
        <v>17</v>
      </c>
      <c r="H24" s="16">
        <v>5</v>
      </c>
      <c r="I24" s="16">
        <v>7</v>
      </c>
      <c r="J24" s="16">
        <v>1</v>
      </c>
      <c r="K24" s="16">
        <v>0</v>
      </c>
      <c r="L24" s="16">
        <v>1</v>
      </c>
      <c r="M24" s="16">
        <v>0</v>
      </c>
      <c r="N24" s="16">
        <v>0</v>
      </c>
      <c r="O24" s="16">
        <v>0</v>
      </c>
      <c r="P24" s="16">
        <v>33</v>
      </c>
      <c r="Q24" s="16">
        <v>31</v>
      </c>
      <c r="R24" s="16">
        <v>10</v>
      </c>
      <c r="S24" s="16">
        <v>8</v>
      </c>
      <c r="T24" s="16">
        <v>1</v>
      </c>
      <c r="U24" s="16">
        <v>3</v>
      </c>
      <c r="V24" s="16">
        <v>1</v>
      </c>
      <c r="W24" s="16">
        <v>2</v>
      </c>
      <c r="X24" s="16">
        <v>21683</v>
      </c>
      <c r="Y24" s="16">
        <v>1751</v>
      </c>
      <c r="Z24" s="16">
        <v>39</v>
      </c>
      <c r="AA24" s="16">
        <v>1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54</v>
      </c>
      <c r="AH24" s="16">
        <v>45</v>
      </c>
      <c r="AI24" s="16">
        <v>5</v>
      </c>
      <c r="AJ24" s="16">
        <v>13</v>
      </c>
      <c r="AK24" s="16">
        <v>8</v>
      </c>
      <c r="AL24" s="16">
        <v>133</v>
      </c>
      <c r="AM24" s="16">
        <v>27</v>
      </c>
      <c r="AN24" s="16">
        <v>867781</v>
      </c>
      <c r="AO24" s="16">
        <v>1362801</v>
      </c>
      <c r="AP24" s="16">
        <v>2</v>
      </c>
      <c r="AQ24" s="16">
        <v>9</v>
      </c>
      <c r="AR24" s="16">
        <v>0</v>
      </c>
      <c r="AS24" s="16">
        <v>20</v>
      </c>
      <c r="AT24" s="16">
        <v>7</v>
      </c>
      <c r="AU24" s="16">
        <v>212</v>
      </c>
      <c r="AV24" s="16">
        <v>85</v>
      </c>
      <c r="AW24" s="16">
        <v>10072</v>
      </c>
      <c r="AX24" s="16">
        <v>657</v>
      </c>
      <c r="AY24" s="16">
        <v>22</v>
      </c>
      <c r="AZ24" s="16">
        <v>7</v>
      </c>
      <c r="BA24" s="16">
        <v>8290</v>
      </c>
      <c r="BB24" s="16">
        <v>4086</v>
      </c>
      <c r="BC24" s="16">
        <v>1283</v>
      </c>
      <c r="BD24" s="16">
        <v>1</v>
      </c>
      <c r="BE24" s="16">
        <v>13</v>
      </c>
      <c r="BF24" s="16">
        <v>36</v>
      </c>
      <c r="BG24" s="16">
        <v>11</v>
      </c>
      <c r="BH24" s="16">
        <v>15</v>
      </c>
      <c r="BI24" s="16">
        <v>17</v>
      </c>
      <c r="BJ24" s="16">
        <v>4</v>
      </c>
      <c r="BK24" s="16">
        <v>4</v>
      </c>
      <c r="BL24" s="16">
        <v>25</v>
      </c>
      <c r="BM24" s="16">
        <v>3</v>
      </c>
      <c r="BN24" s="16">
        <v>23</v>
      </c>
      <c r="BO24" s="16">
        <v>15</v>
      </c>
      <c r="BP24" s="16">
        <v>10</v>
      </c>
      <c r="BQ24" s="16">
        <v>11</v>
      </c>
      <c r="BR24" s="16">
        <v>3</v>
      </c>
      <c r="BS24" s="16">
        <v>26</v>
      </c>
      <c r="BT24" s="16">
        <v>1</v>
      </c>
      <c r="BU24" s="16">
        <v>1</v>
      </c>
      <c r="BV24" s="16">
        <v>0</v>
      </c>
      <c r="BW24" s="16">
        <v>6</v>
      </c>
      <c r="BX24" s="16">
        <v>4</v>
      </c>
      <c r="BY24" s="16">
        <v>0</v>
      </c>
      <c r="BZ24" s="16">
        <v>1</v>
      </c>
      <c r="CA24" s="16">
        <v>2</v>
      </c>
      <c r="CB24" s="16">
        <v>1</v>
      </c>
      <c r="CC24" s="16">
        <v>32</v>
      </c>
      <c r="CD24" s="16">
        <v>6</v>
      </c>
      <c r="CE24" s="16">
        <v>5</v>
      </c>
      <c r="CF24" s="16">
        <v>15</v>
      </c>
      <c r="CG24" s="16">
        <v>4</v>
      </c>
      <c r="CH24" s="16">
        <v>3</v>
      </c>
      <c r="CI24" s="16">
        <v>5</v>
      </c>
      <c r="CJ24" s="16">
        <v>7</v>
      </c>
      <c r="CK24" s="16">
        <v>17</v>
      </c>
      <c r="CL24" s="16">
        <v>20</v>
      </c>
      <c r="CM24" s="16">
        <v>10</v>
      </c>
      <c r="CN24" s="16">
        <v>3</v>
      </c>
      <c r="CO24" s="16">
        <v>10</v>
      </c>
      <c r="CP24" s="16">
        <v>25</v>
      </c>
      <c r="CQ24" s="16">
        <v>106</v>
      </c>
      <c r="CR24" s="16">
        <v>13</v>
      </c>
      <c r="CS24" s="16">
        <v>9</v>
      </c>
      <c r="CT24" s="16">
        <v>4</v>
      </c>
      <c r="CU24" s="16">
        <v>8</v>
      </c>
      <c r="CV24" s="16">
        <v>11</v>
      </c>
      <c r="CW24" s="16">
        <v>38</v>
      </c>
      <c r="CX24" s="16">
        <v>45</v>
      </c>
      <c r="CY24" s="16">
        <v>2</v>
      </c>
      <c r="CZ24" s="16">
        <v>11</v>
      </c>
      <c r="DA24" s="16">
        <v>1</v>
      </c>
      <c r="DB24" s="16">
        <v>7</v>
      </c>
      <c r="DC24" s="16">
        <v>10</v>
      </c>
      <c r="DD24" s="16">
        <v>10</v>
      </c>
      <c r="DE24" s="16">
        <v>10</v>
      </c>
      <c r="DF24" s="16">
        <v>10</v>
      </c>
      <c r="DG24" s="16">
        <v>5</v>
      </c>
      <c r="DH24" s="16">
        <v>15</v>
      </c>
      <c r="DI24" s="16">
        <v>4</v>
      </c>
      <c r="DJ24" s="16">
        <v>126</v>
      </c>
      <c r="DK24" s="16">
        <v>7</v>
      </c>
      <c r="DL24" s="16">
        <v>18</v>
      </c>
      <c r="DM24" s="16">
        <v>965</v>
      </c>
      <c r="DN24" s="16">
        <v>7</v>
      </c>
      <c r="DO24" s="16">
        <v>15</v>
      </c>
      <c r="DP24" s="16">
        <v>22</v>
      </c>
      <c r="DQ24" s="16">
        <v>4</v>
      </c>
      <c r="DR24" s="16">
        <v>15</v>
      </c>
      <c r="DS24" s="16">
        <v>1478</v>
      </c>
      <c r="DT24" s="16">
        <v>7</v>
      </c>
      <c r="DU24" s="16">
        <v>3</v>
      </c>
      <c r="DV24" s="16">
        <v>5</v>
      </c>
      <c r="DW24" s="16">
        <v>29</v>
      </c>
      <c r="DX24" s="16">
        <v>38</v>
      </c>
      <c r="DY24" s="16">
        <v>22</v>
      </c>
      <c r="DZ24" s="16">
        <v>68</v>
      </c>
      <c r="EA24" s="16">
        <v>4</v>
      </c>
      <c r="EB24" s="16">
        <v>3</v>
      </c>
      <c r="EC24" s="16">
        <v>19</v>
      </c>
      <c r="ED24" s="16">
        <v>4</v>
      </c>
      <c r="EE24" s="16">
        <v>0</v>
      </c>
      <c r="EF24" s="16">
        <v>1</v>
      </c>
      <c r="EG24" s="16">
        <v>6</v>
      </c>
      <c r="EH24" s="16">
        <v>1</v>
      </c>
      <c r="EI24" s="16">
        <v>7</v>
      </c>
      <c r="EJ24" s="16">
        <v>3</v>
      </c>
      <c r="EK24" s="16">
        <v>4</v>
      </c>
      <c r="EL24" s="16">
        <v>2</v>
      </c>
      <c r="EM24" s="16">
        <v>5</v>
      </c>
      <c r="EN24" s="16">
        <v>38</v>
      </c>
      <c r="EO24" s="16">
        <v>12</v>
      </c>
      <c r="EP24" s="16">
        <v>4</v>
      </c>
      <c r="EQ24" s="16">
        <v>12</v>
      </c>
      <c r="ER24" s="16">
        <v>1</v>
      </c>
      <c r="ES24" s="16">
        <v>2</v>
      </c>
      <c r="ET24" s="16">
        <v>18</v>
      </c>
      <c r="EU24" s="16">
        <v>29</v>
      </c>
      <c r="EV24" s="16">
        <v>3</v>
      </c>
      <c r="EW24" s="16">
        <v>7</v>
      </c>
      <c r="EX24" s="16">
        <v>63</v>
      </c>
      <c r="EY24" s="16">
        <v>9</v>
      </c>
      <c r="EZ24" s="16">
        <v>1</v>
      </c>
      <c r="FA24" s="16">
        <v>2</v>
      </c>
      <c r="FB24" s="16">
        <v>8</v>
      </c>
      <c r="FC24" s="16">
        <v>1</v>
      </c>
      <c r="FD24" s="16">
        <v>11</v>
      </c>
      <c r="FE24" s="16">
        <v>5</v>
      </c>
      <c r="FF24" s="16">
        <v>9</v>
      </c>
      <c r="FG24" s="16">
        <v>9</v>
      </c>
      <c r="FH24" s="16">
        <v>2</v>
      </c>
      <c r="FI24" s="16">
        <v>11</v>
      </c>
      <c r="FJ24" s="16">
        <v>3</v>
      </c>
      <c r="FK24" s="16">
        <v>7</v>
      </c>
      <c r="FL24" s="16">
        <v>8</v>
      </c>
      <c r="FM24" s="16">
        <v>7</v>
      </c>
      <c r="FN24" s="16">
        <v>27</v>
      </c>
      <c r="FO24" s="16">
        <v>15</v>
      </c>
      <c r="FP24" s="16">
        <v>11</v>
      </c>
      <c r="FQ24" s="16">
        <v>19</v>
      </c>
      <c r="FR24" s="16">
        <v>58</v>
      </c>
      <c r="FS24" s="16">
        <v>12</v>
      </c>
      <c r="FT24" s="16">
        <v>16</v>
      </c>
      <c r="FU24" s="16">
        <v>27</v>
      </c>
      <c r="FV24" s="16">
        <v>13</v>
      </c>
      <c r="FW24" s="16">
        <v>35</v>
      </c>
      <c r="FX24" s="16">
        <v>63</v>
      </c>
      <c r="FY24" s="16">
        <v>6</v>
      </c>
      <c r="FZ24" s="16">
        <v>13</v>
      </c>
      <c r="GA24" s="16">
        <v>3</v>
      </c>
      <c r="GB24" s="16">
        <v>324</v>
      </c>
      <c r="GC24" s="16">
        <v>6</v>
      </c>
      <c r="GD24" s="16">
        <v>71</v>
      </c>
      <c r="GE24" s="16">
        <v>2</v>
      </c>
      <c r="GF24" s="16">
        <v>66</v>
      </c>
      <c r="GG24" s="16">
        <v>0</v>
      </c>
      <c r="GH24" s="16">
        <v>7</v>
      </c>
      <c r="GI24" s="16">
        <v>2</v>
      </c>
      <c r="GJ24" s="16">
        <v>9</v>
      </c>
      <c r="GK24" s="16">
        <v>2</v>
      </c>
      <c r="GL24" s="16">
        <v>5</v>
      </c>
      <c r="GM24" s="16">
        <v>93</v>
      </c>
      <c r="GN24" s="16">
        <v>3</v>
      </c>
      <c r="GO24" s="16">
        <v>19</v>
      </c>
      <c r="GP24" s="16">
        <v>3</v>
      </c>
      <c r="GQ24" s="16">
        <v>1</v>
      </c>
      <c r="GR24" s="16">
        <v>4</v>
      </c>
      <c r="GS24" s="16">
        <v>2</v>
      </c>
      <c r="GT24" s="16">
        <v>1</v>
      </c>
      <c r="GU24" s="16">
        <v>8</v>
      </c>
      <c r="GV24" s="16">
        <v>6</v>
      </c>
      <c r="GW24" s="16">
        <v>7</v>
      </c>
      <c r="GX24" s="16">
        <v>2</v>
      </c>
      <c r="GY24" s="16">
        <v>1</v>
      </c>
      <c r="GZ24" s="16">
        <v>6</v>
      </c>
      <c r="HA24" s="16">
        <v>5</v>
      </c>
      <c r="HB24" s="16">
        <v>4</v>
      </c>
      <c r="HC24" s="16">
        <v>20</v>
      </c>
      <c r="HD24" s="16">
        <v>22</v>
      </c>
      <c r="HE24" s="16">
        <v>2</v>
      </c>
      <c r="HF24" s="16">
        <v>13</v>
      </c>
      <c r="HG24" s="16">
        <v>8</v>
      </c>
      <c r="HH24" s="16">
        <v>5</v>
      </c>
      <c r="HI24" s="16">
        <v>6</v>
      </c>
      <c r="HJ24" s="16">
        <v>7</v>
      </c>
      <c r="HK24" s="16">
        <v>4</v>
      </c>
      <c r="HL24" s="16">
        <v>22</v>
      </c>
      <c r="HM24" s="16">
        <v>9</v>
      </c>
      <c r="HN24" s="16">
        <v>15</v>
      </c>
      <c r="HO24" s="16">
        <v>16</v>
      </c>
      <c r="HP24" s="16">
        <v>11</v>
      </c>
      <c r="HQ24" s="16">
        <v>22</v>
      </c>
      <c r="HR24" s="16">
        <v>17</v>
      </c>
      <c r="HS24" s="16">
        <v>19</v>
      </c>
      <c r="HT24" s="16">
        <v>2</v>
      </c>
      <c r="HU24" s="16">
        <v>14</v>
      </c>
      <c r="HV24" s="16">
        <v>6</v>
      </c>
      <c r="HW24" s="16">
        <v>10</v>
      </c>
      <c r="HX24" s="16">
        <v>28</v>
      </c>
      <c r="HY24" s="16">
        <v>25</v>
      </c>
      <c r="HZ24" s="16">
        <v>57</v>
      </c>
      <c r="IA24" s="16">
        <v>16</v>
      </c>
      <c r="IB24" s="16">
        <v>2</v>
      </c>
      <c r="IC24" s="16">
        <v>2</v>
      </c>
      <c r="ID24" s="16">
        <v>6</v>
      </c>
      <c r="IE24" s="16">
        <v>1</v>
      </c>
      <c r="IF24" s="16">
        <v>6</v>
      </c>
      <c r="IG24" s="16">
        <v>67</v>
      </c>
      <c r="IH24" s="16">
        <v>13</v>
      </c>
      <c r="II24" s="16">
        <v>3</v>
      </c>
      <c r="IJ24" s="16">
        <v>1</v>
      </c>
      <c r="IK24" s="16">
        <v>9</v>
      </c>
      <c r="IL24" s="16">
        <v>1</v>
      </c>
      <c r="IM24" s="16">
        <v>1</v>
      </c>
      <c r="IN24" s="16">
        <v>2</v>
      </c>
      <c r="IO24" s="16">
        <v>26</v>
      </c>
      <c r="IP24" s="16">
        <v>1</v>
      </c>
      <c r="IQ24" s="16">
        <v>1</v>
      </c>
      <c r="IR24" s="16">
        <v>1</v>
      </c>
      <c r="IS24" s="16">
        <v>2</v>
      </c>
      <c r="IT24" s="16">
        <v>1</v>
      </c>
      <c r="IU24" s="16">
        <v>1</v>
      </c>
      <c r="IV24" s="16">
        <v>1</v>
      </c>
      <c r="IW24" s="16">
        <v>756</v>
      </c>
      <c r="IX24" s="16">
        <v>5</v>
      </c>
      <c r="IY24" s="16">
        <v>123</v>
      </c>
      <c r="IZ24" s="16">
        <v>0</v>
      </c>
      <c r="JA24" s="16">
        <v>4</v>
      </c>
      <c r="JB24" s="16">
        <v>1</v>
      </c>
      <c r="JC24" s="16">
        <v>2</v>
      </c>
      <c r="JD24" s="16">
        <v>2</v>
      </c>
      <c r="JE24" s="16">
        <v>619</v>
      </c>
      <c r="JF24" s="16">
        <v>343</v>
      </c>
      <c r="JG24" s="16">
        <v>9875</v>
      </c>
      <c r="JH24" s="16">
        <v>3</v>
      </c>
      <c r="JI24" s="16">
        <v>2</v>
      </c>
      <c r="JJ24" s="16">
        <v>11</v>
      </c>
      <c r="JK24" s="16">
        <v>11</v>
      </c>
      <c r="JL24" s="16">
        <v>3</v>
      </c>
      <c r="JM24" s="16">
        <v>1</v>
      </c>
      <c r="JN24" s="16">
        <v>8</v>
      </c>
      <c r="JO24" s="16">
        <v>10</v>
      </c>
      <c r="JP24" s="16">
        <v>83</v>
      </c>
      <c r="JQ24" s="16">
        <v>29</v>
      </c>
      <c r="JR24" s="16">
        <v>1383</v>
      </c>
      <c r="JS24" s="16">
        <v>506</v>
      </c>
      <c r="JT24" s="16">
        <v>0</v>
      </c>
      <c r="JU24" s="16">
        <v>0</v>
      </c>
      <c r="JV24" s="16">
        <v>19</v>
      </c>
      <c r="JW24" s="16">
        <v>32</v>
      </c>
      <c r="JX24" s="16">
        <v>45</v>
      </c>
      <c r="JY24" s="16">
        <v>32</v>
      </c>
      <c r="JZ24" s="16">
        <v>26</v>
      </c>
      <c r="KA24" s="16">
        <v>1</v>
      </c>
      <c r="KB24" s="16">
        <v>1</v>
      </c>
      <c r="KC24" s="16">
        <v>8</v>
      </c>
      <c r="KD24" s="16">
        <v>10</v>
      </c>
      <c r="KE24" s="16">
        <v>2</v>
      </c>
      <c r="KF24" s="16">
        <v>14</v>
      </c>
      <c r="KG24" s="16">
        <v>15</v>
      </c>
      <c r="KH24" s="16">
        <v>1</v>
      </c>
      <c r="KI24" s="16">
        <v>6</v>
      </c>
      <c r="KJ24" s="16">
        <v>18</v>
      </c>
      <c r="KK24" s="16">
        <v>3222</v>
      </c>
      <c r="KL24" s="16">
        <v>2</v>
      </c>
      <c r="KM24" s="16">
        <v>19</v>
      </c>
      <c r="KN24" s="16">
        <v>5</v>
      </c>
      <c r="KO24" s="16">
        <v>12</v>
      </c>
      <c r="KP24" s="16">
        <v>1</v>
      </c>
      <c r="KQ24" s="16">
        <v>5</v>
      </c>
      <c r="KR24" s="16">
        <v>28</v>
      </c>
      <c r="KS24" s="16">
        <v>24</v>
      </c>
      <c r="KT24" s="16">
        <v>13</v>
      </c>
      <c r="KU24" s="16">
        <v>107</v>
      </c>
      <c r="KV24" s="16">
        <v>9</v>
      </c>
      <c r="KW24" s="16">
        <v>91</v>
      </c>
      <c r="KX24" s="16">
        <v>1</v>
      </c>
      <c r="KY24" s="16">
        <v>27</v>
      </c>
      <c r="KZ24" s="16">
        <v>1499812</v>
      </c>
      <c r="LA24" s="16">
        <v>94602</v>
      </c>
      <c r="LB24" s="16">
        <v>18176</v>
      </c>
      <c r="LC24" s="16">
        <v>2770</v>
      </c>
      <c r="LD24" s="16">
        <v>129</v>
      </c>
      <c r="LE24" s="16">
        <v>75</v>
      </c>
      <c r="LF24" s="16">
        <v>9</v>
      </c>
      <c r="LG24" s="16">
        <v>7</v>
      </c>
      <c r="LH24" s="16">
        <v>186</v>
      </c>
      <c r="LI24" s="16">
        <v>0</v>
      </c>
      <c r="LJ24" s="16">
        <v>7</v>
      </c>
      <c r="LK24" s="16">
        <v>50</v>
      </c>
      <c r="LL24" s="16">
        <v>180</v>
      </c>
      <c r="LM24" s="16">
        <v>609</v>
      </c>
      <c r="LN24" s="16">
        <v>130</v>
      </c>
      <c r="LO24" s="16">
        <v>15</v>
      </c>
      <c r="LP24" s="16">
        <v>41</v>
      </c>
      <c r="LQ24" s="16">
        <v>6</v>
      </c>
      <c r="LR24" s="16">
        <v>121</v>
      </c>
      <c r="LS24" s="16">
        <v>178</v>
      </c>
      <c r="LT24" s="16">
        <v>57</v>
      </c>
      <c r="LU24" s="16">
        <v>30</v>
      </c>
      <c r="LV24" s="16">
        <v>4</v>
      </c>
      <c r="LW24" s="16">
        <v>24</v>
      </c>
      <c r="LX24" s="16">
        <v>35</v>
      </c>
      <c r="LY24" s="16">
        <v>0</v>
      </c>
      <c r="LZ24" s="16">
        <v>252</v>
      </c>
      <c r="MA24" s="16">
        <v>637</v>
      </c>
      <c r="MB24" s="16">
        <v>99</v>
      </c>
      <c r="MC24" s="16">
        <v>115</v>
      </c>
      <c r="MD24" s="16">
        <v>4</v>
      </c>
      <c r="ME24" s="16">
        <v>24</v>
      </c>
      <c r="MF24" s="16">
        <v>3011</v>
      </c>
      <c r="MG24" s="16">
        <v>247</v>
      </c>
      <c r="MH24" s="16">
        <v>603</v>
      </c>
      <c r="MI24" s="16">
        <v>37</v>
      </c>
      <c r="MJ24" s="16">
        <v>60</v>
      </c>
      <c r="MK24" s="16">
        <v>254</v>
      </c>
      <c r="ML24" s="16">
        <v>27</v>
      </c>
      <c r="MM24" s="16">
        <v>398</v>
      </c>
      <c r="MN24" s="16">
        <v>84</v>
      </c>
      <c r="MO24" s="16">
        <v>44</v>
      </c>
      <c r="MP24" s="16">
        <v>178</v>
      </c>
      <c r="MQ24" s="16">
        <v>700</v>
      </c>
      <c r="MR24" s="16">
        <v>16227</v>
      </c>
      <c r="MS24" s="16">
        <v>10937</v>
      </c>
      <c r="MT24" s="16">
        <v>125</v>
      </c>
      <c r="MU24" s="16">
        <v>65367</v>
      </c>
      <c r="MV24" s="16">
        <v>157</v>
      </c>
      <c r="MW24" s="16">
        <v>294</v>
      </c>
      <c r="MX24" s="16">
        <v>67</v>
      </c>
      <c r="MY24" s="16">
        <v>25</v>
      </c>
      <c r="MZ24" s="16">
        <v>3915</v>
      </c>
      <c r="NA24" s="16">
        <v>2778</v>
      </c>
      <c r="NB24" s="16">
        <v>105618</v>
      </c>
      <c r="NC24" s="16">
        <v>87</v>
      </c>
      <c r="ND24" s="16">
        <v>35</v>
      </c>
      <c r="NE24" s="16">
        <v>784</v>
      </c>
      <c r="NF24" s="16">
        <v>44</v>
      </c>
      <c r="NG24" s="16">
        <v>640</v>
      </c>
      <c r="NH24" s="16">
        <v>1012</v>
      </c>
      <c r="NI24" s="16">
        <v>464</v>
      </c>
      <c r="NJ24" s="16">
        <v>2106</v>
      </c>
      <c r="NK24" s="16">
        <v>37</v>
      </c>
      <c r="NL24" s="16">
        <v>2</v>
      </c>
      <c r="NM24" s="16">
        <v>48</v>
      </c>
      <c r="NN24" s="16">
        <v>41</v>
      </c>
      <c r="NO24" s="16">
        <v>0</v>
      </c>
      <c r="NP24" s="16">
        <v>64</v>
      </c>
      <c r="NQ24" s="16">
        <v>476</v>
      </c>
      <c r="NR24" s="17">
        <v>4137637</v>
      </c>
    </row>
    <row r="25" spans="1:382" ht="13.5" customHeight="1" x14ac:dyDescent="0.2">
      <c r="A25" s="2" t="s">
        <v>57</v>
      </c>
      <c r="B25" s="16">
        <v>21</v>
      </c>
      <c r="C25" s="16">
        <v>7</v>
      </c>
      <c r="D25" s="16">
        <v>6</v>
      </c>
      <c r="E25" s="16">
        <v>1</v>
      </c>
      <c r="F25" s="16">
        <v>30</v>
      </c>
      <c r="G25" s="16">
        <v>13</v>
      </c>
      <c r="H25" s="16">
        <v>4</v>
      </c>
      <c r="I25" s="16">
        <v>7</v>
      </c>
      <c r="J25" s="16">
        <v>2</v>
      </c>
      <c r="K25" s="16">
        <v>0</v>
      </c>
      <c r="L25" s="16">
        <v>1</v>
      </c>
      <c r="M25" s="16">
        <v>0</v>
      </c>
      <c r="N25" s="16">
        <v>0</v>
      </c>
      <c r="O25" s="16">
        <v>0</v>
      </c>
      <c r="P25" s="16">
        <v>24</v>
      </c>
      <c r="Q25" s="16">
        <v>24</v>
      </c>
      <c r="R25" s="16">
        <v>8</v>
      </c>
      <c r="S25" s="16">
        <v>6</v>
      </c>
      <c r="T25" s="16">
        <v>1</v>
      </c>
      <c r="U25" s="16">
        <v>2</v>
      </c>
      <c r="V25" s="16">
        <v>1</v>
      </c>
      <c r="W25" s="16">
        <v>2</v>
      </c>
      <c r="X25" s="16">
        <v>11</v>
      </c>
      <c r="Y25" s="16">
        <v>48659</v>
      </c>
      <c r="Z25" s="16">
        <v>30</v>
      </c>
      <c r="AA25" s="16">
        <v>1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41</v>
      </c>
      <c r="AH25" s="16">
        <v>34</v>
      </c>
      <c r="AI25" s="16">
        <v>5</v>
      </c>
      <c r="AJ25" s="16">
        <v>12</v>
      </c>
      <c r="AK25" s="16">
        <v>5</v>
      </c>
      <c r="AL25" s="16">
        <v>3</v>
      </c>
      <c r="AM25" s="16">
        <v>19</v>
      </c>
      <c r="AN25" s="16">
        <v>716048</v>
      </c>
      <c r="AO25" s="16">
        <v>266868</v>
      </c>
      <c r="AP25" s="16">
        <v>2</v>
      </c>
      <c r="AQ25" s="16">
        <v>7</v>
      </c>
      <c r="AR25" s="16">
        <v>0</v>
      </c>
      <c r="AS25" s="16">
        <v>15</v>
      </c>
      <c r="AT25" s="16">
        <v>5</v>
      </c>
      <c r="AU25" s="16">
        <v>2311</v>
      </c>
      <c r="AV25" s="16">
        <v>296</v>
      </c>
      <c r="AW25" s="16">
        <v>5020</v>
      </c>
      <c r="AX25" s="16">
        <v>1</v>
      </c>
      <c r="AY25" s="16">
        <v>17</v>
      </c>
      <c r="AZ25" s="16">
        <v>5</v>
      </c>
      <c r="BA25" s="16">
        <v>1220</v>
      </c>
      <c r="BB25" s="16">
        <v>916</v>
      </c>
      <c r="BC25" s="16">
        <v>6815</v>
      </c>
      <c r="BD25" s="16">
        <v>1</v>
      </c>
      <c r="BE25" s="16">
        <v>10</v>
      </c>
      <c r="BF25" s="16">
        <v>26</v>
      </c>
      <c r="BG25" s="16">
        <v>9</v>
      </c>
      <c r="BH25" s="16">
        <v>12</v>
      </c>
      <c r="BI25" s="16">
        <v>12</v>
      </c>
      <c r="BJ25" s="16">
        <v>3</v>
      </c>
      <c r="BK25" s="16">
        <v>2</v>
      </c>
      <c r="BL25" s="16">
        <v>18</v>
      </c>
      <c r="BM25" s="16">
        <v>3</v>
      </c>
      <c r="BN25" s="16">
        <v>17</v>
      </c>
      <c r="BO25" s="16">
        <v>12</v>
      </c>
      <c r="BP25" s="16">
        <v>8</v>
      </c>
      <c r="BQ25" s="16">
        <v>8</v>
      </c>
      <c r="BR25" s="16">
        <v>2</v>
      </c>
      <c r="BS25" s="16">
        <v>19</v>
      </c>
      <c r="BT25" s="16">
        <v>1</v>
      </c>
      <c r="BU25" s="16">
        <v>1</v>
      </c>
      <c r="BV25" s="16">
        <v>0</v>
      </c>
      <c r="BW25" s="16">
        <v>4</v>
      </c>
      <c r="BX25" s="16">
        <v>1</v>
      </c>
      <c r="BY25" s="16">
        <v>0</v>
      </c>
      <c r="BZ25" s="16">
        <v>1</v>
      </c>
      <c r="CA25" s="16">
        <v>2</v>
      </c>
      <c r="CB25" s="16">
        <v>2</v>
      </c>
      <c r="CC25" s="16">
        <v>24</v>
      </c>
      <c r="CD25" s="16">
        <v>5</v>
      </c>
      <c r="CE25" s="16">
        <v>4</v>
      </c>
      <c r="CF25" s="16">
        <v>11</v>
      </c>
      <c r="CG25" s="16">
        <v>4</v>
      </c>
      <c r="CH25" s="16">
        <v>2</v>
      </c>
      <c r="CI25" s="16">
        <v>3</v>
      </c>
      <c r="CJ25" s="16">
        <v>5</v>
      </c>
      <c r="CK25" s="16">
        <v>12</v>
      </c>
      <c r="CL25" s="16">
        <v>15</v>
      </c>
      <c r="CM25" s="16">
        <v>7</v>
      </c>
      <c r="CN25" s="16">
        <v>3</v>
      </c>
      <c r="CO25" s="16">
        <v>7</v>
      </c>
      <c r="CP25" s="16">
        <v>19</v>
      </c>
      <c r="CQ25" s="16">
        <v>80</v>
      </c>
      <c r="CR25" s="16">
        <v>9</v>
      </c>
      <c r="CS25" s="16">
        <v>6</v>
      </c>
      <c r="CT25" s="16">
        <v>3</v>
      </c>
      <c r="CU25" s="16">
        <v>6</v>
      </c>
      <c r="CV25" s="16">
        <v>8</v>
      </c>
      <c r="CW25" s="16">
        <v>29</v>
      </c>
      <c r="CX25" s="16">
        <v>36</v>
      </c>
      <c r="CY25" s="16">
        <v>2</v>
      </c>
      <c r="CZ25" s="16">
        <v>9</v>
      </c>
      <c r="DA25" s="16">
        <v>1</v>
      </c>
      <c r="DB25" s="16">
        <v>5</v>
      </c>
      <c r="DC25" s="16">
        <v>7</v>
      </c>
      <c r="DD25" s="16">
        <v>9</v>
      </c>
      <c r="DE25" s="16">
        <v>8</v>
      </c>
      <c r="DF25" s="16">
        <v>8</v>
      </c>
      <c r="DG25" s="16">
        <v>3</v>
      </c>
      <c r="DH25" s="16">
        <v>11</v>
      </c>
      <c r="DI25" s="16">
        <v>3</v>
      </c>
      <c r="DJ25" s="16">
        <v>95</v>
      </c>
      <c r="DK25" s="16">
        <v>5</v>
      </c>
      <c r="DL25" s="16">
        <v>13</v>
      </c>
      <c r="DM25" s="16">
        <v>169</v>
      </c>
      <c r="DN25" s="16">
        <v>6</v>
      </c>
      <c r="DO25" s="16">
        <v>9</v>
      </c>
      <c r="DP25" s="16">
        <v>16</v>
      </c>
      <c r="DQ25" s="16">
        <v>3</v>
      </c>
      <c r="DR25" s="16">
        <v>43</v>
      </c>
      <c r="DS25" s="16">
        <v>2543</v>
      </c>
      <c r="DT25" s="16">
        <v>5</v>
      </c>
      <c r="DU25" s="16">
        <v>2</v>
      </c>
      <c r="DV25" s="16">
        <v>3</v>
      </c>
      <c r="DW25" s="16">
        <v>23</v>
      </c>
      <c r="DX25" s="16">
        <v>29</v>
      </c>
      <c r="DY25" s="16">
        <v>16</v>
      </c>
      <c r="DZ25" s="16">
        <v>52</v>
      </c>
      <c r="EA25" s="16">
        <v>3</v>
      </c>
      <c r="EB25" s="16">
        <v>3</v>
      </c>
      <c r="EC25" s="16">
        <v>14</v>
      </c>
      <c r="ED25" s="16">
        <v>3</v>
      </c>
      <c r="EE25" s="16">
        <v>0</v>
      </c>
      <c r="EF25" s="16">
        <v>1</v>
      </c>
      <c r="EG25" s="16">
        <v>5</v>
      </c>
      <c r="EH25" s="16">
        <v>1</v>
      </c>
      <c r="EI25" s="16">
        <v>7</v>
      </c>
      <c r="EJ25" s="16">
        <v>4</v>
      </c>
      <c r="EK25" s="16">
        <v>3</v>
      </c>
      <c r="EL25" s="16">
        <v>2</v>
      </c>
      <c r="EM25" s="16">
        <v>4</v>
      </c>
      <c r="EN25" s="16">
        <v>29</v>
      </c>
      <c r="EO25" s="16">
        <v>9</v>
      </c>
      <c r="EP25" s="16">
        <v>3</v>
      </c>
      <c r="EQ25" s="16">
        <v>8</v>
      </c>
      <c r="ER25" s="16">
        <v>1</v>
      </c>
      <c r="ES25" s="16">
        <v>1</v>
      </c>
      <c r="ET25" s="16">
        <v>13</v>
      </c>
      <c r="EU25" s="16">
        <v>20</v>
      </c>
      <c r="EV25" s="16">
        <v>2</v>
      </c>
      <c r="EW25" s="16">
        <v>6</v>
      </c>
      <c r="EX25" s="16">
        <v>48</v>
      </c>
      <c r="EY25" s="16">
        <v>7</v>
      </c>
      <c r="EZ25" s="16">
        <v>1</v>
      </c>
      <c r="FA25" s="16">
        <v>2</v>
      </c>
      <c r="FB25" s="16">
        <v>7</v>
      </c>
      <c r="FC25" s="16">
        <v>1</v>
      </c>
      <c r="FD25" s="16">
        <v>8</v>
      </c>
      <c r="FE25" s="16">
        <v>4</v>
      </c>
      <c r="FF25" s="16">
        <v>6</v>
      </c>
      <c r="FG25" s="16">
        <v>7</v>
      </c>
      <c r="FH25" s="16">
        <v>2</v>
      </c>
      <c r="FI25" s="16">
        <v>9</v>
      </c>
      <c r="FJ25" s="16">
        <v>2</v>
      </c>
      <c r="FK25" s="16">
        <v>4</v>
      </c>
      <c r="FL25" s="16">
        <v>6</v>
      </c>
      <c r="FM25" s="16">
        <v>6</v>
      </c>
      <c r="FN25" s="16">
        <v>20</v>
      </c>
      <c r="FO25" s="16">
        <v>11</v>
      </c>
      <c r="FP25" s="16">
        <v>9</v>
      </c>
      <c r="FQ25" s="16">
        <v>15</v>
      </c>
      <c r="FR25" s="16">
        <v>44</v>
      </c>
      <c r="FS25" s="16">
        <v>9</v>
      </c>
      <c r="FT25" s="16">
        <v>12</v>
      </c>
      <c r="FU25" s="16">
        <v>20</v>
      </c>
      <c r="FV25" s="16">
        <v>10</v>
      </c>
      <c r="FW25" s="16">
        <v>26</v>
      </c>
      <c r="FX25" s="16">
        <v>47</v>
      </c>
      <c r="FY25" s="16">
        <v>5</v>
      </c>
      <c r="FZ25" s="16">
        <v>10</v>
      </c>
      <c r="GA25" s="16">
        <v>2</v>
      </c>
      <c r="GB25" s="16">
        <v>245</v>
      </c>
      <c r="GC25" s="16">
        <v>4</v>
      </c>
      <c r="GD25" s="16">
        <v>54</v>
      </c>
      <c r="GE25" s="16">
        <v>2</v>
      </c>
      <c r="GF25" s="16">
        <v>50</v>
      </c>
      <c r="GG25" s="16">
        <v>0</v>
      </c>
      <c r="GH25" s="16">
        <v>6</v>
      </c>
      <c r="GI25" s="16">
        <v>2</v>
      </c>
      <c r="GJ25" s="16">
        <v>7</v>
      </c>
      <c r="GK25" s="16">
        <v>2</v>
      </c>
      <c r="GL25" s="16">
        <v>5</v>
      </c>
      <c r="GM25" s="16">
        <v>78</v>
      </c>
      <c r="GN25" s="16">
        <v>2</v>
      </c>
      <c r="GO25" s="16">
        <v>19</v>
      </c>
      <c r="GP25" s="16">
        <v>2</v>
      </c>
      <c r="GQ25" s="16">
        <v>1</v>
      </c>
      <c r="GR25" s="16">
        <v>2</v>
      </c>
      <c r="GS25" s="16">
        <v>3</v>
      </c>
      <c r="GT25" s="16">
        <v>3</v>
      </c>
      <c r="GU25" s="16">
        <v>5</v>
      </c>
      <c r="GV25" s="16">
        <v>5</v>
      </c>
      <c r="GW25" s="16">
        <v>4</v>
      </c>
      <c r="GX25" s="16">
        <v>1</v>
      </c>
      <c r="GY25" s="16">
        <v>1</v>
      </c>
      <c r="GZ25" s="16">
        <v>5</v>
      </c>
      <c r="HA25" s="16">
        <v>4</v>
      </c>
      <c r="HB25" s="16">
        <v>3</v>
      </c>
      <c r="HC25" s="16">
        <v>15</v>
      </c>
      <c r="HD25" s="16">
        <v>16</v>
      </c>
      <c r="HE25" s="16">
        <v>2</v>
      </c>
      <c r="HF25" s="16">
        <v>11</v>
      </c>
      <c r="HG25" s="16">
        <v>6</v>
      </c>
      <c r="HH25" s="16">
        <v>4</v>
      </c>
      <c r="HI25" s="16">
        <v>4</v>
      </c>
      <c r="HJ25" s="16">
        <v>5</v>
      </c>
      <c r="HK25" s="16">
        <v>3</v>
      </c>
      <c r="HL25" s="16">
        <v>16</v>
      </c>
      <c r="HM25" s="16">
        <v>8</v>
      </c>
      <c r="HN25" s="16">
        <v>12</v>
      </c>
      <c r="HO25" s="16">
        <v>12</v>
      </c>
      <c r="HP25" s="16">
        <v>9</v>
      </c>
      <c r="HQ25" s="16">
        <v>16</v>
      </c>
      <c r="HR25" s="16">
        <v>13</v>
      </c>
      <c r="HS25" s="16">
        <v>14</v>
      </c>
      <c r="HT25" s="16">
        <v>2</v>
      </c>
      <c r="HU25" s="16">
        <v>10</v>
      </c>
      <c r="HV25" s="16">
        <v>4</v>
      </c>
      <c r="HW25" s="16">
        <v>8</v>
      </c>
      <c r="HX25" s="16">
        <v>21</v>
      </c>
      <c r="HY25" s="16">
        <v>19</v>
      </c>
      <c r="HZ25" s="16">
        <v>43</v>
      </c>
      <c r="IA25" s="16">
        <v>12</v>
      </c>
      <c r="IB25" s="16">
        <v>2</v>
      </c>
      <c r="IC25" s="16">
        <v>3</v>
      </c>
      <c r="ID25" s="16">
        <v>4</v>
      </c>
      <c r="IE25" s="16">
        <v>1</v>
      </c>
      <c r="IF25" s="16">
        <v>5</v>
      </c>
      <c r="IG25" s="16">
        <v>51</v>
      </c>
      <c r="IH25" s="16">
        <v>10</v>
      </c>
      <c r="II25" s="16">
        <v>3</v>
      </c>
      <c r="IJ25" s="16">
        <v>3</v>
      </c>
      <c r="IK25" s="16">
        <v>6</v>
      </c>
      <c r="IL25" s="16">
        <v>1</v>
      </c>
      <c r="IM25" s="16">
        <v>1</v>
      </c>
      <c r="IN25" s="16">
        <v>2</v>
      </c>
      <c r="IO25" s="16">
        <v>21</v>
      </c>
      <c r="IP25" s="16">
        <v>1</v>
      </c>
      <c r="IQ25" s="16">
        <v>1</v>
      </c>
      <c r="IR25" s="16">
        <v>8</v>
      </c>
      <c r="IS25" s="16">
        <v>2</v>
      </c>
      <c r="IT25" s="16">
        <v>1</v>
      </c>
      <c r="IU25" s="16">
        <v>1</v>
      </c>
      <c r="IV25" s="16">
        <v>1</v>
      </c>
      <c r="IW25" s="16">
        <v>11</v>
      </c>
      <c r="IX25" s="16">
        <v>3</v>
      </c>
      <c r="IY25" s="16">
        <v>14</v>
      </c>
      <c r="IZ25" s="16">
        <v>0</v>
      </c>
      <c r="JA25" s="16">
        <v>3</v>
      </c>
      <c r="JB25" s="16">
        <v>3</v>
      </c>
      <c r="JC25" s="16">
        <v>1</v>
      </c>
      <c r="JD25" s="16">
        <v>536</v>
      </c>
      <c r="JE25" s="16">
        <v>1283</v>
      </c>
      <c r="JF25" s="16">
        <v>2369</v>
      </c>
      <c r="JG25" s="16">
        <v>12056</v>
      </c>
      <c r="JH25" s="16">
        <v>2</v>
      </c>
      <c r="JI25" s="16">
        <v>9</v>
      </c>
      <c r="JJ25" s="16">
        <v>9</v>
      </c>
      <c r="JK25" s="16">
        <v>9</v>
      </c>
      <c r="JL25" s="16">
        <v>3</v>
      </c>
      <c r="JM25" s="16">
        <v>0</v>
      </c>
      <c r="JN25" s="16">
        <v>5</v>
      </c>
      <c r="JO25" s="16">
        <v>8</v>
      </c>
      <c r="JP25" s="16">
        <v>65</v>
      </c>
      <c r="JQ25" s="16">
        <v>22</v>
      </c>
      <c r="JR25" s="16">
        <v>881</v>
      </c>
      <c r="JS25" s="16">
        <v>386</v>
      </c>
      <c r="JT25" s="16">
        <v>0</v>
      </c>
      <c r="JU25" s="16">
        <v>0</v>
      </c>
      <c r="JV25" s="16">
        <v>16</v>
      </c>
      <c r="JW25" s="16">
        <v>24</v>
      </c>
      <c r="JX25" s="16">
        <v>34</v>
      </c>
      <c r="JY25" s="16">
        <v>24</v>
      </c>
      <c r="JZ25" s="16">
        <v>19</v>
      </c>
      <c r="KA25" s="16">
        <v>1</v>
      </c>
      <c r="KB25" s="16">
        <v>1</v>
      </c>
      <c r="KC25" s="16">
        <v>6</v>
      </c>
      <c r="KD25" s="16">
        <v>8</v>
      </c>
      <c r="KE25" s="16">
        <v>2</v>
      </c>
      <c r="KF25" s="16">
        <v>12</v>
      </c>
      <c r="KG25" s="16">
        <v>12</v>
      </c>
      <c r="KH25" s="16">
        <v>1</v>
      </c>
      <c r="KI25" s="16">
        <v>4</v>
      </c>
      <c r="KJ25" s="16">
        <v>13</v>
      </c>
      <c r="KK25" s="16">
        <v>2480</v>
      </c>
      <c r="KL25" s="16">
        <v>2</v>
      </c>
      <c r="KM25" s="16">
        <v>14</v>
      </c>
      <c r="KN25" s="16">
        <v>4</v>
      </c>
      <c r="KO25" s="16">
        <v>9</v>
      </c>
      <c r="KP25" s="16">
        <v>1</v>
      </c>
      <c r="KQ25" s="16">
        <v>5</v>
      </c>
      <c r="KR25" s="16">
        <v>21</v>
      </c>
      <c r="KS25" s="16">
        <v>17</v>
      </c>
      <c r="KT25" s="16">
        <v>10</v>
      </c>
      <c r="KU25" s="16">
        <v>81</v>
      </c>
      <c r="KV25" s="16">
        <v>7</v>
      </c>
      <c r="KW25" s="16">
        <v>69</v>
      </c>
      <c r="KX25" s="16">
        <v>0</v>
      </c>
      <c r="KY25" s="16">
        <v>20</v>
      </c>
      <c r="KZ25" s="16">
        <v>1365535</v>
      </c>
      <c r="LA25" s="16">
        <v>149307</v>
      </c>
      <c r="LB25" s="16">
        <v>15499</v>
      </c>
      <c r="LC25" s="16">
        <v>3058</v>
      </c>
      <c r="LD25" s="16">
        <v>98</v>
      </c>
      <c r="LE25" s="16">
        <v>57</v>
      </c>
      <c r="LF25" s="16">
        <v>6</v>
      </c>
      <c r="LG25" s="16">
        <v>5</v>
      </c>
      <c r="LH25" s="16">
        <v>140</v>
      </c>
      <c r="LI25" s="16">
        <v>13</v>
      </c>
      <c r="LJ25" s="16">
        <v>6</v>
      </c>
      <c r="LK25" s="16">
        <v>37</v>
      </c>
      <c r="LL25" s="16">
        <v>137</v>
      </c>
      <c r="LM25" s="16">
        <v>460</v>
      </c>
      <c r="LN25" s="16">
        <v>99</v>
      </c>
      <c r="LO25" s="16">
        <v>12</v>
      </c>
      <c r="LP25" s="16">
        <v>29</v>
      </c>
      <c r="LQ25" s="16">
        <v>4</v>
      </c>
      <c r="LR25" s="16">
        <v>91</v>
      </c>
      <c r="LS25" s="16">
        <v>134</v>
      </c>
      <c r="LT25" s="16">
        <v>43</v>
      </c>
      <c r="LU25" s="16">
        <v>22</v>
      </c>
      <c r="LV25" s="16">
        <v>3</v>
      </c>
      <c r="LW25" s="16">
        <v>17</v>
      </c>
      <c r="LX25" s="16">
        <v>26</v>
      </c>
      <c r="LY25" s="16">
        <v>0</v>
      </c>
      <c r="LZ25" s="16">
        <v>191</v>
      </c>
      <c r="MA25" s="16">
        <v>481</v>
      </c>
      <c r="MB25" s="16">
        <v>75</v>
      </c>
      <c r="MC25" s="16">
        <v>73</v>
      </c>
      <c r="MD25" s="16">
        <v>3</v>
      </c>
      <c r="ME25" s="16">
        <v>21</v>
      </c>
      <c r="MF25" s="16">
        <v>2774</v>
      </c>
      <c r="MG25" s="16">
        <v>187</v>
      </c>
      <c r="MH25" s="16">
        <v>458</v>
      </c>
      <c r="MI25" s="16">
        <v>28</v>
      </c>
      <c r="MJ25" s="16">
        <v>45</v>
      </c>
      <c r="MK25" s="16">
        <v>192</v>
      </c>
      <c r="ML25" s="16">
        <v>22</v>
      </c>
      <c r="MM25" s="16">
        <v>181</v>
      </c>
      <c r="MN25" s="16">
        <v>62</v>
      </c>
      <c r="MO25" s="16">
        <v>32</v>
      </c>
      <c r="MP25" s="16">
        <v>133</v>
      </c>
      <c r="MQ25" s="16">
        <v>529</v>
      </c>
      <c r="MR25" s="16">
        <v>27086</v>
      </c>
      <c r="MS25" s="16">
        <v>5789</v>
      </c>
      <c r="MT25" s="16">
        <v>79</v>
      </c>
      <c r="MU25" s="16">
        <v>59235</v>
      </c>
      <c r="MV25" s="16">
        <v>61</v>
      </c>
      <c r="MW25" s="16">
        <v>223</v>
      </c>
      <c r="MX25" s="16">
        <v>20</v>
      </c>
      <c r="MY25" s="16">
        <v>18</v>
      </c>
      <c r="MZ25" s="16">
        <v>2837</v>
      </c>
      <c r="NA25" s="16">
        <v>105</v>
      </c>
      <c r="NB25" s="16">
        <v>91949</v>
      </c>
      <c r="NC25" s="16">
        <v>462</v>
      </c>
      <c r="ND25" s="16">
        <v>26</v>
      </c>
      <c r="NE25" s="16">
        <v>2461</v>
      </c>
      <c r="NF25" s="16">
        <v>32</v>
      </c>
      <c r="NG25" s="16">
        <v>459</v>
      </c>
      <c r="NH25" s="16">
        <v>766</v>
      </c>
      <c r="NI25" s="16">
        <v>351</v>
      </c>
      <c r="NJ25" s="16">
        <v>1593</v>
      </c>
      <c r="NK25" s="16">
        <v>28</v>
      </c>
      <c r="NL25" s="16">
        <v>2</v>
      </c>
      <c r="NM25" s="16">
        <v>35</v>
      </c>
      <c r="NN25" s="16">
        <v>31</v>
      </c>
      <c r="NO25" s="16">
        <v>0</v>
      </c>
      <c r="NP25" s="16">
        <v>47</v>
      </c>
      <c r="NQ25" s="16">
        <v>1173</v>
      </c>
      <c r="NR25" s="17">
        <v>2809314</v>
      </c>
    </row>
    <row r="26" spans="1:382" ht="13.5" customHeight="1" x14ac:dyDescent="0.2">
      <c r="A26" s="2" t="s">
        <v>59</v>
      </c>
      <c r="B26" s="16">
        <v>192742</v>
      </c>
      <c r="C26" s="16">
        <v>6851</v>
      </c>
      <c r="D26" s="16">
        <v>27432</v>
      </c>
      <c r="E26" s="16">
        <v>22666</v>
      </c>
      <c r="F26" s="16">
        <v>323488</v>
      </c>
      <c r="G26" s="16">
        <v>39754</v>
      </c>
      <c r="H26" s="16">
        <v>1012</v>
      </c>
      <c r="I26" s="16">
        <v>2163</v>
      </c>
      <c r="J26" s="16">
        <v>1012</v>
      </c>
      <c r="K26" s="16">
        <v>0</v>
      </c>
      <c r="L26" s="16">
        <v>9</v>
      </c>
      <c r="M26" s="16">
        <v>3123</v>
      </c>
      <c r="N26" s="16">
        <v>81</v>
      </c>
      <c r="O26" s="16">
        <v>16403</v>
      </c>
      <c r="P26" s="16">
        <v>122902</v>
      </c>
      <c r="Q26" s="16">
        <v>201825</v>
      </c>
      <c r="R26" s="16">
        <v>105935</v>
      </c>
      <c r="S26" s="16">
        <v>2586</v>
      </c>
      <c r="T26" s="16">
        <v>57583</v>
      </c>
      <c r="U26" s="16">
        <v>10201</v>
      </c>
      <c r="V26" s="16">
        <v>71207</v>
      </c>
      <c r="W26" s="16">
        <v>14394</v>
      </c>
      <c r="X26" s="16">
        <v>25144</v>
      </c>
      <c r="Y26" s="16">
        <v>141448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76</v>
      </c>
      <c r="AL26" s="16">
        <v>0</v>
      </c>
      <c r="AM26" s="16">
        <v>0</v>
      </c>
      <c r="AN26" s="16">
        <v>155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  <c r="IB26" s="16">
        <v>0</v>
      </c>
      <c r="IC26" s="16">
        <v>0</v>
      </c>
      <c r="ID26" s="16">
        <v>0</v>
      </c>
      <c r="IE26" s="16">
        <v>0</v>
      </c>
      <c r="IF26" s="16">
        <v>0</v>
      </c>
      <c r="IG26" s="16">
        <v>0</v>
      </c>
      <c r="IH26" s="16">
        <v>0</v>
      </c>
      <c r="II26" s="16">
        <v>0</v>
      </c>
      <c r="IJ26" s="16">
        <v>0</v>
      </c>
      <c r="IK26" s="16">
        <v>0</v>
      </c>
      <c r="IL26" s="16">
        <v>0</v>
      </c>
      <c r="IM26" s="16">
        <v>0</v>
      </c>
      <c r="IN26" s="16">
        <v>0</v>
      </c>
      <c r="IO26" s="16">
        <v>0</v>
      </c>
      <c r="IP26" s="16">
        <v>0</v>
      </c>
      <c r="IQ26" s="16">
        <v>0</v>
      </c>
      <c r="IR26" s="16">
        <v>0</v>
      </c>
      <c r="IS26" s="16">
        <v>0</v>
      </c>
      <c r="IT26" s="16">
        <v>0</v>
      </c>
      <c r="IU26" s="16">
        <v>0</v>
      </c>
      <c r="IV26" s="16">
        <v>0</v>
      </c>
      <c r="IW26" s="16">
        <v>0</v>
      </c>
      <c r="IX26" s="16">
        <v>0</v>
      </c>
      <c r="IY26" s="16">
        <v>0</v>
      </c>
      <c r="IZ26" s="16">
        <v>0</v>
      </c>
      <c r="JA26" s="16">
        <v>0</v>
      </c>
      <c r="JB26" s="16">
        <v>0</v>
      </c>
      <c r="JC26" s="16">
        <v>0</v>
      </c>
      <c r="JD26" s="16">
        <v>0</v>
      </c>
      <c r="JE26" s="16">
        <v>0</v>
      </c>
      <c r="JF26" s="16">
        <v>0</v>
      </c>
      <c r="JG26" s="16">
        <v>0</v>
      </c>
      <c r="JH26" s="16">
        <v>0</v>
      </c>
      <c r="JI26" s="16">
        <v>0</v>
      </c>
      <c r="JJ26" s="16">
        <v>0</v>
      </c>
      <c r="JK26" s="16">
        <v>0</v>
      </c>
      <c r="JL26" s="16">
        <v>0</v>
      </c>
      <c r="JM26" s="16">
        <v>0</v>
      </c>
      <c r="JN26" s="16">
        <v>0</v>
      </c>
      <c r="JO26" s="16">
        <v>0</v>
      </c>
      <c r="JP26" s="16">
        <v>0</v>
      </c>
      <c r="JQ26" s="16">
        <v>0</v>
      </c>
      <c r="JR26" s="16">
        <v>0</v>
      </c>
      <c r="JS26" s="16">
        <v>0</v>
      </c>
      <c r="JT26" s="16">
        <v>0</v>
      </c>
      <c r="JU26" s="16">
        <v>0</v>
      </c>
      <c r="JV26" s="16">
        <v>0</v>
      </c>
      <c r="JW26" s="16">
        <v>0</v>
      </c>
      <c r="JX26" s="16">
        <v>0</v>
      </c>
      <c r="JY26" s="16">
        <v>0</v>
      </c>
      <c r="JZ26" s="16">
        <v>18</v>
      </c>
      <c r="KA26" s="16">
        <v>0</v>
      </c>
      <c r="KB26" s="16">
        <v>0</v>
      </c>
      <c r="KC26" s="16">
        <v>0</v>
      </c>
      <c r="KD26" s="16">
        <v>0</v>
      </c>
      <c r="KE26" s="16">
        <v>0</v>
      </c>
      <c r="KF26" s="16">
        <v>0</v>
      </c>
      <c r="KG26" s="16">
        <v>0</v>
      </c>
      <c r="KH26" s="16">
        <v>0</v>
      </c>
      <c r="KI26" s="16">
        <v>0</v>
      </c>
      <c r="KJ26" s="16">
        <v>0</v>
      </c>
      <c r="KK26" s="16">
        <v>0</v>
      </c>
      <c r="KL26" s="16">
        <v>0</v>
      </c>
      <c r="KM26" s="16">
        <v>0</v>
      </c>
      <c r="KN26" s="16">
        <v>0</v>
      </c>
      <c r="KO26" s="16">
        <v>0</v>
      </c>
      <c r="KP26" s="16">
        <v>0</v>
      </c>
      <c r="KQ26" s="16">
        <v>0</v>
      </c>
      <c r="KR26" s="16">
        <v>0</v>
      </c>
      <c r="KS26" s="16">
        <v>0</v>
      </c>
      <c r="KT26" s="16">
        <v>0</v>
      </c>
      <c r="KU26" s="16">
        <v>0</v>
      </c>
      <c r="KV26" s="16">
        <v>0</v>
      </c>
      <c r="KW26" s="16">
        <v>0</v>
      </c>
      <c r="KX26" s="16">
        <v>0</v>
      </c>
      <c r="KY26" s="16">
        <v>0</v>
      </c>
      <c r="KZ26" s="16">
        <v>0</v>
      </c>
      <c r="LA26" s="16">
        <v>0</v>
      </c>
      <c r="LB26" s="16">
        <v>0</v>
      </c>
      <c r="LC26" s="16">
        <v>0</v>
      </c>
      <c r="LD26" s="16">
        <v>0</v>
      </c>
      <c r="LE26" s="16">
        <v>0</v>
      </c>
      <c r="LF26" s="16">
        <v>0</v>
      </c>
      <c r="LG26" s="16">
        <v>0</v>
      </c>
      <c r="LH26" s="16">
        <v>0</v>
      </c>
      <c r="LI26" s="16">
        <v>0</v>
      </c>
      <c r="LJ26" s="16">
        <v>0</v>
      </c>
      <c r="LK26" s="16">
        <v>0</v>
      </c>
      <c r="LL26" s="16">
        <v>0</v>
      </c>
      <c r="LM26" s="16">
        <v>0</v>
      </c>
      <c r="LN26" s="16">
        <v>0</v>
      </c>
      <c r="LO26" s="16">
        <v>0</v>
      </c>
      <c r="LP26" s="16">
        <v>0</v>
      </c>
      <c r="LQ26" s="16">
        <v>0</v>
      </c>
      <c r="LR26" s="16">
        <v>0</v>
      </c>
      <c r="LS26" s="16">
        <v>0</v>
      </c>
      <c r="LT26" s="16">
        <v>0</v>
      </c>
      <c r="LU26" s="16">
        <v>0</v>
      </c>
      <c r="LV26" s="16">
        <v>0</v>
      </c>
      <c r="LW26" s="16">
        <v>0</v>
      </c>
      <c r="LX26" s="16">
        <v>0</v>
      </c>
      <c r="LY26" s="16">
        <v>0</v>
      </c>
      <c r="LZ26" s="16">
        <v>0</v>
      </c>
      <c r="MA26" s="16">
        <v>0</v>
      </c>
      <c r="MB26" s="16">
        <v>0</v>
      </c>
      <c r="MC26" s="16">
        <v>0</v>
      </c>
      <c r="MD26" s="16">
        <v>0</v>
      </c>
      <c r="ME26" s="16">
        <v>0</v>
      </c>
      <c r="MF26" s="16">
        <v>0</v>
      </c>
      <c r="MG26" s="16">
        <v>0</v>
      </c>
      <c r="MH26" s="16">
        <v>0</v>
      </c>
      <c r="MI26" s="16">
        <v>0</v>
      </c>
      <c r="MJ26" s="16">
        <v>65</v>
      </c>
      <c r="MK26" s="16">
        <v>0</v>
      </c>
      <c r="ML26" s="16">
        <v>0</v>
      </c>
      <c r="MM26" s="16">
        <v>0</v>
      </c>
      <c r="MN26" s="16">
        <v>0</v>
      </c>
      <c r="MO26" s="16">
        <v>0</v>
      </c>
      <c r="MP26" s="16">
        <v>5</v>
      </c>
      <c r="MQ26" s="16">
        <v>0</v>
      </c>
      <c r="MR26" s="16">
        <v>1680</v>
      </c>
      <c r="MS26" s="16">
        <v>2195</v>
      </c>
      <c r="MT26" s="16">
        <v>171</v>
      </c>
      <c r="MU26" s="16">
        <v>341</v>
      </c>
      <c r="MV26" s="16">
        <v>0</v>
      </c>
      <c r="MW26" s="16">
        <v>0</v>
      </c>
      <c r="MX26" s="16">
        <v>153</v>
      </c>
      <c r="MY26" s="16">
        <v>0</v>
      </c>
      <c r="MZ26" s="16">
        <v>40</v>
      </c>
      <c r="NA26" s="16">
        <v>0</v>
      </c>
      <c r="NB26" s="16">
        <v>0</v>
      </c>
      <c r="NC26" s="16">
        <v>1081</v>
      </c>
      <c r="ND26" s="16">
        <v>0</v>
      </c>
      <c r="NE26" s="16">
        <v>0</v>
      </c>
      <c r="NF26" s="16">
        <v>0</v>
      </c>
      <c r="NG26" s="16">
        <v>0</v>
      </c>
      <c r="NH26" s="16">
        <v>0</v>
      </c>
      <c r="NI26" s="16">
        <v>0</v>
      </c>
      <c r="NJ26" s="16">
        <v>0</v>
      </c>
      <c r="NK26" s="16">
        <v>0</v>
      </c>
      <c r="NL26" s="16">
        <v>0</v>
      </c>
      <c r="NM26" s="16">
        <v>0</v>
      </c>
      <c r="NN26" s="16">
        <v>0</v>
      </c>
      <c r="NO26" s="16">
        <v>0</v>
      </c>
      <c r="NP26" s="16">
        <v>0</v>
      </c>
      <c r="NQ26" s="16">
        <v>19</v>
      </c>
      <c r="NR26" s="17">
        <v>1395960</v>
      </c>
    </row>
    <row r="27" spans="1:382" ht="13.5" customHeight="1" x14ac:dyDescent="0.2">
      <c r="A27" s="2" t="s">
        <v>61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25</v>
      </c>
      <c r="AH27" s="16">
        <v>198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30812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2104</v>
      </c>
      <c r="DH27" s="16">
        <v>28158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13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98117</v>
      </c>
      <c r="EQ27" s="16">
        <v>0</v>
      </c>
      <c r="ER27" s="16">
        <v>0</v>
      </c>
      <c r="ES27" s="16">
        <v>0</v>
      </c>
      <c r="ET27" s="16">
        <v>0</v>
      </c>
      <c r="EU27" s="16">
        <v>3847</v>
      </c>
      <c r="EV27" s="16">
        <v>0</v>
      </c>
      <c r="EW27" s="16">
        <v>33886</v>
      </c>
      <c r="EX27" s="16">
        <v>24221</v>
      </c>
      <c r="EY27" s="16">
        <v>0</v>
      </c>
      <c r="EZ27" s="16">
        <v>43247</v>
      </c>
      <c r="FA27" s="16">
        <v>154992</v>
      </c>
      <c r="FB27" s="16">
        <v>281994</v>
      </c>
      <c r="FC27" s="16">
        <v>5137</v>
      </c>
      <c r="FD27" s="16">
        <v>1328</v>
      </c>
      <c r="FE27" s="16">
        <v>183081</v>
      </c>
      <c r="FF27" s="16">
        <v>184740</v>
      </c>
      <c r="FG27" s="16">
        <v>6458</v>
      </c>
      <c r="FH27" s="16">
        <v>1</v>
      </c>
      <c r="FI27" s="16">
        <v>0</v>
      </c>
      <c r="FJ27" s="16">
        <v>7455</v>
      </c>
      <c r="FK27" s="16">
        <v>0</v>
      </c>
      <c r="FL27" s="16">
        <v>311</v>
      </c>
      <c r="FM27" s="16">
        <v>0</v>
      </c>
      <c r="FN27" s="16">
        <v>0</v>
      </c>
      <c r="FO27" s="16">
        <v>1209</v>
      </c>
      <c r="FP27" s="16">
        <v>4896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58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  <c r="IB27" s="16">
        <v>0</v>
      </c>
      <c r="IC27" s="16">
        <v>0</v>
      </c>
      <c r="ID27" s="16">
        <v>0</v>
      </c>
      <c r="IE27" s="16">
        <v>0</v>
      </c>
      <c r="IF27" s="16">
        <v>0</v>
      </c>
      <c r="IG27" s="16">
        <v>0</v>
      </c>
      <c r="IH27" s="16">
        <v>0</v>
      </c>
      <c r="II27" s="16">
        <v>0</v>
      </c>
      <c r="IJ27" s="16">
        <v>0</v>
      </c>
      <c r="IK27" s="16">
        <v>0</v>
      </c>
      <c r="IL27" s="16">
        <v>0</v>
      </c>
      <c r="IM27" s="16">
        <v>0</v>
      </c>
      <c r="IN27" s="16">
        <v>0</v>
      </c>
      <c r="IO27" s="16">
        <v>0</v>
      </c>
      <c r="IP27" s="16">
        <v>0</v>
      </c>
      <c r="IQ27" s="16">
        <v>0</v>
      </c>
      <c r="IR27" s="16">
        <v>0</v>
      </c>
      <c r="IS27" s="16">
        <v>0</v>
      </c>
      <c r="IT27" s="16">
        <v>0</v>
      </c>
      <c r="IU27" s="16">
        <v>0</v>
      </c>
      <c r="IV27" s="16">
        <v>0</v>
      </c>
      <c r="IW27" s="16">
        <v>0</v>
      </c>
      <c r="IX27" s="16">
        <v>0</v>
      </c>
      <c r="IY27" s="16">
        <v>0</v>
      </c>
      <c r="IZ27" s="16">
        <v>0</v>
      </c>
      <c r="JA27" s="16">
        <v>0</v>
      </c>
      <c r="JB27" s="16">
        <v>0</v>
      </c>
      <c r="JC27" s="16">
        <v>0</v>
      </c>
      <c r="JD27" s="16">
        <v>0</v>
      </c>
      <c r="JE27" s="16">
        <v>0</v>
      </c>
      <c r="JF27" s="16">
        <v>0</v>
      </c>
      <c r="JG27" s="16">
        <v>8</v>
      </c>
      <c r="JH27" s="16">
        <v>0</v>
      </c>
      <c r="JI27" s="16">
        <v>0</v>
      </c>
      <c r="JJ27" s="16">
        <v>378875</v>
      </c>
      <c r="JK27" s="16">
        <v>0</v>
      </c>
      <c r="JL27" s="16">
        <v>0</v>
      </c>
      <c r="JM27" s="16">
        <v>0</v>
      </c>
      <c r="JN27" s="16">
        <v>0</v>
      </c>
      <c r="JO27" s="16">
        <v>0</v>
      </c>
      <c r="JP27" s="16">
        <v>0</v>
      </c>
      <c r="JQ27" s="16">
        <v>0</v>
      </c>
      <c r="JR27" s="16">
        <v>0</v>
      </c>
      <c r="JS27" s="16">
        <v>0</v>
      </c>
      <c r="JT27" s="16">
        <v>0</v>
      </c>
      <c r="JU27" s="16">
        <v>0</v>
      </c>
      <c r="JV27" s="16">
        <v>925</v>
      </c>
      <c r="JW27" s="16">
        <v>0</v>
      </c>
      <c r="JX27" s="16">
        <v>0</v>
      </c>
      <c r="JY27" s="16">
        <v>0</v>
      </c>
      <c r="JZ27" s="16">
        <v>0</v>
      </c>
      <c r="KA27" s="16">
        <v>0</v>
      </c>
      <c r="KB27" s="16">
        <v>0</v>
      </c>
      <c r="KC27" s="16">
        <v>0</v>
      </c>
      <c r="KD27" s="16">
        <v>0</v>
      </c>
      <c r="KE27" s="16">
        <v>0</v>
      </c>
      <c r="KF27" s="16">
        <v>0</v>
      </c>
      <c r="KG27" s="16">
        <v>0</v>
      </c>
      <c r="KH27" s="16">
        <v>0</v>
      </c>
      <c r="KI27" s="16">
        <v>0</v>
      </c>
      <c r="KJ27" s="16">
        <v>0</v>
      </c>
      <c r="KK27" s="16">
        <v>0</v>
      </c>
      <c r="KL27" s="16">
        <v>0</v>
      </c>
      <c r="KM27" s="16">
        <v>0</v>
      </c>
      <c r="KN27" s="16">
        <v>0</v>
      </c>
      <c r="KO27" s="16">
        <v>0</v>
      </c>
      <c r="KP27" s="16">
        <v>0</v>
      </c>
      <c r="KQ27" s="16">
        <v>0</v>
      </c>
      <c r="KR27" s="16">
        <v>0</v>
      </c>
      <c r="KS27" s="16">
        <v>0</v>
      </c>
      <c r="KT27" s="16">
        <v>0</v>
      </c>
      <c r="KU27" s="16">
        <v>0</v>
      </c>
      <c r="KV27" s="16">
        <v>0</v>
      </c>
      <c r="KW27" s="16">
        <v>0</v>
      </c>
      <c r="KX27" s="16">
        <v>0</v>
      </c>
      <c r="KY27" s="16">
        <v>0</v>
      </c>
      <c r="KZ27" s="16">
        <v>0</v>
      </c>
      <c r="LA27" s="16">
        <v>0</v>
      </c>
      <c r="LB27" s="16">
        <v>0</v>
      </c>
      <c r="LC27" s="16">
        <v>0</v>
      </c>
      <c r="LD27" s="16">
        <v>0</v>
      </c>
      <c r="LE27" s="16">
        <v>0</v>
      </c>
      <c r="LF27" s="16">
        <v>0</v>
      </c>
      <c r="LG27" s="16">
        <v>0</v>
      </c>
      <c r="LH27" s="16">
        <v>0</v>
      </c>
      <c r="LI27" s="16">
        <v>0</v>
      </c>
      <c r="LJ27" s="16">
        <v>0</v>
      </c>
      <c r="LK27" s="16">
        <v>0</v>
      </c>
      <c r="LL27" s="16">
        <v>0</v>
      </c>
      <c r="LM27" s="16">
        <v>0</v>
      </c>
      <c r="LN27" s="16">
        <v>0</v>
      </c>
      <c r="LO27" s="16">
        <v>0</v>
      </c>
      <c r="LP27" s="16">
        <v>0</v>
      </c>
      <c r="LQ27" s="16">
        <v>0</v>
      </c>
      <c r="LR27" s="16">
        <v>0</v>
      </c>
      <c r="LS27" s="16">
        <v>0</v>
      </c>
      <c r="LT27" s="16">
        <v>0</v>
      </c>
      <c r="LU27" s="16">
        <v>0</v>
      </c>
      <c r="LV27" s="16">
        <v>0</v>
      </c>
      <c r="LW27" s="16">
        <v>0</v>
      </c>
      <c r="LX27" s="16">
        <v>0</v>
      </c>
      <c r="LY27" s="16">
        <v>0</v>
      </c>
      <c r="LZ27" s="16">
        <v>0</v>
      </c>
      <c r="MA27" s="16">
        <v>0</v>
      </c>
      <c r="MB27" s="16">
        <v>0</v>
      </c>
      <c r="MC27" s="16">
        <v>0</v>
      </c>
      <c r="MD27" s="16">
        <v>0</v>
      </c>
      <c r="ME27" s="16">
        <v>0</v>
      </c>
      <c r="MF27" s="16">
        <v>7420</v>
      </c>
      <c r="MG27" s="16">
        <v>0</v>
      </c>
      <c r="MH27" s="16">
        <v>0</v>
      </c>
      <c r="MI27" s="16">
        <v>0</v>
      </c>
      <c r="MJ27" s="16">
        <v>0</v>
      </c>
      <c r="MK27" s="16">
        <v>0</v>
      </c>
      <c r="ML27" s="16">
        <v>0</v>
      </c>
      <c r="MM27" s="16">
        <v>0</v>
      </c>
      <c r="MN27" s="16">
        <v>0</v>
      </c>
      <c r="MO27" s="16">
        <v>0</v>
      </c>
      <c r="MP27" s="16">
        <v>0</v>
      </c>
      <c r="MQ27" s="16">
        <v>0</v>
      </c>
      <c r="MR27" s="16">
        <v>171</v>
      </c>
      <c r="MS27" s="16">
        <v>0</v>
      </c>
      <c r="MT27" s="16">
        <v>0</v>
      </c>
      <c r="MU27" s="16">
        <v>0</v>
      </c>
      <c r="MV27" s="16">
        <v>0</v>
      </c>
      <c r="MW27" s="16">
        <v>0</v>
      </c>
      <c r="MX27" s="16">
        <v>0</v>
      </c>
      <c r="MY27" s="16">
        <v>0</v>
      </c>
      <c r="MZ27" s="16">
        <v>0</v>
      </c>
      <c r="NA27" s="16">
        <v>0</v>
      </c>
      <c r="NB27" s="16">
        <v>0</v>
      </c>
      <c r="NC27" s="16">
        <v>0</v>
      </c>
      <c r="ND27" s="16">
        <v>0</v>
      </c>
      <c r="NE27" s="16">
        <v>0</v>
      </c>
      <c r="NF27" s="16">
        <v>0</v>
      </c>
      <c r="NG27" s="16">
        <v>0</v>
      </c>
      <c r="NH27" s="16">
        <v>0</v>
      </c>
      <c r="NI27" s="16">
        <v>0</v>
      </c>
      <c r="NJ27" s="16">
        <v>0</v>
      </c>
      <c r="NK27" s="16">
        <v>0</v>
      </c>
      <c r="NL27" s="16">
        <v>0</v>
      </c>
      <c r="NM27" s="16">
        <v>0</v>
      </c>
      <c r="NN27" s="16">
        <v>0</v>
      </c>
      <c r="NO27" s="16">
        <v>0</v>
      </c>
      <c r="NP27" s="16">
        <v>0</v>
      </c>
      <c r="NQ27" s="16">
        <v>2</v>
      </c>
      <c r="NR27" s="17">
        <v>1483689</v>
      </c>
    </row>
    <row r="28" spans="1:382" ht="13.5" customHeight="1" x14ac:dyDescent="0.2">
      <c r="A28" s="2" t="s">
        <v>63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71128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98621</v>
      </c>
      <c r="DH28" s="16">
        <v>29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710981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30573</v>
      </c>
      <c r="EV28" s="16">
        <v>0</v>
      </c>
      <c r="EW28" s="16">
        <v>285288</v>
      </c>
      <c r="EX28" s="16">
        <v>154672</v>
      </c>
      <c r="EY28" s="16">
        <v>0</v>
      </c>
      <c r="EZ28" s="16">
        <v>380554</v>
      </c>
      <c r="FA28" s="16">
        <v>682977</v>
      </c>
      <c r="FB28" s="16">
        <v>1200818</v>
      </c>
      <c r="FC28" s="16">
        <v>43891</v>
      </c>
      <c r="FD28" s="16">
        <v>8859</v>
      </c>
      <c r="FE28" s="16">
        <v>2083386</v>
      </c>
      <c r="FF28" s="16">
        <v>2093363</v>
      </c>
      <c r="FG28" s="16">
        <v>762</v>
      </c>
      <c r="FH28" s="16">
        <v>0</v>
      </c>
      <c r="FI28" s="16">
        <v>0</v>
      </c>
      <c r="FJ28" s="16">
        <v>0</v>
      </c>
      <c r="FK28" s="16">
        <v>0</v>
      </c>
      <c r="FL28" s="16">
        <v>548</v>
      </c>
      <c r="FM28" s="16">
        <v>0</v>
      </c>
      <c r="FN28" s="16">
        <v>0</v>
      </c>
      <c r="FO28" s="16">
        <v>10151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11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  <c r="IB28" s="16">
        <v>0</v>
      </c>
      <c r="IC28" s="16">
        <v>0</v>
      </c>
      <c r="ID28" s="16">
        <v>0</v>
      </c>
      <c r="IE28" s="16">
        <v>0</v>
      </c>
      <c r="IF28" s="16">
        <v>0</v>
      </c>
      <c r="IG28" s="16">
        <v>0</v>
      </c>
      <c r="IH28" s="16">
        <v>0</v>
      </c>
      <c r="II28" s="16">
        <v>0</v>
      </c>
      <c r="IJ28" s="16">
        <v>0</v>
      </c>
      <c r="IK28" s="16">
        <v>0</v>
      </c>
      <c r="IL28" s="16">
        <v>0</v>
      </c>
      <c r="IM28" s="16">
        <v>0</v>
      </c>
      <c r="IN28" s="16">
        <v>0</v>
      </c>
      <c r="IO28" s="16">
        <v>0</v>
      </c>
      <c r="IP28" s="16">
        <v>0</v>
      </c>
      <c r="IQ28" s="16">
        <v>0</v>
      </c>
      <c r="IR28" s="16">
        <v>0</v>
      </c>
      <c r="IS28" s="16">
        <v>0</v>
      </c>
      <c r="IT28" s="16">
        <v>0</v>
      </c>
      <c r="IU28" s="16">
        <v>0</v>
      </c>
      <c r="IV28" s="16">
        <v>0</v>
      </c>
      <c r="IW28" s="16">
        <v>0</v>
      </c>
      <c r="IX28" s="16">
        <v>0</v>
      </c>
      <c r="IY28" s="16">
        <v>0</v>
      </c>
      <c r="IZ28" s="16">
        <v>0</v>
      </c>
      <c r="JA28" s="16">
        <v>0</v>
      </c>
      <c r="JB28" s="16">
        <v>0</v>
      </c>
      <c r="JC28" s="16">
        <v>0</v>
      </c>
      <c r="JD28" s="16">
        <v>0</v>
      </c>
      <c r="JE28" s="16">
        <v>0</v>
      </c>
      <c r="JF28" s="16">
        <v>0</v>
      </c>
      <c r="JG28" s="16">
        <v>0</v>
      </c>
      <c r="JH28" s="16">
        <v>0</v>
      </c>
      <c r="JI28" s="16">
        <v>0</v>
      </c>
      <c r="JJ28" s="16">
        <v>19111803</v>
      </c>
      <c r="JK28" s="16">
        <v>0</v>
      </c>
      <c r="JL28" s="16">
        <v>287101</v>
      </c>
      <c r="JM28" s="16">
        <v>0</v>
      </c>
      <c r="JN28" s="16">
        <v>0</v>
      </c>
      <c r="JO28" s="16">
        <v>0</v>
      </c>
      <c r="JP28" s="16">
        <v>0</v>
      </c>
      <c r="JQ28" s="16">
        <v>0</v>
      </c>
      <c r="JR28" s="16">
        <v>0</v>
      </c>
      <c r="JS28" s="16">
        <v>0</v>
      </c>
      <c r="JT28" s="16">
        <v>0</v>
      </c>
      <c r="JU28" s="16">
        <v>0</v>
      </c>
      <c r="JV28" s="16">
        <v>0</v>
      </c>
      <c r="JW28" s="16">
        <v>0</v>
      </c>
      <c r="JX28" s="16">
        <v>0</v>
      </c>
      <c r="JY28" s="16">
        <v>0</v>
      </c>
      <c r="JZ28" s="16">
        <v>0</v>
      </c>
      <c r="KA28" s="16">
        <v>0</v>
      </c>
      <c r="KB28" s="16">
        <v>0</v>
      </c>
      <c r="KC28" s="16">
        <v>0</v>
      </c>
      <c r="KD28" s="16">
        <v>0</v>
      </c>
      <c r="KE28" s="16">
        <v>0</v>
      </c>
      <c r="KF28" s="16">
        <v>0</v>
      </c>
      <c r="KG28" s="16">
        <v>0</v>
      </c>
      <c r="KH28" s="16">
        <v>0</v>
      </c>
      <c r="KI28" s="16">
        <v>0</v>
      </c>
      <c r="KJ28" s="16">
        <v>0</v>
      </c>
      <c r="KK28" s="16">
        <v>0</v>
      </c>
      <c r="KL28" s="16">
        <v>0</v>
      </c>
      <c r="KM28" s="16">
        <v>0</v>
      </c>
      <c r="KN28" s="16">
        <v>0</v>
      </c>
      <c r="KO28" s="16">
        <v>0</v>
      </c>
      <c r="KP28" s="16">
        <v>0</v>
      </c>
      <c r="KQ28" s="16">
        <v>0</v>
      </c>
      <c r="KR28" s="16">
        <v>0</v>
      </c>
      <c r="KS28" s="16">
        <v>0</v>
      </c>
      <c r="KT28" s="16">
        <v>0</v>
      </c>
      <c r="KU28" s="16">
        <v>0</v>
      </c>
      <c r="KV28" s="16">
        <v>0</v>
      </c>
      <c r="KW28" s="16">
        <v>0</v>
      </c>
      <c r="KX28" s="16">
        <v>0</v>
      </c>
      <c r="KY28" s="16">
        <v>0</v>
      </c>
      <c r="KZ28" s="16">
        <v>0</v>
      </c>
      <c r="LA28" s="16">
        <v>0</v>
      </c>
      <c r="LB28" s="16">
        <v>0</v>
      </c>
      <c r="LC28" s="16">
        <v>0</v>
      </c>
      <c r="LD28" s="16">
        <v>0</v>
      </c>
      <c r="LE28" s="16">
        <v>0</v>
      </c>
      <c r="LF28" s="16">
        <v>0</v>
      </c>
      <c r="LG28" s="16">
        <v>0</v>
      </c>
      <c r="LH28" s="16">
        <v>0</v>
      </c>
      <c r="LI28" s="16">
        <v>0</v>
      </c>
      <c r="LJ28" s="16">
        <v>0</v>
      </c>
      <c r="LK28" s="16">
        <v>0</v>
      </c>
      <c r="LL28" s="16">
        <v>0</v>
      </c>
      <c r="LM28" s="16">
        <v>0</v>
      </c>
      <c r="LN28" s="16">
        <v>0</v>
      </c>
      <c r="LO28" s="16">
        <v>0</v>
      </c>
      <c r="LP28" s="16">
        <v>0</v>
      </c>
      <c r="LQ28" s="16">
        <v>0</v>
      </c>
      <c r="LR28" s="16">
        <v>0</v>
      </c>
      <c r="LS28" s="16">
        <v>0</v>
      </c>
      <c r="LT28" s="16">
        <v>0</v>
      </c>
      <c r="LU28" s="16">
        <v>0</v>
      </c>
      <c r="LV28" s="16">
        <v>0</v>
      </c>
      <c r="LW28" s="16">
        <v>0</v>
      </c>
      <c r="LX28" s="16">
        <v>0</v>
      </c>
      <c r="LY28" s="16">
        <v>0</v>
      </c>
      <c r="LZ28" s="16">
        <v>0</v>
      </c>
      <c r="MA28" s="16">
        <v>0</v>
      </c>
      <c r="MB28" s="16">
        <v>0</v>
      </c>
      <c r="MC28" s="16">
        <v>0</v>
      </c>
      <c r="MD28" s="16">
        <v>0</v>
      </c>
      <c r="ME28" s="16">
        <v>0</v>
      </c>
      <c r="MF28" s="16">
        <v>0</v>
      </c>
      <c r="MG28" s="16">
        <v>0</v>
      </c>
      <c r="MH28" s="16">
        <v>0</v>
      </c>
      <c r="MI28" s="16">
        <v>0</v>
      </c>
      <c r="MJ28" s="16">
        <v>0</v>
      </c>
      <c r="MK28" s="16">
        <v>0</v>
      </c>
      <c r="ML28" s="16">
        <v>0</v>
      </c>
      <c r="MM28" s="16">
        <v>0</v>
      </c>
      <c r="MN28" s="16">
        <v>0</v>
      </c>
      <c r="MO28" s="16">
        <v>0</v>
      </c>
      <c r="MP28" s="16">
        <v>0</v>
      </c>
      <c r="MQ28" s="16">
        <v>0</v>
      </c>
      <c r="MR28" s="16">
        <v>0</v>
      </c>
      <c r="MS28" s="16">
        <v>0</v>
      </c>
      <c r="MT28" s="16">
        <v>0</v>
      </c>
      <c r="MU28" s="16">
        <v>0</v>
      </c>
      <c r="MV28" s="16">
        <v>0</v>
      </c>
      <c r="MW28" s="16">
        <v>0</v>
      </c>
      <c r="MX28" s="16">
        <v>0</v>
      </c>
      <c r="MY28" s="16">
        <v>0</v>
      </c>
      <c r="MZ28" s="16">
        <v>0</v>
      </c>
      <c r="NA28" s="16">
        <v>0</v>
      </c>
      <c r="NB28" s="16">
        <v>0</v>
      </c>
      <c r="NC28" s="16">
        <v>0</v>
      </c>
      <c r="ND28" s="16">
        <v>0</v>
      </c>
      <c r="NE28" s="16">
        <v>0</v>
      </c>
      <c r="NF28" s="16">
        <v>0</v>
      </c>
      <c r="NG28" s="16">
        <v>0</v>
      </c>
      <c r="NH28" s="16">
        <v>0</v>
      </c>
      <c r="NI28" s="16">
        <v>0</v>
      </c>
      <c r="NJ28" s="16">
        <v>0</v>
      </c>
      <c r="NK28" s="16">
        <v>0</v>
      </c>
      <c r="NL28" s="16">
        <v>0</v>
      </c>
      <c r="NM28" s="16">
        <v>0</v>
      </c>
      <c r="NN28" s="16">
        <v>0</v>
      </c>
      <c r="NO28" s="16">
        <v>0</v>
      </c>
      <c r="NP28" s="16">
        <v>0</v>
      </c>
      <c r="NQ28" s="16">
        <v>0</v>
      </c>
      <c r="NR28" s="17">
        <v>27255516</v>
      </c>
    </row>
    <row r="29" spans="1:382" ht="13.5" customHeight="1" x14ac:dyDescent="0.2">
      <c r="A29" s="2" t="s">
        <v>65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11951834</v>
      </c>
      <c r="CT29" s="16">
        <v>18648220</v>
      </c>
      <c r="CU29" s="16">
        <v>14513563</v>
      </c>
      <c r="CV29" s="16">
        <v>4196463</v>
      </c>
      <c r="CW29" s="16">
        <v>40611539</v>
      </c>
      <c r="CX29" s="16">
        <v>5820554</v>
      </c>
      <c r="CY29" s="16">
        <v>2730987</v>
      </c>
      <c r="CZ29" s="16">
        <v>4787094</v>
      </c>
      <c r="DA29" s="16">
        <v>309889</v>
      </c>
      <c r="DB29" s="16">
        <v>4313846</v>
      </c>
      <c r="DC29" s="16">
        <v>966449</v>
      </c>
      <c r="DD29" s="16">
        <v>4032963</v>
      </c>
      <c r="DE29" s="16">
        <v>502391</v>
      </c>
      <c r="DF29" s="16">
        <v>175044</v>
      </c>
      <c r="DG29" s="16">
        <v>0</v>
      </c>
      <c r="DH29" s="16">
        <v>0</v>
      </c>
      <c r="DI29" s="16">
        <v>0</v>
      </c>
      <c r="DJ29" s="16">
        <v>1090391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  <c r="IB29" s="16">
        <v>0</v>
      </c>
      <c r="IC29" s="16">
        <v>0</v>
      </c>
      <c r="ID29" s="16">
        <v>0</v>
      </c>
      <c r="IE29" s="16">
        <v>0</v>
      </c>
      <c r="IF29" s="16">
        <v>0</v>
      </c>
      <c r="IG29" s="16">
        <v>0</v>
      </c>
      <c r="IH29" s="16">
        <v>0</v>
      </c>
      <c r="II29" s="16">
        <v>0</v>
      </c>
      <c r="IJ29" s="16">
        <v>0</v>
      </c>
      <c r="IK29" s="16">
        <v>0</v>
      </c>
      <c r="IL29" s="16">
        <v>0</v>
      </c>
      <c r="IM29" s="16">
        <v>0</v>
      </c>
      <c r="IN29" s="16">
        <v>0</v>
      </c>
      <c r="IO29" s="16">
        <v>0</v>
      </c>
      <c r="IP29" s="16">
        <v>0</v>
      </c>
      <c r="IQ29" s="16">
        <v>0</v>
      </c>
      <c r="IR29" s="16">
        <v>0</v>
      </c>
      <c r="IS29" s="16">
        <v>0</v>
      </c>
      <c r="IT29" s="16">
        <v>0</v>
      </c>
      <c r="IU29" s="16">
        <v>0</v>
      </c>
      <c r="IV29" s="16">
        <v>0</v>
      </c>
      <c r="IW29" s="16">
        <v>0</v>
      </c>
      <c r="IX29" s="16">
        <v>0</v>
      </c>
      <c r="IY29" s="16">
        <v>0</v>
      </c>
      <c r="IZ29" s="16">
        <v>0</v>
      </c>
      <c r="JA29" s="16">
        <v>0</v>
      </c>
      <c r="JB29" s="16">
        <v>0</v>
      </c>
      <c r="JC29" s="16">
        <v>0</v>
      </c>
      <c r="JD29" s="16">
        <v>0</v>
      </c>
      <c r="JE29" s="16">
        <v>0</v>
      </c>
      <c r="JF29" s="16">
        <v>0</v>
      </c>
      <c r="JG29" s="16">
        <v>0</v>
      </c>
      <c r="JH29" s="16">
        <v>0</v>
      </c>
      <c r="JI29" s="16">
        <v>0</v>
      </c>
      <c r="JJ29" s="16">
        <v>0</v>
      </c>
      <c r="JK29" s="16">
        <v>0</v>
      </c>
      <c r="JL29" s="16">
        <v>0</v>
      </c>
      <c r="JM29" s="16">
        <v>0</v>
      </c>
      <c r="JN29" s="16">
        <v>0</v>
      </c>
      <c r="JO29" s="16">
        <v>0</v>
      </c>
      <c r="JP29" s="16">
        <v>0</v>
      </c>
      <c r="JQ29" s="16">
        <v>0</v>
      </c>
      <c r="JR29" s="16">
        <v>0</v>
      </c>
      <c r="JS29" s="16">
        <v>0</v>
      </c>
      <c r="JT29" s="16">
        <v>0</v>
      </c>
      <c r="JU29" s="16">
        <v>0</v>
      </c>
      <c r="JV29" s="16">
        <v>0</v>
      </c>
      <c r="JW29" s="16">
        <v>0</v>
      </c>
      <c r="JX29" s="16">
        <v>0</v>
      </c>
      <c r="JY29" s="16">
        <v>0</v>
      </c>
      <c r="JZ29" s="16">
        <v>0</v>
      </c>
      <c r="KA29" s="16">
        <v>0</v>
      </c>
      <c r="KB29" s="16">
        <v>0</v>
      </c>
      <c r="KC29" s="16">
        <v>0</v>
      </c>
      <c r="KD29" s="16">
        <v>0</v>
      </c>
      <c r="KE29" s="16">
        <v>0</v>
      </c>
      <c r="KF29" s="16">
        <v>0</v>
      </c>
      <c r="KG29" s="16">
        <v>0</v>
      </c>
      <c r="KH29" s="16">
        <v>0</v>
      </c>
      <c r="KI29" s="16">
        <v>0</v>
      </c>
      <c r="KJ29" s="16">
        <v>0</v>
      </c>
      <c r="KK29" s="16">
        <v>0</v>
      </c>
      <c r="KL29" s="16">
        <v>0</v>
      </c>
      <c r="KM29" s="16">
        <v>0</v>
      </c>
      <c r="KN29" s="16">
        <v>0</v>
      </c>
      <c r="KO29" s="16">
        <v>0</v>
      </c>
      <c r="KP29" s="16">
        <v>0</v>
      </c>
      <c r="KQ29" s="16">
        <v>0</v>
      </c>
      <c r="KR29" s="16">
        <v>0</v>
      </c>
      <c r="KS29" s="16">
        <v>0</v>
      </c>
      <c r="KT29" s="16">
        <v>0</v>
      </c>
      <c r="KU29" s="16">
        <v>0</v>
      </c>
      <c r="KV29" s="16">
        <v>0</v>
      </c>
      <c r="KW29" s="16">
        <v>0</v>
      </c>
      <c r="KX29" s="16">
        <v>0</v>
      </c>
      <c r="KY29" s="16">
        <v>0</v>
      </c>
      <c r="KZ29" s="16">
        <v>0</v>
      </c>
      <c r="LA29" s="16">
        <v>0</v>
      </c>
      <c r="LB29" s="16">
        <v>0</v>
      </c>
      <c r="LC29" s="16">
        <v>0</v>
      </c>
      <c r="LD29" s="16">
        <v>0</v>
      </c>
      <c r="LE29" s="16">
        <v>0</v>
      </c>
      <c r="LF29" s="16">
        <v>0</v>
      </c>
      <c r="LG29" s="16">
        <v>0</v>
      </c>
      <c r="LH29" s="16">
        <v>0</v>
      </c>
      <c r="LI29" s="16">
        <v>0</v>
      </c>
      <c r="LJ29" s="16">
        <v>0</v>
      </c>
      <c r="LK29" s="16">
        <v>0</v>
      </c>
      <c r="LL29" s="16">
        <v>0</v>
      </c>
      <c r="LM29" s="16">
        <v>0</v>
      </c>
      <c r="LN29" s="16">
        <v>0</v>
      </c>
      <c r="LO29" s="16">
        <v>0</v>
      </c>
      <c r="LP29" s="16">
        <v>0</v>
      </c>
      <c r="LQ29" s="16">
        <v>0</v>
      </c>
      <c r="LR29" s="16">
        <v>0</v>
      </c>
      <c r="LS29" s="16">
        <v>0</v>
      </c>
      <c r="LT29" s="16">
        <v>0</v>
      </c>
      <c r="LU29" s="16">
        <v>0</v>
      </c>
      <c r="LV29" s="16">
        <v>0</v>
      </c>
      <c r="LW29" s="16">
        <v>0</v>
      </c>
      <c r="LX29" s="16">
        <v>0</v>
      </c>
      <c r="LY29" s="16">
        <v>0</v>
      </c>
      <c r="LZ29" s="16">
        <v>0</v>
      </c>
      <c r="MA29" s="16">
        <v>0</v>
      </c>
      <c r="MB29" s="16">
        <v>0</v>
      </c>
      <c r="MC29" s="16">
        <v>0</v>
      </c>
      <c r="MD29" s="16">
        <v>0</v>
      </c>
      <c r="ME29" s="16">
        <v>0</v>
      </c>
      <c r="MF29" s="16">
        <v>0</v>
      </c>
      <c r="MG29" s="16">
        <v>0</v>
      </c>
      <c r="MH29" s="16">
        <v>0</v>
      </c>
      <c r="MI29" s="16">
        <v>0</v>
      </c>
      <c r="MJ29" s="16">
        <v>0</v>
      </c>
      <c r="MK29" s="16">
        <v>0</v>
      </c>
      <c r="ML29" s="16">
        <v>0</v>
      </c>
      <c r="MM29" s="16">
        <v>0</v>
      </c>
      <c r="MN29" s="16">
        <v>0</v>
      </c>
      <c r="MO29" s="16">
        <v>0</v>
      </c>
      <c r="MP29" s="16">
        <v>0</v>
      </c>
      <c r="MQ29" s="16">
        <v>0</v>
      </c>
      <c r="MR29" s="16">
        <v>0</v>
      </c>
      <c r="MS29" s="16">
        <v>0</v>
      </c>
      <c r="MT29" s="16">
        <v>0</v>
      </c>
      <c r="MU29" s="16">
        <v>0</v>
      </c>
      <c r="MV29" s="16">
        <v>0</v>
      </c>
      <c r="MW29" s="16">
        <v>0</v>
      </c>
      <c r="MX29" s="16">
        <v>0</v>
      </c>
      <c r="MY29" s="16">
        <v>0</v>
      </c>
      <c r="MZ29" s="16">
        <v>0</v>
      </c>
      <c r="NA29" s="16">
        <v>0</v>
      </c>
      <c r="NB29" s="16">
        <v>0</v>
      </c>
      <c r="NC29" s="16">
        <v>0</v>
      </c>
      <c r="ND29" s="16">
        <v>0</v>
      </c>
      <c r="NE29" s="16">
        <v>0</v>
      </c>
      <c r="NF29" s="16">
        <v>0</v>
      </c>
      <c r="NG29" s="16">
        <v>0</v>
      </c>
      <c r="NH29" s="16">
        <v>0</v>
      </c>
      <c r="NI29" s="16">
        <v>0</v>
      </c>
      <c r="NJ29" s="16">
        <v>0</v>
      </c>
      <c r="NK29" s="16">
        <v>0</v>
      </c>
      <c r="NL29" s="16">
        <v>0</v>
      </c>
      <c r="NM29" s="16">
        <v>0</v>
      </c>
      <c r="NN29" s="16">
        <v>0</v>
      </c>
      <c r="NO29" s="16">
        <v>0</v>
      </c>
      <c r="NP29" s="16">
        <v>0</v>
      </c>
      <c r="NQ29" s="16">
        <v>0</v>
      </c>
      <c r="NR29" s="17">
        <v>114651227</v>
      </c>
    </row>
    <row r="30" spans="1:382" ht="13.5" customHeight="1" x14ac:dyDescent="0.2">
      <c r="A30" s="2" t="s">
        <v>67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  <c r="IB30" s="16">
        <v>0</v>
      </c>
      <c r="IC30" s="16">
        <v>0</v>
      </c>
      <c r="ID30" s="16">
        <v>0</v>
      </c>
      <c r="IE30" s="16">
        <v>0</v>
      </c>
      <c r="IF30" s="16">
        <v>0</v>
      </c>
      <c r="IG30" s="16">
        <v>0</v>
      </c>
      <c r="IH30" s="16">
        <v>0</v>
      </c>
      <c r="II30" s="16">
        <v>0</v>
      </c>
      <c r="IJ30" s="16">
        <v>0</v>
      </c>
      <c r="IK30" s="16">
        <v>0</v>
      </c>
      <c r="IL30" s="16">
        <v>0</v>
      </c>
      <c r="IM30" s="16">
        <v>0</v>
      </c>
      <c r="IN30" s="16">
        <v>0</v>
      </c>
      <c r="IO30" s="16">
        <v>0</v>
      </c>
      <c r="IP30" s="16">
        <v>0</v>
      </c>
      <c r="IQ30" s="16">
        <v>0</v>
      </c>
      <c r="IR30" s="16">
        <v>0</v>
      </c>
      <c r="IS30" s="16">
        <v>0</v>
      </c>
      <c r="IT30" s="16">
        <v>0</v>
      </c>
      <c r="IU30" s="16">
        <v>0</v>
      </c>
      <c r="IV30" s="16">
        <v>0</v>
      </c>
      <c r="IW30" s="16">
        <v>0</v>
      </c>
      <c r="IX30" s="16">
        <v>0</v>
      </c>
      <c r="IY30" s="16">
        <v>0</v>
      </c>
      <c r="IZ30" s="16">
        <v>0</v>
      </c>
      <c r="JA30" s="16">
        <v>0</v>
      </c>
      <c r="JB30" s="16">
        <v>0</v>
      </c>
      <c r="JC30" s="16">
        <v>0</v>
      </c>
      <c r="JD30" s="16">
        <v>0</v>
      </c>
      <c r="JE30" s="16">
        <v>0</v>
      </c>
      <c r="JF30" s="16">
        <v>0</v>
      </c>
      <c r="JG30" s="16">
        <v>0</v>
      </c>
      <c r="JH30" s="16">
        <v>0</v>
      </c>
      <c r="JI30" s="16">
        <v>0</v>
      </c>
      <c r="JJ30" s="16">
        <v>8775087</v>
      </c>
      <c r="JK30" s="16">
        <v>0</v>
      </c>
      <c r="JL30" s="16">
        <v>1616064</v>
      </c>
      <c r="JM30" s="16">
        <v>0</v>
      </c>
      <c r="JN30" s="16">
        <v>0</v>
      </c>
      <c r="JO30" s="16">
        <v>38422342</v>
      </c>
      <c r="JP30" s="16">
        <v>0</v>
      </c>
      <c r="JQ30" s="16">
        <v>0</v>
      </c>
      <c r="JR30" s="16">
        <v>0</v>
      </c>
      <c r="JS30" s="16">
        <v>0</v>
      </c>
      <c r="JT30" s="16">
        <v>0</v>
      </c>
      <c r="JU30" s="16">
        <v>0</v>
      </c>
      <c r="JV30" s="16">
        <v>0</v>
      </c>
      <c r="JW30" s="16">
        <v>0</v>
      </c>
      <c r="JX30" s="16">
        <v>0</v>
      </c>
      <c r="JY30" s="16">
        <v>0</v>
      </c>
      <c r="JZ30" s="16">
        <v>0</v>
      </c>
      <c r="KA30" s="16">
        <v>0</v>
      </c>
      <c r="KB30" s="16">
        <v>0</v>
      </c>
      <c r="KC30" s="16">
        <v>0</v>
      </c>
      <c r="KD30" s="16">
        <v>0</v>
      </c>
      <c r="KE30" s="16">
        <v>0</v>
      </c>
      <c r="KF30" s="16">
        <v>0</v>
      </c>
      <c r="KG30" s="16">
        <v>0</v>
      </c>
      <c r="KH30" s="16">
        <v>0</v>
      </c>
      <c r="KI30" s="16">
        <v>0</v>
      </c>
      <c r="KJ30" s="16">
        <v>0</v>
      </c>
      <c r="KK30" s="16">
        <v>0</v>
      </c>
      <c r="KL30" s="16">
        <v>0</v>
      </c>
      <c r="KM30" s="16">
        <v>0</v>
      </c>
      <c r="KN30" s="16">
        <v>0</v>
      </c>
      <c r="KO30" s="16">
        <v>0</v>
      </c>
      <c r="KP30" s="16">
        <v>0</v>
      </c>
      <c r="KQ30" s="16">
        <v>0</v>
      </c>
      <c r="KR30" s="16">
        <v>0</v>
      </c>
      <c r="KS30" s="16">
        <v>0</v>
      </c>
      <c r="KT30" s="16">
        <v>0</v>
      </c>
      <c r="KU30" s="16">
        <v>0</v>
      </c>
      <c r="KV30" s="16">
        <v>0</v>
      </c>
      <c r="KW30" s="16">
        <v>0</v>
      </c>
      <c r="KX30" s="16">
        <v>0</v>
      </c>
      <c r="KY30" s="16">
        <v>0</v>
      </c>
      <c r="KZ30" s="16">
        <v>0</v>
      </c>
      <c r="LA30" s="16">
        <v>0</v>
      </c>
      <c r="LB30" s="16">
        <v>0</v>
      </c>
      <c r="LC30" s="16">
        <v>0</v>
      </c>
      <c r="LD30" s="16">
        <v>0</v>
      </c>
      <c r="LE30" s="16">
        <v>0</v>
      </c>
      <c r="LF30" s="16">
        <v>0</v>
      </c>
      <c r="LG30" s="16">
        <v>0</v>
      </c>
      <c r="LH30" s="16">
        <v>0</v>
      </c>
      <c r="LI30" s="16">
        <v>0</v>
      </c>
      <c r="LJ30" s="16">
        <v>0</v>
      </c>
      <c r="LK30" s="16">
        <v>0</v>
      </c>
      <c r="LL30" s="16">
        <v>0</v>
      </c>
      <c r="LM30" s="16">
        <v>0</v>
      </c>
      <c r="LN30" s="16">
        <v>0</v>
      </c>
      <c r="LO30" s="16">
        <v>0</v>
      </c>
      <c r="LP30" s="16">
        <v>0</v>
      </c>
      <c r="LQ30" s="16">
        <v>0</v>
      </c>
      <c r="LR30" s="16">
        <v>0</v>
      </c>
      <c r="LS30" s="16">
        <v>0</v>
      </c>
      <c r="LT30" s="16">
        <v>0</v>
      </c>
      <c r="LU30" s="16">
        <v>0</v>
      </c>
      <c r="LV30" s="16">
        <v>0</v>
      </c>
      <c r="LW30" s="16">
        <v>0</v>
      </c>
      <c r="LX30" s="16">
        <v>0</v>
      </c>
      <c r="LY30" s="16">
        <v>0</v>
      </c>
      <c r="LZ30" s="16">
        <v>0</v>
      </c>
      <c r="MA30" s="16">
        <v>0</v>
      </c>
      <c r="MB30" s="16">
        <v>0</v>
      </c>
      <c r="MC30" s="16">
        <v>0</v>
      </c>
      <c r="MD30" s="16">
        <v>0</v>
      </c>
      <c r="ME30" s="16">
        <v>0</v>
      </c>
      <c r="MF30" s="16">
        <v>0</v>
      </c>
      <c r="MG30" s="16">
        <v>0</v>
      </c>
      <c r="MH30" s="16">
        <v>0</v>
      </c>
      <c r="MI30" s="16">
        <v>0</v>
      </c>
      <c r="MJ30" s="16">
        <v>0</v>
      </c>
      <c r="MK30" s="16">
        <v>0</v>
      </c>
      <c r="ML30" s="16">
        <v>0</v>
      </c>
      <c r="MM30" s="16">
        <v>0</v>
      </c>
      <c r="MN30" s="16">
        <v>0</v>
      </c>
      <c r="MO30" s="16">
        <v>0</v>
      </c>
      <c r="MP30" s="16">
        <v>0</v>
      </c>
      <c r="MQ30" s="16">
        <v>0</v>
      </c>
      <c r="MR30" s="16">
        <v>0</v>
      </c>
      <c r="MS30" s="16">
        <v>0</v>
      </c>
      <c r="MT30" s="16">
        <v>0</v>
      </c>
      <c r="MU30" s="16">
        <v>0</v>
      </c>
      <c r="MV30" s="16">
        <v>0</v>
      </c>
      <c r="MW30" s="16">
        <v>0</v>
      </c>
      <c r="MX30" s="16">
        <v>0</v>
      </c>
      <c r="MY30" s="16">
        <v>0</v>
      </c>
      <c r="MZ30" s="16">
        <v>0</v>
      </c>
      <c r="NA30" s="16">
        <v>0</v>
      </c>
      <c r="NB30" s="16">
        <v>0</v>
      </c>
      <c r="NC30" s="16">
        <v>0</v>
      </c>
      <c r="ND30" s="16">
        <v>0</v>
      </c>
      <c r="NE30" s="16">
        <v>0</v>
      </c>
      <c r="NF30" s="16">
        <v>0</v>
      </c>
      <c r="NG30" s="16">
        <v>0</v>
      </c>
      <c r="NH30" s="16">
        <v>0</v>
      </c>
      <c r="NI30" s="16">
        <v>0</v>
      </c>
      <c r="NJ30" s="16">
        <v>0</v>
      </c>
      <c r="NK30" s="16">
        <v>0</v>
      </c>
      <c r="NL30" s="16">
        <v>0</v>
      </c>
      <c r="NM30" s="16">
        <v>0</v>
      </c>
      <c r="NN30" s="16">
        <v>0</v>
      </c>
      <c r="NO30" s="16">
        <v>0</v>
      </c>
      <c r="NP30" s="16">
        <v>0</v>
      </c>
      <c r="NQ30" s="16">
        <v>0</v>
      </c>
      <c r="NR30" s="17">
        <v>48813493</v>
      </c>
    </row>
    <row r="31" spans="1:382" ht="13.5" customHeight="1" x14ac:dyDescent="0.2">
      <c r="A31" s="2" t="s">
        <v>69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26054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165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7335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23563</v>
      </c>
      <c r="EV31" s="16">
        <v>0</v>
      </c>
      <c r="EW31" s="16">
        <v>281051</v>
      </c>
      <c r="EX31" s="16">
        <v>7927</v>
      </c>
      <c r="EY31" s="16">
        <v>0</v>
      </c>
      <c r="EZ31" s="16">
        <v>532304</v>
      </c>
      <c r="FA31" s="16">
        <v>1790194</v>
      </c>
      <c r="FB31" s="16">
        <v>3424895</v>
      </c>
      <c r="FC31" s="16">
        <v>63566</v>
      </c>
      <c r="FD31" s="16">
        <v>8641</v>
      </c>
      <c r="FE31" s="16">
        <v>2206761</v>
      </c>
      <c r="FF31" s="16">
        <v>2335929</v>
      </c>
      <c r="FG31" s="16">
        <v>578</v>
      </c>
      <c r="FH31" s="16">
        <v>0</v>
      </c>
      <c r="FI31" s="16">
        <v>0</v>
      </c>
      <c r="FJ31" s="16">
        <v>0</v>
      </c>
      <c r="FK31" s="16">
        <v>0</v>
      </c>
      <c r="FL31" s="16">
        <v>538</v>
      </c>
      <c r="FM31" s="16">
        <v>0</v>
      </c>
      <c r="FN31" s="16">
        <v>0</v>
      </c>
      <c r="FO31" s="16">
        <v>15595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15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  <c r="IB31" s="16">
        <v>0</v>
      </c>
      <c r="IC31" s="16">
        <v>0</v>
      </c>
      <c r="ID31" s="16">
        <v>0</v>
      </c>
      <c r="IE31" s="16">
        <v>0</v>
      </c>
      <c r="IF31" s="16">
        <v>0</v>
      </c>
      <c r="IG31" s="16">
        <v>0</v>
      </c>
      <c r="IH31" s="16">
        <v>0</v>
      </c>
      <c r="II31" s="16">
        <v>0</v>
      </c>
      <c r="IJ31" s="16">
        <v>0</v>
      </c>
      <c r="IK31" s="16">
        <v>0</v>
      </c>
      <c r="IL31" s="16">
        <v>0</v>
      </c>
      <c r="IM31" s="16">
        <v>0</v>
      </c>
      <c r="IN31" s="16">
        <v>0</v>
      </c>
      <c r="IO31" s="16">
        <v>0</v>
      </c>
      <c r="IP31" s="16">
        <v>0</v>
      </c>
      <c r="IQ31" s="16">
        <v>0</v>
      </c>
      <c r="IR31" s="16">
        <v>0</v>
      </c>
      <c r="IS31" s="16">
        <v>0</v>
      </c>
      <c r="IT31" s="16">
        <v>0</v>
      </c>
      <c r="IU31" s="16">
        <v>0</v>
      </c>
      <c r="IV31" s="16">
        <v>0</v>
      </c>
      <c r="IW31" s="16">
        <v>0</v>
      </c>
      <c r="IX31" s="16">
        <v>0</v>
      </c>
      <c r="IY31" s="16">
        <v>0</v>
      </c>
      <c r="IZ31" s="16">
        <v>0</v>
      </c>
      <c r="JA31" s="16">
        <v>0</v>
      </c>
      <c r="JB31" s="16">
        <v>0</v>
      </c>
      <c r="JC31" s="16">
        <v>0</v>
      </c>
      <c r="JD31" s="16">
        <v>0</v>
      </c>
      <c r="JE31" s="16">
        <v>0</v>
      </c>
      <c r="JF31" s="16">
        <v>0</v>
      </c>
      <c r="JG31" s="16">
        <v>0</v>
      </c>
      <c r="JH31" s="16">
        <v>0</v>
      </c>
      <c r="JI31" s="16">
        <v>0</v>
      </c>
      <c r="JJ31" s="16">
        <v>0</v>
      </c>
      <c r="JK31" s="16">
        <v>0</v>
      </c>
      <c r="JL31" s="16">
        <v>0</v>
      </c>
      <c r="JM31" s="16">
        <v>0</v>
      </c>
      <c r="JN31" s="16">
        <v>0</v>
      </c>
      <c r="JO31" s="16">
        <v>0</v>
      </c>
      <c r="JP31" s="16">
        <v>0</v>
      </c>
      <c r="JQ31" s="16">
        <v>0</v>
      </c>
      <c r="JR31" s="16">
        <v>0</v>
      </c>
      <c r="JS31" s="16">
        <v>0</v>
      </c>
      <c r="JT31" s="16">
        <v>0</v>
      </c>
      <c r="JU31" s="16">
        <v>0</v>
      </c>
      <c r="JV31" s="16">
        <v>0</v>
      </c>
      <c r="JW31" s="16">
        <v>0</v>
      </c>
      <c r="JX31" s="16">
        <v>0</v>
      </c>
      <c r="JY31" s="16">
        <v>0</v>
      </c>
      <c r="JZ31" s="16">
        <v>0</v>
      </c>
      <c r="KA31" s="16">
        <v>0</v>
      </c>
      <c r="KB31" s="16">
        <v>0</v>
      </c>
      <c r="KC31" s="16">
        <v>0</v>
      </c>
      <c r="KD31" s="16">
        <v>0</v>
      </c>
      <c r="KE31" s="16">
        <v>0</v>
      </c>
      <c r="KF31" s="16">
        <v>0</v>
      </c>
      <c r="KG31" s="16">
        <v>0</v>
      </c>
      <c r="KH31" s="16">
        <v>0</v>
      </c>
      <c r="KI31" s="16">
        <v>0</v>
      </c>
      <c r="KJ31" s="16">
        <v>0</v>
      </c>
      <c r="KK31" s="16">
        <v>0</v>
      </c>
      <c r="KL31" s="16">
        <v>0</v>
      </c>
      <c r="KM31" s="16">
        <v>0</v>
      </c>
      <c r="KN31" s="16">
        <v>0</v>
      </c>
      <c r="KO31" s="16">
        <v>0</v>
      </c>
      <c r="KP31" s="16">
        <v>0</v>
      </c>
      <c r="KQ31" s="16">
        <v>0</v>
      </c>
      <c r="KR31" s="16">
        <v>0</v>
      </c>
      <c r="KS31" s="16">
        <v>0</v>
      </c>
      <c r="KT31" s="16">
        <v>0</v>
      </c>
      <c r="KU31" s="16">
        <v>0</v>
      </c>
      <c r="KV31" s="16">
        <v>0</v>
      </c>
      <c r="KW31" s="16">
        <v>0</v>
      </c>
      <c r="KX31" s="16">
        <v>0</v>
      </c>
      <c r="KY31" s="16">
        <v>0</v>
      </c>
      <c r="KZ31" s="16">
        <v>0</v>
      </c>
      <c r="LA31" s="16">
        <v>0</v>
      </c>
      <c r="LB31" s="16">
        <v>0</v>
      </c>
      <c r="LC31" s="16">
        <v>0</v>
      </c>
      <c r="LD31" s="16">
        <v>0</v>
      </c>
      <c r="LE31" s="16">
        <v>0</v>
      </c>
      <c r="LF31" s="16">
        <v>0</v>
      </c>
      <c r="LG31" s="16">
        <v>0</v>
      </c>
      <c r="LH31" s="16">
        <v>0</v>
      </c>
      <c r="LI31" s="16">
        <v>0</v>
      </c>
      <c r="LJ31" s="16">
        <v>0</v>
      </c>
      <c r="LK31" s="16">
        <v>0</v>
      </c>
      <c r="LL31" s="16">
        <v>0</v>
      </c>
      <c r="LM31" s="16">
        <v>0</v>
      </c>
      <c r="LN31" s="16">
        <v>0</v>
      </c>
      <c r="LO31" s="16">
        <v>0</v>
      </c>
      <c r="LP31" s="16">
        <v>0</v>
      </c>
      <c r="LQ31" s="16">
        <v>0</v>
      </c>
      <c r="LR31" s="16">
        <v>0</v>
      </c>
      <c r="LS31" s="16">
        <v>0</v>
      </c>
      <c r="LT31" s="16">
        <v>0</v>
      </c>
      <c r="LU31" s="16">
        <v>0</v>
      </c>
      <c r="LV31" s="16">
        <v>0</v>
      </c>
      <c r="LW31" s="16">
        <v>0</v>
      </c>
      <c r="LX31" s="16">
        <v>0</v>
      </c>
      <c r="LY31" s="16">
        <v>0</v>
      </c>
      <c r="LZ31" s="16">
        <v>0</v>
      </c>
      <c r="MA31" s="16">
        <v>0</v>
      </c>
      <c r="MB31" s="16">
        <v>0</v>
      </c>
      <c r="MC31" s="16">
        <v>0</v>
      </c>
      <c r="MD31" s="16">
        <v>0</v>
      </c>
      <c r="ME31" s="16">
        <v>0</v>
      </c>
      <c r="MF31" s="16">
        <v>0</v>
      </c>
      <c r="MG31" s="16">
        <v>0</v>
      </c>
      <c r="MH31" s="16">
        <v>0</v>
      </c>
      <c r="MI31" s="16">
        <v>0</v>
      </c>
      <c r="MJ31" s="16">
        <v>0</v>
      </c>
      <c r="MK31" s="16">
        <v>0</v>
      </c>
      <c r="ML31" s="16">
        <v>0</v>
      </c>
      <c r="MM31" s="16">
        <v>0</v>
      </c>
      <c r="MN31" s="16">
        <v>0</v>
      </c>
      <c r="MO31" s="16">
        <v>0</v>
      </c>
      <c r="MP31" s="16">
        <v>0</v>
      </c>
      <c r="MQ31" s="16">
        <v>0</v>
      </c>
      <c r="MR31" s="16">
        <v>0</v>
      </c>
      <c r="MS31" s="16">
        <v>0</v>
      </c>
      <c r="MT31" s="16">
        <v>0</v>
      </c>
      <c r="MU31" s="16">
        <v>0</v>
      </c>
      <c r="MV31" s="16">
        <v>0</v>
      </c>
      <c r="MW31" s="16">
        <v>0</v>
      </c>
      <c r="MX31" s="16">
        <v>0</v>
      </c>
      <c r="MY31" s="16">
        <v>0</v>
      </c>
      <c r="MZ31" s="16">
        <v>0</v>
      </c>
      <c r="NA31" s="16">
        <v>0</v>
      </c>
      <c r="NB31" s="16">
        <v>0</v>
      </c>
      <c r="NC31" s="16">
        <v>22</v>
      </c>
      <c r="ND31" s="16">
        <v>0</v>
      </c>
      <c r="NE31" s="16">
        <v>0</v>
      </c>
      <c r="NF31" s="16">
        <v>0</v>
      </c>
      <c r="NG31" s="16">
        <v>0</v>
      </c>
      <c r="NH31" s="16">
        <v>0</v>
      </c>
      <c r="NI31" s="16">
        <v>0</v>
      </c>
      <c r="NJ31" s="16">
        <v>0</v>
      </c>
      <c r="NK31" s="16">
        <v>0</v>
      </c>
      <c r="NL31" s="16">
        <v>0</v>
      </c>
      <c r="NM31" s="16">
        <v>0</v>
      </c>
      <c r="NN31" s="16">
        <v>0</v>
      </c>
      <c r="NO31" s="16">
        <v>0</v>
      </c>
      <c r="NP31" s="16">
        <v>0</v>
      </c>
      <c r="NQ31" s="16">
        <v>0</v>
      </c>
      <c r="NR31" s="17">
        <v>10725133</v>
      </c>
    </row>
    <row r="32" spans="1:382" ht="13.5" customHeight="1" x14ac:dyDescent="0.2">
      <c r="A32" s="2" t="s">
        <v>71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381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16156</v>
      </c>
      <c r="DG32" s="16">
        <v>0</v>
      </c>
      <c r="DH32" s="16">
        <v>380256</v>
      </c>
      <c r="DI32" s="16">
        <v>1667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3245</v>
      </c>
      <c r="DU32" s="16">
        <v>0</v>
      </c>
      <c r="DV32" s="16">
        <v>10505</v>
      </c>
      <c r="DW32" s="16">
        <v>0</v>
      </c>
      <c r="DX32" s="16">
        <v>0</v>
      </c>
      <c r="DY32" s="16">
        <v>0</v>
      </c>
      <c r="DZ32" s="16">
        <v>0</v>
      </c>
      <c r="EA32" s="16">
        <v>69793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297</v>
      </c>
      <c r="EH32" s="16">
        <v>0</v>
      </c>
      <c r="EI32" s="16">
        <v>0</v>
      </c>
      <c r="EJ32" s="16">
        <v>349</v>
      </c>
      <c r="EK32" s="16">
        <v>73936</v>
      </c>
      <c r="EL32" s="16">
        <v>2185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18681</v>
      </c>
      <c r="ES32" s="16">
        <v>0</v>
      </c>
      <c r="ET32" s="16">
        <v>177</v>
      </c>
      <c r="EU32" s="16">
        <v>11541</v>
      </c>
      <c r="EV32" s="16">
        <v>782687</v>
      </c>
      <c r="EW32" s="16">
        <v>262425</v>
      </c>
      <c r="EX32" s="16">
        <v>27217</v>
      </c>
      <c r="EY32" s="16">
        <v>3025</v>
      </c>
      <c r="EZ32" s="16">
        <v>27496</v>
      </c>
      <c r="FA32" s="16">
        <v>25186</v>
      </c>
      <c r="FB32" s="16">
        <v>0</v>
      </c>
      <c r="FC32" s="16">
        <v>0</v>
      </c>
      <c r="FD32" s="16">
        <v>99</v>
      </c>
      <c r="FE32" s="16">
        <v>63354</v>
      </c>
      <c r="FF32" s="16">
        <v>7749</v>
      </c>
      <c r="FG32" s="16">
        <v>0</v>
      </c>
      <c r="FH32" s="16">
        <v>5532906</v>
      </c>
      <c r="FI32" s="16">
        <v>851032</v>
      </c>
      <c r="FJ32" s="16">
        <v>4175881</v>
      </c>
      <c r="FK32" s="16">
        <v>2002751</v>
      </c>
      <c r="FL32" s="16">
        <v>487374</v>
      </c>
      <c r="FM32" s="16">
        <v>0</v>
      </c>
      <c r="FN32" s="16">
        <v>0</v>
      </c>
      <c r="FO32" s="16">
        <v>99822</v>
      </c>
      <c r="FP32" s="16">
        <v>2058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  <c r="IB32" s="16">
        <v>0</v>
      </c>
      <c r="IC32" s="16">
        <v>0</v>
      </c>
      <c r="ID32" s="16">
        <v>0</v>
      </c>
      <c r="IE32" s="16">
        <v>0</v>
      </c>
      <c r="IF32" s="16">
        <v>0</v>
      </c>
      <c r="IG32" s="16">
        <v>0</v>
      </c>
      <c r="IH32" s="16">
        <v>0</v>
      </c>
      <c r="II32" s="16">
        <v>0</v>
      </c>
      <c r="IJ32" s="16">
        <v>0</v>
      </c>
      <c r="IK32" s="16">
        <v>0</v>
      </c>
      <c r="IL32" s="16">
        <v>0</v>
      </c>
      <c r="IM32" s="16">
        <v>0</v>
      </c>
      <c r="IN32" s="16">
        <v>0</v>
      </c>
      <c r="IO32" s="16">
        <v>0</v>
      </c>
      <c r="IP32" s="16">
        <v>0</v>
      </c>
      <c r="IQ32" s="16">
        <v>0</v>
      </c>
      <c r="IR32" s="16">
        <v>0</v>
      </c>
      <c r="IS32" s="16">
        <v>0</v>
      </c>
      <c r="IT32" s="16">
        <v>0</v>
      </c>
      <c r="IU32" s="16">
        <v>0</v>
      </c>
      <c r="IV32" s="16">
        <v>0</v>
      </c>
      <c r="IW32" s="16">
        <v>0</v>
      </c>
      <c r="IX32" s="16">
        <v>0</v>
      </c>
      <c r="IY32" s="16">
        <v>0</v>
      </c>
      <c r="IZ32" s="16">
        <v>0</v>
      </c>
      <c r="JA32" s="16">
        <v>0</v>
      </c>
      <c r="JB32" s="16">
        <v>0</v>
      </c>
      <c r="JC32" s="16">
        <v>0</v>
      </c>
      <c r="JD32" s="16">
        <v>0</v>
      </c>
      <c r="JE32" s="16">
        <v>0</v>
      </c>
      <c r="JF32" s="16">
        <v>0</v>
      </c>
      <c r="JG32" s="16">
        <v>54328</v>
      </c>
      <c r="JH32" s="16">
        <v>0</v>
      </c>
      <c r="JI32" s="16">
        <v>0</v>
      </c>
      <c r="JJ32" s="16">
        <v>0</v>
      </c>
      <c r="JK32" s="16">
        <v>0</v>
      </c>
      <c r="JL32" s="16">
        <v>0</v>
      </c>
      <c r="JM32" s="16">
        <v>0</v>
      </c>
      <c r="JN32" s="16">
        <v>0</v>
      </c>
      <c r="JO32" s="16">
        <v>0</v>
      </c>
      <c r="JP32" s="16">
        <v>0</v>
      </c>
      <c r="JQ32" s="16">
        <v>0</v>
      </c>
      <c r="JR32" s="16">
        <v>0</v>
      </c>
      <c r="JS32" s="16">
        <v>0</v>
      </c>
      <c r="JT32" s="16">
        <v>0</v>
      </c>
      <c r="JU32" s="16">
        <v>0</v>
      </c>
      <c r="JV32" s="16">
        <v>0</v>
      </c>
      <c r="JW32" s="16">
        <v>0</v>
      </c>
      <c r="JX32" s="16">
        <v>0</v>
      </c>
      <c r="JY32" s="16">
        <v>0</v>
      </c>
      <c r="JZ32" s="16">
        <v>0</v>
      </c>
      <c r="KA32" s="16">
        <v>0</v>
      </c>
      <c r="KB32" s="16">
        <v>0</v>
      </c>
      <c r="KC32" s="16">
        <v>0</v>
      </c>
      <c r="KD32" s="16">
        <v>0</v>
      </c>
      <c r="KE32" s="16">
        <v>0</v>
      </c>
      <c r="KF32" s="16">
        <v>0</v>
      </c>
      <c r="KG32" s="16">
        <v>0</v>
      </c>
      <c r="KH32" s="16">
        <v>0</v>
      </c>
      <c r="KI32" s="16">
        <v>0</v>
      </c>
      <c r="KJ32" s="16">
        <v>0</v>
      </c>
      <c r="KK32" s="16">
        <v>0</v>
      </c>
      <c r="KL32" s="16">
        <v>0</v>
      </c>
      <c r="KM32" s="16">
        <v>0</v>
      </c>
      <c r="KN32" s="16">
        <v>0</v>
      </c>
      <c r="KO32" s="16">
        <v>0</v>
      </c>
      <c r="KP32" s="16">
        <v>0</v>
      </c>
      <c r="KQ32" s="16">
        <v>0</v>
      </c>
      <c r="KR32" s="16">
        <v>0</v>
      </c>
      <c r="KS32" s="16">
        <v>0</v>
      </c>
      <c r="KT32" s="16">
        <v>0</v>
      </c>
      <c r="KU32" s="16">
        <v>0</v>
      </c>
      <c r="KV32" s="16">
        <v>0</v>
      </c>
      <c r="KW32" s="16">
        <v>0</v>
      </c>
      <c r="KX32" s="16">
        <v>0</v>
      </c>
      <c r="KY32" s="16">
        <v>0</v>
      </c>
      <c r="KZ32" s="16">
        <v>0</v>
      </c>
      <c r="LA32" s="16">
        <v>0</v>
      </c>
      <c r="LB32" s="16">
        <v>0</v>
      </c>
      <c r="LC32" s="16">
        <v>0</v>
      </c>
      <c r="LD32" s="16">
        <v>0</v>
      </c>
      <c r="LE32" s="16">
        <v>0</v>
      </c>
      <c r="LF32" s="16">
        <v>0</v>
      </c>
      <c r="LG32" s="16">
        <v>0</v>
      </c>
      <c r="LH32" s="16">
        <v>0</v>
      </c>
      <c r="LI32" s="16">
        <v>0</v>
      </c>
      <c r="LJ32" s="16">
        <v>0</v>
      </c>
      <c r="LK32" s="16">
        <v>0</v>
      </c>
      <c r="LL32" s="16">
        <v>0</v>
      </c>
      <c r="LM32" s="16">
        <v>0</v>
      </c>
      <c r="LN32" s="16">
        <v>0</v>
      </c>
      <c r="LO32" s="16">
        <v>0</v>
      </c>
      <c r="LP32" s="16">
        <v>0</v>
      </c>
      <c r="LQ32" s="16">
        <v>0</v>
      </c>
      <c r="LR32" s="16">
        <v>0</v>
      </c>
      <c r="LS32" s="16">
        <v>0</v>
      </c>
      <c r="LT32" s="16">
        <v>0</v>
      </c>
      <c r="LU32" s="16">
        <v>0</v>
      </c>
      <c r="LV32" s="16">
        <v>0</v>
      </c>
      <c r="LW32" s="16">
        <v>0</v>
      </c>
      <c r="LX32" s="16">
        <v>0</v>
      </c>
      <c r="LY32" s="16">
        <v>0</v>
      </c>
      <c r="LZ32" s="16">
        <v>0</v>
      </c>
      <c r="MA32" s="16">
        <v>0</v>
      </c>
      <c r="MB32" s="16">
        <v>0</v>
      </c>
      <c r="MC32" s="16">
        <v>0</v>
      </c>
      <c r="MD32" s="16">
        <v>0</v>
      </c>
      <c r="ME32" s="16">
        <v>0</v>
      </c>
      <c r="MF32" s="16">
        <v>878</v>
      </c>
      <c r="MG32" s="16">
        <v>0</v>
      </c>
      <c r="MH32" s="16">
        <v>0</v>
      </c>
      <c r="MI32" s="16">
        <v>0</v>
      </c>
      <c r="MJ32" s="16">
        <v>0</v>
      </c>
      <c r="MK32" s="16">
        <v>0</v>
      </c>
      <c r="ML32" s="16">
        <v>0</v>
      </c>
      <c r="MM32" s="16">
        <v>0</v>
      </c>
      <c r="MN32" s="16">
        <v>0</v>
      </c>
      <c r="MO32" s="16">
        <v>0</v>
      </c>
      <c r="MP32" s="16">
        <v>0</v>
      </c>
      <c r="MQ32" s="16">
        <v>0</v>
      </c>
      <c r="MR32" s="16">
        <v>0</v>
      </c>
      <c r="MS32" s="16">
        <v>0</v>
      </c>
      <c r="MT32" s="16">
        <v>0</v>
      </c>
      <c r="MU32" s="16">
        <v>0</v>
      </c>
      <c r="MV32" s="16">
        <v>0</v>
      </c>
      <c r="MW32" s="16">
        <v>0</v>
      </c>
      <c r="MX32" s="16">
        <v>0</v>
      </c>
      <c r="MY32" s="16">
        <v>0</v>
      </c>
      <c r="MZ32" s="16">
        <v>0</v>
      </c>
      <c r="NA32" s="16">
        <v>0</v>
      </c>
      <c r="NB32" s="16">
        <v>0</v>
      </c>
      <c r="NC32" s="16">
        <v>0</v>
      </c>
      <c r="ND32" s="16">
        <v>0</v>
      </c>
      <c r="NE32" s="16">
        <v>0</v>
      </c>
      <c r="NF32" s="16">
        <v>0</v>
      </c>
      <c r="NG32" s="16">
        <v>0</v>
      </c>
      <c r="NH32" s="16">
        <v>0</v>
      </c>
      <c r="NI32" s="16">
        <v>0</v>
      </c>
      <c r="NJ32" s="16">
        <v>0</v>
      </c>
      <c r="NK32" s="16">
        <v>0</v>
      </c>
      <c r="NL32" s="16">
        <v>0</v>
      </c>
      <c r="NM32" s="16">
        <v>0</v>
      </c>
      <c r="NN32" s="16">
        <v>0</v>
      </c>
      <c r="NO32" s="16">
        <v>0</v>
      </c>
      <c r="NP32" s="16">
        <v>0</v>
      </c>
      <c r="NQ32" s="16">
        <v>0</v>
      </c>
      <c r="NR32" s="17">
        <v>14995437</v>
      </c>
    </row>
    <row r="33" spans="1:382" ht="13.5" customHeight="1" x14ac:dyDescent="0.2">
      <c r="A33" s="2" t="s">
        <v>73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291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20544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76</v>
      </c>
      <c r="EH33" s="16">
        <v>1</v>
      </c>
      <c r="EI33" s="16">
        <v>13054</v>
      </c>
      <c r="EJ33" s="16">
        <v>30</v>
      </c>
      <c r="EK33" s="16">
        <v>112</v>
      </c>
      <c r="EL33" s="16">
        <v>408</v>
      </c>
      <c r="EM33" s="16">
        <v>0</v>
      </c>
      <c r="EN33" s="16">
        <v>2174176</v>
      </c>
      <c r="EO33" s="16">
        <v>314157</v>
      </c>
      <c r="EP33" s="16">
        <v>810</v>
      </c>
      <c r="EQ33" s="16">
        <v>25620</v>
      </c>
      <c r="ER33" s="16">
        <v>0</v>
      </c>
      <c r="ES33" s="16">
        <v>18125</v>
      </c>
      <c r="ET33" s="16">
        <v>15725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5866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1948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5</v>
      </c>
      <c r="HO33" s="16">
        <v>422</v>
      </c>
      <c r="HP33" s="16">
        <v>0</v>
      </c>
      <c r="HQ33" s="16">
        <v>0</v>
      </c>
      <c r="HR33" s="16">
        <v>0</v>
      </c>
      <c r="HS33" s="16">
        <v>160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1246</v>
      </c>
      <c r="HZ33" s="16">
        <v>0</v>
      </c>
      <c r="IA33" s="16">
        <v>0</v>
      </c>
      <c r="IB33" s="16">
        <v>0</v>
      </c>
      <c r="IC33" s="16">
        <v>0</v>
      </c>
      <c r="ID33" s="16">
        <v>0</v>
      </c>
      <c r="IE33" s="16">
        <v>0</v>
      </c>
      <c r="IF33" s="16">
        <v>0</v>
      </c>
      <c r="IG33" s="16">
        <v>0</v>
      </c>
      <c r="IH33" s="16">
        <v>0</v>
      </c>
      <c r="II33" s="16">
        <v>0</v>
      </c>
      <c r="IJ33" s="16">
        <v>0</v>
      </c>
      <c r="IK33" s="16">
        <v>0</v>
      </c>
      <c r="IL33" s="16">
        <v>0</v>
      </c>
      <c r="IM33" s="16">
        <v>0</v>
      </c>
      <c r="IN33" s="16">
        <v>0</v>
      </c>
      <c r="IO33" s="16">
        <v>201</v>
      </c>
      <c r="IP33" s="16">
        <v>0</v>
      </c>
      <c r="IQ33" s="16">
        <v>0</v>
      </c>
      <c r="IR33" s="16">
        <v>0</v>
      </c>
      <c r="IS33" s="16">
        <v>0</v>
      </c>
      <c r="IT33" s="16">
        <v>0</v>
      </c>
      <c r="IU33" s="16">
        <v>0</v>
      </c>
      <c r="IV33" s="16">
        <v>0</v>
      </c>
      <c r="IW33" s="16">
        <v>558</v>
      </c>
      <c r="IX33" s="16">
        <v>0</v>
      </c>
      <c r="IY33" s="16">
        <v>156</v>
      </c>
      <c r="IZ33" s="16">
        <v>0</v>
      </c>
      <c r="JA33" s="16">
        <v>0</v>
      </c>
      <c r="JB33" s="16">
        <v>0</v>
      </c>
      <c r="JC33" s="16">
        <v>0</v>
      </c>
      <c r="JD33" s="16">
        <v>0</v>
      </c>
      <c r="JE33" s="16">
        <v>0</v>
      </c>
      <c r="JF33" s="16">
        <v>0</v>
      </c>
      <c r="JG33" s="16">
        <v>5072</v>
      </c>
      <c r="JH33" s="16">
        <v>51</v>
      </c>
      <c r="JI33" s="16">
        <v>0</v>
      </c>
      <c r="JJ33" s="16">
        <v>0</v>
      </c>
      <c r="JK33" s="16">
        <v>0</v>
      </c>
      <c r="JL33" s="16">
        <v>0</v>
      </c>
      <c r="JM33" s="16">
        <v>0</v>
      </c>
      <c r="JN33" s="16">
        <v>0</v>
      </c>
      <c r="JO33" s="16">
        <v>0</v>
      </c>
      <c r="JP33" s="16">
        <v>0</v>
      </c>
      <c r="JQ33" s="16">
        <v>0</v>
      </c>
      <c r="JR33" s="16">
        <v>0</v>
      </c>
      <c r="JS33" s="16">
        <v>0</v>
      </c>
      <c r="JT33" s="16">
        <v>0</v>
      </c>
      <c r="JU33" s="16">
        <v>52662</v>
      </c>
      <c r="JV33" s="16">
        <v>0</v>
      </c>
      <c r="JW33" s="16">
        <v>40371</v>
      </c>
      <c r="JX33" s="16">
        <v>42213</v>
      </c>
      <c r="JY33" s="16">
        <v>62742</v>
      </c>
      <c r="JZ33" s="16">
        <v>28388</v>
      </c>
      <c r="KA33" s="16">
        <v>14441</v>
      </c>
      <c r="KB33" s="16">
        <v>16565</v>
      </c>
      <c r="KC33" s="16">
        <v>5779</v>
      </c>
      <c r="KD33" s="16">
        <v>5073</v>
      </c>
      <c r="KE33" s="16">
        <v>3129</v>
      </c>
      <c r="KF33" s="16">
        <v>17946</v>
      </c>
      <c r="KG33" s="16">
        <v>1004</v>
      </c>
      <c r="KH33" s="16">
        <v>630</v>
      </c>
      <c r="KI33" s="16">
        <v>5090</v>
      </c>
      <c r="KJ33" s="16">
        <v>1654</v>
      </c>
      <c r="KK33" s="16">
        <v>0</v>
      </c>
      <c r="KL33" s="16">
        <v>0</v>
      </c>
      <c r="KM33" s="16">
        <v>0</v>
      </c>
      <c r="KN33" s="16">
        <v>0</v>
      </c>
      <c r="KO33" s="16">
        <v>0</v>
      </c>
      <c r="KP33" s="16">
        <v>0</v>
      </c>
      <c r="KQ33" s="16">
        <v>0</v>
      </c>
      <c r="KR33" s="16">
        <v>0</v>
      </c>
      <c r="KS33" s="16">
        <v>0</v>
      </c>
      <c r="KT33" s="16">
        <v>0</v>
      </c>
      <c r="KU33" s="16">
        <v>0</v>
      </c>
      <c r="KV33" s="16">
        <v>0</v>
      </c>
      <c r="KW33" s="16">
        <v>0</v>
      </c>
      <c r="KX33" s="16">
        <v>0</v>
      </c>
      <c r="KY33" s="16">
        <v>0</v>
      </c>
      <c r="KZ33" s="16">
        <v>0</v>
      </c>
      <c r="LA33" s="16">
        <v>0</v>
      </c>
      <c r="LB33" s="16">
        <v>0</v>
      </c>
      <c r="LC33" s="16">
        <v>0</v>
      </c>
      <c r="LD33" s="16">
        <v>0</v>
      </c>
      <c r="LE33" s="16">
        <v>0</v>
      </c>
      <c r="LF33" s="16">
        <v>0</v>
      </c>
      <c r="LG33" s="16">
        <v>0</v>
      </c>
      <c r="LH33" s="16">
        <v>0</v>
      </c>
      <c r="LI33" s="16">
        <v>0</v>
      </c>
      <c r="LJ33" s="16">
        <v>0</v>
      </c>
      <c r="LK33" s="16">
        <v>0</v>
      </c>
      <c r="LL33" s="16">
        <v>0</v>
      </c>
      <c r="LM33" s="16">
        <v>0</v>
      </c>
      <c r="LN33" s="16">
        <v>0</v>
      </c>
      <c r="LO33" s="16">
        <v>0</v>
      </c>
      <c r="LP33" s="16">
        <v>0</v>
      </c>
      <c r="LQ33" s="16">
        <v>0</v>
      </c>
      <c r="LR33" s="16">
        <v>0</v>
      </c>
      <c r="LS33" s="16">
        <v>0</v>
      </c>
      <c r="LT33" s="16">
        <v>0</v>
      </c>
      <c r="LU33" s="16">
        <v>0</v>
      </c>
      <c r="LV33" s="16">
        <v>0</v>
      </c>
      <c r="LW33" s="16">
        <v>0</v>
      </c>
      <c r="LX33" s="16">
        <v>0</v>
      </c>
      <c r="LY33" s="16">
        <v>0</v>
      </c>
      <c r="LZ33" s="16">
        <v>141</v>
      </c>
      <c r="MA33" s="16">
        <v>0</v>
      </c>
      <c r="MB33" s="16">
        <v>0</v>
      </c>
      <c r="MC33" s="16">
        <v>0</v>
      </c>
      <c r="MD33" s="16">
        <v>0</v>
      </c>
      <c r="ME33" s="16">
        <v>0</v>
      </c>
      <c r="MF33" s="16">
        <v>0</v>
      </c>
      <c r="MG33" s="16">
        <v>0</v>
      </c>
      <c r="MH33" s="16">
        <v>0</v>
      </c>
      <c r="MI33" s="16">
        <v>0</v>
      </c>
      <c r="MJ33" s="16">
        <v>226</v>
      </c>
      <c r="MK33" s="16">
        <v>1844</v>
      </c>
      <c r="ML33" s="16">
        <v>0</v>
      </c>
      <c r="MM33" s="16">
        <v>1480</v>
      </c>
      <c r="MN33" s="16">
        <v>0</v>
      </c>
      <c r="MO33" s="16">
        <v>11963</v>
      </c>
      <c r="MP33" s="16">
        <v>0</v>
      </c>
      <c r="MQ33" s="16">
        <v>1451</v>
      </c>
      <c r="MR33" s="16">
        <v>963</v>
      </c>
      <c r="MS33" s="16">
        <v>5347</v>
      </c>
      <c r="MT33" s="16">
        <v>0</v>
      </c>
      <c r="MU33" s="16">
        <v>4</v>
      </c>
      <c r="MV33" s="16">
        <v>0</v>
      </c>
      <c r="MW33" s="16">
        <v>0</v>
      </c>
      <c r="MX33" s="16">
        <v>234</v>
      </c>
      <c r="MY33" s="16">
        <v>0</v>
      </c>
      <c r="MZ33" s="16">
        <v>56</v>
      </c>
      <c r="NA33" s="16">
        <v>0</v>
      </c>
      <c r="NB33" s="16">
        <v>0</v>
      </c>
      <c r="NC33" s="16">
        <v>639</v>
      </c>
      <c r="ND33" s="16">
        <v>0</v>
      </c>
      <c r="NE33" s="16">
        <v>0</v>
      </c>
      <c r="NF33" s="16">
        <v>0</v>
      </c>
      <c r="NG33" s="16">
        <v>1624</v>
      </c>
      <c r="NH33" s="16">
        <v>0</v>
      </c>
      <c r="NI33" s="16">
        <v>0</v>
      </c>
      <c r="NJ33" s="16">
        <v>0</v>
      </c>
      <c r="NK33" s="16">
        <v>0</v>
      </c>
      <c r="NL33" s="16">
        <v>0</v>
      </c>
      <c r="NM33" s="16">
        <v>0</v>
      </c>
      <c r="NN33" s="16">
        <v>0</v>
      </c>
      <c r="NO33" s="16">
        <v>0</v>
      </c>
      <c r="NP33" s="16">
        <v>2421</v>
      </c>
      <c r="NQ33" s="16">
        <v>4</v>
      </c>
      <c r="NR33" s="17">
        <v>2924898</v>
      </c>
    </row>
    <row r="34" spans="1:382" ht="13.5" customHeight="1" x14ac:dyDescent="0.2">
      <c r="A34" s="2" t="s">
        <v>75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20901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81448</v>
      </c>
      <c r="DC34" s="16">
        <v>0</v>
      </c>
      <c r="DD34" s="16">
        <v>0</v>
      </c>
      <c r="DE34" s="16">
        <v>7749</v>
      </c>
      <c r="DF34" s="16">
        <v>4990</v>
      </c>
      <c r="DG34" s="16">
        <v>0</v>
      </c>
      <c r="DH34" s="16">
        <v>182668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79788</v>
      </c>
      <c r="DO34" s="16">
        <v>0</v>
      </c>
      <c r="DP34" s="16">
        <v>1164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20513</v>
      </c>
      <c r="DW34" s="16">
        <v>0</v>
      </c>
      <c r="DX34" s="16">
        <v>629</v>
      </c>
      <c r="DY34" s="16">
        <v>1254</v>
      </c>
      <c r="DZ34" s="16">
        <v>3350</v>
      </c>
      <c r="EA34" s="16">
        <v>4570</v>
      </c>
      <c r="EB34" s="16">
        <v>0</v>
      </c>
      <c r="EC34" s="16">
        <v>73</v>
      </c>
      <c r="ED34" s="16">
        <v>0</v>
      </c>
      <c r="EE34" s="16">
        <v>2431</v>
      </c>
      <c r="EF34" s="16">
        <v>2554</v>
      </c>
      <c r="EG34" s="16">
        <v>88421</v>
      </c>
      <c r="EH34" s="16">
        <v>24148</v>
      </c>
      <c r="EI34" s="16">
        <v>8776</v>
      </c>
      <c r="EJ34" s="16">
        <v>7991</v>
      </c>
      <c r="EK34" s="16">
        <v>45175</v>
      </c>
      <c r="EL34" s="16">
        <v>1481</v>
      </c>
      <c r="EM34" s="16">
        <v>467421</v>
      </c>
      <c r="EN34" s="16">
        <v>0</v>
      </c>
      <c r="EO34" s="16">
        <v>8791</v>
      </c>
      <c r="EP34" s="16">
        <v>387008</v>
      </c>
      <c r="EQ34" s="16">
        <v>23385</v>
      </c>
      <c r="ER34" s="16">
        <v>0</v>
      </c>
      <c r="ES34" s="16">
        <v>6233</v>
      </c>
      <c r="ET34" s="16">
        <v>214061</v>
      </c>
      <c r="EU34" s="16">
        <v>35338</v>
      </c>
      <c r="EV34" s="16">
        <v>949</v>
      </c>
      <c r="EW34" s="16">
        <v>20165</v>
      </c>
      <c r="EX34" s="16">
        <v>32672</v>
      </c>
      <c r="EY34" s="16">
        <v>0</v>
      </c>
      <c r="EZ34" s="16">
        <v>2733</v>
      </c>
      <c r="FA34" s="16">
        <v>12219</v>
      </c>
      <c r="FB34" s="16">
        <v>43919</v>
      </c>
      <c r="FC34" s="16">
        <v>486</v>
      </c>
      <c r="FD34" s="16">
        <v>2068</v>
      </c>
      <c r="FE34" s="16">
        <v>23127</v>
      </c>
      <c r="FF34" s="16">
        <v>16781</v>
      </c>
      <c r="FG34" s="16">
        <v>0</v>
      </c>
      <c r="FH34" s="16">
        <v>4108</v>
      </c>
      <c r="FI34" s="16">
        <v>262</v>
      </c>
      <c r="FJ34" s="16">
        <v>77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11173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6485</v>
      </c>
      <c r="FW34" s="16">
        <v>0</v>
      </c>
      <c r="FX34" s="16">
        <v>2937</v>
      </c>
      <c r="FY34" s="16">
        <v>214</v>
      </c>
      <c r="FZ34" s="16">
        <v>4033</v>
      </c>
      <c r="GA34" s="16">
        <v>0</v>
      </c>
      <c r="GB34" s="16">
        <v>367</v>
      </c>
      <c r="GC34" s="16">
        <v>0</v>
      </c>
      <c r="GD34" s="16">
        <v>0</v>
      </c>
      <c r="GE34" s="16">
        <v>0</v>
      </c>
      <c r="GF34" s="16">
        <v>32523</v>
      </c>
      <c r="GG34" s="16">
        <v>53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11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837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  <c r="IB34" s="16">
        <v>0</v>
      </c>
      <c r="IC34" s="16">
        <v>0</v>
      </c>
      <c r="ID34" s="16">
        <v>0</v>
      </c>
      <c r="IE34" s="16">
        <v>0</v>
      </c>
      <c r="IF34" s="16">
        <v>0</v>
      </c>
      <c r="IG34" s="16">
        <v>0</v>
      </c>
      <c r="IH34" s="16">
        <v>0</v>
      </c>
      <c r="II34" s="16">
        <v>0</v>
      </c>
      <c r="IJ34" s="16">
        <v>0</v>
      </c>
      <c r="IK34" s="16">
        <v>0</v>
      </c>
      <c r="IL34" s="16">
        <v>0</v>
      </c>
      <c r="IM34" s="16">
        <v>0</v>
      </c>
      <c r="IN34" s="16">
        <v>0</v>
      </c>
      <c r="IO34" s="16">
        <v>1787</v>
      </c>
      <c r="IP34" s="16">
        <v>0</v>
      </c>
      <c r="IQ34" s="16">
        <v>0</v>
      </c>
      <c r="IR34" s="16">
        <v>0</v>
      </c>
      <c r="IS34" s="16">
        <v>0</v>
      </c>
      <c r="IT34" s="16">
        <v>0</v>
      </c>
      <c r="IU34" s="16">
        <v>0</v>
      </c>
      <c r="IV34" s="16">
        <v>0</v>
      </c>
      <c r="IW34" s="16">
        <v>0</v>
      </c>
      <c r="IX34" s="16">
        <v>0</v>
      </c>
      <c r="IY34" s="16">
        <v>0</v>
      </c>
      <c r="IZ34" s="16">
        <v>0</v>
      </c>
      <c r="JA34" s="16">
        <v>0</v>
      </c>
      <c r="JB34" s="16">
        <v>0</v>
      </c>
      <c r="JC34" s="16">
        <v>135</v>
      </c>
      <c r="JD34" s="16">
        <v>337</v>
      </c>
      <c r="JE34" s="16">
        <v>0</v>
      </c>
      <c r="JF34" s="16">
        <v>0</v>
      </c>
      <c r="JG34" s="16">
        <v>12363</v>
      </c>
      <c r="JH34" s="16">
        <v>0</v>
      </c>
      <c r="JI34" s="16">
        <v>0</v>
      </c>
      <c r="JJ34" s="16">
        <v>0</v>
      </c>
      <c r="JK34" s="16">
        <v>0</v>
      </c>
      <c r="JL34" s="16">
        <v>2003</v>
      </c>
      <c r="JM34" s="16">
        <v>0</v>
      </c>
      <c r="JN34" s="16">
        <v>0</v>
      </c>
      <c r="JO34" s="16">
        <v>0</v>
      </c>
      <c r="JP34" s="16">
        <v>0</v>
      </c>
      <c r="JQ34" s="16">
        <v>0</v>
      </c>
      <c r="JR34" s="16">
        <v>0</v>
      </c>
      <c r="JS34" s="16">
        <v>0</v>
      </c>
      <c r="JT34" s="16">
        <v>0</v>
      </c>
      <c r="JU34" s="16">
        <v>0</v>
      </c>
      <c r="JV34" s="16">
        <v>0</v>
      </c>
      <c r="JW34" s="16">
        <v>0</v>
      </c>
      <c r="JX34" s="16">
        <v>0</v>
      </c>
      <c r="JY34" s="16">
        <v>0</v>
      </c>
      <c r="JZ34" s="16">
        <v>1616</v>
      </c>
      <c r="KA34" s="16">
        <v>530</v>
      </c>
      <c r="KB34" s="16">
        <v>0</v>
      </c>
      <c r="KC34" s="16">
        <v>1411</v>
      </c>
      <c r="KD34" s="16">
        <v>354</v>
      </c>
      <c r="KE34" s="16">
        <v>607</v>
      </c>
      <c r="KF34" s="16">
        <v>1631</v>
      </c>
      <c r="KG34" s="16">
        <v>0</v>
      </c>
      <c r="KH34" s="16">
        <v>1396</v>
      </c>
      <c r="KI34" s="16">
        <v>0</v>
      </c>
      <c r="KJ34" s="16">
        <v>4065</v>
      </c>
      <c r="KK34" s="16">
        <v>0</v>
      </c>
      <c r="KL34" s="16">
        <v>0</v>
      </c>
      <c r="KM34" s="16">
        <v>0</v>
      </c>
      <c r="KN34" s="16">
        <v>0</v>
      </c>
      <c r="KO34" s="16">
        <v>0</v>
      </c>
      <c r="KP34" s="16">
        <v>0</v>
      </c>
      <c r="KQ34" s="16">
        <v>0</v>
      </c>
      <c r="KR34" s="16">
        <v>0</v>
      </c>
      <c r="KS34" s="16">
        <v>0</v>
      </c>
      <c r="KT34" s="16">
        <v>0</v>
      </c>
      <c r="KU34" s="16">
        <v>0</v>
      </c>
      <c r="KV34" s="16">
        <v>0</v>
      </c>
      <c r="KW34" s="16">
        <v>0</v>
      </c>
      <c r="KX34" s="16">
        <v>0</v>
      </c>
      <c r="KY34" s="16">
        <v>0</v>
      </c>
      <c r="KZ34" s="16">
        <v>0</v>
      </c>
      <c r="LA34" s="16">
        <v>0</v>
      </c>
      <c r="LB34" s="16">
        <v>0</v>
      </c>
      <c r="LC34" s="16">
        <v>0</v>
      </c>
      <c r="LD34" s="16">
        <v>0</v>
      </c>
      <c r="LE34" s="16">
        <v>0</v>
      </c>
      <c r="LF34" s="16">
        <v>0</v>
      </c>
      <c r="LG34" s="16">
        <v>0</v>
      </c>
      <c r="LH34" s="16">
        <v>0</v>
      </c>
      <c r="LI34" s="16">
        <v>0</v>
      </c>
      <c r="LJ34" s="16">
        <v>0</v>
      </c>
      <c r="LK34" s="16">
        <v>0</v>
      </c>
      <c r="LL34" s="16">
        <v>0</v>
      </c>
      <c r="LM34" s="16">
        <v>0</v>
      </c>
      <c r="LN34" s="16">
        <v>0</v>
      </c>
      <c r="LO34" s="16">
        <v>0</v>
      </c>
      <c r="LP34" s="16">
        <v>0</v>
      </c>
      <c r="LQ34" s="16">
        <v>0</v>
      </c>
      <c r="LR34" s="16">
        <v>0</v>
      </c>
      <c r="LS34" s="16">
        <v>0</v>
      </c>
      <c r="LT34" s="16">
        <v>0</v>
      </c>
      <c r="LU34" s="16">
        <v>0</v>
      </c>
      <c r="LV34" s="16">
        <v>0</v>
      </c>
      <c r="LW34" s="16">
        <v>0</v>
      </c>
      <c r="LX34" s="16">
        <v>0</v>
      </c>
      <c r="LY34" s="16">
        <v>0</v>
      </c>
      <c r="LZ34" s="16">
        <v>0</v>
      </c>
      <c r="MA34" s="16">
        <v>0</v>
      </c>
      <c r="MB34" s="16">
        <v>0</v>
      </c>
      <c r="MC34" s="16">
        <v>0</v>
      </c>
      <c r="MD34" s="16">
        <v>0</v>
      </c>
      <c r="ME34" s="16">
        <v>0</v>
      </c>
      <c r="MF34" s="16">
        <v>0</v>
      </c>
      <c r="MG34" s="16">
        <v>0</v>
      </c>
      <c r="MH34" s="16">
        <v>0</v>
      </c>
      <c r="MI34" s="16">
        <v>0</v>
      </c>
      <c r="MJ34" s="16">
        <v>0</v>
      </c>
      <c r="MK34" s="16">
        <v>0</v>
      </c>
      <c r="ML34" s="16">
        <v>0</v>
      </c>
      <c r="MM34" s="16">
        <v>0</v>
      </c>
      <c r="MN34" s="16">
        <v>0</v>
      </c>
      <c r="MO34" s="16">
        <v>0</v>
      </c>
      <c r="MP34" s="16">
        <v>0</v>
      </c>
      <c r="MQ34" s="16">
        <v>0</v>
      </c>
      <c r="MR34" s="16">
        <v>1236</v>
      </c>
      <c r="MS34" s="16">
        <v>29</v>
      </c>
      <c r="MT34" s="16">
        <v>0</v>
      </c>
      <c r="MU34" s="16">
        <v>0</v>
      </c>
      <c r="MV34" s="16">
        <v>0</v>
      </c>
      <c r="MW34" s="16">
        <v>0</v>
      </c>
      <c r="MX34" s="16">
        <v>0</v>
      </c>
      <c r="MY34" s="16">
        <v>647</v>
      </c>
      <c r="MZ34" s="16">
        <v>15785</v>
      </c>
      <c r="NA34" s="16">
        <v>0</v>
      </c>
      <c r="NB34" s="16">
        <v>0</v>
      </c>
      <c r="NC34" s="16">
        <v>0</v>
      </c>
      <c r="ND34" s="16">
        <v>0</v>
      </c>
      <c r="NE34" s="16">
        <v>0</v>
      </c>
      <c r="NF34" s="16">
        <v>0</v>
      </c>
      <c r="NG34" s="16">
        <v>0</v>
      </c>
      <c r="NH34" s="16">
        <v>0</v>
      </c>
      <c r="NI34" s="16">
        <v>0</v>
      </c>
      <c r="NJ34" s="16">
        <v>0</v>
      </c>
      <c r="NK34" s="16">
        <v>0</v>
      </c>
      <c r="NL34" s="16">
        <v>0</v>
      </c>
      <c r="NM34" s="16">
        <v>0</v>
      </c>
      <c r="NN34" s="16">
        <v>0</v>
      </c>
      <c r="NO34" s="16">
        <v>0</v>
      </c>
      <c r="NP34" s="16">
        <v>0</v>
      </c>
      <c r="NQ34" s="16">
        <v>19</v>
      </c>
      <c r="NR34" s="17">
        <v>1996461</v>
      </c>
    </row>
    <row r="35" spans="1:382" ht="13.5" customHeight="1" x14ac:dyDescent="0.2">
      <c r="A35" s="2" t="s">
        <v>77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21</v>
      </c>
      <c r="I35" s="16">
        <v>1153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16</v>
      </c>
      <c r="P35" s="16">
        <v>147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718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2776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1291</v>
      </c>
      <c r="AP35" s="16">
        <v>0</v>
      </c>
      <c r="AQ35" s="16">
        <v>0</v>
      </c>
      <c r="AR35" s="16">
        <v>0</v>
      </c>
      <c r="AS35" s="16">
        <v>0</v>
      </c>
      <c r="AT35" s="16">
        <v>148</v>
      </c>
      <c r="AU35" s="16">
        <v>583</v>
      </c>
      <c r="AV35" s="16">
        <v>0</v>
      </c>
      <c r="AW35" s="16">
        <v>9014</v>
      </c>
      <c r="AX35" s="16">
        <v>77</v>
      </c>
      <c r="AY35" s="16">
        <v>6281</v>
      </c>
      <c r="AZ35" s="16">
        <v>0</v>
      </c>
      <c r="BA35" s="16">
        <v>0</v>
      </c>
      <c r="BB35" s="16">
        <v>1016</v>
      </c>
      <c r="BC35" s="16">
        <v>9100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3119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472</v>
      </c>
      <c r="BY35" s="16">
        <v>1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21170</v>
      </c>
      <c r="CK35" s="16">
        <v>10946</v>
      </c>
      <c r="CL35" s="16">
        <v>0</v>
      </c>
      <c r="CM35" s="16">
        <v>0</v>
      </c>
      <c r="CN35" s="16">
        <v>0</v>
      </c>
      <c r="CO35" s="16">
        <v>0</v>
      </c>
      <c r="CP35" s="16">
        <v>2526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37454</v>
      </c>
      <c r="DF35" s="16">
        <v>3591</v>
      </c>
      <c r="DG35" s="16">
        <v>15234</v>
      </c>
      <c r="DH35" s="16">
        <v>679160</v>
      </c>
      <c r="DI35" s="16">
        <v>573</v>
      </c>
      <c r="DJ35" s="16">
        <v>2474</v>
      </c>
      <c r="DK35" s="16">
        <v>616</v>
      </c>
      <c r="DL35" s="16">
        <v>0</v>
      </c>
      <c r="DM35" s="16">
        <v>8426</v>
      </c>
      <c r="DN35" s="16">
        <v>103754</v>
      </c>
      <c r="DO35" s="16">
        <v>387</v>
      </c>
      <c r="DP35" s="16">
        <v>13502</v>
      </c>
      <c r="DQ35" s="16">
        <v>216</v>
      </c>
      <c r="DR35" s="16">
        <v>5445</v>
      </c>
      <c r="DS35" s="16">
        <v>846</v>
      </c>
      <c r="DT35" s="16">
        <v>656</v>
      </c>
      <c r="DU35" s="16">
        <v>823</v>
      </c>
      <c r="DV35" s="16">
        <v>66153</v>
      </c>
      <c r="DW35" s="16">
        <v>670</v>
      </c>
      <c r="DX35" s="16">
        <v>1819</v>
      </c>
      <c r="DY35" s="16">
        <v>271</v>
      </c>
      <c r="DZ35" s="16">
        <v>2913</v>
      </c>
      <c r="EA35" s="16">
        <v>2730</v>
      </c>
      <c r="EB35" s="16">
        <v>10</v>
      </c>
      <c r="EC35" s="16">
        <v>188</v>
      </c>
      <c r="ED35" s="16">
        <v>0</v>
      </c>
      <c r="EE35" s="16">
        <v>28985</v>
      </c>
      <c r="EF35" s="16">
        <v>12947</v>
      </c>
      <c r="EG35" s="16">
        <v>72132</v>
      </c>
      <c r="EH35" s="16">
        <v>12352</v>
      </c>
      <c r="EI35" s="16">
        <v>37375</v>
      </c>
      <c r="EJ35" s="16">
        <v>16770</v>
      </c>
      <c r="EK35" s="16">
        <v>81896</v>
      </c>
      <c r="EL35" s="16">
        <v>8831</v>
      </c>
      <c r="EM35" s="16">
        <v>28348</v>
      </c>
      <c r="EN35" s="16">
        <v>0</v>
      </c>
      <c r="EO35" s="16">
        <v>3123</v>
      </c>
      <c r="EP35" s="16">
        <v>2326</v>
      </c>
      <c r="EQ35" s="16">
        <v>4641</v>
      </c>
      <c r="ER35" s="16">
        <v>1572</v>
      </c>
      <c r="ES35" s="16">
        <v>0</v>
      </c>
      <c r="ET35" s="16">
        <v>134652</v>
      </c>
      <c r="EU35" s="16">
        <v>3230</v>
      </c>
      <c r="EV35" s="16">
        <v>3260</v>
      </c>
      <c r="EW35" s="16">
        <v>17535</v>
      </c>
      <c r="EX35" s="16">
        <v>869</v>
      </c>
      <c r="EY35" s="16">
        <v>41</v>
      </c>
      <c r="EZ35" s="16">
        <v>1693</v>
      </c>
      <c r="FA35" s="16">
        <v>3811</v>
      </c>
      <c r="FB35" s="16">
        <v>7466</v>
      </c>
      <c r="FC35" s="16">
        <v>262</v>
      </c>
      <c r="FD35" s="16">
        <v>29</v>
      </c>
      <c r="FE35" s="16">
        <v>5165</v>
      </c>
      <c r="FF35" s="16">
        <v>4497</v>
      </c>
      <c r="FG35" s="16">
        <v>0</v>
      </c>
      <c r="FH35" s="16">
        <v>539</v>
      </c>
      <c r="FI35" s="16">
        <v>366</v>
      </c>
      <c r="FJ35" s="16">
        <v>899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4560</v>
      </c>
      <c r="FQ35" s="16">
        <v>0</v>
      </c>
      <c r="FR35" s="16">
        <v>0</v>
      </c>
      <c r="FS35" s="16">
        <v>447</v>
      </c>
      <c r="FT35" s="16">
        <v>37</v>
      </c>
      <c r="FU35" s="16">
        <v>3296</v>
      </c>
      <c r="FV35" s="16">
        <v>5413</v>
      </c>
      <c r="FW35" s="16">
        <v>959</v>
      </c>
      <c r="FX35" s="16">
        <v>2375</v>
      </c>
      <c r="FY35" s="16">
        <v>355</v>
      </c>
      <c r="FZ35" s="16">
        <v>675</v>
      </c>
      <c r="GA35" s="16">
        <v>4210</v>
      </c>
      <c r="GB35" s="16">
        <v>369</v>
      </c>
      <c r="GC35" s="16">
        <v>0</v>
      </c>
      <c r="GD35" s="16">
        <v>6278</v>
      </c>
      <c r="GE35" s="16">
        <v>336</v>
      </c>
      <c r="GF35" s="16">
        <v>4041</v>
      </c>
      <c r="GG35" s="16">
        <v>402</v>
      </c>
      <c r="GH35" s="16">
        <v>142</v>
      </c>
      <c r="GI35" s="16">
        <v>0</v>
      </c>
      <c r="GJ35" s="16">
        <v>0</v>
      </c>
      <c r="GK35" s="16">
        <v>72</v>
      </c>
      <c r="GL35" s="16">
        <v>0</v>
      </c>
      <c r="GM35" s="16">
        <v>0</v>
      </c>
      <c r="GN35" s="16">
        <v>0</v>
      </c>
      <c r="GO35" s="16">
        <v>0</v>
      </c>
      <c r="GP35" s="16">
        <v>3</v>
      </c>
      <c r="GQ35" s="16">
        <v>0</v>
      </c>
      <c r="GR35" s="16">
        <v>0</v>
      </c>
      <c r="GS35" s="16">
        <v>0</v>
      </c>
      <c r="GT35" s="16">
        <v>0</v>
      </c>
      <c r="GU35" s="16">
        <v>0</v>
      </c>
      <c r="GV35" s="16">
        <v>0</v>
      </c>
      <c r="GW35" s="16">
        <v>0</v>
      </c>
      <c r="GX35" s="16">
        <v>0</v>
      </c>
      <c r="GY35" s="16">
        <v>0</v>
      </c>
      <c r="GZ35" s="16">
        <v>77</v>
      </c>
      <c r="HA35" s="16">
        <v>81</v>
      </c>
      <c r="HB35" s="16">
        <v>118</v>
      </c>
      <c r="HC35" s="16">
        <v>0</v>
      </c>
      <c r="HD35" s="16">
        <v>0</v>
      </c>
      <c r="HE35" s="16">
        <v>1568</v>
      </c>
      <c r="HF35" s="16">
        <v>223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5885</v>
      </c>
      <c r="HM35" s="16">
        <v>981</v>
      </c>
      <c r="HN35" s="16">
        <v>0</v>
      </c>
      <c r="HO35" s="16">
        <v>2089</v>
      </c>
      <c r="HP35" s="16">
        <v>1973</v>
      </c>
      <c r="HQ35" s="16">
        <v>240</v>
      </c>
      <c r="HR35" s="16">
        <v>0</v>
      </c>
      <c r="HS35" s="16">
        <v>1523</v>
      </c>
      <c r="HT35" s="16">
        <v>0</v>
      </c>
      <c r="HU35" s="16">
        <v>360</v>
      </c>
      <c r="HV35" s="16">
        <v>4</v>
      </c>
      <c r="HW35" s="16">
        <v>17</v>
      </c>
      <c r="HX35" s="16">
        <v>575</v>
      </c>
      <c r="HY35" s="16">
        <v>2489</v>
      </c>
      <c r="HZ35" s="16">
        <v>2678</v>
      </c>
      <c r="IA35" s="16">
        <v>0</v>
      </c>
      <c r="IB35" s="16">
        <v>0</v>
      </c>
      <c r="IC35" s="16">
        <v>439</v>
      </c>
      <c r="ID35" s="16">
        <v>0</v>
      </c>
      <c r="IE35" s="16">
        <v>0</v>
      </c>
      <c r="IF35" s="16">
        <v>0</v>
      </c>
      <c r="IG35" s="16">
        <v>1153</v>
      </c>
      <c r="IH35" s="16">
        <v>0</v>
      </c>
      <c r="II35" s="16">
        <v>0</v>
      </c>
      <c r="IJ35" s="16">
        <v>0</v>
      </c>
      <c r="IK35" s="16">
        <v>0</v>
      </c>
      <c r="IL35" s="16">
        <v>0</v>
      </c>
      <c r="IM35" s="16">
        <v>0</v>
      </c>
      <c r="IN35" s="16">
        <v>0</v>
      </c>
      <c r="IO35" s="16">
        <v>3814</v>
      </c>
      <c r="IP35" s="16">
        <v>0</v>
      </c>
      <c r="IQ35" s="16">
        <v>0</v>
      </c>
      <c r="IR35" s="16">
        <v>0</v>
      </c>
      <c r="IS35" s="16">
        <v>0</v>
      </c>
      <c r="IT35" s="16">
        <v>0</v>
      </c>
      <c r="IU35" s="16">
        <v>0</v>
      </c>
      <c r="IV35" s="16">
        <v>0</v>
      </c>
      <c r="IW35" s="16">
        <v>0</v>
      </c>
      <c r="IX35" s="16">
        <v>0</v>
      </c>
      <c r="IY35" s="16">
        <v>45</v>
      </c>
      <c r="IZ35" s="16">
        <v>0</v>
      </c>
      <c r="JA35" s="16">
        <v>0</v>
      </c>
      <c r="JB35" s="16">
        <v>0</v>
      </c>
      <c r="JC35" s="16">
        <v>2</v>
      </c>
      <c r="JD35" s="16">
        <v>2155</v>
      </c>
      <c r="JE35" s="16">
        <v>35</v>
      </c>
      <c r="JF35" s="16">
        <v>362</v>
      </c>
      <c r="JG35" s="16">
        <v>5082</v>
      </c>
      <c r="JH35" s="16">
        <v>0</v>
      </c>
      <c r="JI35" s="16">
        <v>0</v>
      </c>
      <c r="JJ35" s="16">
        <v>0</v>
      </c>
      <c r="JK35" s="16">
        <v>0</v>
      </c>
      <c r="JL35" s="16">
        <v>0</v>
      </c>
      <c r="JM35" s="16">
        <v>0</v>
      </c>
      <c r="JN35" s="16">
        <v>0</v>
      </c>
      <c r="JO35" s="16">
        <v>0</v>
      </c>
      <c r="JP35" s="16">
        <v>0</v>
      </c>
      <c r="JQ35" s="16">
        <v>0</v>
      </c>
      <c r="JR35" s="16">
        <v>0</v>
      </c>
      <c r="JS35" s="16">
        <v>0</v>
      </c>
      <c r="JT35" s="16">
        <v>0</v>
      </c>
      <c r="JU35" s="16">
        <v>0</v>
      </c>
      <c r="JV35" s="16">
        <v>0</v>
      </c>
      <c r="JW35" s="16">
        <v>69</v>
      </c>
      <c r="JX35" s="16">
        <v>6581</v>
      </c>
      <c r="JY35" s="16">
        <v>0</v>
      </c>
      <c r="JZ35" s="16">
        <v>7011</v>
      </c>
      <c r="KA35" s="16">
        <v>0</v>
      </c>
      <c r="KB35" s="16">
        <v>0</v>
      </c>
      <c r="KC35" s="16">
        <v>0</v>
      </c>
      <c r="KD35" s="16">
        <v>252</v>
      </c>
      <c r="KE35" s="16">
        <v>0</v>
      </c>
      <c r="KF35" s="16">
        <v>6805</v>
      </c>
      <c r="KG35" s="16">
        <v>123</v>
      </c>
      <c r="KH35" s="16">
        <v>0</v>
      </c>
      <c r="KI35" s="16">
        <v>1516</v>
      </c>
      <c r="KJ35" s="16">
        <v>0</v>
      </c>
      <c r="KK35" s="16">
        <v>0</v>
      </c>
      <c r="KL35" s="16">
        <v>0</v>
      </c>
      <c r="KM35" s="16">
        <v>0</v>
      </c>
      <c r="KN35" s="16">
        <v>0</v>
      </c>
      <c r="KO35" s="16">
        <v>0</v>
      </c>
      <c r="KP35" s="16">
        <v>0</v>
      </c>
      <c r="KQ35" s="16">
        <v>0</v>
      </c>
      <c r="KR35" s="16">
        <v>0</v>
      </c>
      <c r="KS35" s="16">
        <v>0</v>
      </c>
      <c r="KT35" s="16">
        <v>0</v>
      </c>
      <c r="KU35" s="16">
        <v>0</v>
      </c>
      <c r="KV35" s="16">
        <v>0</v>
      </c>
      <c r="KW35" s="16">
        <v>0</v>
      </c>
      <c r="KX35" s="16">
        <v>0</v>
      </c>
      <c r="KY35" s="16">
        <v>0</v>
      </c>
      <c r="KZ35" s="16">
        <v>10591</v>
      </c>
      <c r="LA35" s="16">
        <v>3381</v>
      </c>
      <c r="LB35" s="16">
        <v>1338</v>
      </c>
      <c r="LC35" s="16">
        <v>0</v>
      </c>
      <c r="LD35" s="16">
        <v>0</v>
      </c>
      <c r="LE35" s="16">
        <v>0</v>
      </c>
      <c r="LF35" s="16">
        <v>0</v>
      </c>
      <c r="LG35" s="16">
        <v>0</v>
      </c>
      <c r="LH35" s="16">
        <v>0</v>
      </c>
      <c r="LI35" s="16">
        <v>0</v>
      </c>
      <c r="LJ35" s="16">
        <v>0</v>
      </c>
      <c r="LK35" s="16">
        <v>0</v>
      </c>
      <c r="LL35" s="16">
        <v>0</v>
      </c>
      <c r="LM35" s="16">
        <v>0</v>
      </c>
      <c r="LN35" s="16">
        <v>0</v>
      </c>
      <c r="LO35" s="16">
        <v>0</v>
      </c>
      <c r="LP35" s="16">
        <v>0</v>
      </c>
      <c r="LQ35" s="16">
        <v>0</v>
      </c>
      <c r="LR35" s="16">
        <v>0</v>
      </c>
      <c r="LS35" s="16">
        <v>0</v>
      </c>
      <c r="LT35" s="16">
        <v>0</v>
      </c>
      <c r="LU35" s="16">
        <v>0</v>
      </c>
      <c r="LV35" s="16">
        <v>0</v>
      </c>
      <c r="LW35" s="16">
        <v>0</v>
      </c>
      <c r="LX35" s="16">
        <v>0</v>
      </c>
      <c r="LY35" s="16">
        <v>0</v>
      </c>
      <c r="LZ35" s="16">
        <v>0</v>
      </c>
      <c r="MA35" s="16">
        <v>0</v>
      </c>
      <c r="MB35" s="16">
        <v>0</v>
      </c>
      <c r="MC35" s="16">
        <v>0</v>
      </c>
      <c r="MD35" s="16">
        <v>0</v>
      </c>
      <c r="ME35" s="16">
        <v>0</v>
      </c>
      <c r="MF35" s="16">
        <v>5396</v>
      </c>
      <c r="MG35" s="16">
        <v>0</v>
      </c>
      <c r="MH35" s="16">
        <v>0</v>
      </c>
      <c r="MI35" s="16">
        <v>0</v>
      </c>
      <c r="MJ35" s="16">
        <v>0</v>
      </c>
      <c r="MK35" s="16">
        <v>0</v>
      </c>
      <c r="ML35" s="16">
        <v>0</v>
      </c>
      <c r="MM35" s="16">
        <v>0</v>
      </c>
      <c r="MN35" s="16">
        <v>0</v>
      </c>
      <c r="MO35" s="16">
        <v>0</v>
      </c>
      <c r="MP35" s="16">
        <v>0</v>
      </c>
      <c r="MQ35" s="16">
        <v>0</v>
      </c>
      <c r="MR35" s="16">
        <v>407</v>
      </c>
      <c r="MS35" s="16">
        <v>8613</v>
      </c>
      <c r="MT35" s="16">
        <v>0</v>
      </c>
      <c r="MU35" s="16">
        <v>1069</v>
      </c>
      <c r="MV35" s="16">
        <v>0</v>
      </c>
      <c r="MW35" s="16">
        <v>0</v>
      </c>
      <c r="MX35" s="16">
        <v>0</v>
      </c>
      <c r="MY35" s="16">
        <v>0</v>
      </c>
      <c r="MZ35" s="16">
        <v>0</v>
      </c>
      <c r="NA35" s="16">
        <v>0</v>
      </c>
      <c r="NB35" s="16">
        <v>0</v>
      </c>
      <c r="NC35" s="16">
        <v>135</v>
      </c>
      <c r="ND35" s="16">
        <v>0</v>
      </c>
      <c r="NE35" s="16">
        <v>0</v>
      </c>
      <c r="NF35" s="16">
        <v>0</v>
      </c>
      <c r="NG35" s="16">
        <v>0</v>
      </c>
      <c r="NH35" s="16">
        <v>0</v>
      </c>
      <c r="NI35" s="16">
        <v>0</v>
      </c>
      <c r="NJ35" s="16">
        <v>0</v>
      </c>
      <c r="NK35" s="16">
        <v>0</v>
      </c>
      <c r="NL35" s="16">
        <v>0</v>
      </c>
      <c r="NM35" s="16">
        <v>0</v>
      </c>
      <c r="NN35" s="16">
        <v>0</v>
      </c>
      <c r="NO35" s="16">
        <v>0</v>
      </c>
      <c r="NP35" s="16">
        <v>0</v>
      </c>
      <c r="NQ35" s="16">
        <v>9</v>
      </c>
      <c r="NR35" s="17">
        <v>1635332</v>
      </c>
    </row>
    <row r="36" spans="1:382" ht="13.5" customHeight="1" x14ac:dyDescent="0.2">
      <c r="A36" s="2" t="s">
        <v>79</v>
      </c>
      <c r="B36" s="16">
        <v>59</v>
      </c>
      <c r="C36" s="16">
        <v>0</v>
      </c>
      <c r="D36" s="16">
        <v>15</v>
      </c>
      <c r="E36" s="16">
        <v>3</v>
      </c>
      <c r="F36" s="16">
        <v>85</v>
      </c>
      <c r="G36" s="16">
        <v>35</v>
      </c>
      <c r="H36" s="16">
        <v>11</v>
      </c>
      <c r="I36" s="16">
        <v>15</v>
      </c>
      <c r="J36" s="16">
        <v>0</v>
      </c>
      <c r="K36" s="16">
        <v>0</v>
      </c>
      <c r="L36" s="16">
        <v>3</v>
      </c>
      <c r="M36" s="16">
        <v>0</v>
      </c>
      <c r="N36" s="16">
        <v>0</v>
      </c>
      <c r="O36" s="16">
        <v>1</v>
      </c>
      <c r="P36" s="16">
        <v>71</v>
      </c>
      <c r="Q36" s="16">
        <v>69</v>
      </c>
      <c r="R36" s="16">
        <v>22</v>
      </c>
      <c r="S36" s="16">
        <v>18</v>
      </c>
      <c r="T36" s="16">
        <v>1</v>
      </c>
      <c r="U36" s="16">
        <v>6</v>
      </c>
      <c r="V36" s="16">
        <v>2</v>
      </c>
      <c r="W36" s="16">
        <v>4</v>
      </c>
      <c r="X36" s="16">
        <v>31</v>
      </c>
      <c r="Y36" s="16">
        <v>101</v>
      </c>
      <c r="Z36" s="16">
        <v>84</v>
      </c>
      <c r="AA36" s="16">
        <v>1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107</v>
      </c>
      <c r="AH36" s="16">
        <v>90</v>
      </c>
      <c r="AI36" s="16">
        <v>12</v>
      </c>
      <c r="AJ36" s="16">
        <v>31</v>
      </c>
      <c r="AK36" s="16">
        <v>17</v>
      </c>
      <c r="AL36" s="16">
        <v>2007492</v>
      </c>
      <c r="AM36" s="16">
        <v>58</v>
      </c>
      <c r="AN36" s="16">
        <v>6000</v>
      </c>
      <c r="AO36" s="16">
        <v>11</v>
      </c>
      <c r="AP36" s="16">
        <v>5</v>
      </c>
      <c r="AQ36" s="16">
        <v>20</v>
      </c>
      <c r="AR36" s="16">
        <v>0</v>
      </c>
      <c r="AS36" s="16">
        <v>42</v>
      </c>
      <c r="AT36" s="16">
        <v>12</v>
      </c>
      <c r="AU36" s="16">
        <v>33112</v>
      </c>
      <c r="AV36" s="16">
        <v>7886</v>
      </c>
      <c r="AW36" s="16">
        <v>35736</v>
      </c>
      <c r="AX36" s="16">
        <v>237404</v>
      </c>
      <c r="AY36" s="16">
        <v>51</v>
      </c>
      <c r="AZ36" s="16">
        <v>13</v>
      </c>
      <c r="BA36" s="16">
        <v>10914</v>
      </c>
      <c r="BB36" s="16">
        <v>549522</v>
      </c>
      <c r="BC36" s="16">
        <v>12197</v>
      </c>
      <c r="BD36" s="16">
        <v>2</v>
      </c>
      <c r="BE36" s="16">
        <v>28</v>
      </c>
      <c r="BF36" s="16">
        <v>78</v>
      </c>
      <c r="BG36" s="16">
        <v>24</v>
      </c>
      <c r="BH36" s="16">
        <v>31</v>
      </c>
      <c r="BI36" s="16">
        <v>35</v>
      </c>
      <c r="BJ36" s="16">
        <v>8</v>
      </c>
      <c r="BK36" s="16">
        <v>6</v>
      </c>
      <c r="BL36" s="16">
        <v>51</v>
      </c>
      <c r="BM36" s="16">
        <v>5</v>
      </c>
      <c r="BN36" s="16">
        <v>51</v>
      </c>
      <c r="BO36" s="16">
        <v>33</v>
      </c>
      <c r="BP36" s="16">
        <v>22</v>
      </c>
      <c r="BQ36" s="16">
        <v>24</v>
      </c>
      <c r="BR36" s="16">
        <v>5</v>
      </c>
      <c r="BS36" s="16">
        <v>55</v>
      </c>
      <c r="BT36" s="16">
        <v>1</v>
      </c>
      <c r="BU36" s="16">
        <v>1</v>
      </c>
      <c r="BV36" s="16">
        <v>0</v>
      </c>
      <c r="BW36" s="16">
        <v>13</v>
      </c>
      <c r="BX36" s="16">
        <v>1152394</v>
      </c>
      <c r="BY36" s="16">
        <v>0</v>
      </c>
      <c r="BZ36" s="16">
        <v>3</v>
      </c>
      <c r="CA36" s="16">
        <v>5</v>
      </c>
      <c r="CB36" s="16">
        <v>4</v>
      </c>
      <c r="CC36" s="16">
        <v>71</v>
      </c>
      <c r="CD36" s="16">
        <v>13</v>
      </c>
      <c r="CE36" s="16">
        <v>9</v>
      </c>
      <c r="CF36" s="16">
        <v>29</v>
      </c>
      <c r="CG36" s="16">
        <v>8</v>
      </c>
      <c r="CH36" s="16">
        <v>7</v>
      </c>
      <c r="CI36" s="16">
        <v>8</v>
      </c>
      <c r="CJ36" s="16">
        <v>13</v>
      </c>
      <c r="CK36" s="16">
        <v>36</v>
      </c>
      <c r="CL36" s="16">
        <v>45</v>
      </c>
      <c r="CM36" s="16">
        <v>23</v>
      </c>
      <c r="CN36" s="16">
        <v>7</v>
      </c>
      <c r="CO36" s="16">
        <v>22</v>
      </c>
      <c r="CP36" s="16">
        <v>55</v>
      </c>
      <c r="CQ36" s="16">
        <v>232</v>
      </c>
      <c r="CR36" s="16">
        <v>25</v>
      </c>
      <c r="CS36" s="16">
        <v>18</v>
      </c>
      <c r="CT36" s="16">
        <v>7</v>
      </c>
      <c r="CU36" s="16">
        <v>18</v>
      </c>
      <c r="CV36" s="16">
        <v>22</v>
      </c>
      <c r="CW36" s="16">
        <v>83</v>
      </c>
      <c r="CX36" s="16">
        <v>100</v>
      </c>
      <c r="CY36" s="16">
        <v>5</v>
      </c>
      <c r="CZ36" s="16">
        <v>24</v>
      </c>
      <c r="DA36" s="16">
        <v>3</v>
      </c>
      <c r="DB36" s="16">
        <v>16</v>
      </c>
      <c r="DC36" s="16">
        <v>21</v>
      </c>
      <c r="DD36" s="16">
        <v>24</v>
      </c>
      <c r="DE36" s="16">
        <v>21</v>
      </c>
      <c r="DF36" s="16">
        <v>21</v>
      </c>
      <c r="DG36" s="16">
        <v>10</v>
      </c>
      <c r="DH36" s="16">
        <v>33</v>
      </c>
      <c r="DI36" s="16">
        <v>9</v>
      </c>
      <c r="DJ36" s="16">
        <v>272</v>
      </c>
      <c r="DK36" s="16">
        <v>16</v>
      </c>
      <c r="DL36" s="16">
        <v>39</v>
      </c>
      <c r="DM36" s="16">
        <v>13665</v>
      </c>
      <c r="DN36" s="16">
        <v>15</v>
      </c>
      <c r="DO36" s="16">
        <v>321</v>
      </c>
      <c r="DP36" s="16">
        <v>49</v>
      </c>
      <c r="DQ36" s="16">
        <v>9</v>
      </c>
      <c r="DR36" s="16">
        <v>13</v>
      </c>
      <c r="DS36" s="16">
        <v>74</v>
      </c>
      <c r="DT36" s="16">
        <v>23030</v>
      </c>
      <c r="DU36" s="16">
        <v>6</v>
      </c>
      <c r="DV36" s="16">
        <v>9</v>
      </c>
      <c r="DW36" s="16">
        <v>64</v>
      </c>
      <c r="DX36" s="16">
        <v>83</v>
      </c>
      <c r="DY36" s="16">
        <v>48</v>
      </c>
      <c r="DZ36" s="16">
        <v>147</v>
      </c>
      <c r="EA36" s="16">
        <v>8</v>
      </c>
      <c r="EB36" s="16">
        <v>7</v>
      </c>
      <c r="EC36" s="16">
        <v>41</v>
      </c>
      <c r="ED36" s="16">
        <v>8</v>
      </c>
      <c r="EE36" s="16">
        <v>1</v>
      </c>
      <c r="EF36" s="16">
        <v>2</v>
      </c>
      <c r="EG36" s="16">
        <v>13</v>
      </c>
      <c r="EH36" s="16">
        <v>65</v>
      </c>
      <c r="EI36" s="16">
        <v>1363</v>
      </c>
      <c r="EJ36" s="16">
        <v>1222</v>
      </c>
      <c r="EK36" s="16">
        <v>9</v>
      </c>
      <c r="EL36" s="16">
        <v>3</v>
      </c>
      <c r="EM36" s="16">
        <v>11</v>
      </c>
      <c r="EN36" s="16">
        <v>84</v>
      </c>
      <c r="EO36" s="16">
        <v>26</v>
      </c>
      <c r="EP36" s="16">
        <v>8</v>
      </c>
      <c r="EQ36" s="16">
        <v>27</v>
      </c>
      <c r="ER36" s="16">
        <v>4</v>
      </c>
      <c r="ES36" s="16">
        <v>3</v>
      </c>
      <c r="ET36" s="16">
        <v>40</v>
      </c>
      <c r="EU36" s="16">
        <v>70</v>
      </c>
      <c r="EV36" s="16">
        <v>6</v>
      </c>
      <c r="EW36" s="16">
        <v>17</v>
      </c>
      <c r="EX36" s="16">
        <v>140</v>
      </c>
      <c r="EY36" s="16">
        <v>19</v>
      </c>
      <c r="EZ36" s="16">
        <v>2</v>
      </c>
      <c r="FA36" s="16">
        <v>6</v>
      </c>
      <c r="FB36" s="16">
        <v>19</v>
      </c>
      <c r="FC36" s="16">
        <v>2</v>
      </c>
      <c r="FD36" s="16">
        <v>23</v>
      </c>
      <c r="FE36" s="16">
        <v>10</v>
      </c>
      <c r="FF36" s="16">
        <v>18</v>
      </c>
      <c r="FG36" s="16">
        <v>19</v>
      </c>
      <c r="FH36" s="16">
        <v>5</v>
      </c>
      <c r="FI36" s="16">
        <v>23</v>
      </c>
      <c r="FJ36" s="16">
        <v>5</v>
      </c>
      <c r="FK36" s="16">
        <v>13</v>
      </c>
      <c r="FL36" s="16">
        <v>16</v>
      </c>
      <c r="FM36" s="16">
        <v>16</v>
      </c>
      <c r="FN36" s="16">
        <v>60</v>
      </c>
      <c r="FO36" s="16">
        <v>31</v>
      </c>
      <c r="FP36" s="16">
        <v>24</v>
      </c>
      <c r="FQ36" s="16">
        <v>116</v>
      </c>
      <c r="FR36" s="16">
        <v>124</v>
      </c>
      <c r="FS36" s="16">
        <v>27</v>
      </c>
      <c r="FT36" s="16">
        <v>35</v>
      </c>
      <c r="FU36" s="16">
        <v>58</v>
      </c>
      <c r="FV36" s="16">
        <v>26</v>
      </c>
      <c r="FW36" s="16">
        <v>75</v>
      </c>
      <c r="FX36" s="16">
        <v>139</v>
      </c>
      <c r="FY36" s="16">
        <v>13</v>
      </c>
      <c r="FZ36" s="16">
        <v>30</v>
      </c>
      <c r="GA36" s="16">
        <v>6</v>
      </c>
      <c r="GB36" s="16">
        <v>700</v>
      </c>
      <c r="GC36" s="16">
        <v>11</v>
      </c>
      <c r="GD36" s="16">
        <v>178</v>
      </c>
      <c r="GE36" s="16">
        <v>3</v>
      </c>
      <c r="GF36" s="16">
        <v>142</v>
      </c>
      <c r="GG36" s="16">
        <v>0</v>
      </c>
      <c r="GH36" s="16">
        <v>14</v>
      </c>
      <c r="GI36" s="16">
        <v>4</v>
      </c>
      <c r="GJ36" s="16">
        <v>18</v>
      </c>
      <c r="GK36" s="16">
        <v>5</v>
      </c>
      <c r="GL36" s="16">
        <v>8</v>
      </c>
      <c r="GM36" s="16">
        <v>2</v>
      </c>
      <c r="GN36" s="16">
        <v>6</v>
      </c>
      <c r="GO36" s="16">
        <v>35</v>
      </c>
      <c r="GP36" s="16">
        <v>4</v>
      </c>
      <c r="GQ36" s="16">
        <v>0</v>
      </c>
      <c r="GR36" s="16">
        <v>6</v>
      </c>
      <c r="GS36" s="16">
        <v>6</v>
      </c>
      <c r="GT36" s="16">
        <v>1</v>
      </c>
      <c r="GU36" s="16">
        <v>15</v>
      </c>
      <c r="GV36" s="16">
        <v>15</v>
      </c>
      <c r="GW36" s="16">
        <v>13</v>
      </c>
      <c r="GX36" s="16">
        <v>4</v>
      </c>
      <c r="GY36" s="16">
        <v>1</v>
      </c>
      <c r="GZ36" s="16">
        <v>13</v>
      </c>
      <c r="HA36" s="16">
        <v>9</v>
      </c>
      <c r="HB36" s="16">
        <v>9</v>
      </c>
      <c r="HC36" s="16">
        <v>43</v>
      </c>
      <c r="HD36" s="16">
        <v>47</v>
      </c>
      <c r="HE36" s="16">
        <v>4</v>
      </c>
      <c r="HF36" s="16">
        <v>29</v>
      </c>
      <c r="HG36" s="16">
        <v>16</v>
      </c>
      <c r="HH36" s="16">
        <v>11</v>
      </c>
      <c r="HI36" s="16">
        <v>11</v>
      </c>
      <c r="HJ36" s="16">
        <v>14</v>
      </c>
      <c r="HK36" s="16">
        <v>9</v>
      </c>
      <c r="HL36" s="16">
        <v>47</v>
      </c>
      <c r="HM36" s="16">
        <v>24</v>
      </c>
      <c r="HN36" s="16">
        <v>34</v>
      </c>
      <c r="HO36" s="16">
        <v>33</v>
      </c>
      <c r="HP36" s="16">
        <v>24</v>
      </c>
      <c r="HQ36" s="16">
        <v>48</v>
      </c>
      <c r="HR36" s="16">
        <v>37</v>
      </c>
      <c r="HS36" s="16">
        <v>40</v>
      </c>
      <c r="HT36" s="16">
        <v>5</v>
      </c>
      <c r="HU36" s="16">
        <v>32</v>
      </c>
      <c r="HV36" s="16">
        <v>12</v>
      </c>
      <c r="HW36" s="16">
        <v>23</v>
      </c>
      <c r="HX36" s="16">
        <v>59</v>
      </c>
      <c r="HY36" s="16">
        <v>56</v>
      </c>
      <c r="HZ36" s="16">
        <v>124</v>
      </c>
      <c r="IA36" s="16">
        <v>34</v>
      </c>
      <c r="IB36" s="16">
        <v>4</v>
      </c>
      <c r="IC36" s="16">
        <v>5</v>
      </c>
      <c r="ID36" s="16">
        <v>13</v>
      </c>
      <c r="IE36" s="16">
        <v>2</v>
      </c>
      <c r="IF36" s="16">
        <v>14</v>
      </c>
      <c r="IG36" s="16">
        <v>149</v>
      </c>
      <c r="IH36" s="16">
        <v>28</v>
      </c>
      <c r="II36" s="16">
        <v>4</v>
      </c>
      <c r="IJ36" s="16">
        <v>2</v>
      </c>
      <c r="IK36" s="16">
        <v>17</v>
      </c>
      <c r="IL36" s="16">
        <v>4</v>
      </c>
      <c r="IM36" s="16">
        <v>1</v>
      </c>
      <c r="IN36" s="16">
        <v>5</v>
      </c>
      <c r="IO36" s="16">
        <v>57</v>
      </c>
      <c r="IP36" s="16">
        <v>3</v>
      </c>
      <c r="IQ36" s="16">
        <v>2</v>
      </c>
      <c r="IR36" s="16">
        <v>2</v>
      </c>
      <c r="IS36" s="16">
        <v>4</v>
      </c>
      <c r="IT36" s="16">
        <v>2</v>
      </c>
      <c r="IU36" s="16">
        <v>3</v>
      </c>
      <c r="IV36" s="16">
        <v>2</v>
      </c>
      <c r="IW36" s="16">
        <v>29</v>
      </c>
      <c r="IX36" s="16">
        <v>10</v>
      </c>
      <c r="IY36" s="16">
        <v>38</v>
      </c>
      <c r="IZ36" s="16">
        <v>1</v>
      </c>
      <c r="JA36" s="16">
        <v>7</v>
      </c>
      <c r="JB36" s="16">
        <v>2</v>
      </c>
      <c r="JC36" s="16">
        <v>4</v>
      </c>
      <c r="JD36" s="16">
        <v>1</v>
      </c>
      <c r="JE36" s="16">
        <v>22</v>
      </c>
      <c r="JF36" s="16">
        <v>888</v>
      </c>
      <c r="JG36" s="16">
        <v>13185</v>
      </c>
      <c r="JH36" s="16">
        <v>7</v>
      </c>
      <c r="JI36" s="16">
        <v>3</v>
      </c>
      <c r="JJ36" s="16">
        <v>24</v>
      </c>
      <c r="JK36" s="16">
        <v>24</v>
      </c>
      <c r="JL36" s="16">
        <v>7</v>
      </c>
      <c r="JM36" s="16">
        <v>1</v>
      </c>
      <c r="JN36" s="16">
        <v>18</v>
      </c>
      <c r="JO36" s="16">
        <v>23</v>
      </c>
      <c r="JP36" s="16">
        <v>181</v>
      </c>
      <c r="JQ36" s="16">
        <v>63</v>
      </c>
      <c r="JR36" s="16">
        <v>4619</v>
      </c>
      <c r="JS36" s="16">
        <v>1096</v>
      </c>
      <c r="JT36" s="16">
        <v>0</v>
      </c>
      <c r="JU36" s="16">
        <v>0</v>
      </c>
      <c r="JV36" s="16">
        <v>41</v>
      </c>
      <c r="JW36" s="16">
        <v>69</v>
      </c>
      <c r="JX36" s="16">
        <v>98</v>
      </c>
      <c r="JY36" s="16">
        <v>71</v>
      </c>
      <c r="JZ36" s="16">
        <v>57</v>
      </c>
      <c r="KA36" s="16">
        <v>3</v>
      </c>
      <c r="KB36" s="16">
        <v>2</v>
      </c>
      <c r="KC36" s="16">
        <v>16</v>
      </c>
      <c r="KD36" s="16">
        <v>23</v>
      </c>
      <c r="KE36" s="16">
        <v>5</v>
      </c>
      <c r="KF36" s="16">
        <v>31</v>
      </c>
      <c r="KG36" s="16">
        <v>33</v>
      </c>
      <c r="KH36" s="16">
        <v>2</v>
      </c>
      <c r="KI36" s="16">
        <v>12</v>
      </c>
      <c r="KJ36" s="16">
        <v>37</v>
      </c>
      <c r="KK36" s="16">
        <v>7231</v>
      </c>
      <c r="KL36" s="16">
        <v>4</v>
      </c>
      <c r="KM36" s="16">
        <v>42</v>
      </c>
      <c r="KN36" s="16">
        <v>10</v>
      </c>
      <c r="KO36" s="16">
        <v>26</v>
      </c>
      <c r="KP36" s="16">
        <v>36</v>
      </c>
      <c r="KQ36" s="16">
        <v>13</v>
      </c>
      <c r="KR36" s="16">
        <v>60</v>
      </c>
      <c r="KS36" s="16">
        <v>52</v>
      </c>
      <c r="KT36" s="16">
        <v>28</v>
      </c>
      <c r="KU36" s="16">
        <v>234</v>
      </c>
      <c r="KV36" s="16">
        <v>21</v>
      </c>
      <c r="KW36" s="16">
        <v>199</v>
      </c>
      <c r="KX36" s="16">
        <v>1</v>
      </c>
      <c r="KY36" s="16">
        <v>56</v>
      </c>
      <c r="KZ36" s="16">
        <v>11069472</v>
      </c>
      <c r="LA36" s="16">
        <v>1093262</v>
      </c>
      <c r="LB36" s="16">
        <v>59862</v>
      </c>
      <c r="LC36" s="16">
        <v>24</v>
      </c>
      <c r="LD36" s="16">
        <v>1550</v>
      </c>
      <c r="LE36" s="16">
        <v>162</v>
      </c>
      <c r="LF36" s="16">
        <v>20</v>
      </c>
      <c r="LG36" s="16">
        <v>14</v>
      </c>
      <c r="LH36" s="16">
        <v>403</v>
      </c>
      <c r="LI36" s="16">
        <v>1</v>
      </c>
      <c r="LJ36" s="16">
        <v>16</v>
      </c>
      <c r="LK36" s="16">
        <v>108</v>
      </c>
      <c r="LL36" s="16">
        <v>392</v>
      </c>
      <c r="LM36" s="16">
        <v>1319</v>
      </c>
      <c r="LN36" s="16">
        <v>281</v>
      </c>
      <c r="LO36" s="16">
        <v>32</v>
      </c>
      <c r="LP36" s="16">
        <v>3112</v>
      </c>
      <c r="LQ36" s="16">
        <v>13</v>
      </c>
      <c r="LR36" s="16">
        <v>261</v>
      </c>
      <c r="LS36" s="16">
        <v>386</v>
      </c>
      <c r="LT36" s="16">
        <v>122</v>
      </c>
      <c r="LU36" s="16">
        <v>66</v>
      </c>
      <c r="LV36" s="16">
        <v>9</v>
      </c>
      <c r="LW36" s="16">
        <v>51</v>
      </c>
      <c r="LX36" s="16">
        <v>75</v>
      </c>
      <c r="LY36" s="16">
        <v>0</v>
      </c>
      <c r="LZ36" s="16">
        <v>74</v>
      </c>
      <c r="MA36" s="16">
        <v>56</v>
      </c>
      <c r="MB36" s="16">
        <v>216</v>
      </c>
      <c r="MC36" s="16">
        <v>383</v>
      </c>
      <c r="MD36" s="16">
        <v>10</v>
      </c>
      <c r="ME36" s="16">
        <v>54</v>
      </c>
      <c r="MF36" s="16">
        <v>4019</v>
      </c>
      <c r="MG36" s="16">
        <v>537</v>
      </c>
      <c r="MH36" s="16">
        <v>1311</v>
      </c>
      <c r="MI36" s="16">
        <v>80</v>
      </c>
      <c r="MJ36" s="16">
        <v>130</v>
      </c>
      <c r="MK36" s="16">
        <v>552</v>
      </c>
      <c r="ML36" s="16">
        <v>208</v>
      </c>
      <c r="MM36" s="16">
        <v>519</v>
      </c>
      <c r="MN36" s="16">
        <v>183</v>
      </c>
      <c r="MO36" s="16">
        <v>96</v>
      </c>
      <c r="MP36" s="16">
        <v>389</v>
      </c>
      <c r="MQ36" s="16">
        <v>1522</v>
      </c>
      <c r="MR36" s="16">
        <v>175286</v>
      </c>
      <c r="MS36" s="16">
        <v>9508</v>
      </c>
      <c r="MT36" s="16">
        <v>417</v>
      </c>
      <c r="MU36" s="16">
        <v>584554</v>
      </c>
      <c r="MV36" s="16">
        <v>339</v>
      </c>
      <c r="MW36" s="16">
        <v>638</v>
      </c>
      <c r="MX36" s="16">
        <v>117</v>
      </c>
      <c r="MY36" s="16">
        <v>52</v>
      </c>
      <c r="MZ36" s="16">
        <v>9753</v>
      </c>
      <c r="NA36" s="16">
        <v>550</v>
      </c>
      <c r="NB36" s="16">
        <v>1095679</v>
      </c>
      <c r="NC36" s="16">
        <v>289</v>
      </c>
      <c r="ND36" s="16">
        <v>75</v>
      </c>
      <c r="NE36" s="16">
        <v>7698</v>
      </c>
      <c r="NF36" s="16">
        <v>93</v>
      </c>
      <c r="NG36" s="16">
        <v>33731</v>
      </c>
      <c r="NH36" s="16">
        <v>588703</v>
      </c>
      <c r="NI36" s="16">
        <v>1005</v>
      </c>
      <c r="NJ36" s="16">
        <v>4571</v>
      </c>
      <c r="NK36" s="16">
        <v>81</v>
      </c>
      <c r="NL36" s="16">
        <v>5</v>
      </c>
      <c r="NM36" s="16">
        <v>103</v>
      </c>
      <c r="NN36" s="16">
        <v>90</v>
      </c>
      <c r="NO36" s="16">
        <v>0</v>
      </c>
      <c r="NP36" s="16">
        <v>137</v>
      </c>
      <c r="NQ36" s="16">
        <v>4104</v>
      </c>
      <c r="NR36" s="17">
        <v>18887342</v>
      </c>
    </row>
    <row r="37" spans="1:382" ht="13.5" customHeight="1" x14ac:dyDescent="0.2">
      <c r="A37" s="2" t="s">
        <v>81</v>
      </c>
      <c r="B37" s="16">
        <v>8</v>
      </c>
      <c r="C37" s="16">
        <v>4</v>
      </c>
      <c r="D37" s="16">
        <v>3</v>
      </c>
      <c r="E37" s="16">
        <v>5</v>
      </c>
      <c r="F37" s="16">
        <v>10</v>
      </c>
      <c r="G37" s="16">
        <v>5</v>
      </c>
      <c r="H37" s="16">
        <v>2</v>
      </c>
      <c r="I37" s="16">
        <v>1</v>
      </c>
      <c r="J37" s="16">
        <v>0</v>
      </c>
      <c r="K37" s="16">
        <v>0</v>
      </c>
      <c r="L37" s="16">
        <v>2</v>
      </c>
      <c r="M37" s="16">
        <v>0</v>
      </c>
      <c r="N37" s="16">
        <v>0</v>
      </c>
      <c r="O37" s="16">
        <v>4</v>
      </c>
      <c r="P37" s="16">
        <v>9</v>
      </c>
      <c r="Q37" s="16">
        <v>8</v>
      </c>
      <c r="R37" s="16">
        <v>3</v>
      </c>
      <c r="S37" s="16">
        <v>4</v>
      </c>
      <c r="T37" s="16">
        <v>4</v>
      </c>
      <c r="U37" s="16">
        <v>1</v>
      </c>
      <c r="V37" s="16">
        <v>1</v>
      </c>
      <c r="W37" s="16">
        <v>0</v>
      </c>
      <c r="X37" s="16">
        <v>5</v>
      </c>
      <c r="Y37" s="16">
        <v>13</v>
      </c>
      <c r="Z37" s="16">
        <v>11</v>
      </c>
      <c r="AA37" s="16">
        <v>2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15</v>
      </c>
      <c r="AH37" s="16">
        <v>12</v>
      </c>
      <c r="AI37" s="16">
        <v>2</v>
      </c>
      <c r="AJ37" s="16">
        <v>6</v>
      </c>
      <c r="AK37" s="16">
        <v>1</v>
      </c>
      <c r="AL37" s="16">
        <v>258682</v>
      </c>
      <c r="AM37" s="16">
        <v>8</v>
      </c>
      <c r="AN37" s="16">
        <v>304</v>
      </c>
      <c r="AO37" s="16">
        <v>14</v>
      </c>
      <c r="AP37" s="16">
        <v>1</v>
      </c>
      <c r="AQ37" s="16">
        <v>3</v>
      </c>
      <c r="AR37" s="16">
        <v>0</v>
      </c>
      <c r="AS37" s="16">
        <v>6</v>
      </c>
      <c r="AT37" s="16">
        <v>1</v>
      </c>
      <c r="AU37" s="16">
        <v>348</v>
      </c>
      <c r="AV37" s="16">
        <v>199</v>
      </c>
      <c r="AW37" s="16">
        <v>931</v>
      </c>
      <c r="AX37" s="16">
        <v>12</v>
      </c>
      <c r="AY37" s="16">
        <v>7</v>
      </c>
      <c r="AZ37" s="16">
        <v>2</v>
      </c>
      <c r="BA37" s="16">
        <v>5</v>
      </c>
      <c r="BB37" s="16">
        <v>22587</v>
      </c>
      <c r="BC37" s="16">
        <v>1304</v>
      </c>
      <c r="BD37" s="16">
        <v>3</v>
      </c>
      <c r="BE37" s="16">
        <v>4</v>
      </c>
      <c r="BF37" s="16">
        <v>11</v>
      </c>
      <c r="BG37" s="16">
        <v>3</v>
      </c>
      <c r="BH37" s="16">
        <v>5</v>
      </c>
      <c r="BI37" s="16">
        <v>5</v>
      </c>
      <c r="BJ37" s="16">
        <v>1789</v>
      </c>
      <c r="BK37" s="16">
        <v>7</v>
      </c>
      <c r="BL37" s="16">
        <v>6</v>
      </c>
      <c r="BM37" s="16">
        <v>8</v>
      </c>
      <c r="BN37" s="16">
        <v>7</v>
      </c>
      <c r="BO37" s="16">
        <v>4</v>
      </c>
      <c r="BP37" s="16">
        <v>3</v>
      </c>
      <c r="BQ37" s="16">
        <v>4</v>
      </c>
      <c r="BR37" s="16">
        <v>84930</v>
      </c>
      <c r="BS37" s="16">
        <v>8</v>
      </c>
      <c r="BT37" s="16">
        <v>0</v>
      </c>
      <c r="BU37" s="16">
        <v>1</v>
      </c>
      <c r="BV37" s="16">
        <v>1</v>
      </c>
      <c r="BW37" s="16">
        <v>2</v>
      </c>
      <c r="BX37" s="16">
        <v>5</v>
      </c>
      <c r="BY37" s="16">
        <v>1</v>
      </c>
      <c r="BZ37" s="16">
        <v>5</v>
      </c>
      <c r="CA37" s="16">
        <v>1</v>
      </c>
      <c r="CB37" s="16">
        <v>2</v>
      </c>
      <c r="CC37" s="16">
        <v>10</v>
      </c>
      <c r="CD37" s="16">
        <v>1</v>
      </c>
      <c r="CE37" s="16">
        <v>1</v>
      </c>
      <c r="CF37" s="16">
        <v>4</v>
      </c>
      <c r="CG37" s="16">
        <v>2</v>
      </c>
      <c r="CH37" s="16">
        <v>8</v>
      </c>
      <c r="CI37" s="16">
        <v>2</v>
      </c>
      <c r="CJ37" s="16">
        <v>2</v>
      </c>
      <c r="CK37" s="16">
        <v>5</v>
      </c>
      <c r="CL37" s="16">
        <v>6</v>
      </c>
      <c r="CM37" s="16">
        <v>3</v>
      </c>
      <c r="CN37" s="16">
        <v>1</v>
      </c>
      <c r="CO37" s="16">
        <v>4</v>
      </c>
      <c r="CP37" s="16">
        <v>8</v>
      </c>
      <c r="CQ37" s="16">
        <v>30</v>
      </c>
      <c r="CR37" s="16">
        <v>4</v>
      </c>
      <c r="CS37" s="16">
        <v>3</v>
      </c>
      <c r="CT37" s="16">
        <v>1</v>
      </c>
      <c r="CU37" s="16">
        <v>3</v>
      </c>
      <c r="CV37" s="16">
        <v>3</v>
      </c>
      <c r="CW37" s="16">
        <v>10</v>
      </c>
      <c r="CX37" s="16">
        <v>12</v>
      </c>
      <c r="CY37" s="16">
        <v>1</v>
      </c>
      <c r="CZ37" s="16">
        <v>3</v>
      </c>
      <c r="DA37" s="16">
        <v>6</v>
      </c>
      <c r="DB37" s="16">
        <v>2</v>
      </c>
      <c r="DC37" s="16">
        <v>3</v>
      </c>
      <c r="DD37" s="16">
        <v>4</v>
      </c>
      <c r="DE37" s="16">
        <v>3</v>
      </c>
      <c r="DF37" s="16">
        <v>3</v>
      </c>
      <c r="DG37" s="16">
        <v>1</v>
      </c>
      <c r="DH37" s="16">
        <v>5</v>
      </c>
      <c r="DI37" s="16">
        <v>1</v>
      </c>
      <c r="DJ37" s="16">
        <v>35</v>
      </c>
      <c r="DK37" s="16">
        <v>2</v>
      </c>
      <c r="DL37" s="16">
        <v>5</v>
      </c>
      <c r="DM37" s="16">
        <v>61</v>
      </c>
      <c r="DN37" s="16">
        <v>25</v>
      </c>
      <c r="DO37" s="16">
        <v>2</v>
      </c>
      <c r="DP37" s="16">
        <v>6</v>
      </c>
      <c r="DQ37" s="16">
        <v>1</v>
      </c>
      <c r="DR37" s="16">
        <v>2</v>
      </c>
      <c r="DS37" s="16">
        <v>9</v>
      </c>
      <c r="DT37" s="16">
        <v>2</v>
      </c>
      <c r="DU37" s="16">
        <v>5</v>
      </c>
      <c r="DV37" s="16">
        <v>1</v>
      </c>
      <c r="DW37" s="16">
        <v>8</v>
      </c>
      <c r="DX37" s="16">
        <v>10</v>
      </c>
      <c r="DY37" s="16">
        <v>6</v>
      </c>
      <c r="DZ37" s="16">
        <v>19</v>
      </c>
      <c r="EA37" s="16">
        <v>1</v>
      </c>
      <c r="EB37" s="16">
        <v>1</v>
      </c>
      <c r="EC37" s="16">
        <v>5</v>
      </c>
      <c r="ED37" s="16">
        <v>1</v>
      </c>
      <c r="EE37" s="16">
        <v>5</v>
      </c>
      <c r="EF37" s="16">
        <v>0</v>
      </c>
      <c r="EG37" s="16">
        <v>1</v>
      </c>
      <c r="EH37" s="16">
        <v>2</v>
      </c>
      <c r="EI37" s="16">
        <v>3</v>
      </c>
      <c r="EJ37" s="16">
        <v>9</v>
      </c>
      <c r="EK37" s="16">
        <v>1</v>
      </c>
      <c r="EL37" s="16">
        <v>6</v>
      </c>
      <c r="EM37" s="16">
        <v>2</v>
      </c>
      <c r="EN37" s="16">
        <v>10</v>
      </c>
      <c r="EO37" s="16">
        <v>3</v>
      </c>
      <c r="EP37" s="16">
        <v>1</v>
      </c>
      <c r="EQ37" s="16">
        <v>3</v>
      </c>
      <c r="ER37" s="16">
        <v>4</v>
      </c>
      <c r="ES37" s="16">
        <v>7</v>
      </c>
      <c r="ET37" s="16">
        <v>5</v>
      </c>
      <c r="EU37" s="16">
        <v>9</v>
      </c>
      <c r="EV37" s="16">
        <v>1</v>
      </c>
      <c r="EW37" s="16">
        <v>3</v>
      </c>
      <c r="EX37" s="16">
        <v>18</v>
      </c>
      <c r="EY37" s="16">
        <v>3</v>
      </c>
      <c r="EZ37" s="16">
        <v>9</v>
      </c>
      <c r="FA37" s="16">
        <v>1</v>
      </c>
      <c r="FB37" s="16">
        <v>3</v>
      </c>
      <c r="FC37" s="16">
        <v>9</v>
      </c>
      <c r="FD37" s="16">
        <v>3</v>
      </c>
      <c r="FE37" s="16">
        <v>1</v>
      </c>
      <c r="FF37" s="16">
        <v>3</v>
      </c>
      <c r="FG37" s="16">
        <v>2</v>
      </c>
      <c r="FH37" s="16">
        <v>1</v>
      </c>
      <c r="FI37" s="16">
        <v>4</v>
      </c>
      <c r="FJ37" s="16">
        <v>1</v>
      </c>
      <c r="FK37" s="16">
        <v>2</v>
      </c>
      <c r="FL37" s="16">
        <v>2</v>
      </c>
      <c r="FM37" s="16">
        <v>2</v>
      </c>
      <c r="FN37" s="16">
        <v>8</v>
      </c>
      <c r="FO37" s="16">
        <v>5</v>
      </c>
      <c r="FP37" s="16">
        <v>3</v>
      </c>
      <c r="FQ37" s="16">
        <v>5</v>
      </c>
      <c r="FR37" s="16">
        <v>15</v>
      </c>
      <c r="FS37" s="16">
        <v>3</v>
      </c>
      <c r="FT37" s="16">
        <v>4</v>
      </c>
      <c r="FU37" s="16">
        <v>9</v>
      </c>
      <c r="FV37" s="16">
        <v>4</v>
      </c>
      <c r="FW37" s="16">
        <v>10</v>
      </c>
      <c r="FX37" s="16">
        <v>16</v>
      </c>
      <c r="FY37" s="16">
        <v>1</v>
      </c>
      <c r="FZ37" s="16">
        <v>4</v>
      </c>
      <c r="GA37" s="16">
        <v>1</v>
      </c>
      <c r="GB37" s="16">
        <v>92</v>
      </c>
      <c r="GC37" s="16">
        <v>1</v>
      </c>
      <c r="GD37" s="16">
        <v>20</v>
      </c>
      <c r="GE37" s="16">
        <v>9</v>
      </c>
      <c r="GF37" s="16">
        <v>18</v>
      </c>
      <c r="GG37" s="16">
        <v>5</v>
      </c>
      <c r="GH37" s="16">
        <v>3</v>
      </c>
      <c r="GI37" s="16">
        <v>52</v>
      </c>
      <c r="GJ37" s="16">
        <v>2</v>
      </c>
      <c r="GK37" s="16">
        <v>33</v>
      </c>
      <c r="GL37" s="16">
        <v>5</v>
      </c>
      <c r="GM37" s="16">
        <v>65</v>
      </c>
      <c r="GN37" s="16">
        <v>13</v>
      </c>
      <c r="GO37" s="16">
        <v>16</v>
      </c>
      <c r="GP37" s="16">
        <v>116</v>
      </c>
      <c r="GQ37" s="16">
        <v>1</v>
      </c>
      <c r="GR37" s="16">
        <v>1</v>
      </c>
      <c r="GS37" s="16">
        <v>43</v>
      </c>
      <c r="GT37" s="16">
        <v>1</v>
      </c>
      <c r="GU37" s="16">
        <v>2</v>
      </c>
      <c r="GV37" s="16">
        <v>2</v>
      </c>
      <c r="GW37" s="16">
        <v>2</v>
      </c>
      <c r="GX37" s="16">
        <v>1</v>
      </c>
      <c r="GY37" s="16">
        <v>1</v>
      </c>
      <c r="GZ37" s="16">
        <v>1</v>
      </c>
      <c r="HA37" s="16">
        <v>2</v>
      </c>
      <c r="HB37" s="16">
        <v>1</v>
      </c>
      <c r="HC37" s="16">
        <v>6</v>
      </c>
      <c r="HD37" s="16">
        <v>7</v>
      </c>
      <c r="HE37" s="16">
        <v>51</v>
      </c>
      <c r="HF37" s="16">
        <v>4</v>
      </c>
      <c r="HG37" s="16">
        <v>2</v>
      </c>
      <c r="HH37" s="16">
        <v>1</v>
      </c>
      <c r="HI37" s="16">
        <v>1</v>
      </c>
      <c r="HJ37" s="16">
        <v>1</v>
      </c>
      <c r="HK37" s="16">
        <v>2</v>
      </c>
      <c r="HL37" s="16">
        <v>6</v>
      </c>
      <c r="HM37" s="16">
        <v>4</v>
      </c>
      <c r="HN37" s="16">
        <v>6</v>
      </c>
      <c r="HO37" s="16">
        <v>4</v>
      </c>
      <c r="HP37" s="16">
        <v>3</v>
      </c>
      <c r="HQ37" s="16">
        <v>6</v>
      </c>
      <c r="HR37" s="16">
        <v>5</v>
      </c>
      <c r="HS37" s="16">
        <v>6</v>
      </c>
      <c r="HT37" s="16">
        <v>14</v>
      </c>
      <c r="HU37" s="16">
        <v>5</v>
      </c>
      <c r="HV37" s="16">
        <v>2</v>
      </c>
      <c r="HW37" s="16">
        <v>4</v>
      </c>
      <c r="HX37" s="16">
        <v>8</v>
      </c>
      <c r="HY37" s="16">
        <v>8</v>
      </c>
      <c r="HZ37" s="16">
        <v>16</v>
      </c>
      <c r="IA37" s="16">
        <v>5</v>
      </c>
      <c r="IB37" s="16">
        <v>0</v>
      </c>
      <c r="IC37" s="16">
        <v>13</v>
      </c>
      <c r="ID37" s="16">
        <v>2</v>
      </c>
      <c r="IE37" s="16">
        <v>0</v>
      </c>
      <c r="IF37" s="16">
        <v>1</v>
      </c>
      <c r="IG37" s="16">
        <v>19</v>
      </c>
      <c r="IH37" s="16">
        <v>4</v>
      </c>
      <c r="II37" s="16">
        <v>0</v>
      </c>
      <c r="IJ37" s="16">
        <v>2</v>
      </c>
      <c r="IK37" s="16">
        <v>2</v>
      </c>
      <c r="IL37" s="16">
        <v>2</v>
      </c>
      <c r="IM37" s="16">
        <v>2</v>
      </c>
      <c r="IN37" s="16">
        <v>24</v>
      </c>
      <c r="IO37" s="16">
        <v>7</v>
      </c>
      <c r="IP37" s="16">
        <v>57</v>
      </c>
      <c r="IQ37" s="16">
        <v>1</v>
      </c>
      <c r="IR37" s="16">
        <v>6</v>
      </c>
      <c r="IS37" s="16">
        <v>13</v>
      </c>
      <c r="IT37" s="16">
        <v>9</v>
      </c>
      <c r="IU37" s="16">
        <v>2</v>
      </c>
      <c r="IV37" s="16">
        <v>2</v>
      </c>
      <c r="IW37" s="16">
        <v>4</v>
      </c>
      <c r="IX37" s="16">
        <v>1</v>
      </c>
      <c r="IY37" s="16">
        <v>5</v>
      </c>
      <c r="IZ37" s="16">
        <v>0</v>
      </c>
      <c r="JA37" s="16">
        <v>0</v>
      </c>
      <c r="JB37" s="16">
        <v>7</v>
      </c>
      <c r="JC37" s="16">
        <v>9</v>
      </c>
      <c r="JD37" s="16">
        <v>3</v>
      </c>
      <c r="JE37" s="16">
        <v>3</v>
      </c>
      <c r="JF37" s="16">
        <v>0</v>
      </c>
      <c r="JG37" s="16">
        <v>560</v>
      </c>
      <c r="JH37" s="16">
        <v>1</v>
      </c>
      <c r="JI37" s="16">
        <v>7</v>
      </c>
      <c r="JJ37" s="16">
        <v>4</v>
      </c>
      <c r="JK37" s="16">
        <v>4</v>
      </c>
      <c r="JL37" s="16">
        <v>1</v>
      </c>
      <c r="JM37" s="16">
        <v>0</v>
      </c>
      <c r="JN37" s="16">
        <v>34</v>
      </c>
      <c r="JO37" s="16">
        <v>3</v>
      </c>
      <c r="JP37" s="16">
        <v>25</v>
      </c>
      <c r="JQ37" s="16">
        <v>9</v>
      </c>
      <c r="JR37" s="16">
        <v>766</v>
      </c>
      <c r="JS37" s="16">
        <v>139</v>
      </c>
      <c r="JT37" s="16">
        <v>0</v>
      </c>
      <c r="JU37" s="16">
        <v>0</v>
      </c>
      <c r="JV37" s="16">
        <v>6</v>
      </c>
      <c r="JW37" s="16">
        <v>9</v>
      </c>
      <c r="JX37" s="16">
        <v>12</v>
      </c>
      <c r="JY37" s="16">
        <v>9</v>
      </c>
      <c r="JZ37" s="16">
        <v>8</v>
      </c>
      <c r="KA37" s="16">
        <v>8</v>
      </c>
      <c r="KB37" s="16">
        <v>15</v>
      </c>
      <c r="KC37" s="16">
        <v>2</v>
      </c>
      <c r="KD37" s="16">
        <v>4</v>
      </c>
      <c r="KE37" s="16">
        <v>14</v>
      </c>
      <c r="KF37" s="16">
        <v>4</v>
      </c>
      <c r="KG37" s="16">
        <v>4</v>
      </c>
      <c r="KH37" s="16">
        <v>16</v>
      </c>
      <c r="KI37" s="16">
        <v>1</v>
      </c>
      <c r="KJ37" s="16">
        <v>5</v>
      </c>
      <c r="KK37" s="16">
        <v>111</v>
      </c>
      <c r="KL37" s="16">
        <v>36</v>
      </c>
      <c r="KM37" s="16">
        <v>6</v>
      </c>
      <c r="KN37" s="16">
        <v>1</v>
      </c>
      <c r="KO37" s="16">
        <v>4</v>
      </c>
      <c r="KP37" s="16">
        <v>5</v>
      </c>
      <c r="KQ37" s="16">
        <v>2</v>
      </c>
      <c r="KR37" s="16">
        <v>8</v>
      </c>
      <c r="KS37" s="16">
        <v>8</v>
      </c>
      <c r="KT37" s="16">
        <v>3</v>
      </c>
      <c r="KU37" s="16">
        <v>30</v>
      </c>
      <c r="KV37" s="16">
        <v>2</v>
      </c>
      <c r="KW37" s="16">
        <v>26</v>
      </c>
      <c r="KX37" s="16">
        <v>0</v>
      </c>
      <c r="KY37" s="16">
        <v>7</v>
      </c>
      <c r="KZ37" s="16">
        <v>2339368</v>
      </c>
      <c r="LA37" s="16">
        <v>3061488</v>
      </c>
      <c r="LB37" s="16">
        <v>241586</v>
      </c>
      <c r="LC37" s="16">
        <v>2</v>
      </c>
      <c r="LD37" s="16">
        <v>35</v>
      </c>
      <c r="LE37" s="16">
        <v>20</v>
      </c>
      <c r="LF37" s="16">
        <v>2</v>
      </c>
      <c r="LG37" s="16">
        <v>2</v>
      </c>
      <c r="LH37" s="16">
        <v>51</v>
      </c>
      <c r="LI37" s="16">
        <v>28</v>
      </c>
      <c r="LJ37" s="16">
        <v>2</v>
      </c>
      <c r="LK37" s="16">
        <v>14</v>
      </c>
      <c r="LL37" s="16">
        <v>50</v>
      </c>
      <c r="LM37" s="16">
        <v>170</v>
      </c>
      <c r="LN37" s="16">
        <v>38</v>
      </c>
      <c r="LO37" s="16">
        <v>5</v>
      </c>
      <c r="LP37" s="16">
        <v>12</v>
      </c>
      <c r="LQ37" s="16">
        <v>2</v>
      </c>
      <c r="LR37" s="16">
        <v>34</v>
      </c>
      <c r="LS37" s="16">
        <v>50</v>
      </c>
      <c r="LT37" s="16">
        <v>15</v>
      </c>
      <c r="LU37" s="16">
        <v>9</v>
      </c>
      <c r="LV37" s="16">
        <v>1</v>
      </c>
      <c r="LW37" s="16">
        <v>7</v>
      </c>
      <c r="LX37" s="16">
        <v>11</v>
      </c>
      <c r="LY37" s="16">
        <v>0</v>
      </c>
      <c r="LZ37" s="16">
        <v>9</v>
      </c>
      <c r="MA37" s="16">
        <v>8</v>
      </c>
      <c r="MB37" s="16">
        <v>28</v>
      </c>
      <c r="MC37" s="16">
        <v>64</v>
      </c>
      <c r="MD37" s="16">
        <v>2</v>
      </c>
      <c r="ME37" s="16">
        <v>8</v>
      </c>
      <c r="MF37" s="16">
        <v>150</v>
      </c>
      <c r="MG37" s="16">
        <v>70</v>
      </c>
      <c r="MH37" s="16">
        <v>170</v>
      </c>
      <c r="MI37" s="16">
        <v>11</v>
      </c>
      <c r="MJ37" s="16">
        <v>17</v>
      </c>
      <c r="MK37" s="16">
        <v>71</v>
      </c>
      <c r="ML37" s="16">
        <v>7</v>
      </c>
      <c r="MM37" s="16">
        <v>66</v>
      </c>
      <c r="MN37" s="16">
        <v>24</v>
      </c>
      <c r="MO37" s="16">
        <v>13</v>
      </c>
      <c r="MP37" s="16">
        <v>49</v>
      </c>
      <c r="MQ37" s="16">
        <v>197</v>
      </c>
      <c r="MR37" s="16">
        <v>14497</v>
      </c>
      <c r="MS37" s="16">
        <v>1584</v>
      </c>
      <c r="MT37" s="16">
        <v>70</v>
      </c>
      <c r="MU37" s="16">
        <v>244338</v>
      </c>
      <c r="MV37" s="16">
        <v>44</v>
      </c>
      <c r="MW37" s="16">
        <v>82</v>
      </c>
      <c r="MX37" s="16">
        <v>15</v>
      </c>
      <c r="MY37" s="16">
        <v>8</v>
      </c>
      <c r="MZ37" s="16">
        <v>65</v>
      </c>
      <c r="NA37" s="16">
        <v>86</v>
      </c>
      <c r="NB37" s="16">
        <v>37384</v>
      </c>
      <c r="NC37" s="16">
        <v>48</v>
      </c>
      <c r="ND37" s="16">
        <v>11</v>
      </c>
      <c r="NE37" s="16">
        <v>2290</v>
      </c>
      <c r="NF37" s="16">
        <v>12</v>
      </c>
      <c r="NG37" s="16">
        <v>2571</v>
      </c>
      <c r="NH37" s="16">
        <v>257090</v>
      </c>
      <c r="NI37" s="16">
        <v>130</v>
      </c>
      <c r="NJ37" s="16">
        <v>590</v>
      </c>
      <c r="NK37" s="16">
        <v>10</v>
      </c>
      <c r="NL37" s="16">
        <v>29</v>
      </c>
      <c r="NM37" s="16">
        <v>13</v>
      </c>
      <c r="NN37" s="16">
        <v>13</v>
      </c>
      <c r="NO37" s="16">
        <v>0</v>
      </c>
      <c r="NP37" s="16">
        <v>18</v>
      </c>
      <c r="NQ37" s="16">
        <v>147</v>
      </c>
      <c r="NR37" s="17">
        <v>6579874</v>
      </c>
    </row>
    <row r="38" spans="1:382" ht="13.5" customHeight="1" x14ac:dyDescent="0.2">
      <c r="A38" s="2" t="s">
        <v>83</v>
      </c>
      <c r="B38" s="16">
        <v>125</v>
      </c>
      <c r="C38" s="16">
        <v>48</v>
      </c>
      <c r="D38" s="16">
        <v>39</v>
      </c>
      <c r="E38" s="16">
        <v>7</v>
      </c>
      <c r="F38" s="16">
        <v>191</v>
      </c>
      <c r="G38" s="16">
        <v>80</v>
      </c>
      <c r="H38" s="16">
        <v>23</v>
      </c>
      <c r="I38" s="16">
        <v>35</v>
      </c>
      <c r="J38" s="16">
        <v>0</v>
      </c>
      <c r="K38" s="16">
        <v>0</v>
      </c>
      <c r="L38" s="16">
        <v>7</v>
      </c>
      <c r="M38" s="16">
        <v>0</v>
      </c>
      <c r="N38" s="16">
        <v>0</v>
      </c>
      <c r="O38" s="16">
        <v>2</v>
      </c>
      <c r="P38" s="16">
        <v>156</v>
      </c>
      <c r="Q38" s="16">
        <v>176</v>
      </c>
      <c r="R38" s="16">
        <v>52</v>
      </c>
      <c r="S38" s="16">
        <v>39</v>
      </c>
      <c r="T38" s="16">
        <v>3</v>
      </c>
      <c r="U38" s="16">
        <v>0</v>
      </c>
      <c r="V38" s="16">
        <v>4</v>
      </c>
      <c r="W38" s="16">
        <v>0</v>
      </c>
      <c r="X38" s="16">
        <v>69</v>
      </c>
      <c r="Y38" s="16">
        <v>227</v>
      </c>
      <c r="Z38" s="16">
        <v>188</v>
      </c>
      <c r="AA38" s="16">
        <v>2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241</v>
      </c>
      <c r="AH38" s="16">
        <v>195</v>
      </c>
      <c r="AI38" s="16">
        <v>24</v>
      </c>
      <c r="AJ38" s="16">
        <v>75</v>
      </c>
      <c r="AK38" s="16">
        <v>577</v>
      </c>
      <c r="AL38" s="16">
        <v>107475</v>
      </c>
      <c r="AM38" s="16">
        <v>126</v>
      </c>
      <c r="AN38" s="16">
        <v>28</v>
      </c>
      <c r="AO38" s="16">
        <v>467</v>
      </c>
      <c r="AP38" s="16">
        <v>12</v>
      </c>
      <c r="AQ38" s="16">
        <v>42</v>
      </c>
      <c r="AR38" s="16">
        <v>0</v>
      </c>
      <c r="AS38" s="16">
        <v>89</v>
      </c>
      <c r="AT38" s="16">
        <v>30</v>
      </c>
      <c r="AU38" s="16">
        <v>144851</v>
      </c>
      <c r="AV38" s="16">
        <v>28561</v>
      </c>
      <c r="AW38" s="16">
        <v>212393</v>
      </c>
      <c r="AX38" s="16">
        <v>369</v>
      </c>
      <c r="AY38" s="16">
        <v>253</v>
      </c>
      <c r="AZ38" s="16">
        <v>25</v>
      </c>
      <c r="BA38" s="16">
        <v>14</v>
      </c>
      <c r="BB38" s="16">
        <v>161856</v>
      </c>
      <c r="BC38" s="16">
        <v>115104</v>
      </c>
      <c r="BD38" s="16">
        <v>3</v>
      </c>
      <c r="BE38" s="16">
        <v>59</v>
      </c>
      <c r="BF38" s="16">
        <v>160</v>
      </c>
      <c r="BG38" s="16">
        <v>49</v>
      </c>
      <c r="BH38" s="16">
        <v>65</v>
      </c>
      <c r="BI38" s="16">
        <v>72</v>
      </c>
      <c r="BJ38" s="16">
        <v>18</v>
      </c>
      <c r="BK38" s="16">
        <v>12</v>
      </c>
      <c r="BL38" s="16">
        <v>106</v>
      </c>
      <c r="BM38" s="16">
        <v>11</v>
      </c>
      <c r="BN38" s="16">
        <v>96</v>
      </c>
      <c r="BO38" s="16">
        <v>67</v>
      </c>
      <c r="BP38" s="16">
        <v>47</v>
      </c>
      <c r="BQ38" s="16">
        <v>50</v>
      </c>
      <c r="BR38" s="16">
        <v>10</v>
      </c>
      <c r="BS38" s="16">
        <v>114</v>
      </c>
      <c r="BT38" s="16">
        <v>2</v>
      </c>
      <c r="BU38" s="16">
        <v>0</v>
      </c>
      <c r="BV38" s="16">
        <v>0</v>
      </c>
      <c r="BW38" s="16">
        <v>26</v>
      </c>
      <c r="BX38" s="16">
        <v>5</v>
      </c>
      <c r="BY38" s="16">
        <v>0</v>
      </c>
      <c r="BZ38" s="16">
        <v>4</v>
      </c>
      <c r="CA38" s="16">
        <v>11</v>
      </c>
      <c r="CB38" s="16">
        <v>0</v>
      </c>
      <c r="CC38" s="16">
        <v>146</v>
      </c>
      <c r="CD38" s="16">
        <v>27</v>
      </c>
      <c r="CE38" s="16">
        <v>20</v>
      </c>
      <c r="CF38" s="16">
        <v>61</v>
      </c>
      <c r="CG38" s="16">
        <v>16</v>
      </c>
      <c r="CH38" s="16">
        <v>14</v>
      </c>
      <c r="CI38" s="16">
        <v>0</v>
      </c>
      <c r="CJ38" s="16">
        <v>0</v>
      </c>
      <c r="CK38" s="16">
        <v>73</v>
      </c>
      <c r="CL38" s="16">
        <v>89</v>
      </c>
      <c r="CM38" s="16">
        <v>47</v>
      </c>
      <c r="CN38" s="16">
        <v>16</v>
      </c>
      <c r="CO38" s="16">
        <v>45</v>
      </c>
      <c r="CP38" s="16">
        <v>0</v>
      </c>
      <c r="CQ38" s="16">
        <v>1167</v>
      </c>
      <c r="CR38" s="16">
        <v>53</v>
      </c>
      <c r="CS38" s="16">
        <v>37</v>
      </c>
      <c r="CT38" s="16">
        <v>15</v>
      </c>
      <c r="CU38" s="16">
        <v>35</v>
      </c>
      <c r="CV38" s="16">
        <v>51</v>
      </c>
      <c r="CW38" s="16">
        <v>168</v>
      </c>
      <c r="CX38" s="16">
        <v>203</v>
      </c>
      <c r="CY38" s="16">
        <v>11</v>
      </c>
      <c r="CZ38" s="16">
        <v>45</v>
      </c>
      <c r="DA38" s="16">
        <v>5</v>
      </c>
      <c r="DB38" s="16">
        <v>31</v>
      </c>
      <c r="DC38" s="16">
        <v>45</v>
      </c>
      <c r="DD38" s="16">
        <v>46</v>
      </c>
      <c r="DE38" s="16">
        <v>45</v>
      </c>
      <c r="DF38" s="16">
        <v>42</v>
      </c>
      <c r="DG38" s="16">
        <v>22</v>
      </c>
      <c r="DH38" s="16">
        <v>66</v>
      </c>
      <c r="DI38" s="16">
        <v>18</v>
      </c>
      <c r="DJ38" s="16">
        <v>561</v>
      </c>
      <c r="DK38" s="16">
        <v>29</v>
      </c>
      <c r="DL38" s="16">
        <v>80</v>
      </c>
      <c r="DM38" s="16">
        <v>1002</v>
      </c>
      <c r="DN38" s="16">
        <v>31</v>
      </c>
      <c r="DO38" s="16">
        <v>43</v>
      </c>
      <c r="DP38" s="16">
        <v>101</v>
      </c>
      <c r="DQ38" s="16">
        <v>20</v>
      </c>
      <c r="DR38" s="16">
        <v>26</v>
      </c>
      <c r="DS38" s="16">
        <v>151</v>
      </c>
      <c r="DT38" s="16">
        <v>28</v>
      </c>
      <c r="DU38" s="16">
        <v>13</v>
      </c>
      <c r="DV38" s="16">
        <v>17</v>
      </c>
      <c r="DW38" s="16">
        <v>132</v>
      </c>
      <c r="DX38" s="16">
        <v>171</v>
      </c>
      <c r="DY38" s="16">
        <v>150</v>
      </c>
      <c r="DZ38" s="16">
        <v>303</v>
      </c>
      <c r="EA38" s="16">
        <v>543</v>
      </c>
      <c r="EB38" s="16">
        <v>14</v>
      </c>
      <c r="EC38" s="16">
        <v>83</v>
      </c>
      <c r="ED38" s="16">
        <v>0</v>
      </c>
      <c r="EE38" s="16">
        <v>2</v>
      </c>
      <c r="EF38" s="16">
        <v>4</v>
      </c>
      <c r="EG38" s="16">
        <v>26</v>
      </c>
      <c r="EH38" s="16">
        <v>0</v>
      </c>
      <c r="EI38" s="16">
        <v>35</v>
      </c>
      <c r="EJ38" s="16">
        <v>14</v>
      </c>
      <c r="EK38" s="16">
        <v>19</v>
      </c>
      <c r="EL38" s="16">
        <v>7</v>
      </c>
      <c r="EM38" s="16">
        <v>22</v>
      </c>
      <c r="EN38" s="16">
        <v>172</v>
      </c>
      <c r="EO38" s="16">
        <v>54</v>
      </c>
      <c r="EP38" s="16">
        <v>18</v>
      </c>
      <c r="EQ38" s="16">
        <v>55</v>
      </c>
      <c r="ER38" s="16">
        <v>7</v>
      </c>
      <c r="ES38" s="16">
        <v>7</v>
      </c>
      <c r="ET38" s="16">
        <v>83</v>
      </c>
      <c r="EU38" s="16">
        <v>127</v>
      </c>
      <c r="EV38" s="16">
        <v>0</v>
      </c>
      <c r="EW38" s="16">
        <v>35</v>
      </c>
      <c r="EX38" s="16">
        <v>281</v>
      </c>
      <c r="EY38" s="16">
        <v>41</v>
      </c>
      <c r="EZ38" s="16">
        <v>1</v>
      </c>
      <c r="FA38" s="16">
        <v>13</v>
      </c>
      <c r="FB38" s="16">
        <v>38</v>
      </c>
      <c r="FC38" s="16">
        <v>2</v>
      </c>
      <c r="FD38" s="16">
        <v>47</v>
      </c>
      <c r="FE38" s="16">
        <v>21</v>
      </c>
      <c r="FF38" s="16">
        <v>38</v>
      </c>
      <c r="FG38" s="16">
        <v>38</v>
      </c>
      <c r="FH38" s="16">
        <v>10</v>
      </c>
      <c r="FI38" s="16">
        <v>50</v>
      </c>
      <c r="FJ38" s="16">
        <v>11</v>
      </c>
      <c r="FK38" s="16">
        <v>28</v>
      </c>
      <c r="FL38" s="16">
        <v>33</v>
      </c>
      <c r="FM38" s="16">
        <v>34</v>
      </c>
      <c r="FN38" s="16">
        <v>121</v>
      </c>
      <c r="FO38" s="16">
        <v>65</v>
      </c>
      <c r="FP38" s="16">
        <v>52</v>
      </c>
      <c r="FQ38" s="16">
        <v>137</v>
      </c>
      <c r="FR38" s="16">
        <v>257</v>
      </c>
      <c r="FS38" s="16">
        <v>52</v>
      </c>
      <c r="FT38" s="16">
        <v>70</v>
      </c>
      <c r="FU38" s="16">
        <v>120</v>
      </c>
      <c r="FV38" s="16">
        <v>57</v>
      </c>
      <c r="FW38" s="16">
        <v>169</v>
      </c>
      <c r="FX38" s="16">
        <v>1169</v>
      </c>
      <c r="FY38" s="16">
        <v>27</v>
      </c>
      <c r="FZ38" s="16">
        <v>61</v>
      </c>
      <c r="GA38" s="16">
        <v>18</v>
      </c>
      <c r="GB38" s="16">
        <v>1442</v>
      </c>
      <c r="GC38" s="16">
        <v>21</v>
      </c>
      <c r="GD38" s="16">
        <v>317</v>
      </c>
      <c r="GE38" s="16">
        <v>7</v>
      </c>
      <c r="GF38" s="16">
        <v>292</v>
      </c>
      <c r="GG38" s="16">
        <v>1</v>
      </c>
      <c r="GH38" s="16">
        <v>24</v>
      </c>
      <c r="GI38" s="16">
        <v>9</v>
      </c>
      <c r="GJ38" s="16">
        <v>38</v>
      </c>
      <c r="GK38" s="16">
        <v>10</v>
      </c>
      <c r="GL38" s="16">
        <v>9</v>
      </c>
      <c r="GM38" s="16">
        <v>2</v>
      </c>
      <c r="GN38" s="16">
        <v>12</v>
      </c>
      <c r="GO38" s="16">
        <v>38</v>
      </c>
      <c r="GP38" s="16">
        <v>9</v>
      </c>
      <c r="GQ38" s="16">
        <v>0</v>
      </c>
      <c r="GR38" s="16">
        <v>14</v>
      </c>
      <c r="GS38" s="16">
        <v>12</v>
      </c>
      <c r="GT38" s="16">
        <v>1</v>
      </c>
      <c r="GU38" s="16">
        <v>36</v>
      </c>
      <c r="GV38" s="16">
        <v>29</v>
      </c>
      <c r="GW38" s="16">
        <v>27</v>
      </c>
      <c r="GX38" s="16">
        <v>8</v>
      </c>
      <c r="GY38" s="16">
        <v>2</v>
      </c>
      <c r="GZ38" s="16">
        <v>28</v>
      </c>
      <c r="HA38" s="16">
        <v>20</v>
      </c>
      <c r="HB38" s="16">
        <v>18</v>
      </c>
      <c r="HC38" s="16">
        <v>89</v>
      </c>
      <c r="HD38" s="16">
        <v>98</v>
      </c>
      <c r="HE38" s="16">
        <v>7</v>
      </c>
      <c r="HF38" s="16">
        <v>62</v>
      </c>
      <c r="HG38" s="16">
        <v>34</v>
      </c>
      <c r="HH38" s="16">
        <v>20</v>
      </c>
      <c r="HI38" s="16">
        <v>26</v>
      </c>
      <c r="HJ38" s="16">
        <v>29</v>
      </c>
      <c r="HK38" s="16">
        <v>19</v>
      </c>
      <c r="HL38" s="16">
        <v>96</v>
      </c>
      <c r="HM38" s="16">
        <v>45</v>
      </c>
      <c r="HN38" s="16">
        <v>69</v>
      </c>
      <c r="HO38" s="16">
        <v>65</v>
      </c>
      <c r="HP38" s="16">
        <v>49</v>
      </c>
      <c r="HQ38" s="16">
        <v>99</v>
      </c>
      <c r="HR38" s="16">
        <v>75</v>
      </c>
      <c r="HS38" s="16">
        <v>84</v>
      </c>
      <c r="HT38" s="16">
        <v>8</v>
      </c>
      <c r="HU38" s="16">
        <v>65</v>
      </c>
      <c r="HV38" s="16">
        <v>26</v>
      </c>
      <c r="HW38" s="16">
        <v>47</v>
      </c>
      <c r="HX38" s="16">
        <v>122</v>
      </c>
      <c r="HY38" s="16">
        <v>113</v>
      </c>
      <c r="HZ38" s="16">
        <v>253</v>
      </c>
      <c r="IA38" s="16">
        <v>71</v>
      </c>
      <c r="IB38" s="16">
        <v>10</v>
      </c>
      <c r="IC38" s="16">
        <v>12</v>
      </c>
      <c r="ID38" s="16">
        <v>28</v>
      </c>
      <c r="IE38" s="16">
        <v>4</v>
      </c>
      <c r="IF38" s="16">
        <v>28</v>
      </c>
      <c r="IG38" s="16">
        <v>302</v>
      </c>
      <c r="IH38" s="16">
        <v>57</v>
      </c>
      <c r="II38" s="16">
        <v>7</v>
      </c>
      <c r="IJ38" s="16">
        <v>3</v>
      </c>
      <c r="IK38" s="16">
        <v>36</v>
      </c>
      <c r="IL38" s="16">
        <v>3</v>
      </c>
      <c r="IM38" s="16">
        <v>2</v>
      </c>
      <c r="IN38" s="16">
        <v>11</v>
      </c>
      <c r="IO38" s="16">
        <v>685</v>
      </c>
      <c r="IP38" s="16">
        <v>6</v>
      </c>
      <c r="IQ38" s="16">
        <v>2</v>
      </c>
      <c r="IR38" s="16">
        <v>2</v>
      </c>
      <c r="IS38" s="16">
        <v>10</v>
      </c>
      <c r="IT38" s="16">
        <v>5</v>
      </c>
      <c r="IU38" s="16">
        <v>3</v>
      </c>
      <c r="IV38" s="16">
        <v>3</v>
      </c>
      <c r="IW38" s="16">
        <v>62</v>
      </c>
      <c r="IX38" s="16">
        <v>21</v>
      </c>
      <c r="IY38" s="16">
        <v>80</v>
      </c>
      <c r="IZ38" s="16">
        <v>1</v>
      </c>
      <c r="JA38" s="16">
        <v>17</v>
      </c>
      <c r="JB38" s="16">
        <v>2</v>
      </c>
      <c r="JC38" s="16">
        <v>7</v>
      </c>
      <c r="JD38" s="16">
        <v>1</v>
      </c>
      <c r="JE38" s="16">
        <v>44</v>
      </c>
      <c r="JF38" s="16">
        <v>23</v>
      </c>
      <c r="JG38" s="16">
        <v>74559</v>
      </c>
      <c r="JH38" s="16">
        <v>14</v>
      </c>
      <c r="JI38" s="16">
        <v>3</v>
      </c>
      <c r="JJ38" s="16">
        <v>50</v>
      </c>
      <c r="JK38" s="16">
        <v>49</v>
      </c>
      <c r="JL38" s="16">
        <v>17</v>
      </c>
      <c r="JM38" s="16">
        <v>2</v>
      </c>
      <c r="JN38" s="16">
        <v>32</v>
      </c>
      <c r="JO38" s="16">
        <v>48</v>
      </c>
      <c r="JP38" s="16">
        <v>370</v>
      </c>
      <c r="JQ38" s="16">
        <v>138</v>
      </c>
      <c r="JR38" s="16">
        <v>4095</v>
      </c>
      <c r="JS38" s="16">
        <v>2438</v>
      </c>
      <c r="JT38" s="16">
        <v>0</v>
      </c>
      <c r="JU38" s="16">
        <v>0</v>
      </c>
      <c r="JV38" s="16">
        <v>107</v>
      </c>
      <c r="JW38" s="16">
        <v>152</v>
      </c>
      <c r="JX38" s="16">
        <v>203</v>
      </c>
      <c r="JY38" s="16">
        <v>151</v>
      </c>
      <c r="JZ38" s="16">
        <v>115</v>
      </c>
      <c r="KA38" s="16">
        <v>6</v>
      </c>
      <c r="KB38" s="16">
        <v>4</v>
      </c>
      <c r="KC38" s="16">
        <v>35</v>
      </c>
      <c r="KD38" s="16">
        <v>52</v>
      </c>
      <c r="KE38" s="16">
        <v>10</v>
      </c>
      <c r="KF38" s="16">
        <v>64</v>
      </c>
      <c r="KG38" s="16">
        <v>67</v>
      </c>
      <c r="KH38" s="16">
        <v>5</v>
      </c>
      <c r="KI38" s="16">
        <v>25</v>
      </c>
      <c r="KJ38" s="16">
        <v>77</v>
      </c>
      <c r="KK38" s="16">
        <v>14900</v>
      </c>
      <c r="KL38" s="16">
        <v>9</v>
      </c>
      <c r="KM38" s="16">
        <v>92</v>
      </c>
      <c r="KN38" s="16">
        <v>21</v>
      </c>
      <c r="KO38" s="16">
        <v>52</v>
      </c>
      <c r="KP38" s="16">
        <v>73</v>
      </c>
      <c r="KQ38" s="16">
        <v>26</v>
      </c>
      <c r="KR38" s="16">
        <v>123</v>
      </c>
      <c r="KS38" s="16">
        <v>108</v>
      </c>
      <c r="KT38" s="16">
        <v>59</v>
      </c>
      <c r="KU38" s="16">
        <v>476</v>
      </c>
      <c r="KV38" s="16">
        <v>43</v>
      </c>
      <c r="KW38" s="16">
        <v>407</v>
      </c>
      <c r="KX38" s="16">
        <v>2</v>
      </c>
      <c r="KY38" s="16">
        <v>115</v>
      </c>
      <c r="KZ38" s="16">
        <v>1760349</v>
      </c>
      <c r="LA38" s="16">
        <v>683237</v>
      </c>
      <c r="LB38" s="16">
        <v>139238</v>
      </c>
      <c r="LC38" s="16">
        <v>91821</v>
      </c>
      <c r="LD38" s="16">
        <v>2158</v>
      </c>
      <c r="LE38" s="16">
        <v>334</v>
      </c>
      <c r="LF38" s="16">
        <v>40</v>
      </c>
      <c r="LG38" s="16">
        <v>26</v>
      </c>
      <c r="LH38" s="16">
        <v>829</v>
      </c>
      <c r="LI38" s="16">
        <v>1</v>
      </c>
      <c r="LJ38" s="16">
        <v>34</v>
      </c>
      <c r="LK38" s="16">
        <v>513</v>
      </c>
      <c r="LL38" s="16">
        <v>807</v>
      </c>
      <c r="LM38" s="16">
        <v>8040</v>
      </c>
      <c r="LN38" s="16">
        <v>580</v>
      </c>
      <c r="LO38" s="16">
        <v>70</v>
      </c>
      <c r="LP38" s="16">
        <v>184</v>
      </c>
      <c r="LQ38" s="16">
        <v>26</v>
      </c>
      <c r="LR38" s="16">
        <v>581</v>
      </c>
      <c r="LS38" s="16">
        <v>863</v>
      </c>
      <c r="LT38" s="16">
        <v>272</v>
      </c>
      <c r="LU38" s="16">
        <v>144</v>
      </c>
      <c r="LV38" s="16">
        <v>19</v>
      </c>
      <c r="LW38" s="16">
        <v>113</v>
      </c>
      <c r="LX38" s="16">
        <v>169</v>
      </c>
      <c r="LY38" s="16">
        <v>0</v>
      </c>
      <c r="LZ38" s="16">
        <v>149</v>
      </c>
      <c r="MA38" s="16">
        <v>111</v>
      </c>
      <c r="MB38" s="16">
        <v>455</v>
      </c>
      <c r="MC38" s="16">
        <v>338</v>
      </c>
      <c r="MD38" s="16">
        <v>19</v>
      </c>
      <c r="ME38" s="16">
        <v>110</v>
      </c>
      <c r="MF38" s="16">
        <v>1789</v>
      </c>
      <c r="MG38" s="16">
        <v>7027</v>
      </c>
      <c r="MH38" s="16">
        <v>2705</v>
      </c>
      <c r="MI38" s="16">
        <v>261</v>
      </c>
      <c r="MJ38" s="16">
        <v>592</v>
      </c>
      <c r="MK38" s="16">
        <v>1134</v>
      </c>
      <c r="ML38" s="16">
        <v>119</v>
      </c>
      <c r="MM38" s="16">
        <v>1063</v>
      </c>
      <c r="MN38" s="16">
        <v>379</v>
      </c>
      <c r="MO38" s="16">
        <v>586</v>
      </c>
      <c r="MP38" s="16">
        <v>4729</v>
      </c>
      <c r="MQ38" s="16">
        <v>3156</v>
      </c>
      <c r="MR38" s="16">
        <v>57483</v>
      </c>
      <c r="MS38" s="16">
        <v>8408</v>
      </c>
      <c r="MT38" s="16">
        <v>370</v>
      </c>
      <c r="MU38" s="16">
        <v>202381</v>
      </c>
      <c r="MV38" s="16">
        <v>756</v>
      </c>
      <c r="MW38" s="16">
        <v>1419</v>
      </c>
      <c r="MX38" s="16">
        <v>100</v>
      </c>
      <c r="MY38" s="16">
        <v>118</v>
      </c>
      <c r="MZ38" s="16">
        <v>1128</v>
      </c>
      <c r="NA38" s="16">
        <v>481</v>
      </c>
      <c r="NB38" s="16">
        <v>385117</v>
      </c>
      <c r="NC38" s="16">
        <v>240</v>
      </c>
      <c r="ND38" s="16">
        <v>160</v>
      </c>
      <c r="NE38" s="16">
        <v>45</v>
      </c>
      <c r="NF38" s="16">
        <v>196</v>
      </c>
      <c r="NG38" s="16">
        <v>4881</v>
      </c>
      <c r="NH38" s="16">
        <v>3540</v>
      </c>
      <c r="NI38" s="16">
        <v>2237</v>
      </c>
      <c r="NJ38" s="16">
        <v>10184</v>
      </c>
      <c r="NK38" s="16">
        <v>168</v>
      </c>
      <c r="NL38" s="16">
        <v>10</v>
      </c>
      <c r="NM38" s="16">
        <v>214</v>
      </c>
      <c r="NN38" s="16">
        <v>186</v>
      </c>
      <c r="NO38" s="16">
        <v>0</v>
      </c>
      <c r="NP38" s="16">
        <v>297</v>
      </c>
      <c r="NQ38" s="16">
        <v>1934</v>
      </c>
      <c r="NR38" s="17">
        <v>4287363</v>
      </c>
    </row>
    <row r="39" spans="1:382" ht="13.5" customHeight="1" x14ac:dyDescent="0.2">
      <c r="A39" s="2" t="s">
        <v>85</v>
      </c>
      <c r="B39" s="16">
        <v>37</v>
      </c>
      <c r="C39" s="16">
        <v>17</v>
      </c>
      <c r="D39" s="16">
        <v>10</v>
      </c>
      <c r="E39" s="16">
        <v>2</v>
      </c>
      <c r="F39" s="16">
        <v>51</v>
      </c>
      <c r="G39" s="16">
        <v>22</v>
      </c>
      <c r="H39" s="16">
        <v>5</v>
      </c>
      <c r="I39" s="16">
        <v>9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792</v>
      </c>
      <c r="P39" s="16">
        <v>15846</v>
      </c>
      <c r="Q39" s="16">
        <v>13155</v>
      </c>
      <c r="R39" s="16">
        <v>13</v>
      </c>
      <c r="S39" s="16">
        <v>14</v>
      </c>
      <c r="T39" s="16">
        <v>1</v>
      </c>
      <c r="U39" s="16">
        <v>3</v>
      </c>
      <c r="V39" s="16">
        <v>0</v>
      </c>
      <c r="W39" s="16">
        <v>0</v>
      </c>
      <c r="X39" s="16">
        <v>19</v>
      </c>
      <c r="Y39" s="16">
        <v>61</v>
      </c>
      <c r="Z39" s="16">
        <v>50</v>
      </c>
      <c r="AA39" s="16">
        <v>1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68</v>
      </c>
      <c r="AH39" s="16">
        <v>55</v>
      </c>
      <c r="AI39" s="16">
        <v>8</v>
      </c>
      <c r="AJ39" s="16">
        <v>22</v>
      </c>
      <c r="AK39" s="16">
        <v>26</v>
      </c>
      <c r="AL39" s="16">
        <v>3405</v>
      </c>
      <c r="AM39" s="16">
        <v>1140794</v>
      </c>
      <c r="AN39" s="16">
        <v>1059</v>
      </c>
      <c r="AO39" s="16">
        <v>536</v>
      </c>
      <c r="AP39" s="16">
        <v>3</v>
      </c>
      <c r="AQ39" s="16">
        <v>11</v>
      </c>
      <c r="AR39" s="16">
        <v>0</v>
      </c>
      <c r="AS39" s="16">
        <v>27</v>
      </c>
      <c r="AT39" s="16">
        <v>9</v>
      </c>
      <c r="AU39" s="16">
        <v>427175</v>
      </c>
      <c r="AV39" s="16">
        <v>11105</v>
      </c>
      <c r="AW39" s="16">
        <v>122053</v>
      </c>
      <c r="AX39" s="16">
        <v>4402</v>
      </c>
      <c r="AY39" s="16">
        <v>27330</v>
      </c>
      <c r="AZ39" s="16">
        <v>72923</v>
      </c>
      <c r="BA39" s="16">
        <v>9401</v>
      </c>
      <c r="BB39" s="16">
        <v>405757</v>
      </c>
      <c r="BC39" s="16">
        <v>41806</v>
      </c>
      <c r="BD39" s="16">
        <v>1</v>
      </c>
      <c r="BE39" s="16">
        <v>15</v>
      </c>
      <c r="BF39" s="16">
        <v>46</v>
      </c>
      <c r="BG39" s="16">
        <v>13</v>
      </c>
      <c r="BH39" s="16">
        <v>36965</v>
      </c>
      <c r="BI39" s="16">
        <v>20</v>
      </c>
      <c r="BJ39" s="16">
        <v>101</v>
      </c>
      <c r="BK39" s="16">
        <v>5</v>
      </c>
      <c r="BL39" s="16">
        <v>100</v>
      </c>
      <c r="BM39" s="16">
        <v>4</v>
      </c>
      <c r="BN39" s="16">
        <v>26</v>
      </c>
      <c r="BO39" s="16">
        <v>38</v>
      </c>
      <c r="BP39" s="16">
        <v>13</v>
      </c>
      <c r="BQ39" s="16">
        <v>14</v>
      </c>
      <c r="BR39" s="16">
        <v>6</v>
      </c>
      <c r="BS39" s="16">
        <v>43</v>
      </c>
      <c r="BT39" s="16">
        <v>0</v>
      </c>
      <c r="BU39" s="16">
        <v>0</v>
      </c>
      <c r="BV39" s="16">
        <v>0</v>
      </c>
      <c r="BW39" s="16">
        <v>310</v>
      </c>
      <c r="BX39" s="16">
        <v>2</v>
      </c>
      <c r="BY39" s="16">
        <v>0</v>
      </c>
      <c r="BZ39" s="16">
        <v>0</v>
      </c>
      <c r="CA39" s="16">
        <v>3</v>
      </c>
      <c r="CB39" s="16">
        <v>3</v>
      </c>
      <c r="CC39" s="16">
        <v>41</v>
      </c>
      <c r="CD39" s="16">
        <v>7</v>
      </c>
      <c r="CE39" s="16">
        <v>6</v>
      </c>
      <c r="CF39" s="16">
        <v>28</v>
      </c>
      <c r="CG39" s="16">
        <v>16</v>
      </c>
      <c r="CH39" s="16">
        <v>2</v>
      </c>
      <c r="CI39" s="16">
        <v>0</v>
      </c>
      <c r="CJ39" s="16">
        <v>0</v>
      </c>
      <c r="CK39" s="16">
        <v>1188</v>
      </c>
      <c r="CL39" s="16">
        <v>953</v>
      </c>
      <c r="CM39" s="16">
        <v>13</v>
      </c>
      <c r="CN39" s="16">
        <v>5</v>
      </c>
      <c r="CO39" s="16">
        <v>13</v>
      </c>
      <c r="CP39" s="16">
        <v>31</v>
      </c>
      <c r="CQ39" s="16">
        <v>133</v>
      </c>
      <c r="CR39" s="16">
        <v>15</v>
      </c>
      <c r="CS39" s="16">
        <v>10</v>
      </c>
      <c r="CT39" s="16">
        <v>4</v>
      </c>
      <c r="CU39" s="16">
        <v>10</v>
      </c>
      <c r="CV39" s="16">
        <v>15</v>
      </c>
      <c r="CW39" s="16">
        <v>48</v>
      </c>
      <c r="CX39" s="16">
        <v>59</v>
      </c>
      <c r="CY39" s="16">
        <v>3</v>
      </c>
      <c r="CZ39" s="16">
        <v>12</v>
      </c>
      <c r="DA39" s="16">
        <v>1</v>
      </c>
      <c r="DB39" s="16">
        <v>10</v>
      </c>
      <c r="DC39" s="16">
        <v>12</v>
      </c>
      <c r="DD39" s="16">
        <v>12</v>
      </c>
      <c r="DE39" s="16">
        <v>12</v>
      </c>
      <c r="DF39" s="16">
        <v>12</v>
      </c>
      <c r="DG39" s="16">
        <v>7</v>
      </c>
      <c r="DH39" s="16">
        <v>18</v>
      </c>
      <c r="DI39" s="16">
        <v>5</v>
      </c>
      <c r="DJ39" s="16">
        <v>156</v>
      </c>
      <c r="DK39" s="16">
        <v>9</v>
      </c>
      <c r="DL39" s="16">
        <v>0</v>
      </c>
      <c r="DM39" s="16">
        <v>17186</v>
      </c>
      <c r="DN39" s="16">
        <v>7</v>
      </c>
      <c r="DO39" s="16">
        <v>11</v>
      </c>
      <c r="DP39" s="16">
        <v>29</v>
      </c>
      <c r="DQ39" s="16">
        <v>6</v>
      </c>
      <c r="DR39" s="16">
        <v>708</v>
      </c>
      <c r="DS39" s="16">
        <v>13014</v>
      </c>
      <c r="DT39" s="16">
        <v>7</v>
      </c>
      <c r="DU39" s="16">
        <v>0</v>
      </c>
      <c r="DV39" s="16">
        <v>5</v>
      </c>
      <c r="DW39" s="16">
        <v>37</v>
      </c>
      <c r="DX39" s="16">
        <v>47</v>
      </c>
      <c r="DY39" s="16">
        <v>27</v>
      </c>
      <c r="DZ39" s="16">
        <v>83</v>
      </c>
      <c r="EA39" s="16">
        <v>6</v>
      </c>
      <c r="EB39" s="16">
        <v>4</v>
      </c>
      <c r="EC39" s="16">
        <v>24</v>
      </c>
      <c r="ED39" s="16">
        <v>5</v>
      </c>
      <c r="EE39" s="16">
        <v>1</v>
      </c>
      <c r="EF39" s="16">
        <v>1</v>
      </c>
      <c r="EG39" s="16">
        <v>38</v>
      </c>
      <c r="EH39" s="16">
        <v>3</v>
      </c>
      <c r="EI39" s="16">
        <v>9</v>
      </c>
      <c r="EJ39" s="16">
        <v>127</v>
      </c>
      <c r="EK39" s="16">
        <v>5</v>
      </c>
      <c r="EL39" s="16">
        <v>3</v>
      </c>
      <c r="EM39" s="16">
        <v>6</v>
      </c>
      <c r="EN39" s="16">
        <v>49</v>
      </c>
      <c r="EO39" s="16">
        <v>50</v>
      </c>
      <c r="EP39" s="16">
        <v>5</v>
      </c>
      <c r="EQ39" s="16">
        <v>131</v>
      </c>
      <c r="ER39" s="16">
        <v>2</v>
      </c>
      <c r="ES39" s="16">
        <v>2</v>
      </c>
      <c r="ET39" s="16">
        <v>28</v>
      </c>
      <c r="EU39" s="16">
        <v>36</v>
      </c>
      <c r="EV39" s="16">
        <v>3</v>
      </c>
      <c r="EW39" s="16">
        <v>11</v>
      </c>
      <c r="EX39" s="16">
        <v>209</v>
      </c>
      <c r="EY39" s="16">
        <v>11</v>
      </c>
      <c r="EZ39" s="16">
        <v>1</v>
      </c>
      <c r="FA39" s="16">
        <v>4</v>
      </c>
      <c r="FB39" s="16">
        <v>29</v>
      </c>
      <c r="FC39" s="16">
        <v>4</v>
      </c>
      <c r="FD39" s="16">
        <v>52</v>
      </c>
      <c r="FE39" s="16">
        <v>6</v>
      </c>
      <c r="FF39" s="16">
        <v>11</v>
      </c>
      <c r="FG39" s="16">
        <v>57</v>
      </c>
      <c r="FH39" s="16">
        <v>3</v>
      </c>
      <c r="FI39" s="16">
        <v>55</v>
      </c>
      <c r="FJ39" s="16">
        <v>4</v>
      </c>
      <c r="FK39" s="16">
        <v>7</v>
      </c>
      <c r="FL39" s="16">
        <v>9</v>
      </c>
      <c r="FM39" s="16">
        <v>43</v>
      </c>
      <c r="FN39" s="16">
        <v>310</v>
      </c>
      <c r="FO39" s="16">
        <v>17</v>
      </c>
      <c r="FP39" s="16">
        <v>47</v>
      </c>
      <c r="FQ39" s="16">
        <v>423</v>
      </c>
      <c r="FR39" s="16">
        <v>74</v>
      </c>
      <c r="FS39" s="16">
        <v>90</v>
      </c>
      <c r="FT39" s="16">
        <v>19</v>
      </c>
      <c r="FU39" s="16">
        <v>33</v>
      </c>
      <c r="FV39" s="16">
        <v>376</v>
      </c>
      <c r="FW39" s="16">
        <v>131</v>
      </c>
      <c r="FX39" s="16">
        <v>114</v>
      </c>
      <c r="FY39" s="16">
        <v>18</v>
      </c>
      <c r="FZ39" s="16">
        <v>51</v>
      </c>
      <c r="GA39" s="16">
        <v>15</v>
      </c>
      <c r="GB39" s="16">
        <v>477</v>
      </c>
      <c r="GC39" s="16">
        <v>62</v>
      </c>
      <c r="GD39" s="16">
        <v>993</v>
      </c>
      <c r="GE39" s="16">
        <v>2</v>
      </c>
      <c r="GF39" s="16">
        <v>81</v>
      </c>
      <c r="GG39" s="16">
        <v>0</v>
      </c>
      <c r="GH39" s="16">
        <v>8</v>
      </c>
      <c r="GI39" s="16">
        <v>3</v>
      </c>
      <c r="GJ39" s="16">
        <v>10</v>
      </c>
      <c r="GK39" s="16">
        <v>3</v>
      </c>
      <c r="GL39" s="16">
        <v>6</v>
      </c>
      <c r="GM39" s="16">
        <v>118</v>
      </c>
      <c r="GN39" s="16">
        <v>4</v>
      </c>
      <c r="GO39" s="16">
        <v>27</v>
      </c>
      <c r="GP39" s="16">
        <v>3</v>
      </c>
      <c r="GQ39" s="16">
        <v>1</v>
      </c>
      <c r="GR39" s="16">
        <v>4</v>
      </c>
      <c r="GS39" s="16">
        <v>4</v>
      </c>
      <c r="GT39" s="16">
        <v>3</v>
      </c>
      <c r="GU39" s="16">
        <v>10</v>
      </c>
      <c r="GV39" s="16">
        <v>7</v>
      </c>
      <c r="GW39" s="16">
        <v>7</v>
      </c>
      <c r="GX39" s="16">
        <v>2</v>
      </c>
      <c r="GY39" s="16">
        <v>1</v>
      </c>
      <c r="GZ39" s="16">
        <v>8</v>
      </c>
      <c r="HA39" s="16">
        <v>5</v>
      </c>
      <c r="HB39" s="16">
        <v>6</v>
      </c>
      <c r="HC39" s="16">
        <v>25</v>
      </c>
      <c r="HD39" s="16">
        <v>28</v>
      </c>
      <c r="HE39" s="16">
        <v>3</v>
      </c>
      <c r="HF39" s="16">
        <v>17</v>
      </c>
      <c r="HG39" s="16">
        <v>9</v>
      </c>
      <c r="HH39" s="16">
        <v>6</v>
      </c>
      <c r="HI39" s="16">
        <v>8</v>
      </c>
      <c r="HJ39" s="16">
        <v>8</v>
      </c>
      <c r="HK39" s="16">
        <v>5</v>
      </c>
      <c r="HL39" s="16">
        <v>28</v>
      </c>
      <c r="HM39" s="16">
        <v>14</v>
      </c>
      <c r="HN39" s="16">
        <v>434</v>
      </c>
      <c r="HO39" s="16">
        <v>104</v>
      </c>
      <c r="HP39" s="16">
        <v>14</v>
      </c>
      <c r="HQ39" s="16">
        <v>208</v>
      </c>
      <c r="HR39" s="16">
        <v>23</v>
      </c>
      <c r="HS39" s="16">
        <v>113</v>
      </c>
      <c r="HT39" s="16">
        <v>3</v>
      </c>
      <c r="HU39" s="16">
        <v>98</v>
      </c>
      <c r="HV39" s="16">
        <v>9</v>
      </c>
      <c r="HW39" s="16">
        <v>13</v>
      </c>
      <c r="HX39" s="16">
        <v>66</v>
      </c>
      <c r="HY39" s="16">
        <v>65</v>
      </c>
      <c r="HZ39" s="16">
        <v>73</v>
      </c>
      <c r="IA39" s="16">
        <v>20</v>
      </c>
      <c r="IB39" s="16">
        <v>3</v>
      </c>
      <c r="IC39" s="16">
        <v>148</v>
      </c>
      <c r="ID39" s="16">
        <v>9</v>
      </c>
      <c r="IE39" s="16">
        <v>1</v>
      </c>
      <c r="IF39" s="16">
        <v>23</v>
      </c>
      <c r="IG39" s="16">
        <v>119</v>
      </c>
      <c r="IH39" s="16">
        <v>15</v>
      </c>
      <c r="II39" s="16">
        <v>4</v>
      </c>
      <c r="IJ39" s="16">
        <v>4</v>
      </c>
      <c r="IK39" s="16">
        <v>10</v>
      </c>
      <c r="IL39" s="16">
        <v>2</v>
      </c>
      <c r="IM39" s="16">
        <v>1</v>
      </c>
      <c r="IN39" s="16">
        <v>2</v>
      </c>
      <c r="IO39" s="16">
        <v>57</v>
      </c>
      <c r="IP39" s="16">
        <v>2</v>
      </c>
      <c r="IQ39" s="16">
        <v>1</v>
      </c>
      <c r="IR39" s="16">
        <v>10</v>
      </c>
      <c r="IS39" s="16">
        <v>3</v>
      </c>
      <c r="IT39" s="16">
        <v>1</v>
      </c>
      <c r="IU39" s="16">
        <v>2</v>
      </c>
      <c r="IV39" s="16">
        <v>2</v>
      </c>
      <c r="IW39" s="16">
        <v>17</v>
      </c>
      <c r="IX39" s="16">
        <v>6</v>
      </c>
      <c r="IY39" s="16">
        <v>24</v>
      </c>
      <c r="IZ39" s="16">
        <v>0</v>
      </c>
      <c r="JA39" s="16">
        <v>49</v>
      </c>
      <c r="JB39" s="16">
        <v>2</v>
      </c>
      <c r="JC39" s="16">
        <v>3</v>
      </c>
      <c r="JD39" s="16">
        <v>1</v>
      </c>
      <c r="JE39" s="16">
        <v>12</v>
      </c>
      <c r="JF39" s="16">
        <v>618</v>
      </c>
      <c r="JG39" s="16">
        <v>47855</v>
      </c>
      <c r="JH39" s="16">
        <v>159</v>
      </c>
      <c r="JI39" s="16">
        <v>12</v>
      </c>
      <c r="JJ39" s="16">
        <v>14</v>
      </c>
      <c r="JK39" s="16">
        <v>14</v>
      </c>
      <c r="JL39" s="16">
        <v>5</v>
      </c>
      <c r="JM39" s="16">
        <v>1</v>
      </c>
      <c r="JN39" s="16">
        <v>6</v>
      </c>
      <c r="JO39" s="16">
        <v>13</v>
      </c>
      <c r="JP39" s="16">
        <v>103</v>
      </c>
      <c r="JQ39" s="16">
        <v>37</v>
      </c>
      <c r="JR39" s="16">
        <v>5317</v>
      </c>
      <c r="JS39" s="16">
        <v>1411</v>
      </c>
      <c r="JT39" s="16">
        <v>0</v>
      </c>
      <c r="JU39" s="16">
        <v>2245</v>
      </c>
      <c r="JV39" s="16">
        <v>139</v>
      </c>
      <c r="JW39" s="16">
        <v>39</v>
      </c>
      <c r="JX39" s="16">
        <v>57</v>
      </c>
      <c r="JY39" s="16">
        <v>41</v>
      </c>
      <c r="JZ39" s="16">
        <v>33</v>
      </c>
      <c r="KA39" s="16">
        <v>2</v>
      </c>
      <c r="KB39" s="16">
        <v>1</v>
      </c>
      <c r="KC39" s="16">
        <v>9</v>
      </c>
      <c r="KD39" s="16">
        <v>14</v>
      </c>
      <c r="KE39" s="16">
        <v>3</v>
      </c>
      <c r="KF39" s="16">
        <v>17</v>
      </c>
      <c r="KG39" s="16">
        <v>18</v>
      </c>
      <c r="KH39" s="16">
        <v>2</v>
      </c>
      <c r="KI39" s="16">
        <v>8</v>
      </c>
      <c r="KJ39" s="16">
        <v>22</v>
      </c>
      <c r="KK39" s="16">
        <v>15223</v>
      </c>
      <c r="KL39" s="16">
        <v>3</v>
      </c>
      <c r="KM39" s="16">
        <v>25</v>
      </c>
      <c r="KN39" s="16">
        <v>6</v>
      </c>
      <c r="KO39" s="16">
        <v>14</v>
      </c>
      <c r="KP39" s="16">
        <v>21</v>
      </c>
      <c r="KQ39" s="16">
        <v>7</v>
      </c>
      <c r="KR39" s="16">
        <v>34</v>
      </c>
      <c r="KS39" s="16">
        <v>31</v>
      </c>
      <c r="KT39" s="16">
        <v>16</v>
      </c>
      <c r="KU39" s="16">
        <v>134</v>
      </c>
      <c r="KV39" s="16">
        <v>11</v>
      </c>
      <c r="KW39" s="16">
        <v>114</v>
      </c>
      <c r="KX39" s="16">
        <v>1</v>
      </c>
      <c r="KY39" s="16">
        <v>35</v>
      </c>
      <c r="KZ39" s="16">
        <v>1101902</v>
      </c>
      <c r="LA39" s="16">
        <v>1173581</v>
      </c>
      <c r="LB39" s="16">
        <v>165424</v>
      </c>
      <c r="LC39" s="16">
        <v>738592</v>
      </c>
      <c r="LD39" s="16">
        <v>7876</v>
      </c>
      <c r="LE39" s="16">
        <v>94</v>
      </c>
      <c r="LF39" s="16">
        <v>10</v>
      </c>
      <c r="LG39" s="16">
        <v>8</v>
      </c>
      <c r="LH39" s="16">
        <v>233</v>
      </c>
      <c r="LI39" s="16">
        <v>21</v>
      </c>
      <c r="LJ39" s="16">
        <v>9</v>
      </c>
      <c r="LK39" s="16">
        <v>579</v>
      </c>
      <c r="LL39" s="16">
        <v>1238</v>
      </c>
      <c r="LM39" s="16">
        <v>2185</v>
      </c>
      <c r="LN39" s="16">
        <v>161</v>
      </c>
      <c r="LO39" s="16">
        <v>19</v>
      </c>
      <c r="LP39" s="16">
        <v>51</v>
      </c>
      <c r="LQ39" s="16">
        <v>8</v>
      </c>
      <c r="LR39" s="16">
        <v>157</v>
      </c>
      <c r="LS39" s="16">
        <v>233</v>
      </c>
      <c r="LT39" s="16">
        <v>74</v>
      </c>
      <c r="LU39" s="16">
        <v>39</v>
      </c>
      <c r="LV39" s="16">
        <v>5</v>
      </c>
      <c r="LW39" s="16">
        <v>30</v>
      </c>
      <c r="LX39" s="16">
        <v>46</v>
      </c>
      <c r="LY39" s="16">
        <v>0</v>
      </c>
      <c r="LZ39" s="16">
        <v>41</v>
      </c>
      <c r="MA39" s="16">
        <v>31</v>
      </c>
      <c r="MB39" s="16">
        <v>127</v>
      </c>
      <c r="MC39" s="16">
        <v>110</v>
      </c>
      <c r="MD39" s="16">
        <v>6</v>
      </c>
      <c r="ME39" s="16">
        <v>28</v>
      </c>
      <c r="MF39" s="16">
        <v>37794</v>
      </c>
      <c r="MG39" s="16">
        <v>2283</v>
      </c>
      <c r="MH39" s="16">
        <v>757</v>
      </c>
      <c r="MI39" s="16">
        <v>92</v>
      </c>
      <c r="MJ39" s="16">
        <v>91</v>
      </c>
      <c r="MK39" s="16">
        <v>316</v>
      </c>
      <c r="ML39" s="16">
        <v>48</v>
      </c>
      <c r="MM39" s="16">
        <v>4878</v>
      </c>
      <c r="MN39" s="16">
        <v>106</v>
      </c>
      <c r="MO39" s="16">
        <v>1617</v>
      </c>
      <c r="MP39" s="16">
        <v>1701</v>
      </c>
      <c r="MQ39" s="16">
        <v>2366</v>
      </c>
      <c r="MR39" s="16">
        <v>257285</v>
      </c>
      <c r="MS39" s="16">
        <v>2879</v>
      </c>
      <c r="MT39" s="16">
        <v>121</v>
      </c>
      <c r="MU39" s="16">
        <v>117486</v>
      </c>
      <c r="MV39" s="16">
        <v>204</v>
      </c>
      <c r="MW39" s="16">
        <v>384</v>
      </c>
      <c r="MX39" s="16">
        <v>28</v>
      </c>
      <c r="MY39" s="16">
        <v>31</v>
      </c>
      <c r="MZ39" s="16">
        <v>304</v>
      </c>
      <c r="NA39" s="16">
        <v>158</v>
      </c>
      <c r="NB39" s="16">
        <v>84615</v>
      </c>
      <c r="NC39" s="16">
        <v>81</v>
      </c>
      <c r="ND39" s="16">
        <v>43</v>
      </c>
      <c r="NE39" s="16">
        <v>2850</v>
      </c>
      <c r="NF39" s="16">
        <v>12151</v>
      </c>
      <c r="NG39" s="16">
        <v>44225</v>
      </c>
      <c r="NH39" s="16">
        <v>18768</v>
      </c>
      <c r="NI39" s="16">
        <v>16323</v>
      </c>
      <c r="NJ39" s="16">
        <v>2752</v>
      </c>
      <c r="NK39" s="16">
        <v>232</v>
      </c>
      <c r="NL39" s="16">
        <v>3</v>
      </c>
      <c r="NM39" s="16">
        <v>59</v>
      </c>
      <c r="NN39" s="16">
        <v>52</v>
      </c>
      <c r="NO39" s="16">
        <v>0</v>
      </c>
      <c r="NP39" s="16">
        <v>581</v>
      </c>
      <c r="NQ39" s="16">
        <v>347</v>
      </c>
      <c r="NR39" s="17">
        <v>6257217</v>
      </c>
    </row>
    <row r="40" spans="1:382" ht="13.5" customHeight="1" x14ac:dyDescent="0.2">
      <c r="A40" s="2" t="s">
        <v>87</v>
      </c>
      <c r="B40" s="16">
        <v>81</v>
      </c>
      <c r="C40" s="16">
        <v>37</v>
      </c>
      <c r="D40" s="16">
        <v>23</v>
      </c>
      <c r="E40" s="16">
        <v>0</v>
      </c>
      <c r="F40" s="16">
        <v>127</v>
      </c>
      <c r="G40" s="16">
        <v>55</v>
      </c>
      <c r="H40" s="16">
        <v>16</v>
      </c>
      <c r="I40" s="16">
        <v>20</v>
      </c>
      <c r="J40" s="16">
        <v>0</v>
      </c>
      <c r="K40" s="16">
        <v>0</v>
      </c>
      <c r="L40" s="16">
        <v>5</v>
      </c>
      <c r="M40" s="16">
        <v>0</v>
      </c>
      <c r="N40" s="16">
        <v>0</v>
      </c>
      <c r="O40" s="16">
        <v>1</v>
      </c>
      <c r="P40" s="16">
        <v>107</v>
      </c>
      <c r="Q40" s="16">
        <v>105</v>
      </c>
      <c r="R40" s="16">
        <v>36</v>
      </c>
      <c r="S40" s="16">
        <v>30</v>
      </c>
      <c r="T40" s="16">
        <v>2</v>
      </c>
      <c r="U40" s="16">
        <v>0</v>
      </c>
      <c r="V40" s="16">
        <v>3</v>
      </c>
      <c r="W40" s="16">
        <v>0</v>
      </c>
      <c r="X40" s="16">
        <v>47</v>
      </c>
      <c r="Y40" s="16">
        <v>150</v>
      </c>
      <c r="Z40" s="16">
        <v>127</v>
      </c>
      <c r="AA40" s="16">
        <v>2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166</v>
      </c>
      <c r="AH40" s="16">
        <v>130</v>
      </c>
      <c r="AI40" s="16">
        <v>15</v>
      </c>
      <c r="AJ40" s="16">
        <v>47</v>
      </c>
      <c r="AK40" s="16">
        <v>22</v>
      </c>
      <c r="AL40" s="16">
        <v>23438</v>
      </c>
      <c r="AM40" s="16">
        <v>1021</v>
      </c>
      <c r="AN40" s="16">
        <v>1002711</v>
      </c>
      <c r="AO40" s="16">
        <v>287583</v>
      </c>
      <c r="AP40" s="16">
        <v>8</v>
      </c>
      <c r="AQ40" s="16">
        <v>29</v>
      </c>
      <c r="AR40" s="16">
        <v>0</v>
      </c>
      <c r="AS40" s="16">
        <v>64</v>
      </c>
      <c r="AT40" s="16">
        <v>86</v>
      </c>
      <c r="AU40" s="16">
        <v>35954</v>
      </c>
      <c r="AV40" s="16">
        <v>45338</v>
      </c>
      <c r="AW40" s="16">
        <v>208922</v>
      </c>
      <c r="AX40" s="16">
        <v>118</v>
      </c>
      <c r="AY40" s="16">
        <v>1827</v>
      </c>
      <c r="AZ40" s="16">
        <v>8258</v>
      </c>
      <c r="BA40" s="16">
        <v>65168</v>
      </c>
      <c r="BB40" s="16">
        <v>372216</v>
      </c>
      <c r="BC40" s="16">
        <v>53491</v>
      </c>
      <c r="BD40" s="16">
        <v>0</v>
      </c>
      <c r="BE40" s="16">
        <v>41</v>
      </c>
      <c r="BF40" s="16">
        <v>112</v>
      </c>
      <c r="BG40" s="16">
        <v>34</v>
      </c>
      <c r="BH40" s="16">
        <v>201</v>
      </c>
      <c r="BI40" s="16">
        <v>49</v>
      </c>
      <c r="BJ40" s="16">
        <v>12</v>
      </c>
      <c r="BK40" s="16">
        <v>10</v>
      </c>
      <c r="BL40" s="16">
        <v>73</v>
      </c>
      <c r="BM40" s="16">
        <v>7</v>
      </c>
      <c r="BN40" s="16">
        <v>70</v>
      </c>
      <c r="BO40" s="16">
        <v>47</v>
      </c>
      <c r="BP40" s="16">
        <v>32</v>
      </c>
      <c r="BQ40" s="16">
        <v>34</v>
      </c>
      <c r="BR40" s="16">
        <v>8</v>
      </c>
      <c r="BS40" s="16">
        <v>80</v>
      </c>
      <c r="BT40" s="16">
        <v>2</v>
      </c>
      <c r="BU40" s="16">
        <v>0</v>
      </c>
      <c r="BV40" s="16">
        <v>0</v>
      </c>
      <c r="BW40" s="16">
        <v>18</v>
      </c>
      <c r="BX40" s="16">
        <v>4</v>
      </c>
      <c r="BY40" s="16">
        <v>0</v>
      </c>
      <c r="BZ40" s="16">
        <v>3</v>
      </c>
      <c r="CA40" s="16">
        <v>8</v>
      </c>
      <c r="CB40" s="16">
        <v>0</v>
      </c>
      <c r="CC40" s="16">
        <v>100</v>
      </c>
      <c r="CD40" s="16">
        <v>21</v>
      </c>
      <c r="CE40" s="16">
        <v>15</v>
      </c>
      <c r="CF40" s="16">
        <v>45</v>
      </c>
      <c r="CG40" s="16">
        <v>11</v>
      </c>
      <c r="CH40" s="16">
        <v>12</v>
      </c>
      <c r="CI40" s="16">
        <v>0</v>
      </c>
      <c r="CJ40" s="16">
        <v>0</v>
      </c>
      <c r="CK40" s="16">
        <v>49</v>
      </c>
      <c r="CL40" s="16">
        <v>61</v>
      </c>
      <c r="CM40" s="16">
        <v>32</v>
      </c>
      <c r="CN40" s="16">
        <v>0</v>
      </c>
      <c r="CO40" s="16">
        <v>31</v>
      </c>
      <c r="CP40" s="16">
        <v>0</v>
      </c>
      <c r="CQ40" s="16">
        <v>334</v>
      </c>
      <c r="CR40" s="16">
        <v>37</v>
      </c>
      <c r="CS40" s="16">
        <v>26</v>
      </c>
      <c r="CT40" s="16">
        <v>10</v>
      </c>
      <c r="CU40" s="16">
        <v>25</v>
      </c>
      <c r="CV40" s="16">
        <v>33</v>
      </c>
      <c r="CW40" s="16">
        <v>118</v>
      </c>
      <c r="CX40" s="16">
        <v>141</v>
      </c>
      <c r="CY40" s="16">
        <v>7</v>
      </c>
      <c r="CZ40" s="16">
        <v>37</v>
      </c>
      <c r="DA40" s="16">
        <v>4</v>
      </c>
      <c r="DB40" s="16">
        <v>25</v>
      </c>
      <c r="DC40" s="16">
        <v>30</v>
      </c>
      <c r="DD40" s="16">
        <v>34</v>
      </c>
      <c r="DE40" s="16">
        <v>31</v>
      </c>
      <c r="DF40" s="16">
        <v>31</v>
      </c>
      <c r="DG40" s="16">
        <v>27</v>
      </c>
      <c r="DH40" s="16">
        <v>47</v>
      </c>
      <c r="DI40" s="16">
        <v>12</v>
      </c>
      <c r="DJ40" s="16">
        <v>392</v>
      </c>
      <c r="DK40" s="16">
        <v>21</v>
      </c>
      <c r="DL40" s="16">
        <v>57</v>
      </c>
      <c r="DM40" s="16">
        <v>5659</v>
      </c>
      <c r="DN40" s="16">
        <v>20</v>
      </c>
      <c r="DO40" s="16">
        <v>32</v>
      </c>
      <c r="DP40" s="16">
        <v>70</v>
      </c>
      <c r="DQ40" s="16">
        <v>13</v>
      </c>
      <c r="DR40" s="16">
        <v>18</v>
      </c>
      <c r="DS40" s="16">
        <v>1962</v>
      </c>
      <c r="DT40" s="16">
        <v>20</v>
      </c>
      <c r="DU40" s="16">
        <v>0</v>
      </c>
      <c r="DV40" s="16">
        <v>12</v>
      </c>
      <c r="DW40" s="16">
        <v>93</v>
      </c>
      <c r="DX40" s="16">
        <v>118</v>
      </c>
      <c r="DY40" s="16">
        <v>70</v>
      </c>
      <c r="DZ40" s="16">
        <v>214</v>
      </c>
      <c r="EA40" s="16">
        <v>12</v>
      </c>
      <c r="EB40" s="16">
        <v>10</v>
      </c>
      <c r="EC40" s="16">
        <v>59</v>
      </c>
      <c r="ED40" s="16">
        <v>10</v>
      </c>
      <c r="EE40" s="16">
        <v>1</v>
      </c>
      <c r="EF40" s="16">
        <v>3</v>
      </c>
      <c r="EG40" s="16">
        <v>17</v>
      </c>
      <c r="EH40" s="16">
        <v>0</v>
      </c>
      <c r="EI40" s="16">
        <v>25</v>
      </c>
      <c r="EJ40" s="16">
        <v>9</v>
      </c>
      <c r="EK40" s="16">
        <v>14</v>
      </c>
      <c r="EL40" s="16">
        <v>5</v>
      </c>
      <c r="EM40" s="16">
        <v>16</v>
      </c>
      <c r="EN40" s="16">
        <v>122</v>
      </c>
      <c r="EO40" s="16">
        <v>38</v>
      </c>
      <c r="EP40" s="16">
        <v>12</v>
      </c>
      <c r="EQ40" s="16">
        <v>39</v>
      </c>
      <c r="ER40" s="16">
        <v>4</v>
      </c>
      <c r="ES40" s="16">
        <v>4</v>
      </c>
      <c r="ET40" s="16">
        <v>60</v>
      </c>
      <c r="EU40" s="16">
        <v>88</v>
      </c>
      <c r="EV40" s="16">
        <v>11</v>
      </c>
      <c r="EW40" s="16">
        <v>24</v>
      </c>
      <c r="EX40" s="16">
        <v>206</v>
      </c>
      <c r="EY40" s="16">
        <v>27</v>
      </c>
      <c r="EZ40" s="16">
        <v>2</v>
      </c>
      <c r="FA40" s="16">
        <v>9</v>
      </c>
      <c r="FB40" s="16">
        <v>26</v>
      </c>
      <c r="FC40" s="16">
        <v>1</v>
      </c>
      <c r="FD40" s="16">
        <v>34</v>
      </c>
      <c r="FE40" s="16">
        <v>14</v>
      </c>
      <c r="FF40" s="16">
        <v>26</v>
      </c>
      <c r="FG40" s="16">
        <v>28</v>
      </c>
      <c r="FH40" s="16">
        <v>7</v>
      </c>
      <c r="FI40" s="16">
        <v>34</v>
      </c>
      <c r="FJ40" s="16">
        <v>7</v>
      </c>
      <c r="FK40" s="16">
        <v>17</v>
      </c>
      <c r="FL40" s="16">
        <v>22</v>
      </c>
      <c r="FM40" s="16">
        <v>24</v>
      </c>
      <c r="FN40" s="16">
        <v>85</v>
      </c>
      <c r="FO40" s="16">
        <v>46</v>
      </c>
      <c r="FP40" s="16">
        <v>36</v>
      </c>
      <c r="FQ40" s="16">
        <v>559</v>
      </c>
      <c r="FR40" s="16">
        <v>225</v>
      </c>
      <c r="FS40" s="16">
        <v>38</v>
      </c>
      <c r="FT40" s="16">
        <v>52</v>
      </c>
      <c r="FU40" s="16">
        <v>85</v>
      </c>
      <c r="FV40" s="16">
        <v>63</v>
      </c>
      <c r="FW40" s="16">
        <v>122</v>
      </c>
      <c r="FX40" s="16">
        <v>200</v>
      </c>
      <c r="FY40" s="16">
        <v>19</v>
      </c>
      <c r="FZ40" s="16">
        <v>41</v>
      </c>
      <c r="GA40" s="16">
        <v>8</v>
      </c>
      <c r="GB40" s="16">
        <v>1012</v>
      </c>
      <c r="GC40" s="16">
        <v>27</v>
      </c>
      <c r="GD40" s="16">
        <v>218</v>
      </c>
      <c r="GE40" s="16">
        <v>4</v>
      </c>
      <c r="GF40" s="16">
        <v>204</v>
      </c>
      <c r="GG40" s="16">
        <v>0</v>
      </c>
      <c r="GH40" s="16">
        <v>18</v>
      </c>
      <c r="GI40" s="16">
        <v>7</v>
      </c>
      <c r="GJ40" s="16">
        <v>26</v>
      </c>
      <c r="GK40" s="16">
        <v>7</v>
      </c>
      <c r="GL40" s="16">
        <v>9</v>
      </c>
      <c r="GM40" s="16">
        <v>2</v>
      </c>
      <c r="GN40" s="16">
        <v>9</v>
      </c>
      <c r="GO40" s="16">
        <v>34</v>
      </c>
      <c r="GP40" s="16">
        <v>7</v>
      </c>
      <c r="GQ40" s="16">
        <v>2</v>
      </c>
      <c r="GR40" s="16">
        <v>10</v>
      </c>
      <c r="GS40" s="16">
        <v>8</v>
      </c>
      <c r="GT40" s="16">
        <v>1</v>
      </c>
      <c r="GU40" s="16">
        <v>24</v>
      </c>
      <c r="GV40" s="16">
        <v>20</v>
      </c>
      <c r="GW40" s="16">
        <v>18</v>
      </c>
      <c r="GX40" s="16">
        <v>5</v>
      </c>
      <c r="GY40" s="16">
        <v>3</v>
      </c>
      <c r="GZ40" s="16">
        <v>19</v>
      </c>
      <c r="HA40" s="16">
        <v>14</v>
      </c>
      <c r="HB40" s="16">
        <v>12</v>
      </c>
      <c r="HC40" s="16">
        <v>63</v>
      </c>
      <c r="HD40" s="16">
        <v>68</v>
      </c>
      <c r="HE40" s="16">
        <v>5</v>
      </c>
      <c r="HF40" s="16">
        <v>42</v>
      </c>
      <c r="HG40" s="16">
        <v>22</v>
      </c>
      <c r="HH40" s="16">
        <v>14</v>
      </c>
      <c r="HI40" s="16">
        <v>18</v>
      </c>
      <c r="HJ40" s="16">
        <v>20</v>
      </c>
      <c r="HK40" s="16">
        <v>13</v>
      </c>
      <c r="HL40" s="16">
        <v>66</v>
      </c>
      <c r="HM40" s="16">
        <v>33</v>
      </c>
      <c r="HN40" s="16">
        <v>63</v>
      </c>
      <c r="HO40" s="16">
        <v>52</v>
      </c>
      <c r="HP40" s="16">
        <v>36</v>
      </c>
      <c r="HQ40" s="16">
        <v>72</v>
      </c>
      <c r="HR40" s="16">
        <v>52</v>
      </c>
      <c r="HS40" s="16">
        <v>58</v>
      </c>
      <c r="HT40" s="16">
        <v>0</v>
      </c>
      <c r="HU40" s="16">
        <v>45</v>
      </c>
      <c r="HV40" s="16">
        <v>39</v>
      </c>
      <c r="HW40" s="16">
        <v>33</v>
      </c>
      <c r="HX40" s="16">
        <v>85</v>
      </c>
      <c r="HY40" s="16">
        <v>231</v>
      </c>
      <c r="HZ40" s="16">
        <v>178</v>
      </c>
      <c r="IA40" s="16">
        <v>558</v>
      </c>
      <c r="IB40" s="16">
        <v>6</v>
      </c>
      <c r="IC40" s="16">
        <v>25</v>
      </c>
      <c r="ID40" s="16">
        <v>17</v>
      </c>
      <c r="IE40" s="16">
        <v>3</v>
      </c>
      <c r="IF40" s="16">
        <v>20</v>
      </c>
      <c r="IG40" s="16">
        <v>212</v>
      </c>
      <c r="IH40" s="16">
        <v>40</v>
      </c>
      <c r="II40" s="16">
        <v>4</v>
      </c>
      <c r="IJ40" s="16">
        <v>2</v>
      </c>
      <c r="IK40" s="16">
        <v>26</v>
      </c>
      <c r="IL40" s="16">
        <v>0</v>
      </c>
      <c r="IM40" s="16">
        <v>0</v>
      </c>
      <c r="IN40" s="16">
        <v>7</v>
      </c>
      <c r="IO40" s="16">
        <v>82</v>
      </c>
      <c r="IP40" s="16">
        <v>4</v>
      </c>
      <c r="IQ40" s="16">
        <v>2</v>
      </c>
      <c r="IR40" s="16">
        <v>2</v>
      </c>
      <c r="IS40" s="16">
        <v>7</v>
      </c>
      <c r="IT40" s="16">
        <v>4</v>
      </c>
      <c r="IU40" s="16">
        <v>3</v>
      </c>
      <c r="IV40" s="16">
        <v>0</v>
      </c>
      <c r="IW40" s="16">
        <v>42</v>
      </c>
      <c r="IX40" s="16">
        <v>12</v>
      </c>
      <c r="IY40" s="16">
        <v>56</v>
      </c>
      <c r="IZ40" s="16">
        <v>1</v>
      </c>
      <c r="JA40" s="16">
        <v>11</v>
      </c>
      <c r="JB40" s="16">
        <v>2</v>
      </c>
      <c r="JC40" s="16">
        <v>6</v>
      </c>
      <c r="JD40" s="16">
        <v>2</v>
      </c>
      <c r="JE40" s="16">
        <v>31</v>
      </c>
      <c r="JF40" s="16">
        <v>15</v>
      </c>
      <c r="JG40" s="16">
        <v>69765</v>
      </c>
      <c r="JH40" s="16">
        <v>9</v>
      </c>
      <c r="JI40" s="16">
        <v>3</v>
      </c>
      <c r="JJ40" s="16">
        <v>35</v>
      </c>
      <c r="JK40" s="16">
        <v>35</v>
      </c>
      <c r="JL40" s="16">
        <v>13</v>
      </c>
      <c r="JM40" s="16">
        <v>2</v>
      </c>
      <c r="JN40" s="16">
        <v>26</v>
      </c>
      <c r="JO40" s="16">
        <v>32</v>
      </c>
      <c r="JP40" s="16">
        <v>259</v>
      </c>
      <c r="JQ40" s="16">
        <v>92</v>
      </c>
      <c r="JR40" s="16">
        <v>3241</v>
      </c>
      <c r="JS40" s="16">
        <v>1656</v>
      </c>
      <c r="JT40" s="16">
        <v>0</v>
      </c>
      <c r="JU40" s="16">
        <v>0</v>
      </c>
      <c r="JV40" s="16">
        <v>86</v>
      </c>
      <c r="JW40" s="16">
        <v>104</v>
      </c>
      <c r="JX40" s="16">
        <v>143</v>
      </c>
      <c r="JY40" s="16">
        <v>103</v>
      </c>
      <c r="JZ40" s="16">
        <v>82</v>
      </c>
      <c r="KA40" s="16">
        <v>4</v>
      </c>
      <c r="KB40" s="16">
        <v>2</v>
      </c>
      <c r="KC40" s="16">
        <v>23</v>
      </c>
      <c r="KD40" s="16">
        <v>36</v>
      </c>
      <c r="KE40" s="16">
        <v>8</v>
      </c>
      <c r="KF40" s="16">
        <v>44</v>
      </c>
      <c r="KG40" s="16">
        <v>47</v>
      </c>
      <c r="KH40" s="16">
        <v>3</v>
      </c>
      <c r="KI40" s="16">
        <v>17</v>
      </c>
      <c r="KJ40" s="16">
        <v>53</v>
      </c>
      <c r="KK40" s="16">
        <v>10436</v>
      </c>
      <c r="KL40" s="16">
        <v>6</v>
      </c>
      <c r="KM40" s="16">
        <v>62</v>
      </c>
      <c r="KN40" s="16">
        <v>14</v>
      </c>
      <c r="KO40" s="16">
        <v>36</v>
      </c>
      <c r="KP40" s="16">
        <v>51</v>
      </c>
      <c r="KQ40" s="16">
        <v>18</v>
      </c>
      <c r="KR40" s="16">
        <v>87</v>
      </c>
      <c r="KS40" s="16">
        <v>78</v>
      </c>
      <c r="KT40" s="16">
        <v>41</v>
      </c>
      <c r="KU40" s="16">
        <v>338</v>
      </c>
      <c r="KV40" s="16">
        <v>30</v>
      </c>
      <c r="KW40" s="16">
        <v>283</v>
      </c>
      <c r="KX40" s="16">
        <v>2</v>
      </c>
      <c r="KY40" s="16">
        <v>79</v>
      </c>
      <c r="KZ40" s="16">
        <v>2074606</v>
      </c>
      <c r="LA40" s="16">
        <v>564081</v>
      </c>
      <c r="LB40" s="16">
        <v>72580</v>
      </c>
      <c r="LC40" s="16">
        <v>1645</v>
      </c>
      <c r="LD40" s="16">
        <v>399</v>
      </c>
      <c r="LE40" s="16">
        <v>234</v>
      </c>
      <c r="LF40" s="16">
        <v>28</v>
      </c>
      <c r="LG40" s="16">
        <v>17</v>
      </c>
      <c r="LH40" s="16">
        <v>581</v>
      </c>
      <c r="LI40" s="16">
        <v>1</v>
      </c>
      <c r="LJ40" s="16">
        <v>23</v>
      </c>
      <c r="LK40" s="16">
        <v>156</v>
      </c>
      <c r="LL40" s="16">
        <v>1150</v>
      </c>
      <c r="LM40" s="16">
        <v>2664</v>
      </c>
      <c r="LN40" s="16">
        <v>405</v>
      </c>
      <c r="LO40" s="16">
        <v>47</v>
      </c>
      <c r="LP40" s="16">
        <v>128</v>
      </c>
      <c r="LQ40" s="16">
        <v>20</v>
      </c>
      <c r="LR40" s="16">
        <v>393</v>
      </c>
      <c r="LS40" s="16">
        <v>584</v>
      </c>
      <c r="LT40" s="16">
        <v>184</v>
      </c>
      <c r="LU40" s="16">
        <v>98</v>
      </c>
      <c r="LV40" s="16">
        <v>11</v>
      </c>
      <c r="LW40" s="16">
        <v>76</v>
      </c>
      <c r="LX40" s="16">
        <v>114</v>
      </c>
      <c r="LY40" s="16">
        <v>0</v>
      </c>
      <c r="LZ40" s="16">
        <v>106</v>
      </c>
      <c r="MA40" s="16">
        <v>82</v>
      </c>
      <c r="MB40" s="16">
        <v>329</v>
      </c>
      <c r="MC40" s="16">
        <v>270</v>
      </c>
      <c r="MD40" s="16">
        <v>15</v>
      </c>
      <c r="ME40" s="16">
        <v>77</v>
      </c>
      <c r="MF40" s="16">
        <v>42295</v>
      </c>
      <c r="MG40" s="16">
        <v>1303</v>
      </c>
      <c r="MH40" s="16">
        <v>1959</v>
      </c>
      <c r="MI40" s="16">
        <v>118</v>
      </c>
      <c r="MJ40" s="16">
        <v>190</v>
      </c>
      <c r="MK40" s="16">
        <v>795</v>
      </c>
      <c r="ML40" s="16">
        <v>556</v>
      </c>
      <c r="MM40" s="16">
        <v>754</v>
      </c>
      <c r="MN40" s="16">
        <v>261</v>
      </c>
      <c r="MO40" s="16">
        <v>138</v>
      </c>
      <c r="MP40" s="16">
        <v>2908</v>
      </c>
      <c r="MQ40" s="16">
        <v>2896</v>
      </c>
      <c r="MR40" s="16">
        <v>84961</v>
      </c>
      <c r="MS40" s="16">
        <v>6801</v>
      </c>
      <c r="MT40" s="16">
        <v>295</v>
      </c>
      <c r="MU40" s="16">
        <v>185588</v>
      </c>
      <c r="MV40" s="16">
        <v>512</v>
      </c>
      <c r="MW40" s="16">
        <v>963</v>
      </c>
      <c r="MX40" s="16">
        <v>74</v>
      </c>
      <c r="MY40" s="16">
        <v>81</v>
      </c>
      <c r="MZ40" s="16">
        <v>763</v>
      </c>
      <c r="NA40" s="16">
        <v>387</v>
      </c>
      <c r="NB40" s="16">
        <v>112148</v>
      </c>
      <c r="NC40" s="16">
        <v>199</v>
      </c>
      <c r="ND40" s="16">
        <v>112</v>
      </c>
      <c r="NE40" s="16">
        <v>32</v>
      </c>
      <c r="NF40" s="16">
        <v>416</v>
      </c>
      <c r="NG40" s="16">
        <v>12133</v>
      </c>
      <c r="NH40" s="16">
        <v>8895</v>
      </c>
      <c r="NI40" s="16">
        <v>1520</v>
      </c>
      <c r="NJ40" s="16">
        <v>6901</v>
      </c>
      <c r="NK40" s="16">
        <v>118</v>
      </c>
      <c r="NL40" s="16">
        <v>7</v>
      </c>
      <c r="NM40" s="16">
        <v>152</v>
      </c>
      <c r="NN40" s="16">
        <v>132</v>
      </c>
      <c r="NO40" s="16">
        <v>0</v>
      </c>
      <c r="NP40" s="16">
        <v>203</v>
      </c>
      <c r="NQ40" s="16">
        <v>5085</v>
      </c>
      <c r="NR40" s="17">
        <v>5416703</v>
      </c>
    </row>
    <row r="41" spans="1:382" ht="13.5" customHeight="1" x14ac:dyDescent="0.2">
      <c r="A41" s="2" t="s">
        <v>89</v>
      </c>
      <c r="B41" s="16">
        <v>3</v>
      </c>
      <c r="C41" s="16">
        <v>1</v>
      </c>
      <c r="D41" s="16">
        <v>3</v>
      </c>
      <c r="E41" s="16">
        <v>1</v>
      </c>
      <c r="F41" s="16">
        <v>4</v>
      </c>
      <c r="G41" s="16">
        <v>1</v>
      </c>
      <c r="H41" s="16">
        <v>0</v>
      </c>
      <c r="I41" s="16">
        <v>0</v>
      </c>
      <c r="J41" s="16">
        <v>0</v>
      </c>
      <c r="K41" s="16">
        <v>0</v>
      </c>
      <c r="L41" s="16">
        <v>1</v>
      </c>
      <c r="M41" s="16">
        <v>0</v>
      </c>
      <c r="N41" s="16">
        <v>0</v>
      </c>
      <c r="O41" s="16">
        <v>0</v>
      </c>
      <c r="P41" s="16">
        <v>0</v>
      </c>
      <c r="Q41" s="16">
        <v>3</v>
      </c>
      <c r="R41" s="16">
        <v>1</v>
      </c>
      <c r="S41" s="16">
        <v>1</v>
      </c>
      <c r="T41" s="16">
        <v>1</v>
      </c>
      <c r="U41" s="16">
        <v>0</v>
      </c>
      <c r="V41" s="16">
        <v>1</v>
      </c>
      <c r="W41" s="16">
        <v>0</v>
      </c>
      <c r="X41" s="16">
        <v>1</v>
      </c>
      <c r="Y41" s="16">
        <v>4</v>
      </c>
      <c r="Z41" s="16">
        <v>4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5</v>
      </c>
      <c r="AH41" s="16">
        <v>5</v>
      </c>
      <c r="AI41" s="16">
        <v>1</v>
      </c>
      <c r="AJ41" s="16">
        <v>27</v>
      </c>
      <c r="AK41" s="16">
        <v>1</v>
      </c>
      <c r="AL41" s="16">
        <v>5395</v>
      </c>
      <c r="AM41" s="16">
        <v>3</v>
      </c>
      <c r="AN41" s="16">
        <v>419610</v>
      </c>
      <c r="AO41" s="16">
        <v>773679</v>
      </c>
      <c r="AP41" s="16">
        <v>0</v>
      </c>
      <c r="AQ41" s="16">
        <v>1</v>
      </c>
      <c r="AR41" s="16">
        <v>0</v>
      </c>
      <c r="AS41" s="16">
        <v>2</v>
      </c>
      <c r="AT41" s="16">
        <v>1</v>
      </c>
      <c r="AU41" s="16">
        <v>387</v>
      </c>
      <c r="AV41" s="16">
        <v>10406</v>
      </c>
      <c r="AW41" s="16">
        <v>14692</v>
      </c>
      <c r="AX41" s="16">
        <v>1074</v>
      </c>
      <c r="AY41" s="16">
        <v>7291</v>
      </c>
      <c r="AZ41" s="16">
        <v>1</v>
      </c>
      <c r="BA41" s="16">
        <v>53</v>
      </c>
      <c r="BB41" s="16">
        <v>210253</v>
      </c>
      <c r="BC41" s="16">
        <v>274</v>
      </c>
      <c r="BD41" s="16">
        <v>1</v>
      </c>
      <c r="BE41" s="16">
        <v>2</v>
      </c>
      <c r="BF41" s="16">
        <v>4</v>
      </c>
      <c r="BG41" s="16">
        <v>1</v>
      </c>
      <c r="BH41" s="16">
        <v>2</v>
      </c>
      <c r="BI41" s="16">
        <v>2</v>
      </c>
      <c r="BJ41" s="16">
        <v>3</v>
      </c>
      <c r="BK41" s="16">
        <v>2</v>
      </c>
      <c r="BL41" s="16">
        <v>2</v>
      </c>
      <c r="BM41" s="16">
        <v>3</v>
      </c>
      <c r="BN41" s="16">
        <v>2</v>
      </c>
      <c r="BO41" s="16">
        <v>2</v>
      </c>
      <c r="BP41" s="16">
        <v>1</v>
      </c>
      <c r="BQ41" s="16">
        <v>1</v>
      </c>
      <c r="BR41" s="16">
        <v>12</v>
      </c>
      <c r="BS41" s="16">
        <v>3</v>
      </c>
      <c r="BT41" s="16">
        <v>1</v>
      </c>
      <c r="BU41" s="16">
        <v>0</v>
      </c>
      <c r="BV41" s="16">
        <v>0</v>
      </c>
      <c r="BW41" s="16">
        <v>1</v>
      </c>
      <c r="BX41" s="16">
        <v>1</v>
      </c>
      <c r="BY41" s="16">
        <v>0</v>
      </c>
      <c r="BZ41" s="16">
        <v>1</v>
      </c>
      <c r="CA41" s="16">
        <v>3</v>
      </c>
      <c r="CB41" s="16">
        <v>1</v>
      </c>
      <c r="CC41" s="16">
        <v>3</v>
      </c>
      <c r="CD41" s="16">
        <v>1</v>
      </c>
      <c r="CE41" s="16">
        <v>1</v>
      </c>
      <c r="CF41" s="16">
        <v>1</v>
      </c>
      <c r="CG41" s="16">
        <v>4</v>
      </c>
      <c r="CH41" s="16">
        <v>0</v>
      </c>
      <c r="CI41" s="16">
        <v>0</v>
      </c>
      <c r="CJ41" s="16">
        <v>1</v>
      </c>
      <c r="CK41" s="16">
        <v>2</v>
      </c>
      <c r="CL41" s="16">
        <v>2</v>
      </c>
      <c r="CM41" s="16">
        <v>1</v>
      </c>
      <c r="CN41" s="16">
        <v>0</v>
      </c>
      <c r="CO41" s="16">
        <v>1</v>
      </c>
      <c r="CP41" s="16">
        <v>0</v>
      </c>
      <c r="CQ41" s="16">
        <v>10</v>
      </c>
      <c r="CR41" s="16">
        <v>0</v>
      </c>
      <c r="CS41" s="16">
        <v>1</v>
      </c>
      <c r="CT41" s="16">
        <v>0</v>
      </c>
      <c r="CU41" s="16">
        <v>1</v>
      </c>
      <c r="CV41" s="16">
        <v>2</v>
      </c>
      <c r="CW41" s="16">
        <v>4</v>
      </c>
      <c r="CX41" s="16">
        <v>5</v>
      </c>
      <c r="CY41" s="16">
        <v>1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1</v>
      </c>
      <c r="DH41" s="16">
        <v>2</v>
      </c>
      <c r="DI41" s="16">
        <v>1</v>
      </c>
      <c r="DJ41" s="16">
        <v>13</v>
      </c>
      <c r="DK41" s="16">
        <v>1</v>
      </c>
      <c r="DL41" s="16">
        <v>1</v>
      </c>
      <c r="DM41" s="16">
        <v>22</v>
      </c>
      <c r="DN41" s="16">
        <v>1</v>
      </c>
      <c r="DO41" s="16">
        <v>1</v>
      </c>
      <c r="DP41" s="16">
        <v>2</v>
      </c>
      <c r="DQ41" s="16">
        <v>1</v>
      </c>
      <c r="DR41" s="16">
        <v>10</v>
      </c>
      <c r="DS41" s="16">
        <v>4</v>
      </c>
      <c r="DT41" s="16">
        <v>1</v>
      </c>
      <c r="DU41" s="16">
        <v>0</v>
      </c>
      <c r="DV41" s="16">
        <v>15</v>
      </c>
      <c r="DW41" s="16">
        <v>3</v>
      </c>
      <c r="DX41" s="16">
        <v>4</v>
      </c>
      <c r="DY41" s="16">
        <v>2</v>
      </c>
      <c r="DZ41" s="16">
        <v>6</v>
      </c>
      <c r="EA41" s="16">
        <v>1</v>
      </c>
      <c r="EB41" s="16">
        <v>11</v>
      </c>
      <c r="EC41" s="16">
        <v>2</v>
      </c>
      <c r="ED41" s="16">
        <v>1</v>
      </c>
      <c r="EE41" s="16">
        <v>2</v>
      </c>
      <c r="EF41" s="16">
        <v>3</v>
      </c>
      <c r="EG41" s="16">
        <v>1</v>
      </c>
      <c r="EH41" s="16">
        <v>1</v>
      </c>
      <c r="EI41" s="16">
        <v>17</v>
      </c>
      <c r="EJ41" s="16">
        <v>3</v>
      </c>
      <c r="EK41" s="16">
        <v>5</v>
      </c>
      <c r="EL41" s="16">
        <v>2</v>
      </c>
      <c r="EM41" s="16">
        <v>0</v>
      </c>
      <c r="EN41" s="16">
        <v>4</v>
      </c>
      <c r="EO41" s="16">
        <v>1</v>
      </c>
      <c r="EP41" s="16">
        <v>1</v>
      </c>
      <c r="EQ41" s="16">
        <v>1</v>
      </c>
      <c r="ER41" s="16">
        <v>1</v>
      </c>
      <c r="ES41" s="16">
        <v>2</v>
      </c>
      <c r="ET41" s="16">
        <v>2</v>
      </c>
      <c r="EU41" s="16">
        <v>3</v>
      </c>
      <c r="EV41" s="16">
        <v>1</v>
      </c>
      <c r="EW41" s="16">
        <v>25</v>
      </c>
      <c r="EX41" s="16">
        <v>6</v>
      </c>
      <c r="EY41" s="16">
        <v>1</v>
      </c>
      <c r="EZ41" s="16">
        <v>3</v>
      </c>
      <c r="FA41" s="16">
        <v>12</v>
      </c>
      <c r="FB41" s="16">
        <v>1</v>
      </c>
      <c r="FC41" s="16">
        <v>3</v>
      </c>
      <c r="FD41" s="16">
        <v>1</v>
      </c>
      <c r="FE41" s="16">
        <v>1</v>
      </c>
      <c r="FF41" s="16">
        <v>1</v>
      </c>
      <c r="FG41" s="16">
        <v>1</v>
      </c>
      <c r="FH41" s="16">
        <v>0</v>
      </c>
      <c r="FI41" s="16">
        <v>1</v>
      </c>
      <c r="FJ41" s="16">
        <v>0</v>
      </c>
      <c r="FK41" s="16">
        <v>1</v>
      </c>
      <c r="FL41" s="16">
        <v>1</v>
      </c>
      <c r="FM41" s="16">
        <v>1</v>
      </c>
      <c r="FN41" s="16">
        <v>2</v>
      </c>
      <c r="FO41" s="16">
        <v>1</v>
      </c>
      <c r="FP41" s="16">
        <v>1</v>
      </c>
      <c r="FQ41" s="16">
        <v>2</v>
      </c>
      <c r="FR41" s="16">
        <v>6</v>
      </c>
      <c r="FS41" s="16">
        <v>1</v>
      </c>
      <c r="FT41" s="16">
        <v>1</v>
      </c>
      <c r="FU41" s="16">
        <v>2</v>
      </c>
      <c r="FV41" s="16">
        <v>2</v>
      </c>
      <c r="FW41" s="16">
        <v>4</v>
      </c>
      <c r="FX41" s="16">
        <v>6</v>
      </c>
      <c r="FY41" s="16">
        <v>1</v>
      </c>
      <c r="FZ41" s="16">
        <v>2</v>
      </c>
      <c r="GA41" s="16">
        <v>0</v>
      </c>
      <c r="GB41" s="16">
        <v>32</v>
      </c>
      <c r="GC41" s="16">
        <v>1</v>
      </c>
      <c r="GD41" s="16">
        <v>7</v>
      </c>
      <c r="GE41" s="16">
        <v>3</v>
      </c>
      <c r="GF41" s="16">
        <v>7</v>
      </c>
      <c r="GG41" s="16">
        <v>1</v>
      </c>
      <c r="GH41" s="16">
        <v>23</v>
      </c>
      <c r="GI41" s="16">
        <v>16</v>
      </c>
      <c r="GJ41" s="16">
        <v>1</v>
      </c>
      <c r="GK41" s="16">
        <v>10</v>
      </c>
      <c r="GL41" s="16">
        <v>1</v>
      </c>
      <c r="GM41" s="16">
        <v>16</v>
      </c>
      <c r="GN41" s="16">
        <v>4</v>
      </c>
      <c r="GO41" s="16">
        <v>4</v>
      </c>
      <c r="GP41" s="16">
        <v>34</v>
      </c>
      <c r="GQ41" s="16">
        <v>0</v>
      </c>
      <c r="GR41" s="16">
        <v>1</v>
      </c>
      <c r="GS41" s="16">
        <v>14</v>
      </c>
      <c r="GT41" s="16">
        <v>1</v>
      </c>
      <c r="GU41" s="16">
        <v>1</v>
      </c>
      <c r="GV41" s="16">
        <v>1</v>
      </c>
      <c r="GW41" s="16">
        <v>1</v>
      </c>
      <c r="GX41" s="16">
        <v>6</v>
      </c>
      <c r="GY41" s="16">
        <v>1</v>
      </c>
      <c r="GZ41" s="16">
        <v>1</v>
      </c>
      <c r="HA41" s="16">
        <v>3</v>
      </c>
      <c r="HB41" s="16">
        <v>1</v>
      </c>
      <c r="HC41" s="16">
        <v>2</v>
      </c>
      <c r="HD41" s="16">
        <v>2</v>
      </c>
      <c r="HE41" s="16">
        <v>15</v>
      </c>
      <c r="HF41" s="16">
        <v>2</v>
      </c>
      <c r="HG41" s="16">
        <v>1</v>
      </c>
      <c r="HH41" s="16">
        <v>1</v>
      </c>
      <c r="HI41" s="16">
        <v>1</v>
      </c>
      <c r="HJ41" s="16">
        <v>1</v>
      </c>
      <c r="HK41" s="16">
        <v>8</v>
      </c>
      <c r="HL41" s="16">
        <v>2</v>
      </c>
      <c r="HM41" s="16">
        <v>1</v>
      </c>
      <c r="HN41" s="16">
        <v>1</v>
      </c>
      <c r="HO41" s="16">
        <v>2</v>
      </c>
      <c r="HP41" s="16">
        <v>1</v>
      </c>
      <c r="HQ41" s="16">
        <v>2</v>
      </c>
      <c r="HR41" s="16">
        <v>2</v>
      </c>
      <c r="HS41" s="16">
        <v>2</v>
      </c>
      <c r="HT41" s="16">
        <v>4</v>
      </c>
      <c r="HU41" s="16">
        <v>1</v>
      </c>
      <c r="HV41" s="16">
        <v>1</v>
      </c>
      <c r="HW41" s="16">
        <v>1</v>
      </c>
      <c r="HX41" s="16">
        <v>2</v>
      </c>
      <c r="HY41" s="16">
        <v>3</v>
      </c>
      <c r="HZ41" s="16">
        <v>6</v>
      </c>
      <c r="IA41" s="16">
        <v>1</v>
      </c>
      <c r="IB41" s="16">
        <v>2</v>
      </c>
      <c r="IC41" s="16">
        <v>4</v>
      </c>
      <c r="ID41" s="16">
        <v>1</v>
      </c>
      <c r="IE41" s="16">
        <v>1</v>
      </c>
      <c r="IF41" s="16">
        <v>1</v>
      </c>
      <c r="IG41" s="16">
        <v>6</v>
      </c>
      <c r="IH41" s="16">
        <v>1</v>
      </c>
      <c r="II41" s="16">
        <v>0</v>
      </c>
      <c r="IJ41" s="16">
        <v>1</v>
      </c>
      <c r="IK41" s="16">
        <v>1</v>
      </c>
      <c r="IL41" s="16">
        <v>1</v>
      </c>
      <c r="IM41" s="16">
        <v>0</v>
      </c>
      <c r="IN41" s="16">
        <v>7</v>
      </c>
      <c r="IO41" s="16">
        <v>2</v>
      </c>
      <c r="IP41" s="16">
        <v>17</v>
      </c>
      <c r="IQ41" s="16">
        <v>1</v>
      </c>
      <c r="IR41" s="16">
        <v>2</v>
      </c>
      <c r="IS41" s="16">
        <v>4</v>
      </c>
      <c r="IT41" s="16">
        <v>3</v>
      </c>
      <c r="IU41" s="16">
        <v>0</v>
      </c>
      <c r="IV41" s="16">
        <v>1</v>
      </c>
      <c r="IW41" s="16">
        <v>2</v>
      </c>
      <c r="IX41" s="16">
        <v>1</v>
      </c>
      <c r="IY41" s="16">
        <v>2</v>
      </c>
      <c r="IZ41" s="16">
        <v>1</v>
      </c>
      <c r="JA41" s="16">
        <v>3</v>
      </c>
      <c r="JB41" s="16">
        <v>1</v>
      </c>
      <c r="JC41" s="16">
        <v>3</v>
      </c>
      <c r="JD41" s="16">
        <v>1</v>
      </c>
      <c r="JE41" s="16">
        <v>1</v>
      </c>
      <c r="JF41" s="16">
        <v>4</v>
      </c>
      <c r="JG41" s="16">
        <v>1901</v>
      </c>
      <c r="JH41" s="16">
        <v>0</v>
      </c>
      <c r="JI41" s="16">
        <v>2</v>
      </c>
      <c r="JJ41" s="16">
        <v>1</v>
      </c>
      <c r="JK41" s="16">
        <v>1</v>
      </c>
      <c r="JL41" s="16">
        <v>2</v>
      </c>
      <c r="JM41" s="16">
        <v>0</v>
      </c>
      <c r="JN41" s="16">
        <v>8</v>
      </c>
      <c r="JO41" s="16">
        <v>1</v>
      </c>
      <c r="JP41" s="16">
        <v>8</v>
      </c>
      <c r="JQ41" s="16">
        <v>3</v>
      </c>
      <c r="JR41" s="16">
        <v>282</v>
      </c>
      <c r="JS41" s="16">
        <v>50</v>
      </c>
      <c r="JT41" s="16">
        <v>0</v>
      </c>
      <c r="JU41" s="16">
        <v>0</v>
      </c>
      <c r="JV41" s="16">
        <v>2</v>
      </c>
      <c r="JW41" s="16">
        <v>4</v>
      </c>
      <c r="JX41" s="16">
        <v>5</v>
      </c>
      <c r="JY41" s="16">
        <v>4</v>
      </c>
      <c r="JZ41" s="16">
        <v>3</v>
      </c>
      <c r="KA41" s="16">
        <v>2</v>
      </c>
      <c r="KB41" s="16">
        <v>2</v>
      </c>
      <c r="KC41" s="16">
        <v>1</v>
      </c>
      <c r="KD41" s="16">
        <v>1</v>
      </c>
      <c r="KE41" s="16">
        <v>4</v>
      </c>
      <c r="KF41" s="16">
        <v>1</v>
      </c>
      <c r="KG41" s="16">
        <v>2</v>
      </c>
      <c r="KH41" s="16">
        <v>5</v>
      </c>
      <c r="KI41" s="16">
        <v>1</v>
      </c>
      <c r="KJ41" s="16">
        <v>1</v>
      </c>
      <c r="KK41" s="16">
        <v>2545</v>
      </c>
      <c r="KL41" s="16">
        <v>11</v>
      </c>
      <c r="KM41" s="16">
        <v>2</v>
      </c>
      <c r="KN41" s="16">
        <v>1</v>
      </c>
      <c r="KO41" s="16">
        <v>1</v>
      </c>
      <c r="KP41" s="16">
        <v>2</v>
      </c>
      <c r="KQ41" s="16">
        <v>1</v>
      </c>
      <c r="KR41" s="16">
        <v>3</v>
      </c>
      <c r="KS41" s="16">
        <v>3</v>
      </c>
      <c r="KT41" s="16">
        <v>1</v>
      </c>
      <c r="KU41" s="16">
        <v>10</v>
      </c>
      <c r="KV41" s="16">
        <v>1</v>
      </c>
      <c r="KW41" s="16">
        <v>9</v>
      </c>
      <c r="KX41" s="16">
        <v>0</v>
      </c>
      <c r="KY41" s="16">
        <v>2</v>
      </c>
      <c r="KZ41" s="16">
        <v>2106143</v>
      </c>
      <c r="LA41" s="16">
        <v>235736</v>
      </c>
      <c r="LB41" s="16">
        <v>325175</v>
      </c>
      <c r="LC41" s="16">
        <v>1976</v>
      </c>
      <c r="LD41" s="16">
        <v>13</v>
      </c>
      <c r="LE41" s="16">
        <v>7</v>
      </c>
      <c r="LF41" s="16">
        <v>1</v>
      </c>
      <c r="LG41" s="16">
        <v>1</v>
      </c>
      <c r="LH41" s="16">
        <v>18</v>
      </c>
      <c r="LI41" s="16">
        <v>9</v>
      </c>
      <c r="LJ41" s="16">
        <v>1</v>
      </c>
      <c r="LK41" s="16">
        <v>4</v>
      </c>
      <c r="LL41" s="16">
        <v>17</v>
      </c>
      <c r="LM41" s="16">
        <v>60</v>
      </c>
      <c r="LN41" s="16">
        <v>13</v>
      </c>
      <c r="LO41" s="16">
        <v>1</v>
      </c>
      <c r="LP41" s="16">
        <v>4</v>
      </c>
      <c r="LQ41" s="16">
        <v>1</v>
      </c>
      <c r="LR41" s="16">
        <v>12</v>
      </c>
      <c r="LS41" s="16">
        <v>18</v>
      </c>
      <c r="LT41" s="16">
        <v>6</v>
      </c>
      <c r="LU41" s="16">
        <v>3</v>
      </c>
      <c r="LV41" s="16">
        <v>1</v>
      </c>
      <c r="LW41" s="16">
        <v>2</v>
      </c>
      <c r="LX41" s="16">
        <v>4</v>
      </c>
      <c r="LY41" s="16">
        <v>0</v>
      </c>
      <c r="LZ41" s="16">
        <v>3</v>
      </c>
      <c r="MA41" s="16">
        <v>2</v>
      </c>
      <c r="MB41" s="16">
        <v>10</v>
      </c>
      <c r="MC41" s="16">
        <v>24</v>
      </c>
      <c r="MD41" s="16">
        <v>1</v>
      </c>
      <c r="ME41" s="16">
        <v>2</v>
      </c>
      <c r="MF41" s="16">
        <v>807</v>
      </c>
      <c r="MG41" s="16">
        <v>25</v>
      </c>
      <c r="MH41" s="16">
        <v>62</v>
      </c>
      <c r="MI41" s="16">
        <v>3</v>
      </c>
      <c r="MJ41" s="16">
        <v>6</v>
      </c>
      <c r="MK41" s="16">
        <v>25</v>
      </c>
      <c r="ML41" s="16">
        <v>3</v>
      </c>
      <c r="MM41" s="16">
        <v>23</v>
      </c>
      <c r="MN41" s="16">
        <v>8</v>
      </c>
      <c r="MO41" s="16">
        <v>4</v>
      </c>
      <c r="MP41" s="16">
        <v>18</v>
      </c>
      <c r="MQ41" s="16">
        <v>70</v>
      </c>
      <c r="MR41" s="16">
        <v>30920</v>
      </c>
      <c r="MS41" s="16">
        <v>846</v>
      </c>
      <c r="MT41" s="16">
        <v>20</v>
      </c>
      <c r="MU41" s="16">
        <v>78953</v>
      </c>
      <c r="MV41" s="16">
        <v>16</v>
      </c>
      <c r="MW41" s="16">
        <v>29</v>
      </c>
      <c r="MX41" s="16">
        <v>9</v>
      </c>
      <c r="MY41" s="16">
        <v>2</v>
      </c>
      <c r="MZ41" s="16">
        <v>23</v>
      </c>
      <c r="NA41" s="16">
        <v>32</v>
      </c>
      <c r="NB41" s="16">
        <v>167039</v>
      </c>
      <c r="NC41" s="16">
        <v>17</v>
      </c>
      <c r="ND41" s="16">
        <v>4</v>
      </c>
      <c r="NE41" s="16">
        <v>2</v>
      </c>
      <c r="NF41" s="16">
        <v>4</v>
      </c>
      <c r="NG41" s="16">
        <v>373</v>
      </c>
      <c r="NH41" s="16">
        <v>161</v>
      </c>
      <c r="NI41" s="16">
        <v>46</v>
      </c>
      <c r="NJ41" s="16">
        <v>208</v>
      </c>
      <c r="NK41" s="16">
        <v>3</v>
      </c>
      <c r="NL41" s="16">
        <v>8</v>
      </c>
      <c r="NM41" s="16">
        <v>4</v>
      </c>
      <c r="NN41" s="16">
        <v>4</v>
      </c>
      <c r="NO41" s="16">
        <v>0</v>
      </c>
      <c r="NP41" s="16">
        <v>6</v>
      </c>
      <c r="NQ41" s="16">
        <v>175</v>
      </c>
      <c r="NR41" s="17">
        <v>4397975</v>
      </c>
    </row>
    <row r="42" spans="1:382" ht="13.5" customHeight="1" x14ac:dyDescent="0.2">
      <c r="A42" s="2" t="s">
        <v>91</v>
      </c>
      <c r="B42" s="16">
        <v>288</v>
      </c>
      <c r="C42" s="16">
        <v>47</v>
      </c>
      <c r="D42" s="16">
        <v>29</v>
      </c>
      <c r="E42" s="16">
        <v>1458</v>
      </c>
      <c r="F42" s="16">
        <v>1285</v>
      </c>
      <c r="G42" s="16">
        <v>284</v>
      </c>
      <c r="H42" s="16">
        <v>19</v>
      </c>
      <c r="I42" s="16">
        <v>924</v>
      </c>
      <c r="J42" s="16">
        <v>5</v>
      </c>
      <c r="K42" s="16">
        <v>0</v>
      </c>
      <c r="L42" s="16">
        <v>6</v>
      </c>
      <c r="M42" s="16">
        <v>3</v>
      </c>
      <c r="N42" s="16">
        <v>0</v>
      </c>
      <c r="O42" s="16">
        <v>2</v>
      </c>
      <c r="P42" s="16">
        <v>4539</v>
      </c>
      <c r="Q42" s="16">
        <v>5017</v>
      </c>
      <c r="R42" s="16">
        <v>157</v>
      </c>
      <c r="S42" s="16">
        <v>36</v>
      </c>
      <c r="T42" s="16">
        <v>3</v>
      </c>
      <c r="U42" s="16">
        <v>13</v>
      </c>
      <c r="V42" s="16">
        <v>3</v>
      </c>
      <c r="W42" s="16">
        <v>8</v>
      </c>
      <c r="X42" s="16">
        <v>58</v>
      </c>
      <c r="Y42" s="16">
        <v>189</v>
      </c>
      <c r="Z42" s="16">
        <v>159</v>
      </c>
      <c r="AA42" s="16">
        <v>2</v>
      </c>
      <c r="AB42" s="16">
        <v>0</v>
      </c>
      <c r="AC42" s="16">
        <v>0</v>
      </c>
      <c r="AD42" s="16">
        <v>0</v>
      </c>
      <c r="AE42" s="16">
        <v>1</v>
      </c>
      <c r="AF42" s="16">
        <v>2</v>
      </c>
      <c r="AG42" s="16">
        <v>219</v>
      </c>
      <c r="AH42" s="16">
        <v>171</v>
      </c>
      <c r="AI42" s="16">
        <v>22</v>
      </c>
      <c r="AJ42" s="16">
        <v>59</v>
      </c>
      <c r="AK42" s="16">
        <v>31</v>
      </c>
      <c r="AL42" s="16">
        <v>87</v>
      </c>
      <c r="AM42" s="16">
        <v>108</v>
      </c>
      <c r="AN42" s="16">
        <v>3773</v>
      </c>
      <c r="AO42" s="16">
        <v>22</v>
      </c>
      <c r="AP42" s="16">
        <v>525</v>
      </c>
      <c r="AQ42" s="16">
        <v>70986</v>
      </c>
      <c r="AR42" s="16">
        <v>0</v>
      </c>
      <c r="AS42" s="16">
        <v>79</v>
      </c>
      <c r="AT42" s="16">
        <v>4548</v>
      </c>
      <c r="AU42" s="16">
        <v>442799</v>
      </c>
      <c r="AV42" s="16">
        <v>5362</v>
      </c>
      <c r="AW42" s="16">
        <v>27899</v>
      </c>
      <c r="AX42" s="16">
        <v>974</v>
      </c>
      <c r="AY42" s="16">
        <v>94</v>
      </c>
      <c r="AZ42" s="16">
        <v>23144</v>
      </c>
      <c r="BA42" s="16">
        <v>12097</v>
      </c>
      <c r="BB42" s="16">
        <v>504314</v>
      </c>
      <c r="BC42" s="16">
        <v>17987</v>
      </c>
      <c r="BD42" s="16">
        <v>41384</v>
      </c>
      <c r="BE42" s="16">
        <v>576</v>
      </c>
      <c r="BF42" s="16">
        <v>386</v>
      </c>
      <c r="BG42" s="16">
        <v>23299</v>
      </c>
      <c r="BH42" s="16">
        <v>1923</v>
      </c>
      <c r="BI42" s="16">
        <v>66</v>
      </c>
      <c r="BJ42" s="16">
        <v>15</v>
      </c>
      <c r="BK42" s="16">
        <v>13</v>
      </c>
      <c r="BL42" s="16">
        <v>98</v>
      </c>
      <c r="BM42" s="16">
        <v>10</v>
      </c>
      <c r="BN42" s="16">
        <v>91</v>
      </c>
      <c r="BO42" s="16">
        <v>61</v>
      </c>
      <c r="BP42" s="16">
        <v>89</v>
      </c>
      <c r="BQ42" s="16">
        <v>45</v>
      </c>
      <c r="BR42" s="16">
        <v>10</v>
      </c>
      <c r="BS42" s="16">
        <v>104</v>
      </c>
      <c r="BT42" s="16">
        <v>2</v>
      </c>
      <c r="BU42" s="16">
        <v>4</v>
      </c>
      <c r="BV42" s="16">
        <v>1</v>
      </c>
      <c r="BW42" s="16">
        <v>23</v>
      </c>
      <c r="BX42" s="16">
        <v>5</v>
      </c>
      <c r="BY42" s="16">
        <v>0</v>
      </c>
      <c r="BZ42" s="16">
        <v>4</v>
      </c>
      <c r="CA42" s="16">
        <v>10</v>
      </c>
      <c r="CB42" s="16">
        <v>7</v>
      </c>
      <c r="CC42" s="16">
        <v>133</v>
      </c>
      <c r="CD42" s="16">
        <v>26</v>
      </c>
      <c r="CE42" s="16">
        <v>19</v>
      </c>
      <c r="CF42" s="16">
        <v>58</v>
      </c>
      <c r="CG42" s="16">
        <v>15</v>
      </c>
      <c r="CH42" s="16">
        <v>13</v>
      </c>
      <c r="CI42" s="16">
        <v>14</v>
      </c>
      <c r="CJ42" s="16">
        <v>25</v>
      </c>
      <c r="CK42" s="16">
        <v>68</v>
      </c>
      <c r="CL42" s="16">
        <v>82</v>
      </c>
      <c r="CM42" s="16">
        <v>42</v>
      </c>
      <c r="CN42" s="16">
        <v>14</v>
      </c>
      <c r="CO42" s="16">
        <v>41</v>
      </c>
      <c r="CP42" s="16">
        <v>102</v>
      </c>
      <c r="CQ42" s="16">
        <v>434</v>
      </c>
      <c r="CR42" s="16">
        <v>49</v>
      </c>
      <c r="CS42" s="16">
        <v>34</v>
      </c>
      <c r="CT42" s="16">
        <v>14</v>
      </c>
      <c r="CU42" s="16">
        <v>33</v>
      </c>
      <c r="CV42" s="16">
        <v>44</v>
      </c>
      <c r="CW42" s="16">
        <v>157</v>
      </c>
      <c r="CX42" s="16">
        <v>187</v>
      </c>
      <c r="CY42" s="16">
        <v>9</v>
      </c>
      <c r="CZ42" s="16">
        <v>44</v>
      </c>
      <c r="DA42" s="16">
        <v>5</v>
      </c>
      <c r="DB42" s="16">
        <v>30</v>
      </c>
      <c r="DC42" s="16">
        <v>40</v>
      </c>
      <c r="DD42" s="16">
        <v>45</v>
      </c>
      <c r="DE42" s="16">
        <v>41</v>
      </c>
      <c r="DF42" s="16">
        <v>40</v>
      </c>
      <c r="DG42" s="16">
        <v>18</v>
      </c>
      <c r="DH42" s="16">
        <v>61</v>
      </c>
      <c r="DI42" s="16">
        <v>17</v>
      </c>
      <c r="DJ42" s="16">
        <v>510</v>
      </c>
      <c r="DK42" s="16">
        <v>29</v>
      </c>
      <c r="DL42" s="16">
        <v>72</v>
      </c>
      <c r="DM42" s="16">
        <v>1379</v>
      </c>
      <c r="DN42" s="16">
        <v>237</v>
      </c>
      <c r="DO42" s="16">
        <v>42</v>
      </c>
      <c r="DP42" s="16">
        <v>92</v>
      </c>
      <c r="DQ42" s="16">
        <v>17</v>
      </c>
      <c r="DR42" s="16">
        <v>63</v>
      </c>
      <c r="DS42" s="16">
        <v>1861</v>
      </c>
      <c r="DT42" s="16">
        <v>26</v>
      </c>
      <c r="DU42" s="16">
        <v>9</v>
      </c>
      <c r="DV42" s="16">
        <v>16</v>
      </c>
      <c r="DW42" s="16">
        <v>120</v>
      </c>
      <c r="DX42" s="16">
        <v>156</v>
      </c>
      <c r="DY42" s="16">
        <v>89</v>
      </c>
      <c r="DZ42" s="16">
        <v>277</v>
      </c>
      <c r="EA42" s="16">
        <v>17</v>
      </c>
      <c r="EB42" s="16">
        <v>12</v>
      </c>
      <c r="EC42" s="16">
        <v>78</v>
      </c>
      <c r="ED42" s="16">
        <v>14</v>
      </c>
      <c r="EE42" s="16">
        <v>2</v>
      </c>
      <c r="EF42" s="16">
        <v>4</v>
      </c>
      <c r="EG42" s="16">
        <v>25</v>
      </c>
      <c r="EH42" s="16">
        <v>4</v>
      </c>
      <c r="EI42" s="16">
        <v>30</v>
      </c>
      <c r="EJ42" s="16">
        <v>13</v>
      </c>
      <c r="EK42" s="16">
        <v>17</v>
      </c>
      <c r="EL42" s="16">
        <v>6</v>
      </c>
      <c r="EM42" s="16">
        <v>21</v>
      </c>
      <c r="EN42" s="16">
        <v>157</v>
      </c>
      <c r="EO42" s="16">
        <v>49</v>
      </c>
      <c r="EP42" s="16">
        <v>15</v>
      </c>
      <c r="EQ42" s="16">
        <v>49</v>
      </c>
      <c r="ER42" s="16">
        <v>5</v>
      </c>
      <c r="ES42" s="16">
        <v>6</v>
      </c>
      <c r="ET42" s="16">
        <v>71</v>
      </c>
      <c r="EU42" s="16">
        <v>115</v>
      </c>
      <c r="EV42" s="16">
        <v>11</v>
      </c>
      <c r="EW42" s="16">
        <v>32</v>
      </c>
      <c r="EX42" s="16">
        <v>257</v>
      </c>
      <c r="EY42" s="16">
        <v>37</v>
      </c>
      <c r="EZ42" s="16">
        <v>2</v>
      </c>
      <c r="FA42" s="16">
        <v>11</v>
      </c>
      <c r="FB42" s="16">
        <v>35</v>
      </c>
      <c r="FC42" s="16">
        <v>2</v>
      </c>
      <c r="FD42" s="16">
        <v>44</v>
      </c>
      <c r="FE42" s="16">
        <v>19</v>
      </c>
      <c r="FF42" s="16">
        <v>35</v>
      </c>
      <c r="FG42" s="16">
        <v>36</v>
      </c>
      <c r="FH42" s="16">
        <v>9</v>
      </c>
      <c r="FI42" s="16">
        <v>45</v>
      </c>
      <c r="FJ42" s="16">
        <v>10</v>
      </c>
      <c r="FK42" s="16">
        <v>22</v>
      </c>
      <c r="FL42" s="16">
        <v>30</v>
      </c>
      <c r="FM42" s="16">
        <v>31</v>
      </c>
      <c r="FN42" s="16">
        <v>111</v>
      </c>
      <c r="FO42" s="16">
        <v>59</v>
      </c>
      <c r="FP42" s="16">
        <v>47</v>
      </c>
      <c r="FQ42" s="16">
        <v>76</v>
      </c>
      <c r="FR42" s="16">
        <v>232</v>
      </c>
      <c r="FS42" s="16">
        <v>49</v>
      </c>
      <c r="FT42" s="16">
        <v>65</v>
      </c>
      <c r="FU42" s="16">
        <v>108</v>
      </c>
      <c r="FV42" s="16">
        <v>52</v>
      </c>
      <c r="FW42" s="16">
        <v>141</v>
      </c>
      <c r="FX42" s="16">
        <v>259</v>
      </c>
      <c r="FY42" s="16">
        <v>24</v>
      </c>
      <c r="FZ42" s="16">
        <v>56</v>
      </c>
      <c r="GA42" s="16">
        <v>11</v>
      </c>
      <c r="GB42" s="16">
        <v>1312</v>
      </c>
      <c r="GC42" s="16">
        <v>21</v>
      </c>
      <c r="GD42" s="16">
        <v>287</v>
      </c>
      <c r="GE42" s="16">
        <v>6</v>
      </c>
      <c r="GF42" s="16">
        <v>266</v>
      </c>
      <c r="GG42" s="16">
        <v>1</v>
      </c>
      <c r="GH42" s="16">
        <v>25</v>
      </c>
      <c r="GI42" s="16">
        <v>8</v>
      </c>
      <c r="GJ42" s="16">
        <v>35</v>
      </c>
      <c r="GK42" s="16">
        <v>9</v>
      </c>
      <c r="GL42" s="16">
        <v>24</v>
      </c>
      <c r="GM42" s="16">
        <v>2</v>
      </c>
      <c r="GN42" s="16">
        <v>11</v>
      </c>
      <c r="GO42" s="16">
        <v>105</v>
      </c>
      <c r="GP42" s="16">
        <v>8</v>
      </c>
      <c r="GQ42" s="16">
        <v>0</v>
      </c>
      <c r="GR42" s="16">
        <v>13</v>
      </c>
      <c r="GS42" s="16">
        <v>9</v>
      </c>
      <c r="GT42" s="16">
        <v>2</v>
      </c>
      <c r="GU42" s="16">
        <v>31</v>
      </c>
      <c r="GV42" s="16">
        <v>27</v>
      </c>
      <c r="GW42" s="16">
        <v>24</v>
      </c>
      <c r="GX42" s="16">
        <v>7</v>
      </c>
      <c r="GY42" s="16">
        <v>2</v>
      </c>
      <c r="GZ42" s="16">
        <v>25</v>
      </c>
      <c r="HA42" s="16">
        <v>18</v>
      </c>
      <c r="HB42" s="16">
        <v>16</v>
      </c>
      <c r="HC42" s="16">
        <v>80</v>
      </c>
      <c r="HD42" s="16">
        <v>89</v>
      </c>
      <c r="HE42" s="16">
        <v>6</v>
      </c>
      <c r="HF42" s="16">
        <v>56</v>
      </c>
      <c r="HG42" s="16">
        <v>30</v>
      </c>
      <c r="HH42" s="16">
        <v>19</v>
      </c>
      <c r="HI42" s="16">
        <v>22</v>
      </c>
      <c r="HJ42" s="16">
        <v>26</v>
      </c>
      <c r="HK42" s="16">
        <v>16</v>
      </c>
      <c r="HL42" s="16">
        <v>88</v>
      </c>
      <c r="HM42" s="16">
        <v>43</v>
      </c>
      <c r="HN42" s="16">
        <v>64</v>
      </c>
      <c r="HO42" s="16">
        <v>61</v>
      </c>
      <c r="HP42" s="16">
        <v>46</v>
      </c>
      <c r="HQ42" s="16">
        <v>88</v>
      </c>
      <c r="HR42" s="16">
        <v>70</v>
      </c>
      <c r="HS42" s="16">
        <v>76</v>
      </c>
      <c r="HT42" s="16">
        <v>8</v>
      </c>
      <c r="HU42" s="16">
        <v>58</v>
      </c>
      <c r="HV42" s="16">
        <v>23</v>
      </c>
      <c r="HW42" s="16">
        <v>44</v>
      </c>
      <c r="HX42" s="16">
        <v>110</v>
      </c>
      <c r="HY42" s="16">
        <v>104</v>
      </c>
      <c r="HZ42" s="16">
        <v>230</v>
      </c>
      <c r="IA42" s="16">
        <v>64</v>
      </c>
      <c r="IB42" s="16">
        <v>8</v>
      </c>
      <c r="IC42" s="16">
        <v>11</v>
      </c>
      <c r="ID42" s="16">
        <v>23</v>
      </c>
      <c r="IE42" s="16">
        <v>3</v>
      </c>
      <c r="IF42" s="16">
        <v>26</v>
      </c>
      <c r="IG42" s="16">
        <v>273</v>
      </c>
      <c r="IH42" s="16">
        <v>53</v>
      </c>
      <c r="II42" s="16">
        <v>6</v>
      </c>
      <c r="IJ42" s="16">
        <v>3</v>
      </c>
      <c r="IK42" s="16">
        <v>33</v>
      </c>
      <c r="IL42" s="16">
        <v>4</v>
      </c>
      <c r="IM42" s="16">
        <v>2</v>
      </c>
      <c r="IN42" s="16">
        <v>10</v>
      </c>
      <c r="IO42" s="16">
        <v>107</v>
      </c>
      <c r="IP42" s="16">
        <v>5</v>
      </c>
      <c r="IQ42" s="16">
        <v>4</v>
      </c>
      <c r="IR42" s="16">
        <v>2</v>
      </c>
      <c r="IS42" s="16">
        <v>9</v>
      </c>
      <c r="IT42" s="16">
        <v>5</v>
      </c>
      <c r="IU42" s="16">
        <v>7</v>
      </c>
      <c r="IV42" s="16">
        <v>3</v>
      </c>
      <c r="IW42" s="16">
        <v>56</v>
      </c>
      <c r="IX42" s="16">
        <v>18</v>
      </c>
      <c r="IY42" s="16">
        <v>72</v>
      </c>
      <c r="IZ42" s="16">
        <v>1</v>
      </c>
      <c r="JA42" s="16">
        <v>14</v>
      </c>
      <c r="JB42" s="16">
        <v>3</v>
      </c>
      <c r="JC42" s="16">
        <v>8</v>
      </c>
      <c r="JD42" s="16">
        <v>1</v>
      </c>
      <c r="JE42" s="16">
        <v>40</v>
      </c>
      <c r="JF42" s="16">
        <v>21</v>
      </c>
      <c r="JG42" s="16">
        <v>16024</v>
      </c>
      <c r="JH42" s="16">
        <v>13</v>
      </c>
      <c r="JI42" s="16">
        <v>4</v>
      </c>
      <c r="JJ42" s="16">
        <v>46</v>
      </c>
      <c r="JK42" s="16">
        <v>45</v>
      </c>
      <c r="JL42" s="16">
        <v>14</v>
      </c>
      <c r="JM42" s="16">
        <v>2</v>
      </c>
      <c r="JN42" s="16">
        <v>26</v>
      </c>
      <c r="JO42" s="16">
        <v>43</v>
      </c>
      <c r="JP42" s="16">
        <v>342</v>
      </c>
      <c r="JQ42" s="16">
        <v>115</v>
      </c>
      <c r="JR42" s="16">
        <v>4967</v>
      </c>
      <c r="JS42" s="16">
        <v>2061</v>
      </c>
      <c r="JT42" s="16">
        <v>0</v>
      </c>
      <c r="JU42" s="16">
        <v>0</v>
      </c>
      <c r="JV42" s="16">
        <v>80</v>
      </c>
      <c r="JW42" s="16">
        <v>130</v>
      </c>
      <c r="JX42" s="16">
        <v>185</v>
      </c>
      <c r="JY42" s="16">
        <v>131</v>
      </c>
      <c r="JZ42" s="16">
        <v>121</v>
      </c>
      <c r="KA42" s="16">
        <v>6</v>
      </c>
      <c r="KB42" s="16">
        <v>3</v>
      </c>
      <c r="KC42" s="16">
        <v>29</v>
      </c>
      <c r="KD42" s="16">
        <v>22</v>
      </c>
      <c r="KE42" s="16">
        <v>9</v>
      </c>
      <c r="KF42" s="16">
        <v>58</v>
      </c>
      <c r="KG42" s="16">
        <v>62</v>
      </c>
      <c r="KH42" s="16">
        <v>5</v>
      </c>
      <c r="KI42" s="16">
        <v>22</v>
      </c>
      <c r="KJ42" s="16">
        <v>69</v>
      </c>
      <c r="KK42" s="16">
        <v>13536</v>
      </c>
      <c r="KL42" s="16">
        <v>7</v>
      </c>
      <c r="KM42" s="16">
        <v>78</v>
      </c>
      <c r="KN42" s="16">
        <v>19</v>
      </c>
      <c r="KO42" s="16">
        <v>47</v>
      </c>
      <c r="KP42" s="16">
        <v>67</v>
      </c>
      <c r="KQ42" s="16">
        <v>24</v>
      </c>
      <c r="KR42" s="16">
        <v>113</v>
      </c>
      <c r="KS42" s="16">
        <v>99</v>
      </c>
      <c r="KT42" s="16">
        <v>52</v>
      </c>
      <c r="KU42" s="16">
        <v>437</v>
      </c>
      <c r="KV42" s="16">
        <v>40</v>
      </c>
      <c r="KW42" s="16">
        <v>371</v>
      </c>
      <c r="KX42" s="16">
        <v>2</v>
      </c>
      <c r="KY42" s="16">
        <v>105</v>
      </c>
      <c r="KZ42" s="16">
        <v>3828586</v>
      </c>
      <c r="LA42" s="16">
        <v>504433</v>
      </c>
      <c r="LB42" s="16">
        <v>27245</v>
      </c>
      <c r="LC42" s="16">
        <v>7249</v>
      </c>
      <c r="LD42" s="16">
        <v>46654</v>
      </c>
      <c r="LE42" s="16">
        <v>304</v>
      </c>
      <c r="LF42" s="16">
        <v>36</v>
      </c>
      <c r="LG42" s="16">
        <v>24</v>
      </c>
      <c r="LH42" s="16">
        <v>755</v>
      </c>
      <c r="LI42" s="16">
        <v>1</v>
      </c>
      <c r="LJ42" s="16">
        <v>30</v>
      </c>
      <c r="LK42" s="16">
        <v>203</v>
      </c>
      <c r="LL42" s="16">
        <v>735</v>
      </c>
      <c r="LM42" s="16">
        <v>2473</v>
      </c>
      <c r="LN42" s="16">
        <v>528</v>
      </c>
      <c r="LO42" s="16">
        <v>59</v>
      </c>
      <c r="LP42" s="16">
        <v>163</v>
      </c>
      <c r="LQ42" s="16">
        <v>25</v>
      </c>
      <c r="LR42" s="16">
        <v>489</v>
      </c>
      <c r="LS42" s="16">
        <v>724</v>
      </c>
      <c r="LT42" s="16">
        <v>229</v>
      </c>
      <c r="LU42" s="16">
        <v>122</v>
      </c>
      <c r="LV42" s="16">
        <v>15</v>
      </c>
      <c r="LW42" s="16">
        <v>95</v>
      </c>
      <c r="LX42" s="16">
        <v>142</v>
      </c>
      <c r="LY42" s="16">
        <v>0</v>
      </c>
      <c r="LZ42" s="16">
        <v>138</v>
      </c>
      <c r="MA42" s="16">
        <v>104</v>
      </c>
      <c r="MB42" s="16">
        <v>407</v>
      </c>
      <c r="MC42" s="16">
        <v>411</v>
      </c>
      <c r="MD42" s="16">
        <v>17</v>
      </c>
      <c r="ME42" s="16">
        <v>99</v>
      </c>
      <c r="MF42" s="16">
        <v>2072</v>
      </c>
      <c r="MG42" s="16">
        <v>1004</v>
      </c>
      <c r="MH42" s="16">
        <v>2457</v>
      </c>
      <c r="MI42" s="16">
        <v>151</v>
      </c>
      <c r="MJ42" s="16">
        <v>243</v>
      </c>
      <c r="MK42" s="16">
        <v>1032</v>
      </c>
      <c r="ML42" s="16">
        <v>110</v>
      </c>
      <c r="MM42" s="16">
        <v>970</v>
      </c>
      <c r="MN42" s="16">
        <v>341</v>
      </c>
      <c r="MO42" s="16">
        <v>176</v>
      </c>
      <c r="MP42" s="16">
        <v>724</v>
      </c>
      <c r="MQ42" s="16">
        <v>2848</v>
      </c>
      <c r="MR42" s="16">
        <v>83961</v>
      </c>
      <c r="MS42" s="16">
        <v>10485</v>
      </c>
      <c r="MT42" s="16">
        <v>447</v>
      </c>
      <c r="MU42" s="16">
        <v>345285</v>
      </c>
      <c r="MV42" s="16">
        <v>635</v>
      </c>
      <c r="MW42" s="16">
        <v>1196</v>
      </c>
      <c r="MX42" s="16">
        <v>130</v>
      </c>
      <c r="MY42" s="16">
        <v>520</v>
      </c>
      <c r="MZ42" s="16">
        <v>6979</v>
      </c>
      <c r="NA42" s="16">
        <v>759</v>
      </c>
      <c r="NB42" s="16">
        <v>298169</v>
      </c>
      <c r="NC42" s="16">
        <v>309</v>
      </c>
      <c r="ND42" s="16">
        <v>142</v>
      </c>
      <c r="NE42" s="16">
        <v>39</v>
      </c>
      <c r="NF42" s="16">
        <v>176</v>
      </c>
      <c r="NG42" s="16">
        <v>684</v>
      </c>
      <c r="NH42" s="16">
        <v>271</v>
      </c>
      <c r="NI42" s="16">
        <v>1883</v>
      </c>
      <c r="NJ42" s="16">
        <v>8561</v>
      </c>
      <c r="NK42" s="16">
        <v>153</v>
      </c>
      <c r="NL42" s="16">
        <v>9</v>
      </c>
      <c r="NM42" s="16">
        <v>194</v>
      </c>
      <c r="NN42" s="16">
        <v>168</v>
      </c>
      <c r="NO42" s="16">
        <v>0</v>
      </c>
      <c r="NP42" s="16">
        <v>258</v>
      </c>
      <c r="NQ42" s="16">
        <v>2116</v>
      </c>
      <c r="NR42" s="17">
        <v>6450109</v>
      </c>
    </row>
    <row r="43" spans="1:382" ht="13.5" customHeight="1" x14ac:dyDescent="0.2">
      <c r="A43" s="2" t="s">
        <v>93</v>
      </c>
      <c r="B43" s="16">
        <v>27</v>
      </c>
      <c r="C43" s="16">
        <v>12</v>
      </c>
      <c r="D43" s="16">
        <v>8</v>
      </c>
      <c r="E43" s="16">
        <v>1</v>
      </c>
      <c r="F43" s="16">
        <v>39</v>
      </c>
      <c r="G43" s="16">
        <v>15</v>
      </c>
      <c r="H43" s="16">
        <v>5</v>
      </c>
      <c r="I43" s="16">
        <v>7</v>
      </c>
      <c r="J43" s="16">
        <v>0</v>
      </c>
      <c r="K43" s="16">
        <v>0</v>
      </c>
      <c r="L43" s="16">
        <v>2</v>
      </c>
      <c r="M43" s="16">
        <v>0</v>
      </c>
      <c r="N43" s="16">
        <v>0</v>
      </c>
      <c r="O43" s="16">
        <v>0</v>
      </c>
      <c r="P43" s="16">
        <v>32</v>
      </c>
      <c r="Q43" s="16">
        <v>31</v>
      </c>
      <c r="R43" s="16">
        <v>11</v>
      </c>
      <c r="S43" s="16">
        <v>2963</v>
      </c>
      <c r="T43" s="16">
        <v>1</v>
      </c>
      <c r="U43" s="16">
        <v>3</v>
      </c>
      <c r="V43" s="16">
        <v>1</v>
      </c>
      <c r="W43" s="16">
        <v>0</v>
      </c>
      <c r="X43" s="16">
        <v>14</v>
      </c>
      <c r="Y43" s="16">
        <v>571</v>
      </c>
      <c r="Z43" s="16">
        <v>39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52</v>
      </c>
      <c r="AH43" s="16">
        <v>39</v>
      </c>
      <c r="AI43" s="16">
        <v>5</v>
      </c>
      <c r="AJ43" s="16">
        <v>12</v>
      </c>
      <c r="AK43" s="16">
        <v>30</v>
      </c>
      <c r="AL43" s="16">
        <v>4661</v>
      </c>
      <c r="AM43" s="16">
        <v>10551</v>
      </c>
      <c r="AN43" s="16">
        <v>3036</v>
      </c>
      <c r="AO43" s="16">
        <v>5</v>
      </c>
      <c r="AP43" s="16">
        <v>2</v>
      </c>
      <c r="AQ43" s="16">
        <v>8</v>
      </c>
      <c r="AR43" s="16">
        <v>0</v>
      </c>
      <c r="AS43" s="16">
        <v>18</v>
      </c>
      <c r="AT43" s="16">
        <v>29024</v>
      </c>
      <c r="AU43" s="16">
        <v>803625</v>
      </c>
      <c r="AV43" s="16">
        <v>738232</v>
      </c>
      <c r="AW43" s="16">
        <v>78219</v>
      </c>
      <c r="AX43" s="16">
        <v>1</v>
      </c>
      <c r="AY43" s="16">
        <v>12329</v>
      </c>
      <c r="AZ43" s="16">
        <v>3306</v>
      </c>
      <c r="BA43" s="16">
        <v>5288</v>
      </c>
      <c r="BB43" s="16">
        <v>190191</v>
      </c>
      <c r="BC43" s="16">
        <v>578023</v>
      </c>
      <c r="BD43" s="16">
        <v>1</v>
      </c>
      <c r="BE43" s="16">
        <v>12</v>
      </c>
      <c r="BF43" s="16">
        <v>35</v>
      </c>
      <c r="BG43" s="16">
        <v>4618</v>
      </c>
      <c r="BH43" s="16">
        <v>408</v>
      </c>
      <c r="BI43" s="16">
        <v>15</v>
      </c>
      <c r="BJ43" s="16">
        <v>4</v>
      </c>
      <c r="BK43" s="16">
        <v>4</v>
      </c>
      <c r="BL43" s="16">
        <v>533</v>
      </c>
      <c r="BM43" s="16">
        <v>2</v>
      </c>
      <c r="BN43" s="16">
        <v>23</v>
      </c>
      <c r="BO43" s="16">
        <v>14</v>
      </c>
      <c r="BP43" s="16">
        <v>9</v>
      </c>
      <c r="BQ43" s="16">
        <v>10</v>
      </c>
      <c r="BR43" s="16">
        <v>3</v>
      </c>
      <c r="BS43" s="16">
        <v>25</v>
      </c>
      <c r="BT43" s="16">
        <v>1</v>
      </c>
      <c r="BU43" s="16">
        <v>0</v>
      </c>
      <c r="BV43" s="16">
        <v>0</v>
      </c>
      <c r="BW43" s="16">
        <v>5</v>
      </c>
      <c r="BX43" s="16">
        <v>1</v>
      </c>
      <c r="BY43" s="16">
        <v>0</v>
      </c>
      <c r="BZ43" s="16">
        <v>1</v>
      </c>
      <c r="CA43" s="16">
        <v>2</v>
      </c>
      <c r="CB43" s="16">
        <v>1</v>
      </c>
      <c r="CC43" s="16">
        <v>31</v>
      </c>
      <c r="CD43" s="16">
        <v>6</v>
      </c>
      <c r="CE43" s="16">
        <v>4</v>
      </c>
      <c r="CF43" s="16">
        <v>15</v>
      </c>
      <c r="CG43" s="16">
        <v>4</v>
      </c>
      <c r="CH43" s="16">
        <v>4</v>
      </c>
      <c r="CI43" s="16">
        <v>0</v>
      </c>
      <c r="CJ43" s="16">
        <v>6</v>
      </c>
      <c r="CK43" s="16">
        <v>16</v>
      </c>
      <c r="CL43" s="16">
        <v>20</v>
      </c>
      <c r="CM43" s="16">
        <v>11</v>
      </c>
      <c r="CN43" s="16">
        <v>4</v>
      </c>
      <c r="CO43" s="16">
        <v>9</v>
      </c>
      <c r="CP43" s="16">
        <v>24</v>
      </c>
      <c r="CQ43" s="16">
        <v>101</v>
      </c>
      <c r="CR43" s="16">
        <v>0</v>
      </c>
      <c r="CS43" s="16">
        <v>7</v>
      </c>
      <c r="CT43" s="16">
        <v>3</v>
      </c>
      <c r="CU43" s="16">
        <v>8</v>
      </c>
      <c r="CV43" s="16">
        <v>12</v>
      </c>
      <c r="CW43" s="16">
        <v>37</v>
      </c>
      <c r="CX43" s="16">
        <v>44</v>
      </c>
      <c r="CY43" s="16">
        <v>2</v>
      </c>
      <c r="CZ43" s="16">
        <v>11</v>
      </c>
      <c r="DA43" s="16">
        <v>1</v>
      </c>
      <c r="DB43" s="16">
        <v>7</v>
      </c>
      <c r="DC43" s="16">
        <v>10</v>
      </c>
      <c r="DD43" s="16">
        <v>10</v>
      </c>
      <c r="DE43" s="16">
        <v>9</v>
      </c>
      <c r="DF43" s="16">
        <v>10</v>
      </c>
      <c r="DG43" s="16">
        <v>4</v>
      </c>
      <c r="DH43" s="16">
        <v>13</v>
      </c>
      <c r="DI43" s="16">
        <v>4</v>
      </c>
      <c r="DJ43" s="16">
        <v>119</v>
      </c>
      <c r="DK43" s="16">
        <v>7</v>
      </c>
      <c r="DL43" s="16">
        <v>17</v>
      </c>
      <c r="DM43" s="16">
        <v>1971</v>
      </c>
      <c r="DN43" s="16">
        <v>7</v>
      </c>
      <c r="DO43" s="16">
        <v>10</v>
      </c>
      <c r="DP43" s="16">
        <v>22</v>
      </c>
      <c r="DQ43" s="16">
        <v>4</v>
      </c>
      <c r="DR43" s="16">
        <v>6</v>
      </c>
      <c r="DS43" s="16">
        <v>32</v>
      </c>
      <c r="DT43" s="16">
        <v>9312</v>
      </c>
      <c r="DU43" s="16">
        <v>3</v>
      </c>
      <c r="DV43" s="16">
        <v>4</v>
      </c>
      <c r="DW43" s="16">
        <v>28</v>
      </c>
      <c r="DX43" s="16">
        <v>37</v>
      </c>
      <c r="DY43" s="16">
        <v>22</v>
      </c>
      <c r="DZ43" s="16">
        <v>66</v>
      </c>
      <c r="EA43" s="16">
        <v>4</v>
      </c>
      <c r="EB43" s="16">
        <v>3</v>
      </c>
      <c r="EC43" s="16">
        <v>18</v>
      </c>
      <c r="ED43" s="16">
        <v>4</v>
      </c>
      <c r="EE43" s="16">
        <v>0</v>
      </c>
      <c r="EF43" s="16">
        <v>1</v>
      </c>
      <c r="EG43" s="16">
        <v>7</v>
      </c>
      <c r="EH43" s="16">
        <v>2</v>
      </c>
      <c r="EI43" s="16">
        <v>7</v>
      </c>
      <c r="EJ43" s="16">
        <v>3</v>
      </c>
      <c r="EK43" s="16">
        <v>4</v>
      </c>
      <c r="EL43" s="16">
        <v>2</v>
      </c>
      <c r="EM43" s="16">
        <v>5</v>
      </c>
      <c r="EN43" s="16">
        <v>36</v>
      </c>
      <c r="EO43" s="16">
        <v>12</v>
      </c>
      <c r="EP43" s="16">
        <v>4</v>
      </c>
      <c r="EQ43" s="16">
        <v>12</v>
      </c>
      <c r="ER43" s="16">
        <v>2</v>
      </c>
      <c r="ES43" s="16">
        <v>2</v>
      </c>
      <c r="ET43" s="16">
        <v>17</v>
      </c>
      <c r="EU43" s="16">
        <v>26</v>
      </c>
      <c r="EV43" s="16">
        <v>3</v>
      </c>
      <c r="EW43" s="16">
        <v>7</v>
      </c>
      <c r="EX43" s="16">
        <v>60</v>
      </c>
      <c r="EY43" s="16">
        <v>8</v>
      </c>
      <c r="EZ43" s="16">
        <v>1</v>
      </c>
      <c r="FA43" s="16">
        <v>3</v>
      </c>
      <c r="FB43" s="16">
        <v>8</v>
      </c>
      <c r="FC43" s="16">
        <v>1</v>
      </c>
      <c r="FD43" s="16">
        <v>11</v>
      </c>
      <c r="FE43" s="16">
        <v>4</v>
      </c>
      <c r="FF43" s="16">
        <v>8</v>
      </c>
      <c r="FG43" s="16">
        <v>8</v>
      </c>
      <c r="FH43" s="16">
        <v>2</v>
      </c>
      <c r="FI43" s="16">
        <v>10</v>
      </c>
      <c r="FJ43" s="16">
        <v>2</v>
      </c>
      <c r="FK43" s="16">
        <v>6</v>
      </c>
      <c r="FL43" s="16">
        <v>7</v>
      </c>
      <c r="FM43" s="16">
        <v>8</v>
      </c>
      <c r="FN43" s="16">
        <v>27</v>
      </c>
      <c r="FO43" s="16">
        <v>14</v>
      </c>
      <c r="FP43" s="16">
        <v>11</v>
      </c>
      <c r="FQ43" s="16">
        <v>18</v>
      </c>
      <c r="FR43" s="16">
        <v>55</v>
      </c>
      <c r="FS43" s="16">
        <v>12</v>
      </c>
      <c r="FT43" s="16">
        <v>15</v>
      </c>
      <c r="FU43" s="16">
        <v>26</v>
      </c>
      <c r="FV43" s="16">
        <v>12</v>
      </c>
      <c r="FW43" s="16">
        <v>33</v>
      </c>
      <c r="FX43" s="16">
        <v>62</v>
      </c>
      <c r="FY43" s="16">
        <v>6</v>
      </c>
      <c r="FZ43" s="16">
        <v>12</v>
      </c>
      <c r="GA43" s="16">
        <v>3</v>
      </c>
      <c r="GB43" s="16">
        <v>308</v>
      </c>
      <c r="GC43" s="16">
        <v>5</v>
      </c>
      <c r="GD43" s="16">
        <v>68</v>
      </c>
      <c r="GE43" s="16">
        <v>2</v>
      </c>
      <c r="GF43" s="16">
        <v>62</v>
      </c>
      <c r="GG43" s="16">
        <v>0</v>
      </c>
      <c r="GH43" s="16">
        <v>6</v>
      </c>
      <c r="GI43" s="16">
        <v>2</v>
      </c>
      <c r="GJ43" s="16">
        <v>8</v>
      </c>
      <c r="GK43" s="16">
        <v>3</v>
      </c>
      <c r="GL43" s="16">
        <v>6</v>
      </c>
      <c r="GM43" s="16">
        <v>125</v>
      </c>
      <c r="GN43" s="16">
        <v>2</v>
      </c>
      <c r="GO43" s="16">
        <v>29</v>
      </c>
      <c r="GP43" s="16">
        <v>2</v>
      </c>
      <c r="GQ43" s="16">
        <v>1</v>
      </c>
      <c r="GR43" s="16">
        <v>3</v>
      </c>
      <c r="GS43" s="16">
        <v>3</v>
      </c>
      <c r="GT43" s="16">
        <v>4</v>
      </c>
      <c r="GU43" s="16">
        <v>8</v>
      </c>
      <c r="GV43" s="16">
        <v>6</v>
      </c>
      <c r="GW43" s="16">
        <v>6</v>
      </c>
      <c r="GX43" s="16">
        <v>2</v>
      </c>
      <c r="GY43" s="16">
        <v>1</v>
      </c>
      <c r="GZ43" s="16">
        <v>6</v>
      </c>
      <c r="HA43" s="16">
        <v>4</v>
      </c>
      <c r="HB43" s="16">
        <v>4</v>
      </c>
      <c r="HC43" s="16">
        <v>18</v>
      </c>
      <c r="HD43" s="16">
        <v>21</v>
      </c>
      <c r="HE43" s="16">
        <v>2</v>
      </c>
      <c r="HF43" s="16">
        <v>12</v>
      </c>
      <c r="HG43" s="16">
        <v>7</v>
      </c>
      <c r="HH43" s="16">
        <v>5</v>
      </c>
      <c r="HI43" s="16">
        <v>6</v>
      </c>
      <c r="HJ43" s="16">
        <v>6</v>
      </c>
      <c r="HK43" s="16">
        <v>4</v>
      </c>
      <c r="HL43" s="16">
        <v>21</v>
      </c>
      <c r="HM43" s="16">
        <v>10</v>
      </c>
      <c r="HN43" s="16">
        <v>15</v>
      </c>
      <c r="HO43" s="16">
        <v>14</v>
      </c>
      <c r="HP43" s="16">
        <v>11</v>
      </c>
      <c r="HQ43" s="16">
        <v>20</v>
      </c>
      <c r="HR43" s="16">
        <v>16</v>
      </c>
      <c r="HS43" s="16">
        <v>18</v>
      </c>
      <c r="HT43" s="16">
        <v>1</v>
      </c>
      <c r="HU43" s="16">
        <v>13</v>
      </c>
      <c r="HV43" s="16">
        <v>5</v>
      </c>
      <c r="HW43" s="16">
        <v>11</v>
      </c>
      <c r="HX43" s="16">
        <v>26</v>
      </c>
      <c r="HY43" s="16">
        <v>24</v>
      </c>
      <c r="HZ43" s="16">
        <v>54</v>
      </c>
      <c r="IA43" s="16">
        <v>15</v>
      </c>
      <c r="IB43" s="16">
        <v>2</v>
      </c>
      <c r="IC43" s="16">
        <v>3</v>
      </c>
      <c r="ID43" s="16">
        <v>6</v>
      </c>
      <c r="IE43" s="16">
        <v>1</v>
      </c>
      <c r="IF43" s="16">
        <v>6</v>
      </c>
      <c r="IG43" s="16">
        <v>64</v>
      </c>
      <c r="IH43" s="16">
        <v>13</v>
      </c>
      <c r="II43" s="16">
        <v>3</v>
      </c>
      <c r="IJ43" s="16">
        <v>6</v>
      </c>
      <c r="IK43" s="16">
        <v>8</v>
      </c>
      <c r="IL43" s="16">
        <v>1</v>
      </c>
      <c r="IM43" s="16">
        <v>2</v>
      </c>
      <c r="IN43" s="16">
        <v>2</v>
      </c>
      <c r="IO43" s="16">
        <v>25</v>
      </c>
      <c r="IP43" s="16">
        <v>1</v>
      </c>
      <c r="IQ43" s="16">
        <v>1</v>
      </c>
      <c r="IR43" s="16">
        <v>12</v>
      </c>
      <c r="IS43" s="16">
        <v>2</v>
      </c>
      <c r="IT43" s="16">
        <v>1</v>
      </c>
      <c r="IU43" s="16">
        <v>1</v>
      </c>
      <c r="IV43" s="16">
        <v>1</v>
      </c>
      <c r="IW43" s="16">
        <v>12</v>
      </c>
      <c r="IX43" s="16">
        <v>4</v>
      </c>
      <c r="IY43" s="16">
        <v>17</v>
      </c>
      <c r="IZ43" s="16">
        <v>0</v>
      </c>
      <c r="JA43" s="16">
        <v>3</v>
      </c>
      <c r="JB43" s="16">
        <v>3</v>
      </c>
      <c r="JC43" s="16">
        <v>1</v>
      </c>
      <c r="JD43" s="16">
        <v>2</v>
      </c>
      <c r="JE43" s="16">
        <v>10</v>
      </c>
      <c r="JF43" s="16">
        <v>5</v>
      </c>
      <c r="JG43" s="16">
        <v>17912</v>
      </c>
      <c r="JH43" s="16">
        <v>3</v>
      </c>
      <c r="JI43" s="16">
        <v>0</v>
      </c>
      <c r="JJ43" s="16">
        <v>0</v>
      </c>
      <c r="JK43" s="16">
        <v>0</v>
      </c>
      <c r="JL43" s="16">
        <v>0</v>
      </c>
      <c r="JM43" s="16">
        <v>0</v>
      </c>
      <c r="JN43" s="16">
        <v>0</v>
      </c>
      <c r="JO43" s="16">
        <v>0</v>
      </c>
      <c r="JP43" s="16">
        <v>0</v>
      </c>
      <c r="JQ43" s="16">
        <v>0</v>
      </c>
      <c r="JR43" s="16">
        <v>981</v>
      </c>
      <c r="JS43" s="16">
        <v>496</v>
      </c>
      <c r="JT43" s="16">
        <v>0</v>
      </c>
      <c r="JU43" s="16">
        <v>0</v>
      </c>
      <c r="JV43" s="16">
        <v>18</v>
      </c>
      <c r="JW43" s="16">
        <v>32</v>
      </c>
      <c r="JX43" s="16">
        <v>44</v>
      </c>
      <c r="JY43" s="16">
        <v>31</v>
      </c>
      <c r="JZ43" s="16">
        <v>25</v>
      </c>
      <c r="KA43" s="16">
        <v>1</v>
      </c>
      <c r="KB43" s="16">
        <v>1</v>
      </c>
      <c r="KC43" s="16">
        <v>7</v>
      </c>
      <c r="KD43" s="16">
        <v>10</v>
      </c>
      <c r="KE43" s="16">
        <v>2</v>
      </c>
      <c r="KF43" s="16">
        <v>13</v>
      </c>
      <c r="KG43" s="16">
        <v>14</v>
      </c>
      <c r="KH43" s="16">
        <v>1</v>
      </c>
      <c r="KI43" s="16">
        <v>5</v>
      </c>
      <c r="KJ43" s="16">
        <v>16</v>
      </c>
      <c r="KK43" s="16">
        <v>25526</v>
      </c>
      <c r="KL43" s="16">
        <v>2</v>
      </c>
      <c r="KM43" s="16">
        <v>19</v>
      </c>
      <c r="KN43" s="16">
        <v>4</v>
      </c>
      <c r="KO43" s="16">
        <v>11</v>
      </c>
      <c r="KP43" s="16">
        <v>16</v>
      </c>
      <c r="KQ43" s="16">
        <v>6</v>
      </c>
      <c r="KR43" s="16">
        <v>26</v>
      </c>
      <c r="KS43" s="16">
        <v>23</v>
      </c>
      <c r="KT43" s="16">
        <v>12</v>
      </c>
      <c r="KU43" s="16">
        <v>102</v>
      </c>
      <c r="KV43" s="16">
        <v>9</v>
      </c>
      <c r="KW43" s="16">
        <v>88</v>
      </c>
      <c r="KX43" s="16">
        <v>0</v>
      </c>
      <c r="KY43" s="16">
        <v>25</v>
      </c>
      <c r="KZ43" s="16">
        <v>282199</v>
      </c>
      <c r="LA43" s="16">
        <v>700893</v>
      </c>
      <c r="LB43" s="16">
        <v>9601</v>
      </c>
      <c r="LC43" s="16">
        <v>4662</v>
      </c>
      <c r="LD43" s="16">
        <v>125</v>
      </c>
      <c r="LE43" s="16">
        <v>70</v>
      </c>
      <c r="LF43" s="16">
        <v>9</v>
      </c>
      <c r="LG43" s="16">
        <v>6</v>
      </c>
      <c r="LH43" s="16">
        <v>177</v>
      </c>
      <c r="LI43" s="16">
        <v>21</v>
      </c>
      <c r="LJ43" s="16">
        <v>7</v>
      </c>
      <c r="LK43" s="16">
        <v>48</v>
      </c>
      <c r="LL43" s="16">
        <v>172</v>
      </c>
      <c r="LM43" s="16">
        <v>577</v>
      </c>
      <c r="LN43" s="16">
        <v>123</v>
      </c>
      <c r="LO43" s="16">
        <v>14</v>
      </c>
      <c r="LP43" s="16">
        <v>40</v>
      </c>
      <c r="LQ43" s="16">
        <v>5</v>
      </c>
      <c r="LR43" s="16">
        <v>118</v>
      </c>
      <c r="LS43" s="16">
        <v>173</v>
      </c>
      <c r="LT43" s="16">
        <v>55</v>
      </c>
      <c r="LU43" s="16">
        <v>29</v>
      </c>
      <c r="LV43" s="16">
        <v>4</v>
      </c>
      <c r="LW43" s="16">
        <v>23</v>
      </c>
      <c r="LX43" s="16">
        <v>35</v>
      </c>
      <c r="LY43" s="16">
        <v>0</v>
      </c>
      <c r="LZ43" s="16">
        <v>32</v>
      </c>
      <c r="MA43" s="16">
        <v>26</v>
      </c>
      <c r="MB43" s="16">
        <v>96</v>
      </c>
      <c r="MC43" s="16">
        <v>81</v>
      </c>
      <c r="MD43" s="16">
        <v>4</v>
      </c>
      <c r="ME43" s="16">
        <v>25</v>
      </c>
      <c r="MF43" s="16">
        <v>2732</v>
      </c>
      <c r="MG43" s="16">
        <v>236</v>
      </c>
      <c r="MH43" s="16">
        <v>575</v>
      </c>
      <c r="MI43" s="16">
        <v>35</v>
      </c>
      <c r="MJ43" s="16">
        <v>57</v>
      </c>
      <c r="MK43" s="16">
        <v>241</v>
      </c>
      <c r="ML43" s="16">
        <v>24</v>
      </c>
      <c r="MM43" s="16">
        <v>227</v>
      </c>
      <c r="MN43" s="16">
        <v>81</v>
      </c>
      <c r="MO43" s="16">
        <v>42</v>
      </c>
      <c r="MP43" s="16">
        <v>170</v>
      </c>
      <c r="MQ43" s="16">
        <v>669</v>
      </c>
      <c r="MR43" s="16">
        <v>4038</v>
      </c>
      <c r="MS43" s="16">
        <v>2006</v>
      </c>
      <c r="MT43" s="16">
        <v>88</v>
      </c>
      <c r="MU43" s="16">
        <v>31442</v>
      </c>
      <c r="MV43" s="16">
        <v>152</v>
      </c>
      <c r="MW43" s="16">
        <v>286</v>
      </c>
      <c r="MX43" s="16">
        <v>22</v>
      </c>
      <c r="MY43" s="16">
        <v>24</v>
      </c>
      <c r="MZ43" s="16">
        <v>227</v>
      </c>
      <c r="NA43" s="16">
        <v>112</v>
      </c>
      <c r="NB43" s="16">
        <v>26166</v>
      </c>
      <c r="NC43" s="16">
        <v>60</v>
      </c>
      <c r="ND43" s="16">
        <v>34</v>
      </c>
      <c r="NE43" s="16">
        <v>10</v>
      </c>
      <c r="NF43" s="16">
        <v>41</v>
      </c>
      <c r="NG43" s="16">
        <v>321</v>
      </c>
      <c r="NH43" s="16">
        <v>64</v>
      </c>
      <c r="NI43" s="16">
        <v>453</v>
      </c>
      <c r="NJ43" s="16">
        <v>2056</v>
      </c>
      <c r="NK43" s="16">
        <v>36</v>
      </c>
      <c r="NL43" s="16">
        <v>2</v>
      </c>
      <c r="NM43" s="16">
        <v>45</v>
      </c>
      <c r="NN43" s="16">
        <v>40</v>
      </c>
      <c r="NO43" s="16">
        <v>0</v>
      </c>
      <c r="NP43" s="16">
        <v>62</v>
      </c>
      <c r="NQ43" s="16">
        <v>1651</v>
      </c>
      <c r="NR43" s="17">
        <v>3599621</v>
      </c>
    </row>
    <row r="44" spans="1:382" ht="13.5" customHeight="1" x14ac:dyDescent="0.2">
      <c r="A44" s="2" t="s">
        <v>95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923125</v>
      </c>
      <c r="AT44" s="16">
        <v>174903</v>
      </c>
      <c r="AU44" s="16">
        <v>1706</v>
      </c>
      <c r="AV44" s="16">
        <v>0</v>
      </c>
      <c r="AW44" s="16">
        <v>53597</v>
      </c>
      <c r="AX44" s="16">
        <v>0</v>
      </c>
      <c r="AY44" s="16">
        <v>0</v>
      </c>
      <c r="AZ44" s="16">
        <v>0</v>
      </c>
      <c r="BA44" s="16">
        <v>0</v>
      </c>
      <c r="BB44" s="16">
        <v>4684</v>
      </c>
      <c r="BC44" s="16">
        <v>132908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13848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  <c r="IB44" s="16">
        <v>0</v>
      </c>
      <c r="IC44" s="16">
        <v>0</v>
      </c>
      <c r="ID44" s="16">
        <v>0</v>
      </c>
      <c r="IE44" s="16">
        <v>0</v>
      </c>
      <c r="IF44" s="16">
        <v>0</v>
      </c>
      <c r="IG44" s="16">
        <v>0</v>
      </c>
      <c r="IH44" s="16">
        <v>0</v>
      </c>
      <c r="II44" s="16">
        <v>0</v>
      </c>
      <c r="IJ44" s="16">
        <v>0</v>
      </c>
      <c r="IK44" s="16">
        <v>0</v>
      </c>
      <c r="IL44" s="16">
        <v>0</v>
      </c>
      <c r="IM44" s="16">
        <v>0</v>
      </c>
      <c r="IN44" s="16">
        <v>0</v>
      </c>
      <c r="IO44" s="16">
        <v>0</v>
      </c>
      <c r="IP44" s="16">
        <v>0</v>
      </c>
      <c r="IQ44" s="16">
        <v>0</v>
      </c>
      <c r="IR44" s="16">
        <v>0</v>
      </c>
      <c r="IS44" s="16">
        <v>0</v>
      </c>
      <c r="IT44" s="16">
        <v>0</v>
      </c>
      <c r="IU44" s="16">
        <v>0</v>
      </c>
      <c r="IV44" s="16">
        <v>0</v>
      </c>
      <c r="IW44" s="16">
        <v>0</v>
      </c>
      <c r="IX44" s="16">
        <v>0</v>
      </c>
      <c r="IY44" s="16">
        <v>0</v>
      </c>
      <c r="IZ44" s="16">
        <v>0</v>
      </c>
      <c r="JA44" s="16">
        <v>0</v>
      </c>
      <c r="JB44" s="16">
        <v>0</v>
      </c>
      <c r="JC44" s="16">
        <v>0</v>
      </c>
      <c r="JD44" s="16">
        <v>0</v>
      </c>
      <c r="JE44" s="16">
        <v>0</v>
      </c>
      <c r="JF44" s="16">
        <v>0</v>
      </c>
      <c r="JG44" s="16">
        <v>315</v>
      </c>
      <c r="JH44" s="16">
        <v>0</v>
      </c>
      <c r="JI44" s="16">
        <v>0</v>
      </c>
      <c r="JJ44" s="16">
        <v>0</v>
      </c>
      <c r="JK44" s="16">
        <v>0</v>
      </c>
      <c r="JL44" s="16">
        <v>0</v>
      </c>
      <c r="JM44" s="16">
        <v>0</v>
      </c>
      <c r="JN44" s="16">
        <v>0</v>
      </c>
      <c r="JO44" s="16">
        <v>0</v>
      </c>
      <c r="JP44" s="16">
        <v>0</v>
      </c>
      <c r="JQ44" s="16">
        <v>0</v>
      </c>
      <c r="JR44" s="16">
        <v>0</v>
      </c>
      <c r="JS44" s="16">
        <v>0</v>
      </c>
      <c r="JT44" s="16">
        <v>0</v>
      </c>
      <c r="JU44" s="16">
        <v>0</v>
      </c>
      <c r="JV44" s="16">
        <v>0</v>
      </c>
      <c r="JW44" s="16">
        <v>0</v>
      </c>
      <c r="JX44" s="16">
        <v>0</v>
      </c>
      <c r="JY44" s="16">
        <v>0</v>
      </c>
      <c r="JZ44" s="16">
        <v>0</v>
      </c>
      <c r="KA44" s="16">
        <v>0</v>
      </c>
      <c r="KB44" s="16">
        <v>0</v>
      </c>
      <c r="KC44" s="16">
        <v>0</v>
      </c>
      <c r="KD44" s="16">
        <v>0</v>
      </c>
      <c r="KE44" s="16">
        <v>0</v>
      </c>
      <c r="KF44" s="16">
        <v>0</v>
      </c>
      <c r="KG44" s="16">
        <v>0</v>
      </c>
      <c r="KH44" s="16">
        <v>0</v>
      </c>
      <c r="KI44" s="16">
        <v>0</v>
      </c>
      <c r="KJ44" s="16">
        <v>0</v>
      </c>
      <c r="KK44" s="16">
        <v>0</v>
      </c>
      <c r="KL44" s="16">
        <v>0</v>
      </c>
      <c r="KM44" s="16">
        <v>0</v>
      </c>
      <c r="KN44" s="16">
        <v>0</v>
      </c>
      <c r="KO44" s="16">
        <v>0</v>
      </c>
      <c r="KP44" s="16">
        <v>0</v>
      </c>
      <c r="KQ44" s="16">
        <v>0</v>
      </c>
      <c r="KR44" s="16">
        <v>0</v>
      </c>
      <c r="KS44" s="16">
        <v>0</v>
      </c>
      <c r="KT44" s="16">
        <v>0</v>
      </c>
      <c r="KU44" s="16">
        <v>0</v>
      </c>
      <c r="KV44" s="16">
        <v>0</v>
      </c>
      <c r="KW44" s="16">
        <v>0</v>
      </c>
      <c r="KX44" s="16">
        <v>0</v>
      </c>
      <c r="KY44" s="16">
        <v>0</v>
      </c>
      <c r="KZ44" s="16">
        <v>0</v>
      </c>
      <c r="LA44" s="16">
        <v>0</v>
      </c>
      <c r="LB44" s="16">
        <v>0</v>
      </c>
      <c r="LC44" s="16">
        <v>0</v>
      </c>
      <c r="LD44" s="16">
        <v>0</v>
      </c>
      <c r="LE44" s="16">
        <v>0</v>
      </c>
      <c r="LF44" s="16">
        <v>0</v>
      </c>
      <c r="LG44" s="16">
        <v>0</v>
      </c>
      <c r="LH44" s="16">
        <v>0</v>
      </c>
      <c r="LI44" s="16">
        <v>0</v>
      </c>
      <c r="LJ44" s="16">
        <v>0</v>
      </c>
      <c r="LK44" s="16">
        <v>0</v>
      </c>
      <c r="LL44" s="16">
        <v>0</v>
      </c>
      <c r="LM44" s="16">
        <v>0</v>
      </c>
      <c r="LN44" s="16">
        <v>0</v>
      </c>
      <c r="LO44" s="16">
        <v>0</v>
      </c>
      <c r="LP44" s="16">
        <v>0</v>
      </c>
      <c r="LQ44" s="16">
        <v>0</v>
      </c>
      <c r="LR44" s="16">
        <v>0</v>
      </c>
      <c r="LS44" s="16">
        <v>0</v>
      </c>
      <c r="LT44" s="16">
        <v>0</v>
      </c>
      <c r="LU44" s="16">
        <v>0</v>
      </c>
      <c r="LV44" s="16">
        <v>0</v>
      </c>
      <c r="LW44" s="16">
        <v>0</v>
      </c>
      <c r="LX44" s="16">
        <v>0</v>
      </c>
      <c r="LY44" s="16">
        <v>0</v>
      </c>
      <c r="LZ44" s="16">
        <v>0</v>
      </c>
      <c r="MA44" s="16">
        <v>0</v>
      </c>
      <c r="MB44" s="16">
        <v>0</v>
      </c>
      <c r="MC44" s="16">
        <v>0</v>
      </c>
      <c r="MD44" s="16">
        <v>0</v>
      </c>
      <c r="ME44" s="16">
        <v>0</v>
      </c>
      <c r="MF44" s="16">
        <v>113</v>
      </c>
      <c r="MG44" s="16">
        <v>0</v>
      </c>
      <c r="MH44" s="16">
        <v>0</v>
      </c>
      <c r="MI44" s="16">
        <v>0</v>
      </c>
      <c r="MJ44" s="16">
        <v>0</v>
      </c>
      <c r="MK44" s="16">
        <v>0</v>
      </c>
      <c r="ML44" s="16">
        <v>0</v>
      </c>
      <c r="MM44" s="16">
        <v>0</v>
      </c>
      <c r="MN44" s="16">
        <v>0</v>
      </c>
      <c r="MO44" s="16">
        <v>0</v>
      </c>
      <c r="MP44" s="16">
        <v>0</v>
      </c>
      <c r="MQ44" s="16">
        <v>0</v>
      </c>
      <c r="MR44" s="16">
        <v>0</v>
      </c>
      <c r="MS44" s="16">
        <v>0</v>
      </c>
      <c r="MT44" s="16">
        <v>0</v>
      </c>
      <c r="MU44" s="16">
        <v>0</v>
      </c>
      <c r="MV44" s="16">
        <v>0</v>
      </c>
      <c r="MW44" s="16">
        <v>0</v>
      </c>
      <c r="MX44" s="16">
        <v>0</v>
      </c>
      <c r="MY44" s="16">
        <v>0</v>
      </c>
      <c r="MZ44" s="16">
        <v>0</v>
      </c>
      <c r="NA44" s="16">
        <v>0</v>
      </c>
      <c r="NB44" s="16">
        <v>0</v>
      </c>
      <c r="NC44" s="16">
        <v>0</v>
      </c>
      <c r="ND44" s="16">
        <v>0</v>
      </c>
      <c r="NE44" s="16">
        <v>0</v>
      </c>
      <c r="NF44" s="16">
        <v>0</v>
      </c>
      <c r="NG44" s="16">
        <v>0</v>
      </c>
      <c r="NH44" s="16">
        <v>0</v>
      </c>
      <c r="NI44" s="16">
        <v>0</v>
      </c>
      <c r="NJ44" s="16">
        <v>0</v>
      </c>
      <c r="NK44" s="16">
        <v>0</v>
      </c>
      <c r="NL44" s="16">
        <v>0</v>
      </c>
      <c r="NM44" s="16">
        <v>0</v>
      </c>
      <c r="NN44" s="16">
        <v>0</v>
      </c>
      <c r="NO44" s="16">
        <v>0</v>
      </c>
      <c r="NP44" s="16">
        <v>0</v>
      </c>
      <c r="NQ44" s="16">
        <v>0</v>
      </c>
      <c r="NR44" s="17">
        <v>1305199</v>
      </c>
    </row>
    <row r="45" spans="1:382" ht="13.5" customHeight="1" x14ac:dyDescent="0.2">
      <c r="A45" s="2" t="s">
        <v>97</v>
      </c>
      <c r="B45" s="16">
        <v>51</v>
      </c>
      <c r="C45" s="16">
        <v>22</v>
      </c>
      <c r="D45" s="16">
        <v>13</v>
      </c>
      <c r="E45" s="16">
        <v>2</v>
      </c>
      <c r="F45" s="16">
        <v>76</v>
      </c>
      <c r="G45" s="16">
        <v>31</v>
      </c>
      <c r="H45" s="16">
        <v>8</v>
      </c>
      <c r="I45" s="16">
        <v>13</v>
      </c>
      <c r="J45" s="16">
        <v>3</v>
      </c>
      <c r="K45" s="16">
        <v>0</v>
      </c>
      <c r="L45" s="16">
        <v>1</v>
      </c>
      <c r="M45" s="16">
        <v>0</v>
      </c>
      <c r="N45" s="16">
        <v>0</v>
      </c>
      <c r="O45" s="16">
        <v>14</v>
      </c>
      <c r="P45" s="16">
        <v>63</v>
      </c>
      <c r="Q45" s="16">
        <v>61</v>
      </c>
      <c r="R45" s="16">
        <v>19</v>
      </c>
      <c r="S45" s="16">
        <v>13094</v>
      </c>
      <c r="T45" s="16">
        <v>1</v>
      </c>
      <c r="U45" s="16">
        <v>4</v>
      </c>
      <c r="V45" s="16">
        <v>1</v>
      </c>
      <c r="W45" s="16">
        <v>3</v>
      </c>
      <c r="X45" s="16">
        <v>14</v>
      </c>
      <c r="Y45" s="16">
        <v>89</v>
      </c>
      <c r="Z45" s="16">
        <v>74</v>
      </c>
      <c r="AA45" s="16">
        <v>1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96</v>
      </c>
      <c r="AH45" s="16">
        <v>76</v>
      </c>
      <c r="AI45" s="16">
        <v>9</v>
      </c>
      <c r="AJ45" s="16">
        <v>27</v>
      </c>
      <c r="AK45" s="16">
        <v>92</v>
      </c>
      <c r="AL45" s="16">
        <v>1186</v>
      </c>
      <c r="AM45" s="16">
        <v>106957</v>
      </c>
      <c r="AN45" s="16">
        <v>1020</v>
      </c>
      <c r="AO45" s="16">
        <v>9</v>
      </c>
      <c r="AP45" s="16">
        <v>4</v>
      </c>
      <c r="AQ45" s="16">
        <v>17</v>
      </c>
      <c r="AR45" s="16">
        <v>0</v>
      </c>
      <c r="AS45" s="16">
        <v>17954</v>
      </c>
      <c r="AT45" s="16">
        <v>5748</v>
      </c>
      <c r="AU45" s="16">
        <v>249494</v>
      </c>
      <c r="AV45" s="16">
        <v>1671</v>
      </c>
      <c r="AW45" s="16">
        <v>39061</v>
      </c>
      <c r="AX45" s="16">
        <v>390</v>
      </c>
      <c r="AY45" s="16">
        <v>100415</v>
      </c>
      <c r="AZ45" s="16">
        <v>47245</v>
      </c>
      <c r="BA45" s="16">
        <v>10868</v>
      </c>
      <c r="BB45" s="16">
        <v>180183</v>
      </c>
      <c r="BC45" s="16">
        <v>197156</v>
      </c>
      <c r="BD45" s="16">
        <v>1</v>
      </c>
      <c r="BE45" s="16">
        <v>351</v>
      </c>
      <c r="BF45" s="16">
        <v>62</v>
      </c>
      <c r="BG45" s="16">
        <v>1884</v>
      </c>
      <c r="BH45" s="16">
        <v>104163</v>
      </c>
      <c r="BI45" s="16">
        <v>266</v>
      </c>
      <c r="BJ45" s="16">
        <v>7</v>
      </c>
      <c r="BK45" s="16">
        <v>6</v>
      </c>
      <c r="BL45" s="16">
        <v>42</v>
      </c>
      <c r="BM45" s="16">
        <v>5</v>
      </c>
      <c r="BN45" s="16">
        <v>39</v>
      </c>
      <c r="BO45" s="16">
        <v>26</v>
      </c>
      <c r="BP45" s="16">
        <v>18</v>
      </c>
      <c r="BQ45" s="16">
        <v>20</v>
      </c>
      <c r="BR45" s="16">
        <v>4</v>
      </c>
      <c r="BS45" s="16">
        <v>45</v>
      </c>
      <c r="BT45" s="16">
        <v>1</v>
      </c>
      <c r="BU45" s="16">
        <v>1</v>
      </c>
      <c r="BV45" s="16">
        <v>1</v>
      </c>
      <c r="BW45" s="16">
        <v>10</v>
      </c>
      <c r="BX45" s="16">
        <v>2</v>
      </c>
      <c r="BY45" s="16">
        <v>0</v>
      </c>
      <c r="BZ45" s="16">
        <v>2</v>
      </c>
      <c r="CA45" s="16">
        <v>4</v>
      </c>
      <c r="CB45" s="16">
        <v>3</v>
      </c>
      <c r="CC45" s="16">
        <v>56</v>
      </c>
      <c r="CD45" s="16">
        <v>10</v>
      </c>
      <c r="CE45" s="16">
        <v>8</v>
      </c>
      <c r="CF45" s="16">
        <v>25</v>
      </c>
      <c r="CG45" s="16">
        <v>6</v>
      </c>
      <c r="CH45" s="16">
        <v>5</v>
      </c>
      <c r="CI45" s="16">
        <v>5</v>
      </c>
      <c r="CJ45" s="16">
        <v>11</v>
      </c>
      <c r="CK45" s="16">
        <v>29</v>
      </c>
      <c r="CL45" s="16">
        <v>36</v>
      </c>
      <c r="CM45" s="16">
        <v>18</v>
      </c>
      <c r="CN45" s="16">
        <v>6</v>
      </c>
      <c r="CO45" s="16">
        <v>18</v>
      </c>
      <c r="CP45" s="16">
        <v>45</v>
      </c>
      <c r="CQ45" s="16">
        <v>187</v>
      </c>
      <c r="CR45" s="16">
        <v>22</v>
      </c>
      <c r="CS45" s="16">
        <v>14</v>
      </c>
      <c r="CT45" s="16">
        <v>6</v>
      </c>
      <c r="CU45" s="16">
        <v>15</v>
      </c>
      <c r="CV45" s="16">
        <v>21</v>
      </c>
      <c r="CW45" s="16">
        <v>67</v>
      </c>
      <c r="CX45" s="16">
        <v>78</v>
      </c>
      <c r="CY45" s="16">
        <v>4</v>
      </c>
      <c r="CZ45" s="16">
        <v>16</v>
      </c>
      <c r="DA45" s="16">
        <v>2</v>
      </c>
      <c r="DB45" s="16">
        <v>10</v>
      </c>
      <c r="DC45" s="16">
        <v>17</v>
      </c>
      <c r="DD45" s="16">
        <v>18</v>
      </c>
      <c r="DE45" s="16">
        <v>17</v>
      </c>
      <c r="DF45" s="16">
        <v>17</v>
      </c>
      <c r="DG45" s="16">
        <v>8</v>
      </c>
      <c r="DH45" s="16">
        <v>27</v>
      </c>
      <c r="DI45" s="16">
        <v>7</v>
      </c>
      <c r="DJ45" s="16">
        <v>220</v>
      </c>
      <c r="DK45" s="16">
        <v>13</v>
      </c>
      <c r="DL45" s="16">
        <v>31</v>
      </c>
      <c r="DM45" s="16">
        <v>31241</v>
      </c>
      <c r="DN45" s="16">
        <v>433</v>
      </c>
      <c r="DO45" s="16">
        <v>2112</v>
      </c>
      <c r="DP45" s="16">
        <v>40</v>
      </c>
      <c r="DQ45" s="16">
        <v>7</v>
      </c>
      <c r="DR45" s="16">
        <v>11</v>
      </c>
      <c r="DS45" s="16">
        <v>60</v>
      </c>
      <c r="DT45" s="16">
        <v>11</v>
      </c>
      <c r="DU45" s="16">
        <v>3</v>
      </c>
      <c r="DV45" s="16">
        <v>6</v>
      </c>
      <c r="DW45" s="16">
        <v>52</v>
      </c>
      <c r="DX45" s="16">
        <v>66</v>
      </c>
      <c r="DY45" s="16">
        <v>39</v>
      </c>
      <c r="DZ45" s="16">
        <v>119</v>
      </c>
      <c r="EA45" s="16">
        <v>8</v>
      </c>
      <c r="EB45" s="16">
        <v>5</v>
      </c>
      <c r="EC45" s="16">
        <v>33</v>
      </c>
      <c r="ED45" s="16">
        <v>6</v>
      </c>
      <c r="EE45" s="16">
        <v>1</v>
      </c>
      <c r="EF45" s="16">
        <v>2</v>
      </c>
      <c r="EG45" s="16">
        <v>10</v>
      </c>
      <c r="EH45" s="16">
        <v>1</v>
      </c>
      <c r="EI45" s="16">
        <v>14</v>
      </c>
      <c r="EJ45" s="16">
        <v>6</v>
      </c>
      <c r="EK45" s="16">
        <v>6</v>
      </c>
      <c r="EL45" s="16">
        <v>2</v>
      </c>
      <c r="EM45" s="16">
        <v>9</v>
      </c>
      <c r="EN45" s="16">
        <v>68</v>
      </c>
      <c r="EO45" s="16">
        <v>21</v>
      </c>
      <c r="EP45" s="16">
        <v>8</v>
      </c>
      <c r="EQ45" s="16">
        <v>21</v>
      </c>
      <c r="ER45" s="16">
        <v>1</v>
      </c>
      <c r="ES45" s="16">
        <v>3</v>
      </c>
      <c r="ET45" s="16">
        <v>31</v>
      </c>
      <c r="EU45" s="16">
        <v>49</v>
      </c>
      <c r="EV45" s="16">
        <v>6</v>
      </c>
      <c r="EW45" s="16">
        <v>14</v>
      </c>
      <c r="EX45" s="16">
        <v>111</v>
      </c>
      <c r="EY45" s="16">
        <v>16</v>
      </c>
      <c r="EZ45" s="16">
        <v>1</v>
      </c>
      <c r="FA45" s="16">
        <v>5</v>
      </c>
      <c r="FB45" s="16">
        <v>14</v>
      </c>
      <c r="FC45" s="16">
        <v>1</v>
      </c>
      <c r="FD45" s="16">
        <v>18</v>
      </c>
      <c r="FE45" s="16">
        <v>8</v>
      </c>
      <c r="FF45" s="16">
        <v>15</v>
      </c>
      <c r="FG45" s="16">
        <v>16</v>
      </c>
      <c r="FH45" s="16">
        <v>4</v>
      </c>
      <c r="FI45" s="16">
        <v>19</v>
      </c>
      <c r="FJ45" s="16">
        <v>4</v>
      </c>
      <c r="FK45" s="16">
        <v>11</v>
      </c>
      <c r="FL45" s="16">
        <v>14</v>
      </c>
      <c r="FM45" s="16">
        <v>13</v>
      </c>
      <c r="FN45" s="16">
        <v>47</v>
      </c>
      <c r="FO45" s="16">
        <v>25</v>
      </c>
      <c r="FP45" s="16">
        <v>19</v>
      </c>
      <c r="FQ45" s="16">
        <v>33</v>
      </c>
      <c r="FR45" s="16">
        <v>101</v>
      </c>
      <c r="FS45" s="16">
        <v>21</v>
      </c>
      <c r="FT45" s="16">
        <v>28</v>
      </c>
      <c r="FU45" s="16">
        <v>47</v>
      </c>
      <c r="FV45" s="16">
        <v>22</v>
      </c>
      <c r="FW45" s="16">
        <v>61</v>
      </c>
      <c r="FX45" s="16">
        <v>112</v>
      </c>
      <c r="FY45" s="16">
        <v>11</v>
      </c>
      <c r="FZ45" s="16">
        <v>24</v>
      </c>
      <c r="GA45" s="16">
        <v>5</v>
      </c>
      <c r="GB45" s="16">
        <v>566</v>
      </c>
      <c r="GC45" s="16">
        <v>9</v>
      </c>
      <c r="GD45" s="16">
        <v>125</v>
      </c>
      <c r="GE45" s="16">
        <v>2</v>
      </c>
      <c r="GF45" s="16">
        <v>115</v>
      </c>
      <c r="GG45" s="16">
        <v>0</v>
      </c>
      <c r="GH45" s="16">
        <v>10</v>
      </c>
      <c r="GI45" s="16">
        <v>3</v>
      </c>
      <c r="GJ45" s="16">
        <v>16</v>
      </c>
      <c r="GK45" s="16">
        <v>4</v>
      </c>
      <c r="GL45" s="16">
        <v>9</v>
      </c>
      <c r="GM45" s="16">
        <v>154</v>
      </c>
      <c r="GN45" s="16">
        <v>5</v>
      </c>
      <c r="GO45" s="16">
        <v>38</v>
      </c>
      <c r="GP45" s="16">
        <v>3</v>
      </c>
      <c r="GQ45" s="16">
        <v>2</v>
      </c>
      <c r="GR45" s="16">
        <v>6</v>
      </c>
      <c r="GS45" s="16">
        <v>5</v>
      </c>
      <c r="GT45" s="16">
        <v>4</v>
      </c>
      <c r="GU45" s="16">
        <v>14</v>
      </c>
      <c r="GV45" s="16">
        <v>12</v>
      </c>
      <c r="GW45" s="16">
        <v>11</v>
      </c>
      <c r="GX45" s="16">
        <v>3</v>
      </c>
      <c r="GY45" s="16">
        <v>2</v>
      </c>
      <c r="GZ45" s="16">
        <v>11</v>
      </c>
      <c r="HA45" s="16">
        <v>9</v>
      </c>
      <c r="HB45" s="16">
        <v>7</v>
      </c>
      <c r="HC45" s="16">
        <v>34</v>
      </c>
      <c r="HD45" s="16">
        <v>38</v>
      </c>
      <c r="HE45" s="16">
        <v>3</v>
      </c>
      <c r="HF45" s="16">
        <v>23</v>
      </c>
      <c r="HG45" s="16">
        <v>13</v>
      </c>
      <c r="HH45" s="16">
        <v>9</v>
      </c>
      <c r="HI45" s="16">
        <v>9</v>
      </c>
      <c r="HJ45" s="16">
        <v>11</v>
      </c>
      <c r="HK45" s="16">
        <v>6</v>
      </c>
      <c r="HL45" s="16">
        <v>38</v>
      </c>
      <c r="HM45" s="16">
        <v>17</v>
      </c>
      <c r="HN45" s="16">
        <v>29</v>
      </c>
      <c r="HO45" s="16">
        <v>26</v>
      </c>
      <c r="HP45" s="16">
        <v>19</v>
      </c>
      <c r="HQ45" s="16">
        <v>38</v>
      </c>
      <c r="HR45" s="16">
        <v>31</v>
      </c>
      <c r="HS45" s="16">
        <v>32</v>
      </c>
      <c r="HT45" s="16">
        <v>4</v>
      </c>
      <c r="HU45" s="16">
        <v>24</v>
      </c>
      <c r="HV45" s="16">
        <v>10</v>
      </c>
      <c r="HW45" s="16">
        <v>19</v>
      </c>
      <c r="HX45" s="16">
        <v>47</v>
      </c>
      <c r="HY45" s="16">
        <v>45</v>
      </c>
      <c r="HZ45" s="16">
        <v>99</v>
      </c>
      <c r="IA45" s="16">
        <v>28</v>
      </c>
      <c r="IB45" s="16">
        <v>3</v>
      </c>
      <c r="IC45" s="16">
        <v>4</v>
      </c>
      <c r="ID45" s="16">
        <v>10</v>
      </c>
      <c r="IE45" s="16">
        <v>1</v>
      </c>
      <c r="IF45" s="16">
        <v>11</v>
      </c>
      <c r="IG45" s="16">
        <v>118</v>
      </c>
      <c r="IH45" s="16">
        <v>22</v>
      </c>
      <c r="II45" s="16">
        <v>5</v>
      </c>
      <c r="IJ45" s="16">
        <v>2</v>
      </c>
      <c r="IK45" s="16">
        <v>14</v>
      </c>
      <c r="IL45" s="16">
        <v>2</v>
      </c>
      <c r="IM45" s="16">
        <v>2</v>
      </c>
      <c r="IN45" s="16">
        <v>5</v>
      </c>
      <c r="IO45" s="16">
        <v>46</v>
      </c>
      <c r="IP45" s="16">
        <v>2</v>
      </c>
      <c r="IQ45" s="16">
        <v>2</v>
      </c>
      <c r="IR45" s="16">
        <v>15</v>
      </c>
      <c r="IS45" s="16">
        <v>4</v>
      </c>
      <c r="IT45" s="16">
        <v>2</v>
      </c>
      <c r="IU45" s="16">
        <v>4</v>
      </c>
      <c r="IV45" s="16">
        <v>2</v>
      </c>
      <c r="IW45" s="16">
        <v>25</v>
      </c>
      <c r="IX45" s="16">
        <v>7</v>
      </c>
      <c r="IY45" s="16">
        <v>31</v>
      </c>
      <c r="IZ45" s="16">
        <v>1</v>
      </c>
      <c r="JA45" s="16">
        <v>5</v>
      </c>
      <c r="JB45" s="16">
        <v>5</v>
      </c>
      <c r="JC45" s="16">
        <v>3</v>
      </c>
      <c r="JD45" s="16">
        <v>4</v>
      </c>
      <c r="JE45" s="16">
        <v>16</v>
      </c>
      <c r="JF45" s="16">
        <v>8</v>
      </c>
      <c r="JG45" s="16">
        <v>6213</v>
      </c>
      <c r="JH45" s="16">
        <v>5</v>
      </c>
      <c r="JI45" s="16">
        <v>15</v>
      </c>
      <c r="JJ45" s="16">
        <v>20</v>
      </c>
      <c r="JK45" s="16">
        <v>20</v>
      </c>
      <c r="JL45" s="16">
        <v>6</v>
      </c>
      <c r="JM45" s="16">
        <v>1</v>
      </c>
      <c r="JN45" s="16">
        <v>15</v>
      </c>
      <c r="JO45" s="16">
        <v>18</v>
      </c>
      <c r="JP45" s="16">
        <v>152</v>
      </c>
      <c r="JQ45" s="16">
        <v>54</v>
      </c>
      <c r="JR45" s="16">
        <v>1820</v>
      </c>
      <c r="JS45" s="16">
        <v>953</v>
      </c>
      <c r="JT45" s="16">
        <v>0</v>
      </c>
      <c r="JU45" s="16">
        <v>0</v>
      </c>
      <c r="JV45" s="16">
        <v>37</v>
      </c>
      <c r="JW45" s="16">
        <v>61</v>
      </c>
      <c r="JX45" s="16">
        <v>80</v>
      </c>
      <c r="JY45" s="16">
        <v>59</v>
      </c>
      <c r="JZ45" s="16">
        <v>46</v>
      </c>
      <c r="KA45" s="16">
        <v>2</v>
      </c>
      <c r="KB45" s="16">
        <v>1</v>
      </c>
      <c r="KC45" s="16">
        <v>14</v>
      </c>
      <c r="KD45" s="16">
        <v>19</v>
      </c>
      <c r="KE45" s="16">
        <v>4</v>
      </c>
      <c r="KF45" s="16">
        <v>25</v>
      </c>
      <c r="KG45" s="16">
        <v>27</v>
      </c>
      <c r="KH45" s="16">
        <v>2</v>
      </c>
      <c r="KI45" s="16">
        <v>10</v>
      </c>
      <c r="KJ45" s="16">
        <v>31</v>
      </c>
      <c r="KK45" s="16">
        <v>7103</v>
      </c>
      <c r="KL45" s="16">
        <v>3</v>
      </c>
      <c r="KM45" s="16">
        <v>36</v>
      </c>
      <c r="KN45" s="16">
        <v>8</v>
      </c>
      <c r="KO45" s="16">
        <v>20</v>
      </c>
      <c r="KP45" s="16">
        <v>29</v>
      </c>
      <c r="KQ45" s="16">
        <v>10</v>
      </c>
      <c r="KR45" s="16">
        <v>49</v>
      </c>
      <c r="KS45" s="16">
        <v>42</v>
      </c>
      <c r="KT45" s="16">
        <v>21</v>
      </c>
      <c r="KU45" s="16">
        <v>187</v>
      </c>
      <c r="KV45" s="16">
        <v>18</v>
      </c>
      <c r="KW45" s="16">
        <v>161</v>
      </c>
      <c r="KX45" s="16">
        <v>1</v>
      </c>
      <c r="KY45" s="16">
        <v>46</v>
      </c>
      <c r="KZ45" s="16">
        <v>194478</v>
      </c>
      <c r="LA45" s="16">
        <v>131582</v>
      </c>
      <c r="LB45" s="16">
        <v>4936</v>
      </c>
      <c r="LC45" s="16">
        <v>20033</v>
      </c>
      <c r="LD45" s="16">
        <v>227</v>
      </c>
      <c r="LE45" s="16">
        <v>130</v>
      </c>
      <c r="LF45" s="16">
        <v>15</v>
      </c>
      <c r="LG45" s="16">
        <v>9</v>
      </c>
      <c r="LH45" s="16">
        <v>325</v>
      </c>
      <c r="LI45" s="16">
        <v>28</v>
      </c>
      <c r="LJ45" s="16">
        <v>13</v>
      </c>
      <c r="LK45" s="16">
        <v>88</v>
      </c>
      <c r="LL45" s="16">
        <v>314</v>
      </c>
      <c r="LM45" s="16">
        <v>1064</v>
      </c>
      <c r="LN45" s="16">
        <v>225</v>
      </c>
      <c r="LO45" s="16">
        <v>28</v>
      </c>
      <c r="LP45" s="16">
        <v>72</v>
      </c>
      <c r="LQ45" s="16">
        <v>10</v>
      </c>
      <c r="LR45" s="16">
        <v>226</v>
      </c>
      <c r="LS45" s="16">
        <v>336</v>
      </c>
      <c r="LT45" s="16">
        <v>107</v>
      </c>
      <c r="LU45" s="16">
        <v>57</v>
      </c>
      <c r="LV45" s="16">
        <v>6</v>
      </c>
      <c r="LW45" s="16">
        <v>44</v>
      </c>
      <c r="LX45" s="16">
        <v>67</v>
      </c>
      <c r="LY45" s="16">
        <v>0</v>
      </c>
      <c r="LZ45" s="16">
        <v>59</v>
      </c>
      <c r="MA45" s="16">
        <v>43</v>
      </c>
      <c r="MB45" s="16">
        <v>179</v>
      </c>
      <c r="MC45" s="16">
        <v>151</v>
      </c>
      <c r="MD45" s="16">
        <v>7</v>
      </c>
      <c r="ME45" s="16">
        <v>44</v>
      </c>
      <c r="MF45" s="16">
        <v>904</v>
      </c>
      <c r="MG45" s="16">
        <v>445</v>
      </c>
      <c r="MH45" s="16">
        <v>1054</v>
      </c>
      <c r="MI45" s="16">
        <v>64</v>
      </c>
      <c r="MJ45" s="16">
        <v>108</v>
      </c>
      <c r="MK45" s="16">
        <v>445</v>
      </c>
      <c r="ML45" s="16">
        <v>48</v>
      </c>
      <c r="MM45" s="16">
        <v>420</v>
      </c>
      <c r="MN45" s="16">
        <v>148</v>
      </c>
      <c r="MO45" s="16">
        <v>78</v>
      </c>
      <c r="MP45" s="16">
        <v>310</v>
      </c>
      <c r="MQ45" s="16">
        <v>1230</v>
      </c>
      <c r="MR45" s="16">
        <v>4318</v>
      </c>
      <c r="MS45" s="16">
        <v>3945</v>
      </c>
      <c r="MT45" s="16">
        <v>164</v>
      </c>
      <c r="MU45" s="16">
        <v>22362</v>
      </c>
      <c r="MV45" s="16">
        <v>295</v>
      </c>
      <c r="MW45" s="16">
        <v>554</v>
      </c>
      <c r="MX45" s="16">
        <v>51</v>
      </c>
      <c r="MY45" s="16">
        <v>45</v>
      </c>
      <c r="MZ45" s="16">
        <v>439</v>
      </c>
      <c r="NA45" s="16">
        <v>216</v>
      </c>
      <c r="NB45" s="16">
        <v>33934</v>
      </c>
      <c r="NC45" s="16">
        <v>106</v>
      </c>
      <c r="ND45" s="16">
        <v>63</v>
      </c>
      <c r="NE45" s="16">
        <v>17</v>
      </c>
      <c r="NF45" s="16">
        <v>78</v>
      </c>
      <c r="NG45" s="16">
        <v>298</v>
      </c>
      <c r="NH45" s="16">
        <v>117</v>
      </c>
      <c r="NI45" s="16">
        <v>875</v>
      </c>
      <c r="NJ45" s="16">
        <v>3962</v>
      </c>
      <c r="NK45" s="16">
        <v>66</v>
      </c>
      <c r="NL45" s="16">
        <v>5</v>
      </c>
      <c r="NM45" s="16">
        <v>84</v>
      </c>
      <c r="NN45" s="16">
        <v>73</v>
      </c>
      <c r="NO45" s="16">
        <v>0</v>
      </c>
      <c r="NP45" s="16">
        <v>126</v>
      </c>
      <c r="NQ45" s="16">
        <v>26</v>
      </c>
      <c r="NR45" s="17">
        <v>1568743</v>
      </c>
    </row>
    <row r="46" spans="1:382" ht="13.5" customHeight="1" x14ac:dyDescent="0.2">
      <c r="A46" s="2" t="s">
        <v>99</v>
      </c>
      <c r="B46" s="16">
        <v>8</v>
      </c>
      <c r="C46" s="16">
        <v>3</v>
      </c>
      <c r="D46" s="16">
        <v>2</v>
      </c>
      <c r="E46" s="16">
        <v>2</v>
      </c>
      <c r="F46" s="16">
        <v>13</v>
      </c>
      <c r="G46" s="16">
        <v>5</v>
      </c>
      <c r="H46" s="16">
        <v>1</v>
      </c>
      <c r="I46" s="16">
        <v>2</v>
      </c>
      <c r="J46" s="16">
        <v>0</v>
      </c>
      <c r="K46" s="16">
        <v>0</v>
      </c>
      <c r="L46" s="16">
        <v>1</v>
      </c>
      <c r="M46" s="16">
        <v>0</v>
      </c>
      <c r="N46" s="16">
        <v>0</v>
      </c>
      <c r="O46" s="16">
        <v>2</v>
      </c>
      <c r="P46" s="16">
        <v>11</v>
      </c>
      <c r="Q46" s="16">
        <v>11</v>
      </c>
      <c r="R46" s="16">
        <v>4</v>
      </c>
      <c r="S46" s="16">
        <v>1764</v>
      </c>
      <c r="T46" s="16">
        <v>0</v>
      </c>
      <c r="U46" s="16">
        <v>1</v>
      </c>
      <c r="V46" s="16">
        <v>1</v>
      </c>
      <c r="W46" s="16">
        <v>1</v>
      </c>
      <c r="X46" s="16">
        <v>4</v>
      </c>
      <c r="Y46" s="16">
        <v>15</v>
      </c>
      <c r="Z46" s="16">
        <v>6</v>
      </c>
      <c r="AA46" s="16">
        <v>1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16</v>
      </c>
      <c r="AH46" s="16">
        <v>12</v>
      </c>
      <c r="AI46" s="16">
        <v>1</v>
      </c>
      <c r="AJ46" s="16">
        <v>5</v>
      </c>
      <c r="AK46" s="16">
        <v>2</v>
      </c>
      <c r="AL46" s="16">
        <v>4550</v>
      </c>
      <c r="AM46" s="16">
        <v>144472</v>
      </c>
      <c r="AN46" s="16">
        <v>11224</v>
      </c>
      <c r="AO46" s="16">
        <v>733</v>
      </c>
      <c r="AP46" s="16">
        <v>1</v>
      </c>
      <c r="AQ46" s="16">
        <v>1277</v>
      </c>
      <c r="AR46" s="16">
        <v>0</v>
      </c>
      <c r="AS46" s="16">
        <v>619</v>
      </c>
      <c r="AT46" s="16">
        <v>259940</v>
      </c>
      <c r="AU46" s="16">
        <v>308299</v>
      </c>
      <c r="AV46" s="16">
        <v>168690</v>
      </c>
      <c r="AW46" s="16">
        <v>381626</v>
      </c>
      <c r="AX46" s="16">
        <v>2054</v>
      </c>
      <c r="AY46" s="16">
        <v>50325</v>
      </c>
      <c r="AZ46" s="16">
        <v>12267</v>
      </c>
      <c r="BA46" s="16">
        <v>3636</v>
      </c>
      <c r="BB46" s="16">
        <v>321055</v>
      </c>
      <c r="BC46" s="16">
        <v>97308</v>
      </c>
      <c r="BD46" s="16">
        <v>27183</v>
      </c>
      <c r="BE46" s="16">
        <v>6621</v>
      </c>
      <c r="BF46" s="16">
        <v>7028</v>
      </c>
      <c r="BG46" s="16">
        <v>2839</v>
      </c>
      <c r="BH46" s="16">
        <v>262374</v>
      </c>
      <c r="BI46" s="16">
        <v>5</v>
      </c>
      <c r="BJ46" s="16">
        <v>1</v>
      </c>
      <c r="BK46" s="16">
        <v>1</v>
      </c>
      <c r="BL46" s="16">
        <v>7</v>
      </c>
      <c r="BM46" s="16">
        <v>1</v>
      </c>
      <c r="BN46" s="16">
        <v>6</v>
      </c>
      <c r="BO46" s="16">
        <v>5</v>
      </c>
      <c r="BP46" s="16">
        <v>3</v>
      </c>
      <c r="BQ46" s="16">
        <v>4</v>
      </c>
      <c r="BR46" s="16">
        <v>1</v>
      </c>
      <c r="BS46" s="16">
        <v>4</v>
      </c>
      <c r="BT46" s="16">
        <v>0</v>
      </c>
      <c r="BU46" s="16">
        <v>1</v>
      </c>
      <c r="BV46" s="16">
        <v>0</v>
      </c>
      <c r="BW46" s="16">
        <v>2</v>
      </c>
      <c r="BX46" s="16">
        <v>1</v>
      </c>
      <c r="BY46" s="16">
        <v>0</v>
      </c>
      <c r="BZ46" s="16">
        <v>3</v>
      </c>
      <c r="CA46" s="16">
        <v>1</v>
      </c>
      <c r="CB46" s="16">
        <v>1</v>
      </c>
      <c r="CC46" s="16">
        <v>10</v>
      </c>
      <c r="CD46" s="16">
        <v>2</v>
      </c>
      <c r="CE46" s="16">
        <v>1</v>
      </c>
      <c r="CF46" s="16">
        <v>5</v>
      </c>
      <c r="CG46" s="16">
        <v>2</v>
      </c>
      <c r="CH46" s="16">
        <v>2</v>
      </c>
      <c r="CI46" s="16">
        <v>2</v>
      </c>
      <c r="CJ46" s="16">
        <v>10119</v>
      </c>
      <c r="CK46" s="16">
        <v>17676</v>
      </c>
      <c r="CL46" s="16">
        <v>4919</v>
      </c>
      <c r="CM46" s="16">
        <v>46</v>
      </c>
      <c r="CN46" s="16">
        <v>1</v>
      </c>
      <c r="CO46" s="16">
        <v>3</v>
      </c>
      <c r="CP46" s="16">
        <v>1229</v>
      </c>
      <c r="CQ46" s="16">
        <v>32</v>
      </c>
      <c r="CR46" s="16">
        <v>3</v>
      </c>
      <c r="CS46" s="16">
        <v>2</v>
      </c>
      <c r="CT46" s="16">
        <v>1</v>
      </c>
      <c r="CU46" s="16">
        <v>2</v>
      </c>
      <c r="CV46" s="16">
        <v>2</v>
      </c>
      <c r="CW46" s="16">
        <v>12</v>
      </c>
      <c r="CX46" s="16">
        <v>14</v>
      </c>
      <c r="CY46" s="16">
        <v>1</v>
      </c>
      <c r="CZ46" s="16">
        <v>3</v>
      </c>
      <c r="DA46" s="16">
        <v>1</v>
      </c>
      <c r="DB46" s="16">
        <v>3</v>
      </c>
      <c r="DC46" s="16">
        <v>3</v>
      </c>
      <c r="DD46" s="16">
        <v>3</v>
      </c>
      <c r="DE46" s="16">
        <v>3</v>
      </c>
      <c r="DF46" s="16">
        <v>47</v>
      </c>
      <c r="DG46" s="16">
        <v>1</v>
      </c>
      <c r="DH46" s="16">
        <v>4</v>
      </c>
      <c r="DI46" s="16">
        <v>1</v>
      </c>
      <c r="DJ46" s="16">
        <v>38</v>
      </c>
      <c r="DK46" s="16">
        <v>2</v>
      </c>
      <c r="DL46" s="16">
        <v>5</v>
      </c>
      <c r="DM46" s="16">
        <v>78295</v>
      </c>
      <c r="DN46" s="16">
        <v>2</v>
      </c>
      <c r="DO46" s="16">
        <v>153</v>
      </c>
      <c r="DP46" s="16">
        <v>8</v>
      </c>
      <c r="DQ46" s="16">
        <v>1</v>
      </c>
      <c r="DR46" s="16">
        <v>2</v>
      </c>
      <c r="DS46" s="16">
        <v>346</v>
      </c>
      <c r="DT46" s="16">
        <v>198</v>
      </c>
      <c r="DU46" s="16">
        <v>2</v>
      </c>
      <c r="DV46" s="16">
        <v>864</v>
      </c>
      <c r="DW46" s="16">
        <v>9</v>
      </c>
      <c r="DX46" s="16">
        <v>11</v>
      </c>
      <c r="DY46" s="16">
        <v>6</v>
      </c>
      <c r="DZ46" s="16">
        <v>21</v>
      </c>
      <c r="EA46" s="16">
        <v>1</v>
      </c>
      <c r="EB46" s="16">
        <v>1</v>
      </c>
      <c r="EC46" s="16">
        <v>5</v>
      </c>
      <c r="ED46" s="16">
        <v>1</v>
      </c>
      <c r="EE46" s="16">
        <v>2</v>
      </c>
      <c r="EF46" s="16">
        <v>0</v>
      </c>
      <c r="EG46" s="16">
        <v>2</v>
      </c>
      <c r="EH46" s="16">
        <v>1</v>
      </c>
      <c r="EI46" s="16">
        <v>3</v>
      </c>
      <c r="EJ46" s="16">
        <v>2</v>
      </c>
      <c r="EK46" s="16">
        <v>1</v>
      </c>
      <c r="EL46" s="16">
        <v>1</v>
      </c>
      <c r="EM46" s="16">
        <v>1</v>
      </c>
      <c r="EN46" s="16">
        <v>12</v>
      </c>
      <c r="EO46" s="16">
        <v>4</v>
      </c>
      <c r="EP46" s="16">
        <v>1</v>
      </c>
      <c r="EQ46" s="16">
        <v>4</v>
      </c>
      <c r="ER46" s="16">
        <v>1</v>
      </c>
      <c r="ES46" s="16">
        <v>1</v>
      </c>
      <c r="ET46" s="16">
        <v>5</v>
      </c>
      <c r="EU46" s="16">
        <v>8</v>
      </c>
      <c r="EV46" s="16">
        <v>1</v>
      </c>
      <c r="EW46" s="16">
        <v>3</v>
      </c>
      <c r="EX46" s="16">
        <v>20</v>
      </c>
      <c r="EY46" s="16">
        <v>2</v>
      </c>
      <c r="EZ46" s="16">
        <v>4</v>
      </c>
      <c r="FA46" s="16">
        <v>1</v>
      </c>
      <c r="FB46" s="16">
        <v>2</v>
      </c>
      <c r="FC46" s="16">
        <v>4</v>
      </c>
      <c r="FD46" s="16">
        <v>4</v>
      </c>
      <c r="FE46" s="16">
        <v>2</v>
      </c>
      <c r="FF46" s="16">
        <v>2</v>
      </c>
      <c r="FG46" s="16">
        <v>3</v>
      </c>
      <c r="FH46" s="16">
        <v>1</v>
      </c>
      <c r="FI46" s="16">
        <v>3</v>
      </c>
      <c r="FJ46" s="16">
        <v>1</v>
      </c>
      <c r="FK46" s="16">
        <v>1</v>
      </c>
      <c r="FL46" s="16">
        <v>3</v>
      </c>
      <c r="FM46" s="16">
        <v>2</v>
      </c>
      <c r="FN46" s="16">
        <v>8</v>
      </c>
      <c r="FO46" s="16">
        <v>4</v>
      </c>
      <c r="FP46" s="16">
        <v>4</v>
      </c>
      <c r="FQ46" s="16">
        <v>5</v>
      </c>
      <c r="FR46" s="16">
        <v>18</v>
      </c>
      <c r="FS46" s="16">
        <v>4</v>
      </c>
      <c r="FT46" s="16">
        <v>5</v>
      </c>
      <c r="FU46" s="16">
        <v>8</v>
      </c>
      <c r="FV46" s="16">
        <v>3</v>
      </c>
      <c r="FW46" s="16">
        <v>10</v>
      </c>
      <c r="FX46" s="16">
        <v>19</v>
      </c>
      <c r="FY46" s="16">
        <v>1</v>
      </c>
      <c r="FZ46" s="16">
        <v>4</v>
      </c>
      <c r="GA46" s="16">
        <v>1</v>
      </c>
      <c r="GB46" s="16">
        <v>97</v>
      </c>
      <c r="GC46" s="16">
        <v>1</v>
      </c>
      <c r="GD46" s="16">
        <v>22</v>
      </c>
      <c r="GE46" s="16">
        <v>1</v>
      </c>
      <c r="GF46" s="16">
        <v>20</v>
      </c>
      <c r="GG46" s="16">
        <v>3</v>
      </c>
      <c r="GH46" s="16">
        <v>3</v>
      </c>
      <c r="GI46" s="16">
        <v>25</v>
      </c>
      <c r="GJ46" s="16">
        <v>3</v>
      </c>
      <c r="GK46" s="16">
        <v>15</v>
      </c>
      <c r="GL46" s="16">
        <v>5</v>
      </c>
      <c r="GM46" s="16">
        <v>84</v>
      </c>
      <c r="GN46" s="16">
        <v>1</v>
      </c>
      <c r="GO46" s="16">
        <v>20</v>
      </c>
      <c r="GP46" s="16">
        <v>1</v>
      </c>
      <c r="GQ46" s="16">
        <v>1</v>
      </c>
      <c r="GR46" s="16">
        <v>1</v>
      </c>
      <c r="GS46" s="16">
        <v>20</v>
      </c>
      <c r="GT46" s="16">
        <v>2</v>
      </c>
      <c r="GU46" s="16">
        <v>2</v>
      </c>
      <c r="GV46" s="16">
        <v>2</v>
      </c>
      <c r="GW46" s="16">
        <v>1</v>
      </c>
      <c r="GX46" s="16">
        <v>1</v>
      </c>
      <c r="GY46" s="16">
        <v>1</v>
      </c>
      <c r="GZ46" s="16">
        <v>2</v>
      </c>
      <c r="HA46" s="16">
        <v>2</v>
      </c>
      <c r="HB46" s="16">
        <v>1</v>
      </c>
      <c r="HC46" s="16">
        <v>6</v>
      </c>
      <c r="HD46" s="16">
        <v>6</v>
      </c>
      <c r="HE46" s="16">
        <v>24</v>
      </c>
      <c r="HF46" s="16">
        <v>4</v>
      </c>
      <c r="HG46" s="16">
        <v>3</v>
      </c>
      <c r="HH46" s="16">
        <v>1</v>
      </c>
      <c r="HI46" s="16">
        <v>1</v>
      </c>
      <c r="HJ46" s="16">
        <v>2</v>
      </c>
      <c r="HK46" s="16">
        <v>1</v>
      </c>
      <c r="HL46" s="16">
        <v>6</v>
      </c>
      <c r="HM46" s="16">
        <v>3</v>
      </c>
      <c r="HN46" s="16">
        <v>5</v>
      </c>
      <c r="HO46" s="16">
        <v>5</v>
      </c>
      <c r="HP46" s="16">
        <v>3</v>
      </c>
      <c r="HQ46" s="16">
        <v>7</v>
      </c>
      <c r="HR46" s="16">
        <v>5</v>
      </c>
      <c r="HS46" s="16">
        <v>5</v>
      </c>
      <c r="HT46" s="16">
        <v>6</v>
      </c>
      <c r="HU46" s="16">
        <v>4</v>
      </c>
      <c r="HV46" s="16">
        <v>1</v>
      </c>
      <c r="HW46" s="16">
        <v>3</v>
      </c>
      <c r="HX46" s="16">
        <v>8</v>
      </c>
      <c r="HY46" s="16">
        <v>8</v>
      </c>
      <c r="HZ46" s="16">
        <v>17</v>
      </c>
      <c r="IA46" s="16">
        <v>5</v>
      </c>
      <c r="IB46" s="16">
        <v>3</v>
      </c>
      <c r="IC46" s="16">
        <v>6</v>
      </c>
      <c r="ID46" s="16">
        <v>1</v>
      </c>
      <c r="IE46" s="16">
        <v>2</v>
      </c>
      <c r="IF46" s="16">
        <v>2</v>
      </c>
      <c r="IG46" s="16">
        <v>20</v>
      </c>
      <c r="IH46" s="16">
        <v>5</v>
      </c>
      <c r="II46" s="16">
        <v>0</v>
      </c>
      <c r="IJ46" s="16">
        <v>3</v>
      </c>
      <c r="IK46" s="16">
        <v>3</v>
      </c>
      <c r="IL46" s="16">
        <v>2</v>
      </c>
      <c r="IM46" s="16">
        <v>0</v>
      </c>
      <c r="IN46" s="16">
        <v>1</v>
      </c>
      <c r="IO46" s="16">
        <v>8</v>
      </c>
      <c r="IP46" s="16">
        <v>26</v>
      </c>
      <c r="IQ46" s="16">
        <v>1</v>
      </c>
      <c r="IR46" s="16">
        <v>8</v>
      </c>
      <c r="IS46" s="16">
        <v>1</v>
      </c>
      <c r="IT46" s="16">
        <v>4</v>
      </c>
      <c r="IU46" s="16">
        <v>1</v>
      </c>
      <c r="IV46" s="16">
        <v>2</v>
      </c>
      <c r="IW46" s="16">
        <v>4</v>
      </c>
      <c r="IX46" s="16">
        <v>1</v>
      </c>
      <c r="IY46" s="16">
        <v>5</v>
      </c>
      <c r="IZ46" s="16">
        <v>1</v>
      </c>
      <c r="JA46" s="16">
        <v>1</v>
      </c>
      <c r="JB46" s="16">
        <v>2</v>
      </c>
      <c r="JC46" s="16">
        <v>4</v>
      </c>
      <c r="JD46" s="16">
        <v>1</v>
      </c>
      <c r="JE46" s="16">
        <v>4</v>
      </c>
      <c r="JF46" s="16">
        <v>2</v>
      </c>
      <c r="JG46" s="16">
        <v>792</v>
      </c>
      <c r="JH46" s="16">
        <v>1</v>
      </c>
      <c r="JI46" s="16">
        <v>9</v>
      </c>
      <c r="JJ46" s="16">
        <v>3</v>
      </c>
      <c r="JK46" s="16">
        <v>4</v>
      </c>
      <c r="JL46" s="16">
        <v>1</v>
      </c>
      <c r="JM46" s="16">
        <v>0</v>
      </c>
      <c r="JN46" s="16">
        <v>12</v>
      </c>
      <c r="JO46" s="16">
        <v>3</v>
      </c>
      <c r="JP46" s="16">
        <v>23</v>
      </c>
      <c r="JQ46" s="16">
        <v>9</v>
      </c>
      <c r="JR46" s="16">
        <v>310</v>
      </c>
      <c r="JS46" s="16">
        <v>165</v>
      </c>
      <c r="JT46" s="16">
        <v>0</v>
      </c>
      <c r="JU46" s="16">
        <v>0</v>
      </c>
      <c r="JV46" s="16">
        <v>5</v>
      </c>
      <c r="JW46" s="16">
        <v>9</v>
      </c>
      <c r="JX46" s="16">
        <v>14</v>
      </c>
      <c r="JY46" s="16">
        <v>10</v>
      </c>
      <c r="JZ46" s="16">
        <v>7</v>
      </c>
      <c r="KA46" s="16">
        <v>1</v>
      </c>
      <c r="KB46" s="16">
        <v>7</v>
      </c>
      <c r="KC46" s="16">
        <v>3</v>
      </c>
      <c r="KD46" s="16">
        <v>3</v>
      </c>
      <c r="KE46" s="16">
        <v>1</v>
      </c>
      <c r="KF46" s="16">
        <v>4</v>
      </c>
      <c r="KG46" s="16">
        <v>5</v>
      </c>
      <c r="KH46" s="16">
        <v>7</v>
      </c>
      <c r="KI46" s="16">
        <v>1</v>
      </c>
      <c r="KJ46" s="16">
        <v>5</v>
      </c>
      <c r="KK46" s="16">
        <v>909</v>
      </c>
      <c r="KL46" s="16">
        <v>18</v>
      </c>
      <c r="KM46" s="16">
        <v>6</v>
      </c>
      <c r="KN46" s="16">
        <v>2</v>
      </c>
      <c r="KO46" s="16">
        <v>4</v>
      </c>
      <c r="KP46" s="16">
        <v>5</v>
      </c>
      <c r="KQ46" s="16">
        <v>2</v>
      </c>
      <c r="KR46" s="16">
        <v>8</v>
      </c>
      <c r="KS46" s="16">
        <v>8</v>
      </c>
      <c r="KT46" s="16">
        <v>4</v>
      </c>
      <c r="KU46" s="16">
        <v>33</v>
      </c>
      <c r="KV46" s="16">
        <v>3</v>
      </c>
      <c r="KW46" s="16">
        <v>27</v>
      </c>
      <c r="KX46" s="16">
        <v>0</v>
      </c>
      <c r="KY46" s="16">
        <v>8</v>
      </c>
      <c r="KZ46" s="16">
        <v>210063</v>
      </c>
      <c r="LA46" s="16">
        <v>44311</v>
      </c>
      <c r="LB46" s="16">
        <v>1568</v>
      </c>
      <c r="LC46" s="16">
        <v>8357</v>
      </c>
      <c r="LD46" s="16">
        <v>38</v>
      </c>
      <c r="LE46" s="16">
        <v>23</v>
      </c>
      <c r="LF46" s="16">
        <v>3</v>
      </c>
      <c r="LG46" s="16">
        <v>1</v>
      </c>
      <c r="LH46" s="16">
        <v>56</v>
      </c>
      <c r="LI46" s="16">
        <v>14</v>
      </c>
      <c r="LJ46" s="16">
        <v>2</v>
      </c>
      <c r="LK46" s="16">
        <v>15</v>
      </c>
      <c r="LL46" s="16">
        <v>55</v>
      </c>
      <c r="LM46" s="16">
        <v>185</v>
      </c>
      <c r="LN46" s="16">
        <v>39</v>
      </c>
      <c r="LO46" s="16">
        <v>5</v>
      </c>
      <c r="LP46" s="16">
        <v>12</v>
      </c>
      <c r="LQ46" s="16">
        <v>1</v>
      </c>
      <c r="LR46" s="16">
        <v>39</v>
      </c>
      <c r="LS46" s="16">
        <v>58</v>
      </c>
      <c r="LT46" s="16">
        <v>17</v>
      </c>
      <c r="LU46" s="16">
        <v>9</v>
      </c>
      <c r="LV46" s="16">
        <v>1</v>
      </c>
      <c r="LW46" s="16">
        <v>7</v>
      </c>
      <c r="LX46" s="16">
        <v>11</v>
      </c>
      <c r="LY46" s="16">
        <v>0</v>
      </c>
      <c r="LZ46" s="16">
        <v>10</v>
      </c>
      <c r="MA46" s="16">
        <v>8</v>
      </c>
      <c r="MB46" s="16">
        <v>31</v>
      </c>
      <c r="MC46" s="16">
        <v>27</v>
      </c>
      <c r="MD46" s="16">
        <v>1</v>
      </c>
      <c r="ME46" s="16">
        <v>6</v>
      </c>
      <c r="MF46" s="16">
        <v>5008</v>
      </c>
      <c r="MG46" s="16">
        <v>77</v>
      </c>
      <c r="MH46" s="16">
        <v>182</v>
      </c>
      <c r="MI46" s="16">
        <v>12</v>
      </c>
      <c r="MJ46" s="16">
        <v>18</v>
      </c>
      <c r="MK46" s="16">
        <v>77</v>
      </c>
      <c r="ML46" s="16">
        <v>8</v>
      </c>
      <c r="MM46" s="16">
        <v>71</v>
      </c>
      <c r="MN46" s="16">
        <v>26</v>
      </c>
      <c r="MO46" s="16">
        <v>13</v>
      </c>
      <c r="MP46" s="16">
        <v>55</v>
      </c>
      <c r="MQ46" s="16">
        <v>213</v>
      </c>
      <c r="MR46" s="16">
        <v>939</v>
      </c>
      <c r="MS46" s="16">
        <v>641</v>
      </c>
      <c r="MT46" s="16">
        <v>28</v>
      </c>
      <c r="MU46" s="16">
        <v>22938</v>
      </c>
      <c r="MV46" s="16">
        <v>51</v>
      </c>
      <c r="MW46" s="16">
        <v>96</v>
      </c>
      <c r="MX46" s="16">
        <v>14</v>
      </c>
      <c r="MY46" s="16">
        <v>7</v>
      </c>
      <c r="MZ46" s="16">
        <v>77</v>
      </c>
      <c r="NA46" s="16">
        <v>38</v>
      </c>
      <c r="NB46" s="16">
        <v>11008</v>
      </c>
      <c r="NC46" s="16">
        <v>18</v>
      </c>
      <c r="ND46" s="16">
        <v>10</v>
      </c>
      <c r="NE46" s="16">
        <v>3</v>
      </c>
      <c r="NF46" s="16">
        <v>13</v>
      </c>
      <c r="NG46" s="16">
        <v>123</v>
      </c>
      <c r="NH46" s="16">
        <v>20</v>
      </c>
      <c r="NI46" s="16">
        <v>151</v>
      </c>
      <c r="NJ46" s="16">
        <v>686</v>
      </c>
      <c r="NK46" s="16">
        <v>11</v>
      </c>
      <c r="NL46" s="16">
        <v>1</v>
      </c>
      <c r="NM46" s="16">
        <v>14</v>
      </c>
      <c r="NN46" s="16">
        <v>12</v>
      </c>
      <c r="NO46" s="16">
        <v>0</v>
      </c>
      <c r="NP46" s="16">
        <v>22</v>
      </c>
      <c r="NQ46" s="16">
        <v>3010</v>
      </c>
      <c r="NR46" s="17">
        <v>2504105</v>
      </c>
    </row>
    <row r="47" spans="1:382" ht="13.5" customHeight="1" x14ac:dyDescent="0.2">
      <c r="A47" s="2" t="s">
        <v>101</v>
      </c>
      <c r="B47" s="16">
        <v>278</v>
      </c>
      <c r="C47" s="16">
        <v>104</v>
      </c>
      <c r="D47" s="16">
        <v>111</v>
      </c>
      <c r="E47" s="16">
        <v>12</v>
      </c>
      <c r="F47" s="16">
        <v>531</v>
      </c>
      <c r="G47" s="16">
        <v>220</v>
      </c>
      <c r="H47" s="16">
        <v>45</v>
      </c>
      <c r="I47" s="16">
        <v>92</v>
      </c>
      <c r="J47" s="16">
        <v>11</v>
      </c>
      <c r="K47" s="16">
        <v>0</v>
      </c>
      <c r="L47" s="16">
        <v>11</v>
      </c>
      <c r="M47" s="16">
        <v>6</v>
      </c>
      <c r="N47" s="16">
        <v>0</v>
      </c>
      <c r="O47" s="16">
        <v>4</v>
      </c>
      <c r="P47" s="16">
        <v>364</v>
      </c>
      <c r="Q47" s="16">
        <v>728</v>
      </c>
      <c r="R47" s="16">
        <v>216</v>
      </c>
      <c r="S47" s="16">
        <v>165</v>
      </c>
      <c r="T47" s="16">
        <v>28</v>
      </c>
      <c r="U47" s="16">
        <v>253</v>
      </c>
      <c r="V47" s="16">
        <v>129</v>
      </c>
      <c r="W47" s="16">
        <v>18</v>
      </c>
      <c r="X47" s="16">
        <v>645</v>
      </c>
      <c r="Y47" s="16">
        <v>4149</v>
      </c>
      <c r="Z47" s="16">
        <v>682</v>
      </c>
      <c r="AA47" s="16">
        <v>12</v>
      </c>
      <c r="AB47" s="16">
        <v>0</v>
      </c>
      <c r="AC47" s="16">
        <v>0</v>
      </c>
      <c r="AD47" s="16">
        <v>0</v>
      </c>
      <c r="AE47" s="16">
        <v>1</v>
      </c>
      <c r="AF47" s="16">
        <v>2</v>
      </c>
      <c r="AG47" s="16">
        <v>550</v>
      </c>
      <c r="AH47" s="16">
        <v>654</v>
      </c>
      <c r="AI47" s="16">
        <v>412</v>
      </c>
      <c r="AJ47" s="16">
        <v>1095</v>
      </c>
      <c r="AK47" s="16">
        <v>1003</v>
      </c>
      <c r="AL47" s="16">
        <v>43</v>
      </c>
      <c r="AM47" s="16">
        <v>99456</v>
      </c>
      <c r="AN47" s="16">
        <v>2917</v>
      </c>
      <c r="AO47" s="16">
        <v>4838</v>
      </c>
      <c r="AP47" s="16">
        <v>34</v>
      </c>
      <c r="AQ47" s="16">
        <v>259</v>
      </c>
      <c r="AR47" s="16">
        <v>0</v>
      </c>
      <c r="AS47" s="16">
        <v>80</v>
      </c>
      <c r="AT47" s="16">
        <v>40</v>
      </c>
      <c r="AU47" s="16">
        <v>158124</v>
      </c>
      <c r="AV47" s="16">
        <v>63</v>
      </c>
      <c r="AW47" s="16">
        <v>1159</v>
      </c>
      <c r="AX47" s="16">
        <v>12</v>
      </c>
      <c r="AY47" s="16">
        <v>8181</v>
      </c>
      <c r="AZ47" s="16">
        <v>13962</v>
      </c>
      <c r="BA47" s="16">
        <v>8400</v>
      </c>
      <c r="BB47" s="16">
        <v>104738</v>
      </c>
      <c r="BC47" s="16">
        <v>1601</v>
      </c>
      <c r="BD47" s="16">
        <v>17</v>
      </c>
      <c r="BE47" s="16">
        <v>195</v>
      </c>
      <c r="BF47" s="16">
        <v>1131</v>
      </c>
      <c r="BG47" s="16">
        <v>259</v>
      </c>
      <c r="BH47" s="16">
        <v>3203</v>
      </c>
      <c r="BI47" s="16">
        <v>129</v>
      </c>
      <c r="BJ47" s="16">
        <v>50</v>
      </c>
      <c r="BK47" s="16">
        <v>80</v>
      </c>
      <c r="BL47" s="16">
        <v>441</v>
      </c>
      <c r="BM47" s="16">
        <v>105</v>
      </c>
      <c r="BN47" s="16">
        <v>271</v>
      </c>
      <c r="BO47" s="16">
        <v>716</v>
      </c>
      <c r="BP47" s="16">
        <v>322</v>
      </c>
      <c r="BQ47" s="16">
        <v>123</v>
      </c>
      <c r="BR47" s="16">
        <v>15</v>
      </c>
      <c r="BS47" s="16">
        <v>589</v>
      </c>
      <c r="BT47" s="16">
        <v>6</v>
      </c>
      <c r="BU47" s="16">
        <v>8</v>
      </c>
      <c r="BV47" s="16">
        <v>2</v>
      </c>
      <c r="BW47" s="16">
        <v>74</v>
      </c>
      <c r="BX47" s="16">
        <v>18</v>
      </c>
      <c r="BY47" s="16">
        <v>1</v>
      </c>
      <c r="BZ47" s="16">
        <v>76</v>
      </c>
      <c r="CA47" s="16">
        <v>51</v>
      </c>
      <c r="CB47" s="16">
        <v>60</v>
      </c>
      <c r="CC47" s="16">
        <v>987</v>
      </c>
      <c r="CD47" s="16">
        <v>288</v>
      </c>
      <c r="CE47" s="16">
        <v>128</v>
      </c>
      <c r="CF47" s="16">
        <v>405</v>
      </c>
      <c r="CG47" s="16">
        <v>132</v>
      </c>
      <c r="CH47" s="16">
        <v>238</v>
      </c>
      <c r="CI47" s="16">
        <v>31</v>
      </c>
      <c r="CJ47" s="16">
        <v>252</v>
      </c>
      <c r="CK47" s="16">
        <v>894</v>
      </c>
      <c r="CL47" s="16">
        <v>279</v>
      </c>
      <c r="CM47" s="16">
        <v>412</v>
      </c>
      <c r="CN47" s="16">
        <v>97</v>
      </c>
      <c r="CO47" s="16">
        <v>236</v>
      </c>
      <c r="CP47" s="16">
        <v>576</v>
      </c>
      <c r="CQ47" s="16">
        <v>1518</v>
      </c>
      <c r="CR47" s="16">
        <v>269</v>
      </c>
      <c r="CS47" s="16">
        <v>425</v>
      </c>
      <c r="CT47" s="16">
        <v>419</v>
      </c>
      <c r="CU47" s="16">
        <v>1036</v>
      </c>
      <c r="CV47" s="16">
        <v>507</v>
      </c>
      <c r="CW47" s="16">
        <v>2269</v>
      </c>
      <c r="CX47" s="16">
        <v>1889</v>
      </c>
      <c r="CY47" s="16">
        <v>104</v>
      </c>
      <c r="CZ47" s="16">
        <v>395</v>
      </c>
      <c r="DA47" s="16">
        <v>19</v>
      </c>
      <c r="DB47" s="16">
        <v>432</v>
      </c>
      <c r="DC47" s="16">
        <v>35</v>
      </c>
      <c r="DD47" s="16">
        <v>178</v>
      </c>
      <c r="DE47" s="16">
        <v>69</v>
      </c>
      <c r="DF47" s="16">
        <v>900</v>
      </c>
      <c r="DG47" s="16">
        <v>212</v>
      </c>
      <c r="DH47" s="16">
        <v>389</v>
      </c>
      <c r="DI47" s="16">
        <v>142</v>
      </c>
      <c r="DJ47" s="16">
        <v>9330</v>
      </c>
      <c r="DK47" s="16">
        <v>204</v>
      </c>
      <c r="DL47" s="16">
        <v>268</v>
      </c>
      <c r="DM47" s="16">
        <v>5941</v>
      </c>
      <c r="DN47" s="16">
        <v>144</v>
      </c>
      <c r="DO47" s="16">
        <v>249</v>
      </c>
      <c r="DP47" s="16">
        <v>532</v>
      </c>
      <c r="DQ47" s="16">
        <v>97</v>
      </c>
      <c r="DR47" s="16">
        <v>149</v>
      </c>
      <c r="DS47" s="16">
        <v>1087</v>
      </c>
      <c r="DT47" s="16">
        <v>211</v>
      </c>
      <c r="DU47" s="16">
        <v>217</v>
      </c>
      <c r="DV47" s="16">
        <v>77</v>
      </c>
      <c r="DW47" s="16">
        <v>1100</v>
      </c>
      <c r="DX47" s="16">
        <v>769</v>
      </c>
      <c r="DY47" s="16">
        <v>1181</v>
      </c>
      <c r="DZ47" s="16">
        <v>3458</v>
      </c>
      <c r="EA47" s="16">
        <v>954</v>
      </c>
      <c r="EB47" s="16">
        <v>44</v>
      </c>
      <c r="EC47" s="16">
        <v>356</v>
      </c>
      <c r="ED47" s="16">
        <v>120</v>
      </c>
      <c r="EE47" s="16">
        <v>9</v>
      </c>
      <c r="EF47" s="16">
        <v>14</v>
      </c>
      <c r="EG47" s="16">
        <v>244</v>
      </c>
      <c r="EH47" s="16">
        <v>46</v>
      </c>
      <c r="EI47" s="16">
        <v>170</v>
      </c>
      <c r="EJ47" s="16">
        <v>153</v>
      </c>
      <c r="EK47" s="16">
        <v>50</v>
      </c>
      <c r="EL47" s="16">
        <v>62</v>
      </c>
      <c r="EM47" s="16">
        <v>65</v>
      </c>
      <c r="EN47" s="16">
        <v>1003</v>
      </c>
      <c r="EO47" s="16">
        <v>480</v>
      </c>
      <c r="EP47" s="16">
        <v>127</v>
      </c>
      <c r="EQ47" s="16">
        <v>330</v>
      </c>
      <c r="ER47" s="16">
        <v>59</v>
      </c>
      <c r="ES47" s="16">
        <v>204</v>
      </c>
      <c r="ET47" s="16">
        <v>930</v>
      </c>
      <c r="EU47" s="16">
        <v>226</v>
      </c>
      <c r="EV47" s="16">
        <v>52</v>
      </c>
      <c r="EW47" s="16">
        <v>59</v>
      </c>
      <c r="EX47" s="16">
        <v>17410</v>
      </c>
      <c r="EY47" s="16">
        <v>1448</v>
      </c>
      <c r="EZ47" s="16">
        <v>49</v>
      </c>
      <c r="FA47" s="16">
        <v>90</v>
      </c>
      <c r="FB47" s="16">
        <v>455</v>
      </c>
      <c r="FC47" s="16">
        <v>11</v>
      </c>
      <c r="FD47" s="16">
        <v>1110</v>
      </c>
      <c r="FE47" s="16">
        <v>228</v>
      </c>
      <c r="FF47" s="16">
        <v>76</v>
      </c>
      <c r="FG47" s="16">
        <v>728</v>
      </c>
      <c r="FH47" s="16">
        <v>59</v>
      </c>
      <c r="FI47" s="16">
        <v>267</v>
      </c>
      <c r="FJ47" s="16">
        <v>85</v>
      </c>
      <c r="FK47" s="16">
        <v>885</v>
      </c>
      <c r="FL47" s="16">
        <v>112</v>
      </c>
      <c r="FM47" s="16">
        <v>287</v>
      </c>
      <c r="FN47" s="16">
        <v>1545</v>
      </c>
      <c r="FO47" s="16">
        <v>128</v>
      </c>
      <c r="FP47" s="16">
        <v>713</v>
      </c>
      <c r="FQ47" s="16">
        <v>1903</v>
      </c>
      <c r="FR47" s="16">
        <v>675</v>
      </c>
      <c r="FS47" s="16">
        <v>457</v>
      </c>
      <c r="FT47" s="16">
        <v>314</v>
      </c>
      <c r="FU47" s="16">
        <v>1905</v>
      </c>
      <c r="FV47" s="16">
        <v>1227</v>
      </c>
      <c r="FW47" s="16">
        <v>871</v>
      </c>
      <c r="FX47" s="16">
        <v>2608</v>
      </c>
      <c r="FY47" s="16">
        <v>235</v>
      </c>
      <c r="FZ47" s="16">
        <v>830</v>
      </c>
      <c r="GA47" s="16">
        <v>118</v>
      </c>
      <c r="GB47" s="16">
        <v>5594</v>
      </c>
      <c r="GC47" s="16">
        <v>254</v>
      </c>
      <c r="GD47" s="16">
        <v>1058</v>
      </c>
      <c r="GE47" s="16">
        <v>32</v>
      </c>
      <c r="GF47" s="16">
        <v>914</v>
      </c>
      <c r="GG47" s="16">
        <v>2</v>
      </c>
      <c r="GH47" s="16">
        <v>146</v>
      </c>
      <c r="GI47" s="16">
        <v>51</v>
      </c>
      <c r="GJ47" s="16">
        <v>307</v>
      </c>
      <c r="GK47" s="16">
        <v>43</v>
      </c>
      <c r="GL47" s="16">
        <v>79</v>
      </c>
      <c r="GM47" s="16">
        <v>7</v>
      </c>
      <c r="GN47" s="16">
        <v>49</v>
      </c>
      <c r="GO47" s="16">
        <v>431</v>
      </c>
      <c r="GP47" s="16">
        <v>32</v>
      </c>
      <c r="GQ47" s="16">
        <v>0</v>
      </c>
      <c r="GR47" s="16">
        <v>141</v>
      </c>
      <c r="GS47" s="16">
        <v>29</v>
      </c>
      <c r="GT47" s="16">
        <v>9</v>
      </c>
      <c r="GU47" s="16">
        <v>411</v>
      </c>
      <c r="GV47" s="16">
        <v>187</v>
      </c>
      <c r="GW47" s="16">
        <v>328</v>
      </c>
      <c r="GX47" s="16">
        <v>32</v>
      </c>
      <c r="GY47" s="16">
        <v>4</v>
      </c>
      <c r="GZ47" s="16">
        <v>168</v>
      </c>
      <c r="HA47" s="16">
        <v>132</v>
      </c>
      <c r="HB47" s="16">
        <v>110</v>
      </c>
      <c r="HC47" s="16">
        <v>253</v>
      </c>
      <c r="HD47" s="16">
        <v>597</v>
      </c>
      <c r="HE47" s="16">
        <v>86</v>
      </c>
      <c r="HF47" s="16">
        <v>576</v>
      </c>
      <c r="HG47" s="16">
        <v>111</v>
      </c>
      <c r="HH47" s="16">
        <v>79</v>
      </c>
      <c r="HI47" s="16">
        <v>214</v>
      </c>
      <c r="HJ47" s="16">
        <v>77</v>
      </c>
      <c r="HK47" s="16">
        <v>169</v>
      </c>
      <c r="HL47" s="16">
        <v>879</v>
      </c>
      <c r="HM47" s="16">
        <v>381</v>
      </c>
      <c r="HN47" s="16">
        <v>4100</v>
      </c>
      <c r="HO47" s="16">
        <v>277</v>
      </c>
      <c r="HP47" s="16">
        <v>105</v>
      </c>
      <c r="HQ47" s="16">
        <v>902</v>
      </c>
      <c r="HR47" s="16">
        <v>710</v>
      </c>
      <c r="HS47" s="16">
        <v>369</v>
      </c>
      <c r="HT47" s="16">
        <v>14</v>
      </c>
      <c r="HU47" s="16">
        <v>598</v>
      </c>
      <c r="HV47" s="16">
        <v>189</v>
      </c>
      <c r="HW47" s="16">
        <v>320</v>
      </c>
      <c r="HX47" s="16">
        <v>531</v>
      </c>
      <c r="HY47" s="16">
        <v>874</v>
      </c>
      <c r="HZ47" s="16">
        <v>1492</v>
      </c>
      <c r="IA47" s="16">
        <v>455</v>
      </c>
      <c r="IB47" s="16">
        <v>63</v>
      </c>
      <c r="IC47" s="16">
        <v>46</v>
      </c>
      <c r="ID47" s="16">
        <v>67</v>
      </c>
      <c r="IE47" s="16">
        <v>18</v>
      </c>
      <c r="IF47" s="16">
        <v>89</v>
      </c>
      <c r="IG47" s="16">
        <v>1065</v>
      </c>
      <c r="IH47" s="16">
        <v>1525</v>
      </c>
      <c r="II47" s="16">
        <v>200</v>
      </c>
      <c r="IJ47" s="16">
        <v>7</v>
      </c>
      <c r="IK47" s="16">
        <v>82</v>
      </c>
      <c r="IL47" s="16">
        <v>39</v>
      </c>
      <c r="IM47" s="16">
        <v>3</v>
      </c>
      <c r="IN47" s="16">
        <v>793</v>
      </c>
      <c r="IO47" s="16">
        <v>732</v>
      </c>
      <c r="IP47" s="16">
        <v>24</v>
      </c>
      <c r="IQ47" s="16">
        <v>6</v>
      </c>
      <c r="IR47" s="16">
        <v>15</v>
      </c>
      <c r="IS47" s="16">
        <v>57</v>
      </c>
      <c r="IT47" s="16">
        <v>22</v>
      </c>
      <c r="IU47" s="16">
        <v>19</v>
      </c>
      <c r="IV47" s="16">
        <v>137</v>
      </c>
      <c r="IW47" s="16">
        <v>329</v>
      </c>
      <c r="IX47" s="16">
        <v>272</v>
      </c>
      <c r="IY47" s="16">
        <v>172</v>
      </c>
      <c r="IZ47" s="16">
        <v>6</v>
      </c>
      <c r="JA47" s="16">
        <v>130</v>
      </c>
      <c r="JB47" s="16">
        <v>9</v>
      </c>
      <c r="JC47" s="16">
        <v>31</v>
      </c>
      <c r="JD47" s="16">
        <v>14</v>
      </c>
      <c r="JE47" s="16">
        <v>421</v>
      </c>
      <c r="JF47" s="16">
        <v>157</v>
      </c>
      <c r="JG47" s="16">
        <v>23188</v>
      </c>
      <c r="JH47" s="16">
        <v>123</v>
      </c>
      <c r="JI47" s="16">
        <v>52</v>
      </c>
      <c r="JJ47" s="16">
        <v>451</v>
      </c>
      <c r="JK47" s="16">
        <v>134</v>
      </c>
      <c r="JL47" s="16">
        <v>111</v>
      </c>
      <c r="JM47" s="16">
        <v>148</v>
      </c>
      <c r="JN47" s="16">
        <v>1993</v>
      </c>
      <c r="JO47" s="16">
        <v>697</v>
      </c>
      <c r="JP47" s="16">
        <v>5349</v>
      </c>
      <c r="JQ47" s="16">
        <v>625</v>
      </c>
      <c r="JR47" s="16">
        <v>9650</v>
      </c>
      <c r="JS47" s="16">
        <v>4685</v>
      </c>
      <c r="JT47" s="16">
        <v>0</v>
      </c>
      <c r="JU47" s="16">
        <v>8462</v>
      </c>
      <c r="JV47" s="16">
        <v>669</v>
      </c>
      <c r="JW47" s="16">
        <v>655</v>
      </c>
      <c r="JX47" s="16">
        <v>654</v>
      </c>
      <c r="JY47" s="16">
        <v>906</v>
      </c>
      <c r="JZ47" s="16">
        <v>364</v>
      </c>
      <c r="KA47" s="16">
        <v>110</v>
      </c>
      <c r="KB47" s="16">
        <v>38</v>
      </c>
      <c r="KC47" s="16">
        <v>147</v>
      </c>
      <c r="KD47" s="16">
        <v>125</v>
      </c>
      <c r="KE47" s="16">
        <v>31</v>
      </c>
      <c r="KF47" s="16">
        <v>214</v>
      </c>
      <c r="KG47" s="16">
        <v>395</v>
      </c>
      <c r="KH47" s="16">
        <v>18</v>
      </c>
      <c r="KI47" s="16">
        <v>121</v>
      </c>
      <c r="KJ47" s="16">
        <v>154</v>
      </c>
      <c r="KK47" s="16">
        <v>265533</v>
      </c>
      <c r="KL47" s="16">
        <v>21</v>
      </c>
      <c r="KM47" s="16">
        <v>705</v>
      </c>
      <c r="KN47" s="16">
        <v>105</v>
      </c>
      <c r="KO47" s="16">
        <v>1111</v>
      </c>
      <c r="KP47" s="16">
        <v>535</v>
      </c>
      <c r="KQ47" s="16">
        <v>298</v>
      </c>
      <c r="KR47" s="16">
        <v>7591</v>
      </c>
      <c r="KS47" s="16">
        <v>419</v>
      </c>
      <c r="KT47" s="16">
        <v>276</v>
      </c>
      <c r="KU47" s="16">
        <v>7580</v>
      </c>
      <c r="KV47" s="16">
        <v>6502</v>
      </c>
      <c r="KW47" s="16">
        <v>20116</v>
      </c>
      <c r="KX47" s="16">
        <v>12</v>
      </c>
      <c r="KY47" s="16">
        <v>3061</v>
      </c>
      <c r="KZ47" s="16">
        <v>447140</v>
      </c>
      <c r="LA47" s="16">
        <v>1074409</v>
      </c>
      <c r="LB47" s="16">
        <v>62426</v>
      </c>
      <c r="LC47" s="16">
        <v>689701</v>
      </c>
      <c r="LD47" s="16">
        <v>76151</v>
      </c>
      <c r="LE47" s="16">
        <v>1977</v>
      </c>
      <c r="LF47" s="16">
        <v>388</v>
      </c>
      <c r="LG47" s="16">
        <v>215</v>
      </c>
      <c r="LH47" s="16">
        <v>2921</v>
      </c>
      <c r="LI47" s="16">
        <v>6</v>
      </c>
      <c r="LJ47" s="16">
        <v>804</v>
      </c>
      <c r="LK47" s="16">
        <v>2330</v>
      </c>
      <c r="LL47" s="16">
        <v>6851</v>
      </c>
      <c r="LM47" s="16">
        <v>38717</v>
      </c>
      <c r="LN47" s="16">
        <v>10478</v>
      </c>
      <c r="LO47" s="16">
        <v>378</v>
      </c>
      <c r="LP47" s="16">
        <v>2054</v>
      </c>
      <c r="LQ47" s="16">
        <v>1891</v>
      </c>
      <c r="LR47" s="16">
        <v>9711</v>
      </c>
      <c r="LS47" s="16">
        <v>1469</v>
      </c>
      <c r="LT47" s="16">
        <v>5585</v>
      </c>
      <c r="LU47" s="16">
        <v>1976</v>
      </c>
      <c r="LV47" s="16">
        <v>59</v>
      </c>
      <c r="LW47" s="16">
        <v>2834</v>
      </c>
      <c r="LX47" s="16">
        <v>5028</v>
      </c>
      <c r="LY47" s="16">
        <v>0</v>
      </c>
      <c r="LZ47" s="16">
        <v>372</v>
      </c>
      <c r="MA47" s="16">
        <v>270</v>
      </c>
      <c r="MB47" s="16">
        <v>4312</v>
      </c>
      <c r="MC47" s="16">
        <v>1708</v>
      </c>
      <c r="MD47" s="16">
        <v>2843</v>
      </c>
      <c r="ME47" s="16">
        <v>4304</v>
      </c>
      <c r="MF47" s="16">
        <v>54036</v>
      </c>
      <c r="MG47" s="16">
        <v>8791</v>
      </c>
      <c r="MH47" s="16">
        <v>423626</v>
      </c>
      <c r="MI47" s="16">
        <v>1325</v>
      </c>
      <c r="MJ47" s="16">
        <v>2088</v>
      </c>
      <c r="MK47" s="16">
        <v>13216</v>
      </c>
      <c r="ML47" s="16">
        <v>2291</v>
      </c>
      <c r="MM47" s="16">
        <v>15516</v>
      </c>
      <c r="MN47" s="16">
        <v>7093</v>
      </c>
      <c r="MO47" s="16">
        <v>4200</v>
      </c>
      <c r="MP47" s="16">
        <v>58706</v>
      </c>
      <c r="MQ47" s="16">
        <v>82629</v>
      </c>
      <c r="MR47" s="16">
        <v>46525</v>
      </c>
      <c r="MS47" s="16">
        <v>27852</v>
      </c>
      <c r="MT47" s="16">
        <v>1866</v>
      </c>
      <c r="MU47" s="16">
        <v>63034</v>
      </c>
      <c r="MV47" s="16">
        <v>10255</v>
      </c>
      <c r="MW47" s="16">
        <v>118201</v>
      </c>
      <c r="MX47" s="16">
        <v>9394</v>
      </c>
      <c r="MY47" s="16">
        <v>5394</v>
      </c>
      <c r="MZ47" s="16">
        <v>12919</v>
      </c>
      <c r="NA47" s="16">
        <v>4093</v>
      </c>
      <c r="NB47" s="16">
        <v>90787</v>
      </c>
      <c r="NC47" s="16">
        <v>2158</v>
      </c>
      <c r="ND47" s="16">
        <v>1504</v>
      </c>
      <c r="NE47" s="16">
        <v>616</v>
      </c>
      <c r="NF47" s="16">
        <v>12667</v>
      </c>
      <c r="NG47" s="16">
        <v>39032</v>
      </c>
      <c r="NH47" s="16">
        <v>26211</v>
      </c>
      <c r="NI47" s="16">
        <v>51307</v>
      </c>
      <c r="NJ47" s="16">
        <v>181938</v>
      </c>
      <c r="NK47" s="16">
        <v>1435</v>
      </c>
      <c r="NL47" s="16">
        <v>775</v>
      </c>
      <c r="NM47" s="16">
        <v>4616</v>
      </c>
      <c r="NN47" s="16">
        <v>2107</v>
      </c>
      <c r="NO47" s="16">
        <v>0</v>
      </c>
      <c r="NP47" s="16">
        <v>32431</v>
      </c>
      <c r="NQ47" s="16">
        <v>390</v>
      </c>
      <c r="NR47" s="17">
        <v>4794066</v>
      </c>
    </row>
    <row r="48" spans="1:382" ht="13.5" customHeight="1" x14ac:dyDescent="0.2">
      <c r="A48" s="2" t="s">
        <v>103</v>
      </c>
      <c r="B48" s="16">
        <v>28</v>
      </c>
      <c r="C48" s="16">
        <v>12</v>
      </c>
      <c r="D48" s="16">
        <v>8</v>
      </c>
      <c r="E48" s="16">
        <v>2</v>
      </c>
      <c r="F48" s="16">
        <v>43</v>
      </c>
      <c r="G48" s="16">
        <v>17</v>
      </c>
      <c r="H48" s="16">
        <v>4</v>
      </c>
      <c r="I48" s="16">
        <v>5</v>
      </c>
      <c r="J48" s="16">
        <v>0</v>
      </c>
      <c r="K48" s="16">
        <v>0</v>
      </c>
      <c r="L48" s="16">
        <v>2</v>
      </c>
      <c r="M48" s="16">
        <v>0</v>
      </c>
      <c r="N48" s="16">
        <v>0</v>
      </c>
      <c r="O48" s="16">
        <v>0</v>
      </c>
      <c r="P48" s="16">
        <v>35</v>
      </c>
      <c r="Q48" s="16">
        <v>35</v>
      </c>
      <c r="R48" s="16">
        <v>13</v>
      </c>
      <c r="S48" s="16">
        <v>11</v>
      </c>
      <c r="T48" s="16">
        <v>1</v>
      </c>
      <c r="U48" s="16">
        <v>4</v>
      </c>
      <c r="V48" s="16">
        <v>1</v>
      </c>
      <c r="W48" s="16">
        <v>0</v>
      </c>
      <c r="X48" s="16">
        <v>15</v>
      </c>
      <c r="Y48" s="16">
        <v>185</v>
      </c>
      <c r="Z48" s="16">
        <v>40</v>
      </c>
      <c r="AA48" s="16">
        <v>1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53</v>
      </c>
      <c r="AH48" s="16">
        <v>42</v>
      </c>
      <c r="AI48" s="16">
        <v>5</v>
      </c>
      <c r="AJ48" s="16">
        <v>18</v>
      </c>
      <c r="AK48" s="16">
        <v>149</v>
      </c>
      <c r="AL48" s="16">
        <v>30049</v>
      </c>
      <c r="AM48" s="16">
        <v>27</v>
      </c>
      <c r="AN48" s="16">
        <v>5</v>
      </c>
      <c r="AO48" s="16">
        <v>5</v>
      </c>
      <c r="AP48" s="16">
        <v>2</v>
      </c>
      <c r="AQ48" s="16">
        <v>9</v>
      </c>
      <c r="AR48" s="16">
        <v>0</v>
      </c>
      <c r="AS48" s="16">
        <v>20</v>
      </c>
      <c r="AT48" s="16">
        <v>2383</v>
      </c>
      <c r="AU48" s="16">
        <v>27013</v>
      </c>
      <c r="AV48" s="16">
        <v>24844</v>
      </c>
      <c r="AW48" s="16">
        <v>570</v>
      </c>
      <c r="AX48" s="16">
        <v>2</v>
      </c>
      <c r="AY48" s="16">
        <v>2011</v>
      </c>
      <c r="AZ48" s="16">
        <v>5</v>
      </c>
      <c r="BA48" s="16">
        <v>75</v>
      </c>
      <c r="BB48" s="16">
        <v>56399</v>
      </c>
      <c r="BC48" s="16">
        <v>10</v>
      </c>
      <c r="BD48" s="16">
        <v>1</v>
      </c>
      <c r="BE48" s="16">
        <v>13</v>
      </c>
      <c r="BF48" s="16">
        <v>34</v>
      </c>
      <c r="BG48" s="16">
        <v>11</v>
      </c>
      <c r="BH48" s="16">
        <v>15</v>
      </c>
      <c r="BI48" s="16">
        <v>16</v>
      </c>
      <c r="BJ48" s="16">
        <v>4</v>
      </c>
      <c r="BK48" s="16">
        <v>3</v>
      </c>
      <c r="BL48" s="16">
        <v>24</v>
      </c>
      <c r="BM48" s="16">
        <v>3</v>
      </c>
      <c r="BN48" s="16">
        <v>21</v>
      </c>
      <c r="BO48" s="16">
        <v>15</v>
      </c>
      <c r="BP48" s="16">
        <v>11</v>
      </c>
      <c r="BQ48" s="16">
        <v>11</v>
      </c>
      <c r="BR48" s="16">
        <v>2</v>
      </c>
      <c r="BS48" s="16">
        <v>24</v>
      </c>
      <c r="BT48" s="16">
        <v>1</v>
      </c>
      <c r="BU48" s="16">
        <v>1</v>
      </c>
      <c r="BV48" s="16">
        <v>0</v>
      </c>
      <c r="BW48" s="16">
        <v>5</v>
      </c>
      <c r="BX48" s="16">
        <v>2</v>
      </c>
      <c r="BY48" s="16">
        <v>0</v>
      </c>
      <c r="BZ48" s="16">
        <v>2</v>
      </c>
      <c r="CA48" s="16">
        <v>3</v>
      </c>
      <c r="CB48" s="16">
        <v>2</v>
      </c>
      <c r="CC48" s="16">
        <v>30</v>
      </c>
      <c r="CD48" s="16">
        <v>7</v>
      </c>
      <c r="CE48" s="16">
        <v>5</v>
      </c>
      <c r="CF48" s="16">
        <v>15</v>
      </c>
      <c r="CG48" s="16">
        <v>4</v>
      </c>
      <c r="CH48" s="16">
        <v>5</v>
      </c>
      <c r="CI48" s="16">
        <v>2</v>
      </c>
      <c r="CJ48" s="16">
        <v>5</v>
      </c>
      <c r="CK48" s="16">
        <v>17</v>
      </c>
      <c r="CL48" s="16">
        <v>20</v>
      </c>
      <c r="CM48" s="16">
        <v>11</v>
      </c>
      <c r="CN48" s="16">
        <v>4</v>
      </c>
      <c r="CO48" s="16">
        <v>10</v>
      </c>
      <c r="CP48" s="16">
        <v>25</v>
      </c>
      <c r="CQ48" s="16">
        <v>104</v>
      </c>
      <c r="CR48" s="16">
        <v>14</v>
      </c>
      <c r="CS48" s="16">
        <v>8</v>
      </c>
      <c r="CT48" s="16">
        <v>3</v>
      </c>
      <c r="CU48" s="16">
        <v>8</v>
      </c>
      <c r="CV48" s="16">
        <v>11</v>
      </c>
      <c r="CW48" s="16">
        <v>37</v>
      </c>
      <c r="CX48" s="16">
        <v>44</v>
      </c>
      <c r="CY48" s="16">
        <v>3</v>
      </c>
      <c r="CZ48" s="16">
        <v>11</v>
      </c>
      <c r="DA48" s="16">
        <v>1</v>
      </c>
      <c r="DB48" s="16">
        <v>8</v>
      </c>
      <c r="DC48" s="16">
        <v>10</v>
      </c>
      <c r="DD48" s="16">
        <v>11</v>
      </c>
      <c r="DE48" s="16">
        <v>10</v>
      </c>
      <c r="DF48" s="16">
        <v>10</v>
      </c>
      <c r="DG48" s="16">
        <v>4</v>
      </c>
      <c r="DH48" s="16">
        <v>15</v>
      </c>
      <c r="DI48" s="16">
        <v>3</v>
      </c>
      <c r="DJ48" s="16">
        <v>121</v>
      </c>
      <c r="DK48" s="16">
        <v>6</v>
      </c>
      <c r="DL48" s="16">
        <v>18</v>
      </c>
      <c r="DM48" s="16">
        <v>217</v>
      </c>
      <c r="DN48" s="16">
        <v>7</v>
      </c>
      <c r="DO48" s="16">
        <v>11</v>
      </c>
      <c r="DP48" s="16">
        <v>21</v>
      </c>
      <c r="DQ48" s="16">
        <v>4</v>
      </c>
      <c r="DR48" s="16">
        <v>6</v>
      </c>
      <c r="DS48" s="16">
        <v>34</v>
      </c>
      <c r="DT48" s="16">
        <v>6</v>
      </c>
      <c r="DU48" s="16">
        <v>2</v>
      </c>
      <c r="DV48" s="16">
        <v>4</v>
      </c>
      <c r="DW48" s="16">
        <v>29</v>
      </c>
      <c r="DX48" s="16">
        <v>38</v>
      </c>
      <c r="DY48" s="16">
        <v>21</v>
      </c>
      <c r="DZ48" s="16">
        <v>65</v>
      </c>
      <c r="EA48" s="16">
        <v>3</v>
      </c>
      <c r="EB48" s="16">
        <v>4</v>
      </c>
      <c r="EC48" s="16">
        <v>19</v>
      </c>
      <c r="ED48" s="16">
        <v>4</v>
      </c>
      <c r="EE48" s="16">
        <v>1</v>
      </c>
      <c r="EF48" s="16">
        <v>1</v>
      </c>
      <c r="EG48" s="16">
        <v>5</v>
      </c>
      <c r="EH48" s="16">
        <v>1</v>
      </c>
      <c r="EI48" s="16">
        <v>9</v>
      </c>
      <c r="EJ48" s="16">
        <v>3</v>
      </c>
      <c r="EK48" s="16">
        <v>4</v>
      </c>
      <c r="EL48" s="16">
        <v>2</v>
      </c>
      <c r="EM48" s="16">
        <v>5</v>
      </c>
      <c r="EN48" s="16">
        <v>38</v>
      </c>
      <c r="EO48" s="16">
        <v>12</v>
      </c>
      <c r="EP48" s="16">
        <v>3</v>
      </c>
      <c r="EQ48" s="16">
        <v>12</v>
      </c>
      <c r="ER48" s="16">
        <v>1</v>
      </c>
      <c r="ES48" s="16">
        <v>2</v>
      </c>
      <c r="ET48" s="16">
        <v>16</v>
      </c>
      <c r="EU48" s="16">
        <v>26</v>
      </c>
      <c r="EV48" s="16">
        <v>3</v>
      </c>
      <c r="EW48" s="16">
        <v>9</v>
      </c>
      <c r="EX48" s="16">
        <v>62</v>
      </c>
      <c r="EY48" s="16">
        <v>9</v>
      </c>
      <c r="EZ48" s="16">
        <v>1</v>
      </c>
      <c r="FA48" s="16">
        <v>3</v>
      </c>
      <c r="FB48" s="16">
        <v>8</v>
      </c>
      <c r="FC48" s="16">
        <v>1</v>
      </c>
      <c r="FD48" s="16">
        <v>10</v>
      </c>
      <c r="FE48" s="16">
        <v>4</v>
      </c>
      <c r="FF48" s="16">
        <v>8</v>
      </c>
      <c r="FG48" s="16">
        <v>8</v>
      </c>
      <c r="FH48" s="16">
        <v>2</v>
      </c>
      <c r="FI48" s="16">
        <v>12</v>
      </c>
      <c r="FJ48" s="16">
        <v>2</v>
      </c>
      <c r="FK48" s="16">
        <v>5</v>
      </c>
      <c r="FL48" s="16">
        <v>7</v>
      </c>
      <c r="FM48" s="16">
        <v>8</v>
      </c>
      <c r="FN48" s="16">
        <v>27</v>
      </c>
      <c r="FO48" s="16">
        <v>14</v>
      </c>
      <c r="FP48" s="16">
        <v>11</v>
      </c>
      <c r="FQ48" s="16">
        <v>19</v>
      </c>
      <c r="FR48" s="16">
        <v>55</v>
      </c>
      <c r="FS48" s="16">
        <v>12</v>
      </c>
      <c r="FT48" s="16">
        <v>17</v>
      </c>
      <c r="FU48" s="16">
        <v>26</v>
      </c>
      <c r="FV48" s="16">
        <v>13</v>
      </c>
      <c r="FW48" s="16">
        <v>35</v>
      </c>
      <c r="FX48" s="16">
        <v>61</v>
      </c>
      <c r="FY48" s="16">
        <v>5</v>
      </c>
      <c r="FZ48" s="16">
        <v>14</v>
      </c>
      <c r="GA48" s="16">
        <v>2</v>
      </c>
      <c r="GB48" s="16">
        <v>313</v>
      </c>
      <c r="GC48" s="16">
        <v>4</v>
      </c>
      <c r="GD48" s="16">
        <v>69</v>
      </c>
      <c r="GE48" s="16">
        <v>1</v>
      </c>
      <c r="GF48" s="16">
        <v>63</v>
      </c>
      <c r="GG48" s="16">
        <v>0</v>
      </c>
      <c r="GH48" s="16">
        <v>6</v>
      </c>
      <c r="GI48" s="16">
        <v>3</v>
      </c>
      <c r="GJ48" s="16">
        <v>8</v>
      </c>
      <c r="GK48" s="16">
        <v>2</v>
      </c>
      <c r="GL48" s="16">
        <v>8</v>
      </c>
      <c r="GM48" s="16">
        <v>128</v>
      </c>
      <c r="GN48" s="16">
        <v>3</v>
      </c>
      <c r="GO48" s="16">
        <v>31</v>
      </c>
      <c r="GP48" s="16">
        <v>3</v>
      </c>
      <c r="GQ48" s="16">
        <v>1</v>
      </c>
      <c r="GR48" s="16">
        <v>3</v>
      </c>
      <c r="GS48" s="16">
        <v>2</v>
      </c>
      <c r="GT48" s="16">
        <v>4</v>
      </c>
      <c r="GU48" s="16">
        <v>7</v>
      </c>
      <c r="GV48" s="16">
        <v>7</v>
      </c>
      <c r="GW48" s="16">
        <v>5</v>
      </c>
      <c r="GX48" s="16">
        <v>2</v>
      </c>
      <c r="GY48" s="16">
        <v>1</v>
      </c>
      <c r="GZ48" s="16">
        <v>6</v>
      </c>
      <c r="HA48" s="16">
        <v>4</v>
      </c>
      <c r="HB48" s="16">
        <v>4</v>
      </c>
      <c r="HC48" s="16">
        <v>20</v>
      </c>
      <c r="HD48" s="16">
        <v>21</v>
      </c>
      <c r="HE48" s="16">
        <v>1</v>
      </c>
      <c r="HF48" s="16">
        <v>14</v>
      </c>
      <c r="HG48" s="16">
        <v>7</v>
      </c>
      <c r="HH48" s="16">
        <v>4</v>
      </c>
      <c r="HI48" s="16">
        <v>5</v>
      </c>
      <c r="HJ48" s="16">
        <v>6</v>
      </c>
      <c r="HK48" s="16">
        <v>4</v>
      </c>
      <c r="HL48" s="16">
        <v>21</v>
      </c>
      <c r="HM48" s="16">
        <v>10</v>
      </c>
      <c r="HN48" s="16">
        <v>17</v>
      </c>
      <c r="HO48" s="16">
        <v>15</v>
      </c>
      <c r="HP48" s="16">
        <v>11</v>
      </c>
      <c r="HQ48" s="16">
        <v>22</v>
      </c>
      <c r="HR48" s="16">
        <v>17</v>
      </c>
      <c r="HS48" s="16">
        <v>18</v>
      </c>
      <c r="HT48" s="16">
        <v>2</v>
      </c>
      <c r="HU48" s="16">
        <v>15</v>
      </c>
      <c r="HV48" s="16">
        <v>6</v>
      </c>
      <c r="HW48" s="16">
        <v>10</v>
      </c>
      <c r="HX48" s="16">
        <v>27</v>
      </c>
      <c r="HY48" s="16">
        <v>24</v>
      </c>
      <c r="HZ48" s="16">
        <v>54</v>
      </c>
      <c r="IA48" s="16">
        <v>16</v>
      </c>
      <c r="IB48" s="16">
        <v>1</v>
      </c>
      <c r="IC48" s="16">
        <v>4</v>
      </c>
      <c r="ID48" s="16">
        <v>5</v>
      </c>
      <c r="IE48" s="16">
        <v>1</v>
      </c>
      <c r="IF48" s="16">
        <v>7</v>
      </c>
      <c r="IG48" s="16">
        <v>65</v>
      </c>
      <c r="IH48" s="16">
        <v>13</v>
      </c>
      <c r="II48" s="16">
        <v>0</v>
      </c>
      <c r="IJ48" s="16">
        <v>6</v>
      </c>
      <c r="IK48" s="16">
        <v>7</v>
      </c>
      <c r="IL48" s="16">
        <v>2</v>
      </c>
      <c r="IM48" s="16">
        <v>3</v>
      </c>
      <c r="IN48" s="16">
        <v>3</v>
      </c>
      <c r="IO48" s="16">
        <v>27</v>
      </c>
      <c r="IP48" s="16">
        <v>1</v>
      </c>
      <c r="IQ48" s="16">
        <v>1</v>
      </c>
      <c r="IR48" s="16">
        <v>13</v>
      </c>
      <c r="IS48" s="16">
        <v>2</v>
      </c>
      <c r="IT48" s="16">
        <v>2</v>
      </c>
      <c r="IU48" s="16">
        <v>2</v>
      </c>
      <c r="IV48" s="16">
        <v>2</v>
      </c>
      <c r="IW48" s="16">
        <v>14</v>
      </c>
      <c r="IX48" s="16">
        <v>4</v>
      </c>
      <c r="IY48" s="16">
        <v>17</v>
      </c>
      <c r="IZ48" s="16">
        <v>1</v>
      </c>
      <c r="JA48" s="16">
        <v>3</v>
      </c>
      <c r="JB48" s="16">
        <v>5</v>
      </c>
      <c r="JC48" s="16">
        <v>1</v>
      </c>
      <c r="JD48" s="16">
        <v>3</v>
      </c>
      <c r="JE48" s="16">
        <v>9</v>
      </c>
      <c r="JF48" s="16">
        <v>6</v>
      </c>
      <c r="JG48" s="16">
        <v>16184</v>
      </c>
      <c r="JH48" s="16">
        <v>2</v>
      </c>
      <c r="JI48" s="16">
        <v>13</v>
      </c>
      <c r="JJ48" s="16">
        <v>11</v>
      </c>
      <c r="JK48" s="16">
        <v>11</v>
      </c>
      <c r="JL48" s="16">
        <v>4</v>
      </c>
      <c r="JM48" s="16">
        <v>1</v>
      </c>
      <c r="JN48" s="16">
        <v>7</v>
      </c>
      <c r="JO48" s="16">
        <v>11</v>
      </c>
      <c r="JP48" s="16">
        <v>80</v>
      </c>
      <c r="JQ48" s="16">
        <v>30</v>
      </c>
      <c r="JR48" s="16">
        <v>1167</v>
      </c>
      <c r="JS48" s="16">
        <v>526</v>
      </c>
      <c r="JT48" s="16">
        <v>0</v>
      </c>
      <c r="JU48" s="16">
        <v>0</v>
      </c>
      <c r="JV48" s="16">
        <v>22</v>
      </c>
      <c r="JW48" s="16">
        <v>33</v>
      </c>
      <c r="JX48" s="16">
        <v>46</v>
      </c>
      <c r="JY48" s="16">
        <v>33</v>
      </c>
      <c r="JZ48" s="16">
        <v>26</v>
      </c>
      <c r="KA48" s="16">
        <v>1</v>
      </c>
      <c r="KB48" s="16">
        <v>1</v>
      </c>
      <c r="KC48" s="16">
        <v>7</v>
      </c>
      <c r="KD48" s="16">
        <v>12</v>
      </c>
      <c r="KE48" s="16">
        <v>3</v>
      </c>
      <c r="KF48" s="16">
        <v>14</v>
      </c>
      <c r="KG48" s="16">
        <v>15</v>
      </c>
      <c r="KH48" s="16">
        <v>1</v>
      </c>
      <c r="KI48" s="16">
        <v>4</v>
      </c>
      <c r="KJ48" s="16">
        <v>17</v>
      </c>
      <c r="KK48" s="16">
        <v>60131</v>
      </c>
      <c r="KL48" s="16">
        <v>2</v>
      </c>
      <c r="KM48" s="16">
        <v>20</v>
      </c>
      <c r="KN48" s="16">
        <v>4</v>
      </c>
      <c r="KO48" s="16">
        <v>11</v>
      </c>
      <c r="KP48" s="16">
        <v>75</v>
      </c>
      <c r="KQ48" s="16">
        <v>340</v>
      </c>
      <c r="KR48" s="16">
        <v>27</v>
      </c>
      <c r="KS48" s="16">
        <v>24</v>
      </c>
      <c r="KT48" s="16">
        <v>12</v>
      </c>
      <c r="KU48" s="16">
        <v>104</v>
      </c>
      <c r="KV48" s="16">
        <v>9</v>
      </c>
      <c r="KW48" s="16">
        <v>88</v>
      </c>
      <c r="KX48" s="16">
        <v>0</v>
      </c>
      <c r="KY48" s="16">
        <v>25</v>
      </c>
      <c r="KZ48" s="16">
        <v>787142</v>
      </c>
      <c r="LA48" s="16">
        <v>561860</v>
      </c>
      <c r="LB48" s="16">
        <v>63847</v>
      </c>
      <c r="LC48" s="16">
        <v>11368</v>
      </c>
      <c r="LD48" s="16">
        <v>126</v>
      </c>
      <c r="LE48" s="16">
        <v>72</v>
      </c>
      <c r="LF48" s="16">
        <v>9</v>
      </c>
      <c r="LG48" s="16">
        <v>5</v>
      </c>
      <c r="LH48" s="16">
        <v>179</v>
      </c>
      <c r="LI48" s="16">
        <v>26</v>
      </c>
      <c r="LJ48" s="16">
        <v>8</v>
      </c>
      <c r="LK48" s="16">
        <v>49</v>
      </c>
      <c r="LL48" s="16">
        <v>175</v>
      </c>
      <c r="LM48" s="16">
        <v>588</v>
      </c>
      <c r="LN48" s="16">
        <v>127</v>
      </c>
      <c r="LO48" s="16">
        <v>15</v>
      </c>
      <c r="LP48" s="16">
        <v>40</v>
      </c>
      <c r="LQ48" s="16">
        <v>6</v>
      </c>
      <c r="LR48" s="16">
        <v>125</v>
      </c>
      <c r="LS48" s="16">
        <v>188</v>
      </c>
      <c r="LT48" s="16">
        <v>58</v>
      </c>
      <c r="LU48" s="16">
        <v>32</v>
      </c>
      <c r="LV48" s="16">
        <v>3</v>
      </c>
      <c r="LW48" s="16">
        <v>25</v>
      </c>
      <c r="LX48" s="16">
        <v>37</v>
      </c>
      <c r="LY48" s="16">
        <v>0</v>
      </c>
      <c r="LZ48" s="16">
        <v>33</v>
      </c>
      <c r="MA48" s="16">
        <v>26</v>
      </c>
      <c r="MB48" s="16">
        <v>99</v>
      </c>
      <c r="MC48" s="16">
        <v>97</v>
      </c>
      <c r="MD48" s="16">
        <v>5</v>
      </c>
      <c r="ME48" s="16">
        <v>24</v>
      </c>
      <c r="MF48" s="16">
        <v>501</v>
      </c>
      <c r="MG48" s="16">
        <v>248</v>
      </c>
      <c r="MH48" s="16">
        <v>586</v>
      </c>
      <c r="MI48" s="16">
        <v>37</v>
      </c>
      <c r="MJ48" s="16">
        <v>58</v>
      </c>
      <c r="MK48" s="16">
        <v>245</v>
      </c>
      <c r="ML48" s="16">
        <v>26</v>
      </c>
      <c r="MM48" s="16">
        <v>231</v>
      </c>
      <c r="MN48" s="16">
        <v>82</v>
      </c>
      <c r="MO48" s="16">
        <v>42</v>
      </c>
      <c r="MP48" s="16">
        <v>173</v>
      </c>
      <c r="MQ48" s="16">
        <v>682</v>
      </c>
      <c r="MR48" s="16">
        <v>8857</v>
      </c>
      <c r="MS48" s="16">
        <v>2397</v>
      </c>
      <c r="MT48" s="16">
        <v>105</v>
      </c>
      <c r="MU48" s="16">
        <v>81920</v>
      </c>
      <c r="MV48" s="16">
        <v>0</v>
      </c>
      <c r="MW48" s="16">
        <v>308</v>
      </c>
      <c r="MX48" s="16">
        <v>31</v>
      </c>
      <c r="MY48" s="16">
        <v>26</v>
      </c>
      <c r="MZ48" s="16">
        <v>71</v>
      </c>
      <c r="NA48" s="16">
        <v>133</v>
      </c>
      <c r="NB48" s="16">
        <v>45459</v>
      </c>
      <c r="NC48" s="16">
        <v>70</v>
      </c>
      <c r="ND48" s="16">
        <v>34</v>
      </c>
      <c r="NE48" s="16">
        <v>9</v>
      </c>
      <c r="NF48" s="16">
        <v>43</v>
      </c>
      <c r="NG48" s="16">
        <v>435</v>
      </c>
      <c r="NH48" s="16">
        <v>64</v>
      </c>
      <c r="NI48" s="16">
        <v>486</v>
      </c>
      <c r="NJ48" s="16">
        <v>2116</v>
      </c>
      <c r="NK48" s="16">
        <v>37</v>
      </c>
      <c r="NL48" s="16">
        <v>3</v>
      </c>
      <c r="NM48" s="16">
        <v>46</v>
      </c>
      <c r="NN48" s="16">
        <v>41</v>
      </c>
      <c r="NO48" s="16">
        <v>0</v>
      </c>
      <c r="NP48" s="16">
        <v>70</v>
      </c>
      <c r="NQ48" s="16">
        <v>691</v>
      </c>
      <c r="NR48" s="17">
        <v>1799307</v>
      </c>
    </row>
    <row r="49" spans="1:382" ht="13.5" customHeight="1" x14ac:dyDescent="0.2">
      <c r="A49" s="2" t="s">
        <v>105</v>
      </c>
      <c r="B49" s="16">
        <v>125</v>
      </c>
      <c r="C49" s="16">
        <v>50</v>
      </c>
      <c r="D49" s="16">
        <v>34</v>
      </c>
      <c r="E49" s="16">
        <v>6</v>
      </c>
      <c r="F49" s="16">
        <v>182</v>
      </c>
      <c r="G49" s="16">
        <v>76</v>
      </c>
      <c r="H49" s="16">
        <v>22</v>
      </c>
      <c r="I49" s="16">
        <v>32</v>
      </c>
      <c r="J49" s="16">
        <v>0</v>
      </c>
      <c r="K49" s="16">
        <v>0</v>
      </c>
      <c r="L49" s="16">
        <v>5</v>
      </c>
      <c r="M49" s="16">
        <v>0</v>
      </c>
      <c r="N49" s="16">
        <v>0</v>
      </c>
      <c r="O49" s="16">
        <v>126</v>
      </c>
      <c r="P49" s="16">
        <v>1814</v>
      </c>
      <c r="Q49" s="16">
        <v>146</v>
      </c>
      <c r="R49" s="16">
        <v>48</v>
      </c>
      <c r="S49" s="16">
        <v>42</v>
      </c>
      <c r="T49" s="16">
        <v>3</v>
      </c>
      <c r="U49" s="16">
        <v>14</v>
      </c>
      <c r="V49" s="16">
        <v>3</v>
      </c>
      <c r="W49" s="16">
        <v>0</v>
      </c>
      <c r="X49" s="16">
        <v>66</v>
      </c>
      <c r="Y49" s="16">
        <v>215</v>
      </c>
      <c r="Z49" s="16">
        <v>181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234</v>
      </c>
      <c r="AH49" s="16">
        <v>185</v>
      </c>
      <c r="AI49" s="16">
        <v>23</v>
      </c>
      <c r="AJ49" s="16">
        <v>1487</v>
      </c>
      <c r="AK49" s="16">
        <v>35</v>
      </c>
      <c r="AL49" s="16">
        <v>265345</v>
      </c>
      <c r="AM49" s="16">
        <v>141007</v>
      </c>
      <c r="AN49" s="16">
        <v>218646</v>
      </c>
      <c r="AO49" s="16">
        <v>62091</v>
      </c>
      <c r="AP49" s="16">
        <v>11</v>
      </c>
      <c r="AQ49" s="16">
        <v>39</v>
      </c>
      <c r="AR49" s="16">
        <v>0</v>
      </c>
      <c r="AS49" s="16">
        <v>86</v>
      </c>
      <c r="AT49" s="16">
        <v>9980</v>
      </c>
      <c r="AU49" s="16">
        <v>475487</v>
      </c>
      <c r="AV49" s="16">
        <v>450934</v>
      </c>
      <c r="AW49" s="16">
        <v>1042208</v>
      </c>
      <c r="AX49" s="16">
        <v>25702</v>
      </c>
      <c r="AY49" s="16">
        <v>313423</v>
      </c>
      <c r="AZ49" s="16">
        <v>87841</v>
      </c>
      <c r="BA49" s="16">
        <v>64312</v>
      </c>
      <c r="BB49" s="16">
        <v>429823</v>
      </c>
      <c r="BC49" s="16">
        <v>56857</v>
      </c>
      <c r="BD49" s="16">
        <v>1472</v>
      </c>
      <c r="BE49" s="16">
        <v>47877</v>
      </c>
      <c r="BF49" s="16">
        <v>5389</v>
      </c>
      <c r="BG49" s="16">
        <v>19989</v>
      </c>
      <c r="BH49" s="16">
        <v>205250</v>
      </c>
      <c r="BI49" s="16">
        <v>71</v>
      </c>
      <c r="BJ49" s="16">
        <v>46</v>
      </c>
      <c r="BK49" s="16">
        <v>14</v>
      </c>
      <c r="BL49" s="16">
        <v>103</v>
      </c>
      <c r="BM49" s="16">
        <v>11</v>
      </c>
      <c r="BN49" s="16">
        <v>98</v>
      </c>
      <c r="BO49" s="16">
        <v>86</v>
      </c>
      <c r="BP49" s="16">
        <v>45</v>
      </c>
      <c r="BQ49" s="16">
        <v>49</v>
      </c>
      <c r="BR49" s="16">
        <v>12</v>
      </c>
      <c r="BS49" s="16">
        <v>110</v>
      </c>
      <c r="BT49" s="16">
        <v>2</v>
      </c>
      <c r="BU49" s="16">
        <v>0</v>
      </c>
      <c r="BV49" s="16">
        <v>0</v>
      </c>
      <c r="BW49" s="16">
        <v>26</v>
      </c>
      <c r="BX49" s="16">
        <v>0</v>
      </c>
      <c r="BY49" s="16">
        <v>0</v>
      </c>
      <c r="BZ49" s="16">
        <v>4</v>
      </c>
      <c r="CA49" s="16">
        <v>52</v>
      </c>
      <c r="CB49" s="16">
        <v>6</v>
      </c>
      <c r="CC49" s="16">
        <v>140</v>
      </c>
      <c r="CD49" s="16">
        <v>26</v>
      </c>
      <c r="CE49" s="16">
        <v>20</v>
      </c>
      <c r="CF49" s="16">
        <v>61</v>
      </c>
      <c r="CG49" s="16">
        <v>45</v>
      </c>
      <c r="CH49" s="16">
        <v>12</v>
      </c>
      <c r="CI49" s="16">
        <v>0</v>
      </c>
      <c r="CJ49" s="16">
        <v>27</v>
      </c>
      <c r="CK49" s="16">
        <v>70</v>
      </c>
      <c r="CL49" s="16">
        <v>169</v>
      </c>
      <c r="CM49" s="16">
        <v>44</v>
      </c>
      <c r="CN49" s="16">
        <v>13</v>
      </c>
      <c r="CO49" s="16">
        <v>44</v>
      </c>
      <c r="CP49" s="16">
        <v>108</v>
      </c>
      <c r="CQ49" s="16">
        <v>464</v>
      </c>
      <c r="CR49" s="16">
        <v>52</v>
      </c>
      <c r="CS49" s="16">
        <v>35</v>
      </c>
      <c r="CT49" s="16">
        <v>14</v>
      </c>
      <c r="CU49" s="16">
        <v>36</v>
      </c>
      <c r="CV49" s="16">
        <v>47</v>
      </c>
      <c r="CW49" s="16">
        <v>182</v>
      </c>
      <c r="CX49" s="16">
        <v>197</v>
      </c>
      <c r="CY49" s="16">
        <v>10</v>
      </c>
      <c r="CZ49" s="16">
        <v>44</v>
      </c>
      <c r="DA49" s="16">
        <v>5</v>
      </c>
      <c r="DB49" s="16">
        <v>31</v>
      </c>
      <c r="DC49" s="16">
        <v>42</v>
      </c>
      <c r="DD49" s="16">
        <v>46</v>
      </c>
      <c r="DE49" s="16">
        <v>43</v>
      </c>
      <c r="DF49" s="16">
        <v>43</v>
      </c>
      <c r="DG49" s="16">
        <v>20</v>
      </c>
      <c r="DH49" s="16">
        <v>69</v>
      </c>
      <c r="DI49" s="16">
        <v>17</v>
      </c>
      <c r="DJ49" s="16">
        <v>541</v>
      </c>
      <c r="DK49" s="16">
        <v>30</v>
      </c>
      <c r="DL49" s="16">
        <v>78</v>
      </c>
      <c r="DM49" s="16">
        <v>7320</v>
      </c>
      <c r="DN49" s="16">
        <v>163</v>
      </c>
      <c r="DO49" s="16">
        <v>45</v>
      </c>
      <c r="DP49" s="16">
        <v>98</v>
      </c>
      <c r="DQ49" s="16">
        <v>19</v>
      </c>
      <c r="DR49" s="16">
        <v>23</v>
      </c>
      <c r="DS49" s="16">
        <v>204</v>
      </c>
      <c r="DT49" s="16">
        <v>28</v>
      </c>
      <c r="DU49" s="16">
        <v>11</v>
      </c>
      <c r="DV49" s="16">
        <v>17</v>
      </c>
      <c r="DW49" s="16">
        <v>126</v>
      </c>
      <c r="DX49" s="16">
        <v>165</v>
      </c>
      <c r="DY49" s="16">
        <v>777</v>
      </c>
      <c r="DZ49" s="16">
        <v>295</v>
      </c>
      <c r="EA49" s="16">
        <v>127</v>
      </c>
      <c r="EB49" s="16">
        <v>12</v>
      </c>
      <c r="EC49" s="16">
        <v>81</v>
      </c>
      <c r="ED49" s="16">
        <v>16</v>
      </c>
      <c r="EE49" s="16">
        <v>2</v>
      </c>
      <c r="EF49" s="16">
        <v>4</v>
      </c>
      <c r="EG49" s="16">
        <v>27</v>
      </c>
      <c r="EH49" s="16">
        <v>5</v>
      </c>
      <c r="EI49" s="16">
        <v>49</v>
      </c>
      <c r="EJ49" s="16">
        <v>13</v>
      </c>
      <c r="EK49" s="16">
        <v>17</v>
      </c>
      <c r="EL49" s="16">
        <v>7</v>
      </c>
      <c r="EM49" s="16">
        <v>22</v>
      </c>
      <c r="EN49" s="16">
        <v>162</v>
      </c>
      <c r="EO49" s="16">
        <v>50</v>
      </c>
      <c r="EP49" s="16">
        <v>17</v>
      </c>
      <c r="EQ49" s="16">
        <v>51</v>
      </c>
      <c r="ER49" s="16">
        <v>6</v>
      </c>
      <c r="ES49" s="16">
        <v>7</v>
      </c>
      <c r="ET49" s="16">
        <v>140</v>
      </c>
      <c r="EU49" s="16">
        <v>122</v>
      </c>
      <c r="EV49" s="16">
        <v>11</v>
      </c>
      <c r="EW49" s="16">
        <v>33</v>
      </c>
      <c r="EX49" s="16">
        <v>273</v>
      </c>
      <c r="EY49" s="16">
        <v>39</v>
      </c>
      <c r="EZ49" s="16">
        <v>1</v>
      </c>
      <c r="FA49" s="16">
        <v>12</v>
      </c>
      <c r="FB49" s="16">
        <v>36</v>
      </c>
      <c r="FC49" s="16">
        <v>2</v>
      </c>
      <c r="FD49" s="16">
        <v>47</v>
      </c>
      <c r="FE49" s="16">
        <v>20</v>
      </c>
      <c r="FF49" s="16">
        <v>37</v>
      </c>
      <c r="FG49" s="16">
        <v>39</v>
      </c>
      <c r="FH49" s="16">
        <v>10</v>
      </c>
      <c r="FI49" s="16">
        <v>46</v>
      </c>
      <c r="FJ49" s="16">
        <v>11</v>
      </c>
      <c r="FK49" s="16">
        <v>26</v>
      </c>
      <c r="FL49" s="16">
        <v>33</v>
      </c>
      <c r="FM49" s="16">
        <v>33</v>
      </c>
      <c r="FN49" s="16">
        <v>375</v>
      </c>
      <c r="FO49" s="16">
        <v>63</v>
      </c>
      <c r="FP49" s="16">
        <v>50</v>
      </c>
      <c r="FQ49" s="16">
        <v>627</v>
      </c>
      <c r="FR49" s="16">
        <v>969</v>
      </c>
      <c r="FS49" s="16">
        <v>51</v>
      </c>
      <c r="FT49" s="16">
        <v>66</v>
      </c>
      <c r="FU49" s="16">
        <v>115</v>
      </c>
      <c r="FV49" s="16">
        <v>2939</v>
      </c>
      <c r="FW49" s="16">
        <v>151</v>
      </c>
      <c r="FX49" s="16">
        <v>594</v>
      </c>
      <c r="FY49" s="16">
        <v>27</v>
      </c>
      <c r="FZ49" s="16">
        <v>59</v>
      </c>
      <c r="GA49" s="16">
        <v>12</v>
      </c>
      <c r="GB49" s="16">
        <v>1667</v>
      </c>
      <c r="GC49" s="16">
        <v>23</v>
      </c>
      <c r="GD49" s="16">
        <v>696</v>
      </c>
      <c r="GE49" s="16">
        <v>6</v>
      </c>
      <c r="GF49" s="16">
        <v>282</v>
      </c>
      <c r="GG49" s="16">
        <v>1</v>
      </c>
      <c r="GH49" s="16">
        <v>27</v>
      </c>
      <c r="GI49" s="16">
        <v>8</v>
      </c>
      <c r="GJ49" s="16">
        <v>39</v>
      </c>
      <c r="GK49" s="16">
        <v>10</v>
      </c>
      <c r="GL49" s="16">
        <v>15</v>
      </c>
      <c r="GM49" s="16">
        <v>2</v>
      </c>
      <c r="GN49" s="16">
        <v>11</v>
      </c>
      <c r="GO49" s="16">
        <v>61</v>
      </c>
      <c r="GP49" s="16">
        <v>8</v>
      </c>
      <c r="GQ49" s="16">
        <v>0</v>
      </c>
      <c r="GR49" s="16">
        <v>13</v>
      </c>
      <c r="GS49" s="16">
        <v>10</v>
      </c>
      <c r="GT49" s="16">
        <v>1</v>
      </c>
      <c r="GU49" s="16">
        <v>33</v>
      </c>
      <c r="GV49" s="16">
        <v>29</v>
      </c>
      <c r="GW49" s="16">
        <v>25</v>
      </c>
      <c r="GX49" s="16">
        <v>7</v>
      </c>
      <c r="GY49" s="16">
        <v>2</v>
      </c>
      <c r="GZ49" s="16">
        <v>28</v>
      </c>
      <c r="HA49" s="16">
        <v>19</v>
      </c>
      <c r="HB49" s="16">
        <v>16</v>
      </c>
      <c r="HC49" s="16">
        <v>85</v>
      </c>
      <c r="HD49" s="16">
        <v>93</v>
      </c>
      <c r="HE49" s="16">
        <v>7</v>
      </c>
      <c r="HF49" s="16">
        <v>71</v>
      </c>
      <c r="HG49" s="16">
        <v>32</v>
      </c>
      <c r="HH49" s="16">
        <v>21</v>
      </c>
      <c r="HI49" s="16">
        <v>25</v>
      </c>
      <c r="HJ49" s="16">
        <v>28</v>
      </c>
      <c r="HK49" s="16">
        <v>17</v>
      </c>
      <c r="HL49" s="16">
        <v>93</v>
      </c>
      <c r="HM49" s="16">
        <v>281</v>
      </c>
      <c r="HN49" s="16">
        <v>329</v>
      </c>
      <c r="HO49" s="16">
        <v>65</v>
      </c>
      <c r="HP49" s="16">
        <v>49</v>
      </c>
      <c r="HQ49" s="16">
        <v>152</v>
      </c>
      <c r="HR49" s="16">
        <v>73</v>
      </c>
      <c r="HS49" s="16">
        <v>81</v>
      </c>
      <c r="HT49" s="16">
        <v>8</v>
      </c>
      <c r="HU49" s="16">
        <v>92</v>
      </c>
      <c r="HV49" s="16">
        <v>26</v>
      </c>
      <c r="HW49" s="16">
        <v>47</v>
      </c>
      <c r="HX49" s="16">
        <v>118</v>
      </c>
      <c r="HY49" s="16">
        <v>358</v>
      </c>
      <c r="HZ49" s="16">
        <v>244</v>
      </c>
      <c r="IA49" s="16">
        <v>71</v>
      </c>
      <c r="IB49" s="16">
        <v>11</v>
      </c>
      <c r="IC49" s="16">
        <v>10</v>
      </c>
      <c r="ID49" s="16">
        <v>24</v>
      </c>
      <c r="IE49" s="16">
        <v>3</v>
      </c>
      <c r="IF49" s="16">
        <v>58</v>
      </c>
      <c r="IG49" s="16">
        <v>2146</v>
      </c>
      <c r="IH49" s="16">
        <v>57</v>
      </c>
      <c r="II49" s="16">
        <v>7</v>
      </c>
      <c r="IJ49" s="16">
        <v>3</v>
      </c>
      <c r="IK49" s="16">
        <v>37</v>
      </c>
      <c r="IL49" s="16">
        <v>3</v>
      </c>
      <c r="IM49" s="16">
        <v>1</v>
      </c>
      <c r="IN49" s="16">
        <v>10</v>
      </c>
      <c r="IO49" s="16">
        <v>114</v>
      </c>
      <c r="IP49" s="16">
        <v>5</v>
      </c>
      <c r="IQ49" s="16">
        <v>2</v>
      </c>
      <c r="IR49" s="16">
        <v>2</v>
      </c>
      <c r="IS49" s="16">
        <v>9</v>
      </c>
      <c r="IT49" s="16">
        <v>5</v>
      </c>
      <c r="IU49" s="16">
        <v>4</v>
      </c>
      <c r="IV49" s="16">
        <v>3</v>
      </c>
      <c r="IW49" s="16">
        <v>59</v>
      </c>
      <c r="IX49" s="16">
        <v>19</v>
      </c>
      <c r="IY49" s="16">
        <v>77</v>
      </c>
      <c r="IZ49" s="16">
        <v>1</v>
      </c>
      <c r="JA49" s="16">
        <v>16</v>
      </c>
      <c r="JB49" s="16">
        <v>4</v>
      </c>
      <c r="JC49" s="16">
        <v>7</v>
      </c>
      <c r="JD49" s="16">
        <v>1</v>
      </c>
      <c r="JE49" s="16">
        <v>43</v>
      </c>
      <c r="JF49" s="16">
        <v>22</v>
      </c>
      <c r="JG49" s="16">
        <v>28518</v>
      </c>
      <c r="JH49" s="16">
        <v>13</v>
      </c>
      <c r="JI49" s="16">
        <v>3</v>
      </c>
      <c r="JJ49" s="16">
        <v>48</v>
      </c>
      <c r="JK49" s="16">
        <v>49</v>
      </c>
      <c r="JL49" s="16">
        <v>15</v>
      </c>
      <c r="JM49" s="16">
        <v>5</v>
      </c>
      <c r="JN49" s="16">
        <v>27</v>
      </c>
      <c r="JO49" s="16">
        <v>45</v>
      </c>
      <c r="JP49" s="16">
        <v>379</v>
      </c>
      <c r="JQ49" s="16">
        <v>133</v>
      </c>
      <c r="JR49" s="16">
        <v>4334</v>
      </c>
      <c r="JS49" s="16">
        <v>2341</v>
      </c>
      <c r="JT49" s="16">
        <v>0</v>
      </c>
      <c r="JU49" s="16">
        <v>0</v>
      </c>
      <c r="JV49" s="16">
        <v>91</v>
      </c>
      <c r="JW49" s="16">
        <v>146</v>
      </c>
      <c r="JX49" s="16">
        <v>197</v>
      </c>
      <c r="JY49" s="16">
        <v>144</v>
      </c>
      <c r="JZ49" s="16">
        <v>119</v>
      </c>
      <c r="KA49" s="16">
        <v>6</v>
      </c>
      <c r="KB49" s="16">
        <v>3</v>
      </c>
      <c r="KC49" s="16">
        <v>35</v>
      </c>
      <c r="KD49" s="16">
        <v>48</v>
      </c>
      <c r="KE49" s="16">
        <v>9</v>
      </c>
      <c r="KF49" s="16">
        <v>61</v>
      </c>
      <c r="KG49" s="16">
        <v>65</v>
      </c>
      <c r="KH49" s="16">
        <v>5</v>
      </c>
      <c r="KI49" s="16">
        <v>25</v>
      </c>
      <c r="KJ49" s="16">
        <v>74</v>
      </c>
      <c r="KK49" s="16">
        <v>146146</v>
      </c>
      <c r="KL49" s="16">
        <v>8</v>
      </c>
      <c r="KM49" s="16">
        <v>88</v>
      </c>
      <c r="KN49" s="16">
        <v>20</v>
      </c>
      <c r="KO49" s="16">
        <v>50</v>
      </c>
      <c r="KP49" s="16">
        <v>71</v>
      </c>
      <c r="KQ49" s="16">
        <v>26</v>
      </c>
      <c r="KR49" s="16">
        <v>120</v>
      </c>
      <c r="KS49" s="16">
        <v>105</v>
      </c>
      <c r="KT49" s="16">
        <v>56</v>
      </c>
      <c r="KU49" s="16">
        <v>464</v>
      </c>
      <c r="KV49" s="16">
        <v>43</v>
      </c>
      <c r="KW49" s="16">
        <v>393</v>
      </c>
      <c r="KX49" s="16">
        <v>2</v>
      </c>
      <c r="KY49" s="16">
        <v>112</v>
      </c>
      <c r="KZ49" s="16">
        <v>1744002</v>
      </c>
      <c r="LA49" s="16">
        <v>642199</v>
      </c>
      <c r="LB49" s="16">
        <v>276716</v>
      </c>
      <c r="LC49" s="16">
        <v>231276</v>
      </c>
      <c r="LD49" s="16">
        <v>5692</v>
      </c>
      <c r="LE49" s="16">
        <v>323</v>
      </c>
      <c r="LF49" s="16">
        <v>37</v>
      </c>
      <c r="LG49" s="16">
        <v>26</v>
      </c>
      <c r="LH49" s="16">
        <v>804</v>
      </c>
      <c r="LI49" s="16">
        <v>1</v>
      </c>
      <c r="LJ49" s="16">
        <v>33</v>
      </c>
      <c r="LK49" s="16">
        <v>216</v>
      </c>
      <c r="LL49" s="16">
        <v>782</v>
      </c>
      <c r="LM49" s="16">
        <v>2633</v>
      </c>
      <c r="LN49" s="16">
        <v>562</v>
      </c>
      <c r="LO49" s="16">
        <v>67</v>
      </c>
      <c r="LP49" s="16">
        <v>180</v>
      </c>
      <c r="LQ49" s="16">
        <v>25</v>
      </c>
      <c r="LR49" s="16">
        <v>556</v>
      </c>
      <c r="LS49" s="16">
        <v>825</v>
      </c>
      <c r="LT49" s="16">
        <v>262</v>
      </c>
      <c r="LU49" s="16">
        <v>139</v>
      </c>
      <c r="LV49" s="16">
        <v>18</v>
      </c>
      <c r="LW49" s="16">
        <v>108</v>
      </c>
      <c r="LX49" s="16">
        <v>162</v>
      </c>
      <c r="LY49" s="16">
        <v>0</v>
      </c>
      <c r="LZ49" s="16">
        <v>145</v>
      </c>
      <c r="MA49" s="16">
        <v>110</v>
      </c>
      <c r="MB49" s="16">
        <v>438</v>
      </c>
      <c r="MC49" s="16">
        <v>359</v>
      </c>
      <c r="MD49" s="16">
        <v>19</v>
      </c>
      <c r="ME49" s="16">
        <v>116</v>
      </c>
      <c r="MF49" s="16">
        <v>23035</v>
      </c>
      <c r="MG49" s="16">
        <v>1099</v>
      </c>
      <c r="MH49" s="16">
        <v>2612</v>
      </c>
      <c r="MI49" s="16">
        <v>199</v>
      </c>
      <c r="MJ49" s="16">
        <v>266</v>
      </c>
      <c r="MK49" s="16">
        <v>1100</v>
      </c>
      <c r="ML49" s="16">
        <v>116</v>
      </c>
      <c r="MM49" s="16">
        <v>1032</v>
      </c>
      <c r="MN49" s="16">
        <v>364</v>
      </c>
      <c r="MO49" s="16">
        <v>190</v>
      </c>
      <c r="MP49" s="16">
        <v>771</v>
      </c>
      <c r="MQ49" s="16">
        <v>3048</v>
      </c>
      <c r="MR49" s="16">
        <v>38800</v>
      </c>
      <c r="MS49" s="16">
        <v>5765</v>
      </c>
      <c r="MT49" s="16">
        <v>390</v>
      </c>
      <c r="MU49" s="16">
        <v>125279</v>
      </c>
      <c r="MV49" s="16">
        <v>186</v>
      </c>
      <c r="MW49" s="16">
        <v>1360</v>
      </c>
      <c r="MX49" s="16">
        <v>114</v>
      </c>
      <c r="MY49" s="16">
        <v>112</v>
      </c>
      <c r="MZ49" s="16">
        <v>1078</v>
      </c>
      <c r="NA49" s="16">
        <v>511</v>
      </c>
      <c r="NB49" s="16">
        <v>168239</v>
      </c>
      <c r="NC49" s="16">
        <v>261</v>
      </c>
      <c r="ND49" s="16">
        <v>152</v>
      </c>
      <c r="NE49" s="16">
        <v>45</v>
      </c>
      <c r="NF49" s="16">
        <v>189</v>
      </c>
      <c r="NG49" s="16">
        <v>11961</v>
      </c>
      <c r="NH49" s="16">
        <v>1068</v>
      </c>
      <c r="NI49" s="16">
        <v>2147</v>
      </c>
      <c r="NJ49" s="16">
        <v>9498</v>
      </c>
      <c r="NK49" s="16">
        <v>162</v>
      </c>
      <c r="NL49" s="16">
        <v>9</v>
      </c>
      <c r="NM49" s="16">
        <v>207</v>
      </c>
      <c r="NN49" s="16">
        <v>178</v>
      </c>
      <c r="NO49" s="16">
        <v>0</v>
      </c>
      <c r="NP49" s="16">
        <v>285</v>
      </c>
      <c r="NQ49" s="16">
        <v>10238</v>
      </c>
      <c r="NR49" s="17">
        <v>7463325</v>
      </c>
    </row>
    <row r="50" spans="1:382" ht="13.5" customHeight="1" x14ac:dyDescent="0.2">
      <c r="A50" s="2" t="s">
        <v>107</v>
      </c>
      <c r="B50" s="16">
        <v>15</v>
      </c>
      <c r="C50" s="16">
        <v>1</v>
      </c>
      <c r="D50" s="16">
        <v>5</v>
      </c>
      <c r="E50" s="16">
        <v>1</v>
      </c>
      <c r="F50" s="16">
        <v>29</v>
      </c>
      <c r="G50" s="16">
        <v>22</v>
      </c>
      <c r="H50" s="16">
        <v>7</v>
      </c>
      <c r="I50" s="16">
        <v>198</v>
      </c>
      <c r="J50" s="16">
        <v>62</v>
      </c>
      <c r="K50" s="16">
        <v>0</v>
      </c>
      <c r="L50" s="16">
        <v>1</v>
      </c>
      <c r="M50" s="16">
        <v>0</v>
      </c>
      <c r="N50" s="16">
        <v>0</v>
      </c>
      <c r="O50" s="16">
        <v>2</v>
      </c>
      <c r="P50" s="16">
        <v>-12</v>
      </c>
      <c r="Q50" s="16">
        <v>646</v>
      </c>
      <c r="R50" s="16">
        <v>-40</v>
      </c>
      <c r="S50" s="16">
        <v>127</v>
      </c>
      <c r="T50" s="16">
        <v>2</v>
      </c>
      <c r="U50" s="16">
        <v>1</v>
      </c>
      <c r="V50" s="16">
        <v>1</v>
      </c>
      <c r="W50" s="16">
        <v>1</v>
      </c>
      <c r="X50" s="16">
        <v>49</v>
      </c>
      <c r="Y50" s="16">
        <v>80</v>
      </c>
      <c r="Z50" s="16">
        <v>29</v>
      </c>
      <c r="AA50" s="16">
        <v>1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29</v>
      </c>
      <c r="AH50" s="16">
        <v>26</v>
      </c>
      <c r="AI50" s="16">
        <v>3</v>
      </c>
      <c r="AJ50" s="16">
        <v>36</v>
      </c>
      <c r="AK50" s="16">
        <v>-930</v>
      </c>
      <c r="AL50" s="16">
        <v>18895</v>
      </c>
      <c r="AM50" s="16">
        <v>27139</v>
      </c>
      <c r="AN50" s="16">
        <v>6957</v>
      </c>
      <c r="AO50" s="16">
        <v>2116</v>
      </c>
      <c r="AP50" s="16">
        <v>9</v>
      </c>
      <c r="AQ50" s="16">
        <v>3</v>
      </c>
      <c r="AR50" s="16">
        <v>0</v>
      </c>
      <c r="AS50" s="16">
        <v>7</v>
      </c>
      <c r="AT50" s="16">
        <v>176</v>
      </c>
      <c r="AU50" s="16">
        <v>476590</v>
      </c>
      <c r="AV50" s="16">
        <v>425579</v>
      </c>
      <c r="AW50" s="16">
        <v>100784</v>
      </c>
      <c r="AX50" s="16">
        <v>678182</v>
      </c>
      <c r="AY50" s="16">
        <v>1285</v>
      </c>
      <c r="AZ50" s="16">
        <v>379</v>
      </c>
      <c r="BA50" s="16">
        <v>2185</v>
      </c>
      <c r="BB50" s="16">
        <v>286698</v>
      </c>
      <c r="BC50" s="16">
        <v>2333657</v>
      </c>
      <c r="BD50" s="16">
        <v>1</v>
      </c>
      <c r="BE50" s="16">
        <v>17</v>
      </c>
      <c r="BF50" s="16">
        <v>19</v>
      </c>
      <c r="BG50" s="16">
        <v>11</v>
      </c>
      <c r="BH50" s="16">
        <v>1169</v>
      </c>
      <c r="BI50" s="16">
        <v>15</v>
      </c>
      <c r="BJ50" s="16">
        <v>4</v>
      </c>
      <c r="BK50" s="16">
        <v>0</v>
      </c>
      <c r="BL50" s="16">
        <v>28</v>
      </c>
      <c r="BM50" s="16">
        <v>4</v>
      </c>
      <c r="BN50" s="16">
        <v>23</v>
      </c>
      <c r="BO50" s="16">
        <v>18</v>
      </c>
      <c r="BP50" s="16">
        <v>59</v>
      </c>
      <c r="BQ50" s="16">
        <v>16</v>
      </c>
      <c r="BR50" s="16">
        <v>18</v>
      </c>
      <c r="BS50" s="16">
        <v>56</v>
      </c>
      <c r="BT50" s="16">
        <v>0</v>
      </c>
      <c r="BU50" s="16">
        <v>0</v>
      </c>
      <c r="BV50" s="16">
        <v>0</v>
      </c>
      <c r="BW50" s="16">
        <v>6</v>
      </c>
      <c r="BX50" s="16">
        <v>682</v>
      </c>
      <c r="BY50" s="16">
        <v>0</v>
      </c>
      <c r="BZ50" s="16">
        <v>0</v>
      </c>
      <c r="CA50" s="16">
        <v>0</v>
      </c>
      <c r="CB50" s="16">
        <v>1</v>
      </c>
      <c r="CC50" s="16">
        <v>12</v>
      </c>
      <c r="CD50" s="16">
        <v>3</v>
      </c>
      <c r="CE50" s="16">
        <v>3</v>
      </c>
      <c r="CF50" s="16">
        <v>16</v>
      </c>
      <c r="CG50" s="16">
        <v>0</v>
      </c>
      <c r="CH50" s="16">
        <v>2</v>
      </c>
      <c r="CI50" s="16">
        <v>0</v>
      </c>
      <c r="CJ50" s="16">
        <v>7</v>
      </c>
      <c r="CK50" s="16">
        <v>11</v>
      </c>
      <c r="CL50" s="16">
        <v>15</v>
      </c>
      <c r="CM50" s="16">
        <v>14</v>
      </c>
      <c r="CN50" s="16">
        <v>3</v>
      </c>
      <c r="CO50" s="16">
        <v>8</v>
      </c>
      <c r="CP50" s="16">
        <v>14</v>
      </c>
      <c r="CQ50" s="16">
        <v>74</v>
      </c>
      <c r="CR50" s="16">
        <v>2</v>
      </c>
      <c r="CS50" s="16">
        <v>-15779</v>
      </c>
      <c r="CT50" s="16">
        <v>-14228</v>
      </c>
      <c r="CU50" s="16">
        <v>4</v>
      </c>
      <c r="CV50" s="16">
        <v>7</v>
      </c>
      <c r="CW50" s="16">
        <v>-5993</v>
      </c>
      <c r="CX50" s="16">
        <v>21966</v>
      </c>
      <c r="CY50" s="16">
        <v>1</v>
      </c>
      <c r="CZ50" s="16">
        <v>226</v>
      </c>
      <c r="DA50" s="16">
        <v>559</v>
      </c>
      <c r="DB50" s="16">
        <v>1399</v>
      </c>
      <c r="DC50" s="16">
        <v>10</v>
      </c>
      <c r="DD50" s="16">
        <v>5</v>
      </c>
      <c r="DE50" s="16">
        <v>131840</v>
      </c>
      <c r="DF50" s="16">
        <v>36195</v>
      </c>
      <c r="DG50" s="16">
        <v>8</v>
      </c>
      <c r="DH50" s="16">
        <v>28</v>
      </c>
      <c r="DI50" s="16">
        <v>362</v>
      </c>
      <c r="DJ50" s="16">
        <v>279</v>
      </c>
      <c r="DK50" s="16">
        <v>5</v>
      </c>
      <c r="DL50" s="16">
        <v>9</v>
      </c>
      <c r="DM50" s="16">
        <v>40383</v>
      </c>
      <c r="DN50" s="16">
        <v>12978</v>
      </c>
      <c r="DO50" s="16">
        <v>172</v>
      </c>
      <c r="DP50" s="16">
        <v>6466</v>
      </c>
      <c r="DQ50" s="16">
        <v>6188</v>
      </c>
      <c r="DR50" s="16">
        <v>633735</v>
      </c>
      <c r="DS50" s="16">
        <v>172135</v>
      </c>
      <c r="DT50" s="16">
        <v>54</v>
      </c>
      <c r="DU50" s="16">
        <v>756</v>
      </c>
      <c r="DV50" s="16">
        <v>331236</v>
      </c>
      <c r="DW50" s="16">
        <v>52</v>
      </c>
      <c r="DX50" s="16">
        <v>400</v>
      </c>
      <c r="DY50" s="16">
        <v>3491</v>
      </c>
      <c r="DZ50" s="16">
        <v>2229</v>
      </c>
      <c r="EA50" s="16">
        <v>6506</v>
      </c>
      <c r="EB50" s="16">
        <v>17</v>
      </c>
      <c r="EC50" s="16">
        <v>15</v>
      </c>
      <c r="ED50" s="16">
        <v>2</v>
      </c>
      <c r="EE50" s="16">
        <v>2</v>
      </c>
      <c r="EF50" s="16">
        <v>4</v>
      </c>
      <c r="EG50" s="16">
        <v>5</v>
      </c>
      <c r="EH50" s="16">
        <v>1</v>
      </c>
      <c r="EI50" s="16">
        <v>26</v>
      </c>
      <c r="EJ50" s="16">
        <v>4</v>
      </c>
      <c r="EK50" s="16">
        <v>7</v>
      </c>
      <c r="EL50" s="16">
        <v>26</v>
      </c>
      <c r="EM50" s="16">
        <v>8</v>
      </c>
      <c r="EN50" s="16">
        <v>30</v>
      </c>
      <c r="EO50" s="16">
        <v>16</v>
      </c>
      <c r="EP50" s="16">
        <v>3</v>
      </c>
      <c r="EQ50" s="16">
        <v>12</v>
      </c>
      <c r="ER50" s="16">
        <v>182</v>
      </c>
      <c r="ES50" s="16">
        <v>5</v>
      </c>
      <c r="ET50" s="16">
        <v>8</v>
      </c>
      <c r="EU50" s="16">
        <v>7</v>
      </c>
      <c r="EV50" s="16">
        <v>1</v>
      </c>
      <c r="EW50" s="16">
        <v>40</v>
      </c>
      <c r="EX50" s="16">
        <v>26</v>
      </c>
      <c r="EY50" s="16">
        <v>10</v>
      </c>
      <c r="EZ50" s="16">
        <v>4</v>
      </c>
      <c r="FA50" s="16">
        <v>17</v>
      </c>
      <c r="FB50" s="16">
        <v>33</v>
      </c>
      <c r="FC50" s="16">
        <v>4</v>
      </c>
      <c r="FD50" s="16">
        <v>14</v>
      </c>
      <c r="FE50" s="16">
        <v>17</v>
      </c>
      <c r="FF50" s="16">
        <v>28</v>
      </c>
      <c r="FG50" s="16">
        <v>20</v>
      </c>
      <c r="FH50" s="16">
        <v>1</v>
      </c>
      <c r="FI50" s="16">
        <v>18</v>
      </c>
      <c r="FJ50" s="16">
        <v>2</v>
      </c>
      <c r="FK50" s="16">
        <v>5</v>
      </c>
      <c r="FL50" s="16">
        <v>13</v>
      </c>
      <c r="FM50" s="16">
        <v>15</v>
      </c>
      <c r="FN50" s="16">
        <v>-97</v>
      </c>
      <c r="FO50" s="16">
        <v>12</v>
      </c>
      <c r="FP50" s="16">
        <v>12</v>
      </c>
      <c r="FQ50" s="16">
        <v>25</v>
      </c>
      <c r="FR50" s="16">
        <v>47</v>
      </c>
      <c r="FS50" s="16">
        <v>14</v>
      </c>
      <c r="FT50" s="16">
        <v>21</v>
      </c>
      <c r="FU50" s="16">
        <v>54</v>
      </c>
      <c r="FV50" s="16">
        <v>10</v>
      </c>
      <c r="FW50" s="16">
        <v>56</v>
      </c>
      <c r="FX50" s="16">
        <v>78</v>
      </c>
      <c r="FY50" s="16">
        <v>6</v>
      </c>
      <c r="FZ50" s="16">
        <v>9</v>
      </c>
      <c r="GA50" s="16">
        <v>4</v>
      </c>
      <c r="GB50" s="16">
        <v>124</v>
      </c>
      <c r="GC50" s="16">
        <v>7</v>
      </c>
      <c r="GD50" s="16">
        <v>45</v>
      </c>
      <c r="GE50" s="16">
        <v>4</v>
      </c>
      <c r="GF50" s="16">
        <v>80</v>
      </c>
      <c r="GG50" s="16">
        <v>3</v>
      </c>
      <c r="GH50" s="16">
        <v>25</v>
      </c>
      <c r="GI50" s="16">
        <v>22</v>
      </c>
      <c r="GJ50" s="16">
        <v>12</v>
      </c>
      <c r="GK50" s="16">
        <v>10</v>
      </c>
      <c r="GL50" s="16">
        <v>5</v>
      </c>
      <c r="GM50" s="16">
        <v>72</v>
      </c>
      <c r="GN50" s="16">
        <v>4</v>
      </c>
      <c r="GO50" s="16">
        <v>17</v>
      </c>
      <c r="GP50" s="16">
        <v>48</v>
      </c>
      <c r="GQ50" s="16">
        <v>1</v>
      </c>
      <c r="GR50" s="16">
        <v>5</v>
      </c>
      <c r="GS50" s="16">
        <v>19</v>
      </c>
      <c r="GT50" s="16">
        <v>2</v>
      </c>
      <c r="GU50" s="16">
        <v>24</v>
      </c>
      <c r="GV50" s="16">
        <v>13</v>
      </c>
      <c r="GW50" s="16">
        <v>12</v>
      </c>
      <c r="GX50" s="16">
        <v>9</v>
      </c>
      <c r="GY50" s="16">
        <v>1</v>
      </c>
      <c r="GZ50" s="16">
        <v>12</v>
      </c>
      <c r="HA50" s="16">
        <v>6</v>
      </c>
      <c r="HB50" s="16">
        <v>8</v>
      </c>
      <c r="HC50" s="16">
        <v>26</v>
      </c>
      <c r="HD50" s="16">
        <v>28</v>
      </c>
      <c r="HE50" s="16">
        <v>24</v>
      </c>
      <c r="HF50" s="16">
        <v>21</v>
      </c>
      <c r="HG50" s="16">
        <v>13</v>
      </c>
      <c r="HH50" s="16">
        <v>10</v>
      </c>
      <c r="HI50" s="16">
        <v>11</v>
      </c>
      <c r="HJ50" s="16">
        <v>7</v>
      </c>
      <c r="HK50" s="16">
        <v>12</v>
      </c>
      <c r="HL50" s="16">
        <v>27</v>
      </c>
      <c r="HM50" s="16">
        <v>11</v>
      </c>
      <c r="HN50" s="16">
        <v>21</v>
      </c>
      <c r="HO50" s="16">
        <v>15</v>
      </c>
      <c r="HP50" s="16">
        <v>14</v>
      </c>
      <c r="HQ50" s="16">
        <v>37</v>
      </c>
      <c r="HR50" s="16">
        <v>41</v>
      </c>
      <c r="HS50" s="16">
        <v>30</v>
      </c>
      <c r="HT50" s="16">
        <v>5</v>
      </c>
      <c r="HU50" s="16">
        <v>78</v>
      </c>
      <c r="HV50" s="16">
        <v>8</v>
      </c>
      <c r="HW50" s="16">
        <v>25</v>
      </c>
      <c r="HX50" s="16">
        <v>33</v>
      </c>
      <c r="HY50" s="16">
        <v>38</v>
      </c>
      <c r="HZ50" s="16">
        <v>83</v>
      </c>
      <c r="IA50" s="16">
        <v>25</v>
      </c>
      <c r="IB50" s="16">
        <v>2</v>
      </c>
      <c r="IC50" s="16">
        <v>6</v>
      </c>
      <c r="ID50" s="16">
        <v>9</v>
      </c>
      <c r="IE50" s="16">
        <v>1</v>
      </c>
      <c r="IF50" s="16">
        <v>10</v>
      </c>
      <c r="IG50" s="16">
        <v>81</v>
      </c>
      <c r="IH50" s="16">
        <v>177</v>
      </c>
      <c r="II50" s="16">
        <v>33</v>
      </c>
      <c r="IJ50" s="16">
        <v>3</v>
      </c>
      <c r="IK50" s="16">
        <v>9</v>
      </c>
      <c r="IL50" s="16">
        <v>2</v>
      </c>
      <c r="IM50" s="16">
        <v>1</v>
      </c>
      <c r="IN50" s="16">
        <v>10</v>
      </c>
      <c r="IO50" s="16">
        <v>-456</v>
      </c>
      <c r="IP50" s="16">
        <v>-25068</v>
      </c>
      <c r="IQ50" s="16">
        <v>1</v>
      </c>
      <c r="IR50" s="16">
        <v>8</v>
      </c>
      <c r="IS50" s="16">
        <v>6</v>
      </c>
      <c r="IT50" s="16">
        <v>-12665</v>
      </c>
      <c r="IU50" s="16">
        <v>1</v>
      </c>
      <c r="IV50" s="16">
        <v>2</v>
      </c>
      <c r="IW50" s="16">
        <v>16</v>
      </c>
      <c r="IX50" s="16">
        <v>6</v>
      </c>
      <c r="IY50" s="16">
        <v>20</v>
      </c>
      <c r="IZ50" s="16">
        <v>1</v>
      </c>
      <c r="JA50" s="16">
        <v>4</v>
      </c>
      <c r="JB50" s="16">
        <v>2</v>
      </c>
      <c r="JC50" s="16">
        <v>4</v>
      </c>
      <c r="JD50" s="16">
        <v>1</v>
      </c>
      <c r="JE50" s="16">
        <v>165</v>
      </c>
      <c r="JF50" s="16">
        <v>6</v>
      </c>
      <c r="JG50" s="16">
        <v>653</v>
      </c>
      <c r="JH50" s="16">
        <v>8</v>
      </c>
      <c r="JI50" s="16">
        <v>5</v>
      </c>
      <c r="JJ50" s="16">
        <v>-335</v>
      </c>
      <c r="JK50" s="16">
        <v>22</v>
      </c>
      <c r="JL50" s="16">
        <v>4</v>
      </c>
      <c r="JM50" s="16">
        <v>0</v>
      </c>
      <c r="JN50" s="16">
        <v>1621456</v>
      </c>
      <c r="JO50" s="16">
        <v>2</v>
      </c>
      <c r="JP50" s="16">
        <v>7</v>
      </c>
      <c r="JQ50" s="16">
        <v>25</v>
      </c>
      <c r="JR50" s="16">
        <v>370</v>
      </c>
      <c r="JS50" s="16">
        <v>182</v>
      </c>
      <c r="JT50" s="16">
        <v>0</v>
      </c>
      <c r="JU50" s="16">
        <v>-120869</v>
      </c>
      <c r="JV50" s="16">
        <v>131</v>
      </c>
      <c r="JW50" s="16">
        <v>222</v>
      </c>
      <c r="JX50" s="16">
        <v>229</v>
      </c>
      <c r="JY50" s="16">
        <v>87</v>
      </c>
      <c r="JZ50" s="16">
        <v>39</v>
      </c>
      <c r="KA50" s="16">
        <v>3</v>
      </c>
      <c r="KB50" s="16">
        <v>6</v>
      </c>
      <c r="KC50" s="16">
        <v>18</v>
      </c>
      <c r="KD50" s="16">
        <v>15</v>
      </c>
      <c r="KE50" s="16">
        <v>6</v>
      </c>
      <c r="KF50" s="16">
        <v>22</v>
      </c>
      <c r="KG50" s="16">
        <v>11</v>
      </c>
      <c r="KH50" s="16">
        <v>6</v>
      </c>
      <c r="KI50" s="16">
        <v>28</v>
      </c>
      <c r="KJ50" s="16">
        <v>82</v>
      </c>
      <c r="KK50" s="16">
        <v>24138</v>
      </c>
      <c r="KL50" s="16">
        <v>16</v>
      </c>
      <c r="KM50" s="16">
        <v>64</v>
      </c>
      <c r="KN50" s="16">
        <v>97</v>
      </c>
      <c r="KO50" s="16">
        <v>7</v>
      </c>
      <c r="KP50" s="16">
        <v>59</v>
      </c>
      <c r="KQ50" s="16">
        <v>20</v>
      </c>
      <c r="KR50" s="16">
        <v>14</v>
      </c>
      <c r="KS50" s="16">
        <v>24</v>
      </c>
      <c r="KT50" s="16">
        <v>2</v>
      </c>
      <c r="KU50" s="16">
        <v>55</v>
      </c>
      <c r="KV50" s="16">
        <v>18</v>
      </c>
      <c r="KW50" s="16">
        <v>126</v>
      </c>
      <c r="KX50" s="16">
        <v>1</v>
      </c>
      <c r="KY50" s="16">
        <v>25</v>
      </c>
      <c r="KZ50" s="16">
        <v>630936</v>
      </c>
      <c r="LA50" s="16">
        <v>315759</v>
      </c>
      <c r="LB50" s="16">
        <v>64294</v>
      </c>
      <c r="LC50" s="16">
        <v>12885</v>
      </c>
      <c r="LD50" s="16">
        <v>959</v>
      </c>
      <c r="LE50" s="16">
        <v>87</v>
      </c>
      <c r="LF50" s="16">
        <v>46</v>
      </c>
      <c r="LG50" s="16">
        <v>21</v>
      </c>
      <c r="LH50" s="16">
        <v>124</v>
      </c>
      <c r="LI50" s="16">
        <v>14</v>
      </c>
      <c r="LJ50" s="16">
        <v>38</v>
      </c>
      <c r="LK50" s="16">
        <v>141</v>
      </c>
      <c r="LL50" s="16">
        <v>328</v>
      </c>
      <c r="LM50" s="16">
        <v>436</v>
      </c>
      <c r="LN50" s="16">
        <v>75</v>
      </c>
      <c r="LO50" s="16">
        <v>130</v>
      </c>
      <c r="LP50" s="16">
        <v>33</v>
      </c>
      <c r="LQ50" s="16">
        <v>1</v>
      </c>
      <c r="LR50" s="16">
        <v>233</v>
      </c>
      <c r="LS50" s="16">
        <v>182</v>
      </c>
      <c r="LT50" s="16">
        <v>83</v>
      </c>
      <c r="LU50" s="16">
        <v>91</v>
      </c>
      <c r="LV50" s="16">
        <v>7</v>
      </c>
      <c r="LW50" s="16">
        <v>116</v>
      </c>
      <c r="LX50" s="16">
        <v>71</v>
      </c>
      <c r="LY50" s="16">
        <v>0</v>
      </c>
      <c r="LZ50" s="16">
        <v>340</v>
      </c>
      <c r="MA50" s="16">
        <v>41</v>
      </c>
      <c r="MB50" s="16">
        <v>31</v>
      </c>
      <c r="MC50" s="16">
        <v>144</v>
      </c>
      <c r="MD50" s="16">
        <v>6</v>
      </c>
      <c r="ME50" s="16">
        <v>66</v>
      </c>
      <c r="MF50" s="16">
        <v>6132</v>
      </c>
      <c r="MG50" s="16">
        <v>117</v>
      </c>
      <c r="MH50" s="16">
        <v>515</v>
      </c>
      <c r="MI50" s="16">
        <v>19</v>
      </c>
      <c r="MJ50" s="16">
        <v>173</v>
      </c>
      <c r="MK50" s="16">
        <v>245</v>
      </c>
      <c r="ML50" s="16">
        <v>145</v>
      </c>
      <c r="MM50" s="16">
        <v>114</v>
      </c>
      <c r="MN50" s="16">
        <v>43</v>
      </c>
      <c r="MO50" s="16">
        <v>138</v>
      </c>
      <c r="MP50" s="16">
        <v>134</v>
      </c>
      <c r="MQ50" s="16">
        <v>455</v>
      </c>
      <c r="MR50" s="16">
        <v>6284</v>
      </c>
      <c r="MS50" s="16">
        <v>1877</v>
      </c>
      <c r="MT50" s="16">
        <v>118</v>
      </c>
      <c r="MU50" s="16">
        <v>46401</v>
      </c>
      <c r="MV50" s="16">
        <v>209</v>
      </c>
      <c r="MW50" s="16">
        <v>200</v>
      </c>
      <c r="MX50" s="16">
        <v>221</v>
      </c>
      <c r="MY50" s="16">
        <v>239</v>
      </c>
      <c r="MZ50" s="16">
        <v>-35437</v>
      </c>
      <c r="NA50" s="16">
        <v>457</v>
      </c>
      <c r="NB50" s="16">
        <v>28584</v>
      </c>
      <c r="NC50" s="16">
        <v>62</v>
      </c>
      <c r="ND50" s="16">
        <v>28</v>
      </c>
      <c r="NE50" s="16">
        <v>7</v>
      </c>
      <c r="NF50" s="16">
        <v>17</v>
      </c>
      <c r="NG50" s="16">
        <v>302</v>
      </c>
      <c r="NH50" s="16">
        <v>2122</v>
      </c>
      <c r="NI50" s="16">
        <v>227</v>
      </c>
      <c r="NJ50" s="16">
        <v>1192</v>
      </c>
      <c r="NK50" s="16">
        <v>247</v>
      </c>
      <c r="NL50" s="16">
        <v>13</v>
      </c>
      <c r="NM50" s="16">
        <v>50</v>
      </c>
      <c r="NN50" s="16">
        <v>20</v>
      </c>
      <c r="NO50" s="16">
        <v>0</v>
      </c>
      <c r="NP50" s="16">
        <v>43</v>
      </c>
      <c r="NQ50" s="16">
        <v>1828</v>
      </c>
      <c r="NR50" s="17">
        <v>8319939</v>
      </c>
    </row>
    <row r="51" spans="1:382" ht="13.5" customHeight="1" x14ac:dyDescent="0.2">
      <c r="A51" s="2" t="s">
        <v>109</v>
      </c>
      <c r="B51" s="16">
        <v>278</v>
      </c>
      <c r="C51" s="16">
        <v>117</v>
      </c>
      <c r="D51" s="16">
        <v>77</v>
      </c>
      <c r="E51" s="16">
        <v>13</v>
      </c>
      <c r="F51" s="16">
        <v>402</v>
      </c>
      <c r="G51" s="16">
        <v>169</v>
      </c>
      <c r="H51" s="16">
        <v>49</v>
      </c>
      <c r="I51" s="16">
        <v>71</v>
      </c>
      <c r="J51" s="16">
        <v>0</v>
      </c>
      <c r="K51" s="16">
        <v>0</v>
      </c>
      <c r="L51" s="16">
        <v>13</v>
      </c>
      <c r="M51" s="16">
        <v>0</v>
      </c>
      <c r="N51" s="16">
        <v>0</v>
      </c>
      <c r="O51" s="16">
        <v>4</v>
      </c>
      <c r="P51" s="16">
        <v>316</v>
      </c>
      <c r="Q51" s="16">
        <v>322</v>
      </c>
      <c r="R51" s="16">
        <v>106</v>
      </c>
      <c r="S51" s="16">
        <v>94</v>
      </c>
      <c r="T51" s="16">
        <v>7</v>
      </c>
      <c r="U51" s="16">
        <v>30</v>
      </c>
      <c r="V51" s="16">
        <v>7</v>
      </c>
      <c r="W51" s="16">
        <v>20</v>
      </c>
      <c r="X51" s="16">
        <v>464</v>
      </c>
      <c r="Y51" s="16">
        <v>2077</v>
      </c>
      <c r="Z51" s="16">
        <v>4198</v>
      </c>
      <c r="AA51" s="16">
        <v>10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1035</v>
      </c>
      <c r="AH51" s="16">
        <v>1678</v>
      </c>
      <c r="AI51" s="16">
        <v>948</v>
      </c>
      <c r="AJ51" s="16">
        <v>1680</v>
      </c>
      <c r="AK51" s="16">
        <v>721</v>
      </c>
      <c r="AL51" s="16">
        <v>12255</v>
      </c>
      <c r="AM51" s="16">
        <v>166940</v>
      </c>
      <c r="AN51" s="16">
        <v>12172</v>
      </c>
      <c r="AO51" s="16">
        <v>42509</v>
      </c>
      <c r="AP51" s="16">
        <v>39</v>
      </c>
      <c r="AQ51" s="16">
        <v>641</v>
      </c>
      <c r="AR51" s="16">
        <v>0</v>
      </c>
      <c r="AS51" s="16">
        <v>269</v>
      </c>
      <c r="AT51" s="16">
        <v>791</v>
      </c>
      <c r="AU51" s="16">
        <v>199847</v>
      </c>
      <c r="AV51" s="16">
        <v>105779</v>
      </c>
      <c r="AW51" s="16">
        <v>708992</v>
      </c>
      <c r="AX51" s="16">
        <v>41472</v>
      </c>
      <c r="AY51" s="16">
        <v>496265</v>
      </c>
      <c r="AZ51" s="16">
        <v>20613</v>
      </c>
      <c r="BA51" s="16">
        <v>83907</v>
      </c>
      <c r="BB51" s="16">
        <v>242513</v>
      </c>
      <c r="BC51" s="16">
        <v>69728</v>
      </c>
      <c r="BD51" s="16">
        <v>13967</v>
      </c>
      <c r="BE51" s="16">
        <v>30401</v>
      </c>
      <c r="BF51" s="16">
        <v>2772</v>
      </c>
      <c r="BG51" s="16">
        <v>5709</v>
      </c>
      <c r="BH51" s="16">
        <v>1751287</v>
      </c>
      <c r="BI51" s="16">
        <v>2806</v>
      </c>
      <c r="BJ51" s="16">
        <v>185</v>
      </c>
      <c r="BK51" s="16">
        <v>135</v>
      </c>
      <c r="BL51" s="16">
        <v>1409</v>
      </c>
      <c r="BM51" s="16">
        <v>371</v>
      </c>
      <c r="BN51" s="16">
        <v>512</v>
      </c>
      <c r="BO51" s="16">
        <v>1464</v>
      </c>
      <c r="BP51" s="16">
        <v>597</v>
      </c>
      <c r="BQ51" s="16">
        <v>171</v>
      </c>
      <c r="BR51" s="16">
        <v>57</v>
      </c>
      <c r="BS51" s="16">
        <v>2674</v>
      </c>
      <c r="BT51" s="16">
        <v>29</v>
      </c>
      <c r="BU51" s="16">
        <v>8</v>
      </c>
      <c r="BV51" s="16">
        <v>2</v>
      </c>
      <c r="BW51" s="16">
        <v>106</v>
      </c>
      <c r="BX51" s="16">
        <v>36</v>
      </c>
      <c r="BY51" s="16">
        <v>1</v>
      </c>
      <c r="BZ51" s="16">
        <v>133</v>
      </c>
      <c r="CA51" s="16">
        <v>273</v>
      </c>
      <c r="CB51" s="16">
        <v>72</v>
      </c>
      <c r="CC51" s="16">
        <v>1200</v>
      </c>
      <c r="CD51" s="16">
        <v>496</v>
      </c>
      <c r="CE51" s="16">
        <v>357</v>
      </c>
      <c r="CF51" s="16">
        <v>911</v>
      </c>
      <c r="CG51" s="16">
        <v>396</v>
      </c>
      <c r="CH51" s="16">
        <v>185</v>
      </c>
      <c r="CI51" s="16">
        <v>33</v>
      </c>
      <c r="CJ51" s="16">
        <v>606</v>
      </c>
      <c r="CK51" s="16">
        <v>1293</v>
      </c>
      <c r="CL51" s="16">
        <v>481</v>
      </c>
      <c r="CM51" s="16">
        <v>824</v>
      </c>
      <c r="CN51" s="16">
        <v>90</v>
      </c>
      <c r="CO51" s="16">
        <v>908</v>
      </c>
      <c r="CP51" s="16">
        <v>703</v>
      </c>
      <c r="CQ51" s="16">
        <v>6969</v>
      </c>
      <c r="CR51" s="16">
        <v>162</v>
      </c>
      <c r="CS51" s="16">
        <v>611</v>
      </c>
      <c r="CT51" s="16">
        <v>1763</v>
      </c>
      <c r="CU51" s="16">
        <v>1069</v>
      </c>
      <c r="CV51" s="16">
        <v>1267</v>
      </c>
      <c r="CW51" s="16">
        <v>3473</v>
      </c>
      <c r="CX51" s="16">
        <v>2170</v>
      </c>
      <c r="CY51" s="16">
        <v>328</v>
      </c>
      <c r="CZ51" s="16">
        <v>462</v>
      </c>
      <c r="DA51" s="16">
        <v>55</v>
      </c>
      <c r="DB51" s="16">
        <v>2733</v>
      </c>
      <c r="DC51" s="16">
        <v>601</v>
      </c>
      <c r="DD51" s="16">
        <v>7445</v>
      </c>
      <c r="DE51" s="16">
        <v>1734</v>
      </c>
      <c r="DF51" s="16">
        <v>2912</v>
      </c>
      <c r="DG51" s="16">
        <v>387</v>
      </c>
      <c r="DH51" s="16">
        <v>2061</v>
      </c>
      <c r="DI51" s="16">
        <v>311</v>
      </c>
      <c r="DJ51" s="16">
        <v>30229</v>
      </c>
      <c r="DK51" s="16">
        <v>260</v>
      </c>
      <c r="DL51" s="16">
        <v>1331</v>
      </c>
      <c r="DM51" s="16">
        <v>60247</v>
      </c>
      <c r="DN51" s="16">
        <v>284</v>
      </c>
      <c r="DO51" s="16">
        <v>875</v>
      </c>
      <c r="DP51" s="16">
        <v>2565</v>
      </c>
      <c r="DQ51" s="16">
        <v>146</v>
      </c>
      <c r="DR51" s="16">
        <v>1900</v>
      </c>
      <c r="DS51" s="16">
        <v>5320</v>
      </c>
      <c r="DT51" s="16">
        <v>403</v>
      </c>
      <c r="DU51" s="16">
        <v>444</v>
      </c>
      <c r="DV51" s="16">
        <v>204</v>
      </c>
      <c r="DW51" s="16">
        <v>2271</v>
      </c>
      <c r="DX51" s="16">
        <v>1457</v>
      </c>
      <c r="DY51" s="16">
        <v>3301</v>
      </c>
      <c r="DZ51" s="16">
        <v>5899</v>
      </c>
      <c r="EA51" s="16">
        <v>2223</v>
      </c>
      <c r="EB51" s="16">
        <v>130</v>
      </c>
      <c r="EC51" s="16">
        <v>378</v>
      </c>
      <c r="ED51" s="16">
        <v>227</v>
      </c>
      <c r="EE51" s="16">
        <v>29</v>
      </c>
      <c r="EF51" s="16">
        <v>22</v>
      </c>
      <c r="EG51" s="16">
        <v>424</v>
      </c>
      <c r="EH51" s="16">
        <v>141</v>
      </c>
      <c r="EI51" s="16">
        <v>371</v>
      </c>
      <c r="EJ51" s="16">
        <v>407</v>
      </c>
      <c r="EK51" s="16">
        <v>79</v>
      </c>
      <c r="EL51" s="16">
        <v>102</v>
      </c>
      <c r="EM51" s="16">
        <v>147</v>
      </c>
      <c r="EN51" s="16">
        <v>3520</v>
      </c>
      <c r="EO51" s="16">
        <v>1434</v>
      </c>
      <c r="EP51" s="16">
        <v>356</v>
      </c>
      <c r="EQ51" s="16">
        <v>933</v>
      </c>
      <c r="ER51" s="16">
        <v>115</v>
      </c>
      <c r="ES51" s="16">
        <v>373</v>
      </c>
      <c r="ET51" s="16">
        <v>2644</v>
      </c>
      <c r="EU51" s="16">
        <v>306</v>
      </c>
      <c r="EV51" s="16">
        <v>79</v>
      </c>
      <c r="EW51" s="16">
        <v>78</v>
      </c>
      <c r="EX51" s="16">
        <v>8392</v>
      </c>
      <c r="EY51" s="16">
        <v>737</v>
      </c>
      <c r="EZ51" s="16">
        <v>36</v>
      </c>
      <c r="FA51" s="16">
        <v>110</v>
      </c>
      <c r="FB51" s="16">
        <v>85</v>
      </c>
      <c r="FC51" s="16">
        <v>149</v>
      </c>
      <c r="FD51" s="16">
        <v>1640</v>
      </c>
      <c r="FE51" s="16">
        <v>267</v>
      </c>
      <c r="FF51" s="16">
        <v>530</v>
      </c>
      <c r="FG51" s="16">
        <v>865</v>
      </c>
      <c r="FH51" s="16">
        <v>393</v>
      </c>
      <c r="FI51" s="16">
        <v>357</v>
      </c>
      <c r="FJ51" s="16">
        <v>316</v>
      </c>
      <c r="FK51" s="16">
        <v>662</v>
      </c>
      <c r="FL51" s="16">
        <v>443</v>
      </c>
      <c r="FM51" s="16">
        <v>747</v>
      </c>
      <c r="FN51" s="16">
        <v>2346</v>
      </c>
      <c r="FO51" s="16">
        <v>2328</v>
      </c>
      <c r="FP51" s="16">
        <v>892</v>
      </c>
      <c r="FQ51" s="16">
        <v>3576</v>
      </c>
      <c r="FR51" s="16">
        <v>1038</v>
      </c>
      <c r="FS51" s="16">
        <v>553</v>
      </c>
      <c r="FT51" s="16">
        <v>1218</v>
      </c>
      <c r="FU51" s="16">
        <v>1719</v>
      </c>
      <c r="FV51" s="16">
        <v>1382</v>
      </c>
      <c r="FW51" s="16">
        <v>1432</v>
      </c>
      <c r="FX51" s="16">
        <v>3124</v>
      </c>
      <c r="FY51" s="16">
        <v>407</v>
      </c>
      <c r="FZ51" s="16">
        <v>996</v>
      </c>
      <c r="GA51" s="16">
        <v>227</v>
      </c>
      <c r="GB51" s="16">
        <v>6905</v>
      </c>
      <c r="GC51" s="16">
        <v>548</v>
      </c>
      <c r="GD51" s="16">
        <v>1850</v>
      </c>
      <c r="GE51" s="16">
        <v>140</v>
      </c>
      <c r="GF51" s="16">
        <v>2418</v>
      </c>
      <c r="GG51" s="16">
        <v>8</v>
      </c>
      <c r="GH51" s="16">
        <v>452</v>
      </c>
      <c r="GI51" s="16">
        <v>82</v>
      </c>
      <c r="GJ51" s="16">
        <v>674</v>
      </c>
      <c r="GK51" s="16">
        <v>112</v>
      </c>
      <c r="GL51" s="16">
        <v>4</v>
      </c>
      <c r="GM51" s="16">
        <v>10</v>
      </c>
      <c r="GN51" s="16">
        <v>146</v>
      </c>
      <c r="GO51" s="16">
        <v>556</v>
      </c>
      <c r="GP51" s="16">
        <v>59</v>
      </c>
      <c r="GQ51" s="16">
        <v>1</v>
      </c>
      <c r="GR51" s="16">
        <v>290</v>
      </c>
      <c r="GS51" s="16">
        <v>65</v>
      </c>
      <c r="GT51" s="16">
        <v>19</v>
      </c>
      <c r="GU51" s="16">
        <v>1163</v>
      </c>
      <c r="GV51" s="16">
        <v>246</v>
      </c>
      <c r="GW51" s="16">
        <v>674</v>
      </c>
      <c r="GX51" s="16">
        <v>43</v>
      </c>
      <c r="GY51" s="16">
        <v>6</v>
      </c>
      <c r="GZ51" s="16">
        <v>202</v>
      </c>
      <c r="HA51" s="16">
        <v>313</v>
      </c>
      <c r="HB51" s="16">
        <v>223</v>
      </c>
      <c r="HC51" s="16">
        <v>361</v>
      </c>
      <c r="HD51" s="16">
        <v>1403</v>
      </c>
      <c r="HE51" s="16">
        <v>210</v>
      </c>
      <c r="HF51" s="16">
        <v>574</v>
      </c>
      <c r="HG51" s="16">
        <v>354</v>
      </c>
      <c r="HH51" s="16">
        <v>170</v>
      </c>
      <c r="HI51" s="16">
        <v>380</v>
      </c>
      <c r="HJ51" s="16">
        <v>150</v>
      </c>
      <c r="HK51" s="16">
        <v>505</v>
      </c>
      <c r="HL51" s="16">
        <v>1650</v>
      </c>
      <c r="HM51" s="16">
        <v>991</v>
      </c>
      <c r="HN51" s="16">
        <v>7514</v>
      </c>
      <c r="HO51" s="16">
        <v>617</v>
      </c>
      <c r="HP51" s="16">
        <v>146</v>
      </c>
      <c r="HQ51" s="16">
        <v>1616</v>
      </c>
      <c r="HR51" s="16">
        <v>1405</v>
      </c>
      <c r="HS51" s="16">
        <v>846</v>
      </c>
      <c r="HT51" s="16">
        <v>55</v>
      </c>
      <c r="HU51" s="16">
        <v>1035</v>
      </c>
      <c r="HV51" s="16">
        <v>309</v>
      </c>
      <c r="HW51" s="16">
        <v>555</v>
      </c>
      <c r="HX51" s="16">
        <v>1371</v>
      </c>
      <c r="HY51" s="16">
        <v>3516</v>
      </c>
      <c r="HZ51" s="16">
        <v>3064</v>
      </c>
      <c r="IA51" s="16">
        <v>762</v>
      </c>
      <c r="IB51" s="16">
        <v>147</v>
      </c>
      <c r="IC51" s="16">
        <v>86</v>
      </c>
      <c r="ID51" s="16">
        <v>106</v>
      </c>
      <c r="IE51" s="16">
        <v>40</v>
      </c>
      <c r="IF51" s="16">
        <v>133</v>
      </c>
      <c r="IG51" s="16">
        <v>2082</v>
      </c>
      <c r="IH51" s="16">
        <v>2503</v>
      </c>
      <c r="II51" s="16">
        <v>333</v>
      </c>
      <c r="IJ51" s="16">
        <v>35</v>
      </c>
      <c r="IK51" s="16">
        <v>199</v>
      </c>
      <c r="IL51" s="16">
        <v>104</v>
      </c>
      <c r="IM51" s="16">
        <v>4</v>
      </c>
      <c r="IN51" s="16">
        <v>288</v>
      </c>
      <c r="IO51" s="16">
        <v>3857</v>
      </c>
      <c r="IP51" s="16">
        <v>45</v>
      </c>
      <c r="IQ51" s="16">
        <v>6</v>
      </c>
      <c r="IR51" s="16">
        <v>20</v>
      </c>
      <c r="IS51" s="16">
        <v>127</v>
      </c>
      <c r="IT51" s="16">
        <v>97</v>
      </c>
      <c r="IU51" s="16">
        <v>13</v>
      </c>
      <c r="IV51" s="16">
        <v>329</v>
      </c>
      <c r="IW51" s="16">
        <v>807</v>
      </c>
      <c r="IX51" s="16">
        <v>214</v>
      </c>
      <c r="IY51" s="16">
        <v>235</v>
      </c>
      <c r="IZ51" s="16">
        <v>15</v>
      </c>
      <c r="JA51" s="16">
        <v>170</v>
      </c>
      <c r="JB51" s="16">
        <v>20</v>
      </c>
      <c r="JC51" s="16">
        <v>21</v>
      </c>
      <c r="JD51" s="16">
        <v>32</v>
      </c>
      <c r="JE51" s="16">
        <v>204</v>
      </c>
      <c r="JF51" s="16">
        <v>376</v>
      </c>
      <c r="JG51" s="16">
        <v>26749</v>
      </c>
      <c r="JH51" s="16">
        <v>201</v>
      </c>
      <c r="JI51" s="16">
        <v>62</v>
      </c>
      <c r="JJ51" s="16">
        <v>3331</v>
      </c>
      <c r="JK51" s="16">
        <v>448</v>
      </c>
      <c r="JL51" s="16">
        <v>1134</v>
      </c>
      <c r="JM51" s="16">
        <v>253</v>
      </c>
      <c r="JN51" s="16">
        <v>2894</v>
      </c>
      <c r="JO51" s="16">
        <v>400</v>
      </c>
      <c r="JP51" s="16">
        <v>8952</v>
      </c>
      <c r="JQ51" s="16">
        <v>2382</v>
      </c>
      <c r="JR51" s="16">
        <v>14728</v>
      </c>
      <c r="JS51" s="16">
        <v>8559</v>
      </c>
      <c r="JT51" s="16">
        <v>0</v>
      </c>
      <c r="JU51" s="16">
        <v>8446</v>
      </c>
      <c r="JV51" s="16">
        <v>539</v>
      </c>
      <c r="JW51" s="16">
        <v>1137</v>
      </c>
      <c r="JX51" s="16">
        <v>1128</v>
      </c>
      <c r="JY51" s="16">
        <v>1659</v>
      </c>
      <c r="JZ51" s="16">
        <v>226</v>
      </c>
      <c r="KA51" s="16">
        <v>135</v>
      </c>
      <c r="KB51" s="16">
        <v>54</v>
      </c>
      <c r="KC51" s="16">
        <v>190</v>
      </c>
      <c r="KD51" s="16">
        <v>507</v>
      </c>
      <c r="KE51" s="16">
        <v>93</v>
      </c>
      <c r="KF51" s="16">
        <v>206</v>
      </c>
      <c r="KG51" s="16">
        <v>358</v>
      </c>
      <c r="KH51" s="16">
        <v>47</v>
      </c>
      <c r="KI51" s="16">
        <v>445</v>
      </c>
      <c r="KJ51" s="16">
        <v>331</v>
      </c>
      <c r="KK51" s="16">
        <v>116710</v>
      </c>
      <c r="KL51" s="16">
        <v>76</v>
      </c>
      <c r="KM51" s="16">
        <v>819</v>
      </c>
      <c r="KN51" s="16">
        <v>89</v>
      </c>
      <c r="KO51" s="16">
        <v>1267</v>
      </c>
      <c r="KP51" s="16">
        <v>575</v>
      </c>
      <c r="KQ51" s="16">
        <v>683</v>
      </c>
      <c r="KR51" s="16">
        <v>10830</v>
      </c>
      <c r="KS51" s="16">
        <v>2865</v>
      </c>
      <c r="KT51" s="16">
        <v>740</v>
      </c>
      <c r="KU51" s="16">
        <v>9224</v>
      </c>
      <c r="KV51" s="16">
        <v>12815</v>
      </c>
      <c r="KW51" s="16">
        <v>31389</v>
      </c>
      <c r="KX51" s="16">
        <v>15</v>
      </c>
      <c r="KY51" s="16">
        <v>2935</v>
      </c>
      <c r="KZ51" s="16">
        <v>1280732</v>
      </c>
      <c r="LA51" s="16">
        <v>452232</v>
      </c>
      <c r="LB51" s="16">
        <v>255898</v>
      </c>
      <c r="LC51" s="16">
        <v>810070</v>
      </c>
      <c r="LD51" s="16">
        <v>5881</v>
      </c>
      <c r="LE51" s="16">
        <v>4556</v>
      </c>
      <c r="LF51" s="16">
        <v>919</v>
      </c>
      <c r="LG51" s="16">
        <v>279</v>
      </c>
      <c r="LH51" s="16">
        <v>1831</v>
      </c>
      <c r="LI51" s="16">
        <v>7</v>
      </c>
      <c r="LJ51" s="16">
        <v>692</v>
      </c>
      <c r="LK51" s="16">
        <v>3637</v>
      </c>
      <c r="LL51" s="16">
        <v>19343</v>
      </c>
      <c r="LM51" s="16">
        <v>4334</v>
      </c>
      <c r="LN51" s="16">
        <v>2673</v>
      </c>
      <c r="LO51" s="16">
        <v>592</v>
      </c>
      <c r="LP51" s="16">
        <v>1332</v>
      </c>
      <c r="LQ51" s="16">
        <v>3160</v>
      </c>
      <c r="LR51" s="16">
        <v>9672</v>
      </c>
      <c r="LS51" s="16">
        <v>1909</v>
      </c>
      <c r="LT51" s="16">
        <v>5033</v>
      </c>
      <c r="LU51" s="16">
        <v>3584</v>
      </c>
      <c r="LV51" s="16">
        <v>43</v>
      </c>
      <c r="LW51" s="16">
        <v>2287</v>
      </c>
      <c r="LX51" s="16">
        <v>8180</v>
      </c>
      <c r="LY51" s="16">
        <v>0</v>
      </c>
      <c r="LZ51" s="16">
        <v>403</v>
      </c>
      <c r="MA51" s="16">
        <v>299</v>
      </c>
      <c r="MB51" s="16">
        <v>2846</v>
      </c>
      <c r="MC51" s="16">
        <v>1964</v>
      </c>
      <c r="MD51" s="16">
        <v>1981</v>
      </c>
      <c r="ME51" s="16">
        <v>2405</v>
      </c>
      <c r="MF51" s="16">
        <v>165898</v>
      </c>
      <c r="MG51" s="16">
        <v>9880</v>
      </c>
      <c r="MH51" s="16">
        <v>46176</v>
      </c>
      <c r="MI51" s="16">
        <v>2522</v>
      </c>
      <c r="MJ51" s="16">
        <v>2930</v>
      </c>
      <c r="MK51" s="16">
        <v>8496</v>
      </c>
      <c r="ML51" s="16">
        <v>2590</v>
      </c>
      <c r="MM51" s="16">
        <v>14771</v>
      </c>
      <c r="MN51" s="16">
        <v>11642</v>
      </c>
      <c r="MO51" s="16">
        <v>3687</v>
      </c>
      <c r="MP51" s="16">
        <v>52052</v>
      </c>
      <c r="MQ51" s="16">
        <v>81800</v>
      </c>
      <c r="MR51" s="16">
        <v>26702</v>
      </c>
      <c r="MS51" s="16">
        <v>20694</v>
      </c>
      <c r="MT51" s="16">
        <v>909</v>
      </c>
      <c r="MU51" s="16">
        <v>131105</v>
      </c>
      <c r="MV51" s="16">
        <v>14319</v>
      </c>
      <c r="MW51" s="16">
        <v>48351</v>
      </c>
      <c r="MX51" s="16">
        <v>256</v>
      </c>
      <c r="MY51" s="16">
        <v>1089</v>
      </c>
      <c r="MZ51" s="16">
        <v>23072</v>
      </c>
      <c r="NA51" s="16">
        <v>3137</v>
      </c>
      <c r="NB51" s="16">
        <v>65301</v>
      </c>
      <c r="NC51" s="16">
        <v>613</v>
      </c>
      <c r="ND51" s="16">
        <v>1705</v>
      </c>
      <c r="NE51" s="16">
        <v>1060</v>
      </c>
      <c r="NF51" s="16">
        <v>385</v>
      </c>
      <c r="NG51" s="16">
        <v>8711</v>
      </c>
      <c r="NH51" s="16">
        <v>5870</v>
      </c>
      <c r="NI51" s="16">
        <v>43758</v>
      </c>
      <c r="NJ51" s="16">
        <v>157940</v>
      </c>
      <c r="NK51" s="16">
        <v>504</v>
      </c>
      <c r="NL51" s="16">
        <v>470</v>
      </c>
      <c r="NM51" s="16">
        <v>7858</v>
      </c>
      <c r="NN51" s="16">
        <v>1268</v>
      </c>
      <c r="NO51" s="16">
        <v>0</v>
      </c>
      <c r="NP51" s="16">
        <v>2018</v>
      </c>
      <c r="NQ51" s="16">
        <v>7537</v>
      </c>
      <c r="NR51" s="17">
        <v>8450324</v>
      </c>
    </row>
    <row r="52" spans="1:382" ht="13.5" customHeight="1" x14ac:dyDescent="0.2">
      <c r="A52" s="2" t="s">
        <v>111</v>
      </c>
      <c r="B52" s="16">
        <v>431</v>
      </c>
      <c r="C52" s="16">
        <v>145</v>
      </c>
      <c r="D52" s="16">
        <v>115</v>
      </c>
      <c r="E52" s="16">
        <v>36</v>
      </c>
      <c r="F52" s="16">
        <v>649</v>
      </c>
      <c r="G52" s="16">
        <v>341</v>
      </c>
      <c r="H52" s="16">
        <v>56</v>
      </c>
      <c r="I52" s="16">
        <v>135</v>
      </c>
      <c r="J52" s="16">
        <v>11</v>
      </c>
      <c r="K52" s="16">
        <v>0</v>
      </c>
      <c r="L52" s="16">
        <v>11</v>
      </c>
      <c r="M52" s="16">
        <v>33</v>
      </c>
      <c r="N52" s="16">
        <v>0</v>
      </c>
      <c r="O52" s="16">
        <v>5</v>
      </c>
      <c r="P52" s="16">
        <v>710</v>
      </c>
      <c r="Q52" s="16">
        <v>942</v>
      </c>
      <c r="R52" s="16">
        <v>158</v>
      </c>
      <c r="S52" s="16">
        <v>170</v>
      </c>
      <c r="T52" s="16">
        <v>9</v>
      </c>
      <c r="U52" s="16">
        <v>106</v>
      </c>
      <c r="V52" s="16">
        <v>20</v>
      </c>
      <c r="W52" s="16">
        <v>17</v>
      </c>
      <c r="X52" s="16">
        <v>248</v>
      </c>
      <c r="Y52" s="16">
        <v>1044</v>
      </c>
      <c r="Z52" s="16">
        <v>1184</v>
      </c>
      <c r="AA52" s="16">
        <v>4</v>
      </c>
      <c r="AB52" s="16">
        <v>0</v>
      </c>
      <c r="AC52" s="16">
        <v>0</v>
      </c>
      <c r="AD52" s="16">
        <v>0</v>
      </c>
      <c r="AE52" s="16">
        <v>4</v>
      </c>
      <c r="AF52" s="16">
        <v>10</v>
      </c>
      <c r="AG52" s="16">
        <v>1765</v>
      </c>
      <c r="AH52" s="16">
        <v>659</v>
      </c>
      <c r="AI52" s="16">
        <v>385</v>
      </c>
      <c r="AJ52" s="16">
        <v>1228</v>
      </c>
      <c r="AK52" s="16">
        <v>164</v>
      </c>
      <c r="AL52" s="16">
        <v>219</v>
      </c>
      <c r="AM52" s="16">
        <v>16134</v>
      </c>
      <c r="AN52" s="16">
        <v>1362</v>
      </c>
      <c r="AO52" s="16">
        <v>585</v>
      </c>
      <c r="AP52" s="16">
        <v>37</v>
      </c>
      <c r="AQ52" s="16">
        <v>157</v>
      </c>
      <c r="AR52" s="16">
        <v>0</v>
      </c>
      <c r="AS52" s="16">
        <v>66</v>
      </c>
      <c r="AT52" s="16">
        <v>30</v>
      </c>
      <c r="AU52" s="16">
        <v>31517</v>
      </c>
      <c r="AV52" s="16">
        <v>557</v>
      </c>
      <c r="AW52" s="16">
        <v>3105</v>
      </c>
      <c r="AX52" s="16">
        <v>20</v>
      </c>
      <c r="AY52" s="16">
        <v>10191</v>
      </c>
      <c r="AZ52" s="16">
        <v>110415</v>
      </c>
      <c r="BA52" s="16">
        <v>4561</v>
      </c>
      <c r="BB52" s="16">
        <v>2989</v>
      </c>
      <c r="BC52" s="16">
        <v>336</v>
      </c>
      <c r="BD52" s="16">
        <v>18</v>
      </c>
      <c r="BE52" s="16">
        <v>216</v>
      </c>
      <c r="BF52" s="16">
        <v>1096</v>
      </c>
      <c r="BG52" s="16">
        <v>190</v>
      </c>
      <c r="BH52" s="16">
        <v>49285</v>
      </c>
      <c r="BI52" s="16">
        <v>442</v>
      </c>
      <c r="BJ52" s="16">
        <v>85</v>
      </c>
      <c r="BK52" s="16">
        <v>61</v>
      </c>
      <c r="BL52" s="16">
        <v>571</v>
      </c>
      <c r="BM52" s="16">
        <v>148</v>
      </c>
      <c r="BN52" s="16">
        <v>276</v>
      </c>
      <c r="BO52" s="16">
        <v>570</v>
      </c>
      <c r="BP52" s="16">
        <v>177</v>
      </c>
      <c r="BQ52" s="16">
        <v>104</v>
      </c>
      <c r="BR52" s="16">
        <v>21</v>
      </c>
      <c r="BS52" s="16">
        <v>623</v>
      </c>
      <c r="BT52" s="16">
        <v>13</v>
      </c>
      <c r="BU52" s="16">
        <v>14</v>
      </c>
      <c r="BV52" s="16">
        <v>9</v>
      </c>
      <c r="BW52" s="16">
        <v>66</v>
      </c>
      <c r="BX52" s="16">
        <v>18</v>
      </c>
      <c r="BY52" s="16">
        <v>1</v>
      </c>
      <c r="BZ52" s="16">
        <v>172</v>
      </c>
      <c r="CA52" s="16">
        <v>126</v>
      </c>
      <c r="CB52" s="16">
        <v>37</v>
      </c>
      <c r="CC52" s="16">
        <v>605</v>
      </c>
      <c r="CD52" s="16">
        <v>207</v>
      </c>
      <c r="CE52" s="16">
        <v>118</v>
      </c>
      <c r="CF52" s="16">
        <v>404</v>
      </c>
      <c r="CG52" s="16">
        <v>166</v>
      </c>
      <c r="CH52" s="16">
        <v>81</v>
      </c>
      <c r="CI52" s="16">
        <v>33</v>
      </c>
      <c r="CJ52" s="16">
        <v>230</v>
      </c>
      <c r="CK52" s="16">
        <v>543</v>
      </c>
      <c r="CL52" s="16">
        <v>267</v>
      </c>
      <c r="CM52" s="16">
        <v>350</v>
      </c>
      <c r="CN52" s="16">
        <v>50</v>
      </c>
      <c r="CO52" s="16">
        <v>301</v>
      </c>
      <c r="CP52" s="16">
        <v>368</v>
      </c>
      <c r="CQ52" s="16">
        <v>1757</v>
      </c>
      <c r="CR52" s="16">
        <v>105</v>
      </c>
      <c r="CS52" s="16">
        <v>218</v>
      </c>
      <c r="CT52" s="16">
        <v>320</v>
      </c>
      <c r="CU52" s="16">
        <v>365</v>
      </c>
      <c r="CV52" s="16">
        <v>365</v>
      </c>
      <c r="CW52" s="16">
        <v>1163</v>
      </c>
      <c r="CX52" s="16">
        <v>870</v>
      </c>
      <c r="CY52" s="16">
        <v>103</v>
      </c>
      <c r="CZ52" s="16">
        <v>176</v>
      </c>
      <c r="DA52" s="16">
        <v>19</v>
      </c>
      <c r="DB52" s="16">
        <v>612</v>
      </c>
      <c r="DC52" s="16">
        <v>113</v>
      </c>
      <c r="DD52" s="16">
        <v>319</v>
      </c>
      <c r="DE52" s="16">
        <v>195</v>
      </c>
      <c r="DF52" s="16">
        <v>1102</v>
      </c>
      <c r="DG52" s="16">
        <v>139</v>
      </c>
      <c r="DH52" s="16">
        <v>678</v>
      </c>
      <c r="DI52" s="16">
        <v>125</v>
      </c>
      <c r="DJ52" s="16">
        <v>3756</v>
      </c>
      <c r="DK52" s="16">
        <v>93</v>
      </c>
      <c r="DL52" s="16">
        <v>327</v>
      </c>
      <c r="DM52" s="16">
        <v>3802</v>
      </c>
      <c r="DN52" s="16">
        <v>117</v>
      </c>
      <c r="DO52" s="16">
        <v>259</v>
      </c>
      <c r="DP52" s="16">
        <v>824</v>
      </c>
      <c r="DQ52" s="16">
        <v>71</v>
      </c>
      <c r="DR52" s="16">
        <v>572</v>
      </c>
      <c r="DS52" s="16">
        <v>5749</v>
      </c>
      <c r="DT52" s="16">
        <v>172</v>
      </c>
      <c r="DU52" s="16">
        <v>154</v>
      </c>
      <c r="DV52" s="16">
        <v>75</v>
      </c>
      <c r="DW52" s="16">
        <v>886</v>
      </c>
      <c r="DX52" s="16">
        <v>563</v>
      </c>
      <c r="DY52" s="16">
        <v>1326</v>
      </c>
      <c r="DZ52" s="16">
        <v>2417</v>
      </c>
      <c r="EA52" s="16">
        <v>823</v>
      </c>
      <c r="EB52" s="16">
        <v>59</v>
      </c>
      <c r="EC52" s="16">
        <v>226</v>
      </c>
      <c r="ED52" s="16">
        <v>95</v>
      </c>
      <c r="EE52" s="16">
        <v>10</v>
      </c>
      <c r="EF52" s="16">
        <v>13</v>
      </c>
      <c r="EG52" s="16">
        <v>136</v>
      </c>
      <c r="EH52" s="16">
        <v>48</v>
      </c>
      <c r="EI52" s="16">
        <v>174</v>
      </c>
      <c r="EJ52" s="16">
        <v>158</v>
      </c>
      <c r="EK52" s="16">
        <v>49</v>
      </c>
      <c r="EL52" s="16">
        <v>56</v>
      </c>
      <c r="EM52" s="16">
        <v>67</v>
      </c>
      <c r="EN52" s="16">
        <v>1110</v>
      </c>
      <c r="EO52" s="16">
        <v>323</v>
      </c>
      <c r="EP52" s="16">
        <v>134</v>
      </c>
      <c r="EQ52" s="16">
        <v>333</v>
      </c>
      <c r="ER52" s="16">
        <v>44</v>
      </c>
      <c r="ES52" s="16">
        <v>138</v>
      </c>
      <c r="ET52" s="16">
        <v>704</v>
      </c>
      <c r="EU52" s="16">
        <v>235</v>
      </c>
      <c r="EV52" s="16">
        <v>40</v>
      </c>
      <c r="EW52" s="16">
        <v>60</v>
      </c>
      <c r="EX52" s="16">
        <v>3090</v>
      </c>
      <c r="EY52" s="16">
        <v>286</v>
      </c>
      <c r="EZ52" s="16">
        <v>14</v>
      </c>
      <c r="FA52" s="16">
        <v>43</v>
      </c>
      <c r="FB52" s="16">
        <v>62</v>
      </c>
      <c r="FC52" s="16">
        <v>40</v>
      </c>
      <c r="FD52" s="16">
        <v>435</v>
      </c>
      <c r="FE52" s="16">
        <v>79</v>
      </c>
      <c r="FF52" s="16">
        <v>169</v>
      </c>
      <c r="FG52" s="16">
        <v>248</v>
      </c>
      <c r="FH52" s="16">
        <v>159</v>
      </c>
      <c r="FI52" s="16">
        <v>168</v>
      </c>
      <c r="FJ52" s="16">
        <v>110</v>
      </c>
      <c r="FK52" s="16">
        <v>256</v>
      </c>
      <c r="FL52" s="16">
        <v>191</v>
      </c>
      <c r="FM52" s="16">
        <v>198</v>
      </c>
      <c r="FN52" s="16">
        <v>738</v>
      </c>
      <c r="FO52" s="16">
        <v>842</v>
      </c>
      <c r="FP52" s="16">
        <v>378</v>
      </c>
      <c r="FQ52" s="16">
        <v>365</v>
      </c>
      <c r="FR52" s="16">
        <v>423</v>
      </c>
      <c r="FS52" s="16">
        <v>200</v>
      </c>
      <c r="FT52" s="16">
        <v>468</v>
      </c>
      <c r="FU52" s="16">
        <v>725</v>
      </c>
      <c r="FV52" s="16">
        <v>688</v>
      </c>
      <c r="FW52" s="16">
        <v>575</v>
      </c>
      <c r="FX52" s="16">
        <v>1452</v>
      </c>
      <c r="FY52" s="16">
        <v>152</v>
      </c>
      <c r="FZ52" s="16">
        <v>314</v>
      </c>
      <c r="GA52" s="16">
        <v>73</v>
      </c>
      <c r="GB52" s="16">
        <v>3540</v>
      </c>
      <c r="GC52" s="16">
        <v>124</v>
      </c>
      <c r="GD52" s="16">
        <v>784</v>
      </c>
      <c r="GE52" s="16">
        <v>47</v>
      </c>
      <c r="GF52" s="16">
        <v>1531</v>
      </c>
      <c r="GG52" s="16">
        <v>2</v>
      </c>
      <c r="GH52" s="16">
        <v>755</v>
      </c>
      <c r="GI52" s="16">
        <v>43</v>
      </c>
      <c r="GJ52" s="16">
        <v>297</v>
      </c>
      <c r="GK52" s="16">
        <v>164</v>
      </c>
      <c r="GL52" s="16">
        <v>1</v>
      </c>
      <c r="GM52" s="16">
        <v>6</v>
      </c>
      <c r="GN52" s="16">
        <v>79</v>
      </c>
      <c r="GO52" s="16">
        <v>355</v>
      </c>
      <c r="GP52" s="16">
        <v>48</v>
      </c>
      <c r="GQ52" s="16">
        <v>0</v>
      </c>
      <c r="GR52" s="16">
        <v>91</v>
      </c>
      <c r="GS52" s="16">
        <v>39</v>
      </c>
      <c r="GT52" s="16">
        <v>40</v>
      </c>
      <c r="GU52" s="16">
        <v>576</v>
      </c>
      <c r="GV52" s="16">
        <v>249</v>
      </c>
      <c r="GW52" s="16">
        <v>262</v>
      </c>
      <c r="GX52" s="16">
        <v>26</v>
      </c>
      <c r="GY52" s="16">
        <v>7</v>
      </c>
      <c r="GZ52" s="16">
        <v>394</v>
      </c>
      <c r="HA52" s="16">
        <v>334</v>
      </c>
      <c r="HB52" s="16">
        <v>80</v>
      </c>
      <c r="HC52" s="16">
        <v>407</v>
      </c>
      <c r="HD52" s="16">
        <v>965</v>
      </c>
      <c r="HE52" s="16">
        <v>62</v>
      </c>
      <c r="HF52" s="16">
        <v>318</v>
      </c>
      <c r="HG52" s="16">
        <v>55</v>
      </c>
      <c r="HH52" s="16">
        <v>268</v>
      </c>
      <c r="HI52" s="16">
        <v>62</v>
      </c>
      <c r="HJ52" s="16">
        <v>92</v>
      </c>
      <c r="HK52" s="16">
        <v>201</v>
      </c>
      <c r="HL52" s="16">
        <v>617</v>
      </c>
      <c r="HM52" s="16">
        <v>280</v>
      </c>
      <c r="HN52" s="16">
        <v>2039</v>
      </c>
      <c r="HO52" s="16">
        <v>216</v>
      </c>
      <c r="HP52" s="16">
        <v>101</v>
      </c>
      <c r="HQ52" s="16">
        <v>510</v>
      </c>
      <c r="HR52" s="16">
        <v>436</v>
      </c>
      <c r="HS52" s="16">
        <v>359</v>
      </c>
      <c r="HT52" s="16">
        <v>18</v>
      </c>
      <c r="HU52" s="16">
        <v>323</v>
      </c>
      <c r="HV52" s="16">
        <v>133</v>
      </c>
      <c r="HW52" s="16">
        <v>178</v>
      </c>
      <c r="HX52" s="16">
        <v>482</v>
      </c>
      <c r="HY52" s="16">
        <v>684</v>
      </c>
      <c r="HZ52" s="16">
        <v>1064</v>
      </c>
      <c r="IA52" s="16">
        <v>359</v>
      </c>
      <c r="IB52" s="16">
        <v>51</v>
      </c>
      <c r="IC52" s="16">
        <v>41</v>
      </c>
      <c r="ID52" s="16">
        <v>65</v>
      </c>
      <c r="IE52" s="16">
        <v>12</v>
      </c>
      <c r="IF52" s="16">
        <v>77</v>
      </c>
      <c r="IG52" s="16">
        <v>939</v>
      </c>
      <c r="IH52" s="16">
        <v>490</v>
      </c>
      <c r="II52" s="16">
        <v>67</v>
      </c>
      <c r="IJ52" s="16">
        <v>12</v>
      </c>
      <c r="IK52" s="16">
        <v>97</v>
      </c>
      <c r="IL52" s="16">
        <v>48</v>
      </c>
      <c r="IM52" s="16">
        <v>64</v>
      </c>
      <c r="IN52" s="16">
        <v>111</v>
      </c>
      <c r="IO52" s="16">
        <v>937</v>
      </c>
      <c r="IP52" s="16">
        <v>20</v>
      </c>
      <c r="IQ52" s="16">
        <v>7</v>
      </c>
      <c r="IR52" s="16">
        <v>76</v>
      </c>
      <c r="IS52" s="16">
        <v>30</v>
      </c>
      <c r="IT52" s="16">
        <v>112</v>
      </c>
      <c r="IU52" s="16">
        <v>2</v>
      </c>
      <c r="IV52" s="16">
        <v>412</v>
      </c>
      <c r="IW52" s="16">
        <v>311</v>
      </c>
      <c r="IX52" s="16">
        <v>200</v>
      </c>
      <c r="IY52" s="16">
        <v>170</v>
      </c>
      <c r="IZ52" s="16">
        <v>5</v>
      </c>
      <c r="JA52" s="16">
        <v>108</v>
      </c>
      <c r="JB52" s="16">
        <v>10</v>
      </c>
      <c r="JC52" s="16">
        <v>16</v>
      </c>
      <c r="JD52" s="16">
        <v>13</v>
      </c>
      <c r="JE52" s="16">
        <v>181</v>
      </c>
      <c r="JF52" s="16">
        <v>174</v>
      </c>
      <c r="JG52" s="16">
        <v>6627</v>
      </c>
      <c r="JH52" s="16">
        <v>286</v>
      </c>
      <c r="JI52" s="16">
        <v>26</v>
      </c>
      <c r="JJ52" s="16">
        <v>1144</v>
      </c>
      <c r="JK52" s="16">
        <v>148</v>
      </c>
      <c r="JL52" s="16">
        <v>389</v>
      </c>
      <c r="JM52" s="16">
        <v>48</v>
      </c>
      <c r="JN52" s="16">
        <v>905</v>
      </c>
      <c r="JO52" s="16">
        <v>208</v>
      </c>
      <c r="JP52" s="16">
        <v>1197</v>
      </c>
      <c r="JQ52" s="16">
        <v>858</v>
      </c>
      <c r="JR52" s="16">
        <v>14716</v>
      </c>
      <c r="JS52" s="16">
        <v>4536</v>
      </c>
      <c r="JT52" s="16">
        <v>1</v>
      </c>
      <c r="JU52" s="16">
        <v>3974</v>
      </c>
      <c r="JV52" s="16">
        <v>425</v>
      </c>
      <c r="JW52" s="16">
        <v>552</v>
      </c>
      <c r="JX52" s="16">
        <v>649</v>
      </c>
      <c r="JY52" s="16">
        <v>752</v>
      </c>
      <c r="JZ52" s="16">
        <v>354</v>
      </c>
      <c r="KA52" s="16">
        <v>47</v>
      </c>
      <c r="KB52" s="16">
        <v>24</v>
      </c>
      <c r="KC52" s="16">
        <v>196</v>
      </c>
      <c r="KD52" s="16">
        <v>575</v>
      </c>
      <c r="KE52" s="16">
        <v>46</v>
      </c>
      <c r="KF52" s="16">
        <v>406</v>
      </c>
      <c r="KG52" s="16">
        <v>309</v>
      </c>
      <c r="KH52" s="16">
        <v>50</v>
      </c>
      <c r="KI52" s="16">
        <v>186</v>
      </c>
      <c r="KJ52" s="16">
        <v>306</v>
      </c>
      <c r="KK52" s="16">
        <v>147342</v>
      </c>
      <c r="KL52" s="16">
        <v>38</v>
      </c>
      <c r="KM52" s="16">
        <v>839</v>
      </c>
      <c r="KN52" s="16">
        <v>55</v>
      </c>
      <c r="KO52" s="16">
        <v>478</v>
      </c>
      <c r="KP52" s="16">
        <v>289</v>
      </c>
      <c r="KQ52" s="16">
        <v>77</v>
      </c>
      <c r="KR52" s="16">
        <v>3311</v>
      </c>
      <c r="KS52" s="16">
        <v>1047</v>
      </c>
      <c r="KT52" s="16">
        <v>321</v>
      </c>
      <c r="KU52" s="16">
        <v>3718</v>
      </c>
      <c r="KV52" s="16">
        <v>1576</v>
      </c>
      <c r="KW52" s="16">
        <v>10671</v>
      </c>
      <c r="KX52" s="16">
        <v>8</v>
      </c>
      <c r="KY52" s="16">
        <v>4136</v>
      </c>
      <c r="KZ52" s="16">
        <v>358508</v>
      </c>
      <c r="LA52" s="16">
        <v>105812</v>
      </c>
      <c r="LB52" s="16">
        <v>58442</v>
      </c>
      <c r="LC52" s="16">
        <v>1263451</v>
      </c>
      <c r="LD52" s="16">
        <v>102523</v>
      </c>
      <c r="LE52" s="16">
        <v>1363</v>
      </c>
      <c r="LF52" s="16">
        <v>335</v>
      </c>
      <c r="LG52" s="16">
        <v>66</v>
      </c>
      <c r="LH52" s="16">
        <v>1561</v>
      </c>
      <c r="LI52" s="16">
        <v>7</v>
      </c>
      <c r="LJ52" s="16">
        <v>258</v>
      </c>
      <c r="LK52" s="16">
        <v>2343</v>
      </c>
      <c r="LL52" s="16">
        <v>3793</v>
      </c>
      <c r="LM52" s="16">
        <v>7969</v>
      </c>
      <c r="LN52" s="16">
        <v>9386</v>
      </c>
      <c r="LO52" s="16">
        <v>540</v>
      </c>
      <c r="LP52" s="16">
        <v>7026</v>
      </c>
      <c r="LQ52" s="16">
        <v>1734</v>
      </c>
      <c r="LR52" s="16">
        <v>6741</v>
      </c>
      <c r="LS52" s="16">
        <v>1842</v>
      </c>
      <c r="LT52" s="16">
        <v>3021</v>
      </c>
      <c r="LU52" s="16">
        <v>2102</v>
      </c>
      <c r="LV52" s="16">
        <v>78</v>
      </c>
      <c r="LW52" s="16">
        <v>1425</v>
      </c>
      <c r="LX52" s="16">
        <v>3337</v>
      </c>
      <c r="LY52" s="16">
        <v>0</v>
      </c>
      <c r="LZ52" s="16">
        <v>310</v>
      </c>
      <c r="MA52" s="16">
        <v>220</v>
      </c>
      <c r="MB52" s="16">
        <v>2026</v>
      </c>
      <c r="MC52" s="16">
        <v>1458</v>
      </c>
      <c r="MD52" s="16">
        <v>3522</v>
      </c>
      <c r="ME52" s="16">
        <v>528</v>
      </c>
      <c r="MF52" s="16">
        <v>18335</v>
      </c>
      <c r="MG52" s="16">
        <v>16979</v>
      </c>
      <c r="MH52" s="16">
        <v>148847</v>
      </c>
      <c r="MI52" s="16">
        <v>714</v>
      </c>
      <c r="MJ52" s="16">
        <v>3575</v>
      </c>
      <c r="MK52" s="16">
        <v>5442</v>
      </c>
      <c r="ML52" s="16">
        <v>378</v>
      </c>
      <c r="MM52" s="16">
        <v>2363</v>
      </c>
      <c r="MN52" s="16">
        <v>5386</v>
      </c>
      <c r="MO52" s="16">
        <v>2432</v>
      </c>
      <c r="MP52" s="16">
        <v>27981</v>
      </c>
      <c r="MQ52" s="16">
        <v>72501</v>
      </c>
      <c r="MR52" s="16">
        <v>38166</v>
      </c>
      <c r="MS52" s="16">
        <v>19553</v>
      </c>
      <c r="MT52" s="16">
        <v>2154</v>
      </c>
      <c r="MU52" s="16">
        <v>46292</v>
      </c>
      <c r="MV52" s="16">
        <v>7160</v>
      </c>
      <c r="MW52" s="16">
        <v>36334</v>
      </c>
      <c r="MX52" s="16">
        <v>2477</v>
      </c>
      <c r="MY52" s="16">
        <v>964</v>
      </c>
      <c r="MZ52" s="16">
        <v>9569</v>
      </c>
      <c r="NA52" s="16">
        <v>3475</v>
      </c>
      <c r="NB52" s="16">
        <v>48841</v>
      </c>
      <c r="NC52" s="16">
        <v>4418</v>
      </c>
      <c r="ND52" s="16">
        <v>777</v>
      </c>
      <c r="NE52" s="16">
        <v>9084</v>
      </c>
      <c r="NF52" s="16">
        <v>5328</v>
      </c>
      <c r="NG52" s="16">
        <v>4410</v>
      </c>
      <c r="NH52" s="16">
        <v>2607</v>
      </c>
      <c r="NI52" s="16">
        <v>19699</v>
      </c>
      <c r="NJ52" s="16">
        <v>63945</v>
      </c>
      <c r="NK52" s="16">
        <v>3529</v>
      </c>
      <c r="NL52" s="16">
        <v>190</v>
      </c>
      <c r="NM52" s="16">
        <v>10585</v>
      </c>
      <c r="NN52" s="16">
        <v>3098</v>
      </c>
      <c r="NO52" s="16">
        <v>0</v>
      </c>
      <c r="NP52" s="16">
        <v>1362</v>
      </c>
      <c r="NQ52" s="16">
        <v>2929</v>
      </c>
      <c r="NR52" s="17">
        <v>3141434</v>
      </c>
    </row>
    <row r="53" spans="1:382" ht="13.5" customHeight="1" x14ac:dyDescent="0.2">
      <c r="A53" s="2" t="s">
        <v>113</v>
      </c>
      <c r="B53" s="16">
        <v>185</v>
      </c>
      <c r="C53" s="16">
        <v>75</v>
      </c>
      <c r="D53" s="16">
        <v>53</v>
      </c>
      <c r="E53" s="16">
        <v>9</v>
      </c>
      <c r="F53" s="16">
        <v>269</v>
      </c>
      <c r="G53" s="16">
        <v>116</v>
      </c>
      <c r="H53" s="16">
        <v>31</v>
      </c>
      <c r="I53" s="16">
        <v>47</v>
      </c>
      <c r="J53" s="16">
        <v>9</v>
      </c>
      <c r="K53" s="16">
        <v>0</v>
      </c>
      <c r="L53" s="16">
        <v>8</v>
      </c>
      <c r="M53" s="16">
        <v>0</v>
      </c>
      <c r="N53" s="16">
        <v>0</v>
      </c>
      <c r="O53" s="16">
        <v>2</v>
      </c>
      <c r="P53" s="16">
        <v>233</v>
      </c>
      <c r="Q53" s="16">
        <v>243</v>
      </c>
      <c r="R53" s="16">
        <v>70</v>
      </c>
      <c r="S53" s="16">
        <v>60</v>
      </c>
      <c r="T53" s="16">
        <v>4</v>
      </c>
      <c r="U53" s="16">
        <v>24</v>
      </c>
      <c r="V53" s="16">
        <v>6</v>
      </c>
      <c r="W53" s="16">
        <v>12</v>
      </c>
      <c r="X53" s="16">
        <v>99</v>
      </c>
      <c r="Y53" s="16">
        <v>337</v>
      </c>
      <c r="Z53" s="16">
        <v>300</v>
      </c>
      <c r="AA53" s="16">
        <v>4</v>
      </c>
      <c r="AB53" s="16">
        <v>0</v>
      </c>
      <c r="AC53" s="16">
        <v>0</v>
      </c>
      <c r="AD53" s="16">
        <v>0</v>
      </c>
      <c r="AE53" s="16">
        <v>1</v>
      </c>
      <c r="AF53" s="16">
        <v>2</v>
      </c>
      <c r="AG53" s="16">
        <v>403</v>
      </c>
      <c r="AH53" s="16">
        <v>281</v>
      </c>
      <c r="AI53" s="16">
        <v>55</v>
      </c>
      <c r="AJ53" s="16">
        <v>814</v>
      </c>
      <c r="AK53" s="16">
        <v>163</v>
      </c>
      <c r="AL53" s="16">
        <v>14129</v>
      </c>
      <c r="AM53" s="16">
        <v>130308</v>
      </c>
      <c r="AN53" s="16">
        <v>17431</v>
      </c>
      <c r="AO53" s="16">
        <v>2963</v>
      </c>
      <c r="AP53" s="16">
        <v>16</v>
      </c>
      <c r="AQ53" s="16">
        <v>76</v>
      </c>
      <c r="AR53" s="16">
        <v>0</v>
      </c>
      <c r="AS53" s="16">
        <v>122</v>
      </c>
      <c r="AT53" s="16">
        <v>577</v>
      </c>
      <c r="AU53" s="16">
        <v>80757</v>
      </c>
      <c r="AV53" s="16">
        <v>6475</v>
      </c>
      <c r="AW53" s="16">
        <v>9230</v>
      </c>
      <c r="AX53" s="16">
        <v>8</v>
      </c>
      <c r="AY53" s="16">
        <v>25940</v>
      </c>
      <c r="AZ53" s="16">
        <v>28949</v>
      </c>
      <c r="BA53" s="16">
        <v>416131</v>
      </c>
      <c r="BB53" s="16">
        <v>48138</v>
      </c>
      <c r="BC53" s="16">
        <v>62509</v>
      </c>
      <c r="BD53" s="16">
        <v>4</v>
      </c>
      <c r="BE53" s="16">
        <v>86</v>
      </c>
      <c r="BF53" s="16">
        <v>271</v>
      </c>
      <c r="BG53" s="16">
        <v>3332</v>
      </c>
      <c r="BH53" s="16">
        <v>26690</v>
      </c>
      <c r="BI53" s="16">
        <v>115</v>
      </c>
      <c r="BJ53" s="16">
        <v>27</v>
      </c>
      <c r="BK53" s="16">
        <v>21</v>
      </c>
      <c r="BL53" s="16">
        <v>169</v>
      </c>
      <c r="BM53" s="16">
        <v>23</v>
      </c>
      <c r="BN53" s="16">
        <v>138</v>
      </c>
      <c r="BO53" s="16">
        <v>334</v>
      </c>
      <c r="BP53" s="16">
        <v>69</v>
      </c>
      <c r="BQ53" s="16">
        <v>67</v>
      </c>
      <c r="BR53" s="16">
        <v>15</v>
      </c>
      <c r="BS53" s="16">
        <v>191</v>
      </c>
      <c r="BT53" s="16">
        <v>4</v>
      </c>
      <c r="BU53" s="16">
        <v>3</v>
      </c>
      <c r="BV53" s="16">
        <v>1</v>
      </c>
      <c r="BW53" s="16">
        <v>36</v>
      </c>
      <c r="BX53" s="16">
        <v>8</v>
      </c>
      <c r="BY53" s="16">
        <v>0</v>
      </c>
      <c r="BZ53" s="16">
        <v>16</v>
      </c>
      <c r="CA53" s="16">
        <v>21</v>
      </c>
      <c r="CB53" s="16">
        <v>11</v>
      </c>
      <c r="CC53" s="16">
        <v>214</v>
      </c>
      <c r="CD53" s="16">
        <v>47</v>
      </c>
      <c r="CE53" s="16">
        <v>34</v>
      </c>
      <c r="CF53" s="16">
        <v>103</v>
      </c>
      <c r="CG53" s="16">
        <v>31</v>
      </c>
      <c r="CH53" s="16">
        <v>22</v>
      </c>
      <c r="CI53" s="16">
        <v>20</v>
      </c>
      <c r="CJ53" s="16">
        <v>48</v>
      </c>
      <c r="CK53" s="16">
        <v>123</v>
      </c>
      <c r="CL53" s="16">
        <v>125</v>
      </c>
      <c r="CM53" s="16">
        <v>77</v>
      </c>
      <c r="CN53" s="16">
        <v>21</v>
      </c>
      <c r="CO53" s="16">
        <v>80</v>
      </c>
      <c r="CP53" s="16">
        <v>160</v>
      </c>
      <c r="CQ53" s="16">
        <v>772</v>
      </c>
      <c r="CR53" s="16">
        <v>70</v>
      </c>
      <c r="CS53" s="16">
        <v>61</v>
      </c>
      <c r="CT53" s="16">
        <v>42</v>
      </c>
      <c r="CU53" s="16">
        <v>70</v>
      </c>
      <c r="CV53" s="16">
        <v>84</v>
      </c>
      <c r="CW53" s="16">
        <v>296</v>
      </c>
      <c r="CX53" s="16">
        <v>308</v>
      </c>
      <c r="CY53" s="16">
        <v>21</v>
      </c>
      <c r="CZ53" s="16">
        <v>75</v>
      </c>
      <c r="DA53" s="16">
        <v>8</v>
      </c>
      <c r="DB53" s="16">
        <v>104</v>
      </c>
      <c r="DC53" s="16">
        <v>69</v>
      </c>
      <c r="DD53" s="16">
        <v>105</v>
      </c>
      <c r="DE53" s="16">
        <v>92</v>
      </c>
      <c r="DF53" s="16">
        <v>141</v>
      </c>
      <c r="DG53" s="16">
        <v>35</v>
      </c>
      <c r="DH53" s="16">
        <v>130</v>
      </c>
      <c r="DI53" s="16">
        <v>30</v>
      </c>
      <c r="DJ53" s="16">
        <v>1320</v>
      </c>
      <c r="DK53" s="16">
        <v>45</v>
      </c>
      <c r="DL53" s="16">
        <v>133</v>
      </c>
      <c r="DM53" s="16">
        <v>5503</v>
      </c>
      <c r="DN53" s="16">
        <v>46</v>
      </c>
      <c r="DO53" s="16">
        <v>79</v>
      </c>
      <c r="DP53" s="16">
        <v>187</v>
      </c>
      <c r="DQ53" s="16">
        <v>28</v>
      </c>
      <c r="DR53" s="16">
        <v>1215</v>
      </c>
      <c r="DS53" s="16">
        <v>13423</v>
      </c>
      <c r="DT53" s="16">
        <v>46</v>
      </c>
      <c r="DU53" s="16">
        <v>24</v>
      </c>
      <c r="DV53" s="16">
        <v>27</v>
      </c>
      <c r="DW53" s="16">
        <v>225</v>
      </c>
      <c r="DX53" s="16">
        <v>250</v>
      </c>
      <c r="DY53" s="16">
        <v>200</v>
      </c>
      <c r="DZ53" s="16">
        <v>523</v>
      </c>
      <c r="EA53" s="16">
        <v>73</v>
      </c>
      <c r="EB53" s="16">
        <v>21</v>
      </c>
      <c r="EC53" s="16">
        <v>116</v>
      </c>
      <c r="ED53" s="16">
        <v>26</v>
      </c>
      <c r="EE53" s="16">
        <v>3</v>
      </c>
      <c r="EF53" s="16">
        <v>6</v>
      </c>
      <c r="EG53" s="16">
        <v>42</v>
      </c>
      <c r="EH53" s="16">
        <v>9</v>
      </c>
      <c r="EI53" s="16">
        <v>52</v>
      </c>
      <c r="EJ53" s="16">
        <v>26</v>
      </c>
      <c r="EK53" s="16">
        <v>25</v>
      </c>
      <c r="EL53" s="16">
        <v>12</v>
      </c>
      <c r="EM53" s="16">
        <v>31</v>
      </c>
      <c r="EN53" s="16">
        <v>298</v>
      </c>
      <c r="EO53" s="16">
        <v>93</v>
      </c>
      <c r="EP53" s="16">
        <v>30</v>
      </c>
      <c r="EQ53" s="16">
        <v>87</v>
      </c>
      <c r="ER53" s="16">
        <v>10</v>
      </c>
      <c r="ES53" s="16">
        <v>17</v>
      </c>
      <c r="ET53" s="16">
        <v>142</v>
      </c>
      <c r="EU53" s="16">
        <v>168</v>
      </c>
      <c r="EV53" s="16">
        <v>20</v>
      </c>
      <c r="EW53" s="16">
        <v>46</v>
      </c>
      <c r="EX53" s="16">
        <v>550</v>
      </c>
      <c r="EY53" s="16">
        <v>68</v>
      </c>
      <c r="EZ53" s="16">
        <v>3</v>
      </c>
      <c r="FA53" s="16">
        <v>18</v>
      </c>
      <c r="FB53" s="16">
        <v>50</v>
      </c>
      <c r="FC53" s="16">
        <v>6</v>
      </c>
      <c r="FD53" s="16">
        <v>89</v>
      </c>
      <c r="FE53" s="16">
        <v>30</v>
      </c>
      <c r="FF53" s="16">
        <v>57</v>
      </c>
      <c r="FG53" s="16">
        <v>63</v>
      </c>
      <c r="FH53" s="16">
        <v>22</v>
      </c>
      <c r="FI53" s="16">
        <v>70</v>
      </c>
      <c r="FJ53" s="16">
        <v>21</v>
      </c>
      <c r="FK53" s="16">
        <v>45</v>
      </c>
      <c r="FL53" s="16">
        <v>52</v>
      </c>
      <c r="FM53" s="16">
        <v>57</v>
      </c>
      <c r="FN53" s="16">
        <v>195</v>
      </c>
      <c r="FO53" s="16">
        <v>128</v>
      </c>
      <c r="FP53" s="16">
        <v>86</v>
      </c>
      <c r="FQ53" s="16">
        <v>175</v>
      </c>
      <c r="FR53" s="16">
        <v>587</v>
      </c>
      <c r="FS53" s="16">
        <v>82</v>
      </c>
      <c r="FT53" s="16">
        <v>117</v>
      </c>
      <c r="FU53" s="16">
        <v>190</v>
      </c>
      <c r="FV53" s="16">
        <v>974</v>
      </c>
      <c r="FW53" s="16">
        <v>225</v>
      </c>
      <c r="FX53" s="16">
        <v>1984</v>
      </c>
      <c r="FY53" s="16">
        <v>43</v>
      </c>
      <c r="FZ53" s="16">
        <v>95</v>
      </c>
      <c r="GA53" s="16">
        <v>19</v>
      </c>
      <c r="GB53" s="16">
        <v>1971</v>
      </c>
      <c r="GC53" s="16">
        <v>38</v>
      </c>
      <c r="GD53" s="16">
        <v>437</v>
      </c>
      <c r="GE53" s="16">
        <v>11</v>
      </c>
      <c r="GF53" s="16">
        <v>521</v>
      </c>
      <c r="GG53" s="16">
        <v>1</v>
      </c>
      <c r="GH53" s="16">
        <v>81</v>
      </c>
      <c r="GI53" s="16">
        <v>14</v>
      </c>
      <c r="GJ53" s="16">
        <v>64</v>
      </c>
      <c r="GK53" s="16">
        <v>23</v>
      </c>
      <c r="GL53" s="16">
        <v>24</v>
      </c>
      <c r="GM53" s="16">
        <v>2</v>
      </c>
      <c r="GN53" s="16">
        <v>20</v>
      </c>
      <c r="GO53" s="16">
        <v>84</v>
      </c>
      <c r="GP53" s="16">
        <v>18</v>
      </c>
      <c r="GQ53" s="16">
        <v>0</v>
      </c>
      <c r="GR53" s="16">
        <v>24</v>
      </c>
      <c r="GS53" s="16">
        <v>16</v>
      </c>
      <c r="GT53" s="16">
        <v>5</v>
      </c>
      <c r="GU53" s="16">
        <v>76</v>
      </c>
      <c r="GV53" s="16">
        <v>51</v>
      </c>
      <c r="GW53" s="16">
        <v>48</v>
      </c>
      <c r="GX53" s="16">
        <v>11</v>
      </c>
      <c r="GY53" s="16">
        <v>4</v>
      </c>
      <c r="GZ53" s="16">
        <v>62</v>
      </c>
      <c r="HA53" s="16">
        <v>56</v>
      </c>
      <c r="HB53" s="16">
        <v>27</v>
      </c>
      <c r="HC53" s="16">
        <v>134</v>
      </c>
      <c r="HD53" s="16">
        <v>180</v>
      </c>
      <c r="HE53" s="16">
        <v>13</v>
      </c>
      <c r="HF53" s="16">
        <v>95</v>
      </c>
      <c r="HG53" s="16">
        <v>43</v>
      </c>
      <c r="HH53" s="16">
        <v>65</v>
      </c>
      <c r="HI53" s="16">
        <v>35</v>
      </c>
      <c r="HJ53" s="16">
        <v>39</v>
      </c>
      <c r="HK53" s="16">
        <v>34</v>
      </c>
      <c r="HL53" s="16">
        <v>154</v>
      </c>
      <c r="HM53" s="16">
        <v>74</v>
      </c>
      <c r="HN53" s="16">
        <v>214</v>
      </c>
      <c r="HO53" s="16">
        <v>97</v>
      </c>
      <c r="HP53" s="16">
        <v>67</v>
      </c>
      <c r="HQ53" s="16">
        <v>150</v>
      </c>
      <c r="HR53" s="16">
        <v>121</v>
      </c>
      <c r="HS53" s="16">
        <v>127</v>
      </c>
      <c r="HT53" s="16">
        <v>12</v>
      </c>
      <c r="HU53" s="16">
        <v>207</v>
      </c>
      <c r="HV53" s="16">
        <v>40</v>
      </c>
      <c r="HW53" s="16">
        <v>71</v>
      </c>
      <c r="HX53" s="16">
        <v>340</v>
      </c>
      <c r="HY53" s="16">
        <v>179</v>
      </c>
      <c r="HZ53" s="16">
        <v>373</v>
      </c>
      <c r="IA53" s="16">
        <v>109</v>
      </c>
      <c r="IB53" s="16">
        <v>14</v>
      </c>
      <c r="IC53" s="16">
        <v>164</v>
      </c>
      <c r="ID53" s="16">
        <v>37</v>
      </c>
      <c r="IE53" s="16">
        <v>5</v>
      </c>
      <c r="IF53" s="16">
        <v>39</v>
      </c>
      <c r="IG53" s="16">
        <v>424</v>
      </c>
      <c r="IH53" s="16">
        <v>150</v>
      </c>
      <c r="II53" s="16">
        <v>19</v>
      </c>
      <c r="IJ53" s="16">
        <v>5</v>
      </c>
      <c r="IK53" s="16">
        <v>52</v>
      </c>
      <c r="IL53" s="16">
        <v>9</v>
      </c>
      <c r="IM53" s="16">
        <v>5</v>
      </c>
      <c r="IN53" s="16">
        <v>19</v>
      </c>
      <c r="IO53" s="16">
        <v>436</v>
      </c>
      <c r="IP53" s="16">
        <v>8</v>
      </c>
      <c r="IQ53" s="16">
        <v>2</v>
      </c>
      <c r="IR53" s="16">
        <v>8</v>
      </c>
      <c r="IS53" s="16">
        <v>15</v>
      </c>
      <c r="IT53" s="16">
        <v>13</v>
      </c>
      <c r="IU53" s="16">
        <v>6</v>
      </c>
      <c r="IV53" s="16">
        <v>38</v>
      </c>
      <c r="IW53" s="16">
        <v>98</v>
      </c>
      <c r="IX53" s="16">
        <v>36</v>
      </c>
      <c r="IY53" s="16">
        <v>106</v>
      </c>
      <c r="IZ53" s="16">
        <v>2</v>
      </c>
      <c r="JA53" s="16">
        <v>25</v>
      </c>
      <c r="JB53" s="16">
        <v>4</v>
      </c>
      <c r="JC53" s="16">
        <v>10</v>
      </c>
      <c r="JD53" s="16">
        <v>3</v>
      </c>
      <c r="JE53" s="16">
        <v>65</v>
      </c>
      <c r="JF53" s="16">
        <v>40</v>
      </c>
      <c r="JG53" s="16">
        <v>13416</v>
      </c>
      <c r="JH53" s="16">
        <v>22</v>
      </c>
      <c r="JI53" s="16">
        <v>6</v>
      </c>
      <c r="JJ53" s="16">
        <v>130</v>
      </c>
      <c r="JK53" s="16">
        <v>74</v>
      </c>
      <c r="JL53" s="16">
        <v>43</v>
      </c>
      <c r="JM53" s="16">
        <v>6</v>
      </c>
      <c r="JN53" s="16">
        <v>93</v>
      </c>
      <c r="JO53" s="16">
        <v>71</v>
      </c>
      <c r="JP53" s="16">
        <v>526</v>
      </c>
      <c r="JQ53" s="16">
        <v>222</v>
      </c>
      <c r="JR53" s="16">
        <v>6603</v>
      </c>
      <c r="JS53" s="16">
        <v>3306</v>
      </c>
      <c r="JT53" s="16">
        <v>0</v>
      </c>
      <c r="JU53" s="16">
        <v>250</v>
      </c>
      <c r="JV53" s="16">
        <v>247</v>
      </c>
      <c r="JW53" s="16">
        <v>219</v>
      </c>
      <c r="JX53" s="16">
        <v>286</v>
      </c>
      <c r="JY53" s="16">
        <v>226</v>
      </c>
      <c r="JZ53" s="16">
        <v>162</v>
      </c>
      <c r="KA53" s="16">
        <v>11</v>
      </c>
      <c r="KB53" s="16">
        <v>5</v>
      </c>
      <c r="KC53" s="16">
        <v>55</v>
      </c>
      <c r="KD53" s="16">
        <v>97</v>
      </c>
      <c r="KE53" s="16">
        <v>14</v>
      </c>
      <c r="KF53" s="16">
        <v>101</v>
      </c>
      <c r="KG53" s="16">
        <v>99</v>
      </c>
      <c r="KH53" s="16">
        <v>9</v>
      </c>
      <c r="KI53" s="16">
        <v>41</v>
      </c>
      <c r="KJ53" s="16">
        <v>110</v>
      </c>
      <c r="KK53" s="16">
        <v>105763</v>
      </c>
      <c r="KL53" s="16">
        <v>13</v>
      </c>
      <c r="KM53" s="16">
        <v>161</v>
      </c>
      <c r="KN53" s="16">
        <v>29</v>
      </c>
      <c r="KO53" s="16">
        <v>94</v>
      </c>
      <c r="KP53" s="16">
        <v>106</v>
      </c>
      <c r="KQ53" s="16">
        <v>36</v>
      </c>
      <c r="KR53" s="16">
        <v>474</v>
      </c>
      <c r="KS53" s="16">
        <v>195</v>
      </c>
      <c r="KT53" s="16">
        <v>87</v>
      </c>
      <c r="KU53" s="16">
        <v>810</v>
      </c>
      <c r="KV53" s="16">
        <v>300</v>
      </c>
      <c r="KW53" s="16">
        <v>1137</v>
      </c>
      <c r="KX53" s="16">
        <v>3</v>
      </c>
      <c r="KY53" s="16">
        <v>400</v>
      </c>
      <c r="KZ53" s="16">
        <v>118027</v>
      </c>
      <c r="LA53" s="16">
        <v>81985</v>
      </c>
      <c r="LB53" s="16">
        <v>17414</v>
      </c>
      <c r="LC53" s="16">
        <v>490764</v>
      </c>
      <c r="LD53" s="16">
        <v>8104</v>
      </c>
      <c r="LE53" s="16">
        <v>507</v>
      </c>
      <c r="LF53" s="16">
        <v>74</v>
      </c>
      <c r="LG53" s="16">
        <v>36</v>
      </c>
      <c r="LH53" s="16">
        <v>1102</v>
      </c>
      <c r="LI53" s="16">
        <v>1</v>
      </c>
      <c r="LJ53" s="16">
        <v>62</v>
      </c>
      <c r="LK53" s="16">
        <v>357</v>
      </c>
      <c r="LL53" s="16">
        <v>1463</v>
      </c>
      <c r="LM53" s="16">
        <v>3924</v>
      </c>
      <c r="LN53" s="16">
        <v>797</v>
      </c>
      <c r="LO53" s="16">
        <v>104</v>
      </c>
      <c r="LP53" s="16">
        <v>317</v>
      </c>
      <c r="LQ53" s="16">
        <v>137</v>
      </c>
      <c r="LR53" s="16">
        <v>1247</v>
      </c>
      <c r="LS53" s="16">
        <v>1151</v>
      </c>
      <c r="LT53" s="16">
        <v>512</v>
      </c>
      <c r="LU53" s="16">
        <v>332</v>
      </c>
      <c r="LV53" s="16">
        <v>27</v>
      </c>
      <c r="LW53" s="16">
        <v>233</v>
      </c>
      <c r="LX53" s="16">
        <v>404</v>
      </c>
      <c r="LY53" s="16">
        <v>0</v>
      </c>
      <c r="LZ53" s="16">
        <v>200</v>
      </c>
      <c r="MA53" s="16">
        <v>151</v>
      </c>
      <c r="MB53" s="16">
        <v>845</v>
      </c>
      <c r="MC53" s="16">
        <v>556</v>
      </c>
      <c r="MD53" s="16">
        <v>293</v>
      </c>
      <c r="ME53" s="16">
        <v>176</v>
      </c>
      <c r="MF53" s="16">
        <v>7534</v>
      </c>
      <c r="MG53" s="16">
        <v>2036</v>
      </c>
      <c r="MH53" s="16">
        <v>17910</v>
      </c>
      <c r="MI53" s="16">
        <v>243</v>
      </c>
      <c r="MJ53" s="16">
        <v>598</v>
      </c>
      <c r="MK53" s="16">
        <v>1616</v>
      </c>
      <c r="ML53" s="16">
        <v>167</v>
      </c>
      <c r="MM53" s="16">
        <v>1437</v>
      </c>
      <c r="MN53" s="16">
        <v>778</v>
      </c>
      <c r="MO53" s="16">
        <v>386</v>
      </c>
      <c r="MP53" s="16">
        <v>3207</v>
      </c>
      <c r="MQ53" s="16">
        <v>5992</v>
      </c>
      <c r="MR53" s="16">
        <v>7354</v>
      </c>
      <c r="MS53" s="16">
        <v>12944</v>
      </c>
      <c r="MT53" s="16">
        <v>563</v>
      </c>
      <c r="MU53" s="16">
        <v>16102</v>
      </c>
      <c r="MV53" s="16">
        <v>1001</v>
      </c>
      <c r="MW53" s="16">
        <v>1880</v>
      </c>
      <c r="MX53" s="16">
        <v>162</v>
      </c>
      <c r="MY53" s="16">
        <v>11971</v>
      </c>
      <c r="MZ53" s="16">
        <v>142191</v>
      </c>
      <c r="NA53" s="16">
        <v>728</v>
      </c>
      <c r="NB53" s="16">
        <v>7268</v>
      </c>
      <c r="NC53" s="16">
        <v>373</v>
      </c>
      <c r="ND53" s="16">
        <v>239</v>
      </c>
      <c r="NE53" s="16">
        <v>105</v>
      </c>
      <c r="NF53" s="16">
        <v>862</v>
      </c>
      <c r="NG53" s="16">
        <v>1177</v>
      </c>
      <c r="NH53" s="16">
        <v>504</v>
      </c>
      <c r="NI53" s="16">
        <v>3897</v>
      </c>
      <c r="NJ53" s="16">
        <v>16214</v>
      </c>
      <c r="NK53" s="16">
        <v>284</v>
      </c>
      <c r="NL53" s="16">
        <v>25</v>
      </c>
      <c r="NM53" s="16">
        <v>696</v>
      </c>
      <c r="NN53" s="16">
        <v>410</v>
      </c>
      <c r="NO53" s="16">
        <v>0</v>
      </c>
      <c r="NP53" s="16">
        <v>441</v>
      </c>
      <c r="NQ53" s="16">
        <v>3471</v>
      </c>
      <c r="NR53" s="17">
        <v>2062317</v>
      </c>
    </row>
    <row r="54" spans="1:382" ht="13.5" customHeight="1" x14ac:dyDescent="0.2">
      <c r="A54" s="2" t="s">
        <v>115</v>
      </c>
      <c r="B54" s="16">
        <v>242</v>
      </c>
      <c r="C54" s="16">
        <v>99</v>
      </c>
      <c r="D54" s="16">
        <v>66</v>
      </c>
      <c r="E54" s="16">
        <v>0</v>
      </c>
      <c r="F54" s="16">
        <v>349</v>
      </c>
      <c r="G54" s="16">
        <v>146</v>
      </c>
      <c r="H54" s="16">
        <v>42</v>
      </c>
      <c r="I54" s="16">
        <v>60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3</v>
      </c>
      <c r="P54" s="16">
        <v>290</v>
      </c>
      <c r="Q54" s="16">
        <v>283</v>
      </c>
      <c r="R54" s="16">
        <v>97</v>
      </c>
      <c r="S54" s="16">
        <v>117</v>
      </c>
      <c r="T54" s="16">
        <v>6</v>
      </c>
      <c r="U54" s="16">
        <v>28</v>
      </c>
      <c r="V54" s="16">
        <v>0</v>
      </c>
      <c r="W54" s="16">
        <v>0</v>
      </c>
      <c r="X54" s="16">
        <v>127</v>
      </c>
      <c r="Y54" s="16">
        <v>413</v>
      </c>
      <c r="Z54" s="16">
        <v>345</v>
      </c>
      <c r="AA54" s="16">
        <v>4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445</v>
      </c>
      <c r="AH54" s="16">
        <v>352</v>
      </c>
      <c r="AI54" s="16">
        <v>49</v>
      </c>
      <c r="AJ54" s="16">
        <v>3879</v>
      </c>
      <c r="AK54" s="16">
        <v>277</v>
      </c>
      <c r="AL54" s="16">
        <v>89053</v>
      </c>
      <c r="AM54" s="16">
        <v>135230</v>
      </c>
      <c r="AN54" s="16">
        <v>33165</v>
      </c>
      <c r="AO54" s="16">
        <v>3386</v>
      </c>
      <c r="AP54" s="16">
        <v>21</v>
      </c>
      <c r="AQ54" s="16">
        <v>77</v>
      </c>
      <c r="AR54" s="16">
        <v>0</v>
      </c>
      <c r="AS54" s="16">
        <v>162</v>
      </c>
      <c r="AT54" s="16">
        <v>51</v>
      </c>
      <c r="AU54" s="16">
        <v>452856</v>
      </c>
      <c r="AV54" s="16">
        <v>62062</v>
      </c>
      <c r="AW54" s="16">
        <v>156112</v>
      </c>
      <c r="AX54" s="16">
        <v>49058</v>
      </c>
      <c r="AY54" s="16">
        <v>127153</v>
      </c>
      <c r="AZ54" s="16">
        <v>11530</v>
      </c>
      <c r="BA54" s="16">
        <v>44571</v>
      </c>
      <c r="BB54" s="16">
        <v>613125</v>
      </c>
      <c r="BC54" s="16">
        <v>29024</v>
      </c>
      <c r="BD54" s="16">
        <v>5</v>
      </c>
      <c r="BE54" s="16">
        <v>105</v>
      </c>
      <c r="BF54" s="16">
        <v>468</v>
      </c>
      <c r="BG54" s="16">
        <v>91</v>
      </c>
      <c r="BH54" s="16">
        <v>69531</v>
      </c>
      <c r="BI54" s="16">
        <v>134</v>
      </c>
      <c r="BJ54" s="16">
        <v>32</v>
      </c>
      <c r="BK54" s="16">
        <v>25</v>
      </c>
      <c r="BL54" s="16">
        <v>200</v>
      </c>
      <c r="BM54" s="16">
        <v>20</v>
      </c>
      <c r="BN54" s="16">
        <v>181</v>
      </c>
      <c r="BO54" s="16">
        <v>124</v>
      </c>
      <c r="BP54" s="16">
        <v>86</v>
      </c>
      <c r="BQ54" s="16">
        <v>92</v>
      </c>
      <c r="BR54" s="16">
        <v>19</v>
      </c>
      <c r="BS54" s="16">
        <v>211</v>
      </c>
      <c r="BT54" s="16">
        <v>5</v>
      </c>
      <c r="BU54" s="16">
        <v>3</v>
      </c>
      <c r="BV54" s="16">
        <v>1</v>
      </c>
      <c r="BW54" s="16">
        <v>50</v>
      </c>
      <c r="BX54" s="16">
        <v>4</v>
      </c>
      <c r="BY54" s="16">
        <v>0</v>
      </c>
      <c r="BZ54" s="16">
        <v>9</v>
      </c>
      <c r="CA54" s="16">
        <v>20</v>
      </c>
      <c r="CB54" s="16">
        <v>13</v>
      </c>
      <c r="CC54" s="16">
        <v>269</v>
      </c>
      <c r="CD54" s="16">
        <v>51</v>
      </c>
      <c r="CE54" s="16">
        <v>38</v>
      </c>
      <c r="CF54" s="16">
        <v>116</v>
      </c>
      <c r="CG54" s="16">
        <v>31</v>
      </c>
      <c r="CH54" s="16">
        <v>26</v>
      </c>
      <c r="CI54" s="16">
        <v>31</v>
      </c>
      <c r="CJ54" s="16">
        <v>51</v>
      </c>
      <c r="CK54" s="16">
        <v>135</v>
      </c>
      <c r="CL54" s="16">
        <v>168</v>
      </c>
      <c r="CM54" s="16">
        <v>84</v>
      </c>
      <c r="CN54" s="16">
        <v>26</v>
      </c>
      <c r="CO54" s="16">
        <v>86</v>
      </c>
      <c r="CP54" s="16">
        <v>207</v>
      </c>
      <c r="CQ54" s="16">
        <v>887</v>
      </c>
      <c r="CR54" s="16">
        <v>105</v>
      </c>
      <c r="CS54" s="16">
        <v>68</v>
      </c>
      <c r="CT54" s="16">
        <v>27</v>
      </c>
      <c r="CU54" s="16">
        <v>66</v>
      </c>
      <c r="CV54" s="16">
        <v>86</v>
      </c>
      <c r="CW54" s="16">
        <v>318</v>
      </c>
      <c r="CX54" s="16">
        <v>378</v>
      </c>
      <c r="CY54" s="16">
        <v>19</v>
      </c>
      <c r="CZ54" s="16">
        <v>89</v>
      </c>
      <c r="DA54" s="16">
        <v>10</v>
      </c>
      <c r="DB54" s="16">
        <v>61</v>
      </c>
      <c r="DC54" s="16">
        <v>81</v>
      </c>
      <c r="DD54" s="16">
        <v>87</v>
      </c>
      <c r="DE54" s="16">
        <v>83</v>
      </c>
      <c r="DF54" s="16">
        <v>80</v>
      </c>
      <c r="DG54" s="16">
        <v>37</v>
      </c>
      <c r="DH54" s="16">
        <v>123</v>
      </c>
      <c r="DI54" s="16">
        <v>32</v>
      </c>
      <c r="DJ54" s="16">
        <v>1037</v>
      </c>
      <c r="DK54" s="16">
        <v>58</v>
      </c>
      <c r="DL54" s="16">
        <v>150</v>
      </c>
      <c r="DM54" s="16">
        <v>32980</v>
      </c>
      <c r="DN54" s="16">
        <v>57</v>
      </c>
      <c r="DO54" s="16">
        <v>194</v>
      </c>
      <c r="DP54" s="16">
        <v>188</v>
      </c>
      <c r="DQ54" s="16">
        <v>34</v>
      </c>
      <c r="DR54" s="16">
        <v>86</v>
      </c>
      <c r="DS54" s="16">
        <v>9547</v>
      </c>
      <c r="DT54" s="16">
        <v>51</v>
      </c>
      <c r="DU54" s="16">
        <v>20</v>
      </c>
      <c r="DV54" s="16">
        <v>32</v>
      </c>
      <c r="DW54" s="16">
        <v>243</v>
      </c>
      <c r="DX54" s="16">
        <v>316</v>
      </c>
      <c r="DY54" s="16">
        <v>182</v>
      </c>
      <c r="DZ54" s="16">
        <v>562</v>
      </c>
      <c r="EA54" s="16">
        <v>33</v>
      </c>
      <c r="EB54" s="16">
        <v>25</v>
      </c>
      <c r="EC54" s="16">
        <v>157</v>
      </c>
      <c r="ED54" s="16">
        <v>30</v>
      </c>
      <c r="EE54" s="16">
        <v>4</v>
      </c>
      <c r="EF54" s="16">
        <v>8</v>
      </c>
      <c r="EG54" s="16">
        <v>50</v>
      </c>
      <c r="EH54" s="16">
        <v>8</v>
      </c>
      <c r="EI54" s="16">
        <v>60</v>
      </c>
      <c r="EJ54" s="16">
        <v>24</v>
      </c>
      <c r="EK54" s="16">
        <v>35</v>
      </c>
      <c r="EL54" s="16">
        <v>14</v>
      </c>
      <c r="EM54" s="16">
        <v>41</v>
      </c>
      <c r="EN54" s="16">
        <v>321</v>
      </c>
      <c r="EO54" s="16">
        <v>100</v>
      </c>
      <c r="EP54" s="16">
        <v>31</v>
      </c>
      <c r="EQ54" s="16">
        <v>101</v>
      </c>
      <c r="ER54" s="16">
        <v>11</v>
      </c>
      <c r="ES54" s="16">
        <v>13</v>
      </c>
      <c r="ET54" s="16">
        <v>146</v>
      </c>
      <c r="EU54" s="16">
        <v>234</v>
      </c>
      <c r="EV54" s="16">
        <v>23</v>
      </c>
      <c r="EW54" s="16">
        <v>62</v>
      </c>
      <c r="EX54" s="16">
        <v>525</v>
      </c>
      <c r="EY54" s="16">
        <v>74</v>
      </c>
      <c r="EZ54" s="16">
        <v>3</v>
      </c>
      <c r="FA54" s="16">
        <v>23</v>
      </c>
      <c r="FB54" s="16">
        <v>70</v>
      </c>
      <c r="FC54" s="16">
        <v>4</v>
      </c>
      <c r="FD54" s="16">
        <v>89</v>
      </c>
      <c r="FE54" s="16">
        <v>38</v>
      </c>
      <c r="FF54" s="16">
        <v>71</v>
      </c>
      <c r="FG54" s="16">
        <v>72</v>
      </c>
      <c r="FH54" s="16">
        <v>19</v>
      </c>
      <c r="FI54" s="16">
        <v>91</v>
      </c>
      <c r="FJ54" s="16">
        <v>21</v>
      </c>
      <c r="FK54" s="16">
        <v>48</v>
      </c>
      <c r="FL54" s="16">
        <v>61</v>
      </c>
      <c r="FM54" s="16">
        <v>63</v>
      </c>
      <c r="FN54" s="16">
        <v>227</v>
      </c>
      <c r="FO54" s="16">
        <v>119</v>
      </c>
      <c r="FP54" s="16">
        <v>95</v>
      </c>
      <c r="FQ54" s="16">
        <v>156</v>
      </c>
      <c r="FR54" s="16">
        <v>474</v>
      </c>
      <c r="FS54" s="16">
        <v>98</v>
      </c>
      <c r="FT54" s="16">
        <v>132</v>
      </c>
      <c r="FU54" s="16">
        <v>220</v>
      </c>
      <c r="FV54" s="16">
        <v>104</v>
      </c>
      <c r="FW54" s="16">
        <v>290</v>
      </c>
      <c r="FX54" s="16">
        <v>526</v>
      </c>
      <c r="FY54" s="16">
        <v>49</v>
      </c>
      <c r="FZ54" s="16">
        <v>111</v>
      </c>
      <c r="GA54" s="16">
        <v>22</v>
      </c>
      <c r="GB54" s="16">
        <v>2674</v>
      </c>
      <c r="GC54" s="16">
        <v>41</v>
      </c>
      <c r="GD54" s="16">
        <v>583</v>
      </c>
      <c r="GE54" s="16">
        <v>12</v>
      </c>
      <c r="GF54" s="16">
        <v>542</v>
      </c>
      <c r="GG54" s="16">
        <v>1</v>
      </c>
      <c r="GH54" s="16">
        <v>50</v>
      </c>
      <c r="GI54" s="16">
        <v>16</v>
      </c>
      <c r="GJ54" s="16">
        <v>70</v>
      </c>
      <c r="GK54" s="16">
        <v>20</v>
      </c>
      <c r="GL54" s="16">
        <v>23</v>
      </c>
      <c r="GM54" s="16">
        <v>2</v>
      </c>
      <c r="GN54" s="16">
        <v>22</v>
      </c>
      <c r="GO54" s="16">
        <v>99</v>
      </c>
      <c r="GP54" s="16">
        <v>18</v>
      </c>
      <c r="GQ54" s="16">
        <v>0</v>
      </c>
      <c r="GR54" s="16">
        <v>26</v>
      </c>
      <c r="GS54" s="16">
        <v>20</v>
      </c>
      <c r="GT54" s="16">
        <v>2</v>
      </c>
      <c r="GU54" s="16">
        <v>64</v>
      </c>
      <c r="GV54" s="16">
        <v>54</v>
      </c>
      <c r="GW54" s="16">
        <v>49</v>
      </c>
      <c r="GX54" s="16">
        <v>14</v>
      </c>
      <c r="GY54" s="16">
        <v>5</v>
      </c>
      <c r="GZ54" s="16">
        <v>50</v>
      </c>
      <c r="HA54" s="16">
        <v>36</v>
      </c>
      <c r="HB54" s="16">
        <v>34</v>
      </c>
      <c r="HC54" s="16">
        <v>163</v>
      </c>
      <c r="HD54" s="16">
        <v>181</v>
      </c>
      <c r="HE54" s="16">
        <v>13</v>
      </c>
      <c r="HF54" s="16">
        <v>113</v>
      </c>
      <c r="HG54" s="16">
        <v>61</v>
      </c>
      <c r="HH54" s="16">
        <v>39</v>
      </c>
      <c r="HI54" s="16">
        <v>46</v>
      </c>
      <c r="HJ54" s="16">
        <v>51</v>
      </c>
      <c r="HK54" s="16">
        <v>34</v>
      </c>
      <c r="HL54" s="16">
        <v>180</v>
      </c>
      <c r="HM54" s="16">
        <v>85</v>
      </c>
      <c r="HN54" s="16">
        <v>131</v>
      </c>
      <c r="HO54" s="16">
        <v>124</v>
      </c>
      <c r="HP54" s="16">
        <v>93</v>
      </c>
      <c r="HQ54" s="16">
        <v>182</v>
      </c>
      <c r="HR54" s="16">
        <v>141</v>
      </c>
      <c r="HS54" s="16">
        <v>154</v>
      </c>
      <c r="HT54" s="16">
        <v>16</v>
      </c>
      <c r="HU54" s="16">
        <v>119</v>
      </c>
      <c r="HV54" s="16">
        <v>47</v>
      </c>
      <c r="HW54" s="16">
        <v>87</v>
      </c>
      <c r="HX54" s="16">
        <v>226</v>
      </c>
      <c r="HY54" s="16">
        <v>209</v>
      </c>
      <c r="HZ54" s="16">
        <v>468</v>
      </c>
      <c r="IA54" s="16">
        <v>131</v>
      </c>
      <c r="IB54" s="16">
        <v>16</v>
      </c>
      <c r="IC54" s="16">
        <v>22</v>
      </c>
      <c r="ID54" s="16">
        <v>48</v>
      </c>
      <c r="IE54" s="16">
        <v>6</v>
      </c>
      <c r="IF54" s="16">
        <v>52</v>
      </c>
      <c r="IG54" s="16">
        <v>553</v>
      </c>
      <c r="IH54" s="16">
        <v>106</v>
      </c>
      <c r="II54" s="16">
        <v>16</v>
      </c>
      <c r="IJ54" s="16">
        <v>5</v>
      </c>
      <c r="IK54" s="16">
        <v>66</v>
      </c>
      <c r="IL54" s="16">
        <v>5</v>
      </c>
      <c r="IM54" s="16">
        <v>3</v>
      </c>
      <c r="IN54" s="16">
        <v>19</v>
      </c>
      <c r="IO54" s="16">
        <v>217</v>
      </c>
      <c r="IP54" s="16">
        <v>10</v>
      </c>
      <c r="IQ54" s="16">
        <v>4</v>
      </c>
      <c r="IR54" s="16">
        <v>5</v>
      </c>
      <c r="IS54" s="16">
        <v>18</v>
      </c>
      <c r="IT54" s="16">
        <v>9</v>
      </c>
      <c r="IU54" s="16">
        <v>6</v>
      </c>
      <c r="IV54" s="16">
        <v>7</v>
      </c>
      <c r="IW54" s="16">
        <v>113</v>
      </c>
      <c r="IX54" s="16">
        <v>37</v>
      </c>
      <c r="IY54" s="16">
        <v>147</v>
      </c>
      <c r="IZ54" s="16">
        <v>2</v>
      </c>
      <c r="JA54" s="16">
        <v>29</v>
      </c>
      <c r="JB54" s="16">
        <v>6</v>
      </c>
      <c r="JC54" s="16">
        <v>15</v>
      </c>
      <c r="JD54" s="16">
        <v>3</v>
      </c>
      <c r="JE54" s="16">
        <v>82</v>
      </c>
      <c r="JF54" s="16">
        <v>41</v>
      </c>
      <c r="JG54" s="16">
        <v>243964</v>
      </c>
      <c r="JH54" s="16">
        <v>26</v>
      </c>
      <c r="JI54" s="16">
        <v>6</v>
      </c>
      <c r="JJ54" s="16">
        <v>94</v>
      </c>
      <c r="JK54" s="16">
        <v>92</v>
      </c>
      <c r="JL54" s="16">
        <v>30</v>
      </c>
      <c r="JM54" s="16">
        <v>3</v>
      </c>
      <c r="JN54" s="16">
        <v>58</v>
      </c>
      <c r="JO54" s="16">
        <v>90</v>
      </c>
      <c r="JP54" s="16">
        <v>718</v>
      </c>
      <c r="JQ54" s="16">
        <v>253</v>
      </c>
      <c r="JR54" s="16">
        <v>8077</v>
      </c>
      <c r="JS54" s="16">
        <v>4493</v>
      </c>
      <c r="JT54" s="16">
        <v>0</v>
      </c>
      <c r="JU54" s="16">
        <v>0</v>
      </c>
      <c r="JV54" s="16">
        <v>173</v>
      </c>
      <c r="JW54" s="16">
        <v>282</v>
      </c>
      <c r="JX54" s="16">
        <v>376</v>
      </c>
      <c r="JY54" s="16">
        <v>278</v>
      </c>
      <c r="JZ54" s="16">
        <v>247</v>
      </c>
      <c r="KA54" s="16">
        <v>12</v>
      </c>
      <c r="KB54" s="16">
        <v>6</v>
      </c>
      <c r="KC54" s="16">
        <v>65</v>
      </c>
      <c r="KD54" s="16">
        <v>97</v>
      </c>
      <c r="KE54" s="16">
        <v>19</v>
      </c>
      <c r="KF54" s="16">
        <v>116</v>
      </c>
      <c r="KG54" s="16">
        <v>123</v>
      </c>
      <c r="KH54" s="16">
        <v>9</v>
      </c>
      <c r="KI54" s="16">
        <v>35</v>
      </c>
      <c r="KJ54" s="16">
        <v>143</v>
      </c>
      <c r="KK54" s="16">
        <v>434205</v>
      </c>
      <c r="KL54" s="16">
        <v>16</v>
      </c>
      <c r="KM54" s="16">
        <v>169</v>
      </c>
      <c r="KN54" s="16">
        <v>38</v>
      </c>
      <c r="KO54" s="16">
        <v>97</v>
      </c>
      <c r="KP54" s="16">
        <v>135</v>
      </c>
      <c r="KQ54" s="16">
        <v>47</v>
      </c>
      <c r="KR54" s="16">
        <v>230</v>
      </c>
      <c r="KS54" s="16">
        <v>202</v>
      </c>
      <c r="KT54" s="16">
        <v>104</v>
      </c>
      <c r="KU54" s="16">
        <v>890</v>
      </c>
      <c r="KV54" s="16">
        <v>79</v>
      </c>
      <c r="KW54" s="16">
        <v>755</v>
      </c>
      <c r="KX54" s="16">
        <v>5</v>
      </c>
      <c r="KY54" s="16">
        <v>214</v>
      </c>
      <c r="KZ54" s="16">
        <v>1552667</v>
      </c>
      <c r="LA54" s="16">
        <v>1212952</v>
      </c>
      <c r="LB54" s="16">
        <v>236976</v>
      </c>
      <c r="LC54" s="16">
        <v>355460</v>
      </c>
      <c r="LD54" s="16">
        <v>133676</v>
      </c>
      <c r="LE54" s="16">
        <v>619</v>
      </c>
      <c r="LF54" s="16">
        <v>73</v>
      </c>
      <c r="LG54" s="16">
        <v>50</v>
      </c>
      <c r="LH54" s="16">
        <v>1537</v>
      </c>
      <c r="LI54" s="16">
        <v>1</v>
      </c>
      <c r="LJ54" s="16">
        <v>62</v>
      </c>
      <c r="LK54" s="16">
        <v>415</v>
      </c>
      <c r="LL54" s="16">
        <v>1497</v>
      </c>
      <c r="LM54" s="16">
        <v>5037</v>
      </c>
      <c r="LN54" s="16">
        <v>1070</v>
      </c>
      <c r="LO54" s="16">
        <v>129</v>
      </c>
      <c r="LP54" s="16">
        <v>345</v>
      </c>
      <c r="LQ54" s="16">
        <v>50</v>
      </c>
      <c r="LR54" s="16">
        <v>9079</v>
      </c>
      <c r="LS54" s="16">
        <v>1587</v>
      </c>
      <c r="LT54" s="16">
        <v>11388</v>
      </c>
      <c r="LU54" s="16">
        <v>267</v>
      </c>
      <c r="LV54" s="16">
        <v>33</v>
      </c>
      <c r="LW54" s="16">
        <v>2360</v>
      </c>
      <c r="LX54" s="16">
        <v>8605</v>
      </c>
      <c r="LY54" s="16">
        <v>0</v>
      </c>
      <c r="LZ54" s="16">
        <v>280</v>
      </c>
      <c r="MA54" s="16">
        <v>216</v>
      </c>
      <c r="MB54" s="16">
        <v>841</v>
      </c>
      <c r="MC54" s="16">
        <v>671</v>
      </c>
      <c r="MD54" s="16">
        <v>36</v>
      </c>
      <c r="ME54" s="16">
        <v>217</v>
      </c>
      <c r="MF54" s="16">
        <v>43546</v>
      </c>
      <c r="MG54" s="16">
        <v>2108</v>
      </c>
      <c r="MH54" s="16">
        <v>6008</v>
      </c>
      <c r="MI54" s="16">
        <v>308</v>
      </c>
      <c r="MJ54" s="16">
        <v>508</v>
      </c>
      <c r="MK54" s="16">
        <v>2104</v>
      </c>
      <c r="ML54" s="16">
        <v>221</v>
      </c>
      <c r="MM54" s="16">
        <v>1982</v>
      </c>
      <c r="MN54" s="16">
        <v>690</v>
      </c>
      <c r="MO54" s="16">
        <v>362</v>
      </c>
      <c r="MP54" s="16">
        <v>1476</v>
      </c>
      <c r="MQ54" s="16">
        <v>5839</v>
      </c>
      <c r="MR54" s="16">
        <v>18924</v>
      </c>
      <c r="MS54" s="16">
        <v>16570</v>
      </c>
      <c r="MT54" s="16">
        <v>728</v>
      </c>
      <c r="MU54" s="16">
        <v>90872</v>
      </c>
      <c r="MV54" s="16">
        <v>1390</v>
      </c>
      <c r="MW54" s="16">
        <v>23535</v>
      </c>
      <c r="MX54" s="16">
        <v>215</v>
      </c>
      <c r="MY54" s="16">
        <v>455</v>
      </c>
      <c r="MZ54" s="16">
        <v>86663</v>
      </c>
      <c r="NA54" s="16">
        <v>944</v>
      </c>
      <c r="NB54" s="16">
        <v>137266</v>
      </c>
      <c r="NC54" s="16">
        <v>482</v>
      </c>
      <c r="ND54" s="16">
        <v>294</v>
      </c>
      <c r="NE54" s="16">
        <v>87</v>
      </c>
      <c r="NF54" s="16">
        <v>358</v>
      </c>
      <c r="NG54" s="16">
        <v>30451</v>
      </c>
      <c r="NH54" s="16">
        <v>10632</v>
      </c>
      <c r="NI54" s="16">
        <v>35820</v>
      </c>
      <c r="NJ54" s="16">
        <v>18747</v>
      </c>
      <c r="NK54" s="16">
        <v>310</v>
      </c>
      <c r="NL54" s="16">
        <v>20</v>
      </c>
      <c r="NM54" s="16">
        <v>398</v>
      </c>
      <c r="NN54" s="16">
        <v>342</v>
      </c>
      <c r="NO54" s="16">
        <v>0</v>
      </c>
      <c r="NP54" s="16">
        <v>543</v>
      </c>
      <c r="NQ54" s="16">
        <v>7062</v>
      </c>
      <c r="NR54" s="17">
        <v>6733719</v>
      </c>
    </row>
    <row r="55" spans="1:382" ht="13.5" customHeight="1" x14ac:dyDescent="0.2">
      <c r="A55" s="2" t="s">
        <v>117</v>
      </c>
      <c r="B55" s="16">
        <v>1803</v>
      </c>
      <c r="C55" s="16">
        <v>82</v>
      </c>
      <c r="D55" s="16">
        <v>27</v>
      </c>
      <c r="E55" s="16">
        <v>5</v>
      </c>
      <c r="F55" s="16">
        <v>3694</v>
      </c>
      <c r="G55" s="16">
        <v>1257</v>
      </c>
      <c r="H55" s="16">
        <v>16</v>
      </c>
      <c r="I55" s="16">
        <v>24</v>
      </c>
      <c r="J55" s="16">
        <v>5</v>
      </c>
      <c r="K55" s="16">
        <v>0</v>
      </c>
      <c r="L55" s="16">
        <v>4</v>
      </c>
      <c r="M55" s="16">
        <v>0</v>
      </c>
      <c r="N55" s="16">
        <v>0</v>
      </c>
      <c r="O55" s="16">
        <v>1387777</v>
      </c>
      <c r="P55" s="16">
        <v>2938847</v>
      </c>
      <c r="Q55" s="16">
        <v>4136916</v>
      </c>
      <c r="R55" s="16">
        <v>4035046</v>
      </c>
      <c r="S55" s="16">
        <v>303565</v>
      </c>
      <c r="T55" s="16">
        <v>3</v>
      </c>
      <c r="U55" s="16">
        <v>11</v>
      </c>
      <c r="V55" s="16">
        <v>3</v>
      </c>
      <c r="W55" s="16">
        <v>6</v>
      </c>
      <c r="X55" s="16">
        <v>49</v>
      </c>
      <c r="Y55" s="16">
        <v>513145</v>
      </c>
      <c r="Z55" s="16">
        <v>132</v>
      </c>
      <c r="AA55" s="16">
        <v>2</v>
      </c>
      <c r="AB55" s="16">
        <v>0</v>
      </c>
      <c r="AC55" s="16">
        <v>0</v>
      </c>
      <c r="AD55" s="16">
        <v>0</v>
      </c>
      <c r="AE55" s="16">
        <v>3</v>
      </c>
      <c r="AF55" s="16">
        <v>0</v>
      </c>
      <c r="AG55" s="16">
        <v>183</v>
      </c>
      <c r="AH55" s="16">
        <v>148</v>
      </c>
      <c r="AI55" s="16">
        <v>18</v>
      </c>
      <c r="AJ55" s="16">
        <v>55</v>
      </c>
      <c r="AK55" s="16">
        <v>26</v>
      </c>
      <c r="AL55" s="16">
        <v>11</v>
      </c>
      <c r="AM55" s="16">
        <v>91</v>
      </c>
      <c r="AN55" s="16">
        <v>24</v>
      </c>
      <c r="AO55" s="16">
        <v>18</v>
      </c>
      <c r="AP55" s="16">
        <v>9</v>
      </c>
      <c r="AQ55" s="16">
        <v>31</v>
      </c>
      <c r="AR55" s="16">
        <v>0</v>
      </c>
      <c r="AS55" s="16">
        <v>66</v>
      </c>
      <c r="AT55" s="16">
        <v>21</v>
      </c>
      <c r="AU55" s="16">
        <v>119</v>
      </c>
      <c r="AV55" s="16">
        <v>202</v>
      </c>
      <c r="AW55" s="16">
        <v>362</v>
      </c>
      <c r="AX55" s="16">
        <v>5</v>
      </c>
      <c r="AY55" s="16">
        <v>77</v>
      </c>
      <c r="AZ55" s="16">
        <v>22</v>
      </c>
      <c r="BA55" s="16">
        <v>89</v>
      </c>
      <c r="BB55" s="16">
        <v>26</v>
      </c>
      <c r="BC55" s="16">
        <v>1276901</v>
      </c>
      <c r="BD55" s="16">
        <v>3</v>
      </c>
      <c r="BE55" s="16">
        <v>44</v>
      </c>
      <c r="BF55" s="16">
        <v>124</v>
      </c>
      <c r="BG55" s="16">
        <v>38</v>
      </c>
      <c r="BH55" s="16">
        <v>49</v>
      </c>
      <c r="BI55" s="16">
        <v>55</v>
      </c>
      <c r="BJ55" s="16">
        <v>14</v>
      </c>
      <c r="BK55" s="16">
        <v>11</v>
      </c>
      <c r="BL55" s="16">
        <v>82</v>
      </c>
      <c r="BM55" s="16">
        <v>8</v>
      </c>
      <c r="BN55" s="16">
        <v>77</v>
      </c>
      <c r="BO55" s="16">
        <v>50</v>
      </c>
      <c r="BP55" s="16">
        <v>35</v>
      </c>
      <c r="BQ55" s="16">
        <v>37</v>
      </c>
      <c r="BR55" s="16">
        <v>8</v>
      </c>
      <c r="BS55" s="16">
        <v>87</v>
      </c>
      <c r="BT55" s="16">
        <v>2</v>
      </c>
      <c r="BU55" s="16">
        <v>5</v>
      </c>
      <c r="BV55" s="16">
        <v>1</v>
      </c>
      <c r="BW55" s="16">
        <v>22</v>
      </c>
      <c r="BX55" s="16">
        <v>5</v>
      </c>
      <c r="BY55" s="16">
        <v>1</v>
      </c>
      <c r="BZ55" s="16">
        <v>5</v>
      </c>
      <c r="CA55" s="16">
        <v>8</v>
      </c>
      <c r="CB55" s="16">
        <v>6</v>
      </c>
      <c r="CC55" s="16">
        <v>111</v>
      </c>
      <c r="CD55" s="16">
        <v>22</v>
      </c>
      <c r="CE55" s="16">
        <v>17</v>
      </c>
      <c r="CF55" s="16">
        <v>47</v>
      </c>
      <c r="CG55" s="16">
        <v>12</v>
      </c>
      <c r="CH55" s="16">
        <v>10</v>
      </c>
      <c r="CI55" s="16">
        <v>14</v>
      </c>
      <c r="CJ55" s="16">
        <v>22</v>
      </c>
      <c r="CK55" s="16">
        <v>55</v>
      </c>
      <c r="CL55" s="16">
        <v>69</v>
      </c>
      <c r="CM55" s="16">
        <v>34</v>
      </c>
      <c r="CN55" s="16">
        <v>11</v>
      </c>
      <c r="CO55" s="16">
        <v>35</v>
      </c>
      <c r="CP55" s="16">
        <v>85</v>
      </c>
      <c r="CQ55" s="16">
        <v>364</v>
      </c>
      <c r="CR55" s="16">
        <v>40</v>
      </c>
      <c r="CS55" s="16">
        <v>29</v>
      </c>
      <c r="CT55" s="16">
        <v>12</v>
      </c>
      <c r="CU55" s="16">
        <v>27</v>
      </c>
      <c r="CV55" s="16">
        <v>37</v>
      </c>
      <c r="CW55" s="16">
        <v>130</v>
      </c>
      <c r="CX55" s="16">
        <v>154</v>
      </c>
      <c r="CY55" s="16">
        <v>9</v>
      </c>
      <c r="CZ55" s="16">
        <v>35</v>
      </c>
      <c r="DA55" s="16">
        <v>4</v>
      </c>
      <c r="DB55" s="16">
        <v>26</v>
      </c>
      <c r="DC55" s="16">
        <v>33</v>
      </c>
      <c r="DD55" s="16">
        <v>37</v>
      </c>
      <c r="DE55" s="16">
        <v>33</v>
      </c>
      <c r="DF55" s="16">
        <v>33</v>
      </c>
      <c r="DG55" s="16">
        <v>17</v>
      </c>
      <c r="DH55" s="16">
        <v>52</v>
      </c>
      <c r="DI55" s="16">
        <v>15</v>
      </c>
      <c r="DJ55" s="16">
        <v>425</v>
      </c>
      <c r="DK55" s="16">
        <v>23</v>
      </c>
      <c r="DL55" s="16">
        <v>61</v>
      </c>
      <c r="DM55" s="16">
        <v>17569</v>
      </c>
      <c r="DN55" s="16">
        <v>26</v>
      </c>
      <c r="DO55" s="16">
        <v>34</v>
      </c>
      <c r="DP55" s="16">
        <v>75</v>
      </c>
      <c r="DQ55" s="16">
        <v>15</v>
      </c>
      <c r="DR55" s="16">
        <v>19</v>
      </c>
      <c r="DS55" s="16">
        <v>117</v>
      </c>
      <c r="DT55" s="16">
        <v>22</v>
      </c>
      <c r="DU55" s="16">
        <v>9</v>
      </c>
      <c r="DV55" s="16">
        <v>13</v>
      </c>
      <c r="DW55" s="16">
        <v>99</v>
      </c>
      <c r="DX55" s="16">
        <v>130</v>
      </c>
      <c r="DY55" s="16">
        <v>73</v>
      </c>
      <c r="DZ55" s="16">
        <v>231</v>
      </c>
      <c r="EA55" s="16">
        <v>15</v>
      </c>
      <c r="EB55" s="16">
        <v>12</v>
      </c>
      <c r="EC55" s="16">
        <v>64</v>
      </c>
      <c r="ED55" s="16">
        <v>12</v>
      </c>
      <c r="EE55" s="16">
        <v>1</v>
      </c>
      <c r="EF55" s="16">
        <v>3</v>
      </c>
      <c r="EG55" s="16">
        <v>21</v>
      </c>
      <c r="EH55" s="16">
        <v>5</v>
      </c>
      <c r="EI55" s="16">
        <v>26</v>
      </c>
      <c r="EJ55" s="16">
        <v>10</v>
      </c>
      <c r="EK55" s="16">
        <v>15</v>
      </c>
      <c r="EL55" s="16">
        <v>6</v>
      </c>
      <c r="EM55" s="16">
        <v>17</v>
      </c>
      <c r="EN55" s="16">
        <v>130</v>
      </c>
      <c r="EO55" s="16">
        <v>40</v>
      </c>
      <c r="EP55" s="16">
        <v>13</v>
      </c>
      <c r="EQ55" s="16">
        <v>41</v>
      </c>
      <c r="ER55" s="16">
        <v>5</v>
      </c>
      <c r="ES55" s="16">
        <v>23</v>
      </c>
      <c r="ET55" s="16">
        <v>58</v>
      </c>
      <c r="EU55" s="16">
        <v>97</v>
      </c>
      <c r="EV55" s="16">
        <v>10</v>
      </c>
      <c r="EW55" s="16">
        <v>25</v>
      </c>
      <c r="EX55" s="16">
        <v>213</v>
      </c>
      <c r="EY55" s="16">
        <v>30</v>
      </c>
      <c r="EZ55" s="16">
        <v>1</v>
      </c>
      <c r="FA55" s="16">
        <v>10</v>
      </c>
      <c r="FB55" s="16">
        <v>28</v>
      </c>
      <c r="FC55" s="16">
        <v>2</v>
      </c>
      <c r="FD55" s="16">
        <v>92</v>
      </c>
      <c r="FE55" s="16">
        <v>17</v>
      </c>
      <c r="FF55" s="16">
        <v>29</v>
      </c>
      <c r="FG55" s="16">
        <v>31</v>
      </c>
      <c r="FH55" s="16">
        <v>8</v>
      </c>
      <c r="FI55" s="16">
        <v>37</v>
      </c>
      <c r="FJ55" s="16">
        <v>8</v>
      </c>
      <c r="FK55" s="16">
        <v>19</v>
      </c>
      <c r="FL55" s="16">
        <v>25</v>
      </c>
      <c r="FM55" s="16">
        <v>25</v>
      </c>
      <c r="FN55" s="16">
        <v>94</v>
      </c>
      <c r="FO55" s="16">
        <v>48</v>
      </c>
      <c r="FP55" s="16">
        <v>70</v>
      </c>
      <c r="FQ55" s="16">
        <v>128</v>
      </c>
      <c r="FR55" s="16">
        <v>196</v>
      </c>
      <c r="FS55" s="16">
        <v>40</v>
      </c>
      <c r="FT55" s="16">
        <v>55</v>
      </c>
      <c r="FU55" s="16">
        <v>90</v>
      </c>
      <c r="FV55" s="16">
        <v>42</v>
      </c>
      <c r="FW55" s="16">
        <v>120</v>
      </c>
      <c r="FX55" s="16">
        <v>214</v>
      </c>
      <c r="FY55" s="16">
        <v>21</v>
      </c>
      <c r="FZ55" s="16">
        <v>47</v>
      </c>
      <c r="GA55" s="16">
        <v>10</v>
      </c>
      <c r="GB55" s="16">
        <v>1093</v>
      </c>
      <c r="GC55" s="16">
        <v>18</v>
      </c>
      <c r="GD55" s="16">
        <v>239</v>
      </c>
      <c r="GE55" s="16">
        <v>5</v>
      </c>
      <c r="GF55" s="16">
        <v>222</v>
      </c>
      <c r="GG55" s="16">
        <v>0</v>
      </c>
      <c r="GH55" s="16">
        <v>20</v>
      </c>
      <c r="GI55" s="16">
        <v>8</v>
      </c>
      <c r="GJ55" s="16">
        <v>31</v>
      </c>
      <c r="GK55" s="16">
        <v>7</v>
      </c>
      <c r="GL55" s="16">
        <v>30</v>
      </c>
      <c r="GM55" s="16">
        <v>534</v>
      </c>
      <c r="GN55" s="16">
        <v>10</v>
      </c>
      <c r="GO55" s="16">
        <v>128</v>
      </c>
      <c r="GP55" s="16">
        <v>8</v>
      </c>
      <c r="GQ55" s="16">
        <v>6</v>
      </c>
      <c r="GR55" s="16">
        <v>11</v>
      </c>
      <c r="GS55" s="16">
        <v>9</v>
      </c>
      <c r="GT55" s="16">
        <v>2</v>
      </c>
      <c r="GU55" s="16">
        <v>28</v>
      </c>
      <c r="GV55" s="16">
        <v>21</v>
      </c>
      <c r="GW55" s="16">
        <v>22</v>
      </c>
      <c r="GX55" s="16">
        <v>6</v>
      </c>
      <c r="GY55" s="16">
        <v>2</v>
      </c>
      <c r="GZ55" s="16">
        <v>21</v>
      </c>
      <c r="HA55" s="16">
        <v>16</v>
      </c>
      <c r="HB55" s="16">
        <v>14</v>
      </c>
      <c r="HC55" s="16">
        <v>68</v>
      </c>
      <c r="HD55" s="16">
        <v>73</v>
      </c>
      <c r="HE55" s="16">
        <v>6</v>
      </c>
      <c r="HF55" s="16">
        <v>46</v>
      </c>
      <c r="HG55" s="16">
        <v>26</v>
      </c>
      <c r="HH55" s="16">
        <v>18</v>
      </c>
      <c r="HI55" s="16">
        <v>21</v>
      </c>
      <c r="HJ55" s="16">
        <v>22</v>
      </c>
      <c r="HK55" s="16">
        <v>14</v>
      </c>
      <c r="HL55" s="16">
        <v>74</v>
      </c>
      <c r="HM55" s="16">
        <v>36</v>
      </c>
      <c r="HN55" s="16">
        <v>53</v>
      </c>
      <c r="HO55" s="16">
        <v>49</v>
      </c>
      <c r="HP55" s="16">
        <v>38</v>
      </c>
      <c r="HQ55" s="16">
        <v>75</v>
      </c>
      <c r="HR55" s="16">
        <v>58</v>
      </c>
      <c r="HS55" s="16">
        <v>63</v>
      </c>
      <c r="HT55" s="16">
        <v>7</v>
      </c>
      <c r="HU55" s="16">
        <v>50</v>
      </c>
      <c r="HV55" s="16">
        <v>20</v>
      </c>
      <c r="HW55" s="16">
        <v>35</v>
      </c>
      <c r="HX55" s="16">
        <v>91</v>
      </c>
      <c r="HY55" s="16">
        <v>87</v>
      </c>
      <c r="HZ55" s="16">
        <v>192</v>
      </c>
      <c r="IA55" s="16">
        <v>53</v>
      </c>
      <c r="IB55" s="16">
        <v>6</v>
      </c>
      <c r="IC55" s="16">
        <v>10</v>
      </c>
      <c r="ID55" s="16">
        <v>21</v>
      </c>
      <c r="IE55" s="16">
        <v>2</v>
      </c>
      <c r="IF55" s="16">
        <v>21</v>
      </c>
      <c r="IG55" s="16">
        <v>231</v>
      </c>
      <c r="IH55" s="16">
        <v>44</v>
      </c>
      <c r="II55" s="16">
        <v>6</v>
      </c>
      <c r="IJ55" s="16">
        <v>3</v>
      </c>
      <c r="IK55" s="16">
        <v>30</v>
      </c>
      <c r="IL55" s="16">
        <v>3</v>
      </c>
      <c r="IM55" s="16">
        <v>2</v>
      </c>
      <c r="IN55" s="16">
        <v>7</v>
      </c>
      <c r="IO55" s="16">
        <v>91</v>
      </c>
      <c r="IP55" s="16">
        <v>4</v>
      </c>
      <c r="IQ55" s="16">
        <v>5</v>
      </c>
      <c r="IR55" s="16">
        <v>3</v>
      </c>
      <c r="IS55" s="16">
        <v>7</v>
      </c>
      <c r="IT55" s="16">
        <v>4</v>
      </c>
      <c r="IU55" s="16">
        <v>9</v>
      </c>
      <c r="IV55" s="16">
        <v>3</v>
      </c>
      <c r="IW55" s="16">
        <v>46</v>
      </c>
      <c r="IX55" s="16">
        <v>15</v>
      </c>
      <c r="IY55" s="16">
        <v>61</v>
      </c>
      <c r="IZ55" s="16">
        <v>1</v>
      </c>
      <c r="JA55" s="16">
        <v>13</v>
      </c>
      <c r="JB55" s="16">
        <v>3</v>
      </c>
      <c r="JC55" s="16">
        <v>6</v>
      </c>
      <c r="JD55" s="16">
        <v>11</v>
      </c>
      <c r="JE55" s="16">
        <v>33</v>
      </c>
      <c r="JF55" s="16">
        <v>18</v>
      </c>
      <c r="JG55" s="16">
        <v>701</v>
      </c>
      <c r="JH55" s="16">
        <v>11</v>
      </c>
      <c r="JI55" s="16">
        <v>5</v>
      </c>
      <c r="JJ55" s="16">
        <v>38</v>
      </c>
      <c r="JK55" s="16">
        <v>38</v>
      </c>
      <c r="JL55" s="16">
        <v>12</v>
      </c>
      <c r="JM55" s="16">
        <v>1</v>
      </c>
      <c r="JN55" s="16">
        <v>27</v>
      </c>
      <c r="JO55" s="16">
        <v>35</v>
      </c>
      <c r="JP55" s="16">
        <v>290</v>
      </c>
      <c r="JQ55" s="16">
        <v>97</v>
      </c>
      <c r="JR55" s="16">
        <v>3424</v>
      </c>
      <c r="JS55" s="16">
        <v>1721</v>
      </c>
      <c r="JT55" s="16">
        <v>1</v>
      </c>
      <c r="JU55" s="16">
        <v>0</v>
      </c>
      <c r="JV55" s="16">
        <v>1834</v>
      </c>
      <c r="JW55" s="16">
        <v>109</v>
      </c>
      <c r="JX55" s="16">
        <v>152</v>
      </c>
      <c r="JY55" s="16">
        <v>109</v>
      </c>
      <c r="JZ55" s="16">
        <v>102</v>
      </c>
      <c r="KA55" s="16">
        <v>4</v>
      </c>
      <c r="KB55" s="16">
        <v>3</v>
      </c>
      <c r="KC55" s="16">
        <v>26</v>
      </c>
      <c r="KD55" s="16">
        <v>36</v>
      </c>
      <c r="KE55" s="16">
        <v>7</v>
      </c>
      <c r="KF55" s="16">
        <v>47</v>
      </c>
      <c r="KG55" s="16">
        <v>49</v>
      </c>
      <c r="KH55" s="16">
        <v>3</v>
      </c>
      <c r="KI55" s="16">
        <v>14</v>
      </c>
      <c r="KJ55" s="16">
        <v>58</v>
      </c>
      <c r="KK55" s="16">
        <v>97908</v>
      </c>
      <c r="KL55" s="16">
        <v>6</v>
      </c>
      <c r="KM55" s="16">
        <v>64</v>
      </c>
      <c r="KN55" s="16">
        <v>17</v>
      </c>
      <c r="KO55" s="16">
        <v>38</v>
      </c>
      <c r="KP55" s="16">
        <v>4</v>
      </c>
      <c r="KQ55" s="16">
        <v>19</v>
      </c>
      <c r="KR55" s="16">
        <v>94</v>
      </c>
      <c r="KS55" s="16">
        <v>83</v>
      </c>
      <c r="KT55" s="16">
        <v>43</v>
      </c>
      <c r="KU55" s="16">
        <v>366</v>
      </c>
      <c r="KV55" s="16">
        <v>34</v>
      </c>
      <c r="KW55" s="16">
        <v>309</v>
      </c>
      <c r="KX55" s="16">
        <v>2</v>
      </c>
      <c r="KY55" s="16">
        <v>89</v>
      </c>
      <c r="KZ55" s="16">
        <v>560</v>
      </c>
      <c r="LA55" s="16">
        <v>94</v>
      </c>
      <c r="LB55" s="16">
        <v>116</v>
      </c>
      <c r="LC55" s="16">
        <v>34</v>
      </c>
      <c r="LD55" s="16">
        <v>435</v>
      </c>
      <c r="LE55" s="16">
        <v>253</v>
      </c>
      <c r="LF55" s="16">
        <v>254</v>
      </c>
      <c r="LG55" s="16">
        <v>21</v>
      </c>
      <c r="LH55" s="16">
        <v>629</v>
      </c>
      <c r="LI55" s="16">
        <v>1</v>
      </c>
      <c r="LJ55" s="16">
        <v>25</v>
      </c>
      <c r="LK55" s="16">
        <v>172</v>
      </c>
      <c r="LL55" s="16">
        <v>614</v>
      </c>
      <c r="LM55" s="16">
        <v>3372</v>
      </c>
      <c r="LN55" s="16">
        <v>3578</v>
      </c>
      <c r="LO55" s="16">
        <v>50</v>
      </c>
      <c r="LP55" s="16">
        <v>3369</v>
      </c>
      <c r="LQ55" s="16">
        <v>22</v>
      </c>
      <c r="LR55" s="16">
        <v>408</v>
      </c>
      <c r="LS55" s="16">
        <v>606</v>
      </c>
      <c r="LT55" s="16">
        <v>191</v>
      </c>
      <c r="LU55" s="16">
        <v>100</v>
      </c>
      <c r="LV55" s="16">
        <v>13</v>
      </c>
      <c r="LW55" s="16">
        <v>80</v>
      </c>
      <c r="LX55" s="16">
        <v>119</v>
      </c>
      <c r="LY55" s="16">
        <v>0</v>
      </c>
      <c r="LZ55" s="16">
        <v>114</v>
      </c>
      <c r="MA55" s="16">
        <v>86</v>
      </c>
      <c r="MB55" s="16">
        <v>340</v>
      </c>
      <c r="MC55" s="16">
        <v>1097</v>
      </c>
      <c r="MD55" s="16">
        <v>15</v>
      </c>
      <c r="ME55" s="16">
        <v>82</v>
      </c>
      <c r="MF55" s="16">
        <v>7226</v>
      </c>
      <c r="MG55" s="16">
        <v>2305</v>
      </c>
      <c r="MH55" s="16">
        <v>4940</v>
      </c>
      <c r="MI55" s="16">
        <v>125</v>
      </c>
      <c r="MJ55" s="16">
        <v>202</v>
      </c>
      <c r="MK55" s="16">
        <v>862</v>
      </c>
      <c r="ML55" s="16">
        <v>88</v>
      </c>
      <c r="MM55" s="16">
        <v>45116</v>
      </c>
      <c r="MN55" s="16">
        <v>313</v>
      </c>
      <c r="MO55" s="16">
        <v>81681</v>
      </c>
      <c r="MP55" s="16">
        <v>602</v>
      </c>
      <c r="MQ55" s="16">
        <v>2379</v>
      </c>
      <c r="MR55" s="16">
        <v>6214</v>
      </c>
      <c r="MS55" s="16">
        <v>28373</v>
      </c>
      <c r="MT55" s="16">
        <v>308</v>
      </c>
      <c r="MU55" s="16">
        <v>295</v>
      </c>
      <c r="MV55" s="16">
        <v>515</v>
      </c>
      <c r="MW55" s="16">
        <v>997</v>
      </c>
      <c r="MX55" s="16">
        <v>2798</v>
      </c>
      <c r="MY55" s="16">
        <v>82</v>
      </c>
      <c r="MZ55" s="16">
        <v>123594</v>
      </c>
      <c r="NA55" s="16">
        <v>1563</v>
      </c>
      <c r="NB55" s="16">
        <v>1469</v>
      </c>
      <c r="NC55" s="16">
        <v>16708</v>
      </c>
      <c r="ND55" s="16">
        <v>119</v>
      </c>
      <c r="NE55" s="16">
        <v>235586</v>
      </c>
      <c r="NF55" s="16">
        <v>150</v>
      </c>
      <c r="NG55" s="16">
        <v>665603</v>
      </c>
      <c r="NH55" s="16">
        <v>606747</v>
      </c>
      <c r="NI55" s="16">
        <v>1569</v>
      </c>
      <c r="NJ55" s="16">
        <v>7141</v>
      </c>
      <c r="NK55" s="16">
        <v>128</v>
      </c>
      <c r="NL55" s="16">
        <v>8</v>
      </c>
      <c r="NM55" s="16">
        <v>164</v>
      </c>
      <c r="NN55" s="16">
        <v>140</v>
      </c>
      <c r="NO55" s="16">
        <v>0</v>
      </c>
      <c r="NP55" s="16">
        <v>9998</v>
      </c>
      <c r="NQ55" s="16">
        <v>550</v>
      </c>
      <c r="NR55" s="17">
        <v>16610717</v>
      </c>
    </row>
    <row r="56" spans="1:382" ht="13.5" customHeight="1" x14ac:dyDescent="0.2">
      <c r="A56" s="2" t="s">
        <v>119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22620</v>
      </c>
      <c r="AV56" s="16">
        <v>0</v>
      </c>
      <c r="AW56" s="16">
        <v>46162</v>
      </c>
      <c r="AX56" s="16">
        <v>0</v>
      </c>
      <c r="AY56" s="16">
        <v>0</v>
      </c>
      <c r="AZ56" s="16">
        <v>0</v>
      </c>
      <c r="BA56" s="16">
        <v>204</v>
      </c>
      <c r="BB56" s="16">
        <v>35051</v>
      </c>
      <c r="BC56" s="16">
        <v>0</v>
      </c>
      <c r="BD56" s="16">
        <v>154991</v>
      </c>
      <c r="BE56" s="16">
        <v>643474</v>
      </c>
      <c r="BF56" s="16">
        <v>0</v>
      </c>
      <c r="BG56" s="16">
        <v>25501</v>
      </c>
      <c r="BH56" s="16">
        <v>0</v>
      </c>
      <c r="BI56" s="16">
        <v>137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0</v>
      </c>
      <c r="CL56" s="16">
        <v>0</v>
      </c>
      <c r="CM56" s="16">
        <v>0</v>
      </c>
      <c r="CN56" s="16">
        <v>0</v>
      </c>
      <c r="CO56" s="16">
        <v>0</v>
      </c>
      <c r="CP56" s="16">
        <v>0</v>
      </c>
      <c r="CQ56" s="16">
        <v>0</v>
      </c>
      <c r="CR56" s="16">
        <v>0</v>
      </c>
      <c r="CS56" s="16">
        <v>0</v>
      </c>
      <c r="CT56" s="16">
        <v>0</v>
      </c>
      <c r="CU56" s="16">
        <v>0</v>
      </c>
      <c r="CV56" s="16">
        <v>0</v>
      </c>
      <c r="CW56" s="16">
        <v>0</v>
      </c>
      <c r="CX56" s="16">
        <v>0</v>
      </c>
      <c r="CY56" s="16">
        <v>0</v>
      </c>
      <c r="CZ56" s="16">
        <v>0</v>
      </c>
      <c r="DA56" s="16">
        <v>0</v>
      </c>
      <c r="DB56" s="16">
        <v>0</v>
      </c>
      <c r="DC56" s="16">
        <v>0</v>
      </c>
      <c r="DD56" s="16">
        <v>0</v>
      </c>
      <c r="DE56" s="16">
        <v>0</v>
      </c>
      <c r="DF56" s="16">
        <v>0</v>
      </c>
      <c r="DG56" s="16">
        <v>0</v>
      </c>
      <c r="DH56" s="16">
        <v>0</v>
      </c>
      <c r="DI56" s="16">
        <v>0</v>
      </c>
      <c r="DJ56" s="16">
        <v>0</v>
      </c>
      <c r="DK56" s="16">
        <v>0</v>
      </c>
      <c r="DL56" s="16">
        <v>0</v>
      </c>
      <c r="DM56" s="16">
        <v>167</v>
      </c>
      <c r="DN56" s="16">
        <v>0</v>
      </c>
      <c r="DO56" s="16">
        <v>1</v>
      </c>
      <c r="DP56" s="16">
        <v>0</v>
      </c>
      <c r="DQ56" s="16">
        <v>0</v>
      </c>
      <c r="DR56" s="16">
        <v>0</v>
      </c>
      <c r="DS56" s="16">
        <v>0</v>
      </c>
      <c r="DT56" s="16">
        <v>0</v>
      </c>
      <c r="DU56" s="16">
        <v>0</v>
      </c>
      <c r="DV56" s="16">
        <v>0</v>
      </c>
      <c r="DW56" s="16">
        <v>0</v>
      </c>
      <c r="DX56" s="16">
        <v>0</v>
      </c>
      <c r="DY56" s="16">
        <v>0</v>
      </c>
      <c r="DZ56" s="16">
        <v>0</v>
      </c>
      <c r="EA56" s="16">
        <v>0</v>
      </c>
      <c r="EB56" s="16">
        <v>0</v>
      </c>
      <c r="EC56" s="16">
        <v>0</v>
      </c>
      <c r="ED56" s="16">
        <v>0</v>
      </c>
      <c r="EE56" s="16">
        <v>0</v>
      </c>
      <c r="EF56" s="16">
        <v>0</v>
      </c>
      <c r="EG56" s="16">
        <v>0</v>
      </c>
      <c r="EH56" s="16">
        <v>0</v>
      </c>
      <c r="EI56" s="16">
        <v>0</v>
      </c>
      <c r="EJ56" s="16">
        <v>0</v>
      </c>
      <c r="EK56" s="16">
        <v>0</v>
      </c>
      <c r="EL56" s="16">
        <v>0</v>
      </c>
      <c r="EM56" s="16">
        <v>0</v>
      </c>
      <c r="EN56" s="16">
        <v>0</v>
      </c>
      <c r="EO56" s="16">
        <v>0</v>
      </c>
      <c r="EP56" s="16">
        <v>0</v>
      </c>
      <c r="EQ56" s="16">
        <v>0</v>
      </c>
      <c r="ER56" s="16">
        <v>0</v>
      </c>
      <c r="ES56" s="16">
        <v>0</v>
      </c>
      <c r="ET56" s="16">
        <v>0</v>
      </c>
      <c r="EU56" s="16">
        <v>0</v>
      </c>
      <c r="EV56" s="16">
        <v>0</v>
      </c>
      <c r="EW56" s="16">
        <v>0</v>
      </c>
      <c r="EX56" s="16">
        <v>0</v>
      </c>
      <c r="EY56" s="16">
        <v>0</v>
      </c>
      <c r="EZ56" s="16">
        <v>0</v>
      </c>
      <c r="FA56" s="16">
        <v>0</v>
      </c>
      <c r="FB56" s="16">
        <v>0</v>
      </c>
      <c r="FC56" s="16">
        <v>0</v>
      </c>
      <c r="FD56" s="16">
        <v>0</v>
      </c>
      <c r="FE56" s="16">
        <v>0</v>
      </c>
      <c r="FF56" s="16">
        <v>0</v>
      </c>
      <c r="FG56" s="16">
        <v>0</v>
      </c>
      <c r="FH56" s="16">
        <v>0</v>
      </c>
      <c r="FI56" s="16">
        <v>0</v>
      </c>
      <c r="FJ56" s="16">
        <v>0</v>
      </c>
      <c r="FK56" s="16">
        <v>0</v>
      </c>
      <c r="FL56" s="16">
        <v>0</v>
      </c>
      <c r="FM56" s="16">
        <v>0</v>
      </c>
      <c r="FN56" s="16">
        <v>0</v>
      </c>
      <c r="FO56" s="16">
        <v>0</v>
      </c>
      <c r="FP56" s="16">
        <v>0</v>
      </c>
      <c r="FQ56" s="16">
        <v>0</v>
      </c>
      <c r="FR56" s="16">
        <v>0</v>
      </c>
      <c r="FS56" s="16">
        <v>0</v>
      </c>
      <c r="FT56" s="16">
        <v>0</v>
      </c>
      <c r="FU56" s="16">
        <v>0</v>
      </c>
      <c r="FV56" s="16">
        <v>0</v>
      </c>
      <c r="FW56" s="16">
        <v>0</v>
      </c>
      <c r="FX56" s="16">
        <v>0</v>
      </c>
      <c r="FY56" s="16">
        <v>0</v>
      </c>
      <c r="FZ56" s="16">
        <v>0</v>
      </c>
      <c r="GA56" s="16">
        <v>0</v>
      </c>
      <c r="GB56" s="16">
        <v>0</v>
      </c>
      <c r="GC56" s="16">
        <v>0</v>
      </c>
      <c r="GD56" s="16">
        <v>0</v>
      </c>
      <c r="GE56" s="16">
        <v>0</v>
      </c>
      <c r="GF56" s="16">
        <v>0</v>
      </c>
      <c r="GG56" s="16">
        <v>0</v>
      </c>
      <c r="GH56" s="16">
        <v>0</v>
      </c>
      <c r="GI56" s="16">
        <v>0</v>
      </c>
      <c r="GJ56" s="16">
        <v>0</v>
      </c>
      <c r="GK56" s="16">
        <v>0</v>
      </c>
      <c r="GL56" s="16">
        <v>0</v>
      </c>
      <c r="GM56" s="16">
        <v>0</v>
      </c>
      <c r="GN56" s="16">
        <v>0</v>
      </c>
      <c r="GO56" s="16">
        <v>0</v>
      </c>
      <c r="GP56" s="16">
        <v>0</v>
      </c>
      <c r="GQ56" s="16">
        <v>0</v>
      </c>
      <c r="GR56" s="16">
        <v>0</v>
      </c>
      <c r="GS56" s="16">
        <v>0</v>
      </c>
      <c r="GT56" s="16">
        <v>0</v>
      </c>
      <c r="GU56" s="16">
        <v>0</v>
      </c>
      <c r="GV56" s="16">
        <v>0</v>
      </c>
      <c r="GW56" s="16">
        <v>0</v>
      </c>
      <c r="GX56" s="16">
        <v>0</v>
      </c>
      <c r="GY56" s="16">
        <v>0</v>
      </c>
      <c r="GZ56" s="16">
        <v>0</v>
      </c>
      <c r="HA56" s="16">
        <v>0</v>
      </c>
      <c r="HB56" s="16">
        <v>0</v>
      </c>
      <c r="HC56" s="16">
        <v>0</v>
      </c>
      <c r="HD56" s="16">
        <v>0</v>
      </c>
      <c r="HE56" s="16">
        <v>0</v>
      </c>
      <c r="HF56" s="16">
        <v>0</v>
      </c>
      <c r="HG56" s="16">
        <v>0</v>
      </c>
      <c r="HH56" s="16">
        <v>0</v>
      </c>
      <c r="HI56" s="16">
        <v>0</v>
      </c>
      <c r="HJ56" s="16">
        <v>0</v>
      </c>
      <c r="HK56" s="16">
        <v>0</v>
      </c>
      <c r="HL56" s="16">
        <v>0</v>
      </c>
      <c r="HM56" s="16">
        <v>0</v>
      </c>
      <c r="HN56" s="16">
        <v>0</v>
      </c>
      <c r="HO56" s="16">
        <v>0</v>
      </c>
      <c r="HP56" s="16">
        <v>0</v>
      </c>
      <c r="HQ56" s="16">
        <v>0</v>
      </c>
      <c r="HR56" s="16">
        <v>0</v>
      </c>
      <c r="HS56" s="16">
        <v>0</v>
      </c>
      <c r="HT56" s="16">
        <v>0</v>
      </c>
      <c r="HU56" s="16">
        <v>0</v>
      </c>
      <c r="HV56" s="16">
        <v>0</v>
      </c>
      <c r="HW56" s="16">
        <v>0</v>
      </c>
      <c r="HX56" s="16">
        <v>0</v>
      </c>
      <c r="HY56" s="16">
        <v>0</v>
      </c>
      <c r="HZ56" s="16">
        <v>0</v>
      </c>
      <c r="IA56" s="16">
        <v>0</v>
      </c>
      <c r="IB56" s="16">
        <v>0</v>
      </c>
      <c r="IC56" s="16">
        <v>0</v>
      </c>
      <c r="ID56" s="16">
        <v>0</v>
      </c>
      <c r="IE56" s="16">
        <v>0</v>
      </c>
      <c r="IF56" s="16">
        <v>0</v>
      </c>
      <c r="IG56" s="16">
        <v>0</v>
      </c>
      <c r="IH56" s="16">
        <v>0</v>
      </c>
      <c r="II56" s="16">
        <v>0</v>
      </c>
      <c r="IJ56" s="16">
        <v>0</v>
      </c>
      <c r="IK56" s="16">
        <v>0</v>
      </c>
      <c r="IL56" s="16">
        <v>0</v>
      </c>
      <c r="IM56" s="16">
        <v>0</v>
      </c>
      <c r="IN56" s="16">
        <v>0</v>
      </c>
      <c r="IO56" s="16">
        <v>0</v>
      </c>
      <c r="IP56" s="16">
        <v>0</v>
      </c>
      <c r="IQ56" s="16">
        <v>0</v>
      </c>
      <c r="IR56" s="16">
        <v>0</v>
      </c>
      <c r="IS56" s="16">
        <v>0</v>
      </c>
      <c r="IT56" s="16">
        <v>0</v>
      </c>
      <c r="IU56" s="16">
        <v>0</v>
      </c>
      <c r="IV56" s="16">
        <v>0</v>
      </c>
      <c r="IW56" s="16">
        <v>0</v>
      </c>
      <c r="IX56" s="16">
        <v>0</v>
      </c>
      <c r="IY56" s="16">
        <v>0</v>
      </c>
      <c r="IZ56" s="16">
        <v>0</v>
      </c>
      <c r="JA56" s="16">
        <v>0</v>
      </c>
      <c r="JB56" s="16">
        <v>0</v>
      </c>
      <c r="JC56" s="16">
        <v>0</v>
      </c>
      <c r="JD56" s="16">
        <v>0</v>
      </c>
      <c r="JE56" s="16">
        <v>0</v>
      </c>
      <c r="JF56" s="16">
        <v>0</v>
      </c>
      <c r="JG56" s="16">
        <v>1544</v>
      </c>
      <c r="JH56" s="16">
        <v>0</v>
      </c>
      <c r="JI56" s="16">
        <v>0</v>
      </c>
      <c r="JJ56" s="16">
        <v>0</v>
      </c>
      <c r="JK56" s="16">
        <v>0</v>
      </c>
      <c r="JL56" s="16">
        <v>0</v>
      </c>
      <c r="JM56" s="16">
        <v>0</v>
      </c>
      <c r="JN56" s="16">
        <v>0</v>
      </c>
      <c r="JO56" s="16">
        <v>0</v>
      </c>
      <c r="JP56" s="16">
        <v>0</v>
      </c>
      <c r="JQ56" s="16">
        <v>0</v>
      </c>
      <c r="JR56" s="16">
        <v>0</v>
      </c>
      <c r="JS56" s="16">
        <v>0</v>
      </c>
      <c r="JT56" s="16">
        <v>0</v>
      </c>
      <c r="JU56" s="16">
        <v>0</v>
      </c>
      <c r="JV56" s="16">
        <v>0</v>
      </c>
      <c r="JW56" s="16">
        <v>0</v>
      </c>
      <c r="JX56" s="16">
        <v>0</v>
      </c>
      <c r="JY56" s="16">
        <v>0</v>
      </c>
      <c r="JZ56" s="16">
        <v>0</v>
      </c>
      <c r="KA56" s="16">
        <v>0</v>
      </c>
      <c r="KB56" s="16">
        <v>0</v>
      </c>
      <c r="KC56" s="16">
        <v>0</v>
      </c>
      <c r="KD56" s="16">
        <v>0</v>
      </c>
      <c r="KE56" s="16">
        <v>0</v>
      </c>
      <c r="KF56" s="16">
        <v>0</v>
      </c>
      <c r="KG56" s="16">
        <v>0</v>
      </c>
      <c r="KH56" s="16">
        <v>0</v>
      </c>
      <c r="KI56" s="16">
        <v>0</v>
      </c>
      <c r="KJ56" s="16">
        <v>0</v>
      </c>
      <c r="KK56" s="16">
        <v>0</v>
      </c>
      <c r="KL56" s="16">
        <v>0</v>
      </c>
      <c r="KM56" s="16">
        <v>0</v>
      </c>
      <c r="KN56" s="16">
        <v>0</v>
      </c>
      <c r="KO56" s="16">
        <v>0</v>
      </c>
      <c r="KP56" s="16">
        <v>0</v>
      </c>
      <c r="KQ56" s="16">
        <v>0</v>
      </c>
      <c r="KR56" s="16">
        <v>0</v>
      </c>
      <c r="KS56" s="16">
        <v>0</v>
      </c>
      <c r="KT56" s="16">
        <v>0</v>
      </c>
      <c r="KU56" s="16">
        <v>0</v>
      </c>
      <c r="KV56" s="16">
        <v>0</v>
      </c>
      <c r="KW56" s="16">
        <v>0</v>
      </c>
      <c r="KX56" s="16">
        <v>0</v>
      </c>
      <c r="KY56" s="16">
        <v>0</v>
      </c>
      <c r="KZ56" s="16">
        <v>0</v>
      </c>
      <c r="LA56" s="16">
        <v>0</v>
      </c>
      <c r="LB56" s="16">
        <v>0</v>
      </c>
      <c r="LC56" s="16">
        <v>0</v>
      </c>
      <c r="LD56" s="16">
        <v>0</v>
      </c>
      <c r="LE56" s="16">
        <v>0</v>
      </c>
      <c r="LF56" s="16">
        <v>0</v>
      </c>
      <c r="LG56" s="16">
        <v>0</v>
      </c>
      <c r="LH56" s="16">
        <v>0</v>
      </c>
      <c r="LI56" s="16">
        <v>0</v>
      </c>
      <c r="LJ56" s="16">
        <v>0</v>
      </c>
      <c r="LK56" s="16">
        <v>0</v>
      </c>
      <c r="LL56" s="16">
        <v>0</v>
      </c>
      <c r="LM56" s="16">
        <v>0</v>
      </c>
      <c r="LN56" s="16">
        <v>0</v>
      </c>
      <c r="LO56" s="16">
        <v>0</v>
      </c>
      <c r="LP56" s="16">
        <v>0</v>
      </c>
      <c r="LQ56" s="16">
        <v>0</v>
      </c>
      <c r="LR56" s="16">
        <v>0</v>
      </c>
      <c r="LS56" s="16">
        <v>0</v>
      </c>
      <c r="LT56" s="16">
        <v>0</v>
      </c>
      <c r="LU56" s="16">
        <v>0</v>
      </c>
      <c r="LV56" s="16">
        <v>0</v>
      </c>
      <c r="LW56" s="16">
        <v>0</v>
      </c>
      <c r="LX56" s="16">
        <v>0</v>
      </c>
      <c r="LY56" s="16">
        <v>0</v>
      </c>
      <c r="LZ56" s="16">
        <v>0</v>
      </c>
      <c r="MA56" s="16">
        <v>0</v>
      </c>
      <c r="MB56" s="16">
        <v>0</v>
      </c>
      <c r="MC56" s="16">
        <v>0</v>
      </c>
      <c r="MD56" s="16">
        <v>0</v>
      </c>
      <c r="ME56" s="16">
        <v>0</v>
      </c>
      <c r="MF56" s="16">
        <v>4730</v>
      </c>
      <c r="MG56" s="16">
        <v>0</v>
      </c>
      <c r="MH56" s="16">
        <v>0</v>
      </c>
      <c r="MI56" s="16">
        <v>0</v>
      </c>
      <c r="MJ56" s="16">
        <v>0</v>
      </c>
      <c r="MK56" s="16">
        <v>0</v>
      </c>
      <c r="ML56" s="16">
        <v>0</v>
      </c>
      <c r="MM56" s="16">
        <v>0</v>
      </c>
      <c r="MN56" s="16">
        <v>0</v>
      </c>
      <c r="MO56" s="16">
        <v>0</v>
      </c>
      <c r="MP56" s="16">
        <v>0</v>
      </c>
      <c r="MQ56" s="16">
        <v>0</v>
      </c>
      <c r="MR56" s="16">
        <v>0</v>
      </c>
      <c r="MS56" s="16">
        <v>0</v>
      </c>
      <c r="MT56" s="16">
        <v>0</v>
      </c>
      <c r="MU56" s="16">
        <v>0</v>
      </c>
      <c r="MV56" s="16">
        <v>0</v>
      </c>
      <c r="MW56" s="16">
        <v>0</v>
      </c>
      <c r="MX56" s="16">
        <v>0</v>
      </c>
      <c r="MY56" s="16">
        <v>0</v>
      </c>
      <c r="MZ56" s="16">
        <v>0</v>
      </c>
      <c r="NA56" s="16">
        <v>0</v>
      </c>
      <c r="NB56" s="16">
        <v>0</v>
      </c>
      <c r="NC56" s="16">
        <v>0</v>
      </c>
      <c r="ND56" s="16">
        <v>0</v>
      </c>
      <c r="NE56" s="16">
        <v>0</v>
      </c>
      <c r="NF56" s="16">
        <v>0</v>
      </c>
      <c r="NG56" s="16">
        <v>0</v>
      </c>
      <c r="NH56" s="16">
        <v>0</v>
      </c>
      <c r="NI56" s="16">
        <v>0</v>
      </c>
      <c r="NJ56" s="16">
        <v>0</v>
      </c>
      <c r="NK56" s="16">
        <v>0</v>
      </c>
      <c r="NL56" s="16">
        <v>0</v>
      </c>
      <c r="NM56" s="16">
        <v>0</v>
      </c>
      <c r="NN56" s="16">
        <v>0</v>
      </c>
      <c r="NO56" s="16">
        <v>0</v>
      </c>
      <c r="NP56" s="16">
        <v>0</v>
      </c>
      <c r="NQ56" s="16">
        <v>0</v>
      </c>
      <c r="NR56" s="17">
        <v>934582</v>
      </c>
    </row>
    <row r="57" spans="1:382" ht="13.5" customHeight="1" x14ac:dyDescent="0.2">
      <c r="A57" s="2" t="s">
        <v>121</v>
      </c>
      <c r="B57" s="16">
        <v>0</v>
      </c>
      <c r="C57" s="16">
        <v>0</v>
      </c>
      <c r="D57" s="16">
        <v>0</v>
      </c>
      <c r="E57" s="16">
        <v>2</v>
      </c>
      <c r="F57" s="16">
        <v>10</v>
      </c>
      <c r="G57" s="16">
        <v>3</v>
      </c>
      <c r="H57" s="16">
        <v>0</v>
      </c>
      <c r="I57" s="16">
        <v>2</v>
      </c>
      <c r="J57" s="16">
        <v>0</v>
      </c>
      <c r="K57" s="16">
        <v>0</v>
      </c>
      <c r="L57" s="16">
        <v>2</v>
      </c>
      <c r="M57" s="16">
        <v>0</v>
      </c>
      <c r="N57" s="16">
        <v>0</v>
      </c>
      <c r="O57" s="16">
        <v>2</v>
      </c>
      <c r="P57" s="16">
        <v>8</v>
      </c>
      <c r="Q57" s="16">
        <v>8</v>
      </c>
      <c r="R57" s="16">
        <v>3</v>
      </c>
      <c r="S57" s="16">
        <v>2</v>
      </c>
      <c r="T57" s="16">
        <v>2</v>
      </c>
      <c r="U57" s="16">
        <v>0</v>
      </c>
      <c r="V57" s="16">
        <v>2</v>
      </c>
      <c r="W57" s="16">
        <v>0</v>
      </c>
      <c r="X57" s="16">
        <v>6</v>
      </c>
      <c r="Y57" s="16">
        <v>11</v>
      </c>
      <c r="Z57" s="16">
        <v>10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19</v>
      </c>
      <c r="AH57" s="16">
        <v>10</v>
      </c>
      <c r="AI57" s="16">
        <v>2</v>
      </c>
      <c r="AJ57" s="16">
        <v>36</v>
      </c>
      <c r="AK57" s="16">
        <v>2</v>
      </c>
      <c r="AL57" s="16">
        <v>6</v>
      </c>
      <c r="AM57" s="16">
        <v>6</v>
      </c>
      <c r="AN57" s="16">
        <v>2</v>
      </c>
      <c r="AO57" s="16">
        <v>2</v>
      </c>
      <c r="AP57" s="16">
        <v>2</v>
      </c>
      <c r="AQ57" s="16">
        <v>2</v>
      </c>
      <c r="AR57" s="16">
        <v>0</v>
      </c>
      <c r="AS57" s="16">
        <v>3</v>
      </c>
      <c r="AT57" s="16">
        <v>2</v>
      </c>
      <c r="AU57" s="16">
        <v>6</v>
      </c>
      <c r="AV57" s="16">
        <v>10</v>
      </c>
      <c r="AW57" s="16">
        <v>3</v>
      </c>
      <c r="AX57" s="16">
        <v>3</v>
      </c>
      <c r="AY57" s="16">
        <v>7</v>
      </c>
      <c r="AZ57" s="16">
        <v>2</v>
      </c>
      <c r="BA57" s="16">
        <v>2</v>
      </c>
      <c r="BB57" s="16">
        <v>343</v>
      </c>
      <c r="BC57" s="16">
        <v>2</v>
      </c>
      <c r="BD57" s="16">
        <v>0</v>
      </c>
      <c r="BE57" s="16">
        <v>363</v>
      </c>
      <c r="BF57" s="16">
        <v>8</v>
      </c>
      <c r="BG57" s="16">
        <v>2</v>
      </c>
      <c r="BH57" s="16">
        <v>3</v>
      </c>
      <c r="BI57" s="16">
        <v>3</v>
      </c>
      <c r="BJ57" s="16">
        <v>3</v>
      </c>
      <c r="BK57" s="16">
        <v>2</v>
      </c>
      <c r="BL57" s="16">
        <v>6</v>
      </c>
      <c r="BM57" s="16">
        <v>3</v>
      </c>
      <c r="BN57" s="16">
        <v>3</v>
      </c>
      <c r="BO57" s="16">
        <v>3</v>
      </c>
      <c r="BP57" s="16">
        <v>2</v>
      </c>
      <c r="BQ57" s="16">
        <v>2</v>
      </c>
      <c r="BR57" s="16">
        <v>16</v>
      </c>
      <c r="BS57" s="16">
        <v>6</v>
      </c>
      <c r="BT57" s="16">
        <v>2</v>
      </c>
      <c r="BU57" s="16">
        <v>0</v>
      </c>
      <c r="BV57" s="16">
        <v>0</v>
      </c>
      <c r="BW57" s="16">
        <v>2</v>
      </c>
      <c r="BX57" s="16">
        <v>2</v>
      </c>
      <c r="BY57" s="16">
        <v>0</v>
      </c>
      <c r="BZ57" s="16">
        <v>2</v>
      </c>
      <c r="CA57" s="16">
        <v>3</v>
      </c>
      <c r="CB57" s="16">
        <v>0</v>
      </c>
      <c r="CC57" s="16">
        <v>6</v>
      </c>
      <c r="CD57" s="16">
        <v>2</v>
      </c>
      <c r="CE57" s="16">
        <v>2</v>
      </c>
      <c r="CF57" s="16">
        <v>2</v>
      </c>
      <c r="CG57" s="16">
        <v>6</v>
      </c>
      <c r="CH57" s="16">
        <v>3</v>
      </c>
      <c r="CI57" s="16">
        <v>0</v>
      </c>
      <c r="CJ57" s="16">
        <v>2</v>
      </c>
      <c r="CK57" s="16">
        <v>3</v>
      </c>
      <c r="CL57" s="16">
        <v>3</v>
      </c>
      <c r="CM57" s="16">
        <v>3</v>
      </c>
      <c r="CN57" s="16">
        <v>2</v>
      </c>
      <c r="CO57" s="16">
        <v>2</v>
      </c>
      <c r="CP57" s="16">
        <v>6</v>
      </c>
      <c r="CQ57" s="16">
        <v>24</v>
      </c>
      <c r="CR57" s="16">
        <v>2</v>
      </c>
      <c r="CS57" s="16">
        <v>2</v>
      </c>
      <c r="CT57" s="16">
        <v>2</v>
      </c>
      <c r="CU57" s="16">
        <v>2</v>
      </c>
      <c r="CV57" s="16">
        <v>3</v>
      </c>
      <c r="CW57" s="16">
        <v>10</v>
      </c>
      <c r="CX57" s="16">
        <v>11</v>
      </c>
      <c r="CY57" s="16">
        <v>2</v>
      </c>
      <c r="CZ57" s="16">
        <v>2</v>
      </c>
      <c r="DA57" s="16">
        <v>2</v>
      </c>
      <c r="DB57" s="16">
        <v>2</v>
      </c>
      <c r="DC57" s="16">
        <v>2</v>
      </c>
      <c r="DD57" s="16">
        <v>3</v>
      </c>
      <c r="DE57" s="16">
        <v>2</v>
      </c>
      <c r="DF57" s="16">
        <v>2</v>
      </c>
      <c r="DG57" s="16">
        <v>2</v>
      </c>
      <c r="DH57" s="16">
        <v>3</v>
      </c>
      <c r="DI57" s="16">
        <v>2</v>
      </c>
      <c r="DJ57" s="16">
        <v>29</v>
      </c>
      <c r="DK57" s="16">
        <v>2</v>
      </c>
      <c r="DL57" s="16">
        <v>3</v>
      </c>
      <c r="DM57" s="16">
        <v>26</v>
      </c>
      <c r="DN57" s="16">
        <v>2</v>
      </c>
      <c r="DO57" s="16">
        <v>2</v>
      </c>
      <c r="DP57" s="16">
        <v>3</v>
      </c>
      <c r="DQ57" s="16">
        <v>2</v>
      </c>
      <c r="DR57" s="16">
        <v>2</v>
      </c>
      <c r="DS57" s="16">
        <v>8</v>
      </c>
      <c r="DT57" s="16">
        <v>2</v>
      </c>
      <c r="DU57" s="16">
        <v>2</v>
      </c>
      <c r="DV57" s="16">
        <v>2</v>
      </c>
      <c r="DW57" s="16">
        <v>6</v>
      </c>
      <c r="DX57" s="16">
        <v>13</v>
      </c>
      <c r="DY57" s="16">
        <v>3</v>
      </c>
      <c r="DZ57" s="16">
        <v>15</v>
      </c>
      <c r="EA57" s="16">
        <v>2</v>
      </c>
      <c r="EB57" s="16">
        <v>16</v>
      </c>
      <c r="EC57" s="16">
        <v>3</v>
      </c>
      <c r="ED57" s="16">
        <v>2</v>
      </c>
      <c r="EE57" s="16">
        <v>2</v>
      </c>
      <c r="EF57" s="16">
        <v>0</v>
      </c>
      <c r="EG57" s="16">
        <v>2</v>
      </c>
      <c r="EH57" s="16">
        <v>0</v>
      </c>
      <c r="EI57" s="16">
        <v>19</v>
      </c>
      <c r="EJ57" s="16">
        <v>2</v>
      </c>
      <c r="EK57" s="16">
        <v>2</v>
      </c>
      <c r="EL57" s="16">
        <v>2</v>
      </c>
      <c r="EM57" s="16">
        <v>2</v>
      </c>
      <c r="EN57" s="16">
        <v>8</v>
      </c>
      <c r="EO57" s="16">
        <v>3</v>
      </c>
      <c r="EP57" s="16">
        <v>2</v>
      </c>
      <c r="EQ57" s="16">
        <v>3</v>
      </c>
      <c r="ER57" s="16">
        <v>2</v>
      </c>
      <c r="ES57" s="16">
        <v>2</v>
      </c>
      <c r="ET57" s="16">
        <v>3</v>
      </c>
      <c r="EU57" s="16">
        <v>6</v>
      </c>
      <c r="EV57" s="16">
        <v>2</v>
      </c>
      <c r="EW57" s="16">
        <v>35</v>
      </c>
      <c r="EX57" s="16">
        <v>16</v>
      </c>
      <c r="EY57" s="16">
        <v>2</v>
      </c>
      <c r="EZ57" s="16">
        <v>3</v>
      </c>
      <c r="FA57" s="16">
        <v>2</v>
      </c>
      <c r="FB57" s="16">
        <v>2</v>
      </c>
      <c r="FC57" s="16">
        <v>3</v>
      </c>
      <c r="FD57" s="16">
        <v>2</v>
      </c>
      <c r="FE57" s="16">
        <v>2</v>
      </c>
      <c r="FF57" s="16">
        <v>2</v>
      </c>
      <c r="FG57" s="16">
        <v>2</v>
      </c>
      <c r="FH57" s="16">
        <v>0</v>
      </c>
      <c r="FI57" s="16">
        <v>2</v>
      </c>
      <c r="FJ57" s="16">
        <v>0</v>
      </c>
      <c r="FK57" s="16">
        <v>2</v>
      </c>
      <c r="FL57" s="16">
        <v>2</v>
      </c>
      <c r="FM57" s="16">
        <v>2</v>
      </c>
      <c r="FN57" s="16">
        <v>6</v>
      </c>
      <c r="FO57" s="16">
        <v>2</v>
      </c>
      <c r="FP57" s="16">
        <v>2</v>
      </c>
      <c r="FQ57" s="16">
        <v>3</v>
      </c>
      <c r="FR57" s="16">
        <v>14</v>
      </c>
      <c r="FS57" s="16">
        <v>2</v>
      </c>
      <c r="FT57" s="16">
        <v>3</v>
      </c>
      <c r="FU57" s="16">
        <v>7</v>
      </c>
      <c r="FV57" s="16">
        <v>3</v>
      </c>
      <c r="FW57" s="16">
        <v>8</v>
      </c>
      <c r="FX57" s="16">
        <v>16</v>
      </c>
      <c r="FY57" s="16">
        <v>2</v>
      </c>
      <c r="FZ57" s="16">
        <v>3</v>
      </c>
      <c r="GA57" s="16">
        <v>0</v>
      </c>
      <c r="GB57" s="16">
        <v>74</v>
      </c>
      <c r="GC57" s="16">
        <v>2</v>
      </c>
      <c r="GD57" s="16">
        <v>16</v>
      </c>
      <c r="GE57" s="16">
        <v>3</v>
      </c>
      <c r="GF57" s="16">
        <v>16</v>
      </c>
      <c r="GG57" s="16">
        <v>2</v>
      </c>
      <c r="GH57" s="16">
        <v>29</v>
      </c>
      <c r="GI57" s="16">
        <v>22</v>
      </c>
      <c r="GJ57" s="16">
        <v>2</v>
      </c>
      <c r="GK57" s="16">
        <v>11</v>
      </c>
      <c r="GL57" s="16">
        <v>2</v>
      </c>
      <c r="GM57" s="16">
        <v>67</v>
      </c>
      <c r="GN57" s="16">
        <v>3</v>
      </c>
      <c r="GO57" s="16">
        <v>16</v>
      </c>
      <c r="GP57" s="16">
        <v>44</v>
      </c>
      <c r="GQ57" s="16">
        <v>1</v>
      </c>
      <c r="GR57" s="16">
        <v>1</v>
      </c>
      <c r="GS57" s="16">
        <v>17</v>
      </c>
      <c r="GT57" s="16">
        <v>2</v>
      </c>
      <c r="GU57" s="16">
        <v>2</v>
      </c>
      <c r="GV57" s="16">
        <v>2</v>
      </c>
      <c r="GW57" s="16">
        <v>2</v>
      </c>
      <c r="GX57" s="16">
        <v>9</v>
      </c>
      <c r="GY57" s="16">
        <v>2</v>
      </c>
      <c r="GZ57" s="16">
        <v>2</v>
      </c>
      <c r="HA57" s="16">
        <v>8</v>
      </c>
      <c r="HB57" s="16">
        <v>2</v>
      </c>
      <c r="HC57" s="16">
        <v>6</v>
      </c>
      <c r="HD57" s="16">
        <v>3</v>
      </c>
      <c r="HE57" s="16">
        <v>19</v>
      </c>
      <c r="HF57" s="16">
        <v>3</v>
      </c>
      <c r="HG57" s="16">
        <v>2</v>
      </c>
      <c r="HH57" s="16">
        <v>2</v>
      </c>
      <c r="HI57" s="16">
        <v>2</v>
      </c>
      <c r="HJ57" s="16">
        <v>2</v>
      </c>
      <c r="HK57" s="16">
        <v>11</v>
      </c>
      <c r="HL57" s="16">
        <v>3</v>
      </c>
      <c r="HM57" s="16">
        <v>2</v>
      </c>
      <c r="HN57" s="16">
        <v>3</v>
      </c>
      <c r="HO57" s="16">
        <v>3</v>
      </c>
      <c r="HP57" s="16">
        <v>2</v>
      </c>
      <c r="HQ57" s="16">
        <v>6</v>
      </c>
      <c r="HR57" s="16">
        <v>3</v>
      </c>
      <c r="HS57" s="16">
        <v>3</v>
      </c>
      <c r="HT57" s="16">
        <v>6</v>
      </c>
      <c r="HU57" s="16">
        <v>3</v>
      </c>
      <c r="HV57" s="16">
        <v>2</v>
      </c>
      <c r="HW57" s="16">
        <v>2</v>
      </c>
      <c r="HX57" s="16">
        <v>8</v>
      </c>
      <c r="HY57" s="16">
        <v>6</v>
      </c>
      <c r="HZ57" s="16">
        <v>14</v>
      </c>
      <c r="IA57" s="16">
        <v>3</v>
      </c>
      <c r="IB57" s="16">
        <v>2</v>
      </c>
      <c r="IC57" s="16">
        <v>3</v>
      </c>
      <c r="ID57" s="16">
        <v>2</v>
      </c>
      <c r="IE57" s="16">
        <v>2</v>
      </c>
      <c r="IF57" s="16">
        <v>2</v>
      </c>
      <c r="IG57" s="16">
        <v>16</v>
      </c>
      <c r="IH57" s="16">
        <v>2</v>
      </c>
      <c r="II57" s="16">
        <v>0</v>
      </c>
      <c r="IJ57" s="16">
        <v>2</v>
      </c>
      <c r="IK57" s="16">
        <v>2</v>
      </c>
      <c r="IL57" s="16">
        <v>2</v>
      </c>
      <c r="IM57" s="16">
        <v>0</v>
      </c>
      <c r="IN57" s="16">
        <v>10</v>
      </c>
      <c r="IO57" s="16">
        <v>6</v>
      </c>
      <c r="IP57" s="16">
        <v>19</v>
      </c>
      <c r="IQ57" s="16">
        <v>2</v>
      </c>
      <c r="IR57" s="16">
        <v>8</v>
      </c>
      <c r="IS57" s="16">
        <v>6</v>
      </c>
      <c r="IT57" s="16">
        <v>3</v>
      </c>
      <c r="IU57" s="16">
        <v>2</v>
      </c>
      <c r="IV57" s="16">
        <v>0</v>
      </c>
      <c r="IW57" s="16">
        <v>3</v>
      </c>
      <c r="IX57" s="16">
        <v>8</v>
      </c>
      <c r="IY57" s="16">
        <v>3</v>
      </c>
      <c r="IZ57" s="16">
        <v>0</v>
      </c>
      <c r="JA57" s="16">
        <v>2</v>
      </c>
      <c r="JB57" s="16">
        <v>3</v>
      </c>
      <c r="JC57" s="16">
        <v>2</v>
      </c>
      <c r="JD57" s="16">
        <v>2</v>
      </c>
      <c r="JE57" s="16">
        <v>2</v>
      </c>
      <c r="JF57" s="16">
        <v>2</v>
      </c>
      <c r="JG57" s="16">
        <v>2322</v>
      </c>
      <c r="JH57" s="16">
        <v>2</v>
      </c>
      <c r="JI57" s="16">
        <v>8</v>
      </c>
      <c r="JJ57" s="16">
        <v>2</v>
      </c>
      <c r="JK57" s="16">
        <v>2</v>
      </c>
      <c r="JL57" s="16">
        <v>3</v>
      </c>
      <c r="JM57" s="16">
        <v>0</v>
      </c>
      <c r="JN57" s="16">
        <v>8</v>
      </c>
      <c r="JO57" s="16">
        <v>2</v>
      </c>
      <c r="JP57" s="16">
        <v>24</v>
      </c>
      <c r="JQ57" s="16">
        <v>6</v>
      </c>
      <c r="JR57" s="16">
        <v>236</v>
      </c>
      <c r="JS57" s="16">
        <v>121</v>
      </c>
      <c r="JT57" s="16">
        <v>0</v>
      </c>
      <c r="JU57" s="16">
        <v>0</v>
      </c>
      <c r="JV57" s="16">
        <v>6</v>
      </c>
      <c r="JW57" s="16">
        <v>8</v>
      </c>
      <c r="JX57" s="16">
        <v>10</v>
      </c>
      <c r="JY57" s="16">
        <v>8</v>
      </c>
      <c r="JZ57" s="16">
        <v>8</v>
      </c>
      <c r="KA57" s="16">
        <v>3</v>
      </c>
      <c r="KB57" s="16">
        <v>6</v>
      </c>
      <c r="KC57" s="16">
        <v>2</v>
      </c>
      <c r="KD57" s="16">
        <v>3</v>
      </c>
      <c r="KE57" s="16">
        <v>6</v>
      </c>
      <c r="KF57" s="16">
        <v>3</v>
      </c>
      <c r="KG57" s="16">
        <v>3</v>
      </c>
      <c r="KH57" s="16">
        <v>6</v>
      </c>
      <c r="KI57" s="16">
        <v>2</v>
      </c>
      <c r="KJ57" s="16">
        <v>3</v>
      </c>
      <c r="KK57" s="16">
        <v>21287</v>
      </c>
      <c r="KL57" s="16">
        <v>14</v>
      </c>
      <c r="KM57" s="16">
        <v>3</v>
      </c>
      <c r="KN57" s="16">
        <v>2</v>
      </c>
      <c r="KO57" s="16">
        <v>2</v>
      </c>
      <c r="KP57" s="16">
        <v>2</v>
      </c>
      <c r="KQ57" s="16">
        <v>1</v>
      </c>
      <c r="KR57" s="16">
        <v>6</v>
      </c>
      <c r="KS57" s="16">
        <v>6</v>
      </c>
      <c r="KT57" s="16">
        <v>2</v>
      </c>
      <c r="KU57" s="16">
        <v>24</v>
      </c>
      <c r="KV57" s="16">
        <v>2</v>
      </c>
      <c r="KW57" s="16">
        <v>21</v>
      </c>
      <c r="KX57" s="16">
        <v>1</v>
      </c>
      <c r="KY57" s="16">
        <v>6</v>
      </c>
      <c r="KZ57" s="16">
        <v>1426860</v>
      </c>
      <c r="LA57" s="16">
        <v>323432</v>
      </c>
      <c r="LB57" s="16">
        <v>808620</v>
      </c>
      <c r="LC57" s="16">
        <v>2</v>
      </c>
      <c r="LD57" s="16">
        <v>30</v>
      </c>
      <c r="LE57" s="16">
        <v>17</v>
      </c>
      <c r="LF57" s="16">
        <v>2</v>
      </c>
      <c r="LG57" s="16">
        <v>2</v>
      </c>
      <c r="LH57" s="16">
        <v>41</v>
      </c>
      <c r="LI57" s="16">
        <v>11</v>
      </c>
      <c r="LJ57" s="16">
        <v>2</v>
      </c>
      <c r="LK57" s="16">
        <v>11</v>
      </c>
      <c r="LL57" s="16">
        <v>39</v>
      </c>
      <c r="LM57" s="16">
        <v>139</v>
      </c>
      <c r="LN57" s="16">
        <v>29</v>
      </c>
      <c r="LO57" s="16">
        <v>3</v>
      </c>
      <c r="LP57" s="16">
        <v>8</v>
      </c>
      <c r="LQ57" s="16">
        <v>2</v>
      </c>
      <c r="LR57" s="16">
        <v>198</v>
      </c>
      <c r="LS57" s="16">
        <v>54</v>
      </c>
      <c r="LT57" s="16">
        <v>167</v>
      </c>
      <c r="LU57" s="16">
        <v>65</v>
      </c>
      <c r="LV57" s="16">
        <v>2</v>
      </c>
      <c r="LW57" s="16">
        <v>57</v>
      </c>
      <c r="LX57" s="16">
        <v>122</v>
      </c>
      <c r="LY57" s="16">
        <v>0</v>
      </c>
      <c r="LZ57" s="16">
        <v>8</v>
      </c>
      <c r="MA57" s="16">
        <v>8</v>
      </c>
      <c r="MB57" s="16">
        <v>22</v>
      </c>
      <c r="MC57" s="16">
        <v>17</v>
      </c>
      <c r="MD57" s="16">
        <v>6</v>
      </c>
      <c r="ME57" s="16">
        <v>3</v>
      </c>
      <c r="MF57" s="16">
        <v>604</v>
      </c>
      <c r="MG57" s="16">
        <v>58</v>
      </c>
      <c r="MH57" s="16">
        <v>137</v>
      </c>
      <c r="MI57" s="16">
        <v>8</v>
      </c>
      <c r="MJ57" s="16">
        <v>14</v>
      </c>
      <c r="MK57" s="16">
        <v>57</v>
      </c>
      <c r="ML57" s="16">
        <v>84</v>
      </c>
      <c r="MM57" s="16">
        <v>52</v>
      </c>
      <c r="MN57" s="16">
        <v>17</v>
      </c>
      <c r="MO57" s="16">
        <v>669</v>
      </c>
      <c r="MP57" s="16">
        <v>41</v>
      </c>
      <c r="MQ57" s="16">
        <v>161</v>
      </c>
      <c r="MR57" s="16">
        <v>3818</v>
      </c>
      <c r="MS57" s="16">
        <v>480</v>
      </c>
      <c r="MT57" s="16">
        <v>20</v>
      </c>
      <c r="MU57" s="16">
        <v>184153</v>
      </c>
      <c r="MV57" s="16">
        <v>36</v>
      </c>
      <c r="MW57" s="16">
        <v>70</v>
      </c>
      <c r="MX57" s="16">
        <v>14</v>
      </c>
      <c r="MY57" s="16">
        <v>6</v>
      </c>
      <c r="MZ57" s="16">
        <v>54</v>
      </c>
      <c r="NA57" s="16">
        <v>17</v>
      </c>
      <c r="NB57" s="16">
        <v>102</v>
      </c>
      <c r="NC57" s="16">
        <v>11</v>
      </c>
      <c r="ND57" s="16">
        <v>8</v>
      </c>
      <c r="NE57" s="16">
        <v>2</v>
      </c>
      <c r="NF57" s="16">
        <v>10</v>
      </c>
      <c r="NG57" s="16">
        <v>37</v>
      </c>
      <c r="NH57" s="16">
        <v>19</v>
      </c>
      <c r="NI57" s="16">
        <v>111</v>
      </c>
      <c r="NJ57" s="16">
        <v>500</v>
      </c>
      <c r="NK57" s="16">
        <v>10</v>
      </c>
      <c r="NL57" s="16">
        <v>11</v>
      </c>
      <c r="NM57" s="16">
        <v>11</v>
      </c>
      <c r="NN57" s="16">
        <v>10</v>
      </c>
      <c r="NO57" s="16">
        <v>0</v>
      </c>
      <c r="NP57" s="16">
        <v>16</v>
      </c>
      <c r="NQ57" s="16">
        <v>213</v>
      </c>
      <c r="NR57" s="17">
        <v>2777868</v>
      </c>
    </row>
    <row r="58" spans="1:382" ht="13.5" customHeight="1" x14ac:dyDescent="0.2">
      <c r="A58" s="2" t="s">
        <v>123</v>
      </c>
      <c r="B58" s="16">
        <v>7</v>
      </c>
      <c r="C58" s="16">
        <v>0</v>
      </c>
      <c r="D58" s="16">
        <v>0</v>
      </c>
      <c r="E58" s="16">
        <v>1</v>
      </c>
      <c r="F58" s="16">
        <v>24</v>
      </c>
      <c r="G58" s="16">
        <v>10</v>
      </c>
      <c r="H58" s="16">
        <v>3</v>
      </c>
      <c r="I58" s="16">
        <v>3</v>
      </c>
      <c r="J58" s="16">
        <v>0</v>
      </c>
      <c r="K58" s="16">
        <v>0</v>
      </c>
      <c r="L58" s="16">
        <v>1</v>
      </c>
      <c r="M58" s="16">
        <v>0</v>
      </c>
      <c r="N58" s="16">
        <v>0</v>
      </c>
      <c r="O58" s="16">
        <v>0</v>
      </c>
      <c r="P58" s="16">
        <v>19</v>
      </c>
      <c r="Q58" s="16">
        <v>19</v>
      </c>
      <c r="R58" s="16">
        <v>7</v>
      </c>
      <c r="S58" s="16">
        <v>7</v>
      </c>
      <c r="T58" s="16">
        <v>0</v>
      </c>
      <c r="U58" s="16">
        <v>1</v>
      </c>
      <c r="V58" s="16">
        <v>1</v>
      </c>
      <c r="W58" s="16">
        <v>1</v>
      </c>
      <c r="X58" s="16">
        <v>12</v>
      </c>
      <c r="Y58" s="16">
        <v>28</v>
      </c>
      <c r="Z58" s="16">
        <v>24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30</v>
      </c>
      <c r="AH58" s="16">
        <v>40</v>
      </c>
      <c r="AI58" s="16">
        <v>1</v>
      </c>
      <c r="AJ58" s="16">
        <v>7</v>
      </c>
      <c r="AK58" s="16">
        <v>3</v>
      </c>
      <c r="AL58" s="16">
        <v>1</v>
      </c>
      <c r="AM58" s="16">
        <v>14</v>
      </c>
      <c r="AN58" s="16">
        <v>1</v>
      </c>
      <c r="AO58" s="16">
        <v>1</v>
      </c>
      <c r="AP58" s="16">
        <v>1</v>
      </c>
      <c r="AQ58" s="16">
        <v>4</v>
      </c>
      <c r="AR58" s="16">
        <v>0</v>
      </c>
      <c r="AS58" s="16">
        <v>11</v>
      </c>
      <c r="AT58" s="16">
        <v>3</v>
      </c>
      <c r="AU58" s="16">
        <v>14</v>
      </c>
      <c r="AV58" s="16">
        <v>20</v>
      </c>
      <c r="AW58" s="16">
        <v>350</v>
      </c>
      <c r="AX58" s="16">
        <v>7</v>
      </c>
      <c r="AY58" s="16">
        <v>13</v>
      </c>
      <c r="AZ58" s="16">
        <v>1</v>
      </c>
      <c r="BA58" s="16">
        <v>1</v>
      </c>
      <c r="BB58" s="16">
        <v>1704</v>
      </c>
      <c r="BC58" s="16">
        <v>7</v>
      </c>
      <c r="BD58" s="16">
        <v>1</v>
      </c>
      <c r="BE58" s="16">
        <v>7</v>
      </c>
      <c r="BF58" s="16">
        <v>170355</v>
      </c>
      <c r="BG58" s="16">
        <v>7</v>
      </c>
      <c r="BH58" s="16">
        <v>8</v>
      </c>
      <c r="BI58" s="16">
        <v>10</v>
      </c>
      <c r="BJ58" s="16">
        <v>1</v>
      </c>
      <c r="BK58" s="16">
        <v>1</v>
      </c>
      <c r="BL58" s="16">
        <v>14</v>
      </c>
      <c r="BM58" s="16">
        <v>1</v>
      </c>
      <c r="BN58" s="16">
        <v>13</v>
      </c>
      <c r="BO58" s="16">
        <v>8</v>
      </c>
      <c r="BP58" s="16">
        <v>4</v>
      </c>
      <c r="BQ58" s="16">
        <v>7</v>
      </c>
      <c r="BR58" s="16">
        <v>1</v>
      </c>
      <c r="BS58" s="16">
        <v>14</v>
      </c>
      <c r="BT58" s="16">
        <v>0</v>
      </c>
      <c r="BU58" s="16">
        <v>1</v>
      </c>
      <c r="BV58" s="16">
        <v>0</v>
      </c>
      <c r="BW58" s="16">
        <v>1</v>
      </c>
      <c r="BX58" s="16">
        <v>1</v>
      </c>
      <c r="BY58" s="16">
        <v>0</v>
      </c>
      <c r="BZ58" s="16">
        <v>4</v>
      </c>
      <c r="CA58" s="16">
        <v>1</v>
      </c>
      <c r="CB58" s="16">
        <v>1</v>
      </c>
      <c r="CC58" s="16">
        <v>18</v>
      </c>
      <c r="CD58" s="16">
        <v>3</v>
      </c>
      <c r="CE58" s="16">
        <v>1</v>
      </c>
      <c r="CF58" s="16">
        <v>10</v>
      </c>
      <c r="CG58" s="16">
        <v>1</v>
      </c>
      <c r="CH58" s="16">
        <v>3</v>
      </c>
      <c r="CI58" s="16">
        <v>3</v>
      </c>
      <c r="CJ58" s="16">
        <v>1</v>
      </c>
      <c r="CK58" s="16">
        <v>10</v>
      </c>
      <c r="CL58" s="16">
        <v>11</v>
      </c>
      <c r="CM58" s="16">
        <v>7</v>
      </c>
      <c r="CN58" s="16">
        <v>1</v>
      </c>
      <c r="CO58" s="16">
        <v>4</v>
      </c>
      <c r="CP58" s="16">
        <v>13</v>
      </c>
      <c r="CQ58" s="16">
        <v>60</v>
      </c>
      <c r="CR58" s="16">
        <v>7</v>
      </c>
      <c r="CS58" s="16">
        <v>4</v>
      </c>
      <c r="CT58" s="16">
        <v>1</v>
      </c>
      <c r="CU58" s="16">
        <v>4</v>
      </c>
      <c r="CV58" s="16">
        <v>7</v>
      </c>
      <c r="CW58" s="16">
        <v>21</v>
      </c>
      <c r="CX58" s="16">
        <v>24</v>
      </c>
      <c r="CY58" s="16">
        <v>1</v>
      </c>
      <c r="CZ58" s="16">
        <v>3</v>
      </c>
      <c r="DA58" s="16">
        <v>1</v>
      </c>
      <c r="DB58" s="16">
        <v>3</v>
      </c>
      <c r="DC58" s="16">
        <v>7</v>
      </c>
      <c r="DD58" s="16">
        <v>7</v>
      </c>
      <c r="DE58" s="16">
        <v>4</v>
      </c>
      <c r="DF58" s="16">
        <v>7</v>
      </c>
      <c r="DG58" s="16">
        <v>1</v>
      </c>
      <c r="DH58" s="16">
        <v>8</v>
      </c>
      <c r="DI58" s="16">
        <v>1</v>
      </c>
      <c r="DJ58" s="16">
        <v>71</v>
      </c>
      <c r="DK58" s="16">
        <v>3</v>
      </c>
      <c r="DL58" s="16">
        <v>10</v>
      </c>
      <c r="DM58" s="16">
        <v>76</v>
      </c>
      <c r="DN58" s="16">
        <v>3</v>
      </c>
      <c r="DO58" s="16">
        <v>7</v>
      </c>
      <c r="DP58" s="16">
        <v>13</v>
      </c>
      <c r="DQ58" s="16">
        <v>3</v>
      </c>
      <c r="DR58" s="16">
        <v>3</v>
      </c>
      <c r="DS58" s="16">
        <v>20</v>
      </c>
      <c r="DT58" s="16">
        <v>3</v>
      </c>
      <c r="DU58" s="16">
        <v>3</v>
      </c>
      <c r="DV58" s="16">
        <v>1</v>
      </c>
      <c r="DW58" s="16">
        <v>17</v>
      </c>
      <c r="DX58" s="16">
        <v>29</v>
      </c>
      <c r="DY58" s="16">
        <v>12</v>
      </c>
      <c r="DZ58" s="16">
        <v>36</v>
      </c>
      <c r="EA58" s="16">
        <v>2</v>
      </c>
      <c r="EB58" s="16">
        <v>1</v>
      </c>
      <c r="EC58" s="16">
        <v>10</v>
      </c>
      <c r="ED58" s="16">
        <v>1</v>
      </c>
      <c r="EE58" s="16">
        <v>0</v>
      </c>
      <c r="EF58" s="16">
        <v>0</v>
      </c>
      <c r="EG58" s="16">
        <v>3</v>
      </c>
      <c r="EH58" s="16">
        <v>1</v>
      </c>
      <c r="EI58" s="16">
        <v>3</v>
      </c>
      <c r="EJ58" s="16">
        <v>1</v>
      </c>
      <c r="EK58" s="16">
        <v>1</v>
      </c>
      <c r="EL58" s="16">
        <v>1</v>
      </c>
      <c r="EM58" s="16">
        <v>3</v>
      </c>
      <c r="EN58" s="16">
        <v>21</v>
      </c>
      <c r="EO58" s="16">
        <v>7</v>
      </c>
      <c r="EP58" s="16">
        <v>1</v>
      </c>
      <c r="EQ58" s="16">
        <v>8</v>
      </c>
      <c r="ER58" s="16">
        <v>1</v>
      </c>
      <c r="ES58" s="16">
        <v>1</v>
      </c>
      <c r="ET58" s="16">
        <v>10</v>
      </c>
      <c r="EU58" s="16">
        <v>17</v>
      </c>
      <c r="EV58" s="16">
        <v>1</v>
      </c>
      <c r="EW58" s="16">
        <v>3</v>
      </c>
      <c r="EX58" s="16">
        <v>34</v>
      </c>
      <c r="EY58" s="16">
        <v>4</v>
      </c>
      <c r="EZ58" s="16">
        <v>7</v>
      </c>
      <c r="FA58" s="16">
        <v>1</v>
      </c>
      <c r="FB58" s="16">
        <v>4</v>
      </c>
      <c r="FC58" s="16">
        <v>7</v>
      </c>
      <c r="FD58" s="16">
        <v>4</v>
      </c>
      <c r="FE58" s="16">
        <v>1</v>
      </c>
      <c r="FF58" s="16">
        <v>4</v>
      </c>
      <c r="FG58" s="16">
        <v>3</v>
      </c>
      <c r="FH58" s="16">
        <v>1</v>
      </c>
      <c r="FI58" s="16">
        <v>7</v>
      </c>
      <c r="FJ58" s="16">
        <v>0</v>
      </c>
      <c r="FK58" s="16">
        <v>1</v>
      </c>
      <c r="FL58" s="16">
        <v>4</v>
      </c>
      <c r="FM58" s="16">
        <v>3</v>
      </c>
      <c r="FN58" s="16">
        <v>14</v>
      </c>
      <c r="FO58" s="16">
        <v>8</v>
      </c>
      <c r="FP58" s="16">
        <v>7</v>
      </c>
      <c r="FQ58" s="16">
        <v>11</v>
      </c>
      <c r="FR58" s="16">
        <v>32</v>
      </c>
      <c r="FS58" s="16">
        <v>8</v>
      </c>
      <c r="FT58" s="16">
        <v>10</v>
      </c>
      <c r="FU58" s="16">
        <v>14</v>
      </c>
      <c r="FV58" s="16">
        <v>7</v>
      </c>
      <c r="FW58" s="16">
        <v>18</v>
      </c>
      <c r="FX58" s="16">
        <v>34</v>
      </c>
      <c r="FY58" s="16">
        <v>3</v>
      </c>
      <c r="FZ58" s="16">
        <v>7</v>
      </c>
      <c r="GA58" s="16">
        <v>1</v>
      </c>
      <c r="GB58" s="16">
        <v>181</v>
      </c>
      <c r="GC58" s="16">
        <v>1</v>
      </c>
      <c r="GD58" s="16">
        <v>40</v>
      </c>
      <c r="GE58" s="16">
        <v>1</v>
      </c>
      <c r="GF58" s="16">
        <v>38</v>
      </c>
      <c r="GG58" s="16">
        <v>3</v>
      </c>
      <c r="GH58" s="16">
        <v>3</v>
      </c>
      <c r="GI58" s="16">
        <v>1</v>
      </c>
      <c r="GJ58" s="16">
        <v>3</v>
      </c>
      <c r="GK58" s="16">
        <v>1</v>
      </c>
      <c r="GL58" s="16">
        <v>4</v>
      </c>
      <c r="GM58" s="16">
        <v>88</v>
      </c>
      <c r="GN58" s="16">
        <v>1</v>
      </c>
      <c r="GO58" s="16">
        <v>21</v>
      </c>
      <c r="GP58" s="16">
        <v>1</v>
      </c>
      <c r="GQ58" s="16">
        <v>2</v>
      </c>
      <c r="GR58" s="16">
        <v>1</v>
      </c>
      <c r="GS58" s="16">
        <v>3</v>
      </c>
      <c r="GT58" s="16">
        <v>3</v>
      </c>
      <c r="GU58" s="16">
        <v>4</v>
      </c>
      <c r="GV58" s="16">
        <v>4</v>
      </c>
      <c r="GW58" s="16">
        <v>1</v>
      </c>
      <c r="GX58" s="16">
        <v>1</v>
      </c>
      <c r="GY58" s="16">
        <v>1</v>
      </c>
      <c r="GZ58" s="16">
        <v>3</v>
      </c>
      <c r="HA58" s="16">
        <v>1</v>
      </c>
      <c r="HB58" s="16">
        <v>1</v>
      </c>
      <c r="HC58" s="16">
        <v>10</v>
      </c>
      <c r="HD58" s="16">
        <v>13</v>
      </c>
      <c r="HE58" s="16">
        <v>1</v>
      </c>
      <c r="HF58" s="16">
        <v>7</v>
      </c>
      <c r="HG58" s="16">
        <v>3</v>
      </c>
      <c r="HH58" s="16">
        <v>1</v>
      </c>
      <c r="HI58" s="16">
        <v>1</v>
      </c>
      <c r="HJ58" s="16">
        <v>3</v>
      </c>
      <c r="HK58" s="16">
        <v>1</v>
      </c>
      <c r="HL58" s="16">
        <v>13</v>
      </c>
      <c r="HM58" s="16">
        <v>7</v>
      </c>
      <c r="HN58" s="16">
        <v>10</v>
      </c>
      <c r="HO58" s="16">
        <v>8</v>
      </c>
      <c r="HP58" s="16">
        <v>8</v>
      </c>
      <c r="HQ58" s="16">
        <v>11</v>
      </c>
      <c r="HR58" s="16">
        <v>10</v>
      </c>
      <c r="HS58" s="16">
        <v>10</v>
      </c>
      <c r="HT58" s="16">
        <v>1</v>
      </c>
      <c r="HU58" s="16">
        <v>8</v>
      </c>
      <c r="HV58" s="16">
        <v>1</v>
      </c>
      <c r="HW58" s="16">
        <v>7</v>
      </c>
      <c r="HX58" s="16">
        <v>14</v>
      </c>
      <c r="HY58" s="16">
        <v>14</v>
      </c>
      <c r="HZ58" s="16">
        <v>32</v>
      </c>
      <c r="IA58" s="16">
        <v>10</v>
      </c>
      <c r="IB58" s="16">
        <v>1</v>
      </c>
      <c r="IC58" s="16">
        <v>1</v>
      </c>
      <c r="ID58" s="16">
        <v>1</v>
      </c>
      <c r="IE58" s="16">
        <v>1</v>
      </c>
      <c r="IF58" s="16">
        <v>4</v>
      </c>
      <c r="IG58" s="16">
        <v>39</v>
      </c>
      <c r="IH58" s="16">
        <v>7</v>
      </c>
      <c r="II58" s="16">
        <v>0</v>
      </c>
      <c r="IJ58" s="16">
        <v>4</v>
      </c>
      <c r="IK58" s="16">
        <v>4</v>
      </c>
      <c r="IL58" s="16">
        <v>2</v>
      </c>
      <c r="IM58" s="16">
        <v>0</v>
      </c>
      <c r="IN58" s="16">
        <v>1</v>
      </c>
      <c r="IO58" s="16">
        <v>13</v>
      </c>
      <c r="IP58" s="16">
        <v>1</v>
      </c>
      <c r="IQ58" s="16">
        <v>1</v>
      </c>
      <c r="IR58" s="16">
        <v>7</v>
      </c>
      <c r="IS58" s="16">
        <v>1</v>
      </c>
      <c r="IT58" s="16">
        <v>1</v>
      </c>
      <c r="IU58" s="16">
        <v>1</v>
      </c>
      <c r="IV58" s="16">
        <v>2</v>
      </c>
      <c r="IW58" s="16">
        <v>7</v>
      </c>
      <c r="IX58" s="16">
        <v>1</v>
      </c>
      <c r="IY58" s="16">
        <v>10</v>
      </c>
      <c r="IZ58" s="16">
        <v>1</v>
      </c>
      <c r="JA58" s="16">
        <v>1</v>
      </c>
      <c r="JB58" s="16">
        <v>3</v>
      </c>
      <c r="JC58" s="16">
        <v>1</v>
      </c>
      <c r="JD58" s="16">
        <v>1</v>
      </c>
      <c r="JE58" s="16">
        <v>7</v>
      </c>
      <c r="JF58" s="16">
        <v>1</v>
      </c>
      <c r="JG58" s="16">
        <v>1411</v>
      </c>
      <c r="JH58" s="16">
        <v>1</v>
      </c>
      <c r="JI58" s="16">
        <v>8</v>
      </c>
      <c r="JJ58" s="16">
        <v>7</v>
      </c>
      <c r="JK58" s="16">
        <v>7</v>
      </c>
      <c r="JL58" s="16">
        <v>1</v>
      </c>
      <c r="JM58" s="16">
        <v>0</v>
      </c>
      <c r="JN58" s="16">
        <v>8</v>
      </c>
      <c r="JO58" s="16">
        <v>5</v>
      </c>
      <c r="JP58" s="16">
        <v>53</v>
      </c>
      <c r="JQ58" s="16">
        <v>14</v>
      </c>
      <c r="JR58" s="16">
        <v>778</v>
      </c>
      <c r="JS58" s="16">
        <v>299</v>
      </c>
      <c r="JT58" s="16">
        <v>0</v>
      </c>
      <c r="JU58" s="16">
        <v>0</v>
      </c>
      <c r="JV58" s="16">
        <v>10</v>
      </c>
      <c r="JW58" s="16">
        <v>18</v>
      </c>
      <c r="JX58" s="16">
        <v>27</v>
      </c>
      <c r="JY58" s="16">
        <v>17</v>
      </c>
      <c r="JZ58" s="16">
        <v>18</v>
      </c>
      <c r="KA58" s="16">
        <v>1</v>
      </c>
      <c r="KB58" s="16">
        <v>11</v>
      </c>
      <c r="KC58" s="16">
        <v>3</v>
      </c>
      <c r="KD58" s="16">
        <v>7</v>
      </c>
      <c r="KE58" s="16">
        <v>1</v>
      </c>
      <c r="KF58" s="16">
        <v>8</v>
      </c>
      <c r="KG58" s="16">
        <v>8</v>
      </c>
      <c r="KH58" s="16">
        <v>1</v>
      </c>
      <c r="KI58" s="16">
        <v>1</v>
      </c>
      <c r="KJ58" s="16">
        <v>8</v>
      </c>
      <c r="KK58" s="16">
        <v>53961</v>
      </c>
      <c r="KL58" s="16">
        <v>1</v>
      </c>
      <c r="KM58" s="16">
        <v>11</v>
      </c>
      <c r="KN58" s="16">
        <v>1</v>
      </c>
      <c r="KO58" s="16">
        <v>4</v>
      </c>
      <c r="KP58" s="16">
        <v>6</v>
      </c>
      <c r="KQ58" s="16">
        <v>2</v>
      </c>
      <c r="KR58" s="16">
        <v>17</v>
      </c>
      <c r="KS58" s="16">
        <v>14</v>
      </c>
      <c r="KT58" s="16">
        <v>6</v>
      </c>
      <c r="KU58" s="16">
        <v>61</v>
      </c>
      <c r="KV58" s="16">
        <v>4</v>
      </c>
      <c r="KW58" s="16">
        <v>48</v>
      </c>
      <c r="KX58" s="16">
        <v>0</v>
      </c>
      <c r="KY58" s="16">
        <v>13</v>
      </c>
      <c r="KZ58" s="16">
        <v>773848</v>
      </c>
      <c r="LA58" s="16">
        <v>518401</v>
      </c>
      <c r="LB58" s="16">
        <v>1806894</v>
      </c>
      <c r="LC58" s="16">
        <v>4</v>
      </c>
      <c r="LD58" s="16">
        <v>71</v>
      </c>
      <c r="LE58" s="16">
        <v>43</v>
      </c>
      <c r="LF58" s="16">
        <v>4</v>
      </c>
      <c r="LG58" s="16">
        <v>1</v>
      </c>
      <c r="LH58" s="16">
        <v>105</v>
      </c>
      <c r="LI58" s="16">
        <v>21</v>
      </c>
      <c r="LJ58" s="16">
        <v>3</v>
      </c>
      <c r="LK58" s="16">
        <v>28</v>
      </c>
      <c r="LL58" s="16">
        <v>101</v>
      </c>
      <c r="LM58" s="16">
        <v>981</v>
      </c>
      <c r="LN58" s="16">
        <v>74</v>
      </c>
      <c r="LO58" s="16">
        <v>8</v>
      </c>
      <c r="LP58" s="16">
        <v>23</v>
      </c>
      <c r="LQ58" s="16">
        <v>1</v>
      </c>
      <c r="LR58" s="16">
        <v>519</v>
      </c>
      <c r="LS58" s="16">
        <v>133</v>
      </c>
      <c r="LT58" s="16">
        <v>243</v>
      </c>
      <c r="LU58" s="16">
        <v>142</v>
      </c>
      <c r="LV58" s="16">
        <v>3</v>
      </c>
      <c r="LW58" s="16">
        <v>120</v>
      </c>
      <c r="LX58" s="16">
        <v>256</v>
      </c>
      <c r="LY58" s="16">
        <v>0</v>
      </c>
      <c r="LZ58" s="16">
        <v>21</v>
      </c>
      <c r="MA58" s="16">
        <v>13</v>
      </c>
      <c r="MB58" s="16">
        <v>55</v>
      </c>
      <c r="MC58" s="16">
        <v>65</v>
      </c>
      <c r="MD58" s="16">
        <v>1</v>
      </c>
      <c r="ME58" s="16">
        <v>14</v>
      </c>
      <c r="MF58" s="16">
        <v>1456</v>
      </c>
      <c r="MG58" s="16">
        <v>1461</v>
      </c>
      <c r="MH58" s="16">
        <v>341</v>
      </c>
      <c r="MI58" s="16">
        <v>225</v>
      </c>
      <c r="MJ58" s="16">
        <v>98</v>
      </c>
      <c r="MK58" s="16">
        <v>142</v>
      </c>
      <c r="ML58" s="16">
        <v>14</v>
      </c>
      <c r="MM58" s="16">
        <v>2364</v>
      </c>
      <c r="MN58" s="16">
        <v>46</v>
      </c>
      <c r="MO58" s="16">
        <v>687</v>
      </c>
      <c r="MP58" s="16">
        <v>157</v>
      </c>
      <c r="MQ58" s="16">
        <v>396</v>
      </c>
      <c r="MR58" s="16">
        <v>6699</v>
      </c>
      <c r="MS58" s="16">
        <v>1602</v>
      </c>
      <c r="MT58" s="16">
        <v>71</v>
      </c>
      <c r="MU58" s="16">
        <v>87797</v>
      </c>
      <c r="MV58" s="16">
        <v>90</v>
      </c>
      <c r="MW58" s="16">
        <v>175</v>
      </c>
      <c r="MX58" s="16">
        <v>19</v>
      </c>
      <c r="MY58" s="16">
        <v>13</v>
      </c>
      <c r="MZ58" s="16">
        <v>137</v>
      </c>
      <c r="NA58" s="16">
        <v>91</v>
      </c>
      <c r="NB58" s="16">
        <v>254</v>
      </c>
      <c r="NC58" s="16">
        <v>47</v>
      </c>
      <c r="ND58" s="16">
        <v>21</v>
      </c>
      <c r="NE58" s="16">
        <v>4</v>
      </c>
      <c r="NF58" s="16">
        <v>27</v>
      </c>
      <c r="NG58" s="16">
        <v>96</v>
      </c>
      <c r="NH58" s="16">
        <v>46</v>
      </c>
      <c r="NI58" s="16">
        <v>274</v>
      </c>
      <c r="NJ58" s="16">
        <v>1246</v>
      </c>
      <c r="NK58" s="16">
        <v>21</v>
      </c>
      <c r="NL58" s="16">
        <v>1</v>
      </c>
      <c r="NM58" s="16">
        <v>27</v>
      </c>
      <c r="NN58" s="16">
        <v>21</v>
      </c>
      <c r="NO58" s="16">
        <v>0</v>
      </c>
      <c r="NP58" s="16">
        <v>37</v>
      </c>
      <c r="NQ58" s="16">
        <v>174</v>
      </c>
      <c r="NR58" s="17">
        <v>3439980</v>
      </c>
    </row>
    <row r="59" spans="1:382" ht="13.5" customHeight="1" x14ac:dyDescent="0.2">
      <c r="A59" s="2" t="s">
        <v>125</v>
      </c>
      <c r="B59" s="16">
        <v>50</v>
      </c>
      <c r="C59" s="16">
        <v>0</v>
      </c>
      <c r="D59" s="16">
        <v>0</v>
      </c>
      <c r="E59" s="16">
        <v>0</v>
      </c>
      <c r="F59" s="16">
        <v>76</v>
      </c>
      <c r="G59" s="16">
        <v>32</v>
      </c>
      <c r="H59" s="16">
        <v>8</v>
      </c>
      <c r="I59" s="16">
        <v>13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</v>
      </c>
      <c r="P59" s="16">
        <v>60</v>
      </c>
      <c r="Q59" s="16">
        <v>57</v>
      </c>
      <c r="R59" s="16">
        <v>20</v>
      </c>
      <c r="S59" s="16">
        <v>0</v>
      </c>
      <c r="T59" s="16">
        <v>0</v>
      </c>
      <c r="U59" s="16">
        <v>9</v>
      </c>
      <c r="V59" s="16">
        <v>0</v>
      </c>
      <c r="W59" s="16">
        <v>0</v>
      </c>
      <c r="X59" s="16">
        <v>44</v>
      </c>
      <c r="Y59" s="16">
        <v>82</v>
      </c>
      <c r="Z59" s="16">
        <v>70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92</v>
      </c>
      <c r="AH59" s="16">
        <v>74</v>
      </c>
      <c r="AI59" s="16">
        <v>9</v>
      </c>
      <c r="AJ59" s="16">
        <v>28</v>
      </c>
      <c r="AK59" s="16">
        <v>275</v>
      </c>
      <c r="AL59" s="16">
        <v>15</v>
      </c>
      <c r="AM59" s="16">
        <v>0</v>
      </c>
      <c r="AN59" s="16">
        <v>674</v>
      </c>
      <c r="AO59" s="16">
        <v>4639</v>
      </c>
      <c r="AP59" s="16">
        <v>5</v>
      </c>
      <c r="AQ59" s="16">
        <v>11</v>
      </c>
      <c r="AR59" s="16">
        <v>0</v>
      </c>
      <c r="AS59" s="16">
        <v>35</v>
      </c>
      <c r="AT59" s="16">
        <v>12</v>
      </c>
      <c r="AU59" s="16">
        <v>3563</v>
      </c>
      <c r="AV59" s="16">
        <v>8</v>
      </c>
      <c r="AW59" s="16">
        <v>3022</v>
      </c>
      <c r="AX59" s="16">
        <v>0</v>
      </c>
      <c r="AY59" s="16">
        <v>9097</v>
      </c>
      <c r="AZ59" s="16">
        <v>3532</v>
      </c>
      <c r="BA59" s="16">
        <v>20089</v>
      </c>
      <c r="BB59" s="16">
        <v>9</v>
      </c>
      <c r="BC59" s="16">
        <v>305457</v>
      </c>
      <c r="BD59" s="16">
        <v>0</v>
      </c>
      <c r="BE59" s="16">
        <v>22</v>
      </c>
      <c r="BF59" s="16">
        <v>58</v>
      </c>
      <c r="BG59" s="16">
        <v>100406</v>
      </c>
      <c r="BH59" s="16">
        <v>25</v>
      </c>
      <c r="BI59" s="16">
        <v>30</v>
      </c>
      <c r="BJ59" s="16">
        <v>7</v>
      </c>
      <c r="BK59" s="16">
        <v>0</v>
      </c>
      <c r="BL59" s="16">
        <v>43</v>
      </c>
      <c r="BM59" s="16">
        <v>5</v>
      </c>
      <c r="BN59" s="16">
        <v>40</v>
      </c>
      <c r="BO59" s="16">
        <v>25</v>
      </c>
      <c r="BP59" s="16">
        <v>18</v>
      </c>
      <c r="BQ59" s="16">
        <v>21</v>
      </c>
      <c r="BR59" s="16">
        <v>0</v>
      </c>
      <c r="BS59" s="16">
        <v>43</v>
      </c>
      <c r="BT59" s="16">
        <v>1</v>
      </c>
      <c r="BU59" s="16">
        <v>0</v>
      </c>
      <c r="BV59" s="16">
        <v>0</v>
      </c>
      <c r="BW59" s="16">
        <v>12</v>
      </c>
      <c r="BX59" s="16">
        <v>2</v>
      </c>
      <c r="BY59" s="16">
        <v>0</v>
      </c>
      <c r="BZ59" s="16">
        <v>0</v>
      </c>
      <c r="CA59" s="16">
        <v>5</v>
      </c>
      <c r="CB59" s="16">
        <v>0</v>
      </c>
      <c r="CC59" s="16">
        <v>54</v>
      </c>
      <c r="CD59" s="16">
        <v>0</v>
      </c>
      <c r="CE59" s="16">
        <v>0</v>
      </c>
      <c r="CF59" s="16">
        <v>26</v>
      </c>
      <c r="CG59" s="16">
        <v>8</v>
      </c>
      <c r="CH59" s="16">
        <v>0</v>
      </c>
      <c r="CI59" s="16">
        <v>0</v>
      </c>
      <c r="CJ59" s="16">
        <v>9</v>
      </c>
      <c r="CK59" s="16">
        <v>30</v>
      </c>
      <c r="CL59" s="16">
        <v>37</v>
      </c>
      <c r="CM59" s="16">
        <v>16</v>
      </c>
      <c r="CN59" s="16">
        <v>6</v>
      </c>
      <c r="CO59" s="16">
        <v>18</v>
      </c>
      <c r="CP59" s="16">
        <v>48</v>
      </c>
      <c r="CQ59" s="16">
        <v>189</v>
      </c>
      <c r="CR59" s="16">
        <v>22</v>
      </c>
      <c r="CS59" s="16">
        <v>13</v>
      </c>
      <c r="CT59" s="16">
        <v>6</v>
      </c>
      <c r="CU59" s="16">
        <v>15</v>
      </c>
      <c r="CV59" s="16">
        <v>0</v>
      </c>
      <c r="CW59" s="16">
        <v>63</v>
      </c>
      <c r="CX59" s="16">
        <v>88</v>
      </c>
      <c r="CY59" s="16">
        <v>0</v>
      </c>
      <c r="CZ59" s="16">
        <v>22</v>
      </c>
      <c r="DA59" s="16">
        <v>0</v>
      </c>
      <c r="DB59" s="16">
        <v>15</v>
      </c>
      <c r="DC59" s="16">
        <v>8</v>
      </c>
      <c r="DD59" s="16">
        <v>22</v>
      </c>
      <c r="DE59" s="16">
        <v>18</v>
      </c>
      <c r="DF59" s="16">
        <v>19</v>
      </c>
      <c r="DG59" s="16">
        <v>7</v>
      </c>
      <c r="DH59" s="16">
        <v>26</v>
      </c>
      <c r="DI59" s="16">
        <v>5</v>
      </c>
      <c r="DJ59" s="16">
        <v>218</v>
      </c>
      <c r="DK59" s="16">
        <v>12</v>
      </c>
      <c r="DL59" s="16">
        <v>36</v>
      </c>
      <c r="DM59" s="16">
        <v>323</v>
      </c>
      <c r="DN59" s="16">
        <v>12</v>
      </c>
      <c r="DO59" s="16">
        <v>22</v>
      </c>
      <c r="DP59" s="16">
        <v>37</v>
      </c>
      <c r="DQ59" s="16">
        <v>5</v>
      </c>
      <c r="DR59" s="16">
        <v>9</v>
      </c>
      <c r="DS59" s="16">
        <v>60</v>
      </c>
      <c r="DT59" s="16">
        <v>11</v>
      </c>
      <c r="DU59" s="16">
        <v>0</v>
      </c>
      <c r="DV59" s="16">
        <v>6</v>
      </c>
      <c r="DW59" s="16">
        <v>51</v>
      </c>
      <c r="DX59" s="16">
        <v>72</v>
      </c>
      <c r="DY59" s="16">
        <v>38</v>
      </c>
      <c r="DZ59" s="16">
        <v>113</v>
      </c>
      <c r="EA59" s="16">
        <v>554</v>
      </c>
      <c r="EB59" s="16">
        <v>6</v>
      </c>
      <c r="EC59" s="16">
        <v>33</v>
      </c>
      <c r="ED59" s="16">
        <v>6</v>
      </c>
      <c r="EE59" s="16">
        <v>1</v>
      </c>
      <c r="EF59" s="16">
        <v>3</v>
      </c>
      <c r="EG59" s="16">
        <v>31</v>
      </c>
      <c r="EH59" s="16">
        <v>0</v>
      </c>
      <c r="EI59" s="16">
        <v>14</v>
      </c>
      <c r="EJ59" s="16">
        <v>6</v>
      </c>
      <c r="EK59" s="16">
        <v>8</v>
      </c>
      <c r="EL59" s="16">
        <v>43</v>
      </c>
      <c r="EM59" s="16">
        <v>8</v>
      </c>
      <c r="EN59" s="16">
        <v>67</v>
      </c>
      <c r="EO59" s="16">
        <v>20</v>
      </c>
      <c r="EP59" s="16">
        <v>0</v>
      </c>
      <c r="EQ59" s="16">
        <v>21</v>
      </c>
      <c r="ER59" s="16">
        <v>5</v>
      </c>
      <c r="ES59" s="16">
        <v>4</v>
      </c>
      <c r="ET59" s="16">
        <v>32</v>
      </c>
      <c r="EU59" s="16">
        <v>55</v>
      </c>
      <c r="EV59" s="16">
        <v>0</v>
      </c>
      <c r="EW59" s="16">
        <v>11</v>
      </c>
      <c r="EX59" s="16">
        <v>117</v>
      </c>
      <c r="EY59" s="16">
        <v>15</v>
      </c>
      <c r="EZ59" s="16">
        <v>1</v>
      </c>
      <c r="FA59" s="16">
        <v>5</v>
      </c>
      <c r="FB59" s="16">
        <v>14</v>
      </c>
      <c r="FC59" s="16">
        <v>1</v>
      </c>
      <c r="FD59" s="16">
        <v>19</v>
      </c>
      <c r="FE59" s="16">
        <v>8</v>
      </c>
      <c r="FF59" s="16">
        <v>15</v>
      </c>
      <c r="FG59" s="16">
        <v>16</v>
      </c>
      <c r="FH59" s="16">
        <v>5</v>
      </c>
      <c r="FI59" s="16">
        <v>19</v>
      </c>
      <c r="FJ59" s="16">
        <v>4</v>
      </c>
      <c r="FK59" s="16">
        <v>8</v>
      </c>
      <c r="FL59" s="16">
        <v>14</v>
      </c>
      <c r="FM59" s="16">
        <v>12</v>
      </c>
      <c r="FN59" s="16">
        <v>52</v>
      </c>
      <c r="FO59" s="16">
        <v>27</v>
      </c>
      <c r="FP59" s="16">
        <v>21</v>
      </c>
      <c r="FQ59" s="16">
        <v>33</v>
      </c>
      <c r="FR59" s="16">
        <v>102</v>
      </c>
      <c r="FS59" s="16">
        <v>19</v>
      </c>
      <c r="FT59" s="16">
        <v>31</v>
      </c>
      <c r="FU59" s="16">
        <v>47</v>
      </c>
      <c r="FV59" s="16">
        <v>21</v>
      </c>
      <c r="FW59" s="16">
        <v>58</v>
      </c>
      <c r="FX59" s="16">
        <v>109</v>
      </c>
      <c r="FY59" s="16">
        <v>11</v>
      </c>
      <c r="FZ59" s="16">
        <v>26</v>
      </c>
      <c r="GA59" s="16">
        <v>5</v>
      </c>
      <c r="GB59" s="16">
        <v>564</v>
      </c>
      <c r="GC59" s="16">
        <v>7</v>
      </c>
      <c r="GD59" s="16">
        <v>120</v>
      </c>
      <c r="GE59" s="16">
        <v>2</v>
      </c>
      <c r="GF59" s="16">
        <v>110</v>
      </c>
      <c r="GG59" s="16">
        <v>0</v>
      </c>
      <c r="GH59" s="16">
        <v>10</v>
      </c>
      <c r="GI59" s="16">
        <v>4</v>
      </c>
      <c r="GJ59" s="16">
        <v>16</v>
      </c>
      <c r="GK59" s="16">
        <v>4</v>
      </c>
      <c r="GL59" s="16">
        <v>2</v>
      </c>
      <c r="GM59" s="16">
        <v>47</v>
      </c>
      <c r="GN59" s="16">
        <v>5</v>
      </c>
      <c r="GO59" s="16">
        <v>9</v>
      </c>
      <c r="GP59" s="16">
        <v>4</v>
      </c>
      <c r="GQ59" s="16">
        <v>0</v>
      </c>
      <c r="GR59" s="16">
        <v>5</v>
      </c>
      <c r="GS59" s="16">
        <v>5</v>
      </c>
      <c r="GT59" s="16">
        <v>1</v>
      </c>
      <c r="GU59" s="16">
        <v>14</v>
      </c>
      <c r="GV59" s="16">
        <v>12</v>
      </c>
      <c r="GW59" s="16">
        <v>9</v>
      </c>
      <c r="GX59" s="16">
        <v>4</v>
      </c>
      <c r="GY59" s="16">
        <v>0</v>
      </c>
      <c r="GZ59" s="16">
        <v>12</v>
      </c>
      <c r="HA59" s="16">
        <v>8</v>
      </c>
      <c r="HB59" s="16">
        <v>7</v>
      </c>
      <c r="HC59" s="16">
        <v>37</v>
      </c>
      <c r="HD59" s="16">
        <v>37</v>
      </c>
      <c r="HE59" s="16">
        <v>4</v>
      </c>
      <c r="HF59" s="16">
        <v>22</v>
      </c>
      <c r="HG59" s="16">
        <v>13</v>
      </c>
      <c r="HH59" s="16">
        <v>8</v>
      </c>
      <c r="HI59" s="16">
        <v>9</v>
      </c>
      <c r="HJ59" s="16">
        <v>11</v>
      </c>
      <c r="HK59" s="16">
        <v>7</v>
      </c>
      <c r="HL59" s="16">
        <v>37</v>
      </c>
      <c r="HM59" s="16">
        <v>20</v>
      </c>
      <c r="HN59" s="16">
        <v>30</v>
      </c>
      <c r="HO59" s="16">
        <v>28</v>
      </c>
      <c r="HP59" s="16">
        <v>19</v>
      </c>
      <c r="HQ59" s="16">
        <v>37</v>
      </c>
      <c r="HR59" s="16">
        <v>34</v>
      </c>
      <c r="HS59" s="16">
        <v>31</v>
      </c>
      <c r="HT59" s="16">
        <v>4</v>
      </c>
      <c r="HU59" s="16">
        <v>149</v>
      </c>
      <c r="HV59" s="16">
        <v>8</v>
      </c>
      <c r="HW59" s="16">
        <v>19</v>
      </c>
      <c r="HX59" s="16">
        <v>50</v>
      </c>
      <c r="HY59" s="16">
        <v>43</v>
      </c>
      <c r="HZ59" s="16">
        <v>97</v>
      </c>
      <c r="IA59" s="16">
        <v>26</v>
      </c>
      <c r="IB59" s="16">
        <v>5</v>
      </c>
      <c r="IC59" s="16">
        <v>4</v>
      </c>
      <c r="ID59" s="16">
        <v>8</v>
      </c>
      <c r="IE59" s="16">
        <v>1</v>
      </c>
      <c r="IF59" s="16">
        <v>12</v>
      </c>
      <c r="IG59" s="16">
        <v>197</v>
      </c>
      <c r="IH59" s="16">
        <v>22</v>
      </c>
      <c r="II59" s="16">
        <v>5</v>
      </c>
      <c r="IJ59" s="16">
        <v>2</v>
      </c>
      <c r="IK59" s="16">
        <v>13</v>
      </c>
      <c r="IL59" s="16">
        <v>0</v>
      </c>
      <c r="IM59" s="16">
        <v>0</v>
      </c>
      <c r="IN59" s="16">
        <v>5</v>
      </c>
      <c r="IO59" s="16">
        <v>47</v>
      </c>
      <c r="IP59" s="16">
        <v>2</v>
      </c>
      <c r="IQ59" s="16">
        <v>0</v>
      </c>
      <c r="IR59" s="16">
        <v>5</v>
      </c>
      <c r="IS59" s="16">
        <v>4</v>
      </c>
      <c r="IT59" s="16">
        <v>2</v>
      </c>
      <c r="IU59" s="16">
        <v>0</v>
      </c>
      <c r="IV59" s="16">
        <v>0</v>
      </c>
      <c r="IW59" s="16">
        <v>23</v>
      </c>
      <c r="IX59" s="16">
        <v>8</v>
      </c>
      <c r="IY59" s="16">
        <v>28</v>
      </c>
      <c r="IZ59" s="16">
        <v>1</v>
      </c>
      <c r="JA59" s="16">
        <v>6</v>
      </c>
      <c r="JB59" s="16">
        <v>0</v>
      </c>
      <c r="JC59" s="16">
        <v>5</v>
      </c>
      <c r="JD59" s="16">
        <v>0</v>
      </c>
      <c r="JE59" s="16">
        <v>15</v>
      </c>
      <c r="JF59" s="16">
        <v>6</v>
      </c>
      <c r="JG59" s="16">
        <v>12310</v>
      </c>
      <c r="JH59" s="16">
        <v>6</v>
      </c>
      <c r="JI59" s="16">
        <v>4</v>
      </c>
      <c r="JJ59" s="16">
        <v>19</v>
      </c>
      <c r="JK59" s="16">
        <v>19</v>
      </c>
      <c r="JL59" s="16">
        <v>5</v>
      </c>
      <c r="JM59" s="16">
        <v>0</v>
      </c>
      <c r="JN59" s="16">
        <v>15</v>
      </c>
      <c r="JO59" s="16">
        <v>16</v>
      </c>
      <c r="JP59" s="16">
        <v>173</v>
      </c>
      <c r="JQ59" s="16">
        <v>49</v>
      </c>
      <c r="JR59" s="16">
        <v>1814</v>
      </c>
      <c r="JS59" s="16">
        <v>944</v>
      </c>
      <c r="JT59" s="16">
        <v>0</v>
      </c>
      <c r="JU59" s="16">
        <v>0</v>
      </c>
      <c r="JV59" s="16">
        <v>37</v>
      </c>
      <c r="JW59" s="16">
        <v>58</v>
      </c>
      <c r="JX59" s="16">
        <v>77</v>
      </c>
      <c r="JY59" s="16">
        <v>57</v>
      </c>
      <c r="JZ59" s="16">
        <v>46</v>
      </c>
      <c r="KA59" s="16">
        <v>2</v>
      </c>
      <c r="KB59" s="16">
        <v>1</v>
      </c>
      <c r="KC59" s="16">
        <v>14</v>
      </c>
      <c r="KD59" s="16">
        <v>17</v>
      </c>
      <c r="KE59" s="16">
        <v>2</v>
      </c>
      <c r="KF59" s="16">
        <v>25</v>
      </c>
      <c r="KG59" s="16">
        <v>27</v>
      </c>
      <c r="KH59" s="16">
        <v>2</v>
      </c>
      <c r="KI59" s="16">
        <v>9</v>
      </c>
      <c r="KJ59" s="16">
        <v>31</v>
      </c>
      <c r="KK59" s="16">
        <v>200763</v>
      </c>
      <c r="KL59" s="16">
        <v>4</v>
      </c>
      <c r="KM59" s="16">
        <v>34</v>
      </c>
      <c r="KN59" s="16">
        <v>8</v>
      </c>
      <c r="KO59" s="16">
        <v>21</v>
      </c>
      <c r="KP59" s="16">
        <v>24</v>
      </c>
      <c r="KQ59" s="16">
        <v>9</v>
      </c>
      <c r="KR59" s="16">
        <v>50</v>
      </c>
      <c r="KS59" s="16">
        <v>36</v>
      </c>
      <c r="KT59" s="16">
        <v>29</v>
      </c>
      <c r="KU59" s="16">
        <v>187</v>
      </c>
      <c r="KV59" s="16">
        <v>20</v>
      </c>
      <c r="KW59" s="16">
        <v>153</v>
      </c>
      <c r="KX59" s="16">
        <v>1</v>
      </c>
      <c r="KY59" s="16">
        <v>43</v>
      </c>
      <c r="KZ59" s="16">
        <v>1350776</v>
      </c>
      <c r="LA59" s="16">
        <v>133500</v>
      </c>
      <c r="LB59" s="16">
        <v>502522</v>
      </c>
      <c r="LC59" s="16">
        <v>0</v>
      </c>
      <c r="LD59" s="16">
        <v>229</v>
      </c>
      <c r="LE59" s="16">
        <v>129</v>
      </c>
      <c r="LF59" s="16">
        <v>15</v>
      </c>
      <c r="LG59" s="16">
        <v>12</v>
      </c>
      <c r="LH59" s="16">
        <v>322</v>
      </c>
      <c r="LI59" s="16">
        <v>6</v>
      </c>
      <c r="LJ59" s="16">
        <v>12</v>
      </c>
      <c r="LK59" s="16">
        <v>83</v>
      </c>
      <c r="LL59" s="16">
        <v>2805</v>
      </c>
      <c r="LM59" s="16">
        <v>1056</v>
      </c>
      <c r="LN59" s="16">
        <v>230</v>
      </c>
      <c r="LO59" s="16">
        <v>28</v>
      </c>
      <c r="LP59" s="16">
        <v>76</v>
      </c>
      <c r="LQ59" s="16">
        <v>123</v>
      </c>
      <c r="LR59" s="16">
        <v>223</v>
      </c>
      <c r="LS59" s="16">
        <v>329</v>
      </c>
      <c r="LT59" s="16">
        <v>106</v>
      </c>
      <c r="LU59" s="16">
        <v>54</v>
      </c>
      <c r="LV59" s="16">
        <v>6</v>
      </c>
      <c r="LW59" s="16">
        <v>43</v>
      </c>
      <c r="LX59" s="16">
        <v>65</v>
      </c>
      <c r="LY59" s="16">
        <v>0</v>
      </c>
      <c r="LZ59" s="16">
        <v>60</v>
      </c>
      <c r="MA59" s="16">
        <v>39</v>
      </c>
      <c r="MB59" s="16">
        <v>175</v>
      </c>
      <c r="MC59" s="16">
        <v>149</v>
      </c>
      <c r="MD59" s="16">
        <v>5</v>
      </c>
      <c r="ME59" s="16">
        <v>54</v>
      </c>
      <c r="MF59" s="16">
        <v>3730</v>
      </c>
      <c r="MG59" s="16">
        <v>438</v>
      </c>
      <c r="MH59" s="16">
        <v>5539</v>
      </c>
      <c r="MI59" s="16">
        <v>64</v>
      </c>
      <c r="MJ59" s="16">
        <v>429</v>
      </c>
      <c r="MK59" s="16">
        <v>2200</v>
      </c>
      <c r="ML59" s="16">
        <v>49</v>
      </c>
      <c r="MM59" s="16">
        <v>408</v>
      </c>
      <c r="MN59" s="16">
        <v>161</v>
      </c>
      <c r="MO59" s="16">
        <v>7269</v>
      </c>
      <c r="MP59" s="16">
        <v>797</v>
      </c>
      <c r="MQ59" s="16">
        <v>1216</v>
      </c>
      <c r="MR59" s="16">
        <v>22363</v>
      </c>
      <c r="MS59" s="16">
        <v>3683</v>
      </c>
      <c r="MT59" s="16">
        <v>163</v>
      </c>
      <c r="MU59" s="16">
        <v>20016</v>
      </c>
      <c r="MV59" s="16">
        <v>285</v>
      </c>
      <c r="MW59" s="16">
        <v>545</v>
      </c>
      <c r="MX59" s="16">
        <v>52</v>
      </c>
      <c r="MY59" s="16">
        <v>45</v>
      </c>
      <c r="MZ59" s="16">
        <v>428</v>
      </c>
      <c r="NA59" s="16">
        <v>200</v>
      </c>
      <c r="NB59" s="16">
        <v>803</v>
      </c>
      <c r="NC59" s="16">
        <v>104</v>
      </c>
      <c r="ND59" s="16">
        <v>61</v>
      </c>
      <c r="NE59" s="16">
        <v>19</v>
      </c>
      <c r="NF59" s="16">
        <v>74</v>
      </c>
      <c r="NG59" s="16">
        <v>289</v>
      </c>
      <c r="NH59" s="16">
        <v>139</v>
      </c>
      <c r="NI59" s="16">
        <v>860</v>
      </c>
      <c r="NJ59" s="16">
        <v>3999</v>
      </c>
      <c r="NK59" s="16">
        <v>66</v>
      </c>
      <c r="NL59" s="16">
        <v>5</v>
      </c>
      <c r="NM59" s="16">
        <v>85</v>
      </c>
      <c r="NN59" s="16">
        <v>73</v>
      </c>
      <c r="NO59" s="16">
        <v>0</v>
      </c>
      <c r="NP59" s="16">
        <v>110</v>
      </c>
      <c r="NQ59" s="16">
        <v>582</v>
      </c>
      <c r="NR59" s="17">
        <v>2745438</v>
      </c>
    </row>
    <row r="60" spans="1:382" ht="13.5" customHeight="1" x14ac:dyDescent="0.2">
      <c r="A60" s="2" t="s">
        <v>127</v>
      </c>
      <c r="B60" s="16">
        <v>499</v>
      </c>
      <c r="C60" s="16">
        <v>138</v>
      </c>
      <c r="D60" s="16">
        <v>142</v>
      </c>
      <c r="E60" s="16">
        <v>56</v>
      </c>
      <c r="F60" s="16">
        <v>778</v>
      </c>
      <c r="G60" s="16">
        <v>480</v>
      </c>
      <c r="H60" s="16">
        <v>44</v>
      </c>
      <c r="I60" s="16">
        <v>187</v>
      </c>
      <c r="J60" s="16">
        <v>2</v>
      </c>
      <c r="K60" s="16">
        <v>0</v>
      </c>
      <c r="L60" s="16">
        <v>3</v>
      </c>
      <c r="M60" s="16">
        <v>42</v>
      </c>
      <c r="N60" s="16">
        <v>0</v>
      </c>
      <c r="O60" s="16">
        <v>6</v>
      </c>
      <c r="P60" s="16">
        <v>1049</v>
      </c>
      <c r="Q60" s="16">
        <v>1608</v>
      </c>
      <c r="R60" s="16">
        <v>188</v>
      </c>
      <c r="S60" s="16">
        <v>224</v>
      </c>
      <c r="T60" s="16">
        <v>9</v>
      </c>
      <c r="U60" s="16">
        <v>191</v>
      </c>
      <c r="V60" s="16">
        <v>35</v>
      </c>
      <c r="W60" s="16">
        <v>40</v>
      </c>
      <c r="X60" s="16">
        <v>12572</v>
      </c>
      <c r="Y60" s="16">
        <v>45854</v>
      </c>
      <c r="Z60" s="16">
        <v>2427</v>
      </c>
      <c r="AA60" s="16">
        <v>4</v>
      </c>
      <c r="AB60" s="16">
        <v>0</v>
      </c>
      <c r="AC60" s="16">
        <v>0</v>
      </c>
      <c r="AD60" s="16">
        <v>0</v>
      </c>
      <c r="AE60" s="16">
        <v>7</v>
      </c>
      <c r="AF60" s="16">
        <v>19</v>
      </c>
      <c r="AG60" s="16">
        <v>1550</v>
      </c>
      <c r="AH60" s="16">
        <v>966</v>
      </c>
      <c r="AI60" s="16">
        <v>798</v>
      </c>
      <c r="AJ60" s="16">
        <v>1957</v>
      </c>
      <c r="AK60" s="16">
        <v>667</v>
      </c>
      <c r="AL60" s="16">
        <v>51</v>
      </c>
      <c r="AM60" s="16">
        <v>1454</v>
      </c>
      <c r="AN60" s="16">
        <v>1279</v>
      </c>
      <c r="AO60" s="16">
        <v>1217</v>
      </c>
      <c r="AP60" s="16">
        <v>23</v>
      </c>
      <c r="AQ60" s="16">
        <v>328</v>
      </c>
      <c r="AR60" s="16">
        <v>0</v>
      </c>
      <c r="AS60" s="16">
        <v>62</v>
      </c>
      <c r="AT60" s="16">
        <v>1241</v>
      </c>
      <c r="AU60" s="16">
        <v>2802</v>
      </c>
      <c r="AV60" s="16">
        <v>11</v>
      </c>
      <c r="AW60" s="16">
        <v>252</v>
      </c>
      <c r="AX60" s="16">
        <v>2</v>
      </c>
      <c r="AY60" s="16">
        <v>24781</v>
      </c>
      <c r="AZ60" s="16">
        <v>1710</v>
      </c>
      <c r="BA60" s="16">
        <v>6865</v>
      </c>
      <c r="BB60" s="16">
        <v>2418</v>
      </c>
      <c r="BC60" s="16">
        <v>566</v>
      </c>
      <c r="BD60" s="16">
        <v>1</v>
      </c>
      <c r="BE60" s="16">
        <v>26</v>
      </c>
      <c r="BF60" s="16">
        <v>82</v>
      </c>
      <c r="BG60" s="16">
        <v>27</v>
      </c>
      <c r="BH60" s="16">
        <v>3868</v>
      </c>
      <c r="BI60" s="16">
        <v>37</v>
      </c>
      <c r="BJ60" s="16">
        <v>121</v>
      </c>
      <c r="BK60" s="16">
        <v>96</v>
      </c>
      <c r="BL60" s="16">
        <v>967</v>
      </c>
      <c r="BM60" s="16">
        <v>294</v>
      </c>
      <c r="BN60" s="16">
        <v>294</v>
      </c>
      <c r="BO60" s="16">
        <v>1170</v>
      </c>
      <c r="BP60" s="16">
        <v>334</v>
      </c>
      <c r="BQ60" s="16">
        <v>72</v>
      </c>
      <c r="BR60" s="16">
        <v>22</v>
      </c>
      <c r="BS60" s="16">
        <v>2155</v>
      </c>
      <c r="BT60" s="16">
        <v>22</v>
      </c>
      <c r="BU60" s="16">
        <v>17</v>
      </c>
      <c r="BV60" s="16">
        <v>25</v>
      </c>
      <c r="BW60" s="16">
        <v>54</v>
      </c>
      <c r="BX60" s="16">
        <v>22</v>
      </c>
      <c r="BY60" s="16">
        <v>0</v>
      </c>
      <c r="BZ60" s="16">
        <v>108</v>
      </c>
      <c r="CA60" s="16">
        <v>217</v>
      </c>
      <c r="CB60" s="16">
        <v>61</v>
      </c>
      <c r="CC60" s="16">
        <v>846</v>
      </c>
      <c r="CD60" s="16">
        <v>367</v>
      </c>
      <c r="CE60" s="16">
        <v>213</v>
      </c>
      <c r="CF60" s="16">
        <v>678</v>
      </c>
      <c r="CG60" s="16">
        <v>330</v>
      </c>
      <c r="CH60" s="16">
        <v>141</v>
      </c>
      <c r="CI60" s="16">
        <v>17</v>
      </c>
      <c r="CJ60" s="16">
        <v>440</v>
      </c>
      <c r="CK60" s="16">
        <v>986</v>
      </c>
      <c r="CL60" s="16">
        <v>419</v>
      </c>
      <c r="CM60" s="16">
        <v>645</v>
      </c>
      <c r="CN60" s="16">
        <v>58</v>
      </c>
      <c r="CO60" s="16">
        <v>561</v>
      </c>
      <c r="CP60" s="16">
        <v>442</v>
      </c>
      <c r="CQ60" s="16">
        <v>5466</v>
      </c>
      <c r="CR60" s="16">
        <v>57</v>
      </c>
      <c r="CS60" s="16">
        <v>385</v>
      </c>
      <c r="CT60" s="16">
        <v>1237</v>
      </c>
      <c r="CU60" s="16">
        <v>734</v>
      </c>
      <c r="CV60" s="16">
        <v>700</v>
      </c>
      <c r="CW60" s="16">
        <v>2184</v>
      </c>
      <c r="CX60" s="16">
        <v>1368</v>
      </c>
      <c r="CY60" s="16">
        <v>208</v>
      </c>
      <c r="CZ60" s="16">
        <v>266</v>
      </c>
      <c r="DA60" s="16">
        <v>31</v>
      </c>
      <c r="DB60" s="16">
        <v>1486</v>
      </c>
      <c r="DC60" s="16">
        <v>191</v>
      </c>
      <c r="DD60" s="16">
        <v>1188</v>
      </c>
      <c r="DE60" s="16">
        <v>2010</v>
      </c>
      <c r="DF60" s="16">
        <v>403</v>
      </c>
      <c r="DG60" s="16">
        <v>257</v>
      </c>
      <c r="DH60" s="16">
        <v>1527</v>
      </c>
      <c r="DI60" s="16">
        <v>229</v>
      </c>
      <c r="DJ60" s="16">
        <v>13255</v>
      </c>
      <c r="DK60" s="16">
        <v>132</v>
      </c>
      <c r="DL60" s="16">
        <v>586</v>
      </c>
      <c r="DM60" s="16">
        <v>5487</v>
      </c>
      <c r="DN60" s="16">
        <v>169</v>
      </c>
      <c r="DO60" s="16">
        <v>493</v>
      </c>
      <c r="DP60" s="16">
        <v>1617</v>
      </c>
      <c r="DQ60" s="16">
        <v>100</v>
      </c>
      <c r="DR60" s="16">
        <v>243</v>
      </c>
      <c r="DS60" s="16">
        <v>2154</v>
      </c>
      <c r="DT60" s="16">
        <v>299</v>
      </c>
      <c r="DU60" s="16">
        <v>213</v>
      </c>
      <c r="DV60" s="16">
        <v>121</v>
      </c>
      <c r="DW60" s="16">
        <v>1646</v>
      </c>
      <c r="DX60" s="16">
        <v>794</v>
      </c>
      <c r="DY60" s="16">
        <v>2721</v>
      </c>
      <c r="DZ60" s="16">
        <v>4445</v>
      </c>
      <c r="EA60" s="16">
        <v>1853</v>
      </c>
      <c r="EB60" s="16">
        <v>87</v>
      </c>
      <c r="EC60" s="16">
        <v>214</v>
      </c>
      <c r="ED60" s="16">
        <v>169</v>
      </c>
      <c r="EE60" s="16">
        <v>16</v>
      </c>
      <c r="EF60" s="16">
        <v>9</v>
      </c>
      <c r="EG60" s="16">
        <v>207</v>
      </c>
      <c r="EH60" s="16">
        <v>88</v>
      </c>
      <c r="EI60" s="16">
        <v>246</v>
      </c>
      <c r="EJ60" s="16">
        <v>260</v>
      </c>
      <c r="EK60" s="16">
        <v>41</v>
      </c>
      <c r="EL60" s="16">
        <v>63</v>
      </c>
      <c r="EM60" s="16">
        <v>75</v>
      </c>
      <c r="EN60" s="16">
        <v>1287</v>
      </c>
      <c r="EO60" s="16">
        <v>545</v>
      </c>
      <c r="EP60" s="16">
        <v>163</v>
      </c>
      <c r="EQ60" s="16">
        <v>469</v>
      </c>
      <c r="ER60" s="16">
        <v>58</v>
      </c>
      <c r="ES60" s="16">
        <v>180</v>
      </c>
      <c r="ET60" s="16">
        <v>1253</v>
      </c>
      <c r="EU60" s="16">
        <v>80</v>
      </c>
      <c r="EV60" s="16">
        <v>42</v>
      </c>
      <c r="EW60" s="16">
        <v>21</v>
      </c>
      <c r="EX60" s="16">
        <v>3658</v>
      </c>
      <c r="EY60" s="16">
        <v>234</v>
      </c>
      <c r="EZ60" s="16">
        <v>22</v>
      </c>
      <c r="FA60" s="16">
        <v>60</v>
      </c>
      <c r="FB60" s="16">
        <v>68</v>
      </c>
      <c r="FC60" s="16">
        <v>77</v>
      </c>
      <c r="FD60" s="16">
        <v>779</v>
      </c>
      <c r="FE60" s="16">
        <v>101</v>
      </c>
      <c r="FF60" s="16">
        <v>232</v>
      </c>
      <c r="FG60" s="16">
        <v>404</v>
      </c>
      <c r="FH60" s="16">
        <v>287</v>
      </c>
      <c r="FI60" s="16">
        <v>144</v>
      </c>
      <c r="FJ60" s="16">
        <v>191</v>
      </c>
      <c r="FK60" s="16">
        <v>460</v>
      </c>
      <c r="FL60" s="16">
        <v>283</v>
      </c>
      <c r="FM60" s="16">
        <v>283</v>
      </c>
      <c r="FN60" s="16">
        <v>1148</v>
      </c>
      <c r="FO60" s="16">
        <v>1148</v>
      </c>
      <c r="FP60" s="16">
        <v>418</v>
      </c>
      <c r="FQ60" s="16">
        <v>1824</v>
      </c>
      <c r="FR60" s="16">
        <v>296</v>
      </c>
      <c r="FS60" s="16">
        <v>279</v>
      </c>
      <c r="FT60" s="16">
        <v>527</v>
      </c>
      <c r="FU60" s="16">
        <v>1144</v>
      </c>
      <c r="FV60" s="16">
        <v>740</v>
      </c>
      <c r="FW60" s="16">
        <v>656</v>
      </c>
      <c r="FX60" s="16">
        <v>1657</v>
      </c>
      <c r="FY60" s="16">
        <v>169</v>
      </c>
      <c r="FZ60" s="16">
        <v>496</v>
      </c>
      <c r="GA60" s="16">
        <v>107</v>
      </c>
      <c r="GB60" s="16">
        <v>2719</v>
      </c>
      <c r="GC60" s="16">
        <v>289</v>
      </c>
      <c r="GD60" s="16">
        <v>738</v>
      </c>
      <c r="GE60" s="16">
        <v>73</v>
      </c>
      <c r="GF60" s="16">
        <v>2376</v>
      </c>
      <c r="GG60" s="16">
        <v>2</v>
      </c>
      <c r="GH60" s="16">
        <v>15</v>
      </c>
      <c r="GI60" s="16">
        <v>4</v>
      </c>
      <c r="GJ60" s="16">
        <v>442</v>
      </c>
      <c r="GK60" s="16">
        <v>75</v>
      </c>
      <c r="GL60" s="16">
        <v>1</v>
      </c>
      <c r="GM60" s="16">
        <v>12</v>
      </c>
      <c r="GN60" s="16">
        <v>112</v>
      </c>
      <c r="GO60" s="16">
        <v>298</v>
      </c>
      <c r="GP60" s="16">
        <v>44</v>
      </c>
      <c r="GQ60" s="16">
        <v>1</v>
      </c>
      <c r="GR60" s="16">
        <v>185</v>
      </c>
      <c r="GS60" s="16">
        <v>19</v>
      </c>
      <c r="GT60" s="16">
        <v>4</v>
      </c>
      <c r="GU60" s="16">
        <v>476</v>
      </c>
      <c r="GV60" s="16">
        <v>136</v>
      </c>
      <c r="GW60" s="16">
        <v>154</v>
      </c>
      <c r="GX60" s="16">
        <v>36</v>
      </c>
      <c r="GY60" s="16">
        <v>20</v>
      </c>
      <c r="GZ60" s="16">
        <v>127</v>
      </c>
      <c r="HA60" s="16">
        <v>119</v>
      </c>
      <c r="HB60" s="16">
        <v>160</v>
      </c>
      <c r="HC60" s="16">
        <v>139</v>
      </c>
      <c r="HD60" s="16">
        <v>591</v>
      </c>
      <c r="HE60" s="16">
        <v>107</v>
      </c>
      <c r="HF60" s="16">
        <v>349</v>
      </c>
      <c r="HG60" s="16">
        <v>90</v>
      </c>
      <c r="HH60" s="16">
        <v>108</v>
      </c>
      <c r="HI60" s="16">
        <v>128</v>
      </c>
      <c r="HJ60" s="16">
        <v>298</v>
      </c>
      <c r="HK60" s="16">
        <v>203</v>
      </c>
      <c r="HL60" s="16">
        <v>1611</v>
      </c>
      <c r="HM60" s="16">
        <v>438</v>
      </c>
      <c r="HN60" s="16">
        <v>3785</v>
      </c>
      <c r="HO60" s="16">
        <v>256</v>
      </c>
      <c r="HP60" s="16">
        <v>55</v>
      </c>
      <c r="HQ60" s="16">
        <v>783</v>
      </c>
      <c r="HR60" s="16">
        <v>646</v>
      </c>
      <c r="HS60" s="16">
        <v>416</v>
      </c>
      <c r="HT60" s="16">
        <v>15</v>
      </c>
      <c r="HU60" s="16">
        <v>467</v>
      </c>
      <c r="HV60" s="16">
        <v>201</v>
      </c>
      <c r="HW60" s="16">
        <v>225</v>
      </c>
      <c r="HX60" s="16">
        <v>601</v>
      </c>
      <c r="HY60" s="16">
        <v>960</v>
      </c>
      <c r="HZ60" s="16">
        <v>1419</v>
      </c>
      <c r="IA60" s="16">
        <v>364</v>
      </c>
      <c r="IB60" s="16">
        <v>57</v>
      </c>
      <c r="IC60" s="16">
        <v>38</v>
      </c>
      <c r="ID60" s="16">
        <v>42</v>
      </c>
      <c r="IE60" s="16">
        <v>17</v>
      </c>
      <c r="IF60" s="16">
        <v>70</v>
      </c>
      <c r="IG60" s="16">
        <v>904</v>
      </c>
      <c r="IH60" s="16">
        <v>1465</v>
      </c>
      <c r="II60" s="16">
        <v>197</v>
      </c>
      <c r="IJ60" s="16">
        <v>88</v>
      </c>
      <c r="IK60" s="16">
        <v>224</v>
      </c>
      <c r="IL60" s="16">
        <v>278</v>
      </c>
      <c r="IM60" s="16">
        <v>20</v>
      </c>
      <c r="IN60" s="16">
        <v>205</v>
      </c>
      <c r="IO60" s="16">
        <v>1872</v>
      </c>
      <c r="IP60" s="16">
        <v>26</v>
      </c>
      <c r="IQ60" s="16">
        <v>5</v>
      </c>
      <c r="IR60" s="16">
        <v>16</v>
      </c>
      <c r="IS60" s="16">
        <v>136</v>
      </c>
      <c r="IT60" s="16">
        <v>53</v>
      </c>
      <c r="IU60" s="16">
        <v>10</v>
      </c>
      <c r="IV60" s="16">
        <v>57</v>
      </c>
      <c r="IW60" s="16">
        <v>642</v>
      </c>
      <c r="IX60" s="16">
        <v>166</v>
      </c>
      <c r="IY60" s="16">
        <v>264</v>
      </c>
      <c r="IZ60" s="16">
        <v>9</v>
      </c>
      <c r="JA60" s="16">
        <v>131</v>
      </c>
      <c r="JB60" s="16">
        <v>10</v>
      </c>
      <c r="JC60" s="16">
        <v>7</v>
      </c>
      <c r="JD60" s="16">
        <v>25</v>
      </c>
      <c r="JE60" s="16">
        <v>115</v>
      </c>
      <c r="JF60" s="16">
        <v>382</v>
      </c>
      <c r="JG60" s="16">
        <v>12656</v>
      </c>
      <c r="JH60" s="16">
        <v>1913</v>
      </c>
      <c r="JI60" s="16">
        <v>30</v>
      </c>
      <c r="JJ60" s="16">
        <v>2808</v>
      </c>
      <c r="JK60" s="16">
        <v>217</v>
      </c>
      <c r="JL60" s="16">
        <v>1011</v>
      </c>
      <c r="JM60" s="16">
        <v>162</v>
      </c>
      <c r="JN60" s="16">
        <v>2527</v>
      </c>
      <c r="JO60" s="16">
        <v>1135</v>
      </c>
      <c r="JP60" s="16">
        <v>1803</v>
      </c>
      <c r="JQ60" s="16">
        <v>1878</v>
      </c>
      <c r="JR60" s="16">
        <v>15423</v>
      </c>
      <c r="JS60" s="16">
        <v>1686</v>
      </c>
      <c r="JT60" s="16">
        <v>0</v>
      </c>
      <c r="JU60" s="16">
        <v>9087</v>
      </c>
      <c r="JV60" s="16">
        <v>618</v>
      </c>
      <c r="JW60" s="16">
        <v>609</v>
      </c>
      <c r="JX60" s="16">
        <v>682</v>
      </c>
      <c r="JY60" s="16">
        <v>1043</v>
      </c>
      <c r="JZ60" s="16">
        <v>565</v>
      </c>
      <c r="KA60" s="16">
        <v>94</v>
      </c>
      <c r="KB60" s="16">
        <v>43</v>
      </c>
      <c r="KC60" s="16">
        <v>176</v>
      </c>
      <c r="KD60" s="16">
        <v>430</v>
      </c>
      <c r="KE60" s="16">
        <v>69</v>
      </c>
      <c r="KF60" s="16">
        <v>35</v>
      </c>
      <c r="KG60" s="16">
        <v>296</v>
      </c>
      <c r="KH60" s="16">
        <v>2</v>
      </c>
      <c r="KI60" s="16">
        <v>181</v>
      </c>
      <c r="KJ60" s="16">
        <v>281</v>
      </c>
      <c r="KK60" s="16">
        <v>365860</v>
      </c>
      <c r="KL60" s="16">
        <v>55</v>
      </c>
      <c r="KM60" s="16">
        <v>348</v>
      </c>
      <c r="KN60" s="16">
        <v>50</v>
      </c>
      <c r="KO60" s="16">
        <v>1228</v>
      </c>
      <c r="KP60" s="16">
        <v>397</v>
      </c>
      <c r="KQ60" s="16">
        <v>79</v>
      </c>
      <c r="KR60" s="16">
        <v>10471</v>
      </c>
      <c r="KS60" s="16">
        <v>2986</v>
      </c>
      <c r="KT60" s="16">
        <v>551</v>
      </c>
      <c r="KU60" s="16">
        <v>7270</v>
      </c>
      <c r="KV60" s="16">
        <v>17119</v>
      </c>
      <c r="KW60" s="16">
        <v>24475</v>
      </c>
      <c r="KX60" s="16">
        <v>11</v>
      </c>
      <c r="KY60" s="16">
        <v>4868</v>
      </c>
      <c r="KZ60" s="16">
        <v>1138589</v>
      </c>
      <c r="LA60" s="16">
        <v>511888</v>
      </c>
      <c r="LB60" s="16">
        <v>453782</v>
      </c>
      <c r="LC60" s="16">
        <v>883965</v>
      </c>
      <c r="LD60" s="16">
        <v>258730</v>
      </c>
      <c r="LE60" s="16">
        <v>338</v>
      </c>
      <c r="LF60" s="16">
        <v>177</v>
      </c>
      <c r="LG60" s="16">
        <v>459</v>
      </c>
      <c r="LH60" s="16">
        <v>990</v>
      </c>
      <c r="LI60" s="16">
        <v>5</v>
      </c>
      <c r="LJ60" s="16">
        <v>477</v>
      </c>
      <c r="LK60" s="16">
        <v>2492</v>
      </c>
      <c r="LL60" s="16">
        <v>9673</v>
      </c>
      <c r="LM60" s="16">
        <v>55802</v>
      </c>
      <c r="LN60" s="16">
        <v>11235</v>
      </c>
      <c r="LO60" s="16">
        <v>418</v>
      </c>
      <c r="LP60" s="16">
        <v>2946</v>
      </c>
      <c r="LQ60" s="16">
        <v>3497</v>
      </c>
      <c r="LR60" s="16">
        <v>13765</v>
      </c>
      <c r="LS60" s="16">
        <v>4642</v>
      </c>
      <c r="LT60" s="16">
        <v>4473</v>
      </c>
      <c r="LU60" s="16">
        <v>5421</v>
      </c>
      <c r="LV60" s="16">
        <v>15</v>
      </c>
      <c r="LW60" s="16">
        <v>2574</v>
      </c>
      <c r="LX60" s="16">
        <v>5869</v>
      </c>
      <c r="LY60" s="16">
        <v>0</v>
      </c>
      <c r="LZ60" s="16">
        <v>126</v>
      </c>
      <c r="MA60" s="16">
        <v>92</v>
      </c>
      <c r="MB60" s="16">
        <v>1707</v>
      </c>
      <c r="MC60" s="16">
        <v>2964</v>
      </c>
      <c r="MD60" s="16">
        <v>1606</v>
      </c>
      <c r="ME60" s="16">
        <v>1653</v>
      </c>
      <c r="MF60" s="16">
        <v>7878</v>
      </c>
      <c r="MG60" s="16">
        <v>15503</v>
      </c>
      <c r="MH60" s="16">
        <v>250464</v>
      </c>
      <c r="MI60" s="16">
        <v>925</v>
      </c>
      <c r="MJ60" s="16">
        <v>912</v>
      </c>
      <c r="MK60" s="16">
        <v>9242</v>
      </c>
      <c r="ML60" s="16">
        <v>825</v>
      </c>
      <c r="MM60" s="16">
        <v>4655</v>
      </c>
      <c r="MN60" s="16">
        <v>9862</v>
      </c>
      <c r="MO60" s="16">
        <v>8374</v>
      </c>
      <c r="MP60" s="16">
        <v>82934</v>
      </c>
      <c r="MQ60" s="16">
        <v>66796</v>
      </c>
      <c r="MR60" s="16">
        <v>24444</v>
      </c>
      <c r="MS60" s="16">
        <v>9045</v>
      </c>
      <c r="MT60" s="16">
        <v>2627</v>
      </c>
      <c r="MU60" s="16">
        <v>121379</v>
      </c>
      <c r="MV60" s="16">
        <v>10782</v>
      </c>
      <c r="MW60" s="16">
        <v>54178</v>
      </c>
      <c r="MX60" s="16">
        <v>247</v>
      </c>
      <c r="MY60" s="16">
        <v>776</v>
      </c>
      <c r="MZ60" s="16">
        <v>13483</v>
      </c>
      <c r="NA60" s="16">
        <v>7229</v>
      </c>
      <c r="NB60" s="16">
        <v>19655</v>
      </c>
      <c r="NC60" s="16">
        <v>1187</v>
      </c>
      <c r="ND60" s="16">
        <v>673</v>
      </c>
      <c r="NE60" s="16">
        <v>637</v>
      </c>
      <c r="NF60" s="16">
        <v>5850</v>
      </c>
      <c r="NG60" s="16">
        <v>30197</v>
      </c>
      <c r="NH60" s="16">
        <v>7399</v>
      </c>
      <c r="NI60" s="16">
        <v>63341</v>
      </c>
      <c r="NJ60" s="16">
        <v>193002</v>
      </c>
      <c r="NK60" s="16">
        <v>3063</v>
      </c>
      <c r="NL60" s="16">
        <v>837</v>
      </c>
      <c r="NM60" s="16">
        <v>22007</v>
      </c>
      <c r="NN60" s="16">
        <v>8144</v>
      </c>
      <c r="NO60" s="16">
        <v>0</v>
      </c>
      <c r="NP60" s="16">
        <v>26989</v>
      </c>
      <c r="NQ60" s="16">
        <v>507</v>
      </c>
      <c r="NR60" s="17">
        <v>5203628</v>
      </c>
    </row>
    <row r="61" spans="1:382" ht="13.5" customHeight="1" x14ac:dyDescent="0.2">
      <c r="A61" s="2" t="s">
        <v>129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650359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  <c r="CC61" s="16">
        <v>0</v>
      </c>
      <c r="CD61" s="16">
        <v>0</v>
      </c>
      <c r="CE61" s="16">
        <v>0</v>
      </c>
      <c r="CF61" s="16">
        <v>0</v>
      </c>
      <c r="CG61" s="16">
        <v>0</v>
      </c>
      <c r="CH61" s="16">
        <v>0</v>
      </c>
      <c r="CI61" s="16">
        <v>0</v>
      </c>
      <c r="CJ61" s="16">
        <v>0</v>
      </c>
      <c r="CK61" s="16">
        <v>0</v>
      </c>
      <c r="CL61" s="16">
        <v>0</v>
      </c>
      <c r="CM61" s="16">
        <v>0</v>
      </c>
      <c r="CN61" s="16">
        <v>0</v>
      </c>
      <c r="CO61" s="16">
        <v>0</v>
      </c>
      <c r="CP61" s="16">
        <v>0</v>
      </c>
      <c r="CQ61" s="16">
        <v>0</v>
      </c>
      <c r="CR61" s="16">
        <v>0</v>
      </c>
      <c r="CS61" s="16">
        <v>0</v>
      </c>
      <c r="CT61" s="16">
        <v>0</v>
      </c>
      <c r="CU61" s="16">
        <v>0</v>
      </c>
      <c r="CV61" s="16">
        <v>0</v>
      </c>
      <c r="CW61" s="16">
        <v>0</v>
      </c>
      <c r="CX61" s="16">
        <v>0</v>
      </c>
      <c r="CY61" s="16">
        <v>0</v>
      </c>
      <c r="CZ61" s="16">
        <v>0</v>
      </c>
      <c r="DA61" s="16">
        <v>0</v>
      </c>
      <c r="DB61" s="16">
        <v>0</v>
      </c>
      <c r="DC61" s="16">
        <v>0</v>
      </c>
      <c r="DD61" s="16">
        <v>0</v>
      </c>
      <c r="DE61" s="16">
        <v>0</v>
      </c>
      <c r="DF61" s="16">
        <v>0</v>
      </c>
      <c r="DG61" s="16">
        <v>0</v>
      </c>
      <c r="DH61" s="16">
        <v>0</v>
      </c>
      <c r="DI61" s="16">
        <v>0</v>
      </c>
      <c r="DJ61" s="16">
        <v>0</v>
      </c>
      <c r="DK61" s="16">
        <v>0</v>
      </c>
      <c r="DL61" s="16">
        <v>0</v>
      </c>
      <c r="DM61" s="16">
        <v>0</v>
      </c>
      <c r="DN61" s="16">
        <v>0</v>
      </c>
      <c r="DO61" s="16">
        <v>0</v>
      </c>
      <c r="DP61" s="16">
        <v>0</v>
      </c>
      <c r="DQ61" s="16">
        <v>0</v>
      </c>
      <c r="DR61" s="16">
        <v>0</v>
      </c>
      <c r="DS61" s="16">
        <v>0</v>
      </c>
      <c r="DT61" s="16">
        <v>0</v>
      </c>
      <c r="DU61" s="16">
        <v>0</v>
      </c>
      <c r="DV61" s="16">
        <v>0</v>
      </c>
      <c r="DW61" s="16">
        <v>0</v>
      </c>
      <c r="DX61" s="16">
        <v>0</v>
      </c>
      <c r="DY61" s="16">
        <v>0</v>
      </c>
      <c r="DZ61" s="16">
        <v>0</v>
      </c>
      <c r="EA61" s="16">
        <v>0</v>
      </c>
      <c r="EB61" s="16">
        <v>0</v>
      </c>
      <c r="EC61" s="16">
        <v>0</v>
      </c>
      <c r="ED61" s="16">
        <v>0</v>
      </c>
      <c r="EE61" s="16">
        <v>0</v>
      </c>
      <c r="EF61" s="16">
        <v>0</v>
      </c>
      <c r="EG61" s="16">
        <v>0</v>
      </c>
      <c r="EH61" s="16">
        <v>0</v>
      </c>
      <c r="EI61" s="16">
        <v>0</v>
      </c>
      <c r="EJ61" s="16">
        <v>0</v>
      </c>
      <c r="EK61" s="16">
        <v>0</v>
      </c>
      <c r="EL61" s="16">
        <v>0</v>
      </c>
      <c r="EM61" s="16">
        <v>0</v>
      </c>
      <c r="EN61" s="16">
        <v>0</v>
      </c>
      <c r="EO61" s="16">
        <v>0</v>
      </c>
      <c r="EP61" s="16">
        <v>0</v>
      </c>
      <c r="EQ61" s="16">
        <v>0</v>
      </c>
      <c r="ER61" s="16">
        <v>0</v>
      </c>
      <c r="ES61" s="16">
        <v>0</v>
      </c>
      <c r="ET61" s="16">
        <v>0</v>
      </c>
      <c r="EU61" s="16">
        <v>0</v>
      </c>
      <c r="EV61" s="16">
        <v>0</v>
      </c>
      <c r="EW61" s="16">
        <v>0</v>
      </c>
      <c r="EX61" s="16">
        <v>0</v>
      </c>
      <c r="EY61" s="16">
        <v>0</v>
      </c>
      <c r="EZ61" s="16">
        <v>0</v>
      </c>
      <c r="FA61" s="16">
        <v>0</v>
      </c>
      <c r="FB61" s="16">
        <v>0</v>
      </c>
      <c r="FC61" s="16">
        <v>0</v>
      </c>
      <c r="FD61" s="16">
        <v>0</v>
      </c>
      <c r="FE61" s="16">
        <v>0</v>
      </c>
      <c r="FF61" s="16">
        <v>0</v>
      </c>
      <c r="FG61" s="16">
        <v>0</v>
      </c>
      <c r="FH61" s="16">
        <v>0</v>
      </c>
      <c r="FI61" s="16">
        <v>0</v>
      </c>
      <c r="FJ61" s="16">
        <v>0</v>
      </c>
      <c r="FK61" s="16">
        <v>0</v>
      </c>
      <c r="FL61" s="16">
        <v>0</v>
      </c>
      <c r="FM61" s="16">
        <v>0</v>
      </c>
      <c r="FN61" s="16">
        <v>0</v>
      </c>
      <c r="FO61" s="16">
        <v>0</v>
      </c>
      <c r="FP61" s="16">
        <v>0</v>
      </c>
      <c r="FQ61" s="16">
        <v>0</v>
      </c>
      <c r="FR61" s="16">
        <v>0</v>
      </c>
      <c r="FS61" s="16">
        <v>0</v>
      </c>
      <c r="FT61" s="16">
        <v>0</v>
      </c>
      <c r="FU61" s="16">
        <v>0</v>
      </c>
      <c r="FV61" s="16">
        <v>0</v>
      </c>
      <c r="FW61" s="16">
        <v>0</v>
      </c>
      <c r="FX61" s="16">
        <v>0</v>
      </c>
      <c r="FY61" s="16">
        <v>0</v>
      </c>
      <c r="FZ61" s="16">
        <v>0</v>
      </c>
      <c r="GA61" s="16">
        <v>0</v>
      </c>
      <c r="GB61" s="16">
        <v>0</v>
      </c>
      <c r="GC61" s="16">
        <v>0</v>
      </c>
      <c r="GD61" s="16">
        <v>0</v>
      </c>
      <c r="GE61" s="16">
        <v>0</v>
      </c>
      <c r="GF61" s="16">
        <v>0</v>
      </c>
      <c r="GG61" s="16">
        <v>0</v>
      </c>
      <c r="GH61" s="16">
        <v>0</v>
      </c>
      <c r="GI61" s="16">
        <v>0</v>
      </c>
      <c r="GJ61" s="16">
        <v>0</v>
      </c>
      <c r="GK61" s="16">
        <v>0</v>
      </c>
      <c r="GL61" s="16">
        <v>0</v>
      </c>
      <c r="GM61" s="16">
        <v>0</v>
      </c>
      <c r="GN61" s="16">
        <v>0</v>
      </c>
      <c r="GO61" s="16">
        <v>0</v>
      </c>
      <c r="GP61" s="16">
        <v>0</v>
      </c>
      <c r="GQ61" s="16">
        <v>0</v>
      </c>
      <c r="GR61" s="16">
        <v>0</v>
      </c>
      <c r="GS61" s="16">
        <v>0</v>
      </c>
      <c r="GT61" s="16">
        <v>0</v>
      </c>
      <c r="GU61" s="16">
        <v>0</v>
      </c>
      <c r="GV61" s="16">
        <v>0</v>
      </c>
      <c r="GW61" s="16">
        <v>0</v>
      </c>
      <c r="GX61" s="16">
        <v>0</v>
      </c>
      <c r="GY61" s="16">
        <v>0</v>
      </c>
      <c r="GZ61" s="16">
        <v>0</v>
      </c>
      <c r="HA61" s="16">
        <v>0</v>
      </c>
      <c r="HB61" s="16">
        <v>0</v>
      </c>
      <c r="HC61" s="16">
        <v>0</v>
      </c>
      <c r="HD61" s="16">
        <v>0</v>
      </c>
      <c r="HE61" s="16">
        <v>0</v>
      </c>
      <c r="HF61" s="16">
        <v>0</v>
      </c>
      <c r="HG61" s="16">
        <v>0</v>
      </c>
      <c r="HH61" s="16">
        <v>0</v>
      </c>
      <c r="HI61" s="16">
        <v>0</v>
      </c>
      <c r="HJ61" s="16">
        <v>0</v>
      </c>
      <c r="HK61" s="16">
        <v>0</v>
      </c>
      <c r="HL61" s="16">
        <v>0</v>
      </c>
      <c r="HM61" s="16">
        <v>0</v>
      </c>
      <c r="HN61" s="16">
        <v>0</v>
      </c>
      <c r="HO61" s="16">
        <v>0</v>
      </c>
      <c r="HP61" s="16">
        <v>0</v>
      </c>
      <c r="HQ61" s="16">
        <v>0</v>
      </c>
      <c r="HR61" s="16">
        <v>0</v>
      </c>
      <c r="HS61" s="16">
        <v>0</v>
      </c>
      <c r="HT61" s="16">
        <v>0</v>
      </c>
      <c r="HU61" s="16">
        <v>0</v>
      </c>
      <c r="HV61" s="16">
        <v>0</v>
      </c>
      <c r="HW61" s="16">
        <v>0</v>
      </c>
      <c r="HX61" s="16">
        <v>0</v>
      </c>
      <c r="HY61" s="16">
        <v>0</v>
      </c>
      <c r="HZ61" s="16">
        <v>0</v>
      </c>
      <c r="IA61" s="16">
        <v>0</v>
      </c>
      <c r="IB61" s="16">
        <v>0</v>
      </c>
      <c r="IC61" s="16">
        <v>0</v>
      </c>
      <c r="ID61" s="16">
        <v>0</v>
      </c>
      <c r="IE61" s="16">
        <v>0</v>
      </c>
      <c r="IF61" s="16">
        <v>0</v>
      </c>
      <c r="IG61" s="16">
        <v>0</v>
      </c>
      <c r="IH61" s="16">
        <v>0</v>
      </c>
      <c r="II61" s="16">
        <v>0</v>
      </c>
      <c r="IJ61" s="16">
        <v>0</v>
      </c>
      <c r="IK61" s="16">
        <v>0</v>
      </c>
      <c r="IL61" s="16">
        <v>0</v>
      </c>
      <c r="IM61" s="16">
        <v>0</v>
      </c>
      <c r="IN61" s="16">
        <v>0</v>
      </c>
      <c r="IO61" s="16">
        <v>0</v>
      </c>
      <c r="IP61" s="16">
        <v>0</v>
      </c>
      <c r="IQ61" s="16">
        <v>0</v>
      </c>
      <c r="IR61" s="16">
        <v>0</v>
      </c>
      <c r="IS61" s="16">
        <v>0</v>
      </c>
      <c r="IT61" s="16">
        <v>0</v>
      </c>
      <c r="IU61" s="16">
        <v>0</v>
      </c>
      <c r="IV61" s="16">
        <v>0</v>
      </c>
      <c r="IW61" s="16">
        <v>0</v>
      </c>
      <c r="IX61" s="16">
        <v>0</v>
      </c>
      <c r="IY61" s="16">
        <v>0</v>
      </c>
      <c r="IZ61" s="16">
        <v>0</v>
      </c>
      <c r="JA61" s="16">
        <v>0</v>
      </c>
      <c r="JB61" s="16">
        <v>0</v>
      </c>
      <c r="JC61" s="16">
        <v>0</v>
      </c>
      <c r="JD61" s="16">
        <v>0</v>
      </c>
      <c r="JE61" s="16">
        <v>0</v>
      </c>
      <c r="JF61" s="16">
        <v>0</v>
      </c>
      <c r="JG61" s="16">
        <v>0</v>
      </c>
      <c r="JH61" s="16">
        <v>0</v>
      </c>
      <c r="JI61" s="16">
        <v>0</v>
      </c>
      <c r="JJ61" s="16">
        <v>0</v>
      </c>
      <c r="JK61" s="16">
        <v>0</v>
      </c>
      <c r="JL61" s="16">
        <v>0</v>
      </c>
      <c r="JM61" s="16">
        <v>0</v>
      </c>
      <c r="JN61" s="16">
        <v>0</v>
      </c>
      <c r="JO61" s="16">
        <v>0</v>
      </c>
      <c r="JP61" s="16">
        <v>0</v>
      </c>
      <c r="JQ61" s="16">
        <v>0</v>
      </c>
      <c r="JR61" s="16">
        <v>0</v>
      </c>
      <c r="JS61" s="16">
        <v>0</v>
      </c>
      <c r="JT61" s="16">
        <v>0</v>
      </c>
      <c r="JU61" s="16">
        <v>0</v>
      </c>
      <c r="JV61" s="16">
        <v>0</v>
      </c>
      <c r="JW61" s="16">
        <v>0</v>
      </c>
      <c r="JX61" s="16">
        <v>0</v>
      </c>
      <c r="JY61" s="16">
        <v>0</v>
      </c>
      <c r="JZ61" s="16">
        <v>0</v>
      </c>
      <c r="KA61" s="16">
        <v>0</v>
      </c>
      <c r="KB61" s="16">
        <v>0</v>
      </c>
      <c r="KC61" s="16">
        <v>0</v>
      </c>
      <c r="KD61" s="16">
        <v>0</v>
      </c>
      <c r="KE61" s="16">
        <v>0</v>
      </c>
      <c r="KF61" s="16">
        <v>0</v>
      </c>
      <c r="KG61" s="16">
        <v>0</v>
      </c>
      <c r="KH61" s="16">
        <v>0</v>
      </c>
      <c r="KI61" s="16">
        <v>0</v>
      </c>
      <c r="KJ61" s="16">
        <v>0</v>
      </c>
      <c r="KK61" s="16">
        <v>0</v>
      </c>
      <c r="KL61" s="16">
        <v>0</v>
      </c>
      <c r="KM61" s="16">
        <v>0</v>
      </c>
      <c r="KN61" s="16">
        <v>0</v>
      </c>
      <c r="KO61" s="16">
        <v>0</v>
      </c>
      <c r="KP61" s="16">
        <v>0</v>
      </c>
      <c r="KQ61" s="16">
        <v>0</v>
      </c>
      <c r="KR61" s="16">
        <v>0</v>
      </c>
      <c r="KS61" s="16">
        <v>0</v>
      </c>
      <c r="KT61" s="16">
        <v>0</v>
      </c>
      <c r="KU61" s="16">
        <v>0</v>
      </c>
      <c r="KV61" s="16">
        <v>0</v>
      </c>
      <c r="KW61" s="16">
        <v>0</v>
      </c>
      <c r="KX61" s="16">
        <v>0</v>
      </c>
      <c r="KY61" s="16">
        <v>0</v>
      </c>
      <c r="KZ61" s="16">
        <v>0</v>
      </c>
      <c r="LA61" s="16">
        <v>0</v>
      </c>
      <c r="LB61" s="16">
        <v>0</v>
      </c>
      <c r="LC61" s="16">
        <v>0</v>
      </c>
      <c r="LD61" s="16">
        <v>0</v>
      </c>
      <c r="LE61" s="16">
        <v>0</v>
      </c>
      <c r="LF61" s="16">
        <v>0</v>
      </c>
      <c r="LG61" s="16">
        <v>0</v>
      </c>
      <c r="LH61" s="16">
        <v>0</v>
      </c>
      <c r="LI61" s="16">
        <v>0</v>
      </c>
      <c r="LJ61" s="16">
        <v>0</v>
      </c>
      <c r="LK61" s="16">
        <v>0</v>
      </c>
      <c r="LL61" s="16">
        <v>0</v>
      </c>
      <c r="LM61" s="16">
        <v>0</v>
      </c>
      <c r="LN61" s="16">
        <v>0</v>
      </c>
      <c r="LO61" s="16">
        <v>0</v>
      </c>
      <c r="LP61" s="16">
        <v>0</v>
      </c>
      <c r="LQ61" s="16">
        <v>0</v>
      </c>
      <c r="LR61" s="16">
        <v>0</v>
      </c>
      <c r="LS61" s="16">
        <v>0</v>
      </c>
      <c r="LT61" s="16">
        <v>0</v>
      </c>
      <c r="LU61" s="16">
        <v>0</v>
      </c>
      <c r="LV61" s="16">
        <v>0</v>
      </c>
      <c r="LW61" s="16">
        <v>0</v>
      </c>
      <c r="LX61" s="16">
        <v>0</v>
      </c>
      <c r="LY61" s="16">
        <v>0</v>
      </c>
      <c r="LZ61" s="16">
        <v>0</v>
      </c>
      <c r="MA61" s="16">
        <v>0</v>
      </c>
      <c r="MB61" s="16">
        <v>0</v>
      </c>
      <c r="MC61" s="16">
        <v>0</v>
      </c>
      <c r="MD61" s="16">
        <v>0</v>
      </c>
      <c r="ME61" s="16">
        <v>0</v>
      </c>
      <c r="MF61" s="16">
        <v>33718</v>
      </c>
      <c r="MG61" s="16">
        <v>0</v>
      </c>
      <c r="MH61" s="16">
        <v>0</v>
      </c>
      <c r="MI61" s="16">
        <v>0</v>
      </c>
      <c r="MJ61" s="16">
        <v>0</v>
      </c>
      <c r="MK61" s="16">
        <v>0</v>
      </c>
      <c r="ML61" s="16">
        <v>0</v>
      </c>
      <c r="MM61" s="16">
        <v>0</v>
      </c>
      <c r="MN61" s="16">
        <v>0</v>
      </c>
      <c r="MO61" s="16">
        <v>0</v>
      </c>
      <c r="MP61" s="16">
        <v>0</v>
      </c>
      <c r="MQ61" s="16">
        <v>0</v>
      </c>
      <c r="MR61" s="16">
        <v>0</v>
      </c>
      <c r="MS61" s="16">
        <v>0</v>
      </c>
      <c r="MT61" s="16">
        <v>0</v>
      </c>
      <c r="MU61" s="16">
        <v>0</v>
      </c>
      <c r="MV61" s="16">
        <v>0</v>
      </c>
      <c r="MW61" s="16">
        <v>0</v>
      </c>
      <c r="MX61" s="16">
        <v>0</v>
      </c>
      <c r="MY61" s="16">
        <v>0</v>
      </c>
      <c r="MZ61" s="16">
        <v>0</v>
      </c>
      <c r="NA61" s="16">
        <v>0</v>
      </c>
      <c r="NB61" s="16">
        <v>0</v>
      </c>
      <c r="NC61" s="16">
        <v>0</v>
      </c>
      <c r="ND61" s="16">
        <v>0</v>
      </c>
      <c r="NE61" s="16">
        <v>0</v>
      </c>
      <c r="NF61" s="16">
        <v>0</v>
      </c>
      <c r="NG61" s="16">
        <v>0</v>
      </c>
      <c r="NH61" s="16">
        <v>0</v>
      </c>
      <c r="NI61" s="16">
        <v>0</v>
      </c>
      <c r="NJ61" s="16">
        <v>0</v>
      </c>
      <c r="NK61" s="16">
        <v>0</v>
      </c>
      <c r="NL61" s="16">
        <v>0</v>
      </c>
      <c r="NM61" s="16">
        <v>0</v>
      </c>
      <c r="NN61" s="16">
        <v>0</v>
      </c>
      <c r="NO61" s="16">
        <v>0</v>
      </c>
      <c r="NP61" s="16">
        <v>0</v>
      </c>
      <c r="NQ61" s="16">
        <v>0</v>
      </c>
      <c r="NR61" s="17">
        <v>684077</v>
      </c>
    </row>
    <row r="62" spans="1:382" ht="13.5" customHeight="1" x14ac:dyDescent="0.2">
      <c r="A62" s="2" t="s">
        <v>131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118148</v>
      </c>
      <c r="BK62" s="16">
        <v>213710</v>
      </c>
      <c r="BL62" s="16">
        <v>1557873</v>
      </c>
      <c r="BM62" s="16">
        <v>15620</v>
      </c>
      <c r="BN62" s="16">
        <v>721195</v>
      </c>
      <c r="BO62" s="16">
        <v>0</v>
      </c>
      <c r="BP62" s="16">
        <v>119603</v>
      </c>
      <c r="BQ62" s="16">
        <v>9664</v>
      </c>
      <c r="BR62" s="16">
        <v>29030</v>
      </c>
      <c r="BS62" s="16">
        <v>654653</v>
      </c>
      <c r="BT62" s="16">
        <v>537486</v>
      </c>
      <c r="BU62" s="16">
        <v>8</v>
      </c>
      <c r="BV62" s="16">
        <v>0</v>
      </c>
      <c r="BW62" s="16">
        <v>238055</v>
      </c>
      <c r="BX62" s="16">
        <v>0</v>
      </c>
      <c r="BY62" s="16">
        <v>65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5392</v>
      </c>
      <c r="CK62" s="16">
        <v>30856</v>
      </c>
      <c r="CL62" s="16">
        <v>0</v>
      </c>
      <c r="CM62" s="16">
        <v>0</v>
      </c>
      <c r="CN62" s="16">
        <v>0</v>
      </c>
      <c r="CO62" s="16">
        <v>0</v>
      </c>
      <c r="CP62" s="16">
        <v>3824</v>
      </c>
      <c r="CQ62" s="16">
        <v>0</v>
      </c>
      <c r="CR62" s="16">
        <v>0</v>
      </c>
      <c r="CS62" s="16">
        <v>0</v>
      </c>
      <c r="CT62" s="16">
        <v>0</v>
      </c>
      <c r="CU62" s="16">
        <v>0</v>
      </c>
      <c r="CV62" s="16">
        <v>0</v>
      </c>
      <c r="CW62" s="16">
        <v>0</v>
      </c>
      <c r="CX62" s="16">
        <v>0</v>
      </c>
      <c r="CY62" s="16">
        <v>0</v>
      </c>
      <c r="CZ62" s="16">
        <v>0</v>
      </c>
      <c r="DA62" s="16">
        <v>0</v>
      </c>
      <c r="DB62" s="16">
        <v>0</v>
      </c>
      <c r="DC62" s="16">
        <v>0</v>
      </c>
      <c r="DD62" s="16">
        <v>0</v>
      </c>
      <c r="DE62" s="16">
        <v>0</v>
      </c>
      <c r="DF62" s="16">
        <v>0</v>
      </c>
      <c r="DG62" s="16">
        <v>0</v>
      </c>
      <c r="DH62" s="16">
        <v>0</v>
      </c>
      <c r="DI62" s="16">
        <v>0</v>
      </c>
      <c r="DJ62" s="16">
        <v>0</v>
      </c>
      <c r="DK62" s="16">
        <v>0</v>
      </c>
      <c r="DL62" s="16">
        <v>34748</v>
      </c>
      <c r="DM62" s="16">
        <v>0</v>
      </c>
      <c r="DN62" s="16">
        <v>0</v>
      </c>
      <c r="DO62" s="16">
        <v>0</v>
      </c>
      <c r="DP62" s="16">
        <v>0</v>
      </c>
      <c r="DQ62" s="16">
        <v>0</v>
      </c>
      <c r="DR62" s="16">
        <v>0</v>
      </c>
      <c r="DS62" s="16">
        <v>0</v>
      </c>
      <c r="DT62" s="16">
        <v>0</v>
      </c>
      <c r="DU62" s="16">
        <v>0</v>
      </c>
      <c r="DV62" s="16">
        <v>0</v>
      </c>
      <c r="DW62" s="16">
        <v>0</v>
      </c>
      <c r="DX62" s="16">
        <v>0</v>
      </c>
      <c r="DY62" s="16">
        <v>0</v>
      </c>
      <c r="DZ62" s="16">
        <v>0</v>
      </c>
      <c r="EA62" s="16">
        <v>0</v>
      </c>
      <c r="EB62" s="16">
        <v>0</v>
      </c>
      <c r="EC62" s="16">
        <v>0</v>
      </c>
      <c r="ED62" s="16">
        <v>0</v>
      </c>
      <c r="EE62" s="16">
        <v>0</v>
      </c>
      <c r="EF62" s="16">
        <v>0</v>
      </c>
      <c r="EG62" s="16">
        <v>0</v>
      </c>
      <c r="EH62" s="16">
        <v>0</v>
      </c>
      <c r="EI62" s="16">
        <v>0</v>
      </c>
      <c r="EJ62" s="16">
        <v>0</v>
      </c>
      <c r="EK62" s="16">
        <v>0</v>
      </c>
      <c r="EL62" s="16">
        <v>0</v>
      </c>
      <c r="EM62" s="16">
        <v>0</v>
      </c>
      <c r="EN62" s="16">
        <v>0</v>
      </c>
      <c r="EO62" s="16">
        <v>0</v>
      </c>
      <c r="EP62" s="16">
        <v>0</v>
      </c>
      <c r="EQ62" s="16">
        <v>0</v>
      </c>
      <c r="ER62" s="16">
        <v>0</v>
      </c>
      <c r="ES62" s="16">
        <v>0</v>
      </c>
      <c r="ET62" s="16">
        <v>0</v>
      </c>
      <c r="EU62" s="16">
        <v>0</v>
      </c>
      <c r="EV62" s="16">
        <v>0</v>
      </c>
      <c r="EW62" s="16">
        <v>0</v>
      </c>
      <c r="EX62" s="16">
        <v>0</v>
      </c>
      <c r="EY62" s="16">
        <v>0</v>
      </c>
      <c r="EZ62" s="16">
        <v>0</v>
      </c>
      <c r="FA62" s="16">
        <v>0</v>
      </c>
      <c r="FB62" s="16">
        <v>0</v>
      </c>
      <c r="FC62" s="16">
        <v>23</v>
      </c>
      <c r="FD62" s="16">
        <v>0</v>
      </c>
      <c r="FE62" s="16">
        <v>0</v>
      </c>
      <c r="FF62" s="16">
        <v>0</v>
      </c>
      <c r="FG62" s="16">
        <v>0</v>
      </c>
      <c r="FH62" s="16">
        <v>0</v>
      </c>
      <c r="FI62" s="16">
        <v>0</v>
      </c>
      <c r="FJ62" s="16">
        <v>0</v>
      </c>
      <c r="FK62" s="16">
        <v>0</v>
      </c>
      <c r="FL62" s="16">
        <v>0</v>
      </c>
      <c r="FM62" s="16">
        <v>0</v>
      </c>
      <c r="FN62" s="16">
        <v>0</v>
      </c>
      <c r="FO62" s="16">
        <v>0</v>
      </c>
      <c r="FP62" s="16">
        <v>0</v>
      </c>
      <c r="FQ62" s="16">
        <v>0</v>
      </c>
      <c r="FR62" s="16">
        <v>0</v>
      </c>
      <c r="FS62" s="16">
        <v>0</v>
      </c>
      <c r="FT62" s="16">
        <v>0</v>
      </c>
      <c r="FU62" s="16">
        <v>0</v>
      </c>
      <c r="FV62" s="16">
        <v>0</v>
      </c>
      <c r="FW62" s="16">
        <v>0</v>
      </c>
      <c r="FX62" s="16">
        <v>0</v>
      </c>
      <c r="FY62" s="16">
        <v>0</v>
      </c>
      <c r="FZ62" s="16">
        <v>0</v>
      </c>
      <c r="GA62" s="16">
        <v>0</v>
      </c>
      <c r="GB62" s="16">
        <v>2287</v>
      </c>
      <c r="GC62" s="16">
        <v>0</v>
      </c>
      <c r="GD62" s="16">
        <v>0</v>
      </c>
      <c r="GE62" s="16">
        <v>0</v>
      </c>
      <c r="GF62" s="16">
        <v>0</v>
      </c>
      <c r="GG62" s="16">
        <v>0</v>
      </c>
      <c r="GH62" s="16">
        <v>0</v>
      </c>
      <c r="GI62" s="16">
        <v>0</v>
      </c>
      <c r="GJ62" s="16">
        <v>0</v>
      </c>
      <c r="GK62" s="16">
        <v>0</v>
      </c>
      <c r="GL62" s="16">
        <v>0</v>
      </c>
      <c r="GM62" s="16">
        <v>0</v>
      </c>
      <c r="GN62" s="16">
        <v>0</v>
      </c>
      <c r="GO62" s="16">
        <v>0</v>
      </c>
      <c r="GP62" s="16">
        <v>0</v>
      </c>
      <c r="GQ62" s="16">
        <v>0</v>
      </c>
      <c r="GR62" s="16">
        <v>0</v>
      </c>
      <c r="GS62" s="16">
        <v>0</v>
      </c>
      <c r="GT62" s="16">
        <v>0</v>
      </c>
      <c r="GU62" s="16">
        <v>0</v>
      </c>
      <c r="GV62" s="16">
        <v>0</v>
      </c>
      <c r="GW62" s="16">
        <v>0</v>
      </c>
      <c r="GX62" s="16">
        <v>0</v>
      </c>
      <c r="GY62" s="16">
        <v>0</v>
      </c>
      <c r="GZ62" s="16">
        <v>0</v>
      </c>
      <c r="HA62" s="16">
        <v>0</v>
      </c>
      <c r="HB62" s="16">
        <v>0</v>
      </c>
      <c r="HC62" s="16">
        <v>0</v>
      </c>
      <c r="HD62" s="16">
        <v>0</v>
      </c>
      <c r="HE62" s="16">
        <v>0</v>
      </c>
      <c r="HF62" s="16">
        <v>0</v>
      </c>
      <c r="HG62" s="16">
        <v>0</v>
      </c>
      <c r="HH62" s="16">
        <v>0</v>
      </c>
      <c r="HI62" s="16">
        <v>0</v>
      </c>
      <c r="HJ62" s="16">
        <v>0</v>
      </c>
      <c r="HK62" s="16">
        <v>0</v>
      </c>
      <c r="HL62" s="16">
        <v>0</v>
      </c>
      <c r="HM62" s="16">
        <v>0</v>
      </c>
      <c r="HN62" s="16">
        <v>0</v>
      </c>
      <c r="HO62" s="16">
        <v>0</v>
      </c>
      <c r="HP62" s="16">
        <v>0</v>
      </c>
      <c r="HQ62" s="16">
        <v>0</v>
      </c>
      <c r="HR62" s="16">
        <v>0</v>
      </c>
      <c r="HS62" s="16">
        <v>0</v>
      </c>
      <c r="HT62" s="16">
        <v>0</v>
      </c>
      <c r="HU62" s="16">
        <v>0</v>
      </c>
      <c r="HV62" s="16">
        <v>0</v>
      </c>
      <c r="HW62" s="16">
        <v>0</v>
      </c>
      <c r="HX62" s="16">
        <v>0</v>
      </c>
      <c r="HY62" s="16">
        <v>0</v>
      </c>
      <c r="HZ62" s="16">
        <v>0</v>
      </c>
      <c r="IA62" s="16">
        <v>0</v>
      </c>
      <c r="IB62" s="16">
        <v>0</v>
      </c>
      <c r="IC62" s="16">
        <v>0</v>
      </c>
      <c r="ID62" s="16">
        <v>0</v>
      </c>
      <c r="IE62" s="16">
        <v>0</v>
      </c>
      <c r="IF62" s="16">
        <v>0</v>
      </c>
      <c r="IG62" s="16">
        <v>0</v>
      </c>
      <c r="IH62" s="16">
        <v>0</v>
      </c>
      <c r="II62" s="16">
        <v>0</v>
      </c>
      <c r="IJ62" s="16">
        <v>0</v>
      </c>
      <c r="IK62" s="16">
        <v>0</v>
      </c>
      <c r="IL62" s="16">
        <v>0</v>
      </c>
      <c r="IM62" s="16">
        <v>0</v>
      </c>
      <c r="IN62" s="16">
        <v>0</v>
      </c>
      <c r="IO62" s="16">
        <v>0</v>
      </c>
      <c r="IP62" s="16">
        <v>0</v>
      </c>
      <c r="IQ62" s="16">
        <v>0</v>
      </c>
      <c r="IR62" s="16">
        <v>0</v>
      </c>
      <c r="IS62" s="16">
        <v>0</v>
      </c>
      <c r="IT62" s="16">
        <v>0</v>
      </c>
      <c r="IU62" s="16">
        <v>0</v>
      </c>
      <c r="IV62" s="16">
        <v>0</v>
      </c>
      <c r="IW62" s="16">
        <v>0</v>
      </c>
      <c r="IX62" s="16">
        <v>0</v>
      </c>
      <c r="IY62" s="16">
        <v>0</v>
      </c>
      <c r="IZ62" s="16">
        <v>0</v>
      </c>
      <c r="JA62" s="16">
        <v>0</v>
      </c>
      <c r="JB62" s="16">
        <v>0</v>
      </c>
      <c r="JC62" s="16">
        <v>0</v>
      </c>
      <c r="JD62" s="16">
        <v>0</v>
      </c>
      <c r="JE62" s="16">
        <v>0</v>
      </c>
      <c r="JF62" s="16">
        <v>0</v>
      </c>
      <c r="JG62" s="16">
        <v>40716</v>
      </c>
      <c r="JH62" s="16">
        <v>0</v>
      </c>
      <c r="JI62" s="16">
        <v>0</v>
      </c>
      <c r="JJ62" s="16">
        <v>0</v>
      </c>
      <c r="JK62" s="16">
        <v>0</v>
      </c>
      <c r="JL62" s="16">
        <v>0</v>
      </c>
      <c r="JM62" s="16">
        <v>0</v>
      </c>
      <c r="JN62" s="16">
        <v>0</v>
      </c>
      <c r="JO62" s="16">
        <v>0</v>
      </c>
      <c r="JP62" s="16">
        <v>0</v>
      </c>
      <c r="JQ62" s="16">
        <v>0</v>
      </c>
      <c r="JR62" s="16">
        <v>0</v>
      </c>
      <c r="JS62" s="16">
        <v>0</v>
      </c>
      <c r="JT62" s="16">
        <v>0</v>
      </c>
      <c r="JU62" s="16">
        <v>0</v>
      </c>
      <c r="JV62" s="16">
        <v>0</v>
      </c>
      <c r="JW62" s="16">
        <v>0</v>
      </c>
      <c r="JX62" s="16">
        <v>0</v>
      </c>
      <c r="JY62" s="16">
        <v>0</v>
      </c>
      <c r="JZ62" s="16">
        <v>0</v>
      </c>
      <c r="KA62" s="16">
        <v>0</v>
      </c>
      <c r="KB62" s="16">
        <v>0</v>
      </c>
      <c r="KC62" s="16">
        <v>0</v>
      </c>
      <c r="KD62" s="16">
        <v>0</v>
      </c>
      <c r="KE62" s="16">
        <v>0</v>
      </c>
      <c r="KF62" s="16">
        <v>0</v>
      </c>
      <c r="KG62" s="16">
        <v>0</v>
      </c>
      <c r="KH62" s="16">
        <v>0</v>
      </c>
      <c r="KI62" s="16">
        <v>0</v>
      </c>
      <c r="KJ62" s="16">
        <v>0</v>
      </c>
      <c r="KK62" s="16">
        <v>0</v>
      </c>
      <c r="KL62" s="16">
        <v>0</v>
      </c>
      <c r="KM62" s="16">
        <v>0</v>
      </c>
      <c r="KN62" s="16">
        <v>0</v>
      </c>
      <c r="KO62" s="16">
        <v>0</v>
      </c>
      <c r="KP62" s="16">
        <v>0</v>
      </c>
      <c r="KQ62" s="16">
        <v>0</v>
      </c>
      <c r="KR62" s="16">
        <v>0</v>
      </c>
      <c r="KS62" s="16">
        <v>0</v>
      </c>
      <c r="KT62" s="16">
        <v>0</v>
      </c>
      <c r="KU62" s="16">
        <v>0</v>
      </c>
      <c r="KV62" s="16">
        <v>0</v>
      </c>
      <c r="KW62" s="16">
        <v>0</v>
      </c>
      <c r="KX62" s="16">
        <v>0</v>
      </c>
      <c r="KY62" s="16">
        <v>0</v>
      </c>
      <c r="KZ62" s="16">
        <v>0</v>
      </c>
      <c r="LA62" s="16">
        <v>0</v>
      </c>
      <c r="LB62" s="16">
        <v>0</v>
      </c>
      <c r="LC62" s="16">
        <v>0</v>
      </c>
      <c r="LD62" s="16">
        <v>0</v>
      </c>
      <c r="LE62" s="16">
        <v>0</v>
      </c>
      <c r="LF62" s="16">
        <v>0</v>
      </c>
      <c r="LG62" s="16">
        <v>0</v>
      </c>
      <c r="LH62" s="16">
        <v>0</v>
      </c>
      <c r="LI62" s="16">
        <v>0</v>
      </c>
      <c r="LJ62" s="16">
        <v>0</v>
      </c>
      <c r="LK62" s="16">
        <v>0</v>
      </c>
      <c r="LL62" s="16">
        <v>0</v>
      </c>
      <c r="LM62" s="16">
        <v>0</v>
      </c>
      <c r="LN62" s="16">
        <v>0</v>
      </c>
      <c r="LO62" s="16">
        <v>0</v>
      </c>
      <c r="LP62" s="16">
        <v>0</v>
      </c>
      <c r="LQ62" s="16">
        <v>0</v>
      </c>
      <c r="LR62" s="16">
        <v>0</v>
      </c>
      <c r="LS62" s="16">
        <v>0</v>
      </c>
      <c r="LT62" s="16">
        <v>0</v>
      </c>
      <c r="LU62" s="16">
        <v>0</v>
      </c>
      <c r="LV62" s="16">
        <v>0</v>
      </c>
      <c r="LW62" s="16">
        <v>0</v>
      </c>
      <c r="LX62" s="16">
        <v>0</v>
      </c>
      <c r="LY62" s="16">
        <v>0</v>
      </c>
      <c r="LZ62" s="16">
        <v>0</v>
      </c>
      <c r="MA62" s="16">
        <v>0</v>
      </c>
      <c r="MB62" s="16">
        <v>0</v>
      </c>
      <c r="MC62" s="16">
        <v>0</v>
      </c>
      <c r="MD62" s="16">
        <v>0</v>
      </c>
      <c r="ME62" s="16">
        <v>0</v>
      </c>
      <c r="MF62" s="16">
        <v>3751</v>
      </c>
      <c r="MG62" s="16">
        <v>0</v>
      </c>
      <c r="MH62" s="16">
        <v>0</v>
      </c>
      <c r="MI62" s="16">
        <v>0</v>
      </c>
      <c r="MJ62" s="16">
        <v>0</v>
      </c>
      <c r="MK62" s="16">
        <v>0</v>
      </c>
      <c r="ML62" s="16">
        <v>0</v>
      </c>
      <c r="MM62" s="16">
        <v>0</v>
      </c>
      <c r="MN62" s="16">
        <v>0</v>
      </c>
      <c r="MO62" s="16">
        <v>0</v>
      </c>
      <c r="MP62" s="16">
        <v>0</v>
      </c>
      <c r="MQ62" s="16">
        <v>0</v>
      </c>
      <c r="MR62" s="16">
        <v>4</v>
      </c>
      <c r="MS62" s="16">
        <v>0</v>
      </c>
      <c r="MT62" s="16">
        <v>0</v>
      </c>
      <c r="MU62" s="16">
        <v>3</v>
      </c>
      <c r="MV62" s="16">
        <v>0</v>
      </c>
      <c r="MW62" s="16">
        <v>0</v>
      </c>
      <c r="MX62" s="16">
        <v>0</v>
      </c>
      <c r="MY62" s="16">
        <v>0</v>
      </c>
      <c r="MZ62" s="16">
        <v>0</v>
      </c>
      <c r="NA62" s="16">
        <v>0</v>
      </c>
      <c r="NB62" s="16">
        <v>0</v>
      </c>
      <c r="NC62" s="16">
        <v>0</v>
      </c>
      <c r="ND62" s="16">
        <v>0</v>
      </c>
      <c r="NE62" s="16">
        <v>0</v>
      </c>
      <c r="NF62" s="16">
        <v>0</v>
      </c>
      <c r="NG62" s="16">
        <v>0</v>
      </c>
      <c r="NH62" s="16">
        <v>0</v>
      </c>
      <c r="NI62" s="16">
        <v>0</v>
      </c>
      <c r="NJ62" s="16">
        <v>2</v>
      </c>
      <c r="NK62" s="16">
        <v>0</v>
      </c>
      <c r="NL62" s="16">
        <v>0</v>
      </c>
      <c r="NM62" s="16">
        <v>0</v>
      </c>
      <c r="NN62" s="16">
        <v>0</v>
      </c>
      <c r="NO62" s="16">
        <v>0</v>
      </c>
      <c r="NP62" s="16">
        <v>0</v>
      </c>
      <c r="NQ62" s="16">
        <v>2</v>
      </c>
      <c r="NR62" s="17">
        <v>4336718</v>
      </c>
    </row>
    <row r="63" spans="1:382" ht="13.5" customHeight="1" x14ac:dyDescent="0.2">
      <c r="A63" s="2" t="s">
        <v>133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50</v>
      </c>
      <c r="Y63" s="16">
        <v>2130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27</v>
      </c>
      <c r="AQ63" s="16">
        <v>6151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1538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45721</v>
      </c>
      <c r="BL63" s="16">
        <v>36401</v>
      </c>
      <c r="BM63" s="16">
        <v>42794</v>
      </c>
      <c r="BN63" s="16">
        <v>112494</v>
      </c>
      <c r="BO63" s="16">
        <v>0</v>
      </c>
      <c r="BP63" s="16">
        <v>63495</v>
      </c>
      <c r="BQ63" s="16">
        <v>11226</v>
      </c>
      <c r="BR63" s="16">
        <v>14076</v>
      </c>
      <c r="BS63" s="16">
        <v>470191</v>
      </c>
      <c r="BT63" s="16">
        <v>45262</v>
      </c>
      <c r="BU63" s="16">
        <v>884</v>
      </c>
      <c r="BV63" s="16">
        <v>3</v>
      </c>
      <c r="BW63" s="16">
        <v>62188</v>
      </c>
      <c r="BX63" s="16">
        <v>0</v>
      </c>
      <c r="BY63" s="16">
        <v>0</v>
      </c>
      <c r="BZ63" s="16">
        <v>8679</v>
      </c>
      <c r="CA63" s="16">
        <v>7912</v>
      </c>
      <c r="CB63" s="16">
        <v>176</v>
      </c>
      <c r="CC63" s="16">
        <v>0</v>
      </c>
      <c r="CD63" s="16">
        <v>0</v>
      </c>
      <c r="CE63" s="16">
        <v>0</v>
      </c>
      <c r="CF63" s="16">
        <v>0</v>
      </c>
      <c r="CG63" s="16">
        <v>0</v>
      </c>
      <c r="CH63" s="16">
        <v>0</v>
      </c>
      <c r="CI63" s="16">
        <v>0</v>
      </c>
      <c r="CJ63" s="16">
        <v>11</v>
      </c>
      <c r="CK63" s="16">
        <v>3753</v>
      </c>
      <c r="CL63" s="16">
        <v>0</v>
      </c>
      <c r="CM63" s="16">
        <v>929</v>
      </c>
      <c r="CN63" s="16">
        <v>141</v>
      </c>
      <c r="CO63" s="16">
        <v>241</v>
      </c>
      <c r="CP63" s="16">
        <v>889</v>
      </c>
      <c r="CQ63" s="16">
        <v>74</v>
      </c>
      <c r="CR63" s="16">
        <v>0</v>
      </c>
      <c r="CS63" s="16">
        <v>0</v>
      </c>
      <c r="CT63" s="16">
        <v>0</v>
      </c>
      <c r="CU63" s="16">
        <v>0</v>
      </c>
      <c r="CV63" s="16">
        <v>0</v>
      </c>
      <c r="CW63" s="16">
        <v>0</v>
      </c>
      <c r="CX63" s="16">
        <v>0</v>
      </c>
      <c r="CY63" s="16">
        <v>0</v>
      </c>
      <c r="CZ63" s="16">
        <v>0</v>
      </c>
      <c r="DA63" s="16">
        <v>0</v>
      </c>
      <c r="DB63" s="16">
        <v>0</v>
      </c>
      <c r="DC63" s="16">
        <v>0</v>
      </c>
      <c r="DD63" s="16">
        <v>0</v>
      </c>
      <c r="DE63" s="16">
        <v>1</v>
      </c>
      <c r="DF63" s="16">
        <v>548</v>
      </c>
      <c r="DG63" s="16">
        <v>0</v>
      </c>
      <c r="DH63" s="16">
        <v>1</v>
      </c>
      <c r="DI63" s="16">
        <v>0</v>
      </c>
      <c r="DJ63" s="16">
        <v>2499</v>
      </c>
      <c r="DK63" s="16">
        <v>0</v>
      </c>
      <c r="DL63" s="16">
        <v>0</v>
      </c>
      <c r="DM63" s="16">
        <v>1648</v>
      </c>
      <c r="DN63" s="16">
        <v>24</v>
      </c>
      <c r="DO63" s="16">
        <v>28</v>
      </c>
      <c r="DP63" s="16">
        <v>3</v>
      </c>
      <c r="DQ63" s="16">
        <v>0</v>
      </c>
      <c r="DR63" s="16">
        <v>0</v>
      </c>
      <c r="DS63" s="16">
        <v>0</v>
      </c>
      <c r="DT63" s="16">
        <v>0</v>
      </c>
      <c r="DU63" s="16">
        <v>0</v>
      </c>
      <c r="DV63" s="16">
        <v>178</v>
      </c>
      <c r="DW63" s="16">
        <v>2920</v>
      </c>
      <c r="DX63" s="16">
        <v>1513</v>
      </c>
      <c r="DY63" s="16">
        <v>1115</v>
      </c>
      <c r="DZ63" s="16">
        <v>5324</v>
      </c>
      <c r="EA63" s="16">
        <v>2376</v>
      </c>
      <c r="EB63" s="16">
        <v>2997</v>
      </c>
      <c r="EC63" s="16">
        <v>116161</v>
      </c>
      <c r="ED63" s="16">
        <v>3992</v>
      </c>
      <c r="EE63" s="16">
        <v>0</v>
      </c>
      <c r="EF63" s="16">
        <v>0</v>
      </c>
      <c r="EG63" s="16">
        <v>0</v>
      </c>
      <c r="EH63" s="16">
        <v>0</v>
      </c>
      <c r="EI63" s="16">
        <v>0</v>
      </c>
      <c r="EJ63" s="16">
        <v>0</v>
      </c>
      <c r="EK63" s="16">
        <v>0</v>
      </c>
      <c r="EL63" s="16">
        <v>0</v>
      </c>
      <c r="EM63" s="16">
        <v>0</v>
      </c>
      <c r="EN63" s="16">
        <v>0</v>
      </c>
      <c r="EO63" s="16">
        <v>0</v>
      </c>
      <c r="EP63" s="16">
        <v>0</v>
      </c>
      <c r="EQ63" s="16">
        <v>0</v>
      </c>
      <c r="ER63" s="16">
        <v>269</v>
      </c>
      <c r="ES63" s="16">
        <v>0</v>
      </c>
      <c r="ET63" s="16">
        <v>66</v>
      </c>
      <c r="EU63" s="16">
        <v>0</v>
      </c>
      <c r="EV63" s="16">
        <v>0</v>
      </c>
      <c r="EW63" s="16">
        <v>0</v>
      </c>
      <c r="EX63" s="16">
        <v>0</v>
      </c>
      <c r="EY63" s="16">
        <v>0</v>
      </c>
      <c r="EZ63" s="16">
        <v>0</v>
      </c>
      <c r="FA63" s="16">
        <v>0</v>
      </c>
      <c r="FB63" s="16">
        <v>0</v>
      </c>
      <c r="FC63" s="16">
        <v>8</v>
      </c>
      <c r="FD63" s="16">
        <v>0</v>
      </c>
      <c r="FE63" s="16">
        <v>0</v>
      </c>
      <c r="FF63" s="16">
        <v>0</v>
      </c>
      <c r="FG63" s="16">
        <v>0</v>
      </c>
      <c r="FH63" s="16">
        <v>0</v>
      </c>
      <c r="FI63" s="16">
        <v>0</v>
      </c>
      <c r="FJ63" s="16">
        <v>0</v>
      </c>
      <c r="FK63" s="16">
        <v>0</v>
      </c>
      <c r="FL63" s="16">
        <v>1</v>
      </c>
      <c r="FM63" s="16">
        <v>0</v>
      </c>
      <c r="FN63" s="16">
        <v>0</v>
      </c>
      <c r="FO63" s="16">
        <v>0</v>
      </c>
      <c r="FP63" s="16">
        <v>0</v>
      </c>
      <c r="FQ63" s="16">
        <v>0</v>
      </c>
      <c r="FR63" s="16">
        <v>0</v>
      </c>
      <c r="FS63" s="16">
        <v>0</v>
      </c>
      <c r="FT63" s="16">
        <v>0</v>
      </c>
      <c r="FU63" s="16">
        <v>0</v>
      </c>
      <c r="FV63" s="16">
        <v>0</v>
      </c>
      <c r="FW63" s="16">
        <v>0</v>
      </c>
      <c r="FX63" s="16">
        <v>0</v>
      </c>
      <c r="FY63" s="16">
        <v>0</v>
      </c>
      <c r="FZ63" s="16">
        <v>0</v>
      </c>
      <c r="GA63" s="16">
        <v>0</v>
      </c>
      <c r="GB63" s="16">
        <v>1059</v>
      </c>
      <c r="GC63" s="16">
        <v>0</v>
      </c>
      <c r="GD63" s="16">
        <v>301</v>
      </c>
      <c r="GE63" s="16">
        <v>0</v>
      </c>
      <c r="GF63" s="16">
        <v>0</v>
      </c>
      <c r="GG63" s="16">
        <v>0</v>
      </c>
      <c r="GH63" s="16">
        <v>0</v>
      </c>
      <c r="GI63" s="16">
        <v>0</v>
      </c>
      <c r="GJ63" s="16">
        <v>0</v>
      </c>
      <c r="GK63" s="16">
        <v>0</v>
      </c>
      <c r="GL63" s="16">
        <v>0</v>
      </c>
      <c r="GM63" s="16">
        <v>0</v>
      </c>
      <c r="GN63" s="16">
        <v>0</v>
      </c>
      <c r="GO63" s="16">
        <v>0</v>
      </c>
      <c r="GP63" s="16">
        <v>0</v>
      </c>
      <c r="GQ63" s="16">
        <v>0</v>
      </c>
      <c r="GR63" s="16">
        <v>0</v>
      </c>
      <c r="GS63" s="16">
        <v>28</v>
      </c>
      <c r="GT63" s="16">
        <v>11</v>
      </c>
      <c r="GU63" s="16">
        <v>1290</v>
      </c>
      <c r="GV63" s="16">
        <v>625</v>
      </c>
      <c r="GW63" s="16">
        <v>0</v>
      </c>
      <c r="GX63" s="16">
        <v>2</v>
      </c>
      <c r="GY63" s="16">
        <v>0</v>
      </c>
      <c r="GZ63" s="16">
        <v>0</v>
      </c>
      <c r="HA63" s="16">
        <v>0</v>
      </c>
      <c r="HB63" s="16">
        <v>0</v>
      </c>
      <c r="HC63" s="16">
        <v>0</v>
      </c>
      <c r="HD63" s="16">
        <v>0</v>
      </c>
      <c r="HE63" s="16">
        <v>0</v>
      </c>
      <c r="HF63" s="16">
        <v>30998</v>
      </c>
      <c r="HG63" s="16">
        <v>0</v>
      </c>
      <c r="HH63" s="16">
        <v>11</v>
      </c>
      <c r="HI63" s="16">
        <v>0</v>
      </c>
      <c r="HJ63" s="16">
        <v>0</v>
      </c>
      <c r="HK63" s="16">
        <v>0</v>
      </c>
      <c r="HL63" s="16">
        <v>10342</v>
      </c>
      <c r="HM63" s="16">
        <v>0</v>
      </c>
      <c r="HN63" s="16">
        <v>0</v>
      </c>
      <c r="HO63" s="16">
        <v>0</v>
      </c>
      <c r="HP63" s="16">
        <v>0</v>
      </c>
      <c r="HQ63" s="16">
        <v>0</v>
      </c>
      <c r="HR63" s="16">
        <v>0</v>
      </c>
      <c r="HS63" s="16">
        <v>0</v>
      </c>
      <c r="HT63" s="16">
        <v>0</v>
      </c>
      <c r="HU63" s="16">
        <v>0</v>
      </c>
      <c r="HV63" s="16">
        <v>0</v>
      </c>
      <c r="HW63" s="16">
        <v>0</v>
      </c>
      <c r="HX63" s="16">
        <v>0</v>
      </c>
      <c r="HY63" s="16">
        <v>0</v>
      </c>
      <c r="HZ63" s="16">
        <v>284</v>
      </c>
      <c r="IA63" s="16">
        <v>150</v>
      </c>
      <c r="IB63" s="16">
        <v>0</v>
      </c>
      <c r="IC63" s="16">
        <v>23</v>
      </c>
      <c r="ID63" s="16">
        <v>21</v>
      </c>
      <c r="IE63" s="16">
        <v>0</v>
      </c>
      <c r="IF63" s="16">
        <v>21</v>
      </c>
      <c r="IG63" s="16">
        <v>170</v>
      </c>
      <c r="IH63" s="16">
        <v>0</v>
      </c>
      <c r="II63" s="16">
        <v>0</v>
      </c>
      <c r="IJ63" s="16">
        <v>0</v>
      </c>
      <c r="IK63" s="16">
        <v>0</v>
      </c>
      <c r="IL63" s="16">
        <v>0</v>
      </c>
      <c r="IM63" s="16">
        <v>3</v>
      </c>
      <c r="IN63" s="16">
        <v>0</v>
      </c>
      <c r="IO63" s="16">
        <v>627</v>
      </c>
      <c r="IP63" s="16">
        <v>0</v>
      </c>
      <c r="IQ63" s="16">
        <v>0</v>
      </c>
      <c r="IR63" s="16">
        <v>0</v>
      </c>
      <c r="IS63" s="16">
        <v>0</v>
      </c>
      <c r="IT63" s="16">
        <v>0</v>
      </c>
      <c r="IU63" s="16">
        <v>0</v>
      </c>
      <c r="IV63" s="16">
        <v>471</v>
      </c>
      <c r="IW63" s="16">
        <v>1544</v>
      </c>
      <c r="IX63" s="16">
        <v>0</v>
      </c>
      <c r="IY63" s="16">
        <v>3539</v>
      </c>
      <c r="IZ63" s="16">
        <v>653</v>
      </c>
      <c r="JA63" s="16">
        <v>12119</v>
      </c>
      <c r="JB63" s="16">
        <v>18</v>
      </c>
      <c r="JC63" s="16">
        <v>3</v>
      </c>
      <c r="JD63" s="16">
        <v>0</v>
      </c>
      <c r="JE63" s="16">
        <v>14971</v>
      </c>
      <c r="JF63" s="16">
        <v>10007</v>
      </c>
      <c r="JG63" s="16">
        <v>34230</v>
      </c>
      <c r="JH63" s="16">
        <v>116</v>
      </c>
      <c r="JI63" s="16">
        <v>0</v>
      </c>
      <c r="JJ63" s="16">
        <v>0</v>
      </c>
      <c r="JK63" s="16">
        <v>0</v>
      </c>
      <c r="JL63" s="16">
        <v>0</v>
      </c>
      <c r="JM63" s="16">
        <v>0</v>
      </c>
      <c r="JN63" s="16">
        <v>0</v>
      </c>
      <c r="JO63" s="16">
        <v>0</v>
      </c>
      <c r="JP63" s="16">
        <v>0</v>
      </c>
      <c r="JQ63" s="16">
        <v>0</v>
      </c>
      <c r="JR63" s="16">
        <v>0</v>
      </c>
      <c r="JS63" s="16">
        <v>0</v>
      </c>
      <c r="JT63" s="16">
        <v>0</v>
      </c>
      <c r="JU63" s="16">
        <v>0</v>
      </c>
      <c r="JV63" s="16">
        <v>3</v>
      </c>
      <c r="JW63" s="16">
        <v>0</v>
      </c>
      <c r="JX63" s="16">
        <v>0</v>
      </c>
      <c r="JY63" s="16">
        <v>0</v>
      </c>
      <c r="JZ63" s="16">
        <v>0</v>
      </c>
      <c r="KA63" s="16">
        <v>0</v>
      </c>
      <c r="KB63" s="16">
        <v>0</v>
      </c>
      <c r="KC63" s="16">
        <v>0</v>
      </c>
      <c r="KD63" s="16">
        <v>0</v>
      </c>
      <c r="KE63" s="16">
        <v>0</v>
      </c>
      <c r="KF63" s="16">
        <v>0</v>
      </c>
      <c r="KG63" s="16">
        <v>0</v>
      </c>
      <c r="KH63" s="16">
        <v>0</v>
      </c>
      <c r="KI63" s="16">
        <v>0</v>
      </c>
      <c r="KJ63" s="16">
        <v>0</v>
      </c>
      <c r="KK63" s="16">
        <v>0</v>
      </c>
      <c r="KL63" s="16">
        <v>0</v>
      </c>
      <c r="KM63" s="16">
        <v>0</v>
      </c>
      <c r="KN63" s="16">
        <v>0</v>
      </c>
      <c r="KO63" s="16">
        <v>0</v>
      </c>
      <c r="KP63" s="16">
        <v>0</v>
      </c>
      <c r="KQ63" s="16">
        <v>0</v>
      </c>
      <c r="KR63" s="16">
        <v>0</v>
      </c>
      <c r="KS63" s="16">
        <v>0</v>
      </c>
      <c r="KT63" s="16">
        <v>0</v>
      </c>
      <c r="KU63" s="16">
        <v>0</v>
      </c>
      <c r="KV63" s="16">
        <v>0</v>
      </c>
      <c r="KW63" s="16">
        <v>0</v>
      </c>
      <c r="KX63" s="16">
        <v>0</v>
      </c>
      <c r="KY63" s="16">
        <v>0</v>
      </c>
      <c r="KZ63" s="16">
        <v>0</v>
      </c>
      <c r="LA63" s="16">
        <v>0</v>
      </c>
      <c r="LB63" s="16">
        <v>0</v>
      </c>
      <c r="LC63" s="16">
        <v>0</v>
      </c>
      <c r="LD63" s="16">
        <v>0</v>
      </c>
      <c r="LE63" s="16">
        <v>0</v>
      </c>
      <c r="LF63" s="16">
        <v>0</v>
      </c>
      <c r="LG63" s="16">
        <v>0</v>
      </c>
      <c r="LH63" s="16">
        <v>0</v>
      </c>
      <c r="LI63" s="16">
        <v>0</v>
      </c>
      <c r="LJ63" s="16">
        <v>0</v>
      </c>
      <c r="LK63" s="16">
        <v>0</v>
      </c>
      <c r="LL63" s="16">
        <v>0</v>
      </c>
      <c r="LM63" s="16">
        <v>0</v>
      </c>
      <c r="LN63" s="16">
        <v>0</v>
      </c>
      <c r="LO63" s="16">
        <v>0</v>
      </c>
      <c r="LP63" s="16">
        <v>209</v>
      </c>
      <c r="LQ63" s="16">
        <v>40</v>
      </c>
      <c r="LR63" s="16">
        <v>0</v>
      </c>
      <c r="LS63" s="16">
        <v>0</v>
      </c>
      <c r="LT63" s="16">
        <v>0</v>
      </c>
      <c r="LU63" s="16">
        <v>0</v>
      </c>
      <c r="LV63" s="16">
        <v>0</v>
      </c>
      <c r="LW63" s="16">
        <v>0</v>
      </c>
      <c r="LX63" s="16">
        <v>0</v>
      </c>
      <c r="LY63" s="16">
        <v>0</v>
      </c>
      <c r="LZ63" s="16">
        <v>0</v>
      </c>
      <c r="MA63" s="16">
        <v>0</v>
      </c>
      <c r="MB63" s="16">
        <v>0</v>
      </c>
      <c r="MC63" s="16">
        <v>0</v>
      </c>
      <c r="MD63" s="16">
        <v>0</v>
      </c>
      <c r="ME63" s="16">
        <v>0</v>
      </c>
      <c r="MF63" s="16">
        <v>3058</v>
      </c>
      <c r="MG63" s="16">
        <v>0</v>
      </c>
      <c r="MH63" s="16">
        <v>0</v>
      </c>
      <c r="MI63" s="16">
        <v>0</v>
      </c>
      <c r="MJ63" s="16">
        <v>0</v>
      </c>
      <c r="MK63" s="16">
        <v>0</v>
      </c>
      <c r="ML63" s="16">
        <v>0</v>
      </c>
      <c r="MM63" s="16">
        <v>113</v>
      </c>
      <c r="MN63" s="16">
        <v>0</v>
      </c>
      <c r="MO63" s="16">
        <v>0</v>
      </c>
      <c r="MP63" s="16">
        <v>0</v>
      </c>
      <c r="MQ63" s="16">
        <v>0</v>
      </c>
      <c r="MR63" s="16">
        <v>0</v>
      </c>
      <c r="MS63" s="16">
        <v>0</v>
      </c>
      <c r="MT63" s="16">
        <v>0</v>
      </c>
      <c r="MU63" s="16">
        <v>0</v>
      </c>
      <c r="MV63" s="16">
        <v>0</v>
      </c>
      <c r="MW63" s="16">
        <v>0</v>
      </c>
      <c r="MX63" s="16">
        <v>0</v>
      </c>
      <c r="MY63" s="16">
        <v>0</v>
      </c>
      <c r="MZ63" s="16">
        <v>3793</v>
      </c>
      <c r="NA63" s="16">
        <v>0</v>
      </c>
      <c r="NB63" s="16">
        <v>3585</v>
      </c>
      <c r="NC63" s="16">
        <v>0</v>
      </c>
      <c r="ND63" s="16">
        <v>0</v>
      </c>
      <c r="NE63" s="16">
        <v>0</v>
      </c>
      <c r="NF63" s="16">
        <v>0</v>
      </c>
      <c r="NG63" s="16">
        <v>0</v>
      </c>
      <c r="NH63" s="16">
        <v>0</v>
      </c>
      <c r="NI63" s="16">
        <v>0</v>
      </c>
      <c r="NJ63" s="16">
        <v>0</v>
      </c>
      <c r="NK63" s="16">
        <v>0</v>
      </c>
      <c r="NL63" s="16">
        <v>190</v>
      </c>
      <c r="NM63" s="16">
        <v>0</v>
      </c>
      <c r="NN63" s="16">
        <v>0</v>
      </c>
      <c r="NO63" s="16">
        <v>0</v>
      </c>
      <c r="NP63" s="16">
        <v>0</v>
      </c>
      <c r="NQ63" s="16">
        <v>117</v>
      </c>
      <c r="NR63" s="17">
        <v>1213853</v>
      </c>
    </row>
    <row r="64" spans="1:382" ht="13.5" customHeight="1" x14ac:dyDescent="0.2">
      <c r="A64" s="2" t="s">
        <v>135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-130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-113</v>
      </c>
      <c r="AW64" s="16">
        <v>-137</v>
      </c>
      <c r="AX64" s="16">
        <v>-78</v>
      </c>
      <c r="AY64" s="16">
        <v>0</v>
      </c>
      <c r="AZ64" s="16">
        <v>0</v>
      </c>
      <c r="BA64" s="16">
        <v>3369</v>
      </c>
      <c r="BB64" s="16">
        <v>-377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-215</v>
      </c>
      <c r="BK64" s="16">
        <v>-230</v>
      </c>
      <c r="BL64" s="16">
        <v>189984</v>
      </c>
      <c r="BM64" s="16">
        <v>17581</v>
      </c>
      <c r="BN64" s="16">
        <v>1529</v>
      </c>
      <c r="BO64" s="16">
        <v>-1217</v>
      </c>
      <c r="BP64" s="16">
        <v>699693</v>
      </c>
      <c r="BQ64" s="16">
        <v>127138</v>
      </c>
      <c r="BR64" s="16">
        <v>78984</v>
      </c>
      <c r="BS64" s="16">
        <v>2156206</v>
      </c>
      <c r="BT64" s="16">
        <v>-2462</v>
      </c>
      <c r="BU64" s="16">
        <v>60</v>
      </c>
      <c r="BV64" s="16">
        <v>320</v>
      </c>
      <c r="BW64" s="16">
        <v>159039</v>
      </c>
      <c r="BX64" s="16">
        <v>-3191</v>
      </c>
      <c r="BY64" s="16">
        <v>0</v>
      </c>
      <c r="BZ64" s="16">
        <v>46879</v>
      </c>
      <c r="CA64" s="16">
        <v>49785</v>
      </c>
      <c r="CB64" s="16">
        <v>11513</v>
      </c>
      <c r="CC64" s="16">
        <v>0</v>
      </c>
      <c r="CD64" s="16">
        <v>0</v>
      </c>
      <c r="CE64" s="16">
        <v>0</v>
      </c>
      <c r="CF64" s="16">
        <v>0</v>
      </c>
      <c r="CG64" s="16">
        <v>95</v>
      </c>
      <c r="CH64" s="16">
        <v>0</v>
      </c>
      <c r="CI64" s="16">
        <v>0</v>
      </c>
      <c r="CJ64" s="16">
        <v>81</v>
      </c>
      <c r="CK64" s="16">
        <v>30210</v>
      </c>
      <c r="CL64" s="16">
        <v>0</v>
      </c>
      <c r="CM64" s="16">
        <v>-29</v>
      </c>
      <c r="CN64" s="16">
        <v>44</v>
      </c>
      <c r="CO64" s="16">
        <v>114</v>
      </c>
      <c r="CP64" s="16">
        <v>5450</v>
      </c>
      <c r="CQ64" s="16">
        <v>11018</v>
      </c>
      <c r="CR64" s="16">
        <v>0</v>
      </c>
      <c r="CS64" s="16">
        <v>0</v>
      </c>
      <c r="CT64" s="16">
        <v>0</v>
      </c>
      <c r="CU64" s="16">
        <v>0</v>
      </c>
      <c r="CV64" s="16">
        <v>0</v>
      </c>
      <c r="CW64" s="16">
        <v>0</v>
      </c>
      <c r="CX64" s="16">
        <v>0</v>
      </c>
      <c r="CY64" s="16">
        <v>0</v>
      </c>
      <c r="CZ64" s="16">
        <v>0</v>
      </c>
      <c r="DA64" s="16">
        <v>0</v>
      </c>
      <c r="DB64" s="16">
        <v>0</v>
      </c>
      <c r="DC64" s="16">
        <v>-14</v>
      </c>
      <c r="DD64" s="16">
        <v>0</v>
      </c>
      <c r="DE64" s="16">
        <v>-49</v>
      </c>
      <c r="DF64" s="16">
        <v>55</v>
      </c>
      <c r="DG64" s="16">
        <v>0</v>
      </c>
      <c r="DH64" s="16">
        <v>-10</v>
      </c>
      <c r="DI64" s="16">
        <v>15</v>
      </c>
      <c r="DJ64" s="16">
        <v>-896</v>
      </c>
      <c r="DK64" s="16">
        <v>-7</v>
      </c>
      <c r="DL64" s="16">
        <v>-5640</v>
      </c>
      <c r="DM64" s="16">
        <v>2318</v>
      </c>
      <c r="DN64" s="16">
        <v>0</v>
      </c>
      <c r="DO64" s="16">
        <v>51</v>
      </c>
      <c r="DP64" s="16">
        <v>125</v>
      </c>
      <c r="DQ64" s="16">
        <v>0</v>
      </c>
      <c r="DR64" s="16">
        <v>486</v>
      </c>
      <c r="DS64" s="16">
        <v>395</v>
      </c>
      <c r="DT64" s="16">
        <v>267</v>
      </c>
      <c r="DU64" s="16">
        <v>0</v>
      </c>
      <c r="DV64" s="16">
        <v>185</v>
      </c>
      <c r="DW64" s="16">
        <v>116591</v>
      </c>
      <c r="DX64" s="16">
        <v>6843</v>
      </c>
      <c r="DY64" s="16">
        <v>3395</v>
      </c>
      <c r="DZ64" s="16">
        <v>12482</v>
      </c>
      <c r="EA64" s="16">
        <v>16679</v>
      </c>
      <c r="EB64" s="16">
        <v>49</v>
      </c>
      <c r="EC64" s="16">
        <v>149669</v>
      </c>
      <c r="ED64" s="16">
        <v>11090</v>
      </c>
      <c r="EE64" s="16">
        <v>0</v>
      </c>
      <c r="EF64" s="16">
        <v>1</v>
      </c>
      <c r="EG64" s="16">
        <v>101</v>
      </c>
      <c r="EH64" s="16">
        <v>96</v>
      </c>
      <c r="EI64" s="16">
        <v>75</v>
      </c>
      <c r="EJ64" s="16">
        <v>1403</v>
      </c>
      <c r="EK64" s="16">
        <v>0</v>
      </c>
      <c r="EL64" s="16">
        <v>0</v>
      </c>
      <c r="EM64" s="16">
        <v>0</v>
      </c>
      <c r="EN64" s="16">
        <v>23</v>
      </c>
      <c r="EO64" s="16">
        <v>0</v>
      </c>
      <c r="EP64" s="16">
        <v>0</v>
      </c>
      <c r="EQ64" s="16">
        <v>0</v>
      </c>
      <c r="ER64" s="16">
        <v>31318</v>
      </c>
      <c r="ES64" s="16">
        <v>0</v>
      </c>
      <c r="ET64" s="16">
        <v>4241</v>
      </c>
      <c r="EU64" s="16">
        <v>0</v>
      </c>
      <c r="EV64" s="16">
        <v>0</v>
      </c>
      <c r="EW64" s="16">
        <v>0</v>
      </c>
      <c r="EX64" s="16">
        <v>0</v>
      </c>
      <c r="EY64" s="16">
        <v>0</v>
      </c>
      <c r="EZ64" s="16">
        <v>0</v>
      </c>
      <c r="FA64" s="16">
        <v>0</v>
      </c>
      <c r="FB64" s="16">
        <v>0</v>
      </c>
      <c r="FC64" s="16">
        <v>0</v>
      </c>
      <c r="FD64" s="16">
        <v>0</v>
      </c>
      <c r="FE64" s="16">
        <v>0</v>
      </c>
      <c r="FF64" s="16">
        <v>0</v>
      </c>
      <c r="FG64" s="16">
        <v>0</v>
      </c>
      <c r="FH64" s="16">
        <v>0</v>
      </c>
      <c r="FI64" s="16">
        <v>0</v>
      </c>
      <c r="FJ64" s="16">
        <v>0</v>
      </c>
      <c r="FK64" s="16">
        <v>0</v>
      </c>
      <c r="FL64" s="16">
        <v>0</v>
      </c>
      <c r="FM64" s="16">
        <v>0</v>
      </c>
      <c r="FN64" s="16">
        <v>166</v>
      </c>
      <c r="FO64" s="16">
        <v>0</v>
      </c>
      <c r="FP64" s="16">
        <v>20</v>
      </c>
      <c r="FQ64" s="16">
        <v>0</v>
      </c>
      <c r="FR64" s="16">
        <v>0</v>
      </c>
      <c r="FS64" s="16">
        <v>0</v>
      </c>
      <c r="FT64" s="16">
        <v>0</v>
      </c>
      <c r="FU64" s="16">
        <v>83</v>
      </c>
      <c r="FV64" s="16">
        <v>102</v>
      </c>
      <c r="FW64" s="16">
        <v>0</v>
      </c>
      <c r="FX64" s="16">
        <v>0</v>
      </c>
      <c r="FY64" s="16">
        <v>140</v>
      </c>
      <c r="FZ64" s="16">
        <v>0</v>
      </c>
      <c r="GA64" s="16">
        <v>0</v>
      </c>
      <c r="GB64" s="16">
        <v>0</v>
      </c>
      <c r="GC64" s="16">
        <v>0</v>
      </c>
      <c r="GD64" s="16">
        <v>0</v>
      </c>
      <c r="GE64" s="16">
        <v>0</v>
      </c>
      <c r="GF64" s="16">
        <v>0</v>
      </c>
      <c r="GG64" s="16">
        <v>0</v>
      </c>
      <c r="GH64" s="16">
        <v>0</v>
      </c>
      <c r="GI64" s="16">
        <v>-123</v>
      </c>
      <c r="GJ64" s="16">
        <v>0</v>
      </c>
      <c r="GK64" s="16">
        <v>82</v>
      </c>
      <c r="GL64" s="16">
        <v>0</v>
      </c>
      <c r="GM64" s="16">
        <v>56</v>
      </c>
      <c r="GN64" s="16">
        <v>0</v>
      </c>
      <c r="GO64" s="16">
        <v>0</v>
      </c>
      <c r="GP64" s="16">
        <v>0</v>
      </c>
      <c r="GQ64" s="16">
        <v>1</v>
      </c>
      <c r="GR64" s="16">
        <v>0</v>
      </c>
      <c r="GS64" s="16">
        <v>2</v>
      </c>
      <c r="GT64" s="16">
        <v>9</v>
      </c>
      <c r="GU64" s="16">
        <v>659</v>
      </c>
      <c r="GV64" s="16">
        <v>0</v>
      </c>
      <c r="GW64" s="16">
        <v>0</v>
      </c>
      <c r="GX64" s="16">
        <v>44</v>
      </c>
      <c r="GY64" s="16">
        <v>14</v>
      </c>
      <c r="GZ64" s="16">
        <v>83</v>
      </c>
      <c r="HA64" s="16">
        <v>0</v>
      </c>
      <c r="HB64" s="16">
        <v>0</v>
      </c>
      <c r="HC64" s="16">
        <v>0</v>
      </c>
      <c r="HD64" s="16">
        <v>0</v>
      </c>
      <c r="HE64" s="16">
        <v>0</v>
      </c>
      <c r="HF64" s="16">
        <v>0</v>
      </c>
      <c r="HG64" s="16">
        <v>0</v>
      </c>
      <c r="HH64" s="16">
        <v>1587</v>
      </c>
      <c r="HI64" s="16">
        <v>16</v>
      </c>
      <c r="HJ64" s="16">
        <v>9</v>
      </c>
      <c r="HK64" s="16">
        <v>13</v>
      </c>
      <c r="HL64" s="16">
        <v>16</v>
      </c>
      <c r="HM64" s="16">
        <v>0</v>
      </c>
      <c r="HN64" s="16">
        <v>0</v>
      </c>
      <c r="HO64" s="16">
        <v>0</v>
      </c>
      <c r="HP64" s="16">
        <v>0</v>
      </c>
      <c r="HQ64" s="16">
        <v>31</v>
      </c>
      <c r="HR64" s="16">
        <v>0</v>
      </c>
      <c r="HS64" s="16">
        <v>3976</v>
      </c>
      <c r="HT64" s="16">
        <v>0</v>
      </c>
      <c r="HU64" s="16">
        <v>17</v>
      </c>
      <c r="HV64" s="16">
        <v>3</v>
      </c>
      <c r="HW64" s="16">
        <v>0</v>
      </c>
      <c r="HX64" s="16">
        <v>34</v>
      </c>
      <c r="HY64" s="16">
        <v>844</v>
      </c>
      <c r="HZ64" s="16">
        <v>0</v>
      </c>
      <c r="IA64" s="16">
        <v>0</v>
      </c>
      <c r="IB64" s="16">
        <v>0</v>
      </c>
      <c r="IC64" s="16">
        <v>61</v>
      </c>
      <c r="ID64" s="16">
        <v>0</v>
      </c>
      <c r="IE64" s="16">
        <v>0</v>
      </c>
      <c r="IF64" s="16">
        <v>0</v>
      </c>
      <c r="IG64" s="16">
        <v>0</v>
      </c>
      <c r="IH64" s="16">
        <v>1241</v>
      </c>
      <c r="II64" s="16">
        <v>164</v>
      </c>
      <c r="IJ64" s="16">
        <v>2</v>
      </c>
      <c r="IK64" s="16">
        <v>95</v>
      </c>
      <c r="IL64" s="16">
        <v>0</v>
      </c>
      <c r="IM64" s="16">
        <v>0</v>
      </c>
      <c r="IN64" s="16">
        <v>2265</v>
      </c>
      <c r="IO64" s="16">
        <v>53162</v>
      </c>
      <c r="IP64" s="16">
        <v>158</v>
      </c>
      <c r="IQ64" s="16">
        <v>2</v>
      </c>
      <c r="IR64" s="16">
        <v>0</v>
      </c>
      <c r="IS64" s="16">
        <v>0</v>
      </c>
      <c r="IT64" s="16">
        <v>313</v>
      </c>
      <c r="IU64" s="16">
        <v>0</v>
      </c>
      <c r="IV64" s="16">
        <v>39013</v>
      </c>
      <c r="IW64" s="16">
        <v>42609</v>
      </c>
      <c r="IX64" s="16">
        <v>12024</v>
      </c>
      <c r="IY64" s="16">
        <v>6583</v>
      </c>
      <c r="IZ64" s="16">
        <v>4994</v>
      </c>
      <c r="JA64" s="16">
        <v>17608</v>
      </c>
      <c r="JB64" s="16">
        <v>733</v>
      </c>
      <c r="JC64" s="16">
        <v>27</v>
      </c>
      <c r="JD64" s="16">
        <v>11</v>
      </c>
      <c r="JE64" s="16">
        <v>93126</v>
      </c>
      <c r="JF64" s="16">
        <v>20466</v>
      </c>
      <c r="JG64" s="16">
        <v>41930</v>
      </c>
      <c r="JH64" s="16">
        <v>-296</v>
      </c>
      <c r="JI64" s="16">
        <v>0</v>
      </c>
      <c r="JJ64" s="16">
        <v>0</v>
      </c>
      <c r="JK64" s="16">
        <v>0</v>
      </c>
      <c r="JL64" s="16">
        <v>0</v>
      </c>
      <c r="JM64" s="16">
        <v>0</v>
      </c>
      <c r="JN64" s="16">
        <v>0</v>
      </c>
      <c r="JO64" s="16">
        <v>0</v>
      </c>
      <c r="JP64" s="16">
        <v>-44</v>
      </c>
      <c r="JQ64" s="16">
        <v>0</v>
      </c>
      <c r="JR64" s="16">
        <v>-593</v>
      </c>
      <c r="JS64" s="16">
        <v>-2785</v>
      </c>
      <c r="JT64" s="16">
        <v>0</v>
      </c>
      <c r="JU64" s="16">
        <v>0</v>
      </c>
      <c r="JV64" s="16">
        <v>0</v>
      </c>
      <c r="JW64" s="16">
        <v>0</v>
      </c>
      <c r="JX64" s="16">
        <v>-1358</v>
      </c>
      <c r="JY64" s="16">
        <v>-69</v>
      </c>
      <c r="JZ64" s="16">
        <v>-23</v>
      </c>
      <c r="KA64" s="16">
        <v>0</v>
      </c>
      <c r="KB64" s="16">
        <v>0</v>
      </c>
      <c r="KC64" s="16">
        <v>0</v>
      </c>
      <c r="KD64" s="16">
        <v>50</v>
      </c>
      <c r="KE64" s="16">
        <v>0</v>
      </c>
      <c r="KF64" s="16">
        <v>-66</v>
      </c>
      <c r="KG64" s="16">
        <v>0</v>
      </c>
      <c r="KH64" s="16">
        <v>0</v>
      </c>
      <c r="KI64" s="16">
        <v>0</v>
      </c>
      <c r="KJ64" s="16">
        <v>0</v>
      </c>
      <c r="KK64" s="16">
        <v>-5900</v>
      </c>
      <c r="KL64" s="16">
        <v>0</v>
      </c>
      <c r="KM64" s="16">
        <v>0</v>
      </c>
      <c r="KN64" s="16">
        <v>0</v>
      </c>
      <c r="KO64" s="16">
        <v>0</v>
      </c>
      <c r="KP64" s="16">
        <v>0</v>
      </c>
      <c r="KQ64" s="16">
        <v>0</v>
      </c>
      <c r="KR64" s="16">
        <v>0</v>
      </c>
      <c r="KS64" s="16">
        <v>0</v>
      </c>
      <c r="KT64" s="16">
        <v>0</v>
      </c>
      <c r="KU64" s="16">
        <v>0</v>
      </c>
      <c r="KV64" s="16">
        <v>0</v>
      </c>
      <c r="KW64" s="16">
        <v>-36</v>
      </c>
      <c r="KX64" s="16">
        <v>-103</v>
      </c>
      <c r="KY64" s="16">
        <v>0</v>
      </c>
      <c r="KZ64" s="16">
        <v>0</v>
      </c>
      <c r="LA64" s="16">
        <v>0</v>
      </c>
      <c r="LB64" s="16">
        <v>0</v>
      </c>
      <c r="LC64" s="16">
        <v>0</v>
      </c>
      <c r="LD64" s="16">
        <v>4182</v>
      </c>
      <c r="LE64" s="16">
        <v>-107</v>
      </c>
      <c r="LF64" s="16">
        <v>0</v>
      </c>
      <c r="LG64" s="16">
        <v>0</v>
      </c>
      <c r="LH64" s="16">
        <v>0</v>
      </c>
      <c r="LI64" s="16">
        <v>0</v>
      </c>
      <c r="LJ64" s="16">
        <v>0</v>
      </c>
      <c r="LK64" s="16">
        <v>0</v>
      </c>
      <c r="LL64" s="16">
        <v>0</v>
      </c>
      <c r="LM64" s="16">
        <v>0</v>
      </c>
      <c r="LN64" s="16">
        <v>0</v>
      </c>
      <c r="LO64" s="16">
        <v>0</v>
      </c>
      <c r="LP64" s="16">
        <v>3022</v>
      </c>
      <c r="LQ64" s="16">
        <v>151</v>
      </c>
      <c r="LR64" s="16">
        <v>0</v>
      </c>
      <c r="LS64" s="16">
        <v>0</v>
      </c>
      <c r="LT64" s="16">
        <v>0</v>
      </c>
      <c r="LU64" s="16">
        <v>0</v>
      </c>
      <c r="LV64" s="16">
        <v>0</v>
      </c>
      <c r="LW64" s="16">
        <v>0</v>
      </c>
      <c r="LX64" s="16">
        <v>0</v>
      </c>
      <c r="LY64" s="16">
        <v>0</v>
      </c>
      <c r="LZ64" s="16">
        <v>-69</v>
      </c>
      <c r="MA64" s="16">
        <v>0</v>
      </c>
      <c r="MB64" s="16">
        <v>0</v>
      </c>
      <c r="MC64" s="16">
        <v>636</v>
      </c>
      <c r="MD64" s="16">
        <v>202</v>
      </c>
      <c r="ME64" s="16">
        <v>0</v>
      </c>
      <c r="MF64" s="16">
        <v>28467</v>
      </c>
      <c r="MG64" s="16">
        <v>0</v>
      </c>
      <c r="MH64" s="16">
        <v>0</v>
      </c>
      <c r="MI64" s="16">
        <v>0</v>
      </c>
      <c r="MJ64" s="16">
        <v>0</v>
      </c>
      <c r="MK64" s="16">
        <v>0</v>
      </c>
      <c r="ML64" s="16">
        <v>0</v>
      </c>
      <c r="MM64" s="16">
        <v>820</v>
      </c>
      <c r="MN64" s="16">
        <v>-30</v>
      </c>
      <c r="MO64" s="16">
        <v>-157</v>
      </c>
      <c r="MP64" s="16">
        <v>0</v>
      </c>
      <c r="MQ64" s="16">
        <v>0</v>
      </c>
      <c r="MR64" s="16">
        <v>18</v>
      </c>
      <c r="MS64" s="16">
        <v>696</v>
      </c>
      <c r="MT64" s="16">
        <v>0</v>
      </c>
      <c r="MU64" s="16">
        <v>14</v>
      </c>
      <c r="MV64" s="16">
        <v>549</v>
      </c>
      <c r="MW64" s="16">
        <v>0</v>
      </c>
      <c r="MX64" s="16">
        <v>0</v>
      </c>
      <c r="MY64" s="16">
        <v>529</v>
      </c>
      <c r="MZ64" s="16">
        <v>35700</v>
      </c>
      <c r="NA64" s="16">
        <v>0</v>
      </c>
      <c r="NB64" s="16">
        <v>97086</v>
      </c>
      <c r="NC64" s="16">
        <v>0</v>
      </c>
      <c r="ND64" s="16">
        <v>6396</v>
      </c>
      <c r="NE64" s="16">
        <v>0</v>
      </c>
      <c r="NF64" s="16">
        <v>0</v>
      </c>
      <c r="NG64" s="16">
        <v>-262</v>
      </c>
      <c r="NH64" s="16">
        <v>0</v>
      </c>
      <c r="NI64" s="16">
        <v>0</v>
      </c>
      <c r="NJ64" s="16">
        <v>0</v>
      </c>
      <c r="NK64" s="16">
        <v>-144</v>
      </c>
      <c r="NL64" s="16">
        <v>-658</v>
      </c>
      <c r="NM64" s="16">
        <v>1224</v>
      </c>
      <c r="NN64" s="16">
        <v>0</v>
      </c>
      <c r="NO64" s="16">
        <v>0</v>
      </c>
      <c r="NP64" s="16">
        <v>2601</v>
      </c>
      <c r="NQ64" s="16">
        <v>520</v>
      </c>
      <c r="NR64" s="17">
        <v>4446884</v>
      </c>
    </row>
    <row r="65" spans="1:382" ht="13.5" customHeight="1" x14ac:dyDescent="0.2">
      <c r="A65" s="2" t="s">
        <v>137</v>
      </c>
      <c r="B65" s="16">
        <v>0</v>
      </c>
      <c r="C65" s="16">
        <v>0</v>
      </c>
      <c r="D65" s="16">
        <v>0</v>
      </c>
      <c r="E65" s="16">
        <v>0</v>
      </c>
      <c r="F65" s="16">
        <v>12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217</v>
      </c>
      <c r="R65" s="16">
        <v>390</v>
      </c>
      <c r="S65" s="16">
        <v>243</v>
      </c>
      <c r="T65" s="16">
        <v>0</v>
      </c>
      <c r="U65" s="16">
        <v>0</v>
      </c>
      <c r="V65" s="16">
        <v>0</v>
      </c>
      <c r="W65" s="16">
        <v>4</v>
      </c>
      <c r="X65" s="16">
        <v>7</v>
      </c>
      <c r="Y65" s="16">
        <v>0</v>
      </c>
      <c r="Z65" s="16">
        <v>122</v>
      </c>
      <c r="AA65" s="16">
        <v>8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474</v>
      </c>
      <c r="AO65" s="16">
        <v>292</v>
      </c>
      <c r="AP65" s="16">
        <v>0</v>
      </c>
      <c r="AQ65" s="16">
        <v>0</v>
      </c>
      <c r="AR65" s="16">
        <v>0</v>
      </c>
      <c r="AS65" s="16">
        <v>0</v>
      </c>
      <c r="AT65" s="16">
        <v>156</v>
      </c>
      <c r="AU65" s="16">
        <v>150</v>
      </c>
      <c r="AV65" s="16">
        <v>0</v>
      </c>
      <c r="AW65" s="16">
        <v>0</v>
      </c>
      <c r="AX65" s="16">
        <v>0</v>
      </c>
      <c r="AY65" s="16">
        <v>52</v>
      </c>
      <c r="AZ65" s="16">
        <v>0</v>
      </c>
      <c r="BA65" s="16">
        <v>32</v>
      </c>
      <c r="BB65" s="16">
        <v>7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56</v>
      </c>
      <c r="BL65" s="16">
        <v>2232</v>
      </c>
      <c r="BM65" s="16">
        <v>26805</v>
      </c>
      <c r="BN65" s="16">
        <v>13662</v>
      </c>
      <c r="BO65" s="16">
        <v>0</v>
      </c>
      <c r="BP65" s="16">
        <v>43402</v>
      </c>
      <c r="BQ65" s="16">
        <v>4548</v>
      </c>
      <c r="BR65" s="16">
        <v>12675</v>
      </c>
      <c r="BS65" s="16">
        <v>278299</v>
      </c>
      <c r="BT65" s="16">
        <v>9520</v>
      </c>
      <c r="BU65" s="16">
        <v>814</v>
      </c>
      <c r="BV65" s="16">
        <v>45</v>
      </c>
      <c r="BW65" s="16">
        <v>38900</v>
      </c>
      <c r="BX65" s="16">
        <v>0</v>
      </c>
      <c r="BY65" s="16">
        <v>87</v>
      </c>
      <c r="BZ65" s="16">
        <v>9295</v>
      </c>
      <c r="CA65" s="16">
        <v>6062</v>
      </c>
      <c r="CB65" s="16">
        <v>11807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19528</v>
      </c>
      <c r="CI65" s="16">
        <v>0</v>
      </c>
      <c r="CJ65" s="16">
        <v>347</v>
      </c>
      <c r="CK65" s="16">
        <v>1529</v>
      </c>
      <c r="CL65" s="16">
        <v>0</v>
      </c>
      <c r="CM65" s="16">
        <v>0</v>
      </c>
      <c r="CN65" s="16">
        <v>33</v>
      </c>
      <c r="CO65" s="16">
        <v>290</v>
      </c>
      <c r="CP65" s="16">
        <v>3187</v>
      </c>
      <c r="CQ65" s="16">
        <v>15158</v>
      </c>
      <c r="CR65" s="16">
        <v>0</v>
      </c>
      <c r="CS65" s="16">
        <v>0</v>
      </c>
      <c r="CT65" s="16">
        <v>0</v>
      </c>
      <c r="CU65" s="16">
        <v>0</v>
      </c>
      <c r="CV65" s="16">
        <v>0</v>
      </c>
      <c r="CW65" s="16">
        <v>0</v>
      </c>
      <c r="CX65" s="16">
        <v>0</v>
      </c>
      <c r="CY65" s="16">
        <v>0</v>
      </c>
      <c r="CZ65" s="16">
        <v>0</v>
      </c>
      <c r="DA65" s="16">
        <v>0</v>
      </c>
      <c r="DB65" s="16">
        <v>0</v>
      </c>
      <c r="DC65" s="16">
        <v>0</v>
      </c>
      <c r="DD65" s="16">
        <v>0</v>
      </c>
      <c r="DE65" s="16">
        <v>2</v>
      </c>
      <c r="DF65" s="16">
        <v>34</v>
      </c>
      <c r="DG65" s="16">
        <v>0</v>
      </c>
      <c r="DH65" s="16">
        <v>0</v>
      </c>
      <c r="DI65" s="16">
        <v>0</v>
      </c>
      <c r="DJ65" s="16">
        <v>0</v>
      </c>
      <c r="DK65" s="16">
        <v>1026</v>
      </c>
      <c r="DL65" s="16">
        <v>0</v>
      </c>
      <c r="DM65" s="16">
        <v>12496</v>
      </c>
      <c r="DN65" s="16">
        <v>0</v>
      </c>
      <c r="DO65" s="16">
        <v>239</v>
      </c>
      <c r="DP65" s="16">
        <v>1918</v>
      </c>
      <c r="DQ65" s="16">
        <v>0</v>
      </c>
      <c r="DR65" s="16">
        <v>85</v>
      </c>
      <c r="DS65" s="16">
        <v>3314</v>
      </c>
      <c r="DT65" s="16">
        <v>39</v>
      </c>
      <c r="DU65" s="16">
        <v>0</v>
      </c>
      <c r="DV65" s="16">
        <v>13</v>
      </c>
      <c r="DW65" s="16">
        <v>5566</v>
      </c>
      <c r="DX65" s="16">
        <v>1135</v>
      </c>
      <c r="DY65" s="16">
        <v>841</v>
      </c>
      <c r="DZ65" s="16">
        <v>4028</v>
      </c>
      <c r="EA65" s="16">
        <v>7154</v>
      </c>
      <c r="EB65" s="16">
        <v>0</v>
      </c>
      <c r="EC65" s="16">
        <v>2288</v>
      </c>
      <c r="ED65" s="16">
        <v>83</v>
      </c>
      <c r="EE65" s="16">
        <v>0</v>
      </c>
      <c r="EF65" s="16">
        <v>170</v>
      </c>
      <c r="EG65" s="16">
        <v>3444</v>
      </c>
      <c r="EH65" s="16">
        <v>326</v>
      </c>
      <c r="EI65" s="16">
        <v>0</v>
      </c>
      <c r="EJ65" s="16">
        <v>0</v>
      </c>
      <c r="EK65" s="16">
        <v>73</v>
      </c>
      <c r="EL65" s="16">
        <v>0</v>
      </c>
      <c r="EM65" s="16">
        <v>0</v>
      </c>
      <c r="EN65" s="16">
        <v>0</v>
      </c>
      <c r="EO65" s="16">
        <v>0</v>
      </c>
      <c r="EP65" s="16">
        <v>0</v>
      </c>
      <c r="EQ65" s="16">
        <v>0</v>
      </c>
      <c r="ER65" s="16">
        <v>61957</v>
      </c>
      <c r="ES65" s="16">
        <v>0</v>
      </c>
      <c r="ET65" s="16">
        <v>0</v>
      </c>
      <c r="EU65" s="16">
        <v>0</v>
      </c>
      <c r="EV65" s="16">
        <v>0</v>
      </c>
      <c r="EW65" s="16">
        <v>0</v>
      </c>
      <c r="EX65" s="16">
        <v>0</v>
      </c>
      <c r="EY65" s="16">
        <v>0</v>
      </c>
      <c r="EZ65" s="16">
        <v>0</v>
      </c>
      <c r="FA65" s="16">
        <v>0</v>
      </c>
      <c r="FB65" s="16">
        <v>0</v>
      </c>
      <c r="FC65" s="16">
        <v>4</v>
      </c>
      <c r="FD65" s="16">
        <v>0</v>
      </c>
      <c r="FE65" s="16">
        <v>0</v>
      </c>
      <c r="FF65" s="16">
        <v>0</v>
      </c>
      <c r="FG65" s="16">
        <v>0</v>
      </c>
      <c r="FH65" s="16">
        <v>0</v>
      </c>
      <c r="FI65" s="16">
        <v>0</v>
      </c>
      <c r="FJ65" s="16">
        <v>0</v>
      </c>
      <c r="FK65" s="16">
        <v>0</v>
      </c>
      <c r="FL65" s="16">
        <v>0</v>
      </c>
      <c r="FM65" s="16">
        <v>0</v>
      </c>
      <c r="FN65" s="16">
        <v>306</v>
      </c>
      <c r="FO65" s="16">
        <v>0</v>
      </c>
      <c r="FP65" s="16">
        <v>25</v>
      </c>
      <c r="FQ65" s="16">
        <v>6</v>
      </c>
      <c r="FR65" s="16">
        <v>35</v>
      </c>
      <c r="FS65" s="16">
        <v>0</v>
      </c>
      <c r="FT65" s="16">
        <v>0</v>
      </c>
      <c r="FU65" s="16">
        <v>423</v>
      </c>
      <c r="FV65" s="16">
        <v>26967</v>
      </c>
      <c r="FW65" s="16">
        <v>0</v>
      </c>
      <c r="FX65" s="16">
        <v>21232</v>
      </c>
      <c r="FY65" s="16">
        <v>1435</v>
      </c>
      <c r="FZ65" s="16">
        <v>0</v>
      </c>
      <c r="GA65" s="16">
        <v>14</v>
      </c>
      <c r="GB65" s="16">
        <v>4438</v>
      </c>
      <c r="GC65" s="16">
        <v>235</v>
      </c>
      <c r="GD65" s="16">
        <v>2600</v>
      </c>
      <c r="GE65" s="16">
        <v>0</v>
      </c>
      <c r="GF65" s="16">
        <v>44</v>
      </c>
      <c r="GG65" s="16">
        <v>290</v>
      </c>
      <c r="GH65" s="16">
        <v>1016</v>
      </c>
      <c r="GI65" s="16">
        <v>307803</v>
      </c>
      <c r="GJ65" s="16">
        <v>0</v>
      </c>
      <c r="GK65" s="16">
        <v>323</v>
      </c>
      <c r="GL65" s="16">
        <v>33</v>
      </c>
      <c r="GM65" s="16">
        <v>15</v>
      </c>
      <c r="GN65" s="16">
        <v>117</v>
      </c>
      <c r="GO65" s="16">
        <v>41</v>
      </c>
      <c r="GP65" s="16">
        <v>2</v>
      </c>
      <c r="GQ65" s="16">
        <v>0</v>
      </c>
      <c r="GR65" s="16">
        <v>0</v>
      </c>
      <c r="GS65" s="16">
        <v>7</v>
      </c>
      <c r="GT65" s="16">
        <v>14</v>
      </c>
      <c r="GU65" s="16">
        <v>1447</v>
      </c>
      <c r="GV65" s="16">
        <v>981</v>
      </c>
      <c r="GW65" s="16">
        <v>1210</v>
      </c>
      <c r="GX65" s="16">
        <v>102</v>
      </c>
      <c r="GY65" s="16">
        <v>2</v>
      </c>
      <c r="GZ65" s="16">
        <v>0</v>
      </c>
      <c r="HA65" s="16">
        <v>0</v>
      </c>
      <c r="HB65" s="16">
        <v>0</v>
      </c>
      <c r="HC65" s="16">
        <v>9</v>
      </c>
      <c r="HD65" s="16">
        <v>11</v>
      </c>
      <c r="HE65" s="16">
        <v>8706</v>
      </c>
      <c r="HF65" s="16">
        <v>729</v>
      </c>
      <c r="HG65" s="16">
        <v>0</v>
      </c>
      <c r="HH65" s="16">
        <v>18</v>
      </c>
      <c r="HI65" s="16">
        <v>699</v>
      </c>
      <c r="HJ65" s="16">
        <v>2750</v>
      </c>
      <c r="HK65" s="16">
        <v>4003</v>
      </c>
      <c r="HL65" s="16">
        <v>610</v>
      </c>
      <c r="HM65" s="16">
        <v>19</v>
      </c>
      <c r="HN65" s="16">
        <v>0</v>
      </c>
      <c r="HO65" s="16">
        <v>0</v>
      </c>
      <c r="HP65" s="16">
        <v>0</v>
      </c>
      <c r="HQ65" s="16">
        <v>0</v>
      </c>
      <c r="HR65" s="16">
        <v>46</v>
      </c>
      <c r="HS65" s="16">
        <v>0</v>
      </c>
      <c r="HT65" s="16">
        <v>59</v>
      </c>
      <c r="HU65" s="16">
        <v>5</v>
      </c>
      <c r="HV65" s="16">
        <v>14</v>
      </c>
      <c r="HW65" s="16">
        <v>266</v>
      </c>
      <c r="HX65" s="16">
        <v>18</v>
      </c>
      <c r="HY65" s="16">
        <v>108</v>
      </c>
      <c r="HZ65" s="16">
        <v>348</v>
      </c>
      <c r="IA65" s="16">
        <v>156</v>
      </c>
      <c r="IB65" s="16">
        <v>0</v>
      </c>
      <c r="IC65" s="16">
        <v>0</v>
      </c>
      <c r="ID65" s="16">
        <v>0</v>
      </c>
      <c r="IE65" s="16">
        <v>7</v>
      </c>
      <c r="IF65" s="16">
        <v>0</v>
      </c>
      <c r="IG65" s="16">
        <v>0</v>
      </c>
      <c r="IH65" s="16">
        <v>296</v>
      </c>
      <c r="II65" s="16">
        <v>39</v>
      </c>
      <c r="IJ65" s="16">
        <v>6</v>
      </c>
      <c r="IK65" s="16">
        <v>12</v>
      </c>
      <c r="IL65" s="16">
        <v>0</v>
      </c>
      <c r="IM65" s="16">
        <v>0</v>
      </c>
      <c r="IN65" s="16">
        <v>237</v>
      </c>
      <c r="IO65" s="16">
        <v>286</v>
      </c>
      <c r="IP65" s="16">
        <v>20557</v>
      </c>
      <c r="IQ65" s="16">
        <v>0</v>
      </c>
      <c r="IR65" s="16">
        <v>1399</v>
      </c>
      <c r="IS65" s="16">
        <v>424</v>
      </c>
      <c r="IT65" s="16">
        <v>412</v>
      </c>
      <c r="IU65" s="16">
        <v>0</v>
      </c>
      <c r="IV65" s="16">
        <v>8281</v>
      </c>
      <c r="IW65" s="16">
        <v>43884</v>
      </c>
      <c r="IX65" s="16">
        <v>748</v>
      </c>
      <c r="IY65" s="16">
        <v>14702</v>
      </c>
      <c r="IZ65" s="16">
        <v>5687</v>
      </c>
      <c r="JA65" s="16">
        <v>117935</v>
      </c>
      <c r="JB65" s="16">
        <v>8</v>
      </c>
      <c r="JC65" s="16">
        <v>233</v>
      </c>
      <c r="JD65" s="16">
        <v>18</v>
      </c>
      <c r="JE65" s="16">
        <v>10830</v>
      </c>
      <c r="JF65" s="16">
        <v>6959</v>
      </c>
      <c r="JG65" s="16">
        <v>99973</v>
      </c>
      <c r="JH65" s="16">
        <v>0</v>
      </c>
      <c r="JI65" s="16">
        <v>0</v>
      </c>
      <c r="JJ65" s="16">
        <v>0</v>
      </c>
      <c r="JK65" s="16">
        <v>0</v>
      </c>
      <c r="JL65" s="16">
        <v>0</v>
      </c>
      <c r="JM65" s="16">
        <v>0</v>
      </c>
      <c r="JN65" s="16">
        <v>0</v>
      </c>
      <c r="JO65" s="16">
        <v>0</v>
      </c>
      <c r="JP65" s="16">
        <v>0</v>
      </c>
      <c r="JQ65" s="16">
        <v>0</v>
      </c>
      <c r="JR65" s="16">
        <v>0</v>
      </c>
      <c r="JS65" s="16">
        <v>0</v>
      </c>
      <c r="JT65" s="16">
        <v>0</v>
      </c>
      <c r="JU65" s="16">
        <v>0</v>
      </c>
      <c r="JV65" s="16">
        <v>11</v>
      </c>
      <c r="JW65" s="16">
        <v>387</v>
      </c>
      <c r="JX65" s="16">
        <v>1410</v>
      </c>
      <c r="JY65" s="16">
        <v>200</v>
      </c>
      <c r="JZ65" s="16">
        <v>635</v>
      </c>
      <c r="KA65" s="16">
        <v>584</v>
      </c>
      <c r="KB65" s="16">
        <v>0</v>
      </c>
      <c r="KC65" s="16">
        <v>431</v>
      </c>
      <c r="KD65" s="16">
        <v>0</v>
      </c>
      <c r="KE65" s="16">
        <v>0</v>
      </c>
      <c r="KF65" s="16">
        <v>0</v>
      </c>
      <c r="KG65" s="16">
        <v>0</v>
      </c>
      <c r="KH65" s="16">
        <v>0</v>
      </c>
      <c r="KI65" s="16">
        <v>16</v>
      </c>
      <c r="KJ65" s="16">
        <v>10</v>
      </c>
      <c r="KK65" s="16">
        <v>13036</v>
      </c>
      <c r="KL65" s="16">
        <v>0</v>
      </c>
      <c r="KM65" s="16">
        <v>0</v>
      </c>
      <c r="KN65" s="16">
        <v>0</v>
      </c>
      <c r="KO65" s="16">
        <v>0</v>
      </c>
      <c r="KP65" s="16">
        <v>0</v>
      </c>
      <c r="KQ65" s="16">
        <v>24</v>
      </c>
      <c r="KR65" s="16">
        <v>0</v>
      </c>
      <c r="KS65" s="16">
        <v>0</v>
      </c>
      <c r="KT65" s="16">
        <v>0</v>
      </c>
      <c r="KU65" s="16">
        <v>0</v>
      </c>
      <c r="KV65" s="16">
        <v>0</v>
      </c>
      <c r="KW65" s="16">
        <v>0</v>
      </c>
      <c r="KX65" s="16">
        <v>0</v>
      </c>
      <c r="KY65" s="16">
        <v>0</v>
      </c>
      <c r="KZ65" s="16">
        <v>0</v>
      </c>
      <c r="LA65" s="16">
        <v>0</v>
      </c>
      <c r="LB65" s="16">
        <v>0</v>
      </c>
      <c r="LC65" s="16">
        <v>0</v>
      </c>
      <c r="LD65" s="16">
        <v>0</v>
      </c>
      <c r="LE65" s="16">
        <v>0</v>
      </c>
      <c r="LF65" s="16">
        <v>0</v>
      </c>
      <c r="LG65" s="16">
        <v>0</v>
      </c>
      <c r="LH65" s="16">
        <v>0</v>
      </c>
      <c r="LI65" s="16">
        <v>0</v>
      </c>
      <c r="LJ65" s="16">
        <v>0</v>
      </c>
      <c r="LK65" s="16">
        <v>0</v>
      </c>
      <c r="LL65" s="16">
        <v>0</v>
      </c>
      <c r="LM65" s="16">
        <v>0</v>
      </c>
      <c r="LN65" s="16">
        <v>0</v>
      </c>
      <c r="LO65" s="16">
        <v>0</v>
      </c>
      <c r="LP65" s="16">
        <v>0</v>
      </c>
      <c r="LQ65" s="16">
        <v>0</v>
      </c>
      <c r="LR65" s="16">
        <v>0</v>
      </c>
      <c r="LS65" s="16">
        <v>0</v>
      </c>
      <c r="LT65" s="16">
        <v>0</v>
      </c>
      <c r="LU65" s="16">
        <v>0</v>
      </c>
      <c r="LV65" s="16">
        <v>0</v>
      </c>
      <c r="LW65" s="16">
        <v>0</v>
      </c>
      <c r="LX65" s="16">
        <v>0</v>
      </c>
      <c r="LY65" s="16">
        <v>0</v>
      </c>
      <c r="LZ65" s="16">
        <v>0</v>
      </c>
      <c r="MA65" s="16">
        <v>0</v>
      </c>
      <c r="MB65" s="16">
        <v>0</v>
      </c>
      <c r="MC65" s="16">
        <v>17</v>
      </c>
      <c r="MD65" s="16">
        <v>0</v>
      </c>
      <c r="ME65" s="16">
        <v>0</v>
      </c>
      <c r="MF65" s="16">
        <v>7924</v>
      </c>
      <c r="MG65" s="16">
        <v>0</v>
      </c>
      <c r="MH65" s="16">
        <v>0</v>
      </c>
      <c r="MI65" s="16">
        <v>0</v>
      </c>
      <c r="MJ65" s="16">
        <v>0</v>
      </c>
      <c r="MK65" s="16">
        <v>0</v>
      </c>
      <c r="ML65" s="16">
        <v>0</v>
      </c>
      <c r="MM65" s="16">
        <v>0</v>
      </c>
      <c r="MN65" s="16">
        <v>0</v>
      </c>
      <c r="MO65" s="16">
        <v>0</v>
      </c>
      <c r="MP65" s="16">
        <v>0</v>
      </c>
      <c r="MQ65" s="16">
        <v>0</v>
      </c>
      <c r="MR65" s="16">
        <v>294</v>
      </c>
      <c r="MS65" s="16">
        <v>0</v>
      </c>
      <c r="MT65" s="16">
        <v>0</v>
      </c>
      <c r="MU65" s="16">
        <v>0</v>
      </c>
      <c r="MV65" s="16">
        <v>0</v>
      </c>
      <c r="MW65" s="16">
        <v>0</v>
      </c>
      <c r="MX65" s="16">
        <v>0</v>
      </c>
      <c r="MY65" s="16">
        <v>0</v>
      </c>
      <c r="MZ65" s="16">
        <v>0</v>
      </c>
      <c r="NA65" s="16">
        <v>167</v>
      </c>
      <c r="NB65" s="16">
        <v>0</v>
      </c>
      <c r="NC65" s="16">
        <v>0</v>
      </c>
      <c r="ND65" s="16">
        <v>0</v>
      </c>
      <c r="NE65" s="16">
        <v>0</v>
      </c>
      <c r="NF65" s="16">
        <v>0</v>
      </c>
      <c r="NG65" s="16">
        <v>0</v>
      </c>
      <c r="NH65" s="16">
        <v>0</v>
      </c>
      <c r="NI65" s="16">
        <v>0</v>
      </c>
      <c r="NJ65" s="16">
        <v>0</v>
      </c>
      <c r="NK65" s="16">
        <v>0</v>
      </c>
      <c r="NL65" s="16">
        <v>0</v>
      </c>
      <c r="NM65" s="16">
        <v>0</v>
      </c>
      <c r="NN65" s="16">
        <v>0</v>
      </c>
      <c r="NO65" s="16">
        <v>0</v>
      </c>
      <c r="NP65" s="16">
        <v>0</v>
      </c>
      <c r="NQ65" s="16">
        <v>7</v>
      </c>
      <c r="NR65" s="17">
        <v>1354505</v>
      </c>
    </row>
    <row r="66" spans="1:382" ht="13.5" customHeight="1" x14ac:dyDescent="0.2">
      <c r="A66" s="2" t="s">
        <v>139</v>
      </c>
      <c r="B66" s="16">
        <v>36</v>
      </c>
      <c r="C66" s="16">
        <v>0</v>
      </c>
      <c r="D66" s="16">
        <v>0</v>
      </c>
      <c r="E66" s="16">
        <v>4</v>
      </c>
      <c r="F66" s="16">
        <v>0</v>
      </c>
      <c r="G66" s="16">
        <v>2</v>
      </c>
      <c r="H66" s="16">
        <v>0</v>
      </c>
      <c r="I66" s="16">
        <v>4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12</v>
      </c>
      <c r="Q66" s="16">
        <v>124</v>
      </c>
      <c r="R66" s="16">
        <v>71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2</v>
      </c>
      <c r="Y66" s="16">
        <v>27</v>
      </c>
      <c r="Z66" s="16">
        <v>0</v>
      </c>
      <c r="AA66" s="16">
        <v>1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9</v>
      </c>
      <c r="AH66" s="16">
        <v>0</v>
      </c>
      <c r="AI66" s="16">
        <v>16</v>
      </c>
      <c r="AJ66" s="16">
        <v>32</v>
      </c>
      <c r="AK66" s="16">
        <v>64</v>
      </c>
      <c r="AL66" s="16">
        <v>2</v>
      </c>
      <c r="AM66" s="16">
        <v>48</v>
      </c>
      <c r="AN66" s="16">
        <v>26</v>
      </c>
      <c r="AO66" s="16">
        <v>220</v>
      </c>
      <c r="AP66" s="16">
        <v>0</v>
      </c>
      <c r="AQ66" s="16">
        <v>0</v>
      </c>
      <c r="AR66" s="16">
        <v>0</v>
      </c>
      <c r="AS66" s="16">
        <v>0</v>
      </c>
      <c r="AT66" s="16">
        <v>8</v>
      </c>
      <c r="AU66" s="16">
        <v>9</v>
      </c>
      <c r="AV66" s="16">
        <v>18</v>
      </c>
      <c r="AW66" s="16">
        <v>40</v>
      </c>
      <c r="AX66" s="16">
        <v>4</v>
      </c>
      <c r="AY66" s="16">
        <v>0</v>
      </c>
      <c r="AZ66" s="16">
        <v>21</v>
      </c>
      <c r="BA66" s="16">
        <v>134</v>
      </c>
      <c r="BB66" s="16">
        <v>10</v>
      </c>
      <c r="BC66" s="16">
        <v>45</v>
      </c>
      <c r="BD66" s="16">
        <v>0</v>
      </c>
      <c r="BE66" s="16">
        <v>3</v>
      </c>
      <c r="BF66" s="16">
        <v>3</v>
      </c>
      <c r="BG66" s="16">
        <v>13</v>
      </c>
      <c r="BH66" s="16">
        <v>36</v>
      </c>
      <c r="BI66" s="16">
        <v>0</v>
      </c>
      <c r="BJ66" s="16">
        <v>0</v>
      </c>
      <c r="BK66" s="16">
        <v>0</v>
      </c>
      <c r="BL66" s="16">
        <v>2</v>
      </c>
      <c r="BM66" s="16">
        <v>0</v>
      </c>
      <c r="BN66" s="16">
        <v>41994</v>
      </c>
      <c r="BO66" s="16">
        <v>0</v>
      </c>
      <c r="BP66" s="16">
        <v>3311</v>
      </c>
      <c r="BQ66" s="16">
        <v>748</v>
      </c>
      <c r="BR66" s="16">
        <v>593</v>
      </c>
      <c r="BS66" s="16">
        <v>561166</v>
      </c>
      <c r="BT66" s="16">
        <v>225639</v>
      </c>
      <c r="BU66" s="16">
        <v>0</v>
      </c>
      <c r="BV66" s="16">
        <v>0</v>
      </c>
      <c r="BW66" s="16">
        <v>8731</v>
      </c>
      <c r="BX66" s="16">
        <v>0</v>
      </c>
      <c r="BY66" s="16">
        <v>0</v>
      </c>
      <c r="BZ66" s="16">
        <v>728</v>
      </c>
      <c r="CA66" s="16">
        <v>2213</v>
      </c>
      <c r="CB66" s="16">
        <v>0</v>
      </c>
      <c r="CC66" s="16">
        <v>256</v>
      </c>
      <c r="CD66" s="16">
        <v>47</v>
      </c>
      <c r="CE66" s="16">
        <v>17</v>
      </c>
      <c r="CF66" s="16">
        <v>13</v>
      </c>
      <c r="CG66" s="16">
        <v>8</v>
      </c>
      <c r="CH66" s="16">
        <v>16</v>
      </c>
      <c r="CI66" s="16">
        <v>0</v>
      </c>
      <c r="CJ66" s="16">
        <v>4</v>
      </c>
      <c r="CK66" s="16">
        <v>15</v>
      </c>
      <c r="CL66" s="16">
        <v>181</v>
      </c>
      <c r="CM66" s="16">
        <v>9</v>
      </c>
      <c r="CN66" s="16">
        <v>10</v>
      </c>
      <c r="CO66" s="16">
        <v>11</v>
      </c>
      <c r="CP66" s="16">
        <v>51</v>
      </c>
      <c r="CQ66" s="16">
        <v>2076</v>
      </c>
      <c r="CR66" s="16">
        <v>0</v>
      </c>
      <c r="CS66" s="16">
        <v>3</v>
      </c>
      <c r="CT66" s="16">
        <v>8</v>
      </c>
      <c r="CU66" s="16">
        <v>83</v>
      </c>
      <c r="CV66" s="16">
        <v>149</v>
      </c>
      <c r="CW66" s="16">
        <v>393</v>
      </c>
      <c r="CX66" s="16">
        <v>174</v>
      </c>
      <c r="CY66" s="16">
        <v>16</v>
      </c>
      <c r="CZ66" s="16">
        <v>14</v>
      </c>
      <c r="DA66" s="16">
        <v>0</v>
      </c>
      <c r="DB66" s="16">
        <v>25</v>
      </c>
      <c r="DC66" s="16">
        <v>0</v>
      </c>
      <c r="DD66" s="16">
        <v>0</v>
      </c>
      <c r="DE66" s="16">
        <v>1</v>
      </c>
      <c r="DF66" s="16">
        <v>19</v>
      </c>
      <c r="DG66" s="16">
        <v>3</v>
      </c>
      <c r="DH66" s="16">
        <v>9</v>
      </c>
      <c r="DI66" s="16">
        <v>22</v>
      </c>
      <c r="DJ66" s="16">
        <v>61</v>
      </c>
      <c r="DK66" s="16">
        <v>0</v>
      </c>
      <c r="DL66" s="16">
        <v>11</v>
      </c>
      <c r="DM66" s="16">
        <v>70</v>
      </c>
      <c r="DN66" s="16">
        <v>8</v>
      </c>
      <c r="DO66" s="16">
        <v>14</v>
      </c>
      <c r="DP66" s="16">
        <v>37</v>
      </c>
      <c r="DQ66" s="16">
        <v>15</v>
      </c>
      <c r="DR66" s="16">
        <v>53</v>
      </c>
      <c r="DS66" s="16">
        <v>143</v>
      </c>
      <c r="DT66" s="16">
        <v>14</v>
      </c>
      <c r="DU66" s="16">
        <v>28</v>
      </c>
      <c r="DV66" s="16">
        <v>24</v>
      </c>
      <c r="DW66" s="16">
        <v>155</v>
      </c>
      <c r="DX66" s="16">
        <v>57</v>
      </c>
      <c r="DY66" s="16">
        <v>47</v>
      </c>
      <c r="DZ66" s="16">
        <v>227</v>
      </c>
      <c r="EA66" s="16">
        <v>106</v>
      </c>
      <c r="EB66" s="16">
        <v>1</v>
      </c>
      <c r="EC66" s="16">
        <v>4428</v>
      </c>
      <c r="ED66" s="16">
        <v>249</v>
      </c>
      <c r="EE66" s="16">
        <v>0</v>
      </c>
      <c r="EF66" s="16">
        <v>3</v>
      </c>
      <c r="EG66" s="16">
        <v>165</v>
      </c>
      <c r="EH66" s="16">
        <v>18</v>
      </c>
      <c r="EI66" s="16">
        <v>2</v>
      </c>
      <c r="EJ66" s="16">
        <v>3</v>
      </c>
      <c r="EK66" s="16">
        <v>9</v>
      </c>
      <c r="EL66" s="16">
        <v>1</v>
      </c>
      <c r="EM66" s="16">
        <v>2</v>
      </c>
      <c r="EN66" s="16">
        <v>32</v>
      </c>
      <c r="EO66" s="16">
        <v>8</v>
      </c>
      <c r="EP66" s="16">
        <v>7</v>
      </c>
      <c r="EQ66" s="16">
        <v>19</v>
      </c>
      <c r="ER66" s="16">
        <v>28</v>
      </c>
      <c r="ES66" s="16">
        <v>26</v>
      </c>
      <c r="ET66" s="16">
        <v>15</v>
      </c>
      <c r="EU66" s="16">
        <v>0</v>
      </c>
      <c r="EV66" s="16">
        <v>0</v>
      </c>
      <c r="EW66" s="16">
        <v>2</v>
      </c>
      <c r="EX66" s="16">
        <v>510</v>
      </c>
      <c r="EY66" s="16">
        <v>22</v>
      </c>
      <c r="EZ66" s="16">
        <v>2</v>
      </c>
      <c r="FA66" s="16">
        <v>4</v>
      </c>
      <c r="FB66" s="16">
        <v>24</v>
      </c>
      <c r="FC66" s="16">
        <v>2</v>
      </c>
      <c r="FD66" s="16">
        <v>85</v>
      </c>
      <c r="FE66" s="16">
        <v>26</v>
      </c>
      <c r="FF66" s="16">
        <v>0</v>
      </c>
      <c r="FG66" s="16">
        <v>37</v>
      </c>
      <c r="FH66" s="16">
        <v>0</v>
      </c>
      <c r="FI66" s="16">
        <v>11</v>
      </c>
      <c r="FJ66" s="16">
        <v>2</v>
      </c>
      <c r="FK66" s="16">
        <v>0</v>
      </c>
      <c r="FL66" s="16">
        <v>0</v>
      </c>
      <c r="FM66" s="16">
        <v>3</v>
      </c>
      <c r="FN66" s="16">
        <v>171</v>
      </c>
      <c r="FO66" s="16">
        <v>0</v>
      </c>
      <c r="FP66" s="16">
        <v>60</v>
      </c>
      <c r="FQ66" s="16">
        <v>99</v>
      </c>
      <c r="FR66" s="16">
        <v>83</v>
      </c>
      <c r="FS66" s="16">
        <v>44</v>
      </c>
      <c r="FT66" s="16">
        <v>24</v>
      </c>
      <c r="FU66" s="16">
        <v>99</v>
      </c>
      <c r="FV66" s="16">
        <v>76</v>
      </c>
      <c r="FW66" s="16">
        <v>734</v>
      </c>
      <c r="FX66" s="16">
        <v>232</v>
      </c>
      <c r="FY66" s="16">
        <v>31</v>
      </c>
      <c r="FZ66" s="16">
        <v>181</v>
      </c>
      <c r="GA66" s="16">
        <v>16</v>
      </c>
      <c r="GB66" s="16">
        <v>875</v>
      </c>
      <c r="GC66" s="16">
        <v>42</v>
      </c>
      <c r="GD66" s="16">
        <v>206</v>
      </c>
      <c r="GE66" s="16">
        <v>3</v>
      </c>
      <c r="GF66" s="16">
        <v>0</v>
      </c>
      <c r="GG66" s="16">
        <v>0</v>
      </c>
      <c r="GH66" s="16">
        <v>5</v>
      </c>
      <c r="GI66" s="16">
        <v>23</v>
      </c>
      <c r="GJ66" s="16">
        <v>92</v>
      </c>
      <c r="GK66" s="16">
        <v>14</v>
      </c>
      <c r="GL66" s="16">
        <v>1</v>
      </c>
      <c r="GM66" s="16">
        <v>57</v>
      </c>
      <c r="GN66" s="16">
        <v>2</v>
      </c>
      <c r="GO66" s="16">
        <v>20</v>
      </c>
      <c r="GP66" s="16">
        <v>6</v>
      </c>
      <c r="GQ66" s="16">
        <v>1</v>
      </c>
      <c r="GR66" s="16">
        <v>2</v>
      </c>
      <c r="GS66" s="16">
        <v>4</v>
      </c>
      <c r="GT66" s="16">
        <v>1</v>
      </c>
      <c r="GU66" s="16">
        <v>19</v>
      </c>
      <c r="GV66" s="16">
        <v>26</v>
      </c>
      <c r="GW66" s="16">
        <v>16</v>
      </c>
      <c r="GX66" s="16">
        <v>6</v>
      </c>
      <c r="GY66" s="16">
        <v>0</v>
      </c>
      <c r="GZ66" s="16">
        <v>58</v>
      </c>
      <c r="HA66" s="16">
        <v>23</v>
      </c>
      <c r="HB66" s="16">
        <v>23</v>
      </c>
      <c r="HC66" s="16">
        <v>1672</v>
      </c>
      <c r="HD66" s="16">
        <v>114</v>
      </c>
      <c r="HE66" s="16">
        <v>10</v>
      </c>
      <c r="HF66" s="16">
        <v>53</v>
      </c>
      <c r="HG66" s="16">
        <v>5</v>
      </c>
      <c r="HH66" s="16">
        <v>5</v>
      </c>
      <c r="HI66" s="16">
        <v>28</v>
      </c>
      <c r="HJ66" s="16">
        <v>11</v>
      </c>
      <c r="HK66" s="16">
        <v>15</v>
      </c>
      <c r="HL66" s="16">
        <v>178</v>
      </c>
      <c r="HM66" s="16">
        <v>18</v>
      </c>
      <c r="HN66" s="16">
        <v>12</v>
      </c>
      <c r="HO66" s="16">
        <v>77</v>
      </c>
      <c r="HP66" s="16">
        <v>47</v>
      </c>
      <c r="HQ66" s="16">
        <v>220</v>
      </c>
      <c r="HR66" s="16">
        <v>39</v>
      </c>
      <c r="HS66" s="16">
        <v>128</v>
      </c>
      <c r="HT66" s="16">
        <v>1</v>
      </c>
      <c r="HU66" s="16">
        <v>68</v>
      </c>
      <c r="HV66" s="16">
        <v>18</v>
      </c>
      <c r="HW66" s="16">
        <v>18</v>
      </c>
      <c r="HX66" s="16">
        <v>46</v>
      </c>
      <c r="HY66" s="16">
        <v>512</v>
      </c>
      <c r="HZ66" s="16">
        <v>32</v>
      </c>
      <c r="IA66" s="16">
        <v>6</v>
      </c>
      <c r="IB66" s="16">
        <v>4</v>
      </c>
      <c r="IC66" s="16">
        <v>5</v>
      </c>
      <c r="ID66" s="16">
        <v>10</v>
      </c>
      <c r="IE66" s="16">
        <v>5</v>
      </c>
      <c r="IF66" s="16">
        <v>10</v>
      </c>
      <c r="IG66" s="16">
        <v>32</v>
      </c>
      <c r="IH66" s="16">
        <v>4</v>
      </c>
      <c r="II66" s="16">
        <v>0</v>
      </c>
      <c r="IJ66" s="16">
        <v>1</v>
      </c>
      <c r="IK66" s="16">
        <v>1</v>
      </c>
      <c r="IL66" s="16">
        <v>0</v>
      </c>
      <c r="IM66" s="16">
        <v>3</v>
      </c>
      <c r="IN66" s="16">
        <v>18</v>
      </c>
      <c r="IO66" s="16">
        <v>175</v>
      </c>
      <c r="IP66" s="16">
        <v>2</v>
      </c>
      <c r="IQ66" s="16">
        <v>3</v>
      </c>
      <c r="IR66" s="16">
        <v>19</v>
      </c>
      <c r="IS66" s="16">
        <v>27</v>
      </c>
      <c r="IT66" s="16">
        <v>1</v>
      </c>
      <c r="IU66" s="16">
        <v>2</v>
      </c>
      <c r="IV66" s="16">
        <v>1054</v>
      </c>
      <c r="IW66" s="16">
        <v>6543</v>
      </c>
      <c r="IX66" s="16">
        <v>110</v>
      </c>
      <c r="IY66" s="16">
        <v>1781</v>
      </c>
      <c r="IZ66" s="16">
        <v>445</v>
      </c>
      <c r="JA66" s="16">
        <v>491</v>
      </c>
      <c r="JB66" s="16">
        <v>1</v>
      </c>
      <c r="JC66" s="16">
        <v>2</v>
      </c>
      <c r="JD66" s="16">
        <v>2</v>
      </c>
      <c r="JE66" s="16">
        <v>41</v>
      </c>
      <c r="JF66" s="16">
        <v>296</v>
      </c>
      <c r="JG66" s="16">
        <v>14791</v>
      </c>
      <c r="JH66" s="16">
        <v>75</v>
      </c>
      <c r="JI66" s="16">
        <v>0</v>
      </c>
      <c r="JJ66" s="16">
        <v>8</v>
      </c>
      <c r="JK66" s="16">
        <v>10</v>
      </c>
      <c r="JL66" s="16">
        <v>1</v>
      </c>
      <c r="JM66" s="16">
        <v>0</v>
      </c>
      <c r="JN66" s="16">
        <v>0</v>
      </c>
      <c r="JO66" s="16">
        <v>0</v>
      </c>
      <c r="JP66" s="16">
        <v>0</v>
      </c>
      <c r="JQ66" s="16">
        <v>0</v>
      </c>
      <c r="JR66" s="16">
        <v>104</v>
      </c>
      <c r="JS66" s="16">
        <v>90</v>
      </c>
      <c r="JT66" s="16">
        <v>0</v>
      </c>
      <c r="JU66" s="16">
        <v>273</v>
      </c>
      <c r="JV66" s="16">
        <v>1</v>
      </c>
      <c r="JW66" s="16">
        <v>191</v>
      </c>
      <c r="JX66" s="16">
        <v>323</v>
      </c>
      <c r="JY66" s="16">
        <v>64</v>
      </c>
      <c r="JZ66" s="16">
        <v>6</v>
      </c>
      <c r="KA66" s="16">
        <v>15</v>
      </c>
      <c r="KB66" s="16">
        <v>1</v>
      </c>
      <c r="KC66" s="16">
        <v>1</v>
      </c>
      <c r="KD66" s="16">
        <v>0</v>
      </c>
      <c r="KE66" s="16">
        <v>1</v>
      </c>
      <c r="KF66" s="16">
        <v>37</v>
      </c>
      <c r="KG66" s="16">
        <v>16</v>
      </c>
      <c r="KH66" s="16">
        <v>8</v>
      </c>
      <c r="KI66" s="16">
        <v>10</v>
      </c>
      <c r="KJ66" s="16">
        <v>2</v>
      </c>
      <c r="KK66" s="16">
        <v>124</v>
      </c>
      <c r="KL66" s="16">
        <v>3</v>
      </c>
      <c r="KM66" s="16">
        <v>0</v>
      </c>
      <c r="KN66" s="16">
        <v>13</v>
      </c>
      <c r="KO66" s="16">
        <v>689</v>
      </c>
      <c r="KP66" s="16">
        <v>1</v>
      </c>
      <c r="KQ66" s="16">
        <v>1</v>
      </c>
      <c r="KR66" s="16">
        <v>0</v>
      </c>
      <c r="KS66" s="16">
        <v>8</v>
      </c>
      <c r="KT66" s="16">
        <v>7</v>
      </c>
      <c r="KU66" s="16">
        <v>145</v>
      </c>
      <c r="KV66" s="16">
        <v>3892</v>
      </c>
      <c r="KW66" s="16">
        <v>165</v>
      </c>
      <c r="KX66" s="16">
        <v>3</v>
      </c>
      <c r="KY66" s="16">
        <v>52</v>
      </c>
      <c r="KZ66" s="16">
        <v>715</v>
      </c>
      <c r="LA66" s="16">
        <v>873</v>
      </c>
      <c r="LB66" s="16">
        <v>17</v>
      </c>
      <c r="LC66" s="16">
        <v>890</v>
      </c>
      <c r="LD66" s="16">
        <v>171</v>
      </c>
      <c r="LE66" s="16">
        <v>15</v>
      </c>
      <c r="LF66" s="16">
        <v>0</v>
      </c>
      <c r="LG66" s="16">
        <v>2</v>
      </c>
      <c r="LH66" s="16">
        <v>15</v>
      </c>
      <c r="LI66" s="16">
        <v>1</v>
      </c>
      <c r="LJ66" s="16">
        <v>0</v>
      </c>
      <c r="LK66" s="16">
        <v>0</v>
      </c>
      <c r="LL66" s="16">
        <v>0</v>
      </c>
      <c r="LM66" s="16">
        <v>0</v>
      </c>
      <c r="LN66" s="16">
        <v>0</v>
      </c>
      <c r="LO66" s="16">
        <v>3</v>
      </c>
      <c r="LP66" s="16">
        <v>42</v>
      </c>
      <c r="LQ66" s="16">
        <v>6</v>
      </c>
      <c r="LR66" s="16">
        <v>0</v>
      </c>
      <c r="LS66" s="16">
        <v>0</v>
      </c>
      <c r="LT66" s="16">
        <v>0</v>
      </c>
      <c r="LU66" s="16">
        <v>0</v>
      </c>
      <c r="LV66" s="16">
        <v>0</v>
      </c>
      <c r="LW66" s="16">
        <v>0</v>
      </c>
      <c r="LX66" s="16">
        <v>0</v>
      </c>
      <c r="LY66" s="16">
        <v>0</v>
      </c>
      <c r="LZ66" s="16">
        <v>8</v>
      </c>
      <c r="MA66" s="16">
        <v>56</v>
      </c>
      <c r="MB66" s="16">
        <v>0</v>
      </c>
      <c r="MC66" s="16">
        <v>0</v>
      </c>
      <c r="MD66" s="16">
        <v>0</v>
      </c>
      <c r="ME66" s="16">
        <v>0</v>
      </c>
      <c r="MF66" s="16">
        <v>1608</v>
      </c>
      <c r="MG66" s="16">
        <v>0</v>
      </c>
      <c r="MH66" s="16">
        <v>0</v>
      </c>
      <c r="MI66" s="16">
        <v>0</v>
      </c>
      <c r="MJ66" s="16">
        <v>0</v>
      </c>
      <c r="MK66" s="16">
        <v>117</v>
      </c>
      <c r="ML66" s="16">
        <v>0</v>
      </c>
      <c r="MM66" s="16">
        <v>253</v>
      </c>
      <c r="MN66" s="16">
        <v>111</v>
      </c>
      <c r="MO66" s="16">
        <v>120</v>
      </c>
      <c r="MP66" s="16">
        <v>13</v>
      </c>
      <c r="MQ66" s="16">
        <v>99</v>
      </c>
      <c r="MR66" s="16">
        <v>64</v>
      </c>
      <c r="MS66" s="16">
        <v>0</v>
      </c>
      <c r="MT66" s="16">
        <v>0</v>
      </c>
      <c r="MU66" s="16">
        <v>94</v>
      </c>
      <c r="MV66" s="16">
        <v>0</v>
      </c>
      <c r="MW66" s="16">
        <v>0</v>
      </c>
      <c r="MX66" s="16">
        <v>0</v>
      </c>
      <c r="MY66" s="16">
        <v>0</v>
      </c>
      <c r="MZ66" s="16">
        <v>0</v>
      </c>
      <c r="NA66" s="16">
        <v>0</v>
      </c>
      <c r="NB66" s="16">
        <v>17938</v>
      </c>
      <c r="NC66" s="16">
        <v>0</v>
      </c>
      <c r="ND66" s="16">
        <v>0</v>
      </c>
      <c r="NE66" s="16">
        <v>0</v>
      </c>
      <c r="NF66" s="16">
        <v>16</v>
      </c>
      <c r="NG66" s="16">
        <v>40</v>
      </c>
      <c r="NH66" s="16">
        <v>6</v>
      </c>
      <c r="NI66" s="16">
        <v>0</v>
      </c>
      <c r="NJ66" s="16">
        <v>0</v>
      </c>
      <c r="NK66" s="16">
        <v>74</v>
      </c>
      <c r="NL66" s="16">
        <v>16</v>
      </c>
      <c r="NM66" s="16">
        <v>36</v>
      </c>
      <c r="NN66" s="16">
        <v>0</v>
      </c>
      <c r="NO66" s="16">
        <v>0</v>
      </c>
      <c r="NP66" s="16">
        <v>167</v>
      </c>
      <c r="NQ66" s="16">
        <v>612</v>
      </c>
      <c r="NR66" s="17">
        <v>919743</v>
      </c>
    </row>
    <row r="67" spans="1:382" ht="13.5" customHeight="1" x14ac:dyDescent="0.2">
      <c r="A67" s="2" t="s">
        <v>141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109956</v>
      </c>
      <c r="BK67" s="16">
        <v>26662</v>
      </c>
      <c r="BL67" s="16">
        <v>592678</v>
      </c>
      <c r="BM67" s="16">
        <v>165527</v>
      </c>
      <c r="BN67" s="16">
        <v>258712</v>
      </c>
      <c r="BO67" s="16">
        <v>0</v>
      </c>
      <c r="BP67" s="16">
        <v>285458</v>
      </c>
      <c r="BQ67" s="16">
        <v>196392</v>
      </c>
      <c r="BR67" s="16">
        <v>121543</v>
      </c>
      <c r="BS67" s="16">
        <v>476028</v>
      </c>
      <c r="BT67" s="16">
        <v>8215</v>
      </c>
      <c r="BU67" s="16">
        <v>0</v>
      </c>
      <c r="BV67" s="16">
        <v>0</v>
      </c>
      <c r="BW67" s="16">
        <v>137032</v>
      </c>
      <c r="BX67" s="16">
        <v>0</v>
      </c>
      <c r="BY67" s="16">
        <v>0</v>
      </c>
      <c r="BZ67" s="16">
        <v>0</v>
      </c>
      <c r="CA67" s="16">
        <v>4803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0</v>
      </c>
      <c r="CI67" s="16">
        <v>0</v>
      </c>
      <c r="CJ67" s="16">
        <v>0</v>
      </c>
      <c r="CK67" s="16">
        <v>0</v>
      </c>
      <c r="CL67" s="16">
        <v>0</v>
      </c>
      <c r="CM67" s="16">
        <v>0</v>
      </c>
      <c r="CN67" s="16">
        <v>0</v>
      </c>
      <c r="CO67" s="16">
        <v>0</v>
      </c>
      <c r="CP67" s="16">
        <v>0</v>
      </c>
      <c r="CQ67" s="16">
        <v>0</v>
      </c>
      <c r="CR67" s="16">
        <v>0</v>
      </c>
      <c r="CS67" s="16">
        <v>0</v>
      </c>
      <c r="CT67" s="16">
        <v>0</v>
      </c>
      <c r="CU67" s="16">
        <v>0</v>
      </c>
      <c r="CV67" s="16">
        <v>0</v>
      </c>
      <c r="CW67" s="16">
        <v>0</v>
      </c>
      <c r="CX67" s="16">
        <v>0</v>
      </c>
      <c r="CY67" s="16">
        <v>0</v>
      </c>
      <c r="CZ67" s="16">
        <v>0</v>
      </c>
      <c r="DA67" s="16">
        <v>0</v>
      </c>
      <c r="DB67" s="16">
        <v>0</v>
      </c>
      <c r="DC67" s="16">
        <v>0</v>
      </c>
      <c r="DD67" s="16">
        <v>0</v>
      </c>
      <c r="DE67" s="16">
        <v>0</v>
      </c>
      <c r="DF67" s="16">
        <v>0</v>
      </c>
      <c r="DG67" s="16">
        <v>0</v>
      </c>
      <c r="DH67" s="16">
        <v>0</v>
      </c>
      <c r="DI67" s="16">
        <v>0</v>
      </c>
      <c r="DJ67" s="16">
        <v>0</v>
      </c>
      <c r="DK67" s="16">
        <v>0</v>
      </c>
      <c r="DL67" s="16">
        <v>0</v>
      </c>
      <c r="DM67" s="16">
        <v>0</v>
      </c>
      <c r="DN67" s="16">
        <v>0</v>
      </c>
      <c r="DO67" s="16">
        <v>0</v>
      </c>
      <c r="DP67" s="16">
        <v>0</v>
      </c>
      <c r="DQ67" s="16">
        <v>0</v>
      </c>
      <c r="DR67" s="16">
        <v>0</v>
      </c>
      <c r="DS67" s="16">
        <v>0</v>
      </c>
      <c r="DT67" s="16">
        <v>0</v>
      </c>
      <c r="DU67" s="16">
        <v>0</v>
      </c>
      <c r="DV67" s="16">
        <v>1</v>
      </c>
      <c r="DW67" s="16">
        <v>471</v>
      </c>
      <c r="DX67" s="16">
        <v>0</v>
      </c>
      <c r="DY67" s="16">
        <v>0</v>
      </c>
      <c r="DZ67" s="16">
        <v>0</v>
      </c>
      <c r="EA67" s="16">
        <v>0</v>
      </c>
      <c r="EB67" s="16">
        <v>0</v>
      </c>
      <c r="EC67" s="16">
        <v>0</v>
      </c>
      <c r="ED67" s="16">
        <v>0</v>
      </c>
      <c r="EE67" s="16">
        <v>0</v>
      </c>
      <c r="EF67" s="16">
        <v>0</v>
      </c>
      <c r="EG67" s="16">
        <v>0</v>
      </c>
      <c r="EH67" s="16">
        <v>0</v>
      </c>
      <c r="EI67" s="16">
        <v>0</v>
      </c>
      <c r="EJ67" s="16">
        <v>0</v>
      </c>
      <c r="EK67" s="16">
        <v>0</v>
      </c>
      <c r="EL67" s="16">
        <v>0</v>
      </c>
      <c r="EM67" s="16">
        <v>0</v>
      </c>
      <c r="EN67" s="16">
        <v>0</v>
      </c>
      <c r="EO67" s="16">
        <v>0</v>
      </c>
      <c r="EP67" s="16">
        <v>0</v>
      </c>
      <c r="EQ67" s="16">
        <v>0</v>
      </c>
      <c r="ER67" s="16">
        <v>0</v>
      </c>
      <c r="ES67" s="16">
        <v>0</v>
      </c>
      <c r="ET67" s="16">
        <v>0</v>
      </c>
      <c r="EU67" s="16">
        <v>0</v>
      </c>
      <c r="EV67" s="16">
        <v>0</v>
      </c>
      <c r="EW67" s="16">
        <v>0</v>
      </c>
      <c r="EX67" s="16">
        <v>0</v>
      </c>
      <c r="EY67" s="16">
        <v>0</v>
      </c>
      <c r="EZ67" s="16">
        <v>0</v>
      </c>
      <c r="FA67" s="16">
        <v>0</v>
      </c>
      <c r="FB67" s="16">
        <v>0</v>
      </c>
      <c r="FC67" s="16">
        <v>0</v>
      </c>
      <c r="FD67" s="16">
        <v>0</v>
      </c>
      <c r="FE67" s="16">
        <v>0</v>
      </c>
      <c r="FF67" s="16">
        <v>0</v>
      </c>
      <c r="FG67" s="16">
        <v>0</v>
      </c>
      <c r="FH67" s="16">
        <v>0</v>
      </c>
      <c r="FI67" s="16">
        <v>0</v>
      </c>
      <c r="FJ67" s="16">
        <v>0</v>
      </c>
      <c r="FK67" s="16">
        <v>0</v>
      </c>
      <c r="FL67" s="16">
        <v>0</v>
      </c>
      <c r="FM67" s="16">
        <v>0</v>
      </c>
      <c r="FN67" s="16">
        <v>0</v>
      </c>
      <c r="FO67" s="16">
        <v>0</v>
      </c>
      <c r="FP67" s="16">
        <v>0</v>
      </c>
      <c r="FQ67" s="16">
        <v>0</v>
      </c>
      <c r="FR67" s="16">
        <v>0</v>
      </c>
      <c r="FS67" s="16">
        <v>0</v>
      </c>
      <c r="FT67" s="16">
        <v>0</v>
      </c>
      <c r="FU67" s="16">
        <v>0</v>
      </c>
      <c r="FV67" s="16">
        <v>0</v>
      </c>
      <c r="FW67" s="16">
        <v>0</v>
      </c>
      <c r="FX67" s="16">
        <v>0</v>
      </c>
      <c r="FY67" s="16">
        <v>0</v>
      </c>
      <c r="FZ67" s="16">
        <v>0</v>
      </c>
      <c r="GA67" s="16">
        <v>0</v>
      </c>
      <c r="GB67" s="16">
        <v>0</v>
      </c>
      <c r="GC67" s="16">
        <v>0</v>
      </c>
      <c r="GD67" s="16">
        <v>0</v>
      </c>
      <c r="GE67" s="16">
        <v>0</v>
      </c>
      <c r="GF67" s="16">
        <v>0</v>
      </c>
      <c r="GG67" s="16">
        <v>0</v>
      </c>
      <c r="GH67" s="16">
        <v>0</v>
      </c>
      <c r="GI67" s="16">
        <v>0</v>
      </c>
      <c r="GJ67" s="16">
        <v>0</v>
      </c>
      <c r="GK67" s="16">
        <v>0</v>
      </c>
      <c r="GL67" s="16">
        <v>0</v>
      </c>
      <c r="GM67" s="16">
        <v>0</v>
      </c>
      <c r="GN67" s="16">
        <v>0</v>
      </c>
      <c r="GO67" s="16">
        <v>0</v>
      </c>
      <c r="GP67" s="16">
        <v>0</v>
      </c>
      <c r="GQ67" s="16">
        <v>0</v>
      </c>
      <c r="GR67" s="16">
        <v>0</v>
      </c>
      <c r="GS67" s="16">
        <v>0</v>
      </c>
      <c r="GT67" s="16">
        <v>0</v>
      </c>
      <c r="GU67" s="16">
        <v>0</v>
      </c>
      <c r="GV67" s="16">
        <v>0</v>
      </c>
      <c r="GW67" s="16">
        <v>0</v>
      </c>
      <c r="GX67" s="16">
        <v>0</v>
      </c>
      <c r="GY67" s="16">
        <v>0</v>
      </c>
      <c r="GZ67" s="16">
        <v>0</v>
      </c>
      <c r="HA67" s="16">
        <v>0</v>
      </c>
      <c r="HB67" s="16">
        <v>0</v>
      </c>
      <c r="HC67" s="16">
        <v>0</v>
      </c>
      <c r="HD67" s="16">
        <v>0</v>
      </c>
      <c r="HE67" s="16">
        <v>0</v>
      </c>
      <c r="HF67" s="16">
        <v>0</v>
      </c>
      <c r="HG67" s="16">
        <v>0</v>
      </c>
      <c r="HH67" s="16">
        <v>0</v>
      </c>
      <c r="HI67" s="16">
        <v>0</v>
      </c>
      <c r="HJ67" s="16">
        <v>0</v>
      </c>
      <c r="HK67" s="16">
        <v>0</v>
      </c>
      <c r="HL67" s="16">
        <v>0</v>
      </c>
      <c r="HM67" s="16">
        <v>0</v>
      </c>
      <c r="HN67" s="16">
        <v>0</v>
      </c>
      <c r="HO67" s="16">
        <v>0</v>
      </c>
      <c r="HP67" s="16">
        <v>0</v>
      </c>
      <c r="HQ67" s="16">
        <v>0</v>
      </c>
      <c r="HR67" s="16">
        <v>0</v>
      </c>
      <c r="HS67" s="16">
        <v>0</v>
      </c>
      <c r="HT67" s="16">
        <v>0</v>
      </c>
      <c r="HU67" s="16">
        <v>0</v>
      </c>
      <c r="HV67" s="16">
        <v>0</v>
      </c>
      <c r="HW67" s="16">
        <v>0</v>
      </c>
      <c r="HX67" s="16">
        <v>0</v>
      </c>
      <c r="HY67" s="16">
        <v>0</v>
      </c>
      <c r="HZ67" s="16">
        <v>0</v>
      </c>
      <c r="IA67" s="16">
        <v>0</v>
      </c>
      <c r="IB67" s="16">
        <v>0</v>
      </c>
      <c r="IC67" s="16">
        <v>0</v>
      </c>
      <c r="ID67" s="16">
        <v>0</v>
      </c>
      <c r="IE67" s="16">
        <v>0</v>
      </c>
      <c r="IF67" s="16">
        <v>0</v>
      </c>
      <c r="IG67" s="16">
        <v>0</v>
      </c>
      <c r="IH67" s="16">
        <v>0</v>
      </c>
      <c r="II67" s="16">
        <v>0</v>
      </c>
      <c r="IJ67" s="16">
        <v>0</v>
      </c>
      <c r="IK67" s="16">
        <v>0</v>
      </c>
      <c r="IL67" s="16">
        <v>0</v>
      </c>
      <c r="IM67" s="16">
        <v>0</v>
      </c>
      <c r="IN67" s="16">
        <v>0</v>
      </c>
      <c r="IO67" s="16">
        <v>0</v>
      </c>
      <c r="IP67" s="16">
        <v>0</v>
      </c>
      <c r="IQ67" s="16">
        <v>0</v>
      </c>
      <c r="IR67" s="16">
        <v>0</v>
      </c>
      <c r="IS67" s="16">
        <v>0</v>
      </c>
      <c r="IT67" s="16">
        <v>0</v>
      </c>
      <c r="IU67" s="16">
        <v>0</v>
      </c>
      <c r="IV67" s="16">
        <v>224</v>
      </c>
      <c r="IW67" s="16">
        <v>0</v>
      </c>
      <c r="IX67" s="16">
        <v>0</v>
      </c>
      <c r="IY67" s="16">
        <v>0</v>
      </c>
      <c r="IZ67" s="16">
        <v>176</v>
      </c>
      <c r="JA67" s="16">
        <v>476</v>
      </c>
      <c r="JB67" s="16">
        <v>0</v>
      </c>
      <c r="JC67" s="16">
        <v>0</v>
      </c>
      <c r="JD67" s="16">
        <v>0</v>
      </c>
      <c r="JE67" s="16">
        <v>0</v>
      </c>
      <c r="JF67" s="16">
        <v>4254</v>
      </c>
      <c r="JG67" s="16">
        <v>30087</v>
      </c>
      <c r="JH67" s="16">
        <v>0</v>
      </c>
      <c r="JI67" s="16">
        <v>0</v>
      </c>
      <c r="JJ67" s="16">
        <v>0</v>
      </c>
      <c r="JK67" s="16">
        <v>0</v>
      </c>
      <c r="JL67" s="16">
        <v>0</v>
      </c>
      <c r="JM67" s="16">
        <v>0</v>
      </c>
      <c r="JN67" s="16">
        <v>0</v>
      </c>
      <c r="JO67" s="16">
        <v>0</v>
      </c>
      <c r="JP67" s="16">
        <v>0</v>
      </c>
      <c r="JQ67" s="16">
        <v>0</v>
      </c>
      <c r="JR67" s="16">
        <v>0</v>
      </c>
      <c r="JS67" s="16">
        <v>0</v>
      </c>
      <c r="JT67" s="16">
        <v>0</v>
      </c>
      <c r="JU67" s="16">
        <v>0</v>
      </c>
      <c r="JV67" s="16">
        <v>0</v>
      </c>
      <c r="JW67" s="16">
        <v>0</v>
      </c>
      <c r="JX67" s="16">
        <v>0</v>
      </c>
      <c r="JY67" s="16">
        <v>0</v>
      </c>
      <c r="JZ67" s="16">
        <v>0</v>
      </c>
      <c r="KA67" s="16">
        <v>0</v>
      </c>
      <c r="KB67" s="16">
        <v>0</v>
      </c>
      <c r="KC67" s="16">
        <v>0</v>
      </c>
      <c r="KD67" s="16">
        <v>0</v>
      </c>
      <c r="KE67" s="16">
        <v>0</v>
      </c>
      <c r="KF67" s="16">
        <v>0</v>
      </c>
      <c r="KG67" s="16">
        <v>0</v>
      </c>
      <c r="KH67" s="16">
        <v>0</v>
      </c>
      <c r="KI67" s="16">
        <v>0</v>
      </c>
      <c r="KJ67" s="16">
        <v>0</v>
      </c>
      <c r="KK67" s="16">
        <v>0</v>
      </c>
      <c r="KL67" s="16">
        <v>0</v>
      </c>
      <c r="KM67" s="16">
        <v>0</v>
      </c>
      <c r="KN67" s="16">
        <v>0</v>
      </c>
      <c r="KO67" s="16">
        <v>0</v>
      </c>
      <c r="KP67" s="16">
        <v>0</v>
      </c>
      <c r="KQ67" s="16">
        <v>0</v>
      </c>
      <c r="KR67" s="16">
        <v>0</v>
      </c>
      <c r="KS67" s="16">
        <v>0</v>
      </c>
      <c r="KT67" s="16">
        <v>0</v>
      </c>
      <c r="KU67" s="16">
        <v>0</v>
      </c>
      <c r="KV67" s="16">
        <v>0</v>
      </c>
      <c r="KW67" s="16">
        <v>0</v>
      </c>
      <c r="KX67" s="16">
        <v>0</v>
      </c>
      <c r="KY67" s="16">
        <v>0</v>
      </c>
      <c r="KZ67" s="16">
        <v>0</v>
      </c>
      <c r="LA67" s="16">
        <v>0</v>
      </c>
      <c r="LB67" s="16">
        <v>0</v>
      </c>
      <c r="LC67" s="16">
        <v>0</v>
      </c>
      <c r="LD67" s="16">
        <v>0</v>
      </c>
      <c r="LE67" s="16">
        <v>0</v>
      </c>
      <c r="LF67" s="16">
        <v>0</v>
      </c>
      <c r="LG67" s="16">
        <v>0</v>
      </c>
      <c r="LH67" s="16">
        <v>0</v>
      </c>
      <c r="LI67" s="16">
        <v>0</v>
      </c>
      <c r="LJ67" s="16">
        <v>0</v>
      </c>
      <c r="LK67" s="16">
        <v>0</v>
      </c>
      <c r="LL67" s="16">
        <v>0</v>
      </c>
      <c r="LM67" s="16">
        <v>0</v>
      </c>
      <c r="LN67" s="16">
        <v>0</v>
      </c>
      <c r="LO67" s="16">
        <v>0</v>
      </c>
      <c r="LP67" s="16">
        <v>0</v>
      </c>
      <c r="LQ67" s="16">
        <v>0</v>
      </c>
      <c r="LR67" s="16">
        <v>0</v>
      </c>
      <c r="LS67" s="16">
        <v>0</v>
      </c>
      <c r="LT67" s="16">
        <v>0</v>
      </c>
      <c r="LU67" s="16">
        <v>0</v>
      </c>
      <c r="LV67" s="16">
        <v>0</v>
      </c>
      <c r="LW67" s="16">
        <v>0</v>
      </c>
      <c r="LX67" s="16">
        <v>0</v>
      </c>
      <c r="LY67" s="16">
        <v>0</v>
      </c>
      <c r="LZ67" s="16">
        <v>0</v>
      </c>
      <c r="MA67" s="16">
        <v>0</v>
      </c>
      <c r="MB67" s="16">
        <v>0</v>
      </c>
      <c r="MC67" s="16">
        <v>0</v>
      </c>
      <c r="MD67" s="16">
        <v>0</v>
      </c>
      <c r="ME67" s="16">
        <v>0</v>
      </c>
      <c r="MF67" s="16">
        <v>0</v>
      </c>
      <c r="MG67" s="16">
        <v>0</v>
      </c>
      <c r="MH67" s="16">
        <v>0</v>
      </c>
      <c r="MI67" s="16">
        <v>0</v>
      </c>
      <c r="MJ67" s="16">
        <v>0</v>
      </c>
      <c r="MK67" s="16">
        <v>0</v>
      </c>
      <c r="ML67" s="16">
        <v>0</v>
      </c>
      <c r="MM67" s="16">
        <v>0</v>
      </c>
      <c r="MN67" s="16">
        <v>0</v>
      </c>
      <c r="MO67" s="16">
        <v>0</v>
      </c>
      <c r="MP67" s="16">
        <v>0</v>
      </c>
      <c r="MQ67" s="16">
        <v>0</v>
      </c>
      <c r="MR67" s="16">
        <v>2051</v>
      </c>
      <c r="MS67" s="16">
        <v>0</v>
      </c>
      <c r="MT67" s="16">
        <v>0</v>
      </c>
      <c r="MU67" s="16">
        <v>0</v>
      </c>
      <c r="MV67" s="16">
        <v>0</v>
      </c>
      <c r="MW67" s="16">
        <v>0</v>
      </c>
      <c r="MX67" s="16">
        <v>0</v>
      </c>
      <c r="MY67" s="16">
        <v>0</v>
      </c>
      <c r="MZ67" s="16">
        <v>0</v>
      </c>
      <c r="NA67" s="16">
        <v>0</v>
      </c>
      <c r="NB67" s="16">
        <v>0</v>
      </c>
      <c r="NC67" s="16">
        <v>0</v>
      </c>
      <c r="ND67" s="16">
        <v>0</v>
      </c>
      <c r="NE67" s="16">
        <v>0</v>
      </c>
      <c r="NF67" s="16">
        <v>0</v>
      </c>
      <c r="NG67" s="16">
        <v>0</v>
      </c>
      <c r="NH67" s="16">
        <v>0</v>
      </c>
      <c r="NI67" s="16">
        <v>0</v>
      </c>
      <c r="NJ67" s="16">
        <v>0</v>
      </c>
      <c r="NK67" s="16">
        <v>0</v>
      </c>
      <c r="NL67" s="16">
        <v>0</v>
      </c>
      <c r="NM67" s="16">
        <v>0</v>
      </c>
      <c r="NN67" s="16">
        <v>0</v>
      </c>
      <c r="NO67" s="16">
        <v>0</v>
      </c>
      <c r="NP67" s="16">
        <v>0</v>
      </c>
      <c r="NQ67" s="16">
        <v>38</v>
      </c>
      <c r="NR67" s="17">
        <v>2420784</v>
      </c>
    </row>
    <row r="68" spans="1:382" ht="13.5" customHeight="1" x14ac:dyDescent="0.2">
      <c r="A68" s="2" t="s">
        <v>143</v>
      </c>
      <c r="B68" s="16">
        <v>23852</v>
      </c>
      <c r="C68" s="16">
        <v>126</v>
      </c>
      <c r="D68" s="16">
        <v>2962</v>
      </c>
      <c r="E68" s="16">
        <v>0</v>
      </c>
      <c r="F68" s="16">
        <v>43665</v>
      </c>
      <c r="G68" s="16">
        <v>1063</v>
      </c>
      <c r="H68" s="16">
        <v>29</v>
      </c>
      <c r="I68" s="16">
        <v>11842</v>
      </c>
      <c r="J68" s="16">
        <v>273</v>
      </c>
      <c r="K68" s="16">
        <v>0</v>
      </c>
      <c r="L68" s="16">
        <v>485</v>
      </c>
      <c r="M68" s="16">
        <v>6247</v>
      </c>
      <c r="N68" s="16">
        <v>0</v>
      </c>
      <c r="O68" s="16">
        <v>3</v>
      </c>
      <c r="P68" s="16">
        <v>1829</v>
      </c>
      <c r="Q68" s="16">
        <v>14209</v>
      </c>
      <c r="R68" s="16">
        <v>12384</v>
      </c>
      <c r="S68" s="16">
        <v>3492</v>
      </c>
      <c r="T68" s="16">
        <v>56</v>
      </c>
      <c r="U68" s="16">
        <v>5153</v>
      </c>
      <c r="V68" s="16">
        <v>3289</v>
      </c>
      <c r="W68" s="16">
        <v>173</v>
      </c>
      <c r="X68" s="16">
        <v>526</v>
      </c>
      <c r="Y68" s="16">
        <v>6357</v>
      </c>
      <c r="Z68" s="16">
        <v>1142</v>
      </c>
      <c r="AA68" s="16">
        <v>92</v>
      </c>
      <c r="AB68" s="16">
        <v>0</v>
      </c>
      <c r="AC68" s="16">
        <v>0</v>
      </c>
      <c r="AD68" s="16">
        <v>0</v>
      </c>
      <c r="AE68" s="16">
        <v>5</v>
      </c>
      <c r="AF68" s="16">
        <v>20</v>
      </c>
      <c r="AG68" s="16">
        <v>2299</v>
      </c>
      <c r="AH68" s="16">
        <v>1255</v>
      </c>
      <c r="AI68" s="16">
        <v>4141</v>
      </c>
      <c r="AJ68" s="16">
        <v>50</v>
      </c>
      <c r="AK68" s="16">
        <v>2134</v>
      </c>
      <c r="AL68" s="16">
        <v>54</v>
      </c>
      <c r="AM68" s="16">
        <v>206</v>
      </c>
      <c r="AN68" s="16">
        <v>3289</v>
      </c>
      <c r="AO68" s="16">
        <v>2092</v>
      </c>
      <c r="AP68" s="16">
        <v>461</v>
      </c>
      <c r="AQ68" s="16">
        <v>4108</v>
      </c>
      <c r="AR68" s="16">
        <v>0</v>
      </c>
      <c r="AS68" s="16">
        <v>10240</v>
      </c>
      <c r="AT68" s="16">
        <v>5957</v>
      </c>
      <c r="AU68" s="16">
        <v>268</v>
      </c>
      <c r="AV68" s="16">
        <v>3</v>
      </c>
      <c r="AW68" s="16">
        <v>856</v>
      </c>
      <c r="AX68" s="16">
        <v>516</v>
      </c>
      <c r="AY68" s="16">
        <v>18</v>
      </c>
      <c r="AZ68" s="16">
        <v>66</v>
      </c>
      <c r="BA68" s="16">
        <v>999</v>
      </c>
      <c r="BB68" s="16">
        <v>315</v>
      </c>
      <c r="BC68" s="16">
        <v>2824</v>
      </c>
      <c r="BD68" s="16">
        <v>1</v>
      </c>
      <c r="BE68" s="16">
        <v>15</v>
      </c>
      <c r="BF68" s="16">
        <v>135</v>
      </c>
      <c r="BG68" s="16">
        <v>151</v>
      </c>
      <c r="BH68" s="16">
        <v>74</v>
      </c>
      <c r="BI68" s="16">
        <v>190</v>
      </c>
      <c r="BJ68" s="16">
        <v>214</v>
      </c>
      <c r="BK68" s="16">
        <v>32</v>
      </c>
      <c r="BL68" s="16">
        <v>1853</v>
      </c>
      <c r="BM68" s="16">
        <v>1388</v>
      </c>
      <c r="BN68" s="16">
        <v>422</v>
      </c>
      <c r="BO68" s="16">
        <v>1597</v>
      </c>
      <c r="BP68" s="16">
        <v>230427</v>
      </c>
      <c r="BQ68" s="16">
        <v>1019</v>
      </c>
      <c r="BR68" s="16">
        <v>31</v>
      </c>
      <c r="BS68" s="16">
        <v>164439</v>
      </c>
      <c r="BT68" s="16">
        <v>2270</v>
      </c>
      <c r="BU68" s="16">
        <v>12</v>
      </c>
      <c r="BV68" s="16">
        <v>0</v>
      </c>
      <c r="BW68" s="16">
        <v>860</v>
      </c>
      <c r="BX68" s="16">
        <v>154</v>
      </c>
      <c r="BY68" s="16">
        <v>0</v>
      </c>
      <c r="BZ68" s="16">
        <v>5499</v>
      </c>
      <c r="CA68" s="16">
        <v>1639</v>
      </c>
      <c r="CB68" s="16">
        <v>216</v>
      </c>
      <c r="CC68" s="16">
        <v>534</v>
      </c>
      <c r="CD68" s="16">
        <v>170</v>
      </c>
      <c r="CE68" s="16">
        <v>330</v>
      </c>
      <c r="CF68" s="16">
        <v>166</v>
      </c>
      <c r="CG68" s="16">
        <v>172</v>
      </c>
      <c r="CH68" s="16">
        <v>219</v>
      </c>
      <c r="CI68" s="16">
        <v>297</v>
      </c>
      <c r="CJ68" s="16">
        <v>2128</v>
      </c>
      <c r="CK68" s="16">
        <v>10825</v>
      </c>
      <c r="CL68" s="16">
        <v>312</v>
      </c>
      <c r="CM68" s="16">
        <v>2527</v>
      </c>
      <c r="CN68" s="16">
        <v>1153</v>
      </c>
      <c r="CO68" s="16">
        <v>7257</v>
      </c>
      <c r="CP68" s="16">
        <v>4627</v>
      </c>
      <c r="CQ68" s="16">
        <v>15402</v>
      </c>
      <c r="CR68" s="16">
        <v>2230</v>
      </c>
      <c r="CS68" s="16">
        <v>25</v>
      </c>
      <c r="CT68" s="16">
        <v>447</v>
      </c>
      <c r="CU68" s="16">
        <v>598</v>
      </c>
      <c r="CV68" s="16">
        <v>1536</v>
      </c>
      <c r="CW68" s="16">
        <v>3242</v>
      </c>
      <c r="CX68" s="16">
        <v>4728</v>
      </c>
      <c r="CY68" s="16">
        <v>26</v>
      </c>
      <c r="CZ68" s="16">
        <v>635</v>
      </c>
      <c r="DA68" s="16">
        <v>20</v>
      </c>
      <c r="DB68" s="16">
        <v>3082</v>
      </c>
      <c r="DC68" s="16">
        <v>1</v>
      </c>
      <c r="DD68" s="16">
        <v>7</v>
      </c>
      <c r="DE68" s="16">
        <v>229</v>
      </c>
      <c r="DF68" s="16">
        <v>1589</v>
      </c>
      <c r="DG68" s="16">
        <v>15</v>
      </c>
      <c r="DH68" s="16">
        <v>652</v>
      </c>
      <c r="DI68" s="16">
        <v>124</v>
      </c>
      <c r="DJ68" s="16">
        <v>6601</v>
      </c>
      <c r="DK68" s="16">
        <v>219</v>
      </c>
      <c r="DL68" s="16">
        <v>32</v>
      </c>
      <c r="DM68" s="16">
        <v>327</v>
      </c>
      <c r="DN68" s="16">
        <v>3435</v>
      </c>
      <c r="DO68" s="16">
        <v>315</v>
      </c>
      <c r="DP68" s="16">
        <v>323</v>
      </c>
      <c r="DQ68" s="16">
        <v>172</v>
      </c>
      <c r="DR68" s="16">
        <v>227</v>
      </c>
      <c r="DS68" s="16">
        <v>1836</v>
      </c>
      <c r="DT68" s="16">
        <v>163</v>
      </c>
      <c r="DU68" s="16">
        <v>453</v>
      </c>
      <c r="DV68" s="16">
        <v>3409</v>
      </c>
      <c r="DW68" s="16">
        <v>39163</v>
      </c>
      <c r="DX68" s="16">
        <v>6302</v>
      </c>
      <c r="DY68" s="16">
        <v>10460</v>
      </c>
      <c r="DZ68" s="16">
        <v>21345</v>
      </c>
      <c r="EA68" s="16">
        <v>40446</v>
      </c>
      <c r="EB68" s="16">
        <v>2319</v>
      </c>
      <c r="EC68" s="16">
        <v>4099</v>
      </c>
      <c r="ED68" s="16">
        <v>390</v>
      </c>
      <c r="EE68" s="16">
        <v>32</v>
      </c>
      <c r="EF68" s="16">
        <v>121</v>
      </c>
      <c r="EG68" s="16">
        <v>1768</v>
      </c>
      <c r="EH68" s="16">
        <v>166</v>
      </c>
      <c r="EI68" s="16">
        <v>110</v>
      </c>
      <c r="EJ68" s="16">
        <v>1371</v>
      </c>
      <c r="EK68" s="16">
        <v>31</v>
      </c>
      <c r="EL68" s="16">
        <v>92</v>
      </c>
      <c r="EM68" s="16">
        <v>296</v>
      </c>
      <c r="EN68" s="16">
        <v>2028</v>
      </c>
      <c r="EO68" s="16">
        <v>957</v>
      </c>
      <c r="EP68" s="16">
        <v>15</v>
      </c>
      <c r="EQ68" s="16">
        <v>1482</v>
      </c>
      <c r="ER68" s="16">
        <v>1235</v>
      </c>
      <c r="ES68" s="16">
        <v>11</v>
      </c>
      <c r="ET68" s="16">
        <v>4914</v>
      </c>
      <c r="EU68" s="16">
        <v>7</v>
      </c>
      <c r="EV68" s="16">
        <v>2</v>
      </c>
      <c r="EW68" s="16">
        <v>12</v>
      </c>
      <c r="EX68" s="16">
        <v>6261</v>
      </c>
      <c r="EY68" s="16">
        <v>73</v>
      </c>
      <c r="EZ68" s="16">
        <v>31</v>
      </c>
      <c r="FA68" s="16">
        <v>529</v>
      </c>
      <c r="FB68" s="16">
        <v>2852</v>
      </c>
      <c r="FC68" s="16">
        <v>8</v>
      </c>
      <c r="FD68" s="16">
        <v>6634</v>
      </c>
      <c r="FE68" s="16">
        <v>349</v>
      </c>
      <c r="FF68" s="16">
        <v>69</v>
      </c>
      <c r="FG68" s="16">
        <v>21</v>
      </c>
      <c r="FH68" s="16">
        <v>8</v>
      </c>
      <c r="FI68" s="16">
        <v>1345</v>
      </c>
      <c r="FJ68" s="16">
        <v>43</v>
      </c>
      <c r="FK68" s="16">
        <v>43</v>
      </c>
      <c r="FL68" s="16">
        <v>15</v>
      </c>
      <c r="FM68" s="16">
        <v>352</v>
      </c>
      <c r="FN68" s="16">
        <v>111</v>
      </c>
      <c r="FO68" s="16">
        <v>404</v>
      </c>
      <c r="FP68" s="16">
        <v>2832</v>
      </c>
      <c r="FQ68" s="16">
        <v>5414</v>
      </c>
      <c r="FR68" s="16">
        <v>4879</v>
      </c>
      <c r="FS68" s="16">
        <v>695</v>
      </c>
      <c r="FT68" s="16">
        <v>105</v>
      </c>
      <c r="FU68" s="16">
        <v>2284</v>
      </c>
      <c r="FV68" s="16">
        <v>15201</v>
      </c>
      <c r="FW68" s="16">
        <v>536</v>
      </c>
      <c r="FX68" s="16">
        <v>18375</v>
      </c>
      <c r="FY68" s="16">
        <v>913</v>
      </c>
      <c r="FZ68" s="16">
        <v>228</v>
      </c>
      <c r="GA68" s="16">
        <v>348</v>
      </c>
      <c r="GB68" s="16">
        <v>8711</v>
      </c>
      <c r="GC68" s="16">
        <v>1079</v>
      </c>
      <c r="GD68" s="16">
        <v>4651</v>
      </c>
      <c r="GE68" s="16">
        <v>80</v>
      </c>
      <c r="GF68" s="16">
        <v>955</v>
      </c>
      <c r="GG68" s="16">
        <v>149</v>
      </c>
      <c r="GH68" s="16">
        <v>923</v>
      </c>
      <c r="GI68" s="16">
        <v>1501</v>
      </c>
      <c r="GJ68" s="16">
        <v>621</v>
      </c>
      <c r="GK68" s="16">
        <v>1152</v>
      </c>
      <c r="GL68" s="16">
        <v>3</v>
      </c>
      <c r="GM68" s="16">
        <v>6</v>
      </c>
      <c r="GN68" s="16">
        <v>17</v>
      </c>
      <c r="GO68" s="16">
        <v>223</v>
      </c>
      <c r="GP68" s="16">
        <v>19</v>
      </c>
      <c r="GQ68" s="16">
        <v>5933</v>
      </c>
      <c r="GR68" s="16">
        <v>34</v>
      </c>
      <c r="GS68" s="16">
        <v>121</v>
      </c>
      <c r="GT68" s="16">
        <v>198</v>
      </c>
      <c r="GU68" s="16">
        <v>1241</v>
      </c>
      <c r="GV68" s="16">
        <v>193</v>
      </c>
      <c r="GW68" s="16">
        <v>558</v>
      </c>
      <c r="GX68" s="16">
        <v>350</v>
      </c>
      <c r="GY68" s="16">
        <v>1</v>
      </c>
      <c r="GZ68" s="16">
        <v>848</v>
      </c>
      <c r="HA68" s="16">
        <v>356</v>
      </c>
      <c r="HB68" s="16">
        <v>1147</v>
      </c>
      <c r="HC68" s="16">
        <v>1396</v>
      </c>
      <c r="HD68" s="16">
        <v>1931</v>
      </c>
      <c r="HE68" s="16">
        <v>1577</v>
      </c>
      <c r="HF68" s="16">
        <v>911</v>
      </c>
      <c r="HG68" s="16">
        <v>148</v>
      </c>
      <c r="HH68" s="16">
        <v>457</v>
      </c>
      <c r="HI68" s="16">
        <v>738</v>
      </c>
      <c r="HJ68" s="16">
        <v>19</v>
      </c>
      <c r="HK68" s="16">
        <v>30</v>
      </c>
      <c r="HL68" s="16">
        <v>2669</v>
      </c>
      <c r="HM68" s="16">
        <v>492</v>
      </c>
      <c r="HN68" s="16">
        <v>244</v>
      </c>
      <c r="HO68" s="16">
        <v>84</v>
      </c>
      <c r="HP68" s="16">
        <v>49</v>
      </c>
      <c r="HQ68" s="16">
        <v>4872</v>
      </c>
      <c r="HR68" s="16">
        <v>1044</v>
      </c>
      <c r="HS68" s="16">
        <v>3011</v>
      </c>
      <c r="HT68" s="16">
        <v>5</v>
      </c>
      <c r="HU68" s="16">
        <v>1364</v>
      </c>
      <c r="HV68" s="16">
        <v>294</v>
      </c>
      <c r="HW68" s="16">
        <v>1744</v>
      </c>
      <c r="HX68" s="16">
        <v>1264</v>
      </c>
      <c r="HY68" s="16">
        <v>2223</v>
      </c>
      <c r="HZ68" s="16">
        <v>372</v>
      </c>
      <c r="IA68" s="16">
        <v>63</v>
      </c>
      <c r="IB68" s="16">
        <v>20</v>
      </c>
      <c r="IC68" s="16">
        <v>44</v>
      </c>
      <c r="ID68" s="16">
        <v>223</v>
      </c>
      <c r="IE68" s="16">
        <v>14</v>
      </c>
      <c r="IF68" s="16">
        <v>242</v>
      </c>
      <c r="IG68" s="16">
        <v>1460</v>
      </c>
      <c r="IH68" s="16">
        <v>36084</v>
      </c>
      <c r="II68" s="16">
        <v>4521</v>
      </c>
      <c r="IJ68" s="16">
        <v>550</v>
      </c>
      <c r="IK68" s="16">
        <v>74</v>
      </c>
      <c r="IL68" s="16">
        <v>5120</v>
      </c>
      <c r="IM68" s="16">
        <v>6</v>
      </c>
      <c r="IN68" s="16">
        <v>252</v>
      </c>
      <c r="IO68" s="16">
        <v>827066</v>
      </c>
      <c r="IP68" s="16">
        <v>37792</v>
      </c>
      <c r="IQ68" s="16">
        <v>28539</v>
      </c>
      <c r="IR68" s="16">
        <v>131</v>
      </c>
      <c r="IS68" s="16">
        <v>28149</v>
      </c>
      <c r="IT68" s="16">
        <v>227</v>
      </c>
      <c r="IU68" s="16">
        <v>1</v>
      </c>
      <c r="IV68" s="16">
        <v>2360</v>
      </c>
      <c r="IW68" s="16">
        <v>356718</v>
      </c>
      <c r="IX68" s="16">
        <v>186</v>
      </c>
      <c r="IY68" s="16">
        <v>331212</v>
      </c>
      <c r="IZ68" s="16">
        <v>692</v>
      </c>
      <c r="JA68" s="16">
        <v>2787</v>
      </c>
      <c r="JB68" s="16">
        <v>1178</v>
      </c>
      <c r="JC68" s="16">
        <v>255</v>
      </c>
      <c r="JD68" s="16">
        <v>12</v>
      </c>
      <c r="JE68" s="16">
        <v>7384</v>
      </c>
      <c r="JF68" s="16">
        <v>4553</v>
      </c>
      <c r="JG68" s="16">
        <v>152816</v>
      </c>
      <c r="JH68" s="16">
        <v>3966</v>
      </c>
      <c r="JI68" s="16">
        <v>89</v>
      </c>
      <c r="JJ68" s="16">
        <v>1293</v>
      </c>
      <c r="JK68" s="16">
        <v>1018</v>
      </c>
      <c r="JL68" s="16">
        <v>960</v>
      </c>
      <c r="JM68" s="16">
        <v>44</v>
      </c>
      <c r="JN68" s="16">
        <v>762</v>
      </c>
      <c r="JO68" s="16">
        <v>426</v>
      </c>
      <c r="JP68" s="16">
        <v>77</v>
      </c>
      <c r="JQ68" s="16">
        <v>13</v>
      </c>
      <c r="JR68" s="16">
        <v>4440</v>
      </c>
      <c r="JS68" s="16">
        <v>2082</v>
      </c>
      <c r="JT68" s="16">
        <v>0</v>
      </c>
      <c r="JU68" s="16">
        <v>11906</v>
      </c>
      <c r="JV68" s="16">
        <v>1414</v>
      </c>
      <c r="JW68" s="16">
        <v>17698</v>
      </c>
      <c r="JX68" s="16">
        <v>24791</v>
      </c>
      <c r="JY68" s="16">
        <v>2683</v>
      </c>
      <c r="JZ68" s="16">
        <v>583</v>
      </c>
      <c r="KA68" s="16">
        <v>168</v>
      </c>
      <c r="KB68" s="16">
        <v>21</v>
      </c>
      <c r="KC68" s="16">
        <v>78</v>
      </c>
      <c r="KD68" s="16">
        <v>342</v>
      </c>
      <c r="KE68" s="16">
        <v>84</v>
      </c>
      <c r="KF68" s="16">
        <v>276</v>
      </c>
      <c r="KG68" s="16">
        <v>87</v>
      </c>
      <c r="KH68" s="16">
        <v>18</v>
      </c>
      <c r="KI68" s="16">
        <v>273</v>
      </c>
      <c r="KJ68" s="16">
        <v>247</v>
      </c>
      <c r="KK68" s="16">
        <v>68470</v>
      </c>
      <c r="KL68" s="16">
        <v>10</v>
      </c>
      <c r="KM68" s="16">
        <v>2100</v>
      </c>
      <c r="KN68" s="16">
        <v>277140</v>
      </c>
      <c r="KO68" s="16">
        <v>703</v>
      </c>
      <c r="KP68" s="16">
        <v>459</v>
      </c>
      <c r="KQ68" s="16">
        <v>489</v>
      </c>
      <c r="KR68" s="16">
        <v>1710</v>
      </c>
      <c r="KS68" s="16">
        <v>539</v>
      </c>
      <c r="KT68" s="16">
        <v>447</v>
      </c>
      <c r="KU68" s="16">
        <v>3475</v>
      </c>
      <c r="KV68" s="16">
        <v>934107</v>
      </c>
      <c r="KW68" s="16">
        <v>4339</v>
      </c>
      <c r="KX68" s="16">
        <v>237</v>
      </c>
      <c r="KY68" s="16">
        <v>36856</v>
      </c>
      <c r="KZ68" s="16">
        <v>196338</v>
      </c>
      <c r="LA68" s="16">
        <v>64296</v>
      </c>
      <c r="LB68" s="16">
        <v>3459</v>
      </c>
      <c r="LC68" s="16">
        <v>66091</v>
      </c>
      <c r="LD68" s="16">
        <v>450690</v>
      </c>
      <c r="LE68" s="16">
        <v>1296</v>
      </c>
      <c r="LF68" s="16">
        <v>665</v>
      </c>
      <c r="LG68" s="16">
        <v>113</v>
      </c>
      <c r="LH68" s="16">
        <v>998</v>
      </c>
      <c r="LI68" s="16">
        <v>3</v>
      </c>
      <c r="LJ68" s="16">
        <v>31</v>
      </c>
      <c r="LK68" s="16">
        <v>1414</v>
      </c>
      <c r="LL68" s="16">
        <v>176</v>
      </c>
      <c r="LM68" s="16">
        <v>1243</v>
      </c>
      <c r="LN68" s="16">
        <v>8736</v>
      </c>
      <c r="LO68" s="16">
        <v>502</v>
      </c>
      <c r="LP68" s="16">
        <v>53176</v>
      </c>
      <c r="LQ68" s="16">
        <v>1073</v>
      </c>
      <c r="LR68" s="16">
        <v>321</v>
      </c>
      <c r="LS68" s="16">
        <v>13</v>
      </c>
      <c r="LT68" s="16">
        <v>996</v>
      </c>
      <c r="LU68" s="16">
        <v>320</v>
      </c>
      <c r="LV68" s="16">
        <v>2</v>
      </c>
      <c r="LW68" s="16">
        <v>438</v>
      </c>
      <c r="LX68" s="16">
        <v>1169</v>
      </c>
      <c r="LY68" s="16">
        <v>0</v>
      </c>
      <c r="LZ68" s="16">
        <v>7841</v>
      </c>
      <c r="MA68" s="16">
        <v>21065</v>
      </c>
      <c r="MB68" s="16">
        <v>40055</v>
      </c>
      <c r="MC68" s="16">
        <v>2882</v>
      </c>
      <c r="MD68" s="16">
        <v>847</v>
      </c>
      <c r="ME68" s="16">
        <v>86</v>
      </c>
      <c r="MF68" s="16">
        <v>16002</v>
      </c>
      <c r="MG68" s="16">
        <v>2159</v>
      </c>
      <c r="MH68" s="16">
        <v>34855</v>
      </c>
      <c r="MI68" s="16">
        <v>411</v>
      </c>
      <c r="MJ68" s="16">
        <v>2640</v>
      </c>
      <c r="MK68" s="16">
        <v>3444</v>
      </c>
      <c r="ML68" s="16">
        <v>1501</v>
      </c>
      <c r="MM68" s="16">
        <v>39170</v>
      </c>
      <c r="MN68" s="16">
        <v>5736</v>
      </c>
      <c r="MO68" s="16">
        <v>275955</v>
      </c>
      <c r="MP68" s="16">
        <v>104510</v>
      </c>
      <c r="MQ68" s="16">
        <v>103775</v>
      </c>
      <c r="MR68" s="16">
        <v>48083</v>
      </c>
      <c r="MS68" s="16">
        <v>22288</v>
      </c>
      <c r="MT68" s="16">
        <v>8063</v>
      </c>
      <c r="MU68" s="16">
        <v>26658</v>
      </c>
      <c r="MV68" s="16">
        <v>5497</v>
      </c>
      <c r="MW68" s="16">
        <v>11058</v>
      </c>
      <c r="MX68" s="16">
        <v>1250</v>
      </c>
      <c r="MY68" s="16">
        <v>3881</v>
      </c>
      <c r="MZ68" s="16">
        <v>11259</v>
      </c>
      <c r="NA68" s="16">
        <v>37240</v>
      </c>
      <c r="NB68" s="16">
        <v>94094</v>
      </c>
      <c r="NC68" s="16">
        <v>13859</v>
      </c>
      <c r="ND68" s="16">
        <v>17184</v>
      </c>
      <c r="NE68" s="16">
        <v>28</v>
      </c>
      <c r="NF68" s="16">
        <v>17475</v>
      </c>
      <c r="NG68" s="16">
        <v>27787</v>
      </c>
      <c r="NH68" s="16">
        <v>3642</v>
      </c>
      <c r="NI68" s="16">
        <v>5454</v>
      </c>
      <c r="NJ68" s="16">
        <v>53488</v>
      </c>
      <c r="NK68" s="16">
        <v>6110</v>
      </c>
      <c r="NL68" s="16">
        <v>4118</v>
      </c>
      <c r="NM68" s="16">
        <v>128166</v>
      </c>
      <c r="NN68" s="16">
        <v>16950</v>
      </c>
      <c r="NO68" s="16">
        <v>0</v>
      </c>
      <c r="NP68" s="16">
        <v>136188</v>
      </c>
      <c r="NQ68" s="16">
        <v>729</v>
      </c>
      <c r="NR68" s="17">
        <v>6399713</v>
      </c>
    </row>
    <row r="69" spans="1:382" ht="13.5" customHeight="1" x14ac:dyDescent="0.2">
      <c r="A69" s="2" t="s">
        <v>145</v>
      </c>
      <c r="B69" s="16">
        <v>97</v>
      </c>
      <c r="C69" s="16">
        <v>0</v>
      </c>
      <c r="D69" s="16">
        <v>14</v>
      </c>
      <c r="E69" s="16">
        <v>0</v>
      </c>
      <c r="F69" s="16">
        <v>170</v>
      </c>
      <c r="G69" s="16">
        <v>32</v>
      </c>
      <c r="H69" s="16">
        <v>1</v>
      </c>
      <c r="I69" s="16">
        <v>32</v>
      </c>
      <c r="J69" s="16">
        <v>7</v>
      </c>
      <c r="K69" s="16">
        <v>0</v>
      </c>
      <c r="L69" s="16">
        <v>0</v>
      </c>
      <c r="M69" s="16">
        <v>33</v>
      </c>
      <c r="N69" s="16">
        <v>0</v>
      </c>
      <c r="O69" s="16">
        <v>0</v>
      </c>
      <c r="P69" s="16">
        <v>68</v>
      </c>
      <c r="Q69" s="16">
        <v>373</v>
      </c>
      <c r="R69" s="16">
        <v>124</v>
      </c>
      <c r="S69" s="16">
        <v>31</v>
      </c>
      <c r="T69" s="16">
        <v>0</v>
      </c>
      <c r="U69" s="16">
        <v>44</v>
      </c>
      <c r="V69" s="16">
        <v>0</v>
      </c>
      <c r="W69" s="16">
        <v>2</v>
      </c>
      <c r="X69" s="16">
        <v>51</v>
      </c>
      <c r="Y69" s="16">
        <v>110</v>
      </c>
      <c r="Z69" s="16">
        <v>1336</v>
      </c>
      <c r="AA69" s="16">
        <v>3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12</v>
      </c>
      <c r="AH69" s="16">
        <v>67</v>
      </c>
      <c r="AI69" s="16">
        <v>22</v>
      </c>
      <c r="AJ69" s="16">
        <v>0</v>
      </c>
      <c r="AK69" s="16">
        <v>316</v>
      </c>
      <c r="AL69" s="16">
        <v>3</v>
      </c>
      <c r="AM69" s="16">
        <v>222</v>
      </c>
      <c r="AN69" s="16">
        <v>70</v>
      </c>
      <c r="AO69" s="16">
        <v>221</v>
      </c>
      <c r="AP69" s="16">
        <v>0</v>
      </c>
      <c r="AQ69" s="16">
        <v>1553</v>
      </c>
      <c r="AR69" s="16">
        <v>0</v>
      </c>
      <c r="AS69" s="16">
        <v>189</v>
      </c>
      <c r="AT69" s="16">
        <v>847</v>
      </c>
      <c r="AU69" s="16">
        <v>50</v>
      </c>
      <c r="AV69" s="16">
        <v>338</v>
      </c>
      <c r="AW69" s="16">
        <v>532</v>
      </c>
      <c r="AX69" s="16">
        <v>323</v>
      </c>
      <c r="AY69" s="16">
        <v>0</v>
      </c>
      <c r="AZ69" s="16">
        <v>0</v>
      </c>
      <c r="BA69" s="16">
        <v>778</v>
      </c>
      <c r="BB69" s="16">
        <v>468</v>
      </c>
      <c r="BC69" s="16">
        <v>770</v>
      </c>
      <c r="BD69" s="16">
        <v>0</v>
      </c>
      <c r="BE69" s="16">
        <v>0</v>
      </c>
      <c r="BF69" s="16">
        <v>0</v>
      </c>
      <c r="BG69" s="16">
        <v>3</v>
      </c>
      <c r="BH69" s="16">
        <v>88</v>
      </c>
      <c r="BI69" s="16">
        <v>14826</v>
      </c>
      <c r="BJ69" s="16">
        <v>1218</v>
      </c>
      <c r="BK69" s="16">
        <v>92</v>
      </c>
      <c r="BL69" s="16">
        <v>18934</v>
      </c>
      <c r="BM69" s="16">
        <v>3833</v>
      </c>
      <c r="BN69" s="16">
        <v>13899</v>
      </c>
      <c r="BO69" s="16">
        <v>7756</v>
      </c>
      <c r="BP69" s="16">
        <v>396895</v>
      </c>
      <c r="BQ69" s="16">
        <v>82225</v>
      </c>
      <c r="BR69" s="16">
        <v>69810</v>
      </c>
      <c r="BS69" s="16">
        <v>208120</v>
      </c>
      <c r="BT69" s="16">
        <v>8403</v>
      </c>
      <c r="BU69" s="16">
        <v>768</v>
      </c>
      <c r="BV69" s="16">
        <v>11</v>
      </c>
      <c r="BW69" s="16">
        <v>45717</v>
      </c>
      <c r="BX69" s="16">
        <v>5831</v>
      </c>
      <c r="BY69" s="16">
        <v>0</v>
      </c>
      <c r="BZ69" s="16">
        <v>72357</v>
      </c>
      <c r="CA69" s="16">
        <v>22120</v>
      </c>
      <c r="CB69" s="16">
        <v>1805</v>
      </c>
      <c r="CC69" s="16">
        <v>83</v>
      </c>
      <c r="CD69" s="16">
        <v>402</v>
      </c>
      <c r="CE69" s="16">
        <v>52</v>
      </c>
      <c r="CF69" s="16">
        <v>348</v>
      </c>
      <c r="CG69" s="16">
        <v>195</v>
      </c>
      <c r="CH69" s="16">
        <v>0</v>
      </c>
      <c r="CI69" s="16">
        <v>9140</v>
      </c>
      <c r="CJ69" s="16">
        <v>28160</v>
      </c>
      <c r="CK69" s="16">
        <v>85549</v>
      </c>
      <c r="CL69" s="16">
        <v>138</v>
      </c>
      <c r="CM69" s="16">
        <v>1968</v>
      </c>
      <c r="CN69" s="16">
        <v>155</v>
      </c>
      <c r="CO69" s="16">
        <v>130482</v>
      </c>
      <c r="CP69" s="16">
        <v>21410</v>
      </c>
      <c r="CQ69" s="16">
        <v>15845</v>
      </c>
      <c r="CR69" s="16">
        <v>0</v>
      </c>
      <c r="CS69" s="16">
        <v>8</v>
      </c>
      <c r="CT69" s="16">
        <v>7</v>
      </c>
      <c r="CU69" s="16">
        <v>0</v>
      </c>
      <c r="CV69" s="16">
        <v>27</v>
      </c>
      <c r="CW69" s="16">
        <v>130</v>
      </c>
      <c r="CX69" s="16">
        <v>150</v>
      </c>
      <c r="CY69" s="16">
        <v>0</v>
      </c>
      <c r="CZ69" s="16">
        <v>213</v>
      </c>
      <c r="DA69" s="16">
        <v>4</v>
      </c>
      <c r="DB69" s="16">
        <v>22</v>
      </c>
      <c r="DC69" s="16">
        <v>3</v>
      </c>
      <c r="DD69" s="16">
        <v>30</v>
      </c>
      <c r="DE69" s="16">
        <v>47</v>
      </c>
      <c r="DF69" s="16">
        <v>645</v>
      </c>
      <c r="DG69" s="16">
        <v>0</v>
      </c>
      <c r="DH69" s="16">
        <v>143</v>
      </c>
      <c r="DI69" s="16">
        <v>1304</v>
      </c>
      <c r="DJ69" s="16">
        <v>5003</v>
      </c>
      <c r="DK69" s="16">
        <v>288</v>
      </c>
      <c r="DL69" s="16">
        <v>13</v>
      </c>
      <c r="DM69" s="16">
        <v>10558</v>
      </c>
      <c r="DN69" s="16">
        <v>290</v>
      </c>
      <c r="DO69" s="16">
        <v>124</v>
      </c>
      <c r="DP69" s="16">
        <v>687</v>
      </c>
      <c r="DQ69" s="16">
        <v>184</v>
      </c>
      <c r="DR69" s="16">
        <v>264</v>
      </c>
      <c r="DS69" s="16">
        <v>1322</v>
      </c>
      <c r="DT69" s="16">
        <v>12</v>
      </c>
      <c r="DU69" s="16">
        <v>586</v>
      </c>
      <c r="DV69" s="16">
        <v>396</v>
      </c>
      <c r="DW69" s="16">
        <v>110909</v>
      </c>
      <c r="DX69" s="16">
        <v>15644</v>
      </c>
      <c r="DY69" s="16">
        <v>13824</v>
      </c>
      <c r="DZ69" s="16">
        <v>46045</v>
      </c>
      <c r="EA69" s="16">
        <v>66969</v>
      </c>
      <c r="EB69" s="16">
        <v>15434</v>
      </c>
      <c r="EC69" s="16">
        <v>62441</v>
      </c>
      <c r="ED69" s="16">
        <v>730</v>
      </c>
      <c r="EE69" s="16">
        <v>5</v>
      </c>
      <c r="EF69" s="16">
        <v>429</v>
      </c>
      <c r="EG69" s="16">
        <v>3754</v>
      </c>
      <c r="EH69" s="16">
        <v>105</v>
      </c>
      <c r="EI69" s="16">
        <v>83</v>
      </c>
      <c r="EJ69" s="16">
        <v>1</v>
      </c>
      <c r="EK69" s="16">
        <v>67</v>
      </c>
      <c r="EL69" s="16">
        <v>17</v>
      </c>
      <c r="EM69" s="16">
        <v>73</v>
      </c>
      <c r="EN69" s="16">
        <v>131</v>
      </c>
      <c r="EO69" s="16">
        <v>50</v>
      </c>
      <c r="EP69" s="16">
        <v>965</v>
      </c>
      <c r="EQ69" s="16">
        <v>14</v>
      </c>
      <c r="ER69" s="16">
        <v>584</v>
      </c>
      <c r="ES69" s="16">
        <v>0</v>
      </c>
      <c r="ET69" s="16">
        <v>202</v>
      </c>
      <c r="EU69" s="16">
        <v>0</v>
      </c>
      <c r="EV69" s="16">
        <v>0</v>
      </c>
      <c r="EW69" s="16">
        <v>1</v>
      </c>
      <c r="EX69" s="16">
        <v>39637</v>
      </c>
      <c r="EY69" s="16">
        <v>10244</v>
      </c>
      <c r="EZ69" s="16">
        <v>80</v>
      </c>
      <c r="FA69" s="16">
        <v>31</v>
      </c>
      <c r="FB69" s="16">
        <v>175</v>
      </c>
      <c r="FC69" s="16">
        <v>67</v>
      </c>
      <c r="FD69" s="16">
        <v>4289</v>
      </c>
      <c r="FE69" s="16">
        <v>361</v>
      </c>
      <c r="FF69" s="16">
        <v>93</v>
      </c>
      <c r="FG69" s="16">
        <v>0</v>
      </c>
      <c r="FH69" s="16">
        <v>0</v>
      </c>
      <c r="FI69" s="16">
        <v>178</v>
      </c>
      <c r="FJ69" s="16">
        <v>126</v>
      </c>
      <c r="FK69" s="16">
        <v>144</v>
      </c>
      <c r="FL69" s="16">
        <v>5</v>
      </c>
      <c r="FM69" s="16">
        <v>121</v>
      </c>
      <c r="FN69" s="16">
        <v>3241</v>
      </c>
      <c r="FO69" s="16">
        <v>0</v>
      </c>
      <c r="FP69" s="16">
        <v>234</v>
      </c>
      <c r="FQ69" s="16">
        <v>803</v>
      </c>
      <c r="FR69" s="16">
        <v>643</v>
      </c>
      <c r="FS69" s="16">
        <v>54</v>
      </c>
      <c r="FT69" s="16">
        <v>7</v>
      </c>
      <c r="FU69" s="16">
        <v>484</v>
      </c>
      <c r="FV69" s="16">
        <v>5988</v>
      </c>
      <c r="FW69" s="16">
        <v>58</v>
      </c>
      <c r="FX69" s="16">
        <v>379</v>
      </c>
      <c r="FY69" s="16">
        <v>272</v>
      </c>
      <c r="FZ69" s="16">
        <v>0</v>
      </c>
      <c r="GA69" s="16">
        <v>220</v>
      </c>
      <c r="GB69" s="16">
        <v>22071</v>
      </c>
      <c r="GC69" s="16">
        <v>110</v>
      </c>
      <c r="GD69" s="16">
        <v>244</v>
      </c>
      <c r="GE69" s="16">
        <v>48</v>
      </c>
      <c r="GF69" s="16">
        <v>237</v>
      </c>
      <c r="GG69" s="16">
        <v>816</v>
      </c>
      <c r="GH69" s="16">
        <v>1378</v>
      </c>
      <c r="GI69" s="16">
        <v>17882</v>
      </c>
      <c r="GJ69" s="16">
        <v>293</v>
      </c>
      <c r="GK69" s="16">
        <v>2586</v>
      </c>
      <c r="GL69" s="16">
        <v>1</v>
      </c>
      <c r="GM69" s="16">
        <v>8</v>
      </c>
      <c r="GN69" s="16">
        <v>7</v>
      </c>
      <c r="GO69" s="16">
        <v>207</v>
      </c>
      <c r="GP69" s="16">
        <v>26</v>
      </c>
      <c r="GQ69" s="16">
        <v>190</v>
      </c>
      <c r="GR69" s="16">
        <v>331</v>
      </c>
      <c r="GS69" s="16">
        <v>119</v>
      </c>
      <c r="GT69" s="16">
        <v>174</v>
      </c>
      <c r="GU69" s="16">
        <v>2136</v>
      </c>
      <c r="GV69" s="16">
        <v>156</v>
      </c>
      <c r="GW69" s="16">
        <v>208</v>
      </c>
      <c r="GX69" s="16">
        <v>53</v>
      </c>
      <c r="GY69" s="16">
        <v>5</v>
      </c>
      <c r="GZ69" s="16">
        <v>501</v>
      </c>
      <c r="HA69" s="16">
        <v>1744</v>
      </c>
      <c r="HB69" s="16">
        <v>1087</v>
      </c>
      <c r="HC69" s="16">
        <v>360</v>
      </c>
      <c r="HD69" s="16">
        <v>530</v>
      </c>
      <c r="HE69" s="16">
        <v>3773</v>
      </c>
      <c r="HF69" s="16">
        <v>16928</v>
      </c>
      <c r="HG69" s="16">
        <v>87</v>
      </c>
      <c r="HH69" s="16">
        <v>249</v>
      </c>
      <c r="HI69" s="16">
        <v>2928</v>
      </c>
      <c r="HJ69" s="16">
        <v>24</v>
      </c>
      <c r="HK69" s="16">
        <v>37</v>
      </c>
      <c r="HL69" s="16">
        <v>3396</v>
      </c>
      <c r="HM69" s="16">
        <v>1218</v>
      </c>
      <c r="HN69" s="16">
        <v>1732</v>
      </c>
      <c r="HO69" s="16">
        <v>0</v>
      </c>
      <c r="HP69" s="16">
        <v>26</v>
      </c>
      <c r="HQ69" s="16">
        <v>1075</v>
      </c>
      <c r="HR69" s="16">
        <v>1413</v>
      </c>
      <c r="HS69" s="16">
        <v>16553</v>
      </c>
      <c r="HT69" s="16">
        <v>39</v>
      </c>
      <c r="HU69" s="16">
        <v>2049</v>
      </c>
      <c r="HV69" s="16">
        <v>72</v>
      </c>
      <c r="HW69" s="16">
        <v>117</v>
      </c>
      <c r="HX69" s="16">
        <v>48</v>
      </c>
      <c r="HY69" s="16">
        <v>914</v>
      </c>
      <c r="HZ69" s="16">
        <v>130</v>
      </c>
      <c r="IA69" s="16">
        <v>1431</v>
      </c>
      <c r="IB69" s="16">
        <v>0</v>
      </c>
      <c r="IC69" s="16">
        <v>197</v>
      </c>
      <c r="ID69" s="16">
        <v>11</v>
      </c>
      <c r="IE69" s="16">
        <v>18</v>
      </c>
      <c r="IF69" s="16">
        <v>10</v>
      </c>
      <c r="IG69" s="16">
        <v>2715</v>
      </c>
      <c r="IH69" s="16">
        <v>6470</v>
      </c>
      <c r="II69" s="16">
        <v>827</v>
      </c>
      <c r="IJ69" s="16">
        <v>10</v>
      </c>
      <c r="IK69" s="16">
        <v>68</v>
      </c>
      <c r="IL69" s="16">
        <v>22</v>
      </c>
      <c r="IM69" s="16">
        <v>0</v>
      </c>
      <c r="IN69" s="16">
        <v>1603</v>
      </c>
      <c r="IO69" s="16">
        <v>20944</v>
      </c>
      <c r="IP69" s="16">
        <v>69</v>
      </c>
      <c r="IQ69" s="16">
        <v>33</v>
      </c>
      <c r="IR69" s="16">
        <v>6</v>
      </c>
      <c r="IS69" s="16">
        <v>251</v>
      </c>
      <c r="IT69" s="16">
        <v>241</v>
      </c>
      <c r="IU69" s="16">
        <v>1</v>
      </c>
      <c r="IV69" s="16">
        <v>1601</v>
      </c>
      <c r="IW69" s="16">
        <v>4338</v>
      </c>
      <c r="IX69" s="16">
        <v>20</v>
      </c>
      <c r="IY69" s="16">
        <v>9392</v>
      </c>
      <c r="IZ69" s="16">
        <v>819</v>
      </c>
      <c r="JA69" s="16">
        <v>9037</v>
      </c>
      <c r="JB69" s="16">
        <v>958</v>
      </c>
      <c r="JC69" s="16">
        <v>370</v>
      </c>
      <c r="JD69" s="16">
        <v>0</v>
      </c>
      <c r="JE69" s="16">
        <v>599</v>
      </c>
      <c r="JF69" s="16">
        <v>2883</v>
      </c>
      <c r="JG69" s="16">
        <v>177804</v>
      </c>
      <c r="JH69" s="16">
        <v>213</v>
      </c>
      <c r="JI69" s="16">
        <v>1</v>
      </c>
      <c r="JJ69" s="16">
        <v>2</v>
      </c>
      <c r="JK69" s="16">
        <v>5292</v>
      </c>
      <c r="JL69" s="16">
        <v>2</v>
      </c>
      <c r="JM69" s="16">
        <v>0</v>
      </c>
      <c r="JN69" s="16">
        <v>0</v>
      </c>
      <c r="JO69" s="16">
        <v>1</v>
      </c>
      <c r="JP69" s="16">
        <v>0</v>
      </c>
      <c r="JQ69" s="16">
        <v>0</v>
      </c>
      <c r="JR69" s="16">
        <v>14732</v>
      </c>
      <c r="JS69" s="16">
        <v>6121</v>
      </c>
      <c r="JT69" s="16">
        <v>0</v>
      </c>
      <c r="JU69" s="16">
        <v>17375</v>
      </c>
      <c r="JV69" s="16">
        <v>23250</v>
      </c>
      <c r="JW69" s="16">
        <v>2544</v>
      </c>
      <c r="JX69" s="16">
        <v>4455</v>
      </c>
      <c r="JY69" s="16">
        <v>5555</v>
      </c>
      <c r="JZ69" s="16">
        <v>850</v>
      </c>
      <c r="KA69" s="16">
        <v>1019</v>
      </c>
      <c r="KB69" s="16">
        <v>204</v>
      </c>
      <c r="KC69" s="16">
        <v>225</v>
      </c>
      <c r="KD69" s="16">
        <v>104</v>
      </c>
      <c r="KE69" s="16">
        <v>251</v>
      </c>
      <c r="KF69" s="16">
        <v>4642</v>
      </c>
      <c r="KG69" s="16">
        <v>89</v>
      </c>
      <c r="KH69" s="16">
        <v>96</v>
      </c>
      <c r="KI69" s="16">
        <v>193</v>
      </c>
      <c r="KJ69" s="16">
        <v>271</v>
      </c>
      <c r="KK69" s="16">
        <v>169272</v>
      </c>
      <c r="KL69" s="16">
        <v>1</v>
      </c>
      <c r="KM69" s="16">
        <v>0</v>
      </c>
      <c r="KN69" s="16">
        <v>72</v>
      </c>
      <c r="KO69" s="16">
        <v>0</v>
      </c>
      <c r="KP69" s="16">
        <v>21</v>
      </c>
      <c r="KQ69" s="16">
        <v>65</v>
      </c>
      <c r="KR69" s="16">
        <v>0</v>
      </c>
      <c r="KS69" s="16">
        <v>0</v>
      </c>
      <c r="KT69" s="16">
        <v>0</v>
      </c>
      <c r="KU69" s="16">
        <v>14</v>
      </c>
      <c r="KV69" s="16">
        <v>1982</v>
      </c>
      <c r="KW69" s="16">
        <v>1457</v>
      </c>
      <c r="KX69" s="16">
        <v>33</v>
      </c>
      <c r="KY69" s="16">
        <v>2548</v>
      </c>
      <c r="KZ69" s="16">
        <v>54573</v>
      </c>
      <c r="LA69" s="16">
        <v>7633</v>
      </c>
      <c r="LB69" s="16">
        <v>554</v>
      </c>
      <c r="LC69" s="16">
        <v>7808</v>
      </c>
      <c r="LD69" s="16">
        <v>6859</v>
      </c>
      <c r="LE69" s="16">
        <v>81</v>
      </c>
      <c r="LF69" s="16">
        <v>107</v>
      </c>
      <c r="LG69" s="16">
        <v>20</v>
      </c>
      <c r="LH69" s="16">
        <v>186</v>
      </c>
      <c r="LI69" s="16">
        <v>5</v>
      </c>
      <c r="LJ69" s="16">
        <v>146</v>
      </c>
      <c r="LK69" s="16">
        <v>1</v>
      </c>
      <c r="LL69" s="16">
        <v>2</v>
      </c>
      <c r="LM69" s="16">
        <v>5</v>
      </c>
      <c r="LN69" s="16">
        <v>483</v>
      </c>
      <c r="LO69" s="16">
        <v>37</v>
      </c>
      <c r="LP69" s="16">
        <v>2967</v>
      </c>
      <c r="LQ69" s="16">
        <v>138</v>
      </c>
      <c r="LR69" s="16">
        <v>1081</v>
      </c>
      <c r="LS69" s="16">
        <v>1416</v>
      </c>
      <c r="LT69" s="16">
        <v>16474</v>
      </c>
      <c r="LU69" s="16">
        <v>0</v>
      </c>
      <c r="LV69" s="16">
        <v>0</v>
      </c>
      <c r="LW69" s="16">
        <v>101</v>
      </c>
      <c r="LX69" s="16">
        <v>76</v>
      </c>
      <c r="LY69" s="16">
        <v>0</v>
      </c>
      <c r="LZ69" s="16">
        <v>236</v>
      </c>
      <c r="MA69" s="16">
        <v>759</v>
      </c>
      <c r="MB69" s="16">
        <v>1801</v>
      </c>
      <c r="MC69" s="16">
        <v>241</v>
      </c>
      <c r="MD69" s="16">
        <v>0</v>
      </c>
      <c r="ME69" s="16">
        <v>0</v>
      </c>
      <c r="MF69" s="16">
        <v>17156</v>
      </c>
      <c r="MG69" s="16">
        <v>142</v>
      </c>
      <c r="MH69" s="16">
        <v>60</v>
      </c>
      <c r="MI69" s="16">
        <v>5</v>
      </c>
      <c r="MJ69" s="16">
        <v>88</v>
      </c>
      <c r="MK69" s="16">
        <v>184</v>
      </c>
      <c r="ML69" s="16">
        <v>187</v>
      </c>
      <c r="MM69" s="16">
        <v>5306</v>
      </c>
      <c r="MN69" s="16">
        <v>22236</v>
      </c>
      <c r="MO69" s="16">
        <v>2446</v>
      </c>
      <c r="MP69" s="16">
        <v>13333</v>
      </c>
      <c r="MQ69" s="16">
        <v>11539</v>
      </c>
      <c r="MR69" s="16">
        <v>106</v>
      </c>
      <c r="MS69" s="16">
        <v>174</v>
      </c>
      <c r="MT69" s="16">
        <v>1367</v>
      </c>
      <c r="MU69" s="16">
        <v>7144</v>
      </c>
      <c r="MV69" s="16">
        <v>0</v>
      </c>
      <c r="MW69" s="16">
        <v>0</v>
      </c>
      <c r="MX69" s="16">
        <v>0</v>
      </c>
      <c r="MY69" s="16">
        <v>144</v>
      </c>
      <c r="MZ69" s="16">
        <v>1991</v>
      </c>
      <c r="NA69" s="16">
        <v>2819</v>
      </c>
      <c r="NB69" s="16">
        <v>4512</v>
      </c>
      <c r="NC69" s="16">
        <v>0</v>
      </c>
      <c r="ND69" s="16">
        <v>54</v>
      </c>
      <c r="NE69" s="16">
        <v>0</v>
      </c>
      <c r="NF69" s="16">
        <v>1868</v>
      </c>
      <c r="NG69" s="16">
        <v>2102</v>
      </c>
      <c r="NH69" s="16">
        <v>16</v>
      </c>
      <c r="NI69" s="16">
        <v>53</v>
      </c>
      <c r="NJ69" s="16">
        <v>152</v>
      </c>
      <c r="NK69" s="16">
        <v>185</v>
      </c>
      <c r="NL69" s="16">
        <v>419</v>
      </c>
      <c r="NM69" s="16">
        <v>16191</v>
      </c>
      <c r="NN69" s="16">
        <v>35</v>
      </c>
      <c r="NO69" s="16">
        <v>0</v>
      </c>
      <c r="NP69" s="16">
        <v>26568</v>
      </c>
      <c r="NQ69" s="16">
        <v>412</v>
      </c>
      <c r="NR69" s="17">
        <v>2561618</v>
      </c>
    </row>
    <row r="70" spans="1:382" ht="13.5" customHeight="1" x14ac:dyDescent="0.2">
      <c r="A70" s="2" t="s">
        <v>147</v>
      </c>
      <c r="B70" s="16">
        <v>1347</v>
      </c>
      <c r="C70" s="16">
        <v>13</v>
      </c>
      <c r="D70" s="16">
        <v>0</v>
      </c>
      <c r="E70" s="16">
        <v>0</v>
      </c>
      <c r="F70" s="16">
        <v>4841</v>
      </c>
      <c r="G70" s="16">
        <v>236</v>
      </c>
      <c r="H70" s="16">
        <v>8</v>
      </c>
      <c r="I70" s="16">
        <v>582</v>
      </c>
      <c r="J70" s="16">
        <v>4</v>
      </c>
      <c r="K70" s="16">
        <v>0</v>
      </c>
      <c r="L70" s="16">
        <v>44</v>
      </c>
      <c r="M70" s="16">
        <v>27</v>
      </c>
      <c r="N70" s="16">
        <v>0</v>
      </c>
      <c r="O70" s="16">
        <v>4</v>
      </c>
      <c r="P70" s="16">
        <v>731</v>
      </c>
      <c r="Q70" s="16">
        <v>955</v>
      </c>
      <c r="R70" s="16">
        <v>402</v>
      </c>
      <c r="S70" s="16">
        <v>0</v>
      </c>
      <c r="T70" s="16">
        <v>5</v>
      </c>
      <c r="U70" s="16">
        <v>5</v>
      </c>
      <c r="V70" s="16">
        <v>83</v>
      </c>
      <c r="W70" s="16">
        <v>0</v>
      </c>
      <c r="X70" s="16">
        <v>147752</v>
      </c>
      <c r="Y70" s="16">
        <v>361388</v>
      </c>
      <c r="Z70" s="16">
        <v>18</v>
      </c>
      <c r="AA70" s="16">
        <v>2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682</v>
      </c>
      <c r="AH70" s="16">
        <v>9</v>
      </c>
      <c r="AI70" s="16">
        <v>118</v>
      </c>
      <c r="AJ70" s="16">
        <v>100</v>
      </c>
      <c r="AK70" s="16">
        <v>86</v>
      </c>
      <c r="AL70" s="16">
        <v>3</v>
      </c>
      <c r="AM70" s="16">
        <v>24</v>
      </c>
      <c r="AN70" s="16">
        <v>135</v>
      </c>
      <c r="AO70" s="16">
        <v>20109</v>
      </c>
      <c r="AP70" s="16">
        <v>0</v>
      </c>
      <c r="AQ70" s="16">
        <v>0</v>
      </c>
      <c r="AR70" s="16">
        <v>0</v>
      </c>
      <c r="AS70" s="16">
        <v>0</v>
      </c>
      <c r="AT70" s="16">
        <v>4</v>
      </c>
      <c r="AU70" s="16">
        <v>20</v>
      </c>
      <c r="AV70" s="16">
        <v>3</v>
      </c>
      <c r="AW70" s="16">
        <v>330</v>
      </c>
      <c r="AX70" s="16">
        <v>1</v>
      </c>
      <c r="AY70" s="16">
        <v>0</v>
      </c>
      <c r="AZ70" s="16">
        <v>36</v>
      </c>
      <c r="BA70" s="16">
        <v>50</v>
      </c>
      <c r="BB70" s="16">
        <v>14</v>
      </c>
      <c r="BC70" s="16">
        <v>14</v>
      </c>
      <c r="BD70" s="16">
        <v>1</v>
      </c>
      <c r="BE70" s="16">
        <v>3</v>
      </c>
      <c r="BF70" s="16">
        <v>7</v>
      </c>
      <c r="BG70" s="16">
        <v>3</v>
      </c>
      <c r="BH70" s="16">
        <v>14</v>
      </c>
      <c r="BI70" s="16">
        <v>0</v>
      </c>
      <c r="BJ70" s="16">
        <v>2851</v>
      </c>
      <c r="BK70" s="16">
        <v>0</v>
      </c>
      <c r="BL70" s="16">
        <v>13091</v>
      </c>
      <c r="BM70" s="16">
        <v>1583</v>
      </c>
      <c r="BN70" s="16">
        <v>2893</v>
      </c>
      <c r="BO70" s="16">
        <v>7224</v>
      </c>
      <c r="BP70" s="16">
        <v>661280</v>
      </c>
      <c r="BQ70" s="16">
        <v>27969</v>
      </c>
      <c r="BR70" s="16">
        <v>85541</v>
      </c>
      <c r="BS70" s="16">
        <v>266683</v>
      </c>
      <c r="BT70" s="16">
        <v>12269</v>
      </c>
      <c r="BU70" s="16">
        <v>2060</v>
      </c>
      <c r="BV70" s="16">
        <v>23</v>
      </c>
      <c r="BW70" s="16">
        <v>35715</v>
      </c>
      <c r="BX70" s="16">
        <v>1258</v>
      </c>
      <c r="BY70" s="16">
        <v>0</v>
      </c>
      <c r="BZ70" s="16">
        <v>78066</v>
      </c>
      <c r="CA70" s="16">
        <v>68727</v>
      </c>
      <c r="CB70" s="16">
        <v>1975</v>
      </c>
      <c r="CC70" s="16">
        <v>461</v>
      </c>
      <c r="CD70" s="16">
        <v>2579</v>
      </c>
      <c r="CE70" s="16">
        <v>2</v>
      </c>
      <c r="CF70" s="16">
        <v>163</v>
      </c>
      <c r="CG70" s="16">
        <v>7</v>
      </c>
      <c r="CH70" s="16">
        <v>75</v>
      </c>
      <c r="CI70" s="16">
        <v>2</v>
      </c>
      <c r="CJ70" s="16">
        <v>380</v>
      </c>
      <c r="CK70" s="16">
        <v>1148</v>
      </c>
      <c r="CL70" s="16">
        <v>331</v>
      </c>
      <c r="CM70" s="16">
        <v>1676</v>
      </c>
      <c r="CN70" s="16">
        <v>559</v>
      </c>
      <c r="CO70" s="16">
        <v>354</v>
      </c>
      <c r="CP70" s="16">
        <v>1160</v>
      </c>
      <c r="CQ70" s="16">
        <v>5917</v>
      </c>
      <c r="CR70" s="16">
        <v>14</v>
      </c>
      <c r="CS70" s="16">
        <v>8</v>
      </c>
      <c r="CT70" s="16">
        <v>4</v>
      </c>
      <c r="CU70" s="16">
        <v>11</v>
      </c>
      <c r="CV70" s="16">
        <v>13</v>
      </c>
      <c r="CW70" s="16">
        <v>44</v>
      </c>
      <c r="CX70" s="16">
        <v>164</v>
      </c>
      <c r="CY70" s="16">
        <v>5</v>
      </c>
      <c r="CZ70" s="16">
        <v>13</v>
      </c>
      <c r="DA70" s="16">
        <v>1</v>
      </c>
      <c r="DB70" s="16">
        <v>8</v>
      </c>
      <c r="DC70" s="16">
        <v>1</v>
      </c>
      <c r="DD70" s="16">
        <v>4</v>
      </c>
      <c r="DE70" s="16">
        <v>3</v>
      </c>
      <c r="DF70" s="16">
        <v>32</v>
      </c>
      <c r="DG70" s="16">
        <v>31</v>
      </c>
      <c r="DH70" s="16">
        <v>27</v>
      </c>
      <c r="DI70" s="16">
        <v>18</v>
      </c>
      <c r="DJ70" s="16">
        <v>177</v>
      </c>
      <c r="DK70" s="16">
        <v>16</v>
      </c>
      <c r="DL70" s="16">
        <v>32</v>
      </c>
      <c r="DM70" s="16">
        <v>358</v>
      </c>
      <c r="DN70" s="16">
        <v>1404</v>
      </c>
      <c r="DO70" s="16">
        <v>59</v>
      </c>
      <c r="DP70" s="16">
        <v>32</v>
      </c>
      <c r="DQ70" s="16">
        <v>8</v>
      </c>
      <c r="DR70" s="16">
        <v>27</v>
      </c>
      <c r="DS70" s="16">
        <v>127</v>
      </c>
      <c r="DT70" s="16">
        <v>2</v>
      </c>
      <c r="DU70" s="16">
        <v>16</v>
      </c>
      <c r="DV70" s="16">
        <v>323</v>
      </c>
      <c r="DW70" s="16">
        <v>1808</v>
      </c>
      <c r="DX70" s="16">
        <v>2889</v>
      </c>
      <c r="DY70" s="16">
        <v>1617</v>
      </c>
      <c r="DZ70" s="16">
        <v>10513</v>
      </c>
      <c r="EA70" s="16">
        <v>11789</v>
      </c>
      <c r="EB70" s="16">
        <v>445028</v>
      </c>
      <c r="EC70" s="16">
        <v>788</v>
      </c>
      <c r="ED70" s="16">
        <v>20</v>
      </c>
      <c r="EE70" s="16">
        <v>0</v>
      </c>
      <c r="EF70" s="16">
        <v>7</v>
      </c>
      <c r="EG70" s="16">
        <v>6468</v>
      </c>
      <c r="EH70" s="16">
        <v>34</v>
      </c>
      <c r="EI70" s="16">
        <v>17</v>
      </c>
      <c r="EJ70" s="16">
        <v>1</v>
      </c>
      <c r="EK70" s="16">
        <v>13</v>
      </c>
      <c r="EL70" s="16">
        <v>140</v>
      </c>
      <c r="EM70" s="16">
        <v>3</v>
      </c>
      <c r="EN70" s="16">
        <v>72</v>
      </c>
      <c r="EO70" s="16">
        <v>38</v>
      </c>
      <c r="EP70" s="16">
        <v>103</v>
      </c>
      <c r="EQ70" s="16">
        <v>95</v>
      </c>
      <c r="ER70" s="16">
        <v>784</v>
      </c>
      <c r="ES70" s="16">
        <v>1</v>
      </c>
      <c r="ET70" s="16">
        <v>100</v>
      </c>
      <c r="EU70" s="16">
        <v>0</v>
      </c>
      <c r="EV70" s="16">
        <v>14</v>
      </c>
      <c r="EW70" s="16">
        <v>2</v>
      </c>
      <c r="EX70" s="16">
        <v>574</v>
      </c>
      <c r="EY70" s="16">
        <v>668</v>
      </c>
      <c r="EZ70" s="16">
        <v>3</v>
      </c>
      <c r="FA70" s="16">
        <v>12</v>
      </c>
      <c r="FB70" s="16">
        <v>38</v>
      </c>
      <c r="FC70" s="16">
        <v>29</v>
      </c>
      <c r="FD70" s="16">
        <v>1210</v>
      </c>
      <c r="FE70" s="16">
        <v>68</v>
      </c>
      <c r="FF70" s="16">
        <v>0</v>
      </c>
      <c r="FG70" s="16">
        <v>29</v>
      </c>
      <c r="FH70" s="16">
        <v>0</v>
      </c>
      <c r="FI70" s="16">
        <v>5</v>
      </c>
      <c r="FJ70" s="16">
        <v>2</v>
      </c>
      <c r="FK70" s="16">
        <v>28</v>
      </c>
      <c r="FL70" s="16">
        <v>1</v>
      </c>
      <c r="FM70" s="16">
        <v>26</v>
      </c>
      <c r="FN70" s="16">
        <v>52</v>
      </c>
      <c r="FO70" s="16">
        <v>0</v>
      </c>
      <c r="FP70" s="16">
        <v>263</v>
      </c>
      <c r="FQ70" s="16">
        <v>5334</v>
      </c>
      <c r="FR70" s="16">
        <v>88</v>
      </c>
      <c r="FS70" s="16">
        <v>20</v>
      </c>
      <c r="FT70" s="16">
        <v>25</v>
      </c>
      <c r="FU70" s="16">
        <v>173</v>
      </c>
      <c r="FV70" s="16">
        <v>5789</v>
      </c>
      <c r="FW70" s="16">
        <v>960</v>
      </c>
      <c r="FX70" s="16">
        <v>2763</v>
      </c>
      <c r="FY70" s="16">
        <v>47</v>
      </c>
      <c r="FZ70" s="16">
        <v>679</v>
      </c>
      <c r="GA70" s="16">
        <v>16</v>
      </c>
      <c r="GB70" s="16">
        <v>1369</v>
      </c>
      <c r="GC70" s="16">
        <v>309</v>
      </c>
      <c r="GD70" s="16">
        <v>601</v>
      </c>
      <c r="GE70" s="16">
        <v>17</v>
      </c>
      <c r="GF70" s="16">
        <v>0</v>
      </c>
      <c r="GG70" s="16">
        <v>66</v>
      </c>
      <c r="GH70" s="16">
        <v>129</v>
      </c>
      <c r="GI70" s="16">
        <v>303</v>
      </c>
      <c r="GJ70" s="16">
        <v>15</v>
      </c>
      <c r="GK70" s="16">
        <v>217</v>
      </c>
      <c r="GL70" s="16">
        <v>0</v>
      </c>
      <c r="GM70" s="16">
        <v>23</v>
      </c>
      <c r="GN70" s="16">
        <v>1</v>
      </c>
      <c r="GO70" s="16">
        <v>46</v>
      </c>
      <c r="GP70" s="16">
        <v>100</v>
      </c>
      <c r="GQ70" s="16">
        <v>467</v>
      </c>
      <c r="GR70" s="16">
        <v>1</v>
      </c>
      <c r="GS70" s="16">
        <v>4</v>
      </c>
      <c r="GT70" s="16">
        <v>11</v>
      </c>
      <c r="GU70" s="16">
        <v>1277</v>
      </c>
      <c r="GV70" s="16">
        <v>50</v>
      </c>
      <c r="GW70" s="16">
        <v>84</v>
      </c>
      <c r="GX70" s="16">
        <v>866</v>
      </c>
      <c r="GY70" s="16">
        <v>1</v>
      </c>
      <c r="GZ70" s="16">
        <v>581</v>
      </c>
      <c r="HA70" s="16">
        <v>2</v>
      </c>
      <c r="HB70" s="16">
        <v>385</v>
      </c>
      <c r="HC70" s="16">
        <v>1258</v>
      </c>
      <c r="HD70" s="16">
        <v>1892</v>
      </c>
      <c r="HE70" s="16">
        <v>76</v>
      </c>
      <c r="HF70" s="16">
        <v>15996</v>
      </c>
      <c r="HG70" s="16">
        <v>21</v>
      </c>
      <c r="HH70" s="16">
        <v>18</v>
      </c>
      <c r="HI70" s="16">
        <v>266</v>
      </c>
      <c r="HJ70" s="16">
        <v>4</v>
      </c>
      <c r="HK70" s="16">
        <v>25</v>
      </c>
      <c r="HL70" s="16">
        <v>4895</v>
      </c>
      <c r="HM70" s="16">
        <v>191</v>
      </c>
      <c r="HN70" s="16">
        <v>52</v>
      </c>
      <c r="HO70" s="16">
        <v>47</v>
      </c>
      <c r="HP70" s="16">
        <v>34</v>
      </c>
      <c r="HQ70" s="16">
        <v>384</v>
      </c>
      <c r="HR70" s="16">
        <v>809</v>
      </c>
      <c r="HS70" s="16">
        <v>112</v>
      </c>
      <c r="HT70" s="16">
        <v>1</v>
      </c>
      <c r="HU70" s="16">
        <v>1175</v>
      </c>
      <c r="HV70" s="16">
        <v>61</v>
      </c>
      <c r="HW70" s="16">
        <v>55</v>
      </c>
      <c r="HX70" s="16">
        <v>24</v>
      </c>
      <c r="HY70" s="16">
        <v>91</v>
      </c>
      <c r="HZ70" s="16">
        <v>38</v>
      </c>
      <c r="IA70" s="16">
        <v>24</v>
      </c>
      <c r="IB70" s="16">
        <v>1</v>
      </c>
      <c r="IC70" s="16">
        <v>42</v>
      </c>
      <c r="ID70" s="16">
        <v>22</v>
      </c>
      <c r="IE70" s="16">
        <v>1</v>
      </c>
      <c r="IF70" s="16">
        <v>26</v>
      </c>
      <c r="IG70" s="16">
        <v>249</v>
      </c>
      <c r="IH70" s="16">
        <v>2726</v>
      </c>
      <c r="II70" s="16">
        <v>356</v>
      </c>
      <c r="IJ70" s="16">
        <v>0</v>
      </c>
      <c r="IK70" s="16">
        <v>3</v>
      </c>
      <c r="IL70" s="16">
        <v>2</v>
      </c>
      <c r="IM70" s="16">
        <v>1</v>
      </c>
      <c r="IN70" s="16">
        <v>2639</v>
      </c>
      <c r="IO70" s="16">
        <v>7880</v>
      </c>
      <c r="IP70" s="16">
        <v>289</v>
      </c>
      <c r="IQ70" s="16">
        <v>80</v>
      </c>
      <c r="IR70" s="16">
        <v>307</v>
      </c>
      <c r="IS70" s="16">
        <v>281</v>
      </c>
      <c r="IT70" s="16">
        <v>112</v>
      </c>
      <c r="IU70" s="16">
        <v>5</v>
      </c>
      <c r="IV70" s="16">
        <v>167</v>
      </c>
      <c r="IW70" s="16">
        <v>1219</v>
      </c>
      <c r="IX70" s="16">
        <v>6</v>
      </c>
      <c r="IY70" s="16">
        <v>6559</v>
      </c>
      <c r="IZ70" s="16">
        <v>905</v>
      </c>
      <c r="JA70" s="16">
        <v>2625</v>
      </c>
      <c r="JB70" s="16">
        <v>10</v>
      </c>
      <c r="JC70" s="16">
        <v>10</v>
      </c>
      <c r="JD70" s="16">
        <v>8</v>
      </c>
      <c r="JE70" s="16">
        <v>6109</v>
      </c>
      <c r="JF70" s="16">
        <v>61437</v>
      </c>
      <c r="JG70" s="16">
        <v>64438</v>
      </c>
      <c r="JH70" s="16">
        <v>35</v>
      </c>
      <c r="JI70" s="16">
        <v>10</v>
      </c>
      <c r="JJ70" s="16">
        <v>1</v>
      </c>
      <c r="JK70" s="16">
        <v>476</v>
      </c>
      <c r="JL70" s="16">
        <v>1</v>
      </c>
      <c r="JM70" s="16">
        <v>0</v>
      </c>
      <c r="JN70" s="16">
        <v>0</v>
      </c>
      <c r="JO70" s="16">
        <v>2</v>
      </c>
      <c r="JP70" s="16">
        <v>51</v>
      </c>
      <c r="JQ70" s="16">
        <v>8</v>
      </c>
      <c r="JR70" s="16">
        <v>12000</v>
      </c>
      <c r="JS70" s="16">
        <v>2827</v>
      </c>
      <c r="JT70" s="16">
        <v>0</v>
      </c>
      <c r="JU70" s="16">
        <v>15491</v>
      </c>
      <c r="JV70" s="16">
        <v>131</v>
      </c>
      <c r="JW70" s="16">
        <v>21798</v>
      </c>
      <c r="JX70" s="16">
        <v>42659</v>
      </c>
      <c r="JY70" s="16">
        <v>4301</v>
      </c>
      <c r="JZ70" s="16">
        <v>2111</v>
      </c>
      <c r="KA70" s="16">
        <v>229</v>
      </c>
      <c r="KB70" s="16">
        <v>569</v>
      </c>
      <c r="KC70" s="16">
        <v>420</v>
      </c>
      <c r="KD70" s="16">
        <v>438</v>
      </c>
      <c r="KE70" s="16">
        <v>283</v>
      </c>
      <c r="KF70" s="16">
        <v>91</v>
      </c>
      <c r="KG70" s="16">
        <v>39</v>
      </c>
      <c r="KH70" s="16">
        <v>8</v>
      </c>
      <c r="KI70" s="16">
        <v>391</v>
      </c>
      <c r="KJ70" s="16">
        <v>84</v>
      </c>
      <c r="KK70" s="16">
        <v>56139</v>
      </c>
      <c r="KL70" s="16">
        <v>1</v>
      </c>
      <c r="KM70" s="16">
        <v>0</v>
      </c>
      <c r="KN70" s="16">
        <v>723</v>
      </c>
      <c r="KO70" s="16">
        <v>1168</v>
      </c>
      <c r="KP70" s="16">
        <v>212</v>
      </c>
      <c r="KQ70" s="16">
        <v>882</v>
      </c>
      <c r="KR70" s="16">
        <v>7115</v>
      </c>
      <c r="KS70" s="16">
        <v>803</v>
      </c>
      <c r="KT70" s="16">
        <v>17</v>
      </c>
      <c r="KU70" s="16">
        <v>85703</v>
      </c>
      <c r="KV70" s="16">
        <v>68350</v>
      </c>
      <c r="KW70" s="16">
        <v>14752</v>
      </c>
      <c r="KX70" s="16">
        <v>130</v>
      </c>
      <c r="KY70" s="16">
        <v>23186</v>
      </c>
      <c r="KZ70" s="16">
        <v>42739</v>
      </c>
      <c r="LA70" s="16">
        <v>9268</v>
      </c>
      <c r="LB70" s="16">
        <v>20</v>
      </c>
      <c r="LC70" s="16">
        <v>67</v>
      </c>
      <c r="LD70" s="16">
        <v>529</v>
      </c>
      <c r="LE70" s="16">
        <v>76</v>
      </c>
      <c r="LF70" s="16">
        <v>32</v>
      </c>
      <c r="LG70" s="16">
        <v>6</v>
      </c>
      <c r="LH70" s="16">
        <v>66</v>
      </c>
      <c r="LI70" s="16">
        <v>23</v>
      </c>
      <c r="LJ70" s="16">
        <v>24</v>
      </c>
      <c r="LK70" s="16">
        <v>704</v>
      </c>
      <c r="LL70" s="16">
        <v>150</v>
      </c>
      <c r="LM70" s="16">
        <v>1049</v>
      </c>
      <c r="LN70" s="16">
        <v>5318</v>
      </c>
      <c r="LO70" s="16">
        <v>381</v>
      </c>
      <c r="LP70" s="16">
        <v>249</v>
      </c>
      <c r="LQ70" s="16">
        <v>26</v>
      </c>
      <c r="LR70" s="16">
        <v>161</v>
      </c>
      <c r="LS70" s="16">
        <v>8</v>
      </c>
      <c r="LT70" s="16">
        <v>1189</v>
      </c>
      <c r="LU70" s="16">
        <v>281</v>
      </c>
      <c r="LV70" s="16">
        <v>2</v>
      </c>
      <c r="LW70" s="16">
        <v>103</v>
      </c>
      <c r="LX70" s="16">
        <v>316</v>
      </c>
      <c r="LY70" s="16">
        <v>0</v>
      </c>
      <c r="LZ70" s="16">
        <v>121</v>
      </c>
      <c r="MA70" s="16">
        <v>407</v>
      </c>
      <c r="MB70" s="16">
        <v>5335</v>
      </c>
      <c r="MC70" s="16">
        <v>333</v>
      </c>
      <c r="MD70" s="16">
        <v>44</v>
      </c>
      <c r="ME70" s="16">
        <v>59</v>
      </c>
      <c r="MF70" s="16">
        <v>22533</v>
      </c>
      <c r="MG70" s="16">
        <v>1362</v>
      </c>
      <c r="MH70" s="16">
        <v>29012</v>
      </c>
      <c r="MI70" s="16">
        <v>10</v>
      </c>
      <c r="MJ70" s="16">
        <v>1047</v>
      </c>
      <c r="MK70" s="16">
        <v>1166</v>
      </c>
      <c r="ML70" s="16">
        <v>215</v>
      </c>
      <c r="MM70" s="16">
        <v>2418</v>
      </c>
      <c r="MN70" s="16">
        <v>23246</v>
      </c>
      <c r="MO70" s="16">
        <v>8048</v>
      </c>
      <c r="MP70" s="16">
        <v>2610</v>
      </c>
      <c r="MQ70" s="16">
        <v>8705</v>
      </c>
      <c r="MR70" s="16">
        <v>3239</v>
      </c>
      <c r="MS70" s="16">
        <v>11687</v>
      </c>
      <c r="MT70" s="16">
        <v>88</v>
      </c>
      <c r="MU70" s="16">
        <v>8429</v>
      </c>
      <c r="MV70" s="16">
        <v>2731</v>
      </c>
      <c r="MW70" s="16">
        <v>3690</v>
      </c>
      <c r="MX70" s="16">
        <v>262</v>
      </c>
      <c r="MY70" s="16">
        <v>33</v>
      </c>
      <c r="MZ70" s="16">
        <v>882</v>
      </c>
      <c r="NA70" s="16">
        <v>379</v>
      </c>
      <c r="NB70" s="16">
        <v>1195</v>
      </c>
      <c r="NC70" s="16">
        <v>347</v>
      </c>
      <c r="ND70" s="16">
        <v>12</v>
      </c>
      <c r="NE70" s="16">
        <v>4</v>
      </c>
      <c r="NF70" s="16">
        <v>1195</v>
      </c>
      <c r="NG70" s="16">
        <v>6306</v>
      </c>
      <c r="NH70" s="16">
        <v>2124</v>
      </c>
      <c r="NI70" s="16">
        <v>1764</v>
      </c>
      <c r="NJ70" s="16">
        <v>2416</v>
      </c>
      <c r="NK70" s="16">
        <v>7</v>
      </c>
      <c r="NL70" s="16">
        <v>8</v>
      </c>
      <c r="NM70" s="16">
        <v>143</v>
      </c>
      <c r="NN70" s="16">
        <v>14</v>
      </c>
      <c r="NO70" s="16">
        <v>0</v>
      </c>
      <c r="NP70" s="16">
        <v>2004</v>
      </c>
      <c r="NQ70" s="16">
        <v>5971</v>
      </c>
      <c r="NR70" s="17">
        <v>3109475</v>
      </c>
    </row>
    <row r="71" spans="1:382" ht="13.5" customHeight="1" x14ac:dyDescent="0.2">
      <c r="A71" s="2" t="s">
        <v>149</v>
      </c>
      <c r="B71" s="16">
        <v>98</v>
      </c>
      <c r="C71" s="16">
        <v>0</v>
      </c>
      <c r="D71" s="16">
        <v>31</v>
      </c>
      <c r="E71" s="16">
        <v>4</v>
      </c>
      <c r="F71" s="16">
        <v>301</v>
      </c>
      <c r="G71" s="16">
        <v>9</v>
      </c>
      <c r="H71" s="16">
        <v>1</v>
      </c>
      <c r="I71" s="16">
        <v>253</v>
      </c>
      <c r="J71" s="16">
        <v>6</v>
      </c>
      <c r="K71" s="16">
        <v>0</v>
      </c>
      <c r="L71" s="16">
        <v>79</v>
      </c>
      <c r="M71" s="16">
        <v>1320</v>
      </c>
      <c r="N71" s="16">
        <v>0</v>
      </c>
      <c r="O71" s="16">
        <v>1</v>
      </c>
      <c r="P71" s="16">
        <v>81</v>
      </c>
      <c r="Q71" s="16">
        <v>111</v>
      </c>
      <c r="R71" s="16">
        <v>131</v>
      </c>
      <c r="S71" s="16">
        <v>932</v>
      </c>
      <c r="T71" s="16">
        <v>4</v>
      </c>
      <c r="U71" s="16">
        <v>34</v>
      </c>
      <c r="V71" s="16">
        <v>117</v>
      </c>
      <c r="W71" s="16">
        <v>4</v>
      </c>
      <c r="X71" s="16">
        <v>26</v>
      </c>
      <c r="Y71" s="16">
        <v>298</v>
      </c>
      <c r="Z71" s="16">
        <v>3915</v>
      </c>
      <c r="AA71" s="16">
        <v>27</v>
      </c>
      <c r="AB71" s="16">
        <v>0</v>
      </c>
      <c r="AC71" s="16">
        <v>0</v>
      </c>
      <c r="AD71" s="16">
        <v>0</v>
      </c>
      <c r="AE71" s="16">
        <v>22</v>
      </c>
      <c r="AF71" s="16">
        <v>0</v>
      </c>
      <c r="AG71" s="16">
        <v>53</v>
      </c>
      <c r="AH71" s="16">
        <v>129</v>
      </c>
      <c r="AI71" s="16">
        <v>36</v>
      </c>
      <c r="AJ71" s="16">
        <v>627</v>
      </c>
      <c r="AK71" s="16">
        <v>939</v>
      </c>
      <c r="AL71" s="16">
        <v>72</v>
      </c>
      <c r="AM71" s="16">
        <v>757</v>
      </c>
      <c r="AN71" s="16">
        <v>893</v>
      </c>
      <c r="AO71" s="16">
        <v>1762</v>
      </c>
      <c r="AP71" s="16">
        <v>21</v>
      </c>
      <c r="AQ71" s="16">
        <v>266</v>
      </c>
      <c r="AR71" s="16">
        <v>0</v>
      </c>
      <c r="AS71" s="16">
        <v>0</v>
      </c>
      <c r="AT71" s="16">
        <v>112</v>
      </c>
      <c r="AU71" s="16">
        <v>387</v>
      </c>
      <c r="AV71" s="16">
        <v>148</v>
      </c>
      <c r="AW71" s="16">
        <v>1634</v>
      </c>
      <c r="AX71" s="16">
        <v>86</v>
      </c>
      <c r="AY71" s="16">
        <v>284</v>
      </c>
      <c r="AZ71" s="16">
        <v>167</v>
      </c>
      <c r="BA71" s="16">
        <v>1884</v>
      </c>
      <c r="BB71" s="16">
        <v>527</v>
      </c>
      <c r="BC71" s="16">
        <v>1012</v>
      </c>
      <c r="BD71" s="16">
        <v>10</v>
      </c>
      <c r="BE71" s="16">
        <v>133</v>
      </c>
      <c r="BF71" s="16">
        <v>323</v>
      </c>
      <c r="BG71" s="16">
        <v>123</v>
      </c>
      <c r="BH71" s="16">
        <v>543</v>
      </c>
      <c r="BI71" s="16">
        <v>782</v>
      </c>
      <c r="BJ71" s="16">
        <v>35</v>
      </c>
      <c r="BK71" s="16">
        <v>107</v>
      </c>
      <c r="BL71" s="16">
        <v>572</v>
      </c>
      <c r="BM71" s="16">
        <v>19</v>
      </c>
      <c r="BN71" s="16">
        <v>505</v>
      </c>
      <c r="BO71" s="16">
        <v>96</v>
      </c>
      <c r="BP71" s="16">
        <v>387</v>
      </c>
      <c r="BQ71" s="16">
        <v>35</v>
      </c>
      <c r="BR71" s="16">
        <v>34</v>
      </c>
      <c r="BS71" s="16">
        <v>3290509</v>
      </c>
      <c r="BT71" s="16">
        <v>33</v>
      </c>
      <c r="BU71" s="16">
        <v>69</v>
      </c>
      <c r="BV71" s="16">
        <v>0</v>
      </c>
      <c r="BW71" s="16">
        <v>192</v>
      </c>
      <c r="BX71" s="16">
        <v>92</v>
      </c>
      <c r="BY71" s="16">
        <v>0</v>
      </c>
      <c r="BZ71" s="16">
        <v>134</v>
      </c>
      <c r="CA71" s="16">
        <v>35</v>
      </c>
      <c r="CB71" s="16">
        <v>6</v>
      </c>
      <c r="CC71" s="16">
        <v>2564</v>
      </c>
      <c r="CD71" s="16">
        <v>848</v>
      </c>
      <c r="CE71" s="16">
        <v>313</v>
      </c>
      <c r="CF71" s="16">
        <v>836</v>
      </c>
      <c r="CG71" s="16">
        <v>242</v>
      </c>
      <c r="CH71" s="16">
        <v>97</v>
      </c>
      <c r="CI71" s="16">
        <v>151</v>
      </c>
      <c r="CJ71" s="16">
        <v>467</v>
      </c>
      <c r="CK71" s="16">
        <v>703</v>
      </c>
      <c r="CL71" s="16">
        <v>303</v>
      </c>
      <c r="CM71" s="16">
        <v>208</v>
      </c>
      <c r="CN71" s="16">
        <v>140</v>
      </c>
      <c r="CO71" s="16">
        <v>309</v>
      </c>
      <c r="CP71" s="16">
        <v>347</v>
      </c>
      <c r="CQ71" s="16">
        <v>2743</v>
      </c>
      <c r="CR71" s="16">
        <v>2046</v>
      </c>
      <c r="CS71" s="16">
        <v>137</v>
      </c>
      <c r="CT71" s="16">
        <v>1087</v>
      </c>
      <c r="CU71" s="16">
        <v>363</v>
      </c>
      <c r="CV71" s="16">
        <v>2432</v>
      </c>
      <c r="CW71" s="16">
        <v>10718</v>
      </c>
      <c r="CX71" s="16">
        <v>9038</v>
      </c>
      <c r="CY71" s="16">
        <v>443</v>
      </c>
      <c r="CZ71" s="16">
        <v>290</v>
      </c>
      <c r="DA71" s="16">
        <v>9</v>
      </c>
      <c r="DB71" s="16">
        <v>907</v>
      </c>
      <c r="DC71" s="16">
        <v>18</v>
      </c>
      <c r="DD71" s="16">
        <v>283</v>
      </c>
      <c r="DE71" s="16">
        <v>131</v>
      </c>
      <c r="DF71" s="16">
        <v>896</v>
      </c>
      <c r="DG71" s="16">
        <v>849</v>
      </c>
      <c r="DH71" s="16">
        <v>123</v>
      </c>
      <c r="DI71" s="16">
        <v>479</v>
      </c>
      <c r="DJ71" s="16">
        <v>3292</v>
      </c>
      <c r="DK71" s="16">
        <v>70</v>
      </c>
      <c r="DL71" s="16">
        <v>329</v>
      </c>
      <c r="DM71" s="16">
        <v>1302</v>
      </c>
      <c r="DN71" s="16">
        <v>308</v>
      </c>
      <c r="DO71" s="16">
        <v>158</v>
      </c>
      <c r="DP71" s="16">
        <v>841</v>
      </c>
      <c r="DQ71" s="16">
        <v>295</v>
      </c>
      <c r="DR71" s="16">
        <v>375</v>
      </c>
      <c r="DS71" s="16">
        <v>1547</v>
      </c>
      <c r="DT71" s="16">
        <v>152</v>
      </c>
      <c r="DU71" s="16">
        <v>791</v>
      </c>
      <c r="DV71" s="16">
        <v>111</v>
      </c>
      <c r="DW71" s="16">
        <v>3218</v>
      </c>
      <c r="DX71" s="16">
        <v>2489</v>
      </c>
      <c r="DY71" s="16">
        <v>1952</v>
      </c>
      <c r="DZ71" s="16">
        <v>9339</v>
      </c>
      <c r="EA71" s="16">
        <v>3376</v>
      </c>
      <c r="EB71" s="16">
        <v>35</v>
      </c>
      <c r="EC71" s="16">
        <v>646</v>
      </c>
      <c r="ED71" s="16">
        <v>118</v>
      </c>
      <c r="EE71" s="16">
        <v>2</v>
      </c>
      <c r="EF71" s="16">
        <v>3</v>
      </c>
      <c r="EG71" s="16">
        <v>265</v>
      </c>
      <c r="EH71" s="16">
        <v>48</v>
      </c>
      <c r="EI71" s="16">
        <v>83</v>
      </c>
      <c r="EJ71" s="16">
        <v>285</v>
      </c>
      <c r="EK71" s="16">
        <v>39</v>
      </c>
      <c r="EL71" s="16">
        <v>29</v>
      </c>
      <c r="EM71" s="16">
        <v>59</v>
      </c>
      <c r="EN71" s="16">
        <v>2565</v>
      </c>
      <c r="EO71" s="16">
        <v>1645</v>
      </c>
      <c r="EP71" s="16">
        <v>209</v>
      </c>
      <c r="EQ71" s="16">
        <v>819</v>
      </c>
      <c r="ER71" s="16">
        <v>82</v>
      </c>
      <c r="ES71" s="16">
        <v>232</v>
      </c>
      <c r="ET71" s="16">
        <v>2369</v>
      </c>
      <c r="EU71" s="16">
        <v>15</v>
      </c>
      <c r="EV71" s="16">
        <v>54</v>
      </c>
      <c r="EW71" s="16">
        <v>43</v>
      </c>
      <c r="EX71" s="16">
        <v>12205</v>
      </c>
      <c r="EY71" s="16">
        <v>365</v>
      </c>
      <c r="EZ71" s="16">
        <v>42</v>
      </c>
      <c r="FA71" s="16">
        <v>106</v>
      </c>
      <c r="FB71" s="16">
        <v>600</v>
      </c>
      <c r="FC71" s="16">
        <v>4</v>
      </c>
      <c r="FD71" s="16">
        <v>3755</v>
      </c>
      <c r="FE71" s="16">
        <v>466</v>
      </c>
      <c r="FF71" s="16">
        <v>552</v>
      </c>
      <c r="FG71" s="16">
        <v>3764</v>
      </c>
      <c r="FH71" s="16">
        <v>1</v>
      </c>
      <c r="FI71" s="16">
        <v>142</v>
      </c>
      <c r="FJ71" s="16">
        <v>53</v>
      </c>
      <c r="FK71" s="16">
        <v>636</v>
      </c>
      <c r="FL71" s="16">
        <v>1</v>
      </c>
      <c r="FM71" s="16">
        <v>378</v>
      </c>
      <c r="FN71" s="16">
        <v>2550</v>
      </c>
      <c r="FO71" s="16">
        <v>226</v>
      </c>
      <c r="FP71" s="16">
        <v>2111</v>
      </c>
      <c r="FQ71" s="16">
        <v>7697</v>
      </c>
      <c r="FR71" s="16">
        <v>2242</v>
      </c>
      <c r="FS71" s="16">
        <v>1744</v>
      </c>
      <c r="FT71" s="16">
        <v>400</v>
      </c>
      <c r="FU71" s="16">
        <v>4023</v>
      </c>
      <c r="FV71" s="16">
        <v>8768</v>
      </c>
      <c r="FW71" s="16">
        <v>1316</v>
      </c>
      <c r="FX71" s="16">
        <v>4046</v>
      </c>
      <c r="FY71" s="16">
        <v>774</v>
      </c>
      <c r="FZ71" s="16">
        <v>3184</v>
      </c>
      <c r="GA71" s="16">
        <v>86</v>
      </c>
      <c r="GB71" s="16">
        <v>2627</v>
      </c>
      <c r="GC71" s="16">
        <v>492</v>
      </c>
      <c r="GD71" s="16">
        <v>1812</v>
      </c>
      <c r="GE71" s="16">
        <v>115</v>
      </c>
      <c r="GF71" s="16">
        <v>1108</v>
      </c>
      <c r="GG71" s="16">
        <v>99</v>
      </c>
      <c r="GH71" s="16">
        <v>581</v>
      </c>
      <c r="GI71" s="16">
        <v>211</v>
      </c>
      <c r="GJ71" s="16">
        <v>1139</v>
      </c>
      <c r="GK71" s="16">
        <v>112</v>
      </c>
      <c r="GL71" s="16">
        <v>3</v>
      </c>
      <c r="GM71" s="16">
        <v>9</v>
      </c>
      <c r="GN71" s="16">
        <v>16</v>
      </c>
      <c r="GO71" s="16">
        <v>1</v>
      </c>
      <c r="GP71" s="16">
        <v>5</v>
      </c>
      <c r="GQ71" s="16">
        <v>0</v>
      </c>
      <c r="GR71" s="16">
        <v>89</v>
      </c>
      <c r="GS71" s="16">
        <v>11</v>
      </c>
      <c r="GT71" s="16">
        <v>14</v>
      </c>
      <c r="GU71" s="16">
        <v>125</v>
      </c>
      <c r="GV71" s="16">
        <v>422</v>
      </c>
      <c r="GW71" s="16">
        <v>394</v>
      </c>
      <c r="GX71" s="16">
        <v>83</v>
      </c>
      <c r="GY71" s="16">
        <v>4</v>
      </c>
      <c r="GZ71" s="16">
        <v>346</v>
      </c>
      <c r="HA71" s="16">
        <v>137</v>
      </c>
      <c r="HB71" s="16">
        <v>690</v>
      </c>
      <c r="HC71" s="16">
        <v>940</v>
      </c>
      <c r="HD71" s="16">
        <v>1498</v>
      </c>
      <c r="HE71" s="16">
        <v>136</v>
      </c>
      <c r="HF71" s="16">
        <v>979</v>
      </c>
      <c r="HG71" s="16">
        <v>74</v>
      </c>
      <c r="HH71" s="16">
        <v>57</v>
      </c>
      <c r="HI71" s="16">
        <v>372</v>
      </c>
      <c r="HJ71" s="16">
        <v>30</v>
      </c>
      <c r="HK71" s="16">
        <v>45</v>
      </c>
      <c r="HL71" s="16">
        <v>1266</v>
      </c>
      <c r="HM71" s="16">
        <v>661</v>
      </c>
      <c r="HN71" s="16">
        <v>780</v>
      </c>
      <c r="HO71" s="16">
        <v>364</v>
      </c>
      <c r="HP71" s="16">
        <v>136</v>
      </c>
      <c r="HQ71" s="16">
        <v>2872</v>
      </c>
      <c r="HR71" s="16">
        <v>2862</v>
      </c>
      <c r="HS71" s="16">
        <v>1151</v>
      </c>
      <c r="HT71" s="16">
        <v>21</v>
      </c>
      <c r="HU71" s="16">
        <v>1011</v>
      </c>
      <c r="HV71" s="16">
        <v>386</v>
      </c>
      <c r="HW71" s="16">
        <v>384</v>
      </c>
      <c r="HX71" s="16">
        <v>447</v>
      </c>
      <c r="HY71" s="16">
        <v>2089</v>
      </c>
      <c r="HZ71" s="16">
        <v>1286</v>
      </c>
      <c r="IA71" s="16">
        <v>702</v>
      </c>
      <c r="IB71" s="16">
        <v>238</v>
      </c>
      <c r="IC71" s="16">
        <v>34</v>
      </c>
      <c r="ID71" s="16">
        <v>111</v>
      </c>
      <c r="IE71" s="16">
        <v>46</v>
      </c>
      <c r="IF71" s="16">
        <v>123</v>
      </c>
      <c r="IG71" s="16">
        <v>628</v>
      </c>
      <c r="IH71" s="16">
        <v>2491</v>
      </c>
      <c r="II71" s="16">
        <v>328</v>
      </c>
      <c r="IJ71" s="16">
        <v>28</v>
      </c>
      <c r="IK71" s="16">
        <v>74</v>
      </c>
      <c r="IL71" s="16">
        <v>156</v>
      </c>
      <c r="IM71" s="16">
        <v>42</v>
      </c>
      <c r="IN71" s="16">
        <v>1849</v>
      </c>
      <c r="IO71" s="16">
        <v>4365</v>
      </c>
      <c r="IP71" s="16">
        <v>137</v>
      </c>
      <c r="IQ71" s="16">
        <v>39</v>
      </c>
      <c r="IR71" s="16">
        <v>159</v>
      </c>
      <c r="IS71" s="16">
        <v>649</v>
      </c>
      <c r="IT71" s="16">
        <v>101</v>
      </c>
      <c r="IU71" s="16">
        <v>7</v>
      </c>
      <c r="IV71" s="16">
        <v>841</v>
      </c>
      <c r="IW71" s="16">
        <v>2775</v>
      </c>
      <c r="IX71" s="16">
        <v>149</v>
      </c>
      <c r="IY71" s="16">
        <v>336</v>
      </c>
      <c r="IZ71" s="16">
        <v>8</v>
      </c>
      <c r="JA71" s="16">
        <v>169</v>
      </c>
      <c r="JB71" s="16">
        <v>4</v>
      </c>
      <c r="JC71" s="16">
        <v>47</v>
      </c>
      <c r="JD71" s="16">
        <v>19</v>
      </c>
      <c r="JE71" s="16">
        <v>189</v>
      </c>
      <c r="JF71" s="16">
        <v>78</v>
      </c>
      <c r="JG71" s="16">
        <v>612026</v>
      </c>
      <c r="JH71" s="16">
        <v>6450</v>
      </c>
      <c r="JI71" s="16">
        <v>41</v>
      </c>
      <c r="JJ71" s="16">
        <v>2041</v>
      </c>
      <c r="JK71" s="16">
        <v>682</v>
      </c>
      <c r="JL71" s="16">
        <v>305</v>
      </c>
      <c r="JM71" s="16">
        <v>28</v>
      </c>
      <c r="JN71" s="16">
        <v>416</v>
      </c>
      <c r="JO71" s="16">
        <v>167</v>
      </c>
      <c r="JP71" s="16">
        <v>2591</v>
      </c>
      <c r="JQ71" s="16">
        <v>1759</v>
      </c>
      <c r="JR71" s="16">
        <v>13637</v>
      </c>
      <c r="JS71" s="16">
        <v>7033</v>
      </c>
      <c r="JT71" s="16">
        <v>0</v>
      </c>
      <c r="JU71" s="16">
        <v>33062</v>
      </c>
      <c r="JV71" s="16">
        <v>4877</v>
      </c>
      <c r="JW71" s="16">
        <v>1606</v>
      </c>
      <c r="JX71" s="16">
        <v>904</v>
      </c>
      <c r="JY71" s="16">
        <v>1223</v>
      </c>
      <c r="JZ71" s="16">
        <v>300</v>
      </c>
      <c r="KA71" s="16">
        <v>205</v>
      </c>
      <c r="KB71" s="16">
        <v>13</v>
      </c>
      <c r="KC71" s="16">
        <v>106</v>
      </c>
      <c r="KD71" s="16">
        <v>205</v>
      </c>
      <c r="KE71" s="16">
        <v>40</v>
      </c>
      <c r="KF71" s="16">
        <v>316</v>
      </c>
      <c r="KG71" s="16">
        <v>113</v>
      </c>
      <c r="KH71" s="16">
        <v>76</v>
      </c>
      <c r="KI71" s="16">
        <v>192</v>
      </c>
      <c r="KJ71" s="16">
        <v>185</v>
      </c>
      <c r="KK71" s="16">
        <v>526005</v>
      </c>
      <c r="KL71" s="16">
        <v>188</v>
      </c>
      <c r="KM71" s="16">
        <v>3704</v>
      </c>
      <c r="KN71" s="16">
        <v>1530</v>
      </c>
      <c r="KO71" s="16">
        <v>1693</v>
      </c>
      <c r="KP71" s="16">
        <v>36</v>
      </c>
      <c r="KQ71" s="16">
        <v>73</v>
      </c>
      <c r="KR71" s="16">
        <v>13433</v>
      </c>
      <c r="KS71" s="16">
        <v>140</v>
      </c>
      <c r="KT71" s="16">
        <v>4527</v>
      </c>
      <c r="KU71" s="16">
        <v>9679</v>
      </c>
      <c r="KV71" s="16">
        <v>46958</v>
      </c>
      <c r="KW71" s="16">
        <v>28501</v>
      </c>
      <c r="KX71" s="16">
        <v>241</v>
      </c>
      <c r="KY71" s="16">
        <v>12884</v>
      </c>
      <c r="KZ71" s="16">
        <v>147444</v>
      </c>
      <c r="LA71" s="16">
        <v>27659</v>
      </c>
      <c r="LB71" s="16">
        <v>2602</v>
      </c>
      <c r="LC71" s="16">
        <v>31764</v>
      </c>
      <c r="LD71" s="16">
        <v>79478</v>
      </c>
      <c r="LE71" s="16">
        <v>2312</v>
      </c>
      <c r="LF71" s="16">
        <v>964</v>
      </c>
      <c r="LG71" s="16">
        <v>245</v>
      </c>
      <c r="LH71" s="16">
        <v>2183</v>
      </c>
      <c r="LI71" s="16">
        <v>12</v>
      </c>
      <c r="LJ71" s="16">
        <v>181</v>
      </c>
      <c r="LK71" s="16">
        <v>816</v>
      </c>
      <c r="LL71" s="16">
        <v>169</v>
      </c>
      <c r="LM71" s="16">
        <v>1009</v>
      </c>
      <c r="LN71" s="16">
        <v>2116</v>
      </c>
      <c r="LO71" s="16">
        <v>70</v>
      </c>
      <c r="LP71" s="16">
        <v>37538</v>
      </c>
      <c r="LQ71" s="16">
        <v>6307</v>
      </c>
      <c r="LR71" s="16">
        <v>5036</v>
      </c>
      <c r="LS71" s="16">
        <v>598</v>
      </c>
      <c r="LT71" s="16">
        <v>25086</v>
      </c>
      <c r="LU71" s="16">
        <v>5316</v>
      </c>
      <c r="LV71" s="16">
        <v>49</v>
      </c>
      <c r="LW71" s="16">
        <v>8815</v>
      </c>
      <c r="LX71" s="16">
        <v>12246</v>
      </c>
      <c r="LY71" s="16">
        <v>0</v>
      </c>
      <c r="LZ71" s="16">
        <v>9350</v>
      </c>
      <c r="MA71" s="16">
        <v>16431</v>
      </c>
      <c r="MB71" s="16">
        <v>5926</v>
      </c>
      <c r="MC71" s="16">
        <v>2729</v>
      </c>
      <c r="MD71" s="16">
        <v>2317</v>
      </c>
      <c r="ME71" s="16">
        <v>259</v>
      </c>
      <c r="MF71" s="16">
        <v>15641</v>
      </c>
      <c r="MG71" s="16">
        <v>5739</v>
      </c>
      <c r="MH71" s="16">
        <v>14559</v>
      </c>
      <c r="MI71" s="16">
        <v>171</v>
      </c>
      <c r="MJ71" s="16">
        <v>2633</v>
      </c>
      <c r="MK71" s="16">
        <v>1724</v>
      </c>
      <c r="ML71" s="16">
        <v>3095</v>
      </c>
      <c r="MM71" s="16">
        <v>85944</v>
      </c>
      <c r="MN71" s="16">
        <v>24626</v>
      </c>
      <c r="MO71" s="16">
        <v>60986</v>
      </c>
      <c r="MP71" s="16">
        <v>110227</v>
      </c>
      <c r="MQ71" s="16">
        <v>99035</v>
      </c>
      <c r="MR71" s="16">
        <v>315640</v>
      </c>
      <c r="MS71" s="16">
        <v>84725</v>
      </c>
      <c r="MT71" s="16">
        <v>6637</v>
      </c>
      <c r="MU71" s="16">
        <v>20512</v>
      </c>
      <c r="MV71" s="16">
        <v>10811</v>
      </c>
      <c r="MW71" s="16">
        <v>21219</v>
      </c>
      <c r="MX71" s="16">
        <v>827</v>
      </c>
      <c r="MY71" s="16">
        <v>65733</v>
      </c>
      <c r="MZ71" s="16">
        <v>135034</v>
      </c>
      <c r="NA71" s="16">
        <v>6979</v>
      </c>
      <c r="NB71" s="16">
        <v>78525</v>
      </c>
      <c r="NC71" s="16">
        <v>8057</v>
      </c>
      <c r="ND71" s="16">
        <v>64491</v>
      </c>
      <c r="NE71" s="16">
        <v>742</v>
      </c>
      <c r="NF71" s="16">
        <v>16717</v>
      </c>
      <c r="NG71" s="16">
        <v>30864</v>
      </c>
      <c r="NH71" s="16">
        <v>6454</v>
      </c>
      <c r="NI71" s="16">
        <v>8729</v>
      </c>
      <c r="NJ71" s="16">
        <v>91380</v>
      </c>
      <c r="NK71" s="16">
        <v>6618</v>
      </c>
      <c r="NL71" s="16">
        <v>5223</v>
      </c>
      <c r="NM71" s="16">
        <v>23842</v>
      </c>
      <c r="NN71" s="16">
        <v>15448</v>
      </c>
      <c r="NO71" s="16">
        <v>0</v>
      </c>
      <c r="NP71" s="16">
        <v>149627</v>
      </c>
      <c r="NQ71" s="16">
        <v>1115</v>
      </c>
      <c r="NR71" s="17">
        <v>6881683</v>
      </c>
    </row>
    <row r="72" spans="1:382" ht="13.5" customHeight="1" x14ac:dyDescent="0.2">
      <c r="A72" s="2" t="s">
        <v>151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1236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799765</v>
      </c>
      <c r="BT72" s="16">
        <v>500160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v>0</v>
      </c>
      <c r="CM72" s="16">
        <v>0</v>
      </c>
      <c r="CN72" s="16">
        <v>0</v>
      </c>
      <c r="CO72" s="16">
        <v>0</v>
      </c>
      <c r="CP72" s="16">
        <v>47217</v>
      </c>
      <c r="CQ72" s="16">
        <v>0</v>
      </c>
      <c r="CR72" s="16">
        <v>0</v>
      </c>
      <c r="CS72" s="16">
        <v>0</v>
      </c>
      <c r="CT72" s="16">
        <v>0</v>
      </c>
      <c r="CU72" s="16">
        <v>0</v>
      </c>
      <c r="CV72" s="16">
        <v>0</v>
      </c>
      <c r="CW72" s="16">
        <v>0</v>
      </c>
      <c r="CX72" s="16">
        <v>0</v>
      </c>
      <c r="CY72" s="16">
        <v>0</v>
      </c>
      <c r="CZ72" s="16">
        <v>0</v>
      </c>
      <c r="DA72" s="16">
        <v>0</v>
      </c>
      <c r="DB72" s="16">
        <v>0</v>
      </c>
      <c r="DC72" s="16">
        <v>0</v>
      </c>
      <c r="DD72" s="16">
        <v>0</v>
      </c>
      <c r="DE72" s="16">
        <v>0</v>
      </c>
      <c r="DF72" s="16">
        <v>0</v>
      </c>
      <c r="DG72" s="16">
        <v>0</v>
      </c>
      <c r="DH72" s="16">
        <v>0</v>
      </c>
      <c r="DI72" s="16">
        <v>0</v>
      </c>
      <c r="DJ72" s="16">
        <v>0</v>
      </c>
      <c r="DK72" s="16">
        <v>0</v>
      </c>
      <c r="DL72" s="16">
        <v>0</v>
      </c>
      <c r="DM72" s="16">
        <v>0</v>
      </c>
      <c r="DN72" s="16">
        <v>0</v>
      </c>
      <c r="DO72" s="16">
        <v>0</v>
      </c>
      <c r="DP72" s="16">
        <v>0</v>
      </c>
      <c r="DQ72" s="16">
        <v>0</v>
      </c>
      <c r="DR72" s="16">
        <v>0</v>
      </c>
      <c r="DS72" s="16">
        <v>0</v>
      </c>
      <c r="DT72" s="16">
        <v>0</v>
      </c>
      <c r="DU72" s="16">
        <v>0</v>
      </c>
      <c r="DV72" s="16">
        <v>0</v>
      </c>
      <c r="DW72" s="16">
        <v>0</v>
      </c>
      <c r="DX72" s="16">
        <v>0</v>
      </c>
      <c r="DY72" s="16">
        <v>0</v>
      </c>
      <c r="DZ72" s="16">
        <v>0</v>
      </c>
      <c r="EA72" s="16">
        <v>3105</v>
      </c>
      <c r="EB72" s="16">
        <v>0</v>
      </c>
      <c r="EC72" s="16">
        <v>0</v>
      </c>
      <c r="ED72" s="16">
        <v>0</v>
      </c>
      <c r="EE72" s="16">
        <v>0</v>
      </c>
      <c r="EF72" s="16">
        <v>0</v>
      </c>
      <c r="EG72" s="16">
        <v>0</v>
      </c>
      <c r="EH72" s="16">
        <v>0</v>
      </c>
      <c r="EI72" s="16">
        <v>0</v>
      </c>
      <c r="EJ72" s="16">
        <v>0</v>
      </c>
      <c r="EK72" s="16">
        <v>0</v>
      </c>
      <c r="EL72" s="16">
        <v>0</v>
      </c>
      <c r="EM72" s="16">
        <v>0</v>
      </c>
      <c r="EN72" s="16">
        <v>0</v>
      </c>
      <c r="EO72" s="16">
        <v>0</v>
      </c>
      <c r="EP72" s="16">
        <v>0</v>
      </c>
      <c r="EQ72" s="16">
        <v>0</v>
      </c>
      <c r="ER72" s="16">
        <v>0</v>
      </c>
      <c r="ES72" s="16">
        <v>0</v>
      </c>
      <c r="ET72" s="16">
        <v>0</v>
      </c>
      <c r="EU72" s="16">
        <v>0</v>
      </c>
      <c r="EV72" s="16">
        <v>0</v>
      </c>
      <c r="EW72" s="16">
        <v>0</v>
      </c>
      <c r="EX72" s="16">
        <v>0</v>
      </c>
      <c r="EY72" s="16">
        <v>0</v>
      </c>
      <c r="EZ72" s="16">
        <v>0</v>
      </c>
      <c r="FA72" s="16">
        <v>0</v>
      </c>
      <c r="FB72" s="16">
        <v>0</v>
      </c>
      <c r="FC72" s="16">
        <v>0</v>
      </c>
      <c r="FD72" s="16">
        <v>0</v>
      </c>
      <c r="FE72" s="16">
        <v>0</v>
      </c>
      <c r="FF72" s="16">
        <v>0</v>
      </c>
      <c r="FG72" s="16">
        <v>0</v>
      </c>
      <c r="FH72" s="16">
        <v>0</v>
      </c>
      <c r="FI72" s="16">
        <v>0</v>
      </c>
      <c r="FJ72" s="16">
        <v>0</v>
      </c>
      <c r="FK72" s="16">
        <v>0</v>
      </c>
      <c r="FL72" s="16">
        <v>0</v>
      </c>
      <c r="FM72" s="16">
        <v>0</v>
      </c>
      <c r="FN72" s="16">
        <v>0</v>
      </c>
      <c r="FO72" s="16">
        <v>0</v>
      </c>
      <c r="FP72" s="16">
        <v>0</v>
      </c>
      <c r="FQ72" s="16">
        <v>0</v>
      </c>
      <c r="FR72" s="16">
        <v>0</v>
      </c>
      <c r="FS72" s="16">
        <v>0</v>
      </c>
      <c r="FT72" s="16">
        <v>0</v>
      </c>
      <c r="FU72" s="16">
        <v>0</v>
      </c>
      <c r="FV72" s="16">
        <v>0</v>
      </c>
      <c r="FW72" s="16">
        <v>0</v>
      </c>
      <c r="FX72" s="16">
        <v>0</v>
      </c>
      <c r="FY72" s="16">
        <v>0</v>
      </c>
      <c r="FZ72" s="16">
        <v>0</v>
      </c>
      <c r="GA72" s="16">
        <v>0</v>
      </c>
      <c r="GB72" s="16">
        <v>0</v>
      </c>
      <c r="GC72" s="16">
        <v>0</v>
      </c>
      <c r="GD72" s="16">
        <v>0</v>
      </c>
      <c r="GE72" s="16">
        <v>0</v>
      </c>
      <c r="GF72" s="16">
        <v>0</v>
      </c>
      <c r="GG72" s="16">
        <v>0</v>
      </c>
      <c r="GH72" s="16">
        <v>0</v>
      </c>
      <c r="GI72" s="16">
        <v>0</v>
      </c>
      <c r="GJ72" s="16">
        <v>0</v>
      </c>
      <c r="GK72" s="16">
        <v>0</v>
      </c>
      <c r="GL72" s="16">
        <v>0</v>
      </c>
      <c r="GM72" s="16">
        <v>0</v>
      </c>
      <c r="GN72" s="16">
        <v>0</v>
      </c>
      <c r="GO72" s="16">
        <v>0</v>
      </c>
      <c r="GP72" s="16">
        <v>0</v>
      </c>
      <c r="GQ72" s="16">
        <v>0</v>
      </c>
      <c r="GR72" s="16">
        <v>0</v>
      </c>
      <c r="GS72" s="16">
        <v>0</v>
      </c>
      <c r="GT72" s="16">
        <v>0</v>
      </c>
      <c r="GU72" s="16">
        <v>0</v>
      </c>
      <c r="GV72" s="16">
        <v>0</v>
      </c>
      <c r="GW72" s="16">
        <v>0</v>
      </c>
      <c r="GX72" s="16">
        <v>0</v>
      </c>
      <c r="GY72" s="16">
        <v>0</v>
      </c>
      <c r="GZ72" s="16">
        <v>0</v>
      </c>
      <c r="HA72" s="16">
        <v>0</v>
      </c>
      <c r="HB72" s="16">
        <v>0</v>
      </c>
      <c r="HC72" s="16">
        <v>0</v>
      </c>
      <c r="HD72" s="16">
        <v>0</v>
      </c>
      <c r="HE72" s="16">
        <v>0</v>
      </c>
      <c r="HF72" s="16">
        <v>0</v>
      </c>
      <c r="HG72" s="16">
        <v>0</v>
      </c>
      <c r="HH72" s="16">
        <v>0</v>
      </c>
      <c r="HI72" s="16">
        <v>0</v>
      </c>
      <c r="HJ72" s="16">
        <v>0</v>
      </c>
      <c r="HK72" s="16">
        <v>0</v>
      </c>
      <c r="HL72" s="16">
        <v>0</v>
      </c>
      <c r="HM72" s="16">
        <v>0</v>
      </c>
      <c r="HN72" s="16">
        <v>0</v>
      </c>
      <c r="HO72" s="16">
        <v>0</v>
      </c>
      <c r="HP72" s="16">
        <v>0</v>
      </c>
      <c r="HQ72" s="16">
        <v>0</v>
      </c>
      <c r="HR72" s="16">
        <v>0</v>
      </c>
      <c r="HS72" s="16">
        <v>0</v>
      </c>
      <c r="HT72" s="16">
        <v>0</v>
      </c>
      <c r="HU72" s="16">
        <v>0</v>
      </c>
      <c r="HV72" s="16">
        <v>0</v>
      </c>
      <c r="HW72" s="16">
        <v>0</v>
      </c>
      <c r="HX72" s="16">
        <v>0</v>
      </c>
      <c r="HY72" s="16">
        <v>0</v>
      </c>
      <c r="HZ72" s="16">
        <v>0</v>
      </c>
      <c r="IA72" s="16">
        <v>0</v>
      </c>
      <c r="IB72" s="16">
        <v>0</v>
      </c>
      <c r="IC72" s="16">
        <v>0</v>
      </c>
      <c r="ID72" s="16">
        <v>0</v>
      </c>
      <c r="IE72" s="16">
        <v>0</v>
      </c>
      <c r="IF72" s="16">
        <v>0</v>
      </c>
      <c r="IG72" s="16">
        <v>0</v>
      </c>
      <c r="IH72" s="16">
        <v>0</v>
      </c>
      <c r="II72" s="16">
        <v>0</v>
      </c>
      <c r="IJ72" s="16">
        <v>0</v>
      </c>
      <c r="IK72" s="16">
        <v>0</v>
      </c>
      <c r="IL72" s="16">
        <v>0</v>
      </c>
      <c r="IM72" s="16">
        <v>0</v>
      </c>
      <c r="IN72" s="16">
        <v>0</v>
      </c>
      <c r="IO72" s="16">
        <v>0</v>
      </c>
      <c r="IP72" s="16">
        <v>0</v>
      </c>
      <c r="IQ72" s="16">
        <v>0</v>
      </c>
      <c r="IR72" s="16">
        <v>0</v>
      </c>
      <c r="IS72" s="16">
        <v>0</v>
      </c>
      <c r="IT72" s="16">
        <v>0</v>
      </c>
      <c r="IU72" s="16">
        <v>0</v>
      </c>
      <c r="IV72" s="16">
        <v>0</v>
      </c>
      <c r="IW72" s="16">
        <v>0</v>
      </c>
      <c r="IX72" s="16">
        <v>0</v>
      </c>
      <c r="IY72" s="16">
        <v>0</v>
      </c>
      <c r="IZ72" s="16">
        <v>0</v>
      </c>
      <c r="JA72" s="16">
        <v>0</v>
      </c>
      <c r="JB72" s="16">
        <v>0</v>
      </c>
      <c r="JC72" s="16">
        <v>0</v>
      </c>
      <c r="JD72" s="16">
        <v>0</v>
      </c>
      <c r="JE72" s="16">
        <v>0</v>
      </c>
      <c r="JF72" s="16">
        <v>0</v>
      </c>
      <c r="JG72" s="16">
        <v>226171</v>
      </c>
      <c r="JH72" s="16">
        <v>0</v>
      </c>
      <c r="JI72" s="16">
        <v>0</v>
      </c>
      <c r="JJ72" s="16">
        <v>0</v>
      </c>
      <c r="JK72" s="16">
        <v>0</v>
      </c>
      <c r="JL72" s="16">
        <v>0</v>
      </c>
      <c r="JM72" s="16">
        <v>0</v>
      </c>
      <c r="JN72" s="16">
        <v>0</v>
      </c>
      <c r="JO72" s="16">
        <v>0</v>
      </c>
      <c r="JP72" s="16">
        <v>0</v>
      </c>
      <c r="JQ72" s="16">
        <v>0</v>
      </c>
      <c r="JR72" s="16">
        <v>0</v>
      </c>
      <c r="JS72" s="16">
        <v>0</v>
      </c>
      <c r="JT72" s="16">
        <v>0</v>
      </c>
      <c r="JU72" s="16">
        <v>0</v>
      </c>
      <c r="JV72" s="16">
        <v>0</v>
      </c>
      <c r="JW72" s="16">
        <v>0</v>
      </c>
      <c r="JX72" s="16">
        <v>0</v>
      </c>
      <c r="JY72" s="16">
        <v>0</v>
      </c>
      <c r="JZ72" s="16">
        <v>0</v>
      </c>
      <c r="KA72" s="16">
        <v>0</v>
      </c>
      <c r="KB72" s="16">
        <v>0</v>
      </c>
      <c r="KC72" s="16">
        <v>0</v>
      </c>
      <c r="KD72" s="16">
        <v>0</v>
      </c>
      <c r="KE72" s="16">
        <v>0</v>
      </c>
      <c r="KF72" s="16">
        <v>0</v>
      </c>
      <c r="KG72" s="16">
        <v>0</v>
      </c>
      <c r="KH72" s="16">
        <v>0</v>
      </c>
      <c r="KI72" s="16">
        <v>0</v>
      </c>
      <c r="KJ72" s="16">
        <v>0</v>
      </c>
      <c r="KK72" s="16">
        <v>58872</v>
      </c>
      <c r="KL72" s="16">
        <v>0</v>
      </c>
      <c r="KM72" s="16">
        <v>0</v>
      </c>
      <c r="KN72" s="16">
        <v>0</v>
      </c>
      <c r="KO72" s="16">
        <v>0</v>
      </c>
      <c r="KP72" s="16">
        <v>0</v>
      </c>
      <c r="KQ72" s="16">
        <v>0</v>
      </c>
      <c r="KR72" s="16">
        <v>0</v>
      </c>
      <c r="KS72" s="16">
        <v>0</v>
      </c>
      <c r="KT72" s="16">
        <v>0</v>
      </c>
      <c r="KU72" s="16">
        <v>0</v>
      </c>
      <c r="KV72" s="16">
        <v>0</v>
      </c>
      <c r="KW72" s="16">
        <v>0</v>
      </c>
      <c r="KX72" s="16">
        <v>0</v>
      </c>
      <c r="KY72" s="16">
        <v>0</v>
      </c>
      <c r="KZ72" s="16">
        <v>0</v>
      </c>
      <c r="LA72" s="16">
        <v>0</v>
      </c>
      <c r="LB72" s="16">
        <v>0</v>
      </c>
      <c r="LC72" s="16">
        <v>0</v>
      </c>
      <c r="LD72" s="16">
        <v>0</v>
      </c>
      <c r="LE72" s="16">
        <v>0</v>
      </c>
      <c r="LF72" s="16">
        <v>0</v>
      </c>
      <c r="LG72" s="16">
        <v>0</v>
      </c>
      <c r="LH72" s="16">
        <v>0</v>
      </c>
      <c r="LI72" s="16">
        <v>0</v>
      </c>
      <c r="LJ72" s="16">
        <v>0</v>
      </c>
      <c r="LK72" s="16">
        <v>0</v>
      </c>
      <c r="LL72" s="16">
        <v>0</v>
      </c>
      <c r="LM72" s="16">
        <v>0</v>
      </c>
      <c r="LN72" s="16">
        <v>0</v>
      </c>
      <c r="LO72" s="16">
        <v>0</v>
      </c>
      <c r="LP72" s="16">
        <v>0</v>
      </c>
      <c r="LQ72" s="16">
        <v>0</v>
      </c>
      <c r="LR72" s="16">
        <v>0</v>
      </c>
      <c r="LS72" s="16">
        <v>0</v>
      </c>
      <c r="LT72" s="16">
        <v>0</v>
      </c>
      <c r="LU72" s="16">
        <v>0</v>
      </c>
      <c r="LV72" s="16">
        <v>0</v>
      </c>
      <c r="LW72" s="16">
        <v>0</v>
      </c>
      <c r="LX72" s="16">
        <v>0</v>
      </c>
      <c r="LY72" s="16">
        <v>0</v>
      </c>
      <c r="LZ72" s="16">
        <v>0</v>
      </c>
      <c r="MA72" s="16">
        <v>0</v>
      </c>
      <c r="MB72" s="16">
        <v>0</v>
      </c>
      <c r="MC72" s="16">
        <v>0</v>
      </c>
      <c r="MD72" s="16">
        <v>0</v>
      </c>
      <c r="ME72" s="16">
        <v>0</v>
      </c>
      <c r="MF72" s="16">
        <v>7745</v>
      </c>
      <c r="MG72" s="16">
        <v>0</v>
      </c>
      <c r="MH72" s="16">
        <v>0</v>
      </c>
      <c r="MI72" s="16">
        <v>0</v>
      </c>
      <c r="MJ72" s="16">
        <v>0</v>
      </c>
      <c r="MK72" s="16">
        <v>0</v>
      </c>
      <c r="ML72" s="16">
        <v>0</v>
      </c>
      <c r="MM72" s="16">
        <v>0</v>
      </c>
      <c r="MN72" s="16">
        <v>0</v>
      </c>
      <c r="MO72" s="16">
        <v>0</v>
      </c>
      <c r="MP72" s="16">
        <v>0</v>
      </c>
      <c r="MQ72" s="16">
        <v>0</v>
      </c>
      <c r="MR72" s="16">
        <v>19633</v>
      </c>
      <c r="MS72" s="16">
        <v>0</v>
      </c>
      <c r="MT72" s="16">
        <v>0</v>
      </c>
      <c r="MU72" s="16">
        <v>0</v>
      </c>
      <c r="MV72" s="16">
        <v>0</v>
      </c>
      <c r="MW72" s="16">
        <v>0</v>
      </c>
      <c r="MX72" s="16">
        <v>0</v>
      </c>
      <c r="MY72" s="16">
        <v>0</v>
      </c>
      <c r="MZ72" s="16">
        <v>0</v>
      </c>
      <c r="NA72" s="16">
        <v>0</v>
      </c>
      <c r="NB72" s="16">
        <v>32679</v>
      </c>
      <c r="NC72" s="16">
        <v>0</v>
      </c>
      <c r="ND72" s="16">
        <v>12318</v>
      </c>
      <c r="NE72" s="16">
        <v>0</v>
      </c>
      <c r="NF72" s="16">
        <v>0</v>
      </c>
      <c r="NG72" s="16">
        <v>20369</v>
      </c>
      <c r="NH72" s="16">
        <v>147</v>
      </c>
      <c r="NI72" s="16">
        <v>0</v>
      </c>
      <c r="NJ72" s="16">
        <v>0</v>
      </c>
      <c r="NK72" s="16">
        <v>0</v>
      </c>
      <c r="NL72" s="16">
        <v>0</v>
      </c>
      <c r="NM72" s="16">
        <v>0</v>
      </c>
      <c r="NN72" s="16">
        <v>0</v>
      </c>
      <c r="NO72" s="16">
        <v>0</v>
      </c>
      <c r="NP72" s="16">
        <v>0</v>
      </c>
      <c r="NQ72" s="16">
        <v>2287</v>
      </c>
      <c r="NR72" s="17">
        <v>1731704</v>
      </c>
    </row>
    <row r="73" spans="1:382" ht="13.5" customHeight="1" x14ac:dyDescent="0.2">
      <c r="A73" s="2" t="s">
        <v>153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36671</v>
      </c>
      <c r="BT73" s="16">
        <v>0</v>
      </c>
      <c r="BU73" s="16">
        <v>5374</v>
      </c>
      <c r="BV73" s="16">
        <v>210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0</v>
      </c>
      <c r="CO73" s="16">
        <v>0</v>
      </c>
      <c r="CP73" s="16">
        <v>0</v>
      </c>
      <c r="CQ73" s="16">
        <v>0</v>
      </c>
      <c r="CR73" s="16">
        <v>0</v>
      </c>
      <c r="CS73" s="16">
        <v>0</v>
      </c>
      <c r="CT73" s="16">
        <v>0</v>
      </c>
      <c r="CU73" s="16">
        <v>0</v>
      </c>
      <c r="CV73" s="16">
        <v>0</v>
      </c>
      <c r="CW73" s="16">
        <v>0</v>
      </c>
      <c r="CX73" s="16">
        <v>0</v>
      </c>
      <c r="CY73" s="16">
        <v>0</v>
      </c>
      <c r="CZ73" s="16">
        <v>0</v>
      </c>
      <c r="DA73" s="16">
        <v>0</v>
      </c>
      <c r="DB73" s="16">
        <v>0</v>
      </c>
      <c r="DC73" s="16">
        <v>0</v>
      </c>
      <c r="DD73" s="16">
        <v>0</v>
      </c>
      <c r="DE73" s="16">
        <v>0</v>
      </c>
      <c r="DF73" s="16">
        <v>0</v>
      </c>
      <c r="DG73" s="16">
        <v>0</v>
      </c>
      <c r="DH73" s="16">
        <v>0</v>
      </c>
      <c r="DI73" s="16">
        <v>0</v>
      </c>
      <c r="DJ73" s="16">
        <v>0</v>
      </c>
      <c r="DK73" s="16">
        <v>0</v>
      </c>
      <c r="DL73" s="16">
        <v>0</v>
      </c>
      <c r="DM73" s="16">
        <v>0</v>
      </c>
      <c r="DN73" s="16">
        <v>0</v>
      </c>
      <c r="DO73" s="16">
        <v>0</v>
      </c>
      <c r="DP73" s="16">
        <v>0</v>
      </c>
      <c r="DQ73" s="16">
        <v>0</v>
      </c>
      <c r="DR73" s="16">
        <v>0</v>
      </c>
      <c r="DS73" s="16">
        <v>0</v>
      </c>
      <c r="DT73" s="16">
        <v>0</v>
      </c>
      <c r="DU73" s="16">
        <v>0</v>
      </c>
      <c r="DV73" s="16">
        <v>0</v>
      </c>
      <c r="DW73" s="16">
        <v>0</v>
      </c>
      <c r="DX73" s="16">
        <v>0</v>
      </c>
      <c r="DY73" s="16">
        <v>0</v>
      </c>
      <c r="DZ73" s="16">
        <v>0</v>
      </c>
      <c r="EA73" s="16">
        <v>0</v>
      </c>
      <c r="EB73" s="16">
        <v>0</v>
      </c>
      <c r="EC73" s="16">
        <v>0</v>
      </c>
      <c r="ED73" s="16">
        <v>0</v>
      </c>
      <c r="EE73" s="16">
        <v>0</v>
      </c>
      <c r="EF73" s="16">
        <v>0</v>
      </c>
      <c r="EG73" s="16">
        <v>0</v>
      </c>
      <c r="EH73" s="16">
        <v>0</v>
      </c>
      <c r="EI73" s="16">
        <v>0</v>
      </c>
      <c r="EJ73" s="16">
        <v>0</v>
      </c>
      <c r="EK73" s="16">
        <v>0</v>
      </c>
      <c r="EL73" s="16">
        <v>0</v>
      </c>
      <c r="EM73" s="16">
        <v>0</v>
      </c>
      <c r="EN73" s="16">
        <v>0</v>
      </c>
      <c r="EO73" s="16">
        <v>0</v>
      </c>
      <c r="EP73" s="16">
        <v>0</v>
      </c>
      <c r="EQ73" s="16">
        <v>0</v>
      </c>
      <c r="ER73" s="16">
        <v>0</v>
      </c>
      <c r="ES73" s="16">
        <v>0</v>
      </c>
      <c r="ET73" s="16">
        <v>0</v>
      </c>
      <c r="EU73" s="16">
        <v>0</v>
      </c>
      <c r="EV73" s="16">
        <v>0</v>
      </c>
      <c r="EW73" s="16">
        <v>0</v>
      </c>
      <c r="EX73" s="16">
        <v>0</v>
      </c>
      <c r="EY73" s="16">
        <v>0</v>
      </c>
      <c r="EZ73" s="16">
        <v>0</v>
      </c>
      <c r="FA73" s="16">
        <v>0</v>
      </c>
      <c r="FB73" s="16">
        <v>0</v>
      </c>
      <c r="FC73" s="16">
        <v>0</v>
      </c>
      <c r="FD73" s="16">
        <v>0</v>
      </c>
      <c r="FE73" s="16">
        <v>0</v>
      </c>
      <c r="FF73" s="16">
        <v>0</v>
      </c>
      <c r="FG73" s="16">
        <v>0</v>
      </c>
      <c r="FH73" s="16">
        <v>0</v>
      </c>
      <c r="FI73" s="16">
        <v>0</v>
      </c>
      <c r="FJ73" s="16">
        <v>0</v>
      </c>
      <c r="FK73" s="16">
        <v>0</v>
      </c>
      <c r="FL73" s="16">
        <v>0</v>
      </c>
      <c r="FM73" s="16">
        <v>0</v>
      </c>
      <c r="FN73" s="16">
        <v>0</v>
      </c>
      <c r="FO73" s="16">
        <v>0</v>
      </c>
      <c r="FP73" s="16">
        <v>0</v>
      </c>
      <c r="FQ73" s="16">
        <v>0</v>
      </c>
      <c r="FR73" s="16">
        <v>0</v>
      </c>
      <c r="FS73" s="16">
        <v>0</v>
      </c>
      <c r="FT73" s="16">
        <v>0</v>
      </c>
      <c r="FU73" s="16">
        <v>0</v>
      </c>
      <c r="FV73" s="16">
        <v>0</v>
      </c>
      <c r="FW73" s="16">
        <v>0</v>
      </c>
      <c r="FX73" s="16">
        <v>0</v>
      </c>
      <c r="FY73" s="16">
        <v>0</v>
      </c>
      <c r="FZ73" s="16">
        <v>0</v>
      </c>
      <c r="GA73" s="16">
        <v>0</v>
      </c>
      <c r="GB73" s="16">
        <v>0</v>
      </c>
      <c r="GC73" s="16">
        <v>0</v>
      </c>
      <c r="GD73" s="16">
        <v>0</v>
      </c>
      <c r="GE73" s="16">
        <v>0</v>
      </c>
      <c r="GF73" s="16">
        <v>0</v>
      </c>
      <c r="GG73" s="16">
        <v>0</v>
      </c>
      <c r="GH73" s="16">
        <v>0</v>
      </c>
      <c r="GI73" s="16">
        <v>0</v>
      </c>
      <c r="GJ73" s="16">
        <v>0</v>
      </c>
      <c r="GK73" s="16">
        <v>0</v>
      </c>
      <c r="GL73" s="16">
        <v>0</v>
      </c>
      <c r="GM73" s="16">
        <v>0</v>
      </c>
      <c r="GN73" s="16">
        <v>0</v>
      </c>
      <c r="GO73" s="16">
        <v>0</v>
      </c>
      <c r="GP73" s="16">
        <v>0</v>
      </c>
      <c r="GQ73" s="16">
        <v>0</v>
      </c>
      <c r="GR73" s="16">
        <v>0</v>
      </c>
      <c r="GS73" s="16">
        <v>0</v>
      </c>
      <c r="GT73" s="16">
        <v>0</v>
      </c>
      <c r="GU73" s="16">
        <v>0</v>
      </c>
      <c r="GV73" s="16">
        <v>0</v>
      </c>
      <c r="GW73" s="16">
        <v>0</v>
      </c>
      <c r="GX73" s="16">
        <v>0</v>
      </c>
      <c r="GY73" s="16">
        <v>0</v>
      </c>
      <c r="GZ73" s="16">
        <v>0</v>
      </c>
      <c r="HA73" s="16">
        <v>0</v>
      </c>
      <c r="HB73" s="16">
        <v>0</v>
      </c>
      <c r="HC73" s="16">
        <v>0</v>
      </c>
      <c r="HD73" s="16">
        <v>0</v>
      </c>
      <c r="HE73" s="16">
        <v>0</v>
      </c>
      <c r="HF73" s="16">
        <v>0</v>
      </c>
      <c r="HG73" s="16">
        <v>0</v>
      </c>
      <c r="HH73" s="16">
        <v>0</v>
      </c>
      <c r="HI73" s="16">
        <v>0</v>
      </c>
      <c r="HJ73" s="16">
        <v>0</v>
      </c>
      <c r="HK73" s="16">
        <v>0</v>
      </c>
      <c r="HL73" s="16">
        <v>0</v>
      </c>
      <c r="HM73" s="16">
        <v>0</v>
      </c>
      <c r="HN73" s="16">
        <v>0</v>
      </c>
      <c r="HO73" s="16">
        <v>0</v>
      </c>
      <c r="HP73" s="16">
        <v>0</v>
      </c>
      <c r="HQ73" s="16">
        <v>0</v>
      </c>
      <c r="HR73" s="16">
        <v>0</v>
      </c>
      <c r="HS73" s="16">
        <v>0</v>
      </c>
      <c r="HT73" s="16">
        <v>0</v>
      </c>
      <c r="HU73" s="16">
        <v>0</v>
      </c>
      <c r="HV73" s="16">
        <v>0</v>
      </c>
      <c r="HW73" s="16">
        <v>0</v>
      </c>
      <c r="HX73" s="16">
        <v>0</v>
      </c>
      <c r="HY73" s="16">
        <v>0</v>
      </c>
      <c r="HZ73" s="16">
        <v>0</v>
      </c>
      <c r="IA73" s="16">
        <v>0</v>
      </c>
      <c r="IB73" s="16">
        <v>0</v>
      </c>
      <c r="IC73" s="16">
        <v>0</v>
      </c>
      <c r="ID73" s="16">
        <v>0</v>
      </c>
      <c r="IE73" s="16">
        <v>0</v>
      </c>
      <c r="IF73" s="16">
        <v>0</v>
      </c>
      <c r="IG73" s="16">
        <v>0</v>
      </c>
      <c r="IH73" s="16">
        <v>0</v>
      </c>
      <c r="II73" s="16">
        <v>0</v>
      </c>
      <c r="IJ73" s="16">
        <v>0</v>
      </c>
      <c r="IK73" s="16">
        <v>0</v>
      </c>
      <c r="IL73" s="16">
        <v>0</v>
      </c>
      <c r="IM73" s="16">
        <v>0</v>
      </c>
      <c r="IN73" s="16">
        <v>0</v>
      </c>
      <c r="IO73" s="16">
        <v>0</v>
      </c>
      <c r="IP73" s="16">
        <v>0</v>
      </c>
      <c r="IQ73" s="16">
        <v>0</v>
      </c>
      <c r="IR73" s="16">
        <v>0</v>
      </c>
      <c r="IS73" s="16">
        <v>0</v>
      </c>
      <c r="IT73" s="16">
        <v>0</v>
      </c>
      <c r="IU73" s="16">
        <v>0</v>
      </c>
      <c r="IV73" s="16">
        <v>0</v>
      </c>
      <c r="IW73" s="16">
        <v>0</v>
      </c>
      <c r="IX73" s="16">
        <v>0</v>
      </c>
      <c r="IY73" s="16">
        <v>0</v>
      </c>
      <c r="IZ73" s="16">
        <v>0</v>
      </c>
      <c r="JA73" s="16">
        <v>0</v>
      </c>
      <c r="JB73" s="16">
        <v>0</v>
      </c>
      <c r="JC73" s="16">
        <v>0</v>
      </c>
      <c r="JD73" s="16">
        <v>0</v>
      </c>
      <c r="JE73" s="16">
        <v>0</v>
      </c>
      <c r="JF73" s="16">
        <v>0</v>
      </c>
      <c r="JG73" s="16">
        <v>19606</v>
      </c>
      <c r="JH73" s="16">
        <v>0</v>
      </c>
      <c r="JI73" s="16">
        <v>0</v>
      </c>
      <c r="JJ73" s="16">
        <v>0</v>
      </c>
      <c r="JK73" s="16">
        <v>0</v>
      </c>
      <c r="JL73" s="16">
        <v>0</v>
      </c>
      <c r="JM73" s="16">
        <v>0</v>
      </c>
      <c r="JN73" s="16">
        <v>0</v>
      </c>
      <c r="JO73" s="16">
        <v>0</v>
      </c>
      <c r="JP73" s="16">
        <v>0</v>
      </c>
      <c r="JQ73" s="16">
        <v>0</v>
      </c>
      <c r="JR73" s="16">
        <v>0</v>
      </c>
      <c r="JS73" s="16">
        <v>0</v>
      </c>
      <c r="JT73" s="16">
        <v>0</v>
      </c>
      <c r="JU73" s="16">
        <v>0</v>
      </c>
      <c r="JV73" s="16">
        <v>735</v>
      </c>
      <c r="JW73" s="16">
        <v>0</v>
      </c>
      <c r="JX73" s="16">
        <v>0</v>
      </c>
      <c r="JY73" s="16">
        <v>0</v>
      </c>
      <c r="JZ73" s="16">
        <v>0</v>
      </c>
      <c r="KA73" s="16">
        <v>0</v>
      </c>
      <c r="KB73" s="16">
        <v>0</v>
      </c>
      <c r="KC73" s="16">
        <v>0</v>
      </c>
      <c r="KD73" s="16">
        <v>0</v>
      </c>
      <c r="KE73" s="16">
        <v>0</v>
      </c>
      <c r="KF73" s="16">
        <v>0</v>
      </c>
      <c r="KG73" s="16">
        <v>0</v>
      </c>
      <c r="KH73" s="16">
        <v>0</v>
      </c>
      <c r="KI73" s="16">
        <v>0</v>
      </c>
      <c r="KJ73" s="16">
        <v>0</v>
      </c>
      <c r="KK73" s="16">
        <v>9601</v>
      </c>
      <c r="KL73" s="16">
        <v>0</v>
      </c>
      <c r="KM73" s="16">
        <v>0</v>
      </c>
      <c r="KN73" s="16">
        <v>0</v>
      </c>
      <c r="KO73" s="16">
        <v>0</v>
      </c>
      <c r="KP73" s="16">
        <v>0</v>
      </c>
      <c r="KQ73" s="16">
        <v>0</v>
      </c>
      <c r="KR73" s="16">
        <v>0</v>
      </c>
      <c r="KS73" s="16">
        <v>0</v>
      </c>
      <c r="KT73" s="16">
        <v>0</v>
      </c>
      <c r="KU73" s="16">
        <v>0</v>
      </c>
      <c r="KV73" s="16">
        <v>0</v>
      </c>
      <c r="KW73" s="16">
        <v>0</v>
      </c>
      <c r="KX73" s="16">
        <v>0</v>
      </c>
      <c r="KY73" s="16">
        <v>0</v>
      </c>
      <c r="KZ73" s="16">
        <v>0</v>
      </c>
      <c r="LA73" s="16">
        <v>0</v>
      </c>
      <c r="LB73" s="16">
        <v>0</v>
      </c>
      <c r="LC73" s="16">
        <v>0</v>
      </c>
      <c r="LD73" s="16">
        <v>0</v>
      </c>
      <c r="LE73" s="16">
        <v>0</v>
      </c>
      <c r="LF73" s="16">
        <v>0</v>
      </c>
      <c r="LG73" s="16">
        <v>0</v>
      </c>
      <c r="LH73" s="16">
        <v>0</v>
      </c>
      <c r="LI73" s="16">
        <v>59</v>
      </c>
      <c r="LJ73" s="16">
        <v>269</v>
      </c>
      <c r="LK73" s="16">
        <v>0</v>
      </c>
      <c r="LL73" s="16">
        <v>0</v>
      </c>
      <c r="LM73" s="16">
        <v>0</v>
      </c>
      <c r="LN73" s="16">
        <v>0</v>
      </c>
      <c r="LO73" s="16">
        <v>0</v>
      </c>
      <c r="LP73" s="16">
        <v>46407</v>
      </c>
      <c r="LQ73" s="16">
        <v>0</v>
      </c>
      <c r="LR73" s="16">
        <v>0</v>
      </c>
      <c r="LS73" s="16">
        <v>0</v>
      </c>
      <c r="LT73" s="16">
        <v>0</v>
      </c>
      <c r="LU73" s="16">
        <v>0</v>
      </c>
      <c r="LV73" s="16">
        <v>0</v>
      </c>
      <c r="LW73" s="16">
        <v>0</v>
      </c>
      <c r="LX73" s="16">
        <v>0</v>
      </c>
      <c r="LY73" s="16">
        <v>0</v>
      </c>
      <c r="LZ73" s="16">
        <v>0</v>
      </c>
      <c r="MA73" s="16">
        <v>0</v>
      </c>
      <c r="MB73" s="16">
        <v>0</v>
      </c>
      <c r="MC73" s="16">
        <v>0</v>
      </c>
      <c r="MD73" s="16">
        <v>0</v>
      </c>
      <c r="ME73" s="16">
        <v>0</v>
      </c>
      <c r="MF73" s="16">
        <v>0</v>
      </c>
      <c r="MG73" s="16">
        <v>0</v>
      </c>
      <c r="MH73" s="16">
        <v>0</v>
      </c>
      <c r="MI73" s="16">
        <v>0</v>
      </c>
      <c r="MJ73" s="16">
        <v>0</v>
      </c>
      <c r="MK73" s="16">
        <v>0</v>
      </c>
      <c r="ML73" s="16">
        <v>0</v>
      </c>
      <c r="MM73" s="16">
        <v>0</v>
      </c>
      <c r="MN73" s="16">
        <v>0</v>
      </c>
      <c r="MO73" s="16">
        <v>0</v>
      </c>
      <c r="MP73" s="16">
        <v>0</v>
      </c>
      <c r="MQ73" s="16">
        <v>0</v>
      </c>
      <c r="MR73" s="16">
        <v>3546</v>
      </c>
      <c r="MS73" s="16">
        <v>0</v>
      </c>
      <c r="MT73" s="16">
        <v>0</v>
      </c>
      <c r="MU73" s="16">
        <v>0</v>
      </c>
      <c r="MV73" s="16">
        <v>0</v>
      </c>
      <c r="MW73" s="16">
        <v>0</v>
      </c>
      <c r="MX73" s="16">
        <v>0</v>
      </c>
      <c r="MY73" s="16">
        <v>0</v>
      </c>
      <c r="MZ73" s="16">
        <v>0</v>
      </c>
      <c r="NA73" s="16">
        <v>0</v>
      </c>
      <c r="NB73" s="16">
        <v>0</v>
      </c>
      <c r="NC73" s="16">
        <v>0</v>
      </c>
      <c r="ND73" s="16">
        <v>55592</v>
      </c>
      <c r="NE73" s="16">
        <v>0</v>
      </c>
      <c r="NF73" s="16">
        <v>0</v>
      </c>
      <c r="NG73" s="16">
        <v>0</v>
      </c>
      <c r="NH73" s="16">
        <v>0</v>
      </c>
      <c r="NI73" s="16">
        <v>0</v>
      </c>
      <c r="NJ73" s="16">
        <v>0</v>
      </c>
      <c r="NK73" s="16">
        <v>0</v>
      </c>
      <c r="NL73" s="16">
        <v>0</v>
      </c>
      <c r="NM73" s="16">
        <v>0</v>
      </c>
      <c r="NN73" s="16">
        <v>0</v>
      </c>
      <c r="NO73" s="16">
        <v>0</v>
      </c>
      <c r="NP73" s="16">
        <v>0</v>
      </c>
      <c r="NQ73" s="16">
        <v>58</v>
      </c>
      <c r="NR73" s="17">
        <v>178128</v>
      </c>
    </row>
    <row r="74" spans="1:382" ht="13.5" customHeight="1" x14ac:dyDescent="0.2">
      <c r="A74" s="2" t="s">
        <v>155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12374</v>
      </c>
      <c r="BV74" s="16">
        <v>10554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0</v>
      </c>
      <c r="CI74" s="16">
        <v>0</v>
      </c>
      <c r="CJ74" s="16">
        <v>0</v>
      </c>
      <c r="CK74" s="16">
        <v>0</v>
      </c>
      <c r="CL74" s="16">
        <v>0</v>
      </c>
      <c r="CM74" s="16">
        <v>0</v>
      </c>
      <c r="CN74" s="16">
        <v>0</v>
      </c>
      <c r="CO74" s="16">
        <v>0</v>
      </c>
      <c r="CP74" s="16">
        <v>0</v>
      </c>
      <c r="CQ74" s="16">
        <v>0</v>
      </c>
      <c r="CR74" s="16">
        <v>0</v>
      </c>
      <c r="CS74" s="16">
        <v>0</v>
      </c>
      <c r="CT74" s="16">
        <v>0</v>
      </c>
      <c r="CU74" s="16">
        <v>0</v>
      </c>
      <c r="CV74" s="16">
        <v>0</v>
      </c>
      <c r="CW74" s="16">
        <v>0</v>
      </c>
      <c r="CX74" s="16">
        <v>0</v>
      </c>
      <c r="CY74" s="16">
        <v>0</v>
      </c>
      <c r="CZ74" s="16">
        <v>0</v>
      </c>
      <c r="DA74" s="16">
        <v>0</v>
      </c>
      <c r="DB74" s="16">
        <v>0</v>
      </c>
      <c r="DC74" s="16">
        <v>0</v>
      </c>
      <c r="DD74" s="16">
        <v>0</v>
      </c>
      <c r="DE74" s="16">
        <v>0</v>
      </c>
      <c r="DF74" s="16">
        <v>0</v>
      </c>
      <c r="DG74" s="16">
        <v>0</v>
      </c>
      <c r="DH74" s="16">
        <v>0</v>
      </c>
      <c r="DI74" s="16">
        <v>0</v>
      </c>
      <c r="DJ74" s="16">
        <v>0</v>
      </c>
      <c r="DK74" s="16">
        <v>0</v>
      </c>
      <c r="DL74" s="16">
        <v>0</v>
      </c>
      <c r="DM74" s="16">
        <v>0</v>
      </c>
      <c r="DN74" s="16">
        <v>0</v>
      </c>
      <c r="DO74" s="16">
        <v>0</v>
      </c>
      <c r="DP74" s="16">
        <v>0</v>
      </c>
      <c r="DQ74" s="16">
        <v>0</v>
      </c>
      <c r="DR74" s="16">
        <v>0</v>
      </c>
      <c r="DS74" s="16">
        <v>0</v>
      </c>
      <c r="DT74" s="16">
        <v>0</v>
      </c>
      <c r="DU74" s="16">
        <v>0</v>
      </c>
      <c r="DV74" s="16">
        <v>0</v>
      </c>
      <c r="DW74" s="16">
        <v>0</v>
      </c>
      <c r="DX74" s="16">
        <v>0</v>
      </c>
      <c r="DY74" s="16">
        <v>0</v>
      </c>
      <c r="DZ74" s="16">
        <v>0</v>
      </c>
      <c r="EA74" s="16">
        <v>0</v>
      </c>
      <c r="EB74" s="16">
        <v>0</v>
      </c>
      <c r="EC74" s="16">
        <v>0</v>
      </c>
      <c r="ED74" s="16">
        <v>0</v>
      </c>
      <c r="EE74" s="16">
        <v>0</v>
      </c>
      <c r="EF74" s="16">
        <v>0</v>
      </c>
      <c r="EG74" s="16">
        <v>0</v>
      </c>
      <c r="EH74" s="16">
        <v>0</v>
      </c>
      <c r="EI74" s="16">
        <v>0</v>
      </c>
      <c r="EJ74" s="16">
        <v>0</v>
      </c>
      <c r="EK74" s="16">
        <v>0</v>
      </c>
      <c r="EL74" s="16">
        <v>0</v>
      </c>
      <c r="EM74" s="16">
        <v>0</v>
      </c>
      <c r="EN74" s="16">
        <v>0</v>
      </c>
      <c r="EO74" s="16">
        <v>0</v>
      </c>
      <c r="EP74" s="16">
        <v>0</v>
      </c>
      <c r="EQ74" s="16">
        <v>0</v>
      </c>
      <c r="ER74" s="16">
        <v>0</v>
      </c>
      <c r="ES74" s="16">
        <v>0</v>
      </c>
      <c r="ET74" s="16">
        <v>0</v>
      </c>
      <c r="EU74" s="16">
        <v>0</v>
      </c>
      <c r="EV74" s="16">
        <v>0</v>
      </c>
      <c r="EW74" s="16">
        <v>0</v>
      </c>
      <c r="EX74" s="16">
        <v>0</v>
      </c>
      <c r="EY74" s="16">
        <v>0</v>
      </c>
      <c r="EZ74" s="16">
        <v>0</v>
      </c>
      <c r="FA74" s="16">
        <v>0</v>
      </c>
      <c r="FB74" s="16">
        <v>0</v>
      </c>
      <c r="FC74" s="16">
        <v>0</v>
      </c>
      <c r="FD74" s="16">
        <v>0</v>
      </c>
      <c r="FE74" s="16">
        <v>0</v>
      </c>
      <c r="FF74" s="16">
        <v>0</v>
      </c>
      <c r="FG74" s="16">
        <v>0</v>
      </c>
      <c r="FH74" s="16">
        <v>0</v>
      </c>
      <c r="FI74" s="16">
        <v>0</v>
      </c>
      <c r="FJ74" s="16">
        <v>0</v>
      </c>
      <c r="FK74" s="16">
        <v>0</v>
      </c>
      <c r="FL74" s="16">
        <v>0</v>
      </c>
      <c r="FM74" s="16">
        <v>0</v>
      </c>
      <c r="FN74" s="16">
        <v>0</v>
      </c>
      <c r="FO74" s="16">
        <v>0</v>
      </c>
      <c r="FP74" s="16">
        <v>0</v>
      </c>
      <c r="FQ74" s="16">
        <v>0</v>
      </c>
      <c r="FR74" s="16">
        <v>0</v>
      </c>
      <c r="FS74" s="16">
        <v>0</v>
      </c>
      <c r="FT74" s="16">
        <v>0</v>
      </c>
      <c r="FU74" s="16">
        <v>0</v>
      </c>
      <c r="FV74" s="16">
        <v>0</v>
      </c>
      <c r="FW74" s="16">
        <v>0</v>
      </c>
      <c r="FX74" s="16">
        <v>0</v>
      </c>
      <c r="FY74" s="16">
        <v>0</v>
      </c>
      <c r="FZ74" s="16">
        <v>0</v>
      </c>
      <c r="GA74" s="16">
        <v>0</v>
      </c>
      <c r="GB74" s="16">
        <v>0</v>
      </c>
      <c r="GC74" s="16">
        <v>0</v>
      </c>
      <c r="GD74" s="16">
        <v>0</v>
      </c>
      <c r="GE74" s="16">
        <v>0</v>
      </c>
      <c r="GF74" s="16">
        <v>0</v>
      </c>
      <c r="GG74" s="16">
        <v>0</v>
      </c>
      <c r="GH74" s="16">
        <v>0</v>
      </c>
      <c r="GI74" s="16">
        <v>0</v>
      </c>
      <c r="GJ74" s="16">
        <v>0</v>
      </c>
      <c r="GK74" s="16">
        <v>0</v>
      </c>
      <c r="GL74" s="16">
        <v>0</v>
      </c>
      <c r="GM74" s="16">
        <v>0</v>
      </c>
      <c r="GN74" s="16">
        <v>0</v>
      </c>
      <c r="GO74" s="16">
        <v>0</v>
      </c>
      <c r="GP74" s="16">
        <v>0</v>
      </c>
      <c r="GQ74" s="16">
        <v>0</v>
      </c>
      <c r="GR74" s="16">
        <v>0</v>
      </c>
      <c r="GS74" s="16">
        <v>0</v>
      </c>
      <c r="GT74" s="16">
        <v>0</v>
      </c>
      <c r="GU74" s="16">
        <v>0</v>
      </c>
      <c r="GV74" s="16">
        <v>0</v>
      </c>
      <c r="GW74" s="16">
        <v>0</v>
      </c>
      <c r="GX74" s="16">
        <v>0</v>
      </c>
      <c r="GY74" s="16">
        <v>0</v>
      </c>
      <c r="GZ74" s="16">
        <v>0</v>
      </c>
      <c r="HA74" s="16">
        <v>0</v>
      </c>
      <c r="HB74" s="16">
        <v>0</v>
      </c>
      <c r="HC74" s="16">
        <v>0</v>
      </c>
      <c r="HD74" s="16">
        <v>0</v>
      </c>
      <c r="HE74" s="16">
        <v>0</v>
      </c>
      <c r="HF74" s="16">
        <v>0</v>
      </c>
      <c r="HG74" s="16">
        <v>0</v>
      </c>
      <c r="HH74" s="16">
        <v>0</v>
      </c>
      <c r="HI74" s="16">
        <v>0</v>
      </c>
      <c r="HJ74" s="16">
        <v>0</v>
      </c>
      <c r="HK74" s="16">
        <v>0</v>
      </c>
      <c r="HL74" s="16">
        <v>0</v>
      </c>
      <c r="HM74" s="16">
        <v>0</v>
      </c>
      <c r="HN74" s="16">
        <v>0</v>
      </c>
      <c r="HO74" s="16">
        <v>0</v>
      </c>
      <c r="HP74" s="16">
        <v>0</v>
      </c>
      <c r="HQ74" s="16">
        <v>0</v>
      </c>
      <c r="HR74" s="16">
        <v>0</v>
      </c>
      <c r="HS74" s="16">
        <v>0</v>
      </c>
      <c r="HT74" s="16">
        <v>0</v>
      </c>
      <c r="HU74" s="16">
        <v>0</v>
      </c>
      <c r="HV74" s="16">
        <v>0</v>
      </c>
      <c r="HW74" s="16">
        <v>0</v>
      </c>
      <c r="HX74" s="16">
        <v>0</v>
      </c>
      <c r="HY74" s="16">
        <v>0</v>
      </c>
      <c r="HZ74" s="16">
        <v>0</v>
      </c>
      <c r="IA74" s="16">
        <v>0</v>
      </c>
      <c r="IB74" s="16">
        <v>0</v>
      </c>
      <c r="IC74" s="16">
        <v>0</v>
      </c>
      <c r="ID74" s="16">
        <v>0</v>
      </c>
      <c r="IE74" s="16">
        <v>0</v>
      </c>
      <c r="IF74" s="16">
        <v>0</v>
      </c>
      <c r="IG74" s="16">
        <v>0</v>
      </c>
      <c r="IH74" s="16">
        <v>0</v>
      </c>
      <c r="II74" s="16">
        <v>0</v>
      </c>
      <c r="IJ74" s="16">
        <v>0</v>
      </c>
      <c r="IK74" s="16">
        <v>0</v>
      </c>
      <c r="IL74" s="16">
        <v>0</v>
      </c>
      <c r="IM74" s="16">
        <v>0</v>
      </c>
      <c r="IN74" s="16">
        <v>0</v>
      </c>
      <c r="IO74" s="16">
        <v>0</v>
      </c>
      <c r="IP74" s="16">
        <v>0</v>
      </c>
      <c r="IQ74" s="16">
        <v>0</v>
      </c>
      <c r="IR74" s="16">
        <v>0</v>
      </c>
      <c r="IS74" s="16">
        <v>0</v>
      </c>
      <c r="IT74" s="16">
        <v>0</v>
      </c>
      <c r="IU74" s="16">
        <v>0</v>
      </c>
      <c r="IV74" s="16">
        <v>0</v>
      </c>
      <c r="IW74" s="16">
        <v>0</v>
      </c>
      <c r="IX74" s="16">
        <v>0</v>
      </c>
      <c r="IY74" s="16">
        <v>0</v>
      </c>
      <c r="IZ74" s="16">
        <v>0</v>
      </c>
      <c r="JA74" s="16">
        <v>0</v>
      </c>
      <c r="JB74" s="16">
        <v>0</v>
      </c>
      <c r="JC74" s="16">
        <v>0</v>
      </c>
      <c r="JD74" s="16">
        <v>0</v>
      </c>
      <c r="JE74" s="16">
        <v>0</v>
      </c>
      <c r="JF74" s="16">
        <v>0</v>
      </c>
      <c r="JG74" s="16">
        <v>2897</v>
      </c>
      <c r="JH74" s="16">
        <v>0</v>
      </c>
      <c r="JI74" s="16">
        <v>0</v>
      </c>
      <c r="JJ74" s="16">
        <v>0</v>
      </c>
      <c r="JK74" s="16">
        <v>0</v>
      </c>
      <c r="JL74" s="16">
        <v>0</v>
      </c>
      <c r="JM74" s="16">
        <v>0</v>
      </c>
      <c r="JN74" s="16">
        <v>0</v>
      </c>
      <c r="JO74" s="16">
        <v>0</v>
      </c>
      <c r="JP74" s="16">
        <v>0</v>
      </c>
      <c r="JQ74" s="16">
        <v>0</v>
      </c>
      <c r="JR74" s="16">
        <v>0</v>
      </c>
      <c r="JS74" s="16">
        <v>0</v>
      </c>
      <c r="JT74" s="16">
        <v>0</v>
      </c>
      <c r="JU74" s="16">
        <v>0</v>
      </c>
      <c r="JV74" s="16">
        <v>0</v>
      </c>
      <c r="JW74" s="16">
        <v>0</v>
      </c>
      <c r="JX74" s="16">
        <v>0</v>
      </c>
      <c r="JY74" s="16">
        <v>0</v>
      </c>
      <c r="JZ74" s="16">
        <v>0</v>
      </c>
      <c r="KA74" s="16">
        <v>0</v>
      </c>
      <c r="KB74" s="16">
        <v>0</v>
      </c>
      <c r="KC74" s="16">
        <v>0</v>
      </c>
      <c r="KD74" s="16">
        <v>0</v>
      </c>
      <c r="KE74" s="16">
        <v>0</v>
      </c>
      <c r="KF74" s="16">
        <v>0</v>
      </c>
      <c r="KG74" s="16">
        <v>0</v>
      </c>
      <c r="KH74" s="16">
        <v>0</v>
      </c>
      <c r="KI74" s="16">
        <v>0</v>
      </c>
      <c r="KJ74" s="16">
        <v>0</v>
      </c>
      <c r="KK74" s="16">
        <v>0</v>
      </c>
      <c r="KL74" s="16">
        <v>0</v>
      </c>
      <c r="KM74" s="16">
        <v>0</v>
      </c>
      <c r="KN74" s="16">
        <v>0</v>
      </c>
      <c r="KO74" s="16">
        <v>0</v>
      </c>
      <c r="KP74" s="16">
        <v>0</v>
      </c>
      <c r="KQ74" s="16">
        <v>0</v>
      </c>
      <c r="KR74" s="16">
        <v>0</v>
      </c>
      <c r="KS74" s="16">
        <v>0</v>
      </c>
      <c r="KT74" s="16">
        <v>0</v>
      </c>
      <c r="KU74" s="16">
        <v>0</v>
      </c>
      <c r="KV74" s="16">
        <v>0</v>
      </c>
      <c r="KW74" s="16">
        <v>0</v>
      </c>
      <c r="KX74" s="16">
        <v>0</v>
      </c>
      <c r="KY74" s="16">
        <v>0</v>
      </c>
      <c r="KZ74" s="16">
        <v>0</v>
      </c>
      <c r="LA74" s="16">
        <v>0</v>
      </c>
      <c r="LB74" s="16">
        <v>0</v>
      </c>
      <c r="LC74" s="16">
        <v>0</v>
      </c>
      <c r="LD74" s="16">
        <v>0</v>
      </c>
      <c r="LE74" s="16">
        <v>0</v>
      </c>
      <c r="LF74" s="16">
        <v>0</v>
      </c>
      <c r="LG74" s="16">
        <v>0</v>
      </c>
      <c r="LH74" s="16">
        <v>0</v>
      </c>
      <c r="LI74" s="16">
        <v>1087</v>
      </c>
      <c r="LJ74" s="16">
        <v>18</v>
      </c>
      <c r="LK74" s="16">
        <v>0</v>
      </c>
      <c r="LL74" s="16">
        <v>0</v>
      </c>
      <c r="LM74" s="16">
        <v>0</v>
      </c>
      <c r="LN74" s="16">
        <v>0</v>
      </c>
      <c r="LO74" s="16">
        <v>0</v>
      </c>
      <c r="LP74" s="16">
        <v>0</v>
      </c>
      <c r="LQ74" s="16">
        <v>0</v>
      </c>
      <c r="LR74" s="16">
        <v>0</v>
      </c>
      <c r="LS74" s="16">
        <v>0</v>
      </c>
      <c r="LT74" s="16">
        <v>0</v>
      </c>
      <c r="LU74" s="16">
        <v>0</v>
      </c>
      <c r="LV74" s="16">
        <v>0</v>
      </c>
      <c r="LW74" s="16">
        <v>0</v>
      </c>
      <c r="LX74" s="16">
        <v>0</v>
      </c>
      <c r="LY74" s="16">
        <v>0</v>
      </c>
      <c r="LZ74" s="16">
        <v>0</v>
      </c>
      <c r="MA74" s="16">
        <v>0</v>
      </c>
      <c r="MB74" s="16">
        <v>0</v>
      </c>
      <c r="MC74" s="16">
        <v>0</v>
      </c>
      <c r="MD74" s="16">
        <v>0</v>
      </c>
      <c r="ME74" s="16">
        <v>0</v>
      </c>
      <c r="MF74" s="16">
        <v>0</v>
      </c>
      <c r="MG74" s="16">
        <v>0</v>
      </c>
      <c r="MH74" s="16">
        <v>0</v>
      </c>
      <c r="MI74" s="16">
        <v>0</v>
      </c>
      <c r="MJ74" s="16">
        <v>0</v>
      </c>
      <c r="MK74" s="16">
        <v>0</v>
      </c>
      <c r="ML74" s="16">
        <v>0</v>
      </c>
      <c r="MM74" s="16">
        <v>0</v>
      </c>
      <c r="MN74" s="16">
        <v>0</v>
      </c>
      <c r="MO74" s="16">
        <v>0</v>
      </c>
      <c r="MP74" s="16">
        <v>0</v>
      </c>
      <c r="MQ74" s="16">
        <v>0</v>
      </c>
      <c r="MR74" s="16">
        <v>0</v>
      </c>
      <c r="MS74" s="16">
        <v>0</v>
      </c>
      <c r="MT74" s="16">
        <v>0</v>
      </c>
      <c r="MU74" s="16">
        <v>0</v>
      </c>
      <c r="MV74" s="16">
        <v>0</v>
      </c>
      <c r="MW74" s="16">
        <v>0</v>
      </c>
      <c r="MX74" s="16">
        <v>0</v>
      </c>
      <c r="MY74" s="16">
        <v>0</v>
      </c>
      <c r="MZ74" s="16">
        <v>0</v>
      </c>
      <c r="NA74" s="16">
        <v>0</v>
      </c>
      <c r="NB74" s="16">
        <v>0</v>
      </c>
      <c r="NC74" s="16">
        <v>0</v>
      </c>
      <c r="ND74" s="16">
        <v>0</v>
      </c>
      <c r="NE74" s="16">
        <v>0</v>
      </c>
      <c r="NF74" s="16">
        <v>0</v>
      </c>
      <c r="NG74" s="16">
        <v>0</v>
      </c>
      <c r="NH74" s="16">
        <v>0</v>
      </c>
      <c r="NI74" s="16">
        <v>0</v>
      </c>
      <c r="NJ74" s="16">
        <v>0</v>
      </c>
      <c r="NK74" s="16">
        <v>0</v>
      </c>
      <c r="NL74" s="16">
        <v>0</v>
      </c>
      <c r="NM74" s="16">
        <v>0</v>
      </c>
      <c r="NN74" s="16">
        <v>0</v>
      </c>
      <c r="NO74" s="16">
        <v>0</v>
      </c>
      <c r="NP74" s="16">
        <v>50</v>
      </c>
      <c r="NQ74" s="16">
        <v>4440</v>
      </c>
      <c r="NR74" s="17">
        <v>31420</v>
      </c>
    </row>
    <row r="75" spans="1:382" ht="13.5" customHeight="1" x14ac:dyDescent="0.2">
      <c r="A75" s="2" t="s">
        <v>157</v>
      </c>
      <c r="B75" s="16">
        <v>780</v>
      </c>
      <c r="C75" s="16">
        <v>30</v>
      </c>
      <c r="D75" s="16">
        <v>3</v>
      </c>
      <c r="E75" s="16">
        <v>27</v>
      </c>
      <c r="F75" s="16">
        <v>4</v>
      </c>
      <c r="G75" s="16">
        <v>8</v>
      </c>
      <c r="H75" s="16">
        <v>3</v>
      </c>
      <c r="I75" s="16">
        <v>417</v>
      </c>
      <c r="J75" s="16">
        <v>4</v>
      </c>
      <c r="K75" s="16">
        <v>0</v>
      </c>
      <c r="L75" s="16">
        <v>0</v>
      </c>
      <c r="M75" s="16">
        <v>27</v>
      </c>
      <c r="N75" s="16">
        <v>0</v>
      </c>
      <c r="O75" s="16">
        <v>0</v>
      </c>
      <c r="P75" s="16">
        <v>156</v>
      </c>
      <c r="Q75" s="16">
        <v>2537</v>
      </c>
      <c r="R75" s="16">
        <v>1543</v>
      </c>
      <c r="S75" s="16">
        <v>18</v>
      </c>
      <c r="T75" s="16">
        <v>6</v>
      </c>
      <c r="U75" s="16">
        <v>0</v>
      </c>
      <c r="V75" s="16">
        <v>24</v>
      </c>
      <c r="W75" s="16">
        <v>0</v>
      </c>
      <c r="X75" s="16">
        <v>15</v>
      </c>
      <c r="Y75" s="16">
        <v>898</v>
      </c>
      <c r="Z75" s="16">
        <v>0</v>
      </c>
      <c r="AA75" s="16">
        <v>15</v>
      </c>
      <c r="AB75" s="16">
        <v>0</v>
      </c>
      <c r="AC75" s="16">
        <v>0</v>
      </c>
      <c r="AD75" s="16">
        <v>0</v>
      </c>
      <c r="AE75" s="16">
        <v>9</v>
      </c>
      <c r="AF75" s="16">
        <v>0</v>
      </c>
      <c r="AG75" s="16">
        <v>95</v>
      </c>
      <c r="AH75" s="16">
        <v>61</v>
      </c>
      <c r="AI75" s="16">
        <v>152</v>
      </c>
      <c r="AJ75" s="16">
        <v>3339</v>
      </c>
      <c r="AK75" s="16">
        <v>1123</v>
      </c>
      <c r="AL75" s="16">
        <v>56</v>
      </c>
      <c r="AM75" s="16">
        <v>1481</v>
      </c>
      <c r="AN75" s="16">
        <v>572</v>
      </c>
      <c r="AO75" s="16">
        <v>4398</v>
      </c>
      <c r="AP75" s="16">
        <v>0</v>
      </c>
      <c r="AQ75" s="16">
        <v>0</v>
      </c>
      <c r="AR75" s="16">
        <v>0</v>
      </c>
      <c r="AS75" s="16">
        <v>269</v>
      </c>
      <c r="AT75" s="16">
        <v>68</v>
      </c>
      <c r="AU75" s="16">
        <v>124</v>
      </c>
      <c r="AV75" s="16">
        <v>271</v>
      </c>
      <c r="AW75" s="16">
        <v>956</v>
      </c>
      <c r="AX75" s="16">
        <v>122</v>
      </c>
      <c r="AY75" s="16">
        <v>79</v>
      </c>
      <c r="AZ75" s="16">
        <v>283</v>
      </c>
      <c r="BA75" s="16">
        <v>1510</v>
      </c>
      <c r="BB75" s="16">
        <v>153</v>
      </c>
      <c r="BC75" s="16">
        <v>1729</v>
      </c>
      <c r="BD75" s="16">
        <v>1</v>
      </c>
      <c r="BE75" s="16">
        <v>30</v>
      </c>
      <c r="BF75" s="16">
        <v>36</v>
      </c>
      <c r="BG75" s="16">
        <v>244</v>
      </c>
      <c r="BH75" s="16">
        <v>552</v>
      </c>
      <c r="BI75" s="16">
        <v>0</v>
      </c>
      <c r="BJ75" s="16">
        <v>4</v>
      </c>
      <c r="BK75" s="16">
        <v>17</v>
      </c>
      <c r="BL75" s="16">
        <v>1494</v>
      </c>
      <c r="BM75" s="16">
        <v>644</v>
      </c>
      <c r="BN75" s="16">
        <v>2205</v>
      </c>
      <c r="BO75" s="16">
        <v>66</v>
      </c>
      <c r="BP75" s="16">
        <v>1380</v>
      </c>
      <c r="BQ75" s="16">
        <v>200</v>
      </c>
      <c r="BR75" s="16">
        <v>117</v>
      </c>
      <c r="BS75" s="16">
        <v>417858</v>
      </c>
      <c r="BT75" s="16">
        <v>494</v>
      </c>
      <c r="BU75" s="16">
        <v>271</v>
      </c>
      <c r="BV75" s="16">
        <v>0</v>
      </c>
      <c r="BW75" s="16">
        <v>348757</v>
      </c>
      <c r="BX75" s="16">
        <v>5</v>
      </c>
      <c r="BY75" s="16">
        <v>6</v>
      </c>
      <c r="BZ75" s="16">
        <v>3391</v>
      </c>
      <c r="CA75" s="16">
        <v>984</v>
      </c>
      <c r="CB75" s="16">
        <v>12</v>
      </c>
      <c r="CC75" s="16">
        <v>4487</v>
      </c>
      <c r="CD75" s="16">
        <v>1007</v>
      </c>
      <c r="CE75" s="16">
        <v>727</v>
      </c>
      <c r="CF75" s="16">
        <v>102</v>
      </c>
      <c r="CG75" s="16">
        <v>220</v>
      </c>
      <c r="CH75" s="16">
        <v>138</v>
      </c>
      <c r="CI75" s="16">
        <v>15</v>
      </c>
      <c r="CJ75" s="16">
        <v>272</v>
      </c>
      <c r="CK75" s="16">
        <v>609</v>
      </c>
      <c r="CL75" s="16">
        <v>3122</v>
      </c>
      <c r="CM75" s="16">
        <v>379</v>
      </c>
      <c r="CN75" s="16">
        <v>351</v>
      </c>
      <c r="CO75" s="16">
        <v>1128</v>
      </c>
      <c r="CP75" s="16">
        <v>186</v>
      </c>
      <c r="CQ75" s="16">
        <v>6860</v>
      </c>
      <c r="CR75" s="16">
        <v>203</v>
      </c>
      <c r="CS75" s="16">
        <v>22</v>
      </c>
      <c r="CT75" s="16">
        <v>1700</v>
      </c>
      <c r="CU75" s="16">
        <v>3244</v>
      </c>
      <c r="CV75" s="16">
        <v>6512</v>
      </c>
      <c r="CW75" s="16">
        <v>7887</v>
      </c>
      <c r="CX75" s="16">
        <v>12835</v>
      </c>
      <c r="CY75" s="16">
        <v>1755</v>
      </c>
      <c r="CZ75" s="16">
        <v>175</v>
      </c>
      <c r="DA75" s="16">
        <v>4</v>
      </c>
      <c r="DB75" s="16">
        <v>3737</v>
      </c>
      <c r="DC75" s="16">
        <v>0</v>
      </c>
      <c r="DD75" s="16">
        <v>5</v>
      </c>
      <c r="DE75" s="16">
        <v>237</v>
      </c>
      <c r="DF75" s="16">
        <v>1367</v>
      </c>
      <c r="DG75" s="16">
        <v>36</v>
      </c>
      <c r="DH75" s="16">
        <v>112</v>
      </c>
      <c r="DI75" s="16">
        <v>806</v>
      </c>
      <c r="DJ75" s="16">
        <v>3115</v>
      </c>
      <c r="DK75" s="16">
        <v>10</v>
      </c>
      <c r="DL75" s="16">
        <v>291</v>
      </c>
      <c r="DM75" s="16">
        <v>640</v>
      </c>
      <c r="DN75" s="16">
        <v>84</v>
      </c>
      <c r="DO75" s="16">
        <v>146</v>
      </c>
      <c r="DP75" s="16">
        <v>912</v>
      </c>
      <c r="DQ75" s="16">
        <v>523</v>
      </c>
      <c r="DR75" s="16">
        <v>1052</v>
      </c>
      <c r="DS75" s="16">
        <v>2894</v>
      </c>
      <c r="DT75" s="16">
        <v>518</v>
      </c>
      <c r="DU75" s="16">
        <v>1321</v>
      </c>
      <c r="DV75" s="16">
        <v>305</v>
      </c>
      <c r="DW75" s="16">
        <v>7998</v>
      </c>
      <c r="DX75" s="16">
        <v>2478</v>
      </c>
      <c r="DY75" s="16">
        <v>2049</v>
      </c>
      <c r="DZ75" s="16">
        <v>8609</v>
      </c>
      <c r="EA75" s="16">
        <v>29568</v>
      </c>
      <c r="EB75" s="16">
        <v>10</v>
      </c>
      <c r="EC75" s="16">
        <v>657</v>
      </c>
      <c r="ED75" s="16">
        <v>345</v>
      </c>
      <c r="EE75" s="16">
        <v>23</v>
      </c>
      <c r="EF75" s="16">
        <v>64</v>
      </c>
      <c r="EG75" s="16">
        <v>2754</v>
      </c>
      <c r="EH75" s="16">
        <v>365</v>
      </c>
      <c r="EI75" s="16">
        <v>16</v>
      </c>
      <c r="EJ75" s="16">
        <v>1044</v>
      </c>
      <c r="EK75" s="16">
        <v>95</v>
      </c>
      <c r="EL75" s="16">
        <v>19</v>
      </c>
      <c r="EM75" s="16">
        <v>23</v>
      </c>
      <c r="EN75" s="16">
        <v>2682</v>
      </c>
      <c r="EO75" s="16">
        <v>58</v>
      </c>
      <c r="EP75" s="16">
        <v>86</v>
      </c>
      <c r="EQ75" s="16">
        <v>1233</v>
      </c>
      <c r="ER75" s="16">
        <v>1699</v>
      </c>
      <c r="ES75" s="16">
        <v>1037</v>
      </c>
      <c r="ET75" s="16">
        <v>876</v>
      </c>
      <c r="EU75" s="16">
        <v>5</v>
      </c>
      <c r="EV75" s="16">
        <v>12</v>
      </c>
      <c r="EW75" s="16">
        <v>16</v>
      </c>
      <c r="EX75" s="16">
        <v>13521</v>
      </c>
      <c r="EY75" s="16">
        <v>149</v>
      </c>
      <c r="EZ75" s="16">
        <v>14</v>
      </c>
      <c r="FA75" s="16">
        <v>88</v>
      </c>
      <c r="FB75" s="16">
        <v>503</v>
      </c>
      <c r="FC75" s="16">
        <v>12</v>
      </c>
      <c r="FD75" s="16">
        <v>4302</v>
      </c>
      <c r="FE75" s="16">
        <v>390</v>
      </c>
      <c r="FF75" s="16">
        <v>659</v>
      </c>
      <c r="FG75" s="16">
        <v>3303</v>
      </c>
      <c r="FH75" s="16">
        <v>0</v>
      </c>
      <c r="FI75" s="16">
        <v>209</v>
      </c>
      <c r="FJ75" s="16">
        <v>16</v>
      </c>
      <c r="FK75" s="16">
        <v>0</v>
      </c>
      <c r="FL75" s="16">
        <v>1</v>
      </c>
      <c r="FM75" s="16">
        <v>334</v>
      </c>
      <c r="FN75" s="16">
        <v>9990</v>
      </c>
      <c r="FO75" s="16">
        <v>0</v>
      </c>
      <c r="FP75" s="16">
        <v>2171</v>
      </c>
      <c r="FQ75" s="16">
        <v>6876</v>
      </c>
      <c r="FR75" s="16">
        <v>1353</v>
      </c>
      <c r="FS75" s="16">
        <v>3242</v>
      </c>
      <c r="FT75" s="16">
        <v>853</v>
      </c>
      <c r="FU75" s="16">
        <v>4769</v>
      </c>
      <c r="FV75" s="16">
        <v>8809</v>
      </c>
      <c r="FW75" s="16">
        <v>14782</v>
      </c>
      <c r="FX75" s="16">
        <v>17254</v>
      </c>
      <c r="FY75" s="16">
        <v>1221</v>
      </c>
      <c r="FZ75" s="16">
        <v>7435</v>
      </c>
      <c r="GA75" s="16">
        <v>512</v>
      </c>
      <c r="GB75" s="16">
        <v>14185</v>
      </c>
      <c r="GC75" s="16">
        <v>4076</v>
      </c>
      <c r="GD75" s="16">
        <v>3283</v>
      </c>
      <c r="GE75" s="16">
        <v>67</v>
      </c>
      <c r="GF75" s="16">
        <v>136</v>
      </c>
      <c r="GG75" s="16">
        <v>1</v>
      </c>
      <c r="GH75" s="16">
        <v>55</v>
      </c>
      <c r="GI75" s="16">
        <v>475</v>
      </c>
      <c r="GJ75" s="16">
        <v>2877</v>
      </c>
      <c r="GK75" s="16">
        <v>226</v>
      </c>
      <c r="GL75" s="16">
        <v>5</v>
      </c>
      <c r="GM75" s="16">
        <v>10</v>
      </c>
      <c r="GN75" s="16">
        <v>35</v>
      </c>
      <c r="GO75" s="16">
        <v>613</v>
      </c>
      <c r="GP75" s="16">
        <v>9</v>
      </c>
      <c r="GQ75" s="16">
        <v>1087</v>
      </c>
      <c r="GR75" s="16">
        <v>105</v>
      </c>
      <c r="GS75" s="16">
        <v>28</v>
      </c>
      <c r="GT75" s="16">
        <v>15</v>
      </c>
      <c r="GU75" s="16">
        <v>1122</v>
      </c>
      <c r="GV75" s="16">
        <v>291</v>
      </c>
      <c r="GW75" s="16">
        <v>584</v>
      </c>
      <c r="GX75" s="16">
        <v>79</v>
      </c>
      <c r="GY75" s="16">
        <v>1</v>
      </c>
      <c r="GZ75" s="16">
        <v>3903</v>
      </c>
      <c r="HA75" s="16">
        <v>906</v>
      </c>
      <c r="HB75" s="16">
        <v>3792</v>
      </c>
      <c r="HC75" s="16">
        <v>2721</v>
      </c>
      <c r="HD75" s="16">
        <v>4915</v>
      </c>
      <c r="HE75" s="16">
        <v>255</v>
      </c>
      <c r="HF75" s="16">
        <v>1898</v>
      </c>
      <c r="HG75" s="16">
        <v>190</v>
      </c>
      <c r="HH75" s="16">
        <v>151</v>
      </c>
      <c r="HI75" s="16">
        <v>770</v>
      </c>
      <c r="HJ75" s="16">
        <v>176</v>
      </c>
      <c r="HK75" s="16">
        <v>291</v>
      </c>
      <c r="HL75" s="16">
        <v>4533</v>
      </c>
      <c r="HM75" s="16">
        <v>1203</v>
      </c>
      <c r="HN75" s="16">
        <v>79</v>
      </c>
      <c r="HO75" s="16">
        <v>1019</v>
      </c>
      <c r="HP75" s="16">
        <v>557</v>
      </c>
      <c r="HQ75" s="16">
        <v>5710</v>
      </c>
      <c r="HR75" s="16">
        <v>2988</v>
      </c>
      <c r="HS75" s="16">
        <v>3997</v>
      </c>
      <c r="HT75" s="16">
        <v>139</v>
      </c>
      <c r="HU75" s="16">
        <v>3014</v>
      </c>
      <c r="HV75" s="16">
        <v>567</v>
      </c>
      <c r="HW75" s="16">
        <v>307</v>
      </c>
      <c r="HX75" s="16">
        <v>1117</v>
      </c>
      <c r="HY75" s="16">
        <v>6122</v>
      </c>
      <c r="HZ75" s="16">
        <v>570</v>
      </c>
      <c r="IA75" s="16">
        <v>360</v>
      </c>
      <c r="IB75" s="16">
        <v>82</v>
      </c>
      <c r="IC75" s="16">
        <v>88</v>
      </c>
      <c r="ID75" s="16">
        <v>193</v>
      </c>
      <c r="IE75" s="16">
        <v>127</v>
      </c>
      <c r="IF75" s="16">
        <v>212</v>
      </c>
      <c r="IG75" s="16">
        <v>1548</v>
      </c>
      <c r="IH75" s="16">
        <v>15396</v>
      </c>
      <c r="II75" s="16">
        <v>1894</v>
      </c>
      <c r="IJ75" s="16">
        <v>22</v>
      </c>
      <c r="IK75" s="16">
        <v>113</v>
      </c>
      <c r="IL75" s="16">
        <v>2</v>
      </c>
      <c r="IM75" s="16">
        <v>23</v>
      </c>
      <c r="IN75" s="16">
        <v>1072</v>
      </c>
      <c r="IO75" s="16">
        <v>2957</v>
      </c>
      <c r="IP75" s="16">
        <v>1233</v>
      </c>
      <c r="IQ75" s="16">
        <v>2711</v>
      </c>
      <c r="IR75" s="16">
        <v>583</v>
      </c>
      <c r="IS75" s="16">
        <v>896</v>
      </c>
      <c r="IT75" s="16">
        <v>35</v>
      </c>
      <c r="IU75" s="16">
        <v>2</v>
      </c>
      <c r="IV75" s="16">
        <v>2206</v>
      </c>
      <c r="IW75" s="16">
        <v>4339</v>
      </c>
      <c r="IX75" s="16">
        <v>4827</v>
      </c>
      <c r="IY75" s="16">
        <v>177</v>
      </c>
      <c r="IZ75" s="16">
        <v>77</v>
      </c>
      <c r="JA75" s="16">
        <v>10149</v>
      </c>
      <c r="JB75" s="16">
        <v>7</v>
      </c>
      <c r="JC75" s="16">
        <v>11</v>
      </c>
      <c r="JD75" s="16">
        <v>22</v>
      </c>
      <c r="JE75" s="16">
        <v>970</v>
      </c>
      <c r="JF75" s="16">
        <v>787</v>
      </c>
      <c r="JG75" s="16">
        <v>468507</v>
      </c>
      <c r="JH75" s="16">
        <v>2582</v>
      </c>
      <c r="JI75" s="16">
        <v>3</v>
      </c>
      <c r="JJ75" s="16">
        <v>1542</v>
      </c>
      <c r="JK75" s="16">
        <v>170</v>
      </c>
      <c r="JL75" s="16">
        <v>12</v>
      </c>
      <c r="JM75" s="16">
        <v>1</v>
      </c>
      <c r="JN75" s="16">
        <v>14</v>
      </c>
      <c r="JO75" s="16">
        <v>0</v>
      </c>
      <c r="JP75" s="16">
        <v>0</v>
      </c>
      <c r="JQ75" s="16">
        <v>5</v>
      </c>
      <c r="JR75" s="16">
        <v>8467</v>
      </c>
      <c r="JS75" s="16">
        <v>7698</v>
      </c>
      <c r="JT75" s="16">
        <v>0</v>
      </c>
      <c r="JU75" s="16">
        <v>34603</v>
      </c>
      <c r="JV75" s="16">
        <v>18</v>
      </c>
      <c r="JW75" s="16">
        <v>3211</v>
      </c>
      <c r="JX75" s="16">
        <v>5317</v>
      </c>
      <c r="JY75" s="16">
        <v>1393</v>
      </c>
      <c r="JZ75" s="16">
        <v>175</v>
      </c>
      <c r="KA75" s="16">
        <v>726</v>
      </c>
      <c r="KB75" s="16">
        <v>48</v>
      </c>
      <c r="KC75" s="16">
        <v>26</v>
      </c>
      <c r="KD75" s="16">
        <v>15</v>
      </c>
      <c r="KE75" s="16">
        <v>46</v>
      </c>
      <c r="KF75" s="16">
        <v>1377</v>
      </c>
      <c r="KG75" s="16">
        <v>452</v>
      </c>
      <c r="KH75" s="16">
        <v>181</v>
      </c>
      <c r="KI75" s="16">
        <v>295</v>
      </c>
      <c r="KJ75" s="16">
        <v>243</v>
      </c>
      <c r="KK75" s="16">
        <v>20427</v>
      </c>
      <c r="KL75" s="16">
        <v>6</v>
      </c>
      <c r="KM75" s="16">
        <v>2037</v>
      </c>
      <c r="KN75" s="16">
        <v>548</v>
      </c>
      <c r="KO75" s="16">
        <v>25540</v>
      </c>
      <c r="KP75" s="16">
        <v>43</v>
      </c>
      <c r="KQ75" s="16">
        <v>10</v>
      </c>
      <c r="KR75" s="16">
        <v>17</v>
      </c>
      <c r="KS75" s="16">
        <v>253</v>
      </c>
      <c r="KT75" s="16">
        <v>618</v>
      </c>
      <c r="KU75" s="16">
        <v>10745</v>
      </c>
      <c r="KV75" s="16">
        <v>150866</v>
      </c>
      <c r="KW75" s="16">
        <v>16870</v>
      </c>
      <c r="KX75" s="16">
        <v>100</v>
      </c>
      <c r="KY75" s="16">
        <v>23372</v>
      </c>
      <c r="KZ75" s="16">
        <v>89749</v>
      </c>
      <c r="LA75" s="16">
        <v>27045</v>
      </c>
      <c r="LB75" s="16">
        <v>1450</v>
      </c>
      <c r="LC75" s="16">
        <v>27549</v>
      </c>
      <c r="LD75" s="16">
        <v>3537</v>
      </c>
      <c r="LE75" s="16">
        <v>2062</v>
      </c>
      <c r="LF75" s="16">
        <v>636</v>
      </c>
      <c r="LG75" s="16">
        <v>76</v>
      </c>
      <c r="LH75" s="16">
        <v>662</v>
      </c>
      <c r="LI75" s="16">
        <v>13</v>
      </c>
      <c r="LJ75" s="16">
        <v>435</v>
      </c>
      <c r="LK75" s="16">
        <v>0</v>
      </c>
      <c r="LL75" s="16">
        <v>0</v>
      </c>
      <c r="LM75" s="16">
        <v>0</v>
      </c>
      <c r="LN75" s="16">
        <v>0</v>
      </c>
      <c r="LO75" s="16">
        <v>90</v>
      </c>
      <c r="LP75" s="16">
        <v>19946</v>
      </c>
      <c r="LQ75" s="16">
        <v>3482</v>
      </c>
      <c r="LR75" s="16">
        <v>0</v>
      </c>
      <c r="LS75" s="16">
        <v>0</v>
      </c>
      <c r="LT75" s="16">
        <v>0</v>
      </c>
      <c r="LU75" s="16">
        <v>0</v>
      </c>
      <c r="LV75" s="16">
        <v>0</v>
      </c>
      <c r="LW75" s="16">
        <v>0</v>
      </c>
      <c r="LX75" s="16">
        <v>0</v>
      </c>
      <c r="LY75" s="16">
        <v>0</v>
      </c>
      <c r="LZ75" s="16">
        <v>241</v>
      </c>
      <c r="MA75" s="16">
        <v>509</v>
      </c>
      <c r="MB75" s="16">
        <v>7016</v>
      </c>
      <c r="MC75" s="16">
        <v>14</v>
      </c>
      <c r="MD75" s="16">
        <v>12</v>
      </c>
      <c r="ME75" s="16">
        <v>0</v>
      </c>
      <c r="MF75" s="16">
        <v>8876</v>
      </c>
      <c r="MG75" s="16">
        <v>0</v>
      </c>
      <c r="MH75" s="16">
        <v>948</v>
      </c>
      <c r="MI75" s="16">
        <v>2</v>
      </c>
      <c r="MJ75" s="16">
        <v>0</v>
      </c>
      <c r="MK75" s="16">
        <v>5414</v>
      </c>
      <c r="ML75" s="16">
        <v>964</v>
      </c>
      <c r="MM75" s="16">
        <v>10562</v>
      </c>
      <c r="MN75" s="16">
        <v>4393</v>
      </c>
      <c r="MO75" s="16">
        <v>4405</v>
      </c>
      <c r="MP75" s="16">
        <v>14043</v>
      </c>
      <c r="MQ75" s="16">
        <v>26888</v>
      </c>
      <c r="MR75" s="16">
        <v>63230</v>
      </c>
      <c r="MS75" s="16">
        <v>4585</v>
      </c>
      <c r="MT75" s="16">
        <v>151</v>
      </c>
      <c r="MU75" s="16">
        <v>14006</v>
      </c>
      <c r="MV75" s="16">
        <v>0</v>
      </c>
      <c r="MW75" s="16">
        <v>0</v>
      </c>
      <c r="MX75" s="16">
        <v>712</v>
      </c>
      <c r="MY75" s="16">
        <v>2027</v>
      </c>
      <c r="MZ75" s="16">
        <v>19862</v>
      </c>
      <c r="NA75" s="16">
        <v>959</v>
      </c>
      <c r="NB75" s="16">
        <v>130006</v>
      </c>
      <c r="NC75" s="16">
        <v>6592</v>
      </c>
      <c r="ND75" s="16">
        <v>26811</v>
      </c>
      <c r="NE75" s="16">
        <v>28</v>
      </c>
      <c r="NF75" s="16">
        <v>4529</v>
      </c>
      <c r="NG75" s="16">
        <v>2863</v>
      </c>
      <c r="NH75" s="16">
        <v>786</v>
      </c>
      <c r="NI75" s="16">
        <v>0</v>
      </c>
      <c r="NJ75" s="16">
        <v>0</v>
      </c>
      <c r="NK75" s="16">
        <v>2113</v>
      </c>
      <c r="NL75" s="16">
        <v>4140</v>
      </c>
      <c r="NM75" s="16">
        <v>4600</v>
      </c>
      <c r="NN75" s="16">
        <v>0</v>
      </c>
      <c r="NO75" s="16">
        <v>0</v>
      </c>
      <c r="NP75" s="16">
        <v>45131</v>
      </c>
      <c r="NQ75" s="16">
        <v>663</v>
      </c>
      <c r="NR75" s="17">
        <v>2558541</v>
      </c>
    </row>
    <row r="76" spans="1:382" ht="13.5" customHeight="1" x14ac:dyDescent="0.2">
      <c r="A76" s="2" t="s">
        <v>159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11625</v>
      </c>
      <c r="BQ76" s="16">
        <v>0</v>
      </c>
      <c r="BR76" s="16">
        <v>17</v>
      </c>
      <c r="BS76" s="16">
        <v>88958</v>
      </c>
      <c r="BT76" s="16">
        <v>0</v>
      </c>
      <c r="BU76" s="16">
        <v>88323</v>
      </c>
      <c r="BV76" s="16">
        <v>135</v>
      </c>
      <c r="BW76" s="16">
        <v>69369</v>
      </c>
      <c r="BX76" s="16">
        <v>14251</v>
      </c>
      <c r="BY76" s="16">
        <v>0</v>
      </c>
      <c r="BZ76" s="16">
        <v>154829</v>
      </c>
      <c r="CA76" s="16">
        <v>256958</v>
      </c>
      <c r="CB76" s="16">
        <v>70678</v>
      </c>
      <c r="CC76" s="16">
        <v>0</v>
      </c>
      <c r="CD76" s="16">
        <v>0</v>
      </c>
      <c r="CE76" s="16">
        <v>0</v>
      </c>
      <c r="CF76" s="16">
        <v>0</v>
      </c>
      <c r="CG76" s="16">
        <v>74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361</v>
      </c>
      <c r="CO76" s="16">
        <v>0</v>
      </c>
      <c r="CP76" s="16">
        <v>29</v>
      </c>
      <c r="CQ76" s="16">
        <v>1220</v>
      </c>
      <c r="CR76" s="16">
        <v>0</v>
      </c>
      <c r="CS76" s="16">
        <v>0</v>
      </c>
      <c r="CT76" s="16">
        <v>0</v>
      </c>
      <c r="CU76" s="16">
        <v>0</v>
      </c>
      <c r="CV76" s="16">
        <v>0</v>
      </c>
      <c r="CW76" s="16">
        <v>0</v>
      </c>
      <c r="CX76" s="16">
        <v>0</v>
      </c>
      <c r="CY76" s="16">
        <v>0</v>
      </c>
      <c r="CZ76" s="16">
        <v>0</v>
      </c>
      <c r="DA76" s="16">
        <v>0</v>
      </c>
      <c r="DB76" s="16">
        <v>0</v>
      </c>
      <c r="DC76" s="16">
        <v>0</v>
      </c>
      <c r="DD76" s="16">
        <v>0</v>
      </c>
      <c r="DE76" s="16">
        <v>0</v>
      </c>
      <c r="DF76" s="16">
        <v>0</v>
      </c>
      <c r="DG76" s="16">
        <v>0</v>
      </c>
      <c r="DH76" s="16">
        <v>0</v>
      </c>
      <c r="DI76" s="16">
        <v>0</v>
      </c>
      <c r="DJ76" s="16">
        <v>0</v>
      </c>
      <c r="DK76" s="16">
        <v>0</v>
      </c>
      <c r="DL76" s="16">
        <v>0</v>
      </c>
      <c r="DM76" s="16">
        <v>0</v>
      </c>
      <c r="DN76" s="16">
        <v>0</v>
      </c>
      <c r="DO76" s="16">
        <v>0</v>
      </c>
      <c r="DP76" s="16">
        <v>0</v>
      </c>
      <c r="DQ76" s="16">
        <v>0</v>
      </c>
      <c r="DR76" s="16">
        <v>76</v>
      </c>
      <c r="DS76" s="16">
        <v>0</v>
      </c>
      <c r="DT76" s="16">
        <v>0</v>
      </c>
      <c r="DU76" s="16">
        <v>0</v>
      </c>
      <c r="DV76" s="16">
        <v>0</v>
      </c>
      <c r="DW76" s="16">
        <v>489</v>
      </c>
      <c r="DX76" s="16">
        <v>0</v>
      </c>
      <c r="DY76" s="16">
        <v>0</v>
      </c>
      <c r="DZ76" s="16">
        <v>0</v>
      </c>
      <c r="EA76" s="16">
        <v>0</v>
      </c>
      <c r="EB76" s="16">
        <v>0</v>
      </c>
      <c r="EC76" s="16">
        <v>0</v>
      </c>
      <c r="ED76" s="16">
        <v>0</v>
      </c>
      <c r="EE76" s="16">
        <v>0</v>
      </c>
      <c r="EF76" s="16">
        <v>0</v>
      </c>
      <c r="EG76" s="16">
        <v>0</v>
      </c>
      <c r="EH76" s="16">
        <v>0</v>
      </c>
      <c r="EI76" s="16">
        <v>0</v>
      </c>
      <c r="EJ76" s="16">
        <v>0</v>
      </c>
      <c r="EK76" s="16">
        <v>0</v>
      </c>
      <c r="EL76" s="16">
        <v>0</v>
      </c>
      <c r="EM76" s="16">
        <v>0</v>
      </c>
      <c r="EN76" s="16">
        <v>0</v>
      </c>
      <c r="EO76" s="16">
        <v>0</v>
      </c>
      <c r="EP76" s="16">
        <v>0</v>
      </c>
      <c r="EQ76" s="16">
        <v>0</v>
      </c>
      <c r="ER76" s="16">
        <v>0</v>
      </c>
      <c r="ES76" s="16">
        <v>0</v>
      </c>
      <c r="ET76" s="16">
        <v>0</v>
      </c>
      <c r="EU76" s="16">
        <v>0</v>
      </c>
      <c r="EV76" s="16">
        <v>0</v>
      </c>
      <c r="EW76" s="16">
        <v>0</v>
      </c>
      <c r="EX76" s="16">
        <v>0</v>
      </c>
      <c r="EY76" s="16">
        <v>0</v>
      </c>
      <c r="EZ76" s="16">
        <v>0</v>
      </c>
      <c r="FA76" s="16">
        <v>0</v>
      </c>
      <c r="FB76" s="16">
        <v>0</v>
      </c>
      <c r="FC76" s="16">
        <v>0</v>
      </c>
      <c r="FD76" s="16">
        <v>0</v>
      </c>
      <c r="FE76" s="16">
        <v>0</v>
      </c>
      <c r="FF76" s="16">
        <v>0</v>
      </c>
      <c r="FG76" s="16">
        <v>0</v>
      </c>
      <c r="FH76" s="16">
        <v>0</v>
      </c>
      <c r="FI76" s="16">
        <v>0</v>
      </c>
      <c r="FJ76" s="16">
        <v>0</v>
      </c>
      <c r="FK76" s="16">
        <v>0</v>
      </c>
      <c r="FL76" s="16">
        <v>0</v>
      </c>
      <c r="FM76" s="16">
        <v>0</v>
      </c>
      <c r="FN76" s="16">
        <v>0</v>
      </c>
      <c r="FO76" s="16">
        <v>0</v>
      </c>
      <c r="FP76" s="16">
        <v>0</v>
      </c>
      <c r="FQ76" s="16">
        <v>0</v>
      </c>
      <c r="FR76" s="16">
        <v>0</v>
      </c>
      <c r="FS76" s="16">
        <v>0</v>
      </c>
      <c r="FT76" s="16">
        <v>0</v>
      </c>
      <c r="FU76" s="16">
        <v>0</v>
      </c>
      <c r="FV76" s="16">
        <v>0</v>
      </c>
      <c r="FW76" s="16">
        <v>0</v>
      </c>
      <c r="FX76" s="16">
        <v>0</v>
      </c>
      <c r="FY76" s="16">
        <v>0</v>
      </c>
      <c r="FZ76" s="16">
        <v>0</v>
      </c>
      <c r="GA76" s="16">
        <v>0</v>
      </c>
      <c r="GB76" s="16">
        <v>0</v>
      </c>
      <c r="GC76" s="16">
        <v>0</v>
      </c>
      <c r="GD76" s="16">
        <v>0</v>
      </c>
      <c r="GE76" s="16">
        <v>0</v>
      </c>
      <c r="GF76" s="16">
        <v>0</v>
      </c>
      <c r="GG76" s="16">
        <v>0</v>
      </c>
      <c r="GH76" s="16">
        <v>0</v>
      </c>
      <c r="GI76" s="16">
        <v>0</v>
      </c>
      <c r="GJ76" s="16">
        <v>0</v>
      </c>
      <c r="GK76" s="16">
        <v>0</v>
      </c>
      <c r="GL76" s="16">
        <v>0</v>
      </c>
      <c r="GM76" s="16">
        <v>0</v>
      </c>
      <c r="GN76" s="16">
        <v>0</v>
      </c>
      <c r="GO76" s="16">
        <v>0</v>
      </c>
      <c r="GP76" s="16">
        <v>0</v>
      </c>
      <c r="GQ76" s="16">
        <v>0</v>
      </c>
      <c r="GR76" s="16">
        <v>0</v>
      </c>
      <c r="GS76" s="16">
        <v>0</v>
      </c>
      <c r="GT76" s="16">
        <v>0</v>
      </c>
      <c r="GU76" s="16">
        <v>4414</v>
      </c>
      <c r="GV76" s="16">
        <v>0</v>
      </c>
      <c r="GW76" s="16">
        <v>0</v>
      </c>
      <c r="GX76" s="16">
        <v>880</v>
      </c>
      <c r="GY76" s="16">
        <v>6</v>
      </c>
      <c r="GZ76" s="16">
        <v>0</v>
      </c>
      <c r="HA76" s="16">
        <v>0</v>
      </c>
      <c r="HB76" s="16">
        <v>0</v>
      </c>
      <c r="HC76" s="16">
        <v>0</v>
      </c>
      <c r="HD76" s="16">
        <v>0</v>
      </c>
      <c r="HE76" s="16">
        <v>0</v>
      </c>
      <c r="HF76" s="16">
        <v>0</v>
      </c>
      <c r="HG76" s="16">
        <v>0</v>
      </c>
      <c r="HH76" s="16">
        <v>0</v>
      </c>
      <c r="HI76" s="16">
        <v>0</v>
      </c>
      <c r="HJ76" s="16">
        <v>0</v>
      </c>
      <c r="HK76" s="16">
        <v>0</v>
      </c>
      <c r="HL76" s="16">
        <v>0</v>
      </c>
      <c r="HM76" s="16">
        <v>0</v>
      </c>
      <c r="HN76" s="16">
        <v>0</v>
      </c>
      <c r="HO76" s="16">
        <v>0</v>
      </c>
      <c r="HP76" s="16">
        <v>0</v>
      </c>
      <c r="HQ76" s="16">
        <v>0</v>
      </c>
      <c r="HR76" s="16">
        <v>0</v>
      </c>
      <c r="HS76" s="16">
        <v>0</v>
      </c>
      <c r="HT76" s="16">
        <v>0</v>
      </c>
      <c r="HU76" s="16">
        <v>0</v>
      </c>
      <c r="HV76" s="16">
        <v>0</v>
      </c>
      <c r="HW76" s="16">
        <v>0</v>
      </c>
      <c r="HX76" s="16">
        <v>0</v>
      </c>
      <c r="HY76" s="16">
        <v>0</v>
      </c>
      <c r="HZ76" s="16">
        <v>0</v>
      </c>
      <c r="IA76" s="16">
        <v>0</v>
      </c>
      <c r="IB76" s="16">
        <v>0</v>
      </c>
      <c r="IC76" s="16">
        <v>0</v>
      </c>
      <c r="ID76" s="16">
        <v>0</v>
      </c>
      <c r="IE76" s="16">
        <v>0</v>
      </c>
      <c r="IF76" s="16">
        <v>0</v>
      </c>
      <c r="IG76" s="16">
        <v>0</v>
      </c>
      <c r="IH76" s="16">
        <v>2757</v>
      </c>
      <c r="II76" s="16">
        <v>365</v>
      </c>
      <c r="IJ76" s="16">
        <v>37</v>
      </c>
      <c r="IK76" s="16">
        <v>103</v>
      </c>
      <c r="IL76" s="16">
        <v>43</v>
      </c>
      <c r="IM76" s="16">
        <v>0</v>
      </c>
      <c r="IN76" s="16">
        <v>0</v>
      </c>
      <c r="IO76" s="16">
        <v>18790</v>
      </c>
      <c r="IP76" s="16">
        <v>0</v>
      </c>
      <c r="IQ76" s="16">
        <v>0</v>
      </c>
      <c r="IR76" s="16">
        <v>0</v>
      </c>
      <c r="IS76" s="16">
        <v>0</v>
      </c>
      <c r="IT76" s="16">
        <v>20</v>
      </c>
      <c r="IU76" s="16">
        <v>0</v>
      </c>
      <c r="IV76" s="16">
        <v>15</v>
      </c>
      <c r="IW76" s="16">
        <v>121544</v>
      </c>
      <c r="IX76" s="16">
        <v>29135</v>
      </c>
      <c r="IY76" s="16">
        <v>14953</v>
      </c>
      <c r="IZ76" s="16">
        <v>827</v>
      </c>
      <c r="JA76" s="16">
        <v>52996</v>
      </c>
      <c r="JB76" s="16">
        <v>2228</v>
      </c>
      <c r="JC76" s="16">
        <v>0</v>
      </c>
      <c r="JD76" s="16">
        <v>0</v>
      </c>
      <c r="JE76" s="16">
        <v>22318</v>
      </c>
      <c r="JF76" s="16">
        <v>1479</v>
      </c>
      <c r="JG76" s="16">
        <v>26195</v>
      </c>
      <c r="JH76" s="16">
        <v>0</v>
      </c>
      <c r="JI76" s="16">
        <v>0</v>
      </c>
      <c r="JJ76" s="16">
        <v>0</v>
      </c>
      <c r="JK76" s="16">
        <v>0</v>
      </c>
      <c r="JL76" s="16">
        <v>0</v>
      </c>
      <c r="JM76" s="16">
        <v>0</v>
      </c>
      <c r="JN76" s="16">
        <v>0</v>
      </c>
      <c r="JO76" s="16">
        <v>0</v>
      </c>
      <c r="JP76" s="16">
        <v>0</v>
      </c>
      <c r="JQ76" s="16">
        <v>0</v>
      </c>
      <c r="JR76" s="16">
        <v>0</v>
      </c>
      <c r="JS76" s="16">
        <v>0</v>
      </c>
      <c r="JT76" s="16">
        <v>0</v>
      </c>
      <c r="JU76" s="16">
        <v>0</v>
      </c>
      <c r="JV76" s="16">
        <v>0</v>
      </c>
      <c r="JW76" s="16">
        <v>0</v>
      </c>
      <c r="JX76" s="16">
        <v>0</v>
      </c>
      <c r="JY76" s="16">
        <v>0</v>
      </c>
      <c r="JZ76" s="16">
        <v>0</v>
      </c>
      <c r="KA76" s="16">
        <v>0</v>
      </c>
      <c r="KB76" s="16">
        <v>0</v>
      </c>
      <c r="KC76" s="16">
        <v>0</v>
      </c>
      <c r="KD76" s="16">
        <v>0</v>
      </c>
      <c r="KE76" s="16">
        <v>0</v>
      </c>
      <c r="KF76" s="16">
        <v>0</v>
      </c>
      <c r="KG76" s="16">
        <v>0</v>
      </c>
      <c r="KH76" s="16">
        <v>0</v>
      </c>
      <c r="KI76" s="16">
        <v>0</v>
      </c>
      <c r="KJ76" s="16">
        <v>0</v>
      </c>
      <c r="KK76" s="16">
        <v>0</v>
      </c>
      <c r="KL76" s="16">
        <v>0</v>
      </c>
      <c r="KM76" s="16">
        <v>0</v>
      </c>
      <c r="KN76" s="16">
        <v>0</v>
      </c>
      <c r="KO76" s="16">
        <v>0</v>
      </c>
      <c r="KP76" s="16">
        <v>0</v>
      </c>
      <c r="KQ76" s="16">
        <v>0</v>
      </c>
      <c r="KR76" s="16">
        <v>0</v>
      </c>
      <c r="KS76" s="16">
        <v>0</v>
      </c>
      <c r="KT76" s="16">
        <v>0</v>
      </c>
      <c r="KU76" s="16">
        <v>0</v>
      </c>
      <c r="KV76" s="16">
        <v>0</v>
      </c>
      <c r="KW76" s="16">
        <v>0</v>
      </c>
      <c r="KX76" s="16">
        <v>0</v>
      </c>
      <c r="KY76" s="16">
        <v>0</v>
      </c>
      <c r="KZ76" s="16">
        <v>0</v>
      </c>
      <c r="LA76" s="16">
        <v>0</v>
      </c>
      <c r="LB76" s="16">
        <v>0</v>
      </c>
      <c r="LC76" s="16">
        <v>0</v>
      </c>
      <c r="LD76" s="16">
        <v>0</v>
      </c>
      <c r="LE76" s="16">
        <v>0</v>
      </c>
      <c r="LF76" s="16">
        <v>0</v>
      </c>
      <c r="LG76" s="16">
        <v>0</v>
      </c>
      <c r="LH76" s="16">
        <v>0</v>
      </c>
      <c r="LI76" s="16">
        <v>0</v>
      </c>
      <c r="LJ76" s="16">
        <v>0</v>
      </c>
      <c r="LK76" s="16">
        <v>0</v>
      </c>
      <c r="LL76" s="16">
        <v>0</v>
      </c>
      <c r="LM76" s="16">
        <v>0</v>
      </c>
      <c r="LN76" s="16">
        <v>0</v>
      </c>
      <c r="LO76" s="16">
        <v>234</v>
      </c>
      <c r="LP76" s="16">
        <v>0</v>
      </c>
      <c r="LQ76" s="16">
        <v>0</v>
      </c>
      <c r="LR76" s="16">
        <v>0</v>
      </c>
      <c r="LS76" s="16">
        <v>0</v>
      </c>
      <c r="LT76" s="16">
        <v>0</v>
      </c>
      <c r="LU76" s="16">
        <v>0</v>
      </c>
      <c r="LV76" s="16">
        <v>0</v>
      </c>
      <c r="LW76" s="16">
        <v>0</v>
      </c>
      <c r="LX76" s="16">
        <v>0</v>
      </c>
      <c r="LY76" s="16">
        <v>0</v>
      </c>
      <c r="LZ76" s="16">
        <v>0</v>
      </c>
      <c r="MA76" s="16">
        <v>0</v>
      </c>
      <c r="MB76" s="16">
        <v>0</v>
      </c>
      <c r="MC76" s="16">
        <v>0</v>
      </c>
      <c r="MD76" s="16">
        <v>0</v>
      </c>
      <c r="ME76" s="16">
        <v>0</v>
      </c>
      <c r="MF76" s="16">
        <v>0</v>
      </c>
      <c r="MG76" s="16">
        <v>0</v>
      </c>
      <c r="MH76" s="16">
        <v>0</v>
      </c>
      <c r="MI76" s="16">
        <v>0</v>
      </c>
      <c r="MJ76" s="16">
        <v>0</v>
      </c>
      <c r="MK76" s="16">
        <v>0</v>
      </c>
      <c r="ML76" s="16">
        <v>0</v>
      </c>
      <c r="MM76" s="16">
        <v>0</v>
      </c>
      <c r="MN76" s="16">
        <v>0</v>
      </c>
      <c r="MO76" s="16">
        <v>0</v>
      </c>
      <c r="MP76" s="16">
        <v>0</v>
      </c>
      <c r="MQ76" s="16">
        <v>0</v>
      </c>
      <c r="MR76" s="16">
        <v>0</v>
      </c>
      <c r="MS76" s="16">
        <v>0</v>
      </c>
      <c r="MT76" s="16">
        <v>0</v>
      </c>
      <c r="MU76" s="16">
        <v>0</v>
      </c>
      <c r="MV76" s="16">
        <v>0</v>
      </c>
      <c r="MW76" s="16">
        <v>0</v>
      </c>
      <c r="MX76" s="16">
        <v>0</v>
      </c>
      <c r="MY76" s="16">
        <v>0</v>
      </c>
      <c r="MZ76" s="16">
        <v>0</v>
      </c>
      <c r="NA76" s="16">
        <v>0</v>
      </c>
      <c r="NB76" s="16">
        <v>0</v>
      </c>
      <c r="NC76" s="16">
        <v>0</v>
      </c>
      <c r="ND76" s="16">
        <v>0</v>
      </c>
      <c r="NE76" s="16">
        <v>0</v>
      </c>
      <c r="NF76" s="16">
        <v>0</v>
      </c>
      <c r="NG76" s="16">
        <v>0</v>
      </c>
      <c r="NH76" s="16">
        <v>0</v>
      </c>
      <c r="NI76" s="16">
        <v>0</v>
      </c>
      <c r="NJ76" s="16">
        <v>0</v>
      </c>
      <c r="NK76" s="16">
        <v>0</v>
      </c>
      <c r="NL76" s="16">
        <v>0</v>
      </c>
      <c r="NM76" s="16">
        <v>0</v>
      </c>
      <c r="NN76" s="16">
        <v>0</v>
      </c>
      <c r="NO76" s="16">
        <v>0</v>
      </c>
      <c r="NP76" s="16">
        <v>0</v>
      </c>
      <c r="NQ76" s="16">
        <v>1</v>
      </c>
      <c r="NR76" s="17">
        <v>1056732</v>
      </c>
    </row>
    <row r="77" spans="1:382" ht="13.5" customHeight="1" x14ac:dyDescent="0.2">
      <c r="A77" s="2" t="s">
        <v>161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11221</v>
      </c>
      <c r="BT77" s="16">
        <v>0</v>
      </c>
      <c r="BU77" s="16">
        <v>1609</v>
      </c>
      <c r="BV77" s="16">
        <v>44697</v>
      </c>
      <c r="BW77" s="16">
        <v>4549</v>
      </c>
      <c r="BX77" s="16">
        <v>0</v>
      </c>
      <c r="BY77" s="16">
        <v>675</v>
      </c>
      <c r="BZ77" s="16">
        <v>0</v>
      </c>
      <c r="CA77" s="16">
        <v>0</v>
      </c>
      <c r="CB77" s="16">
        <v>0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6">
        <v>0</v>
      </c>
      <c r="CJ77" s="16">
        <v>0</v>
      </c>
      <c r="CK77" s="16">
        <v>0</v>
      </c>
      <c r="CL77" s="16">
        <v>0</v>
      </c>
      <c r="CM77" s="16">
        <v>0</v>
      </c>
      <c r="CN77" s="16">
        <v>0</v>
      </c>
      <c r="CO77" s="16">
        <v>0</v>
      </c>
      <c r="CP77" s="16">
        <v>0</v>
      </c>
      <c r="CQ77" s="16">
        <v>0</v>
      </c>
      <c r="CR77" s="16">
        <v>0</v>
      </c>
      <c r="CS77" s="16">
        <v>0</v>
      </c>
      <c r="CT77" s="16">
        <v>0</v>
      </c>
      <c r="CU77" s="16">
        <v>0</v>
      </c>
      <c r="CV77" s="16">
        <v>0</v>
      </c>
      <c r="CW77" s="16">
        <v>0</v>
      </c>
      <c r="CX77" s="16">
        <v>0</v>
      </c>
      <c r="CY77" s="16">
        <v>0</v>
      </c>
      <c r="CZ77" s="16">
        <v>0</v>
      </c>
      <c r="DA77" s="16">
        <v>0</v>
      </c>
      <c r="DB77" s="16">
        <v>0</v>
      </c>
      <c r="DC77" s="16">
        <v>0</v>
      </c>
      <c r="DD77" s="16">
        <v>0</v>
      </c>
      <c r="DE77" s="16">
        <v>0</v>
      </c>
      <c r="DF77" s="16">
        <v>0</v>
      </c>
      <c r="DG77" s="16">
        <v>0</v>
      </c>
      <c r="DH77" s="16">
        <v>0</v>
      </c>
      <c r="DI77" s="16">
        <v>0</v>
      </c>
      <c r="DJ77" s="16">
        <v>0</v>
      </c>
      <c r="DK77" s="16">
        <v>0</v>
      </c>
      <c r="DL77" s="16">
        <v>0</v>
      </c>
      <c r="DM77" s="16">
        <v>0</v>
      </c>
      <c r="DN77" s="16">
        <v>0</v>
      </c>
      <c r="DO77" s="16">
        <v>0</v>
      </c>
      <c r="DP77" s="16">
        <v>0</v>
      </c>
      <c r="DQ77" s="16">
        <v>0</v>
      </c>
      <c r="DR77" s="16">
        <v>0</v>
      </c>
      <c r="DS77" s="16">
        <v>0</v>
      </c>
      <c r="DT77" s="16">
        <v>0</v>
      </c>
      <c r="DU77" s="16">
        <v>0</v>
      </c>
      <c r="DV77" s="16">
        <v>0</v>
      </c>
      <c r="DW77" s="16">
        <v>0</v>
      </c>
      <c r="DX77" s="16">
        <v>0</v>
      </c>
      <c r="DY77" s="16">
        <v>0</v>
      </c>
      <c r="DZ77" s="16">
        <v>0</v>
      </c>
      <c r="EA77" s="16">
        <v>0</v>
      </c>
      <c r="EB77" s="16">
        <v>0</v>
      </c>
      <c r="EC77" s="16">
        <v>0</v>
      </c>
      <c r="ED77" s="16">
        <v>0</v>
      </c>
      <c r="EE77" s="16">
        <v>0</v>
      </c>
      <c r="EF77" s="16">
        <v>0</v>
      </c>
      <c r="EG77" s="16">
        <v>0</v>
      </c>
      <c r="EH77" s="16">
        <v>0</v>
      </c>
      <c r="EI77" s="16">
        <v>0</v>
      </c>
      <c r="EJ77" s="16">
        <v>0</v>
      </c>
      <c r="EK77" s="16">
        <v>0</v>
      </c>
      <c r="EL77" s="16">
        <v>0</v>
      </c>
      <c r="EM77" s="16">
        <v>0</v>
      </c>
      <c r="EN77" s="16">
        <v>0</v>
      </c>
      <c r="EO77" s="16">
        <v>0</v>
      </c>
      <c r="EP77" s="16">
        <v>0</v>
      </c>
      <c r="EQ77" s="16">
        <v>0</v>
      </c>
      <c r="ER77" s="16">
        <v>0</v>
      </c>
      <c r="ES77" s="16">
        <v>0</v>
      </c>
      <c r="ET77" s="16">
        <v>0</v>
      </c>
      <c r="EU77" s="16">
        <v>0</v>
      </c>
      <c r="EV77" s="16">
        <v>0</v>
      </c>
      <c r="EW77" s="16">
        <v>0</v>
      </c>
      <c r="EX77" s="16">
        <v>0</v>
      </c>
      <c r="EY77" s="16">
        <v>0</v>
      </c>
      <c r="EZ77" s="16">
        <v>0</v>
      </c>
      <c r="FA77" s="16">
        <v>0</v>
      </c>
      <c r="FB77" s="16">
        <v>0</v>
      </c>
      <c r="FC77" s="16">
        <v>0</v>
      </c>
      <c r="FD77" s="16">
        <v>0</v>
      </c>
      <c r="FE77" s="16">
        <v>0</v>
      </c>
      <c r="FF77" s="16">
        <v>0</v>
      </c>
      <c r="FG77" s="16">
        <v>0</v>
      </c>
      <c r="FH77" s="16">
        <v>0</v>
      </c>
      <c r="FI77" s="16">
        <v>0</v>
      </c>
      <c r="FJ77" s="16">
        <v>0</v>
      </c>
      <c r="FK77" s="16">
        <v>0</v>
      </c>
      <c r="FL77" s="16">
        <v>0</v>
      </c>
      <c r="FM77" s="16">
        <v>0</v>
      </c>
      <c r="FN77" s="16">
        <v>0</v>
      </c>
      <c r="FO77" s="16">
        <v>0</v>
      </c>
      <c r="FP77" s="16">
        <v>0</v>
      </c>
      <c r="FQ77" s="16">
        <v>0</v>
      </c>
      <c r="FR77" s="16">
        <v>0</v>
      </c>
      <c r="FS77" s="16">
        <v>0</v>
      </c>
      <c r="FT77" s="16">
        <v>0</v>
      </c>
      <c r="FU77" s="16">
        <v>0</v>
      </c>
      <c r="FV77" s="16">
        <v>0</v>
      </c>
      <c r="FW77" s="16">
        <v>0</v>
      </c>
      <c r="FX77" s="16">
        <v>0</v>
      </c>
      <c r="FY77" s="16">
        <v>0</v>
      </c>
      <c r="FZ77" s="16">
        <v>0</v>
      </c>
      <c r="GA77" s="16">
        <v>0</v>
      </c>
      <c r="GB77" s="16">
        <v>0</v>
      </c>
      <c r="GC77" s="16">
        <v>0</v>
      </c>
      <c r="GD77" s="16">
        <v>0</v>
      </c>
      <c r="GE77" s="16">
        <v>0</v>
      </c>
      <c r="GF77" s="16">
        <v>0</v>
      </c>
      <c r="GG77" s="16">
        <v>0</v>
      </c>
      <c r="GH77" s="16">
        <v>0</v>
      </c>
      <c r="GI77" s="16">
        <v>0</v>
      </c>
      <c r="GJ77" s="16">
        <v>0</v>
      </c>
      <c r="GK77" s="16">
        <v>0</v>
      </c>
      <c r="GL77" s="16">
        <v>0</v>
      </c>
      <c r="GM77" s="16">
        <v>0</v>
      </c>
      <c r="GN77" s="16">
        <v>0</v>
      </c>
      <c r="GO77" s="16">
        <v>0</v>
      </c>
      <c r="GP77" s="16">
        <v>0</v>
      </c>
      <c r="GQ77" s="16">
        <v>0</v>
      </c>
      <c r="GR77" s="16">
        <v>0</v>
      </c>
      <c r="GS77" s="16">
        <v>0</v>
      </c>
      <c r="GT77" s="16">
        <v>0</v>
      </c>
      <c r="GU77" s="16">
        <v>0</v>
      </c>
      <c r="GV77" s="16">
        <v>0</v>
      </c>
      <c r="GW77" s="16">
        <v>0</v>
      </c>
      <c r="GX77" s="16">
        <v>0</v>
      </c>
      <c r="GY77" s="16">
        <v>0</v>
      </c>
      <c r="GZ77" s="16">
        <v>0</v>
      </c>
      <c r="HA77" s="16">
        <v>0</v>
      </c>
      <c r="HB77" s="16">
        <v>0</v>
      </c>
      <c r="HC77" s="16">
        <v>0</v>
      </c>
      <c r="HD77" s="16">
        <v>0</v>
      </c>
      <c r="HE77" s="16">
        <v>0</v>
      </c>
      <c r="HF77" s="16">
        <v>0</v>
      </c>
      <c r="HG77" s="16">
        <v>0</v>
      </c>
      <c r="HH77" s="16">
        <v>0</v>
      </c>
      <c r="HI77" s="16">
        <v>0</v>
      </c>
      <c r="HJ77" s="16">
        <v>0</v>
      </c>
      <c r="HK77" s="16">
        <v>0</v>
      </c>
      <c r="HL77" s="16">
        <v>0</v>
      </c>
      <c r="HM77" s="16">
        <v>0</v>
      </c>
      <c r="HN77" s="16">
        <v>0</v>
      </c>
      <c r="HO77" s="16">
        <v>0</v>
      </c>
      <c r="HP77" s="16">
        <v>0</v>
      </c>
      <c r="HQ77" s="16">
        <v>0</v>
      </c>
      <c r="HR77" s="16">
        <v>0</v>
      </c>
      <c r="HS77" s="16">
        <v>0</v>
      </c>
      <c r="HT77" s="16">
        <v>0</v>
      </c>
      <c r="HU77" s="16">
        <v>0</v>
      </c>
      <c r="HV77" s="16">
        <v>0</v>
      </c>
      <c r="HW77" s="16">
        <v>0</v>
      </c>
      <c r="HX77" s="16">
        <v>0</v>
      </c>
      <c r="HY77" s="16">
        <v>0</v>
      </c>
      <c r="HZ77" s="16">
        <v>0</v>
      </c>
      <c r="IA77" s="16">
        <v>0</v>
      </c>
      <c r="IB77" s="16">
        <v>0</v>
      </c>
      <c r="IC77" s="16">
        <v>0</v>
      </c>
      <c r="ID77" s="16">
        <v>0</v>
      </c>
      <c r="IE77" s="16">
        <v>0</v>
      </c>
      <c r="IF77" s="16">
        <v>0</v>
      </c>
      <c r="IG77" s="16">
        <v>0</v>
      </c>
      <c r="IH77" s="16">
        <v>0</v>
      </c>
      <c r="II77" s="16">
        <v>0</v>
      </c>
      <c r="IJ77" s="16">
        <v>0</v>
      </c>
      <c r="IK77" s="16">
        <v>0</v>
      </c>
      <c r="IL77" s="16">
        <v>0</v>
      </c>
      <c r="IM77" s="16">
        <v>0</v>
      </c>
      <c r="IN77" s="16">
        <v>0</v>
      </c>
      <c r="IO77" s="16">
        <v>0</v>
      </c>
      <c r="IP77" s="16">
        <v>0</v>
      </c>
      <c r="IQ77" s="16">
        <v>0</v>
      </c>
      <c r="IR77" s="16">
        <v>0</v>
      </c>
      <c r="IS77" s="16">
        <v>0</v>
      </c>
      <c r="IT77" s="16">
        <v>0</v>
      </c>
      <c r="IU77" s="16">
        <v>0</v>
      </c>
      <c r="IV77" s="16">
        <v>68</v>
      </c>
      <c r="IW77" s="16">
        <v>0</v>
      </c>
      <c r="IX77" s="16">
        <v>0</v>
      </c>
      <c r="IY77" s="16">
        <v>0</v>
      </c>
      <c r="IZ77" s="16">
        <v>26</v>
      </c>
      <c r="JA77" s="16">
        <v>0</v>
      </c>
      <c r="JB77" s="16">
        <v>0</v>
      </c>
      <c r="JC77" s="16">
        <v>0</v>
      </c>
      <c r="JD77" s="16">
        <v>0</v>
      </c>
      <c r="JE77" s="16">
        <v>0</v>
      </c>
      <c r="JF77" s="16">
        <v>0</v>
      </c>
      <c r="JG77" s="16">
        <v>10213</v>
      </c>
      <c r="JH77" s="16">
        <v>0</v>
      </c>
      <c r="JI77" s="16">
        <v>0</v>
      </c>
      <c r="JJ77" s="16">
        <v>0</v>
      </c>
      <c r="JK77" s="16">
        <v>0</v>
      </c>
      <c r="JL77" s="16">
        <v>0</v>
      </c>
      <c r="JM77" s="16">
        <v>0</v>
      </c>
      <c r="JN77" s="16">
        <v>0</v>
      </c>
      <c r="JO77" s="16">
        <v>0</v>
      </c>
      <c r="JP77" s="16">
        <v>0</v>
      </c>
      <c r="JQ77" s="16">
        <v>0</v>
      </c>
      <c r="JR77" s="16">
        <v>0</v>
      </c>
      <c r="JS77" s="16">
        <v>0</v>
      </c>
      <c r="JT77" s="16">
        <v>0</v>
      </c>
      <c r="JU77" s="16">
        <v>0</v>
      </c>
      <c r="JV77" s="16">
        <v>0</v>
      </c>
      <c r="JW77" s="16">
        <v>0</v>
      </c>
      <c r="JX77" s="16">
        <v>0</v>
      </c>
      <c r="JY77" s="16">
        <v>0</v>
      </c>
      <c r="JZ77" s="16">
        <v>0</v>
      </c>
      <c r="KA77" s="16">
        <v>0</v>
      </c>
      <c r="KB77" s="16">
        <v>0</v>
      </c>
      <c r="KC77" s="16">
        <v>0</v>
      </c>
      <c r="KD77" s="16">
        <v>0</v>
      </c>
      <c r="KE77" s="16">
        <v>0</v>
      </c>
      <c r="KF77" s="16">
        <v>0</v>
      </c>
      <c r="KG77" s="16">
        <v>0</v>
      </c>
      <c r="KH77" s="16">
        <v>0</v>
      </c>
      <c r="KI77" s="16">
        <v>0</v>
      </c>
      <c r="KJ77" s="16">
        <v>0</v>
      </c>
      <c r="KK77" s="16">
        <v>0</v>
      </c>
      <c r="KL77" s="16">
        <v>0</v>
      </c>
      <c r="KM77" s="16">
        <v>0</v>
      </c>
      <c r="KN77" s="16">
        <v>0</v>
      </c>
      <c r="KO77" s="16">
        <v>0</v>
      </c>
      <c r="KP77" s="16">
        <v>0</v>
      </c>
      <c r="KQ77" s="16">
        <v>0</v>
      </c>
      <c r="KR77" s="16">
        <v>0</v>
      </c>
      <c r="KS77" s="16">
        <v>0</v>
      </c>
      <c r="KT77" s="16">
        <v>0</v>
      </c>
      <c r="KU77" s="16">
        <v>0</v>
      </c>
      <c r="KV77" s="16">
        <v>0</v>
      </c>
      <c r="KW77" s="16">
        <v>0</v>
      </c>
      <c r="KX77" s="16">
        <v>0</v>
      </c>
      <c r="KY77" s="16">
        <v>0</v>
      </c>
      <c r="KZ77" s="16">
        <v>0</v>
      </c>
      <c r="LA77" s="16">
        <v>0</v>
      </c>
      <c r="LB77" s="16">
        <v>0</v>
      </c>
      <c r="LC77" s="16">
        <v>0</v>
      </c>
      <c r="LD77" s="16">
        <v>0</v>
      </c>
      <c r="LE77" s="16">
        <v>0</v>
      </c>
      <c r="LF77" s="16">
        <v>0</v>
      </c>
      <c r="LG77" s="16">
        <v>0</v>
      </c>
      <c r="LH77" s="16">
        <v>0</v>
      </c>
      <c r="LI77" s="16">
        <v>0</v>
      </c>
      <c r="LJ77" s="16">
        <v>0</v>
      </c>
      <c r="LK77" s="16">
        <v>0</v>
      </c>
      <c r="LL77" s="16">
        <v>0</v>
      </c>
      <c r="LM77" s="16">
        <v>0</v>
      </c>
      <c r="LN77" s="16">
        <v>0</v>
      </c>
      <c r="LO77" s="16">
        <v>0</v>
      </c>
      <c r="LP77" s="16">
        <v>0</v>
      </c>
      <c r="LQ77" s="16">
        <v>0</v>
      </c>
      <c r="LR77" s="16">
        <v>0</v>
      </c>
      <c r="LS77" s="16">
        <v>0</v>
      </c>
      <c r="LT77" s="16">
        <v>0</v>
      </c>
      <c r="LU77" s="16">
        <v>0</v>
      </c>
      <c r="LV77" s="16">
        <v>0</v>
      </c>
      <c r="LW77" s="16">
        <v>0</v>
      </c>
      <c r="LX77" s="16">
        <v>0</v>
      </c>
      <c r="LY77" s="16">
        <v>0</v>
      </c>
      <c r="LZ77" s="16">
        <v>0</v>
      </c>
      <c r="MA77" s="16">
        <v>0</v>
      </c>
      <c r="MB77" s="16">
        <v>0</v>
      </c>
      <c r="MC77" s="16">
        <v>0</v>
      </c>
      <c r="MD77" s="16">
        <v>0</v>
      </c>
      <c r="ME77" s="16">
        <v>0</v>
      </c>
      <c r="MF77" s="16">
        <v>0</v>
      </c>
      <c r="MG77" s="16">
        <v>0</v>
      </c>
      <c r="MH77" s="16">
        <v>0</v>
      </c>
      <c r="MI77" s="16">
        <v>0</v>
      </c>
      <c r="MJ77" s="16">
        <v>0</v>
      </c>
      <c r="MK77" s="16">
        <v>0</v>
      </c>
      <c r="ML77" s="16">
        <v>0</v>
      </c>
      <c r="MM77" s="16">
        <v>0</v>
      </c>
      <c r="MN77" s="16">
        <v>0</v>
      </c>
      <c r="MO77" s="16">
        <v>0</v>
      </c>
      <c r="MP77" s="16">
        <v>0</v>
      </c>
      <c r="MQ77" s="16">
        <v>0</v>
      </c>
      <c r="MR77" s="16">
        <v>0</v>
      </c>
      <c r="MS77" s="16">
        <v>0</v>
      </c>
      <c r="MT77" s="16">
        <v>0</v>
      </c>
      <c r="MU77" s="16">
        <v>0</v>
      </c>
      <c r="MV77" s="16">
        <v>0</v>
      </c>
      <c r="MW77" s="16">
        <v>0</v>
      </c>
      <c r="MX77" s="16">
        <v>0</v>
      </c>
      <c r="MY77" s="16">
        <v>0</v>
      </c>
      <c r="MZ77" s="16">
        <v>0</v>
      </c>
      <c r="NA77" s="16">
        <v>0</v>
      </c>
      <c r="NB77" s="16">
        <v>0</v>
      </c>
      <c r="NC77" s="16">
        <v>0</v>
      </c>
      <c r="ND77" s="16">
        <v>0</v>
      </c>
      <c r="NE77" s="16">
        <v>0</v>
      </c>
      <c r="NF77" s="16">
        <v>0</v>
      </c>
      <c r="NG77" s="16">
        <v>0</v>
      </c>
      <c r="NH77" s="16">
        <v>0</v>
      </c>
      <c r="NI77" s="16">
        <v>0</v>
      </c>
      <c r="NJ77" s="16">
        <v>0</v>
      </c>
      <c r="NK77" s="16">
        <v>0</v>
      </c>
      <c r="NL77" s="16">
        <v>0</v>
      </c>
      <c r="NM77" s="16">
        <v>0</v>
      </c>
      <c r="NN77" s="16">
        <v>0</v>
      </c>
      <c r="NO77" s="16">
        <v>0</v>
      </c>
      <c r="NP77" s="16">
        <v>0</v>
      </c>
      <c r="NQ77" s="16">
        <v>0</v>
      </c>
      <c r="NR77" s="17">
        <v>73058</v>
      </c>
    </row>
    <row r="78" spans="1:382" ht="13.5" customHeight="1" x14ac:dyDescent="0.2">
      <c r="A78" s="2" t="s">
        <v>163</v>
      </c>
      <c r="B78" s="16">
        <v>159</v>
      </c>
      <c r="C78" s="16">
        <v>0</v>
      </c>
      <c r="D78" s="16">
        <v>137</v>
      </c>
      <c r="E78" s="16">
        <v>53</v>
      </c>
      <c r="F78" s="16">
        <v>277</v>
      </c>
      <c r="G78" s="16">
        <v>67</v>
      </c>
      <c r="H78" s="16">
        <v>4</v>
      </c>
      <c r="I78" s="16">
        <v>64</v>
      </c>
      <c r="J78" s="16">
        <v>3</v>
      </c>
      <c r="K78" s="16">
        <v>0</v>
      </c>
      <c r="L78" s="16">
        <v>459</v>
      </c>
      <c r="M78" s="16">
        <v>60</v>
      </c>
      <c r="N78" s="16">
        <v>1</v>
      </c>
      <c r="O78" s="16">
        <v>1</v>
      </c>
      <c r="P78" s="16">
        <v>248</v>
      </c>
      <c r="Q78" s="16">
        <v>1194</v>
      </c>
      <c r="R78" s="16">
        <v>487</v>
      </c>
      <c r="S78" s="16">
        <v>575</v>
      </c>
      <c r="T78" s="16">
        <v>131</v>
      </c>
      <c r="U78" s="16">
        <v>386</v>
      </c>
      <c r="V78" s="16">
        <v>275</v>
      </c>
      <c r="W78" s="16">
        <v>2</v>
      </c>
      <c r="X78" s="16">
        <v>150</v>
      </c>
      <c r="Y78" s="16">
        <v>1555</v>
      </c>
      <c r="Z78" s="16">
        <v>1111</v>
      </c>
      <c r="AA78" s="16">
        <v>28</v>
      </c>
      <c r="AB78" s="16">
        <v>0</v>
      </c>
      <c r="AC78" s="16">
        <v>0</v>
      </c>
      <c r="AD78" s="16">
        <v>0</v>
      </c>
      <c r="AE78" s="16">
        <v>4</v>
      </c>
      <c r="AF78" s="16">
        <v>3</v>
      </c>
      <c r="AG78" s="16">
        <v>3022</v>
      </c>
      <c r="AH78" s="16">
        <v>1848</v>
      </c>
      <c r="AI78" s="16">
        <v>542</v>
      </c>
      <c r="AJ78" s="16">
        <v>888</v>
      </c>
      <c r="AK78" s="16">
        <v>1408</v>
      </c>
      <c r="AL78" s="16">
        <v>31</v>
      </c>
      <c r="AM78" s="16">
        <v>405</v>
      </c>
      <c r="AN78" s="16">
        <v>394</v>
      </c>
      <c r="AO78" s="16">
        <v>593</v>
      </c>
      <c r="AP78" s="16">
        <v>12</v>
      </c>
      <c r="AQ78" s="16">
        <v>609</v>
      </c>
      <c r="AR78" s="16">
        <v>0</v>
      </c>
      <c r="AS78" s="16">
        <v>118</v>
      </c>
      <c r="AT78" s="16">
        <v>432</v>
      </c>
      <c r="AU78" s="16">
        <v>179</v>
      </c>
      <c r="AV78" s="16">
        <v>95</v>
      </c>
      <c r="AW78" s="16">
        <v>1428</v>
      </c>
      <c r="AX78" s="16">
        <v>58</v>
      </c>
      <c r="AY78" s="16">
        <v>289</v>
      </c>
      <c r="AZ78" s="16">
        <v>441</v>
      </c>
      <c r="BA78" s="16">
        <v>470</v>
      </c>
      <c r="BB78" s="16">
        <v>125</v>
      </c>
      <c r="BC78" s="16">
        <v>1792</v>
      </c>
      <c r="BD78" s="16">
        <v>23</v>
      </c>
      <c r="BE78" s="16">
        <v>316</v>
      </c>
      <c r="BF78" s="16">
        <v>1159</v>
      </c>
      <c r="BG78" s="16">
        <v>352</v>
      </c>
      <c r="BH78" s="16">
        <v>556</v>
      </c>
      <c r="BI78" s="16">
        <v>167</v>
      </c>
      <c r="BJ78" s="16">
        <v>26</v>
      </c>
      <c r="BK78" s="16">
        <v>124</v>
      </c>
      <c r="BL78" s="16">
        <v>779</v>
      </c>
      <c r="BM78" s="16">
        <v>190</v>
      </c>
      <c r="BN78" s="16">
        <v>394</v>
      </c>
      <c r="BO78" s="16">
        <v>670</v>
      </c>
      <c r="BP78" s="16">
        <v>88</v>
      </c>
      <c r="BQ78" s="16">
        <v>23</v>
      </c>
      <c r="BR78" s="16">
        <v>4</v>
      </c>
      <c r="BS78" s="16">
        <v>5084</v>
      </c>
      <c r="BT78" s="16">
        <v>10</v>
      </c>
      <c r="BU78" s="16">
        <v>61</v>
      </c>
      <c r="BV78" s="16">
        <v>3</v>
      </c>
      <c r="BW78" s="16">
        <v>2352</v>
      </c>
      <c r="BX78" s="16">
        <v>25</v>
      </c>
      <c r="BY78" s="16">
        <v>0</v>
      </c>
      <c r="BZ78" s="16">
        <v>28325</v>
      </c>
      <c r="CA78" s="16">
        <v>82</v>
      </c>
      <c r="CB78" s="16">
        <v>94</v>
      </c>
      <c r="CC78" s="16">
        <v>2867</v>
      </c>
      <c r="CD78" s="16">
        <v>616</v>
      </c>
      <c r="CE78" s="16">
        <v>253</v>
      </c>
      <c r="CF78" s="16">
        <v>905</v>
      </c>
      <c r="CG78" s="16">
        <v>222</v>
      </c>
      <c r="CH78" s="16">
        <v>433</v>
      </c>
      <c r="CI78" s="16">
        <v>44</v>
      </c>
      <c r="CJ78" s="16">
        <v>335</v>
      </c>
      <c r="CK78" s="16">
        <v>2495</v>
      </c>
      <c r="CL78" s="16">
        <v>433</v>
      </c>
      <c r="CM78" s="16">
        <v>483</v>
      </c>
      <c r="CN78" s="16">
        <v>18</v>
      </c>
      <c r="CO78" s="16">
        <v>395</v>
      </c>
      <c r="CP78" s="16">
        <v>4998</v>
      </c>
      <c r="CQ78" s="16">
        <v>6227</v>
      </c>
      <c r="CR78" s="16">
        <v>814</v>
      </c>
      <c r="CS78" s="16">
        <v>729</v>
      </c>
      <c r="CT78" s="16">
        <v>667</v>
      </c>
      <c r="CU78" s="16">
        <v>1781</v>
      </c>
      <c r="CV78" s="16">
        <v>879</v>
      </c>
      <c r="CW78" s="16">
        <v>4653</v>
      </c>
      <c r="CX78" s="16">
        <v>4531</v>
      </c>
      <c r="CY78" s="16">
        <v>186</v>
      </c>
      <c r="CZ78" s="16">
        <v>649</v>
      </c>
      <c r="DA78" s="16">
        <v>16</v>
      </c>
      <c r="DB78" s="16">
        <v>780</v>
      </c>
      <c r="DC78" s="16">
        <v>112</v>
      </c>
      <c r="DD78" s="16">
        <v>561</v>
      </c>
      <c r="DE78" s="16">
        <v>32</v>
      </c>
      <c r="DF78" s="16">
        <v>1088</v>
      </c>
      <c r="DG78" s="16">
        <v>386</v>
      </c>
      <c r="DH78" s="16">
        <v>516</v>
      </c>
      <c r="DI78" s="16">
        <v>172</v>
      </c>
      <c r="DJ78" s="16">
        <v>10481</v>
      </c>
      <c r="DK78" s="16">
        <v>381</v>
      </c>
      <c r="DL78" s="16">
        <v>721</v>
      </c>
      <c r="DM78" s="16">
        <v>2729</v>
      </c>
      <c r="DN78" s="16">
        <v>249</v>
      </c>
      <c r="DO78" s="16">
        <v>560</v>
      </c>
      <c r="DP78" s="16">
        <v>783</v>
      </c>
      <c r="DQ78" s="16">
        <v>116</v>
      </c>
      <c r="DR78" s="16">
        <v>301</v>
      </c>
      <c r="DS78" s="16">
        <v>1893</v>
      </c>
      <c r="DT78" s="16">
        <v>250</v>
      </c>
      <c r="DU78" s="16">
        <v>320</v>
      </c>
      <c r="DV78" s="16">
        <v>225</v>
      </c>
      <c r="DW78" s="16">
        <v>1831</v>
      </c>
      <c r="DX78" s="16">
        <v>1924</v>
      </c>
      <c r="DY78" s="16">
        <v>1573</v>
      </c>
      <c r="DZ78" s="16">
        <v>4033</v>
      </c>
      <c r="EA78" s="16">
        <v>2632</v>
      </c>
      <c r="EB78" s="16">
        <v>54</v>
      </c>
      <c r="EC78" s="16">
        <v>556</v>
      </c>
      <c r="ED78" s="16">
        <v>158</v>
      </c>
      <c r="EE78" s="16">
        <v>8</v>
      </c>
      <c r="EF78" s="16">
        <v>11</v>
      </c>
      <c r="EG78" s="16">
        <v>548</v>
      </c>
      <c r="EH78" s="16">
        <v>84</v>
      </c>
      <c r="EI78" s="16">
        <v>193</v>
      </c>
      <c r="EJ78" s="16">
        <v>145</v>
      </c>
      <c r="EK78" s="16">
        <v>79</v>
      </c>
      <c r="EL78" s="16">
        <v>24</v>
      </c>
      <c r="EM78" s="16">
        <v>88</v>
      </c>
      <c r="EN78" s="16">
        <v>1645</v>
      </c>
      <c r="EO78" s="16">
        <v>803</v>
      </c>
      <c r="EP78" s="16">
        <v>186</v>
      </c>
      <c r="EQ78" s="16">
        <v>452</v>
      </c>
      <c r="ER78" s="16">
        <v>59</v>
      </c>
      <c r="ES78" s="16">
        <v>282</v>
      </c>
      <c r="ET78" s="16">
        <v>1223</v>
      </c>
      <c r="EU78" s="16">
        <v>3</v>
      </c>
      <c r="EV78" s="16">
        <v>75</v>
      </c>
      <c r="EW78" s="16">
        <v>18</v>
      </c>
      <c r="EX78" s="16">
        <v>3988</v>
      </c>
      <c r="EY78" s="16">
        <v>819</v>
      </c>
      <c r="EZ78" s="16">
        <v>100</v>
      </c>
      <c r="FA78" s="16">
        <v>64</v>
      </c>
      <c r="FB78" s="16">
        <v>363</v>
      </c>
      <c r="FC78" s="16">
        <v>14</v>
      </c>
      <c r="FD78" s="16">
        <v>1683</v>
      </c>
      <c r="FE78" s="16">
        <v>314</v>
      </c>
      <c r="FF78" s="16">
        <v>251</v>
      </c>
      <c r="FG78" s="16">
        <v>764</v>
      </c>
      <c r="FH78" s="16">
        <v>6</v>
      </c>
      <c r="FI78" s="16">
        <v>543</v>
      </c>
      <c r="FJ78" s="16">
        <v>100</v>
      </c>
      <c r="FK78" s="16">
        <v>2104</v>
      </c>
      <c r="FL78" s="16">
        <v>58</v>
      </c>
      <c r="FM78" s="16">
        <v>439</v>
      </c>
      <c r="FN78" s="16">
        <v>2179</v>
      </c>
      <c r="FO78" s="16">
        <v>748</v>
      </c>
      <c r="FP78" s="16">
        <v>1033</v>
      </c>
      <c r="FQ78" s="16">
        <v>1565</v>
      </c>
      <c r="FR78" s="16">
        <v>2005</v>
      </c>
      <c r="FS78" s="16">
        <v>811</v>
      </c>
      <c r="FT78" s="16">
        <v>337</v>
      </c>
      <c r="FU78" s="16">
        <v>2358</v>
      </c>
      <c r="FV78" s="16">
        <v>16663</v>
      </c>
      <c r="FW78" s="16">
        <v>1536</v>
      </c>
      <c r="FX78" s="16">
        <v>3216</v>
      </c>
      <c r="FY78" s="16">
        <v>15708</v>
      </c>
      <c r="FZ78" s="16">
        <v>1377</v>
      </c>
      <c r="GA78" s="16">
        <v>265</v>
      </c>
      <c r="GB78" s="16">
        <v>8996</v>
      </c>
      <c r="GC78" s="16">
        <v>578</v>
      </c>
      <c r="GD78" s="16">
        <v>1503</v>
      </c>
      <c r="GE78" s="16">
        <v>26</v>
      </c>
      <c r="GF78" s="16">
        <v>347</v>
      </c>
      <c r="GG78" s="16">
        <v>1</v>
      </c>
      <c r="GH78" s="16">
        <v>320</v>
      </c>
      <c r="GI78" s="16">
        <v>81</v>
      </c>
      <c r="GJ78" s="16">
        <v>604</v>
      </c>
      <c r="GK78" s="16">
        <v>78</v>
      </c>
      <c r="GL78" s="16">
        <v>26</v>
      </c>
      <c r="GM78" s="16">
        <v>16</v>
      </c>
      <c r="GN78" s="16">
        <v>86</v>
      </c>
      <c r="GO78" s="16">
        <v>1</v>
      </c>
      <c r="GP78" s="16">
        <v>269</v>
      </c>
      <c r="GQ78" s="16">
        <v>182</v>
      </c>
      <c r="GR78" s="16">
        <v>161</v>
      </c>
      <c r="GS78" s="16">
        <v>19</v>
      </c>
      <c r="GT78" s="16">
        <v>17</v>
      </c>
      <c r="GU78" s="16">
        <v>4806</v>
      </c>
      <c r="GV78" s="16">
        <v>416</v>
      </c>
      <c r="GW78" s="16">
        <v>458</v>
      </c>
      <c r="GX78" s="16">
        <v>1886</v>
      </c>
      <c r="GY78" s="16">
        <v>52</v>
      </c>
      <c r="GZ78" s="16">
        <v>387</v>
      </c>
      <c r="HA78" s="16">
        <v>275</v>
      </c>
      <c r="HB78" s="16">
        <v>169</v>
      </c>
      <c r="HC78" s="16">
        <v>592</v>
      </c>
      <c r="HD78" s="16">
        <v>1098</v>
      </c>
      <c r="HE78" s="16">
        <v>120</v>
      </c>
      <c r="HF78" s="16">
        <v>1252</v>
      </c>
      <c r="HG78" s="16">
        <v>97</v>
      </c>
      <c r="HH78" s="16">
        <v>90</v>
      </c>
      <c r="HI78" s="16">
        <v>355</v>
      </c>
      <c r="HJ78" s="16">
        <v>86</v>
      </c>
      <c r="HK78" s="16">
        <v>271</v>
      </c>
      <c r="HL78" s="16">
        <v>1685</v>
      </c>
      <c r="HM78" s="16">
        <v>419</v>
      </c>
      <c r="HN78" s="16">
        <v>4835</v>
      </c>
      <c r="HO78" s="16">
        <v>492</v>
      </c>
      <c r="HP78" s="16">
        <v>204</v>
      </c>
      <c r="HQ78" s="16">
        <v>1170</v>
      </c>
      <c r="HR78" s="16">
        <v>1067</v>
      </c>
      <c r="HS78" s="16">
        <v>585</v>
      </c>
      <c r="HT78" s="16">
        <v>19</v>
      </c>
      <c r="HU78" s="16">
        <v>967</v>
      </c>
      <c r="HV78" s="16">
        <v>265</v>
      </c>
      <c r="HW78" s="16">
        <v>437</v>
      </c>
      <c r="HX78" s="16">
        <v>521</v>
      </c>
      <c r="HY78" s="16">
        <v>1062</v>
      </c>
      <c r="HZ78" s="16">
        <v>1434</v>
      </c>
      <c r="IA78" s="16">
        <v>434</v>
      </c>
      <c r="IB78" s="16">
        <v>97</v>
      </c>
      <c r="IC78" s="16">
        <v>50</v>
      </c>
      <c r="ID78" s="16">
        <v>71</v>
      </c>
      <c r="IE78" s="16">
        <v>25</v>
      </c>
      <c r="IF78" s="16">
        <v>71</v>
      </c>
      <c r="IG78" s="16">
        <v>734</v>
      </c>
      <c r="IH78" s="16">
        <v>336</v>
      </c>
      <c r="II78" s="16">
        <v>43</v>
      </c>
      <c r="IJ78" s="16">
        <v>1</v>
      </c>
      <c r="IK78" s="16">
        <v>14</v>
      </c>
      <c r="IL78" s="16">
        <v>46</v>
      </c>
      <c r="IM78" s="16">
        <v>10</v>
      </c>
      <c r="IN78" s="16">
        <v>322</v>
      </c>
      <c r="IO78" s="16">
        <v>934</v>
      </c>
      <c r="IP78" s="16">
        <v>30</v>
      </c>
      <c r="IQ78" s="16">
        <v>12</v>
      </c>
      <c r="IR78" s="16">
        <v>15</v>
      </c>
      <c r="IS78" s="16">
        <v>114</v>
      </c>
      <c r="IT78" s="16">
        <v>13</v>
      </c>
      <c r="IU78" s="16">
        <v>10</v>
      </c>
      <c r="IV78" s="16">
        <v>391</v>
      </c>
      <c r="IW78" s="16">
        <v>863</v>
      </c>
      <c r="IX78" s="16">
        <v>423</v>
      </c>
      <c r="IY78" s="16">
        <v>58</v>
      </c>
      <c r="IZ78" s="16">
        <v>442</v>
      </c>
      <c r="JA78" s="16">
        <v>28722</v>
      </c>
      <c r="JB78" s="16">
        <v>1650</v>
      </c>
      <c r="JC78" s="16">
        <v>37</v>
      </c>
      <c r="JD78" s="16">
        <v>24</v>
      </c>
      <c r="JE78" s="16">
        <v>1288</v>
      </c>
      <c r="JF78" s="16">
        <v>593</v>
      </c>
      <c r="JG78" s="16">
        <v>23483</v>
      </c>
      <c r="JH78" s="16">
        <v>2514</v>
      </c>
      <c r="JI78" s="16">
        <v>83</v>
      </c>
      <c r="JJ78" s="16">
        <v>227</v>
      </c>
      <c r="JK78" s="16">
        <v>277</v>
      </c>
      <c r="JL78" s="16">
        <v>60</v>
      </c>
      <c r="JM78" s="16">
        <v>41</v>
      </c>
      <c r="JN78" s="16">
        <v>633</v>
      </c>
      <c r="JO78" s="16">
        <v>39</v>
      </c>
      <c r="JP78" s="16">
        <v>5911</v>
      </c>
      <c r="JQ78" s="16">
        <v>293</v>
      </c>
      <c r="JR78" s="16">
        <v>4269</v>
      </c>
      <c r="JS78" s="16">
        <v>2011</v>
      </c>
      <c r="JT78" s="16">
        <v>0</v>
      </c>
      <c r="JU78" s="16">
        <v>10765</v>
      </c>
      <c r="JV78" s="16">
        <v>635</v>
      </c>
      <c r="JW78" s="16">
        <v>907</v>
      </c>
      <c r="JX78" s="16">
        <v>967</v>
      </c>
      <c r="JY78" s="16">
        <v>1927</v>
      </c>
      <c r="JZ78" s="16">
        <v>47</v>
      </c>
      <c r="KA78" s="16">
        <v>163</v>
      </c>
      <c r="KB78" s="16">
        <v>41</v>
      </c>
      <c r="KC78" s="16">
        <v>84</v>
      </c>
      <c r="KD78" s="16">
        <v>6</v>
      </c>
      <c r="KE78" s="16">
        <v>21</v>
      </c>
      <c r="KF78" s="16">
        <v>322</v>
      </c>
      <c r="KG78" s="16">
        <v>412</v>
      </c>
      <c r="KH78" s="16">
        <v>33</v>
      </c>
      <c r="KI78" s="16">
        <v>53</v>
      </c>
      <c r="KJ78" s="16">
        <v>12</v>
      </c>
      <c r="KK78" s="16">
        <v>132030</v>
      </c>
      <c r="KL78" s="16">
        <v>10</v>
      </c>
      <c r="KM78" s="16">
        <v>489</v>
      </c>
      <c r="KN78" s="16">
        <v>204</v>
      </c>
      <c r="KO78" s="16">
        <v>989</v>
      </c>
      <c r="KP78" s="16">
        <v>44</v>
      </c>
      <c r="KQ78" s="16">
        <v>53</v>
      </c>
      <c r="KR78" s="16">
        <v>4925</v>
      </c>
      <c r="KS78" s="16">
        <v>27</v>
      </c>
      <c r="KT78" s="16">
        <v>276</v>
      </c>
      <c r="KU78" s="16">
        <v>7157</v>
      </c>
      <c r="KV78" s="16">
        <v>6234</v>
      </c>
      <c r="KW78" s="16">
        <v>16199</v>
      </c>
      <c r="KX78" s="16">
        <v>101</v>
      </c>
      <c r="KY78" s="16">
        <v>5514</v>
      </c>
      <c r="KZ78" s="16">
        <v>97544</v>
      </c>
      <c r="LA78" s="16">
        <v>4801</v>
      </c>
      <c r="LB78" s="16">
        <v>1756</v>
      </c>
      <c r="LC78" s="16">
        <v>5381</v>
      </c>
      <c r="LD78" s="16">
        <v>4391</v>
      </c>
      <c r="LE78" s="16">
        <v>1997</v>
      </c>
      <c r="LF78" s="16">
        <v>0</v>
      </c>
      <c r="LG78" s="16">
        <v>262</v>
      </c>
      <c r="LH78" s="16">
        <v>2306</v>
      </c>
      <c r="LI78" s="16">
        <v>7</v>
      </c>
      <c r="LJ78" s="16">
        <v>2279</v>
      </c>
      <c r="LK78" s="16">
        <v>1633</v>
      </c>
      <c r="LL78" s="16">
        <v>2108</v>
      </c>
      <c r="LM78" s="16">
        <v>2569</v>
      </c>
      <c r="LN78" s="16">
        <v>11294</v>
      </c>
      <c r="LO78" s="16">
        <v>183</v>
      </c>
      <c r="LP78" s="16">
        <v>2619</v>
      </c>
      <c r="LQ78" s="16">
        <v>1947</v>
      </c>
      <c r="LR78" s="16">
        <v>2492</v>
      </c>
      <c r="LS78" s="16">
        <v>1725</v>
      </c>
      <c r="LT78" s="16">
        <v>4008</v>
      </c>
      <c r="LU78" s="16">
        <v>1786</v>
      </c>
      <c r="LV78" s="16">
        <v>20</v>
      </c>
      <c r="LW78" s="16">
        <v>2693</v>
      </c>
      <c r="LX78" s="16">
        <v>2623</v>
      </c>
      <c r="LY78" s="16">
        <v>0</v>
      </c>
      <c r="LZ78" s="16">
        <v>3127</v>
      </c>
      <c r="MA78" s="16">
        <v>22818</v>
      </c>
      <c r="MB78" s="16">
        <v>29527</v>
      </c>
      <c r="MC78" s="16">
        <v>3767</v>
      </c>
      <c r="MD78" s="16">
        <v>2607</v>
      </c>
      <c r="ME78" s="16">
        <v>2812</v>
      </c>
      <c r="MF78" s="16">
        <v>3182</v>
      </c>
      <c r="MG78" s="16">
        <v>10431</v>
      </c>
      <c r="MH78" s="16">
        <v>61941</v>
      </c>
      <c r="MI78" s="16">
        <v>1312</v>
      </c>
      <c r="MJ78" s="16">
        <v>2933</v>
      </c>
      <c r="MK78" s="16">
        <v>15283</v>
      </c>
      <c r="ML78" s="16">
        <v>2632</v>
      </c>
      <c r="MM78" s="16">
        <v>22957</v>
      </c>
      <c r="MN78" s="16">
        <v>96397</v>
      </c>
      <c r="MO78" s="16">
        <v>5392</v>
      </c>
      <c r="MP78" s="16">
        <v>26861</v>
      </c>
      <c r="MQ78" s="16">
        <v>50838</v>
      </c>
      <c r="MR78" s="16">
        <v>14653</v>
      </c>
      <c r="MS78" s="16">
        <v>415</v>
      </c>
      <c r="MT78" s="16">
        <v>1313</v>
      </c>
      <c r="MU78" s="16">
        <v>13031</v>
      </c>
      <c r="MV78" s="16">
        <v>1984</v>
      </c>
      <c r="MW78" s="16">
        <v>31050</v>
      </c>
      <c r="MX78" s="16">
        <v>55</v>
      </c>
      <c r="MY78" s="16">
        <v>599</v>
      </c>
      <c r="MZ78" s="16">
        <v>7552</v>
      </c>
      <c r="NA78" s="16">
        <v>1518</v>
      </c>
      <c r="NB78" s="16">
        <v>21043</v>
      </c>
      <c r="NC78" s="16">
        <v>1671</v>
      </c>
      <c r="ND78" s="16">
        <v>1477</v>
      </c>
      <c r="NE78" s="16">
        <v>564</v>
      </c>
      <c r="NF78" s="16">
        <v>7268</v>
      </c>
      <c r="NG78" s="16">
        <v>33233</v>
      </c>
      <c r="NH78" s="16">
        <v>5577</v>
      </c>
      <c r="NI78" s="16">
        <v>24532</v>
      </c>
      <c r="NJ78" s="16">
        <v>16055</v>
      </c>
      <c r="NK78" s="16">
        <v>7161</v>
      </c>
      <c r="NL78" s="16">
        <v>612</v>
      </c>
      <c r="NM78" s="16">
        <v>6505</v>
      </c>
      <c r="NN78" s="16">
        <v>6476</v>
      </c>
      <c r="NO78" s="16">
        <v>0</v>
      </c>
      <c r="NP78" s="16">
        <v>4998</v>
      </c>
      <c r="NQ78" s="16">
        <v>185</v>
      </c>
      <c r="NR78" s="17">
        <v>1243915</v>
      </c>
    </row>
    <row r="79" spans="1:382" ht="13.5" customHeight="1" x14ac:dyDescent="0.2">
      <c r="A79" s="2" t="s">
        <v>165</v>
      </c>
      <c r="B79" s="16">
        <v>297</v>
      </c>
      <c r="C79" s="16">
        <v>38</v>
      </c>
      <c r="D79" s="16">
        <v>23</v>
      </c>
      <c r="E79" s="16">
        <v>8</v>
      </c>
      <c r="F79" s="16">
        <v>353</v>
      </c>
      <c r="G79" s="16">
        <v>55</v>
      </c>
      <c r="H79" s="16">
        <v>15</v>
      </c>
      <c r="I79" s="16">
        <v>24</v>
      </c>
      <c r="J79" s="16">
        <v>6</v>
      </c>
      <c r="K79" s="16">
        <v>0</v>
      </c>
      <c r="L79" s="16">
        <v>17</v>
      </c>
      <c r="M79" s="16">
        <v>3</v>
      </c>
      <c r="N79" s="16">
        <v>0</v>
      </c>
      <c r="O79" s="16">
        <v>1</v>
      </c>
      <c r="P79" s="16">
        <v>112</v>
      </c>
      <c r="Q79" s="16">
        <v>177</v>
      </c>
      <c r="R79" s="16">
        <v>35</v>
      </c>
      <c r="S79" s="16">
        <v>30</v>
      </c>
      <c r="T79" s="16">
        <v>8</v>
      </c>
      <c r="U79" s="16">
        <v>65</v>
      </c>
      <c r="V79" s="16">
        <v>22</v>
      </c>
      <c r="W79" s="16">
        <v>20</v>
      </c>
      <c r="X79" s="16">
        <v>164</v>
      </c>
      <c r="Y79" s="16">
        <v>1896</v>
      </c>
      <c r="Z79" s="16">
        <v>1143</v>
      </c>
      <c r="AA79" s="16">
        <v>2</v>
      </c>
      <c r="AB79" s="16">
        <v>0</v>
      </c>
      <c r="AC79" s="16">
        <v>0</v>
      </c>
      <c r="AD79" s="16">
        <v>0</v>
      </c>
      <c r="AE79" s="16">
        <v>23</v>
      </c>
      <c r="AF79" s="16">
        <v>1</v>
      </c>
      <c r="AG79" s="16">
        <v>180</v>
      </c>
      <c r="AH79" s="16">
        <v>255</v>
      </c>
      <c r="AI79" s="16">
        <v>35</v>
      </c>
      <c r="AJ79" s="16">
        <v>4202</v>
      </c>
      <c r="AK79" s="16">
        <v>5340</v>
      </c>
      <c r="AL79" s="16">
        <v>45</v>
      </c>
      <c r="AM79" s="16">
        <v>904</v>
      </c>
      <c r="AN79" s="16">
        <v>275</v>
      </c>
      <c r="AO79" s="16">
        <v>1739</v>
      </c>
      <c r="AP79" s="16">
        <v>8</v>
      </c>
      <c r="AQ79" s="16">
        <v>30</v>
      </c>
      <c r="AR79" s="16">
        <v>0</v>
      </c>
      <c r="AS79" s="16">
        <v>94</v>
      </c>
      <c r="AT79" s="16">
        <v>24</v>
      </c>
      <c r="AU79" s="16">
        <v>233</v>
      </c>
      <c r="AV79" s="16">
        <v>189</v>
      </c>
      <c r="AW79" s="16">
        <v>581</v>
      </c>
      <c r="AX79" s="16">
        <v>44</v>
      </c>
      <c r="AY79" s="16">
        <v>135</v>
      </c>
      <c r="AZ79" s="16">
        <v>88</v>
      </c>
      <c r="BA79" s="16">
        <v>1727</v>
      </c>
      <c r="BB79" s="16">
        <v>671</v>
      </c>
      <c r="BC79" s="16">
        <v>508</v>
      </c>
      <c r="BD79" s="16">
        <v>3</v>
      </c>
      <c r="BE79" s="16">
        <v>119</v>
      </c>
      <c r="BF79" s="16">
        <v>407</v>
      </c>
      <c r="BG79" s="16">
        <v>134</v>
      </c>
      <c r="BH79" s="16">
        <v>305</v>
      </c>
      <c r="BI79" s="16">
        <v>50</v>
      </c>
      <c r="BJ79" s="16">
        <v>21</v>
      </c>
      <c r="BK79" s="16">
        <v>14</v>
      </c>
      <c r="BL79" s="16">
        <v>229</v>
      </c>
      <c r="BM79" s="16">
        <v>27</v>
      </c>
      <c r="BN79" s="16">
        <v>1160</v>
      </c>
      <c r="BO79" s="16">
        <v>223</v>
      </c>
      <c r="BP79" s="16">
        <v>131</v>
      </c>
      <c r="BQ79" s="16">
        <v>36</v>
      </c>
      <c r="BR79" s="16">
        <v>9</v>
      </c>
      <c r="BS79" s="16">
        <v>78</v>
      </c>
      <c r="BT79" s="16">
        <v>2</v>
      </c>
      <c r="BU79" s="16">
        <v>4</v>
      </c>
      <c r="BV79" s="16">
        <v>1</v>
      </c>
      <c r="BW79" s="16">
        <v>19</v>
      </c>
      <c r="BX79" s="16">
        <v>8</v>
      </c>
      <c r="BY79" s="16">
        <v>0</v>
      </c>
      <c r="BZ79" s="16">
        <v>4073</v>
      </c>
      <c r="CA79" s="16">
        <v>626036</v>
      </c>
      <c r="CB79" s="16">
        <v>5</v>
      </c>
      <c r="CC79" s="16">
        <v>100</v>
      </c>
      <c r="CD79" s="16">
        <v>179</v>
      </c>
      <c r="CE79" s="16">
        <v>15</v>
      </c>
      <c r="CF79" s="16">
        <v>279</v>
      </c>
      <c r="CG79" s="16">
        <v>119</v>
      </c>
      <c r="CH79" s="16">
        <v>121</v>
      </c>
      <c r="CI79" s="16">
        <v>9</v>
      </c>
      <c r="CJ79" s="16">
        <v>121</v>
      </c>
      <c r="CK79" s="16">
        <v>529</v>
      </c>
      <c r="CL79" s="16">
        <v>144</v>
      </c>
      <c r="CM79" s="16">
        <v>178</v>
      </c>
      <c r="CN79" s="16">
        <v>111</v>
      </c>
      <c r="CO79" s="16">
        <v>593</v>
      </c>
      <c r="CP79" s="16">
        <v>154</v>
      </c>
      <c r="CQ79" s="16">
        <v>365</v>
      </c>
      <c r="CR79" s="16">
        <v>127</v>
      </c>
      <c r="CS79" s="16">
        <v>25</v>
      </c>
      <c r="CT79" s="16">
        <v>10</v>
      </c>
      <c r="CU79" s="16">
        <v>24</v>
      </c>
      <c r="CV79" s="16">
        <v>33</v>
      </c>
      <c r="CW79" s="16">
        <v>117</v>
      </c>
      <c r="CX79" s="16">
        <v>141</v>
      </c>
      <c r="CY79" s="16">
        <v>7</v>
      </c>
      <c r="CZ79" s="16">
        <v>173</v>
      </c>
      <c r="DA79" s="16">
        <v>5</v>
      </c>
      <c r="DB79" s="16">
        <v>25</v>
      </c>
      <c r="DC79" s="16">
        <v>39</v>
      </c>
      <c r="DD79" s="16">
        <v>189</v>
      </c>
      <c r="DE79" s="16">
        <v>92</v>
      </c>
      <c r="DF79" s="16">
        <v>808</v>
      </c>
      <c r="DG79" s="16">
        <v>665</v>
      </c>
      <c r="DH79" s="16">
        <v>175</v>
      </c>
      <c r="DI79" s="16">
        <v>428</v>
      </c>
      <c r="DJ79" s="16">
        <v>4890</v>
      </c>
      <c r="DK79" s="16">
        <v>56</v>
      </c>
      <c r="DL79" s="16">
        <v>153</v>
      </c>
      <c r="DM79" s="16">
        <v>9703</v>
      </c>
      <c r="DN79" s="16">
        <v>82</v>
      </c>
      <c r="DO79" s="16">
        <v>234</v>
      </c>
      <c r="DP79" s="16">
        <v>694</v>
      </c>
      <c r="DQ79" s="16">
        <v>73</v>
      </c>
      <c r="DR79" s="16">
        <v>29</v>
      </c>
      <c r="DS79" s="16">
        <v>668</v>
      </c>
      <c r="DT79" s="16">
        <v>183</v>
      </c>
      <c r="DU79" s="16">
        <v>176</v>
      </c>
      <c r="DV79" s="16">
        <v>82</v>
      </c>
      <c r="DW79" s="16">
        <v>713</v>
      </c>
      <c r="DX79" s="16">
        <v>472</v>
      </c>
      <c r="DY79" s="16">
        <v>331</v>
      </c>
      <c r="DZ79" s="16">
        <v>1479</v>
      </c>
      <c r="EA79" s="16">
        <v>450</v>
      </c>
      <c r="EB79" s="16">
        <v>15</v>
      </c>
      <c r="EC79" s="16">
        <v>142</v>
      </c>
      <c r="ED79" s="16">
        <v>164</v>
      </c>
      <c r="EE79" s="16">
        <v>1</v>
      </c>
      <c r="EF79" s="16">
        <v>4</v>
      </c>
      <c r="EG79" s="16">
        <v>84</v>
      </c>
      <c r="EH79" s="16">
        <v>11</v>
      </c>
      <c r="EI79" s="16">
        <v>60</v>
      </c>
      <c r="EJ79" s="16">
        <v>138</v>
      </c>
      <c r="EK79" s="16">
        <v>37</v>
      </c>
      <c r="EL79" s="16">
        <v>28</v>
      </c>
      <c r="EM79" s="16">
        <v>72</v>
      </c>
      <c r="EN79" s="16">
        <v>1511</v>
      </c>
      <c r="EO79" s="16">
        <v>982</v>
      </c>
      <c r="EP79" s="16">
        <v>32</v>
      </c>
      <c r="EQ79" s="16">
        <v>1113</v>
      </c>
      <c r="ER79" s="16">
        <v>18</v>
      </c>
      <c r="ES79" s="16">
        <v>14</v>
      </c>
      <c r="ET79" s="16">
        <v>2295</v>
      </c>
      <c r="EU79" s="16">
        <v>83</v>
      </c>
      <c r="EV79" s="16">
        <v>185</v>
      </c>
      <c r="EW79" s="16">
        <v>23</v>
      </c>
      <c r="EX79" s="16">
        <v>4625</v>
      </c>
      <c r="EY79" s="16">
        <v>336</v>
      </c>
      <c r="EZ79" s="16">
        <v>5</v>
      </c>
      <c r="FA79" s="16">
        <v>11</v>
      </c>
      <c r="FB79" s="16">
        <v>41</v>
      </c>
      <c r="FC79" s="16">
        <v>4</v>
      </c>
      <c r="FD79" s="16">
        <v>3205</v>
      </c>
      <c r="FE79" s="16">
        <v>311</v>
      </c>
      <c r="FF79" s="16">
        <v>169</v>
      </c>
      <c r="FG79" s="16">
        <v>2663</v>
      </c>
      <c r="FH79" s="16">
        <v>8</v>
      </c>
      <c r="FI79" s="16">
        <v>50</v>
      </c>
      <c r="FJ79" s="16">
        <v>9</v>
      </c>
      <c r="FK79" s="16">
        <v>17</v>
      </c>
      <c r="FL79" s="16">
        <v>24</v>
      </c>
      <c r="FM79" s="16">
        <v>125</v>
      </c>
      <c r="FN79" s="16">
        <v>1684</v>
      </c>
      <c r="FO79" s="16">
        <v>542</v>
      </c>
      <c r="FP79" s="16">
        <v>1252</v>
      </c>
      <c r="FQ79" s="16">
        <v>4204</v>
      </c>
      <c r="FR79" s="16">
        <v>3046</v>
      </c>
      <c r="FS79" s="16">
        <v>3098</v>
      </c>
      <c r="FT79" s="16">
        <v>786</v>
      </c>
      <c r="FU79" s="16">
        <v>3519</v>
      </c>
      <c r="FV79" s="16">
        <v>1960</v>
      </c>
      <c r="FW79" s="16">
        <v>901</v>
      </c>
      <c r="FX79" s="16">
        <v>2006</v>
      </c>
      <c r="FY79" s="16">
        <v>103</v>
      </c>
      <c r="FZ79" s="16">
        <v>634</v>
      </c>
      <c r="GA79" s="16">
        <v>86</v>
      </c>
      <c r="GB79" s="16">
        <v>2410</v>
      </c>
      <c r="GC79" s="16">
        <v>2704</v>
      </c>
      <c r="GD79" s="16">
        <v>705</v>
      </c>
      <c r="GE79" s="16">
        <v>16</v>
      </c>
      <c r="GF79" s="16">
        <v>366</v>
      </c>
      <c r="GG79" s="16">
        <v>1</v>
      </c>
      <c r="GH79" s="16">
        <v>296</v>
      </c>
      <c r="GI79" s="16">
        <v>21</v>
      </c>
      <c r="GJ79" s="16">
        <v>110</v>
      </c>
      <c r="GK79" s="16">
        <v>23</v>
      </c>
      <c r="GL79" s="16">
        <v>23</v>
      </c>
      <c r="GM79" s="16">
        <v>3</v>
      </c>
      <c r="GN79" s="16">
        <v>15</v>
      </c>
      <c r="GO79" s="16">
        <v>444</v>
      </c>
      <c r="GP79" s="16">
        <v>6</v>
      </c>
      <c r="GQ79" s="16">
        <v>0</v>
      </c>
      <c r="GR79" s="16">
        <v>10</v>
      </c>
      <c r="GS79" s="16">
        <v>8</v>
      </c>
      <c r="GT79" s="16">
        <v>2</v>
      </c>
      <c r="GU79" s="16">
        <v>445</v>
      </c>
      <c r="GV79" s="16">
        <v>350</v>
      </c>
      <c r="GW79" s="16">
        <v>21</v>
      </c>
      <c r="GX79" s="16">
        <v>7</v>
      </c>
      <c r="GY79" s="16">
        <v>2</v>
      </c>
      <c r="GZ79" s="16">
        <v>602</v>
      </c>
      <c r="HA79" s="16">
        <v>114</v>
      </c>
      <c r="HB79" s="16">
        <v>600</v>
      </c>
      <c r="HC79" s="16">
        <v>343</v>
      </c>
      <c r="HD79" s="16">
        <v>503</v>
      </c>
      <c r="HE79" s="16">
        <v>10</v>
      </c>
      <c r="HF79" s="16">
        <v>110</v>
      </c>
      <c r="HG79" s="16">
        <v>81</v>
      </c>
      <c r="HH79" s="16">
        <v>63</v>
      </c>
      <c r="HI79" s="16">
        <v>114</v>
      </c>
      <c r="HJ79" s="16">
        <v>30</v>
      </c>
      <c r="HK79" s="16">
        <v>30</v>
      </c>
      <c r="HL79" s="16">
        <v>309</v>
      </c>
      <c r="HM79" s="16">
        <v>215</v>
      </c>
      <c r="HN79" s="16">
        <v>1337</v>
      </c>
      <c r="HO79" s="16">
        <v>444</v>
      </c>
      <c r="HP79" s="16">
        <v>87</v>
      </c>
      <c r="HQ79" s="16">
        <v>1951</v>
      </c>
      <c r="HR79" s="16">
        <v>598</v>
      </c>
      <c r="HS79" s="16">
        <v>370</v>
      </c>
      <c r="HT79" s="16">
        <v>7</v>
      </c>
      <c r="HU79" s="16">
        <v>1972</v>
      </c>
      <c r="HV79" s="16">
        <v>577</v>
      </c>
      <c r="HW79" s="16">
        <v>443</v>
      </c>
      <c r="HX79" s="16">
        <v>859</v>
      </c>
      <c r="HY79" s="16">
        <v>1136</v>
      </c>
      <c r="HZ79" s="16">
        <v>1649</v>
      </c>
      <c r="IA79" s="16">
        <v>516</v>
      </c>
      <c r="IB79" s="16">
        <v>144</v>
      </c>
      <c r="IC79" s="16">
        <v>34</v>
      </c>
      <c r="ID79" s="16">
        <v>40</v>
      </c>
      <c r="IE79" s="16">
        <v>37</v>
      </c>
      <c r="IF79" s="16">
        <v>36</v>
      </c>
      <c r="IG79" s="16">
        <v>2015</v>
      </c>
      <c r="IH79" s="16">
        <v>129</v>
      </c>
      <c r="II79" s="16">
        <v>20</v>
      </c>
      <c r="IJ79" s="16">
        <v>10</v>
      </c>
      <c r="IK79" s="16">
        <v>60</v>
      </c>
      <c r="IL79" s="16">
        <v>256</v>
      </c>
      <c r="IM79" s="16">
        <v>9</v>
      </c>
      <c r="IN79" s="16">
        <v>234</v>
      </c>
      <c r="IO79" s="16">
        <v>758</v>
      </c>
      <c r="IP79" s="16">
        <v>35</v>
      </c>
      <c r="IQ79" s="16">
        <v>40</v>
      </c>
      <c r="IR79" s="16">
        <v>42</v>
      </c>
      <c r="IS79" s="16">
        <v>93</v>
      </c>
      <c r="IT79" s="16">
        <v>4</v>
      </c>
      <c r="IU79" s="16">
        <v>2</v>
      </c>
      <c r="IV79" s="16">
        <v>198</v>
      </c>
      <c r="IW79" s="16">
        <v>69</v>
      </c>
      <c r="IX79" s="16">
        <v>837</v>
      </c>
      <c r="IY79" s="16">
        <v>54</v>
      </c>
      <c r="IZ79" s="16">
        <v>1</v>
      </c>
      <c r="JA79" s="16">
        <v>11</v>
      </c>
      <c r="JB79" s="16">
        <v>3</v>
      </c>
      <c r="JC79" s="16">
        <v>16</v>
      </c>
      <c r="JD79" s="16">
        <v>2</v>
      </c>
      <c r="JE79" s="16">
        <v>271</v>
      </c>
      <c r="JF79" s="16">
        <v>516</v>
      </c>
      <c r="JG79" s="16">
        <v>611519</v>
      </c>
      <c r="JH79" s="16">
        <v>270</v>
      </c>
      <c r="JI79" s="16">
        <v>195</v>
      </c>
      <c r="JJ79" s="16">
        <v>1899</v>
      </c>
      <c r="JK79" s="16">
        <v>323</v>
      </c>
      <c r="JL79" s="16">
        <v>104</v>
      </c>
      <c r="JM79" s="16">
        <v>744</v>
      </c>
      <c r="JN79" s="16">
        <v>12987</v>
      </c>
      <c r="JO79" s="16">
        <v>84</v>
      </c>
      <c r="JP79" s="16">
        <v>4368</v>
      </c>
      <c r="JQ79" s="16">
        <v>270</v>
      </c>
      <c r="JR79" s="16">
        <v>5285</v>
      </c>
      <c r="JS79" s="16">
        <v>2136</v>
      </c>
      <c r="JT79" s="16">
        <v>0</v>
      </c>
      <c r="JU79" s="16">
        <v>6694</v>
      </c>
      <c r="JV79" s="16">
        <v>7323</v>
      </c>
      <c r="JW79" s="16">
        <v>1698</v>
      </c>
      <c r="JX79" s="16">
        <v>2328</v>
      </c>
      <c r="JY79" s="16">
        <v>787</v>
      </c>
      <c r="JZ79" s="16">
        <v>239</v>
      </c>
      <c r="KA79" s="16">
        <v>153</v>
      </c>
      <c r="KB79" s="16">
        <v>37</v>
      </c>
      <c r="KC79" s="16">
        <v>70</v>
      </c>
      <c r="KD79" s="16">
        <v>60</v>
      </c>
      <c r="KE79" s="16">
        <v>20</v>
      </c>
      <c r="KF79" s="16">
        <v>179</v>
      </c>
      <c r="KG79" s="16">
        <v>172</v>
      </c>
      <c r="KH79" s="16">
        <v>234</v>
      </c>
      <c r="KI79" s="16">
        <v>124</v>
      </c>
      <c r="KJ79" s="16">
        <v>73</v>
      </c>
      <c r="KK79" s="16">
        <v>745559</v>
      </c>
      <c r="KL79" s="16">
        <v>51</v>
      </c>
      <c r="KM79" s="16">
        <v>342</v>
      </c>
      <c r="KN79" s="16">
        <v>22</v>
      </c>
      <c r="KO79" s="16">
        <v>257</v>
      </c>
      <c r="KP79" s="16">
        <v>4</v>
      </c>
      <c r="KQ79" s="16">
        <v>18</v>
      </c>
      <c r="KR79" s="16">
        <v>16471</v>
      </c>
      <c r="KS79" s="16">
        <v>178</v>
      </c>
      <c r="KT79" s="16">
        <v>259</v>
      </c>
      <c r="KU79" s="16">
        <v>8664</v>
      </c>
      <c r="KV79" s="16">
        <v>10397</v>
      </c>
      <c r="KW79" s="16">
        <v>3983</v>
      </c>
      <c r="KX79" s="16">
        <v>5</v>
      </c>
      <c r="KY79" s="16">
        <v>111</v>
      </c>
      <c r="KZ79" s="16">
        <v>57646</v>
      </c>
      <c r="LA79" s="16">
        <v>32720</v>
      </c>
      <c r="LB79" s="16">
        <v>3856</v>
      </c>
      <c r="LC79" s="16">
        <v>12246</v>
      </c>
      <c r="LD79" s="16">
        <v>3553</v>
      </c>
      <c r="LE79" s="16">
        <v>856</v>
      </c>
      <c r="LF79" s="16">
        <v>254</v>
      </c>
      <c r="LG79" s="16">
        <v>58</v>
      </c>
      <c r="LH79" s="16">
        <v>924</v>
      </c>
      <c r="LI79" s="16">
        <v>1</v>
      </c>
      <c r="LJ79" s="16">
        <v>29</v>
      </c>
      <c r="LK79" s="16">
        <v>153</v>
      </c>
      <c r="LL79" s="16">
        <v>612</v>
      </c>
      <c r="LM79" s="16">
        <v>2278</v>
      </c>
      <c r="LN79" s="16">
        <v>398</v>
      </c>
      <c r="LO79" s="16">
        <v>48</v>
      </c>
      <c r="LP79" s="16">
        <v>1112</v>
      </c>
      <c r="LQ79" s="16">
        <v>209</v>
      </c>
      <c r="LR79" s="16">
        <v>1151</v>
      </c>
      <c r="LS79" s="16">
        <v>625</v>
      </c>
      <c r="LT79" s="16">
        <v>1365</v>
      </c>
      <c r="LU79" s="16">
        <v>103</v>
      </c>
      <c r="LV79" s="16">
        <v>12</v>
      </c>
      <c r="LW79" s="16">
        <v>78</v>
      </c>
      <c r="LX79" s="16">
        <v>7018</v>
      </c>
      <c r="LY79" s="16">
        <v>0</v>
      </c>
      <c r="LZ79" s="16">
        <v>779</v>
      </c>
      <c r="MA79" s="16">
        <v>1963</v>
      </c>
      <c r="MB79" s="16">
        <v>312</v>
      </c>
      <c r="MC79" s="16">
        <v>465</v>
      </c>
      <c r="MD79" s="16">
        <v>18</v>
      </c>
      <c r="ME79" s="16">
        <v>77</v>
      </c>
      <c r="MF79" s="16">
        <v>9822</v>
      </c>
      <c r="MG79" s="16">
        <v>1189</v>
      </c>
      <c r="MH79" s="16">
        <v>1853</v>
      </c>
      <c r="MI79" s="16">
        <v>837</v>
      </c>
      <c r="MJ79" s="16">
        <v>383</v>
      </c>
      <c r="MK79" s="16">
        <v>3442</v>
      </c>
      <c r="ML79" s="16">
        <v>515</v>
      </c>
      <c r="MM79" s="16">
        <v>4002</v>
      </c>
      <c r="MN79" s="16">
        <v>10238</v>
      </c>
      <c r="MO79" s="16">
        <v>13549</v>
      </c>
      <c r="MP79" s="16">
        <v>7733</v>
      </c>
      <c r="MQ79" s="16">
        <v>31090</v>
      </c>
      <c r="MR79" s="16">
        <v>57988</v>
      </c>
      <c r="MS79" s="16">
        <v>11332</v>
      </c>
      <c r="MT79" s="16">
        <v>4100</v>
      </c>
      <c r="MU79" s="16">
        <v>9716</v>
      </c>
      <c r="MV79" s="16">
        <v>11173</v>
      </c>
      <c r="MW79" s="16">
        <v>12608</v>
      </c>
      <c r="MX79" s="16">
        <v>148</v>
      </c>
      <c r="MY79" s="16">
        <v>252</v>
      </c>
      <c r="MZ79" s="16">
        <v>8252</v>
      </c>
      <c r="NA79" s="16">
        <v>591</v>
      </c>
      <c r="NB79" s="16">
        <v>86307</v>
      </c>
      <c r="NC79" s="16">
        <v>346</v>
      </c>
      <c r="ND79" s="16">
        <v>136</v>
      </c>
      <c r="NE79" s="16">
        <v>112</v>
      </c>
      <c r="NF79" s="16">
        <v>2012</v>
      </c>
      <c r="NG79" s="16">
        <v>56672</v>
      </c>
      <c r="NH79" s="16">
        <v>2835</v>
      </c>
      <c r="NI79" s="16">
        <v>1547</v>
      </c>
      <c r="NJ79" s="16">
        <v>26957</v>
      </c>
      <c r="NK79" s="16">
        <v>2332</v>
      </c>
      <c r="NL79" s="16">
        <v>4567</v>
      </c>
      <c r="NM79" s="16">
        <v>151</v>
      </c>
      <c r="NN79" s="16">
        <v>127</v>
      </c>
      <c r="NO79" s="16">
        <v>0</v>
      </c>
      <c r="NP79" s="16">
        <v>220</v>
      </c>
      <c r="NQ79" s="16">
        <v>269</v>
      </c>
      <c r="NR79" s="17">
        <v>2715995</v>
      </c>
    </row>
    <row r="80" spans="1:382" ht="13.5" customHeight="1" x14ac:dyDescent="0.2">
      <c r="A80" s="2" t="s">
        <v>167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59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103</v>
      </c>
      <c r="U80" s="16">
        <v>0</v>
      </c>
      <c r="V80" s="16">
        <v>0</v>
      </c>
      <c r="W80" s="16">
        <v>0</v>
      </c>
      <c r="X80" s="16">
        <v>210</v>
      </c>
      <c r="Y80" s="16">
        <v>0</v>
      </c>
      <c r="Z80" s="16">
        <v>676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3384</v>
      </c>
      <c r="AI80" s="16">
        <v>74</v>
      </c>
      <c r="AJ80" s="16">
        <v>0</v>
      </c>
      <c r="AK80" s="16">
        <v>0</v>
      </c>
      <c r="AL80" s="16">
        <v>5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13</v>
      </c>
      <c r="AV80" s="16">
        <v>32</v>
      </c>
      <c r="AW80" s="16">
        <v>1019</v>
      </c>
      <c r="AX80" s="16">
        <v>281</v>
      </c>
      <c r="AY80" s="16">
        <v>0</v>
      </c>
      <c r="AZ80" s="16">
        <v>0</v>
      </c>
      <c r="BA80" s="16">
        <v>0</v>
      </c>
      <c r="BB80" s="16">
        <v>0</v>
      </c>
      <c r="BC80" s="16">
        <v>81</v>
      </c>
      <c r="BD80" s="16">
        <v>0</v>
      </c>
      <c r="BE80" s="16">
        <v>2</v>
      </c>
      <c r="BF80" s="16">
        <v>131</v>
      </c>
      <c r="BG80" s="16">
        <v>81</v>
      </c>
      <c r="BH80" s="16">
        <v>0</v>
      </c>
      <c r="BI80" s="16">
        <v>0</v>
      </c>
      <c r="BJ80" s="16">
        <v>2</v>
      </c>
      <c r="BK80" s="16">
        <v>0</v>
      </c>
      <c r="BL80" s="16">
        <v>0</v>
      </c>
      <c r="BM80" s="16">
        <v>0</v>
      </c>
      <c r="BN80" s="16">
        <v>0</v>
      </c>
      <c r="BO80" s="16">
        <v>31</v>
      </c>
      <c r="BP80" s="16">
        <v>0</v>
      </c>
      <c r="BQ80" s="16">
        <v>5</v>
      </c>
      <c r="BR80" s="16">
        <v>397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18</v>
      </c>
      <c r="BY80" s="16">
        <v>0</v>
      </c>
      <c r="BZ80" s="16">
        <v>15</v>
      </c>
      <c r="CA80" s="16">
        <v>2</v>
      </c>
      <c r="CB80" s="16">
        <v>20681</v>
      </c>
      <c r="CC80" s="16">
        <v>0</v>
      </c>
      <c r="CD80" s="16">
        <v>0</v>
      </c>
      <c r="CE80" s="16">
        <v>0</v>
      </c>
      <c r="CF80" s="16">
        <v>0</v>
      </c>
      <c r="CG80" s="16">
        <v>0</v>
      </c>
      <c r="CH80" s="16">
        <v>0</v>
      </c>
      <c r="CI80" s="16">
        <v>0</v>
      </c>
      <c r="CJ80" s="16">
        <v>1194</v>
      </c>
      <c r="CK80" s="16">
        <v>9354</v>
      </c>
      <c r="CL80" s="16">
        <v>0</v>
      </c>
      <c r="CM80" s="16">
        <v>1588</v>
      </c>
      <c r="CN80" s="16">
        <v>787</v>
      </c>
      <c r="CO80" s="16">
        <v>0</v>
      </c>
      <c r="CP80" s="16">
        <v>4708</v>
      </c>
      <c r="CQ80" s="16">
        <v>0</v>
      </c>
      <c r="CR80" s="16">
        <v>0</v>
      </c>
      <c r="CS80" s="16">
        <v>0</v>
      </c>
      <c r="CT80" s="16">
        <v>0</v>
      </c>
      <c r="CU80" s="16">
        <v>0</v>
      </c>
      <c r="CV80" s="16">
        <v>0</v>
      </c>
      <c r="CW80" s="16">
        <v>0</v>
      </c>
      <c r="CX80" s="16">
        <v>0</v>
      </c>
      <c r="CY80" s="16">
        <v>0</v>
      </c>
      <c r="CZ80" s="16">
        <v>0</v>
      </c>
      <c r="DA80" s="16">
        <v>0</v>
      </c>
      <c r="DB80" s="16">
        <v>0</v>
      </c>
      <c r="DC80" s="16">
        <v>0</v>
      </c>
      <c r="DD80" s="16">
        <v>0</v>
      </c>
      <c r="DE80" s="16">
        <v>2</v>
      </c>
      <c r="DF80" s="16">
        <v>7</v>
      </c>
      <c r="DG80" s="16">
        <v>0</v>
      </c>
      <c r="DH80" s="16">
        <v>0</v>
      </c>
      <c r="DI80" s="16">
        <v>0</v>
      </c>
      <c r="DJ80" s="16">
        <v>0</v>
      </c>
      <c r="DK80" s="16">
        <v>0</v>
      </c>
      <c r="DL80" s="16">
        <v>0</v>
      </c>
      <c r="DM80" s="16">
        <v>332</v>
      </c>
      <c r="DN80" s="16">
        <v>0</v>
      </c>
      <c r="DO80" s="16">
        <v>8</v>
      </c>
      <c r="DP80" s="16">
        <v>0</v>
      </c>
      <c r="DQ80" s="16">
        <v>0</v>
      </c>
      <c r="DR80" s="16">
        <v>0</v>
      </c>
      <c r="DS80" s="16">
        <v>0</v>
      </c>
      <c r="DT80" s="16">
        <v>0</v>
      </c>
      <c r="DU80" s="16">
        <v>0</v>
      </c>
      <c r="DV80" s="16">
        <v>86</v>
      </c>
      <c r="DW80" s="16">
        <v>0</v>
      </c>
      <c r="DX80" s="16">
        <v>27</v>
      </c>
      <c r="DY80" s="16">
        <v>23</v>
      </c>
      <c r="DZ80" s="16">
        <v>108</v>
      </c>
      <c r="EA80" s="16">
        <v>37</v>
      </c>
      <c r="EB80" s="16">
        <v>0</v>
      </c>
      <c r="EC80" s="16">
        <v>0</v>
      </c>
      <c r="ED80" s="16">
        <v>0</v>
      </c>
      <c r="EE80" s="16">
        <v>7</v>
      </c>
      <c r="EF80" s="16">
        <v>19</v>
      </c>
      <c r="EG80" s="16">
        <v>1038</v>
      </c>
      <c r="EH80" s="16">
        <v>73</v>
      </c>
      <c r="EI80" s="16">
        <v>0</v>
      </c>
      <c r="EJ80" s="16">
        <v>0</v>
      </c>
      <c r="EK80" s="16">
        <v>242</v>
      </c>
      <c r="EL80" s="16">
        <v>0</v>
      </c>
      <c r="EM80" s="16">
        <v>8</v>
      </c>
      <c r="EN80" s="16">
        <v>0</v>
      </c>
      <c r="EO80" s="16">
        <v>0</v>
      </c>
      <c r="EP80" s="16">
        <v>0</v>
      </c>
      <c r="EQ80" s="16">
        <v>0</v>
      </c>
      <c r="ER80" s="16">
        <v>0</v>
      </c>
      <c r="ES80" s="16">
        <v>0</v>
      </c>
      <c r="ET80" s="16">
        <v>0</v>
      </c>
      <c r="EU80" s="16">
        <v>0</v>
      </c>
      <c r="EV80" s="16">
        <v>207</v>
      </c>
      <c r="EW80" s="16">
        <v>0</v>
      </c>
      <c r="EX80" s="16">
        <v>0</v>
      </c>
      <c r="EY80" s="16">
        <v>0</v>
      </c>
      <c r="EZ80" s="16">
        <v>0</v>
      </c>
      <c r="FA80" s="16">
        <v>47</v>
      </c>
      <c r="FB80" s="16">
        <v>263</v>
      </c>
      <c r="FC80" s="16">
        <v>0</v>
      </c>
      <c r="FD80" s="16">
        <v>0</v>
      </c>
      <c r="FE80" s="16">
        <v>0</v>
      </c>
      <c r="FF80" s="16">
        <v>0</v>
      </c>
      <c r="FG80" s="16">
        <v>0</v>
      </c>
      <c r="FH80" s="16">
        <v>0</v>
      </c>
      <c r="FI80" s="16">
        <v>0</v>
      </c>
      <c r="FJ80" s="16">
        <v>397</v>
      </c>
      <c r="FK80" s="16">
        <v>0</v>
      </c>
      <c r="FL80" s="16">
        <v>0</v>
      </c>
      <c r="FM80" s="16">
        <v>0</v>
      </c>
      <c r="FN80" s="16">
        <v>229</v>
      </c>
      <c r="FO80" s="16">
        <v>0</v>
      </c>
      <c r="FP80" s="16">
        <v>21</v>
      </c>
      <c r="FQ80" s="16">
        <v>22</v>
      </c>
      <c r="FR80" s="16">
        <v>88</v>
      </c>
      <c r="FS80" s="16">
        <v>0</v>
      </c>
      <c r="FT80" s="16">
        <v>0</v>
      </c>
      <c r="FU80" s="16">
        <v>18</v>
      </c>
      <c r="FV80" s="16">
        <v>0</v>
      </c>
      <c r="FW80" s="16">
        <v>8837</v>
      </c>
      <c r="FX80" s="16">
        <v>0</v>
      </c>
      <c r="FY80" s="16">
        <v>0</v>
      </c>
      <c r="FZ80" s="16">
        <v>0</v>
      </c>
      <c r="GA80" s="16">
        <v>0</v>
      </c>
      <c r="GB80" s="16">
        <v>0</v>
      </c>
      <c r="GC80" s="16">
        <v>0</v>
      </c>
      <c r="GD80" s="16">
        <v>1727</v>
      </c>
      <c r="GE80" s="16">
        <v>186</v>
      </c>
      <c r="GF80" s="16">
        <v>389</v>
      </c>
      <c r="GG80" s="16">
        <v>631</v>
      </c>
      <c r="GH80" s="16">
        <v>1009</v>
      </c>
      <c r="GI80" s="16">
        <v>1170</v>
      </c>
      <c r="GJ80" s="16">
        <v>9</v>
      </c>
      <c r="GK80" s="16">
        <v>611</v>
      </c>
      <c r="GL80" s="16">
        <v>0</v>
      </c>
      <c r="GM80" s="16">
        <v>8</v>
      </c>
      <c r="GN80" s="16">
        <v>2</v>
      </c>
      <c r="GO80" s="16">
        <v>45</v>
      </c>
      <c r="GP80" s="16">
        <v>17</v>
      </c>
      <c r="GQ80" s="16">
        <v>0</v>
      </c>
      <c r="GR80" s="16">
        <v>206</v>
      </c>
      <c r="GS80" s="16">
        <v>21</v>
      </c>
      <c r="GT80" s="16">
        <v>31</v>
      </c>
      <c r="GU80" s="16">
        <v>0</v>
      </c>
      <c r="GV80" s="16">
        <v>0</v>
      </c>
      <c r="GW80" s="16">
        <v>0</v>
      </c>
      <c r="GX80" s="16">
        <v>5</v>
      </c>
      <c r="GY80" s="16">
        <v>1306</v>
      </c>
      <c r="GZ80" s="16">
        <v>3171</v>
      </c>
      <c r="HA80" s="16">
        <v>0</v>
      </c>
      <c r="HB80" s="16">
        <v>0</v>
      </c>
      <c r="HC80" s="16">
        <v>0</v>
      </c>
      <c r="HD80" s="16">
        <v>0</v>
      </c>
      <c r="HE80" s="16">
        <v>0</v>
      </c>
      <c r="HF80" s="16">
        <v>37</v>
      </c>
      <c r="HG80" s="16">
        <v>6</v>
      </c>
      <c r="HH80" s="16">
        <v>0</v>
      </c>
      <c r="HI80" s="16">
        <v>0</v>
      </c>
      <c r="HJ80" s="16">
        <v>3</v>
      </c>
      <c r="HK80" s="16">
        <v>5</v>
      </c>
      <c r="HL80" s="16">
        <v>81</v>
      </c>
      <c r="HM80" s="16">
        <v>0</v>
      </c>
      <c r="HN80" s="16">
        <v>0</v>
      </c>
      <c r="HO80" s="16">
        <v>0</v>
      </c>
      <c r="HP80" s="16">
        <v>162</v>
      </c>
      <c r="HQ80" s="16">
        <v>1815</v>
      </c>
      <c r="HR80" s="16">
        <v>0</v>
      </c>
      <c r="HS80" s="16">
        <v>455</v>
      </c>
      <c r="HT80" s="16">
        <v>0</v>
      </c>
      <c r="HU80" s="16">
        <v>210</v>
      </c>
      <c r="HV80" s="16">
        <v>4147</v>
      </c>
      <c r="HW80" s="16">
        <v>299</v>
      </c>
      <c r="HX80" s="16">
        <v>53</v>
      </c>
      <c r="HY80" s="16">
        <v>0</v>
      </c>
      <c r="HZ80" s="16">
        <v>0</v>
      </c>
      <c r="IA80" s="16">
        <v>0</v>
      </c>
      <c r="IB80" s="16">
        <v>1069</v>
      </c>
      <c r="IC80" s="16">
        <v>0</v>
      </c>
      <c r="ID80" s="16">
        <v>729</v>
      </c>
      <c r="IE80" s="16">
        <v>0</v>
      </c>
      <c r="IF80" s="16">
        <v>758</v>
      </c>
      <c r="IG80" s="16">
        <v>2924</v>
      </c>
      <c r="IH80" s="16">
        <v>3923</v>
      </c>
      <c r="II80" s="16">
        <v>509</v>
      </c>
      <c r="IJ80" s="16">
        <v>108</v>
      </c>
      <c r="IK80" s="16">
        <v>0</v>
      </c>
      <c r="IL80" s="16">
        <v>0</v>
      </c>
      <c r="IM80" s="16">
        <v>0</v>
      </c>
      <c r="IN80" s="16">
        <v>1163</v>
      </c>
      <c r="IO80" s="16">
        <v>9248</v>
      </c>
      <c r="IP80" s="16">
        <v>2</v>
      </c>
      <c r="IQ80" s="16">
        <v>3</v>
      </c>
      <c r="IR80" s="16">
        <v>0</v>
      </c>
      <c r="IS80" s="16">
        <v>0</v>
      </c>
      <c r="IT80" s="16">
        <v>0</v>
      </c>
      <c r="IU80" s="16">
        <v>0</v>
      </c>
      <c r="IV80" s="16">
        <v>3973</v>
      </c>
      <c r="IW80" s="16">
        <v>26555</v>
      </c>
      <c r="IX80" s="16">
        <v>0</v>
      </c>
      <c r="IY80" s="16">
        <v>100149</v>
      </c>
      <c r="IZ80" s="16">
        <v>13</v>
      </c>
      <c r="JA80" s="16">
        <v>2279</v>
      </c>
      <c r="JB80" s="16">
        <v>0</v>
      </c>
      <c r="JC80" s="16">
        <v>3</v>
      </c>
      <c r="JD80" s="16">
        <v>0</v>
      </c>
      <c r="JE80" s="16">
        <v>0</v>
      </c>
      <c r="JF80" s="16">
        <v>75</v>
      </c>
      <c r="JG80" s="16">
        <v>7615</v>
      </c>
      <c r="JH80" s="16">
        <v>599</v>
      </c>
      <c r="JI80" s="16">
        <v>0</v>
      </c>
      <c r="JJ80" s="16">
        <v>0</v>
      </c>
      <c r="JK80" s="16">
        <v>0</v>
      </c>
      <c r="JL80" s="16">
        <v>0</v>
      </c>
      <c r="JM80" s="16">
        <v>0</v>
      </c>
      <c r="JN80" s="16">
        <v>0</v>
      </c>
      <c r="JO80" s="16">
        <v>0</v>
      </c>
      <c r="JP80" s="16">
        <v>0</v>
      </c>
      <c r="JQ80" s="16">
        <v>0</v>
      </c>
      <c r="JR80" s="16">
        <v>0</v>
      </c>
      <c r="JS80" s="16">
        <v>0</v>
      </c>
      <c r="JT80" s="16">
        <v>0</v>
      </c>
      <c r="JU80" s="16">
        <v>0</v>
      </c>
      <c r="JV80" s="16">
        <v>2</v>
      </c>
      <c r="JW80" s="16">
        <v>822</v>
      </c>
      <c r="JX80" s="16">
        <v>1131</v>
      </c>
      <c r="JY80" s="16">
        <v>2630</v>
      </c>
      <c r="JZ80" s="16">
        <v>212</v>
      </c>
      <c r="KA80" s="16">
        <v>1561</v>
      </c>
      <c r="KB80" s="16">
        <v>157</v>
      </c>
      <c r="KC80" s="16">
        <v>331</v>
      </c>
      <c r="KD80" s="16">
        <v>43</v>
      </c>
      <c r="KE80" s="16">
        <v>1</v>
      </c>
      <c r="KF80" s="16">
        <v>1836</v>
      </c>
      <c r="KG80" s="16">
        <v>586</v>
      </c>
      <c r="KH80" s="16">
        <v>108</v>
      </c>
      <c r="KI80" s="16">
        <v>40</v>
      </c>
      <c r="KJ80" s="16">
        <v>1</v>
      </c>
      <c r="KK80" s="16">
        <v>213</v>
      </c>
      <c r="KL80" s="16">
        <v>3</v>
      </c>
      <c r="KM80" s="16">
        <v>0</v>
      </c>
      <c r="KN80" s="16">
        <v>122</v>
      </c>
      <c r="KO80" s="16">
        <v>11769</v>
      </c>
      <c r="KP80" s="16">
        <v>64</v>
      </c>
      <c r="KQ80" s="16">
        <v>79</v>
      </c>
      <c r="KR80" s="16">
        <v>0</v>
      </c>
      <c r="KS80" s="16">
        <v>0</v>
      </c>
      <c r="KT80" s="16">
        <v>0</v>
      </c>
      <c r="KU80" s="16">
        <v>18988</v>
      </c>
      <c r="KV80" s="16">
        <v>0</v>
      </c>
      <c r="KW80" s="16">
        <v>0</v>
      </c>
      <c r="KX80" s="16">
        <v>0</v>
      </c>
      <c r="KY80" s="16">
        <v>0</v>
      </c>
      <c r="KZ80" s="16">
        <v>562</v>
      </c>
      <c r="LA80" s="16">
        <v>57</v>
      </c>
      <c r="LB80" s="16">
        <v>10</v>
      </c>
      <c r="LC80" s="16">
        <v>61</v>
      </c>
      <c r="LD80" s="16">
        <v>0</v>
      </c>
      <c r="LE80" s="16">
        <v>0</v>
      </c>
      <c r="LF80" s="16">
        <v>0</v>
      </c>
      <c r="LG80" s="16">
        <v>0</v>
      </c>
      <c r="LH80" s="16">
        <v>0</v>
      </c>
      <c r="LI80" s="16">
        <v>3</v>
      </c>
      <c r="LJ80" s="16">
        <v>11</v>
      </c>
      <c r="LK80" s="16">
        <v>0</v>
      </c>
      <c r="LL80" s="16">
        <v>0</v>
      </c>
      <c r="LM80" s="16">
        <v>0</v>
      </c>
      <c r="LN80" s="16">
        <v>0</v>
      </c>
      <c r="LO80" s="16">
        <v>0</v>
      </c>
      <c r="LP80" s="16">
        <v>0</v>
      </c>
      <c r="LQ80" s="16">
        <v>0</v>
      </c>
      <c r="LR80" s="16">
        <v>0</v>
      </c>
      <c r="LS80" s="16">
        <v>0</v>
      </c>
      <c r="LT80" s="16">
        <v>0</v>
      </c>
      <c r="LU80" s="16">
        <v>0</v>
      </c>
      <c r="LV80" s="16">
        <v>0</v>
      </c>
      <c r="LW80" s="16">
        <v>0</v>
      </c>
      <c r="LX80" s="16">
        <v>0</v>
      </c>
      <c r="LY80" s="16">
        <v>0</v>
      </c>
      <c r="LZ80" s="16">
        <v>0</v>
      </c>
      <c r="MA80" s="16">
        <v>0</v>
      </c>
      <c r="MB80" s="16">
        <v>0</v>
      </c>
      <c r="MC80" s="16">
        <v>0</v>
      </c>
      <c r="MD80" s="16">
        <v>0</v>
      </c>
      <c r="ME80" s="16">
        <v>0</v>
      </c>
      <c r="MF80" s="16">
        <v>0</v>
      </c>
      <c r="MG80" s="16">
        <v>0</v>
      </c>
      <c r="MH80" s="16">
        <v>0</v>
      </c>
      <c r="MI80" s="16">
        <v>0</v>
      </c>
      <c r="MJ80" s="16">
        <v>0</v>
      </c>
      <c r="MK80" s="16">
        <v>0</v>
      </c>
      <c r="ML80" s="16">
        <v>0</v>
      </c>
      <c r="MM80" s="16">
        <v>0</v>
      </c>
      <c r="MN80" s="16">
        <v>0</v>
      </c>
      <c r="MO80" s="16">
        <v>9440</v>
      </c>
      <c r="MP80" s="16">
        <v>0</v>
      </c>
      <c r="MQ80" s="16">
        <v>0</v>
      </c>
      <c r="MR80" s="16">
        <v>1485</v>
      </c>
      <c r="MS80" s="16">
        <v>1568</v>
      </c>
      <c r="MT80" s="16">
        <v>125</v>
      </c>
      <c r="MU80" s="16">
        <v>678</v>
      </c>
      <c r="MV80" s="16">
        <v>0</v>
      </c>
      <c r="MW80" s="16">
        <v>0</v>
      </c>
      <c r="MX80" s="16">
        <v>119</v>
      </c>
      <c r="MY80" s="16">
        <v>0</v>
      </c>
      <c r="MZ80" s="16">
        <v>27</v>
      </c>
      <c r="NA80" s="16">
        <v>559</v>
      </c>
      <c r="NB80" s="16">
        <v>0</v>
      </c>
      <c r="NC80" s="16">
        <v>749</v>
      </c>
      <c r="ND80" s="16">
        <v>0</v>
      </c>
      <c r="NE80" s="16">
        <v>0</v>
      </c>
      <c r="NF80" s="16">
        <v>0</v>
      </c>
      <c r="NG80" s="16">
        <v>70747</v>
      </c>
      <c r="NH80" s="16">
        <v>15499</v>
      </c>
      <c r="NI80" s="16">
        <v>0</v>
      </c>
      <c r="NJ80" s="16">
        <v>0</v>
      </c>
      <c r="NK80" s="16">
        <v>0</v>
      </c>
      <c r="NL80" s="16">
        <v>612</v>
      </c>
      <c r="NM80" s="16">
        <v>0</v>
      </c>
      <c r="NN80" s="16">
        <v>0</v>
      </c>
      <c r="NO80" s="16">
        <v>0</v>
      </c>
      <c r="NP80" s="16">
        <v>0</v>
      </c>
      <c r="NQ80" s="16">
        <v>21</v>
      </c>
      <c r="NR80" s="17">
        <v>379625</v>
      </c>
    </row>
    <row r="81" spans="1:382" ht="13.5" customHeight="1" x14ac:dyDescent="0.2">
      <c r="A81" s="2" t="s">
        <v>169</v>
      </c>
      <c r="B81" s="16">
        <v>29</v>
      </c>
      <c r="C81" s="16">
        <v>0</v>
      </c>
      <c r="D81" s="16">
        <v>0</v>
      </c>
      <c r="E81" s="16">
        <v>0</v>
      </c>
      <c r="F81" s="16">
        <v>42</v>
      </c>
      <c r="G81" s="16">
        <v>100</v>
      </c>
      <c r="H81" s="16">
        <v>0</v>
      </c>
      <c r="I81" s="16">
        <v>172</v>
      </c>
      <c r="J81" s="16">
        <v>21</v>
      </c>
      <c r="K81" s="16">
        <v>0</v>
      </c>
      <c r="L81" s="16">
        <v>0</v>
      </c>
      <c r="M81" s="16">
        <v>0</v>
      </c>
      <c r="N81" s="16">
        <v>0</v>
      </c>
      <c r="O81" s="16">
        <v>4</v>
      </c>
      <c r="P81" s="16">
        <v>13</v>
      </c>
      <c r="Q81" s="16">
        <v>384</v>
      </c>
      <c r="R81" s="16">
        <v>35</v>
      </c>
      <c r="S81" s="16">
        <v>90</v>
      </c>
      <c r="T81" s="16">
        <v>0</v>
      </c>
      <c r="U81" s="16">
        <v>0</v>
      </c>
      <c r="V81" s="16">
        <v>0</v>
      </c>
      <c r="W81" s="16">
        <v>18</v>
      </c>
      <c r="X81" s="16">
        <v>43</v>
      </c>
      <c r="Y81" s="16">
        <v>77</v>
      </c>
      <c r="Z81" s="16">
        <v>124</v>
      </c>
      <c r="AA81" s="16">
        <v>132</v>
      </c>
      <c r="AB81" s="16">
        <v>0</v>
      </c>
      <c r="AC81" s="16">
        <v>0</v>
      </c>
      <c r="AD81" s="16">
        <v>0</v>
      </c>
      <c r="AE81" s="16">
        <v>6</v>
      </c>
      <c r="AF81" s="16">
        <v>18</v>
      </c>
      <c r="AG81" s="16">
        <v>171</v>
      </c>
      <c r="AH81" s="16">
        <v>52</v>
      </c>
      <c r="AI81" s="16">
        <v>192</v>
      </c>
      <c r="AJ81" s="16">
        <v>0</v>
      </c>
      <c r="AK81" s="16">
        <v>0</v>
      </c>
      <c r="AL81" s="16">
        <v>9</v>
      </c>
      <c r="AM81" s="16">
        <v>0</v>
      </c>
      <c r="AN81" s="16">
        <v>1</v>
      </c>
      <c r="AO81" s="16">
        <v>1775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</v>
      </c>
      <c r="AV81" s="16">
        <v>0</v>
      </c>
      <c r="AW81" s="16">
        <v>0</v>
      </c>
      <c r="AX81" s="16">
        <v>4</v>
      </c>
      <c r="AY81" s="16">
        <v>1</v>
      </c>
      <c r="AZ81" s="16">
        <v>1</v>
      </c>
      <c r="BA81" s="16">
        <v>0</v>
      </c>
      <c r="BB81" s="16">
        <v>2</v>
      </c>
      <c r="BC81" s="16">
        <v>13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52</v>
      </c>
      <c r="BM81" s="16">
        <v>0</v>
      </c>
      <c r="BN81" s="16">
        <v>0</v>
      </c>
      <c r="BO81" s="16">
        <v>0</v>
      </c>
      <c r="BP81" s="16">
        <v>0</v>
      </c>
      <c r="BQ81" s="16">
        <v>4</v>
      </c>
      <c r="BR81" s="16">
        <v>3</v>
      </c>
      <c r="BS81" s="16">
        <v>2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14</v>
      </c>
      <c r="CB81" s="16">
        <v>0</v>
      </c>
      <c r="CC81" s="16">
        <v>427011</v>
      </c>
      <c r="CD81" s="16">
        <v>24982</v>
      </c>
      <c r="CE81" s="16">
        <v>65777</v>
      </c>
      <c r="CF81" s="16">
        <v>245193</v>
      </c>
      <c r="CG81" s="16">
        <v>800314</v>
      </c>
      <c r="CH81" s="16">
        <v>46868</v>
      </c>
      <c r="CI81" s="16">
        <v>33278</v>
      </c>
      <c r="CJ81" s="16">
        <v>216</v>
      </c>
      <c r="CK81" s="16">
        <v>262</v>
      </c>
      <c r="CL81" s="16">
        <v>11</v>
      </c>
      <c r="CM81" s="16">
        <v>0</v>
      </c>
      <c r="CN81" s="16">
        <v>4</v>
      </c>
      <c r="CO81" s="16">
        <v>35</v>
      </c>
      <c r="CP81" s="16">
        <v>96</v>
      </c>
      <c r="CQ81" s="16">
        <v>0</v>
      </c>
      <c r="CR81" s="16">
        <v>10</v>
      </c>
      <c r="CS81" s="16">
        <v>0</v>
      </c>
      <c r="CT81" s="16">
        <v>0</v>
      </c>
      <c r="CU81" s="16">
        <v>0</v>
      </c>
      <c r="CV81" s="16">
        <v>0</v>
      </c>
      <c r="CW81" s="16">
        <v>0</v>
      </c>
      <c r="CX81" s="16">
        <v>0</v>
      </c>
      <c r="CY81" s="16">
        <v>0</v>
      </c>
      <c r="CZ81" s="16">
        <v>5</v>
      </c>
      <c r="DA81" s="16">
        <v>0</v>
      </c>
      <c r="DB81" s="16">
        <v>0</v>
      </c>
      <c r="DC81" s="16">
        <v>0</v>
      </c>
      <c r="DD81" s="16">
        <v>0</v>
      </c>
      <c r="DE81" s="16">
        <v>70</v>
      </c>
      <c r="DF81" s="16">
        <v>49</v>
      </c>
      <c r="DG81" s="16">
        <v>34</v>
      </c>
      <c r="DH81" s="16">
        <v>1</v>
      </c>
      <c r="DI81" s="16">
        <v>10</v>
      </c>
      <c r="DJ81" s="16">
        <v>77</v>
      </c>
      <c r="DK81" s="16">
        <v>35</v>
      </c>
      <c r="DL81" s="16">
        <v>23</v>
      </c>
      <c r="DM81" s="16">
        <v>0</v>
      </c>
      <c r="DN81" s="16">
        <v>89</v>
      </c>
      <c r="DO81" s="16">
        <v>0</v>
      </c>
      <c r="DP81" s="16">
        <v>55</v>
      </c>
      <c r="DQ81" s="16">
        <v>0</v>
      </c>
      <c r="DR81" s="16">
        <v>6</v>
      </c>
      <c r="DS81" s="16">
        <v>15</v>
      </c>
      <c r="DT81" s="16">
        <v>0</v>
      </c>
      <c r="DU81" s="16">
        <v>0</v>
      </c>
      <c r="DV81" s="16">
        <v>9</v>
      </c>
      <c r="DW81" s="16">
        <v>98</v>
      </c>
      <c r="DX81" s="16">
        <v>92</v>
      </c>
      <c r="DY81" s="16">
        <v>92</v>
      </c>
      <c r="DZ81" s="16">
        <v>0</v>
      </c>
      <c r="EA81" s="16">
        <v>2590</v>
      </c>
      <c r="EB81" s="16">
        <v>4</v>
      </c>
      <c r="EC81" s="16">
        <v>14</v>
      </c>
      <c r="ED81" s="16">
        <v>3</v>
      </c>
      <c r="EE81" s="16">
        <v>14</v>
      </c>
      <c r="EF81" s="16">
        <v>1</v>
      </c>
      <c r="EG81" s="16">
        <v>12</v>
      </c>
      <c r="EH81" s="16">
        <v>6</v>
      </c>
      <c r="EI81" s="16">
        <v>14</v>
      </c>
      <c r="EJ81" s="16">
        <v>28</v>
      </c>
      <c r="EK81" s="16">
        <v>0</v>
      </c>
      <c r="EL81" s="16">
        <v>8</v>
      </c>
      <c r="EM81" s="16">
        <v>4</v>
      </c>
      <c r="EN81" s="16">
        <v>98</v>
      </c>
      <c r="EO81" s="16">
        <v>305</v>
      </c>
      <c r="EP81" s="16">
        <v>90</v>
      </c>
      <c r="EQ81" s="16">
        <v>80</v>
      </c>
      <c r="ER81" s="16">
        <v>19</v>
      </c>
      <c r="ES81" s="16">
        <v>2</v>
      </c>
      <c r="ET81" s="16">
        <v>308</v>
      </c>
      <c r="EU81" s="16">
        <v>3</v>
      </c>
      <c r="EV81" s="16">
        <v>0</v>
      </c>
      <c r="EW81" s="16">
        <v>23</v>
      </c>
      <c r="EX81" s="16">
        <v>124</v>
      </c>
      <c r="EY81" s="16">
        <v>1</v>
      </c>
      <c r="EZ81" s="16">
        <v>10</v>
      </c>
      <c r="FA81" s="16">
        <v>2</v>
      </c>
      <c r="FB81" s="16">
        <v>6</v>
      </c>
      <c r="FC81" s="16">
        <v>9</v>
      </c>
      <c r="FD81" s="16">
        <v>376</v>
      </c>
      <c r="FE81" s="16">
        <v>21</v>
      </c>
      <c r="FF81" s="16">
        <v>29</v>
      </c>
      <c r="FG81" s="16">
        <v>249</v>
      </c>
      <c r="FH81" s="16">
        <v>9</v>
      </c>
      <c r="FI81" s="16">
        <v>12</v>
      </c>
      <c r="FJ81" s="16">
        <v>0</v>
      </c>
      <c r="FK81" s="16">
        <v>0</v>
      </c>
      <c r="FL81" s="16">
        <v>0</v>
      </c>
      <c r="FM81" s="16">
        <v>13</v>
      </c>
      <c r="FN81" s="16">
        <v>30</v>
      </c>
      <c r="FO81" s="16">
        <v>12</v>
      </c>
      <c r="FP81" s="16">
        <v>69</v>
      </c>
      <c r="FQ81" s="16">
        <v>4395</v>
      </c>
      <c r="FR81" s="16">
        <v>93</v>
      </c>
      <c r="FS81" s="16">
        <v>40</v>
      </c>
      <c r="FT81" s="16">
        <v>28</v>
      </c>
      <c r="FU81" s="16">
        <v>233</v>
      </c>
      <c r="FV81" s="16">
        <v>329</v>
      </c>
      <c r="FW81" s="16">
        <v>62</v>
      </c>
      <c r="FX81" s="16">
        <v>86</v>
      </c>
      <c r="FY81" s="16">
        <v>99</v>
      </c>
      <c r="FZ81" s="16">
        <v>0</v>
      </c>
      <c r="GA81" s="16">
        <v>1567</v>
      </c>
      <c r="GB81" s="16">
        <v>86</v>
      </c>
      <c r="GC81" s="16">
        <v>18</v>
      </c>
      <c r="GD81" s="16">
        <v>31</v>
      </c>
      <c r="GE81" s="16">
        <v>0</v>
      </c>
      <c r="GF81" s="16">
        <v>13</v>
      </c>
      <c r="GG81" s="16">
        <v>0</v>
      </c>
      <c r="GH81" s="16">
        <v>43</v>
      </c>
      <c r="GI81" s="16">
        <v>1</v>
      </c>
      <c r="GJ81" s="16">
        <v>0</v>
      </c>
      <c r="GK81" s="16">
        <v>0</v>
      </c>
      <c r="GL81" s="16">
        <v>0</v>
      </c>
      <c r="GM81" s="16">
        <v>0</v>
      </c>
      <c r="GN81" s="16">
        <v>0</v>
      </c>
      <c r="GO81" s="16">
        <v>0</v>
      </c>
      <c r="GP81" s="16">
        <v>0</v>
      </c>
      <c r="GQ81" s="16">
        <v>19</v>
      </c>
      <c r="GR81" s="16">
        <v>5</v>
      </c>
      <c r="GS81" s="16">
        <v>0</v>
      </c>
      <c r="GT81" s="16">
        <v>15</v>
      </c>
      <c r="GU81" s="16">
        <v>8</v>
      </c>
      <c r="GV81" s="16">
        <v>8</v>
      </c>
      <c r="GW81" s="16">
        <v>11</v>
      </c>
      <c r="GX81" s="16">
        <v>0</v>
      </c>
      <c r="GY81" s="16">
        <v>0</v>
      </c>
      <c r="GZ81" s="16">
        <v>11</v>
      </c>
      <c r="HA81" s="16">
        <v>28</v>
      </c>
      <c r="HB81" s="16">
        <v>26</v>
      </c>
      <c r="HC81" s="16">
        <v>6</v>
      </c>
      <c r="HD81" s="16">
        <v>20</v>
      </c>
      <c r="HE81" s="16">
        <v>0</v>
      </c>
      <c r="HF81" s="16">
        <v>10</v>
      </c>
      <c r="HG81" s="16">
        <v>18</v>
      </c>
      <c r="HH81" s="16">
        <v>69</v>
      </c>
      <c r="HI81" s="16">
        <v>1</v>
      </c>
      <c r="HJ81" s="16">
        <v>0</v>
      </c>
      <c r="HK81" s="16">
        <v>1</v>
      </c>
      <c r="HL81" s="16">
        <v>10</v>
      </c>
      <c r="HM81" s="16">
        <v>12</v>
      </c>
      <c r="HN81" s="16">
        <v>27</v>
      </c>
      <c r="HO81" s="16">
        <v>14</v>
      </c>
      <c r="HP81" s="16">
        <v>1</v>
      </c>
      <c r="HQ81" s="16">
        <v>553</v>
      </c>
      <c r="HR81" s="16">
        <v>112</v>
      </c>
      <c r="HS81" s="16">
        <v>15</v>
      </c>
      <c r="HT81" s="16">
        <v>1</v>
      </c>
      <c r="HU81" s="16">
        <v>34</v>
      </c>
      <c r="HV81" s="16">
        <v>31</v>
      </c>
      <c r="HW81" s="16">
        <v>4</v>
      </c>
      <c r="HX81" s="16">
        <v>50</v>
      </c>
      <c r="HY81" s="16">
        <v>116</v>
      </c>
      <c r="HZ81" s="16">
        <v>36</v>
      </c>
      <c r="IA81" s="16">
        <v>29</v>
      </c>
      <c r="IB81" s="16">
        <v>32</v>
      </c>
      <c r="IC81" s="16">
        <v>4</v>
      </c>
      <c r="ID81" s="16">
        <v>4</v>
      </c>
      <c r="IE81" s="16">
        <v>0</v>
      </c>
      <c r="IF81" s="16">
        <v>5</v>
      </c>
      <c r="IG81" s="16">
        <v>73</v>
      </c>
      <c r="IH81" s="16">
        <v>185</v>
      </c>
      <c r="II81" s="16">
        <v>24</v>
      </c>
      <c r="IJ81" s="16">
        <v>6</v>
      </c>
      <c r="IK81" s="16">
        <v>40</v>
      </c>
      <c r="IL81" s="16">
        <v>37</v>
      </c>
      <c r="IM81" s="16">
        <v>15</v>
      </c>
      <c r="IN81" s="16">
        <v>16</v>
      </c>
      <c r="IO81" s="16">
        <v>2262</v>
      </c>
      <c r="IP81" s="16">
        <v>55</v>
      </c>
      <c r="IQ81" s="16">
        <v>11</v>
      </c>
      <c r="IR81" s="16">
        <v>40</v>
      </c>
      <c r="IS81" s="16">
        <v>3</v>
      </c>
      <c r="IT81" s="16">
        <v>0</v>
      </c>
      <c r="IU81" s="16">
        <v>0</v>
      </c>
      <c r="IV81" s="16">
        <v>27</v>
      </c>
      <c r="IW81" s="16">
        <v>542653</v>
      </c>
      <c r="IX81" s="16">
        <v>133</v>
      </c>
      <c r="IY81" s="16">
        <v>1731</v>
      </c>
      <c r="IZ81" s="16">
        <v>458</v>
      </c>
      <c r="JA81" s="16">
        <v>4643</v>
      </c>
      <c r="JB81" s="16">
        <v>11186</v>
      </c>
      <c r="JC81" s="16">
        <v>159</v>
      </c>
      <c r="JD81" s="16">
        <v>0</v>
      </c>
      <c r="JE81" s="16">
        <v>54</v>
      </c>
      <c r="JF81" s="16">
        <v>13</v>
      </c>
      <c r="JG81" s="16">
        <v>2750</v>
      </c>
      <c r="JH81" s="16">
        <v>42</v>
      </c>
      <c r="JI81" s="16">
        <v>8</v>
      </c>
      <c r="JJ81" s="16">
        <v>346132</v>
      </c>
      <c r="JK81" s="16">
        <v>7</v>
      </c>
      <c r="JL81" s="16">
        <v>79</v>
      </c>
      <c r="JM81" s="16">
        <v>142</v>
      </c>
      <c r="JN81" s="16">
        <v>47960</v>
      </c>
      <c r="JO81" s="16">
        <v>0</v>
      </c>
      <c r="JP81" s="16">
        <v>27879</v>
      </c>
      <c r="JQ81" s="16">
        <v>0</v>
      </c>
      <c r="JR81" s="16">
        <v>0</v>
      </c>
      <c r="JS81" s="16">
        <v>0</v>
      </c>
      <c r="JT81" s="16">
        <v>0</v>
      </c>
      <c r="JU81" s="16">
        <v>9</v>
      </c>
      <c r="JV81" s="16">
        <v>83</v>
      </c>
      <c r="JW81" s="16">
        <v>769996</v>
      </c>
      <c r="JX81" s="16">
        <v>602465</v>
      </c>
      <c r="JY81" s="16">
        <v>255224</v>
      </c>
      <c r="JZ81" s="16">
        <v>27492</v>
      </c>
      <c r="KA81" s="16">
        <v>17066</v>
      </c>
      <c r="KB81" s="16">
        <v>5763</v>
      </c>
      <c r="KC81" s="16">
        <v>8287</v>
      </c>
      <c r="KD81" s="16">
        <v>7612</v>
      </c>
      <c r="KE81" s="16">
        <v>31159</v>
      </c>
      <c r="KF81" s="16">
        <v>24771</v>
      </c>
      <c r="KG81" s="16">
        <v>7420</v>
      </c>
      <c r="KH81" s="16">
        <v>3461</v>
      </c>
      <c r="KI81" s="16">
        <v>22489</v>
      </c>
      <c r="KJ81" s="16">
        <v>18930</v>
      </c>
      <c r="KK81" s="16">
        <v>153</v>
      </c>
      <c r="KL81" s="16">
        <v>1</v>
      </c>
      <c r="KM81" s="16">
        <v>0</v>
      </c>
      <c r="KN81" s="16">
        <v>9</v>
      </c>
      <c r="KO81" s="16">
        <v>0</v>
      </c>
      <c r="KP81" s="16">
        <v>0</v>
      </c>
      <c r="KQ81" s="16">
        <v>0</v>
      </c>
      <c r="KR81" s="16">
        <v>111</v>
      </c>
      <c r="KS81" s="16">
        <v>2178</v>
      </c>
      <c r="KT81" s="16">
        <v>150</v>
      </c>
      <c r="KU81" s="16">
        <v>633</v>
      </c>
      <c r="KV81" s="16">
        <v>492</v>
      </c>
      <c r="KW81" s="16">
        <v>0</v>
      </c>
      <c r="KX81" s="16">
        <v>0</v>
      </c>
      <c r="KY81" s="16">
        <v>0</v>
      </c>
      <c r="KZ81" s="16">
        <v>2649</v>
      </c>
      <c r="LA81" s="16">
        <v>767</v>
      </c>
      <c r="LB81" s="16">
        <v>79</v>
      </c>
      <c r="LC81" s="16">
        <v>0</v>
      </c>
      <c r="LD81" s="16">
        <v>0</v>
      </c>
      <c r="LE81" s="16">
        <v>0</v>
      </c>
      <c r="LF81" s="16">
        <v>0</v>
      </c>
      <c r="LG81" s="16">
        <v>0</v>
      </c>
      <c r="LH81" s="16">
        <v>0</v>
      </c>
      <c r="LI81" s="16">
        <v>0</v>
      </c>
      <c r="LJ81" s="16">
        <v>0</v>
      </c>
      <c r="LK81" s="16">
        <v>0</v>
      </c>
      <c r="LL81" s="16">
        <v>0</v>
      </c>
      <c r="LM81" s="16">
        <v>34</v>
      </c>
      <c r="LN81" s="16">
        <v>0</v>
      </c>
      <c r="LO81" s="16">
        <v>17</v>
      </c>
      <c r="LP81" s="16">
        <v>76</v>
      </c>
      <c r="LQ81" s="16">
        <v>17</v>
      </c>
      <c r="LR81" s="16">
        <v>0</v>
      </c>
      <c r="LS81" s="16">
        <v>0</v>
      </c>
      <c r="LT81" s="16">
        <v>0</v>
      </c>
      <c r="LU81" s="16">
        <v>0</v>
      </c>
      <c r="LV81" s="16">
        <v>0</v>
      </c>
      <c r="LW81" s="16">
        <v>0</v>
      </c>
      <c r="LX81" s="16">
        <v>0</v>
      </c>
      <c r="LY81" s="16">
        <v>0</v>
      </c>
      <c r="LZ81" s="16">
        <v>117</v>
      </c>
      <c r="MA81" s="16">
        <v>9</v>
      </c>
      <c r="MB81" s="16">
        <v>0</v>
      </c>
      <c r="MC81" s="16">
        <v>28</v>
      </c>
      <c r="MD81" s="16">
        <v>0</v>
      </c>
      <c r="ME81" s="16">
        <v>1</v>
      </c>
      <c r="MF81" s="16">
        <v>0</v>
      </c>
      <c r="MG81" s="16">
        <v>0</v>
      </c>
      <c r="MH81" s="16">
        <v>0</v>
      </c>
      <c r="MI81" s="16">
        <v>22</v>
      </c>
      <c r="MJ81" s="16">
        <v>0</v>
      </c>
      <c r="MK81" s="16">
        <v>5</v>
      </c>
      <c r="ML81" s="16">
        <v>2</v>
      </c>
      <c r="MM81" s="16">
        <v>27</v>
      </c>
      <c r="MN81" s="16">
        <v>577</v>
      </c>
      <c r="MO81" s="16">
        <v>18</v>
      </c>
      <c r="MP81" s="16">
        <v>14</v>
      </c>
      <c r="MQ81" s="16">
        <v>144</v>
      </c>
      <c r="MR81" s="16">
        <v>341</v>
      </c>
      <c r="MS81" s="16">
        <v>185</v>
      </c>
      <c r="MT81" s="16">
        <v>0</v>
      </c>
      <c r="MU81" s="16">
        <v>234</v>
      </c>
      <c r="MV81" s="16">
        <v>1660</v>
      </c>
      <c r="MW81" s="16">
        <v>4446</v>
      </c>
      <c r="MX81" s="16">
        <v>0</v>
      </c>
      <c r="MY81" s="16">
        <v>0</v>
      </c>
      <c r="MZ81" s="16">
        <v>868</v>
      </c>
      <c r="NA81" s="16">
        <v>17</v>
      </c>
      <c r="NB81" s="16">
        <v>10788</v>
      </c>
      <c r="NC81" s="16">
        <v>726</v>
      </c>
      <c r="ND81" s="16">
        <v>81</v>
      </c>
      <c r="NE81" s="16">
        <v>14</v>
      </c>
      <c r="NF81" s="16">
        <v>0</v>
      </c>
      <c r="NG81" s="16">
        <v>175</v>
      </c>
      <c r="NH81" s="16">
        <v>33</v>
      </c>
      <c r="NI81" s="16">
        <v>0</v>
      </c>
      <c r="NJ81" s="16">
        <v>499</v>
      </c>
      <c r="NK81" s="16">
        <v>0</v>
      </c>
      <c r="NL81" s="16">
        <v>8</v>
      </c>
      <c r="NM81" s="16">
        <v>26</v>
      </c>
      <c r="NN81" s="16">
        <v>0</v>
      </c>
      <c r="NO81" s="16">
        <v>0</v>
      </c>
      <c r="NP81" s="16">
        <v>177</v>
      </c>
      <c r="NQ81" s="16">
        <v>307</v>
      </c>
      <c r="NR81" s="17">
        <v>4481455</v>
      </c>
    </row>
    <row r="82" spans="1:382" ht="13.5" customHeight="1" x14ac:dyDescent="0.2">
      <c r="A82" s="2" t="s">
        <v>171</v>
      </c>
      <c r="B82" s="16">
        <v>0</v>
      </c>
      <c r="C82" s="16">
        <v>0</v>
      </c>
      <c r="D82" s="16">
        <v>0</v>
      </c>
      <c r="E82" s="16">
        <v>0</v>
      </c>
      <c r="F82" s="16">
        <v>1188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9</v>
      </c>
      <c r="P82" s="16">
        <v>34</v>
      </c>
      <c r="Q82" s="16">
        <v>1595</v>
      </c>
      <c r="R82" s="16">
        <v>162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222</v>
      </c>
      <c r="Y82" s="16">
        <v>572</v>
      </c>
      <c r="Z82" s="16">
        <v>175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341</v>
      </c>
      <c r="AH82" s="16">
        <v>0</v>
      </c>
      <c r="AI82" s="16">
        <v>0</v>
      </c>
      <c r="AJ82" s="16">
        <v>332</v>
      </c>
      <c r="AK82" s="16">
        <v>3</v>
      </c>
      <c r="AL82" s="16">
        <v>8</v>
      </c>
      <c r="AM82" s="16">
        <v>0</v>
      </c>
      <c r="AN82" s="16">
        <v>606</v>
      </c>
      <c r="AO82" s="16">
        <v>2858</v>
      </c>
      <c r="AP82" s="16">
        <v>0</v>
      </c>
      <c r="AQ82" s="16">
        <v>0</v>
      </c>
      <c r="AR82" s="16">
        <v>0</v>
      </c>
      <c r="AS82" s="16">
        <v>0</v>
      </c>
      <c r="AT82" s="16">
        <v>16</v>
      </c>
      <c r="AU82" s="16">
        <v>0</v>
      </c>
      <c r="AV82" s="16">
        <v>0</v>
      </c>
      <c r="AW82" s="16">
        <v>2</v>
      </c>
      <c r="AX82" s="16">
        <v>0</v>
      </c>
      <c r="AY82" s="16">
        <v>0</v>
      </c>
      <c r="AZ82" s="16">
        <v>30</v>
      </c>
      <c r="BA82" s="16">
        <v>63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80</v>
      </c>
      <c r="BN82" s="16">
        <v>0</v>
      </c>
      <c r="BO82" s="16">
        <v>0</v>
      </c>
      <c r="BP82" s="16">
        <v>83</v>
      </c>
      <c r="BQ82" s="16">
        <v>9</v>
      </c>
      <c r="BR82" s="16">
        <v>5</v>
      </c>
      <c r="BS82" s="16">
        <v>10</v>
      </c>
      <c r="BT82" s="16">
        <v>0</v>
      </c>
      <c r="BU82" s="16">
        <v>0</v>
      </c>
      <c r="BV82" s="16">
        <v>0</v>
      </c>
      <c r="BW82" s="16">
        <v>2</v>
      </c>
      <c r="BX82" s="16">
        <v>10</v>
      </c>
      <c r="BY82" s="16">
        <v>0</v>
      </c>
      <c r="BZ82" s="16">
        <v>0</v>
      </c>
      <c r="CA82" s="16">
        <v>2</v>
      </c>
      <c r="CB82" s="16">
        <v>0</v>
      </c>
      <c r="CC82" s="16">
        <v>768</v>
      </c>
      <c r="CD82" s="16">
        <v>107696</v>
      </c>
      <c r="CE82" s="16">
        <v>1231</v>
      </c>
      <c r="CF82" s="16">
        <v>156277</v>
      </c>
      <c r="CG82" s="16">
        <v>39106</v>
      </c>
      <c r="CH82" s="16">
        <v>28106</v>
      </c>
      <c r="CI82" s="16">
        <v>0</v>
      </c>
      <c r="CJ82" s="16">
        <v>282</v>
      </c>
      <c r="CK82" s="16">
        <v>247</v>
      </c>
      <c r="CL82" s="16">
        <v>37</v>
      </c>
      <c r="CM82" s="16">
        <v>186</v>
      </c>
      <c r="CN82" s="16">
        <v>19</v>
      </c>
      <c r="CO82" s="16">
        <v>361</v>
      </c>
      <c r="CP82" s="16">
        <v>69</v>
      </c>
      <c r="CQ82" s="16">
        <v>110</v>
      </c>
      <c r="CR82" s="16">
        <v>18</v>
      </c>
      <c r="CS82" s="16">
        <v>0</v>
      </c>
      <c r="CT82" s="16">
        <v>0</v>
      </c>
      <c r="CU82" s="16">
        <v>0</v>
      </c>
      <c r="CV82" s="16">
        <v>0</v>
      </c>
      <c r="CW82" s="16">
        <v>0</v>
      </c>
      <c r="CX82" s="16">
        <v>0</v>
      </c>
      <c r="CY82" s="16">
        <v>0</v>
      </c>
      <c r="CZ82" s="16">
        <v>0</v>
      </c>
      <c r="DA82" s="16">
        <v>0</v>
      </c>
      <c r="DB82" s="16">
        <v>0</v>
      </c>
      <c r="DC82" s="16">
        <v>0</v>
      </c>
      <c r="DD82" s="16">
        <v>0</v>
      </c>
      <c r="DE82" s="16">
        <v>282</v>
      </c>
      <c r="DF82" s="16">
        <v>387</v>
      </c>
      <c r="DG82" s="16">
        <v>1</v>
      </c>
      <c r="DH82" s="16">
        <v>0</v>
      </c>
      <c r="DI82" s="16">
        <v>47</v>
      </c>
      <c r="DJ82" s="16">
        <v>434</v>
      </c>
      <c r="DK82" s="16">
        <v>65</v>
      </c>
      <c r="DL82" s="16">
        <v>193</v>
      </c>
      <c r="DM82" s="16">
        <v>36</v>
      </c>
      <c r="DN82" s="16">
        <v>2</v>
      </c>
      <c r="DO82" s="16">
        <v>0</v>
      </c>
      <c r="DP82" s="16">
        <v>359</v>
      </c>
      <c r="DQ82" s="16">
        <v>0</v>
      </c>
      <c r="DR82" s="16">
        <v>106</v>
      </c>
      <c r="DS82" s="16">
        <v>0</v>
      </c>
      <c r="DT82" s="16">
        <v>0</v>
      </c>
      <c r="DU82" s="16">
        <v>0</v>
      </c>
      <c r="DV82" s="16">
        <v>1</v>
      </c>
      <c r="DW82" s="16">
        <v>734</v>
      </c>
      <c r="DX82" s="16">
        <v>887</v>
      </c>
      <c r="DY82" s="16">
        <v>2182</v>
      </c>
      <c r="DZ82" s="16">
        <v>0</v>
      </c>
      <c r="EA82" s="16">
        <v>1434</v>
      </c>
      <c r="EB82" s="16">
        <v>1</v>
      </c>
      <c r="EC82" s="16">
        <v>81</v>
      </c>
      <c r="ED82" s="16">
        <v>13</v>
      </c>
      <c r="EE82" s="16">
        <v>0</v>
      </c>
      <c r="EF82" s="16">
        <v>1</v>
      </c>
      <c r="EG82" s="16">
        <v>1231</v>
      </c>
      <c r="EH82" s="16">
        <v>0</v>
      </c>
      <c r="EI82" s="16">
        <v>25</v>
      </c>
      <c r="EJ82" s="16">
        <v>982</v>
      </c>
      <c r="EK82" s="16">
        <v>3</v>
      </c>
      <c r="EL82" s="16">
        <v>12</v>
      </c>
      <c r="EM82" s="16">
        <v>79</v>
      </c>
      <c r="EN82" s="16">
        <v>485</v>
      </c>
      <c r="EO82" s="16">
        <v>1379</v>
      </c>
      <c r="EP82" s="16">
        <v>289</v>
      </c>
      <c r="EQ82" s="16">
        <v>489</v>
      </c>
      <c r="ER82" s="16">
        <v>50</v>
      </c>
      <c r="ES82" s="16">
        <v>128</v>
      </c>
      <c r="ET82" s="16">
        <v>481</v>
      </c>
      <c r="EU82" s="16">
        <v>10</v>
      </c>
      <c r="EV82" s="16">
        <v>0</v>
      </c>
      <c r="EW82" s="16">
        <v>5</v>
      </c>
      <c r="EX82" s="16">
        <v>453</v>
      </c>
      <c r="EY82" s="16">
        <v>11</v>
      </c>
      <c r="EZ82" s="16">
        <v>0</v>
      </c>
      <c r="FA82" s="16">
        <v>8</v>
      </c>
      <c r="FB82" s="16">
        <v>0</v>
      </c>
      <c r="FC82" s="16">
        <v>173</v>
      </c>
      <c r="FD82" s="16">
        <v>1494</v>
      </c>
      <c r="FE82" s="16">
        <v>14</v>
      </c>
      <c r="FF82" s="16">
        <v>396</v>
      </c>
      <c r="FG82" s="16">
        <v>811</v>
      </c>
      <c r="FH82" s="16">
        <v>0</v>
      </c>
      <c r="FI82" s="16">
        <v>0</v>
      </c>
      <c r="FJ82" s="16">
        <v>49</v>
      </c>
      <c r="FK82" s="16">
        <v>0</v>
      </c>
      <c r="FL82" s="16">
        <v>0</v>
      </c>
      <c r="FM82" s="16">
        <v>279</v>
      </c>
      <c r="FN82" s="16">
        <v>1065</v>
      </c>
      <c r="FO82" s="16">
        <v>1613</v>
      </c>
      <c r="FP82" s="16">
        <v>254</v>
      </c>
      <c r="FQ82" s="16">
        <v>8398</v>
      </c>
      <c r="FR82" s="16">
        <v>19848</v>
      </c>
      <c r="FS82" s="16">
        <v>4242</v>
      </c>
      <c r="FT82" s="16">
        <v>0</v>
      </c>
      <c r="FU82" s="16">
        <v>935</v>
      </c>
      <c r="FV82" s="16">
        <v>1329</v>
      </c>
      <c r="FW82" s="16">
        <v>83</v>
      </c>
      <c r="FX82" s="16">
        <v>243</v>
      </c>
      <c r="FY82" s="16">
        <v>121</v>
      </c>
      <c r="FZ82" s="16">
        <v>2</v>
      </c>
      <c r="GA82" s="16">
        <v>61</v>
      </c>
      <c r="GB82" s="16">
        <v>312</v>
      </c>
      <c r="GC82" s="16">
        <v>1221</v>
      </c>
      <c r="GD82" s="16">
        <v>55</v>
      </c>
      <c r="GE82" s="16">
        <v>0</v>
      </c>
      <c r="GF82" s="16">
        <v>153</v>
      </c>
      <c r="GG82" s="16">
        <v>121</v>
      </c>
      <c r="GH82" s="16">
        <v>0</v>
      </c>
      <c r="GI82" s="16">
        <v>0</v>
      </c>
      <c r="GJ82" s="16">
        <v>0</v>
      </c>
      <c r="GK82" s="16">
        <v>0</v>
      </c>
      <c r="GL82" s="16">
        <v>0</v>
      </c>
      <c r="GM82" s="16">
        <v>0</v>
      </c>
      <c r="GN82" s="16">
        <v>0</v>
      </c>
      <c r="GO82" s="16">
        <v>0</v>
      </c>
      <c r="GP82" s="16">
        <v>0</v>
      </c>
      <c r="GQ82" s="16">
        <v>0</v>
      </c>
      <c r="GR82" s="16">
        <v>0</v>
      </c>
      <c r="GS82" s="16">
        <v>0</v>
      </c>
      <c r="GT82" s="16">
        <v>0</v>
      </c>
      <c r="GU82" s="16">
        <v>0</v>
      </c>
      <c r="GV82" s="16">
        <v>0</v>
      </c>
      <c r="GW82" s="16">
        <v>0</v>
      </c>
      <c r="GX82" s="16">
        <v>0</v>
      </c>
      <c r="GY82" s="16">
        <v>0</v>
      </c>
      <c r="GZ82" s="16">
        <v>0</v>
      </c>
      <c r="HA82" s="16">
        <v>0</v>
      </c>
      <c r="HB82" s="16">
        <v>0</v>
      </c>
      <c r="HC82" s="16">
        <v>0</v>
      </c>
      <c r="HD82" s="16">
        <v>0</v>
      </c>
      <c r="HE82" s="16">
        <v>0</v>
      </c>
      <c r="HF82" s="16">
        <v>0</v>
      </c>
      <c r="HG82" s="16">
        <v>0</v>
      </c>
      <c r="HH82" s="16">
        <v>0</v>
      </c>
      <c r="HI82" s="16">
        <v>2</v>
      </c>
      <c r="HJ82" s="16">
        <v>0</v>
      </c>
      <c r="HK82" s="16">
        <v>0</v>
      </c>
      <c r="HL82" s="16">
        <v>0</v>
      </c>
      <c r="HM82" s="16">
        <v>1476</v>
      </c>
      <c r="HN82" s="16">
        <v>210</v>
      </c>
      <c r="HO82" s="16">
        <v>86</v>
      </c>
      <c r="HP82" s="16">
        <v>0</v>
      </c>
      <c r="HQ82" s="16">
        <v>1410</v>
      </c>
      <c r="HR82" s="16">
        <v>78</v>
      </c>
      <c r="HS82" s="16">
        <v>198</v>
      </c>
      <c r="HT82" s="16">
        <v>0</v>
      </c>
      <c r="HU82" s="16">
        <v>72</v>
      </c>
      <c r="HV82" s="16">
        <v>718</v>
      </c>
      <c r="HW82" s="16">
        <v>62</v>
      </c>
      <c r="HX82" s="16">
        <v>190</v>
      </c>
      <c r="HY82" s="16">
        <v>53</v>
      </c>
      <c r="HZ82" s="16">
        <v>461</v>
      </c>
      <c r="IA82" s="16">
        <v>527</v>
      </c>
      <c r="IB82" s="16">
        <v>87</v>
      </c>
      <c r="IC82" s="16">
        <v>17</v>
      </c>
      <c r="ID82" s="16">
        <v>11</v>
      </c>
      <c r="IE82" s="16">
        <v>29</v>
      </c>
      <c r="IF82" s="16">
        <v>21</v>
      </c>
      <c r="IG82" s="16">
        <v>255</v>
      </c>
      <c r="IH82" s="16">
        <v>0</v>
      </c>
      <c r="II82" s="16">
        <v>0</v>
      </c>
      <c r="IJ82" s="16">
        <v>0</v>
      </c>
      <c r="IK82" s="16">
        <v>0</v>
      </c>
      <c r="IL82" s="16">
        <v>0</v>
      </c>
      <c r="IM82" s="16">
        <v>0</v>
      </c>
      <c r="IN82" s="16">
        <v>0</v>
      </c>
      <c r="IO82" s="16">
        <v>0</v>
      </c>
      <c r="IP82" s="16">
        <v>0</v>
      </c>
      <c r="IQ82" s="16">
        <v>131</v>
      </c>
      <c r="IR82" s="16">
        <v>144</v>
      </c>
      <c r="IS82" s="16">
        <v>0</v>
      </c>
      <c r="IT82" s="16">
        <v>0</v>
      </c>
      <c r="IU82" s="16">
        <v>0</v>
      </c>
      <c r="IV82" s="16">
        <v>0</v>
      </c>
      <c r="IW82" s="16">
        <v>139060</v>
      </c>
      <c r="IX82" s="16">
        <v>3064</v>
      </c>
      <c r="IY82" s="16">
        <v>2715</v>
      </c>
      <c r="IZ82" s="16">
        <v>0</v>
      </c>
      <c r="JA82" s="16">
        <v>1653</v>
      </c>
      <c r="JB82" s="16">
        <v>1710</v>
      </c>
      <c r="JC82" s="16">
        <v>2387</v>
      </c>
      <c r="JD82" s="16">
        <v>23</v>
      </c>
      <c r="JE82" s="16">
        <v>295</v>
      </c>
      <c r="JF82" s="16">
        <v>157</v>
      </c>
      <c r="JG82" s="16">
        <v>22470</v>
      </c>
      <c r="JH82" s="16">
        <v>0</v>
      </c>
      <c r="JI82" s="16">
        <v>0</v>
      </c>
      <c r="JJ82" s="16">
        <v>0</v>
      </c>
      <c r="JK82" s="16">
        <v>0</v>
      </c>
      <c r="JL82" s="16">
        <v>0</v>
      </c>
      <c r="JM82" s="16">
        <v>0</v>
      </c>
      <c r="JN82" s="16">
        <v>0</v>
      </c>
      <c r="JO82" s="16">
        <v>0</v>
      </c>
      <c r="JP82" s="16">
        <v>0</v>
      </c>
      <c r="JQ82" s="16">
        <v>0</v>
      </c>
      <c r="JR82" s="16">
        <v>2001</v>
      </c>
      <c r="JS82" s="16">
        <v>2650</v>
      </c>
      <c r="JT82" s="16">
        <v>0</v>
      </c>
      <c r="JU82" s="16">
        <v>0</v>
      </c>
      <c r="JV82" s="16">
        <v>0</v>
      </c>
      <c r="JW82" s="16">
        <v>648960</v>
      </c>
      <c r="JX82" s="16">
        <v>509193</v>
      </c>
      <c r="JY82" s="16">
        <v>149487</v>
      </c>
      <c r="JZ82" s="16">
        <v>2976</v>
      </c>
      <c r="KA82" s="16">
        <v>12844</v>
      </c>
      <c r="KB82" s="16">
        <v>573</v>
      </c>
      <c r="KC82" s="16">
        <v>1626</v>
      </c>
      <c r="KD82" s="16">
        <v>5261</v>
      </c>
      <c r="KE82" s="16">
        <v>3307</v>
      </c>
      <c r="KF82" s="16">
        <v>5901</v>
      </c>
      <c r="KG82" s="16">
        <v>1776</v>
      </c>
      <c r="KH82" s="16">
        <v>5872</v>
      </c>
      <c r="KI82" s="16">
        <v>6910</v>
      </c>
      <c r="KJ82" s="16">
        <v>7263</v>
      </c>
      <c r="KK82" s="16">
        <v>29888</v>
      </c>
      <c r="KL82" s="16">
        <v>0</v>
      </c>
      <c r="KM82" s="16">
        <v>115</v>
      </c>
      <c r="KN82" s="16">
        <v>238</v>
      </c>
      <c r="KO82" s="16">
        <v>0</v>
      </c>
      <c r="KP82" s="16">
        <v>0</v>
      </c>
      <c r="KQ82" s="16">
        <v>0</v>
      </c>
      <c r="KR82" s="16">
        <v>13346</v>
      </c>
      <c r="KS82" s="16">
        <v>5983</v>
      </c>
      <c r="KT82" s="16">
        <v>64</v>
      </c>
      <c r="KU82" s="16">
        <v>5284</v>
      </c>
      <c r="KV82" s="16">
        <v>33418</v>
      </c>
      <c r="KW82" s="16">
        <v>0</v>
      </c>
      <c r="KX82" s="16">
        <v>0</v>
      </c>
      <c r="KY82" s="16">
        <v>1895</v>
      </c>
      <c r="KZ82" s="16">
        <v>0</v>
      </c>
      <c r="LA82" s="16">
        <v>0</v>
      </c>
      <c r="LB82" s="16">
        <v>3</v>
      </c>
      <c r="LC82" s="16">
        <v>0</v>
      </c>
      <c r="LD82" s="16">
        <v>1333</v>
      </c>
      <c r="LE82" s="16">
        <v>0</v>
      </c>
      <c r="LF82" s="16">
        <v>0</v>
      </c>
      <c r="LG82" s="16">
        <v>0</v>
      </c>
      <c r="LH82" s="16">
        <v>0</v>
      </c>
      <c r="LI82" s="16">
        <v>0</v>
      </c>
      <c r="LJ82" s="16">
        <v>0</v>
      </c>
      <c r="LK82" s="16">
        <v>0</v>
      </c>
      <c r="LL82" s="16">
        <v>0</v>
      </c>
      <c r="LM82" s="16">
        <v>0</v>
      </c>
      <c r="LN82" s="16">
        <v>0</v>
      </c>
      <c r="LO82" s="16">
        <v>0</v>
      </c>
      <c r="LP82" s="16">
        <v>0</v>
      </c>
      <c r="LQ82" s="16">
        <v>0</v>
      </c>
      <c r="LR82" s="16">
        <v>0</v>
      </c>
      <c r="LS82" s="16">
        <v>0</v>
      </c>
      <c r="LT82" s="16">
        <v>0</v>
      </c>
      <c r="LU82" s="16">
        <v>0</v>
      </c>
      <c r="LV82" s="16">
        <v>0</v>
      </c>
      <c r="LW82" s="16">
        <v>0</v>
      </c>
      <c r="LX82" s="16">
        <v>0</v>
      </c>
      <c r="LY82" s="16">
        <v>0</v>
      </c>
      <c r="LZ82" s="16">
        <v>158</v>
      </c>
      <c r="MA82" s="16">
        <v>0</v>
      </c>
      <c r="MB82" s="16">
        <v>0</v>
      </c>
      <c r="MC82" s="16">
        <v>0</v>
      </c>
      <c r="MD82" s="16">
        <v>0</v>
      </c>
      <c r="ME82" s="16">
        <v>0</v>
      </c>
      <c r="MF82" s="16">
        <v>0</v>
      </c>
      <c r="MG82" s="16">
        <v>0</v>
      </c>
      <c r="MH82" s="16">
        <v>113</v>
      </c>
      <c r="MI82" s="16">
        <v>0</v>
      </c>
      <c r="MJ82" s="16">
        <v>0</v>
      </c>
      <c r="MK82" s="16">
        <v>48</v>
      </c>
      <c r="ML82" s="16">
        <v>0</v>
      </c>
      <c r="MM82" s="16">
        <v>4367</v>
      </c>
      <c r="MN82" s="16">
        <v>3563</v>
      </c>
      <c r="MO82" s="16">
        <v>5851</v>
      </c>
      <c r="MP82" s="16">
        <v>863</v>
      </c>
      <c r="MQ82" s="16">
        <v>3513</v>
      </c>
      <c r="MR82" s="16">
        <v>996</v>
      </c>
      <c r="MS82" s="16">
        <v>14</v>
      </c>
      <c r="MT82" s="16">
        <v>0</v>
      </c>
      <c r="MU82" s="16">
        <v>0</v>
      </c>
      <c r="MV82" s="16">
        <v>2020</v>
      </c>
      <c r="MW82" s="16">
        <v>0</v>
      </c>
      <c r="MX82" s="16">
        <v>0</v>
      </c>
      <c r="MY82" s="16">
        <v>0</v>
      </c>
      <c r="MZ82" s="16">
        <v>2078</v>
      </c>
      <c r="NA82" s="16">
        <v>129</v>
      </c>
      <c r="NB82" s="16">
        <v>18025</v>
      </c>
      <c r="NC82" s="16">
        <v>787</v>
      </c>
      <c r="ND82" s="16">
        <v>4001</v>
      </c>
      <c r="NE82" s="16">
        <v>0</v>
      </c>
      <c r="NF82" s="16">
        <v>0</v>
      </c>
      <c r="NG82" s="16">
        <v>0</v>
      </c>
      <c r="NH82" s="16">
        <v>0</v>
      </c>
      <c r="NI82" s="16">
        <v>0</v>
      </c>
      <c r="NJ82" s="16">
        <v>0</v>
      </c>
      <c r="NK82" s="16">
        <v>19</v>
      </c>
      <c r="NL82" s="16">
        <v>0</v>
      </c>
      <c r="NM82" s="16">
        <v>0</v>
      </c>
      <c r="NN82" s="16">
        <v>0</v>
      </c>
      <c r="NO82" s="16">
        <v>0</v>
      </c>
      <c r="NP82" s="16">
        <v>0</v>
      </c>
      <c r="NQ82" s="16">
        <v>202</v>
      </c>
      <c r="NR82" s="17">
        <v>2084254</v>
      </c>
    </row>
    <row r="83" spans="1:382" ht="13.5" customHeight="1" x14ac:dyDescent="0.2">
      <c r="A83" s="2" t="s">
        <v>173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18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9</v>
      </c>
      <c r="CB83" s="16">
        <v>0</v>
      </c>
      <c r="CC83" s="16">
        <v>11380</v>
      </c>
      <c r="CD83" s="16">
        <v>110</v>
      </c>
      <c r="CE83" s="16">
        <v>10295</v>
      </c>
      <c r="CF83" s="16">
        <v>159525</v>
      </c>
      <c r="CG83" s="16">
        <v>126019</v>
      </c>
      <c r="CH83" s="16">
        <v>442</v>
      </c>
      <c r="CI83" s="16">
        <v>0</v>
      </c>
      <c r="CJ83" s="16">
        <v>45</v>
      </c>
      <c r="CK83" s="16">
        <v>197</v>
      </c>
      <c r="CL83" s="16">
        <v>0</v>
      </c>
      <c r="CM83" s="16">
        <v>0</v>
      </c>
      <c r="CN83" s="16">
        <v>0</v>
      </c>
      <c r="CO83" s="16">
        <v>0</v>
      </c>
      <c r="CP83" s="16">
        <v>0</v>
      </c>
      <c r="CQ83" s="16">
        <v>0</v>
      </c>
      <c r="CR83" s="16">
        <v>0</v>
      </c>
      <c r="CS83" s="16">
        <v>0</v>
      </c>
      <c r="CT83" s="16">
        <v>0</v>
      </c>
      <c r="CU83" s="16">
        <v>0</v>
      </c>
      <c r="CV83" s="16">
        <v>0</v>
      </c>
      <c r="CW83" s="16">
        <v>0</v>
      </c>
      <c r="CX83" s="16">
        <v>0</v>
      </c>
      <c r="CY83" s="16">
        <v>0</v>
      </c>
      <c r="CZ83" s="16">
        <v>0</v>
      </c>
      <c r="DA83" s="16">
        <v>0</v>
      </c>
      <c r="DB83" s="16">
        <v>0</v>
      </c>
      <c r="DC83" s="16">
        <v>0</v>
      </c>
      <c r="DD83" s="16">
        <v>0</v>
      </c>
      <c r="DE83" s="16">
        <v>0</v>
      </c>
      <c r="DF83" s="16">
        <v>0</v>
      </c>
      <c r="DG83" s="16">
        <v>0</v>
      </c>
      <c r="DH83" s="16">
        <v>0</v>
      </c>
      <c r="DI83" s="16">
        <v>0</v>
      </c>
      <c r="DJ83" s="16">
        <v>0</v>
      </c>
      <c r="DK83" s="16">
        <v>0</v>
      </c>
      <c r="DL83" s="16">
        <v>0</v>
      </c>
      <c r="DM83" s="16">
        <v>0</v>
      </c>
      <c r="DN83" s="16">
        <v>1</v>
      </c>
      <c r="DO83" s="16">
        <v>0</v>
      </c>
      <c r="DP83" s="16">
        <v>0</v>
      </c>
      <c r="DQ83" s="16">
        <v>0</v>
      </c>
      <c r="DR83" s="16">
        <v>0</v>
      </c>
      <c r="DS83" s="16">
        <v>0</v>
      </c>
      <c r="DT83" s="16">
        <v>0</v>
      </c>
      <c r="DU83" s="16">
        <v>0</v>
      </c>
      <c r="DV83" s="16">
        <v>0</v>
      </c>
      <c r="DW83" s="16">
        <v>0</v>
      </c>
      <c r="DX83" s="16">
        <v>0</v>
      </c>
      <c r="DY83" s="16">
        <v>0</v>
      </c>
      <c r="DZ83" s="16">
        <v>66</v>
      </c>
      <c r="EA83" s="16">
        <v>0</v>
      </c>
      <c r="EB83" s="16">
        <v>0</v>
      </c>
      <c r="EC83" s="16">
        <v>0</v>
      </c>
      <c r="ED83" s="16">
        <v>0</v>
      </c>
      <c r="EE83" s="16">
        <v>0</v>
      </c>
      <c r="EF83" s="16">
        <v>2</v>
      </c>
      <c r="EG83" s="16">
        <v>32</v>
      </c>
      <c r="EH83" s="16">
        <v>9</v>
      </c>
      <c r="EI83" s="16">
        <v>0</v>
      </c>
      <c r="EJ83" s="16">
        <v>0</v>
      </c>
      <c r="EK83" s="16">
        <v>3</v>
      </c>
      <c r="EL83" s="16">
        <v>0</v>
      </c>
      <c r="EM83" s="16">
        <v>9</v>
      </c>
      <c r="EN83" s="16">
        <v>183</v>
      </c>
      <c r="EO83" s="16">
        <v>2421</v>
      </c>
      <c r="EP83" s="16">
        <v>0</v>
      </c>
      <c r="EQ83" s="16">
        <v>1</v>
      </c>
      <c r="ER83" s="16">
        <v>0</v>
      </c>
      <c r="ES83" s="16">
        <v>0</v>
      </c>
      <c r="ET83" s="16">
        <v>327</v>
      </c>
      <c r="EU83" s="16">
        <v>0</v>
      </c>
      <c r="EV83" s="16">
        <v>0</v>
      </c>
      <c r="EW83" s="16">
        <v>0</v>
      </c>
      <c r="EX83" s="16">
        <v>0</v>
      </c>
      <c r="EY83" s="16">
        <v>0</v>
      </c>
      <c r="EZ83" s="16">
        <v>0</v>
      </c>
      <c r="FA83" s="16">
        <v>0</v>
      </c>
      <c r="FB83" s="16">
        <v>0</v>
      </c>
      <c r="FC83" s="16">
        <v>0</v>
      </c>
      <c r="FD83" s="16">
        <v>0</v>
      </c>
      <c r="FE83" s="16">
        <v>0</v>
      </c>
      <c r="FF83" s="16">
        <v>0</v>
      </c>
      <c r="FG83" s="16">
        <v>0</v>
      </c>
      <c r="FH83" s="16">
        <v>0</v>
      </c>
      <c r="FI83" s="16">
        <v>0</v>
      </c>
      <c r="FJ83" s="16">
        <v>0</v>
      </c>
      <c r="FK83" s="16">
        <v>0</v>
      </c>
      <c r="FL83" s="16">
        <v>0</v>
      </c>
      <c r="FM83" s="16">
        <v>0</v>
      </c>
      <c r="FN83" s="16">
        <v>0</v>
      </c>
      <c r="FO83" s="16">
        <v>0</v>
      </c>
      <c r="FP83" s="16">
        <v>0</v>
      </c>
      <c r="FQ83" s="16">
        <v>1095</v>
      </c>
      <c r="FR83" s="16">
        <v>154</v>
      </c>
      <c r="FS83" s="16">
        <v>0</v>
      </c>
      <c r="FT83" s="16">
        <v>0</v>
      </c>
      <c r="FU83" s="16">
        <v>0</v>
      </c>
      <c r="FV83" s="16">
        <v>318</v>
      </c>
      <c r="FW83" s="16">
        <v>77</v>
      </c>
      <c r="FX83" s="16">
        <v>0</v>
      </c>
      <c r="FY83" s="16">
        <v>50</v>
      </c>
      <c r="FZ83" s="16">
        <v>0</v>
      </c>
      <c r="GA83" s="16">
        <v>0</v>
      </c>
      <c r="GB83" s="16">
        <v>0</v>
      </c>
      <c r="GC83" s="16">
        <v>402</v>
      </c>
      <c r="GD83" s="16">
        <v>77</v>
      </c>
      <c r="GE83" s="16">
        <v>0</v>
      </c>
      <c r="GF83" s="16">
        <v>0</v>
      </c>
      <c r="GG83" s="16">
        <v>0</v>
      </c>
      <c r="GH83" s="16">
        <v>0</v>
      </c>
      <c r="GI83" s="16">
        <v>0</v>
      </c>
      <c r="GJ83" s="16">
        <v>0</v>
      </c>
      <c r="GK83" s="16">
        <v>0</v>
      </c>
      <c r="GL83" s="16">
        <v>0</v>
      </c>
      <c r="GM83" s="16">
        <v>0</v>
      </c>
      <c r="GN83" s="16">
        <v>0</v>
      </c>
      <c r="GO83" s="16">
        <v>0</v>
      </c>
      <c r="GP83" s="16">
        <v>0</v>
      </c>
      <c r="GQ83" s="16">
        <v>0</v>
      </c>
      <c r="GR83" s="16">
        <v>0</v>
      </c>
      <c r="GS83" s="16">
        <v>0</v>
      </c>
      <c r="GT83" s="16">
        <v>0</v>
      </c>
      <c r="GU83" s="16">
        <v>0</v>
      </c>
      <c r="GV83" s="16">
        <v>0</v>
      </c>
      <c r="GW83" s="16">
        <v>0</v>
      </c>
      <c r="GX83" s="16">
        <v>0</v>
      </c>
      <c r="GY83" s="16">
        <v>0</v>
      </c>
      <c r="GZ83" s="16">
        <v>0</v>
      </c>
      <c r="HA83" s="16">
        <v>0</v>
      </c>
      <c r="HB83" s="16">
        <v>0</v>
      </c>
      <c r="HC83" s="16">
        <v>0</v>
      </c>
      <c r="HD83" s="16">
        <v>0</v>
      </c>
      <c r="HE83" s="16">
        <v>0</v>
      </c>
      <c r="HF83" s="16">
        <v>0</v>
      </c>
      <c r="HG83" s="16">
        <v>0</v>
      </c>
      <c r="HH83" s="16">
        <v>0</v>
      </c>
      <c r="HI83" s="16">
        <v>0</v>
      </c>
      <c r="HJ83" s="16">
        <v>0</v>
      </c>
      <c r="HK83" s="16">
        <v>0</v>
      </c>
      <c r="HL83" s="16">
        <v>0</v>
      </c>
      <c r="HM83" s="16">
        <v>0</v>
      </c>
      <c r="HN83" s="16">
        <v>0</v>
      </c>
      <c r="HO83" s="16">
        <v>0</v>
      </c>
      <c r="HP83" s="16">
        <v>1</v>
      </c>
      <c r="HQ83" s="16">
        <v>0</v>
      </c>
      <c r="HR83" s="16">
        <v>0</v>
      </c>
      <c r="HS83" s="16">
        <v>0</v>
      </c>
      <c r="HT83" s="16">
        <v>0</v>
      </c>
      <c r="HU83" s="16">
        <v>0</v>
      </c>
      <c r="HV83" s="16">
        <v>0</v>
      </c>
      <c r="HW83" s="16">
        <v>0</v>
      </c>
      <c r="HX83" s="16">
        <v>0</v>
      </c>
      <c r="HY83" s="16">
        <v>299</v>
      </c>
      <c r="HZ83" s="16">
        <v>0</v>
      </c>
      <c r="IA83" s="16">
        <v>0</v>
      </c>
      <c r="IB83" s="16">
        <v>0</v>
      </c>
      <c r="IC83" s="16">
        <v>0</v>
      </c>
      <c r="ID83" s="16">
        <v>30</v>
      </c>
      <c r="IE83" s="16">
        <v>0</v>
      </c>
      <c r="IF83" s="16">
        <v>44</v>
      </c>
      <c r="IG83" s="16">
        <v>729</v>
      </c>
      <c r="IH83" s="16">
        <v>0</v>
      </c>
      <c r="II83" s="16">
        <v>0</v>
      </c>
      <c r="IJ83" s="16">
        <v>0</v>
      </c>
      <c r="IK83" s="16">
        <v>0</v>
      </c>
      <c r="IL83" s="16">
        <v>0</v>
      </c>
      <c r="IM83" s="16">
        <v>0</v>
      </c>
      <c r="IN83" s="16">
        <v>0</v>
      </c>
      <c r="IO83" s="16">
        <v>0</v>
      </c>
      <c r="IP83" s="16">
        <v>0</v>
      </c>
      <c r="IQ83" s="16">
        <v>0</v>
      </c>
      <c r="IR83" s="16">
        <v>0</v>
      </c>
      <c r="IS83" s="16">
        <v>0</v>
      </c>
      <c r="IT83" s="16">
        <v>0</v>
      </c>
      <c r="IU83" s="16">
        <v>0</v>
      </c>
      <c r="IV83" s="16">
        <v>0</v>
      </c>
      <c r="IW83" s="16">
        <v>779221</v>
      </c>
      <c r="IX83" s="16">
        <v>10922</v>
      </c>
      <c r="IY83" s="16">
        <v>5984</v>
      </c>
      <c r="IZ83" s="16">
        <v>2</v>
      </c>
      <c r="JA83" s="16">
        <v>506</v>
      </c>
      <c r="JB83" s="16">
        <v>388</v>
      </c>
      <c r="JC83" s="16">
        <v>0</v>
      </c>
      <c r="JD83" s="16">
        <v>0</v>
      </c>
      <c r="JE83" s="16">
        <v>23</v>
      </c>
      <c r="JF83" s="16">
        <v>16</v>
      </c>
      <c r="JG83" s="16">
        <v>0</v>
      </c>
      <c r="JH83" s="16">
        <v>0</v>
      </c>
      <c r="JI83" s="16">
        <v>0</v>
      </c>
      <c r="JJ83" s="16">
        <v>0</v>
      </c>
      <c r="JK83" s="16">
        <v>0</v>
      </c>
      <c r="JL83" s="16">
        <v>0</v>
      </c>
      <c r="JM83" s="16">
        <v>0</v>
      </c>
      <c r="JN83" s="16">
        <v>0</v>
      </c>
      <c r="JO83" s="16">
        <v>0</v>
      </c>
      <c r="JP83" s="16">
        <v>0</v>
      </c>
      <c r="JQ83" s="16">
        <v>0</v>
      </c>
      <c r="JR83" s="16">
        <v>0</v>
      </c>
      <c r="JS83" s="16">
        <v>0</v>
      </c>
      <c r="JT83" s="16">
        <v>0</v>
      </c>
      <c r="JU83" s="16">
        <v>3662</v>
      </c>
      <c r="JV83" s="16">
        <v>44</v>
      </c>
      <c r="JW83" s="16">
        <v>122089</v>
      </c>
      <c r="JX83" s="16">
        <v>150056</v>
      </c>
      <c r="JY83" s="16">
        <v>26856</v>
      </c>
      <c r="JZ83" s="16">
        <v>1840</v>
      </c>
      <c r="KA83" s="16">
        <v>1400</v>
      </c>
      <c r="KB83" s="16">
        <v>533</v>
      </c>
      <c r="KC83" s="16">
        <v>502</v>
      </c>
      <c r="KD83" s="16">
        <v>297</v>
      </c>
      <c r="KE83" s="16">
        <v>2608</v>
      </c>
      <c r="KF83" s="16">
        <v>0</v>
      </c>
      <c r="KG83" s="16">
        <v>0</v>
      </c>
      <c r="KH83" s="16">
        <v>790</v>
      </c>
      <c r="KI83" s="16">
        <v>107</v>
      </c>
      <c r="KJ83" s="16">
        <v>744</v>
      </c>
      <c r="KK83" s="16">
        <v>0</v>
      </c>
      <c r="KL83" s="16">
        <v>0</v>
      </c>
      <c r="KM83" s="16">
        <v>0</v>
      </c>
      <c r="KN83" s="16">
        <v>0</v>
      </c>
      <c r="KO83" s="16">
        <v>0</v>
      </c>
      <c r="KP83" s="16">
        <v>0</v>
      </c>
      <c r="KQ83" s="16">
        <v>0</v>
      </c>
      <c r="KR83" s="16">
        <v>0</v>
      </c>
      <c r="KS83" s="16">
        <v>1227</v>
      </c>
      <c r="KT83" s="16">
        <v>0</v>
      </c>
      <c r="KU83" s="16">
        <v>285</v>
      </c>
      <c r="KV83" s="16">
        <v>8723</v>
      </c>
      <c r="KW83" s="16">
        <v>0</v>
      </c>
      <c r="KX83" s="16">
        <v>0</v>
      </c>
      <c r="KY83" s="16">
        <v>0</v>
      </c>
      <c r="KZ83" s="16">
        <v>0</v>
      </c>
      <c r="LA83" s="16">
        <v>0</v>
      </c>
      <c r="LB83" s="16">
        <v>0</v>
      </c>
      <c r="LC83" s="16">
        <v>0</v>
      </c>
      <c r="LD83" s="16">
        <v>0</v>
      </c>
      <c r="LE83" s="16">
        <v>0</v>
      </c>
      <c r="LF83" s="16">
        <v>0</v>
      </c>
      <c r="LG83" s="16">
        <v>0</v>
      </c>
      <c r="LH83" s="16">
        <v>0</v>
      </c>
      <c r="LI83" s="16">
        <v>0</v>
      </c>
      <c r="LJ83" s="16">
        <v>0</v>
      </c>
      <c r="LK83" s="16">
        <v>0</v>
      </c>
      <c r="LL83" s="16">
        <v>0</v>
      </c>
      <c r="LM83" s="16">
        <v>0</v>
      </c>
      <c r="LN83" s="16">
        <v>0</v>
      </c>
      <c r="LO83" s="16">
        <v>0</v>
      </c>
      <c r="LP83" s="16">
        <v>0</v>
      </c>
      <c r="LQ83" s="16">
        <v>0</v>
      </c>
      <c r="LR83" s="16">
        <v>0</v>
      </c>
      <c r="LS83" s="16">
        <v>0</v>
      </c>
      <c r="LT83" s="16">
        <v>0</v>
      </c>
      <c r="LU83" s="16">
        <v>0</v>
      </c>
      <c r="LV83" s="16">
        <v>0</v>
      </c>
      <c r="LW83" s="16">
        <v>0</v>
      </c>
      <c r="LX83" s="16">
        <v>0</v>
      </c>
      <c r="LY83" s="16">
        <v>0</v>
      </c>
      <c r="LZ83" s="16">
        <v>0</v>
      </c>
      <c r="MA83" s="16">
        <v>0</v>
      </c>
      <c r="MB83" s="16">
        <v>0</v>
      </c>
      <c r="MC83" s="16">
        <v>0</v>
      </c>
      <c r="MD83" s="16">
        <v>0</v>
      </c>
      <c r="ME83" s="16">
        <v>0</v>
      </c>
      <c r="MF83" s="16">
        <v>0</v>
      </c>
      <c r="MG83" s="16">
        <v>0</v>
      </c>
      <c r="MH83" s="16">
        <v>0</v>
      </c>
      <c r="MI83" s="16">
        <v>0</v>
      </c>
      <c r="MJ83" s="16">
        <v>0</v>
      </c>
      <c r="MK83" s="16">
        <v>0</v>
      </c>
      <c r="ML83" s="16">
        <v>0</v>
      </c>
      <c r="MM83" s="16">
        <v>0</v>
      </c>
      <c r="MN83" s="16">
        <v>0</v>
      </c>
      <c r="MO83" s="16">
        <v>0</v>
      </c>
      <c r="MP83" s="16">
        <v>0</v>
      </c>
      <c r="MQ83" s="16">
        <v>0</v>
      </c>
      <c r="MR83" s="16">
        <v>0</v>
      </c>
      <c r="MS83" s="16">
        <v>4</v>
      </c>
      <c r="MT83" s="16">
        <v>0</v>
      </c>
      <c r="MU83" s="16">
        <v>0</v>
      </c>
      <c r="MV83" s="16">
        <v>0</v>
      </c>
      <c r="MW83" s="16">
        <v>0</v>
      </c>
      <c r="MX83" s="16">
        <v>0</v>
      </c>
      <c r="MY83" s="16">
        <v>0</v>
      </c>
      <c r="MZ83" s="16">
        <v>0</v>
      </c>
      <c r="NA83" s="16">
        <v>0</v>
      </c>
      <c r="NB83" s="16">
        <v>0</v>
      </c>
      <c r="NC83" s="16">
        <v>0</v>
      </c>
      <c r="ND83" s="16">
        <v>0</v>
      </c>
      <c r="NE83" s="16">
        <v>0</v>
      </c>
      <c r="NF83" s="16">
        <v>0</v>
      </c>
      <c r="NG83" s="16">
        <v>0</v>
      </c>
      <c r="NH83" s="16">
        <v>0</v>
      </c>
      <c r="NI83" s="16">
        <v>0</v>
      </c>
      <c r="NJ83" s="16">
        <v>0</v>
      </c>
      <c r="NK83" s="16">
        <v>0</v>
      </c>
      <c r="NL83" s="16">
        <v>0</v>
      </c>
      <c r="NM83" s="16">
        <v>0</v>
      </c>
      <c r="NN83" s="16">
        <v>0</v>
      </c>
      <c r="NO83" s="16">
        <v>0</v>
      </c>
      <c r="NP83" s="16">
        <v>0</v>
      </c>
      <c r="NQ83" s="16">
        <v>0</v>
      </c>
      <c r="NR83" s="17">
        <v>1433199</v>
      </c>
    </row>
    <row r="84" spans="1:382" ht="13.5" customHeight="1" x14ac:dyDescent="0.2">
      <c r="A84" s="2" t="s">
        <v>175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65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56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123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1191</v>
      </c>
      <c r="BB84" s="16">
        <v>0</v>
      </c>
      <c r="BC84" s="16">
        <v>281</v>
      </c>
      <c r="BD84" s="16">
        <v>0</v>
      </c>
      <c r="BE84" s="16">
        <v>0</v>
      </c>
      <c r="BF84" s="16">
        <v>0</v>
      </c>
      <c r="BG84" s="16">
        <v>0</v>
      </c>
      <c r="BH84" s="16">
        <v>86</v>
      </c>
      <c r="BI84" s="16">
        <v>0</v>
      </c>
      <c r="BJ84" s="16">
        <v>9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3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1051</v>
      </c>
      <c r="CD84" s="16">
        <v>0</v>
      </c>
      <c r="CE84" s="16">
        <v>0</v>
      </c>
      <c r="CF84" s="16">
        <v>20261</v>
      </c>
      <c r="CG84" s="16">
        <v>1680</v>
      </c>
      <c r="CH84" s="16">
        <v>950</v>
      </c>
      <c r="CI84" s="16">
        <v>0</v>
      </c>
      <c r="CJ84" s="16">
        <v>0</v>
      </c>
      <c r="CK84" s="16">
        <v>0</v>
      </c>
      <c r="CL84" s="16">
        <v>236</v>
      </c>
      <c r="CM84" s="16">
        <v>0</v>
      </c>
      <c r="CN84" s="16">
        <v>0</v>
      </c>
      <c r="CO84" s="16">
        <v>0</v>
      </c>
      <c r="CP84" s="16">
        <v>0</v>
      </c>
      <c r="CQ84" s="16">
        <v>279</v>
      </c>
      <c r="CR84" s="16">
        <v>0</v>
      </c>
      <c r="CS84" s="16">
        <v>0</v>
      </c>
      <c r="CT84" s="16">
        <v>0</v>
      </c>
      <c r="CU84" s="16">
        <v>0</v>
      </c>
      <c r="CV84" s="16">
        <v>0</v>
      </c>
      <c r="CW84" s="16">
        <v>0</v>
      </c>
      <c r="CX84" s="16">
        <v>0</v>
      </c>
      <c r="CY84" s="16">
        <v>0</v>
      </c>
      <c r="CZ84" s="16">
        <v>0</v>
      </c>
      <c r="DA84" s="16">
        <v>0</v>
      </c>
      <c r="DB84" s="16">
        <v>0</v>
      </c>
      <c r="DC84" s="16">
        <v>0</v>
      </c>
      <c r="DD84" s="16">
        <v>0</v>
      </c>
      <c r="DE84" s="16">
        <v>0</v>
      </c>
      <c r="DF84" s="16">
        <v>0</v>
      </c>
      <c r="DG84" s="16">
        <v>0</v>
      </c>
      <c r="DH84" s="16">
        <v>0</v>
      </c>
      <c r="DI84" s="16">
        <v>0</v>
      </c>
      <c r="DJ84" s="16">
        <v>0</v>
      </c>
      <c r="DK84" s="16">
        <v>0</v>
      </c>
      <c r="DL84" s="16">
        <v>0</v>
      </c>
      <c r="DM84" s="16">
        <v>0</v>
      </c>
      <c r="DN84" s="16">
        <v>2</v>
      </c>
      <c r="DO84" s="16">
        <v>0</v>
      </c>
      <c r="DP84" s="16">
        <v>0</v>
      </c>
      <c r="DQ84" s="16">
        <v>0</v>
      </c>
      <c r="DR84" s="16">
        <v>0</v>
      </c>
      <c r="DS84" s="16">
        <v>0</v>
      </c>
      <c r="DT84" s="16">
        <v>0</v>
      </c>
      <c r="DU84" s="16">
        <v>0</v>
      </c>
      <c r="DV84" s="16">
        <v>0</v>
      </c>
      <c r="DW84" s="16">
        <v>0</v>
      </c>
      <c r="DX84" s="16">
        <v>1118</v>
      </c>
      <c r="DY84" s="16">
        <v>0</v>
      </c>
      <c r="DZ84" s="16">
        <v>8</v>
      </c>
      <c r="EA84" s="16">
        <v>0</v>
      </c>
      <c r="EB84" s="16">
        <v>0</v>
      </c>
      <c r="EC84" s="16">
        <v>0</v>
      </c>
      <c r="ED84" s="16">
        <v>0</v>
      </c>
      <c r="EE84" s="16">
        <v>0</v>
      </c>
      <c r="EF84" s="16">
        <v>0</v>
      </c>
      <c r="EG84" s="16">
        <v>68</v>
      </c>
      <c r="EH84" s="16">
        <v>0</v>
      </c>
      <c r="EI84" s="16">
        <v>0</v>
      </c>
      <c r="EJ84" s="16">
        <v>0</v>
      </c>
      <c r="EK84" s="16">
        <v>0</v>
      </c>
      <c r="EL84" s="16">
        <v>2</v>
      </c>
      <c r="EM84" s="16">
        <v>0</v>
      </c>
      <c r="EN84" s="16">
        <v>0</v>
      </c>
      <c r="EO84" s="16">
        <v>161</v>
      </c>
      <c r="EP84" s="16">
        <v>0</v>
      </c>
      <c r="EQ84" s="16">
        <v>35</v>
      </c>
      <c r="ER84" s="16">
        <v>0</v>
      </c>
      <c r="ES84" s="16">
        <v>253</v>
      </c>
      <c r="ET84" s="16">
        <v>0</v>
      </c>
      <c r="EU84" s="16">
        <v>8</v>
      </c>
      <c r="EV84" s="16">
        <v>0</v>
      </c>
      <c r="EW84" s="16">
        <v>0</v>
      </c>
      <c r="EX84" s="16">
        <v>0</v>
      </c>
      <c r="EY84" s="16">
        <v>0</v>
      </c>
      <c r="EZ84" s="16">
        <v>0</v>
      </c>
      <c r="FA84" s="16">
        <v>0</v>
      </c>
      <c r="FB84" s="16">
        <v>0</v>
      </c>
      <c r="FC84" s="16">
        <v>0</v>
      </c>
      <c r="FD84" s="16">
        <v>205</v>
      </c>
      <c r="FE84" s="16">
        <v>2</v>
      </c>
      <c r="FF84" s="16">
        <v>0</v>
      </c>
      <c r="FG84" s="16">
        <v>0</v>
      </c>
      <c r="FH84" s="16">
        <v>0</v>
      </c>
      <c r="FI84" s="16">
        <v>7</v>
      </c>
      <c r="FJ84" s="16">
        <v>0</v>
      </c>
      <c r="FK84" s="16">
        <v>0</v>
      </c>
      <c r="FL84" s="16">
        <v>0</v>
      </c>
      <c r="FM84" s="16">
        <v>0</v>
      </c>
      <c r="FN84" s="16">
        <v>0</v>
      </c>
      <c r="FO84" s="16">
        <v>111</v>
      </c>
      <c r="FP84" s="16">
        <v>321</v>
      </c>
      <c r="FQ84" s="16">
        <v>1844</v>
      </c>
      <c r="FR84" s="16">
        <v>624</v>
      </c>
      <c r="FS84" s="16">
        <v>54</v>
      </c>
      <c r="FT84" s="16">
        <v>169</v>
      </c>
      <c r="FU84" s="16">
        <v>0</v>
      </c>
      <c r="FV84" s="16">
        <v>1446</v>
      </c>
      <c r="FW84" s="16">
        <v>15</v>
      </c>
      <c r="FX84" s="16">
        <v>1900</v>
      </c>
      <c r="FY84" s="16">
        <v>4</v>
      </c>
      <c r="FZ84" s="16">
        <v>537</v>
      </c>
      <c r="GA84" s="16">
        <v>23</v>
      </c>
      <c r="GB84" s="16">
        <v>4794</v>
      </c>
      <c r="GC84" s="16">
        <v>1</v>
      </c>
      <c r="GD84" s="16">
        <v>9</v>
      </c>
      <c r="GE84" s="16">
        <v>0</v>
      </c>
      <c r="GF84" s="16">
        <v>1197</v>
      </c>
      <c r="GG84" s="16">
        <v>1</v>
      </c>
      <c r="GH84" s="16">
        <v>0</v>
      </c>
      <c r="GI84" s="16">
        <v>0</v>
      </c>
      <c r="GJ84" s="16">
        <v>0</v>
      </c>
      <c r="GK84" s="16">
        <v>0</v>
      </c>
      <c r="GL84" s="16">
        <v>0</v>
      </c>
      <c r="GM84" s="16">
        <v>0</v>
      </c>
      <c r="GN84" s="16">
        <v>0</v>
      </c>
      <c r="GO84" s="16">
        <v>0</v>
      </c>
      <c r="GP84" s="16">
        <v>0</v>
      </c>
      <c r="GQ84" s="16">
        <v>0</v>
      </c>
      <c r="GR84" s="16">
        <v>0</v>
      </c>
      <c r="GS84" s="16">
        <v>0</v>
      </c>
      <c r="GT84" s="16">
        <v>0</v>
      </c>
      <c r="GU84" s="16">
        <v>0</v>
      </c>
      <c r="GV84" s="16">
        <v>0</v>
      </c>
      <c r="GW84" s="16">
        <v>322</v>
      </c>
      <c r="GX84" s="16">
        <v>0</v>
      </c>
      <c r="GY84" s="16">
        <v>0</v>
      </c>
      <c r="GZ84" s="16">
        <v>0</v>
      </c>
      <c r="HA84" s="16">
        <v>0</v>
      </c>
      <c r="HB84" s="16">
        <v>0</v>
      </c>
      <c r="HC84" s="16">
        <v>0</v>
      </c>
      <c r="HD84" s="16">
        <v>0</v>
      </c>
      <c r="HE84" s="16">
        <v>0</v>
      </c>
      <c r="HF84" s="16">
        <v>1</v>
      </c>
      <c r="HG84" s="16">
        <v>0</v>
      </c>
      <c r="HH84" s="16">
        <v>0</v>
      </c>
      <c r="HI84" s="16">
        <v>0</v>
      </c>
      <c r="HJ84" s="16">
        <v>0</v>
      </c>
      <c r="HK84" s="16">
        <v>0</v>
      </c>
      <c r="HL84" s="16">
        <v>0</v>
      </c>
      <c r="HM84" s="16">
        <v>250</v>
      </c>
      <c r="HN84" s="16">
        <v>3310</v>
      </c>
      <c r="HO84" s="16">
        <v>1898</v>
      </c>
      <c r="HP84" s="16">
        <v>11</v>
      </c>
      <c r="HQ84" s="16">
        <v>558</v>
      </c>
      <c r="HR84" s="16">
        <v>41</v>
      </c>
      <c r="HS84" s="16">
        <v>1279</v>
      </c>
      <c r="HT84" s="16">
        <v>0</v>
      </c>
      <c r="HU84" s="16">
        <v>169</v>
      </c>
      <c r="HV84" s="16">
        <v>115</v>
      </c>
      <c r="HW84" s="16">
        <v>296</v>
      </c>
      <c r="HX84" s="16">
        <v>864</v>
      </c>
      <c r="HY84" s="16">
        <v>1693</v>
      </c>
      <c r="HZ84" s="16">
        <v>31</v>
      </c>
      <c r="IA84" s="16">
        <v>617</v>
      </c>
      <c r="IB84" s="16">
        <v>3</v>
      </c>
      <c r="IC84" s="16">
        <v>497</v>
      </c>
      <c r="ID84" s="16">
        <v>0</v>
      </c>
      <c r="IE84" s="16">
        <v>2</v>
      </c>
      <c r="IF84" s="16">
        <v>352</v>
      </c>
      <c r="IG84" s="16">
        <v>1098</v>
      </c>
      <c r="IH84" s="16">
        <v>0</v>
      </c>
      <c r="II84" s="16">
        <v>0</v>
      </c>
      <c r="IJ84" s="16">
        <v>0</v>
      </c>
      <c r="IK84" s="16">
        <v>0</v>
      </c>
      <c r="IL84" s="16">
        <v>0</v>
      </c>
      <c r="IM84" s="16">
        <v>0</v>
      </c>
      <c r="IN84" s="16">
        <v>0</v>
      </c>
      <c r="IO84" s="16">
        <v>47</v>
      </c>
      <c r="IP84" s="16">
        <v>0</v>
      </c>
      <c r="IQ84" s="16">
        <v>0</v>
      </c>
      <c r="IR84" s="16">
        <v>0</v>
      </c>
      <c r="IS84" s="16">
        <v>0</v>
      </c>
      <c r="IT84" s="16">
        <v>0</v>
      </c>
      <c r="IU84" s="16">
        <v>0</v>
      </c>
      <c r="IV84" s="16">
        <v>0</v>
      </c>
      <c r="IW84" s="16">
        <v>19061</v>
      </c>
      <c r="IX84" s="16">
        <v>800</v>
      </c>
      <c r="IY84" s="16">
        <v>181</v>
      </c>
      <c r="IZ84" s="16">
        <v>0</v>
      </c>
      <c r="JA84" s="16">
        <v>863</v>
      </c>
      <c r="JB84" s="16">
        <v>0</v>
      </c>
      <c r="JC84" s="16">
        <v>0</v>
      </c>
      <c r="JD84" s="16">
        <v>0</v>
      </c>
      <c r="JE84" s="16">
        <v>51</v>
      </c>
      <c r="JF84" s="16">
        <v>0</v>
      </c>
      <c r="JG84" s="16">
        <v>178</v>
      </c>
      <c r="JH84" s="16">
        <v>0</v>
      </c>
      <c r="JI84" s="16">
        <v>0</v>
      </c>
      <c r="JJ84" s="16">
        <v>0</v>
      </c>
      <c r="JK84" s="16">
        <v>0</v>
      </c>
      <c r="JL84" s="16">
        <v>0</v>
      </c>
      <c r="JM84" s="16">
        <v>0</v>
      </c>
      <c r="JN84" s="16">
        <v>0</v>
      </c>
      <c r="JO84" s="16">
        <v>0</v>
      </c>
      <c r="JP84" s="16">
        <v>0</v>
      </c>
      <c r="JQ84" s="16">
        <v>0</v>
      </c>
      <c r="JR84" s="16">
        <v>0</v>
      </c>
      <c r="JS84" s="16">
        <v>0</v>
      </c>
      <c r="JT84" s="16">
        <v>0</v>
      </c>
      <c r="JU84" s="16">
        <v>676</v>
      </c>
      <c r="JV84" s="16">
        <v>53</v>
      </c>
      <c r="JW84" s="16">
        <v>978071</v>
      </c>
      <c r="JX84" s="16">
        <v>846446</v>
      </c>
      <c r="JY84" s="16">
        <v>311225</v>
      </c>
      <c r="JZ84" s="16">
        <v>541</v>
      </c>
      <c r="KA84" s="16">
        <v>1884</v>
      </c>
      <c r="KB84" s="16">
        <v>389</v>
      </c>
      <c r="KC84" s="16">
        <v>0</v>
      </c>
      <c r="KD84" s="16">
        <v>1606</v>
      </c>
      <c r="KE84" s="16">
        <v>139</v>
      </c>
      <c r="KF84" s="16">
        <v>2794</v>
      </c>
      <c r="KG84" s="16">
        <v>1140</v>
      </c>
      <c r="KH84" s="16">
        <v>817</v>
      </c>
      <c r="KI84" s="16">
        <v>9596</v>
      </c>
      <c r="KJ84" s="16">
        <v>1922</v>
      </c>
      <c r="KK84" s="16">
        <v>61991</v>
      </c>
      <c r="KL84" s="16">
        <v>0</v>
      </c>
      <c r="KM84" s="16">
        <v>0</v>
      </c>
      <c r="KN84" s="16">
        <v>0</v>
      </c>
      <c r="KO84" s="16">
        <v>0</v>
      </c>
      <c r="KP84" s="16">
        <v>0</v>
      </c>
      <c r="KQ84" s="16">
        <v>0</v>
      </c>
      <c r="KR84" s="16">
        <v>0</v>
      </c>
      <c r="KS84" s="16">
        <v>0</v>
      </c>
      <c r="KT84" s="16">
        <v>0</v>
      </c>
      <c r="KU84" s="16">
        <v>0</v>
      </c>
      <c r="KV84" s="16">
        <v>0</v>
      </c>
      <c r="KW84" s="16">
        <v>2457</v>
      </c>
      <c r="KX84" s="16">
        <v>0</v>
      </c>
      <c r="KY84" s="16">
        <v>0</v>
      </c>
      <c r="KZ84" s="16">
        <v>0</v>
      </c>
      <c r="LA84" s="16">
        <v>0</v>
      </c>
      <c r="LB84" s="16">
        <v>0</v>
      </c>
      <c r="LC84" s="16">
        <v>0</v>
      </c>
      <c r="LD84" s="16">
        <v>0</v>
      </c>
      <c r="LE84" s="16">
        <v>0</v>
      </c>
      <c r="LF84" s="16">
        <v>0</v>
      </c>
      <c r="LG84" s="16">
        <v>0</v>
      </c>
      <c r="LH84" s="16">
        <v>0</v>
      </c>
      <c r="LI84" s="16">
        <v>0</v>
      </c>
      <c r="LJ84" s="16">
        <v>0</v>
      </c>
      <c r="LK84" s="16">
        <v>0</v>
      </c>
      <c r="LL84" s="16">
        <v>0</v>
      </c>
      <c r="LM84" s="16">
        <v>0</v>
      </c>
      <c r="LN84" s="16">
        <v>0</v>
      </c>
      <c r="LO84" s="16">
        <v>0</v>
      </c>
      <c r="LP84" s="16">
        <v>951</v>
      </c>
      <c r="LQ84" s="16">
        <v>0</v>
      </c>
      <c r="LR84" s="16">
        <v>0</v>
      </c>
      <c r="LS84" s="16">
        <v>0</v>
      </c>
      <c r="LT84" s="16">
        <v>0</v>
      </c>
      <c r="LU84" s="16">
        <v>0</v>
      </c>
      <c r="LV84" s="16">
        <v>0</v>
      </c>
      <c r="LW84" s="16">
        <v>0</v>
      </c>
      <c r="LX84" s="16">
        <v>0</v>
      </c>
      <c r="LY84" s="16">
        <v>0</v>
      </c>
      <c r="LZ84" s="16">
        <v>0</v>
      </c>
      <c r="MA84" s="16">
        <v>0</v>
      </c>
      <c r="MB84" s="16">
        <v>0</v>
      </c>
      <c r="MC84" s="16">
        <v>0</v>
      </c>
      <c r="MD84" s="16">
        <v>0</v>
      </c>
      <c r="ME84" s="16">
        <v>0</v>
      </c>
      <c r="MF84" s="16">
        <v>0</v>
      </c>
      <c r="MG84" s="16">
        <v>0</v>
      </c>
      <c r="MH84" s="16">
        <v>0</v>
      </c>
      <c r="MI84" s="16">
        <v>103</v>
      </c>
      <c r="MJ84" s="16">
        <v>0</v>
      </c>
      <c r="MK84" s="16">
        <v>1562</v>
      </c>
      <c r="ML84" s="16">
        <v>44</v>
      </c>
      <c r="MM84" s="16">
        <v>7953</v>
      </c>
      <c r="MN84" s="16">
        <v>0</v>
      </c>
      <c r="MO84" s="16">
        <v>6252</v>
      </c>
      <c r="MP84" s="16">
        <v>0</v>
      </c>
      <c r="MQ84" s="16">
        <v>29890</v>
      </c>
      <c r="MR84" s="16">
        <v>147</v>
      </c>
      <c r="MS84" s="16">
        <v>18</v>
      </c>
      <c r="MT84" s="16">
        <v>0</v>
      </c>
      <c r="MU84" s="16">
        <v>0</v>
      </c>
      <c r="MV84" s="16">
        <v>10467</v>
      </c>
      <c r="MW84" s="16">
        <v>0</v>
      </c>
      <c r="MX84" s="16">
        <v>0</v>
      </c>
      <c r="MY84" s="16">
        <v>0</v>
      </c>
      <c r="MZ84" s="16">
        <v>0</v>
      </c>
      <c r="NA84" s="16">
        <v>0</v>
      </c>
      <c r="NB84" s="16">
        <v>4760</v>
      </c>
      <c r="NC84" s="16">
        <v>8052</v>
      </c>
      <c r="ND84" s="16">
        <v>0</v>
      </c>
      <c r="NE84" s="16">
        <v>0</v>
      </c>
      <c r="NF84" s="16">
        <v>0</v>
      </c>
      <c r="NG84" s="16">
        <v>3462</v>
      </c>
      <c r="NH84" s="16">
        <v>1263</v>
      </c>
      <c r="NI84" s="16">
        <v>0</v>
      </c>
      <c r="NJ84" s="16">
        <v>0</v>
      </c>
      <c r="NK84" s="16">
        <v>0</v>
      </c>
      <c r="NL84" s="16">
        <v>0</v>
      </c>
      <c r="NM84" s="16">
        <v>0</v>
      </c>
      <c r="NN84" s="16">
        <v>0</v>
      </c>
      <c r="NO84" s="16">
        <v>0</v>
      </c>
      <c r="NP84" s="16">
        <v>0</v>
      </c>
      <c r="NQ84" s="16">
        <v>705</v>
      </c>
      <c r="NR84" s="17">
        <v>2373154</v>
      </c>
    </row>
    <row r="85" spans="1:382" ht="13.5" customHeight="1" x14ac:dyDescent="0.2">
      <c r="A85" s="2" t="s">
        <v>177</v>
      </c>
      <c r="B85" s="16">
        <v>2933</v>
      </c>
      <c r="C85" s="16">
        <v>2421</v>
      </c>
      <c r="D85" s="16">
        <v>0</v>
      </c>
      <c r="E85" s="16">
        <v>894</v>
      </c>
      <c r="F85" s="16">
        <v>11558</v>
      </c>
      <c r="G85" s="16">
        <v>2661</v>
      </c>
      <c r="H85" s="16">
        <v>0</v>
      </c>
      <c r="I85" s="16">
        <v>6715</v>
      </c>
      <c r="J85" s="16">
        <v>50</v>
      </c>
      <c r="K85" s="16">
        <v>0</v>
      </c>
      <c r="L85" s="16">
        <v>790</v>
      </c>
      <c r="M85" s="16">
        <v>2152</v>
      </c>
      <c r="N85" s="16">
        <v>6</v>
      </c>
      <c r="O85" s="16">
        <v>23</v>
      </c>
      <c r="P85" s="16">
        <v>188</v>
      </c>
      <c r="Q85" s="16">
        <v>2788</v>
      </c>
      <c r="R85" s="16">
        <v>1532</v>
      </c>
      <c r="S85" s="16">
        <v>31245</v>
      </c>
      <c r="T85" s="16">
        <v>7</v>
      </c>
      <c r="U85" s="16">
        <v>0</v>
      </c>
      <c r="V85" s="16">
        <v>578</v>
      </c>
      <c r="W85" s="16">
        <v>1811</v>
      </c>
      <c r="X85" s="16">
        <v>171207</v>
      </c>
      <c r="Y85" s="16">
        <v>105718</v>
      </c>
      <c r="Z85" s="16">
        <v>1007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1309</v>
      </c>
      <c r="AJ85" s="16">
        <v>930</v>
      </c>
      <c r="AK85" s="16">
        <v>1917</v>
      </c>
      <c r="AL85" s="16">
        <v>216</v>
      </c>
      <c r="AM85" s="16">
        <v>2012</v>
      </c>
      <c r="AN85" s="16">
        <v>1484</v>
      </c>
      <c r="AO85" s="16">
        <v>10558</v>
      </c>
      <c r="AP85" s="16">
        <v>513</v>
      </c>
      <c r="AQ85" s="16">
        <v>1150</v>
      </c>
      <c r="AR85" s="16">
        <v>0</v>
      </c>
      <c r="AS85" s="16">
        <v>533</v>
      </c>
      <c r="AT85" s="16">
        <v>386</v>
      </c>
      <c r="AU85" s="16">
        <v>236</v>
      </c>
      <c r="AV85" s="16">
        <v>351</v>
      </c>
      <c r="AW85" s="16">
        <v>28565</v>
      </c>
      <c r="AX85" s="16">
        <v>768</v>
      </c>
      <c r="AY85" s="16">
        <v>612</v>
      </c>
      <c r="AZ85" s="16">
        <v>1824</v>
      </c>
      <c r="BA85" s="16">
        <v>49096</v>
      </c>
      <c r="BB85" s="16">
        <v>599</v>
      </c>
      <c r="BC85" s="16">
        <v>1893</v>
      </c>
      <c r="BD85" s="16">
        <v>0</v>
      </c>
      <c r="BE85" s="16">
        <v>1029</v>
      </c>
      <c r="BF85" s="16">
        <v>965</v>
      </c>
      <c r="BG85" s="16">
        <v>4791</v>
      </c>
      <c r="BH85" s="16">
        <v>1831</v>
      </c>
      <c r="BI85" s="16">
        <v>0</v>
      </c>
      <c r="BJ85" s="16">
        <v>427</v>
      </c>
      <c r="BK85" s="16">
        <v>30</v>
      </c>
      <c r="BL85" s="16">
        <v>2972</v>
      </c>
      <c r="BM85" s="16">
        <v>2478</v>
      </c>
      <c r="BN85" s="16">
        <v>4023</v>
      </c>
      <c r="BO85" s="16">
        <v>156</v>
      </c>
      <c r="BP85" s="16">
        <v>566</v>
      </c>
      <c r="BQ85" s="16">
        <v>52</v>
      </c>
      <c r="BR85" s="16">
        <v>14</v>
      </c>
      <c r="BS85" s="16">
        <v>687</v>
      </c>
      <c r="BT85" s="16">
        <v>69</v>
      </c>
      <c r="BU85" s="16">
        <v>0</v>
      </c>
      <c r="BV85" s="16">
        <v>0</v>
      </c>
      <c r="BW85" s="16">
        <v>466</v>
      </c>
      <c r="BX85" s="16">
        <v>104</v>
      </c>
      <c r="BY85" s="16">
        <v>0</v>
      </c>
      <c r="BZ85" s="16">
        <v>0</v>
      </c>
      <c r="CA85" s="16">
        <v>36</v>
      </c>
      <c r="CB85" s="16">
        <v>0</v>
      </c>
      <c r="CC85" s="16">
        <v>96</v>
      </c>
      <c r="CD85" s="16">
        <v>429</v>
      </c>
      <c r="CE85" s="16">
        <v>1577</v>
      </c>
      <c r="CF85" s="16">
        <v>559</v>
      </c>
      <c r="CG85" s="16">
        <v>60791</v>
      </c>
      <c r="CH85" s="16">
        <v>4793</v>
      </c>
      <c r="CI85" s="16">
        <v>0</v>
      </c>
      <c r="CJ85" s="16">
        <v>3258</v>
      </c>
      <c r="CK85" s="16">
        <v>17782</v>
      </c>
      <c r="CL85" s="16">
        <v>2536</v>
      </c>
      <c r="CM85" s="16">
        <v>1190</v>
      </c>
      <c r="CN85" s="16">
        <v>479</v>
      </c>
      <c r="CO85" s="16">
        <v>1183</v>
      </c>
      <c r="CP85" s="16">
        <v>1855</v>
      </c>
      <c r="CQ85" s="16">
        <v>1853</v>
      </c>
      <c r="CR85" s="16">
        <v>397</v>
      </c>
      <c r="CS85" s="16">
        <v>433</v>
      </c>
      <c r="CT85" s="16">
        <v>3066</v>
      </c>
      <c r="CU85" s="16">
        <v>647</v>
      </c>
      <c r="CV85" s="16">
        <v>1614</v>
      </c>
      <c r="CW85" s="16">
        <v>4981</v>
      </c>
      <c r="CX85" s="16">
        <v>4789</v>
      </c>
      <c r="CY85" s="16">
        <v>2782</v>
      </c>
      <c r="CZ85" s="16">
        <v>2818</v>
      </c>
      <c r="DA85" s="16">
        <v>105</v>
      </c>
      <c r="DB85" s="16">
        <v>11189</v>
      </c>
      <c r="DC85" s="16">
        <v>1472</v>
      </c>
      <c r="DD85" s="16">
        <v>3227</v>
      </c>
      <c r="DE85" s="16">
        <v>1497</v>
      </c>
      <c r="DF85" s="16">
        <v>3454</v>
      </c>
      <c r="DG85" s="16">
        <v>0</v>
      </c>
      <c r="DH85" s="16">
        <v>22</v>
      </c>
      <c r="DI85" s="16">
        <v>1474</v>
      </c>
      <c r="DJ85" s="16">
        <v>9175</v>
      </c>
      <c r="DK85" s="16">
        <v>492</v>
      </c>
      <c r="DL85" s="16">
        <v>859</v>
      </c>
      <c r="DM85" s="16">
        <v>1395</v>
      </c>
      <c r="DN85" s="16">
        <v>1269</v>
      </c>
      <c r="DO85" s="16">
        <v>557</v>
      </c>
      <c r="DP85" s="16">
        <v>18269</v>
      </c>
      <c r="DQ85" s="16">
        <v>521</v>
      </c>
      <c r="DR85" s="16">
        <v>420</v>
      </c>
      <c r="DS85" s="16">
        <v>2482</v>
      </c>
      <c r="DT85" s="16">
        <v>565</v>
      </c>
      <c r="DU85" s="16">
        <v>1347</v>
      </c>
      <c r="DV85" s="16">
        <v>3109</v>
      </c>
      <c r="DW85" s="16">
        <v>5648</v>
      </c>
      <c r="DX85" s="16">
        <v>3549</v>
      </c>
      <c r="DY85" s="16">
        <v>2839</v>
      </c>
      <c r="DZ85" s="16">
        <v>9394</v>
      </c>
      <c r="EA85" s="16">
        <v>3663</v>
      </c>
      <c r="EB85" s="16">
        <v>46</v>
      </c>
      <c r="EC85" s="16">
        <v>1586</v>
      </c>
      <c r="ED85" s="16">
        <v>431</v>
      </c>
      <c r="EE85" s="16">
        <v>510</v>
      </c>
      <c r="EF85" s="16">
        <v>946</v>
      </c>
      <c r="EG85" s="16">
        <v>38643</v>
      </c>
      <c r="EH85" s="16">
        <v>3581</v>
      </c>
      <c r="EI85" s="16">
        <v>1216</v>
      </c>
      <c r="EJ85" s="16">
        <v>4455</v>
      </c>
      <c r="EK85" s="16">
        <v>7040</v>
      </c>
      <c r="EL85" s="16">
        <v>2139</v>
      </c>
      <c r="EM85" s="16">
        <v>971</v>
      </c>
      <c r="EN85" s="16">
        <v>11076</v>
      </c>
      <c r="EO85" s="16">
        <v>12426</v>
      </c>
      <c r="EP85" s="16">
        <v>2333</v>
      </c>
      <c r="EQ85" s="16">
        <v>12971</v>
      </c>
      <c r="ER85" s="16">
        <v>424</v>
      </c>
      <c r="ES85" s="16">
        <v>271</v>
      </c>
      <c r="ET85" s="16">
        <v>14955</v>
      </c>
      <c r="EU85" s="16">
        <v>145</v>
      </c>
      <c r="EV85" s="16">
        <v>41</v>
      </c>
      <c r="EW85" s="16">
        <v>103</v>
      </c>
      <c r="EX85" s="16">
        <v>7720</v>
      </c>
      <c r="EY85" s="16">
        <v>982</v>
      </c>
      <c r="EZ85" s="16">
        <v>31</v>
      </c>
      <c r="FA85" s="16">
        <v>116</v>
      </c>
      <c r="FB85" s="16">
        <v>0</v>
      </c>
      <c r="FC85" s="16">
        <v>1158</v>
      </c>
      <c r="FD85" s="16">
        <v>9173</v>
      </c>
      <c r="FE85" s="16">
        <v>1259</v>
      </c>
      <c r="FF85" s="16">
        <v>762</v>
      </c>
      <c r="FG85" s="16">
        <v>14515</v>
      </c>
      <c r="FH85" s="16">
        <v>497</v>
      </c>
      <c r="FI85" s="16">
        <v>1877</v>
      </c>
      <c r="FJ85" s="16">
        <v>771</v>
      </c>
      <c r="FK85" s="16">
        <v>1967</v>
      </c>
      <c r="FL85" s="16">
        <v>29</v>
      </c>
      <c r="FM85" s="16">
        <v>10300</v>
      </c>
      <c r="FN85" s="16">
        <v>39077</v>
      </c>
      <c r="FO85" s="16">
        <v>4067</v>
      </c>
      <c r="FP85" s="16">
        <v>8710</v>
      </c>
      <c r="FQ85" s="16">
        <v>34492</v>
      </c>
      <c r="FR85" s="16">
        <v>16281</v>
      </c>
      <c r="FS85" s="16">
        <v>1787</v>
      </c>
      <c r="FT85" s="16">
        <v>1418</v>
      </c>
      <c r="FU85" s="16">
        <v>16299</v>
      </c>
      <c r="FV85" s="16">
        <v>25304</v>
      </c>
      <c r="FW85" s="16">
        <v>2465</v>
      </c>
      <c r="FX85" s="16">
        <v>9180</v>
      </c>
      <c r="FY85" s="16">
        <v>3441</v>
      </c>
      <c r="FZ85" s="16">
        <v>10635</v>
      </c>
      <c r="GA85" s="16">
        <v>485</v>
      </c>
      <c r="GB85" s="16">
        <v>122347</v>
      </c>
      <c r="GC85" s="16">
        <v>13568</v>
      </c>
      <c r="GD85" s="16">
        <v>1608</v>
      </c>
      <c r="GE85" s="16">
        <v>432</v>
      </c>
      <c r="GF85" s="16">
        <v>1011</v>
      </c>
      <c r="GG85" s="16">
        <v>2848</v>
      </c>
      <c r="GH85" s="16">
        <v>1456</v>
      </c>
      <c r="GI85" s="16">
        <v>38</v>
      </c>
      <c r="GJ85" s="16">
        <v>3033</v>
      </c>
      <c r="GK85" s="16">
        <v>218</v>
      </c>
      <c r="GL85" s="16">
        <v>1</v>
      </c>
      <c r="GM85" s="16">
        <v>29</v>
      </c>
      <c r="GN85" s="16">
        <v>206</v>
      </c>
      <c r="GO85" s="16">
        <v>278</v>
      </c>
      <c r="GP85" s="16">
        <v>39</v>
      </c>
      <c r="GQ85" s="16">
        <v>617</v>
      </c>
      <c r="GR85" s="16">
        <v>1820</v>
      </c>
      <c r="GS85" s="16">
        <v>169</v>
      </c>
      <c r="GT85" s="16">
        <v>213</v>
      </c>
      <c r="GU85" s="16">
        <v>3314</v>
      </c>
      <c r="GV85" s="16">
        <v>71</v>
      </c>
      <c r="GW85" s="16">
        <v>1789</v>
      </c>
      <c r="GX85" s="16">
        <v>69</v>
      </c>
      <c r="GY85" s="16">
        <v>0</v>
      </c>
      <c r="GZ85" s="16">
        <v>4343</v>
      </c>
      <c r="HA85" s="16">
        <v>1631</v>
      </c>
      <c r="HB85" s="16">
        <v>1363</v>
      </c>
      <c r="HC85" s="16">
        <v>1646</v>
      </c>
      <c r="HD85" s="16">
        <v>6562</v>
      </c>
      <c r="HE85" s="16">
        <v>398</v>
      </c>
      <c r="HF85" s="16">
        <v>57477</v>
      </c>
      <c r="HG85" s="16">
        <v>1328</v>
      </c>
      <c r="HH85" s="16">
        <v>279</v>
      </c>
      <c r="HI85" s="16">
        <v>752</v>
      </c>
      <c r="HJ85" s="16">
        <v>412</v>
      </c>
      <c r="HK85" s="16">
        <v>317</v>
      </c>
      <c r="HL85" s="16">
        <v>19351</v>
      </c>
      <c r="HM85" s="16">
        <v>4164</v>
      </c>
      <c r="HN85" s="16">
        <v>3523</v>
      </c>
      <c r="HO85" s="16">
        <v>12763</v>
      </c>
      <c r="HP85" s="16">
        <v>30</v>
      </c>
      <c r="HQ85" s="16">
        <v>23917</v>
      </c>
      <c r="HR85" s="16">
        <v>3788</v>
      </c>
      <c r="HS85" s="16">
        <v>6813</v>
      </c>
      <c r="HT85" s="16">
        <v>252</v>
      </c>
      <c r="HU85" s="16">
        <v>6969</v>
      </c>
      <c r="HV85" s="16">
        <v>1757</v>
      </c>
      <c r="HW85" s="16">
        <v>12115</v>
      </c>
      <c r="HX85" s="16">
        <v>4533</v>
      </c>
      <c r="HY85" s="16">
        <v>3670</v>
      </c>
      <c r="HZ85" s="16">
        <v>640</v>
      </c>
      <c r="IA85" s="16">
        <v>558</v>
      </c>
      <c r="IB85" s="16">
        <v>469</v>
      </c>
      <c r="IC85" s="16">
        <v>1035</v>
      </c>
      <c r="ID85" s="16">
        <v>141</v>
      </c>
      <c r="IE85" s="16">
        <v>45</v>
      </c>
      <c r="IF85" s="16">
        <v>196</v>
      </c>
      <c r="IG85" s="16">
        <v>13644</v>
      </c>
      <c r="IH85" s="16">
        <v>3554</v>
      </c>
      <c r="II85" s="16">
        <v>476</v>
      </c>
      <c r="IJ85" s="16">
        <v>1152</v>
      </c>
      <c r="IK85" s="16">
        <v>6201</v>
      </c>
      <c r="IL85" s="16">
        <v>664</v>
      </c>
      <c r="IM85" s="16">
        <v>0</v>
      </c>
      <c r="IN85" s="16">
        <v>0</v>
      </c>
      <c r="IO85" s="16">
        <v>28702</v>
      </c>
      <c r="IP85" s="16">
        <v>0</v>
      </c>
      <c r="IQ85" s="16">
        <v>21</v>
      </c>
      <c r="IR85" s="16">
        <v>0</v>
      </c>
      <c r="IS85" s="16">
        <v>0</v>
      </c>
      <c r="IT85" s="16">
        <v>1389</v>
      </c>
      <c r="IU85" s="16">
        <v>3</v>
      </c>
      <c r="IV85" s="16">
        <v>5472</v>
      </c>
      <c r="IW85" s="16">
        <v>981</v>
      </c>
      <c r="IX85" s="16">
        <v>317</v>
      </c>
      <c r="IY85" s="16">
        <v>332</v>
      </c>
      <c r="IZ85" s="16">
        <v>0</v>
      </c>
      <c r="JA85" s="16">
        <v>225</v>
      </c>
      <c r="JB85" s="16">
        <v>306</v>
      </c>
      <c r="JC85" s="16">
        <v>0</v>
      </c>
      <c r="JD85" s="16">
        <v>0</v>
      </c>
      <c r="JE85" s="16">
        <v>0</v>
      </c>
      <c r="JF85" s="16">
        <v>0</v>
      </c>
      <c r="JG85" s="16">
        <v>23256</v>
      </c>
      <c r="JH85" s="16">
        <v>0</v>
      </c>
      <c r="JI85" s="16">
        <v>0</v>
      </c>
      <c r="JJ85" s="16">
        <v>0</v>
      </c>
      <c r="JK85" s="16">
        <v>0</v>
      </c>
      <c r="JL85" s="16">
        <v>0</v>
      </c>
      <c r="JM85" s="16">
        <v>0</v>
      </c>
      <c r="JN85" s="16">
        <v>0</v>
      </c>
      <c r="JO85" s="16">
        <v>0</v>
      </c>
      <c r="JP85" s="16">
        <v>0</v>
      </c>
      <c r="JQ85" s="16">
        <v>0</v>
      </c>
      <c r="JR85" s="16">
        <v>0</v>
      </c>
      <c r="JS85" s="16">
        <v>0</v>
      </c>
      <c r="JT85" s="16">
        <v>0</v>
      </c>
      <c r="JU85" s="16">
        <v>0</v>
      </c>
      <c r="JV85" s="16">
        <v>2802</v>
      </c>
      <c r="JW85" s="16">
        <v>2210</v>
      </c>
      <c r="JX85" s="16">
        <v>0</v>
      </c>
      <c r="JY85" s="16">
        <v>0</v>
      </c>
      <c r="JZ85" s="16">
        <v>0</v>
      </c>
      <c r="KA85" s="16">
        <v>0</v>
      </c>
      <c r="KB85" s="16">
        <v>6</v>
      </c>
      <c r="KC85" s="16">
        <v>0</v>
      </c>
      <c r="KD85" s="16">
        <v>0</v>
      </c>
      <c r="KE85" s="16">
        <v>209</v>
      </c>
      <c r="KF85" s="16">
        <v>0</v>
      </c>
      <c r="KG85" s="16">
        <v>0</v>
      </c>
      <c r="KH85" s="16">
        <v>0</v>
      </c>
      <c r="KI85" s="16">
        <v>42</v>
      </c>
      <c r="KJ85" s="16">
        <v>172</v>
      </c>
      <c r="KK85" s="16">
        <v>161636</v>
      </c>
      <c r="KL85" s="16">
        <v>7</v>
      </c>
      <c r="KM85" s="16">
        <v>0</v>
      </c>
      <c r="KN85" s="16">
        <v>38</v>
      </c>
      <c r="KO85" s="16">
        <v>837</v>
      </c>
      <c r="KP85" s="16">
        <v>7</v>
      </c>
      <c r="KQ85" s="16">
        <v>0</v>
      </c>
      <c r="KR85" s="16">
        <v>1522</v>
      </c>
      <c r="KS85" s="16">
        <v>0</v>
      </c>
      <c r="KT85" s="16">
        <v>0</v>
      </c>
      <c r="KU85" s="16">
        <v>14729</v>
      </c>
      <c r="KV85" s="16">
        <v>705552</v>
      </c>
      <c r="KW85" s="16">
        <v>140677</v>
      </c>
      <c r="KX85" s="16">
        <v>0</v>
      </c>
      <c r="KY85" s="16">
        <v>0</v>
      </c>
      <c r="KZ85" s="16">
        <v>8875</v>
      </c>
      <c r="LA85" s="16">
        <v>0</v>
      </c>
      <c r="LB85" s="16">
        <v>0</v>
      </c>
      <c r="LC85" s="16">
        <v>0</v>
      </c>
      <c r="LD85" s="16">
        <v>0</v>
      </c>
      <c r="LE85" s="16">
        <v>0</v>
      </c>
      <c r="LF85" s="16">
        <v>0</v>
      </c>
      <c r="LG85" s="16">
        <v>118</v>
      </c>
      <c r="LH85" s="16">
        <v>1517</v>
      </c>
      <c r="LI85" s="16">
        <v>0</v>
      </c>
      <c r="LJ85" s="16">
        <v>0</v>
      </c>
      <c r="LK85" s="16">
        <v>0</v>
      </c>
      <c r="LL85" s="16">
        <v>0</v>
      </c>
      <c r="LM85" s="16">
        <v>0</v>
      </c>
      <c r="LN85" s="16">
        <v>0</v>
      </c>
      <c r="LO85" s="16">
        <v>0</v>
      </c>
      <c r="LP85" s="16">
        <v>0</v>
      </c>
      <c r="LQ85" s="16">
        <v>0</v>
      </c>
      <c r="LR85" s="16">
        <v>0</v>
      </c>
      <c r="LS85" s="16">
        <v>0</v>
      </c>
      <c r="LT85" s="16">
        <v>0</v>
      </c>
      <c r="LU85" s="16">
        <v>0</v>
      </c>
      <c r="LV85" s="16">
        <v>0</v>
      </c>
      <c r="LW85" s="16">
        <v>0</v>
      </c>
      <c r="LX85" s="16">
        <v>0</v>
      </c>
      <c r="LY85" s="16">
        <v>0</v>
      </c>
      <c r="LZ85" s="16">
        <v>0</v>
      </c>
      <c r="MA85" s="16">
        <v>0</v>
      </c>
      <c r="MB85" s="16">
        <v>0</v>
      </c>
      <c r="MC85" s="16">
        <v>145</v>
      </c>
      <c r="MD85" s="16">
        <v>78</v>
      </c>
      <c r="ME85" s="16">
        <v>80</v>
      </c>
      <c r="MF85" s="16">
        <v>874</v>
      </c>
      <c r="MG85" s="16">
        <v>0</v>
      </c>
      <c r="MH85" s="16">
        <v>0</v>
      </c>
      <c r="MI85" s="16">
        <v>0</v>
      </c>
      <c r="MJ85" s="16">
        <v>0</v>
      </c>
      <c r="MK85" s="16">
        <v>0</v>
      </c>
      <c r="ML85" s="16">
        <v>0</v>
      </c>
      <c r="MM85" s="16">
        <v>0</v>
      </c>
      <c r="MN85" s="16">
        <v>0</v>
      </c>
      <c r="MO85" s="16">
        <v>0</v>
      </c>
      <c r="MP85" s="16">
        <v>0</v>
      </c>
      <c r="MQ85" s="16">
        <v>30655</v>
      </c>
      <c r="MR85" s="16">
        <v>440</v>
      </c>
      <c r="MS85" s="16">
        <v>137</v>
      </c>
      <c r="MT85" s="16">
        <v>2</v>
      </c>
      <c r="MU85" s="16">
        <v>1139</v>
      </c>
      <c r="MV85" s="16">
        <v>551</v>
      </c>
      <c r="MW85" s="16">
        <v>0</v>
      </c>
      <c r="MX85" s="16">
        <v>4</v>
      </c>
      <c r="MY85" s="16">
        <v>0</v>
      </c>
      <c r="MZ85" s="16">
        <v>5097</v>
      </c>
      <c r="NA85" s="16">
        <v>13</v>
      </c>
      <c r="NB85" s="16">
        <v>0</v>
      </c>
      <c r="NC85" s="16">
        <v>138</v>
      </c>
      <c r="ND85" s="16">
        <v>0</v>
      </c>
      <c r="NE85" s="16">
        <v>0</v>
      </c>
      <c r="NF85" s="16">
        <v>0</v>
      </c>
      <c r="NG85" s="16">
        <v>0</v>
      </c>
      <c r="NH85" s="16">
        <v>0</v>
      </c>
      <c r="NI85" s="16">
        <v>0</v>
      </c>
      <c r="NJ85" s="16">
        <v>0</v>
      </c>
      <c r="NK85" s="16">
        <v>0</v>
      </c>
      <c r="NL85" s="16">
        <v>1</v>
      </c>
      <c r="NM85" s="16">
        <v>0</v>
      </c>
      <c r="NN85" s="16">
        <v>0</v>
      </c>
      <c r="NO85" s="16">
        <v>0</v>
      </c>
      <c r="NP85" s="16">
        <v>146</v>
      </c>
      <c r="NQ85" s="16">
        <v>4</v>
      </c>
      <c r="NR85" s="17">
        <v>2526506</v>
      </c>
    </row>
    <row r="86" spans="1:382" ht="13.5" customHeight="1" x14ac:dyDescent="0.2">
      <c r="A86" s="2" t="s">
        <v>179</v>
      </c>
      <c r="B86" s="16">
        <v>0</v>
      </c>
      <c r="C86" s="16">
        <v>0</v>
      </c>
      <c r="D86" s="16">
        <v>0</v>
      </c>
      <c r="E86" s="16">
        <v>0</v>
      </c>
      <c r="F86" s="16">
        <v>4357</v>
      </c>
      <c r="G86" s="16">
        <v>0</v>
      </c>
      <c r="H86" s="16">
        <v>370</v>
      </c>
      <c r="I86" s="16">
        <v>12275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8783</v>
      </c>
      <c r="T86" s="16">
        <v>-613</v>
      </c>
      <c r="U86" s="16">
        <v>-138</v>
      </c>
      <c r="V86" s="16">
        <v>0</v>
      </c>
      <c r="W86" s="16">
        <v>-5</v>
      </c>
      <c r="X86" s="16">
        <v>454</v>
      </c>
      <c r="Y86" s="16">
        <v>0</v>
      </c>
      <c r="Z86" s="16">
        <v>0</v>
      </c>
      <c r="AA86" s="16">
        <v>-20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624</v>
      </c>
      <c r="AH86" s="16">
        <v>-2</v>
      </c>
      <c r="AI86" s="16">
        <v>1667</v>
      </c>
      <c r="AJ86" s="16">
        <v>0</v>
      </c>
      <c r="AK86" s="16">
        <v>37</v>
      </c>
      <c r="AL86" s="16">
        <v>55</v>
      </c>
      <c r="AM86" s="16">
        <v>31466</v>
      </c>
      <c r="AN86" s="16">
        <v>288</v>
      </c>
      <c r="AO86" s="16">
        <v>641</v>
      </c>
      <c r="AP86" s="16">
        <v>0</v>
      </c>
      <c r="AQ86" s="16">
        <v>0</v>
      </c>
      <c r="AR86" s="16">
        <v>0</v>
      </c>
      <c r="AS86" s="16">
        <v>-4</v>
      </c>
      <c r="AT86" s="16">
        <v>0</v>
      </c>
      <c r="AU86" s="16">
        <v>830</v>
      </c>
      <c r="AV86" s="16">
        <v>-5</v>
      </c>
      <c r="AW86" s="16">
        <v>-3</v>
      </c>
      <c r="AX86" s="16">
        <v>0</v>
      </c>
      <c r="AY86" s="16">
        <v>-8</v>
      </c>
      <c r="AZ86" s="16">
        <v>737</v>
      </c>
      <c r="BA86" s="16">
        <v>10176</v>
      </c>
      <c r="BB86" s="16">
        <v>-8</v>
      </c>
      <c r="BC86" s="16">
        <v>853</v>
      </c>
      <c r="BD86" s="16">
        <v>0</v>
      </c>
      <c r="BE86" s="16">
        <v>0</v>
      </c>
      <c r="BF86" s="16">
        <v>-4</v>
      </c>
      <c r="BG86" s="16">
        <v>60</v>
      </c>
      <c r="BH86" s="16">
        <v>84</v>
      </c>
      <c r="BI86" s="16">
        <v>-67</v>
      </c>
      <c r="BJ86" s="16">
        <v>0</v>
      </c>
      <c r="BK86" s="16">
        <v>-8</v>
      </c>
      <c r="BL86" s="16">
        <v>749</v>
      </c>
      <c r="BM86" s="16">
        <v>0</v>
      </c>
      <c r="BN86" s="16">
        <v>-1</v>
      </c>
      <c r="BO86" s="16">
        <v>-2</v>
      </c>
      <c r="BP86" s="16">
        <v>273</v>
      </c>
      <c r="BQ86" s="16">
        <v>0</v>
      </c>
      <c r="BR86" s="16">
        <v>30</v>
      </c>
      <c r="BS86" s="16">
        <v>224</v>
      </c>
      <c r="BT86" s="16">
        <v>-2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1972</v>
      </c>
      <c r="CA86" s="16">
        <v>75</v>
      </c>
      <c r="CB86" s="16">
        <v>-1</v>
      </c>
      <c r="CC86" s="16">
        <v>-105</v>
      </c>
      <c r="CD86" s="16">
        <v>48</v>
      </c>
      <c r="CE86" s="16">
        <v>-837</v>
      </c>
      <c r="CF86" s="16">
        <v>1409</v>
      </c>
      <c r="CG86" s="16">
        <v>992</v>
      </c>
      <c r="CH86" s="16">
        <v>55314</v>
      </c>
      <c r="CI86" s="16">
        <v>0</v>
      </c>
      <c r="CJ86" s="16">
        <v>-253</v>
      </c>
      <c r="CK86" s="16">
        <v>0</v>
      </c>
      <c r="CL86" s="16">
        <v>770</v>
      </c>
      <c r="CM86" s="16">
        <v>220</v>
      </c>
      <c r="CN86" s="16">
        <v>-5</v>
      </c>
      <c r="CO86" s="16">
        <v>-1</v>
      </c>
      <c r="CP86" s="16">
        <v>-1</v>
      </c>
      <c r="CQ86" s="16">
        <v>1127</v>
      </c>
      <c r="CR86" s="16">
        <v>0</v>
      </c>
      <c r="CS86" s="16">
        <v>-12</v>
      </c>
      <c r="CT86" s="16">
        <v>-12</v>
      </c>
      <c r="CU86" s="16">
        <v>-8</v>
      </c>
      <c r="CV86" s="16">
        <v>-5</v>
      </c>
      <c r="CW86" s="16">
        <v>-37</v>
      </c>
      <c r="CX86" s="16">
        <v>-15</v>
      </c>
      <c r="CY86" s="16">
        <v>-4</v>
      </c>
      <c r="CZ86" s="16">
        <v>-5</v>
      </c>
      <c r="DA86" s="16">
        <v>-1</v>
      </c>
      <c r="DB86" s="16">
        <v>-6</v>
      </c>
      <c r="DC86" s="16">
        <v>-13</v>
      </c>
      <c r="DD86" s="16">
        <v>-10</v>
      </c>
      <c r="DE86" s="16">
        <v>-84</v>
      </c>
      <c r="DF86" s="16">
        <v>-72</v>
      </c>
      <c r="DG86" s="16">
        <v>-10</v>
      </c>
      <c r="DH86" s="16">
        <v>-24</v>
      </c>
      <c r="DI86" s="16">
        <v>0</v>
      </c>
      <c r="DJ86" s="16">
        <v>105</v>
      </c>
      <c r="DK86" s="16">
        <v>-8</v>
      </c>
      <c r="DL86" s="16">
        <v>-153</v>
      </c>
      <c r="DM86" s="16">
        <v>-8</v>
      </c>
      <c r="DN86" s="16">
        <v>148</v>
      </c>
      <c r="DO86" s="16">
        <v>-3</v>
      </c>
      <c r="DP86" s="16">
        <v>509</v>
      </c>
      <c r="DQ86" s="16">
        <v>0</v>
      </c>
      <c r="DR86" s="16">
        <v>-7</v>
      </c>
      <c r="DS86" s="16">
        <v>351</v>
      </c>
      <c r="DT86" s="16">
        <v>-1</v>
      </c>
      <c r="DU86" s="16">
        <v>2505</v>
      </c>
      <c r="DV86" s="16">
        <v>-8</v>
      </c>
      <c r="DW86" s="16">
        <v>-34</v>
      </c>
      <c r="DX86" s="16">
        <v>230</v>
      </c>
      <c r="DY86" s="16">
        <v>344</v>
      </c>
      <c r="DZ86" s="16">
        <v>777</v>
      </c>
      <c r="EA86" s="16">
        <v>326</v>
      </c>
      <c r="EB86" s="16">
        <v>-5</v>
      </c>
      <c r="EC86" s="16">
        <v>4</v>
      </c>
      <c r="ED86" s="16">
        <v>0</v>
      </c>
      <c r="EE86" s="16">
        <v>-1</v>
      </c>
      <c r="EF86" s="16">
        <v>79</v>
      </c>
      <c r="EG86" s="16">
        <v>1015</v>
      </c>
      <c r="EH86" s="16">
        <v>3708</v>
      </c>
      <c r="EI86" s="16">
        <v>18</v>
      </c>
      <c r="EJ86" s="16">
        <v>44</v>
      </c>
      <c r="EK86" s="16">
        <v>-26</v>
      </c>
      <c r="EL86" s="16">
        <v>40</v>
      </c>
      <c r="EM86" s="16">
        <v>0</v>
      </c>
      <c r="EN86" s="16">
        <v>-5</v>
      </c>
      <c r="EO86" s="16">
        <v>1205</v>
      </c>
      <c r="EP86" s="16">
        <v>0</v>
      </c>
      <c r="EQ86" s="16">
        <v>8</v>
      </c>
      <c r="ER86" s="16">
        <v>1</v>
      </c>
      <c r="ES86" s="16">
        <v>-6</v>
      </c>
      <c r="ET86" s="16">
        <v>88</v>
      </c>
      <c r="EU86" s="16">
        <v>-249</v>
      </c>
      <c r="EV86" s="16">
        <v>29</v>
      </c>
      <c r="EW86" s="16">
        <v>-39</v>
      </c>
      <c r="EX86" s="16">
        <v>-1</v>
      </c>
      <c r="EY86" s="16">
        <v>-1</v>
      </c>
      <c r="EZ86" s="16">
        <v>-1</v>
      </c>
      <c r="FA86" s="16">
        <v>-3</v>
      </c>
      <c r="FB86" s="16">
        <v>0</v>
      </c>
      <c r="FC86" s="16">
        <v>20</v>
      </c>
      <c r="FD86" s="16">
        <v>2779</v>
      </c>
      <c r="FE86" s="16">
        <v>-7</v>
      </c>
      <c r="FF86" s="16">
        <v>-4</v>
      </c>
      <c r="FG86" s="16">
        <v>1</v>
      </c>
      <c r="FH86" s="16">
        <v>0</v>
      </c>
      <c r="FI86" s="16">
        <v>0</v>
      </c>
      <c r="FJ86" s="16">
        <v>0</v>
      </c>
      <c r="FK86" s="16">
        <v>-5</v>
      </c>
      <c r="FL86" s="16">
        <v>-12</v>
      </c>
      <c r="FM86" s="16">
        <v>5844</v>
      </c>
      <c r="FN86" s="16">
        <v>8506</v>
      </c>
      <c r="FO86" s="16">
        <v>0</v>
      </c>
      <c r="FP86" s="16">
        <v>488</v>
      </c>
      <c r="FQ86" s="16">
        <v>677</v>
      </c>
      <c r="FR86" s="16">
        <v>3155</v>
      </c>
      <c r="FS86" s="16">
        <v>394</v>
      </c>
      <c r="FT86" s="16">
        <v>625</v>
      </c>
      <c r="FU86" s="16">
        <v>0</v>
      </c>
      <c r="FV86" s="16">
        <v>3566</v>
      </c>
      <c r="FW86" s="16">
        <v>25</v>
      </c>
      <c r="FX86" s="16">
        <v>495</v>
      </c>
      <c r="FY86" s="16">
        <v>910</v>
      </c>
      <c r="FZ86" s="16">
        <v>2904</v>
      </c>
      <c r="GA86" s="16">
        <v>26542</v>
      </c>
      <c r="GB86" s="16">
        <v>492</v>
      </c>
      <c r="GC86" s="16">
        <v>160</v>
      </c>
      <c r="GD86" s="16">
        <v>701</v>
      </c>
      <c r="GE86" s="16">
        <v>-95</v>
      </c>
      <c r="GF86" s="16">
        <v>-7</v>
      </c>
      <c r="GG86" s="16">
        <v>-289</v>
      </c>
      <c r="GH86" s="16">
        <v>-16</v>
      </c>
      <c r="GI86" s="16">
        <v>-42</v>
      </c>
      <c r="GJ86" s="16">
        <v>0</v>
      </c>
      <c r="GK86" s="16">
        <v>-77</v>
      </c>
      <c r="GL86" s="16">
        <v>0</v>
      </c>
      <c r="GM86" s="16">
        <v>0</v>
      </c>
      <c r="GN86" s="16">
        <v>-3</v>
      </c>
      <c r="GO86" s="16">
        <v>0</v>
      </c>
      <c r="GP86" s="16">
        <v>-3</v>
      </c>
      <c r="GQ86" s="16">
        <v>0</v>
      </c>
      <c r="GR86" s="16">
        <v>0</v>
      </c>
      <c r="GS86" s="16">
        <v>0</v>
      </c>
      <c r="GT86" s="16">
        <v>0</v>
      </c>
      <c r="GU86" s="16">
        <v>0</v>
      </c>
      <c r="GV86" s="16">
        <v>0</v>
      </c>
      <c r="GW86" s="16">
        <v>19</v>
      </c>
      <c r="GX86" s="16">
        <v>0</v>
      </c>
      <c r="GY86" s="16">
        <v>0</v>
      </c>
      <c r="GZ86" s="16">
        <v>-27</v>
      </c>
      <c r="HA86" s="16">
        <v>-8</v>
      </c>
      <c r="HB86" s="16">
        <v>0</v>
      </c>
      <c r="HC86" s="16">
        <v>-7</v>
      </c>
      <c r="HD86" s="16">
        <v>0</v>
      </c>
      <c r="HE86" s="16">
        <v>-19</v>
      </c>
      <c r="HF86" s="16">
        <v>-13</v>
      </c>
      <c r="HG86" s="16">
        <v>0</v>
      </c>
      <c r="HH86" s="16">
        <v>37</v>
      </c>
      <c r="HI86" s="16">
        <v>-81</v>
      </c>
      <c r="HJ86" s="16">
        <v>0</v>
      </c>
      <c r="HK86" s="16">
        <v>-6</v>
      </c>
      <c r="HL86" s="16">
        <v>-7</v>
      </c>
      <c r="HM86" s="16">
        <v>734</v>
      </c>
      <c r="HN86" s="16">
        <v>1714</v>
      </c>
      <c r="HO86" s="16">
        <v>2265</v>
      </c>
      <c r="HP86" s="16">
        <v>203</v>
      </c>
      <c r="HQ86" s="16">
        <v>3023</v>
      </c>
      <c r="HR86" s="16">
        <v>1986</v>
      </c>
      <c r="HS86" s="16">
        <v>569</v>
      </c>
      <c r="HT86" s="16">
        <v>0</v>
      </c>
      <c r="HU86" s="16">
        <v>2955</v>
      </c>
      <c r="HV86" s="16">
        <v>-30</v>
      </c>
      <c r="HW86" s="16">
        <v>-62</v>
      </c>
      <c r="HX86" s="16">
        <v>445</v>
      </c>
      <c r="HY86" s="16">
        <v>921</v>
      </c>
      <c r="HZ86" s="16">
        <v>1369</v>
      </c>
      <c r="IA86" s="16">
        <v>7076</v>
      </c>
      <c r="IB86" s="16">
        <v>102</v>
      </c>
      <c r="IC86" s="16">
        <v>219</v>
      </c>
      <c r="ID86" s="16">
        <v>1126</v>
      </c>
      <c r="IE86" s="16">
        <v>0</v>
      </c>
      <c r="IF86" s="16">
        <v>45</v>
      </c>
      <c r="IG86" s="16">
        <v>2334</v>
      </c>
      <c r="IH86" s="16">
        <v>-143</v>
      </c>
      <c r="II86" s="16">
        <v>0</v>
      </c>
      <c r="IJ86" s="16">
        <v>-20</v>
      </c>
      <c r="IK86" s="16">
        <v>-59</v>
      </c>
      <c r="IL86" s="16">
        <v>-13</v>
      </c>
      <c r="IM86" s="16">
        <v>0</v>
      </c>
      <c r="IN86" s="16">
        <v>-5</v>
      </c>
      <c r="IO86" s="16">
        <v>-466</v>
      </c>
      <c r="IP86" s="16">
        <v>-229</v>
      </c>
      <c r="IQ86" s="16">
        <v>-12</v>
      </c>
      <c r="IR86" s="16">
        <v>-18</v>
      </c>
      <c r="IS86" s="16">
        <v>0</v>
      </c>
      <c r="IT86" s="16">
        <v>-5</v>
      </c>
      <c r="IU86" s="16">
        <v>0</v>
      </c>
      <c r="IV86" s="16">
        <v>0</v>
      </c>
      <c r="IW86" s="16">
        <v>-23989</v>
      </c>
      <c r="IX86" s="16">
        <v>8281</v>
      </c>
      <c r="IY86" s="16">
        <v>287</v>
      </c>
      <c r="IZ86" s="16">
        <v>3</v>
      </c>
      <c r="JA86" s="16">
        <v>2317</v>
      </c>
      <c r="JB86" s="16">
        <v>226</v>
      </c>
      <c r="JC86" s="16">
        <v>-4</v>
      </c>
      <c r="JD86" s="16">
        <v>0</v>
      </c>
      <c r="JE86" s="16">
        <v>609</v>
      </c>
      <c r="JF86" s="16">
        <v>1506</v>
      </c>
      <c r="JG86" s="16">
        <v>1068</v>
      </c>
      <c r="JH86" s="16">
        <v>0</v>
      </c>
      <c r="JI86" s="16">
        <v>-8</v>
      </c>
      <c r="JJ86" s="16">
        <v>-234</v>
      </c>
      <c r="JK86" s="16">
        <v>-45</v>
      </c>
      <c r="JL86" s="16">
        <v>17665</v>
      </c>
      <c r="JM86" s="16">
        <v>3812</v>
      </c>
      <c r="JN86" s="16">
        <v>326481</v>
      </c>
      <c r="JO86" s="16">
        <v>0</v>
      </c>
      <c r="JP86" s="16">
        <v>-3</v>
      </c>
      <c r="JQ86" s="16">
        <v>-295</v>
      </c>
      <c r="JR86" s="16">
        <v>-700</v>
      </c>
      <c r="JS86" s="16">
        <v>-318</v>
      </c>
      <c r="JT86" s="16">
        <v>-1</v>
      </c>
      <c r="JU86" s="16">
        <v>-7754</v>
      </c>
      <c r="JV86" s="16">
        <v>0</v>
      </c>
      <c r="JW86" s="16">
        <v>-12444</v>
      </c>
      <c r="JX86" s="16">
        <v>-8800</v>
      </c>
      <c r="JY86" s="16">
        <v>-5603</v>
      </c>
      <c r="JZ86" s="16">
        <v>-7172</v>
      </c>
      <c r="KA86" s="16">
        <v>-825</v>
      </c>
      <c r="KB86" s="16">
        <v>-4260</v>
      </c>
      <c r="KC86" s="16">
        <v>-186</v>
      </c>
      <c r="KD86" s="16">
        <v>-622</v>
      </c>
      <c r="KE86" s="16">
        <v>-8280</v>
      </c>
      <c r="KF86" s="16">
        <v>-12535</v>
      </c>
      <c r="KG86" s="16">
        <v>-74</v>
      </c>
      <c r="KH86" s="16">
        <v>-589</v>
      </c>
      <c r="KI86" s="16">
        <v>1776</v>
      </c>
      <c r="KJ86" s="16">
        <v>-310</v>
      </c>
      <c r="KK86" s="16">
        <v>117393</v>
      </c>
      <c r="KL86" s="16">
        <v>-33</v>
      </c>
      <c r="KM86" s="16">
        <v>0</v>
      </c>
      <c r="KN86" s="16">
        <v>-395</v>
      </c>
      <c r="KO86" s="16">
        <v>-45</v>
      </c>
      <c r="KP86" s="16">
        <v>94</v>
      </c>
      <c r="KQ86" s="16">
        <v>0</v>
      </c>
      <c r="KR86" s="16">
        <v>1148</v>
      </c>
      <c r="KS86" s="16">
        <v>2356</v>
      </c>
      <c r="KT86" s="16">
        <v>-1</v>
      </c>
      <c r="KU86" s="16">
        <v>-132</v>
      </c>
      <c r="KV86" s="16">
        <v>52994</v>
      </c>
      <c r="KW86" s="16">
        <v>10229</v>
      </c>
      <c r="KX86" s="16">
        <v>0</v>
      </c>
      <c r="KY86" s="16">
        <v>-8</v>
      </c>
      <c r="KZ86" s="16">
        <v>272385</v>
      </c>
      <c r="LA86" s="16">
        <v>162867</v>
      </c>
      <c r="LB86" s="16">
        <v>37462</v>
      </c>
      <c r="LC86" s="16">
        <v>36438</v>
      </c>
      <c r="LD86" s="16">
        <v>18326</v>
      </c>
      <c r="LE86" s="16">
        <v>0</v>
      </c>
      <c r="LF86" s="16">
        <v>0</v>
      </c>
      <c r="LG86" s="16">
        <v>0</v>
      </c>
      <c r="LH86" s="16">
        <v>0</v>
      </c>
      <c r="LI86" s="16">
        <v>0</v>
      </c>
      <c r="LJ86" s="16">
        <v>0</v>
      </c>
      <c r="LK86" s="16">
        <v>-9</v>
      </c>
      <c r="LL86" s="16">
        <v>0</v>
      </c>
      <c r="LM86" s="16">
        <v>12791</v>
      </c>
      <c r="LN86" s="16">
        <v>0</v>
      </c>
      <c r="LO86" s="16">
        <v>-8</v>
      </c>
      <c r="LP86" s="16">
        <v>10455</v>
      </c>
      <c r="LQ86" s="16">
        <v>0</v>
      </c>
      <c r="LR86" s="16">
        <v>-2</v>
      </c>
      <c r="LS86" s="16">
        <v>0</v>
      </c>
      <c r="LT86" s="16">
        <v>0</v>
      </c>
      <c r="LU86" s="16">
        <v>0</v>
      </c>
      <c r="LV86" s="16">
        <v>0</v>
      </c>
      <c r="LW86" s="16">
        <v>0</v>
      </c>
      <c r="LX86" s="16">
        <v>-5</v>
      </c>
      <c r="LY86" s="16">
        <v>-3</v>
      </c>
      <c r="LZ86" s="16">
        <v>-29</v>
      </c>
      <c r="MA86" s="16">
        <v>-32</v>
      </c>
      <c r="MB86" s="16">
        <v>-17</v>
      </c>
      <c r="MC86" s="16">
        <v>-1</v>
      </c>
      <c r="MD86" s="16">
        <v>0</v>
      </c>
      <c r="ME86" s="16">
        <v>0</v>
      </c>
      <c r="MF86" s="16">
        <v>-3</v>
      </c>
      <c r="MG86" s="16">
        <v>0</v>
      </c>
      <c r="MH86" s="16">
        <v>0</v>
      </c>
      <c r="MI86" s="16">
        <v>257</v>
      </c>
      <c r="MJ86" s="16">
        <v>-73</v>
      </c>
      <c r="MK86" s="16">
        <v>583</v>
      </c>
      <c r="ML86" s="16">
        <v>0</v>
      </c>
      <c r="MM86" s="16">
        <v>4739</v>
      </c>
      <c r="MN86" s="16">
        <v>0</v>
      </c>
      <c r="MO86" s="16">
        <v>-3332</v>
      </c>
      <c r="MP86" s="16">
        <v>442</v>
      </c>
      <c r="MQ86" s="16">
        <v>25320</v>
      </c>
      <c r="MR86" s="16">
        <v>1925</v>
      </c>
      <c r="MS86" s="16">
        <v>-14253</v>
      </c>
      <c r="MT86" s="16">
        <v>7</v>
      </c>
      <c r="MU86" s="16">
        <v>22662</v>
      </c>
      <c r="MV86" s="16">
        <v>2113</v>
      </c>
      <c r="MW86" s="16">
        <v>0</v>
      </c>
      <c r="MX86" s="16">
        <v>252</v>
      </c>
      <c r="MY86" s="16">
        <v>308</v>
      </c>
      <c r="MZ86" s="16">
        <v>1928</v>
      </c>
      <c r="NA86" s="16">
        <v>-399</v>
      </c>
      <c r="NB86" s="16">
        <v>11752</v>
      </c>
      <c r="NC86" s="16">
        <v>194</v>
      </c>
      <c r="ND86" s="16">
        <v>-125</v>
      </c>
      <c r="NE86" s="16">
        <v>68</v>
      </c>
      <c r="NF86" s="16">
        <v>275</v>
      </c>
      <c r="NG86" s="16">
        <v>-3276</v>
      </c>
      <c r="NH86" s="16">
        <v>12925</v>
      </c>
      <c r="NI86" s="16">
        <v>-31</v>
      </c>
      <c r="NJ86" s="16">
        <v>-204</v>
      </c>
      <c r="NK86" s="16">
        <v>0</v>
      </c>
      <c r="NL86" s="16">
        <v>-53</v>
      </c>
      <c r="NM86" s="16">
        <v>1590</v>
      </c>
      <c r="NN86" s="16">
        <v>0</v>
      </c>
      <c r="NO86" s="16">
        <v>0</v>
      </c>
      <c r="NP86" s="16">
        <v>91031</v>
      </c>
      <c r="NQ86" s="16">
        <v>52</v>
      </c>
      <c r="NR86" s="17">
        <v>1389032</v>
      </c>
    </row>
    <row r="87" spans="1:382" ht="13.5" customHeight="1" x14ac:dyDescent="0.2">
      <c r="A87" s="2" t="s">
        <v>181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-209</v>
      </c>
      <c r="AK87" s="16">
        <v>-68</v>
      </c>
      <c r="AL87" s="16">
        <v>-79</v>
      </c>
      <c r="AM87" s="16">
        <v>-115</v>
      </c>
      <c r="AN87" s="16">
        <v>-89</v>
      </c>
      <c r="AO87" s="16">
        <v>-75</v>
      </c>
      <c r="AP87" s="16">
        <v>-137</v>
      </c>
      <c r="AQ87" s="16">
        <v>-43</v>
      </c>
      <c r="AR87" s="16">
        <v>0</v>
      </c>
      <c r="AS87" s="16">
        <v>-17</v>
      </c>
      <c r="AT87" s="16">
        <v>-22</v>
      </c>
      <c r="AU87" s="16">
        <v>-130</v>
      </c>
      <c r="AV87" s="16">
        <v>-48</v>
      </c>
      <c r="AW87" s="16">
        <v>-118</v>
      </c>
      <c r="AX87" s="16">
        <v>-43</v>
      </c>
      <c r="AY87" s="16">
        <v>-87</v>
      </c>
      <c r="AZ87" s="16">
        <v>-43</v>
      </c>
      <c r="BA87" s="16">
        <v>-74</v>
      </c>
      <c r="BB87" s="16">
        <v>-156</v>
      </c>
      <c r="BC87" s="16">
        <v>-169</v>
      </c>
      <c r="BD87" s="16">
        <v>-7</v>
      </c>
      <c r="BE87" s="16">
        <v>-29</v>
      </c>
      <c r="BF87" s="16">
        <v>-33</v>
      </c>
      <c r="BG87" s="16">
        <v>-12</v>
      </c>
      <c r="BH87" s="16">
        <v>-104</v>
      </c>
      <c r="BI87" s="16">
        <v>-53</v>
      </c>
      <c r="BJ87" s="16">
        <v>-22</v>
      </c>
      <c r="BK87" s="16">
        <v>-12</v>
      </c>
      <c r="BL87" s="16">
        <v>-67</v>
      </c>
      <c r="BM87" s="16">
        <v>-19</v>
      </c>
      <c r="BN87" s="16">
        <v>-17</v>
      </c>
      <c r="BO87" s="16">
        <v>-36</v>
      </c>
      <c r="BP87" s="16">
        <v>-125</v>
      </c>
      <c r="BQ87" s="16">
        <v>-53</v>
      </c>
      <c r="BR87" s="16">
        <v>-53</v>
      </c>
      <c r="BS87" s="16">
        <v>-175</v>
      </c>
      <c r="BT87" s="16">
        <v>-19</v>
      </c>
      <c r="BU87" s="16">
        <v>-2</v>
      </c>
      <c r="BV87" s="16">
        <v>-3</v>
      </c>
      <c r="BW87" s="16">
        <v>-21</v>
      </c>
      <c r="BX87" s="16">
        <v>-15</v>
      </c>
      <c r="BY87" s="16">
        <v>0</v>
      </c>
      <c r="BZ87" s="16">
        <v>-12</v>
      </c>
      <c r="CA87" s="16">
        <v>-27</v>
      </c>
      <c r="CB87" s="16">
        <v>-3</v>
      </c>
      <c r="CC87" s="16">
        <v>-38</v>
      </c>
      <c r="CD87" s="16">
        <v>-15</v>
      </c>
      <c r="CE87" s="16">
        <v>-15</v>
      </c>
      <c r="CF87" s="16">
        <v>-24</v>
      </c>
      <c r="CG87" s="16">
        <v>-29</v>
      </c>
      <c r="CH87" s="16">
        <v>-10</v>
      </c>
      <c r="CI87" s="16">
        <v>12376</v>
      </c>
      <c r="CJ87" s="16">
        <v>1668621</v>
      </c>
      <c r="CK87" s="16">
        <v>1111312</v>
      </c>
      <c r="CL87" s="16">
        <v>168</v>
      </c>
      <c r="CM87" s="16">
        <v>1923</v>
      </c>
      <c r="CN87" s="16">
        <v>52</v>
      </c>
      <c r="CO87" s="16">
        <v>134595</v>
      </c>
      <c r="CP87" s="16">
        <v>80512</v>
      </c>
      <c r="CQ87" s="16">
        <v>1709</v>
      </c>
      <c r="CR87" s="16">
        <v>-5</v>
      </c>
      <c r="CS87" s="16">
        <v>-173</v>
      </c>
      <c r="CT87" s="16">
        <v>-135</v>
      </c>
      <c r="CU87" s="16">
        <v>-113</v>
      </c>
      <c r="CV87" s="16">
        <v>-29</v>
      </c>
      <c r="CW87" s="16">
        <v>-346</v>
      </c>
      <c r="CX87" s="16">
        <v>-104</v>
      </c>
      <c r="CY87" s="16">
        <v>-39</v>
      </c>
      <c r="CZ87" s="16">
        <v>-65</v>
      </c>
      <c r="DA87" s="16">
        <v>-43</v>
      </c>
      <c r="DB87" s="16">
        <v>-62</v>
      </c>
      <c r="DC87" s="16">
        <v>-139</v>
      </c>
      <c r="DD87" s="16">
        <v>-204</v>
      </c>
      <c r="DE87" s="16">
        <v>-190</v>
      </c>
      <c r="DF87" s="16">
        <v>-142</v>
      </c>
      <c r="DG87" s="16">
        <v>-84</v>
      </c>
      <c r="DH87" s="16">
        <v>-164</v>
      </c>
      <c r="DI87" s="16">
        <v>-33</v>
      </c>
      <c r="DJ87" s="16">
        <v>-590</v>
      </c>
      <c r="DK87" s="16">
        <v>-56</v>
      </c>
      <c r="DL87" s="16">
        <v>12012</v>
      </c>
      <c r="DM87" s="16">
        <v>-450</v>
      </c>
      <c r="DN87" s="16">
        <v>-51</v>
      </c>
      <c r="DO87" s="16">
        <v>-36</v>
      </c>
      <c r="DP87" s="16">
        <v>-82</v>
      </c>
      <c r="DQ87" s="16">
        <v>-14</v>
      </c>
      <c r="DR87" s="16">
        <v>-65</v>
      </c>
      <c r="DS87" s="16">
        <v>-207</v>
      </c>
      <c r="DT87" s="16">
        <v>-39</v>
      </c>
      <c r="DU87" s="16">
        <v>-12</v>
      </c>
      <c r="DV87" s="16">
        <v>623</v>
      </c>
      <c r="DW87" s="16">
        <v>-252</v>
      </c>
      <c r="DX87" s="16">
        <v>-103</v>
      </c>
      <c r="DY87" s="16">
        <v>-173</v>
      </c>
      <c r="DZ87" s="16">
        <v>-265</v>
      </c>
      <c r="EA87" s="16">
        <v>-226</v>
      </c>
      <c r="EB87" s="16">
        <v>-87</v>
      </c>
      <c r="EC87" s="16">
        <v>-89</v>
      </c>
      <c r="ED87" s="16">
        <v>-15</v>
      </c>
      <c r="EE87" s="16">
        <v>-10</v>
      </c>
      <c r="EF87" s="16">
        <v>-60</v>
      </c>
      <c r="EG87" s="16">
        <v>-62</v>
      </c>
      <c r="EH87" s="16">
        <v>-15</v>
      </c>
      <c r="EI87" s="16">
        <v>-7</v>
      </c>
      <c r="EJ87" s="16">
        <v>-10</v>
      </c>
      <c r="EK87" s="16">
        <v>-17</v>
      </c>
      <c r="EL87" s="16">
        <v>-7</v>
      </c>
      <c r="EM87" s="16">
        <v>-55</v>
      </c>
      <c r="EN87" s="16">
        <v>-161</v>
      </c>
      <c r="EO87" s="16">
        <v>-79</v>
      </c>
      <c r="EP87" s="16">
        <v>2363</v>
      </c>
      <c r="EQ87" s="16">
        <v>-22</v>
      </c>
      <c r="ER87" s="16">
        <v>-10</v>
      </c>
      <c r="ES87" s="16">
        <v>-36</v>
      </c>
      <c r="ET87" s="16">
        <v>-39</v>
      </c>
      <c r="EU87" s="16">
        <v>-3</v>
      </c>
      <c r="EV87" s="16">
        <v>-29</v>
      </c>
      <c r="EW87" s="16">
        <v>-22</v>
      </c>
      <c r="EX87" s="16">
        <v>-127</v>
      </c>
      <c r="EY87" s="16">
        <v>-55</v>
      </c>
      <c r="EZ87" s="16">
        <v>-44</v>
      </c>
      <c r="FA87" s="16">
        <v>-98</v>
      </c>
      <c r="FB87" s="16">
        <v>-188</v>
      </c>
      <c r="FC87" s="16">
        <v>-48</v>
      </c>
      <c r="FD87" s="16">
        <v>-171</v>
      </c>
      <c r="FE87" s="16">
        <v>-164</v>
      </c>
      <c r="FF87" s="16">
        <v>-229</v>
      </c>
      <c r="FG87" s="16">
        <v>-139</v>
      </c>
      <c r="FH87" s="16">
        <v>-96</v>
      </c>
      <c r="FI87" s="16">
        <v>-58</v>
      </c>
      <c r="FJ87" s="16">
        <v>-77</v>
      </c>
      <c r="FK87" s="16">
        <v>-87</v>
      </c>
      <c r="FL87" s="16">
        <v>-27</v>
      </c>
      <c r="FM87" s="16">
        <v>-118</v>
      </c>
      <c r="FN87" s="16">
        <v>-118</v>
      </c>
      <c r="FO87" s="16">
        <v>-46</v>
      </c>
      <c r="FP87" s="16">
        <v>-91</v>
      </c>
      <c r="FQ87" s="16">
        <v>-240</v>
      </c>
      <c r="FR87" s="16">
        <v>-188</v>
      </c>
      <c r="FS87" s="16">
        <v>-46</v>
      </c>
      <c r="FT87" s="16">
        <v>-58</v>
      </c>
      <c r="FU87" s="16">
        <v>-60</v>
      </c>
      <c r="FV87" s="16">
        <v>-111</v>
      </c>
      <c r="FW87" s="16">
        <v>-168</v>
      </c>
      <c r="FX87" s="16">
        <v>-240</v>
      </c>
      <c r="FY87" s="16">
        <v>-36</v>
      </c>
      <c r="FZ87" s="16">
        <v>-62</v>
      </c>
      <c r="GA87" s="16">
        <v>-43</v>
      </c>
      <c r="GB87" s="16">
        <v>-127</v>
      </c>
      <c r="GC87" s="16">
        <v>-53</v>
      </c>
      <c r="GD87" s="16">
        <v>-144</v>
      </c>
      <c r="GE87" s="16">
        <v>-187</v>
      </c>
      <c r="GF87" s="16">
        <v>-1143</v>
      </c>
      <c r="GG87" s="16">
        <v>-6276</v>
      </c>
      <c r="GH87" s="16">
        <v>-346</v>
      </c>
      <c r="GI87" s="16">
        <v>-197</v>
      </c>
      <c r="GJ87" s="16">
        <v>-72</v>
      </c>
      <c r="GK87" s="16">
        <v>-86</v>
      </c>
      <c r="GL87" s="16">
        <v>-29</v>
      </c>
      <c r="GM87" s="16">
        <v>-152</v>
      </c>
      <c r="GN87" s="16">
        <v>-27</v>
      </c>
      <c r="GO87" s="16">
        <v>-56</v>
      </c>
      <c r="GP87" s="16">
        <v>-419</v>
      </c>
      <c r="GQ87" s="16">
        <v>-110</v>
      </c>
      <c r="GR87" s="16">
        <v>-70</v>
      </c>
      <c r="GS87" s="16">
        <v>-19</v>
      </c>
      <c r="GT87" s="16">
        <v>-29</v>
      </c>
      <c r="GU87" s="16">
        <v>-147</v>
      </c>
      <c r="GV87" s="16">
        <v>-216</v>
      </c>
      <c r="GW87" s="16">
        <v>-87</v>
      </c>
      <c r="GX87" s="16">
        <v>-74</v>
      </c>
      <c r="GY87" s="16">
        <v>-2</v>
      </c>
      <c r="GZ87" s="16">
        <v>-142</v>
      </c>
      <c r="HA87" s="16">
        <v>-43</v>
      </c>
      <c r="HB87" s="16">
        <v>-51</v>
      </c>
      <c r="HC87" s="16">
        <v>-151</v>
      </c>
      <c r="HD87" s="16">
        <v>-157</v>
      </c>
      <c r="HE87" s="16">
        <v>-359</v>
      </c>
      <c r="HF87" s="16">
        <v>-168</v>
      </c>
      <c r="HG87" s="16">
        <v>-77</v>
      </c>
      <c r="HH87" s="16">
        <v>-51</v>
      </c>
      <c r="HI87" s="16">
        <v>-122</v>
      </c>
      <c r="HJ87" s="16">
        <v>-26</v>
      </c>
      <c r="HK87" s="16">
        <v>-128</v>
      </c>
      <c r="HL87" s="16">
        <v>-209</v>
      </c>
      <c r="HM87" s="16">
        <v>-86</v>
      </c>
      <c r="HN87" s="16">
        <v>-149</v>
      </c>
      <c r="HO87" s="16">
        <v>-92</v>
      </c>
      <c r="HP87" s="16">
        <v>-75</v>
      </c>
      <c r="HQ87" s="16">
        <v>-163</v>
      </c>
      <c r="HR87" s="16">
        <v>-202</v>
      </c>
      <c r="HS87" s="16">
        <v>-133</v>
      </c>
      <c r="HT87" s="16">
        <v>-21</v>
      </c>
      <c r="HU87" s="16">
        <v>-157</v>
      </c>
      <c r="HV87" s="16">
        <v>-56</v>
      </c>
      <c r="HW87" s="16">
        <v>-133</v>
      </c>
      <c r="HX87" s="16">
        <v>-103</v>
      </c>
      <c r="HY87" s="16">
        <v>-211</v>
      </c>
      <c r="HZ87" s="16">
        <v>-272</v>
      </c>
      <c r="IA87" s="16">
        <v>-99</v>
      </c>
      <c r="IB87" s="16">
        <v>-15</v>
      </c>
      <c r="IC87" s="16">
        <v>-10</v>
      </c>
      <c r="ID87" s="16">
        <v>-36</v>
      </c>
      <c r="IE87" s="16">
        <v>-12</v>
      </c>
      <c r="IF87" s="16">
        <v>-24</v>
      </c>
      <c r="IG87" s="16">
        <v>-113</v>
      </c>
      <c r="IH87" s="16">
        <v>-1106</v>
      </c>
      <c r="II87" s="16">
        <v>-9</v>
      </c>
      <c r="IJ87" s="16">
        <v>-46</v>
      </c>
      <c r="IK87" s="16">
        <v>-91</v>
      </c>
      <c r="IL87" s="16">
        <v>-29</v>
      </c>
      <c r="IM87" s="16">
        <v>-7</v>
      </c>
      <c r="IN87" s="16">
        <v>-298</v>
      </c>
      <c r="IO87" s="16">
        <v>-1152</v>
      </c>
      <c r="IP87" s="16">
        <v>-399</v>
      </c>
      <c r="IQ87" s="16">
        <v>-24</v>
      </c>
      <c r="IR87" s="16">
        <v>-58</v>
      </c>
      <c r="IS87" s="16">
        <v>-44</v>
      </c>
      <c r="IT87" s="16">
        <v>-79</v>
      </c>
      <c r="IU87" s="16">
        <v>-2</v>
      </c>
      <c r="IV87" s="16">
        <v>-31</v>
      </c>
      <c r="IW87" s="16">
        <v>-128</v>
      </c>
      <c r="IX87" s="16">
        <v>-38</v>
      </c>
      <c r="IY87" s="16">
        <v>-33</v>
      </c>
      <c r="IZ87" s="16">
        <v>-10</v>
      </c>
      <c r="JA87" s="16">
        <v>-22</v>
      </c>
      <c r="JB87" s="16">
        <v>-2</v>
      </c>
      <c r="JC87" s="16">
        <v>-9</v>
      </c>
      <c r="JD87" s="16">
        <v>-19</v>
      </c>
      <c r="JE87" s="16">
        <v>-56</v>
      </c>
      <c r="JF87" s="16">
        <v>-33</v>
      </c>
      <c r="JG87" s="16">
        <v>171</v>
      </c>
      <c r="JH87" s="16">
        <v>0</v>
      </c>
      <c r="JI87" s="16">
        <v>0</v>
      </c>
      <c r="JJ87" s="16">
        <v>0</v>
      </c>
      <c r="JK87" s="16">
        <v>0</v>
      </c>
      <c r="JL87" s="16">
        <v>0</v>
      </c>
      <c r="JM87" s="16">
        <v>0</v>
      </c>
      <c r="JN87" s="16">
        <v>0</v>
      </c>
      <c r="JO87" s="16">
        <v>0</v>
      </c>
      <c r="JP87" s="16">
        <v>0</v>
      </c>
      <c r="JQ87" s="16">
        <v>0</v>
      </c>
      <c r="JR87" s="16">
        <v>0</v>
      </c>
      <c r="JS87" s="16">
        <v>0</v>
      </c>
      <c r="JT87" s="16">
        <v>0</v>
      </c>
      <c r="JU87" s="16">
        <v>-13752</v>
      </c>
      <c r="JV87" s="16">
        <v>-74517</v>
      </c>
      <c r="JW87" s="16">
        <v>0</v>
      </c>
      <c r="JX87" s="16">
        <v>0</v>
      </c>
      <c r="JY87" s="16">
        <v>0</v>
      </c>
      <c r="JZ87" s="16">
        <v>0</v>
      </c>
      <c r="KA87" s="16">
        <v>0</v>
      </c>
      <c r="KB87" s="16">
        <v>0</v>
      </c>
      <c r="KC87" s="16">
        <v>0</v>
      </c>
      <c r="KD87" s="16">
        <v>0</v>
      </c>
      <c r="KE87" s="16">
        <v>0</v>
      </c>
      <c r="KF87" s="16">
        <v>0</v>
      </c>
      <c r="KG87" s="16">
        <v>0</v>
      </c>
      <c r="KH87" s="16">
        <v>0</v>
      </c>
      <c r="KI87" s="16">
        <v>0</v>
      </c>
      <c r="KJ87" s="16">
        <v>0</v>
      </c>
      <c r="KK87" s="16">
        <v>-79309</v>
      </c>
      <c r="KL87" s="16">
        <v>-68</v>
      </c>
      <c r="KM87" s="16">
        <v>0</v>
      </c>
      <c r="KN87" s="16">
        <v>0</v>
      </c>
      <c r="KO87" s="16">
        <v>0</v>
      </c>
      <c r="KP87" s="16">
        <v>-9</v>
      </c>
      <c r="KQ87" s="16">
        <v>-5</v>
      </c>
      <c r="KR87" s="16">
        <v>-2607</v>
      </c>
      <c r="KS87" s="16">
        <v>0</v>
      </c>
      <c r="KT87" s="16">
        <v>0</v>
      </c>
      <c r="KU87" s="16">
        <v>0</v>
      </c>
      <c r="KV87" s="16">
        <v>-2</v>
      </c>
      <c r="KW87" s="16">
        <v>-426</v>
      </c>
      <c r="KX87" s="16">
        <v>-72</v>
      </c>
      <c r="KY87" s="16">
        <v>-70</v>
      </c>
      <c r="KZ87" s="16">
        <v>-2542</v>
      </c>
      <c r="LA87" s="16">
        <v>-318</v>
      </c>
      <c r="LB87" s="16">
        <v>-82</v>
      </c>
      <c r="LC87" s="16">
        <v>0</v>
      </c>
      <c r="LD87" s="16">
        <v>-1951</v>
      </c>
      <c r="LE87" s="16">
        <v>0</v>
      </c>
      <c r="LF87" s="16">
        <v>0</v>
      </c>
      <c r="LG87" s="16">
        <v>0</v>
      </c>
      <c r="LH87" s="16">
        <v>0</v>
      </c>
      <c r="LI87" s="16">
        <v>0</v>
      </c>
      <c r="LJ87" s="16">
        <v>-53</v>
      </c>
      <c r="LK87" s="16">
        <v>0</v>
      </c>
      <c r="LL87" s="16">
        <v>0</v>
      </c>
      <c r="LM87" s="16">
        <v>0</v>
      </c>
      <c r="LN87" s="16">
        <v>-9</v>
      </c>
      <c r="LO87" s="16">
        <v>-186335</v>
      </c>
      <c r="LP87" s="16">
        <v>0</v>
      </c>
      <c r="LQ87" s="16">
        <v>0</v>
      </c>
      <c r="LR87" s="16">
        <v>-10</v>
      </c>
      <c r="LS87" s="16">
        <v>-5</v>
      </c>
      <c r="LT87" s="16">
        <v>-7</v>
      </c>
      <c r="LU87" s="16">
        <v>0</v>
      </c>
      <c r="LV87" s="16">
        <v>0</v>
      </c>
      <c r="LW87" s="16">
        <v>0</v>
      </c>
      <c r="LX87" s="16">
        <v>-5</v>
      </c>
      <c r="LY87" s="16">
        <v>0</v>
      </c>
      <c r="LZ87" s="16">
        <v>-1455</v>
      </c>
      <c r="MA87" s="16">
        <v>0</v>
      </c>
      <c r="MB87" s="16">
        <v>0</v>
      </c>
      <c r="MC87" s="16">
        <v>-1049</v>
      </c>
      <c r="MD87" s="16">
        <v>-33</v>
      </c>
      <c r="ME87" s="16">
        <v>-106</v>
      </c>
      <c r="MF87" s="16">
        <v>2317</v>
      </c>
      <c r="MG87" s="16">
        <v>-65</v>
      </c>
      <c r="MH87" s="16">
        <v>0</v>
      </c>
      <c r="MI87" s="16">
        <v>-31</v>
      </c>
      <c r="MJ87" s="16">
        <v>-250</v>
      </c>
      <c r="MK87" s="16">
        <v>-200</v>
      </c>
      <c r="ML87" s="16">
        <v>0</v>
      </c>
      <c r="MM87" s="16">
        <v>0</v>
      </c>
      <c r="MN87" s="16">
        <v>0</v>
      </c>
      <c r="MO87" s="16">
        <v>-467</v>
      </c>
      <c r="MP87" s="16">
        <v>0</v>
      </c>
      <c r="MQ87" s="16">
        <v>0</v>
      </c>
      <c r="MR87" s="16">
        <v>-35279</v>
      </c>
      <c r="MS87" s="16">
        <v>-29948</v>
      </c>
      <c r="MT87" s="16">
        <v>-6430</v>
      </c>
      <c r="MU87" s="16">
        <v>-36696</v>
      </c>
      <c r="MV87" s="16">
        <v>-40145</v>
      </c>
      <c r="MW87" s="16">
        <v>-80658</v>
      </c>
      <c r="MX87" s="16">
        <v>-726</v>
      </c>
      <c r="MY87" s="16">
        <v>-993</v>
      </c>
      <c r="MZ87" s="16">
        <v>-909</v>
      </c>
      <c r="NA87" s="16">
        <v>-3914</v>
      </c>
      <c r="NB87" s="16">
        <v>0</v>
      </c>
      <c r="NC87" s="16">
        <v>-1063</v>
      </c>
      <c r="ND87" s="16">
        <v>0</v>
      </c>
      <c r="NE87" s="16">
        <v>0</v>
      </c>
      <c r="NF87" s="16">
        <v>0</v>
      </c>
      <c r="NG87" s="16">
        <v>-621</v>
      </c>
      <c r="NH87" s="16">
        <v>-75</v>
      </c>
      <c r="NI87" s="16">
        <v>-2</v>
      </c>
      <c r="NJ87" s="16">
        <v>0</v>
      </c>
      <c r="NK87" s="16">
        <v>-63</v>
      </c>
      <c r="NL87" s="16">
        <v>0</v>
      </c>
      <c r="NM87" s="16">
        <v>0</v>
      </c>
      <c r="NN87" s="16">
        <v>0</v>
      </c>
      <c r="NO87" s="16">
        <v>0</v>
      </c>
      <c r="NP87" s="16">
        <v>-2997</v>
      </c>
      <c r="NQ87" s="16">
        <v>2</v>
      </c>
      <c r="NR87" s="17">
        <v>2393257</v>
      </c>
    </row>
    <row r="88" spans="1:382" ht="13.5" customHeight="1" x14ac:dyDescent="0.2">
      <c r="A88" s="2" t="s">
        <v>183</v>
      </c>
      <c r="B88" s="16">
        <v>3</v>
      </c>
      <c r="C88" s="16">
        <v>0</v>
      </c>
      <c r="D88" s="16">
        <v>3</v>
      </c>
      <c r="E88" s="16">
        <v>2</v>
      </c>
      <c r="F88" s="16">
        <v>6</v>
      </c>
      <c r="G88" s="16">
        <v>3</v>
      </c>
      <c r="H88" s="16">
        <v>1</v>
      </c>
      <c r="I88" s="16">
        <v>0</v>
      </c>
      <c r="J88" s="16">
        <v>0</v>
      </c>
      <c r="K88" s="16">
        <v>0</v>
      </c>
      <c r="L88" s="16">
        <v>44</v>
      </c>
      <c r="M88" s="16">
        <v>0</v>
      </c>
      <c r="N88" s="16">
        <v>0</v>
      </c>
      <c r="O88" s="16">
        <v>0</v>
      </c>
      <c r="P88" s="16">
        <v>31</v>
      </c>
      <c r="Q88" s="16">
        <v>192</v>
      </c>
      <c r="R88" s="16">
        <v>56</v>
      </c>
      <c r="S88" s="16">
        <v>2</v>
      </c>
      <c r="T88" s="16">
        <v>3</v>
      </c>
      <c r="U88" s="16">
        <v>20</v>
      </c>
      <c r="V88" s="16">
        <v>4</v>
      </c>
      <c r="W88" s="16">
        <v>0</v>
      </c>
      <c r="X88" s="16">
        <v>10</v>
      </c>
      <c r="Y88" s="16">
        <v>220</v>
      </c>
      <c r="Z88" s="16">
        <v>181</v>
      </c>
      <c r="AA88" s="16">
        <v>1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155</v>
      </c>
      <c r="AH88" s="16">
        <v>33</v>
      </c>
      <c r="AI88" s="16">
        <v>20</v>
      </c>
      <c r="AJ88" s="16">
        <v>225</v>
      </c>
      <c r="AK88" s="16">
        <v>841</v>
      </c>
      <c r="AL88" s="16">
        <v>14</v>
      </c>
      <c r="AM88" s="16">
        <v>123</v>
      </c>
      <c r="AN88" s="16">
        <v>71</v>
      </c>
      <c r="AO88" s="16">
        <v>2090</v>
      </c>
      <c r="AP88" s="16">
        <v>2</v>
      </c>
      <c r="AQ88" s="16">
        <v>58</v>
      </c>
      <c r="AR88" s="16">
        <v>0</v>
      </c>
      <c r="AS88" s="16">
        <v>11</v>
      </c>
      <c r="AT88" s="16">
        <v>13</v>
      </c>
      <c r="AU88" s="16">
        <v>58</v>
      </c>
      <c r="AV88" s="16">
        <v>26</v>
      </c>
      <c r="AW88" s="16">
        <v>305</v>
      </c>
      <c r="AX88" s="16">
        <v>6</v>
      </c>
      <c r="AY88" s="16">
        <v>15</v>
      </c>
      <c r="AZ88" s="16">
        <v>706</v>
      </c>
      <c r="BA88" s="16">
        <v>367</v>
      </c>
      <c r="BB88" s="16">
        <v>71</v>
      </c>
      <c r="BC88" s="16">
        <v>191</v>
      </c>
      <c r="BD88" s="16">
        <v>1</v>
      </c>
      <c r="BE88" s="16">
        <v>23</v>
      </c>
      <c r="BF88" s="16">
        <v>37</v>
      </c>
      <c r="BG88" s="16">
        <v>14</v>
      </c>
      <c r="BH88" s="16">
        <v>114</v>
      </c>
      <c r="BI88" s="16">
        <v>5546</v>
      </c>
      <c r="BJ88" s="16">
        <v>8</v>
      </c>
      <c r="BK88" s="16">
        <v>16</v>
      </c>
      <c r="BL88" s="16">
        <v>56</v>
      </c>
      <c r="BM88" s="16">
        <v>170</v>
      </c>
      <c r="BN88" s="16">
        <v>175</v>
      </c>
      <c r="BO88" s="16">
        <v>139</v>
      </c>
      <c r="BP88" s="16">
        <v>74</v>
      </c>
      <c r="BQ88" s="16">
        <v>26</v>
      </c>
      <c r="BR88" s="16">
        <v>11</v>
      </c>
      <c r="BS88" s="16">
        <v>294</v>
      </c>
      <c r="BT88" s="16">
        <v>3</v>
      </c>
      <c r="BU88" s="16">
        <v>3</v>
      </c>
      <c r="BV88" s="16">
        <v>0</v>
      </c>
      <c r="BW88" s="16">
        <v>80</v>
      </c>
      <c r="BX88" s="16">
        <v>16</v>
      </c>
      <c r="BY88" s="16">
        <v>0</v>
      </c>
      <c r="BZ88" s="16">
        <v>290</v>
      </c>
      <c r="CA88" s="16">
        <v>35</v>
      </c>
      <c r="CB88" s="16">
        <v>6</v>
      </c>
      <c r="CC88" s="16">
        <v>1093</v>
      </c>
      <c r="CD88" s="16">
        <v>366</v>
      </c>
      <c r="CE88" s="16">
        <v>249</v>
      </c>
      <c r="CF88" s="16">
        <v>173</v>
      </c>
      <c r="CG88" s="16">
        <v>44</v>
      </c>
      <c r="CH88" s="16">
        <v>362</v>
      </c>
      <c r="CI88" s="16">
        <v>24</v>
      </c>
      <c r="CJ88" s="16">
        <v>6355</v>
      </c>
      <c r="CK88" s="16">
        <v>98394</v>
      </c>
      <c r="CL88" s="16">
        <v>51031</v>
      </c>
      <c r="CM88" s="16">
        <v>38588</v>
      </c>
      <c r="CN88" s="16">
        <v>85261</v>
      </c>
      <c r="CO88" s="16">
        <v>8279</v>
      </c>
      <c r="CP88" s="16">
        <v>73500</v>
      </c>
      <c r="CQ88" s="16">
        <v>1431733</v>
      </c>
      <c r="CR88" s="16">
        <v>53</v>
      </c>
      <c r="CS88" s="16">
        <v>53</v>
      </c>
      <c r="CT88" s="16">
        <v>95</v>
      </c>
      <c r="CU88" s="16">
        <v>89</v>
      </c>
      <c r="CV88" s="16">
        <v>139</v>
      </c>
      <c r="CW88" s="16">
        <v>391</v>
      </c>
      <c r="CX88" s="16">
        <v>1617</v>
      </c>
      <c r="CY88" s="16">
        <v>73</v>
      </c>
      <c r="CZ88" s="16">
        <v>67</v>
      </c>
      <c r="DA88" s="16">
        <v>2</v>
      </c>
      <c r="DB88" s="16">
        <v>170</v>
      </c>
      <c r="DC88" s="16">
        <v>1</v>
      </c>
      <c r="DD88" s="16">
        <v>17</v>
      </c>
      <c r="DE88" s="16">
        <v>9</v>
      </c>
      <c r="DF88" s="16">
        <v>137</v>
      </c>
      <c r="DG88" s="16">
        <v>103</v>
      </c>
      <c r="DH88" s="16">
        <v>54</v>
      </c>
      <c r="DI88" s="16">
        <v>30</v>
      </c>
      <c r="DJ88" s="16">
        <v>432</v>
      </c>
      <c r="DK88" s="16">
        <v>79</v>
      </c>
      <c r="DL88" s="16">
        <v>53</v>
      </c>
      <c r="DM88" s="16">
        <v>279</v>
      </c>
      <c r="DN88" s="16">
        <v>24</v>
      </c>
      <c r="DO88" s="16">
        <v>18</v>
      </c>
      <c r="DP88" s="16">
        <v>99</v>
      </c>
      <c r="DQ88" s="16">
        <v>45</v>
      </c>
      <c r="DR88" s="16">
        <v>43</v>
      </c>
      <c r="DS88" s="16">
        <v>434</v>
      </c>
      <c r="DT88" s="16">
        <v>21</v>
      </c>
      <c r="DU88" s="16">
        <v>464</v>
      </c>
      <c r="DV88" s="16">
        <v>50</v>
      </c>
      <c r="DW88" s="16">
        <v>899</v>
      </c>
      <c r="DX88" s="16">
        <v>499</v>
      </c>
      <c r="DY88" s="16">
        <v>469</v>
      </c>
      <c r="DZ88" s="16">
        <v>2132</v>
      </c>
      <c r="EA88" s="16">
        <v>885</v>
      </c>
      <c r="EB88" s="16">
        <v>9</v>
      </c>
      <c r="EC88" s="16">
        <v>130</v>
      </c>
      <c r="ED88" s="16">
        <v>15</v>
      </c>
      <c r="EE88" s="16">
        <v>4</v>
      </c>
      <c r="EF88" s="16">
        <v>5</v>
      </c>
      <c r="EG88" s="16">
        <v>279</v>
      </c>
      <c r="EH88" s="16">
        <v>29</v>
      </c>
      <c r="EI88" s="16">
        <v>55</v>
      </c>
      <c r="EJ88" s="16">
        <v>31</v>
      </c>
      <c r="EK88" s="16">
        <v>23</v>
      </c>
      <c r="EL88" s="16">
        <v>16</v>
      </c>
      <c r="EM88" s="16">
        <v>35</v>
      </c>
      <c r="EN88" s="16">
        <v>341</v>
      </c>
      <c r="EO88" s="16">
        <v>137</v>
      </c>
      <c r="EP88" s="16">
        <v>508</v>
      </c>
      <c r="EQ88" s="16">
        <v>105</v>
      </c>
      <c r="ER88" s="16">
        <v>245</v>
      </c>
      <c r="ES88" s="16">
        <v>41</v>
      </c>
      <c r="ET88" s="16">
        <v>483</v>
      </c>
      <c r="EU88" s="16">
        <v>2</v>
      </c>
      <c r="EV88" s="16">
        <v>0</v>
      </c>
      <c r="EW88" s="16">
        <v>10</v>
      </c>
      <c r="EX88" s="16">
        <v>1657</v>
      </c>
      <c r="EY88" s="16">
        <v>126</v>
      </c>
      <c r="EZ88" s="16">
        <v>5</v>
      </c>
      <c r="FA88" s="16">
        <v>11</v>
      </c>
      <c r="FB88" s="16">
        <v>64</v>
      </c>
      <c r="FC88" s="16">
        <v>1</v>
      </c>
      <c r="FD88" s="16">
        <v>695</v>
      </c>
      <c r="FE88" s="16">
        <v>75</v>
      </c>
      <c r="FF88" s="16">
        <v>28</v>
      </c>
      <c r="FG88" s="16">
        <v>1025</v>
      </c>
      <c r="FH88" s="16">
        <v>1</v>
      </c>
      <c r="FI88" s="16">
        <v>30</v>
      </c>
      <c r="FJ88" s="16">
        <v>13</v>
      </c>
      <c r="FK88" s="16">
        <v>188</v>
      </c>
      <c r="FL88" s="16">
        <v>3</v>
      </c>
      <c r="FM88" s="16">
        <v>73</v>
      </c>
      <c r="FN88" s="16">
        <v>368</v>
      </c>
      <c r="FO88" s="16">
        <v>68</v>
      </c>
      <c r="FP88" s="16">
        <v>248</v>
      </c>
      <c r="FQ88" s="16">
        <v>885</v>
      </c>
      <c r="FR88" s="16">
        <v>314</v>
      </c>
      <c r="FS88" s="16">
        <v>243</v>
      </c>
      <c r="FT88" s="16">
        <v>74</v>
      </c>
      <c r="FU88" s="16">
        <v>765</v>
      </c>
      <c r="FV88" s="16">
        <v>926</v>
      </c>
      <c r="FW88" s="16">
        <v>407</v>
      </c>
      <c r="FX88" s="16">
        <v>652</v>
      </c>
      <c r="FY88" s="16">
        <v>52</v>
      </c>
      <c r="FZ88" s="16">
        <v>540</v>
      </c>
      <c r="GA88" s="16">
        <v>68</v>
      </c>
      <c r="GB88" s="16">
        <v>1433</v>
      </c>
      <c r="GC88" s="16">
        <v>254</v>
      </c>
      <c r="GD88" s="16">
        <v>284</v>
      </c>
      <c r="GE88" s="16">
        <v>5</v>
      </c>
      <c r="GF88" s="16">
        <v>71</v>
      </c>
      <c r="GG88" s="16">
        <v>0</v>
      </c>
      <c r="GH88" s="16">
        <v>109</v>
      </c>
      <c r="GI88" s="16">
        <v>114</v>
      </c>
      <c r="GJ88" s="16">
        <v>925</v>
      </c>
      <c r="GK88" s="16">
        <v>33</v>
      </c>
      <c r="GL88" s="16">
        <v>1</v>
      </c>
      <c r="GM88" s="16">
        <v>459</v>
      </c>
      <c r="GN88" s="16">
        <v>3</v>
      </c>
      <c r="GO88" s="16">
        <v>377</v>
      </c>
      <c r="GP88" s="16">
        <v>1</v>
      </c>
      <c r="GQ88" s="16">
        <v>0</v>
      </c>
      <c r="GR88" s="16">
        <v>25</v>
      </c>
      <c r="GS88" s="16">
        <v>2</v>
      </c>
      <c r="GT88" s="16">
        <v>4</v>
      </c>
      <c r="GU88" s="16">
        <v>65</v>
      </c>
      <c r="GV88" s="16">
        <v>105</v>
      </c>
      <c r="GW88" s="16">
        <v>87</v>
      </c>
      <c r="GX88" s="16">
        <v>12</v>
      </c>
      <c r="GY88" s="16">
        <v>3</v>
      </c>
      <c r="GZ88" s="16">
        <v>151</v>
      </c>
      <c r="HA88" s="16">
        <v>204</v>
      </c>
      <c r="HB88" s="16">
        <v>107</v>
      </c>
      <c r="HC88" s="16">
        <v>312</v>
      </c>
      <c r="HD88" s="16">
        <v>467</v>
      </c>
      <c r="HE88" s="16">
        <v>71</v>
      </c>
      <c r="HF88" s="16">
        <v>944</v>
      </c>
      <c r="HG88" s="16">
        <v>27</v>
      </c>
      <c r="HH88" s="16">
        <v>31</v>
      </c>
      <c r="HI88" s="16">
        <v>133</v>
      </c>
      <c r="HJ88" s="16">
        <v>30</v>
      </c>
      <c r="HK88" s="16">
        <v>42</v>
      </c>
      <c r="HL88" s="16">
        <v>776</v>
      </c>
      <c r="HM88" s="16">
        <v>145</v>
      </c>
      <c r="HN88" s="16">
        <v>131</v>
      </c>
      <c r="HO88" s="16">
        <v>106</v>
      </c>
      <c r="HP88" s="16">
        <v>60</v>
      </c>
      <c r="HQ88" s="16">
        <v>190</v>
      </c>
      <c r="HR88" s="16">
        <v>328</v>
      </c>
      <c r="HS88" s="16">
        <v>148</v>
      </c>
      <c r="HT88" s="16">
        <v>3</v>
      </c>
      <c r="HU88" s="16">
        <v>161</v>
      </c>
      <c r="HV88" s="16">
        <v>53</v>
      </c>
      <c r="HW88" s="16">
        <v>111</v>
      </c>
      <c r="HX88" s="16">
        <v>79</v>
      </c>
      <c r="HY88" s="16">
        <v>246</v>
      </c>
      <c r="HZ88" s="16">
        <v>130</v>
      </c>
      <c r="IA88" s="16">
        <v>57</v>
      </c>
      <c r="IB88" s="16">
        <v>8</v>
      </c>
      <c r="IC88" s="16">
        <v>15</v>
      </c>
      <c r="ID88" s="16">
        <v>18</v>
      </c>
      <c r="IE88" s="16">
        <v>6</v>
      </c>
      <c r="IF88" s="16">
        <v>18</v>
      </c>
      <c r="IG88" s="16">
        <v>95</v>
      </c>
      <c r="IH88" s="16">
        <v>56</v>
      </c>
      <c r="II88" s="16">
        <v>9</v>
      </c>
      <c r="IJ88" s="16">
        <v>6</v>
      </c>
      <c r="IK88" s="16">
        <v>6</v>
      </c>
      <c r="IL88" s="16">
        <v>2</v>
      </c>
      <c r="IM88" s="16">
        <v>2</v>
      </c>
      <c r="IN88" s="16">
        <v>158</v>
      </c>
      <c r="IO88" s="16">
        <v>117</v>
      </c>
      <c r="IP88" s="16">
        <v>3</v>
      </c>
      <c r="IQ88" s="16">
        <v>3</v>
      </c>
      <c r="IR88" s="16">
        <v>6</v>
      </c>
      <c r="IS88" s="16">
        <v>36</v>
      </c>
      <c r="IT88" s="16">
        <v>2</v>
      </c>
      <c r="IU88" s="16">
        <v>7</v>
      </c>
      <c r="IV88" s="16">
        <v>91</v>
      </c>
      <c r="IW88" s="16">
        <v>241</v>
      </c>
      <c r="IX88" s="16">
        <v>169</v>
      </c>
      <c r="IY88" s="16">
        <v>57</v>
      </c>
      <c r="IZ88" s="16">
        <v>2</v>
      </c>
      <c r="JA88" s="16">
        <v>63</v>
      </c>
      <c r="JB88" s="16">
        <v>2</v>
      </c>
      <c r="JC88" s="16">
        <v>49</v>
      </c>
      <c r="JD88" s="16">
        <v>2</v>
      </c>
      <c r="JE88" s="16">
        <v>269</v>
      </c>
      <c r="JF88" s="16">
        <v>169</v>
      </c>
      <c r="JG88" s="16">
        <v>1426</v>
      </c>
      <c r="JH88" s="16">
        <v>42</v>
      </c>
      <c r="JI88" s="16">
        <v>72</v>
      </c>
      <c r="JJ88" s="16">
        <v>21</v>
      </c>
      <c r="JK88" s="16">
        <v>11</v>
      </c>
      <c r="JL88" s="16">
        <v>13</v>
      </c>
      <c r="JM88" s="16">
        <v>1</v>
      </c>
      <c r="JN88" s="16">
        <v>7</v>
      </c>
      <c r="JO88" s="16">
        <v>21</v>
      </c>
      <c r="JP88" s="16">
        <v>920</v>
      </c>
      <c r="JQ88" s="16">
        <v>68</v>
      </c>
      <c r="JR88" s="16">
        <v>439</v>
      </c>
      <c r="JS88" s="16">
        <v>188</v>
      </c>
      <c r="JT88" s="16">
        <v>0</v>
      </c>
      <c r="JU88" s="16">
        <v>1031</v>
      </c>
      <c r="JV88" s="16">
        <v>169</v>
      </c>
      <c r="JW88" s="16">
        <v>512</v>
      </c>
      <c r="JX88" s="16">
        <v>531</v>
      </c>
      <c r="JY88" s="16">
        <v>882</v>
      </c>
      <c r="JZ88" s="16">
        <v>24</v>
      </c>
      <c r="KA88" s="16">
        <v>32</v>
      </c>
      <c r="KB88" s="16">
        <v>10</v>
      </c>
      <c r="KC88" s="16">
        <v>29</v>
      </c>
      <c r="KD88" s="16">
        <v>1</v>
      </c>
      <c r="KE88" s="16">
        <v>3</v>
      </c>
      <c r="KF88" s="16">
        <v>83</v>
      </c>
      <c r="KG88" s="16">
        <v>102</v>
      </c>
      <c r="KH88" s="16">
        <v>13</v>
      </c>
      <c r="KI88" s="16">
        <v>36</v>
      </c>
      <c r="KJ88" s="16">
        <v>4</v>
      </c>
      <c r="KK88" s="16">
        <v>88290</v>
      </c>
      <c r="KL88" s="16">
        <v>3</v>
      </c>
      <c r="KM88" s="16">
        <v>61</v>
      </c>
      <c r="KN88" s="16">
        <v>21</v>
      </c>
      <c r="KO88" s="16">
        <v>219</v>
      </c>
      <c r="KP88" s="16">
        <v>6</v>
      </c>
      <c r="KQ88" s="16">
        <v>1</v>
      </c>
      <c r="KR88" s="16">
        <v>1942</v>
      </c>
      <c r="KS88" s="16">
        <v>3</v>
      </c>
      <c r="KT88" s="16">
        <v>95</v>
      </c>
      <c r="KU88" s="16">
        <v>810</v>
      </c>
      <c r="KV88" s="16">
        <v>3403</v>
      </c>
      <c r="KW88" s="16">
        <v>4444</v>
      </c>
      <c r="KX88" s="16">
        <v>6</v>
      </c>
      <c r="KY88" s="16">
        <v>645</v>
      </c>
      <c r="KZ88" s="16">
        <v>11987</v>
      </c>
      <c r="LA88" s="16">
        <v>1149</v>
      </c>
      <c r="LB88" s="16">
        <v>75</v>
      </c>
      <c r="LC88" s="16">
        <v>1153</v>
      </c>
      <c r="LD88" s="16">
        <v>2223</v>
      </c>
      <c r="LE88" s="16">
        <v>328</v>
      </c>
      <c r="LF88" s="16">
        <v>144</v>
      </c>
      <c r="LG88" s="16">
        <v>59</v>
      </c>
      <c r="LH88" s="16">
        <v>538</v>
      </c>
      <c r="LI88" s="16">
        <v>1</v>
      </c>
      <c r="LJ88" s="16">
        <v>153</v>
      </c>
      <c r="LK88" s="16">
        <v>3097</v>
      </c>
      <c r="LL88" s="16">
        <v>588</v>
      </c>
      <c r="LM88" s="16">
        <v>4007</v>
      </c>
      <c r="LN88" s="16">
        <v>23929</v>
      </c>
      <c r="LO88" s="16">
        <v>1061750</v>
      </c>
      <c r="LP88" s="16">
        <v>942</v>
      </c>
      <c r="LQ88" s="16">
        <v>14</v>
      </c>
      <c r="LR88" s="16">
        <v>585</v>
      </c>
      <c r="LS88" s="16">
        <v>46</v>
      </c>
      <c r="LT88" s="16">
        <v>2120</v>
      </c>
      <c r="LU88" s="16">
        <v>655</v>
      </c>
      <c r="LV88" s="16">
        <v>5</v>
      </c>
      <c r="LW88" s="16">
        <v>620</v>
      </c>
      <c r="LX88" s="16">
        <v>1394</v>
      </c>
      <c r="LY88" s="16">
        <v>0</v>
      </c>
      <c r="LZ88" s="16">
        <v>863</v>
      </c>
      <c r="MA88" s="16">
        <v>2522</v>
      </c>
      <c r="MB88" s="16">
        <v>20773</v>
      </c>
      <c r="MC88" s="16">
        <v>2901</v>
      </c>
      <c r="MD88" s="16">
        <v>1566</v>
      </c>
      <c r="ME88" s="16">
        <v>272</v>
      </c>
      <c r="MF88" s="16">
        <v>4576</v>
      </c>
      <c r="MG88" s="16">
        <v>6470</v>
      </c>
      <c r="MH88" s="16">
        <v>139263</v>
      </c>
      <c r="MI88" s="16">
        <v>77</v>
      </c>
      <c r="MJ88" s="16">
        <v>4146</v>
      </c>
      <c r="MK88" s="16">
        <v>5784</v>
      </c>
      <c r="ML88" s="16">
        <v>826</v>
      </c>
      <c r="MM88" s="16">
        <v>4714</v>
      </c>
      <c r="MN88" s="16">
        <v>3772</v>
      </c>
      <c r="MO88" s="16">
        <v>1199</v>
      </c>
      <c r="MP88" s="16">
        <v>2983</v>
      </c>
      <c r="MQ88" s="16">
        <v>7978</v>
      </c>
      <c r="MR88" s="16">
        <v>3538</v>
      </c>
      <c r="MS88" s="16">
        <v>560</v>
      </c>
      <c r="MT88" s="16">
        <v>2180</v>
      </c>
      <c r="MU88" s="16">
        <v>1620</v>
      </c>
      <c r="MV88" s="16">
        <v>24109</v>
      </c>
      <c r="MW88" s="16">
        <v>41685</v>
      </c>
      <c r="MX88" s="16">
        <v>16</v>
      </c>
      <c r="MY88" s="16">
        <v>384</v>
      </c>
      <c r="MZ88" s="16">
        <v>9102</v>
      </c>
      <c r="NA88" s="16">
        <v>711</v>
      </c>
      <c r="NB88" s="16">
        <v>12191</v>
      </c>
      <c r="NC88" s="16">
        <v>24</v>
      </c>
      <c r="ND88" s="16">
        <v>140</v>
      </c>
      <c r="NE88" s="16">
        <v>65</v>
      </c>
      <c r="NF88" s="16">
        <v>1747</v>
      </c>
      <c r="NG88" s="16">
        <v>4012</v>
      </c>
      <c r="NH88" s="16">
        <v>232</v>
      </c>
      <c r="NI88" s="16">
        <v>5155</v>
      </c>
      <c r="NJ88" s="16">
        <v>10852</v>
      </c>
      <c r="NK88" s="16">
        <v>48</v>
      </c>
      <c r="NL88" s="16">
        <v>41</v>
      </c>
      <c r="NM88" s="16">
        <v>334</v>
      </c>
      <c r="NN88" s="16">
        <v>85</v>
      </c>
      <c r="NO88" s="16">
        <v>0</v>
      </c>
      <c r="NP88" s="16">
        <v>42</v>
      </c>
      <c r="NQ88" s="16">
        <v>79</v>
      </c>
      <c r="NR88" s="17">
        <v>3396046</v>
      </c>
    </row>
    <row r="89" spans="1:382" ht="13.5" customHeight="1" x14ac:dyDescent="0.2">
      <c r="A89" s="2" t="s">
        <v>185</v>
      </c>
      <c r="B89" s="16">
        <v>0</v>
      </c>
      <c r="C89" s="16">
        <v>0</v>
      </c>
      <c r="D89" s="16">
        <v>0</v>
      </c>
      <c r="E89" s="16">
        <v>0</v>
      </c>
      <c r="F89" s="16">
        <v>6</v>
      </c>
      <c r="G89" s="16">
        <v>283</v>
      </c>
      <c r="H89" s="16">
        <v>10</v>
      </c>
      <c r="I89" s="16">
        <v>0</v>
      </c>
      <c r="J89" s="16">
        <v>0</v>
      </c>
      <c r="K89" s="16">
        <v>0</v>
      </c>
      <c r="L89" s="16">
        <v>249</v>
      </c>
      <c r="M89" s="16">
        <v>0</v>
      </c>
      <c r="N89" s="16">
        <v>0</v>
      </c>
      <c r="O89" s="16">
        <v>0</v>
      </c>
      <c r="P89" s="16">
        <v>26</v>
      </c>
      <c r="Q89" s="16">
        <v>51</v>
      </c>
      <c r="R89" s="16">
        <v>31</v>
      </c>
      <c r="S89" s="16">
        <v>5</v>
      </c>
      <c r="T89" s="16">
        <v>3</v>
      </c>
      <c r="U89" s="16">
        <v>6</v>
      </c>
      <c r="V89" s="16">
        <v>15</v>
      </c>
      <c r="W89" s="16">
        <v>0</v>
      </c>
      <c r="X89" s="16">
        <v>17</v>
      </c>
      <c r="Y89" s="16">
        <v>772</v>
      </c>
      <c r="Z89" s="16">
        <v>22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34</v>
      </c>
      <c r="AH89" s="16">
        <v>66</v>
      </c>
      <c r="AI89" s="16">
        <v>24</v>
      </c>
      <c r="AJ89" s="16">
        <v>11</v>
      </c>
      <c r="AK89" s="16">
        <v>55</v>
      </c>
      <c r="AL89" s="16">
        <v>250</v>
      </c>
      <c r="AM89" s="16">
        <v>3238</v>
      </c>
      <c r="AN89" s="16">
        <v>888</v>
      </c>
      <c r="AO89" s="16">
        <v>2029</v>
      </c>
      <c r="AP89" s="16">
        <v>6</v>
      </c>
      <c r="AQ89" s="16">
        <v>2860</v>
      </c>
      <c r="AR89" s="16">
        <v>0</v>
      </c>
      <c r="AS89" s="16">
        <v>373</v>
      </c>
      <c r="AT89" s="16">
        <v>663</v>
      </c>
      <c r="AU89" s="16">
        <v>13404</v>
      </c>
      <c r="AV89" s="16">
        <v>2911</v>
      </c>
      <c r="AW89" s="16">
        <v>4124</v>
      </c>
      <c r="AX89" s="16">
        <v>32</v>
      </c>
      <c r="AY89" s="16">
        <v>85</v>
      </c>
      <c r="AZ89" s="16">
        <v>18009</v>
      </c>
      <c r="BA89" s="16">
        <v>8263</v>
      </c>
      <c r="BB89" s="16">
        <v>2782</v>
      </c>
      <c r="BC89" s="16">
        <v>385</v>
      </c>
      <c r="BD89" s="16">
        <v>1</v>
      </c>
      <c r="BE89" s="16">
        <v>272</v>
      </c>
      <c r="BF89" s="16">
        <v>803</v>
      </c>
      <c r="BG89" s="16">
        <v>230</v>
      </c>
      <c r="BH89" s="16">
        <v>3272</v>
      </c>
      <c r="BI89" s="16">
        <v>117619</v>
      </c>
      <c r="BJ89" s="16">
        <v>188</v>
      </c>
      <c r="BK89" s="16">
        <v>81</v>
      </c>
      <c r="BL89" s="16">
        <v>460</v>
      </c>
      <c r="BM89" s="16">
        <v>379</v>
      </c>
      <c r="BN89" s="16">
        <v>150</v>
      </c>
      <c r="BO89" s="16">
        <v>171</v>
      </c>
      <c r="BP89" s="16">
        <v>597</v>
      </c>
      <c r="BQ89" s="16">
        <v>297</v>
      </c>
      <c r="BR89" s="16">
        <v>1</v>
      </c>
      <c r="BS89" s="16">
        <v>40019</v>
      </c>
      <c r="BT89" s="16">
        <v>7603</v>
      </c>
      <c r="BU89" s="16">
        <v>13</v>
      </c>
      <c r="BV89" s="16">
        <v>0</v>
      </c>
      <c r="BW89" s="16">
        <v>930</v>
      </c>
      <c r="BX89" s="16">
        <v>1374</v>
      </c>
      <c r="BY89" s="16">
        <v>0</v>
      </c>
      <c r="BZ89" s="16">
        <v>4905</v>
      </c>
      <c r="CA89" s="16">
        <v>2470</v>
      </c>
      <c r="CB89" s="16">
        <v>88</v>
      </c>
      <c r="CC89" s="16">
        <v>6114</v>
      </c>
      <c r="CD89" s="16">
        <v>8326</v>
      </c>
      <c r="CE89" s="16">
        <v>3502</v>
      </c>
      <c r="CF89" s="16">
        <v>5113</v>
      </c>
      <c r="CG89" s="16">
        <v>965</v>
      </c>
      <c r="CH89" s="16">
        <v>6300</v>
      </c>
      <c r="CI89" s="16">
        <v>539</v>
      </c>
      <c r="CJ89" s="16">
        <v>17133</v>
      </c>
      <c r="CK89" s="16">
        <v>461787</v>
      </c>
      <c r="CL89" s="16">
        <v>2722827</v>
      </c>
      <c r="CM89" s="16">
        <v>1374631</v>
      </c>
      <c r="CN89" s="16">
        <v>191831</v>
      </c>
      <c r="CO89" s="16">
        <v>564802</v>
      </c>
      <c r="CP89" s="16">
        <v>270381</v>
      </c>
      <c r="CQ89" s="16">
        <v>354288</v>
      </c>
      <c r="CR89" s="16">
        <v>11</v>
      </c>
      <c r="CS89" s="16">
        <v>13</v>
      </c>
      <c r="CT89" s="16">
        <v>222</v>
      </c>
      <c r="CU89" s="16">
        <v>37</v>
      </c>
      <c r="CV89" s="16">
        <v>100</v>
      </c>
      <c r="CW89" s="16">
        <v>669</v>
      </c>
      <c r="CX89" s="16">
        <v>1567</v>
      </c>
      <c r="CY89" s="16">
        <v>21</v>
      </c>
      <c r="CZ89" s="16">
        <v>41</v>
      </c>
      <c r="DA89" s="16">
        <v>1</v>
      </c>
      <c r="DB89" s="16">
        <v>4845</v>
      </c>
      <c r="DC89" s="16">
        <v>1</v>
      </c>
      <c r="DD89" s="16">
        <v>4</v>
      </c>
      <c r="DE89" s="16">
        <v>183</v>
      </c>
      <c r="DF89" s="16">
        <v>784</v>
      </c>
      <c r="DG89" s="16">
        <v>19</v>
      </c>
      <c r="DH89" s="16">
        <v>1938</v>
      </c>
      <c r="DI89" s="16">
        <v>180</v>
      </c>
      <c r="DJ89" s="16">
        <v>781</v>
      </c>
      <c r="DK89" s="16">
        <v>21</v>
      </c>
      <c r="DL89" s="16">
        <v>921</v>
      </c>
      <c r="DM89" s="16">
        <v>12696</v>
      </c>
      <c r="DN89" s="16">
        <v>8</v>
      </c>
      <c r="DO89" s="16">
        <v>533</v>
      </c>
      <c r="DP89" s="16">
        <v>741</v>
      </c>
      <c r="DQ89" s="16">
        <v>33</v>
      </c>
      <c r="DR89" s="16">
        <v>1320</v>
      </c>
      <c r="DS89" s="16">
        <v>10191</v>
      </c>
      <c r="DT89" s="16">
        <v>12</v>
      </c>
      <c r="DU89" s="16">
        <v>336</v>
      </c>
      <c r="DV89" s="16">
        <v>1871</v>
      </c>
      <c r="DW89" s="16">
        <v>20420</v>
      </c>
      <c r="DX89" s="16">
        <v>9760</v>
      </c>
      <c r="DY89" s="16">
        <v>16108</v>
      </c>
      <c r="DZ89" s="16">
        <v>8685</v>
      </c>
      <c r="EA89" s="16">
        <v>23087</v>
      </c>
      <c r="EB89" s="16">
        <v>3</v>
      </c>
      <c r="EC89" s="16">
        <v>588</v>
      </c>
      <c r="ED89" s="16">
        <v>63</v>
      </c>
      <c r="EE89" s="16">
        <v>506</v>
      </c>
      <c r="EF89" s="16">
        <v>8168</v>
      </c>
      <c r="EG89" s="16">
        <v>2391</v>
      </c>
      <c r="EH89" s="16">
        <v>417</v>
      </c>
      <c r="EI89" s="16">
        <v>1668</v>
      </c>
      <c r="EJ89" s="16">
        <v>616</v>
      </c>
      <c r="EK89" s="16">
        <v>1081</v>
      </c>
      <c r="EL89" s="16">
        <v>563</v>
      </c>
      <c r="EM89" s="16">
        <v>900</v>
      </c>
      <c r="EN89" s="16">
        <v>47</v>
      </c>
      <c r="EO89" s="16">
        <v>356</v>
      </c>
      <c r="EP89" s="16">
        <v>18020</v>
      </c>
      <c r="EQ89" s="16">
        <v>869</v>
      </c>
      <c r="ER89" s="16">
        <v>3754</v>
      </c>
      <c r="ES89" s="16">
        <v>680</v>
      </c>
      <c r="ET89" s="16">
        <v>4721</v>
      </c>
      <c r="EU89" s="16">
        <v>4</v>
      </c>
      <c r="EV89" s="16">
        <v>0</v>
      </c>
      <c r="EW89" s="16">
        <v>8</v>
      </c>
      <c r="EX89" s="16">
        <v>211</v>
      </c>
      <c r="EY89" s="16">
        <v>13</v>
      </c>
      <c r="EZ89" s="16">
        <v>9</v>
      </c>
      <c r="FA89" s="16">
        <v>37</v>
      </c>
      <c r="FB89" s="16">
        <v>211</v>
      </c>
      <c r="FC89" s="16">
        <v>109</v>
      </c>
      <c r="FD89" s="16">
        <v>1544</v>
      </c>
      <c r="FE89" s="16">
        <v>372</v>
      </c>
      <c r="FF89" s="16">
        <v>138</v>
      </c>
      <c r="FG89" s="16">
        <v>13</v>
      </c>
      <c r="FH89" s="16">
        <v>0</v>
      </c>
      <c r="FI89" s="16">
        <v>77</v>
      </c>
      <c r="FJ89" s="16">
        <v>2</v>
      </c>
      <c r="FK89" s="16">
        <v>89</v>
      </c>
      <c r="FL89" s="16">
        <v>1</v>
      </c>
      <c r="FM89" s="16">
        <v>380</v>
      </c>
      <c r="FN89" s="16">
        <v>1777</v>
      </c>
      <c r="FO89" s="16">
        <v>222</v>
      </c>
      <c r="FP89" s="16">
        <v>361</v>
      </c>
      <c r="FQ89" s="16">
        <v>2920</v>
      </c>
      <c r="FR89" s="16">
        <v>689</v>
      </c>
      <c r="FS89" s="16">
        <v>249</v>
      </c>
      <c r="FT89" s="16">
        <v>209</v>
      </c>
      <c r="FU89" s="16">
        <v>821</v>
      </c>
      <c r="FV89" s="16">
        <v>1573</v>
      </c>
      <c r="FW89" s="16">
        <v>90</v>
      </c>
      <c r="FX89" s="16">
        <v>2469</v>
      </c>
      <c r="FY89" s="16">
        <v>424</v>
      </c>
      <c r="FZ89" s="16">
        <v>1397</v>
      </c>
      <c r="GA89" s="16">
        <v>5136</v>
      </c>
      <c r="GB89" s="16">
        <v>5247</v>
      </c>
      <c r="GC89" s="16">
        <v>1157</v>
      </c>
      <c r="GD89" s="16">
        <v>3936</v>
      </c>
      <c r="GE89" s="16">
        <v>214</v>
      </c>
      <c r="GF89" s="16">
        <v>2293</v>
      </c>
      <c r="GG89" s="16">
        <v>15423</v>
      </c>
      <c r="GH89" s="16">
        <v>461</v>
      </c>
      <c r="GI89" s="16">
        <v>3973</v>
      </c>
      <c r="GJ89" s="16">
        <v>23932</v>
      </c>
      <c r="GK89" s="16">
        <v>5695</v>
      </c>
      <c r="GL89" s="16">
        <v>8</v>
      </c>
      <c r="GM89" s="16">
        <v>82</v>
      </c>
      <c r="GN89" s="16">
        <v>36</v>
      </c>
      <c r="GO89" s="16">
        <v>798</v>
      </c>
      <c r="GP89" s="16">
        <v>191</v>
      </c>
      <c r="GQ89" s="16">
        <v>1308</v>
      </c>
      <c r="GR89" s="16">
        <v>788</v>
      </c>
      <c r="GS89" s="16">
        <v>90</v>
      </c>
      <c r="GT89" s="16">
        <v>135</v>
      </c>
      <c r="GU89" s="16">
        <v>820</v>
      </c>
      <c r="GV89" s="16">
        <v>594</v>
      </c>
      <c r="GW89" s="16">
        <v>505</v>
      </c>
      <c r="GX89" s="16">
        <v>32</v>
      </c>
      <c r="GY89" s="16">
        <v>1</v>
      </c>
      <c r="GZ89" s="16">
        <v>2396</v>
      </c>
      <c r="HA89" s="16">
        <v>3404</v>
      </c>
      <c r="HB89" s="16">
        <v>3397</v>
      </c>
      <c r="HC89" s="16">
        <v>2105</v>
      </c>
      <c r="HD89" s="16">
        <v>7316</v>
      </c>
      <c r="HE89" s="16">
        <v>4946</v>
      </c>
      <c r="HF89" s="16">
        <v>21336</v>
      </c>
      <c r="HG89" s="16">
        <v>314</v>
      </c>
      <c r="HH89" s="16">
        <v>575</v>
      </c>
      <c r="HI89" s="16">
        <v>2193</v>
      </c>
      <c r="HJ89" s="16">
        <v>530</v>
      </c>
      <c r="HK89" s="16">
        <v>1466</v>
      </c>
      <c r="HL89" s="16">
        <v>7884</v>
      </c>
      <c r="HM89" s="16">
        <v>84</v>
      </c>
      <c r="HN89" s="16">
        <v>303</v>
      </c>
      <c r="HO89" s="16">
        <v>90</v>
      </c>
      <c r="HP89" s="16">
        <v>315</v>
      </c>
      <c r="HQ89" s="16">
        <v>553</v>
      </c>
      <c r="HR89" s="16">
        <v>535</v>
      </c>
      <c r="HS89" s="16">
        <v>678</v>
      </c>
      <c r="HT89" s="16">
        <v>233</v>
      </c>
      <c r="HU89" s="16">
        <v>732</v>
      </c>
      <c r="HV89" s="16">
        <v>16</v>
      </c>
      <c r="HW89" s="16">
        <v>63</v>
      </c>
      <c r="HX89" s="16">
        <v>566</v>
      </c>
      <c r="HY89" s="16">
        <v>169</v>
      </c>
      <c r="HZ89" s="16">
        <v>731</v>
      </c>
      <c r="IA89" s="16">
        <v>144</v>
      </c>
      <c r="IB89" s="16">
        <v>24</v>
      </c>
      <c r="IC89" s="16">
        <v>8</v>
      </c>
      <c r="ID89" s="16">
        <v>74</v>
      </c>
      <c r="IE89" s="16">
        <v>2</v>
      </c>
      <c r="IF89" s="16">
        <v>80</v>
      </c>
      <c r="IG89" s="16">
        <v>1761</v>
      </c>
      <c r="IH89" s="16">
        <v>442</v>
      </c>
      <c r="II89" s="16">
        <v>59</v>
      </c>
      <c r="IJ89" s="16">
        <v>5</v>
      </c>
      <c r="IK89" s="16">
        <v>33</v>
      </c>
      <c r="IL89" s="16">
        <v>75</v>
      </c>
      <c r="IM89" s="16">
        <v>8</v>
      </c>
      <c r="IN89" s="16">
        <v>412</v>
      </c>
      <c r="IO89" s="16">
        <v>5228</v>
      </c>
      <c r="IP89" s="16">
        <v>4</v>
      </c>
      <c r="IQ89" s="16">
        <v>40</v>
      </c>
      <c r="IR89" s="16">
        <v>30</v>
      </c>
      <c r="IS89" s="16">
        <v>862</v>
      </c>
      <c r="IT89" s="16">
        <v>53</v>
      </c>
      <c r="IU89" s="16">
        <v>8</v>
      </c>
      <c r="IV89" s="16">
        <v>688</v>
      </c>
      <c r="IW89" s="16">
        <v>5850</v>
      </c>
      <c r="IX89" s="16">
        <v>3626</v>
      </c>
      <c r="IY89" s="16">
        <v>1456</v>
      </c>
      <c r="IZ89" s="16">
        <v>41</v>
      </c>
      <c r="JA89" s="16">
        <v>275</v>
      </c>
      <c r="JB89" s="16">
        <v>11</v>
      </c>
      <c r="JC89" s="16">
        <v>2677</v>
      </c>
      <c r="JD89" s="16">
        <v>4</v>
      </c>
      <c r="JE89" s="16">
        <v>23501</v>
      </c>
      <c r="JF89" s="16">
        <v>13898</v>
      </c>
      <c r="JG89" s="16">
        <v>7674</v>
      </c>
      <c r="JH89" s="16">
        <v>5</v>
      </c>
      <c r="JI89" s="16">
        <v>3</v>
      </c>
      <c r="JJ89" s="16">
        <v>37</v>
      </c>
      <c r="JK89" s="16">
        <v>7</v>
      </c>
      <c r="JL89" s="16">
        <v>1</v>
      </c>
      <c r="JM89" s="16">
        <v>0</v>
      </c>
      <c r="JN89" s="16">
        <v>0</v>
      </c>
      <c r="JO89" s="16">
        <v>57</v>
      </c>
      <c r="JP89" s="16">
        <v>54</v>
      </c>
      <c r="JQ89" s="16">
        <v>8</v>
      </c>
      <c r="JR89" s="16">
        <v>446</v>
      </c>
      <c r="JS89" s="16">
        <v>527</v>
      </c>
      <c r="JT89" s="16">
        <v>0</v>
      </c>
      <c r="JU89" s="16">
        <v>2230</v>
      </c>
      <c r="JV89" s="16">
        <v>1435</v>
      </c>
      <c r="JW89" s="16">
        <v>1013</v>
      </c>
      <c r="JX89" s="16">
        <v>1077</v>
      </c>
      <c r="JY89" s="16">
        <v>1722</v>
      </c>
      <c r="JZ89" s="16">
        <v>143</v>
      </c>
      <c r="KA89" s="16">
        <v>21</v>
      </c>
      <c r="KB89" s="16">
        <v>8</v>
      </c>
      <c r="KC89" s="16">
        <v>0</v>
      </c>
      <c r="KD89" s="16">
        <v>48</v>
      </c>
      <c r="KE89" s="16">
        <v>1</v>
      </c>
      <c r="KF89" s="16">
        <v>3</v>
      </c>
      <c r="KG89" s="16">
        <v>474</v>
      </c>
      <c r="KH89" s="16">
        <v>13</v>
      </c>
      <c r="KI89" s="16">
        <v>184</v>
      </c>
      <c r="KJ89" s="16">
        <v>158</v>
      </c>
      <c r="KK89" s="16">
        <v>287145</v>
      </c>
      <c r="KL89" s="16">
        <v>7</v>
      </c>
      <c r="KM89" s="16">
        <v>0</v>
      </c>
      <c r="KN89" s="16">
        <v>353</v>
      </c>
      <c r="KO89" s="16">
        <v>1291</v>
      </c>
      <c r="KP89" s="16">
        <v>4</v>
      </c>
      <c r="KQ89" s="16">
        <v>12</v>
      </c>
      <c r="KR89" s="16">
        <v>5770</v>
      </c>
      <c r="KS89" s="16">
        <v>11</v>
      </c>
      <c r="KT89" s="16">
        <v>87</v>
      </c>
      <c r="KU89" s="16">
        <v>2337</v>
      </c>
      <c r="KV89" s="16">
        <v>1405</v>
      </c>
      <c r="KW89" s="16">
        <v>9634</v>
      </c>
      <c r="KX89" s="16">
        <v>1035</v>
      </c>
      <c r="KY89" s="16">
        <v>18456</v>
      </c>
      <c r="KZ89" s="16">
        <v>49587</v>
      </c>
      <c r="LA89" s="16">
        <v>5296</v>
      </c>
      <c r="LB89" s="16">
        <v>1575</v>
      </c>
      <c r="LC89" s="16">
        <v>5727</v>
      </c>
      <c r="LD89" s="16">
        <v>25334</v>
      </c>
      <c r="LE89" s="16">
        <v>688</v>
      </c>
      <c r="LF89" s="16">
        <v>237</v>
      </c>
      <c r="LG89" s="16">
        <v>58</v>
      </c>
      <c r="LH89" s="16">
        <v>507</v>
      </c>
      <c r="LI89" s="16">
        <v>1</v>
      </c>
      <c r="LJ89" s="16">
        <v>47</v>
      </c>
      <c r="LK89" s="16">
        <v>1011</v>
      </c>
      <c r="LL89" s="16">
        <v>182</v>
      </c>
      <c r="LM89" s="16">
        <v>1271</v>
      </c>
      <c r="LN89" s="16">
        <v>6866</v>
      </c>
      <c r="LO89" s="16">
        <v>15997</v>
      </c>
      <c r="LP89" s="16">
        <v>3207</v>
      </c>
      <c r="LQ89" s="16">
        <v>528</v>
      </c>
      <c r="LR89" s="16">
        <v>851</v>
      </c>
      <c r="LS89" s="16">
        <v>934</v>
      </c>
      <c r="LT89" s="16">
        <v>11074</v>
      </c>
      <c r="LU89" s="16">
        <v>638</v>
      </c>
      <c r="LV89" s="16">
        <v>7</v>
      </c>
      <c r="LW89" s="16">
        <v>195</v>
      </c>
      <c r="LX89" s="16">
        <v>2452</v>
      </c>
      <c r="LY89" s="16">
        <v>0</v>
      </c>
      <c r="LZ89" s="16">
        <v>15580</v>
      </c>
      <c r="MA89" s="16">
        <v>38550</v>
      </c>
      <c r="MB89" s="16">
        <v>22625</v>
      </c>
      <c r="MC89" s="16">
        <v>16174</v>
      </c>
      <c r="MD89" s="16">
        <v>2410</v>
      </c>
      <c r="ME89" s="16">
        <v>76</v>
      </c>
      <c r="MF89" s="16">
        <v>7657</v>
      </c>
      <c r="MG89" s="16">
        <v>1457</v>
      </c>
      <c r="MH89" s="16">
        <v>53118</v>
      </c>
      <c r="MI89" s="16">
        <v>172</v>
      </c>
      <c r="MJ89" s="16">
        <v>9170</v>
      </c>
      <c r="MK89" s="16">
        <v>18040</v>
      </c>
      <c r="ML89" s="16">
        <v>2576</v>
      </c>
      <c r="MM89" s="16">
        <v>12834</v>
      </c>
      <c r="MN89" s="16">
        <v>1630</v>
      </c>
      <c r="MO89" s="16">
        <v>119</v>
      </c>
      <c r="MP89" s="16">
        <v>1069</v>
      </c>
      <c r="MQ89" s="16">
        <v>33486</v>
      </c>
      <c r="MR89" s="16">
        <v>987</v>
      </c>
      <c r="MS89" s="16">
        <v>1301</v>
      </c>
      <c r="MT89" s="16">
        <v>6441</v>
      </c>
      <c r="MU89" s="16">
        <v>7057</v>
      </c>
      <c r="MV89" s="16">
        <v>7493</v>
      </c>
      <c r="MW89" s="16">
        <v>86630</v>
      </c>
      <c r="MX89" s="16">
        <v>41</v>
      </c>
      <c r="MY89" s="16">
        <v>445</v>
      </c>
      <c r="MZ89" s="16">
        <v>7776</v>
      </c>
      <c r="NA89" s="16">
        <v>186</v>
      </c>
      <c r="NB89" s="16">
        <v>53041</v>
      </c>
      <c r="NC89" s="16">
        <v>2302</v>
      </c>
      <c r="ND89" s="16">
        <v>151</v>
      </c>
      <c r="NE89" s="16">
        <v>62</v>
      </c>
      <c r="NF89" s="16">
        <v>6622</v>
      </c>
      <c r="NG89" s="16">
        <v>3849</v>
      </c>
      <c r="NH89" s="16">
        <v>506</v>
      </c>
      <c r="NI89" s="16">
        <v>2885</v>
      </c>
      <c r="NJ89" s="16">
        <v>4098</v>
      </c>
      <c r="NK89" s="16">
        <v>259</v>
      </c>
      <c r="NL89" s="16">
        <v>3</v>
      </c>
      <c r="NM89" s="16">
        <v>498</v>
      </c>
      <c r="NN89" s="16">
        <v>13</v>
      </c>
      <c r="NO89" s="16">
        <v>0</v>
      </c>
      <c r="NP89" s="16">
        <v>1080</v>
      </c>
      <c r="NQ89" s="16">
        <v>100</v>
      </c>
      <c r="NR89" s="17">
        <v>7519339</v>
      </c>
    </row>
    <row r="90" spans="1:382" ht="13.5" customHeight="1" x14ac:dyDescent="0.2">
      <c r="A90" s="2" t="s">
        <v>187</v>
      </c>
      <c r="B90" s="16">
        <v>0</v>
      </c>
      <c r="C90" s="16">
        <v>0</v>
      </c>
      <c r="D90" s="16">
        <v>0</v>
      </c>
      <c r="E90" s="16">
        <v>37919</v>
      </c>
      <c r="F90" s="16">
        <v>270423</v>
      </c>
      <c r="G90" s="16">
        <v>100476</v>
      </c>
      <c r="H90" s="16">
        <v>5</v>
      </c>
      <c r="I90" s="16">
        <v>1015</v>
      </c>
      <c r="J90" s="16">
        <v>0</v>
      </c>
      <c r="K90" s="16">
        <v>0</v>
      </c>
      <c r="L90" s="16">
        <v>2377</v>
      </c>
      <c r="M90" s="16">
        <v>0</v>
      </c>
      <c r="N90" s="16">
        <v>0</v>
      </c>
      <c r="O90" s="16">
        <v>0</v>
      </c>
      <c r="P90" s="16">
        <v>6</v>
      </c>
      <c r="Q90" s="16">
        <v>30</v>
      </c>
      <c r="R90" s="16">
        <v>2116</v>
      </c>
      <c r="S90" s="16">
        <v>3469</v>
      </c>
      <c r="T90" s="16">
        <v>472</v>
      </c>
      <c r="U90" s="16">
        <v>0</v>
      </c>
      <c r="V90" s="16">
        <v>0</v>
      </c>
      <c r="W90" s="16">
        <v>7</v>
      </c>
      <c r="X90" s="16">
        <v>344</v>
      </c>
      <c r="Y90" s="16">
        <v>10959</v>
      </c>
      <c r="Z90" s="16">
        <v>2028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21</v>
      </c>
      <c r="AH90" s="16">
        <v>56</v>
      </c>
      <c r="AI90" s="16">
        <v>121</v>
      </c>
      <c r="AJ90" s="16">
        <v>17192</v>
      </c>
      <c r="AK90" s="16">
        <v>54083</v>
      </c>
      <c r="AL90" s="16">
        <v>15733</v>
      </c>
      <c r="AM90" s="16">
        <v>195015</v>
      </c>
      <c r="AN90" s="16">
        <v>61428</v>
      </c>
      <c r="AO90" s="16">
        <v>90813</v>
      </c>
      <c r="AP90" s="16">
        <v>91</v>
      </c>
      <c r="AQ90" s="16">
        <v>27763</v>
      </c>
      <c r="AR90" s="16">
        <v>0</v>
      </c>
      <c r="AS90" s="16">
        <v>3719</v>
      </c>
      <c r="AT90" s="16">
        <v>2098</v>
      </c>
      <c r="AU90" s="16">
        <v>306892</v>
      </c>
      <c r="AV90" s="16">
        <v>107387</v>
      </c>
      <c r="AW90" s="16">
        <v>207356</v>
      </c>
      <c r="AX90" s="16">
        <v>8798</v>
      </c>
      <c r="AY90" s="16">
        <v>147156</v>
      </c>
      <c r="AZ90" s="16">
        <v>76851</v>
      </c>
      <c r="BA90" s="16">
        <v>98477</v>
      </c>
      <c r="BB90" s="16">
        <v>36495</v>
      </c>
      <c r="BC90" s="16">
        <v>22718</v>
      </c>
      <c r="BD90" s="16">
        <v>0</v>
      </c>
      <c r="BE90" s="16">
        <v>22251</v>
      </c>
      <c r="BF90" s="16">
        <v>19751</v>
      </c>
      <c r="BG90" s="16">
        <v>16071</v>
      </c>
      <c r="BH90" s="16">
        <v>131053</v>
      </c>
      <c r="BI90" s="16">
        <v>47329</v>
      </c>
      <c r="BJ90" s="16">
        <v>2894</v>
      </c>
      <c r="BK90" s="16">
        <v>10313</v>
      </c>
      <c r="BL90" s="16">
        <v>19177</v>
      </c>
      <c r="BM90" s="16">
        <v>3255</v>
      </c>
      <c r="BN90" s="16">
        <v>4181</v>
      </c>
      <c r="BO90" s="16">
        <v>5278</v>
      </c>
      <c r="BP90" s="16">
        <v>11198</v>
      </c>
      <c r="BQ90" s="16">
        <v>19754</v>
      </c>
      <c r="BR90" s="16">
        <v>1399</v>
      </c>
      <c r="BS90" s="16">
        <v>16545</v>
      </c>
      <c r="BT90" s="16">
        <v>2722</v>
      </c>
      <c r="BU90" s="16">
        <v>73</v>
      </c>
      <c r="BV90" s="16">
        <v>0</v>
      </c>
      <c r="BW90" s="16">
        <v>20752</v>
      </c>
      <c r="BX90" s="16">
        <v>269</v>
      </c>
      <c r="BY90" s="16">
        <v>2</v>
      </c>
      <c r="BZ90" s="16">
        <v>12080</v>
      </c>
      <c r="CA90" s="16">
        <v>3384</v>
      </c>
      <c r="CB90" s="16">
        <v>3135</v>
      </c>
      <c r="CC90" s="16">
        <v>14917</v>
      </c>
      <c r="CD90" s="16">
        <v>1675</v>
      </c>
      <c r="CE90" s="16">
        <v>12931</v>
      </c>
      <c r="CF90" s="16">
        <v>23174</v>
      </c>
      <c r="CG90" s="16">
        <v>679</v>
      </c>
      <c r="CH90" s="16">
        <v>59867</v>
      </c>
      <c r="CI90" s="16">
        <v>5</v>
      </c>
      <c r="CJ90" s="16">
        <v>6951</v>
      </c>
      <c r="CK90" s="16">
        <v>57743</v>
      </c>
      <c r="CL90" s="16">
        <v>1141507</v>
      </c>
      <c r="CM90" s="16">
        <v>19236</v>
      </c>
      <c r="CN90" s="16">
        <v>19256</v>
      </c>
      <c r="CO90" s="16">
        <v>52226</v>
      </c>
      <c r="CP90" s="16">
        <v>11635</v>
      </c>
      <c r="CQ90" s="16">
        <v>28707</v>
      </c>
      <c r="CR90" s="16">
        <v>0</v>
      </c>
      <c r="CS90" s="16">
        <v>7</v>
      </c>
      <c r="CT90" s="16">
        <v>4</v>
      </c>
      <c r="CU90" s="16">
        <v>10</v>
      </c>
      <c r="CV90" s="16">
        <v>13</v>
      </c>
      <c r="CW90" s="16">
        <v>41</v>
      </c>
      <c r="CX90" s="16">
        <v>166</v>
      </c>
      <c r="CY90" s="16">
        <v>4</v>
      </c>
      <c r="CZ90" s="16">
        <v>6722</v>
      </c>
      <c r="DA90" s="16">
        <v>195</v>
      </c>
      <c r="DB90" s="16">
        <v>3582</v>
      </c>
      <c r="DC90" s="16">
        <v>10</v>
      </c>
      <c r="DD90" s="16">
        <v>83</v>
      </c>
      <c r="DE90" s="16">
        <v>357</v>
      </c>
      <c r="DF90" s="16">
        <v>2147</v>
      </c>
      <c r="DG90" s="16">
        <v>3901</v>
      </c>
      <c r="DH90" s="16">
        <v>1745</v>
      </c>
      <c r="DI90" s="16">
        <v>13217</v>
      </c>
      <c r="DJ90" s="16">
        <v>11776</v>
      </c>
      <c r="DK90" s="16">
        <v>537</v>
      </c>
      <c r="DL90" s="16">
        <v>20971</v>
      </c>
      <c r="DM90" s="16">
        <v>309413</v>
      </c>
      <c r="DN90" s="16">
        <v>1636</v>
      </c>
      <c r="DO90" s="16">
        <v>41765</v>
      </c>
      <c r="DP90" s="16">
        <v>3154</v>
      </c>
      <c r="DQ90" s="16">
        <v>532</v>
      </c>
      <c r="DR90" s="16">
        <v>71647</v>
      </c>
      <c r="DS90" s="16">
        <v>228645</v>
      </c>
      <c r="DT90" s="16">
        <v>258</v>
      </c>
      <c r="DU90" s="16">
        <v>20646</v>
      </c>
      <c r="DV90" s="16">
        <v>16191</v>
      </c>
      <c r="DW90" s="16">
        <v>46465</v>
      </c>
      <c r="DX90" s="16">
        <v>9160</v>
      </c>
      <c r="DY90" s="16">
        <v>21894</v>
      </c>
      <c r="DZ90" s="16">
        <v>51357</v>
      </c>
      <c r="EA90" s="16">
        <v>40069</v>
      </c>
      <c r="EB90" s="16">
        <v>283</v>
      </c>
      <c r="EC90" s="16">
        <v>6666</v>
      </c>
      <c r="ED90" s="16">
        <v>7102</v>
      </c>
      <c r="EE90" s="16">
        <v>202</v>
      </c>
      <c r="EF90" s="16">
        <v>1257</v>
      </c>
      <c r="EG90" s="16">
        <v>35657</v>
      </c>
      <c r="EH90" s="16">
        <v>13349</v>
      </c>
      <c r="EI90" s="16">
        <v>16939</v>
      </c>
      <c r="EJ90" s="16">
        <v>15004</v>
      </c>
      <c r="EK90" s="16">
        <v>3124</v>
      </c>
      <c r="EL90" s="16">
        <v>4505</v>
      </c>
      <c r="EM90" s="16">
        <v>8</v>
      </c>
      <c r="EN90" s="16">
        <v>65</v>
      </c>
      <c r="EO90" s="16">
        <v>215</v>
      </c>
      <c r="EP90" s="16">
        <v>16271</v>
      </c>
      <c r="EQ90" s="16">
        <v>1337</v>
      </c>
      <c r="ER90" s="16">
        <v>7619</v>
      </c>
      <c r="ES90" s="16">
        <v>400</v>
      </c>
      <c r="ET90" s="16">
        <v>46549</v>
      </c>
      <c r="EU90" s="16">
        <v>0</v>
      </c>
      <c r="EV90" s="16">
        <v>0</v>
      </c>
      <c r="EW90" s="16">
        <v>2</v>
      </c>
      <c r="EX90" s="16">
        <v>1358</v>
      </c>
      <c r="EY90" s="16">
        <v>3908</v>
      </c>
      <c r="EZ90" s="16">
        <v>1</v>
      </c>
      <c r="FA90" s="16">
        <v>26</v>
      </c>
      <c r="FB90" s="16">
        <v>145</v>
      </c>
      <c r="FC90" s="16">
        <v>195</v>
      </c>
      <c r="FD90" s="16">
        <v>5324</v>
      </c>
      <c r="FE90" s="16">
        <v>449</v>
      </c>
      <c r="FF90" s="16">
        <v>642</v>
      </c>
      <c r="FG90" s="16">
        <v>2758</v>
      </c>
      <c r="FH90" s="16">
        <v>0</v>
      </c>
      <c r="FI90" s="16">
        <v>44</v>
      </c>
      <c r="FJ90" s="16">
        <v>3</v>
      </c>
      <c r="FK90" s="16">
        <v>331</v>
      </c>
      <c r="FL90" s="16">
        <v>1</v>
      </c>
      <c r="FM90" s="16">
        <v>727</v>
      </c>
      <c r="FN90" s="16">
        <v>18917</v>
      </c>
      <c r="FO90" s="16">
        <v>4666</v>
      </c>
      <c r="FP90" s="16">
        <v>7729</v>
      </c>
      <c r="FQ90" s="16">
        <v>13665</v>
      </c>
      <c r="FR90" s="16">
        <v>5415</v>
      </c>
      <c r="FS90" s="16">
        <v>561</v>
      </c>
      <c r="FT90" s="16">
        <v>5654</v>
      </c>
      <c r="FU90" s="16">
        <v>14557</v>
      </c>
      <c r="FV90" s="16">
        <v>15618</v>
      </c>
      <c r="FW90" s="16">
        <v>27984</v>
      </c>
      <c r="FX90" s="16">
        <v>134415</v>
      </c>
      <c r="FY90" s="16">
        <v>26933</v>
      </c>
      <c r="FZ90" s="16">
        <v>7968</v>
      </c>
      <c r="GA90" s="16">
        <v>1600</v>
      </c>
      <c r="GB90" s="16">
        <v>92336</v>
      </c>
      <c r="GC90" s="16">
        <v>6421</v>
      </c>
      <c r="GD90" s="16">
        <v>97218</v>
      </c>
      <c r="GE90" s="16">
        <v>227</v>
      </c>
      <c r="GF90" s="16">
        <v>4732</v>
      </c>
      <c r="GG90" s="16">
        <v>545</v>
      </c>
      <c r="GH90" s="16">
        <v>13951</v>
      </c>
      <c r="GI90" s="16">
        <v>5391</v>
      </c>
      <c r="GJ90" s="16">
        <v>25162</v>
      </c>
      <c r="GK90" s="16">
        <v>9381</v>
      </c>
      <c r="GL90" s="16">
        <v>16</v>
      </c>
      <c r="GM90" s="16">
        <v>284</v>
      </c>
      <c r="GN90" s="16">
        <v>883</v>
      </c>
      <c r="GO90" s="16">
        <v>521</v>
      </c>
      <c r="GP90" s="16">
        <v>582</v>
      </c>
      <c r="GQ90" s="16">
        <v>377</v>
      </c>
      <c r="GR90" s="16">
        <v>8593</v>
      </c>
      <c r="GS90" s="16">
        <v>861</v>
      </c>
      <c r="GT90" s="16">
        <v>851</v>
      </c>
      <c r="GU90" s="16">
        <v>3536</v>
      </c>
      <c r="GV90" s="16">
        <v>6866</v>
      </c>
      <c r="GW90" s="16">
        <v>4007</v>
      </c>
      <c r="GX90" s="16">
        <v>3382</v>
      </c>
      <c r="GY90" s="16">
        <v>23</v>
      </c>
      <c r="GZ90" s="16">
        <v>13581</v>
      </c>
      <c r="HA90" s="16">
        <v>5550</v>
      </c>
      <c r="HB90" s="16">
        <v>7137</v>
      </c>
      <c r="HC90" s="16">
        <v>34632</v>
      </c>
      <c r="HD90" s="16">
        <v>36161</v>
      </c>
      <c r="HE90" s="16">
        <v>8054</v>
      </c>
      <c r="HF90" s="16">
        <v>4423</v>
      </c>
      <c r="HG90" s="16">
        <v>20224</v>
      </c>
      <c r="HH90" s="16">
        <v>12697</v>
      </c>
      <c r="HI90" s="16">
        <v>47186</v>
      </c>
      <c r="HJ90" s="16">
        <v>20577</v>
      </c>
      <c r="HK90" s="16">
        <v>22544</v>
      </c>
      <c r="HL90" s="16">
        <v>43709</v>
      </c>
      <c r="HM90" s="16">
        <v>1243</v>
      </c>
      <c r="HN90" s="16">
        <v>7037</v>
      </c>
      <c r="HO90" s="16">
        <v>6659</v>
      </c>
      <c r="HP90" s="16">
        <v>2135</v>
      </c>
      <c r="HQ90" s="16">
        <v>3535</v>
      </c>
      <c r="HR90" s="16">
        <v>33247</v>
      </c>
      <c r="HS90" s="16">
        <v>18216</v>
      </c>
      <c r="HT90" s="16">
        <v>3461</v>
      </c>
      <c r="HU90" s="16">
        <v>2346</v>
      </c>
      <c r="HV90" s="16">
        <v>2342</v>
      </c>
      <c r="HW90" s="16">
        <v>169</v>
      </c>
      <c r="HX90" s="16">
        <v>5116</v>
      </c>
      <c r="HY90" s="16">
        <v>5482</v>
      </c>
      <c r="HZ90" s="16">
        <v>21291</v>
      </c>
      <c r="IA90" s="16">
        <v>3062</v>
      </c>
      <c r="IB90" s="16">
        <v>1617</v>
      </c>
      <c r="IC90" s="16">
        <v>1005</v>
      </c>
      <c r="ID90" s="16">
        <v>521</v>
      </c>
      <c r="IE90" s="16">
        <v>89</v>
      </c>
      <c r="IF90" s="16">
        <v>538</v>
      </c>
      <c r="IG90" s="16">
        <v>10721</v>
      </c>
      <c r="IH90" s="16">
        <v>3</v>
      </c>
      <c r="II90" s="16">
        <v>0</v>
      </c>
      <c r="IJ90" s="16">
        <v>0</v>
      </c>
      <c r="IK90" s="16">
        <v>0</v>
      </c>
      <c r="IL90" s="16">
        <v>3</v>
      </c>
      <c r="IM90" s="16">
        <v>0</v>
      </c>
      <c r="IN90" s="16">
        <v>3</v>
      </c>
      <c r="IO90" s="16">
        <v>16399</v>
      </c>
      <c r="IP90" s="16">
        <v>1</v>
      </c>
      <c r="IQ90" s="16">
        <v>2</v>
      </c>
      <c r="IR90" s="16">
        <v>1</v>
      </c>
      <c r="IS90" s="16">
        <v>3</v>
      </c>
      <c r="IT90" s="16">
        <v>1</v>
      </c>
      <c r="IU90" s="16">
        <v>14</v>
      </c>
      <c r="IV90" s="16">
        <v>18188</v>
      </c>
      <c r="IW90" s="16">
        <v>149003</v>
      </c>
      <c r="IX90" s="16">
        <v>17675</v>
      </c>
      <c r="IY90" s="16">
        <v>4205</v>
      </c>
      <c r="IZ90" s="16">
        <v>1598</v>
      </c>
      <c r="JA90" s="16">
        <v>8765</v>
      </c>
      <c r="JB90" s="16">
        <v>1344</v>
      </c>
      <c r="JC90" s="16">
        <v>5249</v>
      </c>
      <c r="JD90" s="16">
        <v>431</v>
      </c>
      <c r="JE90" s="16">
        <v>41809</v>
      </c>
      <c r="JF90" s="16">
        <v>20819</v>
      </c>
      <c r="JG90" s="16">
        <v>134518</v>
      </c>
      <c r="JH90" s="16">
        <v>4</v>
      </c>
      <c r="JI90" s="16">
        <v>5</v>
      </c>
      <c r="JJ90" s="16">
        <v>1</v>
      </c>
      <c r="JK90" s="16">
        <v>2</v>
      </c>
      <c r="JL90" s="16">
        <v>53</v>
      </c>
      <c r="JM90" s="16">
        <v>1</v>
      </c>
      <c r="JN90" s="16">
        <v>26</v>
      </c>
      <c r="JO90" s="16">
        <v>0</v>
      </c>
      <c r="JP90" s="16">
        <v>45</v>
      </c>
      <c r="JQ90" s="16">
        <v>11</v>
      </c>
      <c r="JR90" s="16">
        <v>27</v>
      </c>
      <c r="JS90" s="16">
        <v>24</v>
      </c>
      <c r="JT90" s="16">
        <v>0</v>
      </c>
      <c r="JU90" s="16">
        <v>58</v>
      </c>
      <c r="JV90" s="16">
        <v>18540</v>
      </c>
      <c r="JW90" s="16">
        <v>864</v>
      </c>
      <c r="JX90" s="16">
        <v>53</v>
      </c>
      <c r="JY90" s="16">
        <v>1590</v>
      </c>
      <c r="JZ90" s="16">
        <v>4</v>
      </c>
      <c r="KA90" s="16">
        <v>21</v>
      </c>
      <c r="KB90" s="16">
        <v>17</v>
      </c>
      <c r="KC90" s="16">
        <v>1</v>
      </c>
      <c r="KD90" s="16">
        <v>0</v>
      </c>
      <c r="KE90" s="16">
        <v>1</v>
      </c>
      <c r="KF90" s="16">
        <v>60</v>
      </c>
      <c r="KG90" s="16">
        <v>2</v>
      </c>
      <c r="KH90" s="16">
        <v>24</v>
      </c>
      <c r="KI90" s="16">
        <v>9</v>
      </c>
      <c r="KJ90" s="16">
        <v>4</v>
      </c>
      <c r="KK90" s="16">
        <v>1396443</v>
      </c>
      <c r="KL90" s="16">
        <v>1</v>
      </c>
      <c r="KM90" s="16">
        <v>0</v>
      </c>
      <c r="KN90" s="16">
        <v>128</v>
      </c>
      <c r="KO90" s="16">
        <v>7</v>
      </c>
      <c r="KP90" s="16">
        <v>6</v>
      </c>
      <c r="KQ90" s="16">
        <v>9</v>
      </c>
      <c r="KR90" s="16">
        <v>312</v>
      </c>
      <c r="KS90" s="16">
        <v>0</v>
      </c>
      <c r="KT90" s="16">
        <v>14</v>
      </c>
      <c r="KU90" s="16">
        <v>41</v>
      </c>
      <c r="KV90" s="16">
        <v>633</v>
      </c>
      <c r="KW90" s="16">
        <v>69933</v>
      </c>
      <c r="KX90" s="16">
        <v>958</v>
      </c>
      <c r="KY90" s="16">
        <v>55727</v>
      </c>
      <c r="KZ90" s="16">
        <v>20287</v>
      </c>
      <c r="LA90" s="16">
        <v>40013</v>
      </c>
      <c r="LB90" s="16">
        <v>453</v>
      </c>
      <c r="LC90" s="16">
        <v>40830</v>
      </c>
      <c r="LD90" s="16">
        <v>883</v>
      </c>
      <c r="LE90" s="16">
        <v>40</v>
      </c>
      <c r="LF90" s="16">
        <v>0</v>
      </c>
      <c r="LG90" s="16">
        <v>7</v>
      </c>
      <c r="LH90" s="16">
        <v>65</v>
      </c>
      <c r="LI90" s="16">
        <v>3</v>
      </c>
      <c r="LJ90" s="16">
        <v>15</v>
      </c>
      <c r="LK90" s="16">
        <v>579</v>
      </c>
      <c r="LL90" s="16">
        <v>97</v>
      </c>
      <c r="LM90" s="16">
        <v>607</v>
      </c>
      <c r="LN90" s="16">
        <v>4030</v>
      </c>
      <c r="LO90" s="16">
        <v>376</v>
      </c>
      <c r="LP90" s="16">
        <v>7684</v>
      </c>
      <c r="LQ90" s="16">
        <v>936</v>
      </c>
      <c r="LR90" s="16">
        <v>132</v>
      </c>
      <c r="LS90" s="16">
        <v>7</v>
      </c>
      <c r="LT90" s="16">
        <v>508</v>
      </c>
      <c r="LU90" s="16">
        <v>15</v>
      </c>
      <c r="LV90" s="16">
        <v>0</v>
      </c>
      <c r="LW90" s="16">
        <v>17</v>
      </c>
      <c r="LX90" s="16">
        <v>823</v>
      </c>
      <c r="LY90" s="16">
        <v>0</v>
      </c>
      <c r="LZ90" s="16">
        <v>507</v>
      </c>
      <c r="MA90" s="16">
        <v>1601</v>
      </c>
      <c r="MB90" s="16">
        <v>10103</v>
      </c>
      <c r="MC90" s="16">
        <v>351</v>
      </c>
      <c r="MD90" s="16">
        <v>1562</v>
      </c>
      <c r="ME90" s="16">
        <v>54</v>
      </c>
      <c r="MF90" s="16">
        <v>6254</v>
      </c>
      <c r="MG90" s="16">
        <v>1150</v>
      </c>
      <c r="MH90" s="16">
        <v>18798</v>
      </c>
      <c r="MI90" s="16">
        <v>7</v>
      </c>
      <c r="MJ90" s="16">
        <v>1402</v>
      </c>
      <c r="MK90" s="16">
        <v>5627</v>
      </c>
      <c r="ML90" s="16">
        <v>1592</v>
      </c>
      <c r="MM90" s="16">
        <v>30929</v>
      </c>
      <c r="MN90" s="16">
        <v>267</v>
      </c>
      <c r="MO90" s="16">
        <v>5008</v>
      </c>
      <c r="MP90" s="16">
        <v>96</v>
      </c>
      <c r="MQ90" s="16">
        <v>70946</v>
      </c>
      <c r="MR90" s="16">
        <v>76</v>
      </c>
      <c r="MS90" s="16">
        <v>276</v>
      </c>
      <c r="MT90" s="16">
        <v>3</v>
      </c>
      <c r="MU90" s="16">
        <v>2661</v>
      </c>
      <c r="MV90" s="16">
        <v>1587</v>
      </c>
      <c r="MW90" s="16">
        <v>7410</v>
      </c>
      <c r="MX90" s="16">
        <v>37</v>
      </c>
      <c r="MY90" s="16">
        <v>20</v>
      </c>
      <c r="MZ90" s="16">
        <v>836</v>
      </c>
      <c r="NA90" s="16">
        <v>12</v>
      </c>
      <c r="NB90" s="16">
        <v>12586</v>
      </c>
      <c r="NC90" s="16">
        <v>71</v>
      </c>
      <c r="ND90" s="16">
        <v>11</v>
      </c>
      <c r="NE90" s="16">
        <v>161</v>
      </c>
      <c r="NF90" s="16">
        <v>6510</v>
      </c>
      <c r="NG90" s="16">
        <v>4487</v>
      </c>
      <c r="NH90" s="16">
        <v>38</v>
      </c>
      <c r="NI90" s="16">
        <v>1378</v>
      </c>
      <c r="NJ90" s="16">
        <v>33090</v>
      </c>
      <c r="NK90" s="16">
        <v>671</v>
      </c>
      <c r="NL90" s="16">
        <v>2</v>
      </c>
      <c r="NM90" s="16">
        <v>32</v>
      </c>
      <c r="NN90" s="16">
        <v>6438</v>
      </c>
      <c r="NO90" s="16">
        <v>0</v>
      </c>
      <c r="NP90" s="16">
        <v>5</v>
      </c>
      <c r="NQ90" s="16">
        <v>50</v>
      </c>
      <c r="NR90" s="17">
        <v>8153007</v>
      </c>
    </row>
    <row r="91" spans="1:382" ht="13.5" customHeight="1" x14ac:dyDescent="0.2">
      <c r="A91" s="2" t="s">
        <v>189</v>
      </c>
      <c r="B91" s="16">
        <v>0</v>
      </c>
      <c r="C91" s="16">
        <v>0</v>
      </c>
      <c r="D91" s="16">
        <v>0</v>
      </c>
      <c r="E91" s="16">
        <v>0</v>
      </c>
      <c r="F91" s="16">
        <v>295</v>
      </c>
      <c r="G91" s="16">
        <v>1983</v>
      </c>
      <c r="H91" s="16">
        <v>0</v>
      </c>
      <c r="I91" s="16">
        <v>7</v>
      </c>
      <c r="J91" s="16">
        <v>0</v>
      </c>
      <c r="K91" s="16">
        <v>0</v>
      </c>
      <c r="L91" s="16">
        <v>547</v>
      </c>
      <c r="M91" s="16">
        <v>0</v>
      </c>
      <c r="N91" s="16">
        <v>0</v>
      </c>
      <c r="O91" s="16">
        <v>0</v>
      </c>
      <c r="P91" s="16">
        <v>0</v>
      </c>
      <c r="Q91" s="16">
        <v>5</v>
      </c>
      <c r="R91" s="16">
        <v>26606</v>
      </c>
      <c r="S91" s="16">
        <v>728</v>
      </c>
      <c r="T91" s="16">
        <v>119</v>
      </c>
      <c r="U91" s="16">
        <v>0</v>
      </c>
      <c r="V91" s="16">
        <v>0</v>
      </c>
      <c r="W91" s="16">
        <v>2</v>
      </c>
      <c r="X91" s="16">
        <v>185</v>
      </c>
      <c r="Y91" s="16">
        <v>1274</v>
      </c>
      <c r="Z91" s="16">
        <v>724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3</v>
      </c>
      <c r="AH91" s="16">
        <v>13</v>
      </c>
      <c r="AI91" s="16">
        <v>42</v>
      </c>
      <c r="AJ91" s="16">
        <v>10314</v>
      </c>
      <c r="AK91" s="16">
        <v>302</v>
      </c>
      <c r="AL91" s="16">
        <v>639</v>
      </c>
      <c r="AM91" s="16">
        <v>287506</v>
      </c>
      <c r="AN91" s="16">
        <v>5136</v>
      </c>
      <c r="AO91" s="16">
        <v>50977</v>
      </c>
      <c r="AP91" s="16">
        <v>19724</v>
      </c>
      <c r="AQ91" s="16">
        <v>15959</v>
      </c>
      <c r="AR91" s="16">
        <v>0</v>
      </c>
      <c r="AS91" s="16">
        <v>8098</v>
      </c>
      <c r="AT91" s="16">
        <v>4612</v>
      </c>
      <c r="AU91" s="16">
        <v>21514</v>
      </c>
      <c r="AV91" s="16">
        <v>51213</v>
      </c>
      <c r="AW91" s="16">
        <v>42972</v>
      </c>
      <c r="AX91" s="16">
        <v>1722</v>
      </c>
      <c r="AY91" s="16">
        <v>381</v>
      </c>
      <c r="AZ91" s="16">
        <v>71287</v>
      </c>
      <c r="BA91" s="16">
        <v>196278</v>
      </c>
      <c r="BB91" s="16">
        <v>158829</v>
      </c>
      <c r="BC91" s="16">
        <v>191779</v>
      </c>
      <c r="BD91" s="16">
        <v>162</v>
      </c>
      <c r="BE91" s="16">
        <v>12289</v>
      </c>
      <c r="BF91" s="16">
        <v>3495</v>
      </c>
      <c r="BG91" s="16">
        <v>17225</v>
      </c>
      <c r="BH91" s="16">
        <v>108789</v>
      </c>
      <c r="BI91" s="16">
        <v>80506</v>
      </c>
      <c r="BJ91" s="16">
        <v>351</v>
      </c>
      <c r="BK91" s="16">
        <v>2170</v>
      </c>
      <c r="BL91" s="16">
        <v>6037</v>
      </c>
      <c r="BM91" s="16">
        <v>3823</v>
      </c>
      <c r="BN91" s="16">
        <v>5753</v>
      </c>
      <c r="BO91" s="16">
        <v>2268</v>
      </c>
      <c r="BP91" s="16">
        <v>4526</v>
      </c>
      <c r="BQ91" s="16">
        <v>526</v>
      </c>
      <c r="BR91" s="16">
        <v>62</v>
      </c>
      <c r="BS91" s="16">
        <v>43026</v>
      </c>
      <c r="BT91" s="16">
        <v>19217</v>
      </c>
      <c r="BU91" s="16">
        <v>19</v>
      </c>
      <c r="BV91" s="16">
        <v>0</v>
      </c>
      <c r="BW91" s="16">
        <v>13099</v>
      </c>
      <c r="BX91" s="16">
        <v>12</v>
      </c>
      <c r="BY91" s="16">
        <v>0</v>
      </c>
      <c r="BZ91" s="16">
        <v>15589</v>
      </c>
      <c r="CA91" s="16">
        <v>10530</v>
      </c>
      <c r="CB91" s="16">
        <v>0</v>
      </c>
      <c r="CC91" s="16">
        <v>1256</v>
      </c>
      <c r="CD91" s="16">
        <v>794</v>
      </c>
      <c r="CE91" s="16">
        <v>188</v>
      </c>
      <c r="CF91" s="16">
        <v>374</v>
      </c>
      <c r="CG91" s="16">
        <v>1</v>
      </c>
      <c r="CH91" s="16">
        <v>12201</v>
      </c>
      <c r="CI91" s="16">
        <v>0</v>
      </c>
      <c r="CJ91" s="16">
        <v>3448</v>
      </c>
      <c r="CK91" s="16">
        <v>7392</v>
      </c>
      <c r="CL91" s="16">
        <v>1967</v>
      </c>
      <c r="CM91" s="16">
        <v>19796</v>
      </c>
      <c r="CN91" s="16">
        <v>3895</v>
      </c>
      <c r="CO91" s="16">
        <v>2266</v>
      </c>
      <c r="CP91" s="16">
        <v>4210</v>
      </c>
      <c r="CQ91" s="16">
        <v>9299</v>
      </c>
      <c r="CR91" s="16">
        <v>0</v>
      </c>
      <c r="CS91" s="16">
        <v>1</v>
      </c>
      <c r="CT91" s="16">
        <v>1</v>
      </c>
      <c r="CU91" s="16">
        <v>2</v>
      </c>
      <c r="CV91" s="16">
        <v>4</v>
      </c>
      <c r="CW91" s="16">
        <v>5</v>
      </c>
      <c r="CX91" s="16">
        <v>33</v>
      </c>
      <c r="CY91" s="16">
        <v>1</v>
      </c>
      <c r="CZ91" s="16">
        <v>335</v>
      </c>
      <c r="DA91" s="16">
        <v>10</v>
      </c>
      <c r="DB91" s="16">
        <v>1548</v>
      </c>
      <c r="DC91" s="16">
        <v>14</v>
      </c>
      <c r="DD91" s="16">
        <v>204</v>
      </c>
      <c r="DE91" s="16">
        <v>158</v>
      </c>
      <c r="DF91" s="16">
        <v>2276</v>
      </c>
      <c r="DG91" s="16">
        <v>189</v>
      </c>
      <c r="DH91" s="16">
        <v>294</v>
      </c>
      <c r="DI91" s="16">
        <v>1179</v>
      </c>
      <c r="DJ91" s="16">
        <v>26809</v>
      </c>
      <c r="DK91" s="16">
        <v>891</v>
      </c>
      <c r="DL91" s="16">
        <v>1777</v>
      </c>
      <c r="DM91" s="16">
        <v>54044</v>
      </c>
      <c r="DN91" s="16">
        <v>725</v>
      </c>
      <c r="DO91" s="16">
        <v>4236</v>
      </c>
      <c r="DP91" s="16">
        <v>2815</v>
      </c>
      <c r="DQ91" s="16">
        <v>1539</v>
      </c>
      <c r="DR91" s="16">
        <v>23678</v>
      </c>
      <c r="DS91" s="16">
        <v>116533</v>
      </c>
      <c r="DT91" s="16">
        <v>1569</v>
      </c>
      <c r="DU91" s="16">
        <v>3236</v>
      </c>
      <c r="DV91" s="16">
        <v>3903</v>
      </c>
      <c r="DW91" s="16">
        <v>22390</v>
      </c>
      <c r="DX91" s="16">
        <v>10273</v>
      </c>
      <c r="DY91" s="16">
        <v>16269</v>
      </c>
      <c r="DZ91" s="16">
        <v>22538</v>
      </c>
      <c r="EA91" s="16">
        <v>21053</v>
      </c>
      <c r="EB91" s="16">
        <v>89</v>
      </c>
      <c r="EC91" s="16">
        <v>2132</v>
      </c>
      <c r="ED91" s="16">
        <v>6527</v>
      </c>
      <c r="EE91" s="16">
        <v>16</v>
      </c>
      <c r="EF91" s="16">
        <v>172</v>
      </c>
      <c r="EG91" s="16">
        <v>4749</v>
      </c>
      <c r="EH91" s="16">
        <v>1681</v>
      </c>
      <c r="EI91" s="16">
        <v>2879</v>
      </c>
      <c r="EJ91" s="16">
        <v>3445</v>
      </c>
      <c r="EK91" s="16">
        <v>202</v>
      </c>
      <c r="EL91" s="16">
        <v>196</v>
      </c>
      <c r="EM91" s="16">
        <v>12472</v>
      </c>
      <c r="EN91" s="16">
        <v>13</v>
      </c>
      <c r="EO91" s="16">
        <v>16</v>
      </c>
      <c r="EP91" s="16">
        <v>4334</v>
      </c>
      <c r="EQ91" s="16">
        <v>485</v>
      </c>
      <c r="ER91" s="16">
        <v>567</v>
      </c>
      <c r="ES91" s="16">
        <v>345</v>
      </c>
      <c r="ET91" s="16">
        <v>12677</v>
      </c>
      <c r="EU91" s="16">
        <v>0</v>
      </c>
      <c r="EV91" s="16">
        <v>212</v>
      </c>
      <c r="EW91" s="16">
        <v>5</v>
      </c>
      <c r="EX91" s="16">
        <v>42</v>
      </c>
      <c r="EY91" s="16">
        <v>3</v>
      </c>
      <c r="EZ91" s="16">
        <v>3</v>
      </c>
      <c r="FA91" s="16">
        <v>23</v>
      </c>
      <c r="FB91" s="16">
        <v>135</v>
      </c>
      <c r="FC91" s="16">
        <v>135</v>
      </c>
      <c r="FD91" s="16">
        <v>3553</v>
      </c>
      <c r="FE91" s="16">
        <v>369</v>
      </c>
      <c r="FF91" s="16">
        <v>285</v>
      </c>
      <c r="FG91" s="16">
        <v>1</v>
      </c>
      <c r="FH91" s="16">
        <v>0</v>
      </c>
      <c r="FI91" s="16">
        <v>36</v>
      </c>
      <c r="FJ91" s="16">
        <v>0</v>
      </c>
      <c r="FK91" s="16">
        <v>79</v>
      </c>
      <c r="FL91" s="16">
        <v>0</v>
      </c>
      <c r="FM91" s="16">
        <v>549</v>
      </c>
      <c r="FN91" s="16">
        <v>4327</v>
      </c>
      <c r="FO91" s="16">
        <v>1798</v>
      </c>
      <c r="FP91" s="16">
        <v>1670</v>
      </c>
      <c r="FQ91" s="16">
        <v>1759</v>
      </c>
      <c r="FR91" s="16">
        <v>1785</v>
      </c>
      <c r="FS91" s="16">
        <v>4</v>
      </c>
      <c r="FT91" s="16">
        <v>385</v>
      </c>
      <c r="FU91" s="16">
        <v>3304</v>
      </c>
      <c r="FV91" s="16">
        <v>36935</v>
      </c>
      <c r="FW91" s="16">
        <v>4805</v>
      </c>
      <c r="FX91" s="16">
        <v>32663</v>
      </c>
      <c r="FY91" s="16">
        <v>5075</v>
      </c>
      <c r="FZ91" s="16">
        <v>14984</v>
      </c>
      <c r="GA91" s="16">
        <v>4177</v>
      </c>
      <c r="GB91" s="16">
        <v>14276</v>
      </c>
      <c r="GC91" s="16">
        <v>2738</v>
      </c>
      <c r="GD91" s="16">
        <v>4347</v>
      </c>
      <c r="GE91" s="16">
        <v>55</v>
      </c>
      <c r="GF91" s="16">
        <v>671</v>
      </c>
      <c r="GG91" s="16">
        <v>73</v>
      </c>
      <c r="GH91" s="16">
        <v>247</v>
      </c>
      <c r="GI91" s="16">
        <v>1498</v>
      </c>
      <c r="GJ91" s="16">
        <v>4983</v>
      </c>
      <c r="GK91" s="16">
        <v>1206</v>
      </c>
      <c r="GL91" s="16">
        <v>31</v>
      </c>
      <c r="GM91" s="16">
        <v>28</v>
      </c>
      <c r="GN91" s="16">
        <v>109</v>
      </c>
      <c r="GO91" s="16">
        <v>1084</v>
      </c>
      <c r="GP91" s="16">
        <v>3416</v>
      </c>
      <c r="GQ91" s="16">
        <v>5350</v>
      </c>
      <c r="GR91" s="16">
        <v>402</v>
      </c>
      <c r="GS91" s="16">
        <v>106</v>
      </c>
      <c r="GT91" s="16">
        <v>163</v>
      </c>
      <c r="GU91" s="16">
        <v>2629</v>
      </c>
      <c r="GV91" s="16">
        <v>4229</v>
      </c>
      <c r="GW91" s="16">
        <v>3564</v>
      </c>
      <c r="GX91" s="16">
        <v>992</v>
      </c>
      <c r="GY91" s="16">
        <v>77</v>
      </c>
      <c r="GZ91" s="16">
        <v>688</v>
      </c>
      <c r="HA91" s="16">
        <v>163</v>
      </c>
      <c r="HB91" s="16">
        <v>1272</v>
      </c>
      <c r="HC91" s="16">
        <v>2836</v>
      </c>
      <c r="HD91" s="16">
        <v>3898</v>
      </c>
      <c r="HE91" s="16">
        <v>3636</v>
      </c>
      <c r="HF91" s="16">
        <v>2181</v>
      </c>
      <c r="HG91" s="16">
        <v>857</v>
      </c>
      <c r="HH91" s="16">
        <v>2412</v>
      </c>
      <c r="HI91" s="16">
        <v>3630</v>
      </c>
      <c r="HJ91" s="16">
        <v>4920</v>
      </c>
      <c r="HK91" s="16">
        <v>5935</v>
      </c>
      <c r="HL91" s="16">
        <v>5039</v>
      </c>
      <c r="HM91" s="16">
        <v>1</v>
      </c>
      <c r="HN91" s="16">
        <v>5092</v>
      </c>
      <c r="HO91" s="16">
        <v>372</v>
      </c>
      <c r="HP91" s="16">
        <v>1399</v>
      </c>
      <c r="HQ91" s="16">
        <v>23</v>
      </c>
      <c r="HR91" s="16">
        <v>796</v>
      </c>
      <c r="HS91" s="16">
        <v>836</v>
      </c>
      <c r="HT91" s="16">
        <v>315</v>
      </c>
      <c r="HU91" s="16">
        <v>282</v>
      </c>
      <c r="HV91" s="16">
        <v>638</v>
      </c>
      <c r="HW91" s="16">
        <v>71</v>
      </c>
      <c r="HX91" s="16">
        <v>1052</v>
      </c>
      <c r="HY91" s="16">
        <v>685</v>
      </c>
      <c r="HZ91" s="16">
        <v>1556</v>
      </c>
      <c r="IA91" s="16">
        <v>739</v>
      </c>
      <c r="IB91" s="16">
        <v>0</v>
      </c>
      <c r="IC91" s="16">
        <v>125</v>
      </c>
      <c r="ID91" s="16">
        <v>83</v>
      </c>
      <c r="IE91" s="16">
        <v>8</v>
      </c>
      <c r="IF91" s="16">
        <v>92</v>
      </c>
      <c r="IG91" s="16">
        <v>618</v>
      </c>
      <c r="IH91" s="16">
        <v>1</v>
      </c>
      <c r="II91" s="16">
        <v>0</v>
      </c>
      <c r="IJ91" s="16">
        <v>0</v>
      </c>
      <c r="IK91" s="16">
        <v>0</v>
      </c>
      <c r="IL91" s="16">
        <v>0</v>
      </c>
      <c r="IM91" s="16">
        <v>0</v>
      </c>
      <c r="IN91" s="16">
        <v>87</v>
      </c>
      <c r="IO91" s="16">
        <v>4221</v>
      </c>
      <c r="IP91" s="16">
        <v>3</v>
      </c>
      <c r="IQ91" s="16">
        <v>1</v>
      </c>
      <c r="IR91" s="16">
        <v>0</v>
      </c>
      <c r="IS91" s="16">
        <v>1</v>
      </c>
      <c r="IT91" s="16">
        <v>0</v>
      </c>
      <c r="IU91" s="16">
        <v>1</v>
      </c>
      <c r="IV91" s="16">
        <v>704</v>
      </c>
      <c r="IW91" s="16">
        <v>3792</v>
      </c>
      <c r="IX91" s="16">
        <v>2951</v>
      </c>
      <c r="IY91" s="16">
        <v>44</v>
      </c>
      <c r="IZ91" s="16">
        <v>87</v>
      </c>
      <c r="JA91" s="16">
        <v>4213</v>
      </c>
      <c r="JB91" s="16">
        <v>89</v>
      </c>
      <c r="JC91" s="16">
        <v>8086</v>
      </c>
      <c r="JD91" s="16">
        <v>136</v>
      </c>
      <c r="JE91" s="16">
        <v>6914</v>
      </c>
      <c r="JF91" s="16">
        <v>9760</v>
      </c>
      <c r="JG91" s="16">
        <v>10607</v>
      </c>
      <c r="JH91" s="16">
        <v>1</v>
      </c>
      <c r="JI91" s="16">
        <v>3</v>
      </c>
      <c r="JJ91" s="16">
        <v>0</v>
      </c>
      <c r="JK91" s="16">
        <v>1</v>
      </c>
      <c r="JL91" s="16">
        <v>0</v>
      </c>
      <c r="JM91" s="16">
        <v>0</v>
      </c>
      <c r="JN91" s="16">
        <v>0</v>
      </c>
      <c r="JO91" s="16">
        <v>0</v>
      </c>
      <c r="JP91" s="16">
        <v>15</v>
      </c>
      <c r="JQ91" s="16">
        <v>1</v>
      </c>
      <c r="JR91" s="16">
        <v>0</v>
      </c>
      <c r="JS91" s="16">
        <v>0</v>
      </c>
      <c r="JT91" s="16">
        <v>0</v>
      </c>
      <c r="JU91" s="16">
        <v>14</v>
      </c>
      <c r="JV91" s="16">
        <v>3520</v>
      </c>
      <c r="JW91" s="16">
        <v>7</v>
      </c>
      <c r="JX91" s="16">
        <v>78</v>
      </c>
      <c r="JY91" s="16">
        <v>48</v>
      </c>
      <c r="JZ91" s="16">
        <v>1</v>
      </c>
      <c r="KA91" s="16">
        <v>18</v>
      </c>
      <c r="KB91" s="16">
        <v>2</v>
      </c>
      <c r="KC91" s="16">
        <v>1</v>
      </c>
      <c r="KD91" s="16">
        <v>0</v>
      </c>
      <c r="KE91" s="16">
        <v>0</v>
      </c>
      <c r="KF91" s="16">
        <v>39</v>
      </c>
      <c r="KG91" s="16">
        <v>34</v>
      </c>
      <c r="KH91" s="16">
        <v>3</v>
      </c>
      <c r="KI91" s="16">
        <v>2</v>
      </c>
      <c r="KJ91" s="16">
        <v>0</v>
      </c>
      <c r="KK91" s="16">
        <v>859358</v>
      </c>
      <c r="KL91" s="16">
        <v>1</v>
      </c>
      <c r="KM91" s="16">
        <v>0</v>
      </c>
      <c r="KN91" s="16">
        <v>83</v>
      </c>
      <c r="KO91" s="16">
        <v>786</v>
      </c>
      <c r="KP91" s="16">
        <v>0</v>
      </c>
      <c r="KQ91" s="16">
        <v>2</v>
      </c>
      <c r="KR91" s="16">
        <v>4</v>
      </c>
      <c r="KS91" s="16">
        <v>0</v>
      </c>
      <c r="KT91" s="16">
        <v>3</v>
      </c>
      <c r="KU91" s="16">
        <v>9</v>
      </c>
      <c r="KV91" s="16">
        <v>750</v>
      </c>
      <c r="KW91" s="16">
        <v>15928</v>
      </c>
      <c r="KX91" s="16">
        <v>143</v>
      </c>
      <c r="KY91" s="16">
        <v>9560</v>
      </c>
      <c r="KZ91" s="16">
        <v>101749</v>
      </c>
      <c r="LA91" s="16">
        <v>202296</v>
      </c>
      <c r="LB91" s="16">
        <v>865</v>
      </c>
      <c r="LC91" s="16">
        <v>72557</v>
      </c>
      <c r="LD91" s="16">
        <v>210</v>
      </c>
      <c r="LE91" s="16">
        <v>8</v>
      </c>
      <c r="LF91" s="16">
        <v>0</v>
      </c>
      <c r="LG91" s="16">
        <v>1</v>
      </c>
      <c r="LH91" s="16">
        <v>14</v>
      </c>
      <c r="LI91" s="16">
        <v>1</v>
      </c>
      <c r="LJ91" s="16">
        <v>3</v>
      </c>
      <c r="LK91" s="16">
        <v>19</v>
      </c>
      <c r="LL91" s="16">
        <v>12970</v>
      </c>
      <c r="LM91" s="16">
        <v>33082</v>
      </c>
      <c r="LN91" s="16">
        <v>1294</v>
      </c>
      <c r="LO91" s="16">
        <v>430</v>
      </c>
      <c r="LP91" s="16">
        <v>5227</v>
      </c>
      <c r="LQ91" s="16">
        <v>5</v>
      </c>
      <c r="LR91" s="16">
        <v>520</v>
      </c>
      <c r="LS91" s="16">
        <v>20</v>
      </c>
      <c r="LT91" s="16">
        <v>571</v>
      </c>
      <c r="LU91" s="16">
        <v>3</v>
      </c>
      <c r="LV91" s="16">
        <v>0</v>
      </c>
      <c r="LW91" s="16">
        <v>12</v>
      </c>
      <c r="LX91" s="16">
        <v>37</v>
      </c>
      <c r="LY91" s="16">
        <v>0</v>
      </c>
      <c r="LZ91" s="16">
        <v>196</v>
      </c>
      <c r="MA91" s="16">
        <v>548</v>
      </c>
      <c r="MB91" s="16">
        <v>2967</v>
      </c>
      <c r="MC91" s="16">
        <v>1017</v>
      </c>
      <c r="MD91" s="16">
        <v>10</v>
      </c>
      <c r="ME91" s="16">
        <v>9</v>
      </c>
      <c r="MF91" s="16">
        <v>3326</v>
      </c>
      <c r="MG91" s="16">
        <v>142</v>
      </c>
      <c r="MH91" s="16">
        <v>567005</v>
      </c>
      <c r="MI91" s="16">
        <v>11</v>
      </c>
      <c r="MJ91" s="16">
        <v>210</v>
      </c>
      <c r="MK91" s="16">
        <v>146</v>
      </c>
      <c r="ML91" s="16">
        <v>465</v>
      </c>
      <c r="MM91" s="16">
        <v>15918</v>
      </c>
      <c r="MN91" s="16">
        <v>91</v>
      </c>
      <c r="MO91" s="16">
        <v>3373</v>
      </c>
      <c r="MP91" s="16">
        <v>16349</v>
      </c>
      <c r="MQ91" s="16">
        <v>29288</v>
      </c>
      <c r="MR91" s="16">
        <v>5094</v>
      </c>
      <c r="MS91" s="16">
        <v>6343</v>
      </c>
      <c r="MT91" s="16">
        <v>26</v>
      </c>
      <c r="MU91" s="16">
        <v>13308</v>
      </c>
      <c r="MV91" s="16">
        <v>2845</v>
      </c>
      <c r="MW91" s="16">
        <v>2478</v>
      </c>
      <c r="MX91" s="16">
        <v>580</v>
      </c>
      <c r="MY91" s="16">
        <v>31</v>
      </c>
      <c r="MZ91" s="16">
        <v>2583</v>
      </c>
      <c r="NA91" s="16">
        <v>882</v>
      </c>
      <c r="NB91" s="16">
        <v>293</v>
      </c>
      <c r="NC91" s="16">
        <v>1471</v>
      </c>
      <c r="ND91" s="16">
        <v>1</v>
      </c>
      <c r="NE91" s="16">
        <v>7</v>
      </c>
      <c r="NF91" s="16">
        <v>6978</v>
      </c>
      <c r="NG91" s="16">
        <v>61</v>
      </c>
      <c r="NH91" s="16">
        <v>3</v>
      </c>
      <c r="NI91" s="16">
        <v>88</v>
      </c>
      <c r="NJ91" s="16">
        <v>338</v>
      </c>
      <c r="NK91" s="16">
        <v>59</v>
      </c>
      <c r="NL91" s="16">
        <v>5</v>
      </c>
      <c r="NM91" s="16">
        <v>780</v>
      </c>
      <c r="NN91" s="16">
        <v>68</v>
      </c>
      <c r="NO91" s="16">
        <v>0</v>
      </c>
      <c r="NP91" s="16">
        <v>113</v>
      </c>
      <c r="NQ91" s="16">
        <v>284</v>
      </c>
      <c r="NR91" s="17">
        <v>4265287</v>
      </c>
    </row>
    <row r="92" spans="1:382" ht="13.5" customHeight="1" x14ac:dyDescent="0.2">
      <c r="A92" s="2" t="s">
        <v>191</v>
      </c>
      <c r="B92" s="16">
        <v>8</v>
      </c>
      <c r="C92" s="16">
        <v>0</v>
      </c>
      <c r="D92" s="16">
        <v>6</v>
      </c>
      <c r="E92" s="16">
        <v>5</v>
      </c>
      <c r="F92" s="16">
        <v>26</v>
      </c>
      <c r="G92" s="16">
        <v>3</v>
      </c>
      <c r="H92" s="16">
        <v>1</v>
      </c>
      <c r="I92" s="16">
        <v>2</v>
      </c>
      <c r="J92" s="16">
        <v>0</v>
      </c>
      <c r="K92" s="16">
        <v>0</v>
      </c>
      <c r="L92" s="16">
        <v>118</v>
      </c>
      <c r="M92" s="16">
        <v>4</v>
      </c>
      <c r="N92" s="16">
        <v>0</v>
      </c>
      <c r="O92" s="16">
        <v>1</v>
      </c>
      <c r="P92" s="16">
        <v>126</v>
      </c>
      <c r="Q92" s="16">
        <v>671</v>
      </c>
      <c r="R92" s="16">
        <v>152</v>
      </c>
      <c r="S92" s="16">
        <v>8</v>
      </c>
      <c r="T92" s="16">
        <v>10</v>
      </c>
      <c r="U92" s="16">
        <v>96</v>
      </c>
      <c r="V92" s="16">
        <v>27</v>
      </c>
      <c r="W92" s="16">
        <v>2</v>
      </c>
      <c r="X92" s="16">
        <v>31</v>
      </c>
      <c r="Y92" s="16">
        <v>591</v>
      </c>
      <c r="Z92" s="16">
        <v>319</v>
      </c>
      <c r="AA92" s="16">
        <v>4</v>
      </c>
      <c r="AB92" s="16">
        <v>0</v>
      </c>
      <c r="AC92" s="16">
        <v>0</v>
      </c>
      <c r="AD92" s="16">
        <v>0</v>
      </c>
      <c r="AE92" s="16">
        <v>1</v>
      </c>
      <c r="AF92" s="16">
        <v>0</v>
      </c>
      <c r="AG92" s="16">
        <v>383</v>
      </c>
      <c r="AH92" s="16">
        <v>126</v>
      </c>
      <c r="AI92" s="16">
        <v>125</v>
      </c>
      <c r="AJ92" s="16">
        <v>1055</v>
      </c>
      <c r="AK92" s="16">
        <v>1118</v>
      </c>
      <c r="AL92" s="16">
        <v>42</v>
      </c>
      <c r="AM92" s="16">
        <v>217</v>
      </c>
      <c r="AN92" s="16">
        <v>184</v>
      </c>
      <c r="AO92" s="16">
        <v>2100</v>
      </c>
      <c r="AP92" s="16">
        <v>5</v>
      </c>
      <c r="AQ92" s="16">
        <v>120</v>
      </c>
      <c r="AR92" s="16">
        <v>0</v>
      </c>
      <c r="AS92" s="16">
        <v>14</v>
      </c>
      <c r="AT92" s="16">
        <v>65</v>
      </c>
      <c r="AU92" s="16">
        <v>129</v>
      </c>
      <c r="AV92" s="16">
        <v>30</v>
      </c>
      <c r="AW92" s="16">
        <v>789</v>
      </c>
      <c r="AX92" s="16">
        <v>17</v>
      </c>
      <c r="AY92" s="16">
        <v>364</v>
      </c>
      <c r="AZ92" s="16">
        <v>842</v>
      </c>
      <c r="BA92" s="16">
        <v>826</v>
      </c>
      <c r="BB92" s="16">
        <v>183</v>
      </c>
      <c r="BC92" s="16">
        <v>388</v>
      </c>
      <c r="BD92" s="16">
        <v>7</v>
      </c>
      <c r="BE92" s="16">
        <v>48</v>
      </c>
      <c r="BF92" s="16">
        <v>153</v>
      </c>
      <c r="BG92" s="16">
        <v>64</v>
      </c>
      <c r="BH92" s="16">
        <v>343</v>
      </c>
      <c r="BI92" s="16">
        <v>39</v>
      </c>
      <c r="BJ92" s="16">
        <v>14</v>
      </c>
      <c r="BK92" s="16">
        <v>67</v>
      </c>
      <c r="BL92" s="16">
        <v>211</v>
      </c>
      <c r="BM92" s="16">
        <v>399</v>
      </c>
      <c r="BN92" s="16">
        <v>358</v>
      </c>
      <c r="BO92" s="16">
        <v>477</v>
      </c>
      <c r="BP92" s="16">
        <v>263</v>
      </c>
      <c r="BQ92" s="16">
        <v>54</v>
      </c>
      <c r="BR92" s="16">
        <v>3</v>
      </c>
      <c r="BS92" s="16">
        <v>13541</v>
      </c>
      <c r="BT92" s="16">
        <v>5</v>
      </c>
      <c r="BU92" s="16">
        <v>5</v>
      </c>
      <c r="BV92" s="16">
        <v>2</v>
      </c>
      <c r="BW92" s="16">
        <v>164</v>
      </c>
      <c r="BX92" s="16">
        <v>10</v>
      </c>
      <c r="BY92" s="16">
        <v>0</v>
      </c>
      <c r="BZ92" s="16">
        <v>1898</v>
      </c>
      <c r="CA92" s="16">
        <v>476</v>
      </c>
      <c r="CB92" s="16">
        <v>49</v>
      </c>
      <c r="CC92" s="16">
        <v>2896</v>
      </c>
      <c r="CD92" s="16">
        <v>273</v>
      </c>
      <c r="CE92" s="16">
        <v>74</v>
      </c>
      <c r="CF92" s="16">
        <v>294</v>
      </c>
      <c r="CG92" s="16">
        <v>176</v>
      </c>
      <c r="CH92" s="16">
        <v>682</v>
      </c>
      <c r="CI92" s="16">
        <v>61</v>
      </c>
      <c r="CJ92" s="16">
        <v>148</v>
      </c>
      <c r="CK92" s="16">
        <v>1119</v>
      </c>
      <c r="CL92" s="16">
        <v>545</v>
      </c>
      <c r="CM92" s="16">
        <v>322</v>
      </c>
      <c r="CN92" s="16">
        <v>61</v>
      </c>
      <c r="CO92" s="16">
        <v>282</v>
      </c>
      <c r="CP92" s="16">
        <v>578</v>
      </c>
      <c r="CQ92" s="16">
        <v>162999</v>
      </c>
      <c r="CR92" s="16">
        <v>421</v>
      </c>
      <c r="CS92" s="16">
        <v>214</v>
      </c>
      <c r="CT92" s="16">
        <v>206</v>
      </c>
      <c r="CU92" s="16">
        <v>468</v>
      </c>
      <c r="CV92" s="16">
        <v>350</v>
      </c>
      <c r="CW92" s="16">
        <v>1362</v>
      </c>
      <c r="CX92" s="16">
        <v>2539</v>
      </c>
      <c r="CY92" s="16">
        <v>86</v>
      </c>
      <c r="CZ92" s="16">
        <v>254</v>
      </c>
      <c r="DA92" s="16">
        <v>7</v>
      </c>
      <c r="DB92" s="16">
        <v>164</v>
      </c>
      <c r="DC92" s="16">
        <v>15</v>
      </c>
      <c r="DD92" s="16">
        <v>82</v>
      </c>
      <c r="DE92" s="16">
        <v>85</v>
      </c>
      <c r="DF92" s="16">
        <v>520</v>
      </c>
      <c r="DG92" s="16">
        <v>179</v>
      </c>
      <c r="DH92" s="16">
        <v>261</v>
      </c>
      <c r="DI92" s="16">
        <v>98</v>
      </c>
      <c r="DJ92" s="16">
        <v>2428</v>
      </c>
      <c r="DK92" s="16">
        <v>254</v>
      </c>
      <c r="DL92" s="16">
        <v>147</v>
      </c>
      <c r="DM92" s="16">
        <v>625</v>
      </c>
      <c r="DN92" s="16">
        <v>86</v>
      </c>
      <c r="DO92" s="16">
        <v>80</v>
      </c>
      <c r="DP92" s="16">
        <v>374</v>
      </c>
      <c r="DQ92" s="16">
        <v>164</v>
      </c>
      <c r="DR92" s="16">
        <v>110</v>
      </c>
      <c r="DS92" s="16">
        <v>964</v>
      </c>
      <c r="DT92" s="16">
        <v>96</v>
      </c>
      <c r="DU92" s="16">
        <v>365</v>
      </c>
      <c r="DV92" s="16">
        <v>115</v>
      </c>
      <c r="DW92" s="16">
        <v>1003</v>
      </c>
      <c r="DX92" s="16">
        <v>883</v>
      </c>
      <c r="DY92" s="16">
        <v>1560</v>
      </c>
      <c r="DZ92" s="16">
        <v>3603</v>
      </c>
      <c r="EA92" s="16">
        <v>3568</v>
      </c>
      <c r="EB92" s="16">
        <v>40</v>
      </c>
      <c r="EC92" s="16">
        <v>382</v>
      </c>
      <c r="ED92" s="16">
        <v>78</v>
      </c>
      <c r="EE92" s="16">
        <v>1</v>
      </c>
      <c r="EF92" s="16">
        <v>7</v>
      </c>
      <c r="EG92" s="16">
        <v>390</v>
      </c>
      <c r="EH92" s="16">
        <v>40</v>
      </c>
      <c r="EI92" s="16">
        <v>52</v>
      </c>
      <c r="EJ92" s="16">
        <v>56</v>
      </c>
      <c r="EK92" s="16">
        <v>32</v>
      </c>
      <c r="EL92" s="16">
        <v>33</v>
      </c>
      <c r="EM92" s="16">
        <v>27</v>
      </c>
      <c r="EN92" s="16">
        <v>551</v>
      </c>
      <c r="EO92" s="16">
        <v>366</v>
      </c>
      <c r="EP92" s="16">
        <v>83</v>
      </c>
      <c r="EQ92" s="16">
        <v>183</v>
      </c>
      <c r="ER92" s="16">
        <v>75</v>
      </c>
      <c r="ES92" s="16">
        <v>93</v>
      </c>
      <c r="ET92" s="16">
        <v>404</v>
      </c>
      <c r="EU92" s="16">
        <v>0</v>
      </c>
      <c r="EV92" s="16">
        <v>2</v>
      </c>
      <c r="EW92" s="16">
        <v>18</v>
      </c>
      <c r="EX92" s="16">
        <v>3408</v>
      </c>
      <c r="EY92" s="16">
        <v>669</v>
      </c>
      <c r="EZ92" s="16">
        <v>35</v>
      </c>
      <c r="FA92" s="16">
        <v>31</v>
      </c>
      <c r="FB92" s="16">
        <v>179</v>
      </c>
      <c r="FC92" s="16">
        <v>3</v>
      </c>
      <c r="FD92" s="16">
        <v>653</v>
      </c>
      <c r="FE92" s="16">
        <v>263</v>
      </c>
      <c r="FF92" s="16">
        <v>170</v>
      </c>
      <c r="FG92" s="16">
        <v>408</v>
      </c>
      <c r="FH92" s="16">
        <v>3</v>
      </c>
      <c r="FI92" s="16">
        <v>91</v>
      </c>
      <c r="FJ92" s="16">
        <v>67</v>
      </c>
      <c r="FK92" s="16">
        <v>1083</v>
      </c>
      <c r="FL92" s="16">
        <v>23</v>
      </c>
      <c r="FM92" s="16">
        <v>278</v>
      </c>
      <c r="FN92" s="16">
        <v>1020</v>
      </c>
      <c r="FO92" s="16">
        <v>384</v>
      </c>
      <c r="FP92" s="16">
        <v>858</v>
      </c>
      <c r="FQ92" s="16">
        <v>1913</v>
      </c>
      <c r="FR92" s="16">
        <v>952</v>
      </c>
      <c r="FS92" s="16">
        <v>460</v>
      </c>
      <c r="FT92" s="16">
        <v>246</v>
      </c>
      <c r="FU92" s="16">
        <v>1288</v>
      </c>
      <c r="FV92" s="16">
        <v>899</v>
      </c>
      <c r="FW92" s="16">
        <v>1125</v>
      </c>
      <c r="FX92" s="16">
        <v>2077</v>
      </c>
      <c r="FY92" s="16">
        <v>166</v>
      </c>
      <c r="FZ92" s="16">
        <v>1432</v>
      </c>
      <c r="GA92" s="16">
        <v>979</v>
      </c>
      <c r="GB92" s="16">
        <v>4157</v>
      </c>
      <c r="GC92" s="16">
        <v>577</v>
      </c>
      <c r="GD92" s="16">
        <v>951</v>
      </c>
      <c r="GE92" s="16">
        <v>24</v>
      </c>
      <c r="GF92" s="16">
        <v>171</v>
      </c>
      <c r="GG92" s="16">
        <v>116</v>
      </c>
      <c r="GH92" s="16">
        <v>334</v>
      </c>
      <c r="GI92" s="16">
        <v>40</v>
      </c>
      <c r="GJ92" s="16">
        <v>466</v>
      </c>
      <c r="GK92" s="16">
        <v>39</v>
      </c>
      <c r="GL92" s="16">
        <v>3</v>
      </c>
      <c r="GM92" s="16">
        <v>2</v>
      </c>
      <c r="GN92" s="16">
        <v>10</v>
      </c>
      <c r="GO92" s="16">
        <v>526</v>
      </c>
      <c r="GP92" s="16">
        <v>326</v>
      </c>
      <c r="GQ92" s="16">
        <v>1481</v>
      </c>
      <c r="GR92" s="16">
        <v>49</v>
      </c>
      <c r="GS92" s="16">
        <v>6</v>
      </c>
      <c r="GT92" s="16">
        <v>8</v>
      </c>
      <c r="GU92" s="16">
        <v>517</v>
      </c>
      <c r="GV92" s="16">
        <v>363</v>
      </c>
      <c r="GW92" s="16">
        <v>315</v>
      </c>
      <c r="GX92" s="16">
        <v>97</v>
      </c>
      <c r="GY92" s="16">
        <v>2</v>
      </c>
      <c r="GZ92" s="16">
        <v>230</v>
      </c>
      <c r="HA92" s="16">
        <v>43</v>
      </c>
      <c r="HB92" s="16">
        <v>65</v>
      </c>
      <c r="HC92" s="16">
        <v>332</v>
      </c>
      <c r="HD92" s="16">
        <v>544</v>
      </c>
      <c r="HE92" s="16">
        <v>339</v>
      </c>
      <c r="HF92" s="16">
        <v>1296</v>
      </c>
      <c r="HG92" s="16">
        <v>63</v>
      </c>
      <c r="HH92" s="16">
        <v>47</v>
      </c>
      <c r="HI92" s="16">
        <v>227</v>
      </c>
      <c r="HJ92" s="16">
        <v>69</v>
      </c>
      <c r="HK92" s="16">
        <v>160</v>
      </c>
      <c r="HL92" s="16">
        <v>2121</v>
      </c>
      <c r="HM92" s="16">
        <v>400</v>
      </c>
      <c r="HN92" s="16">
        <v>2446</v>
      </c>
      <c r="HO92" s="16">
        <v>427</v>
      </c>
      <c r="HP92" s="16">
        <v>165</v>
      </c>
      <c r="HQ92" s="16">
        <v>702</v>
      </c>
      <c r="HR92" s="16">
        <v>883</v>
      </c>
      <c r="HS92" s="16">
        <v>343</v>
      </c>
      <c r="HT92" s="16">
        <v>8</v>
      </c>
      <c r="HU92" s="16">
        <v>581</v>
      </c>
      <c r="HV92" s="16">
        <v>200</v>
      </c>
      <c r="HW92" s="16">
        <v>512</v>
      </c>
      <c r="HX92" s="16">
        <v>255</v>
      </c>
      <c r="HY92" s="16">
        <v>1080</v>
      </c>
      <c r="HZ92" s="16">
        <v>834</v>
      </c>
      <c r="IA92" s="16">
        <v>181</v>
      </c>
      <c r="IB92" s="16">
        <v>46</v>
      </c>
      <c r="IC92" s="16">
        <v>57</v>
      </c>
      <c r="ID92" s="16">
        <v>48</v>
      </c>
      <c r="IE92" s="16">
        <v>21</v>
      </c>
      <c r="IF92" s="16">
        <v>53</v>
      </c>
      <c r="IG92" s="16">
        <v>407</v>
      </c>
      <c r="IH92" s="16">
        <v>795</v>
      </c>
      <c r="II92" s="16">
        <v>98</v>
      </c>
      <c r="IJ92" s="16">
        <v>1</v>
      </c>
      <c r="IK92" s="16">
        <v>12</v>
      </c>
      <c r="IL92" s="16">
        <v>25</v>
      </c>
      <c r="IM92" s="16">
        <v>6</v>
      </c>
      <c r="IN92" s="16">
        <v>765</v>
      </c>
      <c r="IO92" s="16">
        <v>3306</v>
      </c>
      <c r="IP92" s="16">
        <v>106</v>
      </c>
      <c r="IQ92" s="16">
        <v>8</v>
      </c>
      <c r="IR92" s="16">
        <v>9</v>
      </c>
      <c r="IS92" s="16">
        <v>52</v>
      </c>
      <c r="IT92" s="16">
        <v>8</v>
      </c>
      <c r="IU92" s="16">
        <v>1</v>
      </c>
      <c r="IV92" s="16">
        <v>207</v>
      </c>
      <c r="IW92" s="16">
        <v>540</v>
      </c>
      <c r="IX92" s="16">
        <v>251</v>
      </c>
      <c r="IY92" s="16">
        <v>143</v>
      </c>
      <c r="IZ92" s="16">
        <v>12</v>
      </c>
      <c r="JA92" s="16">
        <v>238</v>
      </c>
      <c r="JB92" s="16">
        <v>10</v>
      </c>
      <c r="JC92" s="16">
        <v>40</v>
      </c>
      <c r="JD92" s="16">
        <v>15</v>
      </c>
      <c r="JE92" s="16">
        <v>424</v>
      </c>
      <c r="JF92" s="16">
        <v>198</v>
      </c>
      <c r="JG92" s="16">
        <v>7142</v>
      </c>
      <c r="JH92" s="16">
        <v>90</v>
      </c>
      <c r="JI92" s="16">
        <v>21</v>
      </c>
      <c r="JJ92" s="16">
        <v>191</v>
      </c>
      <c r="JK92" s="16">
        <v>42</v>
      </c>
      <c r="JL92" s="16">
        <v>38</v>
      </c>
      <c r="JM92" s="16">
        <v>18</v>
      </c>
      <c r="JN92" s="16">
        <v>309</v>
      </c>
      <c r="JO92" s="16">
        <v>20</v>
      </c>
      <c r="JP92" s="16">
        <v>2663</v>
      </c>
      <c r="JQ92" s="16">
        <v>191</v>
      </c>
      <c r="JR92" s="16">
        <v>1421</v>
      </c>
      <c r="JS92" s="16">
        <v>354</v>
      </c>
      <c r="JT92" s="16">
        <v>0</v>
      </c>
      <c r="JU92" s="16">
        <v>1825</v>
      </c>
      <c r="JV92" s="16">
        <v>219</v>
      </c>
      <c r="JW92" s="16">
        <v>510</v>
      </c>
      <c r="JX92" s="16">
        <v>873</v>
      </c>
      <c r="JY92" s="16">
        <v>372</v>
      </c>
      <c r="JZ92" s="16">
        <v>672</v>
      </c>
      <c r="KA92" s="16">
        <v>192</v>
      </c>
      <c r="KB92" s="16">
        <v>84</v>
      </c>
      <c r="KC92" s="16">
        <v>199</v>
      </c>
      <c r="KD92" s="16">
        <v>535</v>
      </c>
      <c r="KE92" s="16">
        <v>13</v>
      </c>
      <c r="KF92" s="16">
        <v>209</v>
      </c>
      <c r="KG92" s="16">
        <v>221</v>
      </c>
      <c r="KH92" s="16">
        <v>31</v>
      </c>
      <c r="KI92" s="16">
        <v>158</v>
      </c>
      <c r="KJ92" s="16">
        <v>205</v>
      </c>
      <c r="KK92" s="16">
        <v>55887</v>
      </c>
      <c r="KL92" s="16">
        <v>11</v>
      </c>
      <c r="KM92" s="16">
        <v>56</v>
      </c>
      <c r="KN92" s="16">
        <v>35</v>
      </c>
      <c r="KO92" s="16">
        <v>401</v>
      </c>
      <c r="KP92" s="16">
        <v>115</v>
      </c>
      <c r="KQ92" s="16">
        <v>0</v>
      </c>
      <c r="KR92" s="16">
        <v>2108</v>
      </c>
      <c r="KS92" s="16">
        <v>5</v>
      </c>
      <c r="KT92" s="16">
        <v>126</v>
      </c>
      <c r="KU92" s="16">
        <v>1625</v>
      </c>
      <c r="KV92" s="16">
        <v>6713</v>
      </c>
      <c r="KW92" s="16">
        <v>6269</v>
      </c>
      <c r="KX92" s="16">
        <v>14</v>
      </c>
      <c r="KY92" s="16">
        <v>444</v>
      </c>
      <c r="KZ92" s="16">
        <v>27951</v>
      </c>
      <c r="LA92" s="16">
        <v>2295</v>
      </c>
      <c r="LB92" s="16">
        <v>401</v>
      </c>
      <c r="LC92" s="16">
        <v>15444</v>
      </c>
      <c r="LD92" s="16">
        <v>6192</v>
      </c>
      <c r="LE92" s="16">
        <v>995</v>
      </c>
      <c r="LF92" s="16">
        <v>323</v>
      </c>
      <c r="LG92" s="16">
        <v>171</v>
      </c>
      <c r="LH92" s="16">
        <v>1343</v>
      </c>
      <c r="LI92" s="16">
        <v>2</v>
      </c>
      <c r="LJ92" s="16">
        <v>892</v>
      </c>
      <c r="LK92" s="16">
        <v>9409</v>
      </c>
      <c r="LL92" s="16">
        <v>6234</v>
      </c>
      <c r="LM92" s="16">
        <v>8458</v>
      </c>
      <c r="LN92" s="16">
        <v>14840</v>
      </c>
      <c r="LO92" s="16">
        <v>624</v>
      </c>
      <c r="LP92" s="16">
        <v>2486</v>
      </c>
      <c r="LQ92" s="16">
        <v>297</v>
      </c>
      <c r="LR92" s="16">
        <v>6863</v>
      </c>
      <c r="LS92" s="16">
        <v>418</v>
      </c>
      <c r="LT92" s="16">
        <v>2588</v>
      </c>
      <c r="LU92" s="16">
        <v>1340</v>
      </c>
      <c r="LV92" s="16">
        <v>6</v>
      </c>
      <c r="LW92" s="16">
        <v>8345</v>
      </c>
      <c r="LX92" s="16">
        <v>3256</v>
      </c>
      <c r="LY92" s="16">
        <v>0</v>
      </c>
      <c r="LZ92" s="16">
        <v>3089</v>
      </c>
      <c r="MA92" s="16">
        <v>5820</v>
      </c>
      <c r="MB92" s="16">
        <v>4018</v>
      </c>
      <c r="MC92" s="16">
        <v>3321</v>
      </c>
      <c r="MD92" s="16">
        <v>3153</v>
      </c>
      <c r="ME92" s="16">
        <v>1096</v>
      </c>
      <c r="MF92" s="16">
        <v>10308</v>
      </c>
      <c r="MG92" s="16">
        <v>16906</v>
      </c>
      <c r="MH92" s="16">
        <v>177306</v>
      </c>
      <c r="MI92" s="16">
        <v>298</v>
      </c>
      <c r="MJ92" s="16">
        <v>8229</v>
      </c>
      <c r="MK92" s="16">
        <v>2721</v>
      </c>
      <c r="ML92" s="16">
        <v>1042</v>
      </c>
      <c r="MM92" s="16">
        <v>4230</v>
      </c>
      <c r="MN92" s="16">
        <v>10003</v>
      </c>
      <c r="MO92" s="16">
        <v>4089</v>
      </c>
      <c r="MP92" s="16">
        <v>7360</v>
      </c>
      <c r="MQ92" s="16">
        <v>8090</v>
      </c>
      <c r="MR92" s="16">
        <v>33625</v>
      </c>
      <c r="MS92" s="16">
        <v>40090</v>
      </c>
      <c r="MT92" s="16">
        <v>10433</v>
      </c>
      <c r="MU92" s="16">
        <v>9425</v>
      </c>
      <c r="MV92" s="16">
        <v>16593</v>
      </c>
      <c r="MW92" s="16">
        <v>101209</v>
      </c>
      <c r="MX92" s="16">
        <v>2470</v>
      </c>
      <c r="MY92" s="16">
        <v>1391</v>
      </c>
      <c r="MZ92" s="16">
        <v>17876</v>
      </c>
      <c r="NA92" s="16">
        <v>18484</v>
      </c>
      <c r="NB92" s="16">
        <v>9132</v>
      </c>
      <c r="NC92" s="16">
        <v>9019</v>
      </c>
      <c r="ND92" s="16">
        <v>446</v>
      </c>
      <c r="NE92" s="16">
        <v>264</v>
      </c>
      <c r="NF92" s="16">
        <v>11265</v>
      </c>
      <c r="NG92" s="16">
        <v>1593</v>
      </c>
      <c r="NH92" s="16">
        <v>1086</v>
      </c>
      <c r="NI92" s="16">
        <v>7811</v>
      </c>
      <c r="NJ92" s="16">
        <v>10691</v>
      </c>
      <c r="NK92" s="16">
        <v>187</v>
      </c>
      <c r="NL92" s="16">
        <v>166</v>
      </c>
      <c r="NM92" s="16">
        <v>523</v>
      </c>
      <c r="NN92" s="16">
        <v>309</v>
      </c>
      <c r="NO92" s="16">
        <v>0</v>
      </c>
      <c r="NP92" s="16">
        <v>109</v>
      </c>
      <c r="NQ92" s="16">
        <v>5874</v>
      </c>
      <c r="NR92" s="17">
        <v>1076291</v>
      </c>
    </row>
    <row r="93" spans="1:382" ht="13.5" customHeight="1" x14ac:dyDescent="0.2">
      <c r="A93" s="2" t="s">
        <v>193</v>
      </c>
      <c r="B93" s="16">
        <v>123</v>
      </c>
      <c r="C93" s="16">
        <v>2</v>
      </c>
      <c r="D93" s="16">
        <v>107</v>
      </c>
      <c r="E93" s="16">
        <v>40</v>
      </c>
      <c r="F93" s="16">
        <v>213</v>
      </c>
      <c r="G93" s="16">
        <v>48</v>
      </c>
      <c r="H93" s="16">
        <v>3</v>
      </c>
      <c r="I93" s="16">
        <v>46</v>
      </c>
      <c r="J93" s="16">
        <v>1</v>
      </c>
      <c r="K93" s="16">
        <v>0</v>
      </c>
      <c r="L93" s="16">
        <v>394</v>
      </c>
      <c r="M93" s="16">
        <v>42</v>
      </c>
      <c r="N93" s="16">
        <v>1</v>
      </c>
      <c r="O93" s="16">
        <v>1</v>
      </c>
      <c r="P93" s="16">
        <v>192</v>
      </c>
      <c r="Q93" s="16">
        <v>922</v>
      </c>
      <c r="R93" s="16">
        <v>371</v>
      </c>
      <c r="S93" s="16">
        <v>126</v>
      </c>
      <c r="T93" s="16">
        <v>97</v>
      </c>
      <c r="U93" s="16">
        <v>290</v>
      </c>
      <c r="V93" s="16">
        <v>192</v>
      </c>
      <c r="W93" s="16">
        <v>3</v>
      </c>
      <c r="X93" s="16">
        <v>136</v>
      </c>
      <c r="Y93" s="16">
        <v>729</v>
      </c>
      <c r="Z93" s="16">
        <v>1002</v>
      </c>
      <c r="AA93" s="16">
        <v>16</v>
      </c>
      <c r="AB93" s="16">
        <v>0</v>
      </c>
      <c r="AC93" s="16">
        <v>0</v>
      </c>
      <c r="AD93" s="16">
        <v>0</v>
      </c>
      <c r="AE93" s="16">
        <v>6</v>
      </c>
      <c r="AF93" s="16">
        <v>31</v>
      </c>
      <c r="AG93" s="16">
        <v>2093</v>
      </c>
      <c r="AH93" s="16">
        <v>1113</v>
      </c>
      <c r="AI93" s="16">
        <v>363</v>
      </c>
      <c r="AJ93" s="16">
        <v>952</v>
      </c>
      <c r="AK93" s="16">
        <v>300</v>
      </c>
      <c r="AL93" s="16">
        <v>23</v>
      </c>
      <c r="AM93" s="16">
        <v>257</v>
      </c>
      <c r="AN93" s="16">
        <v>155</v>
      </c>
      <c r="AO93" s="16">
        <v>2644</v>
      </c>
      <c r="AP93" s="16">
        <v>7</v>
      </c>
      <c r="AQ93" s="16">
        <v>139</v>
      </c>
      <c r="AR93" s="16">
        <v>0</v>
      </c>
      <c r="AS93" s="16">
        <v>19</v>
      </c>
      <c r="AT93" s="16">
        <v>160</v>
      </c>
      <c r="AU93" s="16">
        <v>125</v>
      </c>
      <c r="AV93" s="16">
        <v>61</v>
      </c>
      <c r="AW93" s="16">
        <v>814</v>
      </c>
      <c r="AX93" s="16">
        <v>21</v>
      </c>
      <c r="AY93" s="16">
        <v>203</v>
      </c>
      <c r="AZ93" s="16">
        <v>436</v>
      </c>
      <c r="BA93" s="16">
        <v>518</v>
      </c>
      <c r="BB93" s="16">
        <v>115</v>
      </c>
      <c r="BC93" s="16">
        <v>468</v>
      </c>
      <c r="BD93" s="16">
        <v>14</v>
      </c>
      <c r="BE93" s="16">
        <v>188</v>
      </c>
      <c r="BF93" s="16">
        <v>715</v>
      </c>
      <c r="BG93" s="16">
        <v>245</v>
      </c>
      <c r="BH93" s="16">
        <v>403</v>
      </c>
      <c r="BI93" s="16">
        <v>92</v>
      </c>
      <c r="BJ93" s="16">
        <v>21</v>
      </c>
      <c r="BK93" s="16">
        <v>86</v>
      </c>
      <c r="BL93" s="16">
        <v>491</v>
      </c>
      <c r="BM93" s="16">
        <v>189</v>
      </c>
      <c r="BN93" s="16">
        <v>331</v>
      </c>
      <c r="BO93" s="16">
        <v>579</v>
      </c>
      <c r="BP93" s="16">
        <v>336</v>
      </c>
      <c r="BQ93" s="16">
        <v>155</v>
      </c>
      <c r="BR93" s="16">
        <v>6</v>
      </c>
      <c r="BS93" s="16">
        <v>492</v>
      </c>
      <c r="BT93" s="16">
        <v>9</v>
      </c>
      <c r="BU93" s="16">
        <v>25</v>
      </c>
      <c r="BV93" s="16">
        <v>5</v>
      </c>
      <c r="BW93" s="16">
        <v>207</v>
      </c>
      <c r="BX93" s="16">
        <v>19</v>
      </c>
      <c r="BY93" s="16">
        <v>0</v>
      </c>
      <c r="BZ93" s="16">
        <v>75</v>
      </c>
      <c r="CA93" s="16">
        <v>52</v>
      </c>
      <c r="CB93" s="16">
        <v>41</v>
      </c>
      <c r="CC93" s="16">
        <v>2642</v>
      </c>
      <c r="CD93" s="16">
        <v>431</v>
      </c>
      <c r="CE93" s="16">
        <v>129</v>
      </c>
      <c r="CF93" s="16">
        <v>670</v>
      </c>
      <c r="CG93" s="16">
        <v>159</v>
      </c>
      <c r="CH93" s="16">
        <v>340</v>
      </c>
      <c r="CI93" s="16">
        <v>50</v>
      </c>
      <c r="CJ93" s="16">
        <v>215</v>
      </c>
      <c r="CK93" s="16">
        <v>877</v>
      </c>
      <c r="CL93" s="16">
        <v>449</v>
      </c>
      <c r="CM93" s="16">
        <v>330</v>
      </c>
      <c r="CN93" s="16">
        <v>75</v>
      </c>
      <c r="CO93" s="16">
        <v>152377</v>
      </c>
      <c r="CP93" s="16">
        <v>526</v>
      </c>
      <c r="CQ93" s="16">
        <v>5024</v>
      </c>
      <c r="CR93" s="16">
        <v>515</v>
      </c>
      <c r="CS93" s="16">
        <v>422</v>
      </c>
      <c r="CT93" s="16">
        <v>349</v>
      </c>
      <c r="CU93" s="16">
        <v>223</v>
      </c>
      <c r="CV93" s="16">
        <v>537</v>
      </c>
      <c r="CW93" s="16">
        <v>900</v>
      </c>
      <c r="CX93" s="16">
        <v>463</v>
      </c>
      <c r="CY93" s="16">
        <v>107</v>
      </c>
      <c r="CZ93" s="16">
        <v>349</v>
      </c>
      <c r="DA93" s="16">
        <v>8</v>
      </c>
      <c r="DB93" s="16">
        <v>277</v>
      </c>
      <c r="DC93" s="16">
        <v>44</v>
      </c>
      <c r="DD93" s="16">
        <v>156</v>
      </c>
      <c r="DE93" s="16">
        <v>61</v>
      </c>
      <c r="DF93" s="16">
        <v>638</v>
      </c>
      <c r="DG93" s="16">
        <v>229</v>
      </c>
      <c r="DH93" s="16">
        <v>291</v>
      </c>
      <c r="DI93" s="16">
        <v>120</v>
      </c>
      <c r="DJ93" s="16">
        <v>630</v>
      </c>
      <c r="DK93" s="16">
        <v>203</v>
      </c>
      <c r="DL93" s="16">
        <v>265</v>
      </c>
      <c r="DM93" s="16">
        <v>23122</v>
      </c>
      <c r="DN93" s="16">
        <v>162</v>
      </c>
      <c r="DO93" s="16">
        <v>294</v>
      </c>
      <c r="DP93" s="16">
        <v>446</v>
      </c>
      <c r="DQ93" s="16">
        <v>92</v>
      </c>
      <c r="DR93" s="16">
        <v>180</v>
      </c>
      <c r="DS93" s="16">
        <v>1446</v>
      </c>
      <c r="DT93" s="16">
        <v>165</v>
      </c>
      <c r="DU93" s="16">
        <v>222</v>
      </c>
      <c r="DV93" s="16">
        <v>54</v>
      </c>
      <c r="DW93" s="16">
        <v>1219</v>
      </c>
      <c r="DX93" s="16">
        <v>1100</v>
      </c>
      <c r="DY93" s="16">
        <v>1237</v>
      </c>
      <c r="DZ93" s="16">
        <v>4484</v>
      </c>
      <c r="EA93" s="16">
        <v>1669</v>
      </c>
      <c r="EB93" s="16">
        <v>41</v>
      </c>
      <c r="EC93" s="16">
        <v>476</v>
      </c>
      <c r="ED93" s="16">
        <v>114</v>
      </c>
      <c r="EE93" s="16">
        <v>5</v>
      </c>
      <c r="EF93" s="16">
        <v>8</v>
      </c>
      <c r="EG93" s="16">
        <v>447</v>
      </c>
      <c r="EH93" s="16">
        <v>57</v>
      </c>
      <c r="EI93" s="16">
        <v>137</v>
      </c>
      <c r="EJ93" s="16">
        <v>107</v>
      </c>
      <c r="EK93" s="16">
        <v>64</v>
      </c>
      <c r="EL93" s="16">
        <v>44</v>
      </c>
      <c r="EM93" s="16">
        <v>60</v>
      </c>
      <c r="EN93" s="16">
        <v>460</v>
      </c>
      <c r="EO93" s="16">
        <v>397</v>
      </c>
      <c r="EP93" s="16">
        <v>120</v>
      </c>
      <c r="EQ93" s="16">
        <v>319</v>
      </c>
      <c r="ER93" s="16">
        <v>50</v>
      </c>
      <c r="ES93" s="16">
        <v>165</v>
      </c>
      <c r="ET93" s="16">
        <v>758</v>
      </c>
      <c r="EU93" s="16">
        <v>2</v>
      </c>
      <c r="EV93" s="16">
        <v>62</v>
      </c>
      <c r="EW93" s="16">
        <v>12</v>
      </c>
      <c r="EX93" s="16">
        <v>8082</v>
      </c>
      <c r="EY93" s="16">
        <v>1740</v>
      </c>
      <c r="EZ93" s="16">
        <v>62</v>
      </c>
      <c r="FA93" s="16">
        <v>51</v>
      </c>
      <c r="FB93" s="16">
        <v>301</v>
      </c>
      <c r="FC93" s="16">
        <v>6</v>
      </c>
      <c r="FD93" s="16">
        <v>1019</v>
      </c>
      <c r="FE93" s="16">
        <v>66</v>
      </c>
      <c r="FF93" s="16">
        <v>143</v>
      </c>
      <c r="FG93" s="16">
        <v>580</v>
      </c>
      <c r="FH93" s="16">
        <v>4</v>
      </c>
      <c r="FI93" s="16">
        <v>367</v>
      </c>
      <c r="FJ93" s="16">
        <v>65</v>
      </c>
      <c r="FK93" s="16">
        <v>1336</v>
      </c>
      <c r="FL93" s="16">
        <v>38</v>
      </c>
      <c r="FM93" s="16">
        <v>230</v>
      </c>
      <c r="FN93" s="16">
        <v>1447</v>
      </c>
      <c r="FO93" s="16">
        <v>647</v>
      </c>
      <c r="FP93" s="16">
        <v>295</v>
      </c>
      <c r="FQ93" s="16">
        <v>2039</v>
      </c>
      <c r="FR93" s="16">
        <v>1269</v>
      </c>
      <c r="FS93" s="16">
        <v>457</v>
      </c>
      <c r="FT93" s="16">
        <v>228</v>
      </c>
      <c r="FU93" s="16">
        <v>1830</v>
      </c>
      <c r="FV93" s="16">
        <v>1141</v>
      </c>
      <c r="FW93" s="16">
        <v>1280</v>
      </c>
      <c r="FX93" s="16">
        <v>2373</v>
      </c>
      <c r="FY93" s="16">
        <v>243</v>
      </c>
      <c r="FZ93" s="16">
        <v>1123</v>
      </c>
      <c r="GA93" s="16">
        <v>134</v>
      </c>
      <c r="GB93" s="16">
        <v>3306</v>
      </c>
      <c r="GC93" s="16">
        <v>339</v>
      </c>
      <c r="GD93" s="16">
        <v>1132</v>
      </c>
      <c r="GE93" s="16">
        <v>17</v>
      </c>
      <c r="GF93" s="16">
        <v>229</v>
      </c>
      <c r="GG93" s="16">
        <v>1</v>
      </c>
      <c r="GH93" s="16">
        <v>304</v>
      </c>
      <c r="GI93" s="16">
        <v>56</v>
      </c>
      <c r="GJ93" s="16">
        <v>450</v>
      </c>
      <c r="GK93" s="16">
        <v>54</v>
      </c>
      <c r="GL93" s="16">
        <v>18</v>
      </c>
      <c r="GM93" s="16">
        <v>4</v>
      </c>
      <c r="GN93" s="16">
        <v>18</v>
      </c>
      <c r="GO93" s="16">
        <v>939</v>
      </c>
      <c r="GP93" s="16">
        <v>12</v>
      </c>
      <c r="GQ93" s="16">
        <v>1</v>
      </c>
      <c r="GR93" s="16">
        <v>108</v>
      </c>
      <c r="GS93" s="16">
        <v>11</v>
      </c>
      <c r="GT93" s="16">
        <v>13</v>
      </c>
      <c r="GU93" s="16">
        <v>260</v>
      </c>
      <c r="GV93" s="16">
        <v>390</v>
      </c>
      <c r="GW93" s="16">
        <v>321</v>
      </c>
      <c r="GX93" s="16">
        <v>49</v>
      </c>
      <c r="GY93" s="16">
        <v>2</v>
      </c>
      <c r="GZ93" s="16">
        <v>277</v>
      </c>
      <c r="HA93" s="16">
        <v>120</v>
      </c>
      <c r="HB93" s="16">
        <v>118</v>
      </c>
      <c r="HC93" s="16">
        <v>480</v>
      </c>
      <c r="HD93" s="16">
        <v>791</v>
      </c>
      <c r="HE93" s="16">
        <v>72</v>
      </c>
      <c r="HF93" s="16">
        <v>868</v>
      </c>
      <c r="HG93" s="16">
        <v>64</v>
      </c>
      <c r="HH93" s="16">
        <v>69</v>
      </c>
      <c r="HI93" s="16">
        <v>258</v>
      </c>
      <c r="HJ93" s="16">
        <v>83</v>
      </c>
      <c r="HK93" s="16">
        <v>190</v>
      </c>
      <c r="HL93" s="16">
        <v>1433</v>
      </c>
      <c r="HM93" s="16">
        <v>270</v>
      </c>
      <c r="HN93" s="16">
        <v>3021</v>
      </c>
      <c r="HO93" s="16">
        <v>374</v>
      </c>
      <c r="HP93" s="16">
        <v>200</v>
      </c>
      <c r="HQ93" s="16">
        <v>851</v>
      </c>
      <c r="HR93" s="16">
        <v>800</v>
      </c>
      <c r="HS93" s="16">
        <v>381</v>
      </c>
      <c r="HT93" s="16">
        <v>8</v>
      </c>
      <c r="HU93" s="16">
        <v>639</v>
      </c>
      <c r="HV93" s="16">
        <v>200</v>
      </c>
      <c r="HW93" s="16">
        <v>323</v>
      </c>
      <c r="HX93" s="16">
        <v>342</v>
      </c>
      <c r="HY93" s="16">
        <v>846</v>
      </c>
      <c r="HZ93" s="16">
        <v>1080</v>
      </c>
      <c r="IA93" s="16">
        <v>295</v>
      </c>
      <c r="IB93" s="16">
        <v>63</v>
      </c>
      <c r="IC93" s="16">
        <v>45</v>
      </c>
      <c r="ID93" s="16">
        <v>56</v>
      </c>
      <c r="IE93" s="16">
        <v>19</v>
      </c>
      <c r="IF93" s="16">
        <v>60</v>
      </c>
      <c r="IG93" s="16">
        <v>471</v>
      </c>
      <c r="IH93" s="16">
        <v>268</v>
      </c>
      <c r="II93" s="16">
        <v>37</v>
      </c>
      <c r="IJ93" s="16">
        <v>1</v>
      </c>
      <c r="IK93" s="16">
        <v>11</v>
      </c>
      <c r="IL93" s="16">
        <v>32</v>
      </c>
      <c r="IM93" s="16">
        <v>7</v>
      </c>
      <c r="IN93" s="16">
        <v>665</v>
      </c>
      <c r="IO93" s="16">
        <v>344</v>
      </c>
      <c r="IP93" s="16">
        <v>17</v>
      </c>
      <c r="IQ93" s="16">
        <v>7</v>
      </c>
      <c r="IR93" s="16">
        <v>8</v>
      </c>
      <c r="IS93" s="16">
        <v>54</v>
      </c>
      <c r="IT93" s="16">
        <v>10</v>
      </c>
      <c r="IU93" s="16">
        <v>22</v>
      </c>
      <c r="IV93" s="16">
        <v>241</v>
      </c>
      <c r="IW93" s="16">
        <v>560</v>
      </c>
      <c r="IX93" s="16">
        <v>282</v>
      </c>
      <c r="IY93" s="16">
        <v>70</v>
      </c>
      <c r="IZ93" s="16">
        <v>6</v>
      </c>
      <c r="JA93" s="16">
        <v>141</v>
      </c>
      <c r="JB93" s="16">
        <v>9</v>
      </c>
      <c r="JC93" s="16">
        <v>23</v>
      </c>
      <c r="JD93" s="16">
        <v>17</v>
      </c>
      <c r="JE93" s="16">
        <v>507</v>
      </c>
      <c r="JF93" s="16">
        <v>158</v>
      </c>
      <c r="JG93" s="16">
        <v>9986</v>
      </c>
      <c r="JH93" s="16">
        <v>227</v>
      </c>
      <c r="JI93" s="16">
        <v>35</v>
      </c>
      <c r="JJ93" s="16">
        <v>272</v>
      </c>
      <c r="JK93" s="16">
        <v>136</v>
      </c>
      <c r="JL93" s="16">
        <v>72</v>
      </c>
      <c r="JM93" s="16">
        <v>72</v>
      </c>
      <c r="JN93" s="16">
        <v>916</v>
      </c>
      <c r="JO93" s="16">
        <v>30</v>
      </c>
      <c r="JP93" s="16">
        <v>3801</v>
      </c>
      <c r="JQ93" s="16">
        <v>362</v>
      </c>
      <c r="JR93" s="16">
        <v>3027</v>
      </c>
      <c r="JS93" s="16">
        <v>1283</v>
      </c>
      <c r="JT93" s="16">
        <v>0</v>
      </c>
      <c r="JU93" s="16">
        <v>831</v>
      </c>
      <c r="JV93" s="16">
        <v>379</v>
      </c>
      <c r="JW93" s="16">
        <v>811</v>
      </c>
      <c r="JX93" s="16">
        <v>822</v>
      </c>
      <c r="JY93" s="16">
        <v>834</v>
      </c>
      <c r="JZ93" s="16">
        <v>85</v>
      </c>
      <c r="KA93" s="16">
        <v>143</v>
      </c>
      <c r="KB93" s="16">
        <v>28</v>
      </c>
      <c r="KC93" s="16">
        <v>69</v>
      </c>
      <c r="KD93" s="16">
        <v>5</v>
      </c>
      <c r="KE93" s="16">
        <v>16</v>
      </c>
      <c r="KF93" s="16">
        <v>191</v>
      </c>
      <c r="KG93" s="16">
        <v>255</v>
      </c>
      <c r="KH93" s="16">
        <v>31</v>
      </c>
      <c r="KI93" s="16">
        <v>74</v>
      </c>
      <c r="KJ93" s="16">
        <v>10</v>
      </c>
      <c r="KK93" s="16">
        <v>194142</v>
      </c>
      <c r="KL93" s="16">
        <v>8</v>
      </c>
      <c r="KM93" s="16">
        <v>312</v>
      </c>
      <c r="KN93" s="16">
        <v>172</v>
      </c>
      <c r="KO93" s="16">
        <v>822</v>
      </c>
      <c r="KP93" s="16">
        <v>32</v>
      </c>
      <c r="KQ93" s="16">
        <v>29</v>
      </c>
      <c r="KR93" s="16">
        <v>5012</v>
      </c>
      <c r="KS93" s="16">
        <v>24</v>
      </c>
      <c r="KT93" s="16">
        <v>217</v>
      </c>
      <c r="KU93" s="16">
        <v>5579</v>
      </c>
      <c r="KV93" s="16">
        <v>4622</v>
      </c>
      <c r="KW93" s="16">
        <v>22804</v>
      </c>
      <c r="KX93" s="16">
        <v>18</v>
      </c>
      <c r="KY93" s="16">
        <v>2266</v>
      </c>
      <c r="KZ93" s="16">
        <v>327304</v>
      </c>
      <c r="LA93" s="16">
        <v>35963</v>
      </c>
      <c r="LB93" s="16">
        <v>7867</v>
      </c>
      <c r="LC93" s="16">
        <v>36000</v>
      </c>
      <c r="LD93" s="16">
        <v>401526</v>
      </c>
      <c r="LE93" s="16">
        <v>1322</v>
      </c>
      <c r="LF93" s="16">
        <v>268</v>
      </c>
      <c r="LG93" s="16">
        <v>239</v>
      </c>
      <c r="LH93" s="16">
        <v>2118</v>
      </c>
      <c r="LI93" s="16">
        <v>5</v>
      </c>
      <c r="LJ93" s="16">
        <v>672</v>
      </c>
      <c r="LK93" s="16">
        <v>1656</v>
      </c>
      <c r="LL93" s="16">
        <v>4875</v>
      </c>
      <c r="LM93" s="16">
        <v>6496</v>
      </c>
      <c r="LN93" s="16">
        <v>13264</v>
      </c>
      <c r="LO93" s="16">
        <v>298</v>
      </c>
      <c r="LP93" s="16">
        <v>2177</v>
      </c>
      <c r="LQ93" s="16">
        <v>1273</v>
      </c>
      <c r="LR93" s="16">
        <v>6548</v>
      </c>
      <c r="LS93" s="16">
        <v>1247</v>
      </c>
      <c r="LT93" s="16">
        <v>4461</v>
      </c>
      <c r="LU93" s="16">
        <v>1956</v>
      </c>
      <c r="LV93" s="16">
        <v>18</v>
      </c>
      <c r="LW93" s="16">
        <v>2687</v>
      </c>
      <c r="LX93" s="16">
        <v>3357</v>
      </c>
      <c r="LY93" s="16">
        <v>0</v>
      </c>
      <c r="LZ93" s="16">
        <v>3901</v>
      </c>
      <c r="MA93" s="16">
        <v>3372</v>
      </c>
      <c r="MB93" s="16">
        <v>7864</v>
      </c>
      <c r="MC93" s="16">
        <v>3200</v>
      </c>
      <c r="MD93" s="16">
        <v>1972</v>
      </c>
      <c r="ME93" s="16">
        <v>2406</v>
      </c>
      <c r="MF93" s="16">
        <v>15103</v>
      </c>
      <c r="MG93" s="16">
        <v>10295</v>
      </c>
      <c r="MH93" s="16">
        <v>389233</v>
      </c>
      <c r="MI93" s="16">
        <v>990</v>
      </c>
      <c r="MJ93" s="16">
        <v>1451</v>
      </c>
      <c r="MK93" s="16">
        <v>4269</v>
      </c>
      <c r="ML93" s="16">
        <v>703</v>
      </c>
      <c r="MM93" s="16">
        <v>5243</v>
      </c>
      <c r="MN93" s="16">
        <v>7579</v>
      </c>
      <c r="MO93" s="16">
        <v>4184</v>
      </c>
      <c r="MP93" s="16">
        <v>43608</v>
      </c>
      <c r="MQ93" s="16">
        <v>48258</v>
      </c>
      <c r="MR93" s="16">
        <v>4615</v>
      </c>
      <c r="MS93" s="16">
        <v>4141</v>
      </c>
      <c r="MT93" s="16">
        <v>1024</v>
      </c>
      <c r="MU93" s="16">
        <v>42764</v>
      </c>
      <c r="MV93" s="16">
        <v>3682</v>
      </c>
      <c r="MW93" s="16">
        <v>23385</v>
      </c>
      <c r="MX93" s="16">
        <v>36157</v>
      </c>
      <c r="MY93" s="16">
        <v>247622</v>
      </c>
      <c r="MZ93" s="16">
        <v>369646</v>
      </c>
      <c r="NA93" s="16">
        <v>2526</v>
      </c>
      <c r="NB93" s="16">
        <v>10409</v>
      </c>
      <c r="NC93" s="16">
        <v>2050</v>
      </c>
      <c r="ND93" s="16">
        <v>1180</v>
      </c>
      <c r="NE93" s="16">
        <v>371</v>
      </c>
      <c r="NF93" s="16">
        <v>9078</v>
      </c>
      <c r="NG93" s="16">
        <v>23572</v>
      </c>
      <c r="NH93" s="16">
        <v>5898</v>
      </c>
      <c r="NI93" s="16">
        <v>18031</v>
      </c>
      <c r="NJ93" s="16">
        <v>76286</v>
      </c>
      <c r="NK93" s="16">
        <v>1145</v>
      </c>
      <c r="NL93" s="16">
        <v>575</v>
      </c>
      <c r="NM93" s="16">
        <v>37113</v>
      </c>
      <c r="NN93" s="16">
        <v>765</v>
      </c>
      <c r="NO93" s="16">
        <v>0</v>
      </c>
      <c r="NP93" s="16">
        <v>1385</v>
      </c>
      <c r="NQ93" s="16">
        <v>342</v>
      </c>
      <c r="NR93" s="17">
        <v>2888920</v>
      </c>
    </row>
    <row r="94" spans="1:382" ht="13.5" customHeight="1" x14ac:dyDescent="0.2">
      <c r="A94" s="2" t="s">
        <v>195</v>
      </c>
      <c r="B94" s="16">
        <v>18</v>
      </c>
      <c r="C94" s="16">
        <v>0</v>
      </c>
      <c r="D94" s="16">
        <v>0</v>
      </c>
      <c r="E94" s="16">
        <v>0</v>
      </c>
      <c r="F94" s="16">
        <v>113</v>
      </c>
      <c r="G94" s="16">
        <v>620</v>
      </c>
      <c r="H94" s="16">
        <v>4</v>
      </c>
      <c r="I94" s="16">
        <v>2</v>
      </c>
      <c r="J94" s="16">
        <v>0</v>
      </c>
      <c r="K94" s="16">
        <v>0</v>
      </c>
      <c r="L94" s="16">
        <v>488</v>
      </c>
      <c r="M94" s="16">
        <v>0</v>
      </c>
      <c r="N94" s="16">
        <v>0</v>
      </c>
      <c r="O94" s="16">
        <v>0</v>
      </c>
      <c r="P94" s="16">
        <v>65</v>
      </c>
      <c r="Q94" s="16">
        <v>171</v>
      </c>
      <c r="R94" s="16">
        <v>4781</v>
      </c>
      <c r="S94" s="16">
        <v>107</v>
      </c>
      <c r="T94" s="16">
        <v>29</v>
      </c>
      <c r="U94" s="16">
        <v>12</v>
      </c>
      <c r="V94" s="16">
        <v>26</v>
      </c>
      <c r="W94" s="16">
        <v>0</v>
      </c>
      <c r="X94" s="16">
        <v>138</v>
      </c>
      <c r="Y94" s="16">
        <v>829</v>
      </c>
      <c r="Z94" s="16">
        <v>191</v>
      </c>
      <c r="AA94" s="16">
        <v>1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78</v>
      </c>
      <c r="AH94" s="16">
        <v>78</v>
      </c>
      <c r="AI94" s="16">
        <v>62</v>
      </c>
      <c r="AJ94" s="16">
        <v>1655</v>
      </c>
      <c r="AK94" s="16">
        <v>3379</v>
      </c>
      <c r="AL94" s="16">
        <v>172</v>
      </c>
      <c r="AM94" s="16">
        <v>47688</v>
      </c>
      <c r="AN94" s="16">
        <v>965</v>
      </c>
      <c r="AO94" s="16">
        <v>1551</v>
      </c>
      <c r="AP94" s="16">
        <v>167</v>
      </c>
      <c r="AQ94" s="16">
        <v>9410</v>
      </c>
      <c r="AR94" s="16">
        <v>0</v>
      </c>
      <c r="AS94" s="16">
        <v>503</v>
      </c>
      <c r="AT94" s="16">
        <v>1164</v>
      </c>
      <c r="AU94" s="16">
        <v>6359</v>
      </c>
      <c r="AV94" s="16">
        <v>1789</v>
      </c>
      <c r="AW94" s="16">
        <v>6246</v>
      </c>
      <c r="AX94" s="16">
        <v>112</v>
      </c>
      <c r="AY94" s="16">
        <v>185</v>
      </c>
      <c r="AZ94" s="16">
        <v>8302</v>
      </c>
      <c r="BA94" s="16">
        <v>20204</v>
      </c>
      <c r="BB94" s="16">
        <v>4970</v>
      </c>
      <c r="BC94" s="16">
        <v>5281</v>
      </c>
      <c r="BD94" s="16">
        <v>23</v>
      </c>
      <c r="BE94" s="16">
        <v>4255</v>
      </c>
      <c r="BF94" s="16">
        <v>8834</v>
      </c>
      <c r="BG94" s="16">
        <v>1308</v>
      </c>
      <c r="BH94" s="16">
        <v>4153</v>
      </c>
      <c r="BI94" s="16">
        <v>31810</v>
      </c>
      <c r="BJ94" s="16">
        <v>219</v>
      </c>
      <c r="BK94" s="16">
        <v>715</v>
      </c>
      <c r="BL94" s="16">
        <v>2121</v>
      </c>
      <c r="BM94" s="16">
        <v>510</v>
      </c>
      <c r="BN94" s="16">
        <v>1975</v>
      </c>
      <c r="BO94" s="16">
        <v>847</v>
      </c>
      <c r="BP94" s="16">
        <v>748</v>
      </c>
      <c r="BQ94" s="16">
        <v>476</v>
      </c>
      <c r="BR94" s="16">
        <v>23</v>
      </c>
      <c r="BS94" s="16">
        <v>5571</v>
      </c>
      <c r="BT94" s="16">
        <v>226</v>
      </c>
      <c r="BU94" s="16">
        <v>3</v>
      </c>
      <c r="BV94" s="16">
        <v>0</v>
      </c>
      <c r="BW94" s="16">
        <v>4224</v>
      </c>
      <c r="BX94" s="16">
        <v>227</v>
      </c>
      <c r="BY94" s="16">
        <v>0</v>
      </c>
      <c r="BZ94" s="16">
        <v>2777</v>
      </c>
      <c r="CA94" s="16">
        <v>1379</v>
      </c>
      <c r="CB94" s="16">
        <v>37</v>
      </c>
      <c r="CC94" s="16">
        <v>4119</v>
      </c>
      <c r="CD94" s="16">
        <v>14799</v>
      </c>
      <c r="CE94" s="16">
        <v>2340</v>
      </c>
      <c r="CF94" s="16">
        <v>3996</v>
      </c>
      <c r="CG94" s="16">
        <v>353</v>
      </c>
      <c r="CH94" s="16">
        <v>9461</v>
      </c>
      <c r="CI94" s="16">
        <v>353</v>
      </c>
      <c r="CJ94" s="16">
        <v>5057</v>
      </c>
      <c r="CK94" s="16">
        <v>61105</v>
      </c>
      <c r="CL94" s="16">
        <v>11890</v>
      </c>
      <c r="CM94" s="16">
        <v>114041</v>
      </c>
      <c r="CN94" s="16">
        <v>19751</v>
      </c>
      <c r="CO94" s="16">
        <v>19719</v>
      </c>
      <c r="CP94" s="16">
        <v>93518</v>
      </c>
      <c r="CQ94" s="16">
        <v>46859</v>
      </c>
      <c r="CR94" s="16">
        <v>17</v>
      </c>
      <c r="CS94" s="16">
        <v>355</v>
      </c>
      <c r="CT94" s="16">
        <v>535</v>
      </c>
      <c r="CU94" s="16">
        <v>985</v>
      </c>
      <c r="CV94" s="16">
        <v>767</v>
      </c>
      <c r="CW94" s="16">
        <v>3149</v>
      </c>
      <c r="CX94" s="16">
        <v>6118</v>
      </c>
      <c r="CY94" s="16">
        <v>194</v>
      </c>
      <c r="CZ94" s="16">
        <v>309</v>
      </c>
      <c r="DA94" s="16">
        <v>8</v>
      </c>
      <c r="DB94" s="16">
        <v>3470</v>
      </c>
      <c r="DC94" s="16">
        <v>7</v>
      </c>
      <c r="DD94" s="16">
        <v>85</v>
      </c>
      <c r="DE94" s="16">
        <v>109</v>
      </c>
      <c r="DF94" s="16">
        <v>1206</v>
      </c>
      <c r="DG94" s="16">
        <v>167</v>
      </c>
      <c r="DH94" s="16">
        <v>918</v>
      </c>
      <c r="DI94" s="16">
        <v>523</v>
      </c>
      <c r="DJ94" s="16">
        <v>1362</v>
      </c>
      <c r="DK94" s="16">
        <v>306</v>
      </c>
      <c r="DL94" s="16">
        <v>703</v>
      </c>
      <c r="DM94" s="16">
        <v>13222</v>
      </c>
      <c r="DN94" s="16">
        <v>248</v>
      </c>
      <c r="DO94" s="16">
        <v>758</v>
      </c>
      <c r="DP94" s="16">
        <v>1431</v>
      </c>
      <c r="DQ94" s="16">
        <v>458</v>
      </c>
      <c r="DR94" s="16">
        <v>5785</v>
      </c>
      <c r="DS94" s="16">
        <v>19250</v>
      </c>
      <c r="DT94" s="16">
        <v>600</v>
      </c>
      <c r="DU94" s="16">
        <v>1120</v>
      </c>
      <c r="DV94" s="16">
        <v>81</v>
      </c>
      <c r="DW94" s="16">
        <v>4818</v>
      </c>
      <c r="DX94" s="16">
        <v>4557</v>
      </c>
      <c r="DY94" s="16">
        <v>5734</v>
      </c>
      <c r="DZ94" s="16">
        <v>16051</v>
      </c>
      <c r="EA94" s="16">
        <v>10803</v>
      </c>
      <c r="EB94" s="16">
        <v>48</v>
      </c>
      <c r="EC94" s="16">
        <v>1547</v>
      </c>
      <c r="ED94" s="16">
        <v>1628</v>
      </c>
      <c r="EE94" s="16">
        <v>58</v>
      </c>
      <c r="EF94" s="16">
        <v>132</v>
      </c>
      <c r="EG94" s="16">
        <v>5443</v>
      </c>
      <c r="EH94" s="16">
        <v>745</v>
      </c>
      <c r="EI94" s="16">
        <v>677</v>
      </c>
      <c r="EJ94" s="16">
        <v>1177</v>
      </c>
      <c r="EK94" s="16">
        <v>532</v>
      </c>
      <c r="EL94" s="16">
        <v>450</v>
      </c>
      <c r="EM94" s="16">
        <v>492</v>
      </c>
      <c r="EN94" s="16">
        <v>323</v>
      </c>
      <c r="EO94" s="16">
        <v>335</v>
      </c>
      <c r="EP94" s="16">
        <v>2408</v>
      </c>
      <c r="EQ94" s="16">
        <v>501</v>
      </c>
      <c r="ER94" s="16">
        <v>3658</v>
      </c>
      <c r="ES94" s="16">
        <v>331</v>
      </c>
      <c r="ET94" s="16">
        <v>6240</v>
      </c>
      <c r="EU94" s="16">
        <v>4</v>
      </c>
      <c r="EV94" s="16">
        <v>48</v>
      </c>
      <c r="EW94" s="16">
        <v>3</v>
      </c>
      <c r="EX94" s="16">
        <v>1913</v>
      </c>
      <c r="EY94" s="16">
        <v>136</v>
      </c>
      <c r="EZ94" s="16">
        <v>41</v>
      </c>
      <c r="FA94" s="16">
        <v>40</v>
      </c>
      <c r="FB94" s="16">
        <v>237</v>
      </c>
      <c r="FC94" s="16">
        <v>44</v>
      </c>
      <c r="FD94" s="16">
        <v>1340</v>
      </c>
      <c r="FE94" s="16">
        <v>64</v>
      </c>
      <c r="FF94" s="16">
        <v>159</v>
      </c>
      <c r="FG94" s="16">
        <v>37</v>
      </c>
      <c r="FH94" s="16">
        <v>0</v>
      </c>
      <c r="FI94" s="16">
        <v>142</v>
      </c>
      <c r="FJ94" s="16">
        <v>10</v>
      </c>
      <c r="FK94" s="16">
        <v>172</v>
      </c>
      <c r="FL94" s="16">
        <v>2</v>
      </c>
      <c r="FM94" s="16">
        <v>239</v>
      </c>
      <c r="FN94" s="16">
        <v>3397</v>
      </c>
      <c r="FO94" s="16">
        <v>493</v>
      </c>
      <c r="FP94" s="16">
        <v>850</v>
      </c>
      <c r="FQ94" s="16">
        <v>3721</v>
      </c>
      <c r="FR94" s="16">
        <v>1087</v>
      </c>
      <c r="FS94" s="16">
        <v>1596</v>
      </c>
      <c r="FT94" s="16">
        <v>281</v>
      </c>
      <c r="FU94" s="16">
        <v>1618</v>
      </c>
      <c r="FV94" s="16">
        <v>617</v>
      </c>
      <c r="FW94" s="16">
        <v>779</v>
      </c>
      <c r="FX94" s="16">
        <v>4611</v>
      </c>
      <c r="FY94" s="16">
        <v>1815</v>
      </c>
      <c r="FZ94" s="16">
        <v>4706</v>
      </c>
      <c r="GA94" s="16">
        <v>585</v>
      </c>
      <c r="GB94" s="16">
        <v>2072</v>
      </c>
      <c r="GC94" s="16">
        <v>2376</v>
      </c>
      <c r="GD94" s="16">
        <v>3110</v>
      </c>
      <c r="GE94" s="16">
        <v>104</v>
      </c>
      <c r="GF94" s="16">
        <v>1686</v>
      </c>
      <c r="GG94" s="16">
        <v>88</v>
      </c>
      <c r="GH94" s="16">
        <v>796</v>
      </c>
      <c r="GI94" s="16">
        <v>4612</v>
      </c>
      <c r="GJ94" s="16">
        <v>11429</v>
      </c>
      <c r="GK94" s="16">
        <v>871</v>
      </c>
      <c r="GL94" s="16">
        <v>33</v>
      </c>
      <c r="GM94" s="16">
        <v>221</v>
      </c>
      <c r="GN94" s="16">
        <v>231</v>
      </c>
      <c r="GO94" s="16">
        <v>157</v>
      </c>
      <c r="GP94" s="16">
        <v>244</v>
      </c>
      <c r="GQ94" s="16">
        <v>950</v>
      </c>
      <c r="GR94" s="16">
        <v>613</v>
      </c>
      <c r="GS94" s="16">
        <v>68</v>
      </c>
      <c r="GT94" s="16">
        <v>244</v>
      </c>
      <c r="GU94" s="16">
        <v>1270</v>
      </c>
      <c r="GV94" s="16">
        <v>1761</v>
      </c>
      <c r="GW94" s="16">
        <v>1294</v>
      </c>
      <c r="GX94" s="16">
        <v>183</v>
      </c>
      <c r="GY94" s="16">
        <v>25</v>
      </c>
      <c r="GZ94" s="16">
        <v>3514</v>
      </c>
      <c r="HA94" s="16">
        <v>3439</v>
      </c>
      <c r="HB94" s="16">
        <v>4634</v>
      </c>
      <c r="HC94" s="16">
        <v>2581</v>
      </c>
      <c r="HD94" s="16">
        <v>5816</v>
      </c>
      <c r="HE94" s="16">
        <v>5346</v>
      </c>
      <c r="HF94" s="16">
        <v>12966</v>
      </c>
      <c r="HG94" s="16">
        <v>450</v>
      </c>
      <c r="HH94" s="16">
        <v>754</v>
      </c>
      <c r="HI94" s="16">
        <v>3542</v>
      </c>
      <c r="HJ94" s="16">
        <v>1497</v>
      </c>
      <c r="HK94" s="16">
        <v>1987</v>
      </c>
      <c r="HL94" s="16">
        <v>5533</v>
      </c>
      <c r="HM94" s="16">
        <v>155</v>
      </c>
      <c r="HN94" s="16">
        <v>2096</v>
      </c>
      <c r="HO94" s="16">
        <v>319</v>
      </c>
      <c r="HP94" s="16">
        <v>680</v>
      </c>
      <c r="HQ94" s="16">
        <v>585</v>
      </c>
      <c r="HR94" s="16">
        <v>1137</v>
      </c>
      <c r="HS94" s="16">
        <v>1912</v>
      </c>
      <c r="HT94" s="16">
        <v>183</v>
      </c>
      <c r="HU94" s="16">
        <v>754</v>
      </c>
      <c r="HV94" s="16">
        <v>293</v>
      </c>
      <c r="HW94" s="16">
        <v>178</v>
      </c>
      <c r="HX94" s="16">
        <v>931</v>
      </c>
      <c r="HY94" s="16">
        <v>469</v>
      </c>
      <c r="HZ94" s="16">
        <v>791</v>
      </c>
      <c r="IA94" s="16">
        <v>309</v>
      </c>
      <c r="IB94" s="16">
        <v>23</v>
      </c>
      <c r="IC94" s="16">
        <v>55</v>
      </c>
      <c r="ID94" s="16">
        <v>129</v>
      </c>
      <c r="IE94" s="16">
        <v>7</v>
      </c>
      <c r="IF94" s="16">
        <v>141</v>
      </c>
      <c r="IG94" s="16">
        <v>675</v>
      </c>
      <c r="IH94" s="16">
        <v>345</v>
      </c>
      <c r="II94" s="16">
        <v>48</v>
      </c>
      <c r="IJ94" s="16">
        <v>3</v>
      </c>
      <c r="IK94" s="16">
        <v>34</v>
      </c>
      <c r="IL94" s="16">
        <v>21</v>
      </c>
      <c r="IM94" s="16">
        <v>7</v>
      </c>
      <c r="IN94" s="16">
        <v>363</v>
      </c>
      <c r="IO94" s="16">
        <v>2488</v>
      </c>
      <c r="IP94" s="16">
        <v>12</v>
      </c>
      <c r="IQ94" s="16">
        <v>4</v>
      </c>
      <c r="IR94" s="16">
        <v>25</v>
      </c>
      <c r="IS94" s="16">
        <v>704</v>
      </c>
      <c r="IT94" s="16">
        <v>44</v>
      </c>
      <c r="IU94" s="16">
        <v>17</v>
      </c>
      <c r="IV94" s="16">
        <v>788</v>
      </c>
      <c r="IW94" s="16">
        <v>4207</v>
      </c>
      <c r="IX94" s="16">
        <v>1788</v>
      </c>
      <c r="IY94" s="16">
        <v>703</v>
      </c>
      <c r="IZ94" s="16">
        <v>53</v>
      </c>
      <c r="JA94" s="16">
        <v>810</v>
      </c>
      <c r="JB94" s="16">
        <v>33</v>
      </c>
      <c r="JC94" s="16">
        <v>933</v>
      </c>
      <c r="JD94" s="16">
        <v>38</v>
      </c>
      <c r="JE94" s="16">
        <v>10862</v>
      </c>
      <c r="JF94" s="16">
        <v>5134</v>
      </c>
      <c r="JG94" s="16">
        <v>4780</v>
      </c>
      <c r="JH94" s="16">
        <v>123</v>
      </c>
      <c r="JI94" s="16">
        <v>117</v>
      </c>
      <c r="JJ94" s="16">
        <v>172</v>
      </c>
      <c r="JK94" s="16">
        <v>33</v>
      </c>
      <c r="JL94" s="16">
        <v>23</v>
      </c>
      <c r="JM94" s="16">
        <v>1</v>
      </c>
      <c r="JN94" s="16">
        <v>11</v>
      </c>
      <c r="JO94" s="16">
        <v>68</v>
      </c>
      <c r="JP94" s="16">
        <v>506</v>
      </c>
      <c r="JQ94" s="16">
        <v>202</v>
      </c>
      <c r="JR94" s="16">
        <v>2412</v>
      </c>
      <c r="JS94" s="16">
        <v>361</v>
      </c>
      <c r="JT94" s="16">
        <v>0</v>
      </c>
      <c r="JU94" s="16">
        <v>2588</v>
      </c>
      <c r="JV94" s="16">
        <v>457</v>
      </c>
      <c r="JW94" s="16">
        <v>219451</v>
      </c>
      <c r="JX94" s="16">
        <v>100545</v>
      </c>
      <c r="JY94" s="16">
        <v>120408</v>
      </c>
      <c r="JZ94" s="16">
        <v>690</v>
      </c>
      <c r="KA94" s="16">
        <v>617</v>
      </c>
      <c r="KB94" s="16">
        <v>81</v>
      </c>
      <c r="KC94" s="16">
        <v>825</v>
      </c>
      <c r="KD94" s="16">
        <v>276</v>
      </c>
      <c r="KE94" s="16">
        <v>67</v>
      </c>
      <c r="KF94" s="16">
        <v>504</v>
      </c>
      <c r="KG94" s="16">
        <v>124</v>
      </c>
      <c r="KH94" s="16">
        <v>59</v>
      </c>
      <c r="KI94" s="16">
        <v>2221</v>
      </c>
      <c r="KJ94" s="16">
        <v>9302</v>
      </c>
      <c r="KK94" s="16">
        <v>313830</v>
      </c>
      <c r="KL94" s="16">
        <v>9</v>
      </c>
      <c r="KM94" s="16">
        <v>97</v>
      </c>
      <c r="KN94" s="16">
        <v>301</v>
      </c>
      <c r="KO94" s="16">
        <v>1138</v>
      </c>
      <c r="KP94" s="16">
        <v>25</v>
      </c>
      <c r="KQ94" s="16">
        <v>92</v>
      </c>
      <c r="KR94" s="16">
        <v>7367</v>
      </c>
      <c r="KS94" s="16">
        <v>12</v>
      </c>
      <c r="KT94" s="16">
        <v>137</v>
      </c>
      <c r="KU94" s="16">
        <v>4722</v>
      </c>
      <c r="KV94" s="16">
        <v>3762</v>
      </c>
      <c r="KW94" s="16">
        <v>28801</v>
      </c>
      <c r="KX94" s="16">
        <v>102</v>
      </c>
      <c r="KY94" s="16">
        <v>23508</v>
      </c>
      <c r="KZ94" s="16">
        <v>17068</v>
      </c>
      <c r="LA94" s="16">
        <v>47130</v>
      </c>
      <c r="LB94" s="16">
        <v>1211</v>
      </c>
      <c r="LC94" s="16">
        <v>5611</v>
      </c>
      <c r="LD94" s="16">
        <v>899</v>
      </c>
      <c r="LE94" s="16">
        <v>1411</v>
      </c>
      <c r="LF94" s="16">
        <v>621</v>
      </c>
      <c r="LG94" s="16">
        <v>501</v>
      </c>
      <c r="LH94" s="16">
        <v>4424</v>
      </c>
      <c r="LI94" s="16">
        <v>8</v>
      </c>
      <c r="LJ94" s="16">
        <v>369</v>
      </c>
      <c r="LK94" s="16">
        <v>3393</v>
      </c>
      <c r="LL94" s="16">
        <v>7141</v>
      </c>
      <c r="LM94" s="16">
        <v>1028</v>
      </c>
      <c r="LN94" s="16">
        <v>18708</v>
      </c>
      <c r="LO94" s="16">
        <v>10056</v>
      </c>
      <c r="LP94" s="16">
        <v>10638</v>
      </c>
      <c r="LQ94" s="16">
        <v>1346</v>
      </c>
      <c r="LR94" s="16">
        <v>8350</v>
      </c>
      <c r="LS94" s="16">
        <v>2794</v>
      </c>
      <c r="LT94" s="16">
        <v>17375</v>
      </c>
      <c r="LU94" s="16">
        <v>3838</v>
      </c>
      <c r="LV94" s="16">
        <v>35</v>
      </c>
      <c r="LW94" s="16">
        <v>1738</v>
      </c>
      <c r="LX94" s="16">
        <v>5608</v>
      </c>
      <c r="LY94" s="16">
        <v>0</v>
      </c>
      <c r="LZ94" s="16">
        <v>4796</v>
      </c>
      <c r="MA94" s="16">
        <v>2028</v>
      </c>
      <c r="MB94" s="16">
        <v>44713</v>
      </c>
      <c r="MC94" s="16">
        <v>6885</v>
      </c>
      <c r="MD94" s="16">
        <v>7312</v>
      </c>
      <c r="ME94" s="16">
        <v>1005</v>
      </c>
      <c r="MF94" s="16">
        <v>8297</v>
      </c>
      <c r="MG94" s="16">
        <v>16058</v>
      </c>
      <c r="MH94" s="16">
        <v>282958</v>
      </c>
      <c r="MI94" s="16">
        <v>2116</v>
      </c>
      <c r="MJ94" s="16">
        <v>10308</v>
      </c>
      <c r="MK94" s="16">
        <v>27855</v>
      </c>
      <c r="ML94" s="16">
        <v>3925</v>
      </c>
      <c r="MM94" s="16">
        <v>21881</v>
      </c>
      <c r="MN94" s="16">
        <v>14238</v>
      </c>
      <c r="MO94" s="16">
        <v>5225</v>
      </c>
      <c r="MP94" s="16">
        <v>7973</v>
      </c>
      <c r="MQ94" s="16">
        <v>32528</v>
      </c>
      <c r="MR94" s="16">
        <v>3033</v>
      </c>
      <c r="MS94" s="16">
        <v>1921</v>
      </c>
      <c r="MT94" s="16">
        <v>2368</v>
      </c>
      <c r="MU94" s="16">
        <v>2561</v>
      </c>
      <c r="MV94" s="16">
        <v>2289</v>
      </c>
      <c r="MW94" s="16">
        <v>23784</v>
      </c>
      <c r="MX94" s="16">
        <v>204</v>
      </c>
      <c r="MY94" s="16">
        <v>288</v>
      </c>
      <c r="MZ94" s="16">
        <v>1446</v>
      </c>
      <c r="NA94" s="16">
        <v>4708</v>
      </c>
      <c r="NB94" s="16">
        <v>12973</v>
      </c>
      <c r="NC94" s="16">
        <v>6242</v>
      </c>
      <c r="ND94" s="16">
        <v>1328</v>
      </c>
      <c r="NE94" s="16">
        <v>424</v>
      </c>
      <c r="NF94" s="16">
        <v>7490</v>
      </c>
      <c r="NG94" s="16">
        <v>5324</v>
      </c>
      <c r="NH94" s="16">
        <v>582</v>
      </c>
      <c r="NI94" s="16">
        <v>1682</v>
      </c>
      <c r="NJ94" s="16">
        <v>21187</v>
      </c>
      <c r="NK94" s="16">
        <v>334</v>
      </c>
      <c r="NL94" s="16">
        <v>100</v>
      </c>
      <c r="NM94" s="16">
        <v>1756</v>
      </c>
      <c r="NN94" s="16">
        <v>128</v>
      </c>
      <c r="NO94" s="16">
        <v>0</v>
      </c>
      <c r="NP94" s="16">
        <v>1908</v>
      </c>
      <c r="NQ94" s="16">
        <v>308</v>
      </c>
      <c r="NR94" s="17">
        <v>2525938</v>
      </c>
    </row>
    <row r="95" spans="1:382" ht="13.5" customHeight="1" x14ac:dyDescent="0.2">
      <c r="A95" s="2" t="s">
        <v>197</v>
      </c>
      <c r="B95" s="16">
        <v>167</v>
      </c>
      <c r="C95" s="16">
        <v>0</v>
      </c>
      <c r="D95" s="16">
        <v>7</v>
      </c>
      <c r="E95" s="16">
        <v>4</v>
      </c>
      <c r="F95" s="16">
        <v>264</v>
      </c>
      <c r="G95" s="16">
        <v>280</v>
      </c>
      <c r="H95" s="16">
        <v>2</v>
      </c>
      <c r="I95" s="16">
        <v>0</v>
      </c>
      <c r="J95" s="16">
        <v>0</v>
      </c>
      <c r="K95" s="16">
        <v>0</v>
      </c>
      <c r="L95" s="16">
        <v>51</v>
      </c>
      <c r="M95" s="16">
        <v>3</v>
      </c>
      <c r="N95" s="16">
        <v>0</v>
      </c>
      <c r="O95" s="16">
        <v>1</v>
      </c>
      <c r="P95" s="16">
        <v>415</v>
      </c>
      <c r="Q95" s="16">
        <v>1402</v>
      </c>
      <c r="R95" s="16">
        <v>608</v>
      </c>
      <c r="S95" s="16">
        <v>13</v>
      </c>
      <c r="T95" s="16">
        <v>12</v>
      </c>
      <c r="U95" s="16">
        <v>68</v>
      </c>
      <c r="V95" s="16">
        <v>58</v>
      </c>
      <c r="W95" s="16">
        <v>3</v>
      </c>
      <c r="X95" s="16">
        <v>65</v>
      </c>
      <c r="Y95" s="16">
        <v>714</v>
      </c>
      <c r="Z95" s="16">
        <v>3641</v>
      </c>
      <c r="AA95" s="16">
        <v>15</v>
      </c>
      <c r="AB95" s="16">
        <v>0</v>
      </c>
      <c r="AC95" s="16">
        <v>0</v>
      </c>
      <c r="AD95" s="16">
        <v>0</v>
      </c>
      <c r="AE95" s="16">
        <v>1</v>
      </c>
      <c r="AF95" s="16">
        <v>13</v>
      </c>
      <c r="AG95" s="16">
        <v>627</v>
      </c>
      <c r="AH95" s="16">
        <v>418</v>
      </c>
      <c r="AI95" s="16">
        <v>488</v>
      </c>
      <c r="AJ95" s="16">
        <v>866</v>
      </c>
      <c r="AK95" s="16">
        <v>4183</v>
      </c>
      <c r="AL95" s="16">
        <v>515</v>
      </c>
      <c r="AM95" s="16">
        <v>9286</v>
      </c>
      <c r="AN95" s="16">
        <v>1769</v>
      </c>
      <c r="AO95" s="16">
        <v>2360</v>
      </c>
      <c r="AP95" s="16">
        <v>6</v>
      </c>
      <c r="AQ95" s="16">
        <v>295</v>
      </c>
      <c r="AR95" s="16">
        <v>0</v>
      </c>
      <c r="AS95" s="16">
        <v>42</v>
      </c>
      <c r="AT95" s="16">
        <v>561</v>
      </c>
      <c r="AU95" s="16">
        <v>502</v>
      </c>
      <c r="AV95" s="16">
        <v>361</v>
      </c>
      <c r="AW95" s="16">
        <v>2182</v>
      </c>
      <c r="AX95" s="16">
        <v>361</v>
      </c>
      <c r="AY95" s="16">
        <v>115</v>
      </c>
      <c r="AZ95" s="16">
        <v>2533</v>
      </c>
      <c r="BA95" s="16">
        <v>6136</v>
      </c>
      <c r="BB95" s="16">
        <v>1190</v>
      </c>
      <c r="BC95" s="16">
        <v>1347</v>
      </c>
      <c r="BD95" s="16">
        <v>52</v>
      </c>
      <c r="BE95" s="16">
        <v>2411</v>
      </c>
      <c r="BF95" s="16">
        <v>8495</v>
      </c>
      <c r="BG95" s="16">
        <v>3029</v>
      </c>
      <c r="BH95" s="16">
        <v>3448</v>
      </c>
      <c r="BI95" s="16">
        <v>39752</v>
      </c>
      <c r="BJ95" s="16">
        <v>183</v>
      </c>
      <c r="BK95" s="16">
        <v>193</v>
      </c>
      <c r="BL95" s="16">
        <v>1732</v>
      </c>
      <c r="BM95" s="16">
        <v>1628</v>
      </c>
      <c r="BN95" s="16">
        <v>811</v>
      </c>
      <c r="BO95" s="16">
        <v>1343</v>
      </c>
      <c r="BP95" s="16">
        <v>2337</v>
      </c>
      <c r="BQ95" s="16">
        <v>546</v>
      </c>
      <c r="BR95" s="16">
        <v>93</v>
      </c>
      <c r="BS95" s="16">
        <v>5934</v>
      </c>
      <c r="BT95" s="16">
        <v>8521</v>
      </c>
      <c r="BU95" s="16">
        <v>465</v>
      </c>
      <c r="BV95" s="16">
        <v>6</v>
      </c>
      <c r="BW95" s="16">
        <v>1309</v>
      </c>
      <c r="BX95" s="16">
        <v>138</v>
      </c>
      <c r="BY95" s="16">
        <v>1</v>
      </c>
      <c r="BZ95" s="16">
        <v>2997</v>
      </c>
      <c r="CA95" s="16">
        <v>4517</v>
      </c>
      <c r="CB95" s="16">
        <v>48</v>
      </c>
      <c r="CC95" s="16">
        <v>4056</v>
      </c>
      <c r="CD95" s="16">
        <v>370</v>
      </c>
      <c r="CE95" s="16">
        <v>346</v>
      </c>
      <c r="CF95" s="16">
        <v>810</v>
      </c>
      <c r="CG95" s="16">
        <v>209</v>
      </c>
      <c r="CH95" s="16">
        <v>1747</v>
      </c>
      <c r="CI95" s="16">
        <v>242</v>
      </c>
      <c r="CJ95" s="16">
        <v>1415</v>
      </c>
      <c r="CK95" s="16">
        <v>14633</v>
      </c>
      <c r="CL95" s="16">
        <v>15023</v>
      </c>
      <c r="CM95" s="16">
        <v>125593</v>
      </c>
      <c r="CN95" s="16">
        <v>12321</v>
      </c>
      <c r="CO95" s="16">
        <v>1769</v>
      </c>
      <c r="CP95" s="16">
        <v>36353</v>
      </c>
      <c r="CQ95" s="16">
        <v>1506656</v>
      </c>
      <c r="CR95" s="16">
        <v>64</v>
      </c>
      <c r="CS95" s="16">
        <v>2936</v>
      </c>
      <c r="CT95" s="16">
        <v>1535</v>
      </c>
      <c r="CU95" s="16">
        <v>4833</v>
      </c>
      <c r="CV95" s="16">
        <v>6425</v>
      </c>
      <c r="CW95" s="16">
        <v>26363</v>
      </c>
      <c r="CX95" s="16">
        <v>6367</v>
      </c>
      <c r="CY95" s="16">
        <v>1314</v>
      </c>
      <c r="CZ95" s="16">
        <v>1646</v>
      </c>
      <c r="DA95" s="16">
        <v>94</v>
      </c>
      <c r="DB95" s="16">
        <v>1910</v>
      </c>
      <c r="DC95" s="16">
        <v>40</v>
      </c>
      <c r="DD95" s="16">
        <v>296</v>
      </c>
      <c r="DE95" s="16">
        <v>149</v>
      </c>
      <c r="DF95" s="16">
        <v>1173</v>
      </c>
      <c r="DG95" s="16">
        <v>653</v>
      </c>
      <c r="DH95" s="16">
        <v>424</v>
      </c>
      <c r="DI95" s="16">
        <v>751</v>
      </c>
      <c r="DJ95" s="16">
        <v>3131</v>
      </c>
      <c r="DK95" s="16">
        <v>423</v>
      </c>
      <c r="DL95" s="16">
        <v>768</v>
      </c>
      <c r="DM95" s="16">
        <v>215519</v>
      </c>
      <c r="DN95" s="16">
        <v>486</v>
      </c>
      <c r="DO95" s="16">
        <v>992</v>
      </c>
      <c r="DP95" s="16">
        <v>2341</v>
      </c>
      <c r="DQ95" s="16">
        <v>419</v>
      </c>
      <c r="DR95" s="16">
        <v>4118</v>
      </c>
      <c r="DS95" s="16">
        <v>39971</v>
      </c>
      <c r="DT95" s="16">
        <v>3487</v>
      </c>
      <c r="DU95" s="16">
        <v>1352</v>
      </c>
      <c r="DV95" s="16">
        <v>495</v>
      </c>
      <c r="DW95" s="16">
        <v>8828</v>
      </c>
      <c r="DX95" s="16">
        <v>9453</v>
      </c>
      <c r="DY95" s="16">
        <v>8708</v>
      </c>
      <c r="DZ95" s="16">
        <v>28462</v>
      </c>
      <c r="EA95" s="16">
        <v>10106</v>
      </c>
      <c r="EB95" s="16">
        <v>185</v>
      </c>
      <c r="EC95" s="16">
        <v>1285</v>
      </c>
      <c r="ED95" s="16">
        <v>532</v>
      </c>
      <c r="EE95" s="16">
        <v>2</v>
      </c>
      <c r="EF95" s="16">
        <v>19</v>
      </c>
      <c r="EG95" s="16">
        <v>1207</v>
      </c>
      <c r="EH95" s="16">
        <v>223</v>
      </c>
      <c r="EI95" s="16">
        <v>3305</v>
      </c>
      <c r="EJ95" s="16">
        <v>655</v>
      </c>
      <c r="EK95" s="16">
        <v>122</v>
      </c>
      <c r="EL95" s="16">
        <v>52</v>
      </c>
      <c r="EM95" s="16">
        <v>114</v>
      </c>
      <c r="EN95" s="16">
        <v>1741</v>
      </c>
      <c r="EO95" s="16">
        <v>1785</v>
      </c>
      <c r="EP95" s="16">
        <v>146</v>
      </c>
      <c r="EQ95" s="16">
        <v>477</v>
      </c>
      <c r="ER95" s="16">
        <v>474</v>
      </c>
      <c r="ES95" s="16">
        <v>160</v>
      </c>
      <c r="ET95" s="16">
        <v>929</v>
      </c>
      <c r="EU95" s="16">
        <v>17</v>
      </c>
      <c r="EV95" s="16">
        <v>17</v>
      </c>
      <c r="EW95" s="16">
        <v>23</v>
      </c>
      <c r="EX95" s="16">
        <v>3038</v>
      </c>
      <c r="EY95" s="16">
        <v>126</v>
      </c>
      <c r="EZ95" s="16">
        <v>10</v>
      </c>
      <c r="FA95" s="16">
        <v>141</v>
      </c>
      <c r="FB95" s="16">
        <v>291</v>
      </c>
      <c r="FC95" s="16">
        <v>27</v>
      </c>
      <c r="FD95" s="16">
        <v>920</v>
      </c>
      <c r="FE95" s="16">
        <v>80</v>
      </c>
      <c r="FF95" s="16">
        <v>177</v>
      </c>
      <c r="FG95" s="16">
        <v>718</v>
      </c>
      <c r="FH95" s="16">
        <v>23</v>
      </c>
      <c r="FI95" s="16">
        <v>311</v>
      </c>
      <c r="FJ95" s="16">
        <v>98</v>
      </c>
      <c r="FK95" s="16">
        <v>790</v>
      </c>
      <c r="FL95" s="16">
        <v>11</v>
      </c>
      <c r="FM95" s="16">
        <v>286</v>
      </c>
      <c r="FN95" s="16">
        <v>1829</v>
      </c>
      <c r="FO95" s="16">
        <v>502</v>
      </c>
      <c r="FP95" s="16">
        <v>835</v>
      </c>
      <c r="FQ95" s="16">
        <v>2071</v>
      </c>
      <c r="FR95" s="16">
        <v>716</v>
      </c>
      <c r="FS95" s="16">
        <v>6558</v>
      </c>
      <c r="FT95" s="16">
        <v>942</v>
      </c>
      <c r="FU95" s="16">
        <v>1358</v>
      </c>
      <c r="FV95" s="16">
        <v>3027</v>
      </c>
      <c r="FW95" s="16">
        <v>1507</v>
      </c>
      <c r="FX95" s="16">
        <v>2373</v>
      </c>
      <c r="FY95" s="16">
        <v>1595</v>
      </c>
      <c r="FZ95" s="16">
        <v>2866</v>
      </c>
      <c r="GA95" s="16">
        <v>1399</v>
      </c>
      <c r="GB95" s="16">
        <v>2853</v>
      </c>
      <c r="GC95" s="16">
        <v>1204</v>
      </c>
      <c r="GD95" s="16">
        <v>2776</v>
      </c>
      <c r="GE95" s="16">
        <v>5483</v>
      </c>
      <c r="GF95" s="16">
        <v>7552</v>
      </c>
      <c r="GG95" s="16">
        <v>3273</v>
      </c>
      <c r="GH95" s="16">
        <v>2393</v>
      </c>
      <c r="GI95" s="16">
        <v>708</v>
      </c>
      <c r="GJ95" s="16">
        <v>2057</v>
      </c>
      <c r="GK95" s="16">
        <v>7966</v>
      </c>
      <c r="GL95" s="16">
        <v>295</v>
      </c>
      <c r="GM95" s="16">
        <v>11268</v>
      </c>
      <c r="GN95" s="16">
        <v>1503</v>
      </c>
      <c r="GO95" s="16">
        <v>795</v>
      </c>
      <c r="GP95" s="16">
        <v>11380</v>
      </c>
      <c r="GQ95" s="16">
        <v>3530</v>
      </c>
      <c r="GR95" s="16">
        <v>1593</v>
      </c>
      <c r="GS95" s="16">
        <v>112</v>
      </c>
      <c r="GT95" s="16">
        <v>386</v>
      </c>
      <c r="GU95" s="16">
        <v>3569</v>
      </c>
      <c r="GV95" s="16">
        <v>2766</v>
      </c>
      <c r="GW95" s="16">
        <v>1317</v>
      </c>
      <c r="GX95" s="16">
        <v>2814</v>
      </c>
      <c r="GY95" s="16">
        <v>20</v>
      </c>
      <c r="GZ95" s="16">
        <v>2899</v>
      </c>
      <c r="HA95" s="16">
        <v>849</v>
      </c>
      <c r="HB95" s="16">
        <v>2236</v>
      </c>
      <c r="HC95" s="16">
        <v>1700</v>
      </c>
      <c r="HD95" s="16">
        <v>3696</v>
      </c>
      <c r="HE95" s="16">
        <v>15202</v>
      </c>
      <c r="HF95" s="16">
        <v>2496</v>
      </c>
      <c r="HG95" s="16">
        <v>673</v>
      </c>
      <c r="HH95" s="16">
        <v>1179</v>
      </c>
      <c r="HI95" s="16">
        <v>2864</v>
      </c>
      <c r="HJ95" s="16">
        <v>313</v>
      </c>
      <c r="HK95" s="16">
        <v>419</v>
      </c>
      <c r="HL95" s="16">
        <v>5060</v>
      </c>
      <c r="HM95" s="16">
        <v>554</v>
      </c>
      <c r="HN95" s="16">
        <v>1242</v>
      </c>
      <c r="HO95" s="16">
        <v>1149</v>
      </c>
      <c r="HP95" s="16">
        <v>445</v>
      </c>
      <c r="HQ95" s="16">
        <v>1032</v>
      </c>
      <c r="HR95" s="16">
        <v>1026</v>
      </c>
      <c r="HS95" s="16">
        <v>2020</v>
      </c>
      <c r="HT95" s="16">
        <v>1012</v>
      </c>
      <c r="HU95" s="16">
        <v>1702</v>
      </c>
      <c r="HV95" s="16">
        <v>1067</v>
      </c>
      <c r="HW95" s="16">
        <v>881</v>
      </c>
      <c r="HX95" s="16">
        <v>910</v>
      </c>
      <c r="HY95" s="16">
        <v>569</v>
      </c>
      <c r="HZ95" s="16">
        <v>3059</v>
      </c>
      <c r="IA95" s="16">
        <v>533</v>
      </c>
      <c r="IB95" s="16">
        <v>160</v>
      </c>
      <c r="IC95" s="16">
        <v>98</v>
      </c>
      <c r="ID95" s="16">
        <v>191</v>
      </c>
      <c r="IE95" s="16">
        <v>29</v>
      </c>
      <c r="IF95" s="16">
        <v>211</v>
      </c>
      <c r="IG95" s="16">
        <v>2568</v>
      </c>
      <c r="IH95" s="16">
        <v>5734</v>
      </c>
      <c r="II95" s="16">
        <v>759</v>
      </c>
      <c r="IJ95" s="16">
        <v>22</v>
      </c>
      <c r="IK95" s="16">
        <v>274</v>
      </c>
      <c r="IL95" s="16">
        <v>154</v>
      </c>
      <c r="IM95" s="16">
        <v>25</v>
      </c>
      <c r="IN95" s="16">
        <v>3380</v>
      </c>
      <c r="IO95" s="16">
        <v>1671</v>
      </c>
      <c r="IP95" s="16">
        <v>361</v>
      </c>
      <c r="IQ95" s="16">
        <v>26</v>
      </c>
      <c r="IR95" s="16">
        <v>51</v>
      </c>
      <c r="IS95" s="16">
        <v>287</v>
      </c>
      <c r="IT95" s="16">
        <v>202</v>
      </c>
      <c r="IU95" s="16">
        <v>3</v>
      </c>
      <c r="IV95" s="16">
        <v>885</v>
      </c>
      <c r="IW95" s="16">
        <v>1884</v>
      </c>
      <c r="IX95" s="16">
        <v>930</v>
      </c>
      <c r="IY95" s="16">
        <v>443</v>
      </c>
      <c r="IZ95" s="16">
        <v>117</v>
      </c>
      <c r="JA95" s="16">
        <v>992</v>
      </c>
      <c r="JB95" s="16">
        <v>100</v>
      </c>
      <c r="JC95" s="16">
        <v>984</v>
      </c>
      <c r="JD95" s="16">
        <v>43</v>
      </c>
      <c r="JE95" s="16">
        <v>6394</v>
      </c>
      <c r="JF95" s="16">
        <v>1299</v>
      </c>
      <c r="JG95" s="16">
        <v>181147</v>
      </c>
      <c r="JH95" s="16">
        <v>677</v>
      </c>
      <c r="JI95" s="16">
        <v>139</v>
      </c>
      <c r="JJ95" s="16">
        <v>923</v>
      </c>
      <c r="JK95" s="16">
        <v>258</v>
      </c>
      <c r="JL95" s="16">
        <v>136</v>
      </c>
      <c r="JM95" s="16">
        <v>102</v>
      </c>
      <c r="JN95" s="16">
        <v>1644</v>
      </c>
      <c r="JO95" s="16">
        <v>242</v>
      </c>
      <c r="JP95" s="16">
        <v>8489</v>
      </c>
      <c r="JQ95" s="16">
        <v>5652</v>
      </c>
      <c r="JR95" s="16">
        <v>19158</v>
      </c>
      <c r="JS95" s="16">
        <v>1578</v>
      </c>
      <c r="JT95" s="16">
        <v>0</v>
      </c>
      <c r="JU95" s="16">
        <v>5246</v>
      </c>
      <c r="JV95" s="16">
        <v>2205</v>
      </c>
      <c r="JW95" s="16">
        <v>552</v>
      </c>
      <c r="JX95" s="16">
        <v>568</v>
      </c>
      <c r="JY95" s="16">
        <v>1616</v>
      </c>
      <c r="JZ95" s="16">
        <v>359</v>
      </c>
      <c r="KA95" s="16">
        <v>603</v>
      </c>
      <c r="KB95" s="16">
        <v>54</v>
      </c>
      <c r="KC95" s="16">
        <v>331</v>
      </c>
      <c r="KD95" s="16">
        <v>11</v>
      </c>
      <c r="KE95" s="16">
        <v>195</v>
      </c>
      <c r="KF95" s="16">
        <v>879</v>
      </c>
      <c r="KG95" s="16">
        <v>249</v>
      </c>
      <c r="KH95" s="16">
        <v>162</v>
      </c>
      <c r="KI95" s="16">
        <v>79</v>
      </c>
      <c r="KJ95" s="16">
        <v>50</v>
      </c>
      <c r="KK95" s="16">
        <v>791358</v>
      </c>
      <c r="KL95" s="16">
        <v>58</v>
      </c>
      <c r="KM95" s="16">
        <v>403</v>
      </c>
      <c r="KN95" s="16">
        <v>78</v>
      </c>
      <c r="KO95" s="16">
        <v>2067</v>
      </c>
      <c r="KP95" s="16">
        <v>479</v>
      </c>
      <c r="KQ95" s="16">
        <v>683</v>
      </c>
      <c r="KR95" s="16">
        <v>18532</v>
      </c>
      <c r="KS95" s="16">
        <v>1308</v>
      </c>
      <c r="KT95" s="16">
        <v>632</v>
      </c>
      <c r="KU95" s="16">
        <v>11569</v>
      </c>
      <c r="KV95" s="16">
        <v>19527</v>
      </c>
      <c r="KW95" s="16">
        <v>20370</v>
      </c>
      <c r="KX95" s="16">
        <v>1315</v>
      </c>
      <c r="KY95" s="16">
        <v>59613</v>
      </c>
      <c r="KZ95" s="16">
        <v>40193</v>
      </c>
      <c r="LA95" s="16">
        <v>10193</v>
      </c>
      <c r="LB95" s="16">
        <v>1316</v>
      </c>
      <c r="LC95" s="16">
        <v>10153</v>
      </c>
      <c r="LD95" s="16">
        <v>22096</v>
      </c>
      <c r="LE95" s="16">
        <v>5654</v>
      </c>
      <c r="LF95" s="16">
        <v>2798</v>
      </c>
      <c r="LG95" s="16">
        <v>1068</v>
      </c>
      <c r="LH95" s="16">
        <v>13409</v>
      </c>
      <c r="LI95" s="16">
        <v>24</v>
      </c>
      <c r="LJ95" s="16">
        <v>1589</v>
      </c>
      <c r="LK95" s="16">
        <v>25572</v>
      </c>
      <c r="LL95" s="16">
        <v>14597</v>
      </c>
      <c r="LM95" s="16">
        <v>80428</v>
      </c>
      <c r="LN95" s="16">
        <v>67739</v>
      </c>
      <c r="LO95" s="16">
        <v>572140</v>
      </c>
      <c r="LP95" s="16">
        <v>42613</v>
      </c>
      <c r="LQ95" s="16">
        <v>5490</v>
      </c>
      <c r="LR95" s="16">
        <v>430207</v>
      </c>
      <c r="LS95" s="16">
        <v>14678</v>
      </c>
      <c r="LT95" s="16">
        <v>445425</v>
      </c>
      <c r="LU95" s="16">
        <v>179892</v>
      </c>
      <c r="LV95" s="16">
        <v>158</v>
      </c>
      <c r="LW95" s="16">
        <v>224060</v>
      </c>
      <c r="LX95" s="16">
        <v>190886</v>
      </c>
      <c r="LY95" s="16">
        <v>0</v>
      </c>
      <c r="LZ95" s="16">
        <v>7726</v>
      </c>
      <c r="MA95" s="16">
        <v>10668</v>
      </c>
      <c r="MB95" s="16">
        <v>14316</v>
      </c>
      <c r="MC95" s="16">
        <v>219051</v>
      </c>
      <c r="MD95" s="16">
        <v>19430</v>
      </c>
      <c r="ME95" s="16">
        <v>3068</v>
      </c>
      <c r="MF95" s="16">
        <v>251445</v>
      </c>
      <c r="MG95" s="16">
        <v>107079</v>
      </c>
      <c r="MH95" s="16">
        <v>2094909</v>
      </c>
      <c r="MI95" s="16">
        <v>24206</v>
      </c>
      <c r="MJ95" s="16">
        <v>214586</v>
      </c>
      <c r="MK95" s="16">
        <v>38889</v>
      </c>
      <c r="ML95" s="16">
        <v>7009</v>
      </c>
      <c r="MM95" s="16">
        <v>66137</v>
      </c>
      <c r="MN95" s="16">
        <v>54288</v>
      </c>
      <c r="MO95" s="16">
        <v>21215</v>
      </c>
      <c r="MP95" s="16">
        <v>13219</v>
      </c>
      <c r="MQ95" s="16">
        <v>69097</v>
      </c>
      <c r="MR95" s="16">
        <v>601078</v>
      </c>
      <c r="MS95" s="16">
        <v>251203</v>
      </c>
      <c r="MT95" s="16">
        <v>14471</v>
      </c>
      <c r="MU95" s="16">
        <v>325399</v>
      </c>
      <c r="MV95" s="16">
        <v>14829</v>
      </c>
      <c r="MW95" s="16">
        <v>307737</v>
      </c>
      <c r="MX95" s="16">
        <v>15938</v>
      </c>
      <c r="MY95" s="16">
        <v>152282</v>
      </c>
      <c r="MZ95" s="16">
        <v>201969</v>
      </c>
      <c r="NA95" s="16">
        <v>31977</v>
      </c>
      <c r="NB95" s="16">
        <v>2921</v>
      </c>
      <c r="NC95" s="16">
        <v>53447</v>
      </c>
      <c r="ND95" s="16">
        <v>17238</v>
      </c>
      <c r="NE95" s="16">
        <v>3456</v>
      </c>
      <c r="NF95" s="16">
        <v>26750</v>
      </c>
      <c r="NG95" s="16">
        <v>12215</v>
      </c>
      <c r="NH95" s="16">
        <v>41722</v>
      </c>
      <c r="NI95" s="16">
        <v>77207</v>
      </c>
      <c r="NJ95" s="16">
        <v>352901</v>
      </c>
      <c r="NK95" s="16">
        <v>1445</v>
      </c>
      <c r="NL95" s="16">
        <v>733</v>
      </c>
      <c r="NM95" s="16">
        <v>12478</v>
      </c>
      <c r="NN95" s="16">
        <v>1219</v>
      </c>
      <c r="NO95" s="16">
        <v>0</v>
      </c>
      <c r="NP95" s="16">
        <v>44722</v>
      </c>
      <c r="NQ95" s="16">
        <v>1572</v>
      </c>
      <c r="NR95" s="17">
        <v>11831207</v>
      </c>
    </row>
    <row r="96" spans="1:382" ht="13.5" customHeight="1" x14ac:dyDescent="0.2">
      <c r="A96" s="2" t="s">
        <v>199</v>
      </c>
      <c r="B96" s="16">
        <v>0</v>
      </c>
      <c r="C96" s="16">
        <v>0</v>
      </c>
      <c r="D96" s="16">
        <v>0</v>
      </c>
      <c r="E96" s="16">
        <v>0</v>
      </c>
      <c r="F96" s="16">
        <v>9320</v>
      </c>
      <c r="G96" s="16">
        <v>107</v>
      </c>
      <c r="H96" s="16">
        <v>1463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4327</v>
      </c>
      <c r="R96" s="16">
        <v>824</v>
      </c>
      <c r="S96" s="16">
        <v>463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2596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8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  <c r="CC96" s="16">
        <v>0</v>
      </c>
      <c r="CD96" s="16">
        <v>0</v>
      </c>
      <c r="CE96" s="16">
        <v>0</v>
      </c>
      <c r="CF96" s="16">
        <v>0</v>
      </c>
      <c r="CG96" s="16">
        <v>0</v>
      </c>
      <c r="CH96" s="16">
        <v>0</v>
      </c>
      <c r="CI96" s="16">
        <v>0</v>
      </c>
      <c r="CJ96" s="16">
        <v>0</v>
      </c>
      <c r="CK96" s="16">
        <v>0</v>
      </c>
      <c r="CL96" s="16">
        <v>0</v>
      </c>
      <c r="CM96" s="16">
        <v>0</v>
      </c>
      <c r="CN96" s="16">
        <v>0</v>
      </c>
      <c r="CO96" s="16">
        <v>0</v>
      </c>
      <c r="CP96" s="16">
        <v>0</v>
      </c>
      <c r="CQ96" s="16">
        <v>0</v>
      </c>
      <c r="CR96" s="16">
        <v>3438</v>
      </c>
      <c r="CS96" s="16">
        <v>0</v>
      </c>
      <c r="CT96" s="16">
        <v>0</v>
      </c>
      <c r="CU96" s="16">
        <v>0</v>
      </c>
      <c r="CV96" s="16">
        <v>0</v>
      </c>
      <c r="CW96" s="16">
        <v>0</v>
      </c>
      <c r="CX96" s="16">
        <v>0</v>
      </c>
      <c r="CY96" s="16">
        <v>0</v>
      </c>
      <c r="CZ96" s="16">
        <v>0</v>
      </c>
      <c r="DA96" s="16">
        <v>0</v>
      </c>
      <c r="DB96" s="16">
        <v>0</v>
      </c>
      <c r="DC96" s="16">
        <v>0</v>
      </c>
      <c r="DD96" s="16">
        <v>0</v>
      </c>
      <c r="DE96" s="16">
        <v>1064</v>
      </c>
      <c r="DF96" s="16">
        <v>14697</v>
      </c>
      <c r="DG96" s="16">
        <v>748</v>
      </c>
      <c r="DH96" s="16">
        <v>11013</v>
      </c>
      <c r="DI96" s="16">
        <v>0</v>
      </c>
      <c r="DJ96" s="16">
        <v>0</v>
      </c>
      <c r="DK96" s="16">
        <v>0</v>
      </c>
      <c r="DL96" s="16">
        <v>0</v>
      </c>
      <c r="DM96" s="16">
        <v>0</v>
      </c>
      <c r="DN96" s="16">
        <v>0</v>
      </c>
      <c r="DO96" s="16">
        <v>0</v>
      </c>
      <c r="DP96" s="16">
        <v>1810</v>
      </c>
      <c r="DQ96" s="16">
        <v>0</v>
      </c>
      <c r="DR96" s="16">
        <v>0</v>
      </c>
      <c r="DS96" s="16">
        <v>0</v>
      </c>
      <c r="DT96" s="16">
        <v>0</v>
      </c>
      <c r="DU96" s="16">
        <v>0</v>
      </c>
      <c r="DV96" s="16">
        <v>2827</v>
      </c>
      <c r="DW96" s="16">
        <v>0</v>
      </c>
      <c r="DX96" s="16">
        <v>0</v>
      </c>
      <c r="DY96" s="16">
        <v>0</v>
      </c>
      <c r="DZ96" s="16">
        <v>0</v>
      </c>
      <c r="EA96" s="16">
        <v>0</v>
      </c>
      <c r="EB96" s="16">
        <v>0</v>
      </c>
      <c r="EC96" s="16">
        <v>0</v>
      </c>
      <c r="ED96" s="16">
        <v>0</v>
      </c>
      <c r="EE96" s="16">
        <v>0</v>
      </c>
      <c r="EF96" s="16">
        <v>0</v>
      </c>
      <c r="EG96" s="16">
        <v>0</v>
      </c>
      <c r="EH96" s="16">
        <v>0</v>
      </c>
      <c r="EI96" s="16">
        <v>0</v>
      </c>
      <c r="EJ96" s="16">
        <v>0</v>
      </c>
      <c r="EK96" s="16">
        <v>2394</v>
      </c>
      <c r="EL96" s="16">
        <v>0</v>
      </c>
      <c r="EM96" s="16">
        <v>22809</v>
      </c>
      <c r="EN96" s="16">
        <v>816</v>
      </c>
      <c r="EO96" s="16">
        <v>3654</v>
      </c>
      <c r="EP96" s="16">
        <v>0</v>
      </c>
      <c r="EQ96" s="16">
        <v>2051</v>
      </c>
      <c r="ER96" s="16">
        <v>0</v>
      </c>
      <c r="ES96" s="16">
        <v>9315</v>
      </c>
      <c r="ET96" s="16">
        <v>967</v>
      </c>
      <c r="EU96" s="16">
        <v>5075</v>
      </c>
      <c r="EV96" s="16">
        <v>7749</v>
      </c>
      <c r="EW96" s="16">
        <v>20200</v>
      </c>
      <c r="EX96" s="16">
        <v>9725</v>
      </c>
      <c r="EY96" s="16">
        <v>4537</v>
      </c>
      <c r="EZ96" s="16">
        <v>20639</v>
      </c>
      <c r="FA96" s="16">
        <v>70278</v>
      </c>
      <c r="FB96" s="16">
        <v>158381</v>
      </c>
      <c r="FC96" s="16">
        <v>3127</v>
      </c>
      <c r="FD96" s="16">
        <v>626</v>
      </c>
      <c r="FE96" s="16">
        <v>79451</v>
      </c>
      <c r="FF96" s="16">
        <v>56076</v>
      </c>
      <c r="FG96" s="16">
        <v>58</v>
      </c>
      <c r="FH96" s="16">
        <v>293</v>
      </c>
      <c r="FI96" s="16">
        <v>0</v>
      </c>
      <c r="FJ96" s="16">
        <v>39</v>
      </c>
      <c r="FK96" s="16">
        <v>685</v>
      </c>
      <c r="FL96" s="16">
        <v>460</v>
      </c>
      <c r="FM96" s="16">
        <v>0</v>
      </c>
      <c r="FN96" s="16">
        <v>0</v>
      </c>
      <c r="FO96" s="16">
        <v>88</v>
      </c>
      <c r="FP96" s="16">
        <v>3045</v>
      </c>
      <c r="FQ96" s="16">
        <v>0</v>
      </c>
      <c r="FR96" s="16">
        <v>0</v>
      </c>
      <c r="FS96" s="16">
        <v>0</v>
      </c>
      <c r="FT96" s="16">
        <v>0</v>
      </c>
      <c r="FU96" s="16">
        <v>0</v>
      </c>
      <c r="FV96" s="16">
        <v>0</v>
      </c>
      <c r="FW96" s="16">
        <v>0</v>
      </c>
      <c r="FX96" s="16">
        <v>0</v>
      </c>
      <c r="FY96" s="16">
        <v>0</v>
      </c>
      <c r="FZ96" s="16">
        <v>0</v>
      </c>
      <c r="GA96" s="16">
        <v>0</v>
      </c>
      <c r="GB96" s="16">
        <v>0</v>
      </c>
      <c r="GC96" s="16">
        <v>0</v>
      </c>
      <c r="GD96" s="16">
        <v>0</v>
      </c>
      <c r="GE96" s="16">
        <v>0</v>
      </c>
      <c r="GF96" s="16">
        <v>0</v>
      </c>
      <c r="GG96" s="16">
        <v>0</v>
      </c>
      <c r="GH96" s="16">
        <v>0</v>
      </c>
      <c r="GI96" s="16">
        <v>0</v>
      </c>
      <c r="GJ96" s="16">
        <v>0</v>
      </c>
      <c r="GK96" s="16">
        <v>0</v>
      </c>
      <c r="GL96" s="16">
        <v>0</v>
      </c>
      <c r="GM96" s="16">
        <v>0</v>
      </c>
      <c r="GN96" s="16">
        <v>0</v>
      </c>
      <c r="GO96" s="16">
        <v>0</v>
      </c>
      <c r="GP96" s="16">
        <v>0</v>
      </c>
      <c r="GQ96" s="16">
        <v>0</v>
      </c>
      <c r="GR96" s="16">
        <v>0</v>
      </c>
      <c r="GS96" s="16">
        <v>0</v>
      </c>
      <c r="GT96" s="16">
        <v>0</v>
      </c>
      <c r="GU96" s="16">
        <v>0</v>
      </c>
      <c r="GV96" s="16">
        <v>0</v>
      </c>
      <c r="GW96" s="16">
        <v>0</v>
      </c>
      <c r="GX96" s="16">
        <v>0</v>
      </c>
      <c r="GY96" s="16">
        <v>0</v>
      </c>
      <c r="GZ96" s="16">
        <v>0</v>
      </c>
      <c r="HA96" s="16">
        <v>0</v>
      </c>
      <c r="HB96" s="16">
        <v>0</v>
      </c>
      <c r="HC96" s="16">
        <v>0</v>
      </c>
      <c r="HD96" s="16">
        <v>0</v>
      </c>
      <c r="HE96" s="16">
        <v>0</v>
      </c>
      <c r="HF96" s="16">
        <v>0</v>
      </c>
      <c r="HG96" s="16">
        <v>0</v>
      </c>
      <c r="HH96" s="16">
        <v>0</v>
      </c>
      <c r="HI96" s="16">
        <v>0</v>
      </c>
      <c r="HJ96" s="16">
        <v>0</v>
      </c>
      <c r="HK96" s="16">
        <v>0</v>
      </c>
      <c r="HL96" s="16">
        <v>0</v>
      </c>
      <c r="HM96" s="16">
        <v>0</v>
      </c>
      <c r="HN96" s="16">
        <v>0</v>
      </c>
      <c r="HO96" s="16">
        <v>0</v>
      </c>
      <c r="HP96" s="16">
        <v>0</v>
      </c>
      <c r="HQ96" s="16">
        <v>0</v>
      </c>
      <c r="HR96" s="16">
        <v>0</v>
      </c>
      <c r="HS96" s="16">
        <v>0</v>
      </c>
      <c r="HT96" s="16">
        <v>0</v>
      </c>
      <c r="HU96" s="16">
        <v>0</v>
      </c>
      <c r="HV96" s="16">
        <v>0</v>
      </c>
      <c r="HW96" s="16">
        <v>0</v>
      </c>
      <c r="HX96" s="16">
        <v>0</v>
      </c>
      <c r="HY96" s="16">
        <v>0</v>
      </c>
      <c r="HZ96" s="16">
        <v>0</v>
      </c>
      <c r="IA96" s="16">
        <v>0</v>
      </c>
      <c r="IB96" s="16">
        <v>0</v>
      </c>
      <c r="IC96" s="16">
        <v>0</v>
      </c>
      <c r="ID96" s="16">
        <v>0</v>
      </c>
      <c r="IE96" s="16">
        <v>0</v>
      </c>
      <c r="IF96" s="16">
        <v>0</v>
      </c>
      <c r="IG96" s="16">
        <v>0</v>
      </c>
      <c r="IH96" s="16">
        <v>0</v>
      </c>
      <c r="II96" s="16">
        <v>0</v>
      </c>
      <c r="IJ96" s="16">
        <v>0</v>
      </c>
      <c r="IK96" s="16">
        <v>0</v>
      </c>
      <c r="IL96" s="16">
        <v>0</v>
      </c>
      <c r="IM96" s="16">
        <v>0</v>
      </c>
      <c r="IN96" s="16">
        <v>0</v>
      </c>
      <c r="IO96" s="16">
        <v>0</v>
      </c>
      <c r="IP96" s="16">
        <v>0</v>
      </c>
      <c r="IQ96" s="16">
        <v>0</v>
      </c>
      <c r="IR96" s="16">
        <v>0</v>
      </c>
      <c r="IS96" s="16">
        <v>0</v>
      </c>
      <c r="IT96" s="16">
        <v>0</v>
      </c>
      <c r="IU96" s="16">
        <v>0</v>
      </c>
      <c r="IV96" s="16">
        <v>0</v>
      </c>
      <c r="IW96" s="16">
        <v>0</v>
      </c>
      <c r="IX96" s="16">
        <v>0</v>
      </c>
      <c r="IY96" s="16">
        <v>0</v>
      </c>
      <c r="IZ96" s="16">
        <v>0</v>
      </c>
      <c r="JA96" s="16">
        <v>0</v>
      </c>
      <c r="JB96" s="16">
        <v>0</v>
      </c>
      <c r="JC96" s="16">
        <v>0</v>
      </c>
      <c r="JD96" s="16">
        <v>0</v>
      </c>
      <c r="JE96" s="16">
        <v>0</v>
      </c>
      <c r="JF96" s="16">
        <v>0</v>
      </c>
      <c r="JG96" s="16">
        <v>752</v>
      </c>
      <c r="JH96" s="16">
        <v>0</v>
      </c>
      <c r="JI96" s="16">
        <v>0</v>
      </c>
      <c r="JJ96" s="16">
        <v>0</v>
      </c>
      <c r="JK96" s="16">
        <v>0</v>
      </c>
      <c r="JL96" s="16">
        <v>0</v>
      </c>
      <c r="JM96" s="16">
        <v>0</v>
      </c>
      <c r="JN96" s="16">
        <v>0</v>
      </c>
      <c r="JO96" s="16">
        <v>0</v>
      </c>
      <c r="JP96" s="16">
        <v>0</v>
      </c>
      <c r="JQ96" s="16">
        <v>0</v>
      </c>
      <c r="JR96" s="16">
        <v>0</v>
      </c>
      <c r="JS96" s="16">
        <v>0</v>
      </c>
      <c r="JT96" s="16">
        <v>0</v>
      </c>
      <c r="JU96" s="16">
        <v>0</v>
      </c>
      <c r="JV96" s="16">
        <v>0</v>
      </c>
      <c r="JW96" s="16">
        <v>0</v>
      </c>
      <c r="JX96" s="16">
        <v>0</v>
      </c>
      <c r="JY96" s="16">
        <v>0</v>
      </c>
      <c r="JZ96" s="16">
        <v>0</v>
      </c>
      <c r="KA96" s="16">
        <v>0</v>
      </c>
      <c r="KB96" s="16">
        <v>0</v>
      </c>
      <c r="KC96" s="16">
        <v>0</v>
      </c>
      <c r="KD96" s="16">
        <v>0</v>
      </c>
      <c r="KE96" s="16">
        <v>0</v>
      </c>
      <c r="KF96" s="16">
        <v>0</v>
      </c>
      <c r="KG96" s="16">
        <v>0</v>
      </c>
      <c r="KH96" s="16">
        <v>0</v>
      </c>
      <c r="KI96" s="16">
        <v>2446</v>
      </c>
      <c r="KJ96" s="16">
        <v>0</v>
      </c>
      <c r="KK96" s="16">
        <v>23</v>
      </c>
      <c r="KL96" s="16">
        <v>0</v>
      </c>
      <c r="KM96" s="16">
        <v>0</v>
      </c>
      <c r="KN96" s="16">
        <v>0</v>
      </c>
      <c r="KO96" s="16">
        <v>0</v>
      </c>
      <c r="KP96" s="16">
        <v>0</v>
      </c>
      <c r="KQ96" s="16">
        <v>0</v>
      </c>
      <c r="KR96" s="16">
        <v>2409</v>
      </c>
      <c r="KS96" s="16">
        <v>0</v>
      </c>
      <c r="KT96" s="16">
        <v>0</v>
      </c>
      <c r="KU96" s="16">
        <v>0</v>
      </c>
      <c r="KV96" s="16">
        <v>12800</v>
      </c>
      <c r="KW96" s="16">
        <v>0</v>
      </c>
      <c r="KX96" s="16">
        <v>0</v>
      </c>
      <c r="KY96" s="16">
        <v>0</v>
      </c>
      <c r="KZ96" s="16">
        <v>29195</v>
      </c>
      <c r="LA96" s="16">
        <v>4037</v>
      </c>
      <c r="LB96" s="16">
        <v>443</v>
      </c>
      <c r="LC96" s="16">
        <v>1865</v>
      </c>
      <c r="LD96" s="16">
        <v>0</v>
      </c>
      <c r="LE96" s="16">
        <v>0</v>
      </c>
      <c r="LF96" s="16">
        <v>0</v>
      </c>
      <c r="LG96" s="16">
        <v>0</v>
      </c>
      <c r="LH96" s="16">
        <v>0</v>
      </c>
      <c r="LI96" s="16">
        <v>0</v>
      </c>
      <c r="LJ96" s="16">
        <v>0</v>
      </c>
      <c r="LK96" s="16">
        <v>0</v>
      </c>
      <c r="LL96" s="16">
        <v>0</v>
      </c>
      <c r="LM96" s="16">
        <v>0</v>
      </c>
      <c r="LN96" s="16">
        <v>0</v>
      </c>
      <c r="LO96" s="16">
        <v>0</v>
      </c>
      <c r="LP96" s="16">
        <v>0</v>
      </c>
      <c r="LQ96" s="16">
        <v>0</v>
      </c>
      <c r="LR96" s="16">
        <v>0</v>
      </c>
      <c r="LS96" s="16">
        <v>0</v>
      </c>
      <c r="LT96" s="16">
        <v>0</v>
      </c>
      <c r="LU96" s="16">
        <v>0</v>
      </c>
      <c r="LV96" s="16">
        <v>0</v>
      </c>
      <c r="LW96" s="16">
        <v>0</v>
      </c>
      <c r="LX96" s="16">
        <v>0</v>
      </c>
      <c r="LY96" s="16">
        <v>0</v>
      </c>
      <c r="LZ96" s="16">
        <v>0</v>
      </c>
      <c r="MA96" s="16">
        <v>0</v>
      </c>
      <c r="MB96" s="16">
        <v>0</v>
      </c>
      <c r="MC96" s="16">
        <v>0</v>
      </c>
      <c r="MD96" s="16">
        <v>0</v>
      </c>
      <c r="ME96" s="16">
        <v>0</v>
      </c>
      <c r="MF96" s="16">
        <v>0</v>
      </c>
      <c r="MG96" s="16">
        <v>0</v>
      </c>
      <c r="MH96" s="16">
        <v>0</v>
      </c>
      <c r="MI96" s="16">
        <v>0</v>
      </c>
      <c r="MJ96" s="16">
        <v>0</v>
      </c>
      <c r="MK96" s="16">
        <v>0</v>
      </c>
      <c r="ML96" s="16">
        <v>0</v>
      </c>
      <c r="MM96" s="16">
        <v>0</v>
      </c>
      <c r="MN96" s="16">
        <v>0</v>
      </c>
      <c r="MO96" s="16">
        <v>0</v>
      </c>
      <c r="MP96" s="16">
        <v>0</v>
      </c>
      <c r="MQ96" s="16">
        <v>0</v>
      </c>
      <c r="MR96" s="16">
        <v>65</v>
      </c>
      <c r="MS96" s="16">
        <v>0</v>
      </c>
      <c r="MT96" s="16">
        <v>0</v>
      </c>
      <c r="MU96" s="16">
        <v>2425</v>
      </c>
      <c r="MV96" s="16">
        <v>0</v>
      </c>
      <c r="MW96" s="16">
        <v>0</v>
      </c>
      <c r="MX96" s="16">
        <v>0</v>
      </c>
      <c r="MY96" s="16">
        <v>0</v>
      </c>
      <c r="MZ96" s="16">
        <v>0</v>
      </c>
      <c r="NA96" s="16">
        <v>0</v>
      </c>
      <c r="NB96" s="16">
        <v>30349</v>
      </c>
      <c r="NC96" s="16">
        <v>53</v>
      </c>
      <c r="ND96" s="16">
        <v>0</v>
      </c>
      <c r="NE96" s="16">
        <v>0</v>
      </c>
      <c r="NF96" s="16">
        <v>0</v>
      </c>
      <c r="NG96" s="16">
        <v>0</v>
      </c>
      <c r="NH96" s="16">
        <v>0</v>
      </c>
      <c r="NI96" s="16">
        <v>0</v>
      </c>
      <c r="NJ96" s="16">
        <v>0</v>
      </c>
      <c r="NK96" s="16">
        <v>285</v>
      </c>
      <c r="NL96" s="16">
        <v>0</v>
      </c>
      <c r="NM96" s="16">
        <v>0</v>
      </c>
      <c r="NN96" s="16">
        <v>0</v>
      </c>
      <c r="NO96" s="16">
        <v>0</v>
      </c>
      <c r="NP96" s="16">
        <v>0</v>
      </c>
      <c r="NQ96" s="16">
        <v>2113</v>
      </c>
      <c r="NR96" s="17">
        <v>626503</v>
      </c>
    </row>
    <row r="97" spans="1:382" ht="13.5" customHeight="1" x14ac:dyDescent="0.2">
      <c r="A97" s="2" t="s">
        <v>201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0</v>
      </c>
      <c r="CG97" s="16">
        <v>0</v>
      </c>
      <c r="CH97" s="16">
        <v>0</v>
      </c>
      <c r="CI97" s="16">
        <v>0</v>
      </c>
      <c r="CJ97" s="16">
        <v>0</v>
      </c>
      <c r="CK97" s="16">
        <v>0</v>
      </c>
      <c r="CL97" s="16">
        <v>0</v>
      </c>
      <c r="CM97" s="16">
        <v>0</v>
      </c>
      <c r="CN97" s="16">
        <v>0</v>
      </c>
      <c r="CO97" s="16">
        <v>0</v>
      </c>
      <c r="CP97" s="16">
        <v>0</v>
      </c>
      <c r="CQ97" s="16">
        <v>0</v>
      </c>
      <c r="CR97" s="16">
        <v>0</v>
      </c>
      <c r="CS97" s="16">
        <v>0</v>
      </c>
      <c r="CT97" s="16">
        <v>0</v>
      </c>
      <c r="CU97" s="16">
        <v>0</v>
      </c>
      <c r="CV97" s="16">
        <v>0</v>
      </c>
      <c r="CW97" s="16">
        <v>0</v>
      </c>
      <c r="CX97" s="16">
        <v>0</v>
      </c>
      <c r="CY97" s="16">
        <v>0</v>
      </c>
      <c r="CZ97" s="16">
        <v>0</v>
      </c>
      <c r="DA97" s="16">
        <v>0</v>
      </c>
      <c r="DB97" s="16">
        <v>0</v>
      </c>
      <c r="DC97" s="16">
        <v>10958737</v>
      </c>
      <c r="DD97" s="16">
        <v>14287417</v>
      </c>
      <c r="DE97" s="16">
        <v>2271108</v>
      </c>
      <c r="DF97" s="16">
        <v>889517</v>
      </c>
      <c r="DG97" s="16">
        <v>0</v>
      </c>
      <c r="DH97" s="16">
        <v>92837</v>
      </c>
      <c r="DI97" s="16">
        <v>0</v>
      </c>
      <c r="DJ97" s="16">
        <v>6032711</v>
      </c>
      <c r="DK97" s="16">
        <v>808888</v>
      </c>
      <c r="DL97" s="16">
        <v>0</v>
      </c>
      <c r="DM97" s="16">
        <v>0</v>
      </c>
      <c r="DN97" s="16">
        <v>187083</v>
      </c>
      <c r="DO97" s="16">
        <v>0</v>
      </c>
      <c r="DP97" s="16">
        <v>3850</v>
      </c>
      <c r="DQ97" s="16">
        <v>0</v>
      </c>
      <c r="DR97" s="16">
        <v>0</v>
      </c>
      <c r="DS97" s="16">
        <v>0</v>
      </c>
      <c r="DT97" s="16">
        <v>0</v>
      </c>
      <c r="DU97" s="16">
        <v>0</v>
      </c>
      <c r="DV97" s="16">
        <v>0</v>
      </c>
      <c r="DW97" s="16">
        <v>0</v>
      </c>
      <c r="DX97" s="16">
        <v>0</v>
      </c>
      <c r="DY97" s="16">
        <v>0</v>
      </c>
      <c r="DZ97" s="16">
        <v>0</v>
      </c>
      <c r="EA97" s="16">
        <v>0</v>
      </c>
      <c r="EB97" s="16">
        <v>0</v>
      </c>
      <c r="EC97" s="16">
        <v>0</v>
      </c>
      <c r="ED97" s="16">
        <v>0</v>
      </c>
      <c r="EE97" s="16">
        <v>0</v>
      </c>
      <c r="EF97" s="16">
        <v>0</v>
      </c>
      <c r="EG97" s="16">
        <v>0</v>
      </c>
      <c r="EH97" s="16">
        <v>0</v>
      </c>
      <c r="EI97" s="16">
        <v>0</v>
      </c>
      <c r="EJ97" s="16">
        <v>0</v>
      </c>
      <c r="EK97" s="16">
        <v>0</v>
      </c>
      <c r="EL97" s="16">
        <v>0</v>
      </c>
      <c r="EM97" s="16">
        <v>0</v>
      </c>
      <c r="EN97" s="16">
        <v>0</v>
      </c>
      <c r="EO97" s="16">
        <v>0</v>
      </c>
      <c r="EP97" s="16">
        <v>0</v>
      </c>
      <c r="EQ97" s="16">
        <v>0</v>
      </c>
      <c r="ER97" s="16">
        <v>0</v>
      </c>
      <c r="ES97" s="16">
        <v>0</v>
      </c>
      <c r="ET97" s="16">
        <v>0</v>
      </c>
      <c r="EU97" s="16">
        <v>0</v>
      </c>
      <c r="EV97" s="16">
        <v>0</v>
      </c>
      <c r="EW97" s="16">
        <v>0</v>
      </c>
      <c r="EX97" s="16">
        <v>0</v>
      </c>
      <c r="EY97" s="16">
        <v>0</v>
      </c>
      <c r="EZ97" s="16">
        <v>0</v>
      </c>
      <c r="FA97" s="16">
        <v>0</v>
      </c>
      <c r="FB97" s="16">
        <v>0</v>
      </c>
      <c r="FC97" s="16">
        <v>0</v>
      </c>
      <c r="FD97" s="16">
        <v>0</v>
      </c>
      <c r="FE97" s="16">
        <v>0</v>
      </c>
      <c r="FF97" s="16">
        <v>0</v>
      </c>
      <c r="FG97" s="16">
        <v>0</v>
      </c>
      <c r="FH97" s="16">
        <v>0</v>
      </c>
      <c r="FI97" s="16">
        <v>0</v>
      </c>
      <c r="FJ97" s="16">
        <v>0</v>
      </c>
      <c r="FK97" s="16">
        <v>0</v>
      </c>
      <c r="FL97" s="16">
        <v>0</v>
      </c>
      <c r="FM97" s="16">
        <v>0</v>
      </c>
      <c r="FN97" s="16">
        <v>0</v>
      </c>
      <c r="FO97" s="16">
        <v>0</v>
      </c>
      <c r="FP97" s="16">
        <v>0</v>
      </c>
      <c r="FQ97" s="16">
        <v>0</v>
      </c>
      <c r="FR97" s="16">
        <v>0</v>
      </c>
      <c r="FS97" s="16">
        <v>0</v>
      </c>
      <c r="FT97" s="16">
        <v>0</v>
      </c>
      <c r="FU97" s="16">
        <v>0</v>
      </c>
      <c r="FV97" s="16">
        <v>0</v>
      </c>
      <c r="FW97" s="16">
        <v>0</v>
      </c>
      <c r="FX97" s="16">
        <v>0</v>
      </c>
      <c r="FY97" s="16">
        <v>0</v>
      </c>
      <c r="FZ97" s="16">
        <v>0</v>
      </c>
      <c r="GA97" s="16">
        <v>0</v>
      </c>
      <c r="GB97" s="16">
        <v>0</v>
      </c>
      <c r="GC97" s="16">
        <v>0</v>
      </c>
      <c r="GD97" s="16">
        <v>0</v>
      </c>
      <c r="GE97" s="16">
        <v>0</v>
      </c>
      <c r="GF97" s="16">
        <v>0</v>
      </c>
      <c r="GG97" s="16">
        <v>0</v>
      </c>
      <c r="GH97" s="16">
        <v>0</v>
      </c>
      <c r="GI97" s="16">
        <v>0</v>
      </c>
      <c r="GJ97" s="16">
        <v>0</v>
      </c>
      <c r="GK97" s="16">
        <v>0</v>
      </c>
      <c r="GL97" s="16">
        <v>0</v>
      </c>
      <c r="GM97" s="16">
        <v>0</v>
      </c>
      <c r="GN97" s="16">
        <v>0</v>
      </c>
      <c r="GO97" s="16">
        <v>0</v>
      </c>
      <c r="GP97" s="16">
        <v>0</v>
      </c>
      <c r="GQ97" s="16">
        <v>0</v>
      </c>
      <c r="GR97" s="16">
        <v>0</v>
      </c>
      <c r="GS97" s="16">
        <v>0</v>
      </c>
      <c r="GT97" s="16">
        <v>0</v>
      </c>
      <c r="GU97" s="16">
        <v>0</v>
      </c>
      <c r="GV97" s="16">
        <v>0</v>
      </c>
      <c r="GW97" s="16">
        <v>0</v>
      </c>
      <c r="GX97" s="16">
        <v>0</v>
      </c>
      <c r="GY97" s="16">
        <v>0</v>
      </c>
      <c r="GZ97" s="16">
        <v>0</v>
      </c>
      <c r="HA97" s="16">
        <v>0</v>
      </c>
      <c r="HB97" s="16">
        <v>0</v>
      </c>
      <c r="HC97" s="16">
        <v>0</v>
      </c>
      <c r="HD97" s="16">
        <v>0</v>
      </c>
      <c r="HE97" s="16">
        <v>0</v>
      </c>
      <c r="HF97" s="16">
        <v>0</v>
      </c>
      <c r="HG97" s="16">
        <v>0</v>
      </c>
      <c r="HH97" s="16">
        <v>0</v>
      </c>
      <c r="HI97" s="16">
        <v>0</v>
      </c>
      <c r="HJ97" s="16">
        <v>0</v>
      </c>
      <c r="HK97" s="16">
        <v>0</v>
      </c>
      <c r="HL97" s="16">
        <v>0</v>
      </c>
      <c r="HM97" s="16">
        <v>0</v>
      </c>
      <c r="HN97" s="16">
        <v>0</v>
      </c>
      <c r="HO97" s="16">
        <v>0</v>
      </c>
      <c r="HP97" s="16">
        <v>0</v>
      </c>
      <c r="HQ97" s="16">
        <v>0</v>
      </c>
      <c r="HR97" s="16">
        <v>0</v>
      </c>
      <c r="HS97" s="16">
        <v>0</v>
      </c>
      <c r="HT97" s="16">
        <v>0</v>
      </c>
      <c r="HU97" s="16">
        <v>0</v>
      </c>
      <c r="HV97" s="16">
        <v>0</v>
      </c>
      <c r="HW97" s="16">
        <v>0</v>
      </c>
      <c r="HX97" s="16">
        <v>0</v>
      </c>
      <c r="HY97" s="16">
        <v>0</v>
      </c>
      <c r="HZ97" s="16">
        <v>0</v>
      </c>
      <c r="IA97" s="16">
        <v>0</v>
      </c>
      <c r="IB97" s="16">
        <v>0</v>
      </c>
      <c r="IC97" s="16">
        <v>0</v>
      </c>
      <c r="ID97" s="16">
        <v>0</v>
      </c>
      <c r="IE97" s="16">
        <v>0</v>
      </c>
      <c r="IF97" s="16">
        <v>0</v>
      </c>
      <c r="IG97" s="16">
        <v>0</v>
      </c>
      <c r="IH97" s="16">
        <v>0</v>
      </c>
      <c r="II97" s="16">
        <v>0</v>
      </c>
      <c r="IJ97" s="16">
        <v>0</v>
      </c>
      <c r="IK97" s="16">
        <v>0</v>
      </c>
      <c r="IL97" s="16">
        <v>0</v>
      </c>
      <c r="IM97" s="16">
        <v>0</v>
      </c>
      <c r="IN97" s="16">
        <v>0</v>
      </c>
      <c r="IO97" s="16">
        <v>0</v>
      </c>
      <c r="IP97" s="16">
        <v>0</v>
      </c>
      <c r="IQ97" s="16">
        <v>0</v>
      </c>
      <c r="IR97" s="16">
        <v>0</v>
      </c>
      <c r="IS97" s="16">
        <v>0</v>
      </c>
      <c r="IT97" s="16">
        <v>0</v>
      </c>
      <c r="IU97" s="16">
        <v>0</v>
      </c>
      <c r="IV97" s="16">
        <v>0</v>
      </c>
      <c r="IW97" s="16">
        <v>0</v>
      </c>
      <c r="IX97" s="16">
        <v>0</v>
      </c>
      <c r="IY97" s="16">
        <v>0</v>
      </c>
      <c r="IZ97" s="16">
        <v>0</v>
      </c>
      <c r="JA97" s="16">
        <v>0</v>
      </c>
      <c r="JB97" s="16">
        <v>0</v>
      </c>
      <c r="JC97" s="16">
        <v>0</v>
      </c>
      <c r="JD97" s="16">
        <v>0</v>
      </c>
      <c r="JE97" s="16">
        <v>0</v>
      </c>
      <c r="JF97" s="16">
        <v>0</v>
      </c>
      <c r="JG97" s="16">
        <v>3383</v>
      </c>
      <c r="JH97" s="16">
        <v>0</v>
      </c>
      <c r="JI97" s="16">
        <v>0</v>
      </c>
      <c r="JJ97" s="16">
        <v>0</v>
      </c>
      <c r="JK97" s="16">
        <v>0</v>
      </c>
      <c r="JL97" s="16">
        <v>0</v>
      </c>
      <c r="JM97" s="16">
        <v>0</v>
      </c>
      <c r="JN97" s="16">
        <v>0</v>
      </c>
      <c r="JO97" s="16">
        <v>0</v>
      </c>
      <c r="JP97" s="16">
        <v>0</v>
      </c>
      <c r="JQ97" s="16">
        <v>0</v>
      </c>
      <c r="JR97" s="16">
        <v>0</v>
      </c>
      <c r="JS97" s="16">
        <v>0</v>
      </c>
      <c r="JT97" s="16">
        <v>0</v>
      </c>
      <c r="JU97" s="16">
        <v>0</v>
      </c>
      <c r="JV97" s="16">
        <v>0</v>
      </c>
      <c r="JW97" s="16">
        <v>0</v>
      </c>
      <c r="JX97" s="16">
        <v>0</v>
      </c>
      <c r="JY97" s="16">
        <v>0</v>
      </c>
      <c r="JZ97" s="16">
        <v>0</v>
      </c>
      <c r="KA97" s="16">
        <v>0</v>
      </c>
      <c r="KB97" s="16">
        <v>0</v>
      </c>
      <c r="KC97" s="16">
        <v>0</v>
      </c>
      <c r="KD97" s="16">
        <v>0</v>
      </c>
      <c r="KE97" s="16">
        <v>0</v>
      </c>
      <c r="KF97" s="16">
        <v>0</v>
      </c>
      <c r="KG97" s="16">
        <v>0</v>
      </c>
      <c r="KH97" s="16">
        <v>0</v>
      </c>
      <c r="KI97" s="16">
        <v>0</v>
      </c>
      <c r="KJ97" s="16">
        <v>0</v>
      </c>
      <c r="KK97" s="16">
        <v>0</v>
      </c>
      <c r="KL97" s="16">
        <v>0</v>
      </c>
      <c r="KM97" s="16">
        <v>0</v>
      </c>
      <c r="KN97" s="16">
        <v>0</v>
      </c>
      <c r="KO97" s="16">
        <v>0</v>
      </c>
      <c r="KP97" s="16">
        <v>0</v>
      </c>
      <c r="KQ97" s="16">
        <v>0</v>
      </c>
      <c r="KR97" s="16">
        <v>0</v>
      </c>
      <c r="KS97" s="16">
        <v>0</v>
      </c>
      <c r="KT97" s="16">
        <v>0</v>
      </c>
      <c r="KU97" s="16">
        <v>0</v>
      </c>
      <c r="KV97" s="16">
        <v>0</v>
      </c>
      <c r="KW97" s="16">
        <v>0</v>
      </c>
      <c r="KX97" s="16">
        <v>0</v>
      </c>
      <c r="KY97" s="16">
        <v>0</v>
      </c>
      <c r="KZ97" s="16">
        <v>0</v>
      </c>
      <c r="LA97" s="16">
        <v>0</v>
      </c>
      <c r="LB97" s="16">
        <v>0</v>
      </c>
      <c r="LC97" s="16">
        <v>0</v>
      </c>
      <c r="LD97" s="16">
        <v>0</v>
      </c>
      <c r="LE97" s="16">
        <v>0</v>
      </c>
      <c r="LF97" s="16">
        <v>0</v>
      </c>
      <c r="LG97" s="16">
        <v>0</v>
      </c>
      <c r="LH97" s="16">
        <v>0</v>
      </c>
      <c r="LI97" s="16">
        <v>0</v>
      </c>
      <c r="LJ97" s="16">
        <v>0</v>
      </c>
      <c r="LK97" s="16">
        <v>0</v>
      </c>
      <c r="LL97" s="16">
        <v>0</v>
      </c>
      <c r="LM97" s="16">
        <v>0</v>
      </c>
      <c r="LN97" s="16">
        <v>0</v>
      </c>
      <c r="LO97" s="16">
        <v>0</v>
      </c>
      <c r="LP97" s="16">
        <v>0</v>
      </c>
      <c r="LQ97" s="16">
        <v>0</v>
      </c>
      <c r="LR97" s="16">
        <v>0</v>
      </c>
      <c r="LS97" s="16">
        <v>0</v>
      </c>
      <c r="LT97" s="16">
        <v>0</v>
      </c>
      <c r="LU97" s="16">
        <v>0</v>
      </c>
      <c r="LV97" s="16">
        <v>0</v>
      </c>
      <c r="LW97" s="16">
        <v>0</v>
      </c>
      <c r="LX97" s="16">
        <v>0</v>
      </c>
      <c r="LY97" s="16">
        <v>0</v>
      </c>
      <c r="LZ97" s="16">
        <v>0</v>
      </c>
      <c r="MA97" s="16">
        <v>0</v>
      </c>
      <c r="MB97" s="16">
        <v>0</v>
      </c>
      <c r="MC97" s="16">
        <v>0</v>
      </c>
      <c r="MD97" s="16">
        <v>0</v>
      </c>
      <c r="ME97" s="16">
        <v>0</v>
      </c>
      <c r="MF97" s="16">
        <v>0</v>
      </c>
      <c r="MG97" s="16">
        <v>0</v>
      </c>
      <c r="MH97" s="16">
        <v>0</v>
      </c>
      <c r="MI97" s="16">
        <v>0</v>
      </c>
      <c r="MJ97" s="16">
        <v>0</v>
      </c>
      <c r="MK97" s="16">
        <v>0</v>
      </c>
      <c r="ML97" s="16">
        <v>0</v>
      </c>
      <c r="MM97" s="16">
        <v>0</v>
      </c>
      <c r="MN97" s="16">
        <v>0</v>
      </c>
      <c r="MO97" s="16">
        <v>0</v>
      </c>
      <c r="MP97" s="16">
        <v>0</v>
      </c>
      <c r="MQ97" s="16">
        <v>0</v>
      </c>
      <c r="MR97" s="16">
        <v>0</v>
      </c>
      <c r="MS97" s="16">
        <v>0</v>
      </c>
      <c r="MT97" s="16">
        <v>0</v>
      </c>
      <c r="MU97" s="16">
        <v>0</v>
      </c>
      <c r="MV97" s="16">
        <v>0</v>
      </c>
      <c r="MW97" s="16">
        <v>0</v>
      </c>
      <c r="MX97" s="16">
        <v>0</v>
      </c>
      <c r="MY97" s="16">
        <v>0</v>
      </c>
      <c r="MZ97" s="16">
        <v>0</v>
      </c>
      <c r="NA97" s="16">
        <v>0</v>
      </c>
      <c r="NB97" s="16">
        <v>0</v>
      </c>
      <c r="NC97" s="16">
        <v>0</v>
      </c>
      <c r="ND97" s="16">
        <v>0</v>
      </c>
      <c r="NE97" s="16">
        <v>0</v>
      </c>
      <c r="NF97" s="16">
        <v>0</v>
      </c>
      <c r="NG97" s="16">
        <v>0</v>
      </c>
      <c r="NH97" s="16">
        <v>0</v>
      </c>
      <c r="NI97" s="16">
        <v>0</v>
      </c>
      <c r="NJ97" s="16">
        <v>0</v>
      </c>
      <c r="NK97" s="16">
        <v>0</v>
      </c>
      <c r="NL97" s="16">
        <v>0</v>
      </c>
      <c r="NM97" s="16">
        <v>0</v>
      </c>
      <c r="NN97" s="16">
        <v>0</v>
      </c>
      <c r="NO97" s="16">
        <v>0</v>
      </c>
      <c r="NP97" s="16">
        <v>0</v>
      </c>
      <c r="NQ97" s="16">
        <v>0</v>
      </c>
      <c r="NR97" s="17">
        <v>35535531</v>
      </c>
    </row>
    <row r="98" spans="1:382" ht="13.5" customHeight="1" x14ac:dyDescent="0.2">
      <c r="A98" s="2" t="s">
        <v>203</v>
      </c>
      <c r="B98" s="16">
        <v>10161</v>
      </c>
      <c r="C98" s="16">
        <v>2121</v>
      </c>
      <c r="D98" s="16">
        <v>2425</v>
      </c>
      <c r="E98" s="16">
        <v>1896</v>
      </c>
      <c r="F98" s="16">
        <v>15341</v>
      </c>
      <c r="G98" s="16">
        <v>2919</v>
      </c>
      <c r="H98" s="16">
        <v>102</v>
      </c>
      <c r="I98" s="16">
        <v>4721</v>
      </c>
      <c r="J98" s="16">
        <v>224</v>
      </c>
      <c r="K98" s="16">
        <v>0</v>
      </c>
      <c r="L98" s="16">
        <v>409</v>
      </c>
      <c r="M98" s="16">
        <v>3417</v>
      </c>
      <c r="N98" s="16">
        <v>1</v>
      </c>
      <c r="O98" s="16">
        <v>20</v>
      </c>
      <c r="P98" s="16">
        <v>1709</v>
      </c>
      <c r="Q98" s="16">
        <v>4157</v>
      </c>
      <c r="R98" s="16">
        <v>1745</v>
      </c>
      <c r="S98" s="16">
        <v>1440</v>
      </c>
      <c r="T98" s="16">
        <v>237</v>
      </c>
      <c r="U98" s="16">
        <v>1335</v>
      </c>
      <c r="V98" s="16">
        <v>910</v>
      </c>
      <c r="W98" s="16">
        <v>537</v>
      </c>
      <c r="X98" s="16">
        <v>590</v>
      </c>
      <c r="Y98" s="16">
        <v>6219</v>
      </c>
      <c r="Z98" s="16">
        <v>16147</v>
      </c>
      <c r="AA98" s="16">
        <v>22</v>
      </c>
      <c r="AB98" s="16">
        <v>0</v>
      </c>
      <c r="AC98" s="16">
        <v>0</v>
      </c>
      <c r="AD98" s="16">
        <v>0</v>
      </c>
      <c r="AE98" s="16">
        <v>13</v>
      </c>
      <c r="AF98" s="16">
        <v>20</v>
      </c>
      <c r="AG98" s="16">
        <v>4405</v>
      </c>
      <c r="AH98" s="16">
        <v>2763</v>
      </c>
      <c r="AI98" s="16">
        <v>945</v>
      </c>
      <c r="AJ98" s="16">
        <v>4545</v>
      </c>
      <c r="AK98" s="16">
        <v>2721</v>
      </c>
      <c r="AL98" s="16">
        <v>657</v>
      </c>
      <c r="AM98" s="16">
        <v>6078</v>
      </c>
      <c r="AN98" s="16">
        <v>1549</v>
      </c>
      <c r="AO98" s="16">
        <v>1915</v>
      </c>
      <c r="AP98" s="16">
        <v>473</v>
      </c>
      <c r="AQ98" s="16">
        <v>1847</v>
      </c>
      <c r="AR98" s="16">
        <v>0</v>
      </c>
      <c r="AS98" s="16">
        <v>2012</v>
      </c>
      <c r="AT98" s="16">
        <v>826</v>
      </c>
      <c r="AU98" s="16">
        <v>7870</v>
      </c>
      <c r="AV98" s="16">
        <v>506</v>
      </c>
      <c r="AW98" s="16">
        <v>4193</v>
      </c>
      <c r="AX98" s="16">
        <v>264</v>
      </c>
      <c r="AY98" s="16">
        <v>10090</v>
      </c>
      <c r="AZ98" s="16">
        <v>1891</v>
      </c>
      <c r="BA98" s="16">
        <v>4552</v>
      </c>
      <c r="BB98" s="16">
        <v>5249</v>
      </c>
      <c r="BC98" s="16">
        <v>4304</v>
      </c>
      <c r="BD98" s="16">
        <v>343</v>
      </c>
      <c r="BE98" s="16">
        <v>1271</v>
      </c>
      <c r="BF98" s="16">
        <v>6443</v>
      </c>
      <c r="BG98" s="16">
        <v>772</v>
      </c>
      <c r="BH98" s="16">
        <v>5507</v>
      </c>
      <c r="BI98" s="16">
        <v>3189</v>
      </c>
      <c r="BJ98" s="16">
        <v>577</v>
      </c>
      <c r="BK98" s="16">
        <v>695</v>
      </c>
      <c r="BL98" s="16">
        <v>2971</v>
      </c>
      <c r="BM98" s="16">
        <v>416</v>
      </c>
      <c r="BN98" s="16">
        <v>4645</v>
      </c>
      <c r="BO98" s="16">
        <v>2664</v>
      </c>
      <c r="BP98" s="16">
        <v>313</v>
      </c>
      <c r="BQ98" s="16">
        <v>1715</v>
      </c>
      <c r="BR98" s="16">
        <v>311</v>
      </c>
      <c r="BS98" s="16">
        <v>10674</v>
      </c>
      <c r="BT98" s="16">
        <v>870</v>
      </c>
      <c r="BU98" s="16">
        <v>393</v>
      </c>
      <c r="BV98" s="16">
        <v>102</v>
      </c>
      <c r="BW98" s="16">
        <v>1280</v>
      </c>
      <c r="BX98" s="16">
        <v>86</v>
      </c>
      <c r="BY98" s="16">
        <v>3</v>
      </c>
      <c r="BZ98" s="16">
        <v>989</v>
      </c>
      <c r="CA98" s="16">
        <v>701</v>
      </c>
      <c r="CB98" s="16">
        <v>150</v>
      </c>
      <c r="CC98" s="16">
        <v>1749</v>
      </c>
      <c r="CD98" s="16">
        <v>576</v>
      </c>
      <c r="CE98" s="16">
        <v>367</v>
      </c>
      <c r="CF98" s="16">
        <v>936</v>
      </c>
      <c r="CG98" s="16">
        <v>362</v>
      </c>
      <c r="CH98" s="16">
        <v>505</v>
      </c>
      <c r="CI98" s="16">
        <v>800</v>
      </c>
      <c r="CJ98" s="16">
        <v>1381</v>
      </c>
      <c r="CK98" s="16">
        <v>4936</v>
      </c>
      <c r="CL98" s="16">
        <v>5085</v>
      </c>
      <c r="CM98" s="16">
        <v>755</v>
      </c>
      <c r="CN98" s="16">
        <v>1307</v>
      </c>
      <c r="CO98" s="16">
        <v>3060</v>
      </c>
      <c r="CP98" s="16">
        <v>4612</v>
      </c>
      <c r="CQ98" s="16">
        <v>19762</v>
      </c>
      <c r="CR98" s="16">
        <v>393</v>
      </c>
      <c r="CS98" s="16">
        <v>11749</v>
      </c>
      <c r="CT98" s="16">
        <v>10207</v>
      </c>
      <c r="CU98" s="16">
        <v>18724</v>
      </c>
      <c r="CV98" s="16">
        <v>9787</v>
      </c>
      <c r="CW98" s="16">
        <v>54854</v>
      </c>
      <c r="CX98" s="16">
        <v>33939</v>
      </c>
      <c r="CY98" s="16">
        <v>3012</v>
      </c>
      <c r="CZ98" s="16">
        <v>22293</v>
      </c>
      <c r="DA98" s="16">
        <v>500</v>
      </c>
      <c r="DB98" s="16">
        <v>8938</v>
      </c>
      <c r="DC98" s="16">
        <v>1901</v>
      </c>
      <c r="DD98" s="16">
        <v>11579</v>
      </c>
      <c r="DE98" s="16">
        <v>3186</v>
      </c>
      <c r="DF98" s="16">
        <v>3483</v>
      </c>
      <c r="DG98" s="16">
        <v>1910</v>
      </c>
      <c r="DH98" s="16">
        <v>3726</v>
      </c>
      <c r="DI98" s="16">
        <v>1074</v>
      </c>
      <c r="DJ98" s="16">
        <v>21348</v>
      </c>
      <c r="DK98" s="16">
        <v>1206</v>
      </c>
      <c r="DL98" s="16">
        <v>1954</v>
      </c>
      <c r="DM98" s="16">
        <v>30656</v>
      </c>
      <c r="DN98" s="16">
        <v>2223</v>
      </c>
      <c r="DO98" s="16">
        <v>1544</v>
      </c>
      <c r="DP98" s="16">
        <v>4711</v>
      </c>
      <c r="DQ98" s="16">
        <v>792</v>
      </c>
      <c r="DR98" s="16">
        <v>1697</v>
      </c>
      <c r="DS98" s="16">
        <v>14484</v>
      </c>
      <c r="DT98" s="16">
        <v>998</v>
      </c>
      <c r="DU98" s="16">
        <v>1684</v>
      </c>
      <c r="DV98" s="16">
        <v>1709</v>
      </c>
      <c r="DW98" s="16">
        <v>6091</v>
      </c>
      <c r="DX98" s="16">
        <v>5616</v>
      </c>
      <c r="DY98" s="16">
        <v>6868</v>
      </c>
      <c r="DZ98" s="16">
        <v>13119</v>
      </c>
      <c r="EA98" s="16">
        <v>7123</v>
      </c>
      <c r="EB98" s="16">
        <v>546</v>
      </c>
      <c r="EC98" s="16">
        <v>5314</v>
      </c>
      <c r="ED98" s="16">
        <v>955</v>
      </c>
      <c r="EE98" s="16">
        <v>27</v>
      </c>
      <c r="EF98" s="16">
        <v>164</v>
      </c>
      <c r="EG98" s="16">
        <v>2205</v>
      </c>
      <c r="EH98" s="16">
        <v>632</v>
      </c>
      <c r="EI98" s="16">
        <v>164</v>
      </c>
      <c r="EJ98" s="16">
        <v>191</v>
      </c>
      <c r="EK98" s="16">
        <v>306</v>
      </c>
      <c r="EL98" s="16">
        <v>153</v>
      </c>
      <c r="EM98" s="16">
        <v>678</v>
      </c>
      <c r="EN98" s="16">
        <v>7558</v>
      </c>
      <c r="EO98" s="16">
        <v>6534</v>
      </c>
      <c r="EP98" s="16">
        <v>974</v>
      </c>
      <c r="EQ98" s="16">
        <v>244</v>
      </c>
      <c r="ER98" s="16">
        <v>293</v>
      </c>
      <c r="ES98" s="16">
        <v>324</v>
      </c>
      <c r="ET98" s="16">
        <v>4341</v>
      </c>
      <c r="EU98" s="16">
        <v>209</v>
      </c>
      <c r="EV98" s="16">
        <v>275</v>
      </c>
      <c r="EW98" s="16">
        <v>181</v>
      </c>
      <c r="EX98" s="16">
        <v>11835</v>
      </c>
      <c r="EY98" s="16">
        <v>1124</v>
      </c>
      <c r="EZ98" s="16">
        <v>91</v>
      </c>
      <c r="FA98" s="16">
        <v>446</v>
      </c>
      <c r="FB98" s="16">
        <v>1095</v>
      </c>
      <c r="FC98" s="16">
        <v>147</v>
      </c>
      <c r="FD98" s="16">
        <v>1486</v>
      </c>
      <c r="FE98" s="16">
        <v>342</v>
      </c>
      <c r="FF98" s="16">
        <v>745</v>
      </c>
      <c r="FG98" s="16">
        <v>397</v>
      </c>
      <c r="FH98" s="16">
        <v>45</v>
      </c>
      <c r="FI98" s="16">
        <v>286</v>
      </c>
      <c r="FJ98" s="16">
        <v>135</v>
      </c>
      <c r="FK98" s="16">
        <v>1247</v>
      </c>
      <c r="FL98" s="16">
        <v>159</v>
      </c>
      <c r="FM98" s="16">
        <v>436</v>
      </c>
      <c r="FN98" s="16">
        <v>2346</v>
      </c>
      <c r="FO98" s="16">
        <v>3330</v>
      </c>
      <c r="FP98" s="16">
        <v>1927</v>
      </c>
      <c r="FQ98" s="16">
        <v>3993</v>
      </c>
      <c r="FR98" s="16">
        <v>5285</v>
      </c>
      <c r="FS98" s="16">
        <v>1152</v>
      </c>
      <c r="FT98" s="16">
        <v>2286</v>
      </c>
      <c r="FU98" s="16">
        <v>3707</v>
      </c>
      <c r="FV98" s="16">
        <v>5157</v>
      </c>
      <c r="FW98" s="16">
        <v>8603</v>
      </c>
      <c r="FX98" s="16">
        <v>18516</v>
      </c>
      <c r="FY98" s="16">
        <v>976</v>
      </c>
      <c r="FZ98" s="16">
        <v>5637</v>
      </c>
      <c r="GA98" s="16">
        <v>1377</v>
      </c>
      <c r="GB98" s="16">
        <v>17959</v>
      </c>
      <c r="GC98" s="16">
        <v>1547</v>
      </c>
      <c r="GD98" s="16">
        <v>7919</v>
      </c>
      <c r="GE98" s="16">
        <v>556</v>
      </c>
      <c r="GF98" s="16">
        <v>22691</v>
      </c>
      <c r="GG98" s="16">
        <v>1391</v>
      </c>
      <c r="GH98" s="16">
        <v>4622</v>
      </c>
      <c r="GI98" s="16">
        <v>1721</v>
      </c>
      <c r="GJ98" s="16">
        <v>2118</v>
      </c>
      <c r="GK98" s="16">
        <v>727</v>
      </c>
      <c r="GL98" s="16">
        <v>22</v>
      </c>
      <c r="GM98" s="16">
        <v>252</v>
      </c>
      <c r="GN98" s="16">
        <v>833</v>
      </c>
      <c r="GO98" s="16">
        <v>3105</v>
      </c>
      <c r="GP98" s="16">
        <v>2576</v>
      </c>
      <c r="GQ98" s="16">
        <v>484</v>
      </c>
      <c r="GR98" s="16">
        <v>463</v>
      </c>
      <c r="GS98" s="16">
        <v>101</v>
      </c>
      <c r="GT98" s="16">
        <v>128</v>
      </c>
      <c r="GU98" s="16">
        <v>1990</v>
      </c>
      <c r="GV98" s="16">
        <v>2967</v>
      </c>
      <c r="GW98" s="16">
        <v>1536</v>
      </c>
      <c r="GX98" s="16">
        <v>586</v>
      </c>
      <c r="GY98" s="16">
        <v>22</v>
      </c>
      <c r="GZ98" s="16">
        <v>2257</v>
      </c>
      <c r="HA98" s="16">
        <v>1117</v>
      </c>
      <c r="HB98" s="16">
        <v>1199</v>
      </c>
      <c r="HC98" s="16">
        <v>3888</v>
      </c>
      <c r="HD98" s="16">
        <v>3545</v>
      </c>
      <c r="HE98" s="16">
        <v>1604</v>
      </c>
      <c r="HF98" s="16">
        <v>2919</v>
      </c>
      <c r="HG98" s="16">
        <v>1025</v>
      </c>
      <c r="HH98" s="16">
        <v>954</v>
      </c>
      <c r="HI98" s="16">
        <v>2303</v>
      </c>
      <c r="HJ98" s="16">
        <v>373</v>
      </c>
      <c r="HK98" s="16">
        <v>798</v>
      </c>
      <c r="HL98" s="16">
        <v>6327</v>
      </c>
      <c r="HM98" s="16">
        <v>3046</v>
      </c>
      <c r="HN98" s="16">
        <v>5561</v>
      </c>
      <c r="HO98" s="16">
        <v>2485</v>
      </c>
      <c r="HP98" s="16">
        <v>1926</v>
      </c>
      <c r="HQ98" s="16">
        <v>5328</v>
      </c>
      <c r="HR98" s="16">
        <v>2188</v>
      </c>
      <c r="HS98" s="16">
        <v>5146</v>
      </c>
      <c r="HT98" s="16">
        <v>271</v>
      </c>
      <c r="HU98" s="16">
        <v>7724</v>
      </c>
      <c r="HV98" s="16">
        <v>1314</v>
      </c>
      <c r="HW98" s="16">
        <v>2552</v>
      </c>
      <c r="HX98" s="16">
        <v>7975</v>
      </c>
      <c r="HY98" s="16">
        <v>3559</v>
      </c>
      <c r="HZ98" s="16">
        <v>7653</v>
      </c>
      <c r="IA98" s="16">
        <v>1968</v>
      </c>
      <c r="IB98" s="16">
        <v>415</v>
      </c>
      <c r="IC98" s="16">
        <v>401</v>
      </c>
      <c r="ID98" s="16">
        <v>1824</v>
      </c>
      <c r="IE98" s="16">
        <v>120</v>
      </c>
      <c r="IF98" s="16">
        <v>1200</v>
      </c>
      <c r="IG98" s="16">
        <v>13845</v>
      </c>
      <c r="IH98" s="16">
        <v>30802</v>
      </c>
      <c r="II98" s="16">
        <v>4752</v>
      </c>
      <c r="IJ98" s="16">
        <v>1105</v>
      </c>
      <c r="IK98" s="16">
        <v>4421</v>
      </c>
      <c r="IL98" s="16">
        <v>1173</v>
      </c>
      <c r="IM98" s="16">
        <v>57</v>
      </c>
      <c r="IN98" s="16">
        <v>680</v>
      </c>
      <c r="IO98" s="16">
        <v>6653</v>
      </c>
      <c r="IP98" s="16">
        <v>2499</v>
      </c>
      <c r="IQ98" s="16">
        <v>139</v>
      </c>
      <c r="IR98" s="16">
        <v>357</v>
      </c>
      <c r="IS98" s="16">
        <v>520</v>
      </c>
      <c r="IT98" s="16">
        <v>348</v>
      </c>
      <c r="IU98" s="16">
        <v>73</v>
      </c>
      <c r="IV98" s="16">
        <v>664</v>
      </c>
      <c r="IW98" s="16">
        <v>2714</v>
      </c>
      <c r="IX98" s="16">
        <v>807</v>
      </c>
      <c r="IY98" s="16">
        <v>649</v>
      </c>
      <c r="IZ98" s="16">
        <v>78</v>
      </c>
      <c r="JA98" s="16">
        <v>740</v>
      </c>
      <c r="JB98" s="16">
        <v>148</v>
      </c>
      <c r="JC98" s="16">
        <v>498</v>
      </c>
      <c r="JD98" s="16">
        <v>163</v>
      </c>
      <c r="JE98" s="16">
        <v>1751</v>
      </c>
      <c r="JF98" s="16">
        <v>758</v>
      </c>
      <c r="JG98" s="16">
        <v>50749</v>
      </c>
      <c r="JH98" s="16">
        <v>1392</v>
      </c>
      <c r="JI98" s="16">
        <v>30</v>
      </c>
      <c r="JJ98" s="16">
        <v>13378</v>
      </c>
      <c r="JK98" s="16">
        <v>1894</v>
      </c>
      <c r="JL98" s="16">
        <v>548</v>
      </c>
      <c r="JM98" s="16">
        <v>415</v>
      </c>
      <c r="JN98" s="16">
        <v>6455</v>
      </c>
      <c r="JO98" s="16">
        <v>5981</v>
      </c>
      <c r="JP98" s="16">
        <v>41897</v>
      </c>
      <c r="JQ98" s="16">
        <v>1968</v>
      </c>
      <c r="JR98" s="16">
        <v>18132</v>
      </c>
      <c r="JS98" s="16">
        <v>15139</v>
      </c>
      <c r="JT98" s="16">
        <v>2</v>
      </c>
      <c r="JU98" s="16">
        <v>32864</v>
      </c>
      <c r="JV98" s="16">
        <v>759</v>
      </c>
      <c r="JW98" s="16">
        <v>3571</v>
      </c>
      <c r="JX98" s="16">
        <v>8029</v>
      </c>
      <c r="JY98" s="16">
        <v>3458</v>
      </c>
      <c r="JZ98" s="16">
        <v>5380</v>
      </c>
      <c r="KA98" s="16">
        <v>935</v>
      </c>
      <c r="KB98" s="16">
        <v>140</v>
      </c>
      <c r="KC98" s="16">
        <v>584</v>
      </c>
      <c r="KD98" s="16">
        <v>1441</v>
      </c>
      <c r="KE98" s="16">
        <v>1530</v>
      </c>
      <c r="KF98" s="16">
        <v>2558</v>
      </c>
      <c r="KG98" s="16">
        <v>364</v>
      </c>
      <c r="KH98" s="16">
        <v>600</v>
      </c>
      <c r="KI98" s="16">
        <v>143</v>
      </c>
      <c r="KJ98" s="16">
        <v>1984</v>
      </c>
      <c r="KK98" s="16">
        <v>2484124</v>
      </c>
      <c r="KL98" s="16">
        <v>204</v>
      </c>
      <c r="KM98" s="16">
        <v>114037</v>
      </c>
      <c r="KN98" s="16">
        <v>32012</v>
      </c>
      <c r="KO98" s="16">
        <v>1799</v>
      </c>
      <c r="KP98" s="16">
        <v>1437</v>
      </c>
      <c r="KQ98" s="16">
        <v>1723</v>
      </c>
      <c r="KR98" s="16">
        <v>1055</v>
      </c>
      <c r="KS98" s="16">
        <v>896</v>
      </c>
      <c r="KT98" s="16">
        <v>31</v>
      </c>
      <c r="KU98" s="16">
        <v>1669</v>
      </c>
      <c r="KV98" s="16">
        <v>1708</v>
      </c>
      <c r="KW98" s="16">
        <v>36106</v>
      </c>
      <c r="KX98" s="16">
        <v>968</v>
      </c>
      <c r="KY98" s="16">
        <v>44695</v>
      </c>
      <c r="KZ98" s="16">
        <v>120479</v>
      </c>
      <c r="LA98" s="16">
        <v>36369</v>
      </c>
      <c r="LB98" s="16">
        <v>7358</v>
      </c>
      <c r="LC98" s="16">
        <v>23224</v>
      </c>
      <c r="LD98" s="16">
        <v>45293</v>
      </c>
      <c r="LE98" s="16">
        <v>3224</v>
      </c>
      <c r="LF98" s="16">
        <v>2543</v>
      </c>
      <c r="LG98" s="16">
        <v>1084</v>
      </c>
      <c r="LH98" s="16">
        <v>12841</v>
      </c>
      <c r="LI98" s="16">
        <v>69</v>
      </c>
      <c r="LJ98" s="16">
        <v>204</v>
      </c>
      <c r="LK98" s="16">
        <v>19216</v>
      </c>
      <c r="LL98" s="16">
        <v>15247</v>
      </c>
      <c r="LM98" s="16">
        <v>101028</v>
      </c>
      <c r="LN98" s="16">
        <v>29889</v>
      </c>
      <c r="LO98" s="16">
        <v>1231</v>
      </c>
      <c r="LP98" s="16">
        <v>28227</v>
      </c>
      <c r="LQ98" s="16">
        <v>17815</v>
      </c>
      <c r="LR98" s="16">
        <v>39666</v>
      </c>
      <c r="LS98" s="16">
        <v>10757</v>
      </c>
      <c r="LT98" s="16">
        <v>21827</v>
      </c>
      <c r="LU98" s="16">
        <v>4289</v>
      </c>
      <c r="LV98" s="16">
        <v>181</v>
      </c>
      <c r="LW98" s="16">
        <v>3592</v>
      </c>
      <c r="LX98" s="16">
        <v>13095</v>
      </c>
      <c r="LY98" s="16">
        <v>130802</v>
      </c>
      <c r="LZ98" s="16">
        <v>105150</v>
      </c>
      <c r="MA98" s="16">
        <v>44755</v>
      </c>
      <c r="MB98" s="16">
        <v>231377</v>
      </c>
      <c r="MC98" s="16">
        <v>2474</v>
      </c>
      <c r="MD98" s="16">
        <v>1066</v>
      </c>
      <c r="ME98" s="16">
        <v>1082</v>
      </c>
      <c r="MF98" s="16">
        <v>15453</v>
      </c>
      <c r="MG98" s="16">
        <v>90524</v>
      </c>
      <c r="MH98" s="16">
        <v>915233</v>
      </c>
      <c r="MI98" s="16">
        <v>6829</v>
      </c>
      <c r="MJ98" s="16">
        <v>23628</v>
      </c>
      <c r="MK98" s="16">
        <v>50442</v>
      </c>
      <c r="ML98" s="16">
        <v>13756</v>
      </c>
      <c r="MM98" s="16">
        <v>270835</v>
      </c>
      <c r="MN98" s="16">
        <v>79355</v>
      </c>
      <c r="MO98" s="16">
        <v>52941</v>
      </c>
      <c r="MP98" s="16">
        <v>30136</v>
      </c>
      <c r="MQ98" s="16">
        <v>101290</v>
      </c>
      <c r="MR98" s="16">
        <v>39438</v>
      </c>
      <c r="MS98" s="16">
        <v>55060</v>
      </c>
      <c r="MT98" s="16">
        <v>2741</v>
      </c>
      <c r="MU98" s="16">
        <v>10088</v>
      </c>
      <c r="MV98" s="16">
        <v>12236</v>
      </c>
      <c r="MW98" s="16">
        <v>65705</v>
      </c>
      <c r="MX98" s="16">
        <v>3684</v>
      </c>
      <c r="MY98" s="16">
        <v>13081</v>
      </c>
      <c r="MZ98" s="16">
        <v>100734</v>
      </c>
      <c r="NA98" s="16">
        <v>7395</v>
      </c>
      <c r="NB98" s="16">
        <v>124268</v>
      </c>
      <c r="NC98" s="16">
        <v>15182</v>
      </c>
      <c r="ND98" s="16">
        <v>12869</v>
      </c>
      <c r="NE98" s="16">
        <v>3773</v>
      </c>
      <c r="NF98" s="16">
        <v>19028</v>
      </c>
      <c r="NG98" s="16">
        <v>30712</v>
      </c>
      <c r="NH98" s="16">
        <v>4477</v>
      </c>
      <c r="NI98" s="16">
        <v>9656</v>
      </c>
      <c r="NJ98" s="16">
        <v>75101</v>
      </c>
      <c r="NK98" s="16">
        <v>7777</v>
      </c>
      <c r="NL98" s="16">
        <v>2203</v>
      </c>
      <c r="NM98" s="16">
        <v>18591</v>
      </c>
      <c r="NN98" s="16">
        <v>8234</v>
      </c>
      <c r="NO98" s="16">
        <v>0</v>
      </c>
      <c r="NP98" s="16">
        <v>28591</v>
      </c>
      <c r="NQ98" s="16">
        <v>1301</v>
      </c>
      <c r="NR98" s="17">
        <v>7269680</v>
      </c>
    </row>
    <row r="99" spans="1:382" ht="13.5" customHeight="1" x14ac:dyDescent="0.2">
      <c r="A99" s="2" t="s">
        <v>205</v>
      </c>
      <c r="B99" s="16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4134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0</v>
      </c>
      <c r="BS99" s="16">
        <v>0</v>
      </c>
      <c r="BT99" s="16">
        <v>0</v>
      </c>
      <c r="BU99" s="16">
        <v>0</v>
      </c>
      <c r="BV99" s="16">
        <v>0</v>
      </c>
      <c r="BW99" s="16">
        <v>0</v>
      </c>
      <c r="BX99" s="16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v>0</v>
      </c>
      <c r="CM99" s="16">
        <v>0</v>
      </c>
      <c r="CN99" s="16">
        <v>0</v>
      </c>
      <c r="CO99" s="16">
        <v>0</v>
      </c>
      <c r="CP99" s="16">
        <v>0</v>
      </c>
      <c r="CQ99" s="16">
        <v>0</v>
      </c>
      <c r="CR99" s="16">
        <v>0</v>
      </c>
      <c r="CS99" s="16">
        <v>0</v>
      </c>
      <c r="CT99" s="16">
        <v>0</v>
      </c>
      <c r="CU99" s="16">
        <v>0</v>
      </c>
      <c r="CV99" s="16">
        <v>0</v>
      </c>
      <c r="CW99" s="16">
        <v>0</v>
      </c>
      <c r="CX99" s="16">
        <v>0</v>
      </c>
      <c r="CY99" s="16">
        <v>0</v>
      </c>
      <c r="CZ99" s="16">
        <v>0</v>
      </c>
      <c r="DA99" s="16">
        <v>0</v>
      </c>
      <c r="DB99" s="16">
        <v>0</v>
      </c>
      <c r="DC99" s="16">
        <v>0</v>
      </c>
      <c r="DD99" s="16">
        <v>0</v>
      </c>
      <c r="DE99" s="16">
        <v>0</v>
      </c>
      <c r="DF99" s="16">
        <v>0</v>
      </c>
      <c r="DG99" s="16">
        <v>0</v>
      </c>
      <c r="DH99" s="16">
        <v>0</v>
      </c>
      <c r="DI99" s="16">
        <v>0</v>
      </c>
      <c r="DJ99" s="16">
        <v>0</v>
      </c>
      <c r="DK99" s="16">
        <v>0</v>
      </c>
      <c r="DL99" s="16">
        <v>0</v>
      </c>
      <c r="DM99" s="16">
        <v>0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6">
        <v>0</v>
      </c>
      <c r="DV99" s="16">
        <v>0</v>
      </c>
      <c r="DW99" s="16">
        <v>0</v>
      </c>
      <c r="DX99" s="16">
        <v>0</v>
      </c>
      <c r="DY99" s="16">
        <v>0</v>
      </c>
      <c r="DZ99" s="16">
        <v>0</v>
      </c>
      <c r="EA99" s="16">
        <v>0</v>
      </c>
      <c r="EB99" s="16">
        <v>0</v>
      </c>
      <c r="EC99" s="16">
        <v>0</v>
      </c>
      <c r="ED99" s="16">
        <v>0</v>
      </c>
      <c r="EE99" s="16">
        <v>0</v>
      </c>
      <c r="EF99" s="16">
        <v>0</v>
      </c>
      <c r="EG99" s="16">
        <v>0</v>
      </c>
      <c r="EH99" s="16">
        <v>0</v>
      </c>
      <c r="EI99" s="16">
        <v>0</v>
      </c>
      <c r="EJ99" s="16">
        <v>0</v>
      </c>
      <c r="EK99" s="16">
        <v>0</v>
      </c>
      <c r="EL99" s="16">
        <v>0</v>
      </c>
      <c r="EM99" s="16">
        <v>0</v>
      </c>
      <c r="EN99" s="16">
        <v>0</v>
      </c>
      <c r="EO99" s="16">
        <v>0</v>
      </c>
      <c r="EP99" s="16">
        <v>0</v>
      </c>
      <c r="EQ99" s="16">
        <v>0</v>
      </c>
      <c r="ER99" s="16">
        <v>0</v>
      </c>
      <c r="ES99" s="16">
        <v>0</v>
      </c>
      <c r="ET99" s="16">
        <v>0</v>
      </c>
      <c r="EU99" s="16">
        <v>0</v>
      </c>
      <c r="EV99" s="16">
        <v>0</v>
      </c>
      <c r="EW99" s="16">
        <v>0</v>
      </c>
      <c r="EX99" s="16">
        <v>0</v>
      </c>
      <c r="EY99" s="16">
        <v>0</v>
      </c>
      <c r="EZ99" s="16">
        <v>0</v>
      </c>
      <c r="FA99" s="16">
        <v>0</v>
      </c>
      <c r="FB99" s="16">
        <v>0</v>
      </c>
      <c r="FC99" s="16">
        <v>0</v>
      </c>
      <c r="FD99" s="16">
        <v>0</v>
      </c>
      <c r="FE99" s="16">
        <v>0</v>
      </c>
      <c r="FF99" s="16">
        <v>0</v>
      </c>
      <c r="FG99" s="16">
        <v>0</v>
      </c>
      <c r="FH99" s="16">
        <v>0</v>
      </c>
      <c r="FI99" s="16">
        <v>0</v>
      </c>
      <c r="FJ99" s="16">
        <v>0</v>
      </c>
      <c r="FK99" s="16">
        <v>0</v>
      </c>
      <c r="FL99" s="16">
        <v>0</v>
      </c>
      <c r="FM99" s="16">
        <v>0</v>
      </c>
      <c r="FN99" s="16">
        <v>0</v>
      </c>
      <c r="FO99" s="16">
        <v>0</v>
      </c>
      <c r="FP99" s="16">
        <v>0</v>
      </c>
      <c r="FQ99" s="16">
        <v>0</v>
      </c>
      <c r="FR99" s="16">
        <v>0</v>
      </c>
      <c r="FS99" s="16">
        <v>0</v>
      </c>
      <c r="FT99" s="16">
        <v>0</v>
      </c>
      <c r="FU99" s="16">
        <v>0</v>
      </c>
      <c r="FV99" s="16">
        <v>0</v>
      </c>
      <c r="FW99" s="16">
        <v>0</v>
      </c>
      <c r="FX99" s="16">
        <v>0</v>
      </c>
      <c r="FY99" s="16">
        <v>0</v>
      </c>
      <c r="FZ99" s="16">
        <v>0</v>
      </c>
      <c r="GA99" s="16">
        <v>0</v>
      </c>
      <c r="GB99" s="16">
        <v>0</v>
      </c>
      <c r="GC99" s="16">
        <v>0</v>
      </c>
      <c r="GD99" s="16">
        <v>0</v>
      </c>
      <c r="GE99" s="16">
        <v>0</v>
      </c>
      <c r="GF99" s="16">
        <v>0</v>
      </c>
      <c r="GG99" s="16">
        <v>0</v>
      </c>
      <c r="GH99" s="16">
        <v>0</v>
      </c>
      <c r="GI99" s="16">
        <v>0</v>
      </c>
      <c r="GJ99" s="16">
        <v>0</v>
      </c>
      <c r="GK99" s="16">
        <v>0</v>
      </c>
      <c r="GL99" s="16">
        <v>0</v>
      </c>
      <c r="GM99" s="16">
        <v>0</v>
      </c>
      <c r="GN99" s="16">
        <v>0</v>
      </c>
      <c r="GO99" s="16">
        <v>0</v>
      </c>
      <c r="GP99" s="16">
        <v>0</v>
      </c>
      <c r="GQ99" s="16">
        <v>0</v>
      </c>
      <c r="GR99" s="16">
        <v>0</v>
      </c>
      <c r="GS99" s="16">
        <v>0</v>
      </c>
      <c r="GT99" s="16">
        <v>0</v>
      </c>
      <c r="GU99" s="16">
        <v>0</v>
      </c>
      <c r="GV99" s="16">
        <v>0</v>
      </c>
      <c r="GW99" s="16">
        <v>0</v>
      </c>
      <c r="GX99" s="16">
        <v>0</v>
      </c>
      <c r="GY99" s="16">
        <v>0</v>
      </c>
      <c r="GZ99" s="16">
        <v>0</v>
      </c>
      <c r="HA99" s="16">
        <v>0</v>
      </c>
      <c r="HB99" s="16">
        <v>0</v>
      </c>
      <c r="HC99" s="16">
        <v>0</v>
      </c>
      <c r="HD99" s="16">
        <v>0</v>
      </c>
      <c r="HE99" s="16">
        <v>0</v>
      </c>
      <c r="HF99" s="16">
        <v>0</v>
      </c>
      <c r="HG99" s="16">
        <v>0</v>
      </c>
      <c r="HH99" s="16">
        <v>0</v>
      </c>
      <c r="HI99" s="16">
        <v>0</v>
      </c>
      <c r="HJ99" s="16">
        <v>0</v>
      </c>
      <c r="HK99" s="16">
        <v>0</v>
      </c>
      <c r="HL99" s="16">
        <v>0</v>
      </c>
      <c r="HM99" s="16">
        <v>0</v>
      </c>
      <c r="HN99" s="16">
        <v>0</v>
      </c>
      <c r="HO99" s="16">
        <v>0</v>
      </c>
      <c r="HP99" s="16">
        <v>0</v>
      </c>
      <c r="HQ99" s="16">
        <v>0</v>
      </c>
      <c r="HR99" s="16">
        <v>0</v>
      </c>
      <c r="HS99" s="16">
        <v>0</v>
      </c>
      <c r="HT99" s="16">
        <v>0</v>
      </c>
      <c r="HU99" s="16">
        <v>0</v>
      </c>
      <c r="HV99" s="16">
        <v>0</v>
      </c>
      <c r="HW99" s="16">
        <v>0</v>
      </c>
      <c r="HX99" s="16">
        <v>0</v>
      </c>
      <c r="HY99" s="16">
        <v>0</v>
      </c>
      <c r="HZ99" s="16">
        <v>0</v>
      </c>
      <c r="IA99" s="16">
        <v>0</v>
      </c>
      <c r="IB99" s="16">
        <v>0</v>
      </c>
      <c r="IC99" s="16">
        <v>0</v>
      </c>
      <c r="ID99" s="16">
        <v>0</v>
      </c>
      <c r="IE99" s="16">
        <v>0</v>
      </c>
      <c r="IF99" s="16">
        <v>0</v>
      </c>
      <c r="IG99" s="16">
        <v>0</v>
      </c>
      <c r="IH99" s="16">
        <v>0</v>
      </c>
      <c r="II99" s="16">
        <v>0</v>
      </c>
      <c r="IJ99" s="16">
        <v>0</v>
      </c>
      <c r="IK99" s="16">
        <v>0</v>
      </c>
      <c r="IL99" s="16">
        <v>0</v>
      </c>
      <c r="IM99" s="16">
        <v>0</v>
      </c>
      <c r="IN99" s="16">
        <v>0</v>
      </c>
      <c r="IO99" s="16">
        <v>0</v>
      </c>
      <c r="IP99" s="16">
        <v>0</v>
      </c>
      <c r="IQ99" s="16">
        <v>0</v>
      </c>
      <c r="IR99" s="16">
        <v>0</v>
      </c>
      <c r="IS99" s="16">
        <v>0</v>
      </c>
      <c r="IT99" s="16">
        <v>233168</v>
      </c>
      <c r="IU99" s="16">
        <v>0</v>
      </c>
      <c r="IV99" s="16">
        <v>0</v>
      </c>
      <c r="IW99" s="16">
        <v>0</v>
      </c>
      <c r="IX99" s="16">
        <v>0</v>
      </c>
      <c r="IY99" s="16">
        <v>0</v>
      </c>
      <c r="IZ99" s="16">
        <v>0</v>
      </c>
      <c r="JA99" s="16">
        <v>0</v>
      </c>
      <c r="JB99" s="16">
        <v>0</v>
      </c>
      <c r="JC99" s="16">
        <v>0</v>
      </c>
      <c r="JD99" s="16">
        <v>0</v>
      </c>
      <c r="JE99" s="16">
        <v>0</v>
      </c>
      <c r="JF99" s="16">
        <v>0</v>
      </c>
      <c r="JG99" s="16">
        <v>1090</v>
      </c>
      <c r="JH99" s="16">
        <v>0</v>
      </c>
      <c r="JI99" s="16">
        <v>0</v>
      </c>
      <c r="JJ99" s="16">
        <v>0</v>
      </c>
      <c r="JK99" s="16">
        <v>0</v>
      </c>
      <c r="JL99" s="16">
        <v>0</v>
      </c>
      <c r="JM99" s="16">
        <v>0</v>
      </c>
      <c r="JN99" s="16">
        <v>0</v>
      </c>
      <c r="JO99" s="16">
        <v>0</v>
      </c>
      <c r="JP99" s="16">
        <v>0</v>
      </c>
      <c r="JQ99" s="16">
        <v>0</v>
      </c>
      <c r="JR99" s="16">
        <v>0</v>
      </c>
      <c r="JS99" s="16">
        <v>0</v>
      </c>
      <c r="JT99" s="16">
        <v>0</v>
      </c>
      <c r="JU99" s="16">
        <v>0</v>
      </c>
      <c r="JV99" s="16">
        <v>0</v>
      </c>
      <c r="JW99" s="16">
        <v>0</v>
      </c>
      <c r="JX99" s="16">
        <v>0</v>
      </c>
      <c r="JY99" s="16">
        <v>0</v>
      </c>
      <c r="JZ99" s="16">
        <v>0</v>
      </c>
      <c r="KA99" s="16">
        <v>0</v>
      </c>
      <c r="KB99" s="16">
        <v>0</v>
      </c>
      <c r="KC99" s="16">
        <v>0</v>
      </c>
      <c r="KD99" s="16">
        <v>0</v>
      </c>
      <c r="KE99" s="16">
        <v>0</v>
      </c>
      <c r="KF99" s="16">
        <v>0</v>
      </c>
      <c r="KG99" s="16">
        <v>0</v>
      </c>
      <c r="KH99" s="16">
        <v>0</v>
      </c>
      <c r="KI99" s="16">
        <v>0</v>
      </c>
      <c r="KJ99" s="16">
        <v>0</v>
      </c>
      <c r="KK99" s="16">
        <v>32109</v>
      </c>
      <c r="KL99" s="16">
        <v>0</v>
      </c>
      <c r="KM99" s="16">
        <v>0</v>
      </c>
      <c r="KN99" s="16">
        <v>0</v>
      </c>
      <c r="KO99" s="16">
        <v>0</v>
      </c>
      <c r="KP99" s="16">
        <v>0</v>
      </c>
      <c r="KQ99" s="16">
        <v>7221414</v>
      </c>
      <c r="KR99" s="16">
        <v>0</v>
      </c>
      <c r="KS99" s="16">
        <v>0</v>
      </c>
      <c r="KT99" s="16">
        <v>32533</v>
      </c>
      <c r="KU99" s="16">
        <v>0</v>
      </c>
      <c r="KV99" s="16">
        <v>0</v>
      </c>
      <c r="KW99" s="16">
        <v>0</v>
      </c>
      <c r="KX99" s="16">
        <v>0</v>
      </c>
      <c r="KY99" s="16">
        <v>0</v>
      </c>
      <c r="KZ99" s="16">
        <v>0</v>
      </c>
      <c r="LA99" s="16">
        <v>0</v>
      </c>
      <c r="LB99" s="16">
        <v>0</v>
      </c>
      <c r="LC99" s="16">
        <v>0</v>
      </c>
      <c r="LD99" s="16">
        <v>0</v>
      </c>
      <c r="LE99" s="16">
        <v>0</v>
      </c>
      <c r="LF99" s="16">
        <v>0</v>
      </c>
      <c r="LG99" s="16">
        <v>0</v>
      </c>
      <c r="LH99" s="16">
        <v>0</v>
      </c>
      <c r="LI99" s="16">
        <v>0</v>
      </c>
      <c r="LJ99" s="16">
        <v>0</v>
      </c>
      <c r="LK99" s="16">
        <v>0</v>
      </c>
      <c r="LL99" s="16">
        <v>0</v>
      </c>
      <c r="LM99" s="16">
        <v>0</v>
      </c>
      <c r="LN99" s="16">
        <v>0</v>
      </c>
      <c r="LO99" s="16">
        <v>0</v>
      </c>
      <c r="LP99" s="16">
        <v>0</v>
      </c>
      <c r="LQ99" s="16">
        <v>0</v>
      </c>
      <c r="LR99" s="16">
        <v>0</v>
      </c>
      <c r="LS99" s="16">
        <v>0</v>
      </c>
      <c r="LT99" s="16">
        <v>0</v>
      </c>
      <c r="LU99" s="16">
        <v>0</v>
      </c>
      <c r="LV99" s="16">
        <v>0</v>
      </c>
      <c r="LW99" s="16">
        <v>0</v>
      </c>
      <c r="LX99" s="16">
        <v>0</v>
      </c>
      <c r="LY99" s="16">
        <v>0</v>
      </c>
      <c r="LZ99" s="16">
        <v>0</v>
      </c>
      <c r="MA99" s="16">
        <v>0</v>
      </c>
      <c r="MB99" s="16">
        <v>0</v>
      </c>
      <c r="MC99" s="16">
        <v>1147</v>
      </c>
      <c r="MD99" s="16">
        <v>604</v>
      </c>
      <c r="ME99" s="16">
        <v>1066</v>
      </c>
      <c r="MF99" s="16">
        <v>0</v>
      </c>
      <c r="MG99" s="16">
        <v>0</v>
      </c>
      <c r="MH99" s="16">
        <v>0</v>
      </c>
      <c r="MI99" s="16">
        <v>0</v>
      </c>
      <c r="MJ99" s="16">
        <v>0</v>
      </c>
      <c r="MK99" s="16">
        <v>0</v>
      </c>
      <c r="ML99" s="16">
        <v>0</v>
      </c>
      <c r="MM99" s="16">
        <v>0</v>
      </c>
      <c r="MN99" s="16">
        <v>0</v>
      </c>
      <c r="MO99" s="16">
        <v>0</v>
      </c>
      <c r="MP99" s="16">
        <v>0</v>
      </c>
      <c r="MQ99" s="16">
        <v>0</v>
      </c>
      <c r="MR99" s="16">
        <v>711991</v>
      </c>
      <c r="MS99" s="16">
        <v>2133</v>
      </c>
      <c r="MT99" s="16">
        <v>0</v>
      </c>
      <c r="MU99" s="16">
        <v>0</v>
      </c>
      <c r="MV99" s="16">
        <v>0</v>
      </c>
      <c r="MW99" s="16">
        <v>0</v>
      </c>
      <c r="MX99" s="16">
        <v>0</v>
      </c>
      <c r="MY99" s="16">
        <v>0</v>
      </c>
      <c r="MZ99" s="16">
        <v>0</v>
      </c>
      <c r="NA99" s="16">
        <v>0</v>
      </c>
      <c r="NB99" s="16">
        <v>0</v>
      </c>
      <c r="NC99" s="16">
        <v>0</v>
      </c>
      <c r="ND99" s="16">
        <v>0</v>
      </c>
      <c r="NE99" s="16">
        <v>0</v>
      </c>
      <c r="NF99" s="16">
        <v>0</v>
      </c>
      <c r="NG99" s="16">
        <v>0</v>
      </c>
      <c r="NH99" s="16">
        <v>0</v>
      </c>
      <c r="NI99" s="16">
        <v>0</v>
      </c>
      <c r="NJ99" s="16">
        <v>0</v>
      </c>
      <c r="NK99" s="16">
        <v>0</v>
      </c>
      <c r="NL99" s="16">
        <v>0</v>
      </c>
      <c r="NM99" s="16">
        <v>0</v>
      </c>
      <c r="NN99" s="16">
        <v>0</v>
      </c>
      <c r="NO99" s="16">
        <v>0</v>
      </c>
      <c r="NP99" s="16">
        <v>0</v>
      </c>
      <c r="NQ99" s="16">
        <v>206</v>
      </c>
      <c r="NR99" s="17">
        <v>8241595</v>
      </c>
    </row>
    <row r="100" spans="1:382" ht="13.5" customHeight="1" x14ac:dyDescent="0.2">
      <c r="A100" s="2" t="s">
        <v>207</v>
      </c>
      <c r="B100" s="16">
        <v>476</v>
      </c>
      <c r="C100" s="16">
        <v>91</v>
      </c>
      <c r="D100" s="16">
        <v>99</v>
      </c>
      <c r="E100" s="16">
        <v>91</v>
      </c>
      <c r="F100" s="16">
        <v>339277</v>
      </c>
      <c r="G100" s="16">
        <v>21</v>
      </c>
      <c r="H100" s="16">
        <v>137</v>
      </c>
      <c r="I100" s="16">
        <v>2261</v>
      </c>
      <c r="J100" s="16">
        <v>113</v>
      </c>
      <c r="K100" s="16">
        <v>0</v>
      </c>
      <c r="L100" s="16">
        <v>343</v>
      </c>
      <c r="M100" s="16">
        <v>1740</v>
      </c>
      <c r="N100" s="16">
        <v>1</v>
      </c>
      <c r="O100" s="16">
        <v>37</v>
      </c>
      <c r="P100" s="16">
        <v>8166</v>
      </c>
      <c r="Q100" s="16">
        <v>2556</v>
      </c>
      <c r="R100" s="16">
        <v>424</v>
      </c>
      <c r="S100" s="16">
        <v>49</v>
      </c>
      <c r="T100" s="16">
        <v>1</v>
      </c>
      <c r="U100" s="16">
        <v>306</v>
      </c>
      <c r="V100" s="16">
        <v>70</v>
      </c>
      <c r="W100" s="16">
        <v>57</v>
      </c>
      <c r="X100" s="16">
        <v>1180</v>
      </c>
      <c r="Y100" s="16">
        <v>1833</v>
      </c>
      <c r="Z100" s="16">
        <v>4745</v>
      </c>
      <c r="AA100" s="16">
        <v>40</v>
      </c>
      <c r="AB100" s="16">
        <v>0</v>
      </c>
      <c r="AC100" s="16">
        <v>0</v>
      </c>
      <c r="AD100" s="16">
        <v>0</v>
      </c>
      <c r="AE100" s="16">
        <v>3</v>
      </c>
      <c r="AF100" s="16">
        <v>19</v>
      </c>
      <c r="AG100" s="16">
        <v>1144</v>
      </c>
      <c r="AH100" s="16">
        <v>524</v>
      </c>
      <c r="AI100" s="16">
        <v>259</v>
      </c>
      <c r="AJ100" s="16">
        <v>1648</v>
      </c>
      <c r="AK100" s="16">
        <v>669</v>
      </c>
      <c r="AL100" s="16">
        <v>738</v>
      </c>
      <c r="AM100" s="16">
        <v>2670</v>
      </c>
      <c r="AN100" s="16">
        <v>333</v>
      </c>
      <c r="AO100" s="16">
        <v>411</v>
      </c>
      <c r="AP100" s="16">
        <v>139</v>
      </c>
      <c r="AQ100" s="16">
        <v>448</v>
      </c>
      <c r="AR100" s="16">
        <v>0</v>
      </c>
      <c r="AS100" s="16">
        <v>397</v>
      </c>
      <c r="AT100" s="16">
        <v>927</v>
      </c>
      <c r="AU100" s="16">
        <v>3660</v>
      </c>
      <c r="AV100" s="16">
        <v>353</v>
      </c>
      <c r="AW100" s="16">
        <v>1360</v>
      </c>
      <c r="AX100" s="16">
        <v>62</v>
      </c>
      <c r="AY100" s="16">
        <v>5690</v>
      </c>
      <c r="AZ100" s="16">
        <v>531</v>
      </c>
      <c r="BA100" s="16">
        <v>968</v>
      </c>
      <c r="BB100" s="16">
        <v>1529</v>
      </c>
      <c r="BC100" s="16">
        <v>1268</v>
      </c>
      <c r="BD100" s="16">
        <v>10</v>
      </c>
      <c r="BE100" s="16">
        <v>74</v>
      </c>
      <c r="BF100" s="16">
        <v>235</v>
      </c>
      <c r="BG100" s="16">
        <v>54</v>
      </c>
      <c r="BH100" s="16">
        <v>1060</v>
      </c>
      <c r="BI100" s="16">
        <v>37</v>
      </c>
      <c r="BJ100" s="16">
        <v>189</v>
      </c>
      <c r="BK100" s="16">
        <v>525</v>
      </c>
      <c r="BL100" s="16">
        <v>1297</v>
      </c>
      <c r="BM100" s="16">
        <v>93</v>
      </c>
      <c r="BN100" s="16">
        <v>1049</v>
      </c>
      <c r="BO100" s="16">
        <v>52</v>
      </c>
      <c r="BP100" s="16">
        <v>138</v>
      </c>
      <c r="BQ100" s="16">
        <v>236</v>
      </c>
      <c r="BR100" s="16">
        <v>19</v>
      </c>
      <c r="BS100" s="16">
        <v>2644</v>
      </c>
      <c r="BT100" s="16">
        <v>32</v>
      </c>
      <c r="BU100" s="16">
        <v>121</v>
      </c>
      <c r="BV100" s="16">
        <v>51</v>
      </c>
      <c r="BW100" s="16">
        <v>328</v>
      </c>
      <c r="BX100" s="16">
        <v>40</v>
      </c>
      <c r="BY100" s="16">
        <v>1</v>
      </c>
      <c r="BZ100" s="16">
        <v>291</v>
      </c>
      <c r="CA100" s="16">
        <v>175</v>
      </c>
      <c r="CB100" s="16">
        <v>16</v>
      </c>
      <c r="CC100" s="16">
        <v>670</v>
      </c>
      <c r="CD100" s="16">
        <v>286</v>
      </c>
      <c r="CE100" s="16">
        <v>80</v>
      </c>
      <c r="CF100" s="16">
        <v>291</v>
      </c>
      <c r="CG100" s="16">
        <v>459</v>
      </c>
      <c r="CH100" s="16">
        <v>227</v>
      </c>
      <c r="CI100" s="16">
        <v>1225</v>
      </c>
      <c r="CJ100" s="16">
        <v>114</v>
      </c>
      <c r="CK100" s="16">
        <v>404</v>
      </c>
      <c r="CL100" s="16">
        <v>483</v>
      </c>
      <c r="CM100" s="16">
        <v>184</v>
      </c>
      <c r="CN100" s="16">
        <v>215</v>
      </c>
      <c r="CO100" s="16">
        <v>301</v>
      </c>
      <c r="CP100" s="16">
        <v>366</v>
      </c>
      <c r="CQ100" s="16">
        <v>4428</v>
      </c>
      <c r="CR100" s="16">
        <v>82</v>
      </c>
      <c r="CS100" s="16">
        <v>1585</v>
      </c>
      <c r="CT100" s="16">
        <v>1404</v>
      </c>
      <c r="CU100" s="16">
        <v>2367</v>
      </c>
      <c r="CV100" s="16">
        <v>1105</v>
      </c>
      <c r="CW100" s="16">
        <v>10747</v>
      </c>
      <c r="CX100" s="16">
        <v>4735</v>
      </c>
      <c r="CY100" s="16">
        <v>452</v>
      </c>
      <c r="CZ100" s="16">
        <v>3565</v>
      </c>
      <c r="DA100" s="16">
        <v>90</v>
      </c>
      <c r="DB100" s="16">
        <v>1445</v>
      </c>
      <c r="DC100" s="16">
        <v>483</v>
      </c>
      <c r="DD100" s="16">
        <v>3862</v>
      </c>
      <c r="DE100" s="16">
        <v>619</v>
      </c>
      <c r="DF100" s="16">
        <v>799</v>
      </c>
      <c r="DG100" s="16">
        <v>132</v>
      </c>
      <c r="DH100" s="16">
        <v>1971</v>
      </c>
      <c r="DI100" s="16">
        <v>1143</v>
      </c>
      <c r="DJ100" s="16">
        <v>1645</v>
      </c>
      <c r="DK100" s="16">
        <v>69</v>
      </c>
      <c r="DL100" s="16">
        <v>601</v>
      </c>
      <c r="DM100" s="16">
        <v>1569</v>
      </c>
      <c r="DN100" s="16">
        <v>146</v>
      </c>
      <c r="DO100" s="16">
        <v>187</v>
      </c>
      <c r="DP100" s="16">
        <v>2205</v>
      </c>
      <c r="DQ100" s="16">
        <v>82</v>
      </c>
      <c r="DR100" s="16">
        <v>795</v>
      </c>
      <c r="DS100" s="16">
        <v>1070</v>
      </c>
      <c r="DT100" s="16">
        <v>104</v>
      </c>
      <c r="DU100" s="16">
        <v>184</v>
      </c>
      <c r="DV100" s="16">
        <v>491</v>
      </c>
      <c r="DW100" s="16">
        <v>1478</v>
      </c>
      <c r="DX100" s="16">
        <v>1063</v>
      </c>
      <c r="DY100" s="16">
        <v>1586</v>
      </c>
      <c r="DZ100" s="16">
        <v>3471</v>
      </c>
      <c r="EA100" s="16">
        <v>1669</v>
      </c>
      <c r="EB100" s="16">
        <v>57</v>
      </c>
      <c r="EC100" s="16">
        <v>954</v>
      </c>
      <c r="ED100" s="16">
        <v>1270</v>
      </c>
      <c r="EE100" s="16">
        <v>40</v>
      </c>
      <c r="EF100" s="16">
        <v>282</v>
      </c>
      <c r="EG100" s="16">
        <v>6649</v>
      </c>
      <c r="EH100" s="16">
        <v>2074</v>
      </c>
      <c r="EI100" s="16">
        <v>1459</v>
      </c>
      <c r="EJ100" s="16">
        <v>1053</v>
      </c>
      <c r="EK100" s="16">
        <v>96</v>
      </c>
      <c r="EL100" s="16">
        <v>297</v>
      </c>
      <c r="EM100" s="16">
        <v>652</v>
      </c>
      <c r="EN100" s="16">
        <v>1498</v>
      </c>
      <c r="EO100" s="16">
        <v>725</v>
      </c>
      <c r="EP100" s="16">
        <v>138</v>
      </c>
      <c r="EQ100" s="16">
        <v>79</v>
      </c>
      <c r="ER100" s="16">
        <v>84</v>
      </c>
      <c r="ES100" s="16">
        <v>1800</v>
      </c>
      <c r="ET100" s="16">
        <v>2920</v>
      </c>
      <c r="EU100" s="16">
        <v>55</v>
      </c>
      <c r="EV100" s="16">
        <v>759</v>
      </c>
      <c r="EW100" s="16">
        <v>172</v>
      </c>
      <c r="EX100" s="16">
        <v>5174</v>
      </c>
      <c r="EY100" s="16">
        <v>202</v>
      </c>
      <c r="EZ100" s="16">
        <v>27</v>
      </c>
      <c r="FA100" s="16">
        <v>57</v>
      </c>
      <c r="FB100" s="16">
        <v>218</v>
      </c>
      <c r="FC100" s="16">
        <v>57</v>
      </c>
      <c r="FD100" s="16">
        <v>1511</v>
      </c>
      <c r="FE100" s="16">
        <v>153</v>
      </c>
      <c r="FF100" s="16">
        <v>502</v>
      </c>
      <c r="FG100" s="16">
        <v>339</v>
      </c>
      <c r="FH100" s="16">
        <v>21</v>
      </c>
      <c r="FI100" s="16">
        <v>97</v>
      </c>
      <c r="FJ100" s="16">
        <v>62</v>
      </c>
      <c r="FK100" s="16">
        <v>123</v>
      </c>
      <c r="FL100" s="16">
        <v>29</v>
      </c>
      <c r="FM100" s="16">
        <v>169</v>
      </c>
      <c r="FN100" s="16">
        <v>2012</v>
      </c>
      <c r="FO100" s="16">
        <v>255</v>
      </c>
      <c r="FP100" s="16">
        <v>614</v>
      </c>
      <c r="FQ100" s="16">
        <v>1099</v>
      </c>
      <c r="FR100" s="16">
        <v>1522</v>
      </c>
      <c r="FS100" s="16">
        <v>287</v>
      </c>
      <c r="FT100" s="16">
        <v>771</v>
      </c>
      <c r="FU100" s="16">
        <v>995</v>
      </c>
      <c r="FV100" s="16">
        <v>1099</v>
      </c>
      <c r="FW100" s="16">
        <v>1920</v>
      </c>
      <c r="FX100" s="16">
        <v>4465</v>
      </c>
      <c r="FY100" s="16">
        <v>242</v>
      </c>
      <c r="FZ100" s="16">
        <v>1009</v>
      </c>
      <c r="GA100" s="16">
        <v>88</v>
      </c>
      <c r="GB100" s="16">
        <v>3749</v>
      </c>
      <c r="GC100" s="16">
        <v>2172</v>
      </c>
      <c r="GD100" s="16">
        <v>499</v>
      </c>
      <c r="GE100" s="16">
        <v>212</v>
      </c>
      <c r="GF100" s="16">
        <v>760</v>
      </c>
      <c r="GG100" s="16">
        <v>2</v>
      </c>
      <c r="GH100" s="16">
        <v>476</v>
      </c>
      <c r="GI100" s="16">
        <v>235</v>
      </c>
      <c r="GJ100" s="16">
        <v>539</v>
      </c>
      <c r="GK100" s="16">
        <v>97</v>
      </c>
      <c r="GL100" s="16">
        <v>3</v>
      </c>
      <c r="GM100" s="16">
        <v>7</v>
      </c>
      <c r="GN100" s="16">
        <v>148</v>
      </c>
      <c r="GO100" s="16">
        <v>823</v>
      </c>
      <c r="GP100" s="16">
        <v>19</v>
      </c>
      <c r="GQ100" s="16">
        <v>1</v>
      </c>
      <c r="GR100" s="16">
        <v>384</v>
      </c>
      <c r="GS100" s="16">
        <v>35</v>
      </c>
      <c r="GT100" s="16">
        <v>17</v>
      </c>
      <c r="GU100" s="16">
        <v>216</v>
      </c>
      <c r="GV100" s="16">
        <v>420</v>
      </c>
      <c r="GW100" s="16">
        <v>234</v>
      </c>
      <c r="GX100" s="16">
        <v>50</v>
      </c>
      <c r="GY100" s="16">
        <v>8</v>
      </c>
      <c r="GZ100" s="16">
        <v>268</v>
      </c>
      <c r="HA100" s="16">
        <v>152</v>
      </c>
      <c r="HB100" s="16">
        <v>84</v>
      </c>
      <c r="HC100" s="16">
        <v>680</v>
      </c>
      <c r="HD100" s="16">
        <v>593</v>
      </c>
      <c r="HE100" s="16">
        <v>49</v>
      </c>
      <c r="HF100" s="16">
        <v>207</v>
      </c>
      <c r="HG100" s="16">
        <v>114</v>
      </c>
      <c r="HH100" s="16">
        <v>72</v>
      </c>
      <c r="HI100" s="16">
        <v>258</v>
      </c>
      <c r="HJ100" s="16">
        <v>364</v>
      </c>
      <c r="HK100" s="16">
        <v>526</v>
      </c>
      <c r="HL100" s="16">
        <v>1071</v>
      </c>
      <c r="HM100" s="16">
        <v>1466</v>
      </c>
      <c r="HN100" s="16">
        <v>497</v>
      </c>
      <c r="HO100" s="16">
        <v>1034</v>
      </c>
      <c r="HP100" s="16">
        <v>322</v>
      </c>
      <c r="HQ100" s="16">
        <v>559</v>
      </c>
      <c r="HR100" s="16">
        <v>293</v>
      </c>
      <c r="HS100" s="16">
        <v>332</v>
      </c>
      <c r="HT100" s="16">
        <v>46</v>
      </c>
      <c r="HU100" s="16">
        <v>720</v>
      </c>
      <c r="HV100" s="16">
        <v>141</v>
      </c>
      <c r="HW100" s="16">
        <v>341</v>
      </c>
      <c r="HX100" s="16">
        <v>967</v>
      </c>
      <c r="HY100" s="16">
        <v>1137</v>
      </c>
      <c r="HZ100" s="16">
        <v>863</v>
      </c>
      <c r="IA100" s="16">
        <v>138</v>
      </c>
      <c r="IB100" s="16">
        <v>54</v>
      </c>
      <c r="IC100" s="16">
        <v>50</v>
      </c>
      <c r="ID100" s="16">
        <v>74</v>
      </c>
      <c r="IE100" s="16">
        <v>15</v>
      </c>
      <c r="IF100" s="16">
        <v>83</v>
      </c>
      <c r="IG100" s="16">
        <v>1014</v>
      </c>
      <c r="IH100" s="16">
        <v>549</v>
      </c>
      <c r="II100" s="16">
        <v>74</v>
      </c>
      <c r="IJ100" s="16">
        <v>54</v>
      </c>
      <c r="IK100" s="16">
        <v>570</v>
      </c>
      <c r="IL100" s="16">
        <v>218</v>
      </c>
      <c r="IM100" s="16">
        <v>51</v>
      </c>
      <c r="IN100" s="16">
        <v>255</v>
      </c>
      <c r="IO100" s="16">
        <v>1083</v>
      </c>
      <c r="IP100" s="16">
        <v>31</v>
      </c>
      <c r="IQ100" s="16">
        <v>5</v>
      </c>
      <c r="IR100" s="16">
        <v>229</v>
      </c>
      <c r="IS100" s="16">
        <v>48</v>
      </c>
      <c r="IT100" s="16">
        <v>52</v>
      </c>
      <c r="IU100" s="16">
        <v>48</v>
      </c>
      <c r="IV100" s="16">
        <v>55</v>
      </c>
      <c r="IW100" s="16">
        <v>989</v>
      </c>
      <c r="IX100" s="16">
        <v>112</v>
      </c>
      <c r="IY100" s="16">
        <v>153</v>
      </c>
      <c r="IZ100" s="16">
        <v>12</v>
      </c>
      <c r="JA100" s="16">
        <v>160</v>
      </c>
      <c r="JB100" s="16">
        <v>6</v>
      </c>
      <c r="JC100" s="16">
        <v>49</v>
      </c>
      <c r="JD100" s="16">
        <v>41</v>
      </c>
      <c r="JE100" s="16">
        <v>666</v>
      </c>
      <c r="JF100" s="16">
        <v>265</v>
      </c>
      <c r="JG100" s="16">
        <v>9209</v>
      </c>
      <c r="JH100" s="16">
        <v>101</v>
      </c>
      <c r="JI100" s="16">
        <v>138</v>
      </c>
      <c r="JJ100" s="16">
        <v>28665</v>
      </c>
      <c r="JK100" s="16">
        <v>1759</v>
      </c>
      <c r="JL100" s="16">
        <v>381</v>
      </c>
      <c r="JM100" s="16">
        <v>263</v>
      </c>
      <c r="JN100" s="16">
        <v>3321</v>
      </c>
      <c r="JO100" s="16">
        <v>628</v>
      </c>
      <c r="JP100" s="16">
        <v>6324</v>
      </c>
      <c r="JQ100" s="16">
        <v>463</v>
      </c>
      <c r="JR100" s="16">
        <v>5691</v>
      </c>
      <c r="JS100" s="16">
        <v>3842</v>
      </c>
      <c r="JT100" s="16">
        <v>1</v>
      </c>
      <c r="JU100" s="16">
        <v>6126</v>
      </c>
      <c r="JV100" s="16">
        <v>37</v>
      </c>
      <c r="JW100" s="16">
        <v>39038</v>
      </c>
      <c r="JX100" s="16">
        <v>30141</v>
      </c>
      <c r="JY100" s="16">
        <v>26910</v>
      </c>
      <c r="JZ100" s="16">
        <v>3205</v>
      </c>
      <c r="KA100" s="16">
        <v>3900</v>
      </c>
      <c r="KB100" s="16">
        <v>552</v>
      </c>
      <c r="KC100" s="16">
        <v>1714</v>
      </c>
      <c r="KD100" s="16">
        <v>3524</v>
      </c>
      <c r="KE100" s="16">
        <v>973</v>
      </c>
      <c r="KF100" s="16">
        <v>3153</v>
      </c>
      <c r="KG100" s="16">
        <v>127</v>
      </c>
      <c r="KH100" s="16">
        <v>3283</v>
      </c>
      <c r="KI100" s="16">
        <v>76</v>
      </c>
      <c r="KJ100" s="16">
        <v>5801</v>
      </c>
      <c r="KK100" s="16">
        <v>582438</v>
      </c>
      <c r="KL100" s="16">
        <v>66</v>
      </c>
      <c r="KM100" s="16">
        <v>1802</v>
      </c>
      <c r="KN100" s="16">
        <v>116</v>
      </c>
      <c r="KO100" s="16">
        <v>6342</v>
      </c>
      <c r="KP100" s="16">
        <v>28</v>
      </c>
      <c r="KQ100" s="16">
        <v>27</v>
      </c>
      <c r="KR100" s="16">
        <v>2808</v>
      </c>
      <c r="KS100" s="16">
        <v>451</v>
      </c>
      <c r="KT100" s="16">
        <v>2209</v>
      </c>
      <c r="KU100" s="16">
        <v>766</v>
      </c>
      <c r="KV100" s="16">
        <v>2181</v>
      </c>
      <c r="KW100" s="16">
        <v>2662</v>
      </c>
      <c r="KX100" s="16">
        <v>65</v>
      </c>
      <c r="KY100" s="16">
        <v>1188</v>
      </c>
      <c r="KZ100" s="16">
        <v>1179502</v>
      </c>
      <c r="LA100" s="16">
        <v>270580</v>
      </c>
      <c r="LB100" s="16">
        <v>6440</v>
      </c>
      <c r="LC100" s="16">
        <v>119817</v>
      </c>
      <c r="LD100" s="16">
        <v>83740</v>
      </c>
      <c r="LE100" s="16">
        <v>124</v>
      </c>
      <c r="LF100" s="16">
        <v>117</v>
      </c>
      <c r="LG100" s="16">
        <v>219</v>
      </c>
      <c r="LH100" s="16">
        <v>2090</v>
      </c>
      <c r="LI100" s="16">
        <v>128</v>
      </c>
      <c r="LJ100" s="16">
        <v>38</v>
      </c>
      <c r="LK100" s="16">
        <v>1952</v>
      </c>
      <c r="LL100" s="16">
        <v>790</v>
      </c>
      <c r="LM100" s="16">
        <v>8879</v>
      </c>
      <c r="LN100" s="16">
        <v>553</v>
      </c>
      <c r="LO100" s="16">
        <v>59</v>
      </c>
      <c r="LP100" s="16">
        <v>3330</v>
      </c>
      <c r="LQ100" s="16">
        <v>1835</v>
      </c>
      <c r="LR100" s="16">
        <v>1684</v>
      </c>
      <c r="LS100" s="16">
        <v>2535</v>
      </c>
      <c r="LT100" s="16">
        <v>1466</v>
      </c>
      <c r="LU100" s="16">
        <v>891</v>
      </c>
      <c r="LV100" s="16">
        <v>9</v>
      </c>
      <c r="LW100" s="16">
        <v>242</v>
      </c>
      <c r="LX100" s="16">
        <v>635</v>
      </c>
      <c r="LY100" s="16">
        <v>0</v>
      </c>
      <c r="LZ100" s="16">
        <v>22843</v>
      </c>
      <c r="MA100" s="16">
        <v>8014</v>
      </c>
      <c r="MB100" s="16">
        <v>63589</v>
      </c>
      <c r="MC100" s="16">
        <v>4990</v>
      </c>
      <c r="MD100" s="16">
        <v>289</v>
      </c>
      <c r="ME100" s="16">
        <v>517</v>
      </c>
      <c r="MF100" s="16">
        <v>2568</v>
      </c>
      <c r="MG100" s="16">
        <v>15409</v>
      </c>
      <c r="MH100" s="16">
        <v>26210</v>
      </c>
      <c r="MI100" s="16">
        <v>195</v>
      </c>
      <c r="MJ100" s="16">
        <v>975</v>
      </c>
      <c r="MK100" s="16">
        <v>1532</v>
      </c>
      <c r="ML100" s="16">
        <v>699</v>
      </c>
      <c r="MM100" s="16">
        <v>29424</v>
      </c>
      <c r="MN100" s="16">
        <v>10443</v>
      </c>
      <c r="MO100" s="16">
        <v>9077</v>
      </c>
      <c r="MP100" s="16">
        <v>11345</v>
      </c>
      <c r="MQ100" s="16">
        <v>21096</v>
      </c>
      <c r="MR100" s="16">
        <v>448404</v>
      </c>
      <c r="MS100" s="16">
        <v>81210</v>
      </c>
      <c r="MT100" s="16">
        <v>708</v>
      </c>
      <c r="MU100" s="16">
        <v>124569</v>
      </c>
      <c r="MV100" s="16">
        <v>38301</v>
      </c>
      <c r="MW100" s="16">
        <v>445455</v>
      </c>
      <c r="MX100" s="16">
        <v>4375</v>
      </c>
      <c r="MY100" s="16">
        <v>2203</v>
      </c>
      <c r="MZ100" s="16">
        <v>14090</v>
      </c>
      <c r="NA100" s="16">
        <v>19777</v>
      </c>
      <c r="NB100" s="16">
        <v>81637</v>
      </c>
      <c r="NC100" s="16">
        <v>25895</v>
      </c>
      <c r="ND100" s="16">
        <v>3916</v>
      </c>
      <c r="NE100" s="16">
        <v>1479</v>
      </c>
      <c r="NF100" s="16">
        <v>3544</v>
      </c>
      <c r="NG100" s="16">
        <v>12099</v>
      </c>
      <c r="NH100" s="16">
        <v>735</v>
      </c>
      <c r="NI100" s="16">
        <v>5223</v>
      </c>
      <c r="NJ100" s="16">
        <v>22470</v>
      </c>
      <c r="NK100" s="16">
        <v>4859</v>
      </c>
      <c r="NL100" s="16">
        <v>3991</v>
      </c>
      <c r="NM100" s="16">
        <v>105047</v>
      </c>
      <c r="NN100" s="16">
        <v>23529</v>
      </c>
      <c r="NO100" s="16">
        <v>0</v>
      </c>
      <c r="NP100" s="16">
        <v>187640</v>
      </c>
      <c r="NQ100" s="16">
        <v>714</v>
      </c>
      <c r="NR100" s="17">
        <v>4914297</v>
      </c>
    </row>
    <row r="101" spans="1:382" ht="13.5" customHeight="1" x14ac:dyDescent="0.2">
      <c r="A101" s="2" t="s">
        <v>209</v>
      </c>
      <c r="B101" s="16">
        <v>34603</v>
      </c>
      <c r="C101" s="16">
        <v>10439</v>
      </c>
      <c r="D101" s="16">
        <v>6141</v>
      </c>
      <c r="E101" s="16">
        <v>7940</v>
      </c>
      <c r="F101" s="16">
        <v>40254</v>
      </c>
      <c r="G101" s="16">
        <v>16739</v>
      </c>
      <c r="H101" s="16">
        <v>8618</v>
      </c>
      <c r="I101" s="16">
        <v>7454</v>
      </c>
      <c r="J101" s="16">
        <v>396</v>
      </c>
      <c r="K101" s="16">
        <v>0</v>
      </c>
      <c r="L101" s="16">
        <v>1019</v>
      </c>
      <c r="M101" s="16">
        <v>5944</v>
      </c>
      <c r="N101" s="16">
        <v>2</v>
      </c>
      <c r="O101" s="16">
        <v>26</v>
      </c>
      <c r="P101" s="16">
        <v>1658</v>
      </c>
      <c r="Q101" s="16">
        <v>3926</v>
      </c>
      <c r="R101" s="16">
        <v>4987</v>
      </c>
      <c r="S101" s="16">
        <v>2821</v>
      </c>
      <c r="T101" s="16">
        <v>491</v>
      </c>
      <c r="U101" s="16">
        <v>3740</v>
      </c>
      <c r="V101" s="16">
        <v>408</v>
      </c>
      <c r="W101" s="16">
        <v>217</v>
      </c>
      <c r="X101" s="16">
        <v>771529</v>
      </c>
      <c r="Y101" s="16">
        <v>41635</v>
      </c>
      <c r="Z101" s="16">
        <v>11555</v>
      </c>
      <c r="AA101" s="16">
        <v>7</v>
      </c>
      <c r="AB101" s="16">
        <v>0</v>
      </c>
      <c r="AC101" s="16">
        <v>0</v>
      </c>
      <c r="AD101" s="16">
        <v>0</v>
      </c>
      <c r="AE101" s="16">
        <v>127</v>
      </c>
      <c r="AF101" s="16">
        <v>188</v>
      </c>
      <c r="AG101" s="16">
        <v>40069</v>
      </c>
      <c r="AH101" s="16">
        <v>17220</v>
      </c>
      <c r="AI101" s="16">
        <v>8561</v>
      </c>
      <c r="AJ101" s="16">
        <v>1743</v>
      </c>
      <c r="AK101" s="16">
        <v>644</v>
      </c>
      <c r="AL101" s="16">
        <v>1695</v>
      </c>
      <c r="AM101" s="16">
        <v>6776</v>
      </c>
      <c r="AN101" s="16">
        <v>2255</v>
      </c>
      <c r="AO101" s="16">
        <v>3301</v>
      </c>
      <c r="AP101" s="16">
        <v>147</v>
      </c>
      <c r="AQ101" s="16">
        <v>535</v>
      </c>
      <c r="AR101" s="16">
        <v>0</v>
      </c>
      <c r="AS101" s="16">
        <v>1462</v>
      </c>
      <c r="AT101" s="16">
        <v>970</v>
      </c>
      <c r="AU101" s="16">
        <v>15189</v>
      </c>
      <c r="AV101" s="16">
        <v>1086</v>
      </c>
      <c r="AW101" s="16">
        <v>4264</v>
      </c>
      <c r="AX101" s="16">
        <v>428</v>
      </c>
      <c r="AY101" s="16">
        <v>18230</v>
      </c>
      <c r="AZ101" s="16">
        <v>4723</v>
      </c>
      <c r="BA101" s="16">
        <v>2753</v>
      </c>
      <c r="BB101" s="16">
        <v>4396</v>
      </c>
      <c r="BC101" s="16">
        <v>4232</v>
      </c>
      <c r="BD101" s="16">
        <v>192</v>
      </c>
      <c r="BE101" s="16">
        <v>642</v>
      </c>
      <c r="BF101" s="16">
        <v>2325</v>
      </c>
      <c r="BG101" s="16">
        <v>945</v>
      </c>
      <c r="BH101" s="16">
        <v>5084</v>
      </c>
      <c r="BI101" s="16">
        <v>948</v>
      </c>
      <c r="BJ101" s="16">
        <v>469</v>
      </c>
      <c r="BK101" s="16">
        <v>634</v>
      </c>
      <c r="BL101" s="16">
        <v>1624</v>
      </c>
      <c r="BM101" s="16">
        <v>263</v>
      </c>
      <c r="BN101" s="16">
        <v>2205</v>
      </c>
      <c r="BO101" s="16">
        <v>820</v>
      </c>
      <c r="BP101" s="16">
        <v>330</v>
      </c>
      <c r="BQ101" s="16">
        <v>618</v>
      </c>
      <c r="BR101" s="16">
        <v>195</v>
      </c>
      <c r="BS101" s="16">
        <v>3003</v>
      </c>
      <c r="BT101" s="16">
        <v>85</v>
      </c>
      <c r="BU101" s="16">
        <v>6</v>
      </c>
      <c r="BV101" s="16">
        <v>63</v>
      </c>
      <c r="BW101" s="16">
        <v>1893</v>
      </c>
      <c r="BX101" s="16">
        <v>64</v>
      </c>
      <c r="BY101" s="16">
        <v>3</v>
      </c>
      <c r="BZ101" s="16">
        <v>1656</v>
      </c>
      <c r="CA101" s="16">
        <v>722</v>
      </c>
      <c r="CB101" s="16">
        <v>401</v>
      </c>
      <c r="CC101" s="16">
        <v>2005</v>
      </c>
      <c r="CD101" s="16">
        <v>770</v>
      </c>
      <c r="CE101" s="16">
        <v>310</v>
      </c>
      <c r="CF101" s="16">
        <v>1161</v>
      </c>
      <c r="CG101" s="16">
        <v>748</v>
      </c>
      <c r="CH101" s="16">
        <v>644</v>
      </c>
      <c r="CI101" s="16">
        <v>1658</v>
      </c>
      <c r="CJ101" s="16">
        <v>746</v>
      </c>
      <c r="CK101" s="16">
        <v>5342</v>
      </c>
      <c r="CL101" s="16">
        <v>5162</v>
      </c>
      <c r="CM101" s="16">
        <v>861</v>
      </c>
      <c r="CN101" s="16">
        <v>839</v>
      </c>
      <c r="CO101" s="16">
        <v>2001</v>
      </c>
      <c r="CP101" s="16">
        <v>3316</v>
      </c>
      <c r="CQ101" s="16">
        <v>6893</v>
      </c>
      <c r="CR101" s="16">
        <v>229</v>
      </c>
      <c r="CS101" s="16">
        <v>5480</v>
      </c>
      <c r="CT101" s="16">
        <v>5640</v>
      </c>
      <c r="CU101" s="16">
        <v>9272</v>
      </c>
      <c r="CV101" s="16">
        <v>5022</v>
      </c>
      <c r="CW101" s="16">
        <v>39664</v>
      </c>
      <c r="CX101" s="16">
        <v>13156</v>
      </c>
      <c r="CY101" s="16">
        <v>1787</v>
      </c>
      <c r="CZ101" s="16">
        <v>19022</v>
      </c>
      <c r="DA101" s="16">
        <v>1542</v>
      </c>
      <c r="DB101" s="16">
        <v>3147</v>
      </c>
      <c r="DC101" s="16">
        <v>554</v>
      </c>
      <c r="DD101" s="16">
        <v>6194</v>
      </c>
      <c r="DE101" s="16">
        <v>3717</v>
      </c>
      <c r="DF101" s="16">
        <v>2843</v>
      </c>
      <c r="DG101" s="16">
        <v>3488</v>
      </c>
      <c r="DH101" s="16">
        <v>3702</v>
      </c>
      <c r="DI101" s="16">
        <v>4164</v>
      </c>
      <c r="DJ101" s="16">
        <v>14576</v>
      </c>
      <c r="DK101" s="16">
        <v>608</v>
      </c>
      <c r="DL101" s="16">
        <v>1603</v>
      </c>
      <c r="DM101" s="16">
        <v>24099</v>
      </c>
      <c r="DN101" s="16">
        <v>4594</v>
      </c>
      <c r="DO101" s="16">
        <v>2000</v>
      </c>
      <c r="DP101" s="16">
        <v>2993</v>
      </c>
      <c r="DQ101" s="16">
        <v>1168</v>
      </c>
      <c r="DR101" s="16">
        <v>1627</v>
      </c>
      <c r="DS101" s="16">
        <v>8988</v>
      </c>
      <c r="DT101" s="16">
        <v>1070</v>
      </c>
      <c r="DU101" s="16">
        <v>2256</v>
      </c>
      <c r="DV101" s="16">
        <v>1781</v>
      </c>
      <c r="DW101" s="16">
        <v>7688</v>
      </c>
      <c r="DX101" s="16">
        <v>4230</v>
      </c>
      <c r="DY101" s="16">
        <v>8145</v>
      </c>
      <c r="DZ101" s="16">
        <v>15234</v>
      </c>
      <c r="EA101" s="16">
        <v>7878</v>
      </c>
      <c r="EB101" s="16">
        <v>471</v>
      </c>
      <c r="EC101" s="16">
        <v>3015</v>
      </c>
      <c r="ED101" s="16">
        <v>2010</v>
      </c>
      <c r="EE101" s="16">
        <v>18</v>
      </c>
      <c r="EF101" s="16">
        <v>323</v>
      </c>
      <c r="EG101" s="16">
        <v>6125</v>
      </c>
      <c r="EH101" s="16">
        <v>2099</v>
      </c>
      <c r="EI101" s="16">
        <v>3017</v>
      </c>
      <c r="EJ101" s="16">
        <v>1797</v>
      </c>
      <c r="EK101" s="16">
        <v>2877</v>
      </c>
      <c r="EL101" s="16">
        <v>2362</v>
      </c>
      <c r="EM101" s="16">
        <v>5504</v>
      </c>
      <c r="EN101" s="16">
        <v>78286</v>
      </c>
      <c r="EO101" s="16">
        <v>13922</v>
      </c>
      <c r="EP101" s="16">
        <v>1116</v>
      </c>
      <c r="EQ101" s="16">
        <v>1867</v>
      </c>
      <c r="ER101" s="16">
        <v>806</v>
      </c>
      <c r="ES101" s="16">
        <v>3519</v>
      </c>
      <c r="ET101" s="16">
        <v>33035</v>
      </c>
      <c r="EU101" s="16">
        <v>83</v>
      </c>
      <c r="EV101" s="16">
        <v>428</v>
      </c>
      <c r="EW101" s="16">
        <v>221</v>
      </c>
      <c r="EX101" s="16">
        <v>9685</v>
      </c>
      <c r="EY101" s="16">
        <v>872</v>
      </c>
      <c r="EZ101" s="16">
        <v>131</v>
      </c>
      <c r="FA101" s="16">
        <v>185</v>
      </c>
      <c r="FB101" s="16">
        <v>713</v>
      </c>
      <c r="FC101" s="16">
        <v>168</v>
      </c>
      <c r="FD101" s="16">
        <v>1043</v>
      </c>
      <c r="FE101" s="16">
        <v>410</v>
      </c>
      <c r="FF101" s="16">
        <v>386</v>
      </c>
      <c r="FG101" s="16">
        <v>994</v>
      </c>
      <c r="FH101" s="16">
        <v>191</v>
      </c>
      <c r="FI101" s="16">
        <v>363</v>
      </c>
      <c r="FJ101" s="16">
        <v>734</v>
      </c>
      <c r="FK101" s="16">
        <v>3077</v>
      </c>
      <c r="FL101" s="16">
        <v>1333</v>
      </c>
      <c r="FM101" s="16">
        <v>760</v>
      </c>
      <c r="FN101" s="16">
        <v>8632</v>
      </c>
      <c r="FO101" s="16">
        <v>11125</v>
      </c>
      <c r="FP101" s="16">
        <v>2599</v>
      </c>
      <c r="FQ101" s="16">
        <v>3689</v>
      </c>
      <c r="FR101" s="16">
        <v>4639</v>
      </c>
      <c r="FS101" s="16">
        <v>996</v>
      </c>
      <c r="FT101" s="16">
        <v>2935</v>
      </c>
      <c r="FU101" s="16">
        <v>5312</v>
      </c>
      <c r="FV101" s="16">
        <v>4171</v>
      </c>
      <c r="FW101" s="16">
        <v>14037</v>
      </c>
      <c r="FX101" s="16">
        <v>28595</v>
      </c>
      <c r="FY101" s="16">
        <v>1075</v>
      </c>
      <c r="FZ101" s="16">
        <v>3030</v>
      </c>
      <c r="GA101" s="16">
        <v>958</v>
      </c>
      <c r="GB101" s="16">
        <v>2257</v>
      </c>
      <c r="GC101" s="16">
        <v>2464</v>
      </c>
      <c r="GD101" s="16">
        <v>3370</v>
      </c>
      <c r="GE101" s="16">
        <v>314</v>
      </c>
      <c r="GF101" s="16">
        <v>9228</v>
      </c>
      <c r="GG101" s="16">
        <v>9</v>
      </c>
      <c r="GH101" s="16">
        <v>1733</v>
      </c>
      <c r="GI101" s="16">
        <v>671</v>
      </c>
      <c r="GJ101" s="16">
        <v>3023</v>
      </c>
      <c r="GK101" s="16">
        <v>303</v>
      </c>
      <c r="GL101" s="16">
        <v>2</v>
      </c>
      <c r="GM101" s="16">
        <v>13</v>
      </c>
      <c r="GN101" s="16">
        <v>297</v>
      </c>
      <c r="GO101" s="16">
        <v>4024</v>
      </c>
      <c r="GP101" s="16">
        <v>93</v>
      </c>
      <c r="GQ101" s="16">
        <v>5</v>
      </c>
      <c r="GR101" s="16">
        <v>304</v>
      </c>
      <c r="GS101" s="16">
        <v>110</v>
      </c>
      <c r="GT101" s="16">
        <v>64</v>
      </c>
      <c r="GU101" s="16">
        <v>1851</v>
      </c>
      <c r="GV101" s="16">
        <v>1470</v>
      </c>
      <c r="GW101" s="16">
        <v>735</v>
      </c>
      <c r="GX101" s="16">
        <v>191</v>
      </c>
      <c r="GY101" s="16">
        <v>23</v>
      </c>
      <c r="GZ101" s="16">
        <v>1468</v>
      </c>
      <c r="HA101" s="16">
        <v>739</v>
      </c>
      <c r="HB101" s="16">
        <v>583</v>
      </c>
      <c r="HC101" s="16">
        <v>1609</v>
      </c>
      <c r="HD101" s="16">
        <v>1601</v>
      </c>
      <c r="HE101" s="16">
        <v>433</v>
      </c>
      <c r="HF101" s="16">
        <v>2615</v>
      </c>
      <c r="HG101" s="16">
        <v>758</v>
      </c>
      <c r="HH101" s="16">
        <v>531</v>
      </c>
      <c r="HI101" s="16">
        <v>2239</v>
      </c>
      <c r="HJ101" s="16">
        <v>66</v>
      </c>
      <c r="HK101" s="16">
        <v>751</v>
      </c>
      <c r="HL101" s="16">
        <v>5104</v>
      </c>
      <c r="HM101" s="16">
        <v>4741</v>
      </c>
      <c r="HN101" s="16">
        <v>2464</v>
      </c>
      <c r="HO101" s="16">
        <v>2416</v>
      </c>
      <c r="HP101" s="16">
        <v>1011</v>
      </c>
      <c r="HQ101" s="16">
        <v>5557</v>
      </c>
      <c r="HR101" s="16">
        <v>1698</v>
      </c>
      <c r="HS101" s="16">
        <v>1615</v>
      </c>
      <c r="HT101" s="16">
        <v>141</v>
      </c>
      <c r="HU101" s="16">
        <v>2165</v>
      </c>
      <c r="HV101" s="16">
        <v>1082</v>
      </c>
      <c r="HW101" s="16">
        <v>596</v>
      </c>
      <c r="HX101" s="16">
        <v>3251</v>
      </c>
      <c r="HY101" s="16">
        <v>1857</v>
      </c>
      <c r="HZ101" s="16">
        <v>4962</v>
      </c>
      <c r="IA101" s="16">
        <v>825</v>
      </c>
      <c r="IB101" s="16">
        <v>591</v>
      </c>
      <c r="IC101" s="16">
        <v>125</v>
      </c>
      <c r="ID101" s="16">
        <v>533</v>
      </c>
      <c r="IE101" s="16">
        <v>145</v>
      </c>
      <c r="IF101" s="16">
        <v>331</v>
      </c>
      <c r="IG101" s="16">
        <v>3356</v>
      </c>
      <c r="IH101" s="16">
        <v>7664</v>
      </c>
      <c r="II101" s="16">
        <v>1024</v>
      </c>
      <c r="IJ101" s="16">
        <v>749</v>
      </c>
      <c r="IK101" s="16">
        <v>8826</v>
      </c>
      <c r="IL101" s="16">
        <v>3001</v>
      </c>
      <c r="IM101" s="16">
        <v>179</v>
      </c>
      <c r="IN101" s="16">
        <v>2772</v>
      </c>
      <c r="IO101" s="16">
        <v>4313</v>
      </c>
      <c r="IP101" s="16">
        <v>512</v>
      </c>
      <c r="IQ101" s="16">
        <v>102</v>
      </c>
      <c r="IR101" s="16">
        <v>470</v>
      </c>
      <c r="IS101" s="16">
        <v>173</v>
      </c>
      <c r="IT101" s="16">
        <v>127</v>
      </c>
      <c r="IU101" s="16">
        <v>9</v>
      </c>
      <c r="IV101" s="16">
        <v>223</v>
      </c>
      <c r="IW101" s="16">
        <v>4648</v>
      </c>
      <c r="IX101" s="16">
        <v>879</v>
      </c>
      <c r="IY101" s="16">
        <v>1564</v>
      </c>
      <c r="IZ101" s="16">
        <v>64</v>
      </c>
      <c r="JA101" s="16">
        <v>1415</v>
      </c>
      <c r="JB101" s="16">
        <v>177</v>
      </c>
      <c r="JC101" s="16">
        <v>324</v>
      </c>
      <c r="JD101" s="16">
        <v>86</v>
      </c>
      <c r="JE101" s="16">
        <v>2558</v>
      </c>
      <c r="JF101" s="16">
        <v>1357</v>
      </c>
      <c r="JG101" s="16">
        <v>101200</v>
      </c>
      <c r="JH101" s="16">
        <v>337</v>
      </c>
      <c r="JI101" s="16">
        <v>150</v>
      </c>
      <c r="JJ101" s="16">
        <v>41694</v>
      </c>
      <c r="JK101" s="16">
        <v>1564</v>
      </c>
      <c r="JL101" s="16">
        <v>1091</v>
      </c>
      <c r="JM101" s="16">
        <v>486</v>
      </c>
      <c r="JN101" s="16">
        <v>3911</v>
      </c>
      <c r="JO101" s="16">
        <v>849</v>
      </c>
      <c r="JP101" s="16">
        <v>396451</v>
      </c>
      <c r="JQ101" s="16">
        <v>12553</v>
      </c>
      <c r="JR101" s="16">
        <v>249287</v>
      </c>
      <c r="JS101" s="16">
        <v>102688</v>
      </c>
      <c r="JT101" s="16">
        <v>2</v>
      </c>
      <c r="JU101" s="16">
        <v>183466</v>
      </c>
      <c r="JV101" s="16">
        <v>1977</v>
      </c>
      <c r="JW101" s="16">
        <v>908956</v>
      </c>
      <c r="JX101" s="16">
        <v>929008</v>
      </c>
      <c r="JY101" s="16">
        <v>167032</v>
      </c>
      <c r="JZ101" s="16">
        <v>625337</v>
      </c>
      <c r="KA101" s="16">
        <v>105137</v>
      </c>
      <c r="KB101" s="16">
        <v>73082</v>
      </c>
      <c r="KC101" s="16">
        <v>102969</v>
      </c>
      <c r="KD101" s="16">
        <v>98029</v>
      </c>
      <c r="KE101" s="16">
        <v>78919</v>
      </c>
      <c r="KF101" s="16">
        <v>403358</v>
      </c>
      <c r="KG101" s="16">
        <v>6131</v>
      </c>
      <c r="KH101" s="16">
        <v>51301</v>
      </c>
      <c r="KI101" s="16">
        <v>34447</v>
      </c>
      <c r="KJ101" s="16">
        <v>250984</v>
      </c>
      <c r="KK101" s="16">
        <v>5480078</v>
      </c>
      <c r="KL101" s="16">
        <v>171941</v>
      </c>
      <c r="KM101" s="16">
        <v>1624737</v>
      </c>
      <c r="KN101" s="16">
        <v>7493969</v>
      </c>
      <c r="KO101" s="16">
        <v>70853</v>
      </c>
      <c r="KP101" s="16">
        <v>101894</v>
      </c>
      <c r="KQ101" s="16">
        <v>284</v>
      </c>
      <c r="KR101" s="16">
        <v>6905</v>
      </c>
      <c r="KS101" s="16">
        <v>26806</v>
      </c>
      <c r="KT101" s="16">
        <v>9034</v>
      </c>
      <c r="KU101" s="16">
        <v>94479</v>
      </c>
      <c r="KV101" s="16">
        <v>329612</v>
      </c>
      <c r="KW101" s="16">
        <v>877619</v>
      </c>
      <c r="KX101" s="16">
        <v>24691</v>
      </c>
      <c r="KY101" s="16">
        <v>800084</v>
      </c>
      <c r="KZ101" s="16">
        <v>187330</v>
      </c>
      <c r="LA101" s="16">
        <v>140002</v>
      </c>
      <c r="LB101" s="16">
        <v>3198</v>
      </c>
      <c r="LC101" s="16">
        <v>11677</v>
      </c>
      <c r="LD101" s="16">
        <v>19402</v>
      </c>
      <c r="LE101" s="16">
        <v>2192</v>
      </c>
      <c r="LF101" s="16">
        <v>2722</v>
      </c>
      <c r="LG101" s="16">
        <v>1383</v>
      </c>
      <c r="LH101" s="16">
        <v>13207</v>
      </c>
      <c r="LI101" s="16">
        <v>9</v>
      </c>
      <c r="LJ101" s="16">
        <v>197</v>
      </c>
      <c r="LK101" s="16">
        <v>4268</v>
      </c>
      <c r="LL101" s="16">
        <v>1652</v>
      </c>
      <c r="LM101" s="16">
        <v>18553</v>
      </c>
      <c r="LN101" s="16">
        <v>4150</v>
      </c>
      <c r="LO101" s="16">
        <v>715</v>
      </c>
      <c r="LP101" s="16">
        <v>32261</v>
      </c>
      <c r="LQ101" s="16">
        <v>30715</v>
      </c>
      <c r="LR101" s="16">
        <v>8007</v>
      </c>
      <c r="LS101" s="16">
        <v>2437</v>
      </c>
      <c r="LT101" s="16">
        <v>5276</v>
      </c>
      <c r="LU101" s="16">
        <v>3218</v>
      </c>
      <c r="LV101" s="16">
        <v>33</v>
      </c>
      <c r="LW101" s="16">
        <v>539</v>
      </c>
      <c r="LX101" s="16">
        <v>1990</v>
      </c>
      <c r="LY101" s="16">
        <v>35745</v>
      </c>
      <c r="LZ101" s="16">
        <v>63984</v>
      </c>
      <c r="MA101" s="16">
        <v>5769</v>
      </c>
      <c r="MB101" s="16">
        <v>170523</v>
      </c>
      <c r="MC101" s="16">
        <v>12280</v>
      </c>
      <c r="MD101" s="16">
        <v>8292</v>
      </c>
      <c r="ME101" s="16">
        <v>9507</v>
      </c>
      <c r="MF101" s="16">
        <v>12281</v>
      </c>
      <c r="MG101" s="16">
        <v>16609</v>
      </c>
      <c r="MH101" s="16">
        <v>1909657</v>
      </c>
      <c r="MI101" s="16">
        <v>3234</v>
      </c>
      <c r="MJ101" s="16">
        <v>8930</v>
      </c>
      <c r="MK101" s="16">
        <v>4950</v>
      </c>
      <c r="ML101" s="16">
        <v>2179</v>
      </c>
      <c r="MM101" s="16">
        <v>117715</v>
      </c>
      <c r="MN101" s="16">
        <v>82900</v>
      </c>
      <c r="MO101" s="16">
        <v>33934</v>
      </c>
      <c r="MP101" s="16">
        <v>25694</v>
      </c>
      <c r="MQ101" s="16">
        <v>67191</v>
      </c>
      <c r="MR101" s="16">
        <v>1754923</v>
      </c>
      <c r="MS101" s="16">
        <v>174987</v>
      </c>
      <c r="MT101" s="16">
        <v>17865</v>
      </c>
      <c r="MU101" s="16">
        <v>29356</v>
      </c>
      <c r="MV101" s="16">
        <v>51326</v>
      </c>
      <c r="MW101" s="16">
        <v>474694</v>
      </c>
      <c r="MX101" s="16">
        <v>9519</v>
      </c>
      <c r="MY101" s="16">
        <v>12742</v>
      </c>
      <c r="MZ101" s="16">
        <v>212782</v>
      </c>
      <c r="NA101" s="16">
        <v>24103</v>
      </c>
      <c r="NB101" s="16">
        <v>476864</v>
      </c>
      <c r="NC101" s="16">
        <v>42269</v>
      </c>
      <c r="ND101" s="16">
        <v>13255</v>
      </c>
      <c r="NE101" s="16">
        <v>3364</v>
      </c>
      <c r="NF101" s="16">
        <v>14264</v>
      </c>
      <c r="NG101" s="16">
        <v>74903</v>
      </c>
      <c r="NH101" s="16">
        <v>9620</v>
      </c>
      <c r="NI101" s="16">
        <v>9158</v>
      </c>
      <c r="NJ101" s="16">
        <v>34821</v>
      </c>
      <c r="NK101" s="16">
        <v>3310</v>
      </c>
      <c r="NL101" s="16">
        <v>1894</v>
      </c>
      <c r="NM101" s="16">
        <v>13273</v>
      </c>
      <c r="NN101" s="16">
        <v>5915</v>
      </c>
      <c r="NO101" s="16">
        <v>0</v>
      </c>
      <c r="NP101" s="16">
        <v>11755</v>
      </c>
      <c r="NQ101" s="16">
        <v>1108</v>
      </c>
      <c r="NR101" s="17">
        <v>30439777</v>
      </c>
    </row>
    <row r="102" spans="1:382" ht="13.5" customHeight="1" x14ac:dyDescent="0.2">
      <c r="A102" s="2" t="s">
        <v>211</v>
      </c>
      <c r="B102" s="16">
        <v>40</v>
      </c>
      <c r="C102" s="16">
        <v>0</v>
      </c>
      <c r="D102" s="16">
        <v>0</v>
      </c>
      <c r="E102" s="16">
        <v>0</v>
      </c>
      <c r="F102" s="16">
        <v>3269</v>
      </c>
      <c r="G102" s="16">
        <v>13612</v>
      </c>
      <c r="H102" s="16">
        <v>5200</v>
      </c>
      <c r="I102" s="16">
        <v>80</v>
      </c>
      <c r="J102" s="16">
        <v>0</v>
      </c>
      <c r="K102" s="16">
        <v>0</v>
      </c>
      <c r="L102" s="16">
        <v>0</v>
      </c>
      <c r="M102" s="16">
        <v>69</v>
      </c>
      <c r="N102" s="16">
        <v>0</v>
      </c>
      <c r="O102" s="16">
        <v>0</v>
      </c>
      <c r="P102" s="16">
        <v>57</v>
      </c>
      <c r="Q102" s="16">
        <v>0</v>
      </c>
      <c r="R102" s="16">
        <v>301</v>
      </c>
      <c r="S102" s="16">
        <v>78</v>
      </c>
      <c r="T102" s="16">
        <v>7</v>
      </c>
      <c r="U102" s="16">
        <v>44</v>
      </c>
      <c r="V102" s="16">
        <v>10</v>
      </c>
      <c r="W102" s="16">
        <v>0</v>
      </c>
      <c r="X102" s="16">
        <v>9225</v>
      </c>
      <c r="Y102" s="16">
        <v>17294</v>
      </c>
      <c r="Z102" s="16">
        <v>24431</v>
      </c>
      <c r="AA102" s="16">
        <v>77</v>
      </c>
      <c r="AB102" s="16">
        <v>0</v>
      </c>
      <c r="AC102" s="16">
        <v>0</v>
      </c>
      <c r="AD102" s="16">
        <v>0</v>
      </c>
      <c r="AE102" s="16">
        <v>230</v>
      </c>
      <c r="AF102" s="16">
        <v>488</v>
      </c>
      <c r="AG102" s="16">
        <v>16904</v>
      </c>
      <c r="AH102" s="16">
        <v>4632</v>
      </c>
      <c r="AI102" s="16">
        <v>3706</v>
      </c>
      <c r="AJ102" s="16">
        <v>4383</v>
      </c>
      <c r="AK102" s="16">
        <v>2336</v>
      </c>
      <c r="AL102" s="16">
        <v>1726</v>
      </c>
      <c r="AM102" s="16">
        <v>11232</v>
      </c>
      <c r="AN102" s="16">
        <v>2636</v>
      </c>
      <c r="AO102" s="16">
        <v>3496</v>
      </c>
      <c r="AP102" s="16">
        <v>603</v>
      </c>
      <c r="AQ102" s="16">
        <v>3165</v>
      </c>
      <c r="AR102" s="16">
        <v>0</v>
      </c>
      <c r="AS102" s="16">
        <v>5847</v>
      </c>
      <c r="AT102" s="16">
        <v>9021</v>
      </c>
      <c r="AU102" s="16">
        <v>10196</v>
      </c>
      <c r="AV102" s="16">
        <v>2836</v>
      </c>
      <c r="AW102" s="16">
        <v>9658</v>
      </c>
      <c r="AX102" s="16">
        <v>4523</v>
      </c>
      <c r="AY102" s="16">
        <v>27966</v>
      </c>
      <c r="AZ102" s="16">
        <v>7108</v>
      </c>
      <c r="BA102" s="16">
        <v>5458</v>
      </c>
      <c r="BB102" s="16">
        <v>13417</v>
      </c>
      <c r="BC102" s="16">
        <v>6187</v>
      </c>
      <c r="BD102" s="16">
        <v>5614</v>
      </c>
      <c r="BE102" s="16">
        <v>271</v>
      </c>
      <c r="BF102" s="16">
        <v>6603</v>
      </c>
      <c r="BG102" s="16">
        <v>2180</v>
      </c>
      <c r="BH102" s="16">
        <v>4014</v>
      </c>
      <c r="BI102" s="16">
        <v>2103</v>
      </c>
      <c r="BJ102" s="16">
        <v>4546</v>
      </c>
      <c r="BK102" s="16">
        <v>4118</v>
      </c>
      <c r="BL102" s="16">
        <v>27562</v>
      </c>
      <c r="BM102" s="16">
        <v>1989</v>
      </c>
      <c r="BN102" s="16">
        <v>25493</v>
      </c>
      <c r="BO102" s="16">
        <v>21599</v>
      </c>
      <c r="BP102" s="16">
        <v>1030</v>
      </c>
      <c r="BQ102" s="16">
        <v>4933</v>
      </c>
      <c r="BR102" s="16">
        <v>787</v>
      </c>
      <c r="BS102" s="16">
        <v>9710</v>
      </c>
      <c r="BT102" s="16">
        <v>1498</v>
      </c>
      <c r="BU102" s="16">
        <v>32</v>
      </c>
      <c r="BV102" s="16">
        <v>49</v>
      </c>
      <c r="BW102" s="16">
        <v>3700</v>
      </c>
      <c r="BX102" s="16">
        <v>192</v>
      </c>
      <c r="BY102" s="16">
        <v>6</v>
      </c>
      <c r="BZ102" s="16">
        <v>2080</v>
      </c>
      <c r="CA102" s="16">
        <v>1009</v>
      </c>
      <c r="CB102" s="16">
        <v>620</v>
      </c>
      <c r="CC102" s="16">
        <v>9522</v>
      </c>
      <c r="CD102" s="16">
        <v>1522</v>
      </c>
      <c r="CE102" s="16">
        <v>5639</v>
      </c>
      <c r="CF102" s="16">
        <v>990</v>
      </c>
      <c r="CG102" s="16">
        <v>343</v>
      </c>
      <c r="CH102" s="16">
        <v>311</v>
      </c>
      <c r="CI102" s="16">
        <v>4599</v>
      </c>
      <c r="CJ102" s="16">
        <v>24111</v>
      </c>
      <c r="CK102" s="16">
        <v>51663</v>
      </c>
      <c r="CL102" s="16">
        <v>11826</v>
      </c>
      <c r="CM102" s="16">
        <v>625</v>
      </c>
      <c r="CN102" s="16">
        <v>1593</v>
      </c>
      <c r="CO102" s="16">
        <v>13576</v>
      </c>
      <c r="CP102" s="16">
        <v>19293</v>
      </c>
      <c r="CQ102" s="16">
        <v>4517</v>
      </c>
      <c r="CR102" s="16">
        <v>481</v>
      </c>
      <c r="CS102" s="16">
        <v>406662</v>
      </c>
      <c r="CT102" s="16">
        <v>383120</v>
      </c>
      <c r="CU102" s="16">
        <v>212791</v>
      </c>
      <c r="CV102" s="16">
        <v>431300</v>
      </c>
      <c r="CW102" s="16">
        <v>840695</v>
      </c>
      <c r="CX102" s="16">
        <v>129815</v>
      </c>
      <c r="CY102" s="16">
        <v>117076</v>
      </c>
      <c r="CZ102" s="16">
        <v>47801</v>
      </c>
      <c r="DA102" s="16">
        <v>14072</v>
      </c>
      <c r="DB102" s="16">
        <v>47153</v>
      </c>
      <c r="DC102" s="16">
        <v>20815</v>
      </c>
      <c r="DD102" s="16">
        <v>122333</v>
      </c>
      <c r="DE102" s="16">
        <v>34329</v>
      </c>
      <c r="DF102" s="16">
        <v>58994</v>
      </c>
      <c r="DG102" s="16">
        <v>37315</v>
      </c>
      <c r="DH102" s="16">
        <v>51066</v>
      </c>
      <c r="DI102" s="16">
        <v>13562</v>
      </c>
      <c r="DJ102" s="16">
        <v>25872</v>
      </c>
      <c r="DK102" s="16">
        <v>1492</v>
      </c>
      <c r="DL102" s="16">
        <v>6930</v>
      </c>
      <c r="DM102" s="16">
        <v>27711</v>
      </c>
      <c r="DN102" s="16">
        <v>18384</v>
      </c>
      <c r="DO102" s="16">
        <v>3196</v>
      </c>
      <c r="DP102" s="16">
        <v>9155</v>
      </c>
      <c r="DQ102" s="16">
        <v>2406</v>
      </c>
      <c r="DR102" s="16">
        <v>3543</v>
      </c>
      <c r="DS102" s="16">
        <v>20494</v>
      </c>
      <c r="DT102" s="16">
        <v>2387</v>
      </c>
      <c r="DU102" s="16">
        <v>7814</v>
      </c>
      <c r="DV102" s="16">
        <v>13160</v>
      </c>
      <c r="DW102" s="16">
        <v>19004</v>
      </c>
      <c r="DX102" s="16">
        <v>7286</v>
      </c>
      <c r="DY102" s="16">
        <v>13497</v>
      </c>
      <c r="DZ102" s="16">
        <v>26474</v>
      </c>
      <c r="EA102" s="16">
        <v>30266</v>
      </c>
      <c r="EB102" s="16">
        <v>5406</v>
      </c>
      <c r="EC102" s="16">
        <v>16786</v>
      </c>
      <c r="ED102" s="16">
        <v>3370</v>
      </c>
      <c r="EE102" s="16">
        <v>11555</v>
      </c>
      <c r="EF102" s="16">
        <v>4521</v>
      </c>
      <c r="EG102" s="16">
        <v>66727</v>
      </c>
      <c r="EH102" s="16">
        <v>20906</v>
      </c>
      <c r="EI102" s="16">
        <v>7017</v>
      </c>
      <c r="EJ102" s="16">
        <v>3024</v>
      </c>
      <c r="EK102" s="16">
        <v>7862</v>
      </c>
      <c r="EL102" s="16">
        <v>1691</v>
      </c>
      <c r="EM102" s="16">
        <v>17846</v>
      </c>
      <c r="EN102" s="16">
        <v>27229</v>
      </c>
      <c r="EO102" s="16">
        <v>40640</v>
      </c>
      <c r="EP102" s="16">
        <v>15658</v>
      </c>
      <c r="EQ102" s="16">
        <v>359</v>
      </c>
      <c r="ER102" s="16">
        <v>817</v>
      </c>
      <c r="ES102" s="16">
        <v>15243</v>
      </c>
      <c r="ET102" s="16">
        <v>22333</v>
      </c>
      <c r="EU102" s="16">
        <v>83</v>
      </c>
      <c r="EV102" s="16">
        <v>450</v>
      </c>
      <c r="EW102" s="16">
        <v>1404</v>
      </c>
      <c r="EX102" s="16">
        <v>7950</v>
      </c>
      <c r="EY102" s="16">
        <v>4048</v>
      </c>
      <c r="EZ102" s="16">
        <v>960</v>
      </c>
      <c r="FA102" s="16">
        <v>1838</v>
      </c>
      <c r="FB102" s="16">
        <v>3667</v>
      </c>
      <c r="FC102" s="16">
        <v>1578</v>
      </c>
      <c r="FD102" s="16">
        <v>2030</v>
      </c>
      <c r="FE102" s="16">
        <v>2416</v>
      </c>
      <c r="FF102" s="16">
        <v>17311</v>
      </c>
      <c r="FG102" s="16">
        <v>6883</v>
      </c>
      <c r="FH102" s="16">
        <v>469</v>
      </c>
      <c r="FI102" s="16">
        <v>1165</v>
      </c>
      <c r="FJ102" s="16">
        <v>1886</v>
      </c>
      <c r="FK102" s="16">
        <v>4596</v>
      </c>
      <c r="FL102" s="16">
        <v>782</v>
      </c>
      <c r="FM102" s="16">
        <v>2530</v>
      </c>
      <c r="FN102" s="16">
        <v>17863</v>
      </c>
      <c r="FO102" s="16">
        <v>12728</v>
      </c>
      <c r="FP102" s="16">
        <v>3231</v>
      </c>
      <c r="FQ102" s="16">
        <v>3610</v>
      </c>
      <c r="FR102" s="16">
        <v>3950</v>
      </c>
      <c r="FS102" s="16">
        <v>1295</v>
      </c>
      <c r="FT102" s="16">
        <v>1378</v>
      </c>
      <c r="FU102" s="16">
        <v>4119</v>
      </c>
      <c r="FV102" s="16">
        <v>1762</v>
      </c>
      <c r="FW102" s="16">
        <v>2850</v>
      </c>
      <c r="FX102" s="16">
        <v>4745</v>
      </c>
      <c r="FY102" s="16">
        <v>530</v>
      </c>
      <c r="FZ102" s="16">
        <v>3611</v>
      </c>
      <c r="GA102" s="16">
        <v>836</v>
      </c>
      <c r="GB102" s="16">
        <v>1494</v>
      </c>
      <c r="GC102" s="16">
        <v>4989</v>
      </c>
      <c r="GD102" s="16">
        <v>800</v>
      </c>
      <c r="GE102" s="16">
        <v>246</v>
      </c>
      <c r="GF102" s="16">
        <v>6520</v>
      </c>
      <c r="GG102" s="16">
        <v>2079</v>
      </c>
      <c r="GH102" s="16">
        <v>3366</v>
      </c>
      <c r="GI102" s="16">
        <v>1553</v>
      </c>
      <c r="GJ102" s="16">
        <v>1049</v>
      </c>
      <c r="GK102" s="16">
        <v>273</v>
      </c>
      <c r="GL102" s="16">
        <v>94</v>
      </c>
      <c r="GM102" s="16">
        <v>98</v>
      </c>
      <c r="GN102" s="16">
        <v>160</v>
      </c>
      <c r="GO102" s="16">
        <v>848</v>
      </c>
      <c r="GP102" s="16">
        <v>571</v>
      </c>
      <c r="GQ102" s="16">
        <v>367</v>
      </c>
      <c r="GR102" s="16">
        <v>135</v>
      </c>
      <c r="GS102" s="16">
        <v>18</v>
      </c>
      <c r="GT102" s="16">
        <v>63</v>
      </c>
      <c r="GU102" s="16">
        <v>2287</v>
      </c>
      <c r="GV102" s="16">
        <v>1330</v>
      </c>
      <c r="GW102" s="16">
        <v>1182</v>
      </c>
      <c r="GX102" s="16">
        <v>404</v>
      </c>
      <c r="GY102" s="16">
        <v>12</v>
      </c>
      <c r="GZ102" s="16">
        <v>926</v>
      </c>
      <c r="HA102" s="16">
        <v>553</v>
      </c>
      <c r="HB102" s="16">
        <v>264</v>
      </c>
      <c r="HC102" s="16">
        <v>1170</v>
      </c>
      <c r="HD102" s="16">
        <v>1141</v>
      </c>
      <c r="HE102" s="16">
        <v>9580</v>
      </c>
      <c r="HF102" s="16">
        <v>1613</v>
      </c>
      <c r="HG102" s="16">
        <v>544</v>
      </c>
      <c r="HH102" s="16">
        <v>306</v>
      </c>
      <c r="HI102" s="16">
        <v>1164</v>
      </c>
      <c r="HJ102" s="16">
        <v>109</v>
      </c>
      <c r="HK102" s="16">
        <v>2244</v>
      </c>
      <c r="HL102" s="16">
        <v>3503</v>
      </c>
      <c r="HM102" s="16">
        <v>2849</v>
      </c>
      <c r="HN102" s="16">
        <v>1510</v>
      </c>
      <c r="HO102" s="16">
        <v>1274</v>
      </c>
      <c r="HP102" s="16">
        <v>722</v>
      </c>
      <c r="HQ102" s="16">
        <v>2185</v>
      </c>
      <c r="HR102" s="16">
        <v>1120</v>
      </c>
      <c r="HS102" s="16">
        <v>1822</v>
      </c>
      <c r="HT102" s="16">
        <v>108</v>
      </c>
      <c r="HU102" s="16">
        <v>1847</v>
      </c>
      <c r="HV102" s="16">
        <v>682</v>
      </c>
      <c r="HW102" s="16">
        <v>341</v>
      </c>
      <c r="HX102" s="16">
        <v>2266</v>
      </c>
      <c r="HY102" s="16">
        <v>2168</v>
      </c>
      <c r="HZ102" s="16">
        <v>1826</v>
      </c>
      <c r="IA102" s="16">
        <v>327</v>
      </c>
      <c r="IB102" s="16">
        <v>406</v>
      </c>
      <c r="IC102" s="16">
        <v>129</v>
      </c>
      <c r="ID102" s="16">
        <v>548</v>
      </c>
      <c r="IE102" s="16">
        <v>115</v>
      </c>
      <c r="IF102" s="16">
        <v>498</v>
      </c>
      <c r="IG102" s="16">
        <v>4386</v>
      </c>
      <c r="IH102" s="16">
        <v>5744</v>
      </c>
      <c r="II102" s="16">
        <v>728</v>
      </c>
      <c r="IJ102" s="16">
        <v>279</v>
      </c>
      <c r="IK102" s="16">
        <v>2397</v>
      </c>
      <c r="IL102" s="16">
        <v>1276</v>
      </c>
      <c r="IM102" s="16">
        <v>185</v>
      </c>
      <c r="IN102" s="16">
        <v>961</v>
      </c>
      <c r="IO102" s="16">
        <v>5018</v>
      </c>
      <c r="IP102" s="16">
        <v>703</v>
      </c>
      <c r="IQ102" s="16">
        <v>87</v>
      </c>
      <c r="IR102" s="16">
        <v>5190</v>
      </c>
      <c r="IS102" s="16">
        <v>346</v>
      </c>
      <c r="IT102" s="16">
        <v>2523</v>
      </c>
      <c r="IU102" s="16">
        <v>5</v>
      </c>
      <c r="IV102" s="16">
        <v>336</v>
      </c>
      <c r="IW102" s="16">
        <v>2765</v>
      </c>
      <c r="IX102" s="16">
        <v>1514</v>
      </c>
      <c r="IY102" s="16">
        <v>1979</v>
      </c>
      <c r="IZ102" s="16">
        <v>62</v>
      </c>
      <c r="JA102" s="16">
        <v>1095</v>
      </c>
      <c r="JB102" s="16">
        <v>117</v>
      </c>
      <c r="JC102" s="16">
        <v>126</v>
      </c>
      <c r="JD102" s="16">
        <v>161</v>
      </c>
      <c r="JE102" s="16">
        <v>1439</v>
      </c>
      <c r="JF102" s="16">
        <v>986</v>
      </c>
      <c r="JG102" s="16">
        <v>398405</v>
      </c>
      <c r="JH102" s="16">
        <v>89</v>
      </c>
      <c r="JI102" s="16">
        <v>1178</v>
      </c>
      <c r="JJ102" s="16">
        <v>2528698</v>
      </c>
      <c r="JK102" s="16">
        <v>14126</v>
      </c>
      <c r="JL102" s="16">
        <v>185486</v>
      </c>
      <c r="JM102" s="16">
        <v>3737</v>
      </c>
      <c r="JN102" s="16">
        <v>26843</v>
      </c>
      <c r="JO102" s="16">
        <v>731</v>
      </c>
      <c r="JP102" s="16">
        <v>435513</v>
      </c>
      <c r="JQ102" s="16">
        <v>1055</v>
      </c>
      <c r="JR102" s="16">
        <v>9326</v>
      </c>
      <c r="JS102" s="16">
        <v>3710</v>
      </c>
      <c r="JT102" s="16">
        <v>0</v>
      </c>
      <c r="JU102" s="16">
        <v>10393</v>
      </c>
      <c r="JV102" s="16">
        <v>748</v>
      </c>
      <c r="JW102" s="16">
        <v>21937</v>
      </c>
      <c r="JX102" s="16">
        <v>7592</v>
      </c>
      <c r="JY102" s="16">
        <v>3827</v>
      </c>
      <c r="JZ102" s="16">
        <v>5048</v>
      </c>
      <c r="KA102" s="16">
        <v>433</v>
      </c>
      <c r="KB102" s="16">
        <v>212</v>
      </c>
      <c r="KC102" s="16">
        <v>6736</v>
      </c>
      <c r="KD102" s="16">
        <v>795</v>
      </c>
      <c r="KE102" s="16">
        <v>411</v>
      </c>
      <c r="KF102" s="16">
        <v>2903</v>
      </c>
      <c r="KG102" s="16">
        <v>43</v>
      </c>
      <c r="KH102" s="16">
        <v>3333</v>
      </c>
      <c r="KI102" s="16">
        <v>51</v>
      </c>
      <c r="KJ102" s="16">
        <v>3982</v>
      </c>
      <c r="KK102" s="16">
        <v>134161</v>
      </c>
      <c r="KL102" s="16">
        <v>32</v>
      </c>
      <c r="KM102" s="16">
        <v>128</v>
      </c>
      <c r="KN102" s="16">
        <v>265</v>
      </c>
      <c r="KO102" s="16">
        <v>157989</v>
      </c>
      <c r="KP102" s="16">
        <v>2637759</v>
      </c>
      <c r="KQ102" s="16">
        <v>107</v>
      </c>
      <c r="KR102" s="16">
        <v>2471</v>
      </c>
      <c r="KS102" s="16">
        <v>86510</v>
      </c>
      <c r="KT102" s="16">
        <v>673</v>
      </c>
      <c r="KU102" s="16">
        <v>4990</v>
      </c>
      <c r="KV102" s="16">
        <v>646</v>
      </c>
      <c r="KW102" s="16">
        <v>2175</v>
      </c>
      <c r="KX102" s="16">
        <v>15</v>
      </c>
      <c r="KY102" s="16">
        <v>335</v>
      </c>
      <c r="KZ102" s="16">
        <v>59737</v>
      </c>
      <c r="LA102" s="16">
        <v>8340</v>
      </c>
      <c r="LB102" s="16">
        <v>1770</v>
      </c>
      <c r="LC102" s="16">
        <v>5663</v>
      </c>
      <c r="LD102" s="16">
        <v>25986</v>
      </c>
      <c r="LE102" s="16">
        <v>79</v>
      </c>
      <c r="LF102" s="16">
        <v>241</v>
      </c>
      <c r="LG102" s="16">
        <v>131</v>
      </c>
      <c r="LH102" s="16">
        <v>1119</v>
      </c>
      <c r="LI102" s="16">
        <v>60</v>
      </c>
      <c r="LJ102" s="16">
        <v>10</v>
      </c>
      <c r="LK102" s="16">
        <v>125</v>
      </c>
      <c r="LL102" s="16">
        <v>43</v>
      </c>
      <c r="LM102" s="16">
        <v>454</v>
      </c>
      <c r="LN102" s="16">
        <v>392</v>
      </c>
      <c r="LO102" s="16">
        <v>3400</v>
      </c>
      <c r="LP102" s="16">
        <v>2657</v>
      </c>
      <c r="LQ102" s="16">
        <v>1156</v>
      </c>
      <c r="LR102" s="16">
        <v>2749</v>
      </c>
      <c r="LS102" s="16">
        <v>741</v>
      </c>
      <c r="LT102" s="16">
        <v>1315</v>
      </c>
      <c r="LU102" s="16">
        <v>822</v>
      </c>
      <c r="LV102" s="16">
        <v>7</v>
      </c>
      <c r="LW102" s="16">
        <v>721</v>
      </c>
      <c r="LX102" s="16">
        <v>601</v>
      </c>
      <c r="LY102" s="16">
        <v>0</v>
      </c>
      <c r="LZ102" s="16">
        <v>7542</v>
      </c>
      <c r="MA102" s="16">
        <v>1938</v>
      </c>
      <c r="MB102" s="16">
        <v>2760</v>
      </c>
      <c r="MC102" s="16">
        <v>6137</v>
      </c>
      <c r="MD102" s="16">
        <v>6539</v>
      </c>
      <c r="ME102" s="16">
        <v>791</v>
      </c>
      <c r="MF102" s="16">
        <v>2232</v>
      </c>
      <c r="MG102" s="16">
        <v>7206</v>
      </c>
      <c r="MH102" s="16">
        <v>15325</v>
      </c>
      <c r="MI102" s="16">
        <v>1110</v>
      </c>
      <c r="MJ102" s="16">
        <v>3729</v>
      </c>
      <c r="MK102" s="16">
        <v>340</v>
      </c>
      <c r="ML102" s="16">
        <v>188</v>
      </c>
      <c r="MM102" s="16">
        <v>10760</v>
      </c>
      <c r="MN102" s="16">
        <v>322019</v>
      </c>
      <c r="MO102" s="16">
        <v>2649</v>
      </c>
      <c r="MP102" s="16">
        <v>3505</v>
      </c>
      <c r="MQ102" s="16">
        <v>4761</v>
      </c>
      <c r="MR102" s="16">
        <v>5374</v>
      </c>
      <c r="MS102" s="16">
        <v>8334</v>
      </c>
      <c r="MT102" s="16">
        <v>6487</v>
      </c>
      <c r="MU102" s="16">
        <v>7221</v>
      </c>
      <c r="MV102" s="16">
        <v>290046</v>
      </c>
      <c r="MW102" s="16">
        <v>167484</v>
      </c>
      <c r="MX102" s="16">
        <v>0</v>
      </c>
      <c r="MY102" s="16">
        <v>35594</v>
      </c>
      <c r="MZ102" s="16">
        <v>109081</v>
      </c>
      <c r="NA102" s="16">
        <v>0</v>
      </c>
      <c r="NB102" s="16">
        <v>141219</v>
      </c>
      <c r="NC102" s="16">
        <v>15549</v>
      </c>
      <c r="ND102" s="16">
        <v>2797</v>
      </c>
      <c r="NE102" s="16">
        <v>1447</v>
      </c>
      <c r="NF102" s="16">
        <v>2069</v>
      </c>
      <c r="NG102" s="16">
        <v>9023</v>
      </c>
      <c r="NH102" s="16">
        <v>501</v>
      </c>
      <c r="NI102" s="16">
        <v>2616</v>
      </c>
      <c r="NJ102" s="16">
        <v>27011</v>
      </c>
      <c r="NK102" s="16">
        <v>137</v>
      </c>
      <c r="NL102" s="16">
        <v>26</v>
      </c>
      <c r="NM102" s="16">
        <v>9952</v>
      </c>
      <c r="NN102" s="16">
        <v>1739</v>
      </c>
      <c r="NO102" s="16">
        <v>0</v>
      </c>
      <c r="NP102" s="16">
        <v>56979</v>
      </c>
      <c r="NQ102" s="16">
        <v>1451</v>
      </c>
      <c r="NR102" s="17">
        <v>12377201</v>
      </c>
    </row>
    <row r="103" spans="1:382" ht="13.5" customHeight="1" x14ac:dyDescent="0.2">
      <c r="A103" s="2" t="s">
        <v>213</v>
      </c>
      <c r="B103" s="16">
        <v>22</v>
      </c>
      <c r="C103" s="16">
        <v>65</v>
      </c>
      <c r="D103" s="16">
        <v>6</v>
      </c>
      <c r="E103" s="16">
        <v>4</v>
      </c>
      <c r="F103" s="16">
        <v>117</v>
      </c>
      <c r="G103" s="16">
        <v>24</v>
      </c>
      <c r="H103" s="16">
        <v>7</v>
      </c>
      <c r="I103" s="16">
        <v>29</v>
      </c>
      <c r="J103" s="16">
        <v>1</v>
      </c>
      <c r="K103" s="16">
        <v>0</v>
      </c>
      <c r="L103" s="16">
        <v>0</v>
      </c>
      <c r="M103" s="16">
        <v>23</v>
      </c>
      <c r="N103" s="16">
        <v>0</v>
      </c>
      <c r="O103" s="16">
        <v>3</v>
      </c>
      <c r="P103" s="16">
        <v>57</v>
      </c>
      <c r="Q103" s="16">
        <v>144</v>
      </c>
      <c r="R103" s="16">
        <v>84</v>
      </c>
      <c r="S103" s="16">
        <v>53</v>
      </c>
      <c r="T103" s="16">
        <v>2</v>
      </c>
      <c r="U103" s="16">
        <v>151</v>
      </c>
      <c r="V103" s="16">
        <v>10</v>
      </c>
      <c r="W103" s="16">
        <v>3</v>
      </c>
      <c r="X103" s="16">
        <v>654</v>
      </c>
      <c r="Y103" s="16">
        <v>502</v>
      </c>
      <c r="Z103" s="16">
        <v>1478</v>
      </c>
      <c r="AA103" s="16">
        <v>25</v>
      </c>
      <c r="AB103" s="16">
        <v>0</v>
      </c>
      <c r="AC103" s="16">
        <v>0</v>
      </c>
      <c r="AD103" s="16">
        <v>0</v>
      </c>
      <c r="AE103" s="16">
        <v>3</v>
      </c>
      <c r="AF103" s="16">
        <v>37</v>
      </c>
      <c r="AG103" s="16">
        <v>1994</v>
      </c>
      <c r="AH103" s="16">
        <v>452</v>
      </c>
      <c r="AI103" s="16">
        <v>773</v>
      </c>
      <c r="AJ103" s="16">
        <v>957</v>
      </c>
      <c r="AK103" s="16">
        <v>365</v>
      </c>
      <c r="AL103" s="16">
        <v>212</v>
      </c>
      <c r="AM103" s="16">
        <v>2252</v>
      </c>
      <c r="AN103" s="16">
        <v>307</v>
      </c>
      <c r="AO103" s="16">
        <v>444</v>
      </c>
      <c r="AP103" s="16">
        <v>62</v>
      </c>
      <c r="AQ103" s="16">
        <v>129</v>
      </c>
      <c r="AR103" s="16">
        <v>0</v>
      </c>
      <c r="AS103" s="16">
        <v>39</v>
      </c>
      <c r="AT103" s="16">
        <v>99</v>
      </c>
      <c r="AU103" s="16">
        <v>2630</v>
      </c>
      <c r="AV103" s="16">
        <v>258</v>
      </c>
      <c r="AW103" s="16">
        <v>586</v>
      </c>
      <c r="AX103" s="16">
        <v>74</v>
      </c>
      <c r="AY103" s="16">
        <v>2952</v>
      </c>
      <c r="AZ103" s="16">
        <v>1140</v>
      </c>
      <c r="BA103" s="16">
        <v>515</v>
      </c>
      <c r="BB103" s="16">
        <v>2081</v>
      </c>
      <c r="BC103" s="16">
        <v>752</v>
      </c>
      <c r="BD103" s="16">
        <v>35</v>
      </c>
      <c r="BE103" s="16">
        <v>7</v>
      </c>
      <c r="BF103" s="16">
        <v>31</v>
      </c>
      <c r="BG103" s="16">
        <v>32</v>
      </c>
      <c r="BH103" s="16">
        <v>1541</v>
      </c>
      <c r="BI103" s="16">
        <v>31</v>
      </c>
      <c r="BJ103" s="16">
        <v>156</v>
      </c>
      <c r="BK103" s="16">
        <v>494</v>
      </c>
      <c r="BL103" s="16">
        <v>1287</v>
      </c>
      <c r="BM103" s="16">
        <v>95</v>
      </c>
      <c r="BN103" s="16">
        <v>1188</v>
      </c>
      <c r="BO103" s="16">
        <v>455</v>
      </c>
      <c r="BP103" s="16">
        <v>87</v>
      </c>
      <c r="BQ103" s="16">
        <v>101</v>
      </c>
      <c r="BR103" s="16">
        <v>25</v>
      </c>
      <c r="BS103" s="16">
        <v>718</v>
      </c>
      <c r="BT103" s="16">
        <v>89</v>
      </c>
      <c r="BU103" s="16">
        <v>70</v>
      </c>
      <c r="BV103" s="16">
        <v>34</v>
      </c>
      <c r="BW103" s="16">
        <v>254</v>
      </c>
      <c r="BX103" s="16">
        <v>25</v>
      </c>
      <c r="BY103" s="16">
        <v>1</v>
      </c>
      <c r="BZ103" s="16">
        <v>124</v>
      </c>
      <c r="CA103" s="16">
        <v>117</v>
      </c>
      <c r="CB103" s="16">
        <v>13</v>
      </c>
      <c r="CC103" s="16">
        <v>453</v>
      </c>
      <c r="CD103" s="16">
        <v>180</v>
      </c>
      <c r="CE103" s="16">
        <v>66</v>
      </c>
      <c r="CF103" s="16">
        <v>132</v>
      </c>
      <c r="CG103" s="16">
        <v>71</v>
      </c>
      <c r="CH103" s="16">
        <v>119</v>
      </c>
      <c r="CI103" s="16">
        <v>1619</v>
      </c>
      <c r="CJ103" s="16">
        <v>232</v>
      </c>
      <c r="CK103" s="16">
        <v>1506</v>
      </c>
      <c r="CL103" s="16">
        <v>377</v>
      </c>
      <c r="CM103" s="16">
        <v>236</v>
      </c>
      <c r="CN103" s="16">
        <v>153</v>
      </c>
      <c r="CO103" s="16">
        <v>380</v>
      </c>
      <c r="CP103" s="16">
        <v>789</v>
      </c>
      <c r="CQ103" s="16">
        <v>1361</v>
      </c>
      <c r="CR103" s="16">
        <v>155</v>
      </c>
      <c r="CS103" s="16">
        <v>1290</v>
      </c>
      <c r="CT103" s="16">
        <v>1688</v>
      </c>
      <c r="CU103" s="16">
        <v>1967</v>
      </c>
      <c r="CV103" s="16">
        <v>1136</v>
      </c>
      <c r="CW103" s="16">
        <v>4791</v>
      </c>
      <c r="CX103" s="16">
        <v>6578</v>
      </c>
      <c r="CY103" s="16">
        <v>365</v>
      </c>
      <c r="CZ103" s="16">
        <v>1391</v>
      </c>
      <c r="DA103" s="16">
        <v>669</v>
      </c>
      <c r="DB103" s="16">
        <v>743</v>
      </c>
      <c r="DC103" s="16">
        <v>878061</v>
      </c>
      <c r="DD103" s="16">
        <v>604242</v>
      </c>
      <c r="DE103" s="16">
        <v>167725</v>
      </c>
      <c r="DF103" s="16">
        <v>185203</v>
      </c>
      <c r="DG103" s="16">
        <v>99597</v>
      </c>
      <c r="DH103" s="16">
        <v>241987</v>
      </c>
      <c r="DI103" s="16">
        <v>17371</v>
      </c>
      <c r="DJ103" s="16">
        <v>4364</v>
      </c>
      <c r="DK103" s="16">
        <v>2421</v>
      </c>
      <c r="DL103" s="16">
        <v>309</v>
      </c>
      <c r="DM103" s="16">
        <v>10277</v>
      </c>
      <c r="DN103" s="16">
        <v>4148</v>
      </c>
      <c r="DO103" s="16">
        <v>1359</v>
      </c>
      <c r="DP103" s="16">
        <v>3511</v>
      </c>
      <c r="DQ103" s="16">
        <v>80</v>
      </c>
      <c r="DR103" s="16">
        <v>361</v>
      </c>
      <c r="DS103" s="16">
        <v>1989</v>
      </c>
      <c r="DT103" s="16">
        <v>253</v>
      </c>
      <c r="DU103" s="16">
        <v>317</v>
      </c>
      <c r="DV103" s="16">
        <v>1498</v>
      </c>
      <c r="DW103" s="16">
        <v>2423</v>
      </c>
      <c r="DX103" s="16">
        <v>1849</v>
      </c>
      <c r="DY103" s="16">
        <v>3938</v>
      </c>
      <c r="DZ103" s="16">
        <v>8092</v>
      </c>
      <c r="EA103" s="16">
        <v>3339</v>
      </c>
      <c r="EB103" s="16">
        <v>181</v>
      </c>
      <c r="EC103" s="16">
        <v>7528</v>
      </c>
      <c r="ED103" s="16">
        <v>1094</v>
      </c>
      <c r="EE103" s="16">
        <v>391</v>
      </c>
      <c r="EF103" s="16">
        <v>1583</v>
      </c>
      <c r="EG103" s="16">
        <v>12047</v>
      </c>
      <c r="EH103" s="16">
        <v>4651</v>
      </c>
      <c r="EI103" s="16">
        <v>3055</v>
      </c>
      <c r="EJ103" s="16">
        <v>3277</v>
      </c>
      <c r="EK103" s="16">
        <v>3305</v>
      </c>
      <c r="EL103" s="16">
        <v>2757</v>
      </c>
      <c r="EM103" s="16">
        <v>1028</v>
      </c>
      <c r="EN103" s="16">
        <v>1089</v>
      </c>
      <c r="EO103" s="16">
        <v>1015</v>
      </c>
      <c r="EP103" s="16">
        <v>2531</v>
      </c>
      <c r="EQ103" s="16">
        <v>808</v>
      </c>
      <c r="ER103" s="16">
        <v>365</v>
      </c>
      <c r="ES103" s="16">
        <v>259</v>
      </c>
      <c r="ET103" s="16">
        <v>2530</v>
      </c>
      <c r="EU103" s="16">
        <v>549</v>
      </c>
      <c r="EV103" s="16">
        <v>454</v>
      </c>
      <c r="EW103" s="16">
        <v>213</v>
      </c>
      <c r="EX103" s="16">
        <v>4830</v>
      </c>
      <c r="EY103" s="16">
        <v>284</v>
      </c>
      <c r="EZ103" s="16">
        <v>61</v>
      </c>
      <c r="FA103" s="16">
        <v>233</v>
      </c>
      <c r="FB103" s="16">
        <v>638</v>
      </c>
      <c r="FC103" s="16">
        <v>192</v>
      </c>
      <c r="FD103" s="16">
        <v>2666</v>
      </c>
      <c r="FE103" s="16">
        <v>253</v>
      </c>
      <c r="FF103" s="16">
        <v>1208</v>
      </c>
      <c r="FG103" s="16">
        <v>1200</v>
      </c>
      <c r="FH103" s="16">
        <v>108</v>
      </c>
      <c r="FI103" s="16">
        <v>184</v>
      </c>
      <c r="FJ103" s="16">
        <v>312</v>
      </c>
      <c r="FK103" s="16">
        <v>559</v>
      </c>
      <c r="FL103" s="16">
        <v>80</v>
      </c>
      <c r="FM103" s="16">
        <v>178</v>
      </c>
      <c r="FN103" s="16">
        <v>804</v>
      </c>
      <c r="FO103" s="16">
        <v>1314</v>
      </c>
      <c r="FP103" s="16">
        <v>2932</v>
      </c>
      <c r="FQ103" s="16">
        <v>3874</v>
      </c>
      <c r="FR103" s="16">
        <v>2764</v>
      </c>
      <c r="FS103" s="16">
        <v>912</v>
      </c>
      <c r="FT103" s="16">
        <v>1574</v>
      </c>
      <c r="FU103" s="16">
        <v>5971</v>
      </c>
      <c r="FV103" s="16">
        <v>2479</v>
      </c>
      <c r="FW103" s="16">
        <v>13637</v>
      </c>
      <c r="FX103" s="16">
        <v>10109</v>
      </c>
      <c r="FY103" s="16">
        <v>321</v>
      </c>
      <c r="FZ103" s="16">
        <v>1834</v>
      </c>
      <c r="GA103" s="16">
        <v>116</v>
      </c>
      <c r="GB103" s="16">
        <v>681</v>
      </c>
      <c r="GC103" s="16">
        <v>1274</v>
      </c>
      <c r="GD103" s="16">
        <v>1250</v>
      </c>
      <c r="GE103" s="16">
        <v>153</v>
      </c>
      <c r="GF103" s="16">
        <v>3671</v>
      </c>
      <c r="GG103" s="16">
        <v>108</v>
      </c>
      <c r="GH103" s="16">
        <v>1871</v>
      </c>
      <c r="GI103" s="16">
        <v>331</v>
      </c>
      <c r="GJ103" s="16">
        <v>850</v>
      </c>
      <c r="GK103" s="16">
        <v>141</v>
      </c>
      <c r="GL103" s="16">
        <v>4</v>
      </c>
      <c r="GM103" s="16">
        <v>8</v>
      </c>
      <c r="GN103" s="16">
        <v>265</v>
      </c>
      <c r="GO103" s="16">
        <v>1798</v>
      </c>
      <c r="GP103" s="16">
        <v>585</v>
      </c>
      <c r="GQ103" s="16">
        <v>135</v>
      </c>
      <c r="GR103" s="16">
        <v>749</v>
      </c>
      <c r="GS103" s="16">
        <v>58</v>
      </c>
      <c r="GT103" s="16">
        <v>38</v>
      </c>
      <c r="GU103" s="16">
        <v>288</v>
      </c>
      <c r="GV103" s="16">
        <v>442</v>
      </c>
      <c r="GW103" s="16">
        <v>197</v>
      </c>
      <c r="GX103" s="16">
        <v>69</v>
      </c>
      <c r="GY103" s="16">
        <v>24</v>
      </c>
      <c r="GZ103" s="16">
        <v>721</v>
      </c>
      <c r="HA103" s="16">
        <v>191</v>
      </c>
      <c r="HB103" s="16">
        <v>463</v>
      </c>
      <c r="HC103" s="16">
        <v>710</v>
      </c>
      <c r="HD103" s="16">
        <v>681</v>
      </c>
      <c r="HE103" s="16">
        <v>2743</v>
      </c>
      <c r="HF103" s="16">
        <v>1033</v>
      </c>
      <c r="HG103" s="16">
        <v>199</v>
      </c>
      <c r="HH103" s="16">
        <v>160</v>
      </c>
      <c r="HI103" s="16">
        <v>698</v>
      </c>
      <c r="HJ103" s="16">
        <v>183</v>
      </c>
      <c r="HK103" s="16">
        <v>2310</v>
      </c>
      <c r="HL103" s="16">
        <v>4394</v>
      </c>
      <c r="HM103" s="16">
        <v>1391</v>
      </c>
      <c r="HN103" s="16">
        <v>861</v>
      </c>
      <c r="HO103" s="16">
        <v>1528</v>
      </c>
      <c r="HP103" s="16">
        <v>917</v>
      </c>
      <c r="HQ103" s="16">
        <v>1498</v>
      </c>
      <c r="HR103" s="16">
        <v>997</v>
      </c>
      <c r="HS103" s="16">
        <v>511</v>
      </c>
      <c r="HT103" s="16">
        <v>43</v>
      </c>
      <c r="HU103" s="16">
        <v>1115</v>
      </c>
      <c r="HV103" s="16">
        <v>350</v>
      </c>
      <c r="HW103" s="16">
        <v>173</v>
      </c>
      <c r="HX103" s="16">
        <v>1500</v>
      </c>
      <c r="HY103" s="16">
        <v>1303</v>
      </c>
      <c r="HZ103" s="16">
        <v>1850</v>
      </c>
      <c r="IA103" s="16">
        <v>373</v>
      </c>
      <c r="IB103" s="16">
        <v>32</v>
      </c>
      <c r="IC103" s="16">
        <v>130</v>
      </c>
      <c r="ID103" s="16">
        <v>212</v>
      </c>
      <c r="IE103" s="16">
        <v>25</v>
      </c>
      <c r="IF103" s="16">
        <v>181</v>
      </c>
      <c r="IG103" s="16">
        <v>1865</v>
      </c>
      <c r="IH103" s="16">
        <v>927</v>
      </c>
      <c r="II103" s="16">
        <v>122</v>
      </c>
      <c r="IJ103" s="16">
        <v>52</v>
      </c>
      <c r="IK103" s="16">
        <v>302</v>
      </c>
      <c r="IL103" s="16">
        <v>520</v>
      </c>
      <c r="IM103" s="16">
        <v>81</v>
      </c>
      <c r="IN103" s="16">
        <v>757</v>
      </c>
      <c r="IO103" s="16">
        <v>2894</v>
      </c>
      <c r="IP103" s="16">
        <v>65</v>
      </c>
      <c r="IQ103" s="16">
        <v>47</v>
      </c>
      <c r="IR103" s="16">
        <v>333</v>
      </c>
      <c r="IS103" s="16">
        <v>146</v>
      </c>
      <c r="IT103" s="16">
        <v>48</v>
      </c>
      <c r="IU103" s="16">
        <v>4</v>
      </c>
      <c r="IV103" s="16">
        <v>208</v>
      </c>
      <c r="IW103" s="16">
        <v>769</v>
      </c>
      <c r="IX103" s="16">
        <v>284</v>
      </c>
      <c r="IY103" s="16">
        <v>420</v>
      </c>
      <c r="IZ103" s="16">
        <v>8</v>
      </c>
      <c r="JA103" s="16">
        <v>158</v>
      </c>
      <c r="JB103" s="16">
        <v>12</v>
      </c>
      <c r="JC103" s="16">
        <v>36</v>
      </c>
      <c r="JD103" s="16">
        <v>36</v>
      </c>
      <c r="JE103" s="16">
        <v>2771</v>
      </c>
      <c r="JF103" s="16">
        <v>5476</v>
      </c>
      <c r="JG103" s="16">
        <v>424244</v>
      </c>
      <c r="JH103" s="16">
        <v>905</v>
      </c>
      <c r="JI103" s="16">
        <v>330</v>
      </c>
      <c r="JJ103" s="16">
        <v>280992</v>
      </c>
      <c r="JK103" s="16">
        <v>3096</v>
      </c>
      <c r="JL103" s="16">
        <v>1128</v>
      </c>
      <c r="JM103" s="16">
        <v>1268</v>
      </c>
      <c r="JN103" s="16">
        <v>11479</v>
      </c>
      <c r="JO103" s="16">
        <v>9894</v>
      </c>
      <c r="JP103" s="16">
        <v>71</v>
      </c>
      <c r="JQ103" s="16">
        <v>669</v>
      </c>
      <c r="JR103" s="16">
        <v>8813</v>
      </c>
      <c r="JS103" s="16">
        <v>5539</v>
      </c>
      <c r="JT103" s="16">
        <v>0</v>
      </c>
      <c r="JU103" s="16">
        <v>13577</v>
      </c>
      <c r="JV103" s="16">
        <v>56</v>
      </c>
      <c r="JW103" s="16">
        <v>17628</v>
      </c>
      <c r="JX103" s="16">
        <v>16741</v>
      </c>
      <c r="JY103" s="16">
        <v>10538</v>
      </c>
      <c r="JZ103" s="16">
        <v>6800</v>
      </c>
      <c r="KA103" s="16">
        <v>4976</v>
      </c>
      <c r="KB103" s="16">
        <v>481</v>
      </c>
      <c r="KC103" s="16">
        <v>16827</v>
      </c>
      <c r="KD103" s="16">
        <v>3690</v>
      </c>
      <c r="KE103" s="16">
        <v>703</v>
      </c>
      <c r="KF103" s="16">
        <v>7134</v>
      </c>
      <c r="KG103" s="16">
        <v>78</v>
      </c>
      <c r="KH103" s="16">
        <v>2092</v>
      </c>
      <c r="KI103" s="16">
        <v>111</v>
      </c>
      <c r="KJ103" s="16">
        <v>2498</v>
      </c>
      <c r="KK103" s="16">
        <v>706297</v>
      </c>
      <c r="KL103" s="16">
        <v>2527</v>
      </c>
      <c r="KM103" s="16">
        <v>1924909</v>
      </c>
      <c r="KN103" s="16">
        <v>48197</v>
      </c>
      <c r="KO103" s="16">
        <v>7292</v>
      </c>
      <c r="KP103" s="16">
        <v>1137</v>
      </c>
      <c r="KQ103" s="16">
        <v>52</v>
      </c>
      <c r="KR103" s="16">
        <v>1104</v>
      </c>
      <c r="KS103" s="16">
        <v>6021</v>
      </c>
      <c r="KT103" s="16">
        <v>855</v>
      </c>
      <c r="KU103" s="16">
        <v>3760</v>
      </c>
      <c r="KV103" s="16">
        <v>447</v>
      </c>
      <c r="KW103" s="16">
        <v>6697</v>
      </c>
      <c r="KX103" s="16">
        <v>510</v>
      </c>
      <c r="KY103" s="16">
        <v>20098</v>
      </c>
      <c r="KZ103" s="16">
        <v>762259</v>
      </c>
      <c r="LA103" s="16">
        <v>157313</v>
      </c>
      <c r="LB103" s="16">
        <v>6613</v>
      </c>
      <c r="LC103" s="16">
        <v>60286</v>
      </c>
      <c r="LD103" s="16">
        <v>73869</v>
      </c>
      <c r="LE103" s="16">
        <v>624</v>
      </c>
      <c r="LF103" s="16">
        <v>371</v>
      </c>
      <c r="LG103" s="16">
        <v>499</v>
      </c>
      <c r="LH103" s="16">
        <v>3646</v>
      </c>
      <c r="LI103" s="16">
        <v>4</v>
      </c>
      <c r="LJ103" s="16">
        <v>48</v>
      </c>
      <c r="LK103" s="16">
        <v>1888</v>
      </c>
      <c r="LL103" s="16">
        <v>1122</v>
      </c>
      <c r="LM103" s="16">
        <v>1019</v>
      </c>
      <c r="LN103" s="16">
        <v>787</v>
      </c>
      <c r="LO103" s="16">
        <v>178</v>
      </c>
      <c r="LP103" s="16">
        <v>6086</v>
      </c>
      <c r="LQ103" s="16">
        <v>5011</v>
      </c>
      <c r="LR103" s="16">
        <v>5816</v>
      </c>
      <c r="LS103" s="16">
        <v>5279</v>
      </c>
      <c r="LT103" s="16">
        <v>1342</v>
      </c>
      <c r="LU103" s="16">
        <v>300</v>
      </c>
      <c r="LV103" s="16">
        <v>2</v>
      </c>
      <c r="LW103" s="16">
        <v>1254</v>
      </c>
      <c r="LX103" s="16">
        <v>409</v>
      </c>
      <c r="LY103" s="16">
        <v>0</v>
      </c>
      <c r="LZ103" s="16">
        <v>4781</v>
      </c>
      <c r="MA103" s="16">
        <v>981</v>
      </c>
      <c r="MB103" s="16">
        <v>3366</v>
      </c>
      <c r="MC103" s="16">
        <v>1799</v>
      </c>
      <c r="MD103" s="16">
        <v>315</v>
      </c>
      <c r="ME103" s="16">
        <v>333</v>
      </c>
      <c r="MF103" s="16">
        <v>14500</v>
      </c>
      <c r="MG103" s="16">
        <v>6652</v>
      </c>
      <c r="MH103" s="16">
        <v>611164</v>
      </c>
      <c r="MI103" s="16">
        <v>687</v>
      </c>
      <c r="MJ103" s="16">
        <v>3562</v>
      </c>
      <c r="MK103" s="16">
        <v>3849</v>
      </c>
      <c r="ML103" s="16">
        <v>2053</v>
      </c>
      <c r="MM103" s="16">
        <v>53011</v>
      </c>
      <c r="MN103" s="16">
        <v>12385</v>
      </c>
      <c r="MO103" s="16">
        <v>19517</v>
      </c>
      <c r="MP103" s="16">
        <v>6278</v>
      </c>
      <c r="MQ103" s="16">
        <v>16402</v>
      </c>
      <c r="MR103" s="16">
        <v>18849</v>
      </c>
      <c r="MS103" s="16">
        <v>920</v>
      </c>
      <c r="MT103" s="16">
        <v>1468</v>
      </c>
      <c r="MU103" s="16">
        <v>35465</v>
      </c>
      <c r="MV103" s="16">
        <v>34633</v>
      </c>
      <c r="MW103" s="16">
        <v>800073</v>
      </c>
      <c r="MX103" s="16">
        <v>15</v>
      </c>
      <c r="MY103" s="16">
        <v>3536</v>
      </c>
      <c r="MZ103" s="16">
        <v>33311</v>
      </c>
      <c r="NA103" s="16">
        <v>2382</v>
      </c>
      <c r="NB103" s="16">
        <v>95107</v>
      </c>
      <c r="NC103" s="16">
        <v>4448</v>
      </c>
      <c r="ND103" s="16">
        <v>3185</v>
      </c>
      <c r="NE103" s="16">
        <v>2934</v>
      </c>
      <c r="NF103" s="16">
        <v>4772</v>
      </c>
      <c r="NG103" s="16">
        <v>11368</v>
      </c>
      <c r="NH103" s="16">
        <v>1819</v>
      </c>
      <c r="NI103" s="16">
        <v>11762</v>
      </c>
      <c r="NJ103" s="16">
        <v>67844</v>
      </c>
      <c r="NK103" s="16">
        <v>5025</v>
      </c>
      <c r="NL103" s="16">
        <v>835</v>
      </c>
      <c r="NM103" s="16">
        <v>25012</v>
      </c>
      <c r="NN103" s="16">
        <v>23672</v>
      </c>
      <c r="NO103" s="16">
        <v>0</v>
      </c>
      <c r="NP103" s="16">
        <v>19965</v>
      </c>
      <c r="NQ103" s="16">
        <v>15544</v>
      </c>
      <c r="NR103" s="17">
        <v>9141757</v>
      </c>
    </row>
    <row r="104" spans="1:382" ht="13.5" customHeight="1" x14ac:dyDescent="0.2">
      <c r="A104" s="2" t="s">
        <v>215</v>
      </c>
      <c r="B104" s="16">
        <v>0</v>
      </c>
      <c r="C104" s="16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60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6">
        <v>7</v>
      </c>
      <c r="BW104" s="16">
        <v>0</v>
      </c>
      <c r="BX104" s="16">
        <v>0</v>
      </c>
      <c r="BY104" s="16">
        <v>1</v>
      </c>
      <c r="BZ104" s="16">
        <v>0</v>
      </c>
      <c r="CA104" s="16">
        <v>0</v>
      </c>
      <c r="CB104" s="16">
        <v>0</v>
      </c>
      <c r="CC104" s="16">
        <v>0</v>
      </c>
      <c r="CD104" s="16">
        <v>0</v>
      </c>
      <c r="CE104" s="16">
        <v>0</v>
      </c>
      <c r="CF104" s="16">
        <v>0</v>
      </c>
      <c r="CG104" s="16">
        <v>0</v>
      </c>
      <c r="CH104" s="16">
        <v>0</v>
      </c>
      <c r="CI104" s="16">
        <v>0</v>
      </c>
      <c r="CJ104" s="16">
        <v>0</v>
      </c>
      <c r="CK104" s="16">
        <v>0</v>
      </c>
      <c r="CL104" s="16">
        <v>0</v>
      </c>
      <c r="CM104" s="16">
        <v>0</v>
      </c>
      <c r="CN104" s="16">
        <v>0</v>
      </c>
      <c r="CO104" s="16">
        <v>0</v>
      </c>
      <c r="CP104" s="16">
        <v>0</v>
      </c>
      <c r="CQ104" s="16">
        <v>0</v>
      </c>
      <c r="CR104" s="16">
        <v>412</v>
      </c>
      <c r="CS104" s="16">
        <v>0</v>
      </c>
      <c r="CT104" s="16">
        <v>0</v>
      </c>
      <c r="CU104" s="16">
        <v>0</v>
      </c>
      <c r="CV104" s="16">
        <v>0</v>
      </c>
      <c r="CW104" s="16">
        <v>0</v>
      </c>
      <c r="CX104" s="16">
        <v>0</v>
      </c>
      <c r="CY104" s="16">
        <v>0</v>
      </c>
      <c r="CZ104" s="16">
        <v>1556724</v>
      </c>
      <c r="DA104" s="16">
        <v>1824360</v>
      </c>
      <c r="DB104" s="16">
        <v>570047</v>
      </c>
      <c r="DC104" s="16">
        <v>0</v>
      </c>
      <c r="DD104" s="16">
        <v>0</v>
      </c>
      <c r="DE104" s="16">
        <v>0</v>
      </c>
      <c r="DF104" s="16">
        <v>0</v>
      </c>
      <c r="DG104" s="16">
        <v>0</v>
      </c>
      <c r="DH104" s="16">
        <v>478581</v>
      </c>
      <c r="DI104" s="16">
        <v>0</v>
      </c>
      <c r="DJ104" s="16">
        <v>147964</v>
      </c>
      <c r="DK104" s="16">
        <v>0</v>
      </c>
      <c r="DL104" s="16">
        <v>0</v>
      </c>
      <c r="DM104" s="16">
        <v>0</v>
      </c>
      <c r="DN104" s="16">
        <v>0</v>
      </c>
      <c r="DO104" s="16">
        <v>0</v>
      </c>
      <c r="DP104" s="16">
        <v>0</v>
      </c>
      <c r="DQ104" s="16">
        <v>0</v>
      </c>
      <c r="DR104" s="16">
        <v>0</v>
      </c>
      <c r="DS104" s="16">
        <v>0</v>
      </c>
      <c r="DT104" s="16">
        <v>0</v>
      </c>
      <c r="DU104" s="16">
        <v>0</v>
      </c>
      <c r="DV104" s="16">
        <v>61051</v>
      </c>
      <c r="DW104" s="16">
        <v>0</v>
      </c>
      <c r="DX104" s="16">
        <v>0</v>
      </c>
      <c r="DY104" s="16">
        <v>0</v>
      </c>
      <c r="DZ104" s="16">
        <v>0</v>
      </c>
      <c r="EA104" s="16">
        <v>0</v>
      </c>
      <c r="EB104" s="16">
        <v>0</v>
      </c>
      <c r="EC104" s="16">
        <v>0</v>
      </c>
      <c r="ED104" s="16">
        <v>0</v>
      </c>
      <c r="EE104" s="16">
        <v>0</v>
      </c>
      <c r="EF104" s="16">
        <v>0</v>
      </c>
      <c r="EG104" s="16">
        <v>0</v>
      </c>
      <c r="EH104" s="16">
        <v>0</v>
      </c>
      <c r="EI104" s="16">
        <v>0</v>
      </c>
      <c r="EJ104" s="16">
        <v>0</v>
      </c>
      <c r="EK104" s="16">
        <v>0</v>
      </c>
      <c r="EL104" s="16">
        <v>0</v>
      </c>
      <c r="EM104" s="16">
        <v>0</v>
      </c>
      <c r="EN104" s="16">
        <v>0</v>
      </c>
      <c r="EO104" s="16">
        <v>0</v>
      </c>
      <c r="EP104" s="16">
        <v>0</v>
      </c>
      <c r="EQ104" s="16">
        <v>0</v>
      </c>
      <c r="ER104" s="16">
        <v>0</v>
      </c>
      <c r="ES104" s="16">
        <v>0</v>
      </c>
      <c r="ET104" s="16">
        <v>0</v>
      </c>
      <c r="EU104" s="16">
        <v>0</v>
      </c>
      <c r="EV104" s="16">
        <v>0</v>
      </c>
      <c r="EW104" s="16">
        <v>0</v>
      </c>
      <c r="EX104" s="16">
        <v>0</v>
      </c>
      <c r="EY104" s="16">
        <v>0</v>
      </c>
      <c r="EZ104" s="16">
        <v>0</v>
      </c>
      <c r="FA104" s="16">
        <v>0</v>
      </c>
      <c r="FB104" s="16">
        <v>0</v>
      </c>
      <c r="FC104" s="16">
        <v>0</v>
      </c>
      <c r="FD104" s="16">
        <v>0</v>
      </c>
      <c r="FE104" s="16">
        <v>0</v>
      </c>
      <c r="FF104" s="16">
        <v>80</v>
      </c>
      <c r="FG104" s="16">
        <v>0</v>
      </c>
      <c r="FH104" s="16">
        <v>0</v>
      </c>
      <c r="FI104" s="16">
        <v>0</v>
      </c>
      <c r="FJ104" s="16">
        <v>0</v>
      </c>
      <c r="FK104" s="16">
        <v>0</v>
      </c>
      <c r="FL104" s="16">
        <v>0</v>
      </c>
      <c r="FM104" s="16">
        <v>0</v>
      </c>
      <c r="FN104" s="16">
        <v>0</v>
      </c>
      <c r="FO104" s="16">
        <v>236</v>
      </c>
      <c r="FP104" s="16">
        <v>0</v>
      </c>
      <c r="FQ104" s="16">
        <v>0</v>
      </c>
      <c r="FR104" s="16">
        <v>0</v>
      </c>
      <c r="FS104" s="16">
        <v>0</v>
      </c>
      <c r="FT104" s="16">
        <v>0</v>
      </c>
      <c r="FU104" s="16">
        <v>0</v>
      </c>
      <c r="FV104" s="16">
        <v>0</v>
      </c>
      <c r="FW104" s="16">
        <v>0</v>
      </c>
      <c r="FX104" s="16">
        <v>0</v>
      </c>
      <c r="FY104" s="16">
        <v>0</v>
      </c>
      <c r="FZ104" s="16">
        <v>0</v>
      </c>
      <c r="GA104" s="16">
        <v>0</v>
      </c>
      <c r="GB104" s="16">
        <v>0</v>
      </c>
      <c r="GC104" s="16">
        <v>0</v>
      </c>
      <c r="GD104" s="16">
        <v>0</v>
      </c>
      <c r="GE104" s="16">
        <v>0</v>
      </c>
      <c r="GF104" s="16">
        <v>1474</v>
      </c>
      <c r="GG104" s="16">
        <v>3</v>
      </c>
      <c r="GH104" s="16">
        <v>0</v>
      </c>
      <c r="GI104" s="16">
        <v>0</v>
      </c>
      <c r="GJ104" s="16">
        <v>0</v>
      </c>
      <c r="GK104" s="16">
        <v>0</v>
      </c>
      <c r="GL104" s="16">
        <v>0</v>
      </c>
      <c r="GM104" s="16">
        <v>0</v>
      </c>
      <c r="GN104" s="16">
        <v>0</v>
      </c>
      <c r="GO104" s="16">
        <v>0</v>
      </c>
      <c r="GP104" s="16">
        <v>0</v>
      </c>
      <c r="GQ104" s="16">
        <v>0</v>
      </c>
      <c r="GR104" s="16">
        <v>0</v>
      </c>
      <c r="GS104" s="16">
        <v>0</v>
      </c>
      <c r="GT104" s="16">
        <v>0</v>
      </c>
      <c r="GU104" s="16">
        <v>0</v>
      </c>
      <c r="GV104" s="16">
        <v>0</v>
      </c>
      <c r="GW104" s="16">
        <v>0</v>
      </c>
      <c r="GX104" s="16">
        <v>0</v>
      </c>
      <c r="GY104" s="16">
        <v>0</v>
      </c>
      <c r="GZ104" s="16">
        <v>0</v>
      </c>
      <c r="HA104" s="16">
        <v>0</v>
      </c>
      <c r="HB104" s="16">
        <v>0</v>
      </c>
      <c r="HC104" s="16">
        <v>0</v>
      </c>
      <c r="HD104" s="16">
        <v>0</v>
      </c>
      <c r="HE104" s="16">
        <v>0</v>
      </c>
      <c r="HF104" s="16">
        <v>0</v>
      </c>
      <c r="HG104" s="16">
        <v>0</v>
      </c>
      <c r="HH104" s="16">
        <v>0</v>
      </c>
      <c r="HI104" s="16">
        <v>0</v>
      </c>
      <c r="HJ104" s="16">
        <v>0</v>
      </c>
      <c r="HK104" s="16">
        <v>0</v>
      </c>
      <c r="HL104" s="16">
        <v>0</v>
      </c>
      <c r="HM104" s="16">
        <v>0</v>
      </c>
      <c r="HN104" s="16">
        <v>0</v>
      </c>
      <c r="HO104" s="16">
        <v>0</v>
      </c>
      <c r="HP104" s="16">
        <v>0</v>
      </c>
      <c r="HQ104" s="16">
        <v>0</v>
      </c>
      <c r="HR104" s="16">
        <v>0</v>
      </c>
      <c r="HS104" s="16">
        <v>0</v>
      </c>
      <c r="HT104" s="16">
        <v>0</v>
      </c>
      <c r="HU104" s="16">
        <v>0</v>
      </c>
      <c r="HV104" s="16">
        <v>0</v>
      </c>
      <c r="HW104" s="16">
        <v>0</v>
      </c>
      <c r="HX104" s="16">
        <v>0</v>
      </c>
      <c r="HY104" s="16">
        <v>0</v>
      </c>
      <c r="HZ104" s="16">
        <v>0</v>
      </c>
      <c r="IA104" s="16">
        <v>0</v>
      </c>
      <c r="IB104" s="16">
        <v>0</v>
      </c>
      <c r="IC104" s="16">
        <v>0</v>
      </c>
      <c r="ID104" s="16">
        <v>0</v>
      </c>
      <c r="IE104" s="16">
        <v>0</v>
      </c>
      <c r="IF104" s="16">
        <v>0</v>
      </c>
      <c r="IG104" s="16">
        <v>0</v>
      </c>
      <c r="IH104" s="16">
        <v>0</v>
      </c>
      <c r="II104" s="16">
        <v>0</v>
      </c>
      <c r="IJ104" s="16">
        <v>0</v>
      </c>
      <c r="IK104" s="16">
        <v>0</v>
      </c>
      <c r="IL104" s="16">
        <v>0</v>
      </c>
      <c r="IM104" s="16">
        <v>0</v>
      </c>
      <c r="IN104" s="16">
        <v>0</v>
      </c>
      <c r="IO104" s="16">
        <v>0</v>
      </c>
      <c r="IP104" s="16">
        <v>0</v>
      </c>
      <c r="IQ104" s="16">
        <v>0</v>
      </c>
      <c r="IR104" s="16">
        <v>0</v>
      </c>
      <c r="IS104" s="16">
        <v>0</v>
      </c>
      <c r="IT104" s="16">
        <v>0</v>
      </c>
      <c r="IU104" s="16">
        <v>0</v>
      </c>
      <c r="IV104" s="16">
        <v>0</v>
      </c>
      <c r="IW104" s="16">
        <v>0</v>
      </c>
      <c r="IX104" s="16">
        <v>0</v>
      </c>
      <c r="IY104" s="16">
        <v>0</v>
      </c>
      <c r="IZ104" s="16">
        <v>0</v>
      </c>
      <c r="JA104" s="16">
        <v>0</v>
      </c>
      <c r="JB104" s="16">
        <v>0</v>
      </c>
      <c r="JC104" s="16">
        <v>0</v>
      </c>
      <c r="JD104" s="16">
        <v>0</v>
      </c>
      <c r="JE104" s="16">
        <v>0</v>
      </c>
      <c r="JF104" s="16">
        <v>0</v>
      </c>
      <c r="JG104" s="16">
        <v>0</v>
      </c>
      <c r="JH104" s="16">
        <v>0</v>
      </c>
      <c r="JI104" s="16">
        <v>0</v>
      </c>
      <c r="JJ104" s="16">
        <v>0</v>
      </c>
      <c r="JK104" s="16">
        <v>0</v>
      </c>
      <c r="JL104" s="16">
        <v>0</v>
      </c>
      <c r="JM104" s="16">
        <v>0</v>
      </c>
      <c r="JN104" s="16">
        <v>0</v>
      </c>
      <c r="JO104" s="16">
        <v>0</v>
      </c>
      <c r="JP104" s="16">
        <v>0</v>
      </c>
      <c r="JQ104" s="16">
        <v>0</v>
      </c>
      <c r="JR104" s="16">
        <v>0</v>
      </c>
      <c r="JS104" s="16">
        <v>0</v>
      </c>
      <c r="JT104" s="16">
        <v>0</v>
      </c>
      <c r="JU104" s="16">
        <v>0</v>
      </c>
      <c r="JV104" s="16">
        <v>0</v>
      </c>
      <c r="JW104" s="16">
        <v>0</v>
      </c>
      <c r="JX104" s="16">
        <v>0</v>
      </c>
      <c r="JY104" s="16">
        <v>0</v>
      </c>
      <c r="JZ104" s="16">
        <v>0</v>
      </c>
      <c r="KA104" s="16">
        <v>0</v>
      </c>
      <c r="KB104" s="16">
        <v>0</v>
      </c>
      <c r="KC104" s="16">
        <v>0</v>
      </c>
      <c r="KD104" s="16">
        <v>0</v>
      </c>
      <c r="KE104" s="16">
        <v>0</v>
      </c>
      <c r="KF104" s="16">
        <v>0</v>
      </c>
      <c r="KG104" s="16">
        <v>0</v>
      </c>
      <c r="KH104" s="16">
        <v>0</v>
      </c>
      <c r="KI104" s="16">
        <v>0</v>
      </c>
      <c r="KJ104" s="16">
        <v>0</v>
      </c>
      <c r="KK104" s="16">
        <v>0</v>
      </c>
      <c r="KL104" s="16">
        <v>0</v>
      </c>
      <c r="KM104" s="16">
        <v>0</v>
      </c>
      <c r="KN104" s="16">
        <v>0</v>
      </c>
      <c r="KO104" s="16">
        <v>0</v>
      </c>
      <c r="KP104" s="16">
        <v>0</v>
      </c>
      <c r="KQ104" s="16">
        <v>0</v>
      </c>
      <c r="KR104" s="16">
        <v>0</v>
      </c>
      <c r="KS104" s="16">
        <v>0</v>
      </c>
      <c r="KT104" s="16">
        <v>0</v>
      </c>
      <c r="KU104" s="16">
        <v>0</v>
      </c>
      <c r="KV104" s="16">
        <v>0</v>
      </c>
      <c r="KW104" s="16">
        <v>0</v>
      </c>
      <c r="KX104" s="16">
        <v>0</v>
      </c>
      <c r="KY104" s="16">
        <v>0</v>
      </c>
      <c r="KZ104" s="16">
        <v>0</v>
      </c>
      <c r="LA104" s="16">
        <v>0</v>
      </c>
      <c r="LB104" s="16">
        <v>0</v>
      </c>
      <c r="LC104" s="16">
        <v>0</v>
      </c>
      <c r="LD104" s="16">
        <v>0</v>
      </c>
      <c r="LE104" s="16">
        <v>0</v>
      </c>
      <c r="LF104" s="16">
        <v>0</v>
      </c>
      <c r="LG104" s="16">
        <v>0</v>
      </c>
      <c r="LH104" s="16">
        <v>0</v>
      </c>
      <c r="LI104" s="16">
        <v>0</v>
      </c>
      <c r="LJ104" s="16">
        <v>0</v>
      </c>
      <c r="LK104" s="16">
        <v>0</v>
      </c>
      <c r="LL104" s="16">
        <v>0</v>
      </c>
      <c r="LM104" s="16">
        <v>0</v>
      </c>
      <c r="LN104" s="16">
        <v>0</v>
      </c>
      <c r="LO104" s="16">
        <v>0</v>
      </c>
      <c r="LP104" s="16">
        <v>0</v>
      </c>
      <c r="LQ104" s="16">
        <v>0</v>
      </c>
      <c r="LR104" s="16">
        <v>0</v>
      </c>
      <c r="LS104" s="16">
        <v>0</v>
      </c>
      <c r="LT104" s="16">
        <v>0</v>
      </c>
      <c r="LU104" s="16">
        <v>0</v>
      </c>
      <c r="LV104" s="16">
        <v>0</v>
      </c>
      <c r="LW104" s="16">
        <v>0</v>
      </c>
      <c r="LX104" s="16">
        <v>0</v>
      </c>
      <c r="LY104" s="16">
        <v>0</v>
      </c>
      <c r="LZ104" s="16">
        <v>0</v>
      </c>
      <c r="MA104" s="16">
        <v>0</v>
      </c>
      <c r="MB104" s="16">
        <v>0</v>
      </c>
      <c r="MC104" s="16">
        <v>0</v>
      </c>
      <c r="MD104" s="16">
        <v>0</v>
      </c>
      <c r="ME104" s="16">
        <v>0</v>
      </c>
      <c r="MF104" s="16">
        <v>0</v>
      </c>
      <c r="MG104" s="16">
        <v>0</v>
      </c>
      <c r="MH104" s="16">
        <v>0</v>
      </c>
      <c r="MI104" s="16">
        <v>0</v>
      </c>
      <c r="MJ104" s="16">
        <v>0</v>
      </c>
      <c r="MK104" s="16">
        <v>0</v>
      </c>
      <c r="ML104" s="16">
        <v>0</v>
      </c>
      <c r="MM104" s="16">
        <v>0</v>
      </c>
      <c r="MN104" s="16">
        <v>0</v>
      </c>
      <c r="MO104" s="16">
        <v>0</v>
      </c>
      <c r="MP104" s="16">
        <v>0</v>
      </c>
      <c r="MQ104" s="16">
        <v>0</v>
      </c>
      <c r="MR104" s="16">
        <v>0</v>
      </c>
      <c r="MS104" s="16">
        <v>0</v>
      </c>
      <c r="MT104" s="16">
        <v>0</v>
      </c>
      <c r="MU104" s="16">
        <v>0</v>
      </c>
      <c r="MV104" s="16">
        <v>0</v>
      </c>
      <c r="MW104" s="16">
        <v>0</v>
      </c>
      <c r="MX104" s="16">
        <v>0</v>
      </c>
      <c r="MY104" s="16">
        <v>3</v>
      </c>
      <c r="MZ104" s="16">
        <v>0</v>
      </c>
      <c r="NA104" s="16">
        <v>0</v>
      </c>
      <c r="NB104" s="16">
        <v>0</v>
      </c>
      <c r="NC104" s="16">
        <v>0</v>
      </c>
      <c r="ND104" s="16">
        <v>0</v>
      </c>
      <c r="NE104" s="16">
        <v>0</v>
      </c>
      <c r="NF104" s="16">
        <v>0</v>
      </c>
      <c r="NG104" s="16">
        <v>0</v>
      </c>
      <c r="NH104" s="16">
        <v>0</v>
      </c>
      <c r="NI104" s="16">
        <v>0</v>
      </c>
      <c r="NJ104" s="16">
        <v>0</v>
      </c>
      <c r="NK104" s="16">
        <v>0</v>
      </c>
      <c r="NL104" s="16">
        <v>0</v>
      </c>
      <c r="NM104" s="16">
        <v>0</v>
      </c>
      <c r="NN104" s="16">
        <v>0</v>
      </c>
      <c r="NO104" s="16">
        <v>0</v>
      </c>
      <c r="NP104" s="16">
        <v>0</v>
      </c>
      <c r="NQ104" s="16">
        <v>0</v>
      </c>
      <c r="NR104" s="17">
        <v>4641003</v>
      </c>
    </row>
    <row r="105" spans="1:382" ht="13.5" customHeight="1" x14ac:dyDescent="0.2">
      <c r="A105" s="2" t="s">
        <v>217</v>
      </c>
      <c r="B105" s="16">
        <v>49</v>
      </c>
      <c r="C105" s="16">
        <v>0</v>
      </c>
      <c r="D105" s="16">
        <v>26</v>
      </c>
      <c r="E105" s="16">
        <v>21</v>
      </c>
      <c r="F105" s="16">
        <v>10</v>
      </c>
      <c r="G105" s="16">
        <v>27</v>
      </c>
      <c r="H105" s="16">
        <v>1</v>
      </c>
      <c r="I105" s="16">
        <v>9</v>
      </c>
      <c r="J105" s="16">
        <v>0</v>
      </c>
      <c r="K105" s="16">
        <v>0</v>
      </c>
      <c r="L105" s="16">
        <v>43</v>
      </c>
      <c r="M105" s="16">
        <v>0</v>
      </c>
      <c r="N105" s="16">
        <v>0</v>
      </c>
      <c r="O105" s="16">
        <v>2</v>
      </c>
      <c r="P105" s="16">
        <v>1808</v>
      </c>
      <c r="Q105" s="16">
        <v>1100</v>
      </c>
      <c r="R105" s="16">
        <v>182</v>
      </c>
      <c r="S105" s="16">
        <v>1010</v>
      </c>
      <c r="T105" s="16">
        <v>21</v>
      </c>
      <c r="U105" s="16">
        <v>747</v>
      </c>
      <c r="V105" s="16">
        <v>80</v>
      </c>
      <c r="W105" s="16">
        <v>4</v>
      </c>
      <c r="X105" s="16">
        <v>3154</v>
      </c>
      <c r="Y105" s="16">
        <v>10405</v>
      </c>
      <c r="Z105" s="16">
        <v>232</v>
      </c>
      <c r="AA105" s="16">
        <v>8</v>
      </c>
      <c r="AB105" s="16">
        <v>0</v>
      </c>
      <c r="AC105" s="16">
        <v>0</v>
      </c>
      <c r="AD105" s="16">
        <v>0</v>
      </c>
      <c r="AE105" s="16">
        <v>13</v>
      </c>
      <c r="AF105" s="16">
        <v>21</v>
      </c>
      <c r="AG105" s="16">
        <v>2486</v>
      </c>
      <c r="AH105" s="16">
        <v>1427</v>
      </c>
      <c r="AI105" s="16">
        <v>123</v>
      </c>
      <c r="AJ105" s="16">
        <v>970</v>
      </c>
      <c r="AK105" s="16">
        <v>2831</v>
      </c>
      <c r="AL105" s="16">
        <v>37</v>
      </c>
      <c r="AM105" s="16">
        <v>668</v>
      </c>
      <c r="AN105" s="16">
        <v>67</v>
      </c>
      <c r="AO105" s="16">
        <v>1642</v>
      </c>
      <c r="AP105" s="16">
        <v>38</v>
      </c>
      <c r="AQ105" s="16">
        <v>144</v>
      </c>
      <c r="AR105" s="16">
        <v>0</v>
      </c>
      <c r="AS105" s="16">
        <v>5</v>
      </c>
      <c r="AT105" s="16">
        <v>35</v>
      </c>
      <c r="AU105" s="16">
        <v>384</v>
      </c>
      <c r="AV105" s="16">
        <v>415</v>
      </c>
      <c r="AW105" s="16">
        <v>225</v>
      </c>
      <c r="AX105" s="16">
        <v>76</v>
      </c>
      <c r="AY105" s="16">
        <v>315</v>
      </c>
      <c r="AZ105" s="16">
        <v>66</v>
      </c>
      <c r="BA105" s="16">
        <v>838</v>
      </c>
      <c r="BB105" s="16">
        <v>131</v>
      </c>
      <c r="BC105" s="16">
        <v>348</v>
      </c>
      <c r="BD105" s="16">
        <v>10</v>
      </c>
      <c r="BE105" s="16">
        <v>12</v>
      </c>
      <c r="BF105" s="16">
        <v>64</v>
      </c>
      <c r="BG105" s="16">
        <v>30</v>
      </c>
      <c r="BH105" s="16">
        <v>209</v>
      </c>
      <c r="BI105" s="16">
        <v>45</v>
      </c>
      <c r="BJ105" s="16">
        <v>45</v>
      </c>
      <c r="BK105" s="16">
        <v>352</v>
      </c>
      <c r="BL105" s="16">
        <v>1057</v>
      </c>
      <c r="BM105" s="16">
        <v>236</v>
      </c>
      <c r="BN105" s="16">
        <v>472</v>
      </c>
      <c r="BO105" s="16">
        <v>907</v>
      </c>
      <c r="BP105" s="16">
        <v>121</v>
      </c>
      <c r="BQ105" s="16">
        <v>173</v>
      </c>
      <c r="BR105" s="16">
        <v>84</v>
      </c>
      <c r="BS105" s="16">
        <v>9480</v>
      </c>
      <c r="BT105" s="16">
        <v>20</v>
      </c>
      <c r="BU105" s="16">
        <v>8</v>
      </c>
      <c r="BV105" s="16">
        <v>10</v>
      </c>
      <c r="BW105" s="16">
        <v>198</v>
      </c>
      <c r="BX105" s="16">
        <v>2447</v>
      </c>
      <c r="BY105" s="16">
        <v>1</v>
      </c>
      <c r="BZ105" s="16">
        <v>146</v>
      </c>
      <c r="CA105" s="16">
        <v>29</v>
      </c>
      <c r="CB105" s="16">
        <v>153</v>
      </c>
      <c r="CC105" s="16">
        <v>1599</v>
      </c>
      <c r="CD105" s="16">
        <v>450</v>
      </c>
      <c r="CE105" s="16">
        <v>272</v>
      </c>
      <c r="CF105" s="16">
        <v>151</v>
      </c>
      <c r="CG105" s="16">
        <v>128</v>
      </c>
      <c r="CH105" s="16">
        <v>217</v>
      </c>
      <c r="CI105" s="16">
        <v>178</v>
      </c>
      <c r="CJ105" s="16">
        <v>521</v>
      </c>
      <c r="CK105" s="16">
        <v>1828</v>
      </c>
      <c r="CL105" s="16">
        <v>1039</v>
      </c>
      <c r="CM105" s="16">
        <v>163</v>
      </c>
      <c r="CN105" s="16">
        <v>97</v>
      </c>
      <c r="CO105" s="16">
        <v>240</v>
      </c>
      <c r="CP105" s="16">
        <v>523</v>
      </c>
      <c r="CQ105" s="16">
        <v>3314</v>
      </c>
      <c r="CR105" s="16">
        <v>2711</v>
      </c>
      <c r="CS105" s="16">
        <v>11007</v>
      </c>
      <c r="CT105" s="16">
        <v>20750</v>
      </c>
      <c r="CU105" s="16">
        <v>41695</v>
      </c>
      <c r="CV105" s="16">
        <v>19705</v>
      </c>
      <c r="CW105" s="16">
        <v>89598</v>
      </c>
      <c r="CX105" s="16">
        <v>66175</v>
      </c>
      <c r="CY105" s="16">
        <v>9281</v>
      </c>
      <c r="CZ105" s="16">
        <v>158337</v>
      </c>
      <c r="DA105" s="16">
        <v>291074</v>
      </c>
      <c r="DB105" s="16">
        <v>210416</v>
      </c>
      <c r="DC105" s="16">
        <v>729</v>
      </c>
      <c r="DD105" s="16">
        <v>5516</v>
      </c>
      <c r="DE105" s="16">
        <v>450</v>
      </c>
      <c r="DF105" s="16">
        <v>1195</v>
      </c>
      <c r="DG105" s="16">
        <v>203</v>
      </c>
      <c r="DH105" s="16">
        <v>717</v>
      </c>
      <c r="DI105" s="16">
        <v>743</v>
      </c>
      <c r="DJ105" s="16">
        <v>12081</v>
      </c>
      <c r="DK105" s="16">
        <v>7798</v>
      </c>
      <c r="DL105" s="16">
        <v>726</v>
      </c>
      <c r="DM105" s="16">
        <v>1315</v>
      </c>
      <c r="DN105" s="16">
        <v>137</v>
      </c>
      <c r="DO105" s="16">
        <v>465</v>
      </c>
      <c r="DP105" s="16">
        <v>548</v>
      </c>
      <c r="DQ105" s="16">
        <v>607</v>
      </c>
      <c r="DR105" s="16">
        <v>685</v>
      </c>
      <c r="DS105" s="16">
        <v>1921</v>
      </c>
      <c r="DT105" s="16">
        <v>313</v>
      </c>
      <c r="DU105" s="16">
        <v>337</v>
      </c>
      <c r="DV105" s="16">
        <v>14941</v>
      </c>
      <c r="DW105" s="16">
        <v>2544</v>
      </c>
      <c r="DX105" s="16">
        <v>1855</v>
      </c>
      <c r="DY105" s="16">
        <v>1721</v>
      </c>
      <c r="DZ105" s="16">
        <v>4767</v>
      </c>
      <c r="EA105" s="16">
        <v>2854</v>
      </c>
      <c r="EB105" s="16">
        <v>487</v>
      </c>
      <c r="EC105" s="16">
        <v>6149</v>
      </c>
      <c r="ED105" s="16">
        <v>637</v>
      </c>
      <c r="EE105" s="16">
        <v>82</v>
      </c>
      <c r="EF105" s="16">
        <v>276</v>
      </c>
      <c r="EG105" s="16">
        <v>2821</v>
      </c>
      <c r="EH105" s="16">
        <v>352</v>
      </c>
      <c r="EI105" s="16">
        <v>60</v>
      </c>
      <c r="EJ105" s="16">
        <v>37</v>
      </c>
      <c r="EK105" s="16">
        <v>33</v>
      </c>
      <c r="EL105" s="16">
        <v>33</v>
      </c>
      <c r="EM105" s="16">
        <v>975</v>
      </c>
      <c r="EN105" s="16">
        <v>6959</v>
      </c>
      <c r="EO105" s="16">
        <v>1162</v>
      </c>
      <c r="EP105" s="16">
        <v>1232</v>
      </c>
      <c r="EQ105" s="16">
        <v>420</v>
      </c>
      <c r="ER105" s="16">
        <v>113</v>
      </c>
      <c r="ES105" s="16">
        <v>1982</v>
      </c>
      <c r="ET105" s="16">
        <v>1153</v>
      </c>
      <c r="EU105" s="16">
        <v>53</v>
      </c>
      <c r="EV105" s="16">
        <v>201</v>
      </c>
      <c r="EW105" s="16">
        <v>13</v>
      </c>
      <c r="EX105" s="16">
        <v>30351</v>
      </c>
      <c r="EY105" s="16">
        <v>1049</v>
      </c>
      <c r="EZ105" s="16">
        <v>118</v>
      </c>
      <c r="FA105" s="16">
        <v>230</v>
      </c>
      <c r="FB105" s="16">
        <v>1207</v>
      </c>
      <c r="FC105" s="16">
        <v>799</v>
      </c>
      <c r="FD105" s="16">
        <v>8629</v>
      </c>
      <c r="FE105" s="16">
        <v>1721</v>
      </c>
      <c r="FF105" s="16">
        <v>268</v>
      </c>
      <c r="FG105" s="16">
        <v>1355</v>
      </c>
      <c r="FH105" s="16">
        <v>4</v>
      </c>
      <c r="FI105" s="16">
        <v>7783</v>
      </c>
      <c r="FJ105" s="16">
        <v>418</v>
      </c>
      <c r="FK105" s="16">
        <v>11438</v>
      </c>
      <c r="FL105" s="16">
        <v>289</v>
      </c>
      <c r="FM105" s="16">
        <v>1762</v>
      </c>
      <c r="FN105" s="16">
        <v>7440</v>
      </c>
      <c r="FO105" s="16">
        <v>2088</v>
      </c>
      <c r="FP105" s="16">
        <v>1604</v>
      </c>
      <c r="FQ105" s="16">
        <v>1195</v>
      </c>
      <c r="FR105" s="16">
        <v>5884</v>
      </c>
      <c r="FS105" s="16">
        <v>429</v>
      </c>
      <c r="FT105" s="16">
        <v>493</v>
      </c>
      <c r="FU105" s="16">
        <v>12671</v>
      </c>
      <c r="FV105" s="16">
        <v>7423</v>
      </c>
      <c r="FW105" s="16">
        <v>38887</v>
      </c>
      <c r="FX105" s="16">
        <v>2708</v>
      </c>
      <c r="FY105" s="16">
        <v>390</v>
      </c>
      <c r="FZ105" s="16">
        <v>6089</v>
      </c>
      <c r="GA105" s="16">
        <v>976</v>
      </c>
      <c r="GB105" s="16">
        <v>78198</v>
      </c>
      <c r="GC105" s="16">
        <v>1053</v>
      </c>
      <c r="GD105" s="16">
        <v>3450</v>
      </c>
      <c r="GE105" s="16">
        <v>333</v>
      </c>
      <c r="GF105" s="16">
        <v>1086</v>
      </c>
      <c r="GG105" s="16">
        <v>226</v>
      </c>
      <c r="GH105" s="16">
        <v>1297</v>
      </c>
      <c r="GI105" s="16">
        <v>575</v>
      </c>
      <c r="GJ105" s="16">
        <v>1631</v>
      </c>
      <c r="GK105" s="16">
        <v>305</v>
      </c>
      <c r="GL105" s="16">
        <v>2</v>
      </c>
      <c r="GM105" s="16">
        <v>34</v>
      </c>
      <c r="GN105" s="16">
        <v>19</v>
      </c>
      <c r="GO105" s="16">
        <v>926</v>
      </c>
      <c r="GP105" s="16">
        <v>215</v>
      </c>
      <c r="GQ105" s="16">
        <v>507</v>
      </c>
      <c r="GR105" s="16">
        <v>67</v>
      </c>
      <c r="GS105" s="16">
        <v>9</v>
      </c>
      <c r="GT105" s="16">
        <v>61</v>
      </c>
      <c r="GU105" s="16">
        <v>128</v>
      </c>
      <c r="GV105" s="16">
        <v>441</v>
      </c>
      <c r="GW105" s="16">
        <v>198</v>
      </c>
      <c r="GX105" s="16">
        <v>644</v>
      </c>
      <c r="GY105" s="16">
        <v>2</v>
      </c>
      <c r="GZ105" s="16">
        <v>4346</v>
      </c>
      <c r="HA105" s="16">
        <v>2988</v>
      </c>
      <c r="HB105" s="16">
        <v>1378</v>
      </c>
      <c r="HC105" s="16">
        <v>5533</v>
      </c>
      <c r="HD105" s="16">
        <v>3997</v>
      </c>
      <c r="HE105" s="16">
        <v>109</v>
      </c>
      <c r="HF105" s="16">
        <v>4434</v>
      </c>
      <c r="HG105" s="16">
        <v>169</v>
      </c>
      <c r="HH105" s="16">
        <v>132</v>
      </c>
      <c r="HI105" s="16">
        <v>761</v>
      </c>
      <c r="HJ105" s="16">
        <v>278</v>
      </c>
      <c r="HK105" s="16">
        <v>395</v>
      </c>
      <c r="HL105" s="16">
        <v>16025</v>
      </c>
      <c r="HM105" s="16">
        <v>1954</v>
      </c>
      <c r="HN105" s="16">
        <v>24613</v>
      </c>
      <c r="HO105" s="16">
        <v>1938</v>
      </c>
      <c r="HP105" s="16">
        <v>31415</v>
      </c>
      <c r="HQ105" s="16">
        <v>4860</v>
      </c>
      <c r="HR105" s="16">
        <v>1273</v>
      </c>
      <c r="HS105" s="16">
        <v>1448</v>
      </c>
      <c r="HT105" s="16">
        <v>21</v>
      </c>
      <c r="HU105" s="16">
        <v>2604</v>
      </c>
      <c r="HV105" s="16">
        <v>775</v>
      </c>
      <c r="HW105" s="16">
        <v>1183</v>
      </c>
      <c r="HX105" s="16">
        <v>2288</v>
      </c>
      <c r="HY105" s="16">
        <v>1360</v>
      </c>
      <c r="HZ105" s="16">
        <v>1074</v>
      </c>
      <c r="IA105" s="16">
        <v>264</v>
      </c>
      <c r="IB105" s="16">
        <v>1054</v>
      </c>
      <c r="IC105" s="16">
        <v>315</v>
      </c>
      <c r="ID105" s="16">
        <v>933</v>
      </c>
      <c r="IE105" s="16">
        <v>49</v>
      </c>
      <c r="IF105" s="16">
        <v>220</v>
      </c>
      <c r="IG105" s="16">
        <v>1082</v>
      </c>
      <c r="IH105" s="16">
        <v>21373</v>
      </c>
      <c r="II105" s="16">
        <v>2385</v>
      </c>
      <c r="IJ105" s="16">
        <v>14</v>
      </c>
      <c r="IK105" s="16">
        <v>111</v>
      </c>
      <c r="IL105" s="16">
        <v>176</v>
      </c>
      <c r="IM105" s="16">
        <v>21</v>
      </c>
      <c r="IN105" s="16">
        <v>3992</v>
      </c>
      <c r="IO105" s="16">
        <v>13220</v>
      </c>
      <c r="IP105" s="16">
        <v>604</v>
      </c>
      <c r="IQ105" s="16">
        <v>134</v>
      </c>
      <c r="IR105" s="16">
        <v>342</v>
      </c>
      <c r="IS105" s="16">
        <v>547</v>
      </c>
      <c r="IT105" s="16">
        <v>25</v>
      </c>
      <c r="IU105" s="16">
        <v>4</v>
      </c>
      <c r="IV105" s="16">
        <v>661</v>
      </c>
      <c r="IW105" s="16">
        <v>453</v>
      </c>
      <c r="IX105" s="16">
        <v>341</v>
      </c>
      <c r="IY105" s="16">
        <v>133</v>
      </c>
      <c r="IZ105" s="16">
        <v>5</v>
      </c>
      <c r="JA105" s="16">
        <v>197</v>
      </c>
      <c r="JB105" s="16">
        <v>2</v>
      </c>
      <c r="JC105" s="16">
        <v>22</v>
      </c>
      <c r="JD105" s="16">
        <v>46</v>
      </c>
      <c r="JE105" s="16">
        <v>492</v>
      </c>
      <c r="JF105" s="16">
        <v>180</v>
      </c>
      <c r="JG105" s="16">
        <v>13182</v>
      </c>
      <c r="JH105" s="16">
        <v>827</v>
      </c>
      <c r="JI105" s="16">
        <v>26</v>
      </c>
      <c r="JJ105" s="16">
        <v>596</v>
      </c>
      <c r="JK105" s="16">
        <v>130</v>
      </c>
      <c r="JL105" s="16">
        <v>72</v>
      </c>
      <c r="JM105" s="16">
        <v>40</v>
      </c>
      <c r="JN105" s="16">
        <v>286</v>
      </c>
      <c r="JO105" s="16">
        <v>37</v>
      </c>
      <c r="JP105" s="16">
        <v>3344</v>
      </c>
      <c r="JQ105" s="16">
        <v>71</v>
      </c>
      <c r="JR105" s="16">
        <v>2675</v>
      </c>
      <c r="JS105" s="16">
        <v>1714</v>
      </c>
      <c r="JT105" s="16">
        <v>0</v>
      </c>
      <c r="JU105" s="16">
        <v>6137</v>
      </c>
      <c r="JV105" s="16">
        <v>523</v>
      </c>
      <c r="JW105" s="16">
        <v>10311</v>
      </c>
      <c r="JX105" s="16">
        <v>25427</v>
      </c>
      <c r="JY105" s="16">
        <v>1989</v>
      </c>
      <c r="JZ105" s="16">
        <v>2314</v>
      </c>
      <c r="KA105" s="16">
        <v>3072</v>
      </c>
      <c r="KB105" s="16">
        <v>735</v>
      </c>
      <c r="KC105" s="16">
        <v>725</v>
      </c>
      <c r="KD105" s="16">
        <v>16</v>
      </c>
      <c r="KE105" s="16">
        <v>195</v>
      </c>
      <c r="KF105" s="16">
        <v>7616</v>
      </c>
      <c r="KG105" s="16">
        <v>271</v>
      </c>
      <c r="KH105" s="16">
        <v>1323</v>
      </c>
      <c r="KI105" s="16">
        <v>246</v>
      </c>
      <c r="KJ105" s="16">
        <v>87</v>
      </c>
      <c r="KK105" s="16">
        <v>84446</v>
      </c>
      <c r="KL105" s="16">
        <v>224</v>
      </c>
      <c r="KM105" s="16">
        <v>159954</v>
      </c>
      <c r="KN105" s="16">
        <v>376071</v>
      </c>
      <c r="KO105" s="16">
        <v>3607</v>
      </c>
      <c r="KP105" s="16">
        <v>624</v>
      </c>
      <c r="KQ105" s="16">
        <v>6213</v>
      </c>
      <c r="KR105" s="16">
        <v>1209</v>
      </c>
      <c r="KS105" s="16">
        <v>26</v>
      </c>
      <c r="KT105" s="16">
        <v>30</v>
      </c>
      <c r="KU105" s="16">
        <v>1544</v>
      </c>
      <c r="KV105" s="16">
        <v>173</v>
      </c>
      <c r="KW105" s="16">
        <v>1798</v>
      </c>
      <c r="KX105" s="16">
        <v>48</v>
      </c>
      <c r="KY105" s="16">
        <v>1419</v>
      </c>
      <c r="KZ105" s="16">
        <v>15616</v>
      </c>
      <c r="LA105" s="16">
        <v>2927</v>
      </c>
      <c r="LB105" s="16">
        <v>206</v>
      </c>
      <c r="LC105" s="16">
        <v>3109</v>
      </c>
      <c r="LD105" s="16">
        <v>4080</v>
      </c>
      <c r="LE105" s="16">
        <v>224</v>
      </c>
      <c r="LF105" s="16">
        <v>343</v>
      </c>
      <c r="LG105" s="16">
        <v>137</v>
      </c>
      <c r="LH105" s="16">
        <v>1015</v>
      </c>
      <c r="LI105" s="16">
        <v>30</v>
      </c>
      <c r="LJ105" s="16">
        <v>458</v>
      </c>
      <c r="LK105" s="16">
        <v>131</v>
      </c>
      <c r="LL105" s="16">
        <v>383</v>
      </c>
      <c r="LM105" s="16">
        <v>3773</v>
      </c>
      <c r="LN105" s="16">
        <v>1526</v>
      </c>
      <c r="LO105" s="16">
        <v>17</v>
      </c>
      <c r="LP105" s="16">
        <v>464</v>
      </c>
      <c r="LQ105" s="16">
        <v>201</v>
      </c>
      <c r="LR105" s="16">
        <v>504</v>
      </c>
      <c r="LS105" s="16">
        <v>183</v>
      </c>
      <c r="LT105" s="16">
        <v>1478</v>
      </c>
      <c r="LU105" s="16">
        <v>7</v>
      </c>
      <c r="LV105" s="16">
        <v>0</v>
      </c>
      <c r="LW105" s="16">
        <v>62</v>
      </c>
      <c r="LX105" s="16">
        <v>132</v>
      </c>
      <c r="LY105" s="16">
        <v>0</v>
      </c>
      <c r="LZ105" s="16">
        <v>1626</v>
      </c>
      <c r="MA105" s="16">
        <v>2900</v>
      </c>
      <c r="MB105" s="16">
        <v>9245</v>
      </c>
      <c r="MC105" s="16">
        <v>538</v>
      </c>
      <c r="MD105" s="16">
        <v>116</v>
      </c>
      <c r="ME105" s="16">
        <v>139</v>
      </c>
      <c r="MF105" s="16">
        <v>5475</v>
      </c>
      <c r="MG105" s="16">
        <v>641</v>
      </c>
      <c r="MH105" s="16">
        <v>13593</v>
      </c>
      <c r="MI105" s="16">
        <v>142</v>
      </c>
      <c r="MJ105" s="16">
        <v>266</v>
      </c>
      <c r="MK105" s="16">
        <v>19308</v>
      </c>
      <c r="ML105" s="16">
        <v>449</v>
      </c>
      <c r="MM105" s="16">
        <v>2721</v>
      </c>
      <c r="MN105" s="16">
        <v>5231</v>
      </c>
      <c r="MO105" s="16">
        <v>2779</v>
      </c>
      <c r="MP105" s="16">
        <v>198</v>
      </c>
      <c r="MQ105" s="16">
        <v>2541</v>
      </c>
      <c r="MR105" s="16">
        <v>10052</v>
      </c>
      <c r="MS105" s="16">
        <v>440</v>
      </c>
      <c r="MT105" s="16">
        <v>3</v>
      </c>
      <c r="MU105" s="16">
        <v>2064</v>
      </c>
      <c r="MV105" s="16">
        <v>144</v>
      </c>
      <c r="MW105" s="16">
        <v>7295</v>
      </c>
      <c r="MX105" s="16">
        <v>3</v>
      </c>
      <c r="MY105" s="16">
        <v>164</v>
      </c>
      <c r="MZ105" s="16">
        <v>705</v>
      </c>
      <c r="NA105" s="16">
        <v>11</v>
      </c>
      <c r="NB105" s="16">
        <v>4637</v>
      </c>
      <c r="NC105" s="16">
        <v>18</v>
      </c>
      <c r="ND105" s="16">
        <v>83</v>
      </c>
      <c r="NE105" s="16">
        <v>56</v>
      </c>
      <c r="NF105" s="16">
        <v>445</v>
      </c>
      <c r="NG105" s="16">
        <v>1412</v>
      </c>
      <c r="NH105" s="16">
        <v>111</v>
      </c>
      <c r="NI105" s="16">
        <v>203</v>
      </c>
      <c r="NJ105" s="16">
        <v>664</v>
      </c>
      <c r="NK105" s="16">
        <v>380418</v>
      </c>
      <c r="NL105" s="16">
        <v>1624</v>
      </c>
      <c r="NM105" s="16">
        <v>131</v>
      </c>
      <c r="NN105" s="16">
        <v>394</v>
      </c>
      <c r="NO105" s="16">
        <v>0</v>
      </c>
      <c r="NP105" s="16">
        <v>645</v>
      </c>
      <c r="NQ105" s="16">
        <v>83</v>
      </c>
      <c r="NR105" s="17">
        <v>2722365</v>
      </c>
    </row>
    <row r="106" spans="1:382" ht="13.5" customHeight="1" x14ac:dyDescent="0.2">
      <c r="A106" s="2" t="s">
        <v>219</v>
      </c>
      <c r="B106" s="16">
        <v>30</v>
      </c>
      <c r="C106" s="16">
        <v>0</v>
      </c>
      <c r="D106" s="16">
        <v>0</v>
      </c>
      <c r="E106" s="16">
        <v>0</v>
      </c>
      <c r="F106" s="16">
        <v>-16</v>
      </c>
      <c r="G106" s="16">
        <v>32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1</v>
      </c>
      <c r="P106" s="16">
        <v>898</v>
      </c>
      <c r="Q106" s="16">
        <v>72</v>
      </c>
      <c r="R106" s="16">
        <v>0</v>
      </c>
      <c r="S106" s="16">
        <v>149</v>
      </c>
      <c r="T106" s="16">
        <v>-9</v>
      </c>
      <c r="U106" s="16">
        <v>-4</v>
      </c>
      <c r="V106" s="16">
        <v>0</v>
      </c>
      <c r="W106" s="16">
        <v>0</v>
      </c>
      <c r="X106" s="16">
        <v>7773</v>
      </c>
      <c r="Y106" s="16">
        <v>74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14576</v>
      </c>
      <c r="AH106" s="16">
        <v>2339</v>
      </c>
      <c r="AI106" s="16">
        <v>919</v>
      </c>
      <c r="AJ106" s="16">
        <v>0</v>
      </c>
      <c r="AK106" s="16">
        <v>-99</v>
      </c>
      <c r="AL106" s="16">
        <v>-14</v>
      </c>
      <c r="AM106" s="16">
        <v>-49</v>
      </c>
      <c r="AN106" s="16">
        <v>0</v>
      </c>
      <c r="AO106" s="16">
        <v>-2</v>
      </c>
      <c r="AP106" s="16">
        <v>0</v>
      </c>
      <c r="AQ106" s="16">
        <v>0</v>
      </c>
      <c r="AR106" s="16">
        <v>0</v>
      </c>
      <c r="AS106" s="16">
        <v>-9</v>
      </c>
      <c r="AT106" s="16">
        <v>-4</v>
      </c>
      <c r="AU106" s="16">
        <v>-32</v>
      </c>
      <c r="AV106" s="16">
        <v>-44</v>
      </c>
      <c r="AW106" s="16">
        <v>-2</v>
      </c>
      <c r="AX106" s="16">
        <v>-4</v>
      </c>
      <c r="AY106" s="16">
        <v>-23</v>
      </c>
      <c r="AZ106" s="16">
        <v>0</v>
      </c>
      <c r="BA106" s="16">
        <v>-5</v>
      </c>
      <c r="BB106" s="16">
        <v>-21</v>
      </c>
      <c r="BC106" s="16">
        <v>-14</v>
      </c>
      <c r="BD106" s="16">
        <v>0</v>
      </c>
      <c r="BE106" s="16">
        <v>0</v>
      </c>
      <c r="BF106" s="16">
        <v>-7</v>
      </c>
      <c r="BG106" s="16">
        <v>-2</v>
      </c>
      <c r="BH106" s="16">
        <v>-9</v>
      </c>
      <c r="BI106" s="16">
        <v>0</v>
      </c>
      <c r="BJ106" s="16">
        <v>-94</v>
      </c>
      <c r="BK106" s="16">
        <v>26</v>
      </c>
      <c r="BL106" s="16">
        <v>-359</v>
      </c>
      <c r="BM106" s="16">
        <v>-11</v>
      </c>
      <c r="BN106" s="16">
        <v>-53</v>
      </c>
      <c r="BO106" s="16">
        <v>-162</v>
      </c>
      <c r="BP106" s="16">
        <v>-551</v>
      </c>
      <c r="BQ106" s="16">
        <v>0</v>
      </c>
      <c r="BR106" s="16">
        <v>-277</v>
      </c>
      <c r="BS106" s="16">
        <v>70</v>
      </c>
      <c r="BT106" s="16">
        <v>0</v>
      </c>
      <c r="BU106" s="16">
        <v>0</v>
      </c>
      <c r="BV106" s="16">
        <v>-4</v>
      </c>
      <c r="BW106" s="16">
        <v>-803</v>
      </c>
      <c r="BX106" s="16">
        <v>341</v>
      </c>
      <c r="BY106" s="16">
        <v>-2</v>
      </c>
      <c r="BZ106" s="16">
        <v>22</v>
      </c>
      <c r="CA106" s="16">
        <v>4</v>
      </c>
      <c r="CB106" s="16">
        <v>-213</v>
      </c>
      <c r="CC106" s="16">
        <v>-5</v>
      </c>
      <c r="CD106" s="16">
        <v>-9</v>
      </c>
      <c r="CE106" s="16">
        <v>-2</v>
      </c>
      <c r="CF106" s="16">
        <v>0</v>
      </c>
      <c r="CG106" s="16">
        <v>-2</v>
      </c>
      <c r="CH106" s="16">
        <v>-16</v>
      </c>
      <c r="CI106" s="16">
        <v>-5</v>
      </c>
      <c r="CJ106" s="16">
        <v>-116</v>
      </c>
      <c r="CK106" s="16">
        <v>1012</v>
      </c>
      <c r="CL106" s="16">
        <v>185</v>
      </c>
      <c r="CM106" s="16">
        <v>100</v>
      </c>
      <c r="CN106" s="16">
        <v>94</v>
      </c>
      <c r="CO106" s="16">
        <v>322</v>
      </c>
      <c r="CP106" s="16">
        <v>186</v>
      </c>
      <c r="CQ106" s="16">
        <v>47542</v>
      </c>
      <c r="CR106" s="16">
        <v>957</v>
      </c>
      <c r="CS106" s="16">
        <v>18749</v>
      </c>
      <c r="CT106" s="16">
        <v>15130</v>
      </c>
      <c r="CU106" s="16">
        <v>-363</v>
      </c>
      <c r="CV106" s="16">
        <v>-74</v>
      </c>
      <c r="CW106" s="16">
        <v>5081</v>
      </c>
      <c r="CX106" s="16">
        <v>-279</v>
      </c>
      <c r="CY106" s="16">
        <v>-123</v>
      </c>
      <c r="CZ106" s="16">
        <v>23</v>
      </c>
      <c r="DA106" s="16">
        <v>172925</v>
      </c>
      <c r="DB106" s="16">
        <v>440315</v>
      </c>
      <c r="DC106" s="16">
        <v>138129</v>
      </c>
      <c r="DD106" s="16">
        <v>12304</v>
      </c>
      <c r="DE106" s="16">
        <v>370666</v>
      </c>
      <c r="DF106" s="16">
        <v>191935</v>
      </c>
      <c r="DG106" s="16">
        <v>-52</v>
      </c>
      <c r="DH106" s="16">
        <v>1316145</v>
      </c>
      <c r="DI106" s="16">
        <v>-97</v>
      </c>
      <c r="DJ106" s="16">
        <v>21830</v>
      </c>
      <c r="DK106" s="16">
        <v>40158</v>
      </c>
      <c r="DL106" s="16">
        <v>-1871</v>
      </c>
      <c r="DM106" s="16">
        <v>-4430</v>
      </c>
      <c r="DN106" s="16">
        <v>107</v>
      </c>
      <c r="DO106" s="16">
        <v>-81</v>
      </c>
      <c r="DP106" s="16">
        <v>455150</v>
      </c>
      <c r="DQ106" s="16">
        <v>58191</v>
      </c>
      <c r="DR106" s="16">
        <v>100259</v>
      </c>
      <c r="DS106" s="16">
        <v>20243</v>
      </c>
      <c r="DT106" s="16">
        <v>178131</v>
      </c>
      <c r="DU106" s="16">
        <v>53567</v>
      </c>
      <c r="DV106" s="16">
        <v>698899</v>
      </c>
      <c r="DW106" s="16">
        <v>186532</v>
      </c>
      <c r="DX106" s="16">
        <v>111685</v>
      </c>
      <c r="DY106" s="16">
        <v>89370</v>
      </c>
      <c r="DZ106" s="16">
        <v>138836</v>
      </c>
      <c r="EA106" s="16">
        <v>38259</v>
      </c>
      <c r="EB106" s="16">
        <v>41887</v>
      </c>
      <c r="EC106" s="16">
        <v>115061</v>
      </c>
      <c r="ED106" s="16">
        <v>15628</v>
      </c>
      <c r="EE106" s="16">
        <v>-4</v>
      </c>
      <c r="EF106" s="16">
        <v>1192</v>
      </c>
      <c r="EG106" s="16">
        <v>14279</v>
      </c>
      <c r="EH106" s="16">
        <v>-8</v>
      </c>
      <c r="EI106" s="16">
        <v>-4</v>
      </c>
      <c r="EJ106" s="16">
        <v>0</v>
      </c>
      <c r="EK106" s="16">
        <v>2</v>
      </c>
      <c r="EL106" s="16">
        <v>9</v>
      </c>
      <c r="EM106" s="16">
        <v>10357</v>
      </c>
      <c r="EN106" s="16">
        <v>182304</v>
      </c>
      <c r="EO106" s="16">
        <v>305</v>
      </c>
      <c r="EP106" s="16">
        <v>0</v>
      </c>
      <c r="EQ106" s="16">
        <v>30</v>
      </c>
      <c r="ER106" s="16">
        <v>-2</v>
      </c>
      <c r="ES106" s="16">
        <v>1333227</v>
      </c>
      <c r="ET106" s="16">
        <v>302658</v>
      </c>
      <c r="EU106" s="16">
        <v>3382</v>
      </c>
      <c r="EV106" s="16">
        <v>-9</v>
      </c>
      <c r="EW106" s="16">
        <v>-43</v>
      </c>
      <c r="EX106" s="16">
        <v>-49</v>
      </c>
      <c r="EY106" s="16">
        <v>-9</v>
      </c>
      <c r="EZ106" s="16">
        <v>-2</v>
      </c>
      <c r="FA106" s="16">
        <v>-9</v>
      </c>
      <c r="FB106" s="16">
        <v>0</v>
      </c>
      <c r="FC106" s="16">
        <v>1202</v>
      </c>
      <c r="FD106" s="16">
        <v>-173</v>
      </c>
      <c r="FE106" s="16">
        <v>-5355</v>
      </c>
      <c r="FF106" s="16">
        <v>-92</v>
      </c>
      <c r="FG106" s="16">
        <v>-62</v>
      </c>
      <c r="FH106" s="16">
        <v>-26</v>
      </c>
      <c r="FI106" s="16">
        <v>-106</v>
      </c>
      <c r="FJ106" s="16">
        <v>-12</v>
      </c>
      <c r="FK106" s="16">
        <v>-25</v>
      </c>
      <c r="FL106" s="16">
        <v>-18</v>
      </c>
      <c r="FM106" s="16">
        <v>-106</v>
      </c>
      <c r="FN106" s="16">
        <v>-576</v>
      </c>
      <c r="FO106" s="16">
        <v>3692</v>
      </c>
      <c r="FP106" s="16">
        <v>-56</v>
      </c>
      <c r="FQ106" s="16">
        <v>-88</v>
      </c>
      <c r="FR106" s="16">
        <v>665</v>
      </c>
      <c r="FS106" s="16">
        <v>-26</v>
      </c>
      <c r="FT106" s="16">
        <v>-7</v>
      </c>
      <c r="FU106" s="16">
        <v>-67</v>
      </c>
      <c r="FV106" s="16">
        <v>15594</v>
      </c>
      <c r="FW106" s="16">
        <v>36738</v>
      </c>
      <c r="FX106" s="16">
        <v>-262</v>
      </c>
      <c r="FY106" s="16">
        <v>-2</v>
      </c>
      <c r="FZ106" s="16">
        <v>-30</v>
      </c>
      <c r="GA106" s="16">
        <v>-33</v>
      </c>
      <c r="GB106" s="16">
        <v>51132</v>
      </c>
      <c r="GC106" s="16">
        <v>194</v>
      </c>
      <c r="GD106" s="16">
        <v>-25</v>
      </c>
      <c r="GE106" s="16">
        <v>-3817</v>
      </c>
      <c r="GF106" s="16">
        <v>-2091</v>
      </c>
      <c r="GG106" s="16">
        <v>-4487</v>
      </c>
      <c r="GH106" s="16">
        <v>-399</v>
      </c>
      <c r="GI106" s="16">
        <v>-221</v>
      </c>
      <c r="GJ106" s="16">
        <v>-41</v>
      </c>
      <c r="GK106" s="16">
        <v>-321</v>
      </c>
      <c r="GL106" s="16">
        <v>-2</v>
      </c>
      <c r="GM106" s="16">
        <v>-148</v>
      </c>
      <c r="GN106" s="16">
        <v>-11</v>
      </c>
      <c r="GO106" s="16">
        <v>-35</v>
      </c>
      <c r="GP106" s="16">
        <v>-2178</v>
      </c>
      <c r="GQ106" s="16">
        <v>-53</v>
      </c>
      <c r="GR106" s="16">
        <v>9</v>
      </c>
      <c r="GS106" s="16">
        <v>-23</v>
      </c>
      <c r="GT106" s="16">
        <v>-598</v>
      </c>
      <c r="GU106" s="16">
        <v>14</v>
      </c>
      <c r="GV106" s="16">
        <v>1</v>
      </c>
      <c r="GW106" s="16">
        <v>28</v>
      </c>
      <c r="GX106" s="16">
        <v>-35</v>
      </c>
      <c r="GY106" s="16">
        <v>0</v>
      </c>
      <c r="GZ106" s="16">
        <v>38836</v>
      </c>
      <c r="HA106" s="16">
        <v>168298</v>
      </c>
      <c r="HB106" s="16">
        <v>64</v>
      </c>
      <c r="HC106" s="16">
        <v>39886</v>
      </c>
      <c r="HD106" s="16">
        <v>89833</v>
      </c>
      <c r="HE106" s="16">
        <v>-1293</v>
      </c>
      <c r="HF106" s="16">
        <v>-66</v>
      </c>
      <c r="HG106" s="16">
        <v>0</v>
      </c>
      <c r="HH106" s="16">
        <v>0</v>
      </c>
      <c r="HI106" s="16">
        <v>-27</v>
      </c>
      <c r="HJ106" s="16">
        <v>-9</v>
      </c>
      <c r="HK106" s="16">
        <v>24</v>
      </c>
      <c r="HL106" s="16">
        <v>47410</v>
      </c>
      <c r="HM106" s="16">
        <v>-141</v>
      </c>
      <c r="HN106" s="16">
        <v>43621</v>
      </c>
      <c r="HO106" s="16">
        <v>-204</v>
      </c>
      <c r="HP106" s="16">
        <v>31447</v>
      </c>
      <c r="HQ106" s="16">
        <v>13681</v>
      </c>
      <c r="HR106" s="16">
        <v>-28</v>
      </c>
      <c r="HS106" s="16">
        <v>-41</v>
      </c>
      <c r="HT106" s="16">
        <v>-5</v>
      </c>
      <c r="HU106" s="16">
        <v>-83</v>
      </c>
      <c r="HV106" s="16">
        <v>-41</v>
      </c>
      <c r="HW106" s="16">
        <v>-146</v>
      </c>
      <c r="HX106" s="16">
        <v>-134</v>
      </c>
      <c r="HY106" s="16">
        <v>-169</v>
      </c>
      <c r="HZ106" s="16">
        <v>-638</v>
      </c>
      <c r="IA106" s="16">
        <v>-46</v>
      </c>
      <c r="IB106" s="16">
        <v>0</v>
      </c>
      <c r="IC106" s="16">
        <v>-7</v>
      </c>
      <c r="ID106" s="16">
        <v>-14</v>
      </c>
      <c r="IE106" s="16">
        <v>-2</v>
      </c>
      <c r="IF106" s="16">
        <v>-4</v>
      </c>
      <c r="IG106" s="16">
        <v>-106</v>
      </c>
      <c r="IH106" s="16">
        <v>43065</v>
      </c>
      <c r="II106" s="16">
        <v>7610</v>
      </c>
      <c r="IJ106" s="16">
        <v>-38</v>
      </c>
      <c r="IK106" s="16">
        <v>-3</v>
      </c>
      <c r="IL106" s="16">
        <v>18</v>
      </c>
      <c r="IM106" s="16">
        <v>0</v>
      </c>
      <c r="IN106" s="16">
        <v>452</v>
      </c>
      <c r="IO106" s="16">
        <v>25920</v>
      </c>
      <c r="IP106" s="16">
        <v>-3979</v>
      </c>
      <c r="IQ106" s="16">
        <v>-18</v>
      </c>
      <c r="IR106" s="16">
        <v>3196</v>
      </c>
      <c r="IS106" s="16">
        <v>-63</v>
      </c>
      <c r="IT106" s="16">
        <v>-22</v>
      </c>
      <c r="IU106" s="16">
        <v>-26</v>
      </c>
      <c r="IV106" s="16">
        <v>-16</v>
      </c>
      <c r="IW106" s="16">
        <v>42</v>
      </c>
      <c r="IX106" s="16">
        <v>0</v>
      </c>
      <c r="IY106" s="16">
        <v>-18</v>
      </c>
      <c r="IZ106" s="16">
        <v>-178</v>
      </c>
      <c r="JA106" s="16">
        <v>9</v>
      </c>
      <c r="JB106" s="16">
        <v>0</v>
      </c>
      <c r="JC106" s="16">
        <v>0</v>
      </c>
      <c r="JD106" s="16">
        <v>7</v>
      </c>
      <c r="JE106" s="16">
        <v>60</v>
      </c>
      <c r="JF106" s="16">
        <v>36</v>
      </c>
      <c r="JG106" s="16">
        <v>7179</v>
      </c>
      <c r="JH106" s="16">
        <v>-25</v>
      </c>
      <c r="JI106" s="16">
        <v>-19</v>
      </c>
      <c r="JJ106" s="16">
        <v>18868</v>
      </c>
      <c r="JK106" s="16">
        <v>-104</v>
      </c>
      <c r="JL106" s="16">
        <v>20</v>
      </c>
      <c r="JM106" s="16">
        <v>-7</v>
      </c>
      <c r="JN106" s="16">
        <v>92</v>
      </c>
      <c r="JO106" s="16">
        <v>25687</v>
      </c>
      <c r="JP106" s="16">
        <v>-51</v>
      </c>
      <c r="JQ106" s="16">
        <v>39</v>
      </c>
      <c r="JR106" s="16">
        <v>-3652</v>
      </c>
      <c r="JS106" s="16">
        <v>-712</v>
      </c>
      <c r="JT106" s="16">
        <v>0</v>
      </c>
      <c r="JU106" s="16">
        <v>-2919</v>
      </c>
      <c r="JV106" s="16">
        <v>-1797</v>
      </c>
      <c r="JW106" s="16">
        <v>186829</v>
      </c>
      <c r="JX106" s="16">
        <v>58594</v>
      </c>
      <c r="JY106" s="16">
        <v>212</v>
      </c>
      <c r="JZ106" s="16">
        <v>218553</v>
      </c>
      <c r="KA106" s="16">
        <v>2805</v>
      </c>
      <c r="KB106" s="16">
        <v>814</v>
      </c>
      <c r="KC106" s="16">
        <v>6043</v>
      </c>
      <c r="KD106" s="16">
        <v>15192</v>
      </c>
      <c r="KE106" s="16">
        <v>-9</v>
      </c>
      <c r="KF106" s="16">
        <v>6033</v>
      </c>
      <c r="KG106" s="16">
        <v>67</v>
      </c>
      <c r="KH106" s="16">
        <v>51</v>
      </c>
      <c r="KI106" s="16">
        <v>0</v>
      </c>
      <c r="KJ106" s="16">
        <v>193</v>
      </c>
      <c r="KK106" s="16">
        <v>204</v>
      </c>
      <c r="KL106" s="16">
        <v>-23</v>
      </c>
      <c r="KM106" s="16">
        <v>497</v>
      </c>
      <c r="KN106" s="16">
        <v>126</v>
      </c>
      <c r="KO106" s="16">
        <v>289</v>
      </c>
      <c r="KP106" s="16">
        <v>-2792</v>
      </c>
      <c r="KQ106" s="16">
        <v>-26</v>
      </c>
      <c r="KR106" s="16">
        <v>202</v>
      </c>
      <c r="KS106" s="16">
        <v>-935</v>
      </c>
      <c r="KT106" s="16">
        <v>-7</v>
      </c>
      <c r="KU106" s="16">
        <v>235</v>
      </c>
      <c r="KV106" s="16">
        <v>-447</v>
      </c>
      <c r="KW106" s="16">
        <v>31</v>
      </c>
      <c r="KX106" s="16">
        <v>0</v>
      </c>
      <c r="KY106" s="16">
        <v>-7</v>
      </c>
      <c r="KZ106" s="16">
        <v>-7</v>
      </c>
      <c r="LA106" s="16">
        <v>-4</v>
      </c>
      <c r="LB106" s="16">
        <v>42</v>
      </c>
      <c r="LC106" s="16">
        <v>0</v>
      </c>
      <c r="LD106" s="16">
        <v>-12</v>
      </c>
      <c r="LE106" s="16">
        <v>-7</v>
      </c>
      <c r="LF106" s="16">
        <v>-9</v>
      </c>
      <c r="LG106" s="16">
        <v>5</v>
      </c>
      <c r="LH106" s="16">
        <v>72</v>
      </c>
      <c r="LI106" s="16">
        <v>0</v>
      </c>
      <c r="LJ106" s="16">
        <v>9</v>
      </c>
      <c r="LK106" s="16">
        <v>0</v>
      </c>
      <c r="LL106" s="16">
        <v>0</v>
      </c>
      <c r="LM106" s="16">
        <v>-4</v>
      </c>
      <c r="LN106" s="16">
        <v>53</v>
      </c>
      <c r="LO106" s="16">
        <v>-625</v>
      </c>
      <c r="LP106" s="16">
        <v>165</v>
      </c>
      <c r="LQ106" s="16">
        <v>44</v>
      </c>
      <c r="LR106" s="16">
        <v>21</v>
      </c>
      <c r="LS106" s="16">
        <v>71</v>
      </c>
      <c r="LT106" s="16">
        <v>70</v>
      </c>
      <c r="LU106" s="16">
        <v>0</v>
      </c>
      <c r="LV106" s="16">
        <v>0</v>
      </c>
      <c r="LW106" s="16">
        <v>4</v>
      </c>
      <c r="LX106" s="16">
        <v>0</v>
      </c>
      <c r="LY106" s="16">
        <v>-4</v>
      </c>
      <c r="LZ106" s="16">
        <v>405</v>
      </c>
      <c r="MA106" s="16">
        <v>-23</v>
      </c>
      <c r="MB106" s="16">
        <v>-42</v>
      </c>
      <c r="MC106" s="16">
        <v>65</v>
      </c>
      <c r="MD106" s="16">
        <v>23</v>
      </c>
      <c r="ME106" s="16">
        <v>-7</v>
      </c>
      <c r="MF106" s="16">
        <v>514</v>
      </c>
      <c r="MG106" s="16">
        <v>121</v>
      </c>
      <c r="MH106" s="16">
        <v>0</v>
      </c>
      <c r="MI106" s="16">
        <v>0</v>
      </c>
      <c r="MJ106" s="16">
        <v>-29</v>
      </c>
      <c r="MK106" s="16">
        <v>-194</v>
      </c>
      <c r="ML106" s="16">
        <v>-76</v>
      </c>
      <c r="MM106" s="16">
        <v>1374</v>
      </c>
      <c r="MN106" s="16">
        <v>227</v>
      </c>
      <c r="MO106" s="16">
        <v>-5818</v>
      </c>
      <c r="MP106" s="16">
        <v>11</v>
      </c>
      <c r="MQ106" s="16">
        <v>459</v>
      </c>
      <c r="MR106" s="16">
        <v>13389</v>
      </c>
      <c r="MS106" s="16">
        <v>306</v>
      </c>
      <c r="MT106" s="16">
        <v>27</v>
      </c>
      <c r="MU106" s="16">
        <v>466</v>
      </c>
      <c r="MV106" s="16">
        <v>-19</v>
      </c>
      <c r="MW106" s="16">
        <v>-2</v>
      </c>
      <c r="MX106" s="16">
        <v>-11</v>
      </c>
      <c r="MY106" s="16">
        <v>-35</v>
      </c>
      <c r="MZ106" s="16">
        <v>139</v>
      </c>
      <c r="NA106" s="16">
        <v>91</v>
      </c>
      <c r="NB106" s="16">
        <v>629</v>
      </c>
      <c r="NC106" s="16">
        <v>186</v>
      </c>
      <c r="ND106" s="16">
        <v>63</v>
      </c>
      <c r="NE106" s="16">
        <v>0</v>
      </c>
      <c r="NF106" s="16">
        <v>89</v>
      </c>
      <c r="NG106" s="16">
        <v>-35</v>
      </c>
      <c r="NH106" s="16">
        <v>-2</v>
      </c>
      <c r="NI106" s="16">
        <v>-114</v>
      </c>
      <c r="NJ106" s="16">
        <v>-1067</v>
      </c>
      <c r="NK106" s="16">
        <v>-136694</v>
      </c>
      <c r="NL106" s="16">
        <v>986</v>
      </c>
      <c r="NM106" s="16">
        <v>0</v>
      </c>
      <c r="NN106" s="16">
        <v>10462</v>
      </c>
      <c r="NO106" s="16">
        <v>0</v>
      </c>
      <c r="NP106" s="16">
        <v>-2</v>
      </c>
      <c r="NQ106" s="16">
        <v>3</v>
      </c>
      <c r="NR106" s="17">
        <v>8014786</v>
      </c>
    </row>
    <row r="107" spans="1:382" ht="13.5" customHeight="1" x14ac:dyDescent="0.2">
      <c r="A107" s="2" t="s">
        <v>221</v>
      </c>
      <c r="B107" s="16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856</v>
      </c>
      <c r="BM107" s="16">
        <v>1068</v>
      </c>
      <c r="BN107" s="16">
        <v>2573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4</v>
      </c>
      <c r="BZ107" s="16">
        <v>0</v>
      </c>
      <c r="CA107" s="16">
        <v>405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500</v>
      </c>
      <c r="CK107" s="16">
        <v>25141</v>
      </c>
      <c r="CL107" s="16">
        <v>77</v>
      </c>
      <c r="CM107" s="16">
        <v>1513</v>
      </c>
      <c r="CN107" s="16">
        <v>0</v>
      </c>
      <c r="CO107" s="16">
        <v>0</v>
      </c>
      <c r="CP107" s="16">
        <v>54571</v>
      </c>
      <c r="CQ107" s="16">
        <v>27615</v>
      </c>
      <c r="CR107" s="16">
        <v>0</v>
      </c>
      <c r="CS107" s="16">
        <v>89</v>
      </c>
      <c r="CT107" s="16">
        <v>2077</v>
      </c>
      <c r="CU107" s="16">
        <v>4405</v>
      </c>
      <c r="CV107" s="16">
        <v>6865</v>
      </c>
      <c r="CW107" s="16">
        <v>20467</v>
      </c>
      <c r="CX107" s="16">
        <v>8261</v>
      </c>
      <c r="CY107" s="16">
        <v>17910</v>
      </c>
      <c r="CZ107" s="16">
        <v>848</v>
      </c>
      <c r="DA107" s="16">
        <v>146</v>
      </c>
      <c r="DB107" s="16">
        <v>14617</v>
      </c>
      <c r="DC107" s="16">
        <v>37168</v>
      </c>
      <c r="DD107" s="16">
        <v>114871</v>
      </c>
      <c r="DE107" s="16">
        <v>1769253</v>
      </c>
      <c r="DF107" s="16">
        <v>881791</v>
      </c>
      <c r="DG107" s="16">
        <v>1194</v>
      </c>
      <c r="DH107" s="16">
        <v>55950</v>
      </c>
      <c r="DI107" s="16">
        <v>2988</v>
      </c>
      <c r="DJ107" s="16">
        <v>8898887</v>
      </c>
      <c r="DK107" s="16">
        <v>825916</v>
      </c>
      <c r="DL107" s="16">
        <v>0</v>
      </c>
      <c r="DM107" s="16">
        <v>5611</v>
      </c>
      <c r="DN107" s="16">
        <v>0</v>
      </c>
      <c r="DO107" s="16">
        <v>19358</v>
      </c>
      <c r="DP107" s="16">
        <v>176340</v>
      </c>
      <c r="DQ107" s="16">
        <v>7999</v>
      </c>
      <c r="DR107" s="16">
        <v>4865</v>
      </c>
      <c r="DS107" s="16">
        <v>1262</v>
      </c>
      <c r="DT107" s="16">
        <v>55044</v>
      </c>
      <c r="DU107" s="16">
        <v>7123</v>
      </c>
      <c r="DV107" s="16">
        <v>3518</v>
      </c>
      <c r="DW107" s="16">
        <v>110911</v>
      </c>
      <c r="DX107" s="16">
        <v>4068</v>
      </c>
      <c r="DY107" s="16">
        <v>14163</v>
      </c>
      <c r="DZ107" s="16">
        <v>87975</v>
      </c>
      <c r="EA107" s="16">
        <v>5469</v>
      </c>
      <c r="EB107" s="16">
        <v>2</v>
      </c>
      <c r="EC107" s="16">
        <v>50800</v>
      </c>
      <c r="ED107" s="16">
        <v>3339</v>
      </c>
      <c r="EE107" s="16">
        <v>0</v>
      </c>
      <c r="EF107" s="16">
        <v>11</v>
      </c>
      <c r="EG107" s="16">
        <v>160</v>
      </c>
      <c r="EH107" s="16">
        <v>0</v>
      </c>
      <c r="EI107" s="16">
        <v>0</v>
      </c>
      <c r="EJ107" s="16">
        <v>0</v>
      </c>
      <c r="EK107" s="16">
        <v>0</v>
      </c>
      <c r="EL107" s="16">
        <v>0</v>
      </c>
      <c r="EM107" s="16">
        <v>0</v>
      </c>
      <c r="EN107" s="16">
        <v>0</v>
      </c>
      <c r="EO107" s="16">
        <v>0</v>
      </c>
      <c r="EP107" s="16">
        <v>0</v>
      </c>
      <c r="EQ107" s="16">
        <v>0</v>
      </c>
      <c r="ER107" s="16">
        <v>0</v>
      </c>
      <c r="ES107" s="16">
        <v>0</v>
      </c>
      <c r="ET107" s="16">
        <v>5675</v>
      </c>
      <c r="EU107" s="16">
        <v>0</v>
      </c>
      <c r="EV107" s="16">
        <v>0</v>
      </c>
      <c r="EW107" s="16">
        <v>11</v>
      </c>
      <c r="EX107" s="16">
        <v>0</v>
      </c>
      <c r="EY107" s="16">
        <v>0</v>
      </c>
      <c r="EZ107" s="16">
        <v>0</v>
      </c>
      <c r="FA107" s="16">
        <v>0</v>
      </c>
      <c r="FB107" s="16">
        <v>0</v>
      </c>
      <c r="FC107" s="16">
        <v>51</v>
      </c>
      <c r="FD107" s="16">
        <v>13488</v>
      </c>
      <c r="FE107" s="16">
        <v>0</v>
      </c>
      <c r="FF107" s="16">
        <v>0</v>
      </c>
      <c r="FG107" s="16">
        <v>0</v>
      </c>
      <c r="FH107" s="16">
        <v>0</v>
      </c>
      <c r="FI107" s="16">
        <v>0</v>
      </c>
      <c r="FJ107" s="16">
        <v>1293</v>
      </c>
      <c r="FK107" s="16">
        <v>0</v>
      </c>
      <c r="FL107" s="16">
        <v>0</v>
      </c>
      <c r="FM107" s="16">
        <v>0</v>
      </c>
      <c r="FN107" s="16">
        <v>0</v>
      </c>
      <c r="FO107" s="16">
        <v>0</v>
      </c>
      <c r="FP107" s="16">
        <v>0</v>
      </c>
      <c r="FQ107" s="16">
        <v>0</v>
      </c>
      <c r="FR107" s="16">
        <v>0</v>
      </c>
      <c r="FS107" s="16">
        <v>0</v>
      </c>
      <c r="FT107" s="16">
        <v>0</v>
      </c>
      <c r="FU107" s="16">
        <v>0</v>
      </c>
      <c r="FV107" s="16">
        <v>0</v>
      </c>
      <c r="FW107" s="16">
        <v>688</v>
      </c>
      <c r="FX107" s="16">
        <v>0</v>
      </c>
      <c r="FY107" s="16">
        <v>0</v>
      </c>
      <c r="FZ107" s="16">
        <v>0</v>
      </c>
      <c r="GA107" s="16">
        <v>0</v>
      </c>
      <c r="GB107" s="16">
        <v>647</v>
      </c>
      <c r="GC107" s="16">
        <v>0</v>
      </c>
      <c r="GD107" s="16">
        <v>0</v>
      </c>
      <c r="GE107" s="16">
        <v>11166</v>
      </c>
      <c r="GF107" s="16">
        <v>43382</v>
      </c>
      <c r="GG107" s="16">
        <v>18</v>
      </c>
      <c r="GH107" s="16">
        <v>557</v>
      </c>
      <c r="GI107" s="16">
        <v>357</v>
      </c>
      <c r="GJ107" s="16">
        <v>8360</v>
      </c>
      <c r="GK107" s="16">
        <v>275</v>
      </c>
      <c r="GL107" s="16">
        <v>0</v>
      </c>
      <c r="GM107" s="16">
        <v>21</v>
      </c>
      <c r="GN107" s="16">
        <v>0</v>
      </c>
      <c r="GO107" s="16">
        <v>0</v>
      </c>
      <c r="GP107" s="16">
        <v>12</v>
      </c>
      <c r="GQ107" s="16">
        <v>0</v>
      </c>
      <c r="GR107" s="16">
        <v>0</v>
      </c>
      <c r="GS107" s="16">
        <v>0</v>
      </c>
      <c r="GT107" s="16">
        <v>0</v>
      </c>
      <c r="GU107" s="16">
        <v>99</v>
      </c>
      <c r="GV107" s="16">
        <v>0</v>
      </c>
      <c r="GW107" s="16">
        <v>0</v>
      </c>
      <c r="GX107" s="16">
        <v>0</v>
      </c>
      <c r="GY107" s="16">
        <v>0</v>
      </c>
      <c r="GZ107" s="16">
        <v>0</v>
      </c>
      <c r="HA107" s="16">
        <v>0</v>
      </c>
      <c r="HB107" s="16">
        <v>0</v>
      </c>
      <c r="HC107" s="16">
        <v>0</v>
      </c>
      <c r="HD107" s="16">
        <v>0</v>
      </c>
      <c r="HE107" s="16">
        <v>56</v>
      </c>
      <c r="HF107" s="16">
        <v>7075</v>
      </c>
      <c r="HG107" s="16">
        <v>0</v>
      </c>
      <c r="HH107" s="16">
        <v>0</v>
      </c>
      <c r="HI107" s="16">
        <v>0</v>
      </c>
      <c r="HJ107" s="16">
        <v>0</v>
      </c>
      <c r="HK107" s="16">
        <v>0</v>
      </c>
      <c r="HL107" s="16">
        <v>341</v>
      </c>
      <c r="HM107" s="16">
        <v>0</v>
      </c>
      <c r="HN107" s="16">
        <v>0</v>
      </c>
      <c r="HO107" s="16">
        <v>0</v>
      </c>
      <c r="HP107" s="16">
        <v>0</v>
      </c>
      <c r="HQ107" s="16">
        <v>0</v>
      </c>
      <c r="HR107" s="16">
        <v>0</v>
      </c>
      <c r="HS107" s="16">
        <v>0</v>
      </c>
      <c r="HT107" s="16">
        <v>0</v>
      </c>
      <c r="HU107" s="16">
        <v>0</v>
      </c>
      <c r="HV107" s="16">
        <v>0</v>
      </c>
      <c r="HW107" s="16">
        <v>0</v>
      </c>
      <c r="HX107" s="16">
        <v>0</v>
      </c>
      <c r="HY107" s="16">
        <v>0</v>
      </c>
      <c r="HZ107" s="16">
        <v>0</v>
      </c>
      <c r="IA107" s="16">
        <v>0</v>
      </c>
      <c r="IB107" s="16">
        <v>0</v>
      </c>
      <c r="IC107" s="16">
        <v>0</v>
      </c>
      <c r="ID107" s="16">
        <v>0</v>
      </c>
      <c r="IE107" s="16">
        <v>0</v>
      </c>
      <c r="IF107" s="16">
        <v>0</v>
      </c>
      <c r="IG107" s="16">
        <v>0</v>
      </c>
      <c r="IH107" s="16">
        <v>0</v>
      </c>
      <c r="II107" s="16">
        <v>0</v>
      </c>
      <c r="IJ107" s="16">
        <v>0</v>
      </c>
      <c r="IK107" s="16">
        <v>0</v>
      </c>
      <c r="IL107" s="16">
        <v>0</v>
      </c>
      <c r="IM107" s="16">
        <v>0</v>
      </c>
      <c r="IN107" s="16">
        <v>0</v>
      </c>
      <c r="IO107" s="16">
        <v>2641</v>
      </c>
      <c r="IP107" s="16">
        <v>0</v>
      </c>
      <c r="IQ107" s="16">
        <v>0</v>
      </c>
      <c r="IR107" s="16">
        <v>0</v>
      </c>
      <c r="IS107" s="16">
        <v>0</v>
      </c>
      <c r="IT107" s="16">
        <v>0</v>
      </c>
      <c r="IU107" s="16">
        <v>0</v>
      </c>
      <c r="IV107" s="16">
        <v>0</v>
      </c>
      <c r="IW107" s="16">
        <v>0</v>
      </c>
      <c r="IX107" s="16">
        <v>0</v>
      </c>
      <c r="IY107" s="16">
        <v>0</v>
      </c>
      <c r="IZ107" s="16">
        <v>0</v>
      </c>
      <c r="JA107" s="16">
        <v>0</v>
      </c>
      <c r="JB107" s="16">
        <v>0</v>
      </c>
      <c r="JC107" s="16">
        <v>0</v>
      </c>
      <c r="JD107" s="16">
        <v>0</v>
      </c>
      <c r="JE107" s="16">
        <v>0</v>
      </c>
      <c r="JF107" s="16">
        <v>456</v>
      </c>
      <c r="JG107" s="16">
        <v>7281</v>
      </c>
      <c r="JH107" s="16">
        <v>0</v>
      </c>
      <c r="JI107" s="16">
        <v>0</v>
      </c>
      <c r="JJ107" s="16">
        <v>0</v>
      </c>
      <c r="JK107" s="16">
        <v>0</v>
      </c>
      <c r="JL107" s="16">
        <v>0</v>
      </c>
      <c r="JM107" s="16">
        <v>0</v>
      </c>
      <c r="JN107" s="16">
        <v>0</v>
      </c>
      <c r="JO107" s="16">
        <v>0</v>
      </c>
      <c r="JP107" s="16">
        <v>0</v>
      </c>
      <c r="JQ107" s="16">
        <v>0</v>
      </c>
      <c r="JR107" s="16">
        <v>0</v>
      </c>
      <c r="JS107" s="16">
        <v>0</v>
      </c>
      <c r="JT107" s="16">
        <v>0</v>
      </c>
      <c r="JU107" s="16">
        <v>0</v>
      </c>
      <c r="JV107" s="16">
        <v>0</v>
      </c>
      <c r="JW107" s="16">
        <v>0</v>
      </c>
      <c r="JX107" s="16">
        <v>0</v>
      </c>
      <c r="JY107" s="16">
        <v>0</v>
      </c>
      <c r="JZ107" s="16">
        <v>0</v>
      </c>
      <c r="KA107" s="16">
        <v>0</v>
      </c>
      <c r="KB107" s="16">
        <v>0</v>
      </c>
      <c r="KC107" s="16">
        <v>0</v>
      </c>
      <c r="KD107" s="16">
        <v>0</v>
      </c>
      <c r="KE107" s="16">
        <v>0</v>
      </c>
      <c r="KF107" s="16">
        <v>0</v>
      </c>
      <c r="KG107" s="16">
        <v>0</v>
      </c>
      <c r="KH107" s="16">
        <v>0</v>
      </c>
      <c r="KI107" s="16">
        <v>0</v>
      </c>
      <c r="KJ107" s="16">
        <v>0</v>
      </c>
      <c r="KK107" s="16">
        <v>0</v>
      </c>
      <c r="KL107" s="16">
        <v>0</v>
      </c>
      <c r="KM107" s="16">
        <v>0</v>
      </c>
      <c r="KN107" s="16">
        <v>0</v>
      </c>
      <c r="KO107" s="16">
        <v>0</v>
      </c>
      <c r="KP107" s="16">
        <v>0</v>
      </c>
      <c r="KQ107" s="16">
        <v>0</v>
      </c>
      <c r="KR107" s="16">
        <v>0</v>
      </c>
      <c r="KS107" s="16">
        <v>0</v>
      </c>
      <c r="KT107" s="16">
        <v>0</v>
      </c>
      <c r="KU107" s="16">
        <v>0</v>
      </c>
      <c r="KV107" s="16">
        <v>0</v>
      </c>
      <c r="KW107" s="16">
        <v>0</v>
      </c>
      <c r="KX107" s="16">
        <v>0</v>
      </c>
      <c r="KY107" s="16">
        <v>0</v>
      </c>
      <c r="KZ107" s="16">
        <v>0</v>
      </c>
      <c r="LA107" s="16">
        <v>0</v>
      </c>
      <c r="LB107" s="16">
        <v>0</v>
      </c>
      <c r="LC107" s="16">
        <v>0</v>
      </c>
      <c r="LD107" s="16">
        <v>0</v>
      </c>
      <c r="LE107" s="16">
        <v>0</v>
      </c>
      <c r="LF107" s="16">
        <v>0</v>
      </c>
      <c r="LG107" s="16">
        <v>0</v>
      </c>
      <c r="LH107" s="16">
        <v>0</v>
      </c>
      <c r="LI107" s="16">
        <v>0</v>
      </c>
      <c r="LJ107" s="16">
        <v>0</v>
      </c>
      <c r="LK107" s="16">
        <v>0</v>
      </c>
      <c r="LL107" s="16">
        <v>0</v>
      </c>
      <c r="LM107" s="16">
        <v>0</v>
      </c>
      <c r="LN107" s="16">
        <v>0</v>
      </c>
      <c r="LO107" s="16">
        <v>0</v>
      </c>
      <c r="LP107" s="16">
        <v>0</v>
      </c>
      <c r="LQ107" s="16">
        <v>0</v>
      </c>
      <c r="LR107" s="16">
        <v>0</v>
      </c>
      <c r="LS107" s="16">
        <v>0</v>
      </c>
      <c r="LT107" s="16">
        <v>0</v>
      </c>
      <c r="LU107" s="16">
        <v>0</v>
      </c>
      <c r="LV107" s="16">
        <v>0</v>
      </c>
      <c r="LW107" s="16">
        <v>0</v>
      </c>
      <c r="LX107" s="16">
        <v>0</v>
      </c>
      <c r="LY107" s="16">
        <v>0</v>
      </c>
      <c r="LZ107" s="16">
        <v>0</v>
      </c>
      <c r="MA107" s="16">
        <v>0</v>
      </c>
      <c r="MB107" s="16">
        <v>0</v>
      </c>
      <c r="MC107" s="16">
        <v>24636</v>
      </c>
      <c r="MD107" s="16">
        <v>5341</v>
      </c>
      <c r="ME107" s="16">
        <v>0</v>
      </c>
      <c r="MF107" s="16">
        <v>5451</v>
      </c>
      <c r="MG107" s="16">
        <v>0</v>
      </c>
      <c r="MH107" s="16">
        <v>0</v>
      </c>
      <c r="MI107" s="16">
        <v>0</v>
      </c>
      <c r="MJ107" s="16">
        <v>0</v>
      </c>
      <c r="MK107" s="16">
        <v>0</v>
      </c>
      <c r="ML107" s="16">
        <v>0</v>
      </c>
      <c r="MM107" s="16">
        <v>0</v>
      </c>
      <c r="MN107" s="16">
        <v>0</v>
      </c>
      <c r="MO107" s="16">
        <v>0</v>
      </c>
      <c r="MP107" s="16">
        <v>0</v>
      </c>
      <c r="MQ107" s="16">
        <v>0</v>
      </c>
      <c r="MR107" s="16">
        <v>2</v>
      </c>
      <c r="MS107" s="16">
        <v>0</v>
      </c>
      <c r="MT107" s="16">
        <v>0</v>
      </c>
      <c r="MU107" s="16">
        <v>0</v>
      </c>
      <c r="MV107" s="16">
        <v>0</v>
      </c>
      <c r="MW107" s="16">
        <v>0</v>
      </c>
      <c r="MX107" s="16">
        <v>0</v>
      </c>
      <c r="MY107" s="16">
        <v>0</v>
      </c>
      <c r="MZ107" s="16">
        <v>0</v>
      </c>
      <c r="NA107" s="16">
        <v>0</v>
      </c>
      <c r="NB107" s="16">
        <v>0</v>
      </c>
      <c r="NC107" s="16">
        <v>0</v>
      </c>
      <c r="ND107" s="16">
        <v>0</v>
      </c>
      <c r="NE107" s="16">
        <v>0</v>
      </c>
      <c r="NF107" s="16">
        <v>0</v>
      </c>
      <c r="NG107" s="16">
        <v>0</v>
      </c>
      <c r="NH107" s="16">
        <v>0</v>
      </c>
      <c r="NI107" s="16">
        <v>0</v>
      </c>
      <c r="NJ107" s="16">
        <v>0</v>
      </c>
      <c r="NK107" s="16">
        <v>0</v>
      </c>
      <c r="NL107" s="16">
        <v>0</v>
      </c>
      <c r="NM107" s="16">
        <v>0</v>
      </c>
      <c r="NN107" s="16">
        <v>0</v>
      </c>
      <c r="NO107" s="16">
        <v>0</v>
      </c>
      <c r="NP107" s="16">
        <v>0</v>
      </c>
      <c r="NQ107" s="16">
        <v>0</v>
      </c>
      <c r="NR107" s="17">
        <v>13475424</v>
      </c>
    </row>
    <row r="108" spans="1:382" ht="13.5" customHeight="1" x14ac:dyDescent="0.2">
      <c r="A108" s="2" t="s">
        <v>223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424</v>
      </c>
      <c r="BN108" s="16">
        <v>1703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2</v>
      </c>
      <c r="BZ108" s="16">
        <v>0</v>
      </c>
      <c r="CA108" s="16">
        <v>114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0</v>
      </c>
      <c r="CJ108" s="16">
        <v>330</v>
      </c>
      <c r="CK108" s="16">
        <v>9230</v>
      </c>
      <c r="CL108" s="16">
        <v>50</v>
      </c>
      <c r="CM108" s="16">
        <v>996</v>
      </c>
      <c r="CN108" s="16">
        <v>0</v>
      </c>
      <c r="CO108" s="16">
        <v>0</v>
      </c>
      <c r="CP108" s="16">
        <v>176</v>
      </c>
      <c r="CQ108" s="16">
        <v>11552</v>
      </c>
      <c r="CR108" s="16">
        <v>0</v>
      </c>
      <c r="CS108" s="16">
        <v>461</v>
      </c>
      <c r="CT108" s="16">
        <v>55786</v>
      </c>
      <c r="CU108" s="16">
        <v>88137</v>
      </c>
      <c r="CV108" s="16">
        <v>11371</v>
      </c>
      <c r="CW108" s="16">
        <v>198827</v>
      </c>
      <c r="CX108" s="16">
        <v>10298</v>
      </c>
      <c r="CY108" s="16">
        <v>12915</v>
      </c>
      <c r="CZ108" s="16">
        <v>537</v>
      </c>
      <c r="DA108" s="16">
        <v>148</v>
      </c>
      <c r="DB108" s="16">
        <v>65233</v>
      </c>
      <c r="DC108" s="16">
        <v>5177</v>
      </c>
      <c r="DD108" s="16">
        <v>345840</v>
      </c>
      <c r="DE108" s="16">
        <v>6466147</v>
      </c>
      <c r="DF108" s="16">
        <v>2976489</v>
      </c>
      <c r="DG108" s="16">
        <v>3306</v>
      </c>
      <c r="DH108" s="16">
        <v>236637</v>
      </c>
      <c r="DI108" s="16">
        <v>149453</v>
      </c>
      <c r="DJ108" s="16">
        <v>985767</v>
      </c>
      <c r="DK108" s="16">
        <v>384449</v>
      </c>
      <c r="DL108" s="16">
        <v>0</v>
      </c>
      <c r="DM108" s="16">
        <v>17</v>
      </c>
      <c r="DN108" s="16">
        <v>0</v>
      </c>
      <c r="DO108" s="16">
        <v>55696</v>
      </c>
      <c r="DP108" s="16">
        <v>808672</v>
      </c>
      <c r="DQ108" s="16">
        <v>28517</v>
      </c>
      <c r="DR108" s="16">
        <v>67373</v>
      </c>
      <c r="DS108" s="16">
        <v>5013</v>
      </c>
      <c r="DT108" s="16">
        <v>368769</v>
      </c>
      <c r="DU108" s="16">
        <v>9785</v>
      </c>
      <c r="DV108" s="16">
        <v>488906</v>
      </c>
      <c r="DW108" s="16">
        <v>24721</v>
      </c>
      <c r="DX108" s="16">
        <v>1563</v>
      </c>
      <c r="DY108" s="16">
        <v>2045</v>
      </c>
      <c r="DZ108" s="16">
        <v>27246</v>
      </c>
      <c r="EA108" s="16">
        <v>6646</v>
      </c>
      <c r="EB108" s="16">
        <v>2</v>
      </c>
      <c r="EC108" s="16">
        <v>215606</v>
      </c>
      <c r="ED108" s="16">
        <v>3200</v>
      </c>
      <c r="EE108" s="16">
        <v>0</v>
      </c>
      <c r="EF108" s="16">
        <v>10</v>
      </c>
      <c r="EG108" s="16">
        <v>146</v>
      </c>
      <c r="EH108" s="16">
        <v>0</v>
      </c>
      <c r="EI108" s="16">
        <v>0</v>
      </c>
      <c r="EJ108" s="16">
        <v>0</v>
      </c>
      <c r="EK108" s="16">
        <v>0</v>
      </c>
      <c r="EL108" s="16">
        <v>0</v>
      </c>
      <c r="EM108" s="16">
        <v>0</v>
      </c>
      <c r="EN108" s="16">
        <v>0</v>
      </c>
      <c r="EO108" s="16">
        <v>0</v>
      </c>
      <c r="EP108" s="16">
        <v>0</v>
      </c>
      <c r="EQ108" s="16">
        <v>0</v>
      </c>
      <c r="ER108" s="16">
        <v>0</v>
      </c>
      <c r="ES108" s="16">
        <v>0</v>
      </c>
      <c r="ET108" s="16">
        <v>5301</v>
      </c>
      <c r="EU108" s="16">
        <v>0</v>
      </c>
      <c r="EV108" s="16">
        <v>0</v>
      </c>
      <c r="EW108" s="16">
        <v>11</v>
      </c>
      <c r="EX108" s="16">
        <v>0</v>
      </c>
      <c r="EY108" s="16">
        <v>0</v>
      </c>
      <c r="EZ108" s="16">
        <v>0</v>
      </c>
      <c r="FA108" s="16">
        <v>0</v>
      </c>
      <c r="FB108" s="16">
        <v>0</v>
      </c>
      <c r="FC108" s="16">
        <v>47</v>
      </c>
      <c r="FD108" s="16">
        <v>13473</v>
      </c>
      <c r="FE108" s="16">
        <v>0</v>
      </c>
      <c r="FF108" s="16">
        <v>0</v>
      </c>
      <c r="FG108" s="16">
        <v>0</v>
      </c>
      <c r="FH108" s="16">
        <v>0</v>
      </c>
      <c r="FI108" s="16">
        <v>0</v>
      </c>
      <c r="FJ108" s="16">
        <v>1311</v>
      </c>
      <c r="FK108" s="16">
        <v>0</v>
      </c>
      <c r="FL108" s="16">
        <v>0</v>
      </c>
      <c r="FM108" s="16">
        <v>0</v>
      </c>
      <c r="FN108" s="16">
        <v>0</v>
      </c>
      <c r="FO108" s="16">
        <v>0</v>
      </c>
      <c r="FP108" s="16">
        <v>0</v>
      </c>
      <c r="FQ108" s="16">
        <v>0</v>
      </c>
      <c r="FR108" s="16">
        <v>0</v>
      </c>
      <c r="FS108" s="16">
        <v>0</v>
      </c>
      <c r="FT108" s="16">
        <v>0</v>
      </c>
      <c r="FU108" s="16">
        <v>0</v>
      </c>
      <c r="FV108" s="16">
        <v>0</v>
      </c>
      <c r="FW108" s="16">
        <v>653</v>
      </c>
      <c r="FX108" s="16">
        <v>0</v>
      </c>
      <c r="FY108" s="16">
        <v>0</v>
      </c>
      <c r="FZ108" s="16">
        <v>0</v>
      </c>
      <c r="GA108" s="16">
        <v>0</v>
      </c>
      <c r="GB108" s="16">
        <v>570</v>
      </c>
      <c r="GC108" s="16">
        <v>0</v>
      </c>
      <c r="GD108" s="16">
        <v>0</v>
      </c>
      <c r="GE108" s="16">
        <v>7242</v>
      </c>
      <c r="GF108" s="16">
        <v>18735</v>
      </c>
      <c r="GG108" s="16">
        <v>52</v>
      </c>
      <c r="GH108" s="16">
        <v>0</v>
      </c>
      <c r="GI108" s="16">
        <v>255</v>
      </c>
      <c r="GJ108" s="16">
        <v>869</v>
      </c>
      <c r="GK108" s="16">
        <v>89</v>
      </c>
      <c r="GL108" s="16">
        <v>0</v>
      </c>
      <c r="GM108" s="16">
        <v>16</v>
      </c>
      <c r="GN108" s="16">
        <v>0</v>
      </c>
      <c r="GO108" s="16">
        <v>0</v>
      </c>
      <c r="GP108" s="16">
        <v>9</v>
      </c>
      <c r="GQ108" s="16">
        <v>0</v>
      </c>
      <c r="GR108" s="16">
        <v>0</v>
      </c>
      <c r="GS108" s="16">
        <v>0</v>
      </c>
      <c r="GT108" s="16">
        <v>0</v>
      </c>
      <c r="GU108" s="16">
        <v>3</v>
      </c>
      <c r="GV108" s="16">
        <v>0</v>
      </c>
      <c r="GW108" s="16">
        <v>0</v>
      </c>
      <c r="GX108" s="16">
        <v>4338</v>
      </c>
      <c r="GY108" s="16">
        <v>0</v>
      </c>
      <c r="GZ108" s="16">
        <v>0</v>
      </c>
      <c r="HA108" s="16">
        <v>0</v>
      </c>
      <c r="HB108" s="16">
        <v>0</v>
      </c>
      <c r="HC108" s="16">
        <v>0</v>
      </c>
      <c r="HD108" s="16">
        <v>0</v>
      </c>
      <c r="HE108" s="16">
        <v>97</v>
      </c>
      <c r="HF108" s="16">
        <v>14548</v>
      </c>
      <c r="HG108" s="16">
        <v>0</v>
      </c>
      <c r="HH108" s="16">
        <v>0</v>
      </c>
      <c r="HI108" s="16">
        <v>0</v>
      </c>
      <c r="HJ108" s="16">
        <v>0</v>
      </c>
      <c r="HK108" s="16">
        <v>0</v>
      </c>
      <c r="HL108" s="16">
        <v>151</v>
      </c>
      <c r="HM108" s="16">
        <v>0</v>
      </c>
      <c r="HN108" s="16">
        <v>0</v>
      </c>
      <c r="HO108" s="16">
        <v>0</v>
      </c>
      <c r="HP108" s="16">
        <v>0</v>
      </c>
      <c r="HQ108" s="16">
        <v>0</v>
      </c>
      <c r="HR108" s="16">
        <v>0</v>
      </c>
      <c r="HS108" s="16">
        <v>0</v>
      </c>
      <c r="HT108" s="16">
        <v>0</v>
      </c>
      <c r="HU108" s="16">
        <v>0</v>
      </c>
      <c r="HV108" s="16">
        <v>0</v>
      </c>
      <c r="HW108" s="16">
        <v>0</v>
      </c>
      <c r="HX108" s="16">
        <v>0</v>
      </c>
      <c r="HY108" s="16">
        <v>0</v>
      </c>
      <c r="HZ108" s="16">
        <v>0</v>
      </c>
      <c r="IA108" s="16">
        <v>0</v>
      </c>
      <c r="IB108" s="16">
        <v>0</v>
      </c>
      <c r="IC108" s="16">
        <v>0</v>
      </c>
      <c r="ID108" s="16">
        <v>0</v>
      </c>
      <c r="IE108" s="16">
        <v>0</v>
      </c>
      <c r="IF108" s="16">
        <v>0</v>
      </c>
      <c r="IG108" s="16">
        <v>0</v>
      </c>
      <c r="IH108" s="16">
        <v>0</v>
      </c>
      <c r="II108" s="16">
        <v>0</v>
      </c>
      <c r="IJ108" s="16">
        <v>0</v>
      </c>
      <c r="IK108" s="16">
        <v>0</v>
      </c>
      <c r="IL108" s="16">
        <v>0</v>
      </c>
      <c r="IM108" s="16">
        <v>0</v>
      </c>
      <c r="IN108" s="16">
        <v>0</v>
      </c>
      <c r="IO108" s="16">
        <v>5826</v>
      </c>
      <c r="IP108" s="16">
        <v>0</v>
      </c>
      <c r="IQ108" s="16">
        <v>0</v>
      </c>
      <c r="IR108" s="16">
        <v>0</v>
      </c>
      <c r="IS108" s="16">
        <v>0</v>
      </c>
      <c r="IT108" s="16">
        <v>0</v>
      </c>
      <c r="IU108" s="16">
        <v>0</v>
      </c>
      <c r="IV108" s="16">
        <v>0</v>
      </c>
      <c r="IW108" s="16">
        <v>0</v>
      </c>
      <c r="IX108" s="16">
        <v>0</v>
      </c>
      <c r="IY108" s="16">
        <v>0</v>
      </c>
      <c r="IZ108" s="16">
        <v>0</v>
      </c>
      <c r="JA108" s="16">
        <v>0</v>
      </c>
      <c r="JB108" s="16">
        <v>0</v>
      </c>
      <c r="JC108" s="16">
        <v>0</v>
      </c>
      <c r="JD108" s="16">
        <v>0</v>
      </c>
      <c r="JE108" s="16">
        <v>0</v>
      </c>
      <c r="JF108" s="16">
        <v>292</v>
      </c>
      <c r="JG108" s="16">
        <v>11558</v>
      </c>
      <c r="JH108" s="16">
        <v>0</v>
      </c>
      <c r="JI108" s="16">
        <v>0</v>
      </c>
      <c r="JJ108" s="16">
        <v>0</v>
      </c>
      <c r="JK108" s="16">
        <v>0</v>
      </c>
      <c r="JL108" s="16">
        <v>0</v>
      </c>
      <c r="JM108" s="16">
        <v>0</v>
      </c>
      <c r="JN108" s="16">
        <v>0</v>
      </c>
      <c r="JO108" s="16">
        <v>0</v>
      </c>
      <c r="JP108" s="16">
        <v>0</v>
      </c>
      <c r="JQ108" s="16">
        <v>0</v>
      </c>
      <c r="JR108" s="16">
        <v>0</v>
      </c>
      <c r="JS108" s="16">
        <v>0</v>
      </c>
      <c r="JT108" s="16">
        <v>0</v>
      </c>
      <c r="JU108" s="16">
        <v>0</v>
      </c>
      <c r="JV108" s="16">
        <v>0</v>
      </c>
      <c r="JW108" s="16">
        <v>0</v>
      </c>
      <c r="JX108" s="16">
        <v>0</v>
      </c>
      <c r="JY108" s="16">
        <v>0</v>
      </c>
      <c r="JZ108" s="16">
        <v>0</v>
      </c>
      <c r="KA108" s="16">
        <v>0</v>
      </c>
      <c r="KB108" s="16">
        <v>0</v>
      </c>
      <c r="KC108" s="16">
        <v>0</v>
      </c>
      <c r="KD108" s="16">
        <v>0</v>
      </c>
      <c r="KE108" s="16">
        <v>0</v>
      </c>
      <c r="KF108" s="16">
        <v>0</v>
      </c>
      <c r="KG108" s="16">
        <v>0</v>
      </c>
      <c r="KH108" s="16">
        <v>0</v>
      </c>
      <c r="KI108" s="16">
        <v>0</v>
      </c>
      <c r="KJ108" s="16">
        <v>0</v>
      </c>
      <c r="KK108" s="16">
        <v>0</v>
      </c>
      <c r="KL108" s="16">
        <v>0</v>
      </c>
      <c r="KM108" s="16">
        <v>0</v>
      </c>
      <c r="KN108" s="16">
        <v>0</v>
      </c>
      <c r="KO108" s="16">
        <v>0</v>
      </c>
      <c r="KP108" s="16">
        <v>0</v>
      </c>
      <c r="KQ108" s="16">
        <v>0</v>
      </c>
      <c r="KR108" s="16">
        <v>0</v>
      </c>
      <c r="KS108" s="16">
        <v>0</v>
      </c>
      <c r="KT108" s="16">
        <v>0</v>
      </c>
      <c r="KU108" s="16">
        <v>0</v>
      </c>
      <c r="KV108" s="16">
        <v>0</v>
      </c>
      <c r="KW108" s="16">
        <v>0</v>
      </c>
      <c r="KX108" s="16">
        <v>0</v>
      </c>
      <c r="KY108" s="16">
        <v>0</v>
      </c>
      <c r="KZ108" s="16">
        <v>0</v>
      </c>
      <c r="LA108" s="16">
        <v>0</v>
      </c>
      <c r="LB108" s="16">
        <v>0</v>
      </c>
      <c r="LC108" s="16">
        <v>0</v>
      </c>
      <c r="LD108" s="16">
        <v>0</v>
      </c>
      <c r="LE108" s="16">
        <v>0</v>
      </c>
      <c r="LF108" s="16">
        <v>0</v>
      </c>
      <c r="LG108" s="16">
        <v>0</v>
      </c>
      <c r="LH108" s="16">
        <v>0</v>
      </c>
      <c r="LI108" s="16">
        <v>0</v>
      </c>
      <c r="LJ108" s="16">
        <v>0</v>
      </c>
      <c r="LK108" s="16">
        <v>0</v>
      </c>
      <c r="LL108" s="16">
        <v>0</v>
      </c>
      <c r="LM108" s="16">
        <v>0</v>
      </c>
      <c r="LN108" s="16">
        <v>0</v>
      </c>
      <c r="LO108" s="16">
        <v>0</v>
      </c>
      <c r="LP108" s="16">
        <v>0</v>
      </c>
      <c r="LQ108" s="16">
        <v>0</v>
      </c>
      <c r="LR108" s="16">
        <v>0</v>
      </c>
      <c r="LS108" s="16">
        <v>0</v>
      </c>
      <c r="LT108" s="16">
        <v>0</v>
      </c>
      <c r="LU108" s="16">
        <v>0</v>
      </c>
      <c r="LV108" s="16">
        <v>0</v>
      </c>
      <c r="LW108" s="16">
        <v>0</v>
      </c>
      <c r="LX108" s="16">
        <v>0</v>
      </c>
      <c r="LY108" s="16">
        <v>0</v>
      </c>
      <c r="LZ108" s="16">
        <v>0</v>
      </c>
      <c r="MA108" s="16">
        <v>0</v>
      </c>
      <c r="MB108" s="16">
        <v>0</v>
      </c>
      <c r="MC108" s="16">
        <v>25176</v>
      </c>
      <c r="MD108" s="16">
        <v>5564</v>
      </c>
      <c r="ME108" s="16">
        <v>0</v>
      </c>
      <c r="MF108" s="16">
        <v>15928</v>
      </c>
      <c r="MG108" s="16">
        <v>0</v>
      </c>
      <c r="MH108" s="16">
        <v>0</v>
      </c>
      <c r="MI108" s="16">
        <v>0</v>
      </c>
      <c r="MJ108" s="16">
        <v>0</v>
      </c>
      <c r="MK108" s="16">
        <v>0</v>
      </c>
      <c r="ML108" s="16">
        <v>0</v>
      </c>
      <c r="MM108" s="16">
        <v>0</v>
      </c>
      <c r="MN108" s="16">
        <v>0</v>
      </c>
      <c r="MO108" s="16">
        <v>0</v>
      </c>
      <c r="MP108" s="16">
        <v>0</v>
      </c>
      <c r="MQ108" s="16">
        <v>0</v>
      </c>
      <c r="MR108" s="16">
        <v>13</v>
      </c>
      <c r="MS108" s="16">
        <v>0</v>
      </c>
      <c r="MT108" s="16">
        <v>0</v>
      </c>
      <c r="MU108" s="16">
        <v>0</v>
      </c>
      <c r="MV108" s="16">
        <v>0</v>
      </c>
      <c r="MW108" s="16">
        <v>0</v>
      </c>
      <c r="MX108" s="16">
        <v>0</v>
      </c>
      <c r="MY108" s="16">
        <v>0</v>
      </c>
      <c r="MZ108" s="16">
        <v>0</v>
      </c>
      <c r="NA108" s="16">
        <v>0</v>
      </c>
      <c r="NB108" s="16">
        <v>0</v>
      </c>
      <c r="NC108" s="16">
        <v>0</v>
      </c>
      <c r="ND108" s="16">
        <v>0</v>
      </c>
      <c r="NE108" s="16">
        <v>0</v>
      </c>
      <c r="NF108" s="16">
        <v>0</v>
      </c>
      <c r="NG108" s="16">
        <v>0</v>
      </c>
      <c r="NH108" s="16">
        <v>0</v>
      </c>
      <c r="NI108" s="16">
        <v>0</v>
      </c>
      <c r="NJ108" s="16">
        <v>0</v>
      </c>
      <c r="NK108" s="16">
        <v>0</v>
      </c>
      <c r="NL108" s="16">
        <v>0</v>
      </c>
      <c r="NM108" s="16">
        <v>0</v>
      </c>
      <c r="NN108" s="16">
        <v>0</v>
      </c>
      <c r="NO108" s="16">
        <v>0</v>
      </c>
      <c r="NP108" s="16">
        <v>0</v>
      </c>
      <c r="NQ108" s="16">
        <v>0</v>
      </c>
      <c r="NR108" s="17">
        <v>14267615</v>
      </c>
    </row>
    <row r="109" spans="1:382" ht="13.5" customHeight="1" x14ac:dyDescent="0.2">
      <c r="A109" s="2" t="s">
        <v>225</v>
      </c>
      <c r="B109" s="16">
        <v>0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4</v>
      </c>
      <c r="P109" s="16">
        <v>1542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24</v>
      </c>
      <c r="AM109" s="16">
        <v>363</v>
      </c>
      <c r="AN109" s="16">
        <v>427</v>
      </c>
      <c r="AO109" s="16">
        <v>6919</v>
      </c>
      <c r="AP109" s="16">
        <v>0</v>
      </c>
      <c r="AQ109" s="16">
        <v>0</v>
      </c>
      <c r="AR109" s="16">
        <v>0</v>
      </c>
      <c r="AS109" s="16">
        <v>0</v>
      </c>
      <c r="AT109" s="16">
        <v>2</v>
      </c>
      <c r="AU109" s="16">
        <v>8612</v>
      </c>
      <c r="AV109" s="16">
        <v>62</v>
      </c>
      <c r="AW109" s="16">
        <v>5443</v>
      </c>
      <c r="AX109" s="16">
        <v>422</v>
      </c>
      <c r="AY109" s="16">
        <v>214</v>
      </c>
      <c r="AZ109" s="16">
        <v>0</v>
      </c>
      <c r="BA109" s="16">
        <v>370</v>
      </c>
      <c r="BB109" s="16">
        <v>874</v>
      </c>
      <c r="BC109" s="16">
        <v>3884</v>
      </c>
      <c r="BD109" s="16">
        <v>280</v>
      </c>
      <c r="BE109" s="16">
        <v>0</v>
      </c>
      <c r="BF109" s="16">
        <v>0</v>
      </c>
      <c r="BG109" s="16">
        <v>0</v>
      </c>
      <c r="BH109" s="16">
        <v>178</v>
      </c>
      <c r="BI109" s="16">
        <v>3242</v>
      </c>
      <c r="BJ109" s="16">
        <v>446</v>
      </c>
      <c r="BK109" s="16">
        <v>315</v>
      </c>
      <c r="BL109" s="16">
        <v>14332</v>
      </c>
      <c r="BM109" s="16">
        <v>2119</v>
      </c>
      <c r="BN109" s="16">
        <v>3606</v>
      </c>
      <c r="BO109" s="16">
        <v>12649</v>
      </c>
      <c r="BP109" s="16">
        <v>2183</v>
      </c>
      <c r="BQ109" s="16">
        <v>5362</v>
      </c>
      <c r="BR109" s="16">
        <v>4839</v>
      </c>
      <c r="BS109" s="16">
        <v>230</v>
      </c>
      <c r="BT109" s="16">
        <v>110</v>
      </c>
      <c r="BU109" s="16">
        <v>0</v>
      </c>
      <c r="BV109" s="16">
        <v>0</v>
      </c>
      <c r="BW109" s="16">
        <v>50</v>
      </c>
      <c r="BX109" s="16">
        <v>332</v>
      </c>
      <c r="BY109" s="16">
        <v>24</v>
      </c>
      <c r="BZ109" s="16">
        <v>578</v>
      </c>
      <c r="CA109" s="16">
        <v>957</v>
      </c>
      <c r="CB109" s="16">
        <v>0</v>
      </c>
      <c r="CC109" s="16">
        <v>1090</v>
      </c>
      <c r="CD109" s="16">
        <v>9065</v>
      </c>
      <c r="CE109" s="16">
        <v>6649</v>
      </c>
      <c r="CF109" s="16">
        <v>468</v>
      </c>
      <c r="CG109" s="16">
        <v>69</v>
      </c>
      <c r="CH109" s="16">
        <v>0</v>
      </c>
      <c r="CI109" s="16">
        <v>699</v>
      </c>
      <c r="CJ109" s="16">
        <v>1579</v>
      </c>
      <c r="CK109" s="16">
        <v>8665</v>
      </c>
      <c r="CL109" s="16">
        <v>212</v>
      </c>
      <c r="CM109" s="16">
        <v>1055</v>
      </c>
      <c r="CN109" s="16">
        <v>593</v>
      </c>
      <c r="CO109" s="16">
        <v>3290</v>
      </c>
      <c r="CP109" s="16">
        <v>3711</v>
      </c>
      <c r="CQ109" s="16">
        <v>5002</v>
      </c>
      <c r="CR109" s="16">
        <v>40</v>
      </c>
      <c r="CS109" s="16">
        <v>5717</v>
      </c>
      <c r="CT109" s="16">
        <v>38456</v>
      </c>
      <c r="CU109" s="16">
        <v>13721</v>
      </c>
      <c r="CV109" s="16">
        <v>6421</v>
      </c>
      <c r="CW109" s="16">
        <v>55739</v>
      </c>
      <c r="CX109" s="16">
        <v>20937</v>
      </c>
      <c r="CY109" s="16">
        <v>6136</v>
      </c>
      <c r="CZ109" s="16">
        <v>40120</v>
      </c>
      <c r="DA109" s="16">
        <v>63260</v>
      </c>
      <c r="DB109" s="16">
        <v>46817</v>
      </c>
      <c r="DC109" s="16">
        <v>5064</v>
      </c>
      <c r="DD109" s="16">
        <v>32425</v>
      </c>
      <c r="DE109" s="16">
        <v>266838</v>
      </c>
      <c r="DF109" s="16">
        <v>1322928</v>
      </c>
      <c r="DG109" s="16">
        <v>164695</v>
      </c>
      <c r="DH109" s="16">
        <v>102088</v>
      </c>
      <c r="DI109" s="16">
        <v>236012</v>
      </c>
      <c r="DJ109" s="16">
        <v>4355811</v>
      </c>
      <c r="DK109" s="16">
        <v>289229</v>
      </c>
      <c r="DL109" s="16">
        <v>1232052</v>
      </c>
      <c r="DM109" s="16">
        <v>719739</v>
      </c>
      <c r="DN109" s="16">
        <v>527</v>
      </c>
      <c r="DO109" s="16">
        <v>175105</v>
      </c>
      <c r="DP109" s="16">
        <v>88131</v>
      </c>
      <c r="DQ109" s="16">
        <v>18264</v>
      </c>
      <c r="DR109" s="16">
        <v>155352</v>
      </c>
      <c r="DS109" s="16">
        <v>122492</v>
      </c>
      <c r="DT109" s="16">
        <v>177266</v>
      </c>
      <c r="DU109" s="16">
        <v>18956</v>
      </c>
      <c r="DV109" s="16">
        <v>1767648</v>
      </c>
      <c r="DW109" s="16">
        <v>452798</v>
      </c>
      <c r="DX109" s="16">
        <v>50308</v>
      </c>
      <c r="DY109" s="16">
        <v>53619</v>
      </c>
      <c r="DZ109" s="16">
        <v>317834</v>
      </c>
      <c r="EA109" s="16">
        <v>92445</v>
      </c>
      <c r="EB109" s="16">
        <v>15347</v>
      </c>
      <c r="EC109" s="16">
        <v>58338</v>
      </c>
      <c r="ED109" s="16">
        <v>3459</v>
      </c>
      <c r="EE109" s="16">
        <v>0</v>
      </c>
      <c r="EF109" s="16">
        <v>628</v>
      </c>
      <c r="EG109" s="16">
        <v>5256</v>
      </c>
      <c r="EH109" s="16">
        <v>395</v>
      </c>
      <c r="EI109" s="16">
        <v>118</v>
      </c>
      <c r="EJ109" s="16">
        <v>421</v>
      </c>
      <c r="EK109" s="16">
        <v>3323</v>
      </c>
      <c r="EL109" s="16">
        <v>21</v>
      </c>
      <c r="EM109" s="16">
        <v>12892</v>
      </c>
      <c r="EN109" s="16">
        <v>0</v>
      </c>
      <c r="EO109" s="16">
        <v>356</v>
      </c>
      <c r="EP109" s="16">
        <v>0</v>
      </c>
      <c r="EQ109" s="16">
        <v>742</v>
      </c>
      <c r="ER109" s="16">
        <v>1425</v>
      </c>
      <c r="ES109" s="16">
        <v>74</v>
      </c>
      <c r="ET109" s="16">
        <v>3596</v>
      </c>
      <c r="EU109" s="16">
        <v>5</v>
      </c>
      <c r="EV109" s="16">
        <v>0</v>
      </c>
      <c r="EW109" s="16">
        <v>27</v>
      </c>
      <c r="EX109" s="16">
        <v>460</v>
      </c>
      <c r="EY109" s="16">
        <v>0</v>
      </c>
      <c r="EZ109" s="16">
        <v>0</v>
      </c>
      <c r="FA109" s="16">
        <v>4</v>
      </c>
      <c r="FB109" s="16">
        <v>0</v>
      </c>
      <c r="FC109" s="16">
        <v>175</v>
      </c>
      <c r="FD109" s="16">
        <v>1057</v>
      </c>
      <c r="FE109" s="16">
        <v>65</v>
      </c>
      <c r="FF109" s="16">
        <v>76</v>
      </c>
      <c r="FG109" s="16">
        <v>2</v>
      </c>
      <c r="FH109" s="16">
        <v>0</v>
      </c>
      <c r="FI109" s="16">
        <v>9180</v>
      </c>
      <c r="FJ109" s="16">
        <v>111</v>
      </c>
      <c r="FK109" s="16">
        <v>117</v>
      </c>
      <c r="FL109" s="16">
        <v>0</v>
      </c>
      <c r="FM109" s="16">
        <v>1554</v>
      </c>
      <c r="FN109" s="16">
        <v>50390</v>
      </c>
      <c r="FO109" s="16">
        <v>3689</v>
      </c>
      <c r="FP109" s="16">
        <v>869</v>
      </c>
      <c r="FQ109" s="16">
        <v>2573</v>
      </c>
      <c r="FR109" s="16">
        <v>278</v>
      </c>
      <c r="FS109" s="16">
        <v>0</v>
      </c>
      <c r="FT109" s="16">
        <v>0</v>
      </c>
      <c r="FU109" s="16">
        <v>1739</v>
      </c>
      <c r="FV109" s="16">
        <v>4842</v>
      </c>
      <c r="FW109" s="16">
        <v>2233</v>
      </c>
      <c r="FX109" s="16">
        <v>1899</v>
      </c>
      <c r="FY109" s="16">
        <v>395</v>
      </c>
      <c r="FZ109" s="16">
        <v>212</v>
      </c>
      <c r="GA109" s="16">
        <v>86</v>
      </c>
      <c r="GB109" s="16">
        <v>403</v>
      </c>
      <c r="GC109" s="16">
        <v>-3076</v>
      </c>
      <c r="GD109" s="16">
        <v>77</v>
      </c>
      <c r="GE109" s="16">
        <v>6426</v>
      </c>
      <c r="GF109" s="16">
        <v>51713</v>
      </c>
      <c r="GG109" s="16">
        <v>-104562</v>
      </c>
      <c r="GH109" s="16">
        <v>23119</v>
      </c>
      <c r="GI109" s="16">
        <v>14561</v>
      </c>
      <c r="GJ109" s="16">
        <v>5894</v>
      </c>
      <c r="GK109" s="16">
        <v>1780</v>
      </c>
      <c r="GL109" s="16">
        <v>299</v>
      </c>
      <c r="GM109" s="16">
        <v>39</v>
      </c>
      <c r="GN109" s="16">
        <v>122</v>
      </c>
      <c r="GO109" s="16">
        <v>910</v>
      </c>
      <c r="GP109" s="16">
        <v>192</v>
      </c>
      <c r="GQ109" s="16">
        <v>1724</v>
      </c>
      <c r="GR109" s="16">
        <v>59</v>
      </c>
      <c r="GS109" s="16">
        <v>122</v>
      </c>
      <c r="GT109" s="16">
        <v>105</v>
      </c>
      <c r="GU109" s="16">
        <v>424</v>
      </c>
      <c r="GV109" s="16">
        <v>13</v>
      </c>
      <c r="GW109" s="16">
        <v>133</v>
      </c>
      <c r="GX109" s="16">
        <v>939</v>
      </c>
      <c r="GY109" s="16">
        <v>0</v>
      </c>
      <c r="GZ109" s="16">
        <v>1058</v>
      </c>
      <c r="HA109" s="16">
        <v>474</v>
      </c>
      <c r="HB109" s="16">
        <v>723</v>
      </c>
      <c r="HC109" s="16">
        <v>605</v>
      </c>
      <c r="HD109" s="16">
        <v>1788</v>
      </c>
      <c r="HE109" s="16">
        <v>10162</v>
      </c>
      <c r="HF109" s="16">
        <v>8825</v>
      </c>
      <c r="HG109" s="16">
        <v>2597</v>
      </c>
      <c r="HH109" s="16">
        <v>228</v>
      </c>
      <c r="HI109" s="16">
        <v>730</v>
      </c>
      <c r="HJ109" s="16">
        <v>1447</v>
      </c>
      <c r="HK109" s="16">
        <v>3270</v>
      </c>
      <c r="HL109" s="16">
        <v>18404</v>
      </c>
      <c r="HM109" s="16">
        <v>99</v>
      </c>
      <c r="HN109" s="16">
        <v>887</v>
      </c>
      <c r="HO109" s="16">
        <v>0</v>
      </c>
      <c r="HP109" s="16">
        <v>2</v>
      </c>
      <c r="HQ109" s="16">
        <v>11</v>
      </c>
      <c r="HR109" s="16">
        <v>1130</v>
      </c>
      <c r="HS109" s="16">
        <v>1109</v>
      </c>
      <c r="HT109" s="16">
        <v>81</v>
      </c>
      <c r="HU109" s="16">
        <v>373</v>
      </c>
      <c r="HV109" s="16">
        <v>0</v>
      </c>
      <c r="HW109" s="16">
        <v>0</v>
      </c>
      <c r="HX109" s="16">
        <v>33</v>
      </c>
      <c r="HY109" s="16">
        <v>216</v>
      </c>
      <c r="HZ109" s="16">
        <v>62</v>
      </c>
      <c r="IA109" s="16">
        <v>55</v>
      </c>
      <c r="IB109" s="16">
        <v>0</v>
      </c>
      <c r="IC109" s="16">
        <v>0</v>
      </c>
      <c r="ID109" s="16">
        <v>23</v>
      </c>
      <c r="IE109" s="16">
        <v>0</v>
      </c>
      <c r="IF109" s="16">
        <v>48</v>
      </c>
      <c r="IG109" s="16">
        <v>8698</v>
      </c>
      <c r="IH109" s="16">
        <v>-32467</v>
      </c>
      <c r="II109" s="16">
        <v>-167</v>
      </c>
      <c r="IJ109" s="16">
        <v>40</v>
      </c>
      <c r="IK109" s="16">
        <v>446</v>
      </c>
      <c r="IL109" s="16">
        <v>169</v>
      </c>
      <c r="IM109" s="16">
        <v>0</v>
      </c>
      <c r="IN109" s="16">
        <v>228</v>
      </c>
      <c r="IO109" s="16">
        <v>19198</v>
      </c>
      <c r="IP109" s="16">
        <v>47</v>
      </c>
      <c r="IQ109" s="16">
        <v>23</v>
      </c>
      <c r="IR109" s="16">
        <v>248</v>
      </c>
      <c r="IS109" s="16">
        <v>491</v>
      </c>
      <c r="IT109" s="16">
        <v>13</v>
      </c>
      <c r="IU109" s="16">
        <v>0</v>
      </c>
      <c r="IV109" s="16">
        <v>486</v>
      </c>
      <c r="IW109" s="16">
        <v>223</v>
      </c>
      <c r="IX109" s="16">
        <v>230</v>
      </c>
      <c r="IY109" s="16">
        <v>43</v>
      </c>
      <c r="IZ109" s="16">
        <v>72</v>
      </c>
      <c r="JA109" s="16">
        <v>2732</v>
      </c>
      <c r="JB109" s="16">
        <v>35</v>
      </c>
      <c r="JC109" s="16">
        <v>485</v>
      </c>
      <c r="JD109" s="16">
        <v>0</v>
      </c>
      <c r="JE109" s="16">
        <v>323</v>
      </c>
      <c r="JF109" s="16">
        <v>2615</v>
      </c>
      <c r="JG109" s="16">
        <v>16858</v>
      </c>
      <c r="JH109" s="16">
        <v>0</v>
      </c>
      <c r="JI109" s="16">
        <v>0</v>
      </c>
      <c r="JJ109" s="16">
        <v>0</v>
      </c>
      <c r="JK109" s="16">
        <v>0</v>
      </c>
      <c r="JL109" s="16">
        <v>0</v>
      </c>
      <c r="JM109" s="16">
        <v>0</v>
      </c>
      <c r="JN109" s="16">
        <v>0</v>
      </c>
      <c r="JO109" s="16">
        <v>0</v>
      </c>
      <c r="JP109" s="16">
        <v>0</v>
      </c>
      <c r="JQ109" s="16">
        <v>0</v>
      </c>
      <c r="JR109" s="16">
        <v>9459</v>
      </c>
      <c r="JS109" s="16">
        <v>4962</v>
      </c>
      <c r="JT109" s="16">
        <v>1</v>
      </c>
      <c r="JU109" s="16">
        <v>9632</v>
      </c>
      <c r="JV109" s="16">
        <v>0</v>
      </c>
      <c r="JW109" s="16">
        <v>0</v>
      </c>
      <c r="JX109" s="16">
        <v>21</v>
      </c>
      <c r="JY109" s="16">
        <v>0</v>
      </c>
      <c r="JZ109" s="16">
        <v>0</v>
      </c>
      <c r="KA109" s="16">
        <v>0</v>
      </c>
      <c r="KB109" s="16">
        <v>0</v>
      </c>
      <c r="KC109" s="16">
        <v>0</v>
      </c>
      <c r="KD109" s="16">
        <v>0</v>
      </c>
      <c r="KE109" s="16">
        <v>0</v>
      </c>
      <c r="KF109" s="16">
        <v>0</v>
      </c>
      <c r="KG109" s="16">
        <v>0</v>
      </c>
      <c r="KH109" s="16">
        <v>0</v>
      </c>
      <c r="KI109" s="16">
        <v>0</v>
      </c>
      <c r="KJ109" s="16">
        <v>0</v>
      </c>
      <c r="KK109" s="16">
        <v>593</v>
      </c>
      <c r="KL109" s="16">
        <v>0</v>
      </c>
      <c r="KM109" s="16">
        <v>0</v>
      </c>
      <c r="KN109" s="16">
        <v>0</v>
      </c>
      <c r="KO109" s="16">
        <v>0</v>
      </c>
      <c r="KP109" s="16">
        <v>0</v>
      </c>
      <c r="KQ109" s="16">
        <v>0</v>
      </c>
      <c r="KR109" s="16">
        <v>0</v>
      </c>
      <c r="KS109" s="16">
        <v>0</v>
      </c>
      <c r="KT109" s="16">
        <v>0</v>
      </c>
      <c r="KU109" s="16">
        <v>0</v>
      </c>
      <c r="KV109" s="16">
        <v>0</v>
      </c>
      <c r="KW109" s="16">
        <v>0</v>
      </c>
      <c r="KX109" s="16">
        <v>0</v>
      </c>
      <c r="KY109" s="16">
        <v>0</v>
      </c>
      <c r="KZ109" s="16">
        <v>0</v>
      </c>
      <c r="LA109" s="16">
        <v>0</v>
      </c>
      <c r="LB109" s="16">
        <v>0</v>
      </c>
      <c r="LC109" s="16">
        <v>0</v>
      </c>
      <c r="LD109" s="16">
        <v>0</v>
      </c>
      <c r="LE109" s="16">
        <v>0</v>
      </c>
      <c r="LF109" s="16">
        <v>0</v>
      </c>
      <c r="LG109" s="16">
        <v>0</v>
      </c>
      <c r="LH109" s="16">
        <v>0</v>
      </c>
      <c r="LI109" s="16">
        <v>0</v>
      </c>
      <c r="LJ109" s="16">
        <v>0</v>
      </c>
      <c r="LK109" s="16">
        <v>0</v>
      </c>
      <c r="LL109" s="16">
        <v>0</v>
      </c>
      <c r="LM109" s="16">
        <v>0</v>
      </c>
      <c r="LN109" s="16">
        <v>0</v>
      </c>
      <c r="LO109" s="16">
        <v>278</v>
      </c>
      <c r="LP109" s="16">
        <v>473</v>
      </c>
      <c r="LQ109" s="16">
        <v>0</v>
      </c>
      <c r="LR109" s="16">
        <v>0</v>
      </c>
      <c r="LS109" s="16">
        <v>0</v>
      </c>
      <c r="LT109" s="16">
        <v>0</v>
      </c>
      <c r="LU109" s="16">
        <v>0</v>
      </c>
      <c r="LV109" s="16">
        <v>0</v>
      </c>
      <c r="LW109" s="16">
        <v>0</v>
      </c>
      <c r="LX109" s="16">
        <v>0</v>
      </c>
      <c r="LY109" s="16">
        <v>0</v>
      </c>
      <c r="LZ109" s="16">
        <v>0</v>
      </c>
      <c r="MA109" s="16">
        <v>0</v>
      </c>
      <c r="MB109" s="16">
        <v>0</v>
      </c>
      <c r="MC109" s="16">
        <v>52410</v>
      </c>
      <c r="MD109" s="16">
        <v>12973</v>
      </c>
      <c r="ME109" s="16">
        <v>3111</v>
      </c>
      <c r="MF109" s="16">
        <v>74340</v>
      </c>
      <c r="MG109" s="16">
        <v>0</v>
      </c>
      <c r="MH109" s="16">
        <v>0</v>
      </c>
      <c r="MI109" s="16">
        <v>0</v>
      </c>
      <c r="MJ109" s="16">
        <v>0</v>
      </c>
      <c r="MK109" s="16">
        <v>6472</v>
      </c>
      <c r="ML109" s="16">
        <v>908</v>
      </c>
      <c r="MM109" s="16">
        <v>399</v>
      </c>
      <c r="MN109" s="16">
        <v>0</v>
      </c>
      <c r="MO109" s="16">
        <v>287</v>
      </c>
      <c r="MP109" s="16">
        <v>0</v>
      </c>
      <c r="MQ109" s="16">
        <v>296</v>
      </c>
      <c r="MR109" s="16">
        <v>258</v>
      </c>
      <c r="MS109" s="16">
        <v>41</v>
      </c>
      <c r="MT109" s="16">
        <v>0</v>
      </c>
      <c r="MU109" s="16">
        <v>120</v>
      </c>
      <c r="MV109" s="16">
        <v>2574</v>
      </c>
      <c r="MW109" s="16">
        <v>0</v>
      </c>
      <c r="MX109" s="16">
        <v>0</v>
      </c>
      <c r="MY109" s="16">
        <v>364161</v>
      </c>
      <c r="MZ109" s="16">
        <v>286890</v>
      </c>
      <c r="NA109" s="16">
        <v>0</v>
      </c>
      <c r="NB109" s="16">
        <v>0</v>
      </c>
      <c r="NC109" s="16">
        <v>61</v>
      </c>
      <c r="ND109" s="16">
        <v>0</v>
      </c>
      <c r="NE109" s="16">
        <v>0</v>
      </c>
      <c r="NF109" s="16">
        <v>0</v>
      </c>
      <c r="NG109" s="16">
        <v>0</v>
      </c>
      <c r="NH109" s="16">
        <v>0</v>
      </c>
      <c r="NI109" s="16">
        <v>0</v>
      </c>
      <c r="NJ109" s="16">
        <v>0</v>
      </c>
      <c r="NK109" s="16">
        <v>91</v>
      </c>
      <c r="NL109" s="16">
        <v>0</v>
      </c>
      <c r="NM109" s="16">
        <v>0</v>
      </c>
      <c r="NN109" s="16">
        <v>4301</v>
      </c>
      <c r="NO109" s="16">
        <v>0</v>
      </c>
      <c r="NP109" s="16">
        <v>0</v>
      </c>
      <c r="NQ109" s="16">
        <v>604</v>
      </c>
      <c r="NR109" s="17">
        <v>13739201</v>
      </c>
    </row>
    <row r="110" spans="1:382" ht="13.5" customHeight="1" x14ac:dyDescent="0.2">
      <c r="A110" s="2" t="s">
        <v>227</v>
      </c>
      <c r="B110" s="16">
        <v>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866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1692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69</v>
      </c>
      <c r="AF110" s="16">
        <v>0</v>
      </c>
      <c r="AG110" s="16">
        <v>878</v>
      </c>
      <c r="AH110" s="16">
        <v>18</v>
      </c>
      <c r="AI110" s="16">
        <v>2</v>
      </c>
      <c r="AJ110" s="16">
        <v>0</v>
      </c>
      <c r="AK110" s="16">
        <v>0</v>
      </c>
      <c r="AL110" s="16">
        <v>162</v>
      </c>
      <c r="AM110" s="16">
        <v>14301</v>
      </c>
      <c r="AN110" s="16">
        <v>5568</v>
      </c>
      <c r="AO110" s="16">
        <v>35668</v>
      </c>
      <c r="AP110" s="16">
        <v>0</v>
      </c>
      <c r="AQ110" s="16">
        <v>4730</v>
      </c>
      <c r="AR110" s="16">
        <v>0</v>
      </c>
      <c r="AS110" s="16">
        <v>3552</v>
      </c>
      <c r="AT110" s="16">
        <v>1960</v>
      </c>
      <c r="AU110" s="16">
        <v>12281</v>
      </c>
      <c r="AV110" s="16">
        <v>619</v>
      </c>
      <c r="AW110" s="16">
        <v>97069</v>
      </c>
      <c r="AX110" s="16">
        <v>6806</v>
      </c>
      <c r="AY110" s="16">
        <v>400</v>
      </c>
      <c r="AZ110" s="16">
        <v>0</v>
      </c>
      <c r="BA110" s="16">
        <v>376</v>
      </c>
      <c r="BB110" s="16">
        <v>17778</v>
      </c>
      <c r="BC110" s="16">
        <v>57894</v>
      </c>
      <c r="BD110" s="16">
        <v>578</v>
      </c>
      <c r="BE110" s="16">
        <v>1495</v>
      </c>
      <c r="BF110" s="16">
        <v>1210</v>
      </c>
      <c r="BG110" s="16">
        <v>61</v>
      </c>
      <c r="BH110" s="16">
        <v>17747</v>
      </c>
      <c r="BI110" s="16">
        <v>8525</v>
      </c>
      <c r="BJ110" s="16">
        <v>30267</v>
      </c>
      <c r="BK110" s="16">
        <v>185</v>
      </c>
      <c r="BL110" s="16">
        <v>17270</v>
      </c>
      <c r="BM110" s="16">
        <v>400</v>
      </c>
      <c r="BN110" s="16">
        <v>2947</v>
      </c>
      <c r="BO110" s="16">
        <v>24807</v>
      </c>
      <c r="BP110" s="16">
        <v>2014</v>
      </c>
      <c r="BQ110" s="16">
        <v>29066</v>
      </c>
      <c r="BR110" s="16">
        <v>20303</v>
      </c>
      <c r="BS110" s="16">
        <v>606</v>
      </c>
      <c r="BT110" s="16">
        <v>179</v>
      </c>
      <c r="BU110" s="16">
        <v>0</v>
      </c>
      <c r="BV110" s="16">
        <v>0</v>
      </c>
      <c r="BW110" s="16">
        <v>94</v>
      </c>
      <c r="BX110" s="16">
        <v>1477</v>
      </c>
      <c r="BY110" s="16">
        <v>2</v>
      </c>
      <c r="BZ110" s="16">
        <v>2</v>
      </c>
      <c r="CA110" s="16">
        <v>2480</v>
      </c>
      <c r="CB110" s="16">
        <v>121</v>
      </c>
      <c r="CC110" s="16">
        <v>1710</v>
      </c>
      <c r="CD110" s="16">
        <v>76304</v>
      </c>
      <c r="CE110" s="16">
        <v>110473</v>
      </c>
      <c r="CF110" s="16">
        <v>1335</v>
      </c>
      <c r="CG110" s="16">
        <v>0</v>
      </c>
      <c r="CH110" s="16">
        <v>0</v>
      </c>
      <c r="CI110" s="16">
        <v>5436</v>
      </c>
      <c r="CJ110" s="16">
        <v>18288</v>
      </c>
      <c r="CK110" s="16">
        <v>118274</v>
      </c>
      <c r="CL110" s="16">
        <v>644</v>
      </c>
      <c r="CM110" s="16">
        <v>2436</v>
      </c>
      <c r="CN110" s="16">
        <v>3178</v>
      </c>
      <c r="CO110" s="16">
        <v>30687</v>
      </c>
      <c r="CP110" s="16">
        <v>4621</v>
      </c>
      <c r="CQ110" s="16">
        <v>12421</v>
      </c>
      <c r="CR110" s="16">
        <v>79</v>
      </c>
      <c r="CS110" s="16">
        <v>946</v>
      </c>
      <c r="CT110" s="16">
        <v>138499</v>
      </c>
      <c r="CU110" s="16">
        <v>18844</v>
      </c>
      <c r="CV110" s="16">
        <v>7477</v>
      </c>
      <c r="CW110" s="16">
        <v>82682</v>
      </c>
      <c r="CX110" s="16">
        <v>8748</v>
      </c>
      <c r="CY110" s="16">
        <v>7218</v>
      </c>
      <c r="CZ110" s="16">
        <v>200646</v>
      </c>
      <c r="DA110" s="16">
        <v>82090</v>
      </c>
      <c r="DB110" s="16">
        <v>344719</v>
      </c>
      <c r="DC110" s="16">
        <v>40050</v>
      </c>
      <c r="DD110" s="16">
        <v>27394</v>
      </c>
      <c r="DE110" s="16">
        <v>106186</v>
      </c>
      <c r="DF110" s="16">
        <v>973379</v>
      </c>
      <c r="DG110" s="16">
        <v>81086</v>
      </c>
      <c r="DH110" s="16">
        <v>179267</v>
      </c>
      <c r="DI110" s="16">
        <v>271048</v>
      </c>
      <c r="DJ110" s="16">
        <v>2075318</v>
      </c>
      <c r="DK110" s="16">
        <v>197451</v>
      </c>
      <c r="DL110" s="16">
        <v>301987</v>
      </c>
      <c r="DM110" s="16">
        <v>2889142</v>
      </c>
      <c r="DN110" s="16">
        <v>2432</v>
      </c>
      <c r="DO110" s="16">
        <v>716271</v>
      </c>
      <c r="DP110" s="16">
        <v>329464</v>
      </c>
      <c r="DQ110" s="16">
        <v>27276</v>
      </c>
      <c r="DR110" s="16">
        <v>401348</v>
      </c>
      <c r="DS110" s="16">
        <v>1201364</v>
      </c>
      <c r="DT110" s="16">
        <v>165975</v>
      </c>
      <c r="DU110" s="16">
        <v>60309</v>
      </c>
      <c r="DV110" s="16">
        <v>1626155</v>
      </c>
      <c r="DW110" s="16">
        <v>805986</v>
      </c>
      <c r="DX110" s="16">
        <v>188960</v>
      </c>
      <c r="DY110" s="16">
        <v>296263</v>
      </c>
      <c r="DZ110" s="16">
        <v>469544</v>
      </c>
      <c r="EA110" s="16">
        <v>188696</v>
      </c>
      <c r="EB110" s="16">
        <v>108657</v>
      </c>
      <c r="EC110" s="16">
        <v>528482</v>
      </c>
      <c r="ED110" s="16">
        <v>8571</v>
      </c>
      <c r="EE110" s="16">
        <v>7</v>
      </c>
      <c r="EF110" s="16">
        <v>1611</v>
      </c>
      <c r="EG110" s="16">
        <v>20129</v>
      </c>
      <c r="EH110" s="16">
        <v>422</v>
      </c>
      <c r="EI110" s="16">
        <v>157</v>
      </c>
      <c r="EJ110" s="16">
        <v>523</v>
      </c>
      <c r="EK110" s="16">
        <v>1691</v>
      </c>
      <c r="EL110" s="16">
        <v>158</v>
      </c>
      <c r="EM110" s="16">
        <v>510</v>
      </c>
      <c r="EN110" s="16">
        <v>13055</v>
      </c>
      <c r="EO110" s="16">
        <v>15893</v>
      </c>
      <c r="EP110" s="16">
        <v>511</v>
      </c>
      <c r="EQ110" s="16">
        <v>0</v>
      </c>
      <c r="ER110" s="16">
        <v>760</v>
      </c>
      <c r="ES110" s="16">
        <v>157</v>
      </c>
      <c r="ET110" s="16">
        <v>23229</v>
      </c>
      <c r="EU110" s="16">
        <v>37</v>
      </c>
      <c r="EV110" s="16">
        <v>301</v>
      </c>
      <c r="EW110" s="16">
        <v>315</v>
      </c>
      <c r="EX110" s="16">
        <v>1762</v>
      </c>
      <c r="EY110" s="16">
        <v>93</v>
      </c>
      <c r="EZ110" s="16">
        <v>31</v>
      </c>
      <c r="FA110" s="16">
        <v>32</v>
      </c>
      <c r="FB110" s="16">
        <v>0</v>
      </c>
      <c r="FC110" s="16">
        <v>168</v>
      </c>
      <c r="FD110" s="16">
        <v>8158</v>
      </c>
      <c r="FE110" s="16">
        <v>221</v>
      </c>
      <c r="FF110" s="16">
        <v>726</v>
      </c>
      <c r="FG110" s="16">
        <v>3353</v>
      </c>
      <c r="FH110" s="16">
        <v>43</v>
      </c>
      <c r="FI110" s="16">
        <v>439</v>
      </c>
      <c r="FJ110" s="16">
        <v>477</v>
      </c>
      <c r="FK110" s="16">
        <v>44</v>
      </c>
      <c r="FL110" s="16">
        <v>120</v>
      </c>
      <c r="FM110" s="16">
        <v>1305</v>
      </c>
      <c r="FN110" s="16">
        <v>2761</v>
      </c>
      <c r="FO110" s="16">
        <v>1639</v>
      </c>
      <c r="FP110" s="16">
        <v>1397</v>
      </c>
      <c r="FQ110" s="16">
        <v>16111</v>
      </c>
      <c r="FR110" s="16">
        <v>36529</v>
      </c>
      <c r="FS110" s="16">
        <v>306</v>
      </c>
      <c r="FT110" s="16">
        <v>227</v>
      </c>
      <c r="FU110" s="16">
        <v>3260</v>
      </c>
      <c r="FV110" s="16">
        <v>6694</v>
      </c>
      <c r="FW110" s="16">
        <v>122264</v>
      </c>
      <c r="FX110" s="16">
        <v>2559</v>
      </c>
      <c r="FY110" s="16">
        <v>250</v>
      </c>
      <c r="FZ110" s="16">
        <v>1230</v>
      </c>
      <c r="GA110" s="16">
        <v>186</v>
      </c>
      <c r="GB110" s="16">
        <v>1469</v>
      </c>
      <c r="GC110" s="16">
        <v>1484</v>
      </c>
      <c r="GD110" s="16">
        <v>234</v>
      </c>
      <c r="GE110" s="16">
        <v>16615</v>
      </c>
      <c r="GF110" s="16">
        <v>203525</v>
      </c>
      <c r="GG110" s="16">
        <v>18329</v>
      </c>
      <c r="GH110" s="16">
        <v>25682</v>
      </c>
      <c r="GI110" s="16">
        <v>11416</v>
      </c>
      <c r="GJ110" s="16">
        <v>20230</v>
      </c>
      <c r="GK110" s="16">
        <v>9298</v>
      </c>
      <c r="GL110" s="16">
        <v>0</v>
      </c>
      <c r="GM110" s="16">
        <v>156</v>
      </c>
      <c r="GN110" s="16">
        <v>109</v>
      </c>
      <c r="GO110" s="16">
        <v>631</v>
      </c>
      <c r="GP110" s="16">
        <v>86</v>
      </c>
      <c r="GQ110" s="16">
        <v>3</v>
      </c>
      <c r="GR110" s="16">
        <v>236</v>
      </c>
      <c r="GS110" s="16">
        <v>268</v>
      </c>
      <c r="GT110" s="16">
        <v>16</v>
      </c>
      <c r="GU110" s="16">
        <v>42</v>
      </c>
      <c r="GV110" s="16">
        <v>11</v>
      </c>
      <c r="GW110" s="16">
        <v>316</v>
      </c>
      <c r="GX110" s="16">
        <v>41621</v>
      </c>
      <c r="GY110" s="16">
        <v>0</v>
      </c>
      <c r="GZ110" s="16">
        <v>1198</v>
      </c>
      <c r="HA110" s="16">
        <v>918</v>
      </c>
      <c r="HB110" s="16">
        <v>2530</v>
      </c>
      <c r="HC110" s="16">
        <v>1018</v>
      </c>
      <c r="HD110" s="16">
        <v>3852</v>
      </c>
      <c r="HE110" s="16">
        <v>174346</v>
      </c>
      <c r="HF110" s="16">
        <v>3666</v>
      </c>
      <c r="HG110" s="16">
        <v>5543</v>
      </c>
      <c r="HH110" s="16">
        <v>89</v>
      </c>
      <c r="HI110" s="16">
        <v>816</v>
      </c>
      <c r="HJ110" s="16">
        <v>423</v>
      </c>
      <c r="HK110" s="16">
        <v>874</v>
      </c>
      <c r="HL110" s="16">
        <v>2928</v>
      </c>
      <c r="HM110" s="16">
        <v>632</v>
      </c>
      <c r="HN110" s="16">
        <v>171</v>
      </c>
      <c r="HO110" s="16">
        <v>3999</v>
      </c>
      <c r="HP110" s="16">
        <v>4</v>
      </c>
      <c r="HQ110" s="16">
        <v>536</v>
      </c>
      <c r="HR110" s="16">
        <v>8887</v>
      </c>
      <c r="HS110" s="16">
        <v>805</v>
      </c>
      <c r="HT110" s="16">
        <v>90</v>
      </c>
      <c r="HU110" s="16">
        <v>714</v>
      </c>
      <c r="HV110" s="16">
        <v>141</v>
      </c>
      <c r="HW110" s="16">
        <v>42</v>
      </c>
      <c r="HX110" s="16">
        <v>614</v>
      </c>
      <c r="HY110" s="16">
        <v>1250</v>
      </c>
      <c r="HZ110" s="16">
        <v>453</v>
      </c>
      <c r="IA110" s="16">
        <v>296</v>
      </c>
      <c r="IB110" s="16">
        <v>88</v>
      </c>
      <c r="IC110" s="16">
        <v>39</v>
      </c>
      <c r="ID110" s="16">
        <v>56</v>
      </c>
      <c r="IE110" s="16">
        <v>78</v>
      </c>
      <c r="IF110" s="16">
        <v>80</v>
      </c>
      <c r="IG110" s="16">
        <v>3713</v>
      </c>
      <c r="IH110" s="16">
        <v>6010</v>
      </c>
      <c r="II110" s="16">
        <v>804</v>
      </c>
      <c r="IJ110" s="16">
        <v>193</v>
      </c>
      <c r="IK110" s="16">
        <v>1084</v>
      </c>
      <c r="IL110" s="16">
        <v>0</v>
      </c>
      <c r="IM110" s="16">
        <v>0</v>
      </c>
      <c r="IN110" s="16">
        <v>867</v>
      </c>
      <c r="IO110" s="16">
        <v>11530</v>
      </c>
      <c r="IP110" s="16">
        <v>10</v>
      </c>
      <c r="IQ110" s="16">
        <v>76</v>
      </c>
      <c r="IR110" s="16">
        <v>165</v>
      </c>
      <c r="IS110" s="16">
        <v>268</v>
      </c>
      <c r="IT110" s="16">
        <v>43</v>
      </c>
      <c r="IU110" s="16">
        <v>0</v>
      </c>
      <c r="IV110" s="16">
        <v>1402</v>
      </c>
      <c r="IW110" s="16">
        <v>252</v>
      </c>
      <c r="IX110" s="16">
        <v>390</v>
      </c>
      <c r="IY110" s="16">
        <v>142</v>
      </c>
      <c r="IZ110" s="16">
        <v>1</v>
      </c>
      <c r="JA110" s="16">
        <v>1577</v>
      </c>
      <c r="JB110" s="16">
        <v>79</v>
      </c>
      <c r="JC110" s="16">
        <v>135</v>
      </c>
      <c r="JD110" s="16">
        <v>290</v>
      </c>
      <c r="JE110" s="16">
        <v>434</v>
      </c>
      <c r="JF110" s="16">
        <v>1828</v>
      </c>
      <c r="JG110" s="16">
        <v>33076</v>
      </c>
      <c r="JH110" s="16">
        <v>272</v>
      </c>
      <c r="JI110" s="16">
        <v>0</v>
      </c>
      <c r="JJ110" s="16">
        <v>19925</v>
      </c>
      <c r="JK110" s="16">
        <v>1951</v>
      </c>
      <c r="JL110" s="16">
        <v>15413</v>
      </c>
      <c r="JM110" s="16">
        <v>36335</v>
      </c>
      <c r="JN110" s="16">
        <v>132881</v>
      </c>
      <c r="JO110" s="16">
        <v>21109</v>
      </c>
      <c r="JP110" s="16">
        <v>22549</v>
      </c>
      <c r="JQ110" s="16">
        <v>3120</v>
      </c>
      <c r="JR110" s="16">
        <v>55688</v>
      </c>
      <c r="JS110" s="16">
        <v>16493</v>
      </c>
      <c r="JT110" s="16">
        <v>0</v>
      </c>
      <c r="JU110" s="16">
        <v>72393</v>
      </c>
      <c r="JV110" s="16">
        <v>6448</v>
      </c>
      <c r="JW110" s="16">
        <v>809</v>
      </c>
      <c r="JX110" s="16">
        <v>2543</v>
      </c>
      <c r="JY110" s="16">
        <v>460</v>
      </c>
      <c r="JZ110" s="16">
        <v>459</v>
      </c>
      <c r="KA110" s="16">
        <v>489</v>
      </c>
      <c r="KB110" s="16">
        <v>19</v>
      </c>
      <c r="KC110" s="16">
        <v>127</v>
      </c>
      <c r="KD110" s="16">
        <v>313</v>
      </c>
      <c r="KE110" s="16">
        <v>0</v>
      </c>
      <c r="KF110" s="16">
        <v>137</v>
      </c>
      <c r="KG110" s="16">
        <v>252</v>
      </c>
      <c r="KH110" s="16">
        <v>37</v>
      </c>
      <c r="KI110" s="16">
        <v>829</v>
      </c>
      <c r="KJ110" s="16">
        <v>58</v>
      </c>
      <c r="KK110" s="16">
        <v>58016</v>
      </c>
      <c r="KL110" s="16">
        <v>13</v>
      </c>
      <c r="KM110" s="16">
        <v>290</v>
      </c>
      <c r="KN110" s="16">
        <v>24</v>
      </c>
      <c r="KO110" s="16">
        <v>546</v>
      </c>
      <c r="KP110" s="16">
        <v>9</v>
      </c>
      <c r="KQ110" s="16">
        <v>32</v>
      </c>
      <c r="KR110" s="16">
        <v>521</v>
      </c>
      <c r="KS110" s="16">
        <v>1372</v>
      </c>
      <c r="KT110" s="16">
        <v>0</v>
      </c>
      <c r="KU110" s="16">
        <v>0</v>
      </c>
      <c r="KV110" s="16">
        <v>7353</v>
      </c>
      <c r="KW110" s="16">
        <v>4021</v>
      </c>
      <c r="KX110" s="16">
        <v>0</v>
      </c>
      <c r="KY110" s="16">
        <v>0</v>
      </c>
      <c r="KZ110" s="16">
        <v>8616</v>
      </c>
      <c r="LA110" s="16">
        <v>6198</v>
      </c>
      <c r="LB110" s="16">
        <v>1219</v>
      </c>
      <c r="LC110" s="16">
        <v>0</v>
      </c>
      <c r="LD110" s="16">
        <v>371</v>
      </c>
      <c r="LE110" s="16">
        <v>0</v>
      </c>
      <c r="LF110" s="16">
        <v>0</v>
      </c>
      <c r="LG110" s="16">
        <v>0</v>
      </c>
      <c r="LH110" s="16">
        <v>0</v>
      </c>
      <c r="LI110" s="16">
        <v>0</v>
      </c>
      <c r="LJ110" s="16">
        <v>0</v>
      </c>
      <c r="LK110" s="16">
        <v>0</v>
      </c>
      <c r="LL110" s="16">
        <v>0</v>
      </c>
      <c r="LM110" s="16">
        <v>0</v>
      </c>
      <c r="LN110" s="16">
        <v>0</v>
      </c>
      <c r="LO110" s="16">
        <v>334</v>
      </c>
      <c r="LP110" s="16">
        <v>0</v>
      </c>
      <c r="LQ110" s="16">
        <v>0</v>
      </c>
      <c r="LR110" s="16">
        <v>0</v>
      </c>
      <c r="LS110" s="16">
        <v>0</v>
      </c>
      <c r="LT110" s="16">
        <v>0</v>
      </c>
      <c r="LU110" s="16">
        <v>0</v>
      </c>
      <c r="LV110" s="16">
        <v>0</v>
      </c>
      <c r="LW110" s="16">
        <v>0</v>
      </c>
      <c r="LX110" s="16">
        <v>0</v>
      </c>
      <c r="LY110" s="16">
        <v>0</v>
      </c>
      <c r="LZ110" s="16">
        <v>100</v>
      </c>
      <c r="MA110" s="16">
        <v>0</v>
      </c>
      <c r="MB110" s="16">
        <v>820</v>
      </c>
      <c r="MC110" s="16">
        <v>52892</v>
      </c>
      <c r="MD110" s="16">
        <v>31225</v>
      </c>
      <c r="ME110" s="16">
        <v>739</v>
      </c>
      <c r="MF110" s="16">
        <v>182555</v>
      </c>
      <c r="MG110" s="16">
        <v>0</v>
      </c>
      <c r="MH110" s="16">
        <v>2274</v>
      </c>
      <c r="MI110" s="16">
        <v>0</v>
      </c>
      <c r="MJ110" s="16">
        <v>522</v>
      </c>
      <c r="MK110" s="16">
        <v>185</v>
      </c>
      <c r="ML110" s="16">
        <v>298</v>
      </c>
      <c r="MM110" s="16">
        <v>1368</v>
      </c>
      <c r="MN110" s="16">
        <v>0</v>
      </c>
      <c r="MO110" s="16">
        <v>84959</v>
      </c>
      <c r="MP110" s="16">
        <v>0</v>
      </c>
      <c r="MQ110" s="16">
        <v>1630</v>
      </c>
      <c r="MR110" s="16">
        <v>122</v>
      </c>
      <c r="MS110" s="16">
        <v>250</v>
      </c>
      <c r="MT110" s="16">
        <v>385</v>
      </c>
      <c r="MU110" s="16">
        <v>1128</v>
      </c>
      <c r="MV110" s="16">
        <v>2430</v>
      </c>
      <c r="MW110" s="16">
        <v>14248</v>
      </c>
      <c r="MX110" s="16">
        <v>0</v>
      </c>
      <c r="MY110" s="16">
        <v>19930</v>
      </c>
      <c r="MZ110" s="16">
        <v>221742</v>
      </c>
      <c r="NA110" s="16">
        <v>0</v>
      </c>
      <c r="NB110" s="16">
        <v>567</v>
      </c>
      <c r="NC110" s="16">
        <v>168</v>
      </c>
      <c r="ND110" s="16">
        <v>259</v>
      </c>
      <c r="NE110" s="16">
        <v>0</v>
      </c>
      <c r="NF110" s="16">
        <v>0</v>
      </c>
      <c r="NG110" s="16">
        <v>943</v>
      </c>
      <c r="NH110" s="16">
        <v>148</v>
      </c>
      <c r="NI110" s="16">
        <v>0</v>
      </c>
      <c r="NJ110" s="16">
        <v>1634</v>
      </c>
      <c r="NK110" s="16">
        <v>640</v>
      </c>
      <c r="NL110" s="16">
        <v>811</v>
      </c>
      <c r="NM110" s="16">
        <v>1077</v>
      </c>
      <c r="NN110" s="16">
        <v>2912</v>
      </c>
      <c r="NO110" s="16">
        <v>0</v>
      </c>
      <c r="NP110" s="16">
        <v>1458</v>
      </c>
      <c r="NQ110" s="16">
        <v>281</v>
      </c>
      <c r="NR110" s="17">
        <v>18026258</v>
      </c>
    </row>
    <row r="111" spans="1:382" ht="13.5" customHeight="1" x14ac:dyDescent="0.2">
      <c r="A111" s="2" t="s">
        <v>229</v>
      </c>
      <c r="B111" s="16">
        <v>0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1254</v>
      </c>
      <c r="Q111" s="16">
        <v>699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800</v>
      </c>
      <c r="Y111" s="16">
        <v>2027</v>
      </c>
      <c r="Z111" s="16">
        <v>1258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3860</v>
      </c>
      <c r="AH111" s="16">
        <v>259</v>
      </c>
      <c r="AI111" s="16">
        <v>29</v>
      </c>
      <c r="AJ111" s="16">
        <v>0</v>
      </c>
      <c r="AK111" s="16">
        <v>2393</v>
      </c>
      <c r="AL111" s="16">
        <v>102</v>
      </c>
      <c r="AM111" s="16">
        <v>1614</v>
      </c>
      <c r="AN111" s="16">
        <v>3191</v>
      </c>
      <c r="AO111" s="16">
        <v>14893</v>
      </c>
      <c r="AP111" s="16">
        <v>0</v>
      </c>
      <c r="AQ111" s="16">
        <v>0</v>
      </c>
      <c r="AR111" s="16">
        <v>0</v>
      </c>
      <c r="AS111" s="16">
        <v>754</v>
      </c>
      <c r="AT111" s="16">
        <v>46</v>
      </c>
      <c r="AU111" s="16">
        <v>16540</v>
      </c>
      <c r="AV111" s="16">
        <v>0</v>
      </c>
      <c r="AW111" s="16">
        <v>790</v>
      </c>
      <c r="AX111" s="16">
        <v>749</v>
      </c>
      <c r="AY111" s="16">
        <v>915</v>
      </c>
      <c r="AZ111" s="16">
        <v>0</v>
      </c>
      <c r="BA111" s="16">
        <v>0</v>
      </c>
      <c r="BB111" s="16">
        <v>0</v>
      </c>
      <c r="BC111" s="16">
        <v>8834</v>
      </c>
      <c r="BD111" s="16">
        <v>0</v>
      </c>
      <c r="BE111" s="16">
        <v>0</v>
      </c>
      <c r="BF111" s="16">
        <v>2896</v>
      </c>
      <c r="BG111" s="16">
        <v>0</v>
      </c>
      <c r="BH111" s="16">
        <v>6588</v>
      </c>
      <c r="BI111" s="16">
        <v>15479</v>
      </c>
      <c r="BJ111" s="16">
        <v>664</v>
      </c>
      <c r="BK111" s="16">
        <v>2</v>
      </c>
      <c r="BL111" s="16">
        <v>3249</v>
      </c>
      <c r="BM111" s="16">
        <v>7</v>
      </c>
      <c r="BN111" s="16">
        <v>55</v>
      </c>
      <c r="BO111" s="16">
        <v>230</v>
      </c>
      <c r="BP111" s="16">
        <v>82</v>
      </c>
      <c r="BQ111" s="16">
        <v>22</v>
      </c>
      <c r="BR111" s="16">
        <v>81</v>
      </c>
      <c r="BS111" s="16">
        <v>9</v>
      </c>
      <c r="BT111" s="16">
        <v>80</v>
      </c>
      <c r="BU111" s="16">
        <v>0</v>
      </c>
      <c r="BV111" s="16">
        <v>0</v>
      </c>
      <c r="BW111" s="16">
        <v>6</v>
      </c>
      <c r="BX111" s="16">
        <v>167</v>
      </c>
      <c r="BY111" s="16">
        <v>0</v>
      </c>
      <c r="BZ111" s="16">
        <v>10</v>
      </c>
      <c r="CA111" s="16">
        <v>1</v>
      </c>
      <c r="CB111" s="16">
        <v>0</v>
      </c>
      <c r="CC111" s="16">
        <v>14</v>
      </c>
      <c r="CD111" s="16">
        <v>6</v>
      </c>
      <c r="CE111" s="16">
        <v>1794</v>
      </c>
      <c r="CF111" s="16">
        <v>592</v>
      </c>
      <c r="CG111" s="16">
        <v>161</v>
      </c>
      <c r="CH111" s="16">
        <v>0</v>
      </c>
      <c r="CI111" s="16">
        <v>75</v>
      </c>
      <c r="CJ111" s="16">
        <v>290</v>
      </c>
      <c r="CK111" s="16">
        <v>1618</v>
      </c>
      <c r="CL111" s="16">
        <v>99</v>
      </c>
      <c r="CM111" s="16">
        <v>4122</v>
      </c>
      <c r="CN111" s="16">
        <v>6</v>
      </c>
      <c r="CO111" s="16">
        <v>71</v>
      </c>
      <c r="CP111" s="16">
        <v>356</v>
      </c>
      <c r="CQ111" s="16">
        <v>4452</v>
      </c>
      <c r="CR111" s="16">
        <v>108</v>
      </c>
      <c r="CS111" s="16">
        <v>53</v>
      </c>
      <c r="CT111" s="16">
        <v>13778</v>
      </c>
      <c r="CU111" s="16">
        <v>2730</v>
      </c>
      <c r="CV111" s="16">
        <v>4994</v>
      </c>
      <c r="CW111" s="16">
        <v>3813</v>
      </c>
      <c r="CX111" s="16">
        <v>4552</v>
      </c>
      <c r="CY111" s="16">
        <v>22929</v>
      </c>
      <c r="CZ111" s="16">
        <v>359</v>
      </c>
      <c r="DA111" s="16">
        <v>3</v>
      </c>
      <c r="DB111" s="16">
        <v>56149</v>
      </c>
      <c r="DC111" s="16">
        <v>2382</v>
      </c>
      <c r="DD111" s="16">
        <v>48755</v>
      </c>
      <c r="DE111" s="16">
        <v>23898</v>
      </c>
      <c r="DF111" s="16">
        <v>273058</v>
      </c>
      <c r="DG111" s="16">
        <v>1028328</v>
      </c>
      <c r="DH111" s="16">
        <v>16425</v>
      </c>
      <c r="DI111" s="16">
        <v>1325</v>
      </c>
      <c r="DJ111" s="16">
        <v>149405</v>
      </c>
      <c r="DK111" s="16">
        <v>22430</v>
      </c>
      <c r="DL111" s="16">
        <v>2799</v>
      </c>
      <c r="DM111" s="16">
        <v>191683</v>
      </c>
      <c r="DN111" s="16">
        <v>2635</v>
      </c>
      <c r="DO111" s="16">
        <v>648</v>
      </c>
      <c r="DP111" s="16">
        <v>9762</v>
      </c>
      <c r="DQ111" s="16">
        <v>447</v>
      </c>
      <c r="DR111" s="16">
        <v>2754</v>
      </c>
      <c r="DS111" s="16">
        <v>2436</v>
      </c>
      <c r="DT111" s="16">
        <v>809</v>
      </c>
      <c r="DU111" s="16">
        <v>1780</v>
      </c>
      <c r="DV111" s="16">
        <v>100693</v>
      </c>
      <c r="DW111" s="16">
        <v>18808</v>
      </c>
      <c r="DX111" s="16">
        <v>2224</v>
      </c>
      <c r="DY111" s="16">
        <v>18139</v>
      </c>
      <c r="DZ111" s="16">
        <v>17828</v>
      </c>
      <c r="EA111" s="16">
        <v>4611</v>
      </c>
      <c r="EB111" s="16">
        <v>26</v>
      </c>
      <c r="EC111" s="16">
        <v>116</v>
      </c>
      <c r="ED111" s="16">
        <v>190</v>
      </c>
      <c r="EE111" s="16">
        <v>1265</v>
      </c>
      <c r="EF111" s="16">
        <v>2914</v>
      </c>
      <c r="EG111" s="16">
        <v>144315</v>
      </c>
      <c r="EH111" s="16">
        <v>8165</v>
      </c>
      <c r="EI111" s="16">
        <v>0</v>
      </c>
      <c r="EJ111" s="16">
        <v>5567</v>
      </c>
      <c r="EK111" s="16">
        <v>61</v>
      </c>
      <c r="EL111" s="16">
        <v>0</v>
      </c>
      <c r="EM111" s="16">
        <v>0</v>
      </c>
      <c r="EN111" s="16">
        <v>0</v>
      </c>
      <c r="EO111" s="16">
        <v>1427</v>
      </c>
      <c r="EP111" s="16">
        <v>6705</v>
      </c>
      <c r="EQ111" s="16">
        <v>10459</v>
      </c>
      <c r="ER111" s="16">
        <v>199</v>
      </c>
      <c r="ES111" s="16">
        <v>2891</v>
      </c>
      <c r="ET111" s="16">
        <v>893</v>
      </c>
      <c r="EU111" s="16">
        <v>2604</v>
      </c>
      <c r="EV111" s="16">
        <v>159363</v>
      </c>
      <c r="EW111" s="16">
        <v>5235</v>
      </c>
      <c r="EX111" s="16">
        <v>152195</v>
      </c>
      <c r="EY111" s="16">
        <v>29528</v>
      </c>
      <c r="EZ111" s="16">
        <v>3273</v>
      </c>
      <c r="FA111" s="16">
        <v>5525</v>
      </c>
      <c r="FB111" s="16">
        <v>20345</v>
      </c>
      <c r="FC111" s="16">
        <v>10379</v>
      </c>
      <c r="FD111" s="16">
        <v>99001</v>
      </c>
      <c r="FE111" s="16">
        <v>14107</v>
      </c>
      <c r="FF111" s="16">
        <v>18335</v>
      </c>
      <c r="FG111" s="16">
        <v>29821</v>
      </c>
      <c r="FH111" s="16">
        <v>14449</v>
      </c>
      <c r="FI111" s="16">
        <v>676</v>
      </c>
      <c r="FJ111" s="16">
        <v>3475</v>
      </c>
      <c r="FK111" s="16">
        <v>0</v>
      </c>
      <c r="FL111" s="16">
        <v>117</v>
      </c>
      <c r="FM111" s="16">
        <v>4755</v>
      </c>
      <c r="FN111" s="16">
        <v>78603</v>
      </c>
      <c r="FO111" s="16">
        <v>19703</v>
      </c>
      <c r="FP111" s="16">
        <v>15240</v>
      </c>
      <c r="FQ111" s="16">
        <v>86685</v>
      </c>
      <c r="FR111" s="16">
        <v>113743</v>
      </c>
      <c r="FS111" s="16">
        <v>83210</v>
      </c>
      <c r="FT111" s="16">
        <v>24643</v>
      </c>
      <c r="FU111" s="16">
        <v>82353</v>
      </c>
      <c r="FV111" s="16">
        <v>70415</v>
      </c>
      <c r="FW111" s="16">
        <v>1371347</v>
      </c>
      <c r="FX111" s="16">
        <v>1269993</v>
      </c>
      <c r="FY111" s="16">
        <v>2572</v>
      </c>
      <c r="FZ111" s="16">
        <v>333</v>
      </c>
      <c r="GA111" s="16">
        <v>4896</v>
      </c>
      <c r="GB111" s="16">
        <v>2960</v>
      </c>
      <c r="GC111" s="16">
        <v>6975</v>
      </c>
      <c r="GD111" s="16">
        <v>3132</v>
      </c>
      <c r="GE111" s="16">
        <v>58729</v>
      </c>
      <c r="GF111" s="16">
        <v>467620</v>
      </c>
      <c r="GG111" s="16">
        <v>24293</v>
      </c>
      <c r="GH111" s="16">
        <v>1138734</v>
      </c>
      <c r="GI111" s="16">
        <v>147</v>
      </c>
      <c r="GJ111" s="16">
        <v>11792</v>
      </c>
      <c r="GK111" s="16">
        <v>373</v>
      </c>
      <c r="GL111" s="16">
        <v>0</v>
      </c>
      <c r="GM111" s="16">
        <v>506</v>
      </c>
      <c r="GN111" s="16">
        <v>254</v>
      </c>
      <c r="GO111" s="16">
        <v>2</v>
      </c>
      <c r="GP111" s="16">
        <v>274</v>
      </c>
      <c r="GQ111" s="16">
        <v>1</v>
      </c>
      <c r="GR111" s="16">
        <v>239</v>
      </c>
      <c r="GS111" s="16">
        <v>0</v>
      </c>
      <c r="GT111" s="16">
        <v>6</v>
      </c>
      <c r="GU111" s="16">
        <v>4644</v>
      </c>
      <c r="GV111" s="16">
        <v>152</v>
      </c>
      <c r="GW111" s="16">
        <v>612</v>
      </c>
      <c r="GX111" s="16">
        <v>16</v>
      </c>
      <c r="GY111" s="16">
        <v>0</v>
      </c>
      <c r="GZ111" s="16">
        <v>1192</v>
      </c>
      <c r="HA111" s="16">
        <v>2185</v>
      </c>
      <c r="HB111" s="16">
        <v>7561</v>
      </c>
      <c r="HC111" s="16">
        <v>2059</v>
      </c>
      <c r="HD111" s="16">
        <v>3901</v>
      </c>
      <c r="HE111" s="16">
        <v>45514</v>
      </c>
      <c r="HF111" s="16">
        <v>199</v>
      </c>
      <c r="HG111" s="16">
        <v>19758</v>
      </c>
      <c r="HH111" s="16">
        <v>2215</v>
      </c>
      <c r="HI111" s="16">
        <v>3229</v>
      </c>
      <c r="HJ111" s="16">
        <v>12941</v>
      </c>
      <c r="HK111" s="16">
        <v>41507</v>
      </c>
      <c r="HL111" s="16">
        <v>5158</v>
      </c>
      <c r="HM111" s="16">
        <v>56658</v>
      </c>
      <c r="HN111" s="16">
        <v>4849</v>
      </c>
      <c r="HO111" s="16">
        <v>137273</v>
      </c>
      <c r="HP111" s="16">
        <v>32</v>
      </c>
      <c r="HQ111" s="16">
        <v>73959</v>
      </c>
      <c r="HR111" s="16">
        <v>74591</v>
      </c>
      <c r="HS111" s="16">
        <v>25722</v>
      </c>
      <c r="HT111" s="16">
        <v>106</v>
      </c>
      <c r="HU111" s="16">
        <v>12724</v>
      </c>
      <c r="HV111" s="16">
        <v>7356</v>
      </c>
      <c r="HW111" s="16">
        <v>2605</v>
      </c>
      <c r="HX111" s="16">
        <v>3463</v>
      </c>
      <c r="HY111" s="16">
        <v>10987</v>
      </c>
      <c r="HZ111" s="16">
        <v>69546</v>
      </c>
      <c r="IA111" s="16">
        <v>22000</v>
      </c>
      <c r="IB111" s="16">
        <v>1879</v>
      </c>
      <c r="IC111" s="16">
        <v>1551</v>
      </c>
      <c r="ID111" s="16">
        <v>26237</v>
      </c>
      <c r="IE111" s="16">
        <v>219</v>
      </c>
      <c r="IF111" s="16">
        <v>18826</v>
      </c>
      <c r="IG111" s="16">
        <v>40203</v>
      </c>
      <c r="IH111" s="16">
        <v>11035</v>
      </c>
      <c r="II111" s="16">
        <v>1485</v>
      </c>
      <c r="IJ111" s="16">
        <v>1403</v>
      </c>
      <c r="IK111" s="16">
        <v>25717</v>
      </c>
      <c r="IL111" s="16">
        <v>4566</v>
      </c>
      <c r="IM111" s="16">
        <v>1175</v>
      </c>
      <c r="IN111" s="16">
        <v>977</v>
      </c>
      <c r="IO111" s="16">
        <v>16410</v>
      </c>
      <c r="IP111" s="16">
        <v>2943</v>
      </c>
      <c r="IQ111" s="16">
        <v>167</v>
      </c>
      <c r="IR111" s="16">
        <v>1590</v>
      </c>
      <c r="IS111" s="16">
        <v>3955</v>
      </c>
      <c r="IT111" s="16">
        <v>2026</v>
      </c>
      <c r="IU111" s="16">
        <v>0</v>
      </c>
      <c r="IV111" s="16">
        <v>12552</v>
      </c>
      <c r="IW111" s="16">
        <v>854</v>
      </c>
      <c r="IX111" s="16">
        <v>1891</v>
      </c>
      <c r="IY111" s="16">
        <v>278</v>
      </c>
      <c r="IZ111" s="16">
        <v>3</v>
      </c>
      <c r="JA111" s="16">
        <v>577</v>
      </c>
      <c r="JB111" s="16">
        <v>0</v>
      </c>
      <c r="JC111" s="16">
        <v>0</v>
      </c>
      <c r="JD111" s="16">
        <v>2</v>
      </c>
      <c r="JE111" s="16">
        <v>3790</v>
      </c>
      <c r="JF111" s="16">
        <v>6284</v>
      </c>
      <c r="JG111" s="16">
        <v>123003</v>
      </c>
      <c r="JH111" s="16">
        <v>10531</v>
      </c>
      <c r="JI111" s="16">
        <v>478</v>
      </c>
      <c r="JJ111" s="16">
        <v>6946</v>
      </c>
      <c r="JK111" s="16">
        <v>0</v>
      </c>
      <c r="JL111" s="16">
        <v>23400</v>
      </c>
      <c r="JM111" s="16">
        <v>84638</v>
      </c>
      <c r="JN111" s="16">
        <v>170315</v>
      </c>
      <c r="JO111" s="16">
        <v>0</v>
      </c>
      <c r="JP111" s="16">
        <v>16370</v>
      </c>
      <c r="JQ111" s="16">
        <v>1612</v>
      </c>
      <c r="JR111" s="16">
        <v>240095</v>
      </c>
      <c r="JS111" s="16">
        <v>42064</v>
      </c>
      <c r="JT111" s="16">
        <v>1</v>
      </c>
      <c r="JU111" s="16">
        <v>14492</v>
      </c>
      <c r="JV111" s="16">
        <v>9603</v>
      </c>
      <c r="JW111" s="16">
        <v>16071</v>
      </c>
      <c r="JX111" s="16">
        <v>24574</v>
      </c>
      <c r="JY111" s="16">
        <v>7265</v>
      </c>
      <c r="JZ111" s="16">
        <v>7877</v>
      </c>
      <c r="KA111" s="16">
        <v>5000</v>
      </c>
      <c r="KB111" s="16">
        <v>155</v>
      </c>
      <c r="KC111" s="16">
        <v>1612</v>
      </c>
      <c r="KD111" s="16">
        <v>3812</v>
      </c>
      <c r="KE111" s="16">
        <v>155</v>
      </c>
      <c r="KF111" s="16">
        <v>1108</v>
      </c>
      <c r="KG111" s="16">
        <v>5183</v>
      </c>
      <c r="KH111" s="16">
        <v>325</v>
      </c>
      <c r="KI111" s="16">
        <v>5197</v>
      </c>
      <c r="KJ111" s="16">
        <v>1524</v>
      </c>
      <c r="KK111" s="16">
        <v>310954</v>
      </c>
      <c r="KL111" s="16">
        <v>72</v>
      </c>
      <c r="KM111" s="16">
        <v>158</v>
      </c>
      <c r="KN111" s="16">
        <v>182</v>
      </c>
      <c r="KO111" s="16">
        <v>7099</v>
      </c>
      <c r="KP111" s="16">
        <v>18</v>
      </c>
      <c r="KQ111" s="16">
        <v>155</v>
      </c>
      <c r="KR111" s="16">
        <v>0</v>
      </c>
      <c r="KS111" s="16">
        <v>0</v>
      </c>
      <c r="KT111" s="16">
        <v>0</v>
      </c>
      <c r="KU111" s="16">
        <v>12162</v>
      </c>
      <c r="KV111" s="16">
        <v>165253</v>
      </c>
      <c r="KW111" s="16">
        <v>0</v>
      </c>
      <c r="KX111" s="16">
        <v>0</v>
      </c>
      <c r="KY111" s="16">
        <v>0</v>
      </c>
      <c r="KZ111" s="16">
        <v>0</v>
      </c>
      <c r="LA111" s="16">
        <v>124</v>
      </c>
      <c r="LB111" s="16">
        <v>1275</v>
      </c>
      <c r="LC111" s="16">
        <v>10320</v>
      </c>
      <c r="LD111" s="16">
        <v>0</v>
      </c>
      <c r="LE111" s="16">
        <v>0</v>
      </c>
      <c r="LF111" s="16">
        <v>0</v>
      </c>
      <c r="LG111" s="16">
        <v>0</v>
      </c>
      <c r="LH111" s="16">
        <v>0</v>
      </c>
      <c r="LI111" s="16">
        <v>0</v>
      </c>
      <c r="LJ111" s="16">
        <v>0</v>
      </c>
      <c r="LK111" s="16">
        <v>0</v>
      </c>
      <c r="LL111" s="16">
        <v>0</v>
      </c>
      <c r="LM111" s="16">
        <v>0</v>
      </c>
      <c r="LN111" s="16">
        <v>0</v>
      </c>
      <c r="LO111" s="16">
        <v>0</v>
      </c>
      <c r="LP111" s="16">
        <v>0</v>
      </c>
      <c r="LQ111" s="16">
        <v>0</v>
      </c>
      <c r="LR111" s="16">
        <v>0</v>
      </c>
      <c r="LS111" s="16">
        <v>0</v>
      </c>
      <c r="LT111" s="16">
        <v>0</v>
      </c>
      <c r="LU111" s="16">
        <v>0</v>
      </c>
      <c r="LV111" s="16">
        <v>0</v>
      </c>
      <c r="LW111" s="16">
        <v>0</v>
      </c>
      <c r="LX111" s="16">
        <v>0</v>
      </c>
      <c r="LY111" s="16">
        <v>0</v>
      </c>
      <c r="LZ111" s="16">
        <v>0</v>
      </c>
      <c r="MA111" s="16">
        <v>0</v>
      </c>
      <c r="MB111" s="16">
        <v>0</v>
      </c>
      <c r="MC111" s="16">
        <v>128461</v>
      </c>
      <c r="MD111" s="16">
        <v>62067</v>
      </c>
      <c r="ME111" s="16">
        <v>0</v>
      </c>
      <c r="MF111" s="16">
        <v>55717</v>
      </c>
      <c r="MG111" s="16">
        <v>0</v>
      </c>
      <c r="MH111" s="16">
        <v>28250</v>
      </c>
      <c r="MI111" s="16">
        <v>0</v>
      </c>
      <c r="MJ111" s="16">
        <v>0</v>
      </c>
      <c r="MK111" s="16">
        <v>4434</v>
      </c>
      <c r="ML111" s="16">
        <v>580</v>
      </c>
      <c r="MM111" s="16">
        <v>24472</v>
      </c>
      <c r="MN111" s="16">
        <v>0</v>
      </c>
      <c r="MO111" s="16">
        <v>15318</v>
      </c>
      <c r="MP111" s="16">
        <v>5903</v>
      </c>
      <c r="MQ111" s="16">
        <v>88504</v>
      </c>
      <c r="MR111" s="16">
        <v>13329</v>
      </c>
      <c r="MS111" s="16">
        <v>5638</v>
      </c>
      <c r="MT111" s="16">
        <v>23</v>
      </c>
      <c r="MU111" s="16">
        <v>418</v>
      </c>
      <c r="MV111" s="16">
        <v>18326</v>
      </c>
      <c r="MW111" s="16">
        <v>0</v>
      </c>
      <c r="MX111" s="16">
        <v>148</v>
      </c>
      <c r="MY111" s="16">
        <v>1766</v>
      </c>
      <c r="MZ111" s="16">
        <v>21969</v>
      </c>
      <c r="NA111" s="16">
        <v>107</v>
      </c>
      <c r="NB111" s="16">
        <v>0</v>
      </c>
      <c r="NC111" s="16">
        <v>237</v>
      </c>
      <c r="ND111" s="16">
        <v>4106</v>
      </c>
      <c r="NE111" s="16">
        <v>0</v>
      </c>
      <c r="NF111" s="16">
        <v>0</v>
      </c>
      <c r="NG111" s="16">
        <v>5336</v>
      </c>
      <c r="NH111" s="16">
        <v>430</v>
      </c>
      <c r="NI111" s="16">
        <v>0</v>
      </c>
      <c r="NJ111" s="16">
        <v>0</v>
      </c>
      <c r="NK111" s="16">
        <v>13460</v>
      </c>
      <c r="NL111" s="16">
        <v>2104</v>
      </c>
      <c r="NM111" s="16">
        <v>1156</v>
      </c>
      <c r="NN111" s="16">
        <v>0</v>
      </c>
      <c r="NO111" s="16">
        <v>0</v>
      </c>
      <c r="NP111" s="16">
        <v>899</v>
      </c>
      <c r="NQ111" s="16">
        <v>4</v>
      </c>
      <c r="NR111" s="17">
        <v>10533619</v>
      </c>
    </row>
    <row r="112" spans="1:382" ht="13.5" customHeight="1" x14ac:dyDescent="0.2">
      <c r="A112" s="2" t="s">
        <v>231</v>
      </c>
      <c r="B112" s="16">
        <v>0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539</v>
      </c>
      <c r="M112" s="16">
        <v>0</v>
      </c>
      <c r="N112" s="16">
        <v>0</v>
      </c>
      <c r="O112" s="16">
        <v>2</v>
      </c>
      <c r="P112" s="16">
        <v>110</v>
      </c>
      <c r="Q112" s="16">
        <v>269</v>
      </c>
      <c r="R112" s="16">
        <v>289</v>
      </c>
      <c r="S112" s="16">
        <v>5</v>
      </c>
      <c r="T112" s="16">
        <v>0</v>
      </c>
      <c r="U112" s="16">
        <v>0</v>
      </c>
      <c r="V112" s="16">
        <v>0</v>
      </c>
      <c r="W112" s="16">
        <v>0</v>
      </c>
      <c r="X112" s="16">
        <v>46</v>
      </c>
      <c r="Y112" s="16">
        <v>1739</v>
      </c>
      <c r="Z112" s="16">
        <v>0</v>
      </c>
      <c r="AA112" s="16">
        <v>3</v>
      </c>
      <c r="AB112" s="16">
        <v>0</v>
      </c>
      <c r="AC112" s="16">
        <v>0</v>
      </c>
      <c r="AD112" s="16">
        <v>0</v>
      </c>
      <c r="AE112" s="16">
        <v>0</v>
      </c>
      <c r="AF112" s="16">
        <v>26</v>
      </c>
      <c r="AG112" s="16">
        <v>6</v>
      </c>
      <c r="AH112" s="16">
        <v>32</v>
      </c>
      <c r="AI112" s="16">
        <v>119</v>
      </c>
      <c r="AJ112" s="16">
        <v>0</v>
      </c>
      <c r="AK112" s="16">
        <v>3377</v>
      </c>
      <c r="AL112" s="16">
        <v>235</v>
      </c>
      <c r="AM112" s="16">
        <v>2347</v>
      </c>
      <c r="AN112" s="16">
        <v>655</v>
      </c>
      <c r="AO112" s="16">
        <v>9890</v>
      </c>
      <c r="AP112" s="16">
        <v>0</v>
      </c>
      <c r="AQ112" s="16">
        <v>0</v>
      </c>
      <c r="AR112" s="16">
        <v>0</v>
      </c>
      <c r="AS112" s="16">
        <v>3351</v>
      </c>
      <c r="AT112" s="16">
        <v>3069</v>
      </c>
      <c r="AU112" s="16">
        <v>683</v>
      </c>
      <c r="AV112" s="16">
        <v>248</v>
      </c>
      <c r="AW112" s="16">
        <v>27987</v>
      </c>
      <c r="AX112" s="16">
        <v>368</v>
      </c>
      <c r="AY112" s="16">
        <v>183</v>
      </c>
      <c r="AZ112" s="16">
        <v>77</v>
      </c>
      <c r="BA112" s="16">
        <v>5271</v>
      </c>
      <c r="BB112" s="16">
        <v>11622</v>
      </c>
      <c r="BC112" s="16">
        <v>57957</v>
      </c>
      <c r="BD112" s="16">
        <v>216</v>
      </c>
      <c r="BE112" s="16">
        <v>496</v>
      </c>
      <c r="BF112" s="16">
        <v>3796</v>
      </c>
      <c r="BG112" s="16">
        <v>137</v>
      </c>
      <c r="BH112" s="16">
        <v>539</v>
      </c>
      <c r="BI112" s="16">
        <v>0</v>
      </c>
      <c r="BJ112" s="16">
        <v>191</v>
      </c>
      <c r="BK112" s="16">
        <v>104</v>
      </c>
      <c r="BL112" s="16">
        <v>-4661</v>
      </c>
      <c r="BM112" s="16">
        <v>556</v>
      </c>
      <c r="BN112" s="16">
        <v>-112</v>
      </c>
      <c r="BO112" s="16">
        <v>11954</v>
      </c>
      <c r="BP112" s="16">
        <v>-6204</v>
      </c>
      <c r="BQ112" s="16">
        <v>118</v>
      </c>
      <c r="BR112" s="16">
        <v>-3443</v>
      </c>
      <c r="BS112" s="16">
        <v>89</v>
      </c>
      <c r="BT112" s="16">
        <v>-739</v>
      </c>
      <c r="BU112" s="16">
        <v>0</v>
      </c>
      <c r="BV112" s="16">
        <v>0</v>
      </c>
      <c r="BW112" s="16">
        <v>-4</v>
      </c>
      <c r="BX112" s="16">
        <v>1871</v>
      </c>
      <c r="BY112" s="16">
        <v>3</v>
      </c>
      <c r="BZ112" s="16">
        <v>0</v>
      </c>
      <c r="CA112" s="16">
        <v>459</v>
      </c>
      <c r="CB112" s="16">
        <v>0</v>
      </c>
      <c r="CC112" s="16">
        <v>7360</v>
      </c>
      <c r="CD112" s="16">
        <v>923</v>
      </c>
      <c r="CE112" s="16">
        <v>14113</v>
      </c>
      <c r="CF112" s="16">
        <v>0</v>
      </c>
      <c r="CG112" s="16">
        <v>0</v>
      </c>
      <c r="CH112" s="16">
        <v>0</v>
      </c>
      <c r="CI112" s="16">
        <v>-14361</v>
      </c>
      <c r="CJ112" s="16">
        <v>35515</v>
      </c>
      <c r="CK112" s="16">
        <v>70188</v>
      </c>
      <c r="CL112" s="16">
        <v>592</v>
      </c>
      <c r="CM112" s="16">
        <v>3634</v>
      </c>
      <c r="CN112" s="16">
        <v>1840</v>
      </c>
      <c r="CO112" s="16">
        <v>14613</v>
      </c>
      <c r="CP112" s="16">
        <v>19909</v>
      </c>
      <c r="CQ112" s="16">
        <v>909</v>
      </c>
      <c r="CR112" s="16">
        <v>750</v>
      </c>
      <c r="CS112" s="16">
        <v>24992</v>
      </c>
      <c r="CT112" s="16">
        <v>14841</v>
      </c>
      <c r="CU112" s="16">
        <v>24086</v>
      </c>
      <c r="CV112" s="16">
        <v>106702</v>
      </c>
      <c r="CW112" s="16">
        <v>164646</v>
      </c>
      <c r="CX112" s="16">
        <v>65726</v>
      </c>
      <c r="CY112" s="16">
        <v>12000</v>
      </c>
      <c r="CZ112" s="16">
        <v>84210</v>
      </c>
      <c r="DA112" s="16">
        <v>3603</v>
      </c>
      <c r="DB112" s="16">
        <v>19487</v>
      </c>
      <c r="DC112" s="16">
        <v>10390</v>
      </c>
      <c r="DD112" s="16">
        <v>61285</v>
      </c>
      <c r="DE112" s="16">
        <v>179625</v>
      </c>
      <c r="DF112" s="16">
        <v>288948</v>
      </c>
      <c r="DG112" s="16">
        <v>1316616</v>
      </c>
      <c r="DH112" s="16">
        <v>13452075</v>
      </c>
      <c r="DI112" s="16">
        <v>263721</v>
      </c>
      <c r="DJ112" s="16">
        <v>1004151</v>
      </c>
      <c r="DK112" s="16">
        <v>38007</v>
      </c>
      <c r="DL112" s="16">
        <v>20842</v>
      </c>
      <c r="DM112" s="16">
        <v>346169</v>
      </c>
      <c r="DN112" s="16">
        <v>544449</v>
      </c>
      <c r="DO112" s="16">
        <v>102069</v>
      </c>
      <c r="DP112" s="16">
        <v>191286</v>
      </c>
      <c r="DQ112" s="16">
        <v>69800</v>
      </c>
      <c r="DR112" s="16">
        <v>342816</v>
      </c>
      <c r="DS112" s="16">
        <v>371367</v>
      </c>
      <c r="DT112" s="16">
        <v>114444</v>
      </c>
      <c r="DU112" s="16">
        <v>70461</v>
      </c>
      <c r="DV112" s="16">
        <v>2526906</v>
      </c>
      <c r="DW112" s="16">
        <v>93810</v>
      </c>
      <c r="DX112" s="16">
        <v>6161</v>
      </c>
      <c r="DY112" s="16">
        <v>24988</v>
      </c>
      <c r="DZ112" s="16">
        <v>49956</v>
      </c>
      <c r="EA112" s="16">
        <v>50862</v>
      </c>
      <c r="EB112" s="16">
        <v>271719</v>
      </c>
      <c r="EC112" s="16">
        <v>311047</v>
      </c>
      <c r="ED112" s="16">
        <v>19272</v>
      </c>
      <c r="EE112" s="16">
        <v>82090</v>
      </c>
      <c r="EF112" s="16">
        <v>64086</v>
      </c>
      <c r="EG112" s="16">
        <v>149170</v>
      </c>
      <c r="EH112" s="16">
        <v>53413</v>
      </c>
      <c r="EI112" s="16">
        <v>2996</v>
      </c>
      <c r="EJ112" s="16">
        <v>73437</v>
      </c>
      <c r="EK112" s="16">
        <v>83814</v>
      </c>
      <c r="EL112" s="16">
        <v>620</v>
      </c>
      <c r="EM112" s="16">
        <v>209</v>
      </c>
      <c r="EN112" s="16">
        <v>105</v>
      </c>
      <c r="EO112" s="16">
        <v>35486</v>
      </c>
      <c r="EP112" s="16">
        <v>1378</v>
      </c>
      <c r="EQ112" s="16">
        <v>7039</v>
      </c>
      <c r="ER112" s="16">
        <v>50418</v>
      </c>
      <c r="ES112" s="16">
        <v>174</v>
      </c>
      <c r="ET112" s="16">
        <v>53457</v>
      </c>
      <c r="EU112" s="16">
        <v>22</v>
      </c>
      <c r="EV112" s="16">
        <v>103593</v>
      </c>
      <c r="EW112" s="16">
        <v>812</v>
      </c>
      <c r="EX112" s="16">
        <v>48168</v>
      </c>
      <c r="EY112" s="16">
        <v>13838</v>
      </c>
      <c r="EZ112" s="16">
        <v>372</v>
      </c>
      <c r="FA112" s="16">
        <v>179</v>
      </c>
      <c r="FB112" s="16">
        <v>1019</v>
      </c>
      <c r="FC112" s="16">
        <v>201</v>
      </c>
      <c r="FD112" s="16">
        <v>20334</v>
      </c>
      <c r="FE112" s="16">
        <v>2389</v>
      </c>
      <c r="FF112" s="16">
        <v>372</v>
      </c>
      <c r="FG112" s="16">
        <v>6331</v>
      </c>
      <c r="FH112" s="16">
        <v>8</v>
      </c>
      <c r="FI112" s="16">
        <v>300804</v>
      </c>
      <c r="FJ112" s="16">
        <v>13213</v>
      </c>
      <c r="FK112" s="16">
        <v>1158</v>
      </c>
      <c r="FL112" s="16">
        <v>9060</v>
      </c>
      <c r="FM112" s="16">
        <v>-376</v>
      </c>
      <c r="FN112" s="16">
        <v>1542</v>
      </c>
      <c r="FO112" s="16">
        <v>29530</v>
      </c>
      <c r="FP112" s="16">
        <v>44652</v>
      </c>
      <c r="FQ112" s="16">
        <v>-898</v>
      </c>
      <c r="FR112" s="16">
        <v>1365</v>
      </c>
      <c r="FS112" s="16">
        <v>733</v>
      </c>
      <c r="FT112" s="16">
        <v>77</v>
      </c>
      <c r="FU112" s="16">
        <v>25335</v>
      </c>
      <c r="FV112" s="16">
        <v>18223</v>
      </c>
      <c r="FW112" s="16">
        <v>125893</v>
      </c>
      <c r="FX112" s="16">
        <v>2856</v>
      </c>
      <c r="FY112" s="16">
        <v>1717</v>
      </c>
      <c r="FZ112" s="16">
        <v>12203</v>
      </c>
      <c r="GA112" s="16">
        <v>525612</v>
      </c>
      <c r="GB112" s="16">
        <v>15595</v>
      </c>
      <c r="GC112" s="16">
        <v>2536</v>
      </c>
      <c r="GD112" s="16">
        <v>13725</v>
      </c>
      <c r="GE112" s="16">
        <v>1244158</v>
      </c>
      <c r="GF112" s="16">
        <v>854093</v>
      </c>
      <c r="GG112" s="16">
        <v>91865</v>
      </c>
      <c r="GH112" s="16">
        <v>77661</v>
      </c>
      <c r="GI112" s="16">
        <v>-4610</v>
      </c>
      <c r="GJ112" s="16">
        <v>38601</v>
      </c>
      <c r="GK112" s="16">
        <v>48495</v>
      </c>
      <c r="GL112" s="16">
        <v>11</v>
      </c>
      <c r="GM112" s="16">
        <v>257</v>
      </c>
      <c r="GN112" s="16">
        <v>-4142</v>
      </c>
      <c r="GO112" s="16">
        <v>250</v>
      </c>
      <c r="GP112" s="16">
        <v>12241</v>
      </c>
      <c r="GQ112" s="16">
        <v>1</v>
      </c>
      <c r="GR112" s="16">
        <v>367</v>
      </c>
      <c r="GS112" s="16">
        <v>105</v>
      </c>
      <c r="GT112" s="16">
        <v>-468</v>
      </c>
      <c r="GU112" s="16">
        <v>1763</v>
      </c>
      <c r="GV112" s="16">
        <v>2117</v>
      </c>
      <c r="GW112" s="16">
        <v>2211</v>
      </c>
      <c r="GX112" s="16">
        <v>196659</v>
      </c>
      <c r="GY112" s="16">
        <v>26</v>
      </c>
      <c r="GZ112" s="16">
        <v>2351</v>
      </c>
      <c r="HA112" s="16">
        <v>13621</v>
      </c>
      <c r="HB112" s="16">
        <v>-214</v>
      </c>
      <c r="HC112" s="16">
        <v>67023</v>
      </c>
      <c r="HD112" s="16">
        <v>9416</v>
      </c>
      <c r="HE112" s="16">
        <v>7061083</v>
      </c>
      <c r="HF112" s="16">
        <v>19007</v>
      </c>
      <c r="HG112" s="16">
        <v>384</v>
      </c>
      <c r="HH112" s="16">
        <v>286</v>
      </c>
      <c r="HI112" s="16">
        <v>120</v>
      </c>
      <c r="HJ112" s="16">
        <v>992</v>
      </c>
      <c r="HK112" s="16">
        <v>1406</v>
      </c>
      <c r="HL112" s="16">
        <v>187019</v>
      </c>
      <c r="HM112" s="16">
        <v>1016</v>
      </c>
      <c r="HN112" s="16">
        <v>1671</v>
      </c>
      <c r="HO112" s="16">
        <v>187</v>
      </c>
      <c r="HP112" s="16">
        <v>571</v>
      </c>
      <c r="HQ112" s="16">
        <v>42</v>
      </c>
      <c r="HR112" s="16">
        <v>588</v>
      </c>
      <c r="HS112" s="16">
        <v>126</v>
      </c>
      <c r="HT112" s="16">
        <v>48</v>
      </c>
      <c r="HU112" s="16">
        <v>323</v>
      </c>
      <c r="HV112" s="16">
        <v>111</v>
      </c>
      <c r="HW112" s="16">
        <v>285</v>
      </c>
      <c r="HX112" s="16">
        <v>14642</v>
      </c>
      <c r="HY112" s="16">
        <v>1717</v>
      </c>
      <c r="HZ112" s="16">
        <v>59870</v>
      </c>
      <c r="IA112" s="16">
        <v>1866</v>
      </c>
      <c r="IB112" s="16">
        <v>47</v>
      </c>
      <c r="IC112" s="16">
        <v>190</v>
      </c>
      <c r="ID112" s="16">
        <v>13</v>
      </c>
      <c r="IE112" s="16">
        <v>171</v>
      </c>
      <c r="IF112" s="16">
        <v>14</v>
      </c>
      <c r="IG112" s="16">
        <v>2490</v>
      </c>
      <c r="IH112" s="16">
        <v>131</v>
      </c>
      <c r="II112" s="16">
        <v>19</v>
      </c>
      <c r="IJ112" s="16">
        <v>6</v>
      </c>
      <c r="IK112" s="16">
        <v>19</v>
      </c>
      <c r="IL112" s="16">
        <v>11</v>
      </c>
      <c r="IM112" s="16">
        <v>0</v>
      </c>
      <c r="IN112" s="16">
        <v>821</v>
      </c>
      <c r="IO112" s="16">
        <v>16501</v>
      </c>
      <c r="IP112" s="16">
        <v>0</v>
      </c>
      <c r="IQ112" s="16">
        <v>452</v>
      </c>
      <c r="IR112" s="16">
        <v>24</v>
      </c>
      <c r="IS112" s="16">
        <v>5</v>
      </c>
      <c r="IT112" s="16">
        <v>19</v>
      </c>
      <c r="IU112" s="16">
        <v>5</v>
      </c>
      <c r="IV112" s="16">
        <v>1874</v>
      </c>
      <c r="IW112" s="16">
        <v>625</v>
      </c>
      <c r="IX112" s="16">
        <v>28</v>
      </c>
      <c r="IY112" s="16">
        <v>33</v>
      </c>
      <c r="IZ112" s="16">
        <v>7</v>
      </c>
      <c r="JA112" s="16">
        <v>1028</v>
      </c>
      <c r="JB112" s="16">
        <v>17</v>
      </c>
      <c r="JC112" s="16">
        <v>17</v>
      </c>
      <c r="JD112" s="16">
        <v>3595</v>
      </c>
      <c r="JE112" s="16">
        <v>2196</v>
      </c>
      <c r="JF112" s="16">
        <v>3468</v>
      </c>
      <c r="JG112" s="16">
        <v>18849</v>
      </c>
      <c r="JH112" s="16">
        <v>11138</v>
      </c>
      <c r="JI112" s="16">
        <v>99</v>
      </c>
      <c r="JJ112" s="16">
        <v>1424</v>
      </c>
      <c r="JK112" s="16">
        <v>1085000</v>
      </c>
      <c r="JL112" s="16">
        <v>2066</v>
      </c>
      <c r="JM112" s="16">
        <v>30855</v>
      </c>
      <c r="JN112" s="16">
        <v>119936</v>
      </c>
      <c r="JO112" s="16">
        <v>1598</v>
      </c>
      <c r="JP112" s="16">
        <v>129816</v>
      </c>
      <c r="JQ112" s="16">
        <v>247432</v>
      </c>
      <c r="JR112" s="16">
        <v>105766</v>
      </c>
      <c r="JS112" s="16">
        <v>1258</v>
      </c>
      <c r="JT112" s="16">
        <v>1</v>
      </c>
      <c r="JU112" s="16">
        <v>57993</v>
      </c>
      <c r="JV112" s="16">
        <v>6914</v>
      </c>
      <c r="JW112" s="16">
        <v>6</v>
      </c>
      <c r="JX112" s="16">
        <v>14</v>
      </c>
      <c r="JY112" s="16">
        <v>0</v>
      </c>
      <c r="JZ112" s="16">
        <v>36</v>
      </c>
      <c r="KA112" s="16">
        <v>1</v>
      </c>
      <c r="KB112" s="16">
        <v>0</v>
      </c>
      <c r="KC112" s="16">
        <v>0</v>
      </c>
      <c r="KD112" s="16">
        <v>0</v>
      </c>
      <c r="KE112" s="16">
        <v>0</v>
      </c>
      <c r="KF112" s="16">
        <v>18</v>
      </c>
      <c r="KG112" s="16">
        <v>2</v>
      </c>
      <c r="KH112" s="16">
        <v>1</v>
      </c>
      <c r="KI112" s="16">
        <v>194</v>
      </c>
      <c r="KJ112" s="16">
        <v>25</v>
      </c>
      <c r="KK112" s="16">
        <v>6991</v>
      </c>
      <c r="KL112" s="16">
        <v>11</v>
      </c>
      <c r="KM112" s="16">
        <v>0</v>
      </c>
      <c r="KN112" s="16">
        <v>19</v>
      </c>
      <c r="KO112" s="16">
        <v>358</v>
      </c>
      <c r="KP112" s="16">
        <v>62</v>
      </c>
      <c r="KQ112" s="16">
        <v>13</v>
      </c>
      <c r="KR112" s="16">
        <v>985</v>
      </c>
      <c r="KS112" s="16">
        <v>0</v>
      </c>
      <c r="KT112" s="16">
        <v>11</v>
      </c>
      <c r="KU112" s="16">
        <v>558</v>
      </c>
      <c r="KV112" s="16">
        <v>1468</v>
      </c>
      <c r="KW112" s="16">
        <v>2187</v>
      </c>
      <c r="KX112" s="16">
        <v>0</v>
      </c>
      <c r="KY112" s="16">
        <v>0</v>
      </c>
      <c r="KZ112" s="16">
        <v>0</v>
      </c>
      <c r="LA112" s="16">
        <v>171</v>
      </c>
      <c r="LB112" s="16">
        <v>0</v>
      </c>
      <c r="LC112" s="16">
        <v>175</v>
      </c>
      <c r="LD112" s="16">
        <v>0</v>
      </c>
      <c r="LE112" s="16">
        <v>0</v>
      </c>
      <c r="LF112" s="16">
        <v>0</v>
      </c>
      <c r="LG112" s="16">
        <v>0</v>
      </c>
      <c r="LH112" s="16">
        <v>0</v>
      </c>
      <c r="LI112" s="16">
        <v>0</v>
      </c>
      <c r="LJ112" s="16">
        <v>0</v>
      </c>
      <c r="LK112" s="16">
        <v>0</v>
      </c>
      <c r="LL112" s="16">
        <v>0</v>
      </c>
      <c r="LM112" s="16">
        <v>0</v>
      </c>
      <c r="LN112" s="16">
        <v>0</v>
      </c>
      <c r="LO112" s="16">
        <v>-815</v>
      </c>
      <c r="LP112" s="16">
        <v>51</v>
      </c>
      <c r="LQ112" s="16">
        <v>0</v>
      </c>
      <c r="LR112" s="16">
        <v>0</v>
      </c>
      <c r="LS112" s="16">
        <v>0</v>
      </c>
      <c r="LT112" s="16">
        <v>0</v>
      </c>
      <c r="LU112" s="16">
        <v>0</v>
      </c>
      <c r="LV112" s="16">
        <v>0</v>
      </c>
      <c r="LW112" s="16">
        <v>0</v>
      </c>
      <c r="LX112" s="16">
        <v>0</v>
      </c>
      <c r="LY112" s="16">
        <v>0</v>
      </c>
      <c r="LZ112" s="16">
        <v>0</v>
      </c>
      <c r="MA112" s="16">
        <v>0</v>
      </c>
      <c r="MB112" s="16">
        <v>0</v>
      </c>
      <c r="MC112" s="16">
        <v>90035</v>
      </c>
      <c r="MD112" s="16">
        <v>40072</v>
      </c>
      <c r="ME112" s="16">
        <v>104</v>
      </c>
      <c r="MF112" s="16">
        <v>239399</v>
      </c>
      <c r="MG112" s="16">
        <v>0</v>
      </c>
      <c r="MH112" s="16">
        <v>0</v>
      </c>
      <c r="MI112" s="16">
        <v>0</v>
      </c>
      <c r="MJ112" s="16">
        <v>0</v>
      </c>
      <c r="MK112" s="16">
        <v>24522</v>
      </c>
      <c r="ML112" s="16">
        <v>2117</v>
      </c>
      <c r="MM112" s="16">
        <v>410</v>
      </c>
      <c r="MN112" s="16">
        <v>0</v>
      </c>
      <c r="MO112" s="16">
        <v>10349</v>
      </c>
      <c r="MP112" s="16">
        <v>0</v>
      </c>
      <c r="MQ112" s="16">
        <v>921</v>
      </c>
      <c r="MR112" s="16">
        <v>2306</v>
      </c>
      <c r="MS112" s="16">
        <v>28287</v>
      </c>
      <c r="MT112" s="16">
        <v>4</v>
      </c>
      <c r="MU112" s="16">
        <v>134</v>
      </c>
      <c r="MV112" s="16">
        <v>7614</v>
      </c>
      <c r="MW112" s="16">
        <v>2018</v>
      </c>
      <c r="MX112" s="16">
        <v>683</v>
      </c>
      <c r="MY112" s="16">
        <v>188982</v>
      </c>
      <c r="MZ112" s="16">
        <v>3458</v>
      </c>
      <c r="NA112" s="16">
        <v>1528</v>
      </c>
      <c r="NB112" s="16">
        <v>0</v>
      </c>
      <c r="NC112" s="16">
        <v>1377</v>
      </c>
      <c r="ND112" s="16">
        <v>0</v>
      </c>
      <c r="NE112" s="16">
        <v>155</v>
      </c>
      <c r="NF112" s="16">
        <v>156</v>
      </c>
      <c r="NG112" s="16">
        <v>776</v>
      </c>
      <c r="NH112" s="16">
        <v>50</v>
      </c>
      <c r="NI112" s="16">
        <v>0</v>
      </c>
      <c r="NJ112" s="16">
        <v>0</v>
      </c>
      <c r="NK112" s="16">
        <v>452</v>
      </c>
      <c r="NL112" s="16">
        <v>12</v>
      </c>
      <c r="NM112" s="16">
        <v>0</v>
      </c>
      <c r="NN112" s="16">
        <v>0</v>
      </c>
      <c r="NO112" s="16">
        <v>0</v>
      </c>
      <c r="NP112" s="16">
        <v>3675</v>
      </c>
      <c r="NQ112" s="16">
        <v>1274</v>
      </c>
      <c r="NR112" s="17">
        <v>37480077</v>
      </c>
    </row>
    <row r="113" spans="1:382" ht="13.5" customHeight="1" x14ac:dyDescent="0.2">
      <c r="A113" s="2" t="s">
        <v>233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142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40</v>
      </c>
      <c r="BC113" s="16">
        <v>13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9745</v>
      </c>
      <c r="BK113" s="16">
        <v>15833</v>
      </c>
      <c r="BL113" s="16">
        <v>276215</v>
      </c>
      <c r="BM113" s="16">
        <v>4840</v>
      </c>
      <c r="BN113" s="16">
        <v>20755</v>
      </c>
      <c r="BO113" s="16">
        <v>250962</v>
      </c>
      <c r="BP113" s="16">
        <v>9890</v>
      </c>
      <c r="BQ113" s="16">
        <v>8016</v>
      </c>
      <c r="BR113" s="16">
        <v>7357</v>
      </c>
      <c r="BS113" s="16">
        <v>14183</v>
      </c>
      <c r="BT113" s="16">
        <v>5124</v>
      </c>
      <c r="BU113" s="16">
        <v>13</v>
      </c>
      <c r="BV113" s="16">
        <v>0</v>
      </c>
      <c r="BW113" s="16">
        <v>3241</v>
      </c>
      <c r="BX113" s="16">
        <v>69025</v>
      </c>
      <c r="BY113" s="16">
        <v>25</v>
      </c>
      <c r="BZ113" s="16">
        <v>1211</v>
      </c>
      <c r="CA113" s="16">
        <v>1301</v>
      </c>
      <c r="CB113" s="16">
        <v>2445</v>
      </c>
      <c r="CC113" s="16">
        <v>0</v>
      </c>
      <c r="CD113" s="16">
        <v>107</v>
      </c>
      <c r="CE113" s="16">
        <v>96</v>
      </c>
      <c r="CF113" s="16">
        <v>0</v>
      </c>
      <c r="CG113" s="16">
        <v>0</v>
      </c>
      <c r="CH113" s="16">
        <v>0</v>
      </c>
      <c r="CI113" s="16">
        <v>0</v>
      </c>
      <c r="CJ113" s="16">
        <v>19485</v>
      </c>
      <c r="CK113" s="16">
        <v>58896</v>
      </c>
      <c r="CL113" s="16">
        <v>114</v>
      </c>
      <c r="CM113" s="16">
        <v>179</v>
      </c>
      <c r="CN113" s="16">
        <v>468</v>
      </c>
      <c r="CO113" s="16">
        <v>953</v>
      </c>
      <c r="CP113" s="16">
        <v>8275</v>
      </c>
      <c r="CQ113" s="16">
        <v>1359</v>
      </c>
      <c r="CR113" s="16">
        <v>0</v>
      </c>
      <c r="CS113" s="16">
        <v>0</v>
      </c>
      <c r="CT113" s="16">
        <v>394</v>
      </c>
      <c r="CU113" s="16">
        <v>147</v>
      </c>
      <c r="CV113" s="16">
        <v>0</v>
      </c>
      <c r="CW113" s="16">
        <v>599</v>
      </c>
      <c r="CX113" s="16">
        <v>0</v>
      </c>
      <c r="CY113" s="16">
        <v>0</v>
      </c>
      <c r="CZ113" s="16">
        <v>30</v>
      </c>
      <c r="DA113" s="16">
        <v>0</v>
      </c>
      <c r="DB113" s="16">
        <v>20847</v>
      </c>
      <c r="DC113" s="16">
        <v>0</v>
      </c>
      <c r="DD113" s="16">
        <v>0</v>
      </c>
      <c r="DE113" s="16">
        <v>1225</v>
      </c>
      <c r="DF113" s="16">
        <v>1792</v>
      </c>
      <c r="DG113" s="16">
        <v>0</v>
      </c>
      <c r="DH113" s="16">
        <v>27998</v>
      </c>
      <c r="DI113" s="16">
        <v>152621</v>
      </c>
      <c r="DJ113" s="16">
        <v>78455</v>
      </c>
      <c r="DK113" s="16">
        <v>866</v>
      </c>
      <c r="DL113" s="16">
        <v>27916</v>
      </c>
      <c r="DM113" s="16">
        <v>11562</v>
      </c>
      <c r="DN113" s="16">
        <v>9</v>
      </c>
      <c r="DO113" s="16">
        <v>0</v>
      </c>
      <c r="DP113" s="16">
        <v>472890</v>
      </c>
      <c r="DQ113" s="16">
        <v>90984</v>
      </c>
      <c r="DR113" s="16">
        <v>15679</v>
      </c>
      <c r="DS113" s="16">
        <v>46381</v>
      </c>
      <c r="DT113" s="16">
        <v>7000</v>
      </c>
      <c r="DU113" s="16">
        <v>69827</v>
      </c>
      <c r="DV113" s="16">
        <v>101984</v>
      </c>
      <c r="DW113" s="16">
        <v>97827</v>
      </c>
      <c r="DX113" s="16">
        <v>13867</v>
      </c>
      <c r="DY113" s="16">
        <v>24884</v>
      </c>
      <c r="DZ113" s="16">
        <v>50146</v>
      </c>
      <c r="EA113" s="16">
        <v>58044</v>
      </c>
      <c r="EB113" s="16">
        <v>3</v>
      </c>
      <c r="EC113" s="16">
        <v>21203</v>
      </c>
      <c r="ED113" s="16">
        <v>4997</v>
      </c>
      <c r="EE113" s="16">
        <v>97</v>
      </c>
      <c r="EF113" s="16">
        <v>1949</v>
      </c>
      <c r="EG113" s="16">
        <v>6731</v>
      </c>
      <c r="EH113" s="16">
        <v>1955</v>
      </c>
      <c r="EI113" s="16">
        <v>1116</v>
      </c>
      <c r="EJ113" s="16">
        <v>12870</v>
      </c>
      <c r="EK113" s="16">
        <v>936</v>
      </c>
      <c r="EL113" s="16">
        <v>3764</v>
      </c>
      <c r="EM113" s="16">
        <v>51</v>
      </c>
      <c r="EN113" s="16">
        <v>3965</v>
      </c>
      <c r="EO113" s="16">
        <v>4500</v>
      </c>
      <c r="EP113" s="16">
        <v>6</v>
      </c>
      <c r="EQ113" s="16">
        <v>630</v>
      </c>
      <c r="ER113" s="16">
        <v>314</v>
      </c>
      <c r="ES113" s="16">
        <v>551</v>
      </c>
      <c r="ET113" s="16">
        <v>2881</v>
      </c>
      <c r="EU113" s="16">
        <v>0</v>
      </c>
      <c r="EV113" s="16">
        <v>0</v>
      </c>
      <c r="EW113" s="16">
        <v>0</v>
      </c>
      <c r="EX113" s="16">
        <v>0</v>
      </c>
      <c r="EY113" s="16">
        <v>0</v>
      </c>
      <c r="EZ113" s="16">
        <v>0</v>
      </c>
      <c r="FA113" s="16">
        <v>0</v>
      </c>
      <c r="FB113" s="16">
        <v>0</v>
      </c>
      <c r="FC113" s="16">
        <v>8</v>
      </c>
      <c r="FD113" s="16">
        <v>335</v>
      </c>
      <c r="FE113" s="16">
        <v>103</v>
      </c>
      <c r="FF113" s="16">
        <v>510</v>
      </c>
      <c r="FG113" s="16">
        <v>9</v>
      </c>
      <c r="FH113" s="16">
        <v>0</v>
      </c>
      <c r="FI113" s="16">
        <v>0</v>
      </c>
      <c r="FJ113" s="16">
        <v>764</v>
      </c>
      <c r="FK113" s="16">
        <v>0</v>
      </c>
      <c r="FL113" s="16">
        <v>0</v>
      </c>
      <c r="FM113" s="16">
        <v>15</v>
      </c>
      <c r="FN113" s="16">
        <v>7</v>
      </c>
      <c r="FO113" s="16">
        <v>1033</v>
      </c>
      <c r="FP113" s="16">
        <v>86</v>
      </c>
      <c r="FQ113" s="16">
        <v>418</v>
      </c>
      <c r="FR113" s="16">
        <v>56</v>
      </c>
      <c r="FS113" s="16">
        <v>64</v>
      </c>
      <c r="FT113" s="16">
        <v>275</v>
      </c>
      <c r="FU113" s="16">
        <v>410</v>
      </c>
      <c r="FV113" s="16">
        <v>1697</v>
      </c>
      <c r="FW113" s="16">
        <v>5268</v>
      </c>
      <c r="FX113" s="16">
        <v>826</v>
      </c>
      <c r="FY113" s="16">
        <v>150</v>
      </c>
      <c r="FZ113" s="16">
        <v>134</v>
      </c>
      <c r="GA113" s="16">
        <v>0</v>
      </c>
      <c r="GB113" s="16">
        <v>103</v>
      </c>
      <c r="GC113" s="16">
        <v>155</v>
      </c>
      <c r="GD113" s="16">
        <v>6026</v>
      </c>
      <c r="GE113" s="16">
        <v>9471</v>
      </c>
      <c r="GF113" s="16">
        <v>9609</v>
      </c>
      <c r="GG113" s="16">
        <v>34211</v>
      </c>
      <c r="GH113" s="16">
        <v>98890</v>
      </c>
      <c r="GI113" s="16">
        <v>2411</v>
      </c>
      <c r="GJ113" s="16">
        <v>6164</v>
      </c>
      <c r="GK113" s="16">
        <v>12504</v>
      </c>
      <c r="GL113" s="16">
        <v>0</v>
      </c>
      <c r="GM113" s="16">
        <v>12</v>
      </c>
      <c r="GN113" s="16">
        <v>429</v>
      </c>
      <c r="GO113" s="16">
        <v>0</v>
      </c>
      <c r="GP113" s="16">
        <v>854</v>
      </c>
      <c r="GQ113" s="16">
        <v>655</v>
      </c>
      <c r="GR113" s="16">
        <v>212</v>
      </c>
      <c r="GS113" s="16">
        <v>13</v>
      </c>
      <c r="GT113" s="16">
        <v>3</v>
      </c>
      <c r="GU113" s="16">
        <v>87</v>
      </c>
      <c r="GV113" s="16">
        <v>0</v>
      </c>
      <c r="GW113" s="16">
        <v>0</v>
      </c>
      <c r="GX113" s="16">
        <v>1778</v>
      </c>
      <c r="GY113" s="16">
        <v>0</v>
      </c>
      <c r="GZ113" s="16">
        <v>634</v>
      </c>
      <c r="HA113" s="16">
        <v>139</v>
      </c>
      <c r="HB113" s="16">
        <v>259</v>
      </c>
      <c r="HC113" s="16">
        <v>463</v>
      </c>
      <c r="HD113" s="16">
        <v>138</v>
      </c>
      <c r="HE113" s="16">
        <v>399028</v>
      </c>
      <c r="HF113" s="16">
        <v>769</v>
      </c>
      <c r="HG113" s="16">
        <v>947</v>
      </c>
      <c r="HH113" s="16">
        <v>993</v>
      </c>
      <c r="HI113" s="16">
        <v>4</v>
      </c>
      <c r="HJ113" s="16">
        <v>7848</v>
      </c>
      <c r="HK113" s="16">
        <v>1805</v>
      </c>
      <c r="HL113" s="16">
        <v>4496</v>
      </c>
      <c r="HM113" s="16">
        <v>11</v>
      </c>
      <c r="HN113" s="16">
        <v>25</v>
      </c>
      <c r="HO113" s="16">
        <v>366</v>
      </c>
      <c r="HP113" s="16">
        <v>4</v>
      </c>
      <c r="HQ113" s="16">
        <v>255</v>
      </c>
      <c r="HR113" s="16">
        <v>278</v>
      </c>
      <c r="HS113" s="16">
        <v>278</v>
      </c>
      <c r="HT113" s="16">
        <v>0</v>
      </c>
      <c r="HU113" s="16">
        <v>67</v>
      </c>
      <c r="HV113" s="16">
        <v>89</v>
      </c>
      <c r="HW113" s="16">
        <v>0</v>
      </c>
      <c r="HX113" s="16">
        <v>95</v>
      </c>
      <c r="HY113" s="16">
        <v>192</v>
      </c>
      <c r="HZ113" s="16">
        <v>20</v>
      </c>
      <c r="IA113" s="16">
        <v>60</v>
      </c>
      <c r="IB113" s="16">
        <v>0</v>
      </c>
      <c r="IC113" s="16">
        <v>117</v>
      </c>
      <c r="ID113" s="16">
        <v>8</v>
      </c>
      <c r="IE113" s="16">
        <v>0</v>
      </c>
      <c r="IF113" s="16">
        <v>22</v>
      </c>
      <c r="IG113" s="16">
        <v>1445</v>
      </c>
      <c r="IH113" s="16">
        <v>440</v>
      </c>
      <c r="II113" s="16">
        <v>60</v>
      </c>
      <c r="IJ113" s="16">
        <v>29</v>
      </c>
      <c r="IK113" s="16">
        <v>307</v>
      </c>
      <c r="IL113" s="16">
        <v>66</v>
      </c>
      <c r="IM113" s="16">
        <v>0</v>
      </c>
      <c r="IN113" s="16">
        <v>184</v>
      </c>
      <c r="IO113" s="16">
        <v>2597</v>
      </c>
      <c r="IP113" s="16">
        <v>0</v>
      </c>
      <c r="IQ113" s="16">
        <v>0</v>
      </c>
      <c r="IR113" s="16">
        <v>4</v>
      </c>
      <c r="IS113" s="16">
        <v>0</v>
      </c>
      <c r="IT113" s="16">
        <v>35</v>
      </c>
      <c r="IU113" s="16">
        <v>0</v>
      </c>
      <c r="IV113" s="16">
        <v>108</v>
      </c>
      <c r="IW113" s="16">
        <v>93</v>
      </c>
      <c r="IX113" s="16">
        <v>8</v>
      </c>
      <c r="IY113" s="16">
        <v>313</v>
      </c>
      <c r="IZ113" s="16">
        <v>1</v>
      </c>
      <c r="JA113" s="16">
        <v>232</v>
      </c>
      <c r="JB113" s="16">
        <v>0</v>
      </c>
      <c r="JC113" s="16">
        <v>3220</v>
      </c>
      <c r="JD113" s="16">
        <v>0</v>
      </c>
      <c r="JE113" s="16">
        <v>4921</v>
      </c>
      <c r="JF113" s="16">
        <v>7001</v>
      </c>
      <c r="JG113" s="16">
        <v>29844</v>
      </c>
      <c r="JH113" s="16">
        <v>0</v>
      </c>
      <c r="JI113" s="16">
        <v>0</v>
      </c>
      <c r="JJ113" s="16">
        <v>0</v>
      </c>
      <c r="JK113" s="16">
        <v>0</v>
      </c>
      <c r="JL113" s="16">
        <v>0</v>
      </c>
      <c r="JM113" s="16">
        <v>0</v>
      </c>
      <c r="JN113" s="16">
        <v>0</v>
      </c>
      <c r="JO113" s="16">
        <v>0</v>
      </c>
      <c r="JP113" s="16">
        <v>0</v>
      </c>
      <c r="JQ113" s="16">
        <v>0</v>
      </c>
      <c r="JR113" s="16">
        <v>577</v>
      </c>
      <c r="JS113" s="16">
        <v>767</v>
      </c>
      <c r="JT113" s="16">
        <v>0</v>
      </c>
      <c r="JU113" s="16">
        <v>89</v>
      </c>
      <c r="JV113" s="16">
        <v>0</v>
      </c>
      <c r="JW113" s="16">
        <v>16</v>
      </c>
      <c r="JX113" s="16">
        <v>31</v>
      </c>
      <c r="JY113" s="16">
        <v>97</v>
      </c>
      <c r="JZ113" s="16">
        <v>0</v>
      </c>
      <c r="KA113" s="16">
        <v>0</v>
      </c>
      <c r="KB113" s="16">
        <v>0</v>
      </c>
      <c r="KC113" s="16">
        <v>0</v>
      </c>
      <c r="KD113" s="16">
        <v>0</v>
      </c>
      <c r="KE113" s="16">
        <v>0</v>
      </c>
      <c r="KF113" s="16">
        <v>0</v>
      </c>
      <c r="KG113" s="16">
        <v>0</v>
      </c>
      <c r="KH113" s="16">
        <v>0</v>
      </c>
      <c r="KI113" s="16">
        <v>0</v>
      </c>
      <c r="KJ113" s="16">
        <v>0</v>
      </c>
      <c r="KK113" s="16">
        <v>0</v>
      </c>
      <c r="KL113" s="16">
        <v>0</v>
      </c>
      <c r="KM113" s="16">
        <v>0</v>
      </c>
      <c r="KN113" s="16">
        <v>0</v>
      </c>
      <c r="KO113" s="16">
        <v>0</v>
      </c>
      <c r="KP113" s="16">
        <v>0</v>
      </c>
      <c r="KQ113" s="16">
        <v>2</v>
      </c>
      <c r="KR113" s="16">
        <v>0</v>
      </c>
      <c r="KS113" s="16">
        <v>0</v>
      </c>
      <c r="KT113" s="16">
        <v>0</v>
      </c>
      <c r="KU113" s="16">
        <v>0</v>
      </c>
      <c r="KV113" s="16">
        <v>0</v>
      </c>
      <c r="KW113" s="16">
        <v>0</v>
      </c>
      <c r="KX113" s="16">
        <v>0</v>
      </c>
      <c r="KY113" s="16">
        <v>0</v>
      </c>
      <c r="KZ113" s="16">
        <v>0</v>
      </c>
      <c r="LA113" s="16">
        <v>0</v>
      </c>
      <c r="LB113" s="16">
        <v>0</v>
      </c>
      <c r="LC113" s="16">
        <v>0</v>
      </c>
      <c r="LD113" s="16">
        <v>0</v>
      </c>
      <c r="LE113" s="16">
        <v>0</v>
      </c>
      <c r="LF113" s="16">
        <v>0</v>
      </c>
      <c r="LG113" s="16">
        <v>0</v>
      </c>
      <c r="LH113" s="16">
        <v>0</v>
      </c>
      <c r="LI113" s="16">
        <v>0</v>
      </c>
      <c r="LJ113" s="16">
        <v>0</v>
      </c>
      <c r="LK113" s="16">
        <v>0</v>
      </c>
      <c r="LL113" s="16">
        <v>0</v>
      </c>
      <c r="LM113" s="16">
        <v>0</v>
      </c>
      <c r="LN113" s="16">
        <v>0</v>
      </c>
      <c r="LO113" s="16">
        <v>0</v>
      </c>
      <c r="LP113" s="16">
        <v>374</v>
      </c>
      <c r="LQ113" s="16">
        <v>0</v>
      </c>
      <c r="LR113" s="16">
        <v>0</v>
      </c>
      <c r="LS113" s="16">
        <v>0</v>
      </c>
      <c r="LT113" s="16">
        <v>0</v>
      </c>
      <c r="LU113" s="16">
        <v>0</v>
      </c>
      <c r="LV113" s="16">
        <v>0</v>
      </c>
      <c r="LW113" s="16">
        <v>0</v>
      </c>
      <c r="LX113" s="16">
        <v>0</v>
      </c>
      <c r="LY113" s="16">
        <v>0</v>
      </c>
      <c r="LZ113" s="16">
        <v>0</v>
      </c>
      <c r="MA113" s="16">
        <v>0</v>
      </c>
      <c r="MB113" s="16">
        <v>0</v>
      </c>
      <c r="MC113" s="16">
        <v>1415</v>
      </c>
      <c r="MD113" s="16">
        <v>1135</v>
      </c>
      <c r="ME113" s="16">
        <v>0</v>
      </c>
      <c r="MF113" s="16">
        <v>18954</v>
      </c>
      <c r="MG113" s="16">
        <v>0</v>
      </c>
      <c r="MH113" s="16">
        <v>0</v>
      </c>
      <c r="MI113" s="16">
        <v>0</v>
      </c>
      <c r="MJ113" s="16">
        <v>0</v>
      </c>
      <c r="MK113" s="16">
        <v>60</v>
      </c>
      <c r="ML113" s="16">
        <v>0</v>
      </c>
      <c r="MM113" s="16">
        <v>0</v>
      </c>
      <c r="MN113" s="16">
        <v>0</v>
      </c>
      <c r="MO113" s="16">
        <v>351</v>
      </c>
      <c r="MP113" s="16">
        <v>194</v>
      </c>
      <c r="MQ113" s="16">
        <v>0</v>
      </c>
      <c r="MR113" s="16">
        <v>34</v>
      </c>
      <c r="MS113" s="16">
        <v>41</v>
      </c>
      <c r="MT113" s="16">
        <v>0</v>
      </c>
      <c r="MU113" s="16">
        <v>0</v>
      </c>
      <c r="MV113" s="16">
        <v>0</v>
      </c>
      <c r="MW113" s="16">
        <v>0</v>
      </c>
      <c r="MX113" s="16">
        <v>40</v>
      </c>
      <c r="MY113" s="16">
        <v>0</v>
      </c>
      <c r="MZ113" s="16">
        <v>193</v>
      </c>
      <c r="NA113" s="16">
        <v>0</v>
      </c>
      <c r="NB113" s="16">
        <v>0</v>
      </c>
      <c r="NC113" s="16">
        <v>0</v>
      </c>
      <c r="ND113" s="16">
        <v>543</v>
      </c>
      <c r="NE113" s="16">
        <v>0</v>
      </c>
      <c r="NF113" s="16">
        <v>0</v>
      </c>
      <c r="NG113" s="16">
        <v>0</v>
      </c>
      <c r="NH113" s="16">
        <v>0</v>
      </c>
      <c r="NI113" s="16">
        <v>0</v>
      </c>
      <c r="NJ113" s="16">
        <v>0</v>
      </c>
      <c r="NK113" s="16">
        <v>42</v>
      </c>
      <c r="NL113" s="16">
        <v>0</v>
      </c>
      <c r="NM113" s="16">
        <v>0</v>
      </c>
      <c r="NN113" s="16">
        <v>0</v>
      </c>
      <c r="NO113" s="16">
        <v>0</v>
      </c>
      <c r="NP113" s="16">
        <v>0</v>
      </c>
      <c r="NQ113" s="16">
        <v>3</v>
      </c>
      <c r="NR113" s="17">
        <v>2923832</v>
      </c>
    </row>
    <row r="114" spans="1:382" ht="13.5" customHeight="1" x14ac:dyDescent="0.2">
      <c r="A114" s="2" t="s">
        <v>235</v>
      </c>
      <c r="B114" s="16">
        <v>-7620</v>
      </c>
      <c r="C114" s="16">
        <v>0</v>
      </c>
      <c r="D114" s="16">
        <v>0</v>
      </c>
      <c r="E114" s="16">
        <v>0</v>
      </c>
      <c r="F114" s="16">
        <v>-12515</v>
      </c>
      <c r="G114" s="16">
        <v>-3517</v>
      </c>
      <c r="H114" s="16">
        <v>-5622</v>
      </c>
      <c r="I114" s="16">
        <v>0</v>
      </c>
      <c r="J114" s="16">
        <v>0</v>
      </c>
      <c r="K114" s="16">
        <v>0</v>
      </c>
      <c r="L114" s="16">
        <v>-158</v>
      </c>
      <c r="M114" s="16">
        <v>-865</v>
      </c>
      <c r="N114" s="16">
        <v>0</v>
      </c>
      <c r="O114" s="16">
        <v>-1137</v>
      </c>
      <c r="P114" s="16">
        <v>-5078</v>
      </c>
      <c r="Q114" s="16">
        <v>-1612</v>
      </c>
      <c r="R114" s="16">
        <v>-1478</v>
      </c>
      <c r="S114" s="16">
        <v>0</v>
      </c>
      <c r="T114" s="16">
        <v>-3293</v>
      </c>
      <c r="U114" s="16">
        <v>-741</v>
      </c>
      <c r="V114" s="16">
        <v>0</v>
      </c>
      <c r="W114" s="16">
        <v>-28</v>
      </c>
      <c r="X114" s="16">
        <v>0</v>
      </c>
      <c r="Y114" s="16">
        <v>0</v>
      </c>
      <c r="Z114" s="16">
        <v>0</v>
      </c>
      <c r="AA114" s="16">
        <v>-24</v>
      </c>
      <c r="AB114" s="16">
        <v>0</v>
      </c>
      <c r="AC114" s="16">
        <v>0</v>
      </c>
      <c r="AD114" s="16">
        <v>0</v>
      </c>
      <c r="AE114" s="16">
        <v>0</v>
      </c>
      <c r="AF114" s="16">
        <v>-14</v>
      </c>
      <c r="AG114" s="16">
        <v>0</v>
      </c>
      <c r="AH114" s="16">
        <v>0</v>
      </c>
      <c r="AI114" s="16">
        <v>0</v>
      </c>
      <c r="AJ114" s="16">
        <v>-110</v>
      </c>
      <c r="AK114" s="16">
        <v>-1471</v>
      </c>
      <c r="AL114" s="16">
        <v>-10273</v>
      </c>
      <c r="AM114" s="16">
        <v>-187</v>
      </c>
      <c r="AN114" s="16">
        <v>217</v>
      </c>
      <c r="AO114" s="16">
        <v>-854</v>
      </c>
      <c r="AP114" s="16">
        <v>-16329</v>
      </c>
      <c r="AQ114" s="16">
        <v>-375</v>
      </c>
      <c r="AR114" s="16">
        <v>0</v>
      </c>
      <c r="AS114" s="16">
        <v>-989</v>
      </c>
      <c r="AT114" s="16">
        <v>-396</v>
      </c>
      <c r="AU114" s="16">
        <v>-95</v>
      </c>
      <c r="AV114" s="16">
        <v>-19</v>
      </c>
      <c r="AW114" s="16">
        <v>-257</v>
      </c>
      <c r="AX114" s="16">
        <v>-3724</v>
      </c>
      <c r="AY114" s="16">
        <v>-4123</v>
      </c>
      <c r="AZ114" s="16">
        <v>-1740</v>
      </c>
      <c r="BA114" s="16">
        <v>-1881</v>
      </c>
      <c r="BB114" s="16">
        <v>-1510</v>
      </c>
      <c r="BC114" s="16">
        <v>-9533</v>
      </c>
      <c r="BD114" s="16">
        <v>-52</v>
      </c>
      <c r="BE114" s="16">
        <v>-9132</v>
      </c>
      <c r="BF114" s="16">
        <v>358</v>
      </c>
      <c r="BG114" s="16">
        <v>-386</v>
      </c>
      <c r="BH114" s="16">
        <v>-1249</v>
      </c>
      <c r="BI114" s="16">
        <v>-971</v>
      </c>
      <c r="BJ114" s="16">
        <v>11156</v>
      </c>
      <c r="BK114" s="16">
        <v>-5338</v>
      </c>
      <c r="BL114" s="16">
        <v>28571</v>
      </c>
      <c r="BM114" s="16">
        <v>23993</v>
      </c>
      <c r="BN114" s="16">
        <v>978</v>
      </c>
      <c r="BO114" s="16">
        <v>2782</v>
      </c>
      <c r="BP114" s="16">
        <v>866665</v>
      </c>
      <c r="BQ114" s="16">
        <v>459608</v>
      </c>
      <c r="BR114" s="16">
        <v>1218156</v>
      </c>
      <c r="BS114" s="16">
        <v>-4385</v>
      </c>
      <c r="BT114" s="16">
        <v>-14</v>
      </c>
      <c r="BU114" s="16">
        <v>0</v>
      </c>
      <c r="BV114" s="16">
        <v>0</v>
      </c>
      <c r="BW114" s="16">
        <v>3827</v>
      </c>
      <c r="BX114" s="16">
        <v>5127</v>
      </c>
      <c r="BY114" s="16">
        <v>4</v>
      </c>
      <c r="BZ114" s="16">
        <v>9999</v>
      </c>
      <c r="CA114" s="16">
        <v>99807</v>
      </c>
      <c r="CB114" s="16">
        <v>4562</v>
      </c>
      <c r="CC114" s="16">
        <v>71845</v>
      </c>
      <c r="CD114" s="16">
        <v>48308</v>
      </c>
      <c r="CE114" s="16">
        <v>134941</v>
      </c>
      <c r="CF114" s="16">
        <v>19231</v>
      </c>
      <c r="CG114" s="16">
        <v>17228</v>
      </c>
      <c r="CH114" s="16">
        <v>6492</v>
      </c>
      <c r="CI114" s="16">
        <v>-13679</v>
      </c>
      <c r="CJ114" s="16">
        <v>-14734</v>
      </c>
      <c r="CK114" s="16">
        <v>7553</v>
      </c>
      <c r="CL114" s="16">
        <v>14284</v>
      </c>
      <c r="CM114" s="16">
        <v>26211</v>
      </c>
      <c r="CN114" s="16">
        <v>-2012</v>
      </c>
      <c r="CO114" s="16">
        <v>30754</v>
      </c>
      <c r="CP114" s="16">
        <v>-6557</v>
      </c>
      <c r="CQ114" s="16">
        <v>40236</v>
      </c>
      <c r="CR114" s="16">
        <v>0</v>
      </c>
      <c r="CS114" s="16">
        <v>-241</v>
      </c>
      <c r="CT114" s="16">
        <v>-224</v>
      </c>
      <c r="CU114" s="16">
        <v>-158</v>
      </c>
      <c r="CV114" s="16">
        <v>-103</v>
      </c>
      <c r="CW114" s="16">
        <v>-665</v>
      </c>
      <c r="CX114" s="16">
        <v>-258</v>
      </c>
      <c r="CY114" s="16">
        <v>-145</v>
      </c>
      <c r="CZ114" s="16">
        <v>7519</v>
      </c>
      <c r="DA114" s="16">
        <v>780</v>
      </c>
      <c r="DB114" s="16">
        <v>5540</v>
      </c>
      <c r="DC114" s="16">
        <v>182</v>
      </c>
      <c r="DD114" s="16">
        <v>5199</v>
      </c>
      <c r="DE114" s="16">
        <v>-26406</v>
      </c>
      <c r="DF114" s="16">
        <v>47249</v>
      </c>
      <c r="DG114" s="16">
        <v>-11013</v>
      </c>
      <c r="DH114" s="16">
        <v>-4483</v>
      </c>
      <c r="DI114" s="16">
        <v>-140</v>
      </c>
      <c r="DJ114" s="16">
        <v>463836</v>
      </c>
      <c r="DK114" s="16">
        <v>-966</v>
      </c>
      <c r="DL114" s="16">
        <v>6319</v>
      </c>
      <c r="DM114" s="16">
        <v>51246</v>
      </c>
      <c r="DN114" s="16">
        <v>-1054</v>
      </c>
      <c r="DO114" s="16">
        <v>-1822</v>
      </c>
      <c r="DP114" s="16">
        <v>537694</v>
      </c>
      <c r="DQ114" s="16">
        <v>107663</v>
      </c>
      <c r="DR114" s="16">
        <v>-3566</v>
      </c>
      <c r="DS114" s="16">
        <v>13315</v>
      </c>
      <c r="DT114" s="16">
        <v>379625</v>
      </c>
      <c r="DU114" s="16">
        <v>56522</v>
      </c>
      <c r="DV114" s="16">
        <v>349275</v>
      </c>
      <c r="DW114" s="16">
        <v>5125035</v>
      </c>
      <c r="DX114" s="16">
        <v>1092573</v>
      </c>
      <c r="DY114" s="16">
        <v>3526874</v>
      </c>
      <c r="DZ114" s="16">
        <v>5952692</v>
      </c>
      <c r="EA114" s="16">
        <v>3234734</v>
      </c>
      <c r="EB114" s="16">
        <v>45623</v>
      </c>
      <c r="EC114" s="16">
        <v>312397</v>
      </c>
      <c r="ED114" s="16">
        <v>22255</v>
      </c>
      <c r="EE114" s="16">
        <v>75</v>
      </c>
      <c r="EF114" s="16">
        <v>-17106</v>
      </c>
      <c r="EG114" s="16">
        <v>40386</v>
      </c>
      <c r="EH114" s="16">
        <v>4700</v>
      </c>
      <c r="EI114" s="16">
        <v>3013</v>
      </c>
      <c r="EJ114" s="16">
        <v>15289</v>
      </c>
      <c r="EK114" s="16">
        <v>-198</v>
      </c>
      <c r="EL114" s="16">
        <v>-359</v>
      </c>
      <c r="EM114" s="16">
        <v>29921</v>
      </c>
      <c r="EN114" s="16">
        <v>-1520</v>
      </c>
      <c r="EO114" s="16">
        <v>-4126</v>
      </c>
      <c r="EP114" s="16">
        <v>-1030</v>
      </c>
      <c r="EQ114" s="16">
        <v>5231</v>
      </c>
      <c r="ER114" s="16">
        <v>12822</v>
      </c>
      <c r="ES114" s="16">
        <v>-17222</v>
      </c>
      <c r="ET114" s="16">
        <v>131636</v>
      </c>
      <c r="EU114" s="16">
        <v>-4461</v>
      </c>
      <c r="EV114" s="16">
        <v>-1009</v>
      </c>
      <c r="EW114" s="16">
        <v>-1113</v>
      </c>
      <c r="EX114" s="16">
        <v>-59</v>
      </c>
      <c r="EY114" s="16">
        <v>-90</v>
      </c>
      <c r="EZ114" s="16">
        <v>-17</v>
      </c>
      <c r="FA114" s="16">
        <v>-107</v>
      </c>
      <c r="FB114" s="16">
        <v>0</v>
      </c>
      <c r="FC114" s="16">
        <v>-69</v>
      </c>
      <c r="FD114" s="16">
        <v>-41942</v>
      </c>
      <c r="FE114" s="16">
        <v>-606</v>
      </c>
      <c r="FF114" s="16">
        <v>-6899</v>
      </c>
      <c r="FG114" s="16">
        <v>-2523</v>
      </c>
      <c r="FH114" s="16">
        <v>-331</v>
      </c>
      <c r="FI114" s="16">
        <v>-1442</v>
      </c>
      <c r="FJ114" s="16">
        <v>-4852</v>
      </c>
      <c r="FK114" s="16">
        <v>-3725</v>
      </c>
      <c r="FL114" s="16">
        <v>-2997</v>
      </c>
      <c r="FM114" s="16">
        <v>-2487</v>
      </c>
      <c r="FN114" s="16">
        <v>16140</v>
      </c>
      <c r="FO114" s="16">
        <v>-15339</v>
      </c>
      <c r="FP114" s="16">
        <v>3958</v>
      </c>
      <c r="FQ114" s="16">
        <v>36101</v>
      </c>
      <c r="FR114" s="16">
        <v>41303</v>
      </c>
      <c r="FS114" s="16">
        <v>2335</v>
      </c>
      <c r="FT114" s="16">
        <v>998</v>
      </c>
      <c r="FU114" s="16">
        <v>11227</v>
      </c>
      <c r="FV114" s="16">
        <v>-15451</v>
      </c>
      <c r="FW114" s="16">
        <v>-9571</v>
      </c>
      <c r="FX114" s="16">
        <v>88281</v>
      </c>
      <c r="FY114" s="16">
        <v>123614</v>
      </c>
      <c r="FZ114" s="16">
        <v>30030</v>
      </c>
      <c r="GA114" s="16">
        <v>1365</v>
      </c>
      <c r="GB114" s="16">
        <v>22230</v>
      </c>
      <c r="GC114" s="16">
        <v>20001</v>
      </c>
      <c r="GD114" s="16">
        <v>822</v>
      </c>
      <c r="GE114" s="16">
        <v>62240</v>
      </c>
      <c r="GF114" s="16">
        <v>426453</v>
      </c>
      <c r="GG114" s="16">
        <v>56230</v>
      </c>
      <c r="GH114" s="16">
        <v>41795</v>
      </c>
      <c r="GI114" s="16">
        <v>748689</v>
      </c>
      <c r="GJ114" s="16">
        <v>104927</v>
      </c>
      <c r="GK114" s="16">
        <v>-13598</v>
      </c>
      <c r="GL114" s="16">
        <v>-472</v>
      </c>
      <c r="GM114" s="16">
        <v>-318</v>
      </c>
      <c r="GN114" s="16">
        <v>12964</v>
      </c>
      <c r="GO114" s="16">
        <v>-3240</v>
      </c>
      <c r="GP114" s="16">
        <v>7278</v>
      </c>
      <c r="GQ114" s="16">
        <v>-5395</v>
      </c>
      <c r="GR114" s="16">
        <v>-17052</v>
      </c>
      <c r="GS114" s="16">
        <v>18481</v>
      </c>
      <c r="GT114" s="16">
        <v>1937</v>
      </c>
      <c r="GU114" s="16">
        <v>45088</v>
      </c>
      <c r="GV114" s="16">
        <v>4398</v>
      </c>
      <c r="GW114" s="16">
        <v>2816</v>
      </c>
      <c r="GX114" s="16">
        <v>10431</v>
      </c>
      <c r="GY114" s="16">
        <v>43</v>
      </c>
      <c r="GZ114" s="16">
        <v>48034</v>
      </c>
      <c r="HA114" s="16">
        <v>10632</v>
      </c>
      <c r="HB114" s="16">
        <v>9140</v>
      </c>
      <c r="HC114" s="16">
        <v>423522</v>
      </c>
      <c r="HD114" s="16">
        <v>92632</v>
      </c>
      <c r="HE114" s="16">
        <v>474323</v>
      </c>
      <c r="HF114" s="16">
        <v>370017</v>
      </c>
      <c r="HG114" s="16">
        <v>53524</v>
      </c>
      <c r="HH114" s="16">
        <v>18119</v>
      </c>
      <c r="HI114" s="16">
        <v>59410</v>
      </c>
      <c r="HJ114" s="16">
        <v>64660</v>
      </c>
      <c r="HK114" s="16">
        <v>567706</v>
      </c>
      <c r="HL114" s="16">
        <v>146746</v>
      </c>
      <c r="HM114" s="16">
        <v>2152</v>
      </c>
      <c r="HN114" s="16">
        <v>2465</v>
      </c>
      <c r="HO114" s="16">
        <v>4768</v>
      </c>
      <c r="HP114" s="16">
        <v>-166</v>
      </c>
      <c r="HQ114" s="16">
        <v>-791</v>
      </c>
      <c r="HR114" s="16">
        <v>35891</v>
      </c>
      <c r="HS114" s="16">
        <v>-7260</v>
      </c>
      <c r="HT114" s="16">
        <v>189</v>
      </c>
      <c r="HU114" s="16">
        <v>-2753</v>
      </c>
      <c r="HV114" s="16">
        <v>-4703</v>
      </c>
      <c r="HW114" s="16">
        <v>-425</v>
      </c>
      <c r="HX114" s="16">
        <v>-9136</v>
      </c>
      <c r="HY114" s="16">
        <v>-11782</v>
      </c>
      <c r="HZ114" s="16">
        <v>-2941</v>
      </c>
      <c r="IA114" s="16">
        <v>-9617</v>
      </c>
      <c r="IB114" s="16">
        <v>2427</v>
      </c>
      <c r="IC114" s="16">
        <v>118</v>
      </c>
      <c r="ID114" s="16">
        <v>383</v>
      </c>
      <c r="IE114" s="16">
        <v>24</v>
      </c>
      <c r="IF114" s="16">
        <v>352</v>
      </c>
      <c r="IG114" s="16">
        <v>7125</v>
      </c>
      <c r="IH114" s="16">
        <v>48591</v>
      </c>
      <c r="II114" s="16">
        <v>7482</v>
      </c>
      <c r="IJ114" s="16">
        <v>127360</v>
      </c>
      <c r="IK114" s="16">
        <v>51783</v>
      </c>
      <c r="IL114" s="16">
        <v>36246</v>
      </c>
      <c r="IM114" s="16">
        <v>-110</v>
      </c>
      <c r="IN114" s="16">
        <v>7598</v>
      </c>
      <c r="IO114" s="16">
        <v>275663</v>
      </c>
      <c r="IP114" s="16">
        <v>-10271</v>
      </c>
      <c r="IQ114" s="16">
        <v>2286</v>
      </c>
      <c r="IR114" s="16">
        <v>993</v>
      </c>
      <c r="IS114" s="16">
        <v>229</v>
      </c>
      <c r="IT114" s="16">
        <v>-1039</v>
      </c>
      <c r="IU114" s="16">
        <v>7</v>
      </c>
      <c r="IV114" s="16">
        <v>7010</v>
      </c>
      <c r="IW114" s="16">
        <v>75263</v>
      </c>
      <c r="IX114" s="16">
        <v>3560</v>
      </c>
      <c r="IY114" s="16">
        <v>34061</v>
      </c>
      <c r="IZ114" s="16">
        <v>-10174</v>
      </c>
      <c r="JA114" s="16">
        <v>19805</v>
      </c>
      <c r="JB114" s="16">
        <v>2802</v>
      </c>
      <c r="JC114" s="16">
        <v>10339</v>
      </c>
      <c r="JD114" s="16">
        <v>110</v>
      </c>
      <c r="JE114" s="16">
        <v>328125</v>
      </c>
      <c r="JF114" s="16">
        <v>125592</v>
      </c>
      <c r="JG114" s="16">
        <v>82660</v>
      </c>
      <c r="JH114" s="16">
        <v>3096</v>
      </c>
      <c r="JI114" s="16">
        <v>-100</v>
      </c>
      <c r="JJ114" s="16">
        <v>-2701</v>
      </c>
      <c r="JK114" s="16">
        <v>-456</v>
      </c>
      <c r="JL114" s="16">
        <v>-1061</v>
      </c>
      <c r="JM114" s="16">
        <v>-24</v>
      </c>
      <c r="JN114" s="16">
        <v>-31</v>
      </c>
      <c r="JO114" s="16">
        <v>0</v>
      </c>
      <c r="JP114" s="16">
        <v>-207</v>
      </c>
      <c r="JQ114" s="16">
        <v>-10</v>
      </c>
      <c r="JR114" s="16">
        <v>-60199</v>
      </c>
      <c r="JS114" s="16">
        <v>-40088</v>
      </c>
      <c r="JT114" s="16">
        <v>0</v>
      </c>
      <c r="JU114" s="16">
        <v>-4964</v>
      </c>
      <c r="JV114" s="16">
        <v>-37556</v>
      </c>
      <c r="JW114" s="16">
        <v>4446</v>
      </c>
      <c r="JX114" s="16">
        <v>55799</v>
      </c>
      <c r="JY114" s="16">
        <v>814</v>
      </c>
      <c r="JZ114" s="16">
        <v>294</v>
      </c>
      <c r="KA114" s="16">
        <v>56</v>
      </c>
      <c r="KB114" s="16">
        <v>-50</v>
      </c>
      <c r="KC114" s="16">
        <v>325</v>
      </c>
      <c r="KD114" s="16">
        <v>-149029</v>
      </c>
      <c r="KE114" s="16">
        <v>-823</v>
      </c>
      <c r="KF114" s="16">
        <v>-3796</v>
      </c>
      <c r="KG114" s="16">
        <v>274</v>
      </c>
      <c r="KH114" s="16">
        <v>108</v>
      </c>
      <c r="KI114" s="16">
        <v>1409</v>
      </c>
      <c r="KJ114" s="16">
        <v>489</v>
      </c>
      <c r="KK114" s="16">
        <v>-274951</v>
      </c>
      <c r="KL114" s="16">
        <v>0</v>
      </c>
      <c r="KM114" s="16">
        <v>-34</v>
      </c>
      <c r="KN114" s="16">
        <v>-15915</v>
      </c>
      <c r="KO114" s="16">
        <v>-83</v>
      </c>
      <c r="KP114" s="16">
        <v>0</v>
      </c>
      <c r="KQ114" s="16">
        <v>-107</v>
      </c>
      <c r="KR114" s="16">
        <v>-9411</v>
      </c>
      <c r="KS114" s="16">
        <v>0</v>
      </c>
      <c r="KT114" s="16">
        <v>-3</v>
      </c>
      <c r="KU114" s="16">
        <v>0</v>
      </c>
      <c r="KV114" s="16">
        <v>-16225</v>
      </c>
      <c r="KW114" s="16">
        <v>-55576</v>
      </c>
      <c r="KX114" s="16">
        <v>0</v>
      </c>
      <c r="KY114" s="16">
        <v>-27710</v>
      </c>
      <c r="KZ114" s="16">
        <v>-3693</v>
      </c>
      <c r="LA114" s="16">
        <v>-1578</v>
      </c>
      <c r="LB114" s="16">
        <v>-575</v>
      </c>
      <c r="LC114" s="16">
        <v>0</v>
      </c>
      <c r="LD114" s="16">
        <v>-10228</v>
      </c>
      <c r="LE114" s="16">
        <v>-189</v>
      </c>
      <c r="LF114" s="16">
        <v>-241</v>
      </c>
      <c r="LG114" s="16">
        <v>-45</v>
      </c>
      <c r="LH114" s="16">
        <v>0</v>
      </c>
      <c r="LI114" s="16">
        <v>0</v>
      </c>
      <c r="LJ114" s="16">
        <v>0</v>
      </c>
      <c r="LK114" s="16">
        <v>-320</v>
      </c>
      <c r="LL114" s="16">
        <v>0</v>
      </c>
      <c r="LM114" s="16">
        <v>-10448</v>
      </c>
      <c r="LN114" s="16">
        <v>0</v>
      </c>
      <c r="LO114" s="16">
        <v>-48094</v>
      </c>
      <c r="LP114" s="16">
        <v>26344</v>
      </c>
      <c r="LQ114" s="16">
        <v>0</v>
      </c>
      <c r="LR114" s="16">
        <v>-117</v>
      </c>
      <c r="LS114" s="16">
        <v>0</v>
      </c>
      <c r="LT114" s="16">
        <v>0</v>
      </c>
      <c r="LU114" s="16">
        <v>0</v>
      </c>
      <c r="LV114" s="16">
        <v>0</v>
      </c>
      <c r="LW114" s="16">
        <v>0</v>
      </c>
      <c r="LX114" s="16">
        <v>-1822</v>
      </c>
      <c r="LY114" s="16">
        <v>-9349</v>
      </c>
      <c r="LZ114" s="16">
        <v>-4158</v>
      </c>
      <c r="MA114" s="16">
        <v>-15188</v>
      </c>
      <c r="MB114" s="16">
        <v>-2887</v>
      </c>
      <c r="MC114" s="16">
        <v>7127</v>
      </c>
      <c r="MD114" s="16">
        <v>4407</v>
      </c>
      <c r="ME114" s="16">
        <v>-96</v>
      </c>
      <c r="MF114" s="16">
        <v>13083</v>
      </c>
      <c r="MG114" s="16">
        <v>0</v>
      </c>
      <c r="MH114" s="16">
        <v>0</v>
      </c>
      <c r="MI114" s="16">
        <v>-1495</v>
      </c>
      <c r="MJ114" s="16">
        <v>-12350</v>
      </c>
      <c r="MK114" s="16">
        <v>-4070</v>
      </c>
      <c r="ML114" s="16">
        <v>-114</v>
      </c>
      <c r="MM114" s="16">
        <v>-117</v>
      </c>
      <c r="MN114" s="16">
        <v>-3991</v>
      </c>
      <c r="MO114" s="16">
        <v>-42093</v>
      </c>
      <c r="MP114" s="16">
        <v>-11223</v>
      </c>
      <c r="MQ114" s="16">
        <v>-3121</v>
      </c>
      <c r="MR114" s="16">
        <v>-5719</v>
      </c>
      <c r="MS114" s="16">
        <v>-77681</v>
      </c>
      <c r="MT114" s="16">
        <v>14</v>
      </c>
      <c r="MU114" s="16">
        <v>-8888</v>
      </c>
      <c r="MV114" s="16">
        <v>-2063</v>
      </c>
      <c r="MW114" s="16">
        <v>-138</v>
      </c>
      <c r="MX114" s="16">
        <v>16</v>
      </c>
      <c r="MY114" s="16">
        <v>-3869</v>
      </c>
      <c r="MZ114" s="16">
        <v>3919</v>
      </c>
      <c r="NA114" s="16">
        <v>-144</v>
      </c>
      <c r="NB114" s="16">
        <v>0</v>
      </c>
      <c r="NC114" s="16">
        <v>89</v>
      </c>
      <c r="ND114" s="16">
        <v>-31</v>
      </c>
      <c r="NE114" s="16">
        <v>-3</v>
      </c>
      <c r="NF114" s="16">
        <v>0</v>
      </c>
      <c r="NG114" s="16">
        <v>-3293</v>
      </c>
      <c r="NH114" s="16">
        <v>-2904</v>
      </c>
      <c r="NI114" s="16">
        <v>-7</v>
      </c>
      <c r="NJ114" s="16">
        <v>-158</v>
      </c>
      <c r="NK114" s="16">
        <v>-2756</v>
      </c>
      <c r="NL114" s="16">
        <v>-513</v>
      </c>
      <c r="NM114" s="16">
        <v>-28</v>
      </c>
      <c r="NN114" s="16">
        <v>0</v>
      </c>
      <c r="NO114" s="16">
        <v>0</v>
      </c>
      <c r="NP114" s="16">
        <v>-1381</v>
      </c>
      <c r="NQ114" s="16">
        <v>117</v>
      </c>
      <c r="NR114" s="17">
        <v>28972935</v>
      </c>
    </row>
    <row r="115" spans="1:382" ht="13.5" customHeight="1" x14ac:dyDescent="0.2">
      <c r="A115" s="2" t="s">
        <v>237</v>
      </c>
      <c r="B115" s="16">
        <v>0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6">
        <v>0</v>
      </c>
      <c r="BE115" s="16">
        <v>0</v>
      </c>
      <c r="BF115" s="16">
        <v>0</v>
      </c>
      <c r="BG115" s="16">
        <v>0</v>
      </c>
      <c r="BH115" s="16">
        <v>0</v>
      </c>
      <c r="BI115" s="16">
        <v>0</v>
      </c>
      <c r="BJ115" s="16">
        <v>0</v>
      </c>
      <c r="BK115" s="16">
        <v>0</v>
      </c>
      <c r="BL115" s="16">
        <v>1775</v>
      </c>
      <c r="BM115" s="16">
        <v>0</v>
      </c>
      <c r="BN115" s="16">
        <v>392</v>
      </c>
      <c r="BO115" s="16">
        <v>0</v>
      </c>
      <c r="BP115" s="16">
        <v>480</v>
      </c>
      <c r="BQ115" s="16">
        <v>7542</v>
      </c>
      <c r="BR115" s="16">
        <v>0</v>
      </c>
      <c r="BS115" s="16">
        <v>1446</v>
      </c>
      <c r="BT115" s="16">
        <v>0</v>
      </c>
      <c r="BU115" s="16">
        <v>0</v>
      </c>
      <c r="BV115" s="16">
        <v>0</v>
      </c>
      <c r="BW115" s="16">
        <v>505</v>
      </c>
      <c r="BX115" s="16">
        <v>77</v>
      </c>
      <c r="BY115" s="16">
        <v>0</v>
      </c>
      <c r="BZ115" s="16">
        <v>0</v>
      </c>
      <c r="CA115" s="16">
        <v>50813</v>
      </c>
      <c r="CB115" s="16">
        <v>336</v>
      </c>
      <c r="CC115" s="16">
        <v>0</v>
      </c>
      <c r="CD115" s="16">
        <v>0</v>
      </c>
      <c r="CE115" s="16">
        <v>0</v>
      </c>
      <c r="CF115" s="16">
        <v>0</v>
      </c>
      <c r="CG115" s="16">
        <v>0</v>
      </c>
      <c r="CH115" s="16">
        <v>0</v>
      </c>
      <c r="CI115" s="16">
        <v>0</v>
      </c>
      <c r="CJ115" s="16">
        <v>41613</v>
      </c>
      <c r="CK115" s="16">
        <v>11140</v>
      </c>
      <c r="CL115" s="16">
        <v>0</v>
      </c>
      <c r="CM115" s="16">
        <v>1698</v>
      </c>
      <c r="CN115" s="16">
        <v>589</v>
      </c>
      <c r="CO115" s="16">
        <v>1544</v>
      </c>
      <c r="CP115" s="16">
        <v>2220</v>
      </c>
      <c r="CQ115" s="16">
        <v>0</v>
      </c>
      <c r="CR115" s="16">
        <v>0</v>
      </c>
      <c r="CS115" s="16">
        <v>0</v>
      </c>
      <c r="CT115" s="16">
        <v>0</v>
      </c>
      <c r="CU115" s="16">
        <v>0</v>
      </c>
      <c r="CV115" s="16">
        <v>0</v>
      </c>
      <c r="CW115" s="16">
        <v>0</v>
      </c>
      <c r="CX115" s="16">
        <v>0</v>
      </c>
      <c r="CY115" s="16">
        <v>0</v>
      </c>
      <c r="CZ115" s="16">
        <v>131</v>
      </c>
      <c r="DA115" s="16">
        <v>0</v>
      </c>
      <c r="DB115" s="16">
        <v>54579</v>
      </c>
      <c r="DC115" s="16">
        <v>0</v>
      </c>
      <c r="DD115" s="16">
        <v>0</v>
      </c>
      <c r="DE115" s="16">
        <v>7256</v>
      </c>
      <c r="DF115" s="16">
        <v>443</v>
      </c>
      <c r="DG115" s="16">
        <v>0</v>
      </c>
      <c r="DH115" s="16">
        <v>0</v>
      </c>
      <c r="DI115" s="16">
        <v>0</v>
      </c>
      <c r="DJ115" s="16">
        <v>9837</v>
      </c>
      <c r="DK115" s="16">
        <v>2612</v>
      </c>
      <c r="DL115" s="16">
        <v>0</v>
      </c>
      <c r="DM115" s="16">
        <v>0</v>
      </c>
      <c r="DN115" s="16">
        <v>0</v>
      </c>
      <c r="DO115" s="16">
        <v>0</v>
      </c>
      <c r="DP115" s="16">
        <v>939</v>
      </c>
      <c r="DQ115" s="16">
        <v>0</v>
      </c>
      <c r="DR115" s="16">
        <v>0</v>
      </c>
      <c r="DS115" s="16">
        <v>0</v>
      </c>
      <c r="DT115" s="16">
        <v>68844</v>
      </c>
      <c r="DU115" s="16">
        <v>0</v>
      </c>
      <c r="DV115" s="16">
        <v>80</v>
      </c>
      <c r="DW115" s="16">
        <v>967</v>
      </c>
      <c r="DX115" s="16">
        <v>2191</v>
      </c>
      <c r="DY115" s="16">
        <v>3013</v>
      </c>
      <c r="DZ115" s="16">
        <v>1937</v>
      </c>
      <c r="EA115" s="16">
        <v>3821</v>
      </c>
      <c r="EB115" s="16">
        <v>634563</v>
      </c>
      <c r="EC115" s="16">
        <v>1075328</v>
      </c>
      <c r="ED115" s="16">
        <v>178484</v>
      </c>
      <c r="EE115" s="16">
        <v>0</v>
      </c>
      <c r="EF115" s="16">
        <v>0</v>
      </c>
      <c r="EG115" s="16">
        <v>0</v>
      </c>
      <c r="EH115" s="16">
        <v>0</v>
      </c>
      <c r="EI115" s="16">
        <v>0</v>
      </c>
      <c r="EJ115" s="16">
        <v>0</v>
      </c>
      <c r="EK115" s="16">
        <v>0</v>
      </c>
      <c r="EL115" s="16">
        <v>0</v>
      </c>
      <c r="EM115" s="16">
        <v>0</v>
      </c>
      <c r="EN115" s="16">
        <v>0</v>
      </c>
      <c r="EO115" s="16">
        <v>0</v>
      </c>
      <c r="EP115" s="16">
        <v>0</v>
      </c>
      <c r="EQ115" s="16">
        <v>0</v>
      </c>
      <c r="ER115" s="16">
        <v>510</v>
      </c>
      <c r="ES115" s="16">
        <v>111</v>
      </c>
      <c r="ET115" s="16">
        <v>68</v>
      </c>
      <c r="EU115" s="16">
        <v>0</v>
      </c>
      <c r="EV115" s="16">
        <v>0</v>
      </c>
      <c r="EW115" s="16">
        <v>0</v>
      </c>
      <c r="EX115" s="16">
        <v>0</v>
      </c>
      <c r="EY115" s="16">
        <v>0</v>
      </c>
      <c r="EZ115" s="16">
        <v>0</v>
      </c>
      <c r="FA115" s="16">
        <v>0</v>
      </c>
      <c r="FB115" s="16">
        <v>0</v>
      </c>
      <c r="FC115" s="16">
        <v>26</v>
      </c>
      <c r="FD115" s="16">
        <v>0</v>
      </c>
      <c r="FE115" s="16">
        <v>0</v>
      </c>
      <c r="FF115" s="16">
        <v>0</v>
      </c>
      <c r="FG115" s="16">
        <v>0</v>
      </c>
      <c r="FH115" s="16">
        <v>0</v>
      </c>
      <c r="FI115" s="16">
        <v>0</v>
      </c>
      <c r="FJ115" s="16">
        <v>0</v>
      </c>
      <c r="FK115" s="16">
        <v>0</v>
      </c>
      <c r="FL115" s="16">
        <v>0</v>
      </c>
      <c r="FM115" s="16">
        <v>0</v>
      </c>
      <c r="FN115" s="16">
        <v>0</v>
      </c>
      <c r="FO115" s="16">
        <v>0</v>
      </c>
      <c r="FP115" s="16">
        <v>0</v>
      </c>
      <c r="FQ115" s="16">
        <v>0</v>
      </c>
      <c r="FR115" s="16">
        <v>0</v>
      </c>
      <c r="FS115" s="16">
        <v>0</v>
      </c>
      <c r="FT115" s="16">
        <v>0</v>
      </c>
      <c r="FU115" s="16">
        <v>0</v>
      </c>
      <c r="FV115" s="16">
        <v>0</v>
      </c>
      <c r="FW115" s="16">
        <v>0</v>
      </c>
      <c r="FX115" s="16">
        <v>0</v>
      </c>
      <c r="FY115" s="16">
        <v>0</v>
      </c>
      <c r="FZ115" s="16">
        <v>0</v>
      </c>
      <c r="GA115" s="16">
        <v>0</v>
      </c>
      <c r="GB115" s="16">
        <v>0</v>
      </c>
      <c r="GC115" s="16">
        <v>0</v>
      </c>
      <c r="GD115" s="16">
        <v>0</v>
      </c>
      <c r="GE115" s="16">
        <v>0</v>
      </c>
      <c r="GF115" s="16">
        <v>0</v>
      </c>
      <c r="GG115" s="16">
        <v>0</v>
      </c>
      <c r="GH115" s="16">
        <v>0</v>
      </c>
      <c r="GI115" s="16">
        <v>0</v>
      </c>
      <c r="GJ115" s="16">
        <v>0</v>
      </c>
      <c r="GK115" s="16">
        <v>0</v>
      </c>
      <c r="GL115" s="16">
        <v>0</v>
      </c>
      <c r="GM115" s="16">
        <v>0</v>
      </c>
      <c r="GN115" s="16">
        <v>0</v>
      </c>
      <c r="GO115" s="16">
        <v>0</v>
      </c>
      <c r="GP115" s="16">
        <v>19</v>
      </c>
      <c r="GQ115" s="16">
        <v>0</v>
      </c>
      <c r="GR115" s="16">
        <v>0</v>
      </c>
      <c r="GS115" s="16">
        <v>0</v>
      </c>
      <c r="GT115" s="16">
        <v>0</v>
      </c>
      <c r="GU115" s="16">
        <v>11583</v>
      </c>
      <c r="GV115" s="16">
        <v>0</v>
      </c>
      <c r="GW115" s="16">
        <v>0</v>
      </c>
      <c r="GX115" s="16">
        <v>0</v>
      </c>
      <c r="GY115" s="16">
        <v>0</v>
      </c>
      <c r="GZ115" s="16">
        <v>0</v>
      </c>
      <c r="HA115" s="16">
        <v>0</v>
      </c>
      <c r="HB115" s="16">
        <v>0</v>
      </c>
      <c r="HC115" s="16">
        <v>3</v>
      </c>
      <c r="HD115" s="16">
        <v>0</v>
      </c>
      <c r="HE115" s="16">
        <v>0</v>
      </c>
      <c r="HF115" s="16">
        <v>1574</v>
      </c>
      <c r="HG115" s="16">
        <v>0</v>
      </c>
      <c r="HH115" s="16">
        <v>0</v>
      </c>
      <c r="HI115" s="16">
        <v>746</v>
      </c>
      <c r="HJ115" s="16">
        <v>0</v>
      </c>
      <c r="HK115" s="16">
        <v>0</v>
      </c>
      <c r="HL115" s="16">
        <v>3123</v>
      </c>
      <c r="HM115" s="16">
        <v>0</v>
      </c>
      <c r="HN115" s="16">
        <v>0</v>
      </c>
      <c r="HO115" s="16">
        <v>0</v>
      </c>
      <c r="HP115" s="16">
        <v>0</v>
      </c>
      <c r="HQ115" s="16">
        <v>0</v>
      </c>
      <c r="HR115" s="16">
        <v>0</v>
      </c>
      <c r="HS115" s="16">
        <v>0</v>
      </c>
      <c r="HT115" s="16">
        <v>147</v>
      </c>
      <c r="HU115" s="16">
        <v>0</v>
      </c>
      <c r="HV115" s="16">
        <v>0</v>
      </c>
      <c r="HW115" s="16">
        <v>0</v>
      </c>
      <c r="HX115" s="16">
        <v>0</v>
      </c>
      <c r="HY115" s="16">
        <v>196</v>
      </c>
      <c r="HZ115" s="16">
        <v>0</v>
      </c>
      <c r="IA115" s="16">
        <v>0</v>
      </c>
      <c r="IB115" s="16">
        <v>0</v>
      </c>
      <c r="IC115" s="16">
        <v>0</v>
      </c>
      <c r="ID115" s="16">
        <v>0</v>
      </c>
      <c r="IE115" s="16">
        <v>0</v>
      </c>
      <c r="IF115" s="16">
        <v>0</v>
      </c>
      <c r="IG115" s="16">
        <v>0</v>
      </c>
      <c r="IH115" s="16">
        <v>0</v>
      </c>
      <c r="II115" s="16">
        <v>0</v>
      </c>
      <c r="IJ115" s="16">
        <v>0</v>
      </c>
      <c r="IK115" s="16">
        <v>0</v>
      </c>
      <c r="IL115" s="16">
        <v>0</v>
      </c>
      <c r="IM115" s="16">
        <v>0</v>
      </c>
      <c r="IN115" s="16">
        <v>0</v>
      </c>
      <c r="IO115" s="16">
        <v>18862</v>
      </c>
      <c r="IP115" s="16">
        <v>0</v>
      </c>
      <c r="IQ115" s="16">
        <v>0</v>
      </c>
      <c r="IR115" s="16">
        <v>0</v>
      </c>
      <c r="IS115" s="16">
        <v>0</v>
      </c>
      <c r="IT115" s="16">
        <v>0</v>
      </c>
      <c r="IU115" s="16">
        <v>0</v>
      </c>
      <c r="IV115" s="16">
        <v>13841</v>
      </c>
      <c r="IW115" s="16">
        <v>0</v>
      </c>
      <c r="IX115" s="16">
        <v>0</v>
      </c>
      <c r="IY115" s="16">
        <v>0</v>
      </c>
      <c r="IZ115" s="16">
        <v>4</v>
      </c>
      <c r="JA115" s="16">
        <v>36463</v>
      </c>
      <c r="JB115" s="16">
        <v>0</v>
      </c>
      <c r="JC115" s="16">
        <v>53</v>
      </c>
      <c r="JD115" s="16">
        <v>0</v>
      </c>
      <c r="JE115" s="16">
        <v>0</v>
      </c>
      <c r="JF115" s="16">
        <v>15469</v>
      </c>
      <c r="JG115" s="16">
        <v>43055</v>
      </c>
      <c r="JH115" s="16">
        <v>0</v>
      </c>
      <c r="JI115" s="16">
        <v>0</v>
      </c>
      <c r="JJ115" s="16">
        <v>0</v>
      </c>
      <c r="JK115" s="16">
        <v>0</v>
      </c>
      <c r="JL115" s="16">
        <v>0</v>
      </c>
      <c r="JM115" s="16">
        <v>0</v>
      </c>
      <c r="JN115" s="16">
        <v>0</v>
      </c>
      <c r="JO115" s="16">
        <v>0</v>
      </c>
      <c r="JP115" s="16">
        <v>0</v>
      </c>
      <c r="JQ115" s="16">
        <v>0</v>
      </c>
      <c r="JR115" s="16">
        <v>0</v>
      </c>
      <c r="JS115" s="16">
        <v>0</v>
      </c>
      <c r="JT115" s="16">
        <v>0</v>
      </c>
      <c r="JU115" s="16">
        <v>0</v>
      </c>
      <c r="JV115" s="16">
        <v>0</v>
      </c>
      <c r="JW115" s="16">
        <v>0</v>
      </c>
      <c r="JX115" s="16">
        <v>0</v>
      </c>
      <c r="JY115" s="16">
        <v>0</v>
      </c>
      <c r="JZ115" s="16">
        <v>0</v>
      </c>
      <c r="KA115" s="16">
        <v>0</v>
      </c>
      <c r="KB115" s="16">
        <v>0</v>
      </c>
      <c r="KC115" s="16">
        <v>0</v>
      </c>
      <c r="KD115" s="16">
        <v>0</v>
      </c>
      <c r="KE115" s="16">
        <v>0</v>
      </c>
      <c r="KF115" s="16">
        <v>0</v>
      </c>
      <c r="KG115" s="16">
        <v>0</v>
      </c>
      <c r="KH115" s="16">
        <v>0</v>
      </c>
      <c r="KI115" s="16">
        <v>0</v>
      </c>
      <c r="KJ115" s="16">
        <v>973</v>
      </c>
      <c r="KK115" s="16">
        <v>0</v>
      </c>
      <c r="KL115" s="16">
        <v>0</v>
      </c>
      <c r="KM115" s="16">
        <v>0</v>
      </c>
      <c r="KN115" s="16">
        <v>0</v>
      </c>
      <c r="KO115" s="16">
        <v>0</v>
      </c>
      <c r="KP115" s="16">
        <v>0</v>
      </c>
      <c r="KQ115" s="16">
        <v>0</v>
      </c>
      <c r="KR115" s="16">
        <v>0</v>
      </c>
      <c r="KS115" s="16">
        <v>0</v>
      </c>
      <c r="KT115" s="16">
        <v>0</v>
      </c>
      <c r="KU115" s="16">
        <v>0</v>
      </c>
      <c r="KV115" s="16">
        <v>0</v>
      </c>
      <c r="KW115" s="16">
        <v>0</v>
      </c>
      <c r="KX115" s="16">
        <v>0</v>
      </c>
      <c r="KY115" s="16">
        <v>0</v>
      </c>
      <c r="KZ115" s="16">
        <v>0</v>
      </c>
      <c r="LA115" s="16">
        <v>0</v>
      </c>
      <c r="LB115" s="16">
        <v>0</v>
      </c>
      <c r="LC115" s="16">
        <v>0</v>
      </c>
      <c r="LD115" s="16">
        <v>0</v>
      </c>
      <c r="LE115" s="16">
        <v>0</v>
      </c>
      <c r="LF115" s="16">
        <v>0</v>
      </c>
      <c r="LG115" s="16">
        <v>0</v>
      </c>
      <c r="LH115" s="16">
        <v>0</v>
      </c>
      <c r="LI115" s="16">
        <v>0</v>
      </c>
      <c r="LJ115" s="16">
        <v>0</v>
      </c>
      <c r="LK115" s="16">
        <v>0</v>
      </c>
      <c r="LL115" s="16">
        <v>0</v>
      </c>
      <c r="LM115" s="16">
        <v>0</v>
      </c>
      <c r="LN115" s="16">
        <v>0</v>
      </c>
      <c r="LO115" s="16">
        <v>0</v>
      </c>
      <c r="LP115" s="16">
        <v>0</v>
      </c>
      <c r="LQ115" s="16">
        <v>0</v>
      </c>
      <c r="LR115" s="16">
        <v>0</v>
      </c>
      <c r="LS115" s="16">
        <v>0</v>
      </c>
      <c r="LT115" s="16">
        <v>0</v>
      </c>
      <c r="LU115" s="16">
        <v>0</v>
      </c>
      <c r="LV115" s="16">
        <v>0</v>
      </c>
      <c r="LW115" s="16">
        <v>0</v>
      </c>
      <c r="LX115" s="16">
        <v>0</v>
      </c>
      <c r="LY115" s="16">
        <v>0</v>
      </c>
      <c r="LZ115" s="16">
        <v>0</v>
      </c>
      <c r="MA115" s="16">
        <v>0</v>
      </c>
      <c r="MB115" s="16">
        <v>0</v>
      </c>
      <c r="MC115" s="16">
        <v>1935</v>
      </c>
      <c r="MD115" s="16">
        <v>0</v>
      </c>
      <c r="ME115" s="16">
        <v>0</v>
      </c>
      <c r="MF115" s="16">
        <v>22821</v>
      </c>
      <c r="MG115" s="16">
        <v>0</v>
      </c>
      <c r="MH115" s="16">
        <v>0</v>
      </c>
      <c r="MI115" s="16">
        <v>0</v>
      </c>
      <c r="MJ115" s="16">
        <v>0</v>
      </c>
      <c r="MK115" s="16">
        <v>0</v>
      </c>
      <c r="ML115" s="16">
        <v>0</v>
      </c>
      <c r="MM115" s="16">
        <v>0</v>
      </c>
      <c r="MN115" s="16">
        <v>0</v>
      </c>
      <c r="MO115" s="16">
        <v>0</v>
      </c>
      <c r="MP115" s="16">
        <v>0</v>
      </c>
      <c r="MQ115" s="16">
        <v>0</v>
      </c>
      <c r="MR115" s="16">
        <v>1</v>
      </c>
      <c r="MS115" s="16">
        <v>391</v>
      </c>
      <c r="MT115" s="16">
        <v>0</v>
      </c>
      <c r="MU115" s="16">
        <v>0</v>
      </c>
      <c r="MV115" s="16">
        <v>0</v>
      </c>
      <c r="MW115" s="16">
        <v>0</v>
      </c>
      <c r="MX115" s="16">
        <v>18</v>
      </c>
      <c r="MY115" s="16">
        <v>0</v>
      </c>
      <c r="MZ115" s="16">
        <v>2458</v>
      </c>
      <c r="NA115" s="16">
        <v>0</v>
      </c>
      <c r="NB115" s="16">
        <v>0</v>
      </c>
      <c r="NC115" s="16">
        <v>0</v>
      </c>
      <c r="ND115" s="16">
        <v>0</v>
      </c>
      <c r="NE115" s="16">
        <v>0</v>
      </c>
      <c r="NF115" s="16">
        <v>0</v>
      </c>
      <c r="NG115" s="16">
        <v>0</v>
      </c>
      <c r="NH115" s="16">
        <v>0</v>
      </c>
      <c r="NI115" s="16">
        <v>0</v>
      </c>
      <c r="NJ115" s="16">
        <v>0</v>
      </c>
      <c r="NK115" s="16">
        <v>0</v>
      </c>
      <c r="NL115" s="16">
        <v>0</v>
      </c>
      <c r="NM115" s="16">
        <v>0</v>
      </c>
      <c r="NN115" s="16">
        <v>0</v>
      </c>
      <c r="NO115" s="16">
        <v>0</v>
      </c>
      <c r="NP115" s="16">
        <v>0</v>
      </c>
      <c r="NQ115" s="16">
        <v>0</v>
      </c>
      <c r="NR115" s="17">
        <v>2341645</v>
      </c>
    </row>
    <row r="116" spans="1:382" ht="13.5" customHeight="1" x14ac:dyDescent="0.2">
      <c r="A116" s="2" t="s">
        <v>239</v>
      </c>
      <c r="B116" s="16">
        <v>0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274874</v>
      </c>
      <c r="BK116" s="16">
        <v>93063</v>
      </c>
      <c r="BL116" s="16">
        <v>781136</v>
      </c>
      <c r="BM116" s="16">
        <v>189292</v>
      </c>
      <c r="BN116" s="16">
        <v>167858</v>
      </c>
      <c r="BO116" s="16">
        <v>0</v>
      </c>
      <c r="BP116" s="16">
        <v>38873</v>
      </c>
      <c r="BQ116" s="16">
        <v>134700</v>
      </c>
      <c r="BR116" s="16">
        <v>204602</v>
      </c>
      <c r="BS116" s="16">
        <v>52899</v>
      </c>
      <c r="BT116" s="16">
        <v>16286</v>
      </c>
      <c r="BU116" s="16">
        <v>0</v>
      </c>
      <c r="BV116" s="16">
        <v>0</v>
      </c>
      <c r="BW116" s="16">
        <v>0</v>
      </c>
      <c r="BX116" s="16">
        <v>0</v>
      </c>
      <c r="BY116" s="16">
        <v>296</v>
      </c>
      <c r="BZ116" s="16">
        <v>11168</v>
      </c>
      <c r="CA116" s="16">
        <v>0</v>
      </c>
      <c r="CB116" s="16">
        <v>664</v>
      </c>
      <c r="CC116" s="16">
        <v>0</v>
      </c>
      <c r="CD116" s="16">
        <v>0</v>
      </c>
      <c r="CE116" s="16">
        <v>0</v>
      </c>
      <c r="CF116" s="16">
        <v>0</v>
      </c>
      <c r="CG116" s="16">
        <v>0</v>
      </c>
      <c r="CH116" s="16">
        <v>0</v>
      </c>
      <c r="CI116" s="16">
        <v>0</v>
      </c>
      <c r="CJ116" s="16">
        <v>4516</v>
      </c>
      <c r="CK116" s="16">
        <v>4453</v>
      </c>
      <c r="CL116" s="16">
        <v>0</v>
      </c>
      <c r="CM116" s="16">
        <v>0</v>
      </c>
      <c r="CN116" s="16">
        <v>0</v>
      </c>
      <c r="CO116" s="16">
        <v>36097</v>
      </c>
      <c r="CP116" s="16">
        <v>708</v>
      </c>
      <c r="CQ116" s="16">
        <v>0</v>
      </c>
      <c r="CR116" s="16">
        <v>0</v>
      </c>
      <c r="CS116" s="16">
        <v>0</v>
      </c>
      <c r="CT116" s="16">
        <v>0</v>
      </c>
      <c r="CU116" s="16">
        <v>0</v>
      </c>
      <c r="CV116" s="16">
        <v>0</v>
      </c>
      <c r="CW116" s="16">
        <v>0</v>
      </c>
      <c r="CX116" s="16">
        <v>0</v>
      </c>
      <c r="CY116" s="16">
        <v>0</v>
      </c>
      <c r="CZ116" s="16">
        <v>0</v>
      </c>
      <c r="DA116" s="16">
        <v>0</v>
      </c>
      <c r="DB116" s="16">
        <v>0</v>
      </c>
      <c r="DC116" s="16">
        <v>0</v>
      </c>
      <c r="DD116" s="16">
        <v>0</v>
      </c>
      <c r="DE116" s="16">
        <v>0</v>
      </c>
      <c r="DF116" s="16">
        <v>439</v>
      </c>
      <c r="DG116" s="16">
        <v>0</v>
      </c>
      <c r="DH116" s="16">
        <v>0</v>
      </c>
      <c r="DI116" s="16">
        <v>0</v>
      </c>
      <c r="DJ116" s="16">
        <v>0</v>
      </c>
      <c r="DK116" s="16">
        <v>0</v>
      </c>
      <c r="DL116" s="16">
        <v>44539</v>
      </c>
      <c r="DM116" s="16">
        <v>0</v>
      </c>
      <c r="DN116" s="16">
        <v>0</v>
      </c>
      <c r="DO116" s="16">
        <v>0</v>
      </c>
      <c r="DP116" s="16">
        <v>11685</v>
      </c>
      <c r="DQ116" s="16">
        <v>0</v>
      </c>
      <c r="DR116" s="16">
        <v>0</v>
      </c>
      <c r="DS116" s="16">
        <v>1229</v>
      </c>
      <c r="DT116" s="16">
        <v>0</v>
      </c>
      <c r="DU116" s="16">
        <v>0</v>
      </c>
      <c r="DV116" s="16">
        <v>123</v>
      </c>
      <c r="DW116" s="16">
        <v>80039</v>
      </c>
      <c r="DX116" s="16">
        <v>15356</v>
      </c>
      <c r="DY116" s="16">
        <v>32010</v>
      </c>
      <c r="DZ116" s="16">
        <v>68150</v>
      </c>
      <c r="EA116" s="16">
        <v>29676</v>
      </c>
      <c r="EB116" s="16">
        <v>0</v>
      </c>
      <c r="EC116" s="16">
        <v>8320</v>
      </c>
      <c r="ED116" s="16">
        <v>0</v>
      </c>
      <c r="EE116" s="16">
        <v>0</v>
      </c>
      <c r="EF116" s="16">
        <v>0</v>
      </c>
      <c r="EG116" s="16">
        <v>0</v>
      </c>
      <c r="EH116" s="16">
        <v>0</v>
      </c>
      <c r="EI116" s="16">
        <v>0</v>
      </c>
      <c r="EJ116" s="16">
        <v>0</v>
      </c>
      <c r="EK116" s="16">
        <v>0</v>
      </c>
      <c r="EL116" s="16">
        <v>0</v>
      </c>
      <c r="EM116" s="16">
        <v>0</v>
      </c>
      <c r="EN116" s="16">
        <v>0</v>
      </c>
      <c r="EO116" s="16">
        <v>0</v>
      </c>
      <c r="EP116" s="16">
        <v>2586</v>
      </c>
      <c r="EQ116" s="16">
        <v>0</v>
      </c>
      <c r="ER116" s="16">
        <v>0</v>
      </c>
      <c r="ES116" s="16">
        <v>0</v>
      </c>
      <c r="ET116" s="16">
        <v>0</v>
      </c>
      <c r="EU116" s="16">
        <v>0</v>
      </c>
      <c r="EV116" s="16">
        <v>0</v>
      </c>
      <c r="EW116" s="16">
        <v>0</v>
      </c>
      <c r="EX116" s="16">
        <v>0</v>
      </c>
      <c r="EY116" s="16">
        <v>0</v>
      </c>
      <c r="EZ116" s="16">
        <v>0</v>
      </c>
      <c r="FA116" s="16">
        <v>0</v>
      </c>
      <c r="FB116" s="16">
        <v>0</v>
      </c>
      <c r="FC116" s="16">
        <v>0</v>
      </c>
      <c r="FD116" s="16">
        <v>0</v>
      </c>
      <c r="FE116" s="16">
        <v>0</v>
      </c>
      <c r="FF116" s="16">
        <v>0</v>
      </c>
      <c r="FG116" s="16">
        <v>0</v>
      </c>
      <c r="FH116" s="16">
        <v>0</v>
      </c>
      <c r="FI116" s="16">
        <v>0</v>
      </c>
      <c r="FJ116" s="16">
        <v>0</v>
      </c>
      <c r="FK116" s="16">
        <v>0</v>
      </c>
      <c r="FL116" s="16">
        <v>0</v>
      </c>
      <c r="FM116" s="16">
        <v>0</v>
      </c>
      <c r="FN116" s="16">
        <v>0</v>
      </c>
      <c r="FO116" s="16">
        <v>0</v>
      </c>
      <c r="FP116" s="16">
        <v>0</v>
      </c>
      <c r="FQ116" s="16">
        <v>0</v>
      </c>
      <c r="FR116" s="16">
        <v>0</v>
      </c>
      <c r="FS116" s="16">
        <v>0</v>
      </c>
      <c r="FT116" s="16">
        <v>0</v>
      </c>
      <c r="FU116" s="16">
        <v>0</v>
      </c>
      <c r="FV116" s="16">
        <v>0</v>
      </c>
      <c r="FW116" s="16">
        <v>0</v>
      </c>
      <c r="FX116" s="16">
        <v>0</v>
      </c>
      <c r="FY116" s="16">
        <v>0</v>
      </c>
      <c r="FZ116" s="16">
        <v>0</v>
      </c>
      <c r="GA116" s="16">
        <v>0</v>
      </c>
      <c r="GB116" s="16">
        <v>0</v>
      </c>
      <c r="GC116" s="16">
        <v>0</v>
      </c>
      <c r="GD116" s="16">
        <v>0</v>
      </c>
      <c r="GE116" s="16">
        <v>0</v>
      </c>
      <c r="GF116" s="16">
        <v>0</v>
      </c>
      <c r="GG116" s="16">
        <v>0</v>
      </c>
      <c r="GH116" s="16">
        <v>0</v>
      </c>
      <c r="GI116" s="16">
        <v>0</v>
      </c>
      <c r="GJ116" s="16">
        <v>0</v>
      </c>
      <c r="GK116" s="16">
        <v>0</v>
      </c>
      <c r="GL116" s="16">
        <v>0</v>
      </c>
      <c r="GM116" s="16">
        <v>0</v>
      </c>
      <c r="GN116" s="16">
        <v>0</v>
      </c>
      <c r="GO116" s="16">
        <v>0</v>
      </c>
      <c r="GP116" s="16">
        <v>0</v>
      </c>
      <c r="GQ116" s="16">
        <v>0</v>
      </c>
      <c r="GR116" s="16">
        <v>0</v>
      </c>
      <c r="GS116" s="16">
        <v>0</v>
      </c>
      <c r="GT116" s="16">
        <v>0</v>
      </c>
      <c r="GU116" s="16">
        <v>0</v>
      </c>
      <c r="GV116" s="16">
        <v>0</v>
      </c>
      <c r="GW116" s="16">
        <v>0</v>
      </c>
      <c r="GX116" s="16">
        <v>2462</v>
      </c>
      <c r="GY116" s="16">
        <v>0</v>
      </c>
      <c r="GZ116" s="16">
        <v>0</v>
      </c>
      <c r="HA116" s="16">
        <v>0</v>
      </c>
      <c r="HB116" s="16">
        <v>0</v>
      </c>
      <c r="HC116" s="16">
        <v>2557</v>
      </c>
      <c r="HD116" s="16">
        <v>0</v>
      </c>
      <c r="HE116" s="16">
        <v>4598</v>
      </c>
      <c r="HF116" s="16">
        <v>3496</v>
      </c>
      <c r="HG116" s="16">
        <v>0</v>
      </c>
      <c r="HH116" s="16">
        <v>0</v>
      </c>
      <c r="HI116" s="16">
        <v>0</v>
      </c>
      <c r="HJ116" s="16">
        <v>0</v>
      </c>
      <c r="HK116" s="16">
        <v>0</v>
      </c>
      <c r="HL116" s="16">
        <v>2686</v>
      </c>
      <c r="HM116" s="16">
        <v>0</v>
      </c>
      <c r="HN116" s="16">
        <v>0</v>
      </c>
      <c r="HO116" s="16">
        <v>0</v>
      </c>
      <c r="HP116" s="16">
        <v>0</v>
      </c>
      <c r="HQ116" s="16">
        <v>0</v>
      </c>
      <c r="HR116" s="16">
        <v>0</v>
      </c>
      <c r="HS116" s="16">
        <v>0</v>
      </c>
      <c r="HT116" s="16">
        <v>0</v>
      </c>
      <c r="HU116" s="16">
        <v>0</v>
      </c>
      <c r="HV116" s="16">
        <v>0</v>
      </c>
      <c r="HW116" s="16">
        <v>0</v>
      </c>
      <c r="HX116" s="16">
        <v>0</v>
      </c>
      <c r="HY116" s="16">
        <v>0</v>
      </c>
      <c r="HZ116" s="16">
        <v>0</v>
      </c>
      <c r="IA116" s="16">
        <v>0</v>
      </c>
      <c r="IB116" s="16">
        <v>0</v>
      </c>
      <c r="IC116" s="16">
        <v>0</v>
      </c>
      <c r="ID116" s="16">
        <v>0</v>
      </c>
      <c r="IE116" s="16">
        <v>0</v>
      </c>
      <c r="IF116" s="16">
        <v>0</v>
      </c>
      <c r="IG116" s="16">
        <v>0</v>
      </c>
      <c r="IH116" s="16">
        <v>0</v>
      </c>
      <c r="II116" s="16">
        <v>0</v>
      </c>
      <c r="IJ116" s="16">
        <v>0</v>
      </c>
      <c r="IK116" s="16">
        <v>0</v>
      </c>
      <c r="IL116" s="16">
        <v>0</v>
      </c>
      <c r="IM116" s="16">
        <v>0</v>
      </c>
      <c r="IN116" s="16">
        <v>0</v>
      </c>
      <c r="IO116" s="16">
        <v>3381</v>
      </c>
      <c r="IP116" s="16">
        <v>0</v>
      </c>
      <c r="IQ116" s="16">
        <v>0</v>
      </c>
      <c r="IR116" s="16">
        <v>0</v>
      </c>
      <c r="IS116" s="16">
        <v>0</v>
      </c>
      <c r="IT116" s="16">
        <v>0</v>
      </c>
      <c r="IU116" s="16">
        <v>0</v>
      </c>
      <c r="IV116" s="16">
        <v>1038</v>
      </c>
      <c r="IW116" s="16">
        <v>258</v>
      </c>
      <c r="IX116" s="16">
        <v>795</v>
      </c>
      <c r="IY116" s="16">
        <v>200</v>
      </c>
      <c r="IZ116" s="16">
        <v>899</v>
      </c>
      <c r="JA116" s="16">
        <v>20661</v>
      </c>
      <c r="JB116" s="16">
        <v>0</v>
      </c>
      <c r="JC116" s="16">
        <v>0</v>
      </c>
      <c r="JD116" s="16">
        <v>0</v>
      </c>
      <c r="JE116" s="16">
        <v>29212</v>
      </c>
      <c r="JF116" s="16">
        <v>78981</v>
      </c>
      <c r="JG116" s="16">
        <v>31004</v>
      </c>
      <c r="JH116" s="16">
        <v>0</v>
      </c>
      <c r="JI116" s="16">
        <v>0</v>
      </c>
      <c r="JJ116" s="16">
        <v>0</v>
      </c>
      <c r="JK116" s="16">
        <v>0</v>
      </c>
      <c r="JL116" s="16">
        <v>0</v>
      </c>
      <c r="JM116" s="16">
        <v>0</v>
      </c>
      <c r="JN116" s="16">
        <v>0</v>
      </c>
      <c r="JO116" s="16">
        <v>0</v>
      </c>
      <c r="JP116" s="16">
        <v>0</v>
      </c>
      <c r="JQ116" s="16">
        <v>0</v>
      </c>
      <c r="JR116" s="16">
        <v>0</v>
      </c>
      <c r="JS116" s="16">
        <v>0</v>
      </c>
      <c r="JT116" s="16">
        <v>0</v>
      </c>
      <c r="JU116" s="16">
        <v>0</v>
      </c>
      <c r="JV116" s="16">
        <v>0</v>
      </c>
      <c r="JW116" s="16">
        <v>0</v>
      </c>
      <c r="JX116" s="16">
        <v>0</v>
      </c>
      <c r="JY116" s="16">
        <v>0</v>
      </c>
      <c r="JZ116" s="16">
        <v>0</v>
      </c>
      <c r="KA116" s="16">
        <v>0</v>
      </c>
      <c r="KB116" s="16">
        <v>0</v>
      </c>
      <c r="KC116" s="16">
        <v>0</v>
      </c>
      <c r="KD116" s="16">
        <v>0</v>
      </c>
      <c r="KE116" s="16">
        <v>0</v>
      </c>
      <c r="KF116" s="16">
        <v>0</v>
      </c>
      <c r="KG116" s="16">
        <v>0</v>
      </c>
      <c r="KH116" s="16">
        <v>0</v>
      </c>
      <c r="KI116" s="16">
        <v>0</v>
      </c>
      <c r="KJ116" s="16">
        <v>0</v>
      </c>
      <c r="KK116" s="16">
        <v>0</v>
      </c>
      <c r="KL116" s="16">
        <v>0</v>
      </c>
      <c r="KM116" s="16">
        <v>0</v>
      </c>
      <c r="KN116" s="16">
        <v>0</v>
      </c>
      <c r="KO116" s="16">
        <v>0</v>
      </c>
      <c r="KP116" s="16">
        <v>0</v>
      </c>
      <c r="KQ116" s="16">
        <v>0</v>
      </c>
      <c r="KR116" s="16">
        <v>0</v>
      </c>
      <c r="KS116" s="16">
        <v>0</v>
      </c>
      <c r="KT116" s="16">
        <v>0</v>
      </c>
      <c r="KU116" s="16">
        <v>0</v>
      </c>
      <c r="KV116" s="16">
        <v>0</v>
      </c>
      <c r="KW116" s="16">
        <v>0</v>
      </c>
      <c r="KX116" s="16">
        <v>0</v>
      </c>
      <c r="KY116" s="16">
        <v>0</v>
      </c>
      <c r="KZ116" s="16">
        <v>0</v>
      </c>
      <c r="LA116" s="16">
        <v>0</v>
      </c>
      <c r="LB116" s="16">
        <v>0</v>
      </c>
      <c r="LC116" s="16">
        <v>0</v>
      </c>
      <c r="LD116" s="16">
        <v>0</v>
      </c>
      <c r="LE116" s="16">
        <v>0</v>
      </c>
      <c r="LF116" s="16">
        <v>0</v>
      </c>
      <c r="LG116" s="16">
        <v>0</v>
      </c>
      <c r="LH116" s="16">
        <v>0</v>
      </c>
      <c r="LI116" s="16">
        <v>0</v>
      </c>
      <c r="LJ116" s="16">
        <v>0</v>
      </c>
      <c r="LK116" s="16">
        <v>0</v>
      </c>
      <c r="LL116" s="16">
        <v>0</v>
      </c>
      <c r="LM116" s="16">
        <v>0</v>
      </c>
      <c r="LN116" s="16">
        <v>0</v>
      </c>
      <c r="LO116" s="16">
        <v>0</v>
      </c>
      <c r="LP116" s="16">
        <v>0</v>
      </c>
      <c r="LQ116" s="16">
        <v>0</v>
      </c>
      <c r="LR116" s="16">
        <v>0</v>
      </c>
      <c r="LS116" s="16">
        <v>0</v>
      </c>
      <c r="LT116" s="16">
        <v>0</v>
      </c>
      <c r="LU116" s="16">
        <v>0</v>
      </c>
      <c r="LV116" s="16">
        <v>0</v>
      </c>
      <c r="LW116" s="16">
        <v>0</v>
      </c>
      <c r="LX116" s="16">
        <v>0</v>
      </c>
      <c r="LY116" s="16">
        <v>0</v>
      </c>
      <c r="LZ116" s="16">
        <v>0</v>
      </c>
      <c r="MA116" s="16">
        <v>0</v>
      </c>
      <c r="MB116" s="16">
        <v>0</v>
      </c>
      <c r="MC116" s="16">
        <v>1155</v>
      </c>
      <c r="MD116" s="16">
        <v>0</v>
      </c>
      <c r="ME116" s="16">
        <v>0</v>
      </c>
      <c r="MF116" s="16">
        <v>10054</v>
      </c>
      <c r="MG116" s="16">
        <v>0</v>
      </c>
      <c r="MH116" s="16">
        <v>0</v>
      </c>
      <c r="MI116" s="16">
        <v>0</v>
      </c>
      <c r="MJ116" s="16">
        <v>0</v>
      </c>
      <c r="MK116" s="16">
        <v>0</v>
      </c>
      <c r="ML116" s="16">
        <v>0</v>
      </c>
      <c r="MM116" s="16">
        <v>0</v>
      </c>
      <c r="MN116" s="16">
        <v>0</v>
      </c>
      <c r="MO116" s="16">
        <v>0</v>
      </c>
      <c r="MP116" s="16">
        <v>0</v>
      </c>
      <c r="MQ116" s="16">
        <v>0</v>
      </c>
      <c r="MR116" s="16">
        <v>12</v>
      </c>
      <c r="MS116" s="16">
        <v>1269</v>
      </c>
      <c r="MT116" s="16">
        <v>0</v>
      </c>
      <c r="MU116" s="16">
        <v>0</v>
      </c>
      <c r="MV116" s="16">
        <v>0</v>
      </c>
      <c r="MW116" s="16">
        <v>0</v>
      </c>
      <c r="MX116" s="16">
        <v>0</v>
      </c>
      <c r="MY116" s="16">
        <v>0</v>
      </c>
      <c r="MZ116" s="16">
        <v>0</v>
      </c>
      <c r="NA116" s="16">
        <v>0</v>
      </c>
      <c r="NB116" s="16">
        <v>0</v>
      </c>
      <c r="NC116" s="16">
        <v>0</v>
      </c>
      <c r="ND116" s="16">
        <v>0</v>
      </c>
      <c r="NE116" s="16">
        <v>0</v>
      </c>
      <c r="NF116" s="16">
        <v>0</v>
      </c>
      <c r="NG116" s="16">
        <v>0</v>
      </c>
      <c r="NH116" s="16">
        <v>0</v>
      </c>
      <c r="NI116" s="16">
        <v>0</v>
      </c>
      <c r="NJ116" s="16">
        <v>0</v>
      </c>
      <c r="NK116" s="16">
        <v>0</v>
      </c>
      <c r="NL116" s="16">
        <v>0</v>
      </c>
      <c r="NM116" s="16">
        <v>0</v>
      </c>
      <c r="NN116" s="16">
        <v>0</v>
      </c>
      <c r="NO116" s="16">
        <v>0</v>
      </c>
      <c r="NP116" s="16">
        <v>0</v>
      </c>
      <c r="NQ116" s="16">
        <v>0</v>
      </c>
      <c r="NR116" s="17">
        <v>2500355</v>
      </c>
    </row>
    <row r="117" spans="1:382" ht="13.5" customHeight="1" x14ac:dyDescent="0.2">
      <c r="A117" s="2" t="s">
        <v>241</v>
      </c>
      <c r="B117" s="16">
        <v>0</v>
      </c>
      <c r="C117" s="16">
        <v>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82</v>
      </c>
      <c r="M117" s="16">
        <v>0</v>
      </c>
      <c r="N117" s="16">
        <v>0</v>
      </c>
      <c r="O117" s="16">
        <v>5189</v>
      </c>
      <c r="P117" s="16">
        <v>38583</v>
      </c>
      <c r="Q117" s="16">
        <v>30977</v>
      </c>
      <c r="R117" s="16">
        <v>17237</v>
      </c>
      <c r="S117" s="16">
        <v>4291</v>
      </c>
      <c r="T117" s="16">
        <v>29</v>
      </c>
      <c r="U117" s="16">
        <v>0</v>
      </c>
      <c r="V117" s="16">
        <v>104</v>
      </c>
      <c r="W117" s="16">
        <v>0</v>
      </c>
      <c r="X117" s="16">
        <v>8441</v>
      </c>
      <c r="Y117" s="16">
        <v>13147</v>
      </c>
      <c r="Z117" s="16">
        <v>16234</v>
      </c>
      <c r="AA117" s="16">
        <v>56</v>
      </c>
      <c r="AB117" s="16">
        <v>0</v>
      </c>
      <c r="AC117" s="16">
        <v>0</v>
      </c>
      <c r="AD117" s="16">
        <v>0</v>
      </c>
      <c r="AE117" s="16">
        <v>4</v>
      </c>
      <c r="AF117" s="16">
        <v>0</v>
      </c>
      <c r="AG117" s="16">
        <v>516</v>
      </c>
      <c r="AH117" s="16">
        <v>110</v>
      </c>
      <c r="AI117" s="16">
        <v>103</v>
      </c>
      <c r="AJ117" s="16">
        <v>70</v>
      </c>
      <c r="AK117" s="16">
        <v>1891</v>
      </c>
      <c r="AL117" s="16">
        <v>70</v>
      </c>
      <c r="AM117" s="16">
        <v>27521</v>
      </c>
      <c r="AN117" s="16">
        <v>174</v>
      </c>
      <c r="AO117" s="16">
        <v>6218</v>
      </c>
      <c r="AP117" s="16">
        <v>0</v>
      </c>
      <c r="AQ117" s="16">
        <v>0</v>
      </c>
      <c r="AR117" s="16">
        <v>0</v>
      </c>
      <c r="AS117" s="16">
        <v>137</v>
      </c>
      <c r="AT117" s="16">
        <v>2653</v>
      </c>
      <c r="AU117" s="16">
        <v>704</v>
      </c>
      <c r="AV117" s="16">
        <v>359</v>
      </c>
      <c r="AW117" s="16">
        <v>1149</v>
      </c>
      <c r="AX117" s="16">
        <v>96</v>
      </c>
      <c r="AY117" s="16">
        <v>2675</v>
      </c>
      <c r="AZ117" s="16">
        <v>771</v>
      </c>
      <c r="BA117" s="16">
        <v>3805</v>
      </c>
      <c r="BB117" s="16">
        <v>2021</v>
      </c>
      <c r="BC117" s="16">
        <v>74598</v>
      </c>
      <c r="BD117" s="16">
        <v>14</v>
      </c>
      <c r="BE117" s="16">
        <v>27</v>
      </c>
      <c r="BF117" s="16">
        <v>542</v>
      </c>
      <c r="BG117" s="16">
        <v>57</v>
      </c>
      <c r="BH117" s="16">
        <v>7573</v>
      </c>
      <c r="BI117" s="16">
        <v>1051</v>
      </c>
      <c r="BJ117" s="16">
        <v>28</v>
      </c>
      <c r="BK117" s="16">
        <v>65</v>
      </c>
      <c r="BL117" s="16">
        <v>366</v>
      </c>
      <c r="BM117" s="16">
        <v>0</v>
      </c>
      <c r="BN117" s="16">
        <v>28</v>
      </c>
      <c r="BO117" s="16">
        <v>63</v>
      </c>
      <c r="BP117" s="16">
        <v>21</v>
      </c>
      <c r="BQ117" s="16">
        <v>27</v>
      </c>
      <c r="BR117" s="16">
        <v>0</v>
      </c>
      <c r="BS117" s="16">
        <v>41</v>
      </c>
      <c r="BT117" s="16">
        <v>1</v>
      </c>
      <c r="BU117" s="16">
        <v>5</v>
      </c>
      <c r="BV117" s="16">
        <v>0</v>
      </c>
      <c r="BW117" s="16">
        <v>20</v>
      </c>
      <c r="BX117" s="16">
        <v>9</v>
      </c>
      <c r="BY117" s="16">
        <v>6</v>
      </c>
      <c r="BZ117" s="16">
        <v>19</v>
      </c>
      <c r="CA117" s="16">
        <v>16</v>
      </c>
      <c r="CB117" s="16">
        <v>12</v>
      </c>
      <c r="CC117" s="16">
        <v>446</v>
      </c>
      <c r="CD117" s="16">
        <v>1650</v>
      </c>
      <c r="CE117" s="16">
        <v>441</v>
      </c>
      <c r="CF117" s="16">
        <v>392</v>
      </c>
      <c r="CG117" s="16">
        <v>104</v>
      </c>
      <c r="CH117" s="16">
        <v>348</v>
      </c>
      <c r="CI117" s="16">
        <v>0</v>
      </c>
      <c r="CJ117" s="16">
        <v>967</v>
      </c>
      <c r="CK117" s="16">
        <v>3931</v>
      </c>
      <c r="CL117" s="16">
        <v>20</v>
      </c>
      <c r="CM117" s="16">
        <v>124</v>
      </c>
      <c r="CN117" s="16">
        <v>25</v>
      </c>
      <c r="CO117" s="16">
        <v>800</v>
      </c>
      <c r="CP117" s="16">
        <v>1232</v>
      </c>
      <c r="CQ117" s="16">
        <v>578</v>
      </c>
      <c r="CR117" s="16">
        <v>1165</v>
      </c>
      <c r="CS117" s="16">
        <v>298</v>
      </c>
      <c r="CT117" s="16">
        <v>376</v>
      </c>
      <c r="CU117" s="16">
        <v>2415</v>
      </c>
      <c r="CV117" s="16">
        <v>2857</v>
      </c>
      <c r="CW117" s="16">
        <v>4787</v>
      </c>
      <c r="CX117" s="16">
        <v>4638</v>
      </c>
      <c r="CY117" s="16">
        <v>70</v>
      </c>
      <c r="CZ117" s="16">
        <v>322</v>
      </c>
      <c r="DA117" s="16">
        <v>11</v>
      </c>
      <c r="DB117" s="16">
        <v>517</v>
      </c>
      <c r="DC117" s="16">
        <v>4</v>
      </c>
      <c r="DD117" s="16">
        <v>77</v>
      </c>
      <c r="DE117" s="16">
        <v>248</v>
      </c>
      <c r="DF117" s="16">
        <v>854</v>
      </c>
      <c r="DG117" s="16">
        <v>242</v>
      </c>
      <c r="DH117" s="16">
        <v>249</v>
      </c>
      <c r="DI117" s="16">
        <v>608</v>
      </c>
      <c r="DJ117" s="16">
        <v>1330</v>
      </c>
      <c r="DK117" s="16">
        <v>9</v>
      </c>
      <c r="DL117" s="16">
        <v>144</v>
      </c>
      <c r="DM117" s="16">
        <v>3293820</v>
      </c>
      <c r="DN117" s="16">
        <v>185</v>
      </c>
      <c r="DO117" s="16">
        <v>31404</v>
      </c>
      <c r="DP117" s="16">
        <v>704</v>
      </c>
      <c r="DQ117" s="16">
        <v>26</v>
      </c>
      <c r="DR117" s="16">
        <v>2478</v>
      </c>
      <c r="DS117" s="16">
        <v>4957</v>
      </c>
      <c r="DT117" s="16">
        <v>60</v>
      </c>
      <c r="DU117" s="16">
        <v>106</v>
      </c>
      <c r="DV117" s="16">
        <v>84</v>
      </c>
      <c r="DW117" s="16">
        <v>778</v>
      </c>
      <c r="DX117" s="16">
        <v>530</v>
      </c>
      <c r="DY117" s="16">
        <v>359</v>
      </c>
      <c r="DZ117" s="16">
        <v>2449</v>
      </c>
      <c r="EA117" s="16">
        <v>914</v>
      </c>
      <c r="EB117" s="16">
        <v>14</v>
      </c>
      <c r="EC117" s="16">
        <v>152</v>
      </c>
      <c r="ED117" s="16">
        <v>250</v>
      </c>
      <c r="EE117" s="16">
        <v>1</v>
      </c>
      <c r="EF117" s="16">
        <v>3</v>
      </c>
      <c r="EG117" s="16">
        <v>189</v>
      </c>
      <c r="EH117" s="16">
        <v>39</v>
      </c>
      <c r="EI117" s="16">
        <v>11</v>
      </c>
      <c r="EJ117" s="16">
        <v>14</v>
      </c>
      <c r="EK117" s="16">
        <v>22</v>
      </c>
      <c r="EL117" s="16">
        <v>12</v>
      </c>
      <c r="EM117" s="16">
        <v>3</v>
      </c>
      <c r="EN117" s="16">
        <v>239</v>
      </c>
      <c r="EO117" s="16">
        <v>176</v>
      </c>
      <c r="EP117" s="16">
        <v>595</v>
      </c>
      <c r="EQ117" s="16">
        <v>181</v>
      </c>
      <c r="ER117" s="16">
        <v>113</v>
      </c>
      <c r="ES117" s="16">
        <v>112</v>
      </c>
      <c r="ET117" s="16">
        <v>211</v>
      </c>
      <c r="EU117" s="16">
        <v>0</v>
      </c>
      <c r="EV117" s="16">
        <v>9</v>
      </c>
      <c r="EW117" s="16">
        <v>21</v>
      </c>
      <c r="EX117" s="16">
        <v>2572</v>
      </c>
      <c r="EY117" s="16">
        <v>323</v>
      </c>
      <c r="EZ117" s="16">
        <v>10</v>
      </c>
      <c r="FA117" s="16">
        <v>12</v>
      </c>
      <c r="FB117" s="16">
        <v>71</v>
      </c>
      <c r="FC117" s="16">
        <v>4</v>
      </c>
      <c r="FD117" s="16">
        <v>175</v>
      </c>
      <c r="FE117" s="16">
        <v>293</v>
      </c>
      <c r="FF117" s="16">
        <v>36</v>
      </c>
      <c r="FG117" s="16">
        <v>26</v>
      </c>
      <c r="FH117" s="16">
        <v>2</v>
      </c>
      <c r="FI117" s="16">
        <v>196</v>
      </c>
      <c r="FJ117" s="16">
        <v>20</v>
      </c>
      <c r="FK117" s="16">
        <v>1599</v>
      </c>
      <c r="FL117" s="16">
        <v>67</v>
      </c>
      <c r="FM117" s="16">
        <v>30</v>
      </c>
      <c r="FN117" s="16">
        <v>228</v>
      </c>
      <c r="FO117" s="16">
        <v>55</v>
      </c>
      <c r="FP117" s="16">
        <v>687</v>
      </c>
      <c r="FQ117" s="16">
        <v>1512</v>
      </c>
      <c r="FR117" s="16">
        <v>415</v>
      </c>
      <c r="FS117" s="16">
        <v>49</v>
      </c>
      <c r="FT117" s="16">
        <v>15</v>
      </c>
      <c r="FU117" s="16">
        <v>741</v>
      </c>
      <c r="FV117" s="16">
        <v>787</v>
      </c>
      <c r="FW117" s="16">
        <v>103</v>
      </c>
      <c r="FX117" s="16">
        <v>3925</v>
      </c>
      <c r="FY117" s="16">
        <v>119</v>
      </c>
      <c r="FZ117" s="16">
        <v>101</v>
      </c>
      <c r="GA117" s="16">
        <v>54</v>
      </c>
      <c r="GB117" s="16">
        <v>2535</v>
      </c>
      <c r="GC117" s="16">
        <v>488</v>
      </c>
      <c r="GD117" s="16">
        <v>627</v>
      </c>
      <c r="GE117" s="16">
        <v>6</v>
      </c>
      <c r="GF117" s="16">
        <v>1371</v>
      </c>
      <c r="GG117" s="16">
        <v>2</v>
      </c>
      <c r="GH117" s="16">
        <v>71</v>
      </c>
      <c r="GI117" s="16">
        <v>45</v>
      </c>
      <c r="GJ117" s="16">
        <v>128</v>
      </c>
      <c r="GK117" s="16">
        <v>42</v>
      </c>
      <c r="GL117" s="16">
        <v>40</v>
      </c>
      <c r="GM117" s="16">
        <v>537</v>
      </c>
      <c r="GN117" s="16">
        <v>5</v>
      </c>
      <c r="GO117" s="16">
        <v>294</v>
      </c>
      <c r="GP117" s="16">
        <v>16</v>
      </c>
      <c r="GQ117" s="16">
        <v>1</v>
      </c>
      <c r="GR117" s="16">
        <v>369</v>
      </c>
      <c r="GS117" s="16">
        <v>7</v>
      </c>
      <c r="GT117" s="16">
        <v>14</v>
      </c>
      <c r="GU117" s="16">
        <v>1710</v>
      </c>
      <c r="GV117" s="16">
        <v>161</v>
      </c>
      <c r="GW117" s="16">
        <v>114</v>
      </c>
      <c r="GX117" s="16">
        <v>5</v>
      </c>
      <c r="GY117" s="16">
        <v>5</v>
      </c>
      <c r="GZ117" s="16">
        <v>258</v>
      </c>
      <c r="HA117" s="16">
        <v>62</v>
      </c>
      <c r="HB117" s="16">
        <v>10</v>
      </c>
      <c r="HC117" s="16">
        <v>294</v>
      </c>
      <c r="HD117" s="16">
        <v>467</v>
      </c>
      <c r="HE117" s="16">
        <v>75</v>
      </c>
      <c r="HF117" s="16">
        <v>349</v>
      </c>
      <c r="HG117" s="16">
        <v>56</v>
      </c>
      <c r="HH117" s="16">
        <v>70</v>
      </c>
      <c r="HI117" s="16">
        <v>33</v>
      </c>
      <c r="HJ117" s="16">
        <v>24</v>
      </c>
      <c r="HK117" s="16">
        <v>23</v>
      </c>
      <c r="HL117" s="16">
        <v>953</v>
      </c>
      <c r="HM117" s="16">
        <v>41</v>
      </c>
      <c r="HN117" s="16">
        <v>991</v>
      </c>
      <c r="HO117" s="16">
        <v>16</v>
      </c>
      <c r="HP117" s="16">
        <v>18</v>
      </c>
      <c r="HQ117" s="16">
        <v>934</v>
      </c>
      <c r="HR117" s="16">
        <v>308</v>
      </c>
      <c r="HS117" s="16">
        <v>144</v>
      </c>
      <c r="HT117" s="16">
        <v>6</v>
      </c>
      <c r="HU117" s="16">
        <v>136</v>
      </c>
      <c r="HV117" s="16">
        <v>62</v>
      </c>
      <c r="HW117" s="16">
        <v>55</v>
      </c>
      <c r="HX117" s="16">
        <v>45</v>
      </c>
      <c r="HY117" s="16">
        <v>247</v>
      </c>
      <c r="HZ117" s="16">
        <v>155</v>
      </c>
      <c r="IA117" s="16">
        <v>30</v>
      </c>
      <c r="IB117" s="16">
        <v>36</v>
      </c>
      <c r="IC117" s="16">
        <v>29</v>
      </c>
      <c r="ID117" s="16">
        <v>30</v>
      </c>
      <c r="IE117" s="16">
        <v>25</v>
      </c>
      <c r="IF117" s="16">
        <v>13</v>
      </c>
      <c r="IG117" s="16">
        <v>41</v>
      </c>
      <c r="IH117" s="16">
        <v>310</v>
      </c>
      <c r="II117" s="16">
        <v>35</v>
      </c>
      <c r="IJ117" s="16">
        <v>7</v>
      </c>
      <c r="IK117" s="16">
        <v>232</v>
      </c>
      <c r="IL117" s="16">
        <v>47</v>
      </c>
      <c r="IM117" s="16">
        <v>5</v>
      </c>
      <c r="IN117" s="16">
        <v>775</v>
      </c>
      <c r="IO117" s="16">
        <v>845</v>
      </c>
      <c r="IP117" s="16">
        <v>11</v>
      </c>
      <c r="IQ117" s="16">
        <v>7</v>
      </c>
      <c r="IR117" s="16">
        <v>59</v>
      </c>
      <c r="IS117" s="16">
        <v>14</v>
      </c>
      <c r="IT117" s="16">
        <v>13</v>
      </c>
      <c r="IU117" s="16">
        <v>78</v>
      </c>
      <c r="IV117" s="16">
        <v>38</v>
      </c>
      <c r="IW117" s="16">
        <v>640</v>
      </c>
      <c r="IX117" s="16">
        <v>531</v>
      </c>
      <c r="IY117" s="16">
        <v>91</v>
      </c>
      <c r="IZ117" s="16">
        <v>10</v>
      </c>
      <c r="JA117" s="16">
        <v>203</v>
      </c>
      <c r="JB117" s="16">
        <v>8</v>
      </c>
      <c r="JC117" s="16">
        <v>5</v>
      </c>
      <c r="JD117" s="16">
        <v>6</v>
      </c>
      <c r="JE117" s="16">
        <v>216</v>
      </c>
      <c r="JF117" s="16">
        <v>555</v>
      </c>
      <c r="JG117" s="16">
        <v>34131</v>
      </c>
      <c r="JH117" s="16">
        <v>2803</v>
      </c>
      <c r="JI117" s="16">
        <v>52</v>
      </c>
      <c r="JJ117" s="16">
        <v>982</v>
      </c>
      <c r="JK117" s="16">
        <v>123</v>
      </c>
      <c r="JL117" s="16">
        <v>4</v>
      </c>
      <c r="JM117" s="16">
        <v>0</v>
      </c>
      <c r="JN117" s="16">
        <v>0</v>
      </c>
      <c r="JO117" s="16">
        <v>6</v>
      </c>
      <c r="JP117" s="16">
        <v>4708</v>
      </c>
      <c r="JQ117" s="16">
        <v>1049</v>
      </c>
      <c r="JR117" s="16">
        <v>15874</v>
      </c>
      <c r="JS117" s="16">
        <v>18127</v>
      </c>
      <c r="JT117" s="16">
        <v>2</v>
      </c>
      <c r="JU117" s="16">
        <v>104577</v>
      </c>
      <c r="JV117" s="16">
        <v>1263</v>
      </c>
      <c r="JW117" s="16">
        <v>138</v>
      </c>
      <c r="JX117" s="16">
        <v>229</v>
      </c>
      <c r="JY117" s="16">
        <v>717</v>
      </c>
      <c r="JZ117" s="16">
        <v>381</v>
      </c>
      <c r="KA117" s="16">
        <v>68</v>
      </c>
      <c r="KB117" s="16">
        <v>4</v>
      </c>
      <c r="KC117" s="16">
        <v>68</v>
      </c>
      <c r="KD117" s="16">
        <v>749</v>
      </c>
      <c r="KE117" s="16">
        <v>24</v>
      </c>
      <c r="KF117" s="16">
        <v>75</v>
      </c>
      <c r="KG117" s="16">
        <v>506</v>
      </c>
      <c r="KH117" s="16">
        <v>23</v>
      </c>
      <c r="KI117" s="16">
        <v>117</v>
      </c>
      <c r="KJ117" s="16">
        <v>126</v>
      </c>
      <c r="KK117" s="16">
        <v>136724</v>
      </c>
      <c r="KL117" s="16">
        <v>5</v>
      </c>
      <c r="KM117" s="16">
        <v>454</v>
      </c>
      <c r="KN117" s="16">
        <v>55</v>
      </c>
      <c r="KO117" s="16">
        <v>134</v>
      </c>
      <c r="KP117" s="16">
        <v>123</v>
      </c>
      <c r="KQ117" s="16">
        <v>2283</v>
      </c>
      <c r="KR117" s="16">
        <v>4550</v>
      </c>
      <c r="KS117" s="16">
        <v>12</v>
      </c>
      <c r="KT117" s="16">
        <v>0</v>
      </c>
      <c r="KU117" s="16">
        <v>1326</v>
      </c>
      <c r="KV117" s="16">
        <v>49</v>
      </c>
      <c r="KW117" s="16">
        <v>1833</v>
      </c>
      <c r="KX117" s="16">
        <v>34</v>
      </c>
      <c r="KY117" s="16">
        <v>4443</v>
      </c>
      <c r="KZ117" s="16">
        <v>16930</v>
      </c>
      <c r="LA117" s="16">
        <v>9471</v>
      </c>
      <c r="LB117" s="16">
        <v>1688</v>
      </c>
      <c r="LC117" s="16">
        <v>3026</v>
      </c>
      <c r="LD117" s="16">
        <v>10640</v>
      </c>
      <c r="LE117" s="16">
        <v>356</v>
      </c>
      <c r="LF117" s="16">
        <v>141</v>
      </c>
      <c r="LG117" s="16">
        <v>110</v>
      </c>
      <c r="LH117" s="16">
        <v>711</v>
      </c>
      <c r="LI117" s="16">
        <v>3</v>
      </c>
      <c r="LJ117" s="16">
        <v>60</v>
      </c>
      <c r="LK117" s="16">
        <v>574</v>
      </c>
      <c r="LL117" s="16">
        <v>572</v>
      </c>
      <c r="LM117" s="16">
        <v>1368</v>
      </c>
      <c r="LN117" s="16">
        <v>1737</v>
      </c>
      <c r="LO117" s="16">
        <v>32</v>
      </c>
      <c r="LP117" s="16">
        <v>1066</v>
      </c>
      <c r="LQ117" s="16">
        <v>1086</v>
      </c>
      <c r="LR117" s="16">
        <v>1109</v>
      </c>
      <c r="LS117" s="16">
        <v>595</v>
      </c>
      <c r="LT117" s="16">
        <v>1070</v>
      </c>
      <c r="LU117" s="16">
        <v>561</v>
      </c>
      <c r="LV117" s="16">
        <v>31</v>
      </c>
      <c r="LW117" s="16">
        <v>321</v>
      </c>
      <c r="LX117" s="16">
        <v>1908</v>
      </c>
      <c r="LY117" s="16">
        <v>0</v>
      </c>
      <c r="LZ117" s="16">
        <v>532</v>
      </c>
      <c r="MA117" s="16">
        <v>1778</v>
      </c>
      <c r="MB117" s="16">
        <v>22721</v>
      </c>
      <c r="MC117" s="16">
        <v>60538</v>
      </c>
      <c r="MD117" s="16">
        <v>17104</v>
      </c>
      <c r="ME117" s="16">
        <v>7931</v>
      </c>
      <c r="MF117" s="16">
        <v>50209</v>
      </c>
      <c r="MG117" s="16">
        <v>1028</v>
      </c>
      <c r="MH117" s="16">
        <v>1572507</v>
      </c>
      <c r="MI117" s="16">
        <v>2676</v>
      </c>
      <c r="MJ117" s="16">
        <v>1311</v>
      </c>
      <c r="MK117" s="16">
        <v>4870</v>
      </c>
      <c r="ML117" s="16">
        <v>1864</v>
      </c>
      <c r="MM117" s="16">
        <v>658528</v>
      </c>
      <c r="MN117" s="16">
        <v>6323</v>
      </c>
      <c r="MO117" s="16">
        <v>4486</v>
      </c>
      <c r="MP117" s="16">
        <v>13929</v>
      </c>
      <c r="MQ117" s="16">
        <v>24306</v>
      </c>
      <c r="MR117" s="16">
        <v>510745</v>
      </c>
      <c r="MS117" s="16">
        <v>508868</v>
      </c>
      <c r="MT117" s="16">
        <v>17569</v>
      </c>
      <c r="MU117" s="16">
        <v>343297</v>
      </c>
      <c r="MV117" s="16">
        <v>20319</v>
      </c>
      <c r="MW117" s="16">
        <v>72120</v>
      </c>
      <c r="MX117" s="16">
        <v>261654</v>
      </c>
      <c r="MY117" s="16">
        <v>7300294</v>
      </c>
      <c r="MZ117" s="16">
        <v>22757910</v>
      </c>
      <c r="NA117" s="16">
        <v>7554</v>
      </c>
      <c r="NB117" s="16">
        <v>125827</v>
      </c>
      <c r="NC117" s="16">
        <v>4043</v>
      </c>
      <c r="ND117" s="16">
        <v>5671</v>
      </c>
      <c r="NE117" s="16">
        <v>487</v>
      </c>
      <c r="NF117" s="16">
        <v>1756</v>
      </c>
      <c r="NG117" s="16">
        <v>16580</v>
      </c>
      <c r="NH117" s="16">
        <v>1723</v>
      </c>
      <c r="NI117" s="16">
        <v>420</v>
      </c>
      <c r="NJ117" s="16">
        <v>80199</v>
      </c>
      <c r="NK117" s="16">
        <v>716</v>
      </c>
      <c r="NL117" s="16">
        <v>209</v>
      </c>
      <c r="NM117" s="16">
        <v>2557</v>
      </c>
      <c r="NN117" s="16">
        <v>5542</v>
      </c>
      <c r="NO117" s="16">
        <v>0</v>
      </c>
      <c r="NP117" s="16">
        <v>22180</v>
      </c>
      <c r="NQ117" s="16">
        <v>14628</v>
      </c>
      <c r="NR117" s="17">
        <v>38606729</v>
      </c>
    </row>
    <row r="118" spans="1:382" ht="13.5" customHeight="1" x14ac:dyDescent="0.2">
      <c r="A118" s="2" t="s">
        <v>243</v>
      </c>
      <c r="B118" s="16">
        <v>562967</v>
      </c>
      <c r="C118" s="16">
        <v>21594</v>
      </c>
      <c r="D118" s="16">
        <v>64216</v>
      </c>
      <c r="E118" s="16">
        <v>117828</v>
      </c>
      <c r="F118" s="16">
        <v>1534440</v>
      </c>
      <c r="G118" s="16">
        <v>543550</v>
      </c>
      <c r="H118" s="16">
        <v>39379</v>
      </c>
      <c r="I118" s="16">
        <v>92683</v>
      </c>
      <c r="J118" s="16">
        <v>8830</v>
      </c>
      <c r="K118" s="16">
        <v>0</v>
      </c>
      <c r="L118" s="16">
        <v>32261</v>
      </c>
      <c r="M118" s="16">
        <v>48600</v>
      </c>
      <c r="N118" s="16">
        <v>106</v>
      </c>
      <c r="O118" s="16">
        <v>269</v>
      </c>
      <c r="P118" s="16">
        <v>669</v>
      </c>
      <c r="Q118" s="16">
        <v>0</v>
      </c>
      <c r="R118" s="16">
        <v>0</v>
      </c>
      <c r="S118" s="16">
        <v>0</v>
      </c>
      <c r="T118" s="16">
        <v>22544</v>
      </c>
      <c r="U118" s="16">
        <v>0</v>
      </c>
      <c r="V118" s="16">
        <v>12398</v>
      </c>
      <c r="W118" s="16">
        <v>15501</v>
      </c>
      <c r="X118" s="16">
        <v>0</v>
      </c>
      <c r="Y118" s="16">
        <v>0</v>
      </c>
      <c r="Z118" s="16">
        <v>50974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13448</v>
      </c>
      <c r="BD118" s="16">
        <v>0</v>
      </c>
      <c r="BE118" s="16">
        <v>0</v>
      </c>
      <c r="BF118" s="16">
        <v>0</v>
      </c>
      <c r="BG118" s="16">
        <v>0</v>
      </c>
      <c r="BH118" s="16">
        <v>57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264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1588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1060</v>
      </c>
      <c r="CF118" s="16">
        <v>0</v>
      </c>
      <c r="CG118" s="16">
        <v>0</v>
      </c>
      <c r="CH118" s="16">
        <v>0</v>
      </c>
      <c r="CI118" s="16">
        <v>0</v>
      </c>
      <c r="CJ118" s="16">
        <v>201</v>
      </c>
      <c r="CK118" s="16">
        <v>0</v>
      </c>
      <c r="CL118" s="16">
        <v>0</v>
      </c>
      <c r="CM118" s="16">
        <v>0</v>
      </c>
      <c r="CN118" s="16">
        <v>0</v>
      </c>
      <c r="CO118" s="16">
        <v>0</v>
      </c>
      <c r="CP118" s="16">
        <v>0</v>
      </c>
      <c r="CQ118" s="16">
        <v>0</v>
      </c>
      <c r="CR118" s="16">
        <v>0</v>
      </c>
      <c r="CS118" s="16">
        <v>0</v>
      </c>
      <c r="CT118" s="16">
        <v>0</v>
      </c>
      <c r="CU118" s="16">
        <v>0</v>
      </c>
      <c r="CV118" s="16">
        <v>0</v>
      </c>
      <c r="CW118" s="16">
        <v>0</v>
      </c>
      <c r="CX118" s="16">
        <v>0</v>
      </c>
      <c r="CY118" s="16">
        <v>0</v>
      </c>
      <c r="CZ118" s="16">
        <v>144</v>
      </c>
      <c r="DA118" s="16">
        <v>0</v>
      </c>
      <c r="DB118" s="16">
        <v>0</v>
      </c>
      <c r="DC118" s="16">
        <v>0</v>
      </c>
      <c r="DD118" s="16">
        <v>0</v>
      </c>
      <c r="DE118" s="16">
        <v>10976</v>
      </c>
      <c r="DF118" s="16">
        <v>120972</v>
      </c>
      <c r="DG118" s="16">
        <v>11095</v>
      </c>
      <c r="DH118" s="16">
        <v>433020</v>
      </c>
      <c r="DI118" s="16">
        <v>2526</v>
      </c>
      <c r="DJ118" s="16">
        <v>68072</v>
      </c>
      <c r="DK118" s="16">
        <v>1995</v>
      </c>
      <c r="DL118" s="16">
        <v>386</v>
      </c>
      <c r="DM118" s="16">
        <v>1416</v>
      </c>
      <c r="DN118" s="16">
        <v>959494</v>
      </c>
      <c r="DO118" s="16">
        <v>6091</v>
      </c>
      <c r="DP118" s="16">
        <v>2394</v>
      </c>
      <c r="DQ118" s="16">
        <v>65</v>
      </c>
      <c r="DR118" s="16">
        <v>274</v>
      </c>
      <c r="DS118" s="16">
        <v>1357</v>
      </c>
      <c r="DT118" s="16">
        <v>964</v>
      </c>
      <c r="DU118" s="16">
        <v>2683</v>
      </c>
      <c r="DV118" s="16">
        <v>183519</v>
      </c>
      <c r="DW118" s="16">
        <v>629</v>
      </c>
      <c r="DX118" s="16">
        <v>0</v>
      </c>
      <c r="DY118" s="16">
        <v>237</v>
      </c>
      <c r="DZ118" s="16">
        <v>624</v>
      </c>
      <c r="EA118" s="16">
        <v>196</v>
      </c>
      <c r="EB118" s="16">
        <v>0</v>
      </c>
      <c r="EC118" s="16">
        <v>0</v>
      </c>
      <c r="ED118" s="16">
        <v>62</v>
      </c>
      <c r="EE118" s="16">
        <v>0</v>
      </c>
      <c r="EF118" s="16">
        <v>709</v>
      </c>
      <c r="EG118" s="16">
        <v>2449</v>
      </c>
      <c r="EH118" s="16">
        <v>1006</v>
      </c>
      <c r="EI118" s="16">
        <v>0</v>
      </c>
      <c r="EJ118" s="16">
        <v>0</v>
      </c>
      <c r="EK118" s="16">
        <v>0</v>
      </c>
      <c r="EL118" s="16">
        <v>0</v>
      </c>
      <c r="EM118" s="16">
        <v>0</v>
      </c>
      <c r="EN118" s="16">
        <v>0</v>
      </c>
      <c r="EO118" s="16">
        <v>0</v>
      </c>
      <c r="EP118" s="16">
        <v>0</v>
      </c>
      <c r="EQ118" s="16">
        <v>0</v>
      </c>
      <c r="ER118" s="16">
        <v>0</v>
      </c>
      <c r="ES118" s="16">
        <v>0</v>
      </c>
      <c r="ET118" s="16">
        <v>0</v>
      </c>
      <c r="EU118" s="16">
        <v>0</v>
      </c>
      <c r="EV118" s="16">
        <v>0</v>
      </c>
      <c r="EW118" s="16">
        <v>3</v>
      </c>
      <c r="EX118" s="16">
        <v>0</v>
      </c>
      <c r="EY118" s="16">
        <v>0</v>
      </c>
      <c r="EZ118" s="16">
        <v>88</v>
      </c>
      <c r="FA118" s="16">
        <v>21</v>
      </c>
      <c r="FB118" s="16">
        <v>41</v>
      </c>
      <c r="FC118" s="16">
        <v>0</v>
      </c>
      <c r="FD118" s="16">
        <v>0</v>
      </c>
      <c r="FE118" s="16">
        <v>90</v>
      </c>
      <c r="FF118" s="16">
        <v>0</v>
      </c>
      <c r="FG118" s="16">
        <v>0</v>
      </c>
      <c r="FH118" s="16">
        <v>0</v>
      </c>
      <c r="FI118" s="16">
        <v>0</v>
      </c>
      <c r="FJ118" s="16">
        <v>77</v>
      </c>
      <c r="FK118" s="16">
        <v>0</v>
      </c>
      <c r="FL118" s="16">
        <v>0</v>
      </c>
      <c r="FM118" s="16">
        <v>0</v>
      </c>
      <c r="FN118" s="16">
        <v>0</v>
      </c>
      <c r="FO118" s="16">
        <v>0</v>
      </c>
      <c r="FP118" s="16">
        <v>0</v>
      </c>
      <c r="FQ118" s="16">
        <v>0</v>
      </c>
      <c r="FR118" s="16">
        <v>0</v>
      </c>
      <c r="FS118" s="16">
        <v>0</v>
      </c>
      <c r="FT118" s="16">
        <v>0</v>
      </c>
      <c r="FU118" s="16">
        <v>0</v>
      </c>
      <c r="FV118" s="16">
        <v>0</v>
      </c>
      <c r="FW118" s="16">
        <v>6428</v>
      </c>
      <c r="FX118" s="16">
        <v>0</v>
      </c>
      <c r="FY118" s="16">
        <v>0</v>
      </c>
      <c r="FZ118" s="16">
        <v>0</v>
      </c>
      <c r="GA118" s="16">
        <v>0</v>
      </c>
      <c r="GB118" s="16">
        <v>0</v>
      </c>
      <c r="GC118" s="16">
        <v>0</v>
      </c>
      <c r="GD118" s="16">
        <v>21</v>
      </c>
      <c r="GE118" s="16">
        <v>431</v>
      </c>
      <c r="GF118" s="16">
        <v>29702</v>
      </c>
      <c r="GG118" s="16">
        <v>2563</v>
      </c>
      <c r="GH118" s="16">
        <v>404</v>
      </c>
      <c r="GI118" s="16">
        <v>63</v>
      </c>
      <c r="GJ118" s="16">
        <v>1295</v>
      </c>
      <c r="GK118" s="16">
        <v>103</v>
      </c>
      <c r="GL118" s="16">
        <v>0</v>
      </c>
      <c r="GM118" s="16">
        <v>13</v>
      </c>
      <c r="GN118" s="16">
        <v>0</v>
      </c>
      <c r="GO118" s="16">
        <v>0</v>
      </c>
      <c r="GP118" s="16">
        <v>8</v>
      </c>
      <c r="GQ118" s="16">
        <v>0</v>
      </c>
      <c r="GR118" s="16">
        <v>0</v>
      </c>
      <c r="GS118" s="16">
        <v>0</v>
      </c>
      <c r="GT118" s="16">
        <v>0</v>
      </c>
      <c r="GU118" s="16">
        <v>0</v>
      </c>
      <c r="GV118" s="16">
        <v>0</v>
      </c>
      <c r="GW118" s="16">
        <v>0</v>
      </c>
      <c r="GX118" s="16">
        <v>4</v>
      </c>
      <c r="GY118" s="16">
        <v>0</v>
      </c>
      <c r="GZ118" s="16">
        <v>0</v>
      </c>
      <c r="HA118" s="16">
        <v>0</v>
      </c>
      <c r="HB118" s="16">
        <v>0</v>
      </c>
      <c r="HC118" s="16">
        <v>0</v>
      </c>
      <c r="HD118" s="16">
        <v>0</v>
      </c>
      <c r="HE118" s="16">
        <v>366</v>
      </c>
      <c r="HF118" s="16">
        <v>0</v>
      </c>
      <c r="HG118" s="16">
        <v>0</v>
      </c>
      <c r="HH118" s="16">
        <v>0</v>
      </c>
      <c r="HI118" s="16">
        <v>0</v>
      </c>
      <c r="HJ118" s="16">
        <v>0</v>
      </c>
      <c r="HK118" s="16">
        <v>0</v>
      </c>
      <c r="HL118" s="16">
        <v>1094</v>
      </c>
      <c r="HM118" s="16">
        <v>0</v>
      </c>
      <c r="HN118" s="16">
        <v>0</v>
      </c>
      <c r="HO118" s="16">
        <v>0</v>
      </c>
      <c r="HP118" s="16">
        <v>0</v>
      </c>
      <c r="HQ118" s="16">
        <v>0</v>
      </c>
      <c r="HR118" s="16">
        <v>0</v>
      </c>
      <c r="HS118" s="16">
        <v>0</v>
      </c>
      <c r="HT118" s="16">
        <v>0</v>
      </c>
      <c r="HU118" s="16">
        <v>0</v>
      </c>
      <c r="HV118" s="16">
        <v>0</v>
      </c>
      <c r="HW118" s="16">
        <v>0</v>
      </c>
      <c r="HX118" s="16">
        <v>0</v>
      </c>
      <c r="HY118" s="16">
        <v>0</v>
      </c>
      <c r="HZ118" s="16">
        <v>0</v>
      </c>
      <c r="IA118" s="16">
        <v>0</v>
      </c>
      <c r="IB118" s="16">
        <v>0</v>
      </c>
      <c r="IC118" s="16">
        <v>0</v>
      </c>
      <c r="ID118" s="16">
        <v>0</v>
      </c>
      <c r="IE118" s="16">
        <v>0</v>
      </c>
      <c r="IF118" s="16">
        <v>0</v>
      </c>
      <c r="IG118" s="16">
        <v>152</v>
      </c>
      <c r="IH118" s="16">
        <v>0</v>
      </c>
      <c r="II118" s="16">
        <v>0</v>
      </c>
      <c r="IJ118" s="16">
        <v>0</v>
      </c>
      <c r="IK118" s="16">
        <v>0</v>
      </c>
      <c r="IL118" s="16">
        <v>0</v>
      </c>
      <c r="IM118" s="16">
        <v>0</v>
      </c>
      <c r="IN118" s="16">
        <v>0</v>
      </c>
      <c r="IO118" s="16">
        <v>831</v>
      </c>
      <c r="IP118" s="16">
        <v>0</v>
      </c>
      <c r="IQ118" s="16">
        <v>0</v>
      </c>
      <c r="IR118" s="16">
        <v>0</v>
      </c>
      <c r="IS118" s="16">
        <v>0</v>
      </c>
      <c r="IT118" s="16">
        <v>0</v>
      </c>
      <c r="IU118" s="16">
        <v>0</v>
      </c>
      <c r="IV118" s="16">
        <v>0</v>
      </c>
      <c r="IW118" s="16">
        <v>0</v>
      </c>
      <c r="IX118" s="16">
        <v>0</v>
      </c>
      <c r="IY118" s="16">
        <v>0</v>
      </c>
      <c r="IZ118" s="16">
        <v>0</v>
      </c>
      <c r="JA118" s="16">
        <v>0</v>
      </c>
      <c r="JB118" s="16">
        <v>0</v>
      </c>
      <c r="JC118" s="16">
        <v>0</v>
      </c>
      <c r="JD118" s="16">
        <v>65</v>
      </c>
      <c r="JE118" s="16">
        <v>0</v>
      </c>
      <c r="JF118" s="16">
        <v>201</v>
      </c>
      <c r="JG118" s="16">
        <v>10863</v>
      </c>
      <c r="JH118" s="16">
        <v>0</v>
      </c>
      <c r="JI118" s="16">
        <v>0</v>
      </c>
      <c r="JJ118" s="16">
        <v>0</v>
      </c>
      <c r="JK118" s="16">
        <v>0</v>
      </c>
      <c r="JL118" s="16">
        <v>0</v>
      </c>
      <c r="JM118" s="16">
        <v>0</v>
      </c>
      <c r="JN118" s="16">
        <v>0</v>
      </c>
      <c r="JO118" s="16">
        <v>0</v>
      </c>
      <c r="JP118" s="16">
        <v>0</v>
      </c>
      <c r="JQ118" s="16">
        <v>0</v>
      </c>
      <c r="JR118" s="16">
        <v>19166</v>
      </c>
      <c r="JS118" s="16">
        <v>9745</v>
      </c>
      <c r="JT118" s="16">
        <v>0</v>
      </c>
      <c r="JU118" s="16">
        <v>32917</v>
      </c>
      <c r="JV118" s="16">
        <v>0</v>
      </c>
      <c r="JW118" s="16">
        <v>22245</v>
      </c>
      <c r="JX118" s="16">
        <v>23564</v>
      </c>
      <c r="JY118" s="16">
        <v>0</v>
      </c>
      <c r="JZ118" s="16">
        <v>367</v>
      </c>
      <c r="KA118" s="16">
        <v>0</v>
      </c>
      <c r="KB118" s="16">
        <v>0</v>
      </c>
      <c r="KC118" s="16">
        <v>0</v>
      </c>
      <c r="KD118" s="16">
        <v>0</v>
      </c>
      <c r="KE118" s="16">
        <v>0</v>
      </c>
      <c r="KF118" s="16">
        <v>40</v>
      </c>
      <c r="KG118" s="16">
        <v>0</v>
      </c>
      <c r="KH118" s="16">
        <v>0</v>
      </c>
      <c r="KI118" s="16">
        <v>0</v>
      </c>
      <c r="KJ118" s="16">
        <v>0</v>
      </c>
      <c r="KK118" s="16">
        <v>0</v>
      </c>
      <c r="KL118" s="16">
        <v>0</v>
      </c>
      <c r="KM118" s="16">
        <v>0</v>
      </c>
      <c r="KN118" s="16">
        <v>0</v>
      </c>
      <c r="KO118" s="16">
        <v>0</v>
      </c>
      <c r="KP118" s="16">
        <v>5</v>
      </c>
      <c r="KQ118" s="16">
        <v>0</v>
      </c>
      <c r="KR118" s="16">
        <v>0</v>
      </c>
      <c r="KS118" s="16">
        <v>0</v>
      </c>
      <c r="KT118" s="16">
        <v>0</v>
      </c>
      <c r="KU118" s="16">
        <v>0</v>
      </c>
      <c r="KV118" s="16">
        <v>0</v>
      </c>
      <c r="KW118" s="16">
        <v>0</v>
      </c>
      <c r="KX118" s="16">
        <v>0</v>
      </c>
      <c r="KY118" s="16">
        <v>0</v>
      </c>
      <c r="KZ118" s="16">
        <v>0</v>
      </c>
      <c r="LA118" s="16">
        <v>0</v>
      </c>
      <c r="LB118" s="16">
        <v>0</v>
      </c>
      <c r="LC118" s="16">
        <v>0</v>
      </c>
      <c r="LD118" s="16">
        <v>0</v>
      </c>
      <c r="LE118" s="16">
        <v>0</v>
      </c>
      <c r="LF118" s="16">
        <v>0</v>
      </c>
      <c r="LG118" s="16">
        <v>0</v>
      </c>
      <c r="LH118" s="16">
        <v>0</v>
      </c>
      <c r="LI118" s="16">
        <v>0</v>
      </c>
      <c r="LJ118" s="16">
        <v>0</v>
      </c>
      <c r="LK118" s="16">
        <v>0</v>
      </c>
      <c r="LL118" s="16">
        <v>0</v>
      </c>
      <c r="LM118" s="16">
        <v>0</v>
      </c>
      <c r="LN118" s="16">
        <v>0</v>
      </c>
      <c r="LO118" s="16">
        <v>0</v>
      </c>
      <c r="LP118" s="16">
        <v>0</v>
      </c>
      <c r="LQ118" s="16">
        <v>0</v>
      </c>
      <c r="LR118" s="16">
        <v>0</v>
      </c>
      <c r="LS118" s="16">
        <v>0</v>
      </c>
      <c r="LT118" s="16">
        <v>0</v>
      </c>
      <c r="LU118" s="16">
        <v>0</v>
      </c>
      <c r="LV118" s="16">
        <v>0</v>
      </c>
      <c r="LW118" s="16">
        <v>0</v>
      </c>
      <c r="LX118" s="16">
        <v>0</v>
      </c>
      <c r="LY118" s="16">
        <v>0</v>
      </c>
      <c r="LZ118" s="16">
        <v>0</v>
      </c>
      <c r="MA118" s="16">
        <v>0</v>
      </c>
      <c r="MB118" s="16">
        <v>0</v>
      </c>
      <c r="MC118" s="16">
        <v>14650</v>
      </c>
      <c r="MD118" s="16">
        <v>434</v>
      </c>
      <c r="ME118" s="16">
        <v>0</v>
      </c>
      <c r="MF118" s="16">
        <v>118368</v>
      </c>
      <c r="MG118" s="16">
        <v>0</v>
      </c>
      <c r="MH118" s="16">
        <v>0</v>
      </c>
      <c r="MI118" s="16">
        <v>0</v>
      </c>
      <c r="MJ118" s="16">
        <v>0</v>
      </c>
      <c r="MK118" s="16">
        <v>0</v>
      </c>
      <c r="ML118" s="16">
        <v>0</v>
      </c>
      <c r="MM118" s="16">
        <v>0</v>
      </c>
      <c r="MN118" s="16">
        <v>0</v>
      </c>
      <c r="MO118" s="16">
        <v>0</v>
      </c>
      <c r="MP118" s="16">
        <v>0</v>
      </c>
      <c r="MQ118" s="16">
        <v>0</v>
      </c>
      <c r="MR118" s="16">
        <v>7841</v>
      </c>
      <c r="MS118" s="16">
        <v>100127</v>
      </c>
      <c r="MT118" s="16">
        <v>22</v>
      </c>
      <c r="MU118" s="16">
        <v>236</v>
      </c>
      <c r="MV118" s="16">
        <v>6211</v>
      </c>
      <c r="MW118" s="16">
        <v>4569</v>
      </c>
      <c r="MX118" s="16">
        <v>2561</v>
      </c>
      <c r="MY118" s="16">
        <v>104</v>
      </c>
      <c r="MZ118" s="16">
        <v>422</v>
      </c>
      <c r="NA118" s="16">
        <v>5683</v>
      </c>
      <c r="NB118" s="16">
        <v>0</v>
      </c>
      <c r="NC118" s="16">
        <v>9081</v>
      </c>
      <c r="ND118" s="16">
        <v>0</v>
      </c>
      <c r="NE118" s="16">
        <v>527</v>
      </c>
      <c r="NF118" s="16">
        <v>0</v>
      </c>
      <c r="NG118" s="16">
        <v>132914</v>
      </c>
      <c r="NH118" s="16">
        <v>43545</v>
      </c>
      <c r="NI118" s="16">
        <v>0</v>
      </c>
      <c r="NJ118" s="16">
        <v>0</v>
      </c>
      <c r="NK118" s="16">
        <v>0</v>
      </c>
      <c r="NL118" s="16">
        <v>0</v>
      </c>
      <c r="NM118" s="16">
        <v>0</v>
      </c>
      <c r="NN118" s="16">
        <v>0</v>
      </c>
      <c r="NO118" s="16">
        <v>0</v>
      </c>
      <c r="NP118" s="16">
        <v>0</v>
      </c>
      <c r="NQ118" s="16">
        <v>35</v>
      </c>
      <c r="NR118" s="17">
        <v>5609088</v>
      </c>
    </row>
    <row r="119" spans="1:382" ht="13.5" customHeight="1" x14ac:dyDescent="0.2">
      <c r="A119" s="2" t="s">
        <v>245</v>
      </c>
      <c r="B119" s="16">
        <v>184083</v>
      </c>
      <c r="C119" s="16">
        <v>243</v>
      </c>
      <c r="D119" s="16">
        <v>48184</v>
      </c>
      <c r="E119" s="16">
        <v>47646</v>
      </c>
      <c r="F119" s="16">
        <v>523083</v>
      </c>
      <c r="G119" s="16">
        <v>322161</v>
      </c>
      <c r="H119" s="16">
        <v>8963</v>
      </c>
      <c r="I119" s="16">
        <v>22789</v>
      </c>
      <c r="J119" s="16">
        <v>450</v>
      </c>
      <c r="K119" s="16">
        <v>0</v>
      </c>
      <c r="L119" s="16">
        <v>21298</v>
      </c>
      <c r="M119" s="16">
        <v>10946</v>
      </c>
      <c r="N119" s="16">
        <v>7</v>
      </c>
      <c r="O119" s="16">
        <v>333</v>
      </c>
      <c r="P119" s="16">
        <v>1310</v>
      </c>
      <c r="Q119" s="16">
        <v>82147</v>
      </c>
      <c r="R119" s="16">
        <v>6239</v>
      </c>
      <c r="S119" s="16">
        <v>1261</v>
      </c>
      <c r="T119" s="16">
        <v>29090</v>
      </c>
      <c r="U119" s="16">
        <v>0</v>
      </c>
      <c r="V119" s="16">
        <v>41383</v>
      </c>
      <c r="W119" s="16">
        <v>187</v>
      </c>
      <c r="X119" s="16">
        <v>129</v>
      </c>
      <c r="Y119" s="16">
        <v>86</v>
      </c>
      <c r="Z119" s="16">
        <v>28863</v>
      </c>
      <c r="AA119" s="16">
        <v>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54</v>
      </c>
      <c r="AH119" s="16">
        <v>0</v>
      </c>
      <c r="AI119" s="16">
        <v>0</v>
      </c>
      <c r="AJ119" s="16">
        <v>0</v>
      </c>
      <c r="AK119" s="16">
        <v>31</v>
      </c>
      <c r="AL119" s="16">
        <v>39</v>
      </c>
      <c r="AM119" s="16">
        <v>69</v>
      </c>
      <c r="AN119" s="16">
        <v>54</v>
      </c>
      <c r="AO119" s="16">
        <v>34</v>
      </c>
      <c r="AP119" s="16">
        <v>0</v>
      </c>
      <c r="AQ119" s="16">
        <v>0</v>
      </c>
      <c r="AR119" s="16">
        <v>0</v>
      </c>
      <c r="AS119" s="16">
        <v>0</v>
      </c>
      <c r="AT119" s="16">
        <v>13</v>
      </c>
      <c r="AU119" s="16">
        <v>126</v>
      </c>
      <c r="AV119" s="16">
        <v>45</v>
      </c>
      <c r="AW119" s="16">
        <v>101</v>
      </c>
      <c r="AX119" s="16">
        <v>38</v>
      </c>
      <c r="AY119" s="16">
        <v>0</v>
      </c>
      <c r="AZ119" s="16">
        <v>42</v>
      </c>
      <c r="BA119" s="16">
        <v>104</v>
      </c>
      <c r="BB119" s="16">
        <v>127</v>
      </c>
      <c r="BC119" s="16">
        <v>23108</v>
      </c>
      <c r="BD119" s="16">
        <v>0</v>
      </c>
      <c r="BE119" s="16">
        <v>44</v>
      </c>
      <c r="BF119" s="16">
        <v>58</v>
      </c>
      <c r="BG119" s="16">
        <v>15</v>
      </c>
      <c r="BH119" s="16">
        <v>105</v>
      </c>
      <c r="BI119" s="16">
        <v>0</v>
      </c>
      <c r="BJ119" s="16">
        <v>0</v>
      </c>
      <c r="BK119" s="16">
        <v>0</v>
      </c>
      <c r="BL119" s="16">
        <v>60</v>
      </c>
      <c r="BM119" s="16">
        <v>0</v>
      </c>
      <c r="BN119" s="16">
        <v>0</v>
      </c>
      <c r="BO119" s="16">
        <v>0</v>
      </c>
      <c r="BP119" s="16">
        <v>0</v>
      </c>
      <c r="BQ119" s="16">
        <v>24</v>
      </c>
      <c r="BR119" s="16">
        <v>0</v>
      </c>
      <c r="BS119" s="16">
        <v>165</v>
      </c>
      <c r="BT119" s="16">
        <v>0</v>
      </c>
      <c r="BU119" s="16">
        <v>0</v>
      </c>
      <c r="BV119" s="16">
        <v>0</v>
      </c>
      <c r="BW119" s="16">
        <v>0</v>
      </c>
      <c r="BX119" s="16">
        <v>7</v>
      </c>
      <c r="BY119" s="16">
        <v>0</v>
      </c>
      <c r="BZ119" s="16">
        <v>0</v>
      </c>
      <c r="CA119" s="16">
        <v>12</v>
      </c>
      <c r="CB119" s="16">
        <v>0</v>
      </c>
      <c r="CC119" s="16">
        <v>15</v>
      </c>
      <c r="CD119" s="16">
        <v>3</v>
      </c>
      <c r="CE119" s="16">
        <v>9</v>
      </c>
      <c r="CF119" s="16">
        <v>11</v>
      </c>
      <c r="CG119" s="16">
        <v>10</v>
      </c>
      <c r="CH119" s="16">
        <v>0</v>
      </c>
      <c r="CI119" s="16">
        <v>0</v>
      </c>
      <c r="CJ119" s="16">
        <v>35</v>
      </c>
      <c r="CK119" s="16">
        <v>226</v>
      </c>
      <c r="CL119" s="16">
        <v>0</v>
      </c>
      <c r="CM119" s="16">
        <v>27</v>
      </c>
      <c r="CN119" s="16">
        <v>0</v>
      </c>
      <c r="CO119" s="16">
        <v>17</v>
      </c>
      <c r="CP119" s="16">
        <v>17</v>
      </c>
      <c r="CQ119" s="16">
        <v>87</v>
      </c>
      <c r="CR119" s="16">
        <v>0</v>
      </c>
      <c r="CS119" s="16">
        <v>99</v>
      </c>
      <c r="CT119" s="16">
        <v>44</v>
      </c>
      <c r="CU119" s="16">
        <v>94</v>
      </c>
      <c r="CV119" s="16">
        <v>37</v>
      </c>
      <c r="CW119" s="16">
        <v>175</v>
      </c>
      <c r="CX119" s="16">
        <v>56</v>
      </c>
      <c r="CY119" s="16">
        <v>0</v>
      </c>
      <c r="CZ119" s="16">
        <v>47</v>
      </c>
      <c r="DA119" s="16">
        <v>0</v>
      </c>
      <c r="DB119" s="16">
        <v>40</v>
      </c>
      <c r="DC119" s="16">
        <v>0</v>
      </c>
      <c r="DD119" s="16">
        <v>207</v>
      </c>
      <c r="DE119" s="16">
        <v>138</v>
      </c>
      <c r="DF119" s="16">
        <v>110</v>
      </c>
      <c r="DG119" s="16">
        <v>132</v>
      </c>
      <c r="DH119" s="16">
        <v>170</v>
      </c>
      <c r="DI119" s="16">
        <v>29</v>
      </c>
      <c r="DJ119" s="16">
        <v>419</v>
      </c>
      <c r="DK119" s="16">
        <v>0</v>
      </c>
      <c r="DL119" s="16">
        <v>48</v>
      </c>
      <c r="DM119" s="16">
        <v>31784</v>
      </c>
      <c r="DN119" s="16">
        <v>52</v>
      </c>
      <c r="DO119" s="16">
        <v>241196</v>
      </c>
      <c r="DP119" s="16">
        <v>2337</v>
      </c>
      <c r="DQ119" s="16">
        <v>0</v>
      </c>
      <c r="DR119" s="16">
        <v>91</v>
      </c>
      <c r="DS119" s="16">
        <v>204</v>
      </c>
      <c r="DT119" s="16">
        <v>0</v>
      </c>
      <c r="DU119" s="16">
        <v>0</v>
      </c>
      <c r="DV119" s="16">
        <v>370</v>
      </c>
      <c r="DW119" s="16">
        <v>228</v>
      </c>
      <c r="DX119" s="16">
        <v>82</v>
      </c>
      <c r="DY119" s="16">
        <v>236</v>
      </c>
      <c r="DZ119" s="16">
        <v>487</v>
      </c>
      <c r="EA119" s="16">
        <v>227</v>
      </c>
      <c r="EB119" s="16">
        <v>176</v>
      </c>
      <c r="EC119" s="16">
        <v>151</v>
      </c>
      <c r="ED119" s="16">
        <v>12</v>
      </c>
      <c r="EE119" s="16">
        <v>0</v>
      </c>
      <c r="EF119" s="16">
        <v>54</v>
      </c>
      <c r="EG119" s="16">
        <v>85</v>
      </c>
      <c r="EH119" s="16">
        <v>0</v>
      </c>
      <c r="EI119" s="16">
        <v>0</v>
      </c>
      <c r="EJ119" s="16">
        <v>0</v>
      </c>
      <c r="EK119" s="16">
        <v>0</v>
      </c>
      <c r="EL119" s="16">
        <v>0</v>
      </c>
      <c r="EM119" s="16">
        <v>0</v>
      </c>
      <c r="EN119" s="16">
        <v>112</v>
      </c>
      <c r="EO119" s="16">
        <v>108</v>
      </c>
      <c r="EP119" s="16">
        <v>22</v>
      </c>
      <c r="EQ119" s="16">
        <v>20</v>
      </c>
      <c r="ER119" s="16">
        <v>9</v>
      </c>
      <c r="ES119" s="16">
        <v>27</v>
      </c>
      <c r="ET119" s="16">
        <v>0</v>
      </c>
      <c r="EU119" s="16">
        <v>0</v>
      </c>
      <c r="EV119" s="16">
        <v>0</v>
      </c>
      <c r="EW119" s="16">
        <v>0</v>
      </c>
      <c r="EX119" s="16">
        <v>0</v>
      </c>
      <c r="EY119" s="16">
        <v>0</v>
      </c>
      <c r="EZ119" s="16">
        <v>0</v>
      </c>
      <c r="FA119" s="16">
        <v>158</v>
      </c>
      <c r="FB119" s="16">
        <v>369</v>
      </c>
      <c r="FC119" s="16">
        <v>0</v>
      </c>
      <c r="FD119" s="16">
        <v>0</v>
      </c>
      <c r="FE119" s="16">
        <v>173</v>
      </c>
      <c r="FF119" s="16">
        <v>0</v>
      </c>
      <c r="FG119" s="16">
        <v>0</v>
      </c>
      <c r="FH119" s="16">
        <v>0</v>
      </c>
      <c r="FI119" s="16">
        <v>20</v>
      </c>
      <c r="FJ119" s="16">
        <v>0</v>
      </c>
      <c r="FK119" s="16">
        <v>50</v>
      </c>
      <c r="FL119" s="16">
        <v>0</v>
      </c>
      <c r="FM119" s="16">
        <v>0</v>
      </c>
      <c r="FN119" s="16">
        <v>0</v>
      </c>
      <c r="FO119" s="16">
        <v>0</v>
      </c>
      <c r="FP119" s="16">
        <v>77</v>
      </c>
      <c r="FQ119" s="16">
        <v>83</v>
      </c>
      <c r="FR119" s="16">
        <v>82</v>
      </c>
      <c r="FS119" s="16">
        <v>0</v>
      </c>
      <c r="FT119" s="16">
        <v>0</v>
      </c>
      <c r="FU119" s="16">
        <v>0</v>
      </c>
      <c r="FV119" s="16">
        <v>73</v>
      </c>
      <c r="FW119" s="16">
        <v>0</v>
      </c>
      <c r="FX119" s="16">
        <v>234</v>
      </c>
      <c r="FY119" s="16">
        <v>12</v>
      </c>
      <c r="FZ119" s="16">
        <v>0</v>
      </c>
      <c r="GA119" s="16">
        <v>23</v>
      </c>
      <c r="GB119" s="16">
        <v>89</v>
      </c>
      <c r="GC119" s="16">
        <v>32</v>
      </c>
      <c r="GD119" s="16">
        <v>68</v>
      </c>
      <c r="GE119" s="16">
        <v>0</v>
      </c>
      <c r="GF119" s="16">
        <v>0</v>
      </c>
      <c r="GG119" s="16">
        <v>0</v>
      </c>
      <c r="GH119" s="16">
        <v>2635</v>
      </c>
      <c r="GI119" s="16">
        <v>220</v>
      </c>
      <c r="GJ119" s="16">
        <v>236</v>
      </c>
      <c r="GK119" s="16">
        <v>150</v>
      </c>
      <c r="GL119" s="16">
        <v>0</v>
      </c>
      <c r="GM119" s="16">
        <v>0</v>
      </c>
      <c r="GN119" s="16">
        <v>0</v>
      </c>
      <c r="GO119" s="16">
        <v>88</v>
      </c>
      <c r="GP119" s="16">
        <v>0</v>
      </c>
      <c r="GQ119" s="16">
        <v>0</v>
      </c>
      <c r="GR119" s="16">
        <v>44</v>
      </c>
      <c r="GS119" s="16">
        <v>0</v>
      </c>
      <c r="GT119" s="16">
        <v>47</v>
      </c>
      <c r="GU119" s="16">
        <v>242</v>
      </c>
      <c r="GV119" s="16">
        <v>177</v>
      </c>
      <c r="GW119" s="16">
        <v>71</v>
      </c>
      <c r="GX119" s="16">
        <v>0</v>
      </c>
      <c r="GY119" s="16">
        <v>0</v>
      </c>
      <c r="GZ119" s="16">
        <v>179</v>
      </c>
      <c r="HA119" s="16">
        <v>65</v>
      </c>
      <c r="HB119" s="16">
        <v>0</v>
      </c>
      <c r="HC119" s="16">
        <v>265</v>
      </c>
      <c r="HD119" s="16">
        <v>330</v>
      </c>
      <c r="HE119" s="16">
        <v>920</v>
      </c>
      <c r="HF119" s="16">
        <v>118</v>
      </c>
      <c r="HG119" s="16">
        <v>116</v>
      </c>
      <c r="HH119" s="16">
        <v>0</v>
      </c>
      <c r="HI119" s="16">
        <v>112</v>
      </c>
      <c r="HJ119" s="16">
        <v>0</v>
      </c>
      <c r="HK119" s="16">
        <v>176</v>
      </c>
      <c r="HL119" s="16">
        <v>545</v>
      </c>
      <c r="HM119" s="16">
        <v>0</v>
      </c>
      <c r="HN119" s="16">
        <v>198</v>
      </c>
      <c r="HO119" s="16">
        <v>0</v>
      </c>
      <c r="HP119" s="16">
        <v>0</v>
      </c>
      <c r="HQ119" s="16">
        <v>107</v>
      </c>
      <c r="HR119" s="16">
        <v>182</v>
      </c>
      <c r="HS119" s="16">
        <v>129</v>
      </c>
      <c r="HT119" s="16">
        <v>0</v>
      </c>
      <c r="HU119" s="16">
        <v>156</v>
      </c>
      <c r="HV119" s="16">
        <v>0</v>
      </c>
      <c r="HW119" s="16">
        <v>159</v>
      </c>
      <c r="HX119" s="16">
        <v>0</v>
      </c>
      <c r="HY119" s="16">
        <v>329</v>
      </c>
      <c r="HZ119" s="16">
        <v>247</v>
      </c>
      <c r="IA119" s="16">
        <v>0</v>
      </c>
      <c r="IB119" s="16">
        <v>0</v>
      </c>
      <c r="IC119" s="16">
        <v>12</v>
      </c>
      <c r="ID119" s="16">
        <v>0</v>
      </c>
      <c r="IE119" s="16">
        <v>10</v>
      </c>
      <c r="IF119" s="16">
        <v>0</v>
      </c>
      <c r="IG119" s="16">
        <v>196</v>
      </c>
      <c r="IH119" s="16">
        <v>8</v>
      </c>
      <c r="II119" s="16">
        <v>0</v>
      </c>
      <c r="IJ119" s="16">
        <v>0</v>
      </c>
      <c r="IK119" s="16">
        <v>0</v>
      </c>
      <c r="IL119" s="16">
        <v>0</v>
      </c>
      <c r="IM119" s="16">
        <v>0</v>
      </c>
      <c r="IN119" s="16">
        <v>560</v>
      </c>
      <c r="IO119" s="16">
        <v>2299</v>
      </c>
      <c r="IP119" s="16">
        <v>554</v>
      </c>
      <c r="IQ119" s="16">
        <v>0</v>
      </c>
      <c r="IR119" s="16">
        <v>0</v>
      </c>
      <c r="IS119" s="16">
        <v>0</v>
      </c>
      <c r="IT119" s="16">
        <v>121</v>
      </c>
      <c r="IU119" s="16">
        <v>0</v>
      </c>
      <c r="IV119" s="16">
        <v>25</v>
      </c>
      <c r="IW119" s="16">
        <v>55</v>
      </c>
      <c r="IX119" s="16">
        <v>16</v>
      </c>
      <c r="IY119" s="16">
        <v>13</v>
      </c>
      <c r="IZ119" s="16">
        <v>2</v>
      </c>
      <c r="JA119" s="16">
        <v>16</v>
      </c>
      <c r="JB119" s="16">
        <v>0</v>
      </c>
      <c r="JC119" s="16">
        <v>0</v>
      </c>
      <c r="JD119" s="16">
        <v>0</v>
      </c>
      <c r="JE119" s="16">
        <v>30</v>
      </c>
      <c r="JF119" s="16">
        <v>30</v>
      </c>
      <c r="JG119" s="16">
        <v>17254</v>
      </c>
      <c r="JH119" s="16">
        <v>91</v>
      </c>
      <c r="JI119" s="16">
        <v>0</v>
      </c>
      <c r="JJ119" s="16">
        <v>1237</v>
      </c>
      <c r="JK119" s="16">
        <v>440</v>
      </c>
      <c r="JL119" s="16">
        <v>0</v>
      </c>
      <c r="JM119" s="16">
        <v>0</v>
      </c>
      <c r="JN119" s="16">
        <v>0</v>
      </c>
      <c r="JO119" s="16">
        <v>0</v>
      </c>
      <c r="JP119" s="16">
        <v>225</v>
      </c>
      <c r="JQ119" s="16">
        <v>302</v>
      </c>
      <c r="JR119" s="16">
        <v>13305</v>
      </c>
      <c r="JS119" s="16">
        <v>386</v>
      </c>
      <c r="JT119" s="16">
        <v>14</v>
      </c>
      <c r="JU119" s="16">
        <v>43700</v>
      </c>
      <c r="JV119" s="16">
        <v>305</v>
      </c>
      <c r="JW119" s="16">
        <v>332</v>
      </c>
      <c r="JX119" s="16">
        <v>424</v>
      </c>
      <c r="JY119" s="16">
        <v>98</v>
      </c>
      <c r="JZ119" s="16">
        <v>61</v>
      </c>
      <c r="KA119" s="16">
        <v>22</v>
      </c>
      <c r="KB119" s="16">
        <v>8</v>
      </c>
      <c r="KC119" s="16">
        <v>10</v>
      </c>
      <c r="KD119" s="16">
        <v>0</v>
      </c>
      <c r="KE119" s="16">
        <v>7</v>
      </c>
      <c r="KF119" s="16">
        <v>31</v>
      </c>
      <c r="KG119" s="16">
        <v>8</v>
      </c>
      <c r="KH119" s="16">
        <v>38</v>
      </c>
      <c r="KI119" s="16">
        <v>56</v>
      </c>
      <c r="KJ119" s="16">
        <v>52</v>
      </c>
      <c r="KK119" s="16">
        <v>8615</v>
      </c>
      <c r="KL119" s="16">
        <v>0</v>
      </c>
      <c r="KM119" s="16">
        <v>0</v>
      </c>
      <c r="KN119" s="16">
        <v>1096</v>
      </c>
      <c r="KO119" s="16">
        <v>0</v>
      </c>
      <c r="KP119" s="16">
        <v>104</v>
      </c>
      <c r="KQ119" s="16">
        <v>847</v>
      </c>
      <c r="KR119" s="16">
        <v>47</v>
      </c>
      <c r="KS119" s="16">
        <v>0</v>
      </c>
      <c r="KT119" s="16">
        <v>0</v>
      </c>
      <c r="KU119" s="16">
        <v>119</v>
      </c>
      <c r="KV119" s="16">
        <v>0</v>
      </c>
      <c r="KW119" s="16">
        <v>160</v>
      </c>
      <c r="KX119" s="16">
        <v>10</v>
      </c>
      <c r="KY119" s="16">
        <v>505</v>
      </c>
      <c r="KZ119" s="16">
        <v>9683</v>
      </c>
      <c r="LA119" s="16">
        <v>1772</v>
      </c>
      <c r="LB119" s="16">
        <v>1671</v>
      </c>
      <c r="LC119" s="16">
        <v>2388</v>
      </c>
      <c r="LD119" s="16">
        <v>24192</v>
      </c>
      <c r="LE119" s="16">
        <v>596</v>
      </c>
      <c r="LF119" s="16">
        <v>0</v>
      </c>
      <c r="LG119" s="16">
        <v>21</v>
      </c>
      <c r="LH119" s="16">
        <v>99</v>
      </c>
      <c r="LI119" s="16">
        <v>83</v>
      </c>
      <c r="LJ119" s="16">
        <v>190</v>
      </c>
      <c r="LK119" s="16">
        <v>525</v>
      </c>
      <c r="LL119" s="16">
        <v>929</v>
      </c>
      <c r="LM119" s="16">
        <v>3154</v>
      </c>
      <c r="LN119" s="16">
        <v>196</v>
      </c>
      <c r="LO119" s="16">
        <v>102</v>
      </c>
      <c r="LP119" s="16">
        <v>430</v>
      </c>
      <c r="LQ119" s="16">
        <v>43</v>
      </c>
      <c r="LR119" s="16">
        <v>1115</v>
      </c>
      <c r="LS119" s="16">
        <v>41</v>
      </c>
      <c r="LT119" s="16">
        <v>124</v>
      </c>
      <c r="LU119" s="16">
        <v>215</v>
      </c>
      <c r="LV119" s="16">
        <v>0</v>
      </c>
      <c r="LW119" s="16">
        <v>122</v>
      </c>
      <c r="LX119" s="16">
        <v>91</v>
      </c>
      <c r="LY119" s="16">
        <v>0</v>
      </c>
      <c r="LZ119" s="16">
        <v>9751</v>
      </c>
      <c r="MA119" s="16">
        <v>1130</v>
      </c>
      <c r="MB119" s="16">
        <v>979</v>
      </c>
      <c r="MC119" s="16">
        <v>523</v>
      </c>
      <c r="MD119" s="16">
        <v>171</v>
      </c>
      <c r="ME119" s="16">
        <v>251</v>
      </c>
      <c r="MF119" s="16">
        <v>17960</v>
      </c>
      <c r="MG119" s="16">
        <v>105</v>
      </c>
      <c r="MH119" s="16">
        <v>1126</v>
      </c>
      <c r="MI119" s="16">
        <v>0</v>
      </c>
      <c r="MJ119" s="16">
        <v>397</v>
      </c>
      <c r="MK119" s="16">
        <v>246</v>
      </c>
      <c r="ML119" s="16">
        <v>0</v>
      </c>
      <c r="MM119" s="16">
        <v>391</v>
      </c>
      <c r="MN119" s="16">
        <v>814</v>
      </c>
      <c r="MO119" s="16">
        <v>70518</v>
      </c>
      <c r="MP119" s="16">
        <v>32</v>
      </c>
      <c r="MQ119" s="16">
        <v>217</v>
      </c>
      <c r="MR119" s="16">
        <v>61084</v>
      </c>
      <c r="MS119" s="16">
        <v>45856</v>
      </c>
      <c r="MT119" s="16">
        <v>25</v>
      </c>
      <c r="MU119" s="16">
        <v>17975</v>
      </c>
      <c r="MV119" s="16">
        <v>244</v>
      </c>
      <c r="MW119" s="16">
        <v>538</v>
      </c>
      <c r="MX119" s="16">
        <v>43434</v>
      </c>
      <c r="MY119" s="16">
        <v>61109</v>
      </c>
      <c r="MZ119" s="16">
        <v>234565</v>
      </c>
      <c r="NA119" s="16">
        <v>17056</v>
      </c>
      <c r="NB119" s="16">
        <v>73</v>
      </c>
      <c r="NC119" s="16">
        <v>5190</v>
      </c>
      <c r="ND119" s="16">
        <v>0</v>
      </c>
      <c r="NE119" s="16">
        <v>77</v>
      </c>
      <c r="NF119" s="16">
        <v>92</v>
      </c>
      <c r="NG119" s="16">
        <v>131468</v>
      </c>
      <c r="NH119" s="16">
        <v>100</v>
      </c>
      <c r="NI119" s="16">
        <v>0</v>
      </c>
      <c r="NJ119" s="16">
        <v>74</v>
      </c>
      <c r="NK119" s="16">
        <v>209</v>
      </c>
      <c r="NL119" s="16">
        <v>120</v>
      </c>
      <c r="NM119" s="16">
        <v>121</v>
      </c>
      <c r="NN119" s="16">
        <v>66</v>
      </c>
      <c r="NO119" s="16">
        <v>0</v>
      </c>
      <c r="NP119" s="16">
        <v>177</v>
      </c>
      <c r="NQ119" s="16">
        <v>2100</v>
      </c>
      <c r="NR119" s="17">
        <v>2563520</v>
      </c>
    </row>
    <row r="120" spans="1:382" ht="13.5" customHeight="1" x14ac:dyDescent="0.2">
      <c r="A120" s="2" t="s">
        <v>247</v>
      </c>
      <c r="B120" s="16">
        <v>0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1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3</v>
      </c>
      <c r="P120" s="16">
        <v>162</v>
      </c>
      <c r="Q120" s="16">
        <v>38</v>
      </c>
      <c r="R120" s="16">
        <v>34</v>
      </c>
      <c r="S120" s="16">
        <v>30</v>
      </c>
      <c r="T120" s="16">
        <v>1</v>
      </c>
      <c r="U120" s="16">
        <v>0</v>
      </c>
      <c r="V120" s="16">
        <v>0</v>
      </c>
      <c r="W120" s="16">
        <v>46</v>
      </c>
      <c r="X120" s="16">
        <v>1384</v>
      </c>
      <c r="Y120" s="16">
        <v>642</v>
      </c>
      <c r="Z120" s="16">
        <v>110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32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6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274</v>
      </c>
      <c r="BK120" s="16">
        <v>139</v>
      </c>
      <c r="BL120" s="16">
        <v>3020</v>
      </c>
      <c r="BM120" s="16">
        <v>90</v>
      </c>
      <c r="BN120" s="16">
        <v>1134</v>
      </c>
      <c r="BO120" s="16">
        <v>6526</v>
      </c>
      <c r="BP120" s="16">
        <v>513</v>
      </c>
      <c r="BQ120" s="16">
        <v>58</v>
      </c>
      <c r="BR120" s="16">
        <v>13</v>
      </c>
      <c r="BS120" s="16">
        <v>893</v>
      </c>
      <c r="BT120" s="16">
        <v>6</v>
      </c>
      <c r="BU120" s="16">
        <v>0</v>
      </c>
      <c r="BV120" s="16">
        <v>0</v>
      </c>
      <c r="BW120" s="16">
        <v>59</v>
      </c>
      <c r="BX120" s="16">
        <v>966</v>
      </c>
      <c r="BY120" s="16">
        <v>0</v>
      </c>
      <c r="BZ120" s="16">
        <v>105</v>
      </c>
      <c r="CA120" s="16">
        <v>58</v>
      </c>
      <c r="CB120" s="16">
        <v>359</v>
      </c>
      <c r="CC120" s="16">
        <v>177</v>
      </c>
      <c r="CD120" s="16">
        <v>6692</v>
      </c>
      <c r="CE120" s="16">
        <v>2425</v>
      </c>
      <c r="CF120" s="16">
        <v>32174</v>
      </c>
      <c r="CG120" s="16">
        <v>772</v>
      </c>
      <c r="CH120" s="16">
        <v>14667</v>
      </c>
      <c r="CI120" s="16">
        <v>0</v>
      </c>
      <c r="CJ120" s="16">
        <v>992</v>
      </c>
      <c r="CK120" s="16">
        <v>1712</v>
      </c>
      <c r="CL120" s="16">
        <v>8</v>
      </c>
      <c r="CM120" s="16">
        <v>229</v>
      </c>
      <c r="CN120" s="16">
        <v>252</v>
      </c>
      <c r="CO120" s="16">
        <v>76</v>
      </c>
      <c r="CP120" s="16">
        <v>389</v>
      </c>
      <c r="CQ120" s="16">
        <v>1422</v>
      </c>
      <c r="CR120" s="16">
        <v>15</v>
      </c>
      <c r="CS120" s="16">
        <v>389</v>
      </c>
      <c r="CT120" s="16">
        <v>221</v>
      </c>
      <c r="CU120" s="16">
        <v>30</v>
      </c>
      <c r="CV120" s="16">
        <v>119</v>
      </c>
      <c r="CW120" s="16">
        <v>418</v>
      </c>
      <c r="CX120" s="16">
        <v>113</v>
      </c>
      <c r="CY120" s="16">
        <v>395</v>
      </c>
      <c r="CZ120" s="16">
        <v>72</v>
      </c>
      <c r="DA120" s="16">
        <v>45</v>
      </c>
      <c r="DB120" s="16">
        <v>872</v>
      </c>
      <c r="DC120" s="16">
        <v>700</v>
      </c>
      <c r="DD120" s="16">
        <v>855</v>
      </c>
      <c r="DE120" s="16">
        <v>153</v>
      </c>
      <c r="DF120" s="16">
        <v>441</v>
      </c>
      <c r="DG120" s="16">
        <v>21</v>
      </c>
      <c r="DH120" s="16">
        <v>6</v>
      </c>
      <c r="DI120" s="16">
        <v>1237</v>
      </c>
      <c r="DJ120" s="16">
        <v>1266</v>
      </c>
      <c r="DK120" s="16">
        <v>1785</v>
      </c>
      <c r="DL120" s="16">
        <v>1850</v>
      </c>
      <c r="DM120" s="16">
        <v>300</v>
      </c>
      <c r="DN120" s="16">
        <v>0</v>
      </c>
      <c r="DO120" s="16">
        <v>20</v>
      </c>
      <c r="DP120" s="16">
        <v>409364</v>
      </c>
      <c r="DQ120" s="16">
        <v>3529</v>
      </c>
      <c r="DR120" s="16">
        <v>267</v>
      </c>
      <c r="DS120" s="16">
        <v>1107</v>
      </c>
      <c r="DT120" s="16">
        <v>1658</v>
      </c>
      <c r="DU120" s="16">
        <v>2661</v>
      </c>
      <c r="DV120" s="16">
        <v>76945</v>
      </c>
      <c r="DW120" s="16">
        <v>13293</v>
      </c>
      <c r="DX120" s="16">
        <v>4418</v>
      </c>
      <c r="DY120" s="16">
        <v>7787</v>
      </c>
      <c r="DZ120" s="16">
        <v>17147</v>
      </c>
      <c r="EA120" s="16">
        <v>74895</v>
      </c>
      <c r="EB120" s="16">
        <v>1</v>
      </c>
      <c r="EC120" s="16">
        <v>191</v>
      </c>
      <c r="ED120" s="16">
        <v>78</v>
      </c>
      <c r="EE120" s="16">
        <v>537</v>
      </c>
      <c r="EF120" s="16">
        <v>16019</v>
      </c>
      <c r="EG120" s="16">
        <v>49805</v>
      </c>
      <c r="EH120" s="16">
        <v>11419</v>
      </c>
      <c r="EI120" s="16">
        <v>59023</v>
      </c>
      <c r="EJ120" s="16">
        <v>78617</v>
      </c>
      <c r="EK120" s="16">
        <v>83176</v>
      </c>
      <c r="EL120" s="16">
        <v>20798</v>
      </c>
      <c r="EM120" s="16">
        <v>38</v>
      </c>
      <c r="EN120" s="16">
        <v>462</v>
      </c>
      <c r="EO120" s="16">
        <v>634</v>
      </c>
      <c r="EP120" s="16">
        <v>127</v>
      </c>
      <c r="EQ120" s="16">
        <v>200</v>
      </c>
      <c r="ER120" s="16">
        <v>31</v>
      </c>
      <c r="ES120" s="16">
        <v>975</v>
      </c>
      <c r="ET120" s="16">
        <v>1660</v>
      </c>
      <c r="EU120" s="16">
        <v>10</v>
      </c>
      <c r="EV120" s="16">
        <v>0</v>
      </c>
      <c r="EW120" s="16">
        <v>7</v>
      </c>
      <c r="EX120" s="16">
        <v>129</v>
      </c>
      <c r="EY120" s="16">
        <v>165</v>
      </c>
      <c r="EZ120" s="16">
        <v>8</v>
      </c>
      <c r="FA120" s="16">
        <v>7</v>
      </c>
      <c r="FB120" s="16">
        <v>0</v>
      </c>
      <c r="FC120" s="16">
        <v>152</v>
      </c>
      <c r="FD120" s="16">
        <v>1969</v>
      </c>
      <c r="FE120" s="16">
        <v>43</v>
      </c>
      <c r="FF120" s="16">
        <v>194289</v>
      </c>
      <c r="FG120" s="16">
        <v>1135</v>
      </c>
      <c r="FH120" s="16">
        <v>0</v>
      </c>
      <c r="FI120" s="16">
        <v>62</v>
      </c>
      <c r="FJ120" s="16">
        <v>0</v>
      </c>
      <c r="FK120" s="16">
        <v>0</v>
      </c>
      <c r="FL120" s="16">
        <v>0</v>
      </c>
      <c r="FM120" s="16">
        <v>1160</v>
      </c>
      <c r="FN120" s="16">
        <v>4683</v>
      </c>
      <c r="FO120" s="16">
        <v>919</v>
      </c>
      <c r="FP120" s="16">
        <v>485</v>
      </c>
      <c r="FQ120" s="16">
        <v>61123</v>
      </c>
      <c r="FR120" s="16">
        <v>85809</v>
      </c>
      <c r="FS120" s="16">
        <v>8386</v>
      </c>
      <c r="FT120" s="16">
        <v>1420</v>
      </c>
      <c r="FU120" s="16">
        <v>762</v>
      </c>
      <c r="FV120" s="16">
        <v>19808</v>
      </c>
      <c r="FW120" s="16">
        <v>250431</v>
      </c>
      <c r="FX120" s="16">
        <v>48023</v>
      </c>
      <c r="FY120" s="16">
        <v>1060</v>
      </c>
      <c r="FZ120" s="16">
        <v>1838</v>
      </c>
      <c r="GA120" s="16">
        <v>490</v>
      </c>
      <c r="GB120" s="16">
        <v>1529</v>
      </c>
      <c r="GC120" s="16">
        <v>7639</v>
      </c>
      <c r="GD120" s="16">
        <v>36325</v>
      </c>
      <c r="GE120" s="16">
        <v>5143</v>
      </c>
      <c r="GF120" s="16">
        <v>316334</v>
      </c>
      <c r="GG120" s="16">
        <v>64856</v>
      </c>
      <c r="GH120" s="16">
        <v>33435</v>
      </c>
      <c r="GI120" s="16">
        <v>4176</v>
      </c>
      <c r="GJ120" s="16">
        <v>18058</v>
      </c>
      <c r="GK120" s="16">
        <v>11220</v>
      </c>
      <c r="GL120" s="16">
        <v>4748</v>
      </c>
      <c r="GM120" s="16">
        <v>1293</v>
      </c>
      <c r="GN120" s="16">
        <v>2304</v>
      </c>
      <c r="GO120" s="16">
        <v>1653</v>
      </c>
      <c r="GP120" s="16">
        <v>10329</v>
      </c>
      <c r="GQ120" s="16">
        <v>5356</v>
      </c>
      <c r="GR120" s="16">
        <v>1147</v>
      </c>
      <c r="GS120" s="16">
        <v>289</v>
      </c>
      <c r="GT120" s="16">
        <v>276</v>
      </c>
      <c r="GU120" s="16">
        <v>2412</v>
      </c>
      <c r="GV120" s="16">
        <v>1691</v>
      </c>
      <c r="GW120" s="16">
        <v>129</v>
      </c>
      <c r="GX120" s="16">
        <v>218</v>
      </c>
      <c r="GY120" s="16">
        <v>0</v>
      </c>
      <c r="GZ120" s="16">
        <v>86611</v>
      </c>
      <c r="HA120" s="16">
        <v>1976</v>
      </c>
      <c r="HB120" s="16">
        <v>825</v>
      </c>
      <c r="HC120" s="16">
        <v>2132</v>
      </c>
      <c r="HD120" s="16">
        <v>2521</v>
      </c>
      <c r="HE120" s="16">
        <v>1727</v>
      </c>
      <c r="HF120" s="16">
        <v>5560</v>
      </c>
      <c r="HG120" s="16">
        <v>5171</v>
      </c>
      <c r="HH120" s="16">
        <v>2037</v>
      </c>
      <c r="HI120" s="16">
        <v>7455</v>
      </c>
      <c r="HJ120" s="16">
        <v>512</v>
      </c>
      <c r="HK120" s="16">
        <v>1508</v>
      </c>
      <c r="HL120" s="16">
        <v>3594</v>
      </c>
      <c r="HM120" s="16">
        <v>333</v>
      </c>
      <c r="HN120" s="16">
        <v>3774</v>
      </c>
      <c r="HO120" s="16">
        <v>42</v>
      </c>
      <c r="HP120" s="16">
        <v>0</v>
      </c>
      <c r="HQ120" s="16">
        <v>33271</v>
      </c>
      <c r="HR120" s="16">
        <v>29795</v>
      </c>
      <c r="HS120" s="16">
        <v>25770</v>
      </c>
      <c r="HT120" s="16">
        <v>2640</v>
      </c>
      <c r="HU120" s="16">
        <v>25168</v>
      </c>
      <c r="HV120" s="16">
        <v>11926</v>
      </c>
      <c r="HW120" s="16">
        <v>19450</v>
      </c>
      <c r="HX120" s="16">
        <v>31062</v>
      </c>
      <c r="HY120" s="16">
        <v>42831</v>
      </c>
      <c r="HZ120" s="16">
        <v>55548</v>
      </c>
      <c r="IA120" s="16">
        <v>10679</v>
      </c>
      <c r="IB120" s="16">
        <v>3079</v>
      </c>
      <c r="IC120" s="16">
        <v>1513</v>
      </c>
      <c r="ID120" s="16">
        <v>6466</v>
      </c>
      <c r="IE120" s="16">
        <v>888</v>
      </c>
      <c r="IF120" s="16">
        <v>3721</v>
      </c>
      <c r="IG120" s="16">
        <v>39039</v>
      </c>
      <c r="IH120" s="16">
        <v>324692</v>
      </c>
      <c r="II120" s="16">
        <v>47791</v>
      </c>
      <c r="IJ120" s="16">
        <v>3029</v>
      </c>
      <c r="IK120" s="16">
        <v>20238</v>
      </c>
      <c r="IL120" s="16">
        <v>5048</v>
      </c>
      <c r="IM120" s="16">
        <v>615</v>
      </c>
      <c r="IN120" s="16">
        <v>4792</v>
      </c>
      <c r="IO120" s="16">
        <v>480713</v>
      </c>
      <c r="IP120" s="16">
        <v>420957</v>
      </c>
      <c r="IQ120" s="16">
        <v>47886</v>
      </c>
      <c r="IR120" s="16">
        <v>27909</v>
      </c>
      <c r="IS120" s="16">
        <v>1330</v>
      </c>
      <c r="IT120" s="16">
        <v>15278</v>
      </c>
      <c r="IU120" s="16">
        <v>3</v>
      </c>
      <c r="IV120" s="16">
        <v>818</v>
      </c>
      <c r="IW120" s="16">
        <v>144701</v>
      </c>
      <c r="IX120" s="16">
        <v>6967</v>
      </c>
      <c r="IY120" s="16">
        <v>20560</v>
      </c>
      <c r="IZ120" s="16">
        <v>154</v>
      </c>
      <c r="JA120" s="16">
        <v>1345</v>
      </c>
      <c r="JB120" s="16">
        <v>221</v>
      </c>
      <c r="JC120" s="16">
        <v>2950</v>
      </c>
      <c r="JD120" s="16">
        <v>18</v>
      </c>
      <c r="JE120" s="16">
        <v>45156</v>
      </c>
      <c r="JF120" s="16">
        <v>1543</v>
      </c>
      <c r="JG120" s="16">
        <v>26020</v>
      </c>
      <c r="JH120" s="16">
        <v>10</v>
      </c>
      <c r="JI120" s="16">
        <v>0</v>
      </c>
      <c r="JJ120" s="16">
        <v>0</v>
      </c>
      <c r="JK120" s="16">
        <v>7565</v>
      </c>
      <c r="JL120" s="16">
        <v>0</v>
      </c>
      <c r="JM120" s="16">
        <v>0</v>
      </c>
      <c r="JN120" s="16">
        <v>0</v>
      </c>
      <c r="JO120" s="16">
        <v>707</v>
      </c>
      <c r="JP120" s="16">
        <v>0</v>
      </c>
      <c r="JQ120" s="16">
        <v>0</v>
      </c>
      <c r="JR120" s="16">
        <v>583</v>
      </c>
      <c r="JS120" s="16">
        <v>0</v>
      </c>
      <c r="JT120" s="16">
        <v>0</v>
      </c>
      <c r="JU120" s="16">
        <v>0</v>
      </c>
      <c r="JV120" s="16">
        <v>605</v>
      </c>
      <c r="JW120" s="16">
        <v>630335</v>
      </c>
      <c r="JX120" s="16">
        <v>741719</v>
      </c>
      <c r="JY120" s="16">
        <v>288499</v>
      </c>
      <c r="JZ120" s="16">
        <v>215663</v>
      </c>
      <c r="KA120" s="16">
        <v>7974</v>
      </c>
      <c r="KB120" s="16">
        <v>2162</v>
      </c>
      <c r="KC120" s="16">
        <v>3792</v>
      </c>
      <c r="KD120" s="16">
        <v>7906</v>
      </c>
      <c r="KE120" s="16">
        <v>2208</v>
      </c>
      <c r="KF120" s="16">
        <v>15390</v>
      </c>
      <c r="KG120" s="16">
        <v>3428</v>
      </c>
      <c r="KH120" s="16">
        <v>14801</v>
      </c>
      <c r="KI120" s="16">
        <v>16897</v>
      </c>
      <c r="KJ120" s="16">
        <v>24469</v>
      </c>
      <c r="KK120" s="16">
        <v>11605</v>
      </c>
      <c r="KL120" s="16">
        <v>0</v>
      </c>
      <c r="KM120" s="16">
        <v>646</v>
      </c>
      <c r="KN120" s="16">
        <v>30</v>
      </c>
      <c r="KO120" s="16">
        <v>3159</v>
      </c>
      <c r="KP120" s="16">
        <v>199</v>
      </c>
      <c r="KQ120" s="16">
        <v>11761</v>
      </c>
      <c r="KR120" s="16">
        <v>4237</v>
      </c>
      <c r="KS120" s="16">
        <v>384</v>
      </c>
      <c r="KT120" s="16">
        <v>25</v>
      </c>
      <c r="KU120" s="16">
        <v>1015</v>
      </c>
      <c r="KV120" s="16">
        <v>10713</v>
      </c>
      <c r="KW120" s="16">
        <v>292</v>
      </c>
      <c r="KX120" s="16">
        <v>0</v>
      </c>
      <c r="KY120" s="16">
        <v>0</v>
      </c>
      <c r="KZ120" s="16">
        <v>4205</v>
      </c>
      <c r="LA120" s="16">
        <v>903</v>
      </c>
      <c r="LB120" s="16">
        <v>186</v>
      </c>
      <c r="LC120" s="16">
        <v>0</v>
      </c>
      <c r="LD120" s="16">
        <v>25</v>
      </c>
      <c r="LE120" s="16">
        <v>47</v>
      </c>
      <c r="LF120" s="16">
        <v>9</v>
      </c>
      <c r="LG120" s="16">
        <v>0</v>
      </c>
      <c r="LH120" s="16">
        <v>0</v>
      </c>
      <c r="LI120" s="16">
        <v>26</v>
      </c>
      <c r="LJ120" s="16">
        <v>23</v>
      </c>
      <c r="LK120" s="16">
        <v>160</v>
      </c>
      <c r="LL120" s="16">
        <v>6</v>
      </c>
      <c r="LM120" s="16">
        <v>0</v>
      </c>
      <c r="LN120" s="16">
        <v>109</v>
      </c>
      <c r="LO120" s="16">
        <v>3</v>
      </c>
      <c r="LP120" s="16">
        <v>1477</v>
      </c>
      <c r="LQ120" s="16">
        <v>303</v>
      </c>
      <c r="LR120" s="16">
        <v>24</v>
      </c>
      <c r="LS120" s="16">
        <v>0</v>
      </c>
      <c r="LT120" s="16">
        <v>72</v>
      </c>
      <c r="LU120" s="16">
        <v>43</v>
      </c>
      <c r="LV120" s="16">
        <v>0</v>
      </c>
      <c r="LW120" s="16">
        <v>29</v>
      </c>
      <c r="LX120" s="16">
        <v>108</v>
      </c>
      <c r="LY120" s="16">
        <v>0</v>
      </c>
      <c r="LZ120" s="16">
        <v>460</v>
      </c>
      <c r="MA120" s="16">
        <v>21</v>
      </c>
      <c r="MB120" s="16">
        <v>695</v>
      </c>
      <c r="MC120" s="16">
        <v>868</v>
      </c>
      <c r="MD120" s="16">
        <v>52</v>
      </c>
      <c r="ME120" s="16">
        <v>6</v>
      </c>
      <c r="MF120" s="16">
        <v>10888</v>
      </c>
      <c r="MG120" s="16">
        <v>145</v>
      </c>
      <c r="MH120" s="16">
        <v>1540</v>
      </c>
      <c r="MI120" s="16">
        <v>269</v>
      </c>
      <c r="MJ120" s="16">
        <v>916</v>
      </c>
      <c r="MK120" s="16">
        <v>229</v>
      </c>
      <c r="ML120" s="16">
        <v>68</v>
      </c>
      <c r="MM120" s="16">
        <v>574</v>
      </c>
      <c r="MN120" s="16">
        <v>110</v>
      </c>
      <c r="MO120" s="16">
        <v>49588</v>
      </c>
      <c r="MP120" s="16">
        <v>138</v>
      </c>
      <c r="MQ120" s="16">
        <v>1284</v>
      </c>
      <c r="MR120" s="16">
        <v>4015</v>
      </c>
      <c r="MS120" s="16">
        <v>3616</v>
      </c>
      <c r="MT120" s="16">
        <v>818</v>
      </c>
      <c r="MU120" s="16">
        <v>588</v>
      </c>
      <c r="MV120" s="16">
        <v>18543</v>
      </c>
      <c r="MW120" s="16">
        <v>2409</v>
      </c>
      <c r="MX120" s="16">
        <v>0</v>
      </c>
      <c r="MY120" s="16">
        <v>142</v>
      </c>
      <c r="MZ120" s="16">
        <v>3481</v>
      </c>
      <c r="NA120" s="16">
        <v>26</v>
      </c>
      <c r="NB120" s="16">
        <v>13497</v>
      </c>
      <c r="NC120" s="16">
        <v>10625</v>
      </c>
      <c r="ND120" s="16">
        <v>1541</v>
      </c>
      <c r="NE120" s="16">
        <v>59</v>
      </c>
      <c r="NF120" s="16">
        <v>0</v>
      </c>
      <c r="NG120" s="16">
        <v>1460</v>
      </c>
      <c r="NH120" s="16">
        <v>5601</v>
      </c>
      <c r="NI120" s="16">
        <v>498</v>
      </c>
      <c r="NJ120" s="16">
        <v>878</v>
      </c>
      <c r="NK120" s="16">
        <v>17707</v>
      </c>
      <c r="NL120" s="16">
        <v>23</v>
      </c>
      <c r="NM120" s="16">
        <v>0</v>
      </c>
      <c r="NN120" s="16">
        <v>0</v>
      </c>
      <c r="NO120" s="16">
        <v>0</v>
      </c>
      <c r="NP120" s="16">
        <v>0</v>
      </c>
      <c r="NQ120" s="16">
        <v>1728</v>
      </c>
      <c r="NR120" s="17">
        <v>6552808</v>
      </c>
    </row>
    <row r="121" spans="1:382" ht="13.5" customHeight="1" x14ac:dyDescent="0.2">
      <c r="A121" s="2" t="s">
        <v>249</v>
      </c>
      <c r="B121" s="16">
        <v>1</v>
      </c>
      <c r="C121" s="16">
        <v>0</v>
      </c>
      <c r="D121" s="16">
        <v>0</v>
      </c>
      <c r="E121" s="16">
        <v>0</v>
      </c>
      <c r="F121" s="16">
        <v>2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15</v>
      </c>
      <c r="M121" s="16">
        <v>0</v>
      </c>
      <c r="N121" s="16">
        <v>0</v>
      </c>
      <c r="O121" s="16">
        <v>0</v>
      </c>
      <c r="P121" s="16">
        <v>12</v>
      </c>
      <c r="Q121" s="16">
        <v>70</v>
      </c>
      <c r="R121" s="16">
        <v>16</v>
      </c>
      <c r="S121" s="16">
        <v>0</v>
      </c>
      <c r="T121" s="16">
        <v>1</v>
      </c>
      <c r="U121" s="16">
        <v>8</v>
      </c>
      <c r="V121" s="16">
        <v>1</v>
      </c>
      <c r="W121" s="16">
        <v>0</v>
      </c>
      <c r="X121" s="16">
        <v>2</v>
      </c>
      <c r="Y121" s="16">
        <v>74</v>
      </c>
      <c r="Z121" s="16">
        <v>63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35</v>
      </c>
      <c r="AH121" s="16">
        <v>12</v>
      </c>
      <c r="AI121" s="16">
        <v>7</v>
      </c>
      <c r="AJ121" s="16">
        <v>20</v>
      </c>
      <c r="AK121" s="16">
        <v>98</v>
      </c>
      <c r="AL121" s="16">
        <v>6</v>
      </c>
      <c r="AM121" s="16">
        <v>24</v>
      </c>
      <c r="AN121" s="16">
        <v>22</v>
      </c>
      <c r="AO121" s="16">
        <v>55</v>
      </c>
      <c r="AP121" s="16">
        <v>0</v>
      </c>
      <c r="AQ121" s="16">
        <v>0</v>
      </c>
      <c r="AR121" s="16">
        <v>0</v>
      </c>
      <c r="AS121" s="16">
        <v>0</v>
      </c>
      <c r="AT121" s="16">
        <v>4</v>
      </c>
      <c r="AU121" s="16">
        <v>12</v>
      </c>
      <c r="AV121" s="16">
        <v>3</v>
      </c>
      <c r="AW121" s="16">
        <v>81</v>
      </c>
      <c r="AX121" s="16">
        <v>2</v>
      </c>
      <c r="AY121" s="16">
        <v>0</v>
      </c>
      <c r="AZ121" s="16">
        <v>93</v>
      </c>
      <c r="BA121" s="16">
        <v>91</v>
      </c>
      <c r="BB121" s="16">
        <v>20</v>
      </c>
      <c r="BC121" s="16">
        <v>58</v>
      </c>
      <c r="BD121" s="16">
        <v>1</v>
      </c>
      <c r="BE121" s="16">
        <v>5</v>
      </c>
      <c r="BF121" s="16">
        <v>12</v>
      </c>
      <c r="BG121" s="16">
        <v>4</v>
      </c>
      <c r="BH121" s="16">
        <v>30</v>
      </c>
      <c r="BI121" s="16">
        <v>557</v>
      </c>
      <c r="BJ121" s="16">
        <v>1</v>
      </c>
      <c r="BK121" s="16">
        <v>4</v>
      </c>
      <c r="BL121" s="16">
        <v>13</v>
      </c>
      <c r="BM121" s="16">
        <v>53</v>
      </c>
      <c r="BN121" s="16">
        <v>59</v>
      </c>
      <c r="BO121" s="16">
        <v>50</v>
      </c>
      <c r="BP121" s="16">
        <v>20</v>
      </c>
      <c r="BQ121" s="16">
        <v>7</v>
      </c>
      <c r="BR121" s="16">
        <v>6</v>
      </c>
      <c r="BS121" s="16">
        <v>83</v>
      </c>
      <c r="BT121" s="16">
        <v>0</v>
      </c>
      <c r="BU121" s="16">
        <v>1</v>
      </c>
      <c r="BV121" s="16">
        <v>0</v>
      </c>
      <c r="BW121" s="16">
        <v>18</v>
      </c>
      <c r="BX121" s="16">
        <v>1</v>
      </c>
      <c r="BY121" s="16">
        <v>0</v>
      </c>
      <c r="BZ121" s="16">
        <v>72</v>
      </c>
      <c r="CA121" s="16">
        <v>9</v>
      </c>
      <c r="CB121" s="16">
        <v>1</v>
      </c>
      <c r="CC121" s="16">
        <v>338</v>
      </c>
      <c r="CD121" s="16">
        <v>19</v>
      </c>
      <c r="CE121" s="16">
        <v>4</v>
      </c>
      <c r="CF121" s="16">
        <v>29</v>
      </c>
      <c r="CG121" s="16">
        <v>9</v>
      </c>
      <c r="CH121" s="16">
        <v>35</v>
      </c>
      <c r="CI121" s="16">
        <v>9</v>
      </c>
      <c r="CJ121" s="16">
        <v>249</v>
      </c>
      <c r="CK121" s="16">
        <v>6870</v>
      </c>
      <c r="CL121" s="16">
        <v>17996</v>
      </c>
      <c r="CM121" s="16">
        <v>16696</v>
      </c>
      <c r="CN121" s="16">
        <v>1080</v>
      </c>
      <c r="CO121" s="16">
        <v>553</v>
      </c>
      <c r="CP121" s="16">
        <v>7059</v>
      </c>
      <c r="CQ121" s="16">
        <v>380742</v>
      </c>
      <c r="CR121" s="16">
        <v>6</v>
      </c>
      <c r="CS121" s="16">
        <v>11</v>
      </c>
      <c r="CT121" s="16">
        <v>7</v>
      </c>
      <c r="CU121" s="16">
        <v>18</v>
      </c>
      <c r="CV121" s="16">
        <v>25</v>
      </c>
      <c r="CW121" s="16">
        <v>132</v>
      </c>
      <c r="CX121" s="16">
        <v>552</v>
      </c>
      <c r="CY121" s="16">
        <v>7</v>
      </c>
      <c r="CZ121" s="16">
        <v>18</v>
      </c>
      <c r="DA121" s="16">
        <v>1</v>
      </c>
      <c r="DB121" s="16">
        <v>4</v>
      </c>
      <c r="DC121" s="16">
        <v>1</v>
      </c>
      <c r="DD121" s="16">
        <v>4</v>
      </c>
      <c r="DE121" s="16">
        <v>3</v>
      </c>
      <c r="DF121" s="16">
        <v>33</v>
      </c>
      <c r="DG121" s="16">
        <v>34</v>
      </c>
      <c r="DH121" s="16">
        <v>12</v>
      </c>
      <c r="DI121" s="16">
        <v>5</v>
      </c>
      <c r="DJ121" s="16">
        <v>231</v>
      </c>
      <c r="DK121" s="16">
        <v>28</v>
      </c>
      <c r="DL121" s="16">
        <v>8</v>
      </c>
      <c r="DM121" s="16">
        <v>67</v>
      </c>
      <c r="DN121" s="16">
        <v>8</v>
      </c>
      <c r="DO121" s="16">
        <v>6</v>
      </c>
      <c r="DP121" s="16">
        <v>71</v>
      </c>
      <c r="DQ121" s="16">
        <v>1681</v>
      </c>
      <c r="DR121" s="16">
        <v>8</v>
      </c>
      <c r="DS121" s="16">
        <v>96</v>
      </c>
      <c r="DT121" s="16">
        <v>6</v>
      </c>
      <c r="DU121" s="16">
        <v>2093</v>
      </c>
      <c r="DV121" s="16">
        <v>19</v>
      </c>
      <c r="DW121" s="16">
        <v>558</v>
      </c>
      <c r="DX121" s="16">
        <v>849</v>
      </c>
      <c r="DY121" s="16">
        <v>1280</v>
      </c>
      <c r="DZ121" s="16">
        <v>3509</v>
      </c>
      <c r="EA121" s="16">
        <v>14368</v>
      </c>
      <c r="EB121" s="16">
        <v>4</v>
      </c>
      <c r="EC121" s="16">
        <v>40</v>
      </c>
      <c r="ED121" s="16">
        <v>6</v>
      </c>
      <c r="EE121" s="16">
        <v>0</v>
      </c>
      <c r="EF121" s="16">
        <v>2</v>
      </c>
      <c r="EG121" s="16">
        <v>141</v>
      </c>
      <c r="EH121" s="16">
        <v>10</v>
      </c>
      <c r="EI121" s="16">
        <v>5</v>
      </c>
      <c r="EJ121" s="16">
        <v>1</v>
      </c>
      <c r="EK121" s="16">
        <v>3</v>
      </c>
      <c r="EL121" s="16">
        <v>1</v>
      </c>
      <c r="EM121" s="16">
        <v>3</v>
      </c>
      <c r="EN121" s="16">
        <v>111</v>
      </c>
      <c r="EO121" s="16">
        <v>44</v>
      </c>
      <c r="EP121" s="16">
        <v>5</v>
      </c>
      <c r="EQ121" s="16">
        <v>14</v>
      </c>
      <c r="ER121" s="16">
        <v>4</v>
      </c>
      <c r="ES121" s="16">
        <v>3</v>
      </c>
      <c r="ET121" s="16">
        <v>20</v>
      </c>
      <c r="EU121" s="16">
        <v>0</v>
      </c>
      <c r="EV121" s="16">
        <v>0</v>
      </c>
      <c r="EW121" s="16">
        <v>0</v>
      </c>
      <c r="EX121" s="16">
        <v>385</v>
      </c>
      <c r="EY121" s="16">
        <v>23</v>
      </c>
      <c r="EZ121" s="16">
        <v>1</v>
      </c>
      <c r="FA121" s="16">
        <v>6</v>
      </c>
      <c r="FB121" s="16">
        <v>34</v>
      </c>
      <c r="FC121" s="16">
        <v>2</v>
      </c>
      <c r="FD121" s="16">
        <v>200</v>
      </c>
      <c r="FE121" s="16">
        <v>42</v>
      </c>
      <c r="FF121" s="16">
        <v>7</v>
      </c>
      <c r="FG121" s="16">
        <v>376</v>
      </c>
      <c r="FH121" s="16">
        <v>0</v>
      </c>
      <c r="FI121" s="16">
        <v>9</v>
      </c>
      <c r="FJ121" s="16">
        <v>4</v>
      </c>
      <c r="FK121" s="16">
        <v>55</v>
      </c>
      <c r="FL121" s="16">
        <v>1</v>
      </c>
      <c r="FM121" s="16">
        <v>42</v>
      </c>
      <c r="FN121" s="16">
        <v>100</v>
      </c>
      <c r="FO121" s="16">
        <v>24</v>
      </c>
      <c r="FP121" s="16">
        <v>85</v>
      </c>
      <c r="FQ121" s="16">
        <v>257</v>
      </c>
      <c r="FR121" s="16">
        <v>111</v>
      </c>
      <c r="FS121" s="16">
        <v>77</v>
      </c>
      <c r="FT121" s="16">
        <v>26</v>
      </c>
      <c r="FU121" s="16">
        <v>265</v>
      </c>
      <c r="FV121" s="16">
        <v>257</v>
      </c>
      <c r="FW121" s="16">
        <v>145</v>
      </c>
      <c r="FX121" s="16">
        <v>202</v>
      </c>
      <c r="FY121" s="16">
        <v>10</v>
      </c>
      <c r="FZ121" s="16">
        <v>177</v>
      </c>
      <c r="GA121" s="16">
        <v>23</v>
      </c>
      <c r="GB121" s="16">
        <v>481</v>
      </c>
      <c r="GC121" s="16">
        <v>1630</v>
      </c>
      <c r="GD121" s="16">
        <v>149</v>
      </c>
      <c r="GE121" s="16">
        <v>13</v>
      </c>
      <c r="GF121" s="16">
        <v>55</v>
      </c>
      <c r="GG121" s="16">
        <v>5773</v>
      </c>
      <c r="GH121" s="16">
        <v>169</v>
      </c>
      <c r="GI121" s="16">
        <v>63287</v>
      </c>
      <c r="GJ121" s="16">
        <v>694</v>
      </c>
      <c r="GK121" s="16">
        <v>7934</v>
      </c>
      <c r="GL121" s="16">
        <v>6</v>
      </c>
      <c r="GM121" s="16">
        <v>16</v>
      </c>
      <c r="GN121" s="16">
        <v>16</v>
      </c>
      <c r="GO121" s="16">
        <v>198</v>
      </c>
      <c r="GP121" s="16">
        <v>0</v>
      </c>
      <c r="GQ121" s="16">
        <v>135</v>
      </c>
      <c r="GR121" s="16">
        <v>5</v>
      </c>
      <c r="GS121" s="16">
        <v>10</v>
      </c>
      <c r="GT121" s="16">
        <v>4</v>
      </c>
      <c r="GU121" s="16">
        <v>29</v>
      </c>
      <c r="GV121" s="16">
        <v>96</v>
      </c>
      <c r="GW121" s="16">
        <v>28</v>
      </c>
      <c r="GX121" s="16">
        <v>59</v>
      </c>
      <c r="GY121" s="16">
        <v>1</v>
      </c>
      <c r="GZ121" s="16">
        <v>57</v>
      </c>
      <c r="HA121" s="16">
        <v>29</v>
      </c>
      <c r="HB121" s="16">
        <v>8</v>
      </c>
      <c r="HC121" s="16">
        <v>53</v>
      </c>
      <c r="HD121" s="16">
        <v>69</v>
      </c>
      <c r="HE121" s="16">
        <v>14</v>
      </c>
      <c r="HF121" s="16">
        <v>524</v>
      </c>
      <c r="HG121" s="16">
        <v>9</v>
      </c>
      <c r="HH121" s="16">
        <v>3</v>
      </c>
      <c r="HI121" s="16">
        <v>22</v>
      </c>
      <c r="HJ121" s="16">
        <v>10</v>
      </c>
      <c r="HK121" s="16">
        <v>16</v>
      </c>
      <c r="HL121" s="16">
        <v>771</v>
      </c>
      <c r="HM121" s="16">
        <v>48</v>
      </c>
      <c r="HN121" s="16">
        <v>53</v>
      </c>
      <c r="HO121" s="16">
        <v>42</v>
      </c>
      <c r="HP121" s="16">
        <v>22</v>
      </c>
      <c r="HQ121" s="16">
        <v>63</v>
      </c>
      <c r="HR121" s="16">
        <v>140</v>
      </c>
      <c r="HS121" s="16">
        <v>38</v>
      </c>
      <c r="HT121" s="16">
        <v>51</v>
      </c>
      <c r="HU121" s="16">
        <v>53</v>
      </c>
      <c r="HV121" s="16">
        <v>12</v>
      </c>
      <c r="HW121" s="16">
        <v>40</v>
      </c>
      <c r="HX121" s="16">
        <v>22</v>
      </c>
      <c r="HY121" s="16">
        <v>85</v>
      </c>
      <c r="HZ121" s="16">
        <v>104</v>
      </c>
      <c r="IA121" s="16">
        <v>31</v>
      </c>
      <c r="IB121" s="16">
        <v>2</v>
      </c>
      <c r="IC121" s="16">
        <v>5</v>
      </c>
      <c r="ID121" s="16">
        <v>10</v>
      </c>
      <c r="IE121" s="16">
        <v>17</v>
      </c>
      <c r="IF121" s="16">
        <v>9</v>
      </c>
      <c r="IG121" s="16">
        <v>46</v>
      </c>
      <c r="IH121" s="16">
        <v>26</v>
      </c>
      <c r="II121" s="16">
        <v>3</v>
      </c>
      <c r="IJ121" s="16">
        <v>2</v>
      </c>
      <c r="IK121" s="16">
        <v>2</v>
      </c>
      <c r="IL121" s="16">
        <v>2</v>
      </c>
      <c r="IM121" s="16">
        <v>3</v>
      </c>
      <c r="IN121" s="16">
        <v>38</v>
      </c>
      <c r="IO121" s="16">
        <v>135</v>
      </c>
      <c r="IP121" s="16">
        <v>1</v>
      </c>
      <c r="IQ121" s="16">
        <v>2</v>
      </c>
      <c r="IR121" s="16">
        <v>2</v>
      </c>
      <c r="IS121" s="16">
        <v>4</v>
      </c>
      <c r="IT121" s="16">
        <v>3</v>
      </c>
      <c r="IU121" s="16">
        <v>3</v>
      </c>
      <c r="IV121" s="16">
        <v>39</v>
      </c>
      <c r="IW121" s="16">
        <v>47</v>
      </c>
      <c r="IX121" s="16">
        <v>11</v>
      </c>
      <c r="IY121" s="16">
        <v>17</v>
      </c>
      <c r="IZ121" s="16">
        <v>0</v>
      </c>
      <c r="JA121" s="16">
        <v>28</v>
      </c>
      <c r="JB121" s="16">
        <v>2</v>
      </c>
      <c r="JC121" s="16">
        <v>3178</v>
      </c>
      <c r="JD121" s="16">
        <v>1</v>
      </c>
      <c r="JE121" s="16">
        <v>55</v>
      </c>
      <c r="JF121" s="16">
        <v>11820</v>
      </c>
      <c r="JG121" s="16">
        <v>5030</v>
      </c>
      <c r="JH121" s="16">
        <v>15</v>
      </c>
      <c r="JI121" s="16">
        <v>22</v>
      </c>
      <c r="JJ121" s="16">
        <v>2</v>
      </c>
      <c r="JK121" s="16">
        <v>3</v>
      </c>
      <c r="JL121" s="16">
        <v>2</v>
      </c>
      <c r="JM121" s="16">
        <v>0</v>
      </c>
      <c r="JN121" s="16">
        <v>6</v>
      </c>
      <c r="JO121" s="16">
        <v>1</v>
      </c>
      <c r="JP121" s="16">
        <v>96</v>
      </c>
      <c r="JQ121" s="16">
        <v>31</v>
      </c>
      <c r="JR121" s="16">
        <v>65</v>
      </c>
      <c r="JS121" s="16">
        <v>62</v>
      </c>
      <c r="JT121" s="16">
        <v>0</v>
      </c>
      <c r="JU121" s="16">
        <v>343</v>
      </c>
      <c r="JV121" s="16">
        <v>463</v>
      </c>
      <c r="JW121" s="16">
        <v>97</v>
      </c>
      <c r="JX121" s="16">
        <v>119</v>
      </c>
      <c r="JY121" s="16">
        <v>76</v>
      </c>
      <c r="JZ121" s="16">
        <v>8</v>
      </c>
      <c r="KA121" s="16">
        <v>29</v>
      </c>
      <c r="KB121" s="16">
        <v>3</v>
      </c>
      <c r="KC121" s="16">
        <v>9</v>
      </c>
      <c r="KD121" s="16">
        <v>1</v>
      </c>
      <c r="KE121" s="16">
        <v>1</v>
      </c>
      <c r="KF121" s="16">
        <v>20</v>
      </c>
      <c r="KG121" s="16">
        <v>4</v>
      </c>
      <c r="KH121" s="16">
        <v>5</v>
      </c>
      <c r="KI121" s="16">
        <v>7</v>
      </c>
      <c r="KJ121" s="16">
        <v>1</v>
      </c>
      <c r="KK121" s="16">
        <v>26487</v>
      </c>
      <c r="KL121" s="16">
        <v>1</v>
      </c>
      <c r="KM121" s="16">
        <v>18</v>
      </c>
      <c r="KN121" s="16">
        <v>5</v>
      </c>
      <c r="KO121" s="16">
        <v>73</v>
      </c>
      <c r="KP121" s="16">
        <v>2</v>
      </c>
      <c r="KQ121" s="16">
        <v>0</v>
      </c>
      <c r="KR121" s="16">
        <v>785</v>
      </c>
      <c r="KS121" s="16">
        <v>2</v>
      </c>
      <c r="KT121" s="16">
        <v>30</v>
      </c>
      <c r="KU121" s="16">
        <v>263</v>
      </c>
      <c r="KV121" s="16">
        <v>1264</v>
      </c>
      <c r="KW121" s="16">
        <v>1699</v>
      </c>
      <c r="KX121" s="16">
        <v>14</v>
      </c>
      <c r="KY121" s="16">
        <v>1692</v>
      </c>
      <c r="KZ121" s="16">
        <v>3322</v>
      </c>
      <c r="LA121" s="16">
        <v>37</v>
      </c>
      <c r="LB121" s="16">
        <v>11</v>
      </c>
      <c r="LC121" s="16">
        <v>36</v>
      </c>
      <c r="LD121" s="16">
        <v>765</v>
      </c>
      <c r="LE121" s="16">
        <v>120</v>
      </c>
      <c r="LF121" s="16">
        <v>56</v>
      </c>
      <c r="LG121" s="16">
        <v>22</v>
      </c>
      <c r="LH121" s="16">
        <v>199</v>
      </c>
      <c r="LI121" s="16">
        <v>13</v>
      </c>
      <c r="LJ121" s="16">
        <v>49</v>
      </c>
      <c r="LK121" s="16">
        <v>1142</v>
      </c>
      <c r="LL121" s="16">
        <v>236</v>
      </c>
      <c r="LM121" s="16">
        <v>1525</v>
      </c>
      <c r="LN121" s="16">
        <v>9260</v>
      </c>
      <c r="LO121" s="16">
        <v>89250</v>
      </c>
      <c r="LP121" s="16">
        <v>824</v>
      </c>
      <c r="LQ121" s="16">
        <v>1</v>
      </c>
      <c r="LR121" s="16">
        <v>206</v>
      </c>
      <c r="LS121" s="16">
        <v>14</v>
      </c>
      <c r="LT121" s="16">
        <v>644</v>
      </c>
      <c r="LU121" s="16">
        <v>280</v>
      </c>
      <c r="LV121" s="16">
        <v>2</v>
      </c>
      <c r="LW121" s="16">
        <v>268</v>
      </c>
      <c r="LX121" s="16">
        <v>589</v>
      </c>
      <c r="LY121" s="16">
        <v>0</v>
      </c>
      <c r="LZ121" s="16">
        <v>245</v>
      </c>
      <c r="MA121" s="16">
        <v>788</v>
      </c>
      <c r="MB121" s="16">
        <v>24893</v>
      </c>
      <c r="MC121" s="16">
        <v>673</v>
      </c>
      <c r="MD121" s="16">
        <v>576</v>
      </c>
      <c r="ME121" s="16">
        <v>108</v>
      </c>
      <c r="MF121" s="16">
        <v>1820</v>
      </c>
      <c r="MG121" s="16">
        <v>2220</v>
      </c>
      <c r="MH121" s="16">
        <v>50622</v>
      </c>
      <c r="MI121" s="16">
        <v>30</v>
      </c>
      <c r="MJ121" s="16">
        <v>1529</v>
      </c>
      <c r="MK121" s="16">
        <v>2251</v>
      </c>
      <c r="ML121" s="16">
        <v>1471</v>
      </c>
      <c r="MM121" s="16">
        <v>34534</v>
      </c>
      <c r="MN121" s="16">
        <v>1220</v>
      </c>
      <c r="MO121" s="16">
        <v>407</v>
      </c>
      <c r="MP121" s="16">
        <v>1995</v>
      </c>
      <c r="MQ121" s="16">
        <v>2726</v>
      </c>
      <c r="MR121" s="16">
        <v>2137</v>
      </c>
      <c r="MS121" s="16">
        <v>4220</v>
      </c>
      <c r="MT121" s="16">
        <v>1303</v>
      </c>
      <c r="MU121" s="16">
        <v>686</v>
      </c>
      <c r="MV121" s="16">
        <v>1572</v>
      </c>
      <c r="MW121" s="16">
        <v>14161</v>
      </c>
      <c r="MX121" s="16">
        <v>349</v>
      </c>
      <c r="MY121" s="16">
        <v>112</v>
      </c>
      <c r="MZ121" s="16">
        <v>832</v>
      </c>
      <c r="NA121" s="16">
        <v>1854</v>
      </c>
      <c r="NB121" s="16">
        <v>3543</v>
      </c>
      <c r="NC121" s="16">
        <v>963</v>
      </c>
      <c r="ND121" s="16">
        <v>49</v>
      </c>
      <c r="NE121" s="16">
        <v>9</v>
      </c>
      <c r="NF121" s="16">
        <v>12047</v>
      </c>
      <c r="NG121" s="16">
        <v>1038</v>
      </c>
      <c r="NH121" s="16">
        <v>116</v>
      </c>
      <c r="NI121" s="16">
        <v>3074</v>
      </c>
      <c r="NJ121" s="16">
        <v>3703</v>
      </c>
      <c r="NK121" s="16">
        <v>16</v>
      </c>
      <c r="NL121" s="16">
        <v>16</v>
      </c>
      <c r="NM121" s="16">
        <v>112</v>
      </c>
      <c r="NN121" s="16">
        <v>189</v>
      </c>
      <c r="NO121" s="16">
        <v>0</v>
      </c>
      <c r="NP121" s="16">
        <v>7</v>
      </c>
      <c r="NQ121" s="16">
        <v>308</v>
      </c>
      <c r="NR121" s="17">
        <v>889666</v>
      </c>
    </row>
    <row r="122" spans="1:382" ht="13.5" customHeight="1" x14ac:dyDescent="0.2">
      <c r="A122" s="2" t="s">
        <v>251</v>
      </c>
      <c r="B122" s="16">
        <v>242</v>
      </c>
      <c r="C122" s="16">
        <v>53</v>
      </c>
      <c r="D122" s="16">
        <v>61</v>
      </c>
      <c r="E122" s="16">
        <v>43</v>
      </c>
      <c r="F122" s="16">
        <v>436</v>
      </c>
      <c r="G122" s="16">
        <v>93</v>
      </c>
      <c r="H122" s="16">
        <v>2</v>
      </c>
      <c r="I122" s="16">
        <v>146</v>
      </c>
      <c r="J122" s="16">
        <v>5</v>
      </c>
      <c r="K122" s="16">
        <v>0</v>
      </c>
      <c r="L122" s="16">
        <v>8</v>
      </c>
      <c r="M122" s="16">
        <v>105</v>
      </c>
      <c r="N122" s="16">
        <v>0</v>
      </c>
      <c r="O122" s="16">
        <v>1</v>
      </c>
      <c r="P122" s="16">
        <v>112</v>
      </c>
      <c r="Q122" s="16">
        <v>1017</v>
      </c>
      <c r="R122" s="16">
        <v>219</v>
      </c>
      <c r="S122" s="16">
        <v>201</v>
      </c>
      <c r="T122" s="16">
        <v>5</v>
      </c>
      <c r="U122" s="16">
        <v>1</v>
      </c>
      <c r="V122" s="16">
        <v>20</v>
      </c>
      <c r="W122" s="16">
        <v>9</v>
      </c>
      <c r="X122" s="16">
        <v>15</v>
      </c>
      <c r="Y122" s="16">
        <v>313</v>
      </c>
      <c r="Z122" s="16">
        <v>349</v>
      </c>
      <c r="AA122" s="16">
        <v>6</v>
      </c>
      <c r="AB122" s="16">
        <v>0</v>
      </c>
      <c r="AC122" s="16">
        <v>0</v>
      </c>
      <c r="AD122" s="16">
        <v>0</v>
      </c>
      <c r="AE122" s="16">
        <v>1</v>
      </c>
      <c r="AF122" s="16">
        <v>2</v>
      </c>
      <c r="AG122" s="16">
        <v>149</v>
      </c>
      <c r="AH122" s="16">
        <v>178</v>
      </c>
      <c r="AI122" s="16">
        <v>8</v>
      </c>
      <c r="AJ122" s="16">
        <v>26</v>
      </c>
      <c r="AK122" s="16">
        <v>79</v>
      </c>
      <c r="AL122" s="16">
        <v>139</v>
      </c>
      <c r="AM122" s="16">
        <v>493</v>
      </c>
      <c r="AN122" s="16">
        <v>7</v>
      </c>
      <c r="AO122" s="16">
        <v>638</v>
      </c>
      <c r="AP122" s="16">
        <v>1</v>
      </c>
      <c r="AQ122" s="16">
        <v>40</v>
      </c>
      <c r="AR122" s="16">
        <v>0</v>
      </c>
      <c r="AS122" s="16">
        <v>42</v>
      </c>
      <c r="AT122" s="16">
        <v>74</v>
      </c>
      <c r="AU122" s="16">
        <v>122</v>
      </c>
      <c r="AV122" s="16">
        <v>37</v>
      </c>
      <c r="AW122" s="16">
        <v>597</v>
      </c>
      <c r="AX122" s="16">
        <v>11</v>
      </c>
      <c r="AY122" s="16">
        <v>60</v>
      </c>
      <c r="AZ122" s="16">
        <v>114</v>
      </c>
      <c r="BA122" s="16">
        <v>293</v>
      </c>
      <c r="BB122" s="16">
        <v>329</v>
      </c>
      <c r="BC122" s="16">
        <v>706</v>
      </c>
      <c r="BD122" s="16">
        <v>16</v>
      </c>
      <c r="BE122" s="16">
        <v>292</v>
      </c>
      <c r="BF122" s="16">
        <v>707</v>
      </c>
      <c r="BG122" s="16">
        <v>149</v>
      </c>
      <c r="BH122" s="16">
        <v>425</v>
      </c>
      <c r="BI122" s="16">
        <v>316</v>
      </c>
      <c r="BJ122" s="16">
        <v>200</v>
      </c>
      <c r="BK122" s="16">
        <v>99</v>
      </c>
      <c r="BL122" s="16">
        <v>5614</v>
      </c>
      <c r="BM122" s="16">
        <v>1108</v>
      </c>
      <c r="BN122" s="16">
        <v>3741</v>
      </c>
      <c r="BO122" s="16">
        <v>27109</v>
      </c>
      <c r="BP122" s="16">
        <v>140</v>
      </c>
      <c r="BQ122" s="16">
        <v>187</v>
      </c>
      <c r="BR122" s="16">
        <v>59</v>
      </c>
      <c r="BS122" s="16">
        <v>556</v>
      </c>
      <c r="BT122" s="16">
        <v>7</v>
      </c>
      <c r="BU122" s="16">
        <v>4</v>
      </c>
      <c r="BV122" s="16">
        <v>23</v>
      </c>
      <c r="BW122" s="16">
        <v>331</v>
      </c>
      <c r="BX122" s="16">
        <v>357</v>
      </c>
      <c r="BY122" s="16">
        <v>2</v>
      </c>
      <c r="BZ122" s="16">
        <v>79</v>
      </c>
      <c r="CA122" s="16">
        <v>195</v>
      </c>
      <c r="CB122" s="16">
        <v>68</v>
      </c>
      <c r="CC122" s="16">
        <v>114</v>
      </c>
      <c r="CD122" s="16">
        <v>284</v>
      </c>
      <c r="CE122" s="16">
        <v>702</v>
      </c>
      <c r="CF122" s="16">
        <v>196</v>
      </c>
      <c r="CG122" s="16">
        <v>25</v>
      </c>
      <c r="CH122" s="16">
        <v>101</v>
      </c>
      <c r="CI122" s="16">
        <v>2150</v>
      </c>
      <c r="CJ122" s="16">
        <v>1298</v>
      </c>
      <c r="CK122" s="16">
        <v>883</v>
      </c>
      <c r="CL122" s="16">
        <v>147</v>
      </c>
      <c r="CM122" s="16">
        <v>633</v>
      </c>
      <c r="CN122" s="16">
        <v>446</v>
      </c>
      <c r="CO122" s="16">
        <v>324</v>
      </c>
      <c r="CP122" s="16">
        <v>571</v>
      </c>
      <c r="CQ122" s="16">
        <v>1107</v>
      </c>
      <c r="CR122" s="16">
        <v>129</v>
      </c>
      <c r="CS122" s="16">
        <v>139</v>
      </c>
      <c r="CT122" s="16">
        <v>468</v>
      </c>
      <c r="CU122" s="16">
        <v>483</v>
      </c>
      <c r="CV122" s="16">
        <v>137</v>
      </c>
      <c r="CW122" s="16">
        <v>1134</v>
      </c>
      <c r="CX122" s="16">
        <v>2926</v>
      </c>
      <c r="CY122" s="16">
        <v>363</v>
      </c>
      <c r="CZ122" s="16">
        <v>6984</v>
      </c>
      <c r="DA122" s="16">
        <v>1392</v>
      </c>
      <c r="DB122" s="16">
        <v>4070</v>
      </c>
      <c r="DC122" s="16">
        <v>49</v>
      </c>
      <c r="DD122" s="16">
        <v>127</v>
      </c>
      <c r="DE122" s="16">
        <v>15834</v>
      </c>
      <c r="DF122" s="16">
        <v>6559</v>
      </c>
      <c r="DG122" s="16">
        <v>39</v>
      </c>
      <c r="DH122" s="16">
        <v>1375</v>
      </c>
      <c r="DI122" s="16">
        <v>27108</v>
      </c>
      <c r="DJ122" s="16">
        <v>26028</v>
      </c>
      <c r="DK122" s="16">
        <v>6999</v>
      </c>
      <c r="DL122" s="16">
        <v>10011</v>
      </c>
      <c r="DM122" s="16">
        <v>15891</v>
      </c>
      <c r="DN122" s="16">
        <v>220</v>
      </c>
      <c r="DO122" s="16">
        <v>7662</v>
      </c>
      <c r="DP122" s="16">
        <v>10892</v>
      </c>
      <c r="DQ122" s="16">
        <v>859</v>
      </c>
      <c r="DR122" s="16">
        <v>595622</v>
      </c>
      <c r="DS122" s="16">
        <v>153930</v>
      </c>
      <c r="DT122" s="16">
        <v>2573</v>
      </c>
      <c r="DU122" s="16">
        <v>1780</v>
      </c>
      <c r="DV122" s="16">
        <v>46911</v>
      </c>
      <c r="DW122" s="16">
        <v>5228</v>
      </c>
      <c r="DX122" s="16">
        <v>3197</v>
      </c>
      <c r="DY122" s="16">
        <v>5695</v>
      </c>
      <c r="DZ122" s="16">
        <v>10906</v>
      </c>
      <c r="EA122" s="16">
        <v>61311</v>
      </c>
      <c r="EB122" s="16">
        <v>26</v>
      </c>
      <c r="EC122" s="16">
        <v>2977</v>
      </c>
      <c r="ED122" s="16">
        <v>3169</v>
      </c>
      <c r="EE122" s="16">
        <v>2</v>
      </c>
      <c r="EF122" s="16">
        <v>133</v>
      </c>
      <c r="EG122" s="16">
        <v>2520</v>
      </c>
      <c r="EH122" s="16">
        <v>257</v>
      </c>
      <c r="EI122" s="16">
        <v>3</v>
      </c>
      <c r="EJ122" s="16">
        <v>335</v>
      </c>
      <c r="EK122" s="16">
        <v>13</v>
      </c>
      <c r="EL122" s="16">
        <v>11</v>
      </c>
      <c r="EM122" s="16">
        <v>112</v>
      </c>
      <c r="EN122" s="16">
        <v>93</v>
      </c>
      <c r="EO122" s="16">
        <v>36</v>
      </c>
      <c r="EP122" s="16">
        <v>42</v>
      </c>
      <c r="EQ122" s="16">
        <v>5</v>
      </c>
      <c r="ER122" s="16">
        <v>120</v>
      </c>
      <c r="ES122" s="16">
        <v>32</v>
      </c>
      <c r="ET122" s="16">
        <v>1328</v>
      </c>
      <c r="EU122" s="16">
        <v>4</v>
      </c>
      <c r="EV122" s="16">
        <v>194</v>
      </c>
      <c r="EW122" s="16">
        <v>46</v>
      </c>
      <c r="EX122" s="16">
        <v>535</v>
      </c>
      <c r="EY122" s="16">
        <v>91</v>
      </c>
      <c r="EZ122" s="16">
        <v>8</v>
      </c>
      <c r="FA122" s="16">
        <v>15</v>
      </c>
      <c r="FB122" s="16">
        <v>43</v>
      </c>
      <c r="FC122" s="16">
        <v>8</v>
      </c>
      <c r="FD122" s="16">
        <v>69</v>
      </c>
      <c r="FE122" s="16">
        <v>15</v>
      </c>
      <c r="FF122" s="16">
        <v>44</v>
      </c>
      <c r="FG122" s="16">
        <v>2199</v>
      </c>
      <c r="FH122" s="16">
        <v>12</v>
      </c>
      <c r="FI122" s="16">
        <v>13</v>
      </c>
      <c r="FJ122" s="16">
        <v>15</v>
      </c>
      <c r="FK122" s="16">
        <v>37</v>
      </c>
      <c r="FL122" s="16">
        <v>36</v>
      </c>
      <c r="FM122" s="16">
        <v>137</v>
      </c>
      <c r="FN122" s="16">
        <v>326</v>
      </c>
      <c r="FO122" s="16">
        <v>64</v>
      </c>
      <c r="FP122" s="16">
        <v>112</v>
      </c>
      <c r="FQ122" s="16">
        <v>56</v>
      </c>
      <c r="FR122" s="16">
        <v>154</v>
      </c>
      <c r="FS122" s="16">
        <v>51</v>
      </c>
      <c r="FT122" s="16">
        <v>70</v>
      </c>
      <c r="FU122" s="16">
        <v>207</v>
      </c>
      <c r="FV122" s="16">
        <v>681</v>
      </c>
      <c r="FW122" s="16">
        <v>8515</v>
      </c>
      <c r="FX122" s="16">
        <v>336</v>
      </c>
      <c r="FY122" s="16">
        <v>102</v>
      </c>
      <c r="FZ122" s="16">
        <v>143</v>
      </c>
      <c r="GA122" s="16">
        <v>505</v>
      </c>
      <c r="GB122" s="16">
        <v>1637</v>
      </c>
      <c r="GC122" s="16">
        <v>131</v>
      </c>
      <c r="GD122" s="16">
        <v>283</v>
      </c>
      <c r="GE122" s="16">
        <v>184</v>
      </c>
      <c r="GF122" s="16">
        <v>4327</v>
      </c>
      <c r="GG122" s="16">
        <v>7361</v>
      </c>
      <c r="GH122" s="16">
        <v>1276</v>
      </c>
      <c r="GI122" s="16">
        <v>103</v>
      </c>
      <c r="GJ122" s="16">
        <v>2015</v>
      </c>
      <c r="GK122" s="16">
        <v>336</v>
      </c>
      <c r="GL122" s="16">
        <v>82</v>
      </c>
      <c r="GM122" s="16">
        <v>8</v>
      </c>
      <c r="GN122" s="16">
        <v>121</v>
      </c>
      <c r="GO122" s="16">
        <v>682</v>
      </c>
      <c r="GP122" s="16">
        <v>8</v>
      </c>
      <c r="GQ122" s="16">
        <v>0</v>
      </c>
      <c r="GR122" s="16">
        <v>15</v>
      </c>
      <c r="GS122" s="16">
        <v>6</v>
      </c>
      <c r="GT122" s="16">
        <v>6</v>
      </c>
      <c r="GU122" s="16">
        <v>58</v>
      </c>
      <c r="GV122" s="16">
        <v>171</v>
      </c>
      <c r="GW122" s="16">
        <v>216</v>
      </c>
      <c r="GX122" s="16">
        <v>1561</v>
      </c>
      <c r="GY122" s="16">
        <v>9</v>
      </c>
      <c r="GZ122" s="16">
        <v>516</v>
      </c>
      <c r="HA122" s="16">
        <v>74</v>
      </c>
      <c r="HB122" s="16">
        <v>83</v>
      </c>
      <c r="HC122" s="16">
        <v>370</v>
      </c>
      <c r="HD122" s="16">
        <v>555</v>
      </c>
      <c r="HE122" s="16">
        <v>97</v>
      </c>
      <c r="HF122" s="16">
        <v>140</v>
      </c>
      <c r="HG122" s="16">
        <v>311</v>
      </c>
      <c r="HH122" s="16">
        <v>35</v>
      </c>
      <c r="HI122" s="16">
        <v>105</v>
      </c>
      <c r="HJ122" s="16">
        <v>231</v>
      </c>
      <c r="HK122" s="16">
        <v>336</v>
      </c>
      <c r="HL122" s="16">
        <v>1626</v>
      </c>
      <c r="HM122" s="16">
        <v>36</v>
      </c>
      <c r="HN122" s="16">
        <v>80</v>
      </c>
      <c r="HO122" s="16">
        <v>116</v>
      </c>
      <c r="HP122" s="16">
        <v>92</v>
      </c>
      <c r="HQ122" s="16">
        <v>335</v>
      </c>
      <c r="HR122" s="16">
        <v>724</v>
      </c>
      <c r="HS122" s="16">
        <v>83</v>
      </c>
      <c r="HT122" s="16">
        <v>15</v>
      </c>
      <c r="HU122" s="16">
        <v>375</v>
      </c>
      <c r="HV122" s="16">
        <v>254</v>
      </c>
      <c r="HW122" s="16">
        <v>29</v>
      </c>
      <c r="HX122" s="16">
        <v>44</v>
      </c>
      <c r="HY122" s="16">
        <v>1327</v>
      </c>
      <c r="HZ122" s="16">
        <v>257</v>
      </c>
      <c r="IA122" s="16">
        <v>125</v>
      </c>
      <c r="IB122" s="16">
        <v>35</v>
      </c>
      <c r="IC122" s="16">
        <v>20</v>
      </c>
      <c r="ID122" s="16">
        <v>31</v>
      </c>
      <c r="IE122" s="16">
        <v>10</v>
      </c>
      <c r="IF122" s="16">
        <v>33</v>
      </c>
      <c r="IG122" s="16">
        <v>84</v>
      </c>
      <c r="IH122" s="16">
        <v>152</v>
      </c>
      <c r="II122" s="16">
        <v>22</v>
      </c>
      <c r="IJ122" s="16">
        <v>7</v>
      </c>
      <c r="IK122" s="16">
        <v>79</v>
      </c>
      <c r="IL122" s="16">
        <v>28</v>
      </c>
      <c r="IM122" s="16">
        <v>11</v>
      </c>
      <c r="IN122" s="16">
        <v>838</v>
      </c>
      <c r="IO122" s="16">
        <v>693</v>
      </c>
      <c r="IP122" s="16">
        <v>1</v>
      </c>
      <c r="IQ122" s="16">
        <v>2</v>
      </c>
      <c r="IR122" s="16">
        <v>5</v>
      </c>
      <c r="IS122" s="16">
        <v>6</v>
      </c>
      <c r="IT122" s="16">
        <v>7</v>
      </c>
      <c r="IU122" s="16">
        <v>1</v>
      </c>
      <c r="IV122" s="16">
        <v>27</v>
      </c>
      <c r="IW122" s="16">
        <v>255</v>
      </c>
      <c r="IX122" s="16">
        <v>121</v>
      </c>
      <c r="IY122" s="16">
        <v>49</v>
      </c>
      <c r="IZ122" s="16">
        <v>4</v>
      </c>
      <c r="JA122" s="16">
        <v>91</v>
      </c>
      <c r="JB122" s="16">
        <v>10</v>
      </c>
      <c r="JC122" s="16">
        <v>41</v>
      </c>
      <c r="JD122" s="16">
        <v>5</v>
      </c>
      <c r="JE122" s="16">
        <v>217</v>
      </c>
      <c r="JF122" s="16">
        <v>265</v>
      </c>
      <c r="JG122" s="16">
        <v>4869</v>
      </c>
      <c r="JH122" s="16">
        <v>2981</v>
      </c>
      <c r="JI122" s="16">
        <v>3</v>
      </c>
      <c r="JJ122" s="16">
        <v>347</v>
      </c>
      <c r="JK122" s="16">
        <v>116</v>
      </c>
      <c r="JL122" s="16">
        <v>16</v>
      </c>
      <c r="JM122" s="16">
        <v>15</v>
      </c>
      <c r="JN122" s="16">
        <v>188</v>
      </c>
      <c r="JO122" s="16">
        <v>182</v>
      </c>
      <c r="JP122" s="16">
        <v>1199</v>
      </c>
      <c r="JQ122" s="16">
        <v>104</v>
      </c>
      <c r="JR122" s="16">
        <v>21822</v>
      </c>
      <c r="JS122" s="16">
        <v>12253</v>
      </c>
      <c r="JT122" s="16">
        <v>1</v>
      </c>
      <c r="JU122" s="16">
        <v>66101</v>
      </c>
      <c r="JV122" s="16">
        <v>604</v>
      </c>
      <c r="JW122" s="16">
        <v>143</v>
      </c>
      <c r="JX122" s="16">
        <v>180</v>
      </c>
      <c r="JY122" s="16">
        <v>455</v>
      </c>
      <c r="JZ122" s="16">
        <v>25</v>
      </c>
      <c r="KA122" s="16">
        <v>19</v>
      </c>
      <c r="KB122" s="16">
        <v>3</v>
      </c>
      <c r="KC122" s="16">
        <v>14</v>
      </c>
      <c r="KD122" s="16">
        <v>48</v>
      </c>
      <c r="KE122" s="16">
        <v>5</v>
      </c>
      <c r="KF122" s="16">
        <v>47</v>
      </c>
      <c r="KG122" s="16">
        <v>222</v>
      </c>
      <c r="KH122" s="16">
        <v>3</v>
      </c>
      <c r="KI122" s="16">
        <v>27</v>
      </c>
      <c r="KJ122" s="16">
        <v>3</v>
      </c>
      <c r="KK122" s="16">
        <v>27111</v>
      </c>
      <c r="KL122" s="16">
        <v>1</v>
      </c>
      <c r="KM122" s="16">
        <v>109</v>
      </c>
      <c r="KN122" s="16">
        <v>20</v>
      </c>
      <c r="KO122" s="16">
        <v>25</v>
      </c>
      <c r="KP122" s="16">
        <v>128</v>
      </c>
      <c r="KQ122" s="16">
        <v>202</v>
      </c>
      <c r="KR122" s="16">
        <v>3459</v>
      </c>
      <c r="KS122" s="16">
        <v>31</v>
      </c>
      <c r="KT122" s="16">
        <v>402</v>
      </c>
      <c r="KU122" s="16">
        <v>1484</v>
      </c>
      <c r="KV122" s="16">
        <v>1925</v>
      </c>
      <c r="KW122" s="16">
        <v>1130</v>
      </c>
      <c r="KX122" s="16">
        <v>3</v>
      </c>
      <c r="KY122" s="16">
        <v>72</v>
      </c>
      <c r="KZ122" s="16">
        <v>70914</v>
      </c>
      <c r="LA122" s="16">
        <v>34352</v>
      </c>
      <c r="LB122" s="16">
        <v>3617</v>
      </c>
      <c r="LC122" s="16">
        <v>35245</v>
      </c>
      <c r="LD122" s="16">
        <v>162438</v>
      </c>
      <c r="LE122" s="16">
        <v>230</v>
      </c>
      <c r="LF122" s="16">
        <v>95</v>
      </c>
      <c r="LG122" s="16">
        <v>38</v>
      </c>
      <c r="LH122" s="16">
        <v>123</v>
      </c>
      <c r="LI122" s="16">
        <v>2</v>
      </c>
      <c r="LJ122" s="16">
        <v>86</v>
      </c>
      <c r="LK122" s="16">
        <v>228</v>
      </c>
      <c r="LL122" s="16">
        <v>291</v>
      </c>
      <c r="LM122" s="16">
        <v>1219</v>
      </c>
      <c r="LN122" s="16">
        <v>1105</v>
      </c>
      <c r="LO122" s="16">
        <v>17</v>
      </c>
      <c r="LP122" s="16">
        <v>3603</v>
      </c>
      <c r="LQ122" s="16">
        <v>693</v>
      </c>
      <c r="LR122" s="16">
        <v>935</v>
      </c>
      <c r="LS122" s="16">
        <v>147</v>
      </c>
      <c r="LT122" s="16">
        <v>883</v>
      </c>
      <c r="LU122" s="16">
        <v>483</v>
      </c>
      <c r="LV122" s="16">
        <v>6</v>
      </c>
      <c r="LW122" s="16">
        <v>284</v>
      </c>
      <c r="LX122" s="16">
        <v>1592</v>
      </c>
      <c r="LY122" s="16">
        <v>0</v>
      </c>
      <c r="LZ122" s="16">
        <v>1904</v>
      </c>
      <c r="MA122" s="16">
        <v>4559</v>
      </c>
      <c r="MB122" s="16">
        <v>1467</v>
      </c>
      <c r="MC122" s="16">
        <v>215</v>
      </c>
      <c r="MD122" s="16">
        <v>344</v>
      </c>
      <c r="ME122" s="16">
        <v>3</v>
      </c>
      <c r="MF122" s="16">
        <v>14620</v>
      </c>
      <c r="MG122" s="16">
        <v>573</v>
      </c>
      <c r="MH122" s="16">
        <v>309052</v>
      </c>
      <c r="MI122" s="16">
        <v>281</v>
      </c>
      <c r="MJ122" s="16">
        <v>679</v>
      </c>
      <c r="MK122" s="16">
        <v>245</v>
      </c>
      <c r="ML122" s="16">
        <v>48</v>
      </c>
      <c r="MM122" s="16">
        <v>3536</v>
      </c>
      <c r="MN122" s="16">
        <v>757</v>
      </c>
      <c r="MO122" s="16">
        <v>1416865</v>
      </c>
      <c r="MP122" s="16">
        <v>3647</v>
      </c>
      <c r="MQ122" s="16">
        <v>5112</v>
      </c>
      <c r="MR122" s="16">
        <v>2598</v>
      </c>
      <c r="MS122" s="16">
        <v>1551</v>
      </c>
      <c r="MT122" s="16">
        <v>449</v>
      </c>
      <c r="MU122" s="16">
        <v>10712</v>
      </c>
      <c r="MV122" s="16">
        <v>906</v>
      </c>
      <c r="MW122" s="16">
        <v>8135</v>
      </c>
      <c r="MX122" s="16">
        <v>52</v>
      </c>
      <c r="MY122" s="16">
        <v>2490</v>
      </c>
      <c r="MZ122" s="16">
        <v>13856</v>
      </c>
      <c r="NA122" s="16">
        <v>881</v>
      </c>
      <c r="NB122" s="16">
        <v>38548</v>
      </c>
      <c r="NC122" s="16">
        <v>2572</v>
      </c>
      <c r="ND122" s="16">
        <v>1727</v>
      </c>
      <c r="NE122" s="16">
        <v>134</v>
      </c>
      <c r="NF122" s="16">
        <v>395</v>
      </c>
      <c r="NG122" s="16">
        <v>14913</v>
      </c>
      <c r="NH122" s="16">
        <v>207</v>
      </c>
      <c r="NI122" s="16">
        <v>122</v>
      </c>
      <c r="NJ122" s="16">
        <v>10438</v>
      </c>
      <c r="NK122" s="16">
        <v>3492</v>
      </c>
      <c r="NL122" s="16">
        <v>2411</v>
      </c>
      <c r="NM122" s="16">
        <v>270939</v>
      </c>
      <c r="NN122" s="16">
        <v>331327</v>
      </c>
      <c r="NO122" s="16">
        <v>0</v>
      </c>
      <c r="NP122" s="16">
        <v>245448</v>
      </c>
      <c r="NQ122" s="16">
        <v>43</v>
      </c>
      <c r="NR122" s="17">
        <v>4346554</v>
      </c>
    </row>
    <row r="123" spans="1:382" ht="13.5" customHeight="1" x14ac:dyDescent="0.2">
      <c r="A123" s="2" t="s">
        <v>253</v>
      </c>
      <c r="B123" s="16">
        <v>3911</v>
      </c>
      <c r="C123" s="16">
        <v>1201</v>
      </c>
      <c r="D123" s="16">
        <v>1021</v>
      </c>
      <c r="E123" s="16">
        <v>469</v>
      </c>
      <c r="F123" s="16">
        <v>6363</v>
      </c>
      <c r="G123" s="16">
        <v>1903</v>
      </c>
      <c r="H123" s="16">
        <v>340</v>
      </c>
      <c r="I123" s="16">
        <v>1732</v>
      </c>
      <c r="J123" s="16">
        <v>137</v>
      </c>
      <c r="K123" s="16">
        <v>0</v>
      </c>
      <c r="L123" s="16">
        <v>155</v>
      </c>
      <c r="M123" s="16">
        <v>946</v>
      </c>
      <c r="N123" s="16">
        <v>0</v>
      </c>
      <c r="O123" s="16">
        <v>33</v>
      </c>
      <c r="P123" s="16">
        <v>2866</v>
      </c>
      <c r="Q123" s="16">
        <v>3834</v>
      </c>
      <c r="R123" s="16">
        <v>1412</v>
      </c>
      <c r="S123" s="16">
        <v>1025</v>
      </c>
      <c r="T123" s="16">
        <v>83</v>
      </c>
      <c r="U123" s="16">
        <v>210</v>
      </c>
      <c r="V123" s="16">
        <v>225</v>
      </c>
      <c r="W123" s="16">
        <v>206</v>
      </c>
      <c r="X123" s="16">
        <v>939</v>
      </c>
      <c r="Y123" s="16">
        <v>3315</v>
      </c>
      <c r="Z123" s="16">
        <v>2546</v>
      </c>
      <c r="AA123" s="16">
        <v>25</v>
      </c>
      <c r="AB123" s="16">
        <v>0</v>
      </c>
      <c r="AC123" s="16">
        <v>0</v>
      </c>
      <c r="AD123" s="16">
        <v>0</v>
      </c>
      <c r="AE123" s="16">
        <v>9</v>
      </c>
      <c r="AF123" s="16">
        <v>5</v>
      </c>
      <c r="AG123" s="16">
        <v>1704</v>
      </c>
      <c r="AH123" s="16">
        <v>2599</v>
      </c>
      <c r="AI123" s="16">
        <v>362</v>
      </c>
      <c r="AJ123" s="16">
        <v>960</v>
      </c>
      <c r="AK123" s="16">
        <v>685</v>
      </c>
      <c r="AL123" s="16">
        <v>146</v>
      </c>
      <c r="AM123" s="16">
        <v>1541</v>
      </c>
      <c r="AN123" s="16">
        <v>392</v>
      </c>
      <c r="AO123" s="16">
        <v>325</v>
      </c>
      <c r="AP123" s="16">
        <v>160</v>
      </c>
      <c r="AQ123" s="16">
        <v>519</v>
      </c>
      <c r="AR123" s="16">
        <v>0</v>
      </c>
      <c r="AS123" s="16">
        <v>653</v>
      </c>
      <c r="AT123" s="16">
        <v>234</v>
      </c>
      <c r="AU123" s="16">
        <v>1492</v>
      </c>
      <c r="AV123" s="16">
        <v>220</v>
      </c>
      <c r="AW123" s="16">
        <v>933</v>
      </c>
      <c r="AX123" s="16">
        <v>35</v>
      </c>
      <c r="AY123" s="16">
        <v>1521</v>
      </c>
      <c r="AZ123" s="16">
        <v>422</v>
      </c>
      <c r="BA123" s="16">
        <v>271</v>
      </c>
      <c r="BB123" s="16">
        <v>400</v>
      </c>
      <c r="BC123" s="16">
        <v>646</v>
      </c>
      <c r="BD123" s="16">
        <v>62</v>
      </c>
      <c r="BE123" s="16">
        <v>730</v>
      </c>
      <c r="BF123" s="16">
        <v>2234</v>
      </c>
      <c r="BG123" s="16">
        <v>680</v>
      </c>
      <c r="BH123" s="16">
        <v>829</v>
      </c>
      <c r="BI123" s="16">
        <v>1440</v>
      </c>
      <c r="BJ123" s="16">
        <v>265</v>
      </c>
      <c r="BK123" s="16">
        <v>205</v>
      </c>
      <c r="BL123" s="16">
        <v>1467</v>
      </c>
      <c r="BM123" s="16">
        <v>176</v>
      </c>
      <c r="BN123" s="16">
        <v>1395</v>
      </c>
      <c r="BO123" s="16">
        <v>1011</v>
      </c>
      <c r="BP123" s="16">
        <v>630</v>
      </c>
      <c r="BQ123" s="16">
        <v>650</v>
      </c>
      <c r="BR123" s="16">
        <v>104</v>
      </c>
      <c r="BS123" s="16">
        <v>1557</v>
      </c>
      <c r="BT123" s="16">
        <v>34</v>
      </c>
      <c r="BU123" s="16">
        <v>1</v>
      </c>
      <c r="BV123" s="16">
        <v>8</v>
      </c>
      <c r="BW123" s="16">
        <v>492</v>
      </c>
      <c r="BX123" s="16">
        <v>73</v>
      </c>
      <c r="BY123" s="16">
        <v>5</v>
      </c>
      <c r="BZ123" s="16">
        <v>83</v>
      </c>
      <c r="CA123" s="16">
        <v>162</v>
      </c>
      <c r="CB123" s="16">
        <v>112</v>
      </c>
      <c r="CC123" s="16">
        <v>2274</v>
      </c>
      <c r="CD123" s="16">
        <v>436</v>
      </c>
      <c r="CE123" s="16">
        <v>281</v>
      </c>
      <c r="CF123" s="16">
        <v>929</v>
      </c>
      <c r="CG123" s="16">
        <v>238</v>
      </c>
      <c r="CH123" s="16">
        <v>234</v>
      </c>
      <c r="CI123" s="16">
        <v>320</v>
      </c>
      <c r="CJ123" s="16">
        <v>566</v>
      </c>
      <c r="CK123" s="16">
        <v>1581</v>
      </c>
      <c r="CL123" s="16">
        <v>1543</v>
      </c>
      <c r="CM123" s="16">
        <v>683</v>
      </c>
      <c r="CN123" s="16">
        <v>250</v>
      </c>
      <c r="CO123" s="16">
        <v>908</v>
      </c>
      <c r="CP123" s="16">
        <v>1913</v>
      </c>
      <c r="CQ123" s="16">
        <v>7384</v>
      </c>
      <c r="CR123" s="16">
        <v>695</v>
      </c>
      <c r="CS123" s="16">
        <v>655</v>
      </c>
      <c r="CT123" s="16">
        <v>364</v>
      </c>
      <c r="CU123" s="16">
        <v>959</v>
      </c>
      <c r="CV123" s="16">
        <v>976</v>
      </c>
      <c r="CW123" s="16">
        <v>4196</v>
      </c>
      <c r="CX123" s="16">
        <v>4164</v>
      </c>
      <c r="CY123" s="16">
        <v>203</v>
      </c>
      <c r="CZ123" s="16">
        <v>1149</v>
      </c>
      <c r="DA123" s="16">
        <v>86</v>
      </c>
      <c r="DB123" s="16">
        <v>586</v>
      </c>
      <c r="DC123" s="16">
        <v>505</v>
      </c>
      <c r="DD123" s="16">
        <v>1099</v>
      </c>
      <c r="DE123" s="16">
        <v>510</v>
      </c>
      <c r="DF123" s="16">
        <v>892</v>
      </c>
      <c r="DG123" s="16">
        <v>486</v>
      </c>
      <c r="DH123" s="16">
        <v>1136</v>
      </c>
      <c r="DI123" s="16">
        <v>275</v>
      </c>
      <c r="DJ123" s="16">
        <v>9488</v>
      </c>
      <c r="DK123" s="16">
        <v>567</v>
      </c>
      <c r="DL123" s="16">
        <v>942</v>
      </c>
      <c r="DM123" s="16">
        <v>13969</v>
      </c>
      <c r="DN123" s="16">
        <v>505</v>
      </c>
      <c r="DO123" s="16">
        <v>558</v>
      </c>
      <c r="DP123" s="16">
        <v>1476</v>
      </c>
      <c r="DQ123" s="16">
        <v>280</v>
      </c>
      <c r="DR123" s="16">
        <v>6177</v>
      </c>
      <c r="DS123" s="16">
        <v>242014</v>
      </c>
      <c r="DT123" s="16">
        <v>503</v>
      </c>
      <c r="DU123" s="16">
        <v>203</v>
      </c>
      <c r="DV123" s="16">
        <v>388</v>
      </c>
      <c r="DW123" s="16">
        <v>2252</v>
      </c>
      <c r="DX123" s="16">
        <v>2168</v>
      </c>
      <c r="DY123" s="16">
        <v>1693</v>
      </c>
      <c r="DZ123" s="16">
        <v>4884</v>
      </c>
      <c r="EA123" s="16">
        <v>743</v>
      </c>
      <c r="EB123" s="16">
        <v>194</v>
      </c>
      <c r="EC123" s="16">
        <v>1453</v>
      </c>
      <c r="ED123" s="16">
        <v>234</v>
      </c>
      <c r="EE123" s="16">
        <v>21</v>
      </c>
      <c r="EF123" s="16">
        <v>71</v>
      </c>
      <c r="EG123" s="16">
        <v>633</v>
      </c>
      <c r="EH123" s="16">
        <v>117</v>
      </c>
      <c r="EI123" s="16">
        <v>456</v>
      </c>
      <c r="EJ123" s="16">
        <v>197</v>
      </c>
      <c r="EK123" s="16">
        <v>268</v>
      </c>
      <c r="EL123" s="16">
        <v>97</v>
      </c>
      <c r="EM123" s="16">
        <v>359</v>
      </c>
      <c r="EN123" s="16">
        <v>2075</v>
      </c>
      <c r="EO123" s="16">
        <v>696</v>
      </c>
      <c r="EP123" s="16">
        <v>228</v>
      </c>
      <c r="EQ123" s="16">
        <v>750</v>
      </c>
      <c r="ER123" s="16">
        <v>98</v>
      </c>
      <c r="ES123" s="16">
        <v>104</v>
      </c>
      <c r="ET123" s="16">
        <v>1487</v>
      </c>
      <c r="EU123" s="16">
        <v>1366</v>
      </c>
      <c r="EV123" s="16">
        <v>154</v>
      </c>
      <c r="EW123" s="16">
        <v>423</v>
      </c>
      <c r="EX123" s="16">
        <v>4964</v>
      </c>
      <c r="EY123" s="16">
        <v>696</v>
      </c>
      <c r="EZ123" s="16">
        <v>38</v>
      </c>
      <c r="FA123" s="16">
        <v>195</v>
      </c>
      <c r="FB123" s="16">
        <v>601</v>
      </c>
      <c r="FC123" s="16">
        <v>33</v>
      </c>
      <c r="FD123" s="16">
        <v>692</v>
      </c>
      <c r="FE123" s="16">
        <v>290</v>
      </c>
      <c r="FF123" s="16">
        <v>500</v>
      </c>
      <c r="FG123" s="16">
        <v>536</v>
      </c>
      <c r="FH123" s="16">
        <v>143</v>
      </c>
      <c r="FI123" s="16">
        <v>640</v>
      </c>
      <c r="FJ123" s="16">
        <v>143</v>
      </c>
      <c r="FK123" s="16">
        <v>506</v>
      </c>
      <c r="FL123" s="16">
        <v>458</v>
      </c>
      <c r="FM123" s="16">
        <v>397</v>
      </c>
      <c r="FN123" s="16">
        <v>1852</v>
      </c>
      <c r="FO123" s="16">
        <v>861</v>
      </c>
      <c r="FP123" s="16">
        <v>956</v>
      </c>
      <c r="FQ123" s="16">
        <v>1310</v>
      </c>
      <c r="FR123" s="16">
        <v>2953</v>
      </c>
      <c r="FS123" s="16">
        <v>716</v>
      </c>
      <c r="FT123" s="16">
        <v>1168</v>
      </c>
      <c r="FU123" s="16">
        <v>1921</v>
      </c>
      <c r="FV123" s="16">
        <v>1377</v>
      </c>
      <c r="FW123" s="16">
        <v>2808</v>
      </c>
      <c r="FX123" s="16">
        <v>5384</v>
      </c>
      <c r="FY123" s="16">
        <v>414</v>
      </c>
      <c r="FZ123" s="16">
        <v>1477</v>
      </c>
      <c r="GA123" s="16">
        <v>243</v>
      </c>
      <c r="GB123" s="16">
        <v>21296</v>
      </c>
      <c r="GC123" s="16">
        <v>417</v>
      </c>
      <c r="GD123" s="16">
        <v>5333</v>
      </c>
      <c r="GE123" s="16">
        <v>118</v>
      </c>
      <c r="GF123" s="16">
        <v>7359</v>
      </c>
      <c r="GG123" s="16">
        <v>9</v>
      </c>
      <c r="GH123" s="16">
        <v>1196</v>
      </c>
      <c r="GI123" s="16">
        <v>179</v>
      </c>
      <c r="GJ123" s="16">
        <v>661</v>
      </c>
      <c r="GK123" s="16">
        <v>234</v>
      </c>
      <c r="GL123" s="16">
        <v>1</v>
      </c>
      <c r="GM123" s="16">
        <v>37</v>
      </c>
      <c r="GN123" s="16">
        <v>252</v>
      </c>
      <c r="GO123" s="16">
        <v>2</v>
      </c>
      <c r="GP123" s="16">
        <v>141</v>
      </c>
      <c r="GQ123" s="16">
        <v>1</v>
      </c>
      <c r="GR123" s="16">
        <v>205</v>
      </c>
      <c r="GS123" s="16">
        <v>138</v>
      </c>
      <c r="GT123" s="16">
        <v>26</v>
      </c>
      <c r="GU123" s="16">
        <v>635</v>
      </c>
      <c r="GV123" s="16">
        <v>766</v>
      </c>
      <c r="GW123" s="16">
        <v>502</v>
      </c>
      <c r="GX123" s="16">
        <v>131</v>
      </c>
      <c r="GY123" s="16">
        <v>34</v>
      </c>
      <c r="GZ123" s="16">
        <v>627</v>
      </c>
      <c r="HA123" s="16">
        <v>312</v>
      </c>
      <c r="HB123" s="16">
        <v>302</v>
      </c>
      <c r="HC123" s="16">
        <v>1484</v>
      </c>
      <c r="HD123" s="16">
        <v>1538</v>
      </c>
      <c r="HE123" s="16">
        <v>92</v>
      </c>
      <c r="HF123" s="16">
        <v>1114</v>
      </c>
      <c r="HG123" s="16">
        <v>511</v>
      </c>
      <c r="HH123" s="16">
        <v>390</v>
      </c>
      <c r="HI123" s="16">
        <v>569</v>
      </c>
      <c r="HJ123" s="16">
        <v>394</v>
      </c>
      <c r="HK123" s="16">
        <v>285</v>
      </c>
      <c r="HL123" s="16">
        <v>1627</v>
      </c>
      <c r="HM123" s="16">
        <v>718</v>
      </c>
      <c r="HN123" s="16">
        <v>1447</v>
      </c>
      <c r="HO123" s="16">
        <v>1009</v>
      </c>
      <c r="HP123" s="16">
        <v>823</v>
      </c>
      <c r="HQ123" s="16">
        <v>1483</v>
      </c>
      <c r="HR123" s="16">
        <v>1158</v>
      </c>
      <c r="HS123" s="16">
        <v>1117</v>
      </c>
      <c r="HT123" s="16">
        <v>98</v>
      </c>
      <c r="HU123" s="16">
        <v>917</v>
      </c>
      <c r="HV123" s="16">
        <v>411</v>
      </c>
      <c r="HW123" s="16">
        <v>671</v>
      </c>
      <c r="HX123" s="16">
        <v>1866</v>
      </c>
      <c r="HY123" s="16">
        <v>1976</v>
      </c>
      <c r="HZ123" s="16">
        <v>4061</v>
      </c>
      <c r="IA123" s="16">
        <v>1109</v>
      </c>
      <c r="IB123" s="16">
        <v>109</v>
      </c>
      <c r="IC123" s="16">
        <v>167</v>
      </c>
      <c r="ID123" s="16">
        <v>344</v>
      </c>
      <c r="IE123" s="16">
        <v>42</v>
      </c>
      <c r="IF123" s="16">
        <v>408</v>
      </c>
      <c r="IG123" s="16">
        <v>4218</v>
      </c>
      <c r="IH123" s="16">
        <v>881</v>
      </c>
      <c r="II123" s="16">
        <v>118</v>
      </c>
      <c r="IJ123" s="16">
        <v>50</v>
      </c>
      <c r="IK123" s="16">
        <v>607</v>
      </c>
      <c r="IL123" s="16">
        <v>114</v>
      </c>
      <c r="IM123" s="16">
        <v>20</v>
      </c>
      <c r="IN123" s="16">
        <v>188</v>
      </c>
      <c r="IO123" s="16">
        <v>1625</v>
      </c>
      <c r="IP123" s="16">
        <v>56</v>
      </c>
      <c r="IQ123" s="16">
        <v>2</v>
      </c>
      <c r="IR123" s="16">
        <v>41</v>
      </c>
      <c r="IS123" s="16">
        <v>86</v>
      </c>
      <c r="IT123" s="16">
        <v>92</v>
      </c>
      <c r="IU123" s="16">
        <v>4</v>
      </c>
      <c r="IV123" s="16">
        <v>97</v>
      </c>
      <c r="IW123" s="16">
        <v>935</v>
      </c>
      <c r="IX123" s="16">
        <v>307</v>
      </c>
      <c r="IY123" s="16">
        <v>1095</v>
      </c>
      <c r="IZ123" s="16">
        <v>19</v>
      </c>
      <c r="JA123" s="16">
        <v>276</v>
      </c>
      <c r="JB123" s="16">
        <v>42</v>
      </c>
      <c r="JC123" s="16">
        <v>130</v>
      </c>
      <c r="JD123" s="16">
        <v>32</v>
      </c>
      <c r="JE123" s="16">
        <v>6006</v>
      </c>
      <c r="JF123" s="16">
        <v>391</v>
      </c>
      <c r="JG123" s="16">
        <v>38947</v>
      </c>
      <c r="JH123" s="16">
        <v>427</v>
      </c>
      <c r="JI123" s="16">
        <v>36</v>
      </c>
      <c r="JJ123" s="16">
        <v>2467</v>
      </c>
      <c r="JK123" s="16">
        <v>823</v>
      </c>
      <c r="JL123" s="16">
        <v>262</v>
      </c>
      <c r="JM123" s="16">
        <v>72</v>
      </c>
      <c r="JN123" s="16">
        <v>1701</v>
      </c>
      <c r="JO123" s="16">
        <v>3380</v>
      </c>
      <c r="JP123" s="16">
        <v>20339</v>
      </c>
      <c r="JQ123" s="16">
        <v>4658</v>
      </c>
      <c r="JR123" s="16">
        <v>21010</v>
      </c>
      <c r="JS123" s="16">
        <v>8131</v>
      </c>
      <c r="JT123" s="16">
        <v>0</v>
      </c>
      <c r="JU123" s="16">
        <v>14645</v>
      </c>
      <c r="JV123" s="16">
        <v>912</v>
      </c>
      <c r="JW123" s="16">
        <v>2105</v>
      </c>
      <c r="JX123" s="16">
        <v>2903</v>
      </c>
      <c r="JY123" s="16">
        <v>2096</v>
      </c>
      <c r="JZ123" s="16">
        <v>1673</v>
      </c>
      <c r="KA123" s="16">
        <v>99</v>
      </c>
      <c r="KB123" s="16">
        <v>51</v>
      </c>
      <c r="KC123" s="16">
        <v>494</v>
      </c>
      <c r="KD123" s="16">
        <v>753</v>
      </c>
      <c r="KE123" s="16">
        <v>140</v>
      </c>
      <c r="KF123" s="16">
        <v>931</v>
      </c>
      <c r="KG123" s="16">
        <v>935</v>
      </c>
      <c r="KH123" s="16">
        <v>78</v>
      </c>
      <c r="KI123" s="16">
        <v>353</v>
      </c>
      <c r="KJ123" s="16">
        <v>1062</v>
      </c>
      <c r="KK123" s="16">
        <v>629060</v>
      </c>
      <c r="KL123" s="16">
        <v>107</v>
      </c>
      <c r="KM123" s="16">
        <v>1270</v>
      </c>
      <c r="KN123" s="16">
        <v>311</v>
      </c>
      <c r="KO123" s="16">
        <v>814</v>
      </c>
      <c r="KP123" s="16">
        <v>79</v>
      </c>
      <c r="KQ123" s="16">
        <v>1226</v>
      </c>
      <c r="KR123" s="16">
        <v>1904</v>
      </c>
      <c r="KS123" s="16">
        <v>1624</v>
      </c>
      <c r="KT123" s="16">
        <v>1277</v>
      </c>
      <c r="KU123" s="16">
        <v>7079</v>
      </c>
      <c r="KV123" s="16">
        <v>1009</v>
      </c>
      <c r="KW123" s="16">
        <v>5907</v>
      </c>
      <c r="KX123" s="16">
        <v>52</v>
      </c>
      <c r="KY123" s="16">
        <v>1868</v>
      </c>
      <c r="KZ123" s="16">
        <v>82103</v>
      </c>
      <c r="LA123" s="16">
        <v>25933</v>
      </c>
      <c r="LB123" s="16">
        <v>8569</v>
      </c>
      <c r="LC123" s="16">
        <v>20361</v>
      </c>
      <c r="LD123" s="16">
        <v>296650</v>
      </c>
      <c r="LE123" s="16">
        <v>4837</v>
      </c>
      <c r="LF123" s="16">
        <v>695</v>
      </c>
      <c r="LG123" s="16">
        <v>375</v>
      </c>
      <c r="LH123" s="16">
        <v>12237</v>
      </c>
      <c r="LI123" s="16">
        <v>105</v>
      </c>
      <c r="LJ123" s="16">
        <v>6234</v>
      </c>
      <c r="LK123" s="16">
        <v>3696</v>
      </c>
      <c r="LL123" s="16">
        <v>12366</v>
      </c>
      <c r="LM123" s="16">
        <v>46382</v>
      </c>
      <c r="LN123" s="16">
        <v>12338</v>
      </c>
      <c r="LO123" s="16">
        <v>976</v>
      </c>
      <c r="LP123" s="16">
        <v>108847</v>
      </c>
      <c r="LQ123" s="16">
        <v>491</v>
      </c>
      <c r="LR123" s="16">
        <v>14181</v>
      </c>
      <c r="LS123" s="16">
        <v>12801</v>
      </c>
      <c r="LT123" s="16">
        <v>6214</v>
      </c>
      <c r="LU123" s="16">
        <v>2740</v>
      </c>
      <c r="LV123" s="16">
        <v>287</v>
      </c>
      <c r="LW123" s="16">
        <v>1865</v>
      </c>
      <c r="LX123" s="16">
        <v>3693</v>
      </c>
      <c r="LY123" s="16">
        <v>0</v>
      </c>
      <c r="LZ123" s="16">
        <v>19250</v>
      </c>
      <c r="MA123" s="16">
        <v>43453</v>
      </c>
      <c r="MB123" s="16">
        <v>19264</v>
      </c>
      <c r="MC123" s="16">
        <v>2483</v>
      </c>
      <c r="MD123" s="16">
        <v>263</v>
      </c>
      <c r="ME123" s="16">
        <v>1632</v>
      </c>
      <c r="MF123" s="16">
        <v>85880</v>
      </c>
      <c r="MG123" s="16">
        <v>19238</v>
      </c>
      <c r="MH123" s="16">
        <v>34550</v>
      </c>
      <c r="MI123" s="16">
        <v>3576</v>
      </c>
      <c r="MJ123" s="16">
        <v>4522</v>
      </c>
      <c r="MK123" s="16">
        <v>17337</v>
      </c>
      <c r="ML123" s="16">
        <v>1987</v>
      </c>
      <c r="MM123" s="16">
        <v>19599</v>
      </c>
      <c r="MN123" s="16">
        <v>15293</v>
      </c>
      <c r="MO123" s="16">
        <v>4502</v>
      </c>
      <c r="MP123" s="16">
        <v>25168</v>
      </c>
      <c r="MQ123" s="16">
        <v>43400</v>
      </c>
      <c r="MR123" s="16">
        <v>57545</v>
      </c>
      <c r="MS123" s="16">
        <v>44901</v>
      </c>
      <c r="MT123" s="16">
        <v>2753</v>
      </c>
      <c r="MU123" s="16">
        <v>6685</v>
      </c>
      <c r="MV123" s="16">
        <v>8455</v>
      </c>
      <c r="MW123" s="16">
        <v>67342</v>
      </c>
      <c r="MX123" s="16">
        <v>2330</v>
      </c>
      <c r="MY123" s="16">
        <v>9692</v>
      </c>
      <c r="MZ123" s="16">
        <v>98094</v>
      </c>
      <c r="NA123" s="16">
        <v>3736</v>
      </c>
      <c r="NB123" s="16">
        <v>117814</v>
      </c>
      <c r="NC123" s="16">
        <v>5197</v>
      </c>
      <c r="ND123" s="16">
        <v>21691</v>
      </c>
      <c r="NE123" s="16">
        <v>2728</v>
      </c>
      <c r="NF123" s="16">
        <v>3553</v>
      </c>
      <c r="NG123" s="16">
        <v>93224</v>
      </c>
      <c r="NH123" s="16">
        <v>12509</v>
      </c>
      <c r="NI123" s="16">
        <v>31266</v>
      </c>
      <c r="NJ123" s="16">
        <v>127259</v>
      </c>
      <c r="NK123" s="16">
        <v>2381</v>
      </c>
      <c r="NL123" s="16">
        <v>238</v>
      </c>
      <c r="NM123" s="16">
        <v>1092358</v>
      </c>
      <c r="NN123" s="16">
        <v>3095</v>
      </c>
      <c r="NO123" s="16">
        <v>0</v>
      </c>
      <c r="NP123" s="16">
        <v>65811</v>
      </c>
      <c r="NQ123" s="16">
        <v>1679</v>
      </c>
      <c r="NR123" s="17">
        <v>4238638</v>
      </c>
    </row>
    <row r="124" spans="1:382" ht="13.5" customHeight="1" x14ac:dyDescent="0.2">
      <c r="A124" s="2" t="s">
        <v>255</v>
      </c>
      <c r="B124" s="16">
        <v>1</v>
      </c>
      <c r="C124" s="16">
        <v>0</v>
      </c>
      <c r="D124" s="16">
        <v>0</v>
      </c>
      <c r="E124" s="16">
        <v>0</v>
      </c>
      <c r="F124" s="16">
        <v>63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24</v>
      </c>
      <c r="M124" s="16">
        <v>0</v>
      </c>
      <c r="N124" s="16">
        <v>0</v>
      </c>
      <c r="O124" s="16">
        <v>0</v>
      </c>
      <c r="P124" s="16">
        <v>12</v>
      </c>
      <c r="Q124" s="16">
        <v>314</v>
      </c>
      <c r="R124" s="16">
        <v>80</v>
      </c>
      <c r="S124" s="16">
        <v>0</v>
      </c>
      <c r="T124" s="16">
        <v>4</v>
      </c>
      <c r="U124" s="16">
        <v>11</v>
      </c>
      <c r="V124" s="16">
        <v>31</v>
      </c>
      <c r="W124" s="16">
        <v>0</v>
      </c>
      <c r="X124" s="16">
        <v>8</v>
      </c>
      <c r="Y124" s="16">
        <v>245</v>
      </c>
      <c r="Z124" s="16">
        <v>44</v>
      </c>
      <c r="AA124" s="16">
        <v>1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1518</v>
      </c>
      <c r="AH124" s="16">
        <v>100</v>
      </c>
      <c r="AI124" s="16">
        <v>69</v>
      </c>
      <c r="AJ124" s="16">
        <v>25</v>
      </c>
      <c r="AK124" s="16">
        <v>133</v>
      </c>
      <c r="AL124" s="16">
        <v>25</v>
      </c>
      <c r="AM124" s="16">
        <v>163</v>
      </c>
      <c r="AN124" s="16">
        <v>85</v>
      </c>
      <c r="AO124" s="16">
        <v>73</v>
      </c>
      <c r="AP124" s="16">
        <v>0</v>
      </c>
      <c r="AQ124" s="16">
        <v>0</v>
      </c>
      <c r="AR124" s="16">
        <v>0</v>
      </c>
      <c r="AS124" s="16">
        <v>0</v>
      </c>
      <c r="AT124" s="16">
        <v>6</v>
      </c>
      <c r="AU124" s="16">
        <v>7865</v>
      </c>
      <c r="AV124" s="16">
        <v>302</v>
      </c>
      <c r="AW124" s="16">
        <v>426</v>
      </c>
      <c r="AX124" s="16">
        <v>4</v>
      </c>
      <c r="AY124" s="16">
        <v>0</v>
      </c>
      <c r="AZ124" s="16">
        <v>375</v>
      </c>
      <c r="BA124" s="16">
        <v>2063</v>
      </c>
      <c r="BB124" s="16">
        <v>656</v>
      </c>
      <c r="BC124" s="16">
        <v>13783</v>
      </c>
      <c r="BD124" s="16">
        <v>1</v>
      </c>
      <c r="BE124" s="16">
        <v>77</v>
      </c>
      <c r="BF124" s="16">
        <v>125</v>
      </c>
      <c r="BG124" s="16">
        <v>119</v>
      </c>
      <c r="BH124" s="16">
        <v>824</v>
      </c>
      <c r="BI124" s="16">
        <v>3405</v>
      </c>
      <c r="BJ124" s="16">
        <v>103</v>
      </c>
      <c r="BK124" s="16">
        <v>379</v>
      </c>
      <c r="BL124" s="16">
        <v>6823</v>
      </c>
      <c r="BM124" s="16">
        <v>7827</v>
      </c>
      <c r="BN124" s="16">
        <v>211</v>
      </c>
      <c r="BO124" s="16">
        <v>991</v>
      </c>
      <c r="BP124" s="16">
        <v>2811</v>
      </c>
      <c r="BQ124" s="16">
        <v>8492</v>
      </c>
      <c r="BR124" s="16">
        <v>123</v>
      </c>
      <c r="BS124" s="16">
        <v>475</v>
      </c>
      <c r="BT124" s="16">
        <v>13</v>
      </c>
      <c r="BU124" s="16">
        <v>6</v>
      </c>
      <c r="BV124" s="16">
        <v>0</v>
      </c>
      <c r="BW124" s="16">
        <v>1154</v>
      </c>
      <c r="BX124" s="16">
        <v>938</v>
      </c>
      <c r="BY124" s="16">
        <v>0</v>
      </c>
      <c r="BZ124" s="16">
        <v>27546</v>
      </c>
      <c r="CA124" s="16">
        <v>16163</v>
      </c>
      <c r="CB124" s="16">
        <v>58</v>
      </c>
      <c r="CC124" s="16">
        <v>5657</v>
      </c>
      <c r="CD124" s="16">
        <v>109992</v>
      </c>
      <c r="CE124" s="16">
        <v>8461</v>
      </c>
      <c r="CF124" s="16">
        <v>66035</v>
      </c>
      <c r="CG124" s="16">
        <v>14763</v>
      </c>
      <c r="CH124" s="16">
        <v>37195</v>
      </c>
      <c r="CI124" s="16">
        <v>8</v>
      </c>
      <c r="CJ124" s="16">
        <v>12231</v>
      </c>
      <c r="CK124" s="16">
        <v>70645</v>
      </c>
      <c r="CL124" s="16">
        <v>111654</v>
      </c>
      <c r="CM124" s="16">
        <v>33333</v>
      </c>
      <c r="CN124" s="16">
        <v>13239</v>
      </c>
      <c r="CO124" s="16">
        <v>18741</v>
      </c>
      <c r="CP124" s="16">
        <v>28526</v>
      </c>
      <c r="CQ124" s="16">
        <v>244054</v>
      </c>
      <c r="CR124" s="16">
        <v>6</v>
      </c>
      <c r="CS124" s="16">
        <v>14</v>
      </c>
      <c r="CT124" s="16">
        <v>8</v>
      </c>
      <c r="CU124" s="16">
        <v>20</v>
      </c>
      <c r="CV124" s="16">
        <v>35</v>
      </c>
      <c r="CW124" s="16">
        <v>88</v>
      </c>
      <c r="CX124" s="16">
        <v>353</v>
      </c>
      <c r="CY124" s="16">
        <v>10</v>
      </c>
      <c r="CZ124" s="16">
        <v>256</v>
      </c>
      <c r="DA124" s="16">
        <v>35</v>
      </c>
      <c r="DB124" s="16">
        <v>6</v>
      </c>
      <c r="DC124" s="16">
        <v>1</v>
      </c>
      <c r="DD124" s="16">
        <v>6</v>
      </c>
      <c r="DE124" s="16">
        <v>24</v>
      </c>
      <c r="DF124" s="16">
        <v>4859</v>
      </c>
      <c r="DG124" s="16">
        <v>15</v>
      </c>
      <c r="DH124" s="16">
        <v>28</v>
      </c>
      <c r="DI124" s="16">
        <v>1393</v>
      </c>
      <c r="DJ124" s="16">
        <v>3253</v>
      </c>
      <c r="DK124" s="16">
        <v>19</v>
      </c>
      <c r="DL124" s="16">
        <v>338</v>
      </c>
      <c r="DM124" s="16">
        <v>90160</v>
      </c>
      <c r="DN124" s="16">
        <v>77</v>
      </c>
      <c r="DO124" s="16">
        <v>253</v>
      </c>
      <c r="DP124" s="16">
        <v>4684</v>
      </c>
      <c r="DQ124" s="16">
        <v>4817</v>
      </c>
      <c r="DR124" s="16">
        <v>795</v>
      </c>
      <c r="DS124" s="16">
        <v>1723</v>
      </c>
      <c r="DT124" s="16">
        <v>22558</v>
      </c>
      <c r="DU124" s="16">
        <v>5235</v>
      </c>
      <c r="DV124" s="16">
        <v>47197</v>
      </c>
      <c r="DW124" s="16">
        <v>60295</v>
      </c>
      <c r="DX124" s="16">
        <v>32626</v>
      </c>
      <c r="DY124" s="16">
        <v>25098</v>
      </c>
      <c r="DZ124" s="16">
        <v>92818</v>
      </c>
      <c r="EA124" s="16">
        <v>163109</v>
      </c>
      <c r="EB124" s="16">
        <v>1860</v>
      </c>
      <c r="EC124" s="16">
        <v>11433</v>
      </c>
      <c r="ED124" s="16">
        <v>7677</v>
      </c>
      <c r="EE124" s="16">
        <v>4</v>
      </c>
      <c r="EF124" s="16">
        <v>67</v>
      </c>
      <c r="EG124" s="16">
        <v>1970</v>
      </c>
      <c r="EH124" s="16">
        <v>181</v>
      </c>
      <c r="EI124" s="16">
        <v>50</v>
      </c>
      <c r="EJ124" s="16">
        <v>1267</v>
      </c>
      <c r="EK124" s="16">
        <v>3046</v>
      </c>
      <c r="EL124" s="16">
        <v>11</v>
      </c>
      <c r="EM124" s="16">
        <v>138</v>
      </c>
      <c r="EN124" s="16">
        <v>645</v>
      </c>
      <c r="EO124" s="16">
        <v>2256</v>
      </c>
      <c r="EP124" s="16">
        <v>4552</v>
      </c>
      <c r="EQ124" s="16">
        <v>576</v>
      </c>
      <c r="ER124" s="16">
        <v>17729</v>
      </c>
      <c r="ES124" s="16">
        <v>3</v>
      </c>
      <c r="ET124" s="16">
        <v>32621</v>
      </c>
      <c r="EU124" s="16">
        <v>4</v>
      </c>
      <c r="EV124" s="16">
        <v>0</v>
      </c>
      <c r="EW124" s="16">
        <v>6</v>
      </c>
      <c r="EX124" s="16">
        <v>482</v>
      </c>
      <c r="EY124" s="16">
        <v>29</v>
      </c>
      <c r="EZ124" s="16">
        <v>2</v>
      </c>
      <c r="FA124" s="16">
        <v>7</v>
      </c>
      <c r="FB124" s="16">
        <v>40</v>
      </c>
      <c r="FC124" s="16">
        <v>10</v>
      </c>
      <c r="FD124" s="16">
        <v>3301</v>
      </c>
      <c r="FE124" s="16">
        <v>539</v>
      </c>
      <c r="FF124" s="16">
        <v>972</v>
      </c>
      <c r="FG124" s="16">
        <v>4161</v>
      </c>
      <c r="FH124" s="16">
        <v>0</v>
      </c>
      <c r="FI124" s="16">
        <v>10</v>
      </c>
      <c r="FJ124" s="16">
        <v>97</v>
      </c>
      <c r="FK124" s="16">
        <v>67</v>
      </c>
      <c r="FL124" s="16">
        <v>1</v>
      </c>
      <c r="FM124" s="16">
        <v>504</v>
      </c>
      <c r="FN124" s="16">
        <v>3771</v>
      </c>
      <c r="FO124" s="16">
        <v>1459</v>
      </c>
      <c r="FP124" s="16">
        <v>4033</v>
      </c>
      <c r="FQ124" s="16">
        <v>16464</v>
      </c>
      <c r="FR124" s="16">
        <v>5561</v>
      </c>
      <c r="FS124" s="16">
        <v>507</v>
      </c>
      <c r="FT124" s="16">
        <v>56</v>
      </c>
      <c r="FU124" s="16">
        <v>5406</v>
      </c>
      <c r="FV124" s="16">
        <v>14270</v>
      </c>
      <c r="FW124" s="16">
        <v>9365</v>
      </c>
      <c r="FX124" s="16">
        <v>22663</v>
      </c>
      <c r="FY124" s="16">
        <v>10598</v>
      </c>
      <c r="FZ124" s="16">
        <v>18601</v>
      </c>
      <c r="GA124" s="16">
        <v>7083</v>
      </c>
      <c r="GB124" s="16">
        <v>9951</v>
      </c>
      <c r="GC124" s="16">
        <v>4860</v>
      </c>
      <c r="GD124" s="16">
        <v>21841</v>
      </c>
      <c r="GE124" s="16">
        <v>1888</v>
      </c>
      <c r="GF124" s="16">
        <v>33725</v>
      </c>
      <c r="GG124" s="16">
        <v>30341</v>
      </c>
      <c r="GH124" s="16">
        <v>70986</v>
      </c>
      <c r="GI124" s="16">
        <v>17191</v>
      </c>
      <c r="GJ124" s="16">
        <v>25980</v>
      </c>
      <c r="GK124" s="16">
        <v>8058</v>
      </c>
      <c r="GL124" s="16">
        <v>7390</v>
      </c>
      <c r="GM124" s="16">
        <v>4062</v>
      </c>
      <c r="GN124" s="16">
        <v>484</v>
      </c>
      <c r="GO124" s="16">
        <v>555</v>
      </c>
      <c r="GP124" s="16">
        <v>35849</v>
      </c>
      <c r="GQ124" s="16">
        <v>9225</v>
      </c>
      <c r="GR124" s="16">
        <v>825</v>
      </c>
      <c r="GS124" s="16">
        <v>168</v>
      </c>
      <c r="GT124" s="16">
        <v>572</v>
      </c>
      <c r="GU124" s="16">
        <v>960</v>
      </c>
      <c r="GV124" s="16">
        <v>1440</v>
      </c>
      <c r="GW124" s="16">
        <v>410</v>
      </c>
      <c r="GX124" s="16">
        <v>13642</v>
      </c>
      <c r="GY124" s="16">
        <v>1</v>
      </c>
      <c r="GZ124" s="16">
        <v>6433</v>
      </c>
      <c r="HA124" s="16">
        <v>1866</v>
      </c>
      <c r="HB124" s="16">
        <v>9079</v>
      </c>
      <c r="HC124" s="16">
        <v>1625</v>
      </c>
      <c r="HD124" s="16">
        <v>2455</v>
      </c>
      <c r="HE124" s="16">
        <v>1985</v>
      </c>
      <c r="HF124" s="16">
        <v>3244</v>
      </c>
      <c r="HG124" s="16">
        <v>276</v>
      </c>
      <c r="HH124" s="16">
        <v>922</v>
      </c>
      <c r="HI124" s="16">
        <v>1005</v>
      </c>
      <c r="HJ124" s="16">
        <v>11339</v>
      </c>
      <c r="HK124" s="16">
        <v>12808</v>
      </c>
      <c r="HL124" s="16">
        <v>8782</v>
      </c>
      <c r="HM124" s="16">
        <v>2044</v>
      </c>
      <c r="HN124" s="16">
        <v>6369</v>
      </c>
      <c r="HO124" s="16">
        <v>394</v>
      </c>
      <c r="HP124" s="16">
        <v>570</v>
      </c>
      <c r="HQ124" s="16">
        <v>1876</v>
      </c>
      <c r="HR124" s="16">
        <v>3058</v>
      </c>
      <c r="HS124" s="16">
        <v>3764</v>
      </c>
      <c r="HT124" s="16">
        <v>180</v>
      </c>
      <c r="HU124" s="16">
        <v>1299</v>
      </c>
      <c r="HV124" s="16">
        <v>378</v>
      </c>
      <c r="HW124" s="16">
        <v>105</v>
      </c>
      <c r="HX124" s="16">
        <v>499</v>
      </c>
      <c r="HY124" s="16">
        <v>3176</v>
      </c>
      <c r="HZ124" s="16">
        <v>2738</v>
      </c>
      <c r="IA124" s="16">
        <v>1349</v>
      </c>
      <c r="IB124" s="16">
        <v>4855</v>
      </c>
      <c r="IC124" s="16">
        <v>105</v>
      </c>
      <c r="ID124" s="16">
        <v>925</v>
      </c>
      <c r="IE124" s="16">
        <v>144</v>
      </c>
      <c r="IF124" s="16">
        <v>1075</v>
      </c>
      <c r="IG124" s="16">
        <v>8513</v>
      </c>
      <c r="IH124" s="16">
        <v>10958</v>
      </c>
      <c r="II124" s="16">
        <v>1360</v>
      </c>
      <c r="IJ124" s="16">
        <v>165</v>
      </c>
      <c r="IK124" s="16">
        <v>224</v>
      </c>
      <c r="IL124" s="16">
        <v>570</v>
      </c>
      <c r="IM124" s="16">
        <v>194</v>
      </c>
      <c r="IN124" s="16">
        <v>4819</v>
      </c>
      <c r="IO124" s="16">
        <v>26660</v>
      </c>
      <c r="IP124" s="16">
        <v>193</v>
      </c>
      <c r="IQ124" s="16">
        <v>3331</v>
      </c>
      <c r="IR124" s="16">
        <v>37</v>
      </c>
      <c r="IS124" s="16">
        <v>704</v>
      </c>
      <c r="IT124" s="16">
        <v>1022</v>
      </c>
      <c r="IU124" s="16">
        <v>8</v>
      </c>
      <c r="IV124" s="16">
        <v>4673</v>
      </c>
      <c r="IW124" s="16">
        <v>39777</v>
      </c>
      <c r="IX124" s="16">
        <v>5513</v>
      </c>
      <c r="IY124" s="16">
        <v>1001</v>
      </c>
      <c r="IZ124" s="16">
        <v>135</v>
      </c>
      <c r="JA124" s="16">
        <v>8445</v>
      </c>
      <c r="JB124" s="16">
        <v>742</v>
      </c>
      <c r="JC124" s="16">
        <v>725</v>
      </c>
      <c r="JD124" s="16">
        <v>101</v>
      </c>
      <c r="JE124" s="16">
        <v>11075</v>
      </c>
      <c r="JF124" s="16">
        <v>4849</v>
      </c>
      <c r="JG124" s="16">
        <v>24279</v>
      </c>
      <c r="JH124" s="16">
        <v>3850</v>
      </c>
      <c r="JI124" s="16">
        <v>103</v>
      </c>
      <c r="JJ124" s="16">
        <v>4</v>
      </c>
      <c r="JK124" s="16">
        <v>36</v>
      </c>
      <c r="JL124" s="16">
        <v>3</v>
      </c>
      <c r="JM124" s="16">
        <v>0</v>
      </c>
      <c r="JN124" s="16">
        <v>0</v>
      </c>
      <c r="JO124" s="16">
        <v>2</v>
      </c>
      <c r="JP124" s="16">
        <v>121</v>
      </c>
      <c r="JQ124" s="16">
        <v>4630</v>
      </c>
      <c r="JR124" s="16">
        <v>1577</v>
      </c>
      <c r="JS124" s="16">
        <v>2041</v>
      </c>
      <c r="JT124" s="16">
        <v>0</v>
      </c>
      <c r="JU124" s="16">
        <v>10472</v>
      </c>
      <c r="JV124" s="16">
        <v>811</v>
      </c>
      <c r="JW124" s="16">
        <v>5883</v>
      </c>
      <c r="JX124" s="16">
        <v>6543</v>
      </c>
      <c r="JY124" s="16">
        <v>16610</v>
      </c>
      <c r="JZ124" s="16">
        <v>73</v>
      </c>
      <c r="KA124" s="16">
        <v>1641</v>
      </c>
      <c r="KB124" s="16">
        <v>3</v>
      </c>
      <c r="KC124" s="16">
        <v>301</v>
      </c>
      <c r="KD124" s="16">
        <v>25</v>
      </c>
      <c r="KE124" s="16">
        <v>30</v>
      </c>
      <c r="KF124" s="16">
        <v>1466</v>
      </c>
      <c r="KG124" s="16">
        <v>272</v>
      </c>
      <c r="KH124" s="16">
        <v>80</v>
      </c>
      <c r="KI124" s="16">
        <v>141</v>
      </c>
      <c r="KJ124" s="16">
        <v>241</v>
      </c>
      <c r="KK124" s="16">
        <v>22887</v>
      </c>
      <c r="KL124" s="16">
        <v>2</v>
      </c>
      <c r="KM124" s="16">
        <v>57</v>
      </c>
      <c r="KN124" s="16">
        <v>297</v>
      </c>
      <c r="KO124" s="16">
        <v>23</v>
      </c>
      <c r="KP124" s="16">
        <v>22</v>
      </c>
      <c r="KQ124" s="16">
        <v>355</v>
      </c>
      <c r="KR124" s="16">
        <v>3327</v>
      </c>
      <c r="KS124" s="16">
        <v>0</v>
      </c>
      <c r="KT124" s="16">
        <v>74</v>
      </c>
      <c r="KU124" s="16">
        <v>1999</v>
      </c>
      <c r="KV124" s="16">
        <v>3199</v>
      </c>
      <c r="KW124" s="16">
        <v>3738</v>
      </c>
      <c r="KX124" s="16">
        <v>4</v>
      </c>
      <c r="KY124" s="16">
        <v>43</v>
      </c>
      <c r="KZ124" s="16">
        <v>10029</v>
      </c>
      <c r="LA124" s="16">
        <v>50</v>
      </c>
      <c r="LB124" s="16">
        <v>14</v>
      </c>
      <c r="LC124" s="16">
        <v>53</v>
      </c>
      <c r="LD124" s="16">
        <v>1044</v>
      </c>
      <c r="LE124" s="16">
        <v>268</v>
      </c>
      <c r="LF124" s="16">
        <v>104</v>
      </c>
      <c r="LG124" s="16">
        <v>17</v>
      </c>
      <c r="LH124" s="16">
        <v>169</v>
      </c>
      <c r="LI124" s="16">
        <v>12</v>
      </c>
      <c r="LJ124" s="16">
        <v>100</v>
      </c>
      <c r="LK124" s="16">
        <v>2766</v>
      </c>
      <c r="LL124" s="16">
        <v>293</v>
      </c>
      <c r="LM124" s="16">
        <v>1506</v>
      </c>
      <c r="LN124" s="16">
        <v>19866</v>
      </c>
      <c r="LO124" s="16">
        <v>2971</v>
      </c>
      <c r="LP124" s="16">
        <v>9278</v>
      </c>
      <c r="LQ124" s="16">
        <v>895</v>
      </c>
      <c r="LR124" s="16">
        <v>404</v>
      </c>
      <c r="LS124" s="16">
        <v>18</v>
      </c>
      <c r="LT124" s="16">
        <v>1834</v>
      </c>
      <c r="LU124" s="16">
        <v>613</v>
      </c>
      <c r="LV124" s="16">
        <v>6</v>
      </c>
      <c r="LW124" s="16">
        <v>581</v>
      </c>
      <c r="LX124" s="16">
        <v>1196</v>
      </c>
      <c r="LY124" s="16">
        <v>0</v>
      </c>
      <c r="LZ124" s="16">
        <v>440</v>
      </c>
      <c r="MA124" s="16">
        <v>1032</v>
      </c>
      <c r="MB124" s="16">
        <v>21744</v>
      </c>
      <c r="MC124" s="16">
        <v>1158</v>
      </c>
      <c r="MD124" s="16">
        <v>1462</v>
      </c>
      <c r="ME124" s="16">
        <v>177</v>
      </c>
      <c r="MF124" s="16">
        <v>36946</v>
      </c>
      <c r="MG124" s="16">
        <v>4577</v>
      </c>
      <c r="MH124" s="16">
        <v>250943</v>
      </c>
      <c r="MI124" s="16">
        <v>102</v>
      </c>
      <c r="MJ124" s="16">
        <v>3638</v>
      </c>
      <c r="MK124" s="16">
        <v>3923</v>
      </c>
      <c r="ML124" s="16">
        <v>1098</v>
      </c>
      <c r="MM124" s="16">
        <v>22157</v>
      </c>
      <c r="MN124" s="16">
        <v>2899</v>
      </c>
      <c r="MO124" s="16">
        <v>860</v>
      </c>
      <c r="MP124" s="16">
        <v>2603</v>
      </c>
      <c r="MQ124" s="16">
        <v>29516</v>
      </c>
      <c r="MR124" s="16">
        <v>1093</v>
      </c>
      <c r="MS124" s="16">
        <v>0</v>
      </c>
      <c r="MT124" s="16">
        <v>0</v>
      </c>
      <c r="MU124" s="16">
        <v>1238</v>
      </c>
      <c r="MV124" s="16">
        <v>3948</v>
      </c>
      <c r="MW124" s="16">
        <v>15665</v>
      </c>
      <c r="MX124" s="16">
        <v>0</v>
      </c>
      <c r="MY124" s="16">
        <v>144</v>
      </c>
      <c r="MZ124" s="16">
        <v>10126</v>
      </c>
      <c r="NA124" s="16">
        <v>1466</v>
      </c>
      <c r="NB124" s="16">
        <v>7550</v>
      </c>
      <c r="NC124" s="16">
        <v>93</v>
      </c>
      <c r="ND124" s="16">
        <v>28</v>
      </c>
      <c r="NE124" s="16">
        <v>12</v>
      </c>
      <c r="NF124" s="16">
        <v>9812</v>
      </c>
      <c r="NG124" s="16">
        <v>2206</v>
      </c>
      <c r="NH124" s="16">
        <v>210</v>
      </c>
      <c r="NI124" s="16">
        <v>6647</v>
      </c>
      <c r="NJ124" s="16">
        <v>8533</v>
      </c>
      <c r="NK124" s="16">
        <v>3849</v>
      </c>
      <c r="NL124" s="16">
        <v>2988</v>
      </c>
      <c r="NM124" s="16">
        <v>233</v>
      </c>
      <c r="NN124" s="16">
        <v>30</v>
      </c>
      <c r="NO124" s="16">
        <v>0</v>
      </c>
      <c r="NP124" s="16">
        <v>10</v>
      </c>
      <c r="NQ124" s="16">
        <v>13</v>
      </c>
      <c r="NR124" s="17">
        <v>2825515</v>
      </c>
    </row>
    <row r="125" spans="1:382" ht="13.5" customHeight="1" x14ac:dyDescent="0.2">
      <c r="A125" s="2" t="s">
        <v>257</v>
      </c>
      <c r="B125" s="16">
        <v>6</v>
      </c>
      <c r="C125" s="16">
        <v>0</v>
      </c>
      <c r="D125" s="16">
        <v>8</v>
      </c>
      <c r="E125" s="16">
        <v>3</v>
      </c>
      <c r="F125" s="16">
        <v>17</v>
      </c>
      <c r="G125" s="16">
        <v>2</v>
      </c>
      <c r="H125" s="16">
        <v>1</v>
      </c>
      <c r="I125" s="16">
        <v>0</v>
      </c>
      <c r="J125" s="16">
        <v>0</v>
      </c>
      <c r="K125" s="16">
        <v>0</v>
      </c>
      <c r="L125" s="16">
        <v>124</v>
      </c>
      <c r="M125" s="16">
        <v>13</v>
      </c>
      <c r="N125" s="16">
        <v>0</v>
      </c>
      <c r="O125" s="16">
        <v>0</v>
      </c>
      <c r="P125" s="16">
        <v>88</v>
      </c>
      <c r="Q125" s="16">
        <v>573</v>
      </c>
      <c r="R125" s="16">
        <v>130</v>
      </c>
      <c r="S125" s="16">
        <v>12</v>
      </c>
      <c r="T125" s="16">
        <v>6</v>
      </c>
      <c r="U125" s="16">
        <v>58</v>
      </c>
      <c r="V125" s="16">
        <v>15</v>
      </c>
      <c r="W125" s="16">
        <v>0</v>
      </c>
      <c r="X125" s="16">
        <v>18</v>
      </c>
      <c r="Y125" s="16">
        <v>631</v>
      </c>
      <c r="Z125" s="16">
        <v>586</v>
      </c>
      <c r="AA125" s="16">
        <v>2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275</v>
      </c>
      <c r="AH125" s="16">
        <v>119</v>
      </c>
      <c r="AI125" s="16">
        <v>57</v>
      </c>
      <c r="AJ125" s="16">
        <v>138</v>
      </c>
      <c r="AK125" s="16">
        <v>786</v>
      </c>
      <c r="AL125" s="16">
        <v>61</v>
      </c>
      <c r="AM125" s="16">
        <v>244</v>
      </c>
      <c r="AN125" s="16">
        <v>194</v>
      </c>
      <c r="AO125" s="16">
        <v>423</v>
      </c>
      <c r="AP125" s="16">
        <v>0</v>
      </c>
      <c r="AQ125" s="16">
        <v>0</v>
      </c>
      <c r="AR125" s="16">
        <v>0</v>
      </c>
      <c r="AS125" s="16">
        <v>0</v>
      </c>
      <c r="AT125" s="16">
        <v>56</v>
      </c>
      <c r="AU125" s="16">
        <v>111</v>
      </c>
      <c r="AV125" s="16">
        <v>32</v>
      </c>
      <c r="AW125" s="16">
        <v>913</v>
      </c>
      <c r="AX125" s="16">
        <v>20</v>
      </c>
      <c r="AY125" s="16">
        <v>0</v>
      </c>
      <c r="AZ125" s="16">
        <v>532</v>
      </c>
      <c r="BA125" s="16">
        <v>763</v>
      </c>
      <c r="BB125" s="16">
        <v>169</v>
      </c>
      <c r="BC125" s="16">
        <v>171</v>
      </c>
      <c r="BD125" s="16">
        <v>6</v>
      </c>
      <c r="BE125" s="16">
        <v>40</v>
      </c>
      <c r="BF125" s="16">
        <v>93</v>
      </c>
      <c r="BG125" s="16">
        <v>34</v>
      </c>
      <c r="BH125" s="16">
        <v>211</v>
      </c>
      <c r="BI125" s="16">
        <v>0</v>
      </c>
      <c r="BJ125" s="16">
        <v>11</v>
      </c>
      <c r="BK125" s="16">
        <v>35</v>
      </c>
      <c r="BL125" s="16">
        <v>104</v>
      </c>
      <c r="BM125" s="16">
        <v>499</v>
      </c>
      <c r="BN125" s="16">
        <v>472</v>
      </c>
      <c r="BO125" s="16">
        <v>418</v>
      </c>
      <c r="BP125" s="16">
        <v>179</v>
      </c>
      <c r="BQ125" s="16">
        <v>57</v>
      </c>
      <c r="BR125" s="16">
        <v>3</v>
      </c>
      <c r="BS125" s="16">
        <v>1777</v>
      </c>
      <c r="BT125" s="16">
        <v>5</v>
      </c>
      <c r="BU125" s="16">
        <v>2</v>
      </c>
      <c r="BV125" s="16">
        <v>0</v>
      </c>
      <c r="BW125" s="16">
        <v>136</v>
      </c>
      <c r="BX125" s="16">
        <v>7</v>
      </c>
      <c r="BY125" s="16">
        <v>0</v>
      </c>
      <c r="BZ125" s="16">
        <v>1054</v>
      </c>
      <c r="CA125" s="16">
        <v>121</v>
      </c>
      <c r="CB125" s="16">
        <v>20</v>
      </c>
      <c r="CC125" s="16">
        <v>2646</v>
      </c>
      <c r="CD125" s="16">
        <v>150</v>
      </c>
      <c r="CE125" s="16">
        <v>38</v>
      </c>
      <c r="CF125" s="16">
        <v>210</v>
      </c>
      <c r="CG125" s="16">
        <v>74</v>
      </c>
      <c r="CH125" s="16">
        <v>262</v>
      </c>
      <c r="CI125" s="16">
        <v>59</v>
      </c>
      <c r="CJ125" s="16">
        <v>863</v>
      </c>
      <c r="CK125" s="16">
        <v>733</v>
      </c>
      <c r="CL125" s="16">
        <v>5007</v>
      </c>
      <c r="CM125" s="16">
        <v>905</v>
      </c>
      <c r="CN125" s="16">
        <v>4100</v>
      </c>
      <c r="CO125" s="16">
        <v>5863</v>
      </c>
      <c r="CP125" s="16">
        <v>35924</v>
      </c>
      <c r="CQ125" s="16">
        <v>53688</v>
      </c>
      <c r="CR125" s="16">
        <v>52</v>
      </c>
      <c r="CS125" s="16">
        <v>99</v>
      </c>
      <c r="CT125" s="16">
        <v>60</v>
      </c>
      <c r="CU125" s="16">
        <v>156</v>
      </c>
      <c r="CV125" s="16">
        <v>233</v>
      </c>
      <c r="CW125" s="16">
        <v>1511</v>
      </c>
      <c r="CX125" s="16">
        <v>5774</v>
      </c>
      <c r="CY125" s="16">
        <v>69</v>
      </c>
      <c r="CZ125" s="16">
        <v>182</v>
      </c>
      <c r="DA125" s="16">
        <v>3</v>
      </c>
      <c r="DB125" s="16">
        <v>51</v>
      </c>
      <c r="DC125" s="16">
        <v>9</v>
      </c>
      <c r="DD125" s="16">
        <v>74</v>
      </c>
      <c r="DE125" s="16">
        <v>18</v>
      </c>
      <c r="DF125" s="16">
        <v>354</v>
      </c>
      <c r="DG125" s="16">
        <v>374</v>
      </c>
      <c r="DH125" s="16">
        <v>113</v>
      </c>
      <c r="DI125" s="16">
        <v>45</v>
      </c>
      <c r="DJ125" s="16">
        <v>2450</v>
      </c>
      <c r="DK125" s="16">
        <v>324</v>
      </c>
      <c r="DL125" s="16">
        <v>102</v>
      </c>
      <c r="DM125" s="16">
        <v>602</v>
      </c>
      <c r="DN125" s="16">
        <v>64</v>
      </c>
      <c r="DO125" s="16">
        <v>58</v>
      </c>
      <c r="DP125" s="16">
        <v>723</v>
      </c>
      <c r="DQ125" s="16">
        <v>3277</v>
      </c>
      <c r="DR125" s="16">
        <v>65</v>
      </c>
      <c r="DS125" s="16">
        <v>845</v>
      </c>
      <c r="DT125" s="16">
        <v>44</v>
      </c>
      <c r="DU125" s="16">
        <v>202029</v>
      </c>
      <c r="DV125" s="16">
        <v>11275</v>
      </c>
      <c r="DW125" s="16">
        <v>3564</v>
      </c>
      <c r="DX125" s="16">
        <v>6144</v>
      </c>
      <c r="DY125" s="16">
        <v>4488</v>
      </c>
      <c r="DZ125" s="16">
        <v>14097</v>
      </c>
      <c r="EA125" s="16">
        <v>13796</v>
      </c>
      <c r="EB125" s="16">
        <v>34</v>
      </c>
      <c r="EC125" s="16">
        <v>303</v>
      </c>
      <c r="ED125" s="16">
        <v>52</v>
      </c>
      <c r="EE125" s="16">
        <v>0</v>
      </c>
      <c r="EF125" s="16">
        <v>23</v>
      </c>
      <c r="EG125" s="16">
        <v>1128</v>
      </c>
      <c r="EH125" s="16">
        <v>85</v>
      </c>
      <c r="EI125" s="16">
        <v>37</v>
      </c>
      <c r="EJ125" s="16">
        <v>16</v>
      </c>
      <c r="EK125" s="16">
        <v>27</v>
      </c>
      <c r="EL125" s="16">
        <v>11</v>
      </c>
      <c r="EM125" s="16">
        <v>21</v>
      </c>
      <c r="EN125" s="16">
        <v>1376</v>
      </c>
      <c r="EO125" s="16">
        <v>543</v>
      </c>
      <c r="EP125" s="16">
        <v>42</v>
      </c>
      <c r="EQ125" s="16">
        <v>102</v>
      </c>
      <c r="ER125" s="16">
        <v>33</v>
      </c>
      <c r="ES125" s="16">
        <v>20</v>
      </c>
      <c r="ET125" s="16">
        <v>162</v>
      </c>
      <c r="EU125" s="16">
        <v>0</v>
      </c>
      <c r="EV125" s="16">
        <v>0</v>
      </c>
      <c r="EW125" s="16">
        <v>5</v>
      </c>
      <c r="EX125" s="16">
        <v>3178</v>
      </c>
      <c r="EY125" s="16">
        <v>191</v>
      </c>
      <c r="EZ125" s="16">
        <v>13</v>
      </c>
      <c r="FA125" s="16">
        <v>34</v>
      </c>
      <c r="FB125" s="16">
        <v>191</v>
      </c>
      <c r="FC125" s="16">
        <v>4</v>
      </c>
      <c r="FD125" s="16">
        <v>2223</v>
      </c>
      <c r="FE125" s="16">
        <v>426</v>
      </c>
      <c r="FF125" s="16">
        <v>85</v>
      </c>
      <c r="FG125" s="16">
        <v>1057</v>
      </c>
      <c r="FH125" s="16">
        <v>1</v>
      </c>
      <c r="FI125" s="16">
        <v>68</v>
      </c>
      <c r="FJ125" s="16">
        <v>32</v>
      </c>
      <c r="FK125" s="16">
        <v>412</v>
      </c>
      <c r="FL125" s="16">
        <v>8</v>
      </c>
      <c r="FM125" s="16">
        <v>280</v>
      </c>
      <c r="FN125" s="16">
        <v>900</v>
      </c>
      <c r="FO125" s="16">
        <v>194</v>
      </c>
      <c r="FP125" s="16">
        <v>734</v>
      </c>
      <c r="FQ125" s="16">
        <v>2522</v>
      </c>
      <c r="FR125" s="16">
        <v>1153</v>
      </c>
      <c r="FS125" s="16">
        <v>957</v>
      </c>
      <c r="FT125" s="16">
        <v>242</v>
      </c>
      <c r="FU125" s="16">
        <v>2195</v>
      </c>
      <c r="FV125" s="16">
        <v>2564</v>
      </c>
      <c r="FW125" s="16">
        <v>1179</v>
      </c>
      <c r="FX125" s="16">
        <v>1722</v>
      </c>
      <c r="FY125" s="16">
        <v>91</v>
      </c>
      <c r="FZ125" s="16">
        <v>1557</v>
      </c>
      <c r="GA125" s="16">
        <v>286</v>
      </c>
      <c r="GB125" s="16">
        <v>3809</v>
      </c>
      <c r="GC125" s="16">
        <v>5106</v>
      </c>
      <c r="GD125" s="16">
        <v>1326</v>
      </c>
      <c r="GE125" s="16">
        <v>7032</v>
      </c>
      <c r="GF125" s="16">
        <v>137369</v>
      </c>
      <c r="GG125" s="16">
        <v>5789</v>
      </c>
      <c r="GH125" s="16">
        <v>27861</v>
      </c>
      <c r="GI125" s="16">
        <v>223476</v>
      </c>
      <c r="GJ125" s="16">
        <v>3380</v>
      </c>
      <c r="GK125" s="16">
        <v>68179</v>
      </c>
      <c r="GL125" s="16">
        <v>50</v>
      </c>
      <c r="GM125" s="16">
        <v>9458</v>
      </c>
      <c r="GN125" s="16">
        <v>379</v>
      </c>
      <c r="GO125" s="16">
        <v>725</v>
      </c>
      <c r="GP125" s="16">
        <v>258</v>
      </c>
      <c r="GQ125" s="16">
        <v>8440</v>
      </c>
      <c r="GR125" s="16">
        <v>24</v>
      </c>
      <c r="GS125" s="16">
        <v>45</v>
      </c>
      <c r="GT125" s="16">
        <v>41</v>
      </c>
      <c r="GU125" s="16">
        <v>116</v>
      </c>
      <c r="GV125" s="16">
        <v>1503</v>
      </c>
      <c r="GW125" s="16">
        <v>284</v>
      </c>
      <c r="GX125" s="16">
        <v>169</v>
      </c>
      <c r="GY125" s="16">
        <v>2</v>
      </c>
      <c r="GZ125" s="16">
        <v>551</v>
      </c>
      <c r="HA125" s="16">
        <v>15</v>
      </c>
      <c r="HB125" s="16">
        <v>41</v>
      </c>
      <c r="HC125" s="16">
        <v>386</v>
      </c>
      <c r="HD125" s="16">
        <v>632</v>
      </c>
      <c r="HE125" s="16">
        <v>77</v>
      </c>
      <c r="HF125" s="16">
        <v>3913</v>
      </c>
      <c r="HG125" s="16">
        <v>77</v>
      </c>
      <c r="HH125" s="16">
        <v>23</v>
      </c>
      <c r="HI125" s="16">
        <v>178</v>
      </c>
      <c r="HJ125" s="16">
        <v>82</v>
      </c>
      <c r="HK125" s="16">
        <v>125</v>
      </c>
      <c r="HL125" s="16">
        <v>6007</v>
      </c>
      <c r="HM125" s="16">
        <v>460</v>
      </c>
      <c r="HN125" s="16">
        <v>447</v>
      </c>
      <c r="HO125" s="16">
        <v>372</v>
      </c>
      <c r="HP125" s="16">
        <v>173</v>
      </c>
      <c r="HQ125" s="16">
        <v>567</v>
      </c>
      <c r="HR125" s="16">
        <v>1256</v>
      </c>
      <c r="HS125" s="16">
        <v>382</v>
      </c>
      <c r="HT125" s="16">
        <v>693</v>
      </c>
      <c r="HU125" s="16">
        <v>515</v>
      </c>
      <c r="HV125" s="16">
        <v>100</v>
      </c>
      <c r="HW125" s="16">
        <v>357</v>
      </c>
      <c r="HX125" s="16">
        <v>161</v>
      </c>
      <c r="HY125" s="16">
        <v>677</v>
      </c>
      <c r="HZ125" s="16">
        <v>983</v>
      </c>
      <c r="IA125" s="16">
        <v>437</v>
      </c>
      <c r="IB125" s="16">
        <v>24</v>
      </c>
      <c r="IC125" s="16">
        <v>38</v>
      </c>
      <c r="ID125" s="16">
        <v>86</v>
      </c>
      <c r="IE125" s="16">
        <v>15</v>
      </c>
      <c r="IF125" s="16">
        <v>73</v>
      </c>
      <c r="IG125" s="16">
        <v>420</v>
      </c>
      <c r="IH125" s="16">
        <v>170</v>
      </c>
      <c r="II125" s="16">
        <v>23</v>
      </c>
      <c r="IJ125" s="16">
        <v>3</v>
      </c>
      <c r="IK125" s="16">
        <v>11</v>
      </c>
      <c r="IL125" s="16">
        <v>9</v>
      </c>
      <c r="IM125" s="16">
        <v>5</v>
      </c>
      <c r="IN125" s="16">
        <v>337</v>
      </c>
      <c r="IO125" s="16">
        <v>352</v>
      </c>
      <c r="IP125" s="16">
        <v>10</v>
      </c>
      <c r="IQ125" s="16">
        <v>11</v>
      </c>
      <c r="IR125" s="16">
        <v>16</v>
      </c>
      <c r="IS125" s="16">
        <v>37</v>
      </c>
      <c r="IT125" s="16">
        <v>12</v>
      </c>
      <c r="IU125" s="16">
        <v>8</v>
      </c>
      <c r="IV125" s="16">
        <v>495</v>
      </c>
      <c r="IW125" s="16">
        <v>455</v>
      </c>
      <c r="IX125" s="16">
        <v>93</v>
      </c>
      <c r="IY125" s="16">
        <v>122</v>
      </c>
      <c r="IZ125" s="16">
        <v>6</v>
      </c>
      <c r="JA125" s="16">
        <v>226</v>
      </c>
      <c r="JB125" s="16">
        <v>143</v>
      </c>
      <c r="JC125" s="16">
        <v>4529</v>
      </c>
      <c r="JD125" s="16">
        <v>7</v>
      </c>
      <c r="JE125" s="16">
        <v>425</v>
      </c>
      <c r="JF125" s="16">
        <v>393</v>
      </c>
      <c r="JG125" s="16">
        <v>30402</v>
      </c>
      <c r="JH125" s="16">
        <v>117</v>
      </c>
      <c r="JI125" s="16">
        <v>317</v>
      </c>
      <c r="JJ125" s="16">
        <v>13</v>
      </c>
      <c r="JK125" s="16">
        <v>34</v>
      </c>
      <c r="JL125" s="16">
        <v>17</v>
      </c>
      <c r="JM125" s="16">
        <v>3</v>
      </c>
      <c r="JN125" s="16">
        <v>20</v>
      </c>
      <c r="JO125" s="16">
        <v>10</v>
      </c>
      <c r="JP125" s="16">
        <v>735</v>
      </c>
      <c r="JQ125" s="16">
        <v>205</v>
      </c>
      <c r="JR125" s="16">
        <v>1798</v>
      </c>
      <c r="JS125" s="16">
        <v>767</v>
      </c>
      <c r="JT125" s="16">
        <v>0</v>
      </c>
      <c r="JU125" s="16">
        <v>3488</v>
      </c>
      <c r="JV125" s="16">
        <v>2549</v>
      </c>
      <c r="JW125" s="16">
        <v>937</v>
      </c>
      <c r="JX125" s="16">
        <v>1124</v>
      </c>
      <c r="JY125" s="16">
        <v>937</v>
      </c>
      <c r="JZ125" s="16">
        <v>59</v>
      </c>
      <c r="KA125" s="16">
        <v>248</v>
      </c>
      <c r="KB125" s="16">
        <v>28</v>
      </c>
      <c r="KC125" s="16">
        <v>86</v>
      </c>
      <c r="KD125" s="16">
        <v>4</v>
      </c>
      <c r="KE125" s="16">
        <v>6</v>
      </c>
      <c r="KF125" s="16">
        <v>252</v>
      </c>
      <c r="KG125" s="16">
        <v>46</v>
      </c>
      <c r="KH125" s="16">
        <v>18</v>
      </c>
      <c r="KI125" s="16">
        <v>83</v>
      </c>
      <c r="KJ125" s="16">
        <v>8</v>
      </c>
      <c r="KK125" s="16">
        <v>49071</v>
      </c>
      <c r="KL125" s="16">
        <v>10</v>
      </c>
      <c r="KM125" s="16">
        <v>208</v>
      </c>
      <c r="KN125" s="16">
        <v>122</v>
      </c>
      <c r="KO125" s="16">
        <v>649</v>
      </c>
      <c r="KP125" s="16">
        <v>17</v>
      </c>
      <c r="KQ125" s="16">
        <v>1</v>
      </c>
      <c r="KR125" s="16">
        <v>5935</v>
      </c>
      <c r="KS125" s="16">
        <v>11</v>
      </c>
      <c r="KT125" s="16">
        <v>271</v>
      </c>
      <c r="KU125" s="16">
        <v>2289</v>
      </c>
      <c r="KV125" s="16">
        <v>6548</v>
      </c>
      <c r="KW125" s="16">
        <v>4916</v>
      </c>
      <c r="KX125" s="16">
        <v>104</v>
      </c>
      <c r="KY125" s="16">
        <v>12278</v>
      </c>
      <c r="KZ125" s="16">
        <v>20322</v>
      </c>
      <c r="LA125" s="16">
        <v>2099</v>
      </c>
      <c r="LB125" s="16">
        <v>78</v>
      </c>
      <c r="LC125" s="16">
        <v>306</v>
      </c>
      <c r="LD125" s="16">
        <v>5867</v>
      </c>
      <c r="LE125" s="16">
        <v>1013</v>
      </c>
      <c r="LF125" s="16">
        <v>440</v>
      </c>
      <c r="LG125" s="16">
        <v>151</v>
      </c>
      <c r="LH125" s="16">
        <v>1390</v>
      </c>
      <c r="LI125" s="16">
        <v>64</v>
      </c>
      <c r="LJ125" s="16">
        <v>2333</v>
      </c>
      <c r="LK125" s="16">
        <v>10615</v>
      </c>
      <c r="LL125" s="16">
        <v>1804</v>
      </c>
      <c r="LM125" s="16">
        <v>12121</v>
      </c>
      <c r="LN125" s="16">
        <v>12897</v>
      </c>
      <c r="LO125" s="16">
        <v>17171</v>
      </c>
      <c r="LP125" s="16">
        <v>12136</v>
      </c>
      <c r="LQ125" s="16">
        <v>15</v>
      </c>
      <c r="LR125" s="16">
        <v>1631</v>
      </c>
      <c r="LS125" s="16">
        <v>109</v>
      </c>
      <c r="LT125" s="16">
        <v>6011</v>
      </c>
      <c r="LU125" s="16">
        <v>1959</v>
      </c>
      <c r="LV125" s="16">
        <v>18</v>
      </c>
      <c r="LW125" s="16">
        <v>1899</v>
      </c>
      <c r="LX125" s="16">
        <v>4061</v>
      </c>
      <c r="LY125" s="16">
        <v>0</v>
      </c>
      <c r="LZ125" s="16">
        <v>1913</v>
      </c>
      <c r="MA125" s="16">
        <v>5934</v>
      </c>
      <c r="MB125" s="16">
        <v>13397</v>
      </c>
      <c r="MC125" s="16">
        <v>5731</v>
      </c>
      <c r="MD125" s="16">
        <v>5248</v>
      </c>
      <c r="ME125" s="16">
        <v>294</v>
      </c>
      <c r="MF125" s="16">
        <v>15982</v>
      </c>
      <c r="MG125" s="16">
        <v>19039</v>
      </c>
      <c r="MH125" s="16">
        <v>46874</v>
      </c>
      <c r="MI125" s="16">
        <v>35339</v>
      </c>
      <c r="MJ125" s="16">
        <v>8372</v>
      </c>
      <c r="MK125" s="16">
        <v>18648</v>
      </c>
      <c r="ML125" s="16">
        <v>11104</v>
      </c>
      <c r="MM125" s="16">
        <v>232109</v>
      </c>
      <c r="MN125" s="16">
        <v>11042</v>
      </c>
      <c r="MO125" s="16">
        <v>3492</v>
      </c>
      <c r="MP125" s="16">
        <v>18279</v>
      </c>
      <c r="MQ125" s="16">
        <v>2304</v>
      </c>
      <c r="MR125" s="16">
        <v>19029</v>
      </c>
      <c r="MS125" s="16">
        <v>4413</v>
      </c>
      <c r="MT125" s="16">
        <v>1358</v>
      </c>
      <c r="MU125" s="16">
        <v>3226</v>
      </c>
      <c r="MV125" s="16">
        <v>5398</v>
      </c>
      <c r="MW125" s="16">
        <v>19930</v>
      </c>
      <c r="MX125" s="16">
        <v>358</v>
      </c>
      <c r="MY125" s="16">
        <v>24281</v>
      </c>
      <c r="MZ125" s="16">
        <v>32593</v>
      </c>
      <c r="NA125" s="16">
        <v>43200</v>
      </c>
      <c r="NB125" s="16">
        <v>19315</v>
      </c>
      <c r="NC125" s="16">
        <v>10635</v>
      </c>
      <c r="ND125" s="16">
        <v>7138</v>
      </c>
      <c r="NE125" s="16">
        <v>78</v>
      </c>
      <c r="NF125" s="16">
        <v>6762</v>
      </c>
      <c r="NG125" s="16">
        <v>8896</v>
      </c>
      <c r="NH125" s="16">
        <v>701</v>
      </c>
      <c r="NI125" s="16">
        <v>10290</v>
      </c>
      <c r="NJ125" s="16">
        <v>19638</v>
      </c>
      <c r="NK125" s="16">
        <v>128</v>
      </c>
      <c r="NL125" s="16">
        <v>29</v>
      </c>
      <c r="NM125" s="16">
        <v>1068</v>
      </c>
      <c r="NN125" s="16">
        <v>175</v>
      </c>
      <c r="NO125" s="16">
        <v>0</v>
      </c>
      <c r="NP125" s="16">
        <v>405</v>
      </c>
      <c r="NQ125" s="16">
        <v>1825</v>
      </c>
      <c r="NR125" s="17">
        <v>1897089</v>
      </c>
    </row>
    <row r="126" spans="1:382" ht="13.5" customHeight="1" x14ac:dyDescent="0.2">
      <c r="A126" s="2" t="s">
        <v>259</v>
      </c>
      <c r="B126" s="16">
        <v>11</v>
      </c>
      <c r="C126" s="16">
        <v>0</v>
      </c>
      <c r="D126" s="16">
        <v>5</v>
      </c>
      <c r="E126" s="16">
        <v>1</v>
      </c>
      <c r="F126" s="16">
        <v>13</v>
      </c>
      <c r="G126" s="16">
        <v>8</v>
      </c>
      <c r="H126" s="16">
        <v>1</v>
      </c>
      <c r="I126" s="16">
        <v>0</v>
      </c>
      <c r="J126" s="16">
        <v>0</v>
      </c>
      <c r="K126" s="16">
        <v>0</v>
      </c>
      <c r="L126" s="16">
        <v>231</v>
      </c>
      <c r="M126" s="16">
        <v>0</v>
      </c>
      <c r="N126" s="16">
        <v>0</v>
      </c>
      <c r="O126" s="16">
        <v>1</v>
      </c>
      <c r="P126" s="16">
        <v>467</v>
      </c>
      <c r="Q126" s="16">
        <v>1496</v>
      </c>
      <c r="R126" s="16">
        <v>165</v>
      </c>
      <c r="S126" s="16">
        <v>168</v>
      </c>
      <c r="T126" s="16">
        <v>21</v>
      </c>
      <c r="U126" s="16">
        <v>43</v>
      </c>
      <c r="V126" s="16">
        <v>26</v>
      </c>
      <c r="W126" s="16">
        <v>57</v>
      </c>
      <c r="X126" s="16">
        <v>370</v>
      </c>
      <c r="Y126" s="16">
        <v>4978</v>
      </c>
      <c r="Z126" s="16">
        <v>514</v>
      </c>
      <c r="AA126" s="16">
        <v>1295</v>
      </c>
      <c r="AB126" s="16">
        <v>0</v>
      </c>
      <c r="AC126" s="16">
        <v>0</v>
      </c>
      <c r="AD126" s="16">
        <v>0</v>
      </c>
      <c r="AE126" s="16">
        <v>1609</v>
      </c>
      <c r="AF126" s="16">
        <v>1277</v>
      </c>
      <c r="AG126" s="16">
        <v>66049</v>
      </c>
      <c r="AH126" s="16">
        <v>76485</v>
      </c>
      <c r="AI126" s="16">
        <v>11648</v>
      </c>
      <c r="AJ126" s="16">
        <v>3216</v>
      </c>
      <c r="AK126" s="16">
        <v>7072</v>
      </c>
      <c r="AL126" s="16">
        <v>2714</v>
      </c>
      <c r="AM126" s="16">
        <v>37508</v>
      </c>
      <c r="AN126" s="16">
        <v>12287</v>
      </c>
      <c r="AO126" s="16">
        <v>66115</v>
      </c>
      <c r="AP126" s="16">
        <v>0</v>
      </c>
      <c r="AQ126" s="16">
        <v>0</v>
      </c>
      <c r="AR126" s="16">
        <v>0</v>
      </c>
      <c r="AS126" s="16">
        <v>1906</v>
      </c>
      <c r="AT126" s="16">
        <v>3616</v>
      </c>
      <c r="AU126" s="16">
        <v>28949</v>
      </c>
      <c r="AV126" s="16">
        <v>25504</v>
      </c>
      <c r="AW126" s="16">
        <v>59581</v>
      </c>
      <c r="AX126" s="16">
        <v>8633</v>
      </c>
      <c r="AY126" s="16">
        <v>109843</v>
      </c>
      <c r="AZ126" s="16">
        <v>13709</v>
      </c>
      <c r="BA126" s="16">
        <v>31409</v>
      </c>
      <c r="BB126" s="16">
        <v>18738</v>
      </c>
      <c r="BC126" s="16">
        <v>12032</v>
      </c>
      <c r="BD126" s="16">
        <v>830</v>
      </c>
      <c r="BE126" s="16">
        <v>2581</v>
      </c>
      <c r="BF126" s="16">
        <v>13814</v>
      </c>
      <c r="BG126" s="16">
        <v>838</v>
      </c>
      <c r="BH126" s="16">
        <v>18366</v>
      </c>
      <c r="BI126" s="16">
        <v>126688</v>
      </c>
      <c r="BJ126" s="16">
        <v>1268</v>
      </c>
      <c r="BK126" s="16">
        <v>1783</v>
      </c>
      <c r="BL126" s="16">
        <v>26189</v>
      </c>
      <c r="BM126" s="16">
        <v>11146</v>
      </c>
      <c r="BN126" s="16">
        <v>7494</v>
      </c>
      <c r="BO126" s="16">
        <v>60910</v>
      </c>
      <c r="BP126" s="16">
        <v>9493</v>
      </c>
      <c r="BQ126" s="16">
        <v>18791</v>
      </c>
      <c r="BR126" s="16">
        <v>192</v>
      </c>
      <c r="BS126" s="16">
        <v>10529</v>
      </c>
      <c r="BT126" s="16">
        <v>2663</v>
      </c>
      <c r="BU126" s="16">
        <v>26</v>
      </c>
      <c r="BV126" s="16">
        <v>27</v>
      </c>
      <c r="BW126" s="16">
        <v>1001</v>
      </c>
      <c r="BX126" s="16">
        <v>31978</v>
      </c>
      <c r="BY126" s="16">
        <v>7</v>
      </c>
      <c r="BZ126" s="16">
        <v>7808</v>
      </c>
      <c r="CA126" s="16">
        <v>5166</v>
      </c>
      <c r="CB126" s="16">
        <v>3377</v>
      </c>
      <c r="CC126" s="16">
        <v>31232</v>
      </c>
      <c r="CD126" s="16">
        <v>3380</v>
      </c>
      <c r="CE126" s="16">
        <v>15593</v>
      </c>
      <c r="CF126" s="16">
        <v>24545</v>
      </c>
      <c r="CG126" s="16">
        <v>266</v>
      </c>
      <c r="CH126" s="16">
        <v>2166</v>
      </c>
      <c r="CI126" s="16">
        <v>24245</v>
      </c>
      <c r="CJ126" s="16">
        <v>108761</v>
      </c>
      <c r="CK126" s="16">
        <v>103275</v>
      </c>
      <c r="CL126" s="16">
        <v>4155</v>
      </c>
      <c r="CM126" s="16">
        <v>5794</v>
      </c>
      <c r="CN126" s="16">
        <v>8900</v>
      </c>
      <c r="CO126" s="16">
        <v>22387</v>
      </c>
      <c r="CP126" s="16">
        <v>42694</v>
      </c>
      <c r="CQ126" s="16">
        <v>41989</v>
      </c>
      <c r="CR126" s="16">
        <v>6465</v>
      </c>
      <c r="CS126" s="16">
        <v>24341</v>
      </c>
      <c r="CT126" s="16">
        <v>31279</v>
      </c>
      <c r="CU126" s="16">
        <v>44674</v>
      </c>
      <c r="CV126" s="16">
        <v>101852</v>
      </c>
      <c r="CW126" s="16">
        <v>91200</v>
      </c>
      <c r="CX126" s="16">
        <v>113162</v>
      </c>
      <c r="CY126" s="16">
        <v>30666</v>
      </c>
      <c r="CZ126" s="16">
        <v>177661</v>
      </c>
      <c r="DA126" s="16">
        <v>47810</v>
      </c>
      <c r="DB126" s="16">
        <v>158805</v>
      </c>
      <c r="DC126" s="16">
        <v>30029</v>
      </c>
      <c r="DD126" s="16">
        <v>21914</v>
      </c>
      <c r="DE126" s="16">
        <v>3477</v>
      </c>
      <c r="DF126" s="16">
        <v>119098</v>
      </c>
      <c r="DG126" s="16">
        <v>64720</v>
      </c>
      <c r="DH126" s="16">
        <v>176130</v>
      </c>
      <c r="DI126" s="16">
        <v>26302</v>
      </c>
      <c r="DJ126" s="16">
        <v>647948</v>
      </c>
      <c r="DK126" s="16">
        <v>53209</v>
      </c>
      <c r="DL126" s="16">
        <v>37055</v>
      </c>
      <c r="DM126" s="16">
        <v>90034</v>
      </c>
      <c r="DN126" s="16">
        <v>41148</v>
      </c>
      <c r="DO126" s="16">
        <v>21748</v>
      </c>
      <c r="DP126" s="16">
        <v>212825</v>
      </c>
      <c r="DQ126" s="16">
        <v>31028</v>
      </c>
      <c r="DR126" s="16">
        <v>112316</v>
      </c>
      <c r="DS126" s="16">
        <v>819213</v>
      </c>
      <c r="DT126" s="16">
        <v>31786</v>
      </c>
      <c r="DU126" s="16">
        <v>89068</v>
      </c>
      <c r="DV126" s="16">
        <v>580079</v>
      </c>
      <c r="DW126" s="16">
        <v>195688</v>
      </c>
      <c r="DX126" s="16">
        <v>93559</v>
      </c>
      <c r="DY126" s="16">
        <v>105478</v>
      </c>
      <c r="DZ126" s="16">
        <v>290879</v>
      </c>
      <c r="EA126" s="16">
        <v>160499</v>
      </c>
      <c r="EB126" s="16">
        <v>63557</v>
      </c>
      <c r="EC126" s="16">
        <v>84758</v>
      </c>
      <c r="ED126" s="16">
        <v>9848</v>
      </c>
      <c r="EE126" s="16">
        <v>1366</v>
      </c>
      <c r="EF126" s="16">
        <v>1952</v>
      </c>
      <c r="EG126" s="16">
        <v>40659</v>
      </c>
      <c r="EH126" s="16">
        <v>19834</v>
      </c>
      <c r="EI126" s="16">
        <v>3914</v>
      </c>
      <c r="EJ126" s="16">
        <v>11890</v>
      </c>
      <c r="EK126" s="16">
        <v>24636</v>
      </c>
      <c r="EL126" s="16">
        <v>3015</v>
      </c>
      <c r="EM126" s="16">
        <v>6635</v>
      </c>
      <c r="EN126" s="16">
        <v>241901</v>
      </c>
      <c r="EO126" s="16">
        <v>108761</v>
      </c>
      <c r="EP126" s="16">
        <v>2891</v>
      </c>
      <c r="EQ126" s="16">
        <v>2585</v>
      </c>
      <c r="ER126" s="16">
        <v>15434</v>
      </c>
      <c r="ES126" s="16">
        <v>3799</v>
      </c>
      <c r="ET126" s="16">
        <v>22530</v>
      </c>
      <c r="EU126" s="16">
        <v>188</v>
      </c>
      <c r="EV126" s="16">
        <v>49306</v>
      </c>
      <c r="EW126" s="16">
        <v>7802</v>
      </c>
      <c r="EX126" s="16">
        <v>27487</v>
      </c>
      <c r="EY126" s="16">
        <v>3124</v>
      </c>
      <c r="EZ126" s="16">
        <v>6390</v>
      </c>
      <c r="FA126" s="16">
        <v>10886</v>
      </c>
      <c r="FB126" s="16">
        <v>11156</v>
      </c>
      <c r="FC126" s="16">
        <v>7318</v>
      </c>
      <c r="FD126" s="16">
        <v>53890</v>
      </c>
      <c r="FE126" s="16">
        <v>9310</v>
      </c>
      <c r="FF126" s="16">
        <v>83127</v>
      </c>
      <c r="FG126" s="16">
        <v>72745</v>
      </c>
      <c r="FH126" s="16">
        <v>81</v>
      </c>
      <c r="FI126" s="16">
        <v>56922</v>
      </c>
      <c r="FJ126" s="16">
        <v>5818</v>
      </c>
      <c r="FK126" s="16">
        <v>574882</v>
      </c>
      <c r="FL126" s="16">
        <v>63915</v>
      </c>
      <c r="FM126" s="16">
        <v>94692</v>
      </c>
      <c r="FN126" s="16">
        <v>15919</v>
      </c>
      <c r="FO126" s="16">
        <v>11139</v>
      </c>
      <c r="FP126" s="16">
        <v>37551</v>
      </c>
      <c r="FQ126" s="16">
        <v>20612</v>
      </c>
      <c r="FR126" s="16">
        <v>8342</v>
      </c>
      <c r="FS126" s="16">
        <v>10540</v>
      </c>
      <c r="FT126" s="16">
        <v>796</v>
      </c>
      <c r="FU126" s="16">
        <v>43805</v>
      </c>
      <c r="FV126" s="16">
        <v>16497</v>
      </c>
      <c r="FW126" s="16">
        <v>1328614</v>
      </c>
      <c r="FX126" s="16">
        <v>36844</v>
      </c>
      <c r="FY126" s="16">
        <v>4228</v>
      </c>
      <c r="FZ126" s="16">
        <v>24667</v>
      </c>
      <c r="GA126" s="16">
        <v>29919</v>
      </c>
      <c r="GB126" s="16">
        <v>54195</v>
      </c>
      <c r="GC126" s="16">
        <v>26061</v>
      </c>
      <c r="GD126" s="16">
        <v>18814</v>
      </c>
      <c r="GE126" s="16">
        <v>311009</v>
      </c>
      <c r="GF126" s="16">
        <v>2325126</v>
      </c>
      <c r="GG126" s="16">
        <v>265547</v>
      </c>
      <c r="GH126" s="16">
        <v>347399</v>
      </c>
      <c r="GI126" s="16">
        <v>167404</v>
      </c>
      <c r="GJ126" s="16">
        <v>143049</v>
      </c>
      <c r="GK126" s="16">
        <v>59016</v>
      </c>
      <c r="GL126" s="16">
        <v>53</v>
      </c>
      <c r="GM126" s="16">
        <v>84018</v>
      </c>
      <c r="GN126" s="16">
        <v>2656</v>
      </c>
      <c r="GO126" s="16">
        <v>1844</v>
      </c>
      <c r="GP126" s="16">
        <v>4040</v>
      </c>
      <c r="GQ126" s="16">
        <v>2711</v>
      </c>
      <c r="GR126" s="16">
        <v>3312</v>
      </c>
      <c r="GS126" s="16">
        <v>6187</v>
      </c>
      <c r="GT126" s="16">
        <v>3384</v>
      </c>
      <c r="GU126" s="16">
        <v>10206</v>
      </c>
      <c r="GV126" s="16">
        <v>5138</v>
      </c>
      <c r="GW126" s="16">
        <v>1709</v>
      </c>
      <c r="GX126" s="16">
        <v>20181</v>
      </c>
      <c r="GY126" s="16">
        <v>89</v>
      </c>
      <c r="GZ126" s="16">
        <v>31680</v>
      </c>
      <c r="HA126" s="16">
        <v>15584</v>
      </c>
      <c r="HB126" s="16">
        <v>7682</v>
      </c>
      <c r="HC126" s="16">
        <v>23976</v>
      </c>
      <c r="HD126" s="16">
        <v>44141</v>
      </c>
      <c r="HE126" s="16">
        <v>1363644</v>
      </c>
      <c r="HF126" s="16">
        <v>48170</v>
      </c>
      <c r="HG126" s="16">
        <v>14096</v>
      </c>
      <c r="HH126" s="16">
        <v>516</v>
      </c>
      <c r="HI126" s="16">
        <v>11593</v>
      </c>
      <c r="HJ126" s="16">
        <v>6589</v>
      </c>
      <c r="HK126" s="16">
        <v>9666</v>
      </c>
      <c r="HL126" s="16">
        <v>43121</v>
      </c>
      <c r="HM126" s="16">
        <v>2044</v>
      </c>
      <c r="HN126" s="16">
        <v>4666</v>
      </c>
      <c r="HO126" s="16">
        <v>2587</v>
      </c>
      <c r="HP126" s="16">
        <v>12207</v>
      </c>
      <c r="HQ126" s="16">
        <v>9770</v>
      </c>
      <c r="HR126" s="16">
        <v>17630</v>
      </c>
      <c r="HS126" s="16">
        <v>29811</v>
      </c>
      <c r="HT126" s="16">
        <v>787</v>
      </c>
      <c r="HU126" s="16">
        <v>6480</v>
      </c>
      <c r="HV126" s="16">
        <v>2912</v>
      </c>
      <c r="HW126" s="16">
        <v>2664</v>
      </c>
      <c r="HX126" s="16">
        <v>12483</v>
      </c>
      <c r="HY126" s="16">
        <v>33355</v>
      </c>
      <c r="HZ126" s="16">
        <v>16237</v>
      </c>
      <c r="IA126" s="16">
        <v>4565</v>
      </c>
      <c r="IB126" s="16">
        <v>655</v>
      </c>
      <c r="IC126" s="16">
        <v>314</v>
      </c>
      <c r="ID126" s="16">
        <v>48003</v>
      </c>
      <c r="IE126" s="16">
        <v>408</v>
      </c>
      <c r="IF126" s="16">
        <v>43157</v>
      </c>
      <c r="IG126" s="16">
        <v>240454</v>
      </c>
      <c r="IH126" s="16">
        <v>1195600</v>
      </c>
      <c r="II126" s="16">
        <v>176158</v>
      </c>
      <c r="IJ126" s="16">
        <v>179092</v>
      </c>
      <c r="IK126" s="16">
        <v>184303</v>
      </c>
      <c r="IL126" s="16">
        <v>75948</v>
      </c>
      <c r="IM126" s="16">
        <v>-12</v>
      </c>
      <c r="IN126" s="16">
        <v>23926</v>
      </c>
      <c r="IO126" s="16">
        <v>68673</v>
      </c>
      <c r="IP126" s="16">
        <v>26606</v>
      </c>
      <c r="IQ126" s="16">
        <v>1576</v>
      </c>
      <c r="IR126" s="16">
        <v>187</v>
      </c>
      <c r="IS126" s="16">
        <v>1326</v>
      </c>
      <c r="IT126" s="16">
        <v>1017</v>
      </c>
      <c r="IU126" s="16">
        <v>29</v>
      </c>
      <c r="IV126" s="16">
        <v>9618</v>
      </c>
      <c r="IW126" s="16">
        <v>4206</v>
      </c>
      <c r="IX126" s="16">
        <v>5484</v>
      </c>
      <c r="IY126" s="16">
        <v>492</v>
      </c>
      <c r="IZ126" s="16">
        <v>39</v>
      </c>
      <c r="JA126" s="16">
        <v>5308</v>
      </c>
      <c r="JB126" s="16">
        <v>706</v>
      </c>
      <c r="JC126" s="16">
        <v>2539</v>
      </c>
      <c r="JD126" s="16">
        <v>7189</v>
      </c>
      <c r="JE126" s="16">
        <v>3034</v>
      </c>
      <c r="JF126" s="16">
        <v>9064</v>
      </c>
      <c r="JG126" s="16">
        <v>99524</v>
      </c>
      <c r="JH126" s="16">
        <v>7605</v>
      </c>
      <c r="JI126" s="16">
        <v>595</v>
      </c>
      <c r="JJ126" s="16">
        <v>1954</v>
      </c>
      <c r="JK126" s="16">
        <v>49952</v>
      </c>
      <c r="JL126" s="16">
        <v>2733</v>
      </c>
      <c r="JM126" s="16">
        <v>32174</v>
      </c>
      <c r="JN126" s="16">
        <v>96394</v>
      </c>
      <c r="JO126" s="16">
        <v>3058</v>
      </c>
      <c r="JP126" s="16">
        <v>88149</v>
      </c>
      <c r="JQ126" s="16">
        <v>286419</v>
      </c>
      <c r="JR126" s="16">
        <v>68542</v>
      </c>
      <c r="JS126" s="16">
        <v>41982</v>
      </c>
      <c r="JT126" s="16">
        <v>0</v>
      </c>
      <c r="JU126" s="16">
        <v>96321</v>
      </c>
      <c r="JV126" s="16">
        <v>6120</v>
      </c>
      <c r="JW126" s="16">
        <v>22365</v>
      </c>
      <c r="JX126" s="16">
        <v>19693</v>
      </c>
      <c r="JY126" s="16">
        <v>5667</v>
      </c>
      <c r="JZ126" s="16">
        <v>7587</v>
      </c>
      <c r="KA126" s="16">
        <v>6447</v>
      </c>
      <c r="KB126" s="16">
        <v>1445</v>
      </c>
      <c r="KC126" s="16">
        <v>3769</v>
      </c>
      <c r="KD126" s="16">
        <v>24313</v>
      </c>
      <c r="KE126" s="16">
        <v>1743</v>
      </c>
      <c r="KF126" s="16">
        <v>8490</v>
      </c>
      <c r="KG126" s="16">
        <v>3407</v>
      </c>
      <c r="KH126" s="16">
        <v>470</v>
      </c>
      <c r="KI126" s="16">
        <v>2231</v>
      </c>
      <c r="KJ126" s="16">
        <v>1678</v>
      </c>
      <c r="KK126" s="16">
        <v>105119</v>
      </c>
      <c r="KL126" s="16">
        <v>45</v>
      </c>
      <c r="KM126" s="16">
        <v>32927</v>
      </c>
      <c r="KN126" s="16">
        <v>17233</v>
      </c>
      <c r="KO126" s="16">
        <v>30955</v>
      </c>
      <c r="KP126" s="16">
        <v>139</v>
      </c>
      <c r="KQ126" s="16">
        <v>1084</v>
      </c>
      <c r="KR126" s="16">
        <v>12586</v>
      </c>
      <c r="KS126" s="16">
        <v>221</v>
      </c>
      <c r="KT126" s="16">
        <v>48</v>
      </c>
      <c r="KU126" s="16">
        <v>3412</v>
      </c>
      <c r="KV126" s="16">
        <v>33571</v>
      </c>
      <c r="KW126" s="16">
        <v>27150</v>
      </c>
      <c r="KX126" s="16">
        <v>50</v>
      </c>
      <c r="KY126" s="16">
        <v>4841</v>
      </c>
      <c r="KZ126" s="16">
        <v>138785</v>
      </c>
      <c r="LA126" s="16">
        <v>24402</v>
      </c>
      <c r="LB126" s="16">
        <v>5670</v>
      </c>
      <c r="LC126" s="16">
        <v>36889</v>
      </c>
      <c r="LD126" s="16">
        <v>39510</v>
      </c>
      <c r="LE126" s="16">
        <v>895</v>
      </c>
      <c r="LF126" s="16">
        <v>316</v>
      </c>
      <c r="LG126" s="16">
        <v>68</v>
      </c>
      <c r="LH126" s="16">
        <v>629</v>
      </c>
      <c r="LI126" s="16">
        <v>59</v>
      </c>
      <c r="LJ126" s="16">
        <v>1144</v>
      </c>
      <c r="LK126" s="16">
        <v>8295</v>
      </c>
      <c r="LL126" s="16">
        <v>1178</v>
      </c>
      <c r="LM126" s="16">
        <v>6800</v>
      </c>
      <c r="LN126" s="16">
        <v>40262</v>
      </c>
      <c r="LO126" s="16">
        <v>4431</v>
      </c>
      <c r="LP126" s="16">
        <v>79934</v>
      </c>
      <c r="LQ126" s="16">
        <v>124</v>
      </c>
      <c r="LR126" s="16">
        <v>758</v>
      </c>
      <c r="LS126" s="16">
        <v>96</v>
      </c>
      <c r="LT126" s="16">
        <v>3281</v>
      </c>
      <c r="LU126" s="16">
        <v>897</v>
      </c>
      <c r="LV126" s="16">
        <v>9</v>
      </c>
      <c r="LW126" s="16">
        <v>941</v>
      </c>
      <c r="LX126" s="16">
        <v>2625</v>
      </c>
      <c r="LY126" s="16">
        <v>-291</v>
      </c>
      <c r="LZ126" s="16">
        <v>3419</v>
      </c>
      <c r="MA126" s="16">
        <v>12585</v>
      </c>
      <c r="MB126" s="16">
        <v>20320</v>
      </c>
      <c r="MC126" s="16">
        <v>209244</v>
      </c>
      <c r="MD126" s="16">
        <v>570444</v>
      </c>
      <c r="ME126" s="16">
        <v>6234</v>
      </c>
      <c r="MF126" s="16">
        <v>315949</v>
      </c>
      <c r="MG126" s="16">
        <v>5391</v>
      </c>
      <c r="MH126" s="16">
        <v>29570</v>
      </c>
      <c r="MI126" s="16">
        <v>13456</v>
      </c>
      <c r="MJ126" s="16">
        <v>12456</v>
      </c>
      <c r="MK126" s="16">
        <v>9756</v>
      </c>
      <c r="ML126" s="16">
        <v>25018</v>
      </c>
      <c r="MM126" s="16">
        <v>346120</v>
      </c>
      <c r="MN126" s="16">
        <v>20449</v>
      </c>
      <c r="MO126" s="16">
        <v>582860</v>
      </c>
      <c r="MP126" s="16">
        <v>21170</v>
      </c>
      <c r="MQ126" s="16">
        <v>476642</v>
      </c>
      <c r="MR126" s="16">
        <v>48808</v>
      </c>
      <c r="MS126" s="16">
        <v>62488</v>
      </c>
      <c r="MT126" s="16">
        <v>4565</v>
      </c>
      <c r="MU126" s="16">
        <v>14995</v>
      </c>
      <c r="MV126" s="16">
        <v>25591</v>
      </c>
      <c r="MW126" s="16">
        <v>108727</v>
      </c>
      <c r="MX126" s="16">
        <v>8135</v>
      </c>
      <c r="MY126" s="16">
        <v>105039</v>
      </c>
      <c r="MZ126" s="16">
        <v>25304</v>
      </c>
      <c r="NA126" s="16">
        <v>14665</v>
      </c>
      <c r="NB126" s="16">
        <v>9404</v>
      </c>
      <c r="NC126" s="16">
        <v>6914</v>
      </c>
      <c r="ND126" s="16">
        <v>17325</v>
      </c>
      <c r="NE126" s="16">
        <v>294</v>
      </c>
      <c r="NF126" s="16">
        <v>15398</v>
      </c>
      <c r="NG126" s="16">
        <v>12526</v>
      </c>
      <c r="NH126" s="16">
        <v>543</v>
      </c>
      <c r="NI126" s="16">
        <v>11766</v>
      </c>
      <c r="NJ126" s="16">
        <v>14753</v>
      </c>
      <c r="NK126" s="16">
        <v>392395</v>
      </c>
      <c r="NL126" s="16">
        <v>7515</v>
      </c>
      <c r="NM126" s="16">
        <v>7399</v>
      </c>
      <c r="NN126" s="16">
        <v>21024</v>
      </c>
      <c r="NO126" s="16">
        <v>0</v>
      </c>
      <c r="NP126" s="16">
        <v>61464</v>
      </c>
      <c r="NQ126" s="16">
        <v>3458</v>
      </c>
      <c r="NR126" s="17">
        <v>22990136</v>
      </c>
    </row>
    <row r="127" spans="1:382" ht="13.5" customHeight="1" x14ac:dyDescent="0.2">
      <c r="A127" s="2" t="s">
        <v>261</v>
      </c>
      <c r="B127" s="16">
        <v>32973</v>
      </c>
      <c r="C127" s="16">
        <v>1001</v>
      </c>
      <c r="D127" s="16">
        <v>2209</v>
      </c>
      <c r="E127" s="16">
        <v>5682</v>
      </c>
      <c r="F127" s="16">
        <v>84752</v>
      </c>
      <c r="G127" s="16">
        <v>5240</v>
      </c>
      <c r="H127" s="16">
        <v>3856</v>
      </c>
      <c r="I127" s="16">
        <v>2077</v>
      </c>
      <c r="J127" s="16">
        <v>1222</v>
      </c>
      <c r="K127" s="16">
        <v>0</v>
      </c>
      <c r="L127" s="16">
        <v>5950</v>
      </c>
      <c r="M127" s="16">
        <v>817</v>
      </c>
      <c r="N127" s="16">
        <v>0</v>
      </c>
      <c r="O127" s="16">
        <v>359</v>
      </c>
      <c r="P127" s="16">
        <v>35219</v>
      </c>
      <c r="Q127" s="16">
        <v>1426</v>
      </c>
      <c r="R127" s="16">
        <v>2861</v>
      </c>
      <c r="S127" s="16">
        <v>554</v>
      </c>
      <c r="T127" s="16">
        <v>21</v>
      </c>
      <c r="U127" s="16">
        <v>2236</v>
      </c>
      <c r="V127" s="16">
        <v>253</v>
      </c>
      <c r="W127" s="16">
        <v>1670</v>
      </c>
      <c r="X127" s="16">
        <v>167</v>
      </c>
      <c r="Y127" s="16">
        <v>15314</v>
      </c>
      <c r="Z127" s="16">
        <v>27</v>
      </c>
      <c r="AA127" s="16">
        <v>244</v>
      </c>
      <c r="AB127" s="16">
        <v>0</v>
      </c>
      <c r="AC127" s="16">
        <v>0</v>
      </c>
      <c r="AD127" s="16">
        <v>0</v>
      </c>
      <c r="AE127" s="16">
        <v>81</v>
      </c>
      <c r="AF127" s="16">
        <v>109</v>
      </c>
      <c r="AG127" s="16">
        <v>569</v>
      </c>
      <c r="AH127" s="16">
        <v>1037</v>
      </c>
      <c r="AI127" s="16">
        <v>235</v>
      </c>
      <c r="AJ127" s="16">
        <v>10208</v>
      </c>
      <c r="AK127" s="16">
        <v>8113</v>
      </c>
      <c r="AL127" s="16">
        <v>10063</v>
      </c>
      <c r="AM127" s="16">
        <v>21496</v>
      </c>
      <c r="AN127" s="16">
        <v>7750</v>
      </c>
      <c r="AO127" s="16">
        <v>46047</v>
      </c>
      <c r="AP127" s="16">
        <v>0</v>
      </c>
      <c r="AQ127" s="16">
        <v>0</v>
      </c>
      <c r="AR127" s="16">
        <v>0</v>
      </c>
      <c r="AS127" s="16">
        <v>1792</v>
      </c>
      <c r="AT127" s="16">
        <v>0</v>
      </c>
      <c r="AU127" s="16">
        <v>24743</v>
      </c>
      <c r="AV127" s="16">
        <v>4757</v>
      </c>
      <c r="AW127" s="16">
        <v>8994</v>
      </c>
      <c r="AX127" s="16">
        <v>319</v>
      </c>
      <c r="AY127" s="16">
        <v>8853</v>
      </c>
      <c r="AZ127" s="16">
        <v>7221</v>
      </c>
      <c r="BA127" s="16">
        <v>6032</v>
      </c>
      <c r="BB127" s="16">
        <v>23005</v>
      </c>
      <c r="BC127" s="16">
        <v>3977</v>
      </c>
      <c r="BD127" s="16">
        <v>0</v>
      </c>
      <c r="BE127" s="16">
        <v>0</v>
      </c>
      <c r="BF127" s="16">
        <v>0</v>
      </c>
      <c r="BG127" s="16">
        <v>1295</v>
      </c>
      <c r="BH127" s="16">
        <v>10172</v>
      </c>
      <c r="BI127" s="16">
        <v>27493</v>
      </c>
      <c r="BJ127" s="16">
        <v>647</v>
      </c>
      <c r="BK127" s="16">
        <v>1630</v>
      </c>
      <c r="BL127" s="16">
        <v>5211</v>
      </c>
      <c r="BM127" s="16">
        <v>3075</v>
      </c>
      <c r="BN127" s="16">
        <v>1491</v>
      </c>
      <c r="BO127" s="16">
        <v>81</v>
      </c>
      <c r="BP127" s="16">
        <v>20772</v>
      </c>
      <c r="BQ127" s="16">
        <v>6291</v>
      </c>
      <c r="BR127" s="16">
        <v>1445</v>
      </c>
      <c r="BS127" s="16">
        <v>40324</v>
      </c>
      <c r="BT127" s="16">
        <v>33</v>
      </c>
      <c r="BU127" s="16">
        <v>871</v>
      </c>
      <c r="BV127" s="16">
        <v>0</v>
      </c>
      <c r="BW127" s="16">
        <v>9102</v>
      </c>
      <c r="BX127" s="16">
        <v>7</v>
      </c>
      <c r="BY127" s="16">
        <v>0</v>
      </c>
      <c r="BZ127" s="16">
        <v>16970</v>
      </c>
      <c r="CA127" s="16">
        <v>32186</v>
      </c>
      <c r="CB127" s="16">
        <v>4066</v>
      </c>
      <c r="CC127" s="16">
        <v>346</v>
      </c>
      <c r="CD127" s="16">
        <v>52034</v>
      </c>
      <c r="CE127" s="16">
        <v>3171</v>
      </c>
      <c r="CF127" s="16">
        <v>252</v>
      </c>
      <c r="CG127" s="16">
        <v>14</v>
      </c>
      <c r="CH127" s="16">
        <v>3028</v>
      </c>
      <c r="CI127" s="16">
        <v>0</v>
      </c>
      <c r="CJ127" s="16">
        <v>1688</v>
      </c>
      <c r="CK127" s="16">
        <v>15972</v>
      </c>
      <c r="CL127" s="16">
        <v>1578</v>
      </c>
      <c r="CM127" s="16">
        <v>3501</v>
      </c>
      <c r="CN127" s="16">
        <v>4128</v>
      </c>
      <c r="CO127" s="16">
        <v>44575</v>
      </c>
      <c r="CP127" s="16">
        <v>25980</v>
      </c>
      <c r="CQ127" s="16">
        <v>74982</v>
      </c>
      <c r="CR127" s="16">
        <v>26</v>
      </c>
      <c r="CS127" s="16">
        <v>476</v>
      </c>
      <c r="CT127" s="16">
        <v>524</v>
      </c>
      <c r="CU127" s="16">
        <v>815</v>
      </c>
      <c r="CV127" s="16">
        <v>4518</v>
      </c>
      <c r="CW127" s="16">
        <v>1635</v>
      </c>
      <c r="CX127" s="16">
        <v>0</v>
      </c>
      <c r="CY127" s="16">
        <v>52</v>
      </c>
      <c r="CZ127" s="16">
        <v>86</v>
      </c>
      <c r="DA127" s="16">
        <v>23</v>
      </c>
      <c r="DB127" s="16">
        <v>29704</v>
      </c>
      <c r="DC127" s="16">
        <v>2588</v>
      </c>
      <c r="DD127" s="16">
        <v>6078</v>
      </c>
      <c r="DE127" s="16">
        <v>9927</v>
      </c>
      <c r="DF127" s="16">
        <v>479</v>
      </c>
      <c r="DG127" s="16">
        <v>0</v>
      </c>
      <c r="DH127" s="16">
        <v>46014</v>
      </c>
      <c r="DI127" s="16">
        <v>734</v>
      </c>
      <c r="DJ127" s="16">
        <v>367126</v>
      </c>
      <c r="DK127" s="16">
        <v>6814</v>
      </c>
      <c r="DL127" s="16">
        <v>5026</v>
      </c>
      <c r="DM127" s="16">
        <v>22537</v>
      </c>
      <c r="DN127" s="16">
        <v>584</v>
      </c>
      <c r="DO127" s="16">
        <v>0</v>
      </c>
      <c r="DP127" s="16">
        <v>10824</v>
      </c>
      <c r="DQ127" s="16">
        <v>399</v>
      </c>
      <c r="DR127" s="16">
        <v>9797</v>
      </c>
      <c r="DS127" s="16">
        <v>103449</v>
      </c>
      <c r="DT127" s="16">
        <v>36668</v>
      </c>
      <c r="DU127" s="16">
        <v>6838</v>
      </c>
      <c r="DV127" s="16">
        <v>199763</v>
      </c>
      <c r="DW127" s="16">
        <v>534641</v>
      </c>
      <c r="DX127" s="16">
        <v>803533</v>
      </c>
      <c r="DY127" s="16">
        <v>1765830</v>
      </c>
      <c r="DZ127" s="16">
        <v>2390646</v>
      </c>
      <c r="EA127" s="16">
        <v>2539410</v>
      </c>
      <c r="EB127" s="16">
        <v>119581</v>
      </c>
      <c r="EC127" s="16">
        <v>22530</v>
      </c>
      <c r="ED127" s="16">
        <v>5058</v>
      </c>
      <c r="EE127" s="16">
        <v>73</v>
      </c>
      <c r="EF127" s="16">
        <v>5577</v>
      </c>
      <c r="EG127" s="16">
        <v>25813</v>
      </c>
      <c r="EH127" s="16">
        <v>3743</v>
      </c>
      <c r="EI127" s="16">
        <v>68</v>
      </c>
      <c r="EJ127" s="16">
        <v>1808</v>
      </c>
      <c r="EK127" s="16">
        <v>10</v>
      </c>
      <c r="EL127" s="16">
        <v>421</v>
      </c>
      <c r="EM127" s="16">
        <v>138</v>
      </c>
      <c r="EN127" s="16">
        <v>617</v>
      </c>
      <c r="EO127" s="16">
        <v>1345</v>
      </c>
      <c r="EP127" s="16">
        <v>160</v>
      </c>
      <c r="EQ127" s="16">
        <v>5138</v>
      </c>
      <c r="ER127" s="16">
        <v>1183</v>
      </c>
      <c r="ES127" s="16">
        <v>1038</v>
      </c>
      <c r="ET127" s="16">
        <v>8076</v>
      </c>
      <c r="EU127" s="16">
        <v>137</v>
      </c>
      <c r="EV127" s="16">
        <v>0</v>
      </c>
      <c r="EW127" s="16">
        <v>31</v>
      </c>
      <c r="EX127" s="16">
        <v>1968</v>
      </c>
      <c r="EY127" s="16">
        <v>21</v>
      </c>
      <c r="EZ127" s="16">
        <v>4</v>
      </c>
      <c r="FA127" s="16">
        <v>22</v>
      </c>
      <c r="FB127" s="16">
        <v>0</v>
      </c>
      <c r="FC127" s="16">
        <v>417</v>
      </c>
      <c r="FD127" s="16">
        <v>7410</v>
      </c>
      <c r="FE127" s="16">
        <v>386</v>
      </c>
      <c r="FF127" s="16">
        <v>3832</v>
      </c>
      <c r="FG127" s="16">
        <v>9500</v>
      </c>
      <c r="FH127" s="16">
        <v>0</v>
      </c>
      <c r="FI127" s="16">
        <v>0</v>
      </c>
      <c r="FJ127" s="16">
        <v>127</v>
      </c>
      <c r="FK127" s="16">
        <v>0</v>
      </c>
      <c r="FL127" s="16">
        <v>45</v>
      </c>
      <c r="FM127" s="16">
        <v>745</v>
      </c>
      <c r="FN127" s="16">
        <v>23114</v>
      </c>
      <c r="FO127" s="16">
        <v>1409</v>
      </c>
      <c r="FP127" s="16">
        <v>537</v>
      </c>
      <c r="FQ127" s="16">
        <v>4832</v>
      </c>
      <c r="FR127" s="16">
        <v>2910</v>
      </c>
      <c r="FS127" s="16">
        <v>335</v>
      </c>
      <c r="FT127" s="16">
        <v>6817</v>
      </c>
      <c r="FU127" s="16">
        <v>6511</v>
      </c>
      <c r="FV127" s="16">
        <v>26869</v>
      </c>
      <c r="FW127" s="16">
        <v>62120</v>
      </c>
      <c r="FX127" s="16">
        <v>16180</v>
      </c>
      <c r="FY127" s="16">
        <v>1413</v>
      </c>
      <c r="FZ127" s="16">
        <v>3607</v>
      </c>
      <c r="GA127" s="16">
        <v>303</v>
      </c>
      <c r="GB127" s="16">
        <v>23852</v>
      </c>
      <c r="GC127" s="16">
        <v>9327</v>
      </c>
      <c r="GD127" s="16">
        <v>15041</v>
      </c>
      <c r="GE127" s="16">
        <v>10602</v>
      </c>
      <c r="GF127" s="16">
        <v>1047374</v>
      </c>
      <c r="GG127" s="16">
        <v>338065</v>
      </c>
      <c r="GH127" s="16">
        <v>1028231</v>
      </c>
      <c r="GI127" s="16">
        <v>434706</v>
      </c>
      <c r="GJ127" s="16">
        <v>85299</v>
      </c>
      <c r="GK127" s="16">
        <v>280102</v>
      </c>
      <c r="GL127" s="16">
        <v>5197</v>
      </c>
      <c r="GM127" s="16">
        <v>1256</v>
      </c>
      <c r="GN127" s="16">
        <v>7102</v>
      </c>
      <c r="GO127" s="16">
        <v>1</v>
      </c>
      <c r="GP127" s="16">
        <v>73748</v>
      </c>
      <c r="GQ127" s="16">
        <v>27759</v>
      </c>
      <c r="GR127" s="16">
        <v>1474</v>
      </c>
      <c r="GS127" s="16">
        <v>4946</v>
      </c>
      <c r="GT127" s="16">
        <v>1473</v>
      </c>
      <c r="GU127" s="16">
        <v>33797</v>
      </c>
      <c r="GV127" s="16">
        <v>35283</v>
      </c>
      <c r="GW127" s="16">
        <v>3821</v>
      </c>
      <c r="GX127" s="16">
        <v>15008</v>
      </c>
      <c r="GY127" s="16">
        <v>59</v>
      </c>
      <c r="GZ127" s="16">
        <v>42010</v>
      </c>
      <c r="HA127" s="16">
        <v>2628</v>
      </c>
      <c r="HB127" s="16">
        <v>3291</v>
      </c>
      <c r="HC127" s="16">
        <v>43321</v>
      </c>
      <c r="HD127" s="16">
        <v>2719</v>
      </c>
      <c r="HE127" s="16">
        <v>187493</v>
      </c>
      <c r="HF127" s="16">
        <v>24046</v>
      </c>
      <c r="HG127" s="16">
        <v>27231</v>
      </c>
      <c r="HH127" s="16">
        <v>6042</v>
      </c>
      <c r="HI127" s="16">
        <v>12441</v>
      </c>
      <c r="HJ127" s="16">
        <v>5465</v>
      </c>
      <c r="HK127" s="16">
        <v>7736</v>
      </c>
      <c r="HL127" s="16">
        <v>69848</v>
      </c>
      <c r="HM127" s="16">
        <v>1374</v>
      </c>
      <c r="HN127" s="16">
        <v>5235</v>
      </c>
      <c r="HO127" s="16">
        <v>1984</v>
      </c>
      <c r="HP127" s="16">
        <v>7684</v>
      </c>
      <c r="HQ127" s="16">
        <v>3489</v>
      </c>
      <c r="HR127" s="16">
        <v>7768</v>
      </c>
      <c r="HS127" s="16">
        <v>6553</v>
      </c>
      <c r="HT127" s="16">
        <v>618</v>
      </c>
      <c r="HU127" s="16">
        <v>1475</v>
      </c>
      <c r="HV127" s="16">
        <v>1691</v>
      </c>
      <c r="HW127" s="16">
        <v>206</v>
      </c>
      <c r="HX127" s="16">
        <v>1548</v>
      </c>
      <c r="HY127" s="16">
        <v>3352</v>
      </c>
      <c r="HZ127" s="16">
        <v>23860</v>
      </c>
      <c r="IA127" s="16">
        <v>4584</v>
      </c>
      <c r="IB127" s="16">
        <v>503</v>
      </c>
      <c r="IC127" s="16">
        <v>31</v>
      </c>
      <c r="ID127" s="16">
        <v>718</v>
      </c>
      <c r="IE127" s="16">
        <v>257</v>
      </c>
      <c r="IF127" s="16">
        <v>149</v>
      </c>
      <c r="IG127" s="16">
        <v>4128</v>
      </c>
      <c r="IH127" s="16">
        <v>10881</v>
      </c>
      <c r="II127" s="16">
        <v>1437</v>
      </c>
      <c r="IJ127" s="16">
        <v>308</v>
      </c>
      <c r="IK127" s="16">
        <v>714</v>
      </c>
      <c r="IL127" s="16">
        <v>73</v>
      </c>
      <c r="IM127" s="16">
        <v>67</v>
      </c>
      <c r="IN127" s="16">
        <v>1928</v>
      </c>
      <c r="IO127" s="16">
        <v>304470</v>
      </c>
      <c r="IP127" s="16">
        <v>9583</v>
      </c>
      <c r="IQ127" s="16">
        <v>57</v>
      </c>
      <c r="IR127" s="16">
        <v>645</v>
      </c>
      <c r="IS127" s="16">
        <v>889</v>
      </c>
      <c r="IT127" s="16">
        <v>1268</v>
      </c>
      <c r="IU127" s="16">
        <v>12</v>
      </c>
      <c r="IV127" s="16">
        <v>1477</v>
      </c>
      <c r="IW127" s="16">
        <v>27376</v>
      </c>
      <c r="IX127" s="16">
        <v>9467</v>
      </c>
      <c r="IY127" s="16">
        <v>23966</v>
      </c>
      <c r="IZ127" s="16">
        <v>2278</v>
      </c>
      <c r="JA127" s="16">
        <v>15649</v>
      </c>
      <c r="JB127" s="16">
        <v>176</v>
      </c>
      <c r="JC127" s="16">
        <v>47422</v>
      </c>
      <c r="JD127" s="16">
        <v>54</v>
      </c>
      <c r="JE127" s="16">
        <v>56960</v>
      </c>
      <c r="JF127" s="16">
        <v>53949</v>
      </c>
      <c r="JG127" s="16">
        <v>308663</v>
      </c>
      <c r="JH127" s="16">
        <v>0</v>
      </c>
      <c r="JI127" s="16">
        <v>57</v>
      </c>
      <c r="JJ127" s="16">
        <v>5016</v>
      </c>
      <c r="JK127" s="16">
        <v>69</v>
      </c>
      <c r="JL127" s="16">
        <v>2194</v>
      </c>
      <c r="JM127" s="16">
        <v>2841</v>
      </c>
      <c r="JN127" s="16">
        <v>29214</v>
      </c>
      <c r="JO127" s="16">
        <v>0</v>
      </c>
      <c r="JP127" s="16">
        <v>0</v>
      </c>
      <c r="JQ127" s="16">
        <v>1729</v>
      </c>
      <c r="JR127" s="16">
        <v>17408</v>
      </c>
      <c r="JS127" s="16">
        <v>0</v>
      </c>
      <c r="JT127" s="16">
        <v>1</v>
      </c>
      <c r="JU127" s="16">
        <v>102</v>
      </c>
      <c r="JV127" s="16">
        <v>0</v>
      </c>
      <c r="JW127" s="16">
        <v>595268</v>
      </c>
      <c r="JX127" s="16">
        <v>565544</v>
      </c>
      <c r="JY127" s="16">
        <v>206659</v>
      </c>
      <c r="JZ127" s="16">
        <v>33669</v>
      </c>
      <c r="KA127" s="16">
        <v>13803</v>
      </c>
      <c r="KB127" s="16">
        <v>1493</v>
      </c>
      <c r="KC127" s="16">
        <v>1050</v>
      </c>
      <c r="KD127" s="16">
        <v>15504</v>
      </c>
      <c r="KE127" s="16">
        <v>4169</v>
      </c>
      <c r="KF127" s="16">
        <v>25569</v>
      </c>
      <c r="KG127" s="16">
        <v>7181</v>
      </c>
      <c r="KH127" s="16">
        <v>3896</v>
      </c>
      <c r="KI127" s="16">
        <v>12674</v>
      </c>
      <c r="KJ127" s="16">
        <v>33430</v>
      </c>
      <c r="KK127" s="16">
        <v>167708</v>
      </c>
      <c r="KL127" s="16">
        <v>72</v>
      </c>
      <c r="KM127" s="16">
        <v>53</v>
      </c>
      <c r="KN127" s="16">
        <v>5</v>
      </c>
      <c r="KO127" s="16">
        <v>1392</v>
      </c>
      <c r="KP127" s="16">
        <v>0</v>
      </c>
      <c r="KQ127" s="16">
        <v>815</v>
      </c>
      <c r="KR127" s="16">
        <v>1144</v>
      </c>
      <c r="KS127" s="16">
        <v>1199</v>
      </c>
      <c r="KT127" s="16">
        <v>0</v>
      </c>
      <c r="KU127" s="16">
        <v>4306</v>
      </c>
      <c r="KV127" s="16">
        <v>21895</v>
      </c>
      <c r="KW127" s="16">
        <v>15898</v>
      </c>
      <c r="KX127" s="16">
        <v>0</v>
      </c>
      <c r="KY127" s="16">
        <v>540</v>
      </c>
      <c r="KZ127" s="16">
        <v>1008</v>
      </c>
      <c r="LA127" s="16">
        <v>3639</v>
      </c>
      <c r="LB127" s="16">
        <v>73</v>
      </c>
      <c r="LC127" s="16">
        <v>7687</v>
      </c>
      <c r="LD127" s="16">
        <v>3435</v>
      </c>
      <c r="LE127" s="16">
        <v>0</v>
      </c>
      <c r="LF127" s="16">
        <v>0</v>
      </c>
      <c r="LG127" s="16">
        <v>583</v>
      </c>
      <c r="LH127" s="16">
        <v>2104</v>
      </c>
      <c r="LI127" s="16">
        <v>0</v>
      </c>
      <c r="LJ127" s="16">
        <v>0</v>
      </c>
      <c r="LK127" s="16">
        <v>0</v>
      </c>
      <c r="LL127" s="16">
        <v>6</v>
      </c>
      <c r="LM127" s="16">
        <v>17</v>
      </c>
      <c r="LN127" s="16">
        <v>0</v>
      </c>
      <c r="LO127" s="16">
        <v>0</v>
      </c>
      <c r="LP127" s="16">
        <v>0</v>
      </c>
      <c r="LQ127" s="16">
        <v>0</v>
      </c>
      <c r="LR127" s="16">
        <v>0</v>
      </c>
      <c r="LS127" s="16">
        <v>0</v>
      </c>
      <c r="LT127" s="16">
        <v>0</v>
      </c>
      <c r="LU127" s="16">
        <v>0</v>
      </c>
      <c r="LV127" s="16">
        <v>0</v>
      </c>
      <c r="LW127" s="16">
        <v>0</v>
      </c>
      <c r="LX127" s="16">
        <v>0</v>
      </c>
      <c r="LY127" s="16">
        <v>0</v>
      </c>
      <c r="LZ127" s="16">
        <v>0</v>
      </c>
      <c r="MA127" s="16">
        <v>0</v>
      </c>
      <c r="MB127" s="16">
        <v>0</v>
      </c>
      <c r="MC127" s="16">
        <v>748</v>
      </c>
      <c r="MD127" s="16">
        <v>399</v>
      </c>
      <c r="ME127" s="16">
        <v>411</v>
      </c>
      <c r="MF127" s="16">
        <v>4193</v>
      </c>
      <c r="MG127" s="16">
        <v>0</v>
      </c>
      <c r="MH127" s="16">
        <v>0</v>
      </c>
      <c r="MI127" s="16">
        <v>0</v>
      </c>
      <c r="MJ127" s="16">
        <v>0</v>
      </c>
      <c r="MK127" s="16">
        <v>8</v>
      </c>
      <c r="ML127" s="16">
        <v>0</v>
      </c>
      <c r="MM127" s="16">
        <v>1006</v>
      </c>
      <c r="MN127" s="16">
        <v>0</v>
      </c>
      <c r="MO127" s="16">
        <v>5424</v>
      </c>
      <c r="MP127" s="16">
        <v>179</v>
      </c>
      <c r="MQ127" s="16">
        <v>14300</v>
      </c>
      <c r="MR127" s="16">
        <v>5784</v>
      </c>
      <c r="MS127" s="16">
        <v>887</v>
      </c>
      <c r="MT127" s="16">
        <v>626</v>
      </c>
      <c r="MU127" s="16">
        <v>156</v>
      </c>
      <c r="MV127" s="16">
        <v>6682</v>
      </c>
      <c r="MW127" s="16">
        <v>5377</v>
      </c>
      <c r="MX127" s="16">
        <v>27</v>
      </c>
      <c r="MY127" s="16">
        <v>158</v>
      </c>
      <c r="MZ127" s="16">
        <v>2879</v>
      </c>
      <c r="NA127" s="16">
        <v>26</v>
      </c>
      <c r="NB127" s="16">
        <v>2719</v>
      </c>
      <c r="NC127" s="16">
        <v>130</v>
      </c>
      <c r="ND127" s="16">
        <v>0</v>
      </c>
      <c r="NE127" s="16">
        <v>2</v>
      </c>
      <c r="NF127" s="16">
        <v>0</v>
      </c>
      <c r="NG127" s="16">
        <v>0</v>
      </c>
      <c r="NH127" s="16">
        <v>1</v>
      </c>
      <c r="NI127" s="16">
        <v>0</v>
      </c>
      <c r="NJ127" s="16">
        <v>0</v>
      </c>
      <c r="NK127" s="16">
        <v>98</v>
      </c>
      <c r="NL127" s="16">
        <v>1</v>
      </c>
      <c r="NM127" s="16">
        <v>0</v>
      </c>
      <c r="NN127" s="16">
        <v>0</v>
      </c>
      <c r="NO127" s="16">
        <v>0</v>
      </c>
      <c r="NP127" s="16">
        <v>562</v>
      </c>
      <c r="NQ127" s="16">
        <v>87</v>
      </c>
      <c r="NR127" s="17">
        <v>16847244</v>
      </c>
    </row>
    <row r="128" spans="1:382" ht="13.5" customHeight="1" x14ac:dyDescent="0.2">
      <c r="A128" s="2" t="s">
        <v>263</v>
      </c>
      <c r="B128" s="16">
        <v>4068</v>
      </c>
      <c r="C128" s="16">
        <v>625</v>
      </c>
      <c r="D128" s="16">
        <v>1273</v>
      </c>
      <c r="E128" s="16">
        <v>903</v>
      </c>
      <c r="F128" s="16">
        <v>6129</v>
      </c>
      <c r="G128" s="16">
        <v>2269</v>
      </c>
      <c r="H128" s="16">
        <v>1007</v>
      </c>
      <c r="I128" s="16">
        <v>4060</v>
      </c>
      <c r="J128" s="16">
        <v>39</v>
      </c>
      <c r="K128" s="16">
        <v>0</v>
      </c>
      <c r="L128" s="16">
        <v>0</v>
      </c>
      <c r="M128" s="16">
        <v>5137</v>
      </c>
      <c r="N128" s="16">
        <v>0</v>
      </c>
      <c r="O128" s="16">
        <v>0</v>
      </c>
      <c r="P128" s="16">
        <v>202</v>
      </c>
      <c r="Q128" s="16">
        <v>867</v>
      </c>
      <c r="R128" s="16">
        <v>565</v>
      </c>
      <c r="S128" s="16">
        <v>484</v>
      </c>
      <c r="T128" s="16">
        <v>0</v>
      </c>
      <c r="U128" s="16">
        <v>0</v>
      </c>
      <c r="V128" s="16">
        <v>0</v>
      </c>
      <c r="W128" s="16">
        <v>0</v>
      </c>
      <c r="X128" s="16">
        <v>2048</v>
      </c>
      <c r="Y128" s="16">
        <v>8907</v>
      </c>
      <c r="Z128" s="16">
        <v>0</v>
      </c>
      <c r="AA128" s="16">
        <v>151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1739</v>
      </c>
      <c r="AJ128" s="16">
        <v>0</v>
      </c>
      <c r="AK128" s="16">
        <v>153</v>
      </c>
      <c r="AL128" s="16">
        <v>0</v>
      </c>
      <c r="AM128" s="16">
        <v>0</v>
      </c>
      <c r="AN128" s="16">
        <v>84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23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64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54</v>
      </c>
      <c r="BI128" s="16">
        <v>0</v>
      </c>
      <c r="BJ128" s="16">
        <v>0</v>
      </c>
      <c r="BK128" s="16">
        <v>0</v>
      </c>
      <c r="BL128" s="16">
        <v>7206</v>
      </c>
      <c r="BM128" s="16">
        <v>0</v>
      </c>
      <c r="BN128" s="16">
        <v>0</v>
      </c>
      <c r="BO128" s="16">
        <v>0</v>
      </c>
      <c r="BP128" s="16">
        <v>173</v>
      </c>
      <c r="BQ128" s="16">
        <v>0</v>
      </c>
      <c r="BR128" s="16">
        <v>11</v>
      </c>
      <c r="BS128" s="16">
        <v>4176</v>
      </c>
      <c r="BT128" s="16">
        <v>0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508</v>
      </c>
      <c r="CA128" s="16">
        <v>1</v>
      </c>
      <c r="CB128" s="16">
        <v>0</v>
      </c>
      <c r="CC128" s="16">
        <v>0</v>
      </c>
      <c r="CD128" s="16">
        <v>0</v>
      </c>
      <c r="CE128" s="16">
        <v>1236</v>
      </c>
      <c r="CF128" s="16">
        <v>8471</v>
      </c>
      <c r="CG128" s="16">
        <v>0</v>
      </c>
      <c r="CH128" s="16">
        <v>6244</v>
      </c>
      <c r="CI128" s="16">
        <v>0</v>
      </c>
      <c r="CJ128" s="16">
        <v>0</v>
      </c>
      <c r="CK128" s="16">
        <v>0</v>
      </c>
      <c r="CL128" s="16">
        <v>0</v>
      </c>
      <c r="CM128" s="16">
        <v>0</v>
      </c>
      <c r="CN128" s="16">
        <v>0</v>
      </c>
      <c r="CO128" s="16">
        <v>0</v>
      </c>
      <c r="CP128" s="16">
        <v>0</v>
      </c>
      <c r="CQ128" s="16">
        <v>29</v>
      </c>
      <c r="CR128" s="16">
        <v>0</v>
      </c>
      <c r="CS128" s="16">
        <v>0</v>
      </c>
      <c r="CT128" s="16">
        <v>0</v>
      </c>
      <c r="CU128" s="16">
        <v>0</v>
      </c>
      <c r="CV128" s="16">
        <v>0</v>
      </c>
      <c r="CW128" s="16">
        <v>0</v>
      </c>
      <c r="CX128" s="16">
        <v>0</v>
      </c>
      <c r="CY128" s="16">
        <v>0</v>
      </c>
      <c r="CZ128" s="16">
        <v>0</v>
      </c>
      <c r="DA128" s="16">
        <v>0</v>
      </c>
      <c r="DB128" s="16">
        <v>0</v>
      </c>
      <c r="DC128" s="16">
        <v>0</v>
      </c>
      <c r="DD128" s="16">
        <v>0</v>
      </c>
      <c r="DE128" s="16">
        <v>0</v>
      </c>
      <c r="DF128" s="16">
        <v>0</v>
      </c>
      <c r="DG128" s="16">
        <v>1</v>
      </c>
      <c r="DH128" s="16">
        <v>196</v>
      </c>
      <c r="DI128" s="16">
        <v>0</v>
      </c>
      <c r="DJ128" s="16">
        <v>0</v>
      </c>
      <c r="DK128" s="16">
        <v>0</v>
      </c>
      <c r="DL128" s="16">
        <v>0</v>
      </c>
      <c r="DM128" s="16">
        <v>0</v>
      </c>
      <c r="DN128" s="16">
        <v>6577</v>
      </c>
      <c r="DO128" s="16">
        <v>0</v>
      </c>
      <c r="DP128" s="16">
        <v>0</v>
      </c>
      <c r="DQ128" s="16">
        <v>0</v>
      </c>
      <c r="DR128" s="16">
        <v>0</v>
      </c>
      <c r="DS128" s="16">
        <v>0</v>
      </c>
      <c r="DT128" s="16">
        <v>0</v>
      </c>
      <c r="DU128" s="16">
        <v>0</v>
      </c>
      <c r="DV128" s="16">
        <v>16</v>
      </c>
      <c r="DW128" s="16">
        <v>0</v>
      </c>
      <c r="DX128" s="16">
        <v>42208</v>
      </c>
      <c r="DY128" s="16">
        <v>24599</v>
      </c>
      <c r="DZ128" s="16">
        <v>7141</v>
      </c>
      <c r="EA128" s="16">
        <v>1</v>
      </c>
      <c r="EB128" s="16">
        <v>0</v>
      </c>
      <c r="EC128" s="16">
        <v>0</v>
      </c>
      <c r="ED128" s="16">
        <v>0</v>
      </c>
      <c r="EE128" s="16">
        <v>0</v>
      </c>
      <c r="EF128" s="16">
        <v>0</v>
      </c>
      <c r="EG128" s="16">
        <v>6</v>
      </c>
      <c r="EH128" s="16">
        <v>0</v>
      </c>
      <c r="EI128" s="16">
        <v>0</v>
      </c>
      <c r="EJ128" s="16">
        <v>16</v>
      </c>
      <c r="EK128" s="16">
        <v>0</v>
      </c>
      <c r="EL128" s="16">
        <v>2</v>
      </c>
      <c r="EM128" s="16">
        <v>0</v>
      </c>
      <c r="EN128" s="16">
        <v>0</v>
      </c>
      <c r="EO128" s="16">
        <v>831</v>
      </c>
      <c r="EP128" s="16">
        <v>0</v>
      </c>
      <c r="EQ128" s="16">
        <v>3447</v>
      </c>
      <c r="ER128" s="16">
        <v>0</v>
      </c>
      <c r="ES128" s="16">
        <v>781</v>
      </c>
      <c r="ET128" s="16">
        <v>0</v>
      </c>
      <c r="EU128" s="16">
        <v>0</v>
      </c>
      <c r="EV128" s="16">
        <v>0</v>
      </c>
      <c r="EW128" s="16">
        <v>0</v>
      </c>
      <c r="EX128" s="16">
        <v>0</v>
      </c>
      <c r="EY128" s="16">
        <v>134</v>
      </c>
      <c r="EZ128" s="16">
        <v>0</v>
      </c>
      <c r="FA128" s="16">
        <v>0</v>
      </c>
      <c r="FB128" s="16">
        <v>1</v>
      </c>
      <c r="FC128" s="16">
        <v>0</v>
      </c>
      <c r="FD128" s="16">
        <v>91</v>
      </c>
      <c r="FE128" s="16">
        <v>0</v>
      </c>
      <c r="FF128" s="16">
        <v>3</v>
      </c>
      <c r="FG128" s="16">
        <v>29</v>
      </c>
      <c r="FH128" s="16">
        <v>0</v>
      </c>
      <c r="FI128" s="16">
        <v>0</v>
      </c>
      <c r="FJ128" s="16">
        <v>0</v>
      </c>
      <c r="FK128" s="16">
        <v>0</v>
      </c>
      <c r="FL128" s="16">
        <v>0</v>
      </c>
      <c r="FM128" s="16">
        <v>0</v>
      </c>
      <c r="FN128" s="16">
        <v>0</v>
      </c>
      <c r="FO128" s="16">
        <v>0</v>
      </c>
      <c r="FP128" s="16">
        <v>13</v>
      </c>
      <c r="FQ128" s="16">
        <v>11536</v>
      </c>
      <c r="FR128" s="16">
        <v>587</v>
      </c>
      <c r="FS128" s="16">
        <v>2</v>
      </c>
      <c r="FT128" s="16">
        <v>7</v>
      </c>
      <c r="FU128" s="16">
        <v>0</v>
      </c>
      <c r="FV128" s="16">
        <v>0</v>
      </c>
      <c r="FW128" s="16">
        <v>62</v>
      </c>
      <c r="FX128" s="16">
        <v>140</v>
      </c>
      <c r="FY128" s="16">
        <v>511</v>
      </c>
      <c r="FZ128" s="16">
        <v>1955</v>
      </c>
      <c r="GA128" s="16">
        <v>236</v>
      </c>
      <c r="GB128" s="16">
        <v>854</v>
      </c>
      <c r="GC128" s="16">
        <v>1</v>
      </c>
      <c r="GD128" s="16">
        <v>5826</v>
      </c>
      <c r="GE128" s="16">
        <v>0</v>
      </c>
      <c r="GF128" s="16">
        <v>0</v>
      </c>
      <c r="GG128" s="16">
        <v>47</v>
      </c>
      <c r="GH128" s="16">
        <v>0</v>
      </c>
      <c r="GI128" s="16">
        <v>0</v>
      </c>
      <c r="GJ128" s="16">
        <v>0</v>
      </c>
      <c r="GK128" s="16">
        <v>0</v>
      </c>
      <c r="GL128" s="16">
        <v>0</v>
      </c>
      <c r="GM128" s="16">
        <v>0</v>
      </c>
      <c r="GN128" s="16">
        <v>0</v>
      </c>
      <c r="GO128" s="16">
        <v>0</v>
      </c>
      <c r="GP128" s="16">
        <v>0</v>
      </c>
      <c r="GQ128" s="16">
        <v>0</v>
      </c>
      <c r="GR128" s="16">
        <v>0</v>
      </c>
      <c r="GS128" s="16">
        <v>0</v>
      </c>
      <c r="GT128" s="16">
        <v>0</v>
      </c>
      <c r="GU128" s="16">
        <v>0</v>
      </c>
      <c r="GV128" s="16">
        <v>0</v>
      </c>
      <c r="GW128" s="16">
        <v>0</v>
      </c>
      <c r="GX128" s="16">
        <v>0</v>
      </c>
      <c r="GY128" s="16">
        <v>0</v>
      </c>
      <c r="GZ128" s="16">
        <v>0</v>
      </c>
      <c r="HA128" s="16">
        <v>0</v>
      </c>
      <c r="HB128" s="16">
        <v>0</v>
      </c>
      <c r="HC128" s="16">
        <v>0</v>
      </c>
      <c r="HD128" s="16">
        <v>0</v>
      </c>
      <c r="HE128" s="16">
        <v>0</v>
      </c>
      <c r="HF128" s="16">
        <v>0</v>
      </c>
      <c r="HG128" s="16">
        <v>0</v>
      </c>
      <c r="HH128" s="16">
        <v>0</v>
      </c>
      <c r="HI128" s="16">
        <v>0</v>
      </c>
      <c r="HJ128" s="16">
        <v>0</v>
      </c>
      <c r="HK128" s="16">
        <v>0</v>
      </c>
      <c r="HL128" s="16">
        <v>0</v>
      </c>
      <c r="HM128" s="16">
        <v>11</v>
      </c>
      <c r="HN128" s="16">
        <v>1700</v>
      </c>
      <c r="HO128" s="16">
        <v>1478</v>
      </c>
      <c r="HP128" s="16">
        <v>0</v>
      </c>
      <c r="HQ128" s="16">
        <v>23</v>
      </c>
      <c r="HR128" s="16">
        <v>21</v>
      </c>
      <c r="HS128" s="16">
        <v>90</v>
      </c>
      <c r="HT128" s="16">
        <v>1</v>
      </c>
      <c r="HU128" s="16">
        <v>1</v>
      </c>
      <c r="HV128" s="16">
        <v>28</v>
      </c>
      <c r="HW128" s="16">
        <v>1048</v>
      </c>
      <c r="HX128" s="16">
        <v>0</v>
      </c>
      <c r="HY128" s="16">
        <v>2931</v>
      </c>
      <c r="HZ128" s="16">
        <v>4</v>
      </c>
      <c r="IA128" s="16">
        <v>0</v>
      </c>
      <c r="IB128" s="16">
        <v>0</v>
      </c>
      <c r="IC128" s="16">
        <v>35</v>
      </c>
      <c r="ID128" s="16">
        <v>0</v>
      </c>
      <c r="IE128" s="16">
        <v>1</v>
      </c>
      <c r="IF128" s="16">
        <v>0</v>
      </c>
      <c r="IG128" s="16">
        <v>313</v>
      </c>
      <c r="IH128" s="16">
        <v>0</v>
      </c>
      <c r="II128" s="16">
        <v>0</v>
      </c>
      <c r="IJ128" s="16">
        <v>0</v>
      </c>
      <c r="IK128" s="16">
        <v>0</v>
      </c>
      <c r="IL128" s="16">
        <v>7</v>
      </c>
      <c r="IM128" s="16">
        <v>0</v>
      </c>
      <c r="IN128" s="16">
        <v>0</v>
      </c>
      <c r="IO128" s="16">
        <v>0</v>
      </c>
      <c r="IP128" s="16">
        <v>0</v>
      </c>
      <c r="IQ128" s="16">
        <v>0</v>
      </c>
      <c r="IR128" s="16">
        <v>0</v>
      </c>
      <c r="IS128" s="16">
        <v>0</v>
      </c>
      <c r="IT128" s="16">
        <v>0</v>
      </c>
      <c r="IU128" s="16">
        <v>0</v>
      </c>
      <c r="IV128" s="16">
        <v>1374</v>
      </c>
      <c r="IW128" s="16">
        <v>6880</v>
      </c>
      <c r="IX128" s="16">
        <v>57</v>
      </c>
      <c r="IY128" s="16">
        <v>26</v>
      </c>
      <c r="IZ128" s="16">
        <v>0</v>
      </c>
      <c r="JA128" s="16">
        <v>62</v>
      </c>
      <c r="JB128" s="16">
        <v>0</v>
      </c>
      <c r="JC128" s="16">
        <v>426</v>
      </c>
      <c r="JD128" s="16">
        <v>0</v>
      </c>
      <c r="JE128" s="16">
        <v>682</v>
      </c>
      <c r="JF128" s="16">
        <v>0</v>
      </c>
      <c r="JG128" s="16">
        <v>4669</v>
      </c>
      <c r="JH128" s="16">
        <v>87</v>
      </c>
      <c r="JI128" s="16">
        <v>0</v>
      </c>
      <c r="JJ128" s="16">
        <v>1576</v>
      </c>
      <c r="JK128" s="16">
        <v>799</v>
      </c>
      <c r="JL128" s="16">
        <v>0</v>
      </c>
      <c r="JM128" s="16">
        <v>80</v>
      </c>
      <c r="JN128" s="16">
        <v>992</v>
      </c>
      <c r="JO128" s="16">
        <v>574</v>
      </c>
      <c r="JP128" s="16">
        <v>30733</v>
      </c>
      <c r="JQ128" s="16">
        <v>2764</v>
      </c>
      <c r="JR128" s="16">
        <v>8866</v>
      </c>
      <c r="JS128" s="16">
        <v>6637</v>
      </c>
      <c r="JT128" s="16">
        <v>0</v>
      </c>
      <c r="JU128" s="16">
        <v>0</v>
      </c>
      <c r="JV128" s="16">
        <v>25</v>
      </c>
      <c r="JW128" s="16">
        <v>2317871</v>
      </c>
      <c r="JX128" s="16">
        <v>2221902</v>
      </c>
      <c r="JY128" s="16">
        <v>1380954</v>
      </c>
      <c r="JZ128" s="16">
        <v>7662</v>
      </c>
      <c r="KA128" s="16">
        <v>4268</v>
      </c>
      <c r="KB128" s="16">
        <v>1939</v>
      </c>
      <c r="KC128" s="16">
        <v>0</v>
      </c>
      <c r="KD128" s="16">
        <v>2933</v>
      </c>
      <c r="KE128" s="16">
        <v>1965</v>
      </c>
      <c r="KF128" s="16">
        <v>6608</v>
      </c>
      <c r="KG128" s="16">
        <v>1968</v>
      </c>
      <c r="KH128" s="16">
        <v>2484</v>
      </c>
      <c r="KI128" s="16">
        <v>5546</v>
      </c>
      <c r="KJ128" s="16">
        <v>16131</v>
      </c>
      <c r="KK128" s="16">
        <v>118107</v>
      </c>
      <c r="KL128" s="16">
        <v>116</v>
      </c>
      <c r="KM128" s="16">
        <v>1397</v>
      </c>
      <c r="KN128" s="16">
        <v>149</v>
      </c>
      <c r="KO128" s="16">
        <v>1137</v>
      </c>
      <c r="KP128" s="16">
        <v>38</v>
      </c>
      <c r="KQ128" s="16">
        <v>21</v>
      </c>
      <c r="KR128" s="16">
        <v>2164</v>
      </c>
      <c r="KS128" s="16">
        <v>1152</v>
      </c>
      <c r="KT128" s="16">
        <v>3400</v>
      </c>
      <c r="KU128" s="16">
        <v>5896</v>
      </c>
      <c r="KV128" s="16">
        <v>9573</v>
      </c>
      <c r="KW128" s="16">
        <v>22266</v>
      </c>
      <c r="KX128" s="16">
        <v>0</v>
      </c>
      <c r="KY128" s="16">
        <v>2241</v>
      </c>
      <c r="KZ128" s="16">
        <v>83587</v>
      </c>
      <c r="LA128" s="16">
        <v>7633</v>
      </c>
      <c r="LB128" s="16">
        <v>8290</v>
      </c>
      <c r="LC128" s="16">
        <v>10010</v>
      </c>
      <c r="LD128" s="16">
        <v>76689</v>
      </c>
      <c r="LE128" s="16">
        <v>0</v>
      </c>
      <c r="LF128" s="16">
        <v>0</v>
      </c>
      <c r="LG128" s="16">
        <v>0</v>
      </c>
      <c r="LH128" s="16">
        <v>0</v>
      </c>
      <c r="LI128" s="16">
        <v>0</v>
      </c>
      <c r="LJ128" s="16">
        <v>0</v>
      </c>
      <c r="LK128" s="16">
        <v>0</v>
      </c>
      <c r="LL128" s="16">
        <v>0</v>
      </c>
      <c r="LM128" s="16">
        <v>0</v>
      </c>
      <c r="LN128" s="16">
        <v>0</v>
      </c>
      <c r="LO128" s="16">
        <v>0</v>
      </c>
      <c r="LP128" s="16">
        <v>142</v>
      </c>
      <c r="LQ128" s="16">
        <v>0</v>
      </c>
      <c r="LR128" s="16">
        <v>0</v>
      </c>
      <c r="LS128" s="16">
        <v>0</v>
      </c>
      <c r="LT128" s="16">
        <v>0</v>
      </c>
      <c r="LU128" s="16">
        <v>0</v>
      </c>
      <c r="LV128" s="16">
        <v>0</v>
      </c>
      <c r="LW128" s="16">
        <v>0</v>
      </c>
      <c r="LX128" s="16">
        <v>0</v>
      </c>
      <c r="LY128" s="16">
        <v>0</v>
      </c>
      <c r="LZ128" s="16">
        <v>11329</v>
      </c>
      <c r="MA128" s="16">
        <v>0</v>
      </c>
      <c r="MB128" s="16">
        <v>0</v>
      </c>
      <c r="MC128" s="16">
        <v>0</v>
      </c>
      <c r="MD128" s="16">
        <v>0</v>
      </c>
      <c r="ME128" s="16">
        <v>0</v>
      </c>
      <c r="MF128" s="16">
        <v>610</v>
      </c>
      <c r="MG128" s="16">
        <v>0</v>
      </c>
      <c r="MH128" s="16">
        <v>1022</v>
      </c>
      <c r="MI128" s="16">
        <v>0</v>
      </c>
      <c r="MJ128" s="16">
        <v>0</v>
      </c>
      <c r="MK128" s="16">
        <v>9</v>
      </c>
      <c r="ML128" s="16">
        <v>0</v>
      </c>
      <c r="MM128" s="16">
        <v>3522</v>
      </c>
      <c r="MN128" s="16">
        <v>0</v>
      </c>
      <c r="MO128" s="16">
        <v>10532</v>
      </c>
      <c r="MP128" s="16">
        <v>4568</v>
      </c>
      <c r="MQ128" s="16">
        <v>17450</v>
      </c>
      <c r="MR128" s="16">
        <v>454</v>
      </c>
      <c r="MS128" s="16">
        <v>1125</v>
      </c>
      <c r="MT128" s="16">
        <v>0</v>
      </c>
      <c r="MU128" s="16">
        <v>11174</v>
      </c>
      <c r="MV128" s="16">
        <v>0</v>
      </c>
      <c r="MW128" s="16">
        <v>27378</v>
      </c>
      <c r="MX128" s="16">
        <v>54</v>
      </c>
      <c r="MY128" s="16">
        <v>0</v>
      </c>
      <c r="MZ128" s="16">
        <v>14</v>
      </c>
      <c r="NA128" s="16">
        <v>5285</v>
      </c>
      <c r="NB128" s="16">
        <v>14219</v>
      </c>
      <c r="NC128" s="16">
        <v>458</v>
      </c>
      <c r="ND128" s="16">
        <v>1003</v>
      </c>
      <c r="NE128" s="16">
        <v>0</v>
      </c>
      <c r="NF128" s="16">
        <v>0</v>
      </c>
      <c r="NG128" s="16">
        <v>18423</v>
      </c>
      <c r="NH128" s="16">
        <v>1337</v>
      </c>
      <c r="NI128" s="16">
        <v>0</v>
      </c>
      <c r="NJ128" s="16">
        <v>0</v>
      </c>
      <c r="NK128" s="16">
        <v>0</v>
      </c>
      <c r="NL128" s="16">
        <v>406</v>
      </c>
      <c r="NM128" s="16">
        <v>381</v>
      </c>
      <c r="NN128" s="16">
        <v>1634</v>
      </c>
      <c r="NO128" s="16">
        <v>0</v>
      </c>
      <c r="NP128" s="16">
        <v>2633</v>
      </c>
      <c r="NQ128" s="16">
        <v>56</v>
      </c>
      <c r="NR128" s="17">
        <v>6713079</v>
      </c>
    </row>
    <row r="129" spans="1:382" ht="13.5" customHeight="1" x14ac:dyDescent="0.2">
      <c r="A129" s="2" t="s">
        <v>265</v>
      </c>
      <c r="B129" s="16">
        <v>30691</v>
      </c>
      <c r="C129" s="16">
        <v>2761</v>
      </c>
      <c r="D129" s="16">
        <v>5853</v>
      </c>
      <c r="E129" s="16">
        <v>11418</v>
      </c>
      <c r="F129" s="16">
        <v>70464</v>
      </c>
      <c r="G129" s="16">
        <v>30118</v>
      </c>
      <c r="H129" s="16">
        <v>3488</v>
      </c>
      <c r="I129" s="16">
        <v>3923</v>
      </c>
      <c r="J129" s="16">
        <v>1291</v>
      </c>
      <c r="K129" s="16">
        <v>0</v>
      </c>
      <c r="L129" s="16">
        <v>2001</v>
      </c>
      <c r="M129" s="16">
        <v>3046</v>
      </c>
      <c r="N129" s="16">
        <v>0</v>
      </c>
      <c r="O129" s="16">
        <v>0</v>
      </c>
      <c r="P129" s="16">
        <v>365</v>
      </c>
      <c r="Q129" s="16">
        <v>1531</v>
      </c>
      <c r="R129" s="16">
        <v>941</v>
      </c>
      <c r="S129" s="16">
        <v>802</v>
      </c>
      <c r="T129" s="16">
        <v>0</v>
      </c>
      <c r="U129" s="16">
        <v>272</v>
      </c>
      <c r="V129" s="16">
        <v>343</v>
      </c>
      <c r="W129" s="16">
        <v>335</v>
      </c>
      <c r="X129" s="16">
        <v>10436</v>
      </c>
      <c r="Y129" s="16">
        <v>47014</v>
      </c>
      <c r="Z129" s="16">
        <v>6</v>
      </c>
      <c r="AA129" s="16">
        <v>9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550</v>
      </c>
      <c r="AH129" s="16">
        <v>0</v>
      </c>
      <c r="AI129" s="16">
        <v>350</v>
      </c>
      <c r="AJ129" s="16">
        <v>34685</v>
      </c>
      <c r="AK129" s="16">
        <v>121464</v>
      </c>
      <c r="AL129" s="16">
        <v>28527</v>
      </c>
      <c r="AM129" s="16">
        <v>237687</v>
      </c>
      <c r="AN129" s="16">
        <v>58129</v>
      </c>
      <c r="AO129" s="16">
        <v>19644</v>
      </c>
      <c r="AP129" s="16">
        <v>16312</v>
      </c>
      <c r="AQ129" s="16">
        <v>345</v>
      </c>
      <c r="AR129" s="16">
        <v>0</v>
      </c>
      <c r="AS129" s="16">
        <v>39975</v>
      </c>
      <c r="AT129" s="16">
        <v>21519</v>
      </c>
      <c r="AU129" s="16">
        <v>331917</v>
      </c>
      <c r="AV129" s="16">
        <v>85440</v>
      </c>
      <c r="AW129" s="16">
        <v>225256</v>
      </c>
      <c r="AX129" s="16">
        <v>3578</v>
      </c>
      <c r="AY129" s="16">
        <v>193720</v>
      </c>
      <c r="AZ129" s="16">
        <v>122435</v>
      </c>
      <c r="BA129" s="16">
        <v>30868</v>
      </c>
      <c r="BB129" s="16">
        <v>241443</v>
      </c>
      <c r="BC129" s="16">
        <v>45807</v>
      </c>
      <c r="BD129" s="16">
        <v>0</v>
      </c>
      <c r="BE129" s="16">
        <v>27257</v>
      </c>
      <c r="BF129" s="16">
        <v>87309</v>
      </c>
      <c r="BG129" s="16">
        <v>50003</v>
      </c>
      <c r="BH129" s="16">
        <v>586632</v>
      </c>
      <c r="BI129" s="16">
        <v>0</v>
      </c>
      <c r="BJ129" s="16">
        <v>645</v>
      </c>
      <c r="BK129" s="16">
        <v>216</v>
      </c>
      <c r="BL129" s="16">
        <v>235</v>
      </c>
      <c r="BM129" s="16">
        <v>418</v>
      </c>
      <c r="BN129" s="16">
        <v>541</v>
      </c>
      <c r="BO129" s="16">
        <v>2611</v>
      </c>
      <c r="BP129" s="16">
        <v>15526</v>
      </c>
      <c r="BQ129" s="16">
        <v>1012</v>
      </c>
      <c r="BR129" s="16">
        <v>492</v>
      </c>
      <c r="BS129" s="16">
        <v>150109</v>
      </c>
      <c r="BT129" s="16">
        <v>189</v>
      </c>
      <c r="BU129" s="16">
        <v>165</v>
      </c>
      <c r="BV129" s="16">
        <v>0</v>
      </c>
      <c r="BW129" s="16">
        <v>21603</v>
      </c>
      <c r="BX129" s="16">
        <v>0</v>
      </c>
      <c r="BY129" s="16">
        <v>0</v>
      </c>
      <c r="BZ129" s="16">
        <v>47735</v>
      </c>
      <c r="CA129" s="16">
        <v>18726</v>
      </c>
      <c r="CB129" s="16">
        <v>8354</v>
      </c>
      <c r="CC129" s="16">
        <v>141</v>
      </c>
      <c r="CD129" s="16">
        <v>0</v>
      </c>
      <c r="CE129" s="16">
        <v>889</v>
      </c>
      <c r="CF129" s="16">
        <v>1923</v>
      </c>
      <c r="CG129" s="16">
        <v>6566</v>
      </c>
      <c r="CH129" s="16">
        <v>9977</v>
      </c>
      <c r="CI129" s="16">
        <v>0</v>
      </c>
      <c r="CJ129" s="16">
        <v>1429</v>
      </c>
      <c r="CK129" s="16">
        <v>7625</v>
      </c>
      <c r="CL129" s="16">
        <v>7581</v>
      </c>
      <c r="CM129" s="16">
        <v>2451</v>
      </c>
      <c r="CN129" s="16">
        <v>21121</v>
      </c>
      <c r="CO129" s="16">
        <v>12593</v>
      </c>
      <c r="CP129" s="16">
        <v>2761</v>
      </c>
      <c r="CQ129" s="16">
        <v>110838</v>
      </c>
      <c r="CR129" s="16">
        <v>0</v>
      </c>
      <c r="CS129" s="16">
        <v>1043</v>
      </c>
      <c r="CT129" s="16">
        <v>1628</v>
      </c>
      <c r="CU129" s="16">
        <v>263</v>
      </c>
      <c r="CV129" s="16">
        <v>1618</v>
      </c>
      <c r="CW129" s="16">
        <v>1255</v>
      </c>
      <c r="CX129" s="16">
        <v>1072</v>
      </c>
      <c r="CY129" s="16">
        <v>0</v>
      </c>
      <c r="CZ129" s="16">
        <v>2181</v>
      </c>
      <c r="DA129" s="16">
        <v>7434</v>
      </c>
      <c r="DB129" s="16">
        <v>7752</v>
      </c>
      <c r="DC129" s="16">
        <v>2164</v>
      </c>
      <c r="DD129" s="16">
        <v>448</v>
      </c>
      <c r="DE129" s="16">
        <v>4658</v>
      </c>
      <c r="DF129" s="16">
        <v>6900</v>
      </c>
      <c r="DG129" s="16">
        <v>1307</v>
      </c>
      <c r="DH129" s="16">
        <v>10443</v>
      </c>
      <c r="DI129" s="16">
        <v>1283</v>
      </c>
      <c r="DJ129" s="16">
        <v>11841</v>
      </c>
      <c r="DK129" s="16">
        <v>1692</v>
      </c>
      <c r="DL129" s="16">
        <v>683</v>
      </c>
      <c r="DM129" s="16">
        <v>394296</v>
      </c>
      <c r="DN129" s="16">
        <v>25198</v>
      </c>
      <c r="DO129" s="16">
        <v>5615</v>
      </c>
      <c r="DP129" s="16">
        <v>1445</v>
      </c>
      <c r="DQ129" s="16">
        <v>316</v>
      </c>
      <c r="DR129" s="16">
        <v>209604</v>
      </c>
      <c r="DS129" s="16">
        <v>670142</v>
      </c>
      <c r="DT129" s="16">
        <v>33386</v>
      </c>
      <c r="DU129" s="16">
        <v>9453</v>
      </c>
      <c r="DV129" s="16">
        <v>18855</v>
      </c>
      <c r="DW129" s="16">
        <v>31835</v>
      </c>
      <c r="DX129" s="16">
        <v>47766</v>
      </c>
      <c r="DY129" s="16">
        <v>153473</v>
      </c>
      <c r="DZ129" s="16">
        <v>54371</v>
      </c>
      <c r="EA129" s="16">
        <v>102693</v>
      </c>
      <c r="EB129" s="16">
        <v>720</v>
      </c>
      <c r="EC129" s="16">
        <v>72826</v>
      </c>
      <c r="ED129" s="16">
        <v>4534</v>
      </c>
      <c r="EE129" s="16">
        <v>256</v>
      </c>
      <c r="EF129" s="16">
        <v>2686</v>
      </c>
      <c r="EG129" s="16">
        <v>10146</v>
      </c>
      <c r="EH129" s="16">
        <v>4873</v>
      </c>
      <c r="EI129" s="16">
        <v>1635</v>
      </c>
      <c r="EJ129" s="16">
        <v>2763</v>
      </c>
      <c r="EK129" s="16">
        <v>146</v>
      </c>
      <c r="EL129" s="16">
        <v>714</v>
      </c>
      <c r="EM129" s="16">
        <v>160</v>
      </c>
      <c r="EN129" s="16">
        <v>1472</v>
      </c>
      <c r="EO129" s="16">
        <v>1102</v>
      </c>
      <c r="EP129" s="16">
        <v>2374</v>
      </c>
      <c r="EQ129" s="16">
        <v>0</v>
      </c>
      <c r="ER129" s="16">
        <v>6380</v>
      </c>
      <c r="ES129" s="16">
        <v>612</v>
      </c>
      <c r="ET129" s="16">
        <v>27127</v>
      </c>
      <c r="EU129" s="16">
        <v>709</v>
      </c>
      <c r="EV129" s="16">
        <v>462</v>
      </c>
      <c r="EW129" s="16">
        <v>1090</v>
      </c>
      <c r="EX129" s="16">
        <v>22240</v>
      </c>
      <c r="EY129" s="16">
        <v>272</v>
      </c>
      <c r="EZ129" s="16">
        <v>21</v>
      </c>
      <c r="FA129" s="16">
        <v>28</v>
      </c>
      <c r="FB129" s="16">
        <v>0</v>
      </c>
      <c r="FC129" s="16">
        <v>508</v>
      </c>
      <c r="FD129" s="16">
        <v>7629</v>
      </c>
      <c r="FE129" s="16">
        <v>1648</v>
      </c>
      <c r="FF129" s="16">
        <v>1903</v>
      </c>
      <c r="FG129" s="16">
        <v>10156</v>
      </c>
      <c r="FH129" s="16">
        <v>1214</v>
      </c>
      <c r="FI129" s="16">
        <v>574</v>
      </c>
      <c r="FJ129" s="16">
        <v>8571</v>
      </c>
      <c r="FK129" s="16">
        <v>4699</v>
      </c>
      <c r="FL129" s="16">
        <v>0</v>
      </c>
      <c r="FM129" s="16">
        <v>1010</v>
      </c>
      <c r="FN129" s="16">
        <v>20529</v>
      </c>
      <c r="FO129" s="16">
        <v>5594</v>
      </c>
      <c r="FP129" s="16">
        <v>3552</v>
      </c>
      <c r="FQ129" s="16">
        <v>16536</v>
      </c>
      <c r="FR129" s="16">
        <v>7425</v>
      </c>
      <c r="FS129" s="16">
        <v>3974</v>
      </c>
      <c r="FT129" s="16">
        <v>3109</v>
      </c>
      <c r="FU129" s="16">
        <v>12619</v>
      </c>
      <c r="FV129" s="16">
        <v>46294</v>
      </c>
      <c r="FW129" s="16">
        <v>21548</v>
      </c>
      <c r="FX129" s="16">
        <v>71255</v>
      </c>
      <c r="FY129" s="16">
        <v>17079</v>
      </c>
      <c r="FZ129" s="16">
        <v>22164</v>
      </c>
      <c r="GA129" s="16">
        <v>7663</v>
      </c>
      <c r="GB129" s="16">
        <v>61530</v>
      </c>
      <c r="GC129" s="16">
        <v>17989</v>
      </c>
      <c r="GD129" s="16">
        <v>42251</v>
      </c>
      <c r="GE129" s="16">
        <v>21459</v>
      </c>
      <c r="GF129" s="16">
        <v>77388</v>
      </c>
      <c r="GG129" s="16">
        <v>48723</v>
      </c>
      <c r="GH129" s="16">
        <v>51605</v>
      </c>
      <c r="GI129" s="16">
        <v>3564</v>
      </c>
      <c r="GJ129" s="16">
        <v>19245</v>
      </c>
      <c r="GK129" s="16">
        <v>17461</v>
      </c>
      <c r="GL129" s="16">
        <v>77</v>
      </c>
      <c r="GM129" s="16">
        <v>10655</v>
      </c>
      <c r="GN129" s="16">
        <v>20464</v>
      </c>
      <c r="GO129" s="16">
        <v>2300</v>
      </c>
      <c r="GP129" s="16">
        <v>15195</v>
      </c>
      <c r="GQ129" s="16">
        <v>12257</v>
      </c>
      <c r="GR129" s="16">
        <v>4117</v>
      </c>
      <c r="GS129" s="16">
        <v>1739</v>
      </c>
      <c r="GT129" s="16">
        <v>1700</v>
      </c>
      <c r="GU129" s="16">
        <v>11744</v>
      </c>
      <c r="GV129" s="16">
        <v>26469</v>
      </c>
      <c r="GW129" s="16">
        <v>8834</v>
      </c>
      <c r="GX129" s="16">
        <v>6694</v>
      </c>
      <c r="GY129" s="16">
        <v>292</v>
      </c>
      <c r="GZ129" s="16">
        <v>15787</v>
      </c>
      <c r="HA129" s="16">
        <v>895</v>
      </c>
      <c r="HB129" s="16">
        <v>6670</v>
      </c>
      <c r="HC129" s="16">
        <v>36947</v>
      </c>
      <c r="HD129" s="16">
        <v>43531</v>
      </c>
      <c r="HE129" s="16">
        <v>60919</v>
      </c>
      <c r="HF129" s="16">
        <v>21108</v>
      </c>
      <c r="HG129" s="16">
        <v>21268</v>
      </c>
      <c r="HH129" s="16">
        <v>38348</v>
      </c>
      <c r="HI129" s="16">
        <v>60600</v>
      </c>
      <c r="HJ129" s="16">
        <v>3430</v>
      </c>
      <c r="HK129" s="16">
        <v>13508</v>
      </c>
      <c r="HL129" s="16">
        <v>142151</v>
      </c>
      <c r="HM129" s="16">
        <v>5387</v>
      </c>
      <c r="HN129" s="16">
        <v>19011</v>
      </c>
      <c r="HO129" s="16">
        <v>8848</v>
      </c>
      <c r="HP129" s="16">
        <v>8718</v>
      </c>
      <c r="HQ129" s="16">
        <v>23545</v>
      </c>
      <c r="HR129" s="16">
        <v>39560</v>
      </c>
      <c r="HS129" s="16">
        <v>26631</v>
      </c>
      <c r="HT129" s="16">
        <v>1340</v>
      </c>
      <c r="HU129" s="16">
        <v>14476</v>
      </c>
      <c r="HV129" s="16">
        <v>4328</v>
      </c>
      <c r="HW129" s="16">
        <v>11942</v>
      </c>
      <c r="HX129" s="16">
        <v>5301</v>
      </c>
      <c r="HY129" s="16">
        <v>2855</v>
      </c>
      <c r="HZ129" s="16">
        <v>32232</v>
      </c>
      <c r="IA129" s="16">
        <v>5395</v>
      </c>
      <c r="IB129" s="16">
        <v>2681</v>
      </c>
      <c r="IC129" s="16">
        <v>635</v>
      </c>
      <c r="ID129" s="16">
        <v>1088</v>
      </c>
      <c r="IE129" s="16">
        <v>442</v>
      </c>
      <c r="IF129" s="16">
        <v>803</v>
      </c>
      <c r="IG129" s="16">
        <v>11693</v>
      </c>
      <c r="IH129" s="16">
        <v>55092</v>
      </c>
      <c r="II129" s="16">
        <v>7064</v>
      </c>
      <c r="IJ129" s="16">
        <v>1203</v>
      </c>
      <c r="IK129" s="16">
        <v>7005</v>
      </c>
      <c r="IL129" s="16">
        <v>9255</v>
      </c>
      <c r="IM129" s="16">
        <v>313</v>
      </c>
      <c r="IN129" s="16">
        <v>907</v>
      </c>
      <c r="IO129" s="16">
        <v>173054</v>
      </c>
      <c r="IP129" s="16">
        <v>67</v>
      </c>
      <c r="IQ129" s="16">
        <v>45</v>
      </c>
      <c r="IR129" s="16">
        <v>48</v>
      </c>
      <c r="IS129" s="16">
        <v>951</v>
      </c>
      <c r="IT129" s="16">
        <v>9002</v>
      </c>
      <c r="IU129" s="16">
        <v>46</v>
      </c>
      <c r="IV129" s="16">
        <v>10272</v>
      </c>
      <c r="IW129" s="16">
        <v>22146</v>
      </c>
      <c r="IX129" s="16">
        <v>6080</v>
      </c>
      <c r="IY129" s="16">
        <v>3520</v>
      </c>
      <c r="IZ129" s="16">
        <v>1220</v>
      </c>
      <c r="JA129" s="16">
        <v>36643</v>
      </c>
      <c r="JB129" s="16">
        <v>994</v>
      </c>
      <c r="JC129" s="16">
        <v>38234</v>
      </c>
      <c r="JD129" s="16">
        <v>131</v>
      </c>
      <c r="JE129" s="16">
        <v>14092</v>
      </c>
      <c r="JF129" s="16">
        <v>69527</v>
      </c>
      <c r="JG129" s="16">
        <v>240803</v>
      </c>
      <c r="JH129" s="16">
        <v>764</v>
      </c>
      <c r="JI129" s="16">
        <v>181</v>
      </c>
      <c r="JJ129" s="16">
        <v>11374</v>
      </c>
      <c r="JK129" s="16">
        <v>691</v>
      </c>
      <c r="JL129" s="16">
        <v>950</v>
      </c>
      <c r="JM129" s="16">
        <v>0</v>
      </c>
      <c r="JN129" s="16">
        <v>0</v>
      </c>
      <c r="JO129" s="16">
        <v>0</v>
      </c>
      <c r="JP129" s="16">
        <v>0</v>
      </c>
      <c r="JQ129" s="16">
        <v>822</v>
      </c>
      <c r="JR129" s="16">
        <v>186620</v>
      </c>
      <c r="JS129" s="16">
        <v>38704</v>
      </c>
      <c r="JT129" s="16">
        <v>0</v>
      </c>
      <c r="JU129" s="16">
        <v>0</v>
      </c>
      <c r="JV129" s="16">
        <v>21321</v>
      </c>
      <c r="JW129" s="16">
        <v>17944</v>
      </c>
      <c r="JX129" s="16">
        <v>25982</v>
      </c>
      <c r="JY129" s="16">
        <v>74972</v>
      </c>
      <c r="JZ129" s="16">
        <v>154</v>
      </c>
      <c r="KA129" s="16">
        <v>0</v>
      </c>
      <c r="KB129" s="16">
        <v>52</v>
      </c>
      <c r="KC129" s="16">
        <v>777</v>
      </c>
      <c r="KD129" s="16">
        <v>32</v>
      </c>
      <c r="KE129" s="16">
        <v>35</v>
      </c>
      <c r="KF129" s="16">
        <v>606</v>
      </c>
      <c r="KG129" s="16">
        <v>51</v>
      </c>
      <c r="KH129" s="16">
        <v>34</v>
      </c>
      <c r="KI129" s="16">
        <v>12</v>
      </c>
      <c r="KJ129" s="16">
        <v>1552</v>
      </c>
      <c r="KK129" s="16">
        <v>2428025</v>
      </c>
      <c r="KL129" s="16">
        <v>41</v>
      </c>
      <c r="KM129" s="16">
        <v>453</v>
      </c>
      <c r="KN129" s="16">
        <v>75</v>
      </c>
      <c r="KO129" s="16">
        <v>841</v>
      </c>
      <c r="KP129" s="16">
        <v>9</v>
      </c>
      <c r="KQ129" s="16">
        <v>40</v>
      </c>
      <c r="KR129" s="16">
        <v>1447</v>
      </c>
      <c r="KS129" s="16">
        <v>2168</v>
      </c>
      <c r="KT129" s="16">
        <v>0</v>
      </c>
      <c r="KU129" s="16">
        <v>4363</v>
      </c>
      <c r="KV129" s="16">
        <v>104070</v>
      </c>
      <c r="KW129" s="16">
        <v>17042</v>
      </c>
      <c r="KX129" s="16">
        <v>12</v>
      </c>
      <c r="KY129" s="16">
        <v>6999</v>
      </c>
      <c r="KZ129" s="16">
        <v>257133</v>
      </c>
      <c r="LA129" s="16">
        <v>185523</v>
      </c>
      <c r="LB129" s="16">
        <v>1583</v>
      </c>
      <c r="LC129" s="16">
        <v>433486</v>
      </c>
      <c r="LD129" s="16">
        <v>0</v>
      </c>
      <c r="LE129" s="16">
        <v>0</v>
      </c>
      <c r="LF129" s="16">
        <v>0</v>
      </c>
      <c r="LG129" s="16">
        <v>573</v>
      </c>
      <c r="LH129" s="16">
        <v>7381</v>
      </c>
      <c r="LI129" s="16">
        <v>4</v>
      </c>
      <c r="LJ129" s="16">
        <v>172</v>
      </c>
      <c r="LK129" s="16">
        <v>1988</v>
      </c>
      <c r="LL129" s="16">
        <v>419</v>
      </c>
      <c r="LM129" s="16">
        <v>4447</v>
      </c>
      <c r="LN129" s="16">
        <v>1073</v>
      </c>
      <c r="LO129" s="16">
        <v>380</v>
      </c>
      <c r="LP129" s="16">
        <v>12817</v>
      </c>
      <c r="LQ129" s="16">
        <v>290</v>
      </c>
      <c r="LR129" s="16">
        <v>989</v>
      </c>
      <c r="LS129" s="16">
        <v>312</v>
      </c>
      <c r="LT129" s="16">
        <v>4086</v>
      </c>
      <c r="LU129" s="16">
        <v>436</v>
      </c>
      <c r="LV129" s="16">
        <v>3</v>
      </c>
      <c r="LW129" s="16">
        <v>665</v>
      </c>
      <c r="LX129" s="16">
        <v>1045</v>
      </c>
      <c r="LY129" s="16">
        <v>0</v>
      </c>
      <c r="LZ129" s="16">
        <v>211</v>
      </c>
      <c r="MA129" s="16">
        <v>17</v>
      </c>
      <c r="MB129" s="16">
        <v>8209</v>
      </c>
      <c r="MC129" s="16">
        <v>12320</v>
      </c>
      <c r="MD129" s="16">
        <v>8466</v>
      </c>
      <c r="ME129" s="16">
        <v>1432</v>
      </c>
      <c r="MF129" s="16">
        <v>10930</v>
      </c>
      <c r="MG129" s="16">
        <v>1035</v>
      </c>
      <c r="MH129" s="16">
        <v>1596800</v>
      </c>
      <c r="MI129" s="16">
        <v>5794</v>
      </c>
      <c r="MJ129" s="16">
        <v>8522</v>
      </c>
      <c r="MK129" s="16">
        <v>2499</v>
      </c>
      <c r="ML129" s="16">
        <v>347</v>
      </c>
      <c r="MM129" s="16">
        <v>5468</v>
      </c>
      <c r="MN129" s="16">
        <v>25377</v>
      </c>
      <c r="MO129" s="16">
        <v>10541</v>
      </c>
      <c r="MP129" s="16">
        <v>13112</v>
      </c>
      <c r="MQ129" s="16">
        <v>3248</v>
      </c>
      <c r="MR129" s="16">
        <v>14328</v>
      </c>
      <c r="MS129" s="16">
        <v>22648</v>
      </c>
      <c r="MT129" s="16">
        <v>1180</v>
      </c>
      <c r="MU129" s="16">
        <v>33124</v>
      </c>
      <c r="MV129" s="16">
        <v>4289</v>
      </c>
      <c r="MW129" s="16">
        <v>5217</v>
      </c>
      <c r="MX129" s="16">
        <v>1616</v>
      </c>
      <c r="MY129" s="16">
        <v>317</v>
      </c>
      <c r="MZ129" s="16">
        <v>5677</v>
      </c>
      <c r="NA129" s="16">
        <v>2326</v>
      </c>
      <c r="NB129" s="16">
        <v>14167</v>
      </c>
      <c r="NC129" s="16">
        <v>4511</v>
      </c>
      <c r="ND129" s="16">
        <v>346</v>
      </c>
      <c r="NE129" s="16">
        <v>124</v>
      </c>
      <c r="NF129" s="16">
        <v>0</v>
      </c>
      <c r="NG129" s="16">
        <v>737</v>
      </c>
      <c r="NH129" s="16">
        <v>216</v>
      </c>
      <c r="NI129" s="16">
        <v>4143</v>
      </c>
      <c r="NJ129" s="16">
        <v>7755</v>
      </c>
      <c r="NK129" s="16">
        <v>8107</v>
      </c>
      <c r="NL129" s="16">
        <v>975</v>
      </c>
      <c r="NM129" s="16">
        <v>587</v>
      </c>
      <c r="NN129" s="16">
        <v>5920</v>
      </c>
      <c r="NO129" s="16">
        <v>0</v>
      </c>
      <c r="NP129" s="16">
        <v>337</v>
      </c>
      <c r="NQ129" s="16">
        <v>279</v>
      </c>
      <c r="NR129" s="17">
        <v>13179959</v>
      </c>
    </row>
    <row r="130" spans="1:382" ht="13.5" customHeight="1" x14ac:dyDescent="0.2">
      <c r="A130" s="2" t="s">
        <v>267</v>
      </c>
      <c r="B130" s="16">
        <v>0</v>
      </c>
      <c r="C130" s="16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2831</v>
      </c>
      <c r="Y130" s="16">
        <v>7568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0</v>
      </c>
      <c r="BE130" s="16">
        <v>0</v>
      </c>
      <c r="BF130" s="16">
        <v>0</v>
      </c>
      <c r="BG130" s="16">
        <v>0</v>
      </c>
      <c r="BH130" s="16">
        <v>0</v>
      </c>
      <c r="BI130" s="16">
        <v>0</v>
      </c>
      <c r="BJ130" s="16">
        <v>0</v>
      </c>
      <c r="BK130" s="16">
        <v>0</v>
      </c>
      <c r="BL130" s="16">
        <v>0</v>
      </c>
      <c r="BM130" s="16">
        <v>0</v>
      </c>
      <c r="BN130" s="16">
        <v>0</v>
      </c>
      <c r="BO130" s="16">
        <v>0</v>
      </c>
      <c r="BP130" s="16">
        <v>1126</v>
      </c>
      <c r="BQ130" s="16">
        <v>0</v>
      </c>
      <c r="BR130" s="16">
        <v>0</v>
      </c>
      <c r="BS130" s="16">
        <v>8602</v>
      </c>
      <c r="BT130" s="16">
        <v>0</v>
      </c>
      <c r="BU130" s="16">
        <v>0</v>
      </c>
      <c r="BV130" s="16">
        <v>0</v>
      </c>
      <c r="BW130" s="16">
        <v>79</v>
      </c>
      <c r="BX130" s="16">
        <v>0</v>
      </c>
      <c r="BY130" s="16">
        <v>0</v>
      </c>
      <c r="BZ130" s="16">
        <v>602</v>
      </c>
      <c r="CA130" s="16">
        <v>243</v>
      </c>
      <c r="CB130" s="16">
        <v>0</v>
      </c>
      <c r="CC130" s="16">
        <v>0</v>
      </c>
      <c r="CD130" s="16">
        <v>0</v>
      </c>
      <c r="CE130" s="16">
        <v>0</v>
      </c>
      <c r="CF130" s="16">
        <v>0</v>
      </c>
      <c r="CG130" s="16">
        <v>0</v>
      </c>
      <c r="CH130" s="16">
        <v>0</v>
      </c>
      <c r="CI130" s="16">
        <v>0</v>
      </c>
      <c r="CJ130" s="16">
        <v>0</v>
      </c>
      <c r="CK130" s="16">
        <v>6</v>
      </c>
      <c r="CL130" s="16">
        <v>0</v>
      </c>
      <c r="CM130" s="16">
        <v>0</v>
      </c>
      <c r="CN130" s="16">
        <v>1463</v>
      </c>
      <c r="CO130" s="16">
        <v>1234</v>
      </c>
      <c r="CP130" s="16">
        <v>0</v>
      </c>
      <c r="CQ130" s="16">
        <v>1718</v>
      </c>
      <c r="CR130" s="16">
        <v>0</v>
      </c>
      <c r="CS130" s="16">
        <v>0</v>
      </c>
      <c r="CT130" s="16">
        <v>0</v>
      </c>
      <c r="CU130" s="16">
        <v>0</v>
      </c>
      <c r="CV130" s="16">
        <v>0</v>
      </c>
      <c r="CW130" s="16">
        <v>0</v>
      </c>
      <c r="CX130" s="16">
        <v>0</v>
      </c>
      <c r="CY130" s="16">
        <v>0</v>
      </c>
      <c r="CZ130" s="16">
        <v>0</v>
      </c>
      <c r="DA130" s="16">
        <v>0</v>
      </c>
      <c r="DB130" s="16">
        <v>0</v>
      </c>
      <c r="DC130" s="16">
        <v>0</v>
      </c>
      <c r="DD130" s="16">
        <v>0</v>
      </c>
      <c r="DE130" s="16">
        <v>0</v>
      </c>
      <c r="DF130" s="16">
        <v>0</v>
      </c>
      <c r="DG130" s="16">
        <v>0</v>
      </c>
      <c r="DH130" s="16">
        <v>0</v>
      </c>
      <c r="DI130" s="16">
        <v>0</v>
      </c>
      <c r="DJ130" s="16">
        <v>0</v>
      </c>
      <c r="DK130" s="16">
        <v>0</v>
      </c>
      <c r="DL130" s="16">
        <v>0</v>
      </c>
      <c r="DM130" s="16">
        <v>2010</v>
      </c>
      <c r="DN130" s="16">
        <v>818</v>
      </c>
      <c r="DO130" s="16">
        <v>67</v>
      </c>
      <c r="DP130" s="16">
        <v>0</v>
      </c>
      <c r="DQ130" s="16">
        <v>1126</v>
      </c>
      <c r="DR130" s="16">
        <v>122</v>
      </c>
      <c r="DS130" s="16">
        <v>5641</v>
      </c>
      <c r="DT130" s="16">
        <v>1241</v>
      </c>
      <c r="DU130" s="16">
        <v>0</v>
      </c>
      <c r="DV130" s="16">
        <v>3305</v>
      </c>
      <c r="DW130" s="16">
        <v>5263</v>
      </c>
      <c r="DX130" s="16">
        <v>128</v>
      </c>
      <c r="DY130" s="16">
        <v>33</v>
      </c>
      <c r="DZ130" s="16">
        <v>546983</v>
      </c>
      <c r="EA130" s="16">
        <v>573</v>
      </c>
      <c r="EB130" s="16">
        <v>0</v>
      </c>
      <c r="EC130" s="16">
        <v>4548</v>
      </c>
      <c r="ED130" s="16">
        <v>302</v>
      </c>
      <c r="EE130" s="16">
        <v>0</v>
      </c>
      <c r="EF130" s="16">
        <v>168</v>
      </c>
      <c r="EG130" s="16">
        <v>3621</v>
      </c>
      <c r="EH130" s="16">
        <v>706</v>
      </c>
      <c r="EI130" s="16">
        <v>860</v>
      </c>
      <c r="EJ130" s="16">
        <v>0</v>
      </c>
      <c r="EK130" s="16">
        <v>0</v>
      </c>
      <c r="EL130" s="16">
        <v>0</v>
      </c>
      <c r="EM130" s="16">
        <v>0</v>
      </c>
      <c r="EN130" s="16">
        <v>0</v>
      </c>
      <c r="EO130" s="16">
        <v>0</v>
      </c>
      <c r="EP130" s="16">
        <v>0</v>
      </c>
      <c r="EQ130" s="16">
        <v>0</v>
      </c>
      <c r="ER130" s="16">
        <v>0</v>
      </c>
      <c r="ES130" s="16">
        <v>0</v>
      </c>
      <c r="ET130" s="16">
        <v>1814</v>
      </c>
      <c r="EU130" s="16">
        <v>0</v>
      </c>
      <c r="EV130" s="16">
        <v>0</v>
      </c>
      <c r="EW130" s="16">
        <v>0</v>
      </c>
      <c r="EX130" s="16">
        <v>0</v>
      </c>
      <c r="EY130" s="16">
        <v>0</v>
      </c>
      <c r="EZ130" s="16">
        <v>0</v>
      </c>
      <c r="FA130" s="16">
        <v>0</v>
      </c>
      <c r="FB130" s="16">
        <v>0</v>
      </c>
      <c r="FC130" s="16">
        <v>0</v>
      </c>
      <c r="FD130" s="16">
        <v>0</v>
      </c>
      <c r="FE130" s="16">
        <v>0</v>
      </c>
      <c r="FF130" s="16">
        <v>0</v>
      </c>
      <c r="FG130" s="16">
        <v>0</v>
      </c>
      <c r="FH130" s="16">
        <v>0</v>
      </c>
      <c r="FI130" s="16">
        <v>0</v>
      </c>
      <c r="FJ130" s="16">
        <v>0</v>
      </c>
      <c r="FK130" s="16">
        <v>0</v>
      </c>
      <c r="FL130" s="16">
        <v>0</v>
      </c>
      <c r="FM130" s="16">
        <v>0</v>
      </c>
      <c r="FN130" s="16">
        <v>0</v>
      </c>
      <c r="FO130" s="16">
        <v>0</v>
      </c>
      <c r="FP130" s="16">
        <v>0</v>
      </c>
      <c r="FQ130" s="16">
        <v>4909</v>
      </c>
      <c r="FR130" s="16">
        <v>0</v>
      </c>
      <c r="FS130" s="16">
        <v>0</v>
      </c>
      <c r="FT130" s="16">
        <v>11642</v>
      </c>
      <c r="FU130" s="16">
        <v>0</v>
      </c>
      <c r="FV130" s="16">
        <v>22137</v>
      </c>
      <c r="FW130" s="16">
        <v>183</v>
      </c>
      <c r="FX130" s="16">
        <v>5203</v>
      </c>
      <c r="FY130" s="16">
        <v>3721</v>
      </c>
      <c r="FZ130" s="16">
        <v>10628</v>
      </c>
      <c r="GA130" s="16">
        <v>4025</v>
      </c>
      <c r="GB130" s="16">
        <v>25572</v>
      </c>
      <c r="GC130" s="16">
        <v>1712</v>
      </c>
      <c r="GD130" s="16">
        <v>8326</v>
      </c>
      <c r="GE130" s="16">
        <v>56315</v>
      </c>
      <c r="GF130" s="16">
        <v>278974</v>
      </c>
      <c r="GG130" s="16">
        <v>56450</v>
      </c>
      <c r="GH130" s="16">
        <v>564605</v>
      </c>
      <c r="GI130" s="16">
        <v>34537</v>
      </c>
      <c r="GJ130" s="16">
        <v>80556</v>
      </c>
      <c r="GK130" s="16">
        <v>268299</v>
      </c>
      <c r="GL130" s="16">
        <v>24101</v>
      </c>
      <c r="GM130" s="16">
        <v>137498</v>
      </c>
      <c r="GN130" s="16">
        <v>27636</v>
      </c>
      <c r="GO130" s="16">
        <v>182786</v>
      </c>
      <c r="GP130" s="16">
        <v>1187767</v>
      </c>
      <c r="GQ130" s="16">
        <v>13331</v>
      </c>
      <c r="GR130" s="16">
        <v>18055</v>
      </c>
      <c r="GS130" s="16">
        <v>37669</v>
      </c>
      <c r="GT130" s="16">
        <v>49341</v>
      </c>
      <c r="GU130" s="16">
        <v>514129</v>
      </c>
      <c r="GV130" s="16">
        <v>225222</v>
      </c>
      <c r="GW130" s="16">
        <v>105037</v>
      </c>
      <c r="GX130" s="16">
        <v>33670</v>
      </c>
      <c r="GY130" s="16">
        <v>463</v>
      </c>
      <c r="GZ130" s="16">
        <v>84919</v>
      </c>
      <c r="HA130" s="16">
        <v>31883</v>
      </c>
      <c r="HB130" s="16">
        <v>33922</v>
      </c>
      <c r="HC130" s="16">
        <v>466229</v>
      </c>
      <c r="HD130" s="16">
        <v>513332</v>
      </c>
      <c r="HE130" s="16">
        <v>27068</v>
      </c>
      <c r="HF130" s="16">
        <v>47984</v>
      </c>
      <c r="HG130" s="16">
        <v>312235</v>
      </c>
      <c r="HH130" s="16">
        <v>70580</v>
      </c>
      <c r="HI130" s="16">
        <v>220949</v>
      </c>
      <c r="HJ130" s="16">
        <v>35795</v>
      </c>
      <c r="HK130" s="16">
        <v>124116</v>
      </c>
      <c r="HL130" s="16">
        <v>346474</v>
      </c>
      <c r="HM130" s="16">
        <v>510</v>
      </c>
      <c r="HN130" s="16">
        <v>67466</v>
      </c>
      <c r="HO130" s="16">
        <v>38908</v>
      </c>
      <c r="HP130" s="16">
        <v>27014</v>
      </c>
      <c r="HQ130" s="16">
        <v>61963</v>
      </c>
      <c r="HR130" s="16">
        <v>477028</v>
      </c>
      <c r="HS130" s="16">
        <v>339608</v>
      </c>
      <c r="HT130" s="16">
        <v>33008</v>
      </c>
      <c r="HU130" s="16">
        <v>65047</v>
      </c>
      <c r="HV130" s="16">
        <v>39631</v>
      </c>
      <c r="HW130" s="16">
        <v>52193</v>
      </c>
      <c r="HX130" s="16">
        <v>84118</v>
      </c>
      <c r="HY130" s="16">
        <v>35225</v>
      </c>
      <c r="HZ130" s="16">
        <v>134053</v>
      </c>
      <c r="IA130" s="16">
        <v>38205</v>
      </c>
      <c r="IB130" s="16">
        <v>44182</v>
      </c>
      <c r="IC130" s="16">
        <v>744</v>
      </c>
      <c r="ID130" s="16">
        <v>7331</v>
      </c>
      <c r="IE130" s="16">
        <v>1147</v>
      </c>
      <c r="IF130" s="16">
        <v>3706</v>
      </c>
      <c r="IG130" s="16">
        <v>47085</v>
      </c>
      <c r="IH130" s="16">
        <v>1896576</v>
      </c>
      <c r="II130" s="16">
        <v>279474</v>
      </c>
      <c r="IJ130" s="16">
        <v>113606</v>
      </c>
      <c r="IK130" s="16">
        <v>158856</v>
      </c>
      <c r="IL130" s="16">
        <v>92233</v>
      </c>
      <c r="IM130" s="16">
        <v>10244</v>
      </c>
      <c r="IN130" s="16">
        <v>21835</v>
      </c>
      <c r="IO130" s="16">
        <v>10737119</v>
      </c>
      <c r="IP130" s="16">
        <v>44515</v>
      </c>
      <c r="IQ130" s="16">
        <v>7161</v>
      </c>
      <c r="IR130" s="16">
        <v>1748</v>
      </c>
      <c r="IS130" s="16">
        <v>24937</v>
      </c>
      <c r="IT130" s="16">
        <v>9356</v>
      </c>
      <c r="IU130" s="16">
        <v>2587</v>
      </c>
      <c r="IV130" s="16">
        <v>22487</v>
      </c>
      <c r="IW130" s="16">
        <v>163207</v>
      </c>
      <c r="IX130" s="16">
        <v>17660</v>
      </c>
      <c r="IY130" s="16">
        <v>8589</v>
      </c>
      <c r="IZ130" s="16">
        <v>537</v>
      </c>
      <c r="JA130" s="16">
        <v>11273</v>
      </c>
      <c r="JB130" s="16">
        <v>363</v>
      </c>
      <c r="JC130" s="16">
        <v>930</v>
      </c>
      <c r="JD130" s="16">
        <v>273</v>
      </c>
      <c r="JE130" s="16">
        <v>5629</v>
      </c>
      <c r="JF130" s="16">
        <v>160135</v>
      </c>
      <c r="JG130" s="16">
        <v>196133</v>
      </c>
      <c r="JH130" s="16">
        <v>0</v>
      </c>
      <c r="JI130" s="16">
        <v>0</v>
      </c>
      <c r="JJ130" s="16">
        <v>4487</v>
      </c>
      <c r="JK130" s="16">
        <v>1233</v>
      </c>
      <c r="JL130" s="16">
        <v>0</v>
      </c>
      <c r="JM130" s="16">
        <v>0</v>
      </c>
      <c r="JN130" s="16">
        <v>0</v>
      </c>
      <c r="JO130" s="16">
        <v>0</v>
      </c>
      <c r="JP130" s="16">
        <v>0</v>
      </c>
      <c r="JQ130" s="16">
        <v>0</v>
      </c>
      <c r="JR130" s="16">
        <v>0</v>
      </c>
      <c r="JS130" s="16">
        <v>0</v>
      </c>
      <c r="JT130" s="16">
        <v>0</v>
      </c>
      <c r="JU130" s="16">
        <v>0</v>
      </c>
      <c r="JV130" s="16">
        <v>0</v>
      </c>
      <c r="JW130" s="16">
        <v>0</v>
      </c>
      <c r="JX130" s="16">
        <v>0</v>
      </c>
      <c r="JY130" s="16">
        <v>0</v>
      </c>
      <c r="JZ130" s="16">
        <v>0</v>
      </c>
      <c r="KA130" s="16">
        <v>0</v>
      </c>
      <c r="KB130" s="16">
        <v>0</v>
      </c>
      <c r="KC130" s="16">
        <v>0</v>
      </c>
      <c r="KD130" s="16">
        <v>0</v>
      </c>
      <c r="KE130" s="16">
        <v>0</v>
      </c>
      <c r="KF130" s="16">
        <v>0</v>
      </c>
      <c r="KG130" s="16">
        <v>0</v>
      </c>
      <c r="KH130" s="16">
        <v>0</v>
      </c>
      <c r="KI130" s="16">
        <v>0</v>
      </c>
      <c r="KJ130" s="16">
        <v>1217</v>
      </c>
      <c r="KK130" s="16">
        <v>339037</v>
      </c>
      <c r="KL130" s="16">
        <v>0</v>
      </c>
      <c r="KM130" s="16">
        <v>12796</v>
      </c>
      <c r="KN130" s="16">
        <v>3399</v>
      </c>
      <c r="KO130" s="16">
        <v>0</v>
      </c>
      <c r="KP130" s="16">
        <v>0</v>
      </c>
      <c r="KQ130" s="16">
        <v>0</v>
      </c>
      <c r="KR130" s="16">
        <v>0</v>
      </c>
      <c r="KS130" s="16">
        <v>0</v>
      </c>
      <c r="KT130" s="16">
        <v>0</v>
      </c>
      <c r="KU130" s="16">
        <v>0</v>
      </c>
      <c r="KV130" s="16">
        <v>0</v>
      </c>
      <c r="KW130" s="16">
        <v>0</v>
      </c>
      <c r="KX130" s="16">
        <v>0</v>
      </c>
      <c r="KY130" s="16">
        <v>0</v>
      </c>
      <c r="KZ130" s="16">
        <v>0</v>
      </c>
      <c r="LA130" s="16">
        <v>0</v>
      </c>
      <c r="LB130" s="16">
        <v>0</v>
      </c>
      <c r="LC130" s="16">
        <v>0</v>
      </c>
      <c r="LD130" s="16">
        <v>0</v>
      </c>
      <c r="LE130" s="16">
        <v>0</v>
      </c>
      <c r="LF130" s="16">
        <v>0</v>
      </c>
      <c r="LG130" s="16">
        <v>0</v>
      </c>
      <c r="LH130" s="16">
        <v>0</v>
      </c>
      <c r="LI130" s="16">
        <v>0</v>
      </c>
      <c r="LJ130" s="16">
        <v>0</v>
      </c>
      <c r="LK130" s="16">
        <v>0</v>
      </c>
      <c r="LL130" s="16">
        <v>0</v>
      </c>
      <c r="LM130" s="16">
        <v>0</v>
      </c>
      <c r="LN130" s="16">
        <v>0</v>
      </c>
      <c r="LO130" s="16">
        <v>0</v>
      </c>
      <c r="LP130" s="16">
        <v>0</v>
      </c>
      <c r="LQ130" s="16">
        <v>0</v>
      </c>
      <c r="LR130" s="16">
        <v>0</v>
      </c>
      <c r="LS130" s="16">
        <v>0</v>
      </c>
      <c r="LT130" s="16">
        <v>0</v>
      </c>
      <c r="LU130" s="16">
        <v>0</v>
      </c>
      <c r="LV130" s="16">
        <v>0</v>
      </c>
      <c r="LW130" s="16">
        <v>0</v>
      </c>
      <c r="LX130" s="16">
        <v>0</v>
      </c>
      <c r="LY130" s="16">
        <v>0</v>
      </c>
      <c r="LZ130" s="16">
        <v>0</v>
      </c>
      <c r="MA130" s="16">
        <v>0</v>
      </c>
      <c r="MB130" s="16">
        <v>0</v>
      </c>
      <c r="MC130" s="16">
        <v>0</v>
      </c>
      <c r="MD130" s="16">
        <v>0</v>
      </c>
      <c r="ME130" s="16">
        <v>0</v>
      </c>
      <c r="MF130" s="16">
        <v>0</v>
      </c>
      <c r="MG130" s="16">
        <v>0</v>
      </c>
      <c r="MH130" s="16">
        <v>0</v>
      </c>
      <c r="MI130" s="16">
        <v>0</v>
      </c>
      <c r="MJ130" s="16">
        <v>0</v>
      </c>
      <c r="MK130" s="16">
        <v>0</v>
      </c>
      <c r="ML130" s="16">
        <v>0</v>
      </c>
      <c r="MM130" s="16">
        <v>0</v>
      </c>
      <c r="MN130" s="16">
        <v>0</v>
      </c>
      <c r="MO130" s="16">
        <v>0</v>
      </c>
      <c r="MP130" s="16">
        <v>0</v>
      </c>
      <c r="MQ130" s="16">
        <v>0</v>
      </c>
      <c r="MR130" s="16">
        <v>0</v>
      </c>
      <c r="MS130" s="16">
        <v>0</v>
      </c>
      <c r="MT130" s="16">
        <v>0</v>
      </c>
      <c r="MU130" s="16">
        <v>0</v>
      </c>
      <c r="MV130" s="16">
        <v>14560</v>
      </c>
      <c r="MW130" s="16">
        <v>57565</v>
      </c>
      <c r="MX130" s="16">
        <v>0</v>
      </c>
      <c r="MY130" s="16">
        <v>480</v>
      </c>
      <c r="MZ130" s="16">
        <v>4928</v>
      </c>
      <c r="NA130" s="16">
        <v>0</v>
      </c>
      <c r="NB130" s="16">
        <v>0</v>
      </c>
      <c r="NC130" s="16">
        <v>3524</v>
      </c>
      <c r="ND130" s="16">
        <v>0</v>
      </c>
      <c r="NE130" s="16">
        <v>0</v>
      </c>
      <c r="NF130" s="16">
        <v>0</v>
      </c>
      <c r="NG130" s="16">
        <v>0</v>
      </c>
      <c r="NH130" s="16">
        <v>0</v>
      </c>
      <c r="NI130" s="16">
        <v>0</v>
      </c>
      <c r="NJ130" s="16">
        <v>0</v>
      </c>
      <c r="NK130" s="16">
        <v>170839</v>
      </c>
      <c r="NL130" s="16">
        <v>9972</v>
      </c>
      <c r="NM130" s="16">
        <v>0</v>
      </c>
      <c r="NN130" s="16">
        <v>0</v>
      </c>
      <c r="NO130" s="16">
        <v>0</v>
      </c>
      <c r="NP130" s="16">
        <v>0</v>
      </c>
      <c r="NQ130" s="16">
        <v>794</v>
      </c>
      <c r="NR130" s="17">
        <v>23125252</v>
      </c>
    </row>
    <row r="131" spans="1:382" ht="13.5" customHeight="1" x14ac:dyDescent="0.2">
      <c r="A131" s="2" t="s">
        <v>269</v>
      </c>
      <c r="B131" s="16">
        <v>3034</v>
      </c>
      <c r="C131" s="16">
        <v>1146</v>
      </c>
      <c r="D131" s="16">
        <v>1930</v>
      </c>
      <c r="E131" s="16">
        <v>1575</v>
      </c>
      <c r="F131" s="16">
        <v>16463</v>
      </c>
      <c r="G131" s="16">
        <v>3287</v>
      </c>
      <c r="H131" s="16">
        <v>2028</v>
      </c>
      <c r="I131" s="16">
        <v>5565</v>
      </c>
      <c r="J131" s="16">
        <v>625</v>
      </c>
      <c r="K131" s="16">
        <v>0</v>
      </c>
      <c r="L131" s="16">
        <v>108</v>
      </c>
      <c r="M131" s="16">
        <v>9980</v>
      </c>
      <c r="N131" s="16">
        <v>0</v>
      </c>
      <c r="O131" s="16">
        <v>4</v>
      </c>
      <c r="P131" s="16">
        <v>482</v>
      </c>
      <c r="Q131" s="16">
        <v>1644</v>
      </c>
      <c r="R131" s="16">
        <v>854</v>
      </c>
      <c r="S131" s="16">
        <v>766</v>
      </c>
      <c r="T131" s="16">
        <v>0</v>
      </c>
      <c r="U131" s="16">
        <v>2641</v>
      </c>
      <c r="V131" s="16">
        <v>302</v>
      </c>
      <c r="W131" s="16">
        <v>766</v>
      </c>
      <c r="X131" s="16">
        <v>6780</v>
      </c>
      <c r="Y131" s="16">
        <v>26003</v>
      </c>
      <c r="Z131" s="16">
        <v>28</v>
      </c>
      <c r="AA131" s="16">
        <v>31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2693</v>
      </c>
      <c r="AH131" s="16">
        <v>5546</v>
      </c>
      <c r="AI131" s="16">
        <v>798</v>
      </c>
      <c r="AJ131" s="16">
        <v>7350</v>
      </c>
      <c r="AK131" s="16">
        <v>48054</v>
      </c>
      <c r="AL131" s="16">
        <v>33315</v>
      </c>
      <c r="AM131" s="16">
        <v>39251</v>
      </c>
      <c r="AN131" s="16">
        <v>40145</v>
      </c>
      <c r="AO131" s="16">
        <v>62145</v>
      </c>
      <c r="AP131" s="16">
        <v>93</v>
      </c>
      <c r="AQ131" s="16">
        <v>0</v>
      </c>
      <c r="AR131" s="16">
        <v>0</v>
      </c>
      <c r="AS131" s="16">
        <v>1444</v>
      </c>
      <c r="AT131" s="16">
        <v>6256</v>
      </c>
      <c r="AU131" s="16">
        <v>89379</v>
      </c>
      <c r="AV131" s="16">
        <v>2668</v>
      </c>
      <c r="AW131" s="16">
        <v>32095</v>
      </c>
      <c r="AX131" s="16">
        <v>12</v>
      </c>
      <c r="AY131" s="16">
        <v>29742</v>
      </c>
      <c r="AZ131" s="16">
        <v>16033</v>
      </c>
      <c r="BA131" s="16">
        <v>7492</v>
      </c>
      <c r="BB131" s="16">
        <v>24226</v>
      </c>
      <c r="BC131" s="16">
        <v>1183</v>
      </c>
      <c r="BD131" s="16">
        <v>0</v>
      </c>
      <c r="BE131" s="16">
        <v>6000</v>
      </c>
      <c r="BF131" s="16">
        <v>5465</v>
      </c>
      <c r="BG131" s="16">
        <v>9055</v>
      </c>
      <c r="BH131" s="16">
        <v>64977</v>
      </c>
      <c r="BI131" s="16">
        <v>342</v>
      </c>
      <c r="BJ131" s="16">
        <v>346</v>
      </c>
      <c r="BK131" s="16">
        <v>119</v>
      </c>
      <c r="BL131" s="16">
        <v>4435</v>
      </c>
      <c r="BM131" s="16">
        <v>1019</v>
      </c>
      <c r="BN131" s="16">
        <v>1185</v>
      </c>
      <c r="BO131" s="16">
        <v>2306</v>
      </c>
      <c r="BP131" s="16">
        <v>9498</v>
      </c>
      <c r="BQ131" s="16">
        <v>239</v>
      </c>
      <c r="BR131" s="16">
        <v>280</v>
      </c>
      <c r="BS131" s="16">
        <v>175075</v>
      </c>
      <c r="BT131" s="16">
        <v>228</v>
      </c>
      <c r="BU131" s="16">
        <v>7</v>
      </c>
      <c r="BV131" s="16">
        <v>0</v>
      </c>
      <c r="BW131" s="16">
        <v>2482</v>
      </c>
      <c r="BX131" s="16">
        <v>0</v>
      </c>
      <c r="BY131" s="16">
        <v>0</v>
      </c>
      <c r="BZ131" s="16">
        <v>9177</v>
      </c>
      <c r="CA131" s="16">
        <v>11217</v>
      </c>
      <c r="CB131" s="16">
        <v>568</v>
      </c>
      <c r="CC131" s="16">
        <v>345</v>
      </c>
      <c r="CD131" s="16">
        <v>0</v>
      </c>
      <c r="CE131" s="16">
        <v>1756</v>
      </c>
      <c r="CF131" s="16">
        <v>2005</v>
      </c>
      <c r="CG131" s="16">
        <v>1674</v>
      </c>
      <c r="CH131" s="16">
        <v>3340</v>
      </c>
      <c r="CI131" s="16">
        <v>0</v>
      </c>
      <c r="CJ131" s="16">
        <v>2679</v>
      </c>
      <c r="CK131" s="16">
        <v>7507</v>
      </c>
      <c r="CL131" s="16">
        <v>920</v>
      </c>
      <c r="CM131" s="16">
        <v>4386</v>
      </c>
      <c r="CN131" s="16">
        <v>10567</v>
      </c>
      <c r="CO131" s="16">
        <v>20303</v>
      </c>
      <c r="CP131" s="16">
        <v>1544</v>
      </c>
      <c r="CQ131" s="16">
        <v>32131</v>
      </c>
      <c r="CR131" s="16">
        <v>374</v>
      </c>
      <c r="CS131" s="16">
        <v>261</v>
      </c>
      <c r="CT131" s="16">
        <v>2158</v>
      </c>
      <c r="CU131" s="16">
        <v>343</v>
      </c>
      <c r="CV131" s="16">
        <v>2238</v>
      </c>
      <c r="CW131" s="16">
        <v>2033</v>
      </c>
      <c r="CX131" s="16">
        <v>2872</v>
      </c>
      <c r="CY131" s="16">
        <v>452</v>
      </c>
      <c r="CZ131" s="16">
        <v>1955</v>
      </c>
      <c r="DA131" s="16">
        <v>508</v>
      </c>
      <c r="DB131" s="16">
        <v>11385</v>
      </c>
      <c r="DC131" s="16">
        <v>22</v>
      </c>
      <c r="DD131" s="16">
        <v>782</v>
      </c>
      <c r="DE131" s="16">
        <v>4394</v>
      </c>
      <c r="DF131" s="16">
        <v>3926</v>
      </c>
      <c r="DG131" s="16">
        <v>1971</v>
      </c>
      <c r="DH131" s="16">
        <v>19982</v>
      </c>
      <c r="DI131" s="16">
        <v>2585</v>
      </c>
      <c r="DJ131" s="16">
        <v>19557</v>
      </c>
      <c r="DK131" s="16">
        <v>896</v>
      </c>
      <c r="DL131" s="16">
        <v>1076</v>
      </c>
      <c r="DM131" s="16">
        <v>145596</v>
      </c>
      <c r="DN131" s="16">
        <v>21436</v>
      </c>
      <c r="DO131" s="16">
        <v>1009</v>
      </c>
      <c r="DP131" s="16">
        <v>2665</v>
      </c>
      <c r="DQ131" s="16">
        <v>514</v>
      </c>
      <c r="DR131" s="16">
        <v>37638</v>
      </c>
      <c r="DS131" s="16">
        <v>113881</v>
      </c>
      <c r="DT131" s="16">
        <v>8600</v>
      </c>
      <c r="DU131" s="16">
        <v>6617</v>
      </c>
      <c r="DV131" s="16">
        <v>58528</v>
      </c>
      <c r="DW131" s="16">
        <v>46669</v>
      </c>
      <c r="DX131" s="16">
        <v>34728</v>
      </c>
      <c r="DY131" s="16">
        <v>120118</v>
      </c>
      <c r="DZ131" s="16">
        <v>289194</v>
      </c>
      <c r="EA131" s="16">
        <v>608442</v>
      </c>
      <c r="EB131" s="16">
        <v>5</v>
      </c>
      <c r="EC131" s="16">
        <v>73210</v>
      </c>
      <c r="ED131" s="16">
        <v>5372</v>
      </c>
      <c r="EE131" s="16">
        <v>491</v>
      </c>
      <c r="EF131" s="16">
        <v>1335</v>
      </c>
      <c r="EG131" s="16">
        <v>5093</v>
      </c>
      <c r="EH131" s="16">
        <v>3029</v>
      </c>
      <c r="EI131" s="16">
        <v>252</v>
      </c>
      <c r="EJ131" s="16">
        <v>12661</v>
      </c>
      <c r="EK131" s="16">
        <v>75</v>
      </c>
      <c r="EL131" s="16">
        <v>59</v>
      </c>
      <c r="EM131" s="16">
        <v>77</v>
      </c>
      <c r="EN131" s="16">
        <v>2410</v>
      </c>
      <c r="EO131" s="16">
        <v>2812</v>
      </c>
      <c r="EP131" s="16">
        <v>608</v>
      </c>
      <c r="EQ131" s="16">
        <v>414</v>
      </c>
      <c r="ER131" s="16">
        <v>7224</v>
      </c>
      <c r="ES131" s="16">
        <v>2283</v>
      </c>
      <c r="ET131" s="16">
        <v>67454</v>
      </c>
      <c r="EU131" s="16">
        <v>353</v>
      </c>
      <c r="EV131" s="16">
        <v>123</v>
      </c>
      <c r="EW131" s="16">
        <v>110</v>
      </c>
      <c r="EX131" s="16">
        <v>2694</v>
      </c>
      <c r="EY131" s="16">
        <v>130</v>
      </c>
      <c r="EZ131" s="16">
        <v>18</v>
      </c>
      <c r="FA131" s="16">
        <v>253</v>
      </c>
      <c r="FB131" s="16">
        <v>139</v>
      </c>
      <c r="FC131" s="16">
        <v>94</v>
      </c>
      <c r="FD131" s="16">
        <v>6129</v>
      </c>
      <c r="FE131" s="16">
        <v>792</v>
      </c>
      <c r="FF131" s="16">
        <v>1232</v>
      </c>
      <c r="FG131" s="16">
        <v>11865</v>
      </c>
      <c r="FH131" s="16">
        <v>155</v>
      </c>
      <c r="FI131" s="16">
        <v>53</v>
      </c>
      <c r="FJ131" s="16">
        <v>173</v>
      </c>
      <c r="FK131" s="16">
        <v>33</v>
      </c>
      <c r="FL131" s="16">
        <v>17</v>
      </c>
      <c r="FM131" s="16">
        <v>329</v>
      </c>
      <c r="FN131" s="16">
        <v>2024</v>
      </c>
      <c r="FO131" s="16">
        <v>2292</v>
      </c>
      <c r="FP131" s="16">
        <v>980</v>
      </c>
      <c r="FQ131" s="16">
        <v>212963</v>
      </c>
      <c r="FR131" s="16">
        <v>8946</v>
      </c>
      <c r="FS131" s="16">
        <v>13147</v>
      </c>
      <c r="FT131" s="16">
        <v>13239</v>
      </c>
      <c r="FU131" s="16">
        <v>3918</v>
      </c>
      <c r="FV131" s="16">
        <v>112228</v>
      </c>
      <c r="FW131" s="16">
        <v>29700</v>
      </c>
      <c r="FX131" s="16">
        <v>123638</v>
      </c>
      <c r="FY131" s="16">
        <v>31139</v>
      </c>
      <c r="FZ131" s="16">
        <v>47654</v>
      </c>
      <c r="GA131" s="16">
        <v>7512</v>
      </c>
      <c r="GB131" s="16">
        <v>42059</v>
      </c>
      <c r="GC131" s="16">
        <v>5861</v>
      </c>
      <c r="GD131" s="16">
        <v>51752</v>
      </c>
      <c r="GE131" s="16">
        <v>75461</v>
      </c>
      <c r="GF131" s="16">
        <v>176183</v>
      </c>
      <c r="GG131" s="16">
        <v>76001</v>
      </c>
      <c r="GH131" s="16">
        <v>43225</v>
      </c>
      <c r="GI131" s="16">
        <v>12484</v>
      </c>
      <c r="GJ131" s="16">
        <v>47395</v>
      </c>
      <c r="GK131" s="16">
        <v>26609</v>
      </c>
      <c r="GL131" s="16">
        <v>60</v>
      </c>
      <c r="GM131" s="16">
        <v>12502</v>
      </c>
      <c r="GN131" s="16">
        <v>3198</v>
      </c>
      <c r="GO131" s="16">
        <v>2525</v>
      </c>
      <c r="GP131" s="16">
        <v>36268</v>
      </c>
      <c r="GQ131" s="16">
        <v>4778</v>
      </c>
      <c r="GR131" s="16">
        <v>5635</v>
      </c>
      <c r="GS131" s="16">
        <v>12466</v>
      </c>
      <c r="GT131" s="16">
        <v>2257</v>
      </c>
      <c r="GU131" s="16">
        <v>39843</v>
      </c>
      <c r="GV131" s="16">
        <v>21744</v>
      </c>
      <c r="GW131" s="16">
        <v>23850</v>
      </c>
      <c r="GX131" s="16">
        <v>6484</v>
      </c>
      <c r="GY131" s="16">
        <v>444</v>
      </c>
      <c r="GZ131" s="16">
        <v>24958</v>
      </c>
      <c r="HA131" s="16">
        <v>499</v>
      </c>
      <c r="HB131" s="16">
        <v>10028</v>
      </c>
      <c r="HC131" s="16">
        <v>160106</v>
      </c>
      <c r="HD131" s="16">
        <v>210829</v>
      </c>
      <c r="HE131" s="16">
        <v>24024</v>
      </c>
      <c r="HF131" s="16">
        <v>53900</v>
      </c>
      <c r="HG131" s="16">
        <v>48827</v>
      </c>
      <c r="HH131" s="16">
        <v>28150</v>
      </c>
      <c r="HI131" s="16">
        <v>38950</v>
      </c>
      <c r="HJ131" s="16">
        <v>3963</v>
      </c>
      <c r="HK131" s="16">
        <v>16381</v>
      </c>
      <c r="HL131" s="16">
        <v>189423</v>
      </c>
      <c r="HM131" s="16">
        <v>5984</v>
      </c>
      <c r="HN131" s="16">
        <v>46324</v>
      </c>
      <c r="HO131" s="16">
        <v>8523</v>
      </c>
      <c r="HP131" s="16">
        <v>18945</v>
      </c>
      <c r="HQ131" s="16">
        <v>34757</v>
      </c>
      <c r="HR131" s="16">
        <v>65343</v>
      </c>
      <c r="HS131" s="16">
        <v>82397</v>
      </c>
      <c r="HT131" s="16">
        <v>3186</v>
      </c>
      <c r="HU131" s="16">
        <v>17253</v>
      </c>
      <c r="HV131" s="16">
        <v>2372</v>
      </c>
      <c r="HW131" s="16">
        <v>9186</v>
      </c>
      <c r="HX131" s="16">
        <v>12436</v>
      </c>
      <c r="HY131" s="16">
        <v>32242</v>
      </c>
      <c r="HZ131" s="16">
        <v>27059</v>
      </c>
      <c r="IA131" s="16">
        <v>18356</v>
      </c>
      <c r="IB131" s="16">
        <v>1211</v>
      </c>
      <c r="IC131" s="16">
        <v>1459</v>
      </c>
      <c r="ID131" s="16">
        <v>2184</v>
      </c>
      <c r="IE131" s="16">
        <v>289</v>
      </c>
      <c r="IF131" s="16">
        <v>3386</v>
      </c>
      <c r="IG131" s="16">
        <v>23121</v>
      </c>
      <c r="IH131" s="16">
        <v>157471</v>
      </c>
      <c r="II131" s="16">
        <v>20816</v>
      </c>
      <c r="IJ131" s="16">
        <v>8868</v>
      </c>
      <c r="IK131" s="16">
        <v>44947</v>
      </c>
      <c r="IL131" s="16">
        <v>7864</v>
      </c>
      <c r="IM131" s="16">
        <v>2007</v>
      </c>
      <c r="IN131" s="16">
        <v>9526</v>
      </c>
      <c r="IO131" s="16">
        <v>165272</v>
      </c>
      <c r="IP131" s="16">
        <v>6362</v>
      </c>
      <c r="IQ131" s="16">
        <v>237</v>
      </c>
      <c r="IR131" s="16">
        <v>49537</v>
      </c>
      <c r="IS131" s="16">
        <v>24911</v>
      </c>
      <c r="IT131" s="16">
        <v>23989</v>
      </c>
      <c r="IU131" s="16">
        <v>127</v>
      </c>
      <c r="IV131" s="16">
        <v>24137</v>
      </c>
      <c r="IW131" s="16">
        <v>110408</v>
      </c>
      <c r="IX131" s="16">
        <v>74596</v>
      </c>
      <c r="IY131" s="16">
        <v>108357</v>
      </c>
      <c r="IZ131" s="16">
        <v>1732</v>
      </c>
      <c r="JA131" s="16">
        <v>74077</v>
      </c>
      <c r="JB131" s="16">
        <v>1363</v>
      </c>
      <c r="JC131" s="16">
        <v>37564</v>
      </c>
      <c r="JD131" s="16">
        <v>858</v>
      </c>
      <c r="JE131" s="16">
        <v>126326</v>
      </c>
      <c r="JF131" s="16">
        <v>238931</v>
      </c>
      <c r="JG131" s="16">
        <v>188519</v>
      </c>
      <c r="JH131" s="16">
        <v>8944</v>
      </c>
      <c r="JI131" s="16">
        <v>0</v>
      </c>
      <c r="JJ131" s="16">
        <v>40696</v>
      </c>
      <c r="JK131" s="16">
        <v>7119</v>
      </c>
      <c r="JL131" s="16">
        <v>592</v>
      </c>
      <c r="JM131" s="16">
        <v>0</v>
      </c>
      <c r="JN131" s="16">
        <v>0</v>
      </c>
      <c r="JO131" s="16">
        <v>0</v>
      </c>
      <c r="JP131" s="16">
        <v>0</v>
      </c>
      <c r="JQ131" s="16">
        <v>827</v>
      </c>
      <c r="JR131" s="16">
        <v>6024</v>
      </c>
      <c r="JS131" s="16">
        <v>8046</v>
      </c>
      <c r="JT131" s="16">
        <v>0</v>
      </c>
      <c r="JU131" s="16">
        <v>33699</v>
      </c>
      <c r="JV131" s="16">
        <v>2861</v>
      </c>
      <c r="JW131" s="16">
        <v>577221</v>
      </c>
      <c r="JX131" s="16">
        <v>1359209</v>
      </c>
      <c r="JY131" s="16">
        <v>303535</v>
      </c>
      <c r="JZ131" s="16">
        <v>13182</v>
      </c>
      <c r="KA131" s="16">
        <v>8356</v>
      </c>
      <c r="KB131" s="16">
        <v>281</v>
      </c>
      <c r="KC131" s="16">
        <v>0</v>
      </c>
      <c r="KD131" s="16">
        <v>15641</v>
      </c>
      <c r="KE131" s="16">
        <v>930</v>
      </c>
      <c r="KF131" s="16">
        <v>9040</v>
      </c>
      <c r="KG131" s="16">
        <v>373</v>
      </c>
      <c r="KH131" s="16">
        <v>1336</v>
      </c>
      <c r="KI131" s="16">
        <v>14079</v>
      </c>
      <c r="KJ131" s="16">
        <v>5650</v>
      </c>
      <c r="KK131" s="16">
        <v>821893</v>
      </c>
      <c r="KL131" s="16">
        <v>54</v>
      </c>
      <c r="KM131" s="16">
        <v>497</v>
      </c>
      <c r="KN131" s="16">
        <v>4342</v>
      </c>
      <c r="KO131" s="16">
        <v>1040</v>
      </c>
      <c r="KP131" s="16">
        <v>17</v>
      </c>
      <c r="KQ131" s="16">
        <v>717</v>
      </c>
      <c r="KR131" s="16">
        <v>10492</v>
      </c>
      <c r="KS131" s="16">
        <v>2125</v>
      </c>
      <c r="KT131" s="16">
        <v>867</v>
      </c>
      <c r="KU131" s="16">
        <v>4506</v>
      </c>
      <c r="KV131" s="16">
        <v>150167</v>
      </c>
      <c r="KW131" s="16">
        <v>34687</v>
      </c>
      <c r="KX131" s="16">
        <v>17</v>
      </c>
      <c r="KY131" s="16">
        <v>120209</v>
      </c>
      <c r="KZ131" s="16">
        <v>1161194</v>
      </c>
      <c r="LA131" s="16">
        <v>677101</v>
      </c>
      <c r="LB131" s="16">
        <v>83038</v>
      </c>
      <c r="LC131" s="16">
        <v>295279</v>
      </c>
      <c r="LD131" s="16">
        <v>164108</v>
      </c>
      <c r="LE131" s="16">
        <v>262</v>
      </c>
      <c r="LF131" s="16">
        <v>580</v>
      </c>
      <c r="LG131" s="16">
        <v>134</v>
      </c>
      <c r="LH131" s="16">
        <v>1730</v>
      </c>
      <c r="LI131" s="16">
        <v>44</v>
      </c>
      <c r="LJ131" s="16">
        <v>4026</v>
      </c>
      <c r="LK131" s="16">
        <v>3137</v>
      </c>
      <c r="LL131" s="16">
        <v>13993</v>
      </c>
      <c r="LM131" s="16">
        <v>51791</v>
      </c>
      <c r="LN131" s="16">
        <v>12519</v>
      </c>
      <c r="LO131" s="16">
        <v>2353</v>
      </c>
      <c r="LP131" s="16">
        <v>72361</v>
      </c>
      <c r="LQ131" s="16">
        <v>0</v>
      </c>
      <c r="LR131" s="16">
        <v>3067</v>
      </c>
      <c r="LS131" s="16">
        <v>1125</v>
      </c>
      <c r="LT131" s="16">
        <v>8884</v>
      </c>
      <c r="LU131" s="16">
        <v>4125</v>
      </c>
      <c r="LV131" s="16">
        <v>27</v>
      </c>
      <c r="LW131" s="16">
        <v>1028</v>
      </c>
      <c r="LX131" s="16">
        <v>5526</v>
      </c>
      <c r="LY131" s="16">
        <v>0</v>
      </c>
      <c r="LZ131" s="16">
        <v>635</v>
      </c>
      <c r="MA131" s="16">
        <v>70</v>
      </c>
      <c r="MB131" s="16">
        <v>24050</v>
      </c>
      <c r="MC131" s="16">
        <v>245</v>
      </c>
      <c r="MD131" s="16">
        <v>126</v>
      </c>
      <c r="ME131" s="16">
        <v>144</v>
      </c>
      <c r="MF131" s="16">
        <v>1209</v>
      </c>
      <c r="MG131" s="16">
        <v>3281</v>
      </c>
      <c r="MH131" s="16">
        <v>1353058</v>
      </c>
      <c r="MI131" s="16">
        <v>3991</v>
      </c>
      <c r="MJ131" s="16">
        <v>70</v>
      </c>
      <c r="MK131" s="16">
        <v>56209</v>
      </c>
      <c r="ML131" s="16">
        <v>388</v>
      </c>
      <c r="MM131" s="16">
        <v>50738</v>
      </c>
      <c r="MN131" s="16">
        <v>148234</v>
      </c>
      <c r="MO131" s="16">
        <v>133603</v>
      </c>
      <c r="MP131" s="16">
        <v>77102</v>
      </c>
      <c r="MQ131" s="16">
        <v>6590</v>
      </c>
      <c r="MR131" s="16">
        <v>28754</v>
      </c>
      <c r="MS131" s="16">
        <v>34506</v>
      </c>
      <c r="MT131" s="16">
        <v>4083</v>
      </c>
      <c r="MU131" s="16">
        <v>108388</v>
      </c>
      <c r="MV131" s="16">
        <v>24368</v>
      </c>
      <c r="MW131" s="16">
        <v>99728</v>
      </c>
      <c r="MX131" s="16">
        <v>2199</v>
      </c>
      <c r="MY131" s="16">
        <v>3979</v>
      </c>
      <c r="MZ131" s="16">
        <v>13557</v>
      </c>
      <c r="NA131" s="16">
        <v>4076</v>
      </c>
      <c r="NB131" s="16">
        <v>42768</v>
      </c>
      <c r="NC131" s="16">
        <v>4152</v>
      </c>
      <c r="ND131" s="16">
        <v>220</v>
      </c>
      <c r="NE131" s="16">
        <v>740</v>
      </c>
      <c r="NF131" s="16">
        <v>0</v>
      </c>
      <c r="NG131" s="16">
        <v>23491</v>
      </c>
      <c r="NH131" s="16">
        <v>7973</v>
      </c>
      <c r="NI131" s="16">
        <v>0</v>
      </c>
      <c r="NJ131" s="16">
        <v>0</v>
      </c>
      <c r="NK131" s="16">
        <v>17114</v>
      </c>
      <c r="NL131" s="16">
        <v>7809</v>
      </c>
      <c r="NM131" s="16">
        <v>0</v>
      </c>
      <c r="NN131" s="16">
        <v>481</v>
      </c>
      <c r="NO131" s="16">
        <v>0</v>
      </c>
      <c r="NP131" s="16">
        <v>21317</v>
      </c>
      <c r="NQ131" s="16">
        <v>1990</v>
      </c>
      <c r="NR131" s="17">
        <v>15235556</v>
      </c>
    </row>
    <row r="132" spans="1:382" ht="13.5" customHeight="1" x14ac:dyDescent="0.2">
      <c r="A132" s="2" t="s">
        <v>271</v>
      </c>
      <c r="B132" s="16">
        <v>808</v>
      </c>
      <c r="C132" s="16">
        <v>1281</v>
      </c>
      <c r="D132" s="16">
        <v>12</v>
      </c>
      <c r="E132" s="16">
        <v>267</v>
      </c>
      <c r="F132" s="16">
        <v>1278</v>
      </c>
      <c r="G132" s="16">
        <v>1791</v>
      </c>
      <c r="H132" s="16">
        <v>22</v>
      </c>
      <c r="I132" s="16">
        <v>0</v>
      </c>
      <c r="J132" s="16">
        <v>0</v>
      </c>
      <c r="K132" s="16">
        <v>0</v>
      </c>
      <c r="L132" s="16">
        <v>119</v>
      </c>
      <c r="M132" s="16">
        <v>5</v>
      </c>
      <c r="N132" s="16">
        <v>0</v>
      </c>
      <c r="O132" s="16">
        <v>1</v>
      </c>
      <c r="P132" s="16">
        <v>405</v>
      </c>
      <c r="Q132" s="16">
        <v>144</v>
      </c>
      <c r="R132" s="16">
        <v>259</v>
      </c>
      <c r="S132" s="16">
        <v>2147</v>
      </c>
      <c r="T132" s="16">
        <v>4</v>
      </c>
      <c r="U132" s="16">
        <v>0</v>
      </c>
      <c r="V132" s="16">
        <v>0</v>
      </c>
      <c r="W132" s="16">
        <v>0</v>
      </c>
      <c r="X132" s="16">
        <v>407</v>
      </c>
      <c r="Y132" s="16">
        <v>561</v>
      </c>
      <c r="Z132" s="16">
        <v>678</v>
      </c>
      <c r="AA132" s="16">
        <v>1</v>
      </c>
      <c r="AB132" s="16">
        <v>0</v>
      </c>
      <c r="AC132" s="16">
        <v>0</v>
      </c>
      <c r="AD132" s="16">
        <v>0</v>
      </c>
      <c r="AE132" s="16">
        <v>152</v>
      </c>
      <c r="AF132" s="16">
        <v>56</v>
      </c>
      <c r="AG132" s="16">
        <v>6364</v>
      </c>
      <c r="AH132" s="16">
        <v>8178</v>
      </c>
      <c r="AI132" s="16">
        <v>232</v>
      </c>
      <c r="AJ132" s="16">
        <v>25</v>
      </c>
      <c r="AK132" s="16">
        <v>113</v>
      </c>
      <c r="AL132" s="16">
        <v>2</v>
      </c>
      <c r="AM132" s="16">
        <v>0</v>
      </c>
      <c r="AN132" s="16">
        <v>27</v>
      </c>
      <c r="AO132" s="16">
        <v>220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9</v>
      </c>
      <c r="AV132" s="16">
        <v>27</v>
      </c>
      <c r="AW132" s="16">
        <v>54</v>
      </c>
      <c r="AX132" s="16">
        <v>49</v>
      </c>
      <c r="AY132" s="16">
        <v>0</v>
      </c>
      <c r="AZ132" s="16">
        <v>10</v>
      </c>
      <c r="BA132" s="16">
        <v>70</v>
      </c>
      <c r="BB132" s="16">
        <v>20</v>
      </c>
      <c r="BC132" s="16">
        <v>10</v>
      </c>
      <c r="BD132" s="16">
        <v>0</v>
      </c>
      <c r="BE132" s="16">
        <v>4</v>
      </c>
      <c r="BF132" s="16">
        <v>0</v>
      </c>
      <c r="BG132" s="16">
        <v>4</v>
      </c>
      <c r="BH132" s="16">
        <v>30</v>
      </c>
      <c r="BI132" s="16">
        <v>0</v>
      </c>
      <c r="BJ132" s="16">
        <v>11</v>
      </c>
      <c r="BK132" s="16">
        <v>12</v>
      </c>
      <c r="BL132" s="16">
        <v>41</v>
      </c>
      <c r="BM132" s="16">
        <v>5</v>
      </c>
      <c r="BN132" s="16">
        <v>353</v>
      </c>
      <c r="BO132" s="16">
        <v>31</v>
      </c>
      <c r="BP132" s="16">
        <v>39</v>
      </c>
      <c r="BQ132" s="16">
        <v>4</v>
      </c>
      <c r="BR132" s="16">
        <v>1</v>
      </c>
      <c r="BS132" s="16">
        <v>6</v>
      </c>
      <c r="BT132" s="16">
        <v>0</v>
      </c>
      <c r="BU132" s="16">
        <v>1</v>
      </c>
      <c r="BV132" s="16">
        <v>0</v>
      </c>
      <c r="BW132" s="16">
        <v>18</v>
      </c>
      <c r="BX132" s="16">
        <v>2</v>
      </c>
      <c r="BY132" s="16">
        <v>0</v>
      </c>
      <c r="BZ132" s="16">
        <v>4</v>
      </c>
      <c r="CA132" s="16">
        <v>4</v>
      </c>
      <c r="CB132" s="16">
        <v>20</v>
      </c>
      <c r="CC132" s="16">
        <v>282</v>
      </c>
      <c r="CD132" s="16">
        <v>195</v>
      </c>
      <c r="CE132" s="16">
        <v>213</v>
      </c>
      <c r="CF132" s="16">
        <v>91</v>
      </c>
      <c r="CG132" s="16">
        <v>44</v>
      </c>
      <c r="CH132" s="16">
        <v>57</v>
      </c>
      <c r="CI132" s="16">
        <v>15</v>
      </c>
      <c r="CJ132" s="16">
        <v>18</v>
      </c>
      <c r="CK132" s="16">
        <v>245</v>
      </c>
      <c r="CL132" s="16">
        <v>334</v>
      </c>
      <c r="CM132" s="16">
        <v>186</v>
      </c>
      <c r="CN132" s="16">
        <v>27</v>
      </c>
      <c r="CO132" s="16">
        <v>32</v>
      </c>
      <c r="CP132" s="16">
        <v>134</v>
      </c>
      <c r="CQ132" s="16">
        <v>733</v>
      </c>
      <c r="CR132" s="16">
        <v>256</v>
      </c>
      <c r="CS132" s="16">
        <v>548</v>
      </c>
      <c r="CT132" s="16">
        <v>920</v>
      </c>
      <c r="CU132" s="16">
        <v>1330</v>
      </c>
      <c r="CV132" s="16">
        <v>1839</v>
      </c>
      <c r="CW132" s="16">
        <v>4190</v>
      </c>
      <c r="CX132" s="16">
        <v>2967</v>
      </c>
      <c r="CY132" s="16">
        <v>906</v>
      </c>
      <c r="CZ132" s="16">
        <v>51</v>
      </c>
      <c r="DA132" s="16">
        <v>1</v>
      </c>
      <c r="DB132" s="16">
        <v>170</v>
      </c>
      <c r="DC132" s="16">
        <v>22</v>
      </c>
      <c r="DD132" s="16">
        <v>742</v>
      </c>
      <c r="DE132" s="16">
        <v>102</v>
      </c>
      <c r="DF132" s="16">
        <v>520</v>
      </c>
      <c r="DG132" s="16">
        <v>225</v>
      </c>
      <c r="DH132" s="16">
        <v>23</v>
      </c>
      <c r="DI132" s="16">
        <v>72</v>
      </c>
      <c r="DJ132" s="16">
        <v>2821</v>
      </c>
      <c r="DK132" s="16">
        <v>94</v>
      </c>
      <c r="DL132" s="16">
        <v>22</v>
      </c>
      <c r="DM132" s="16">
        <v>1215</v>
      </c>
      <c r="DN132" s="16">
        <v>17</v>
      </c>
      <c r="DO132" s="16">
        <v>40</v>
      </c>
      <c r="DP132" s="16">
        <v>87</v>
      </c>
      <c r="DQ132" s="16">
        <v>12</v>
      </c>
      <c r="DR132" s="16">
        <v>53</v>
      </c>
      <c r="DS132" s="16">
        <v>357</v>
      </c>
      <c r="DT132" s="16">
        <v>26</v>
      </c>
      <c r="DU132" s="16">
        <v>15</v>
      </c>
      <c r="DV132" s="16">
        <v>42</v>
      </c>
      <c r="DW132" s="16">
        <v>610</v>
      </c>
      <c r="DX132" s="16">
        <v>908</v>
      </c>
      <c r="DY132" s="16">
        <v>1988</v>
      </c>
      <c r="DZ132" s="16">
        <v>758</v>
      </c>
      <c r="EA132" s="16">
        <v>731</v>
      </c>
      <c r="EB132" s="16">
        <v>129137</v>
      </c>
      <c r="EC132" s="16">
        <v>26895</v>
      </c>
      <c r="ED132" s="16">
        <v>7173</v>
      </c>
      <c r="EE132" s="16">
        <v>0</v>
      </c>
      <c r="EF132" s="16">
        <v>2</v>
      </c>
      <c r="EG132" s="16">
        <v>127</v>
      </c>
      <c r="EH132" s="16">
        <v>14</v>
      </c>
      <c r="EI132" s="16">
        <v>8</v>
      </c>
      <c r="EJ132" s="16">
        <v>239</v>
      </c>
      <c r="EK132" s="16">
        <v>25</v>
      </c>
      <c r="EL132" s="16">
        <v>38</v>
      </c>
      <c r="EM132" s="16">
        <v>1592</v>
      </c>
      <c r="EN132" s="16">
        <v>9344</v>
      </c>
      <c r="EO132" s="16">
        <v>1498</v>
      </c>
      <c r="EP132" s="16">
        <v>577</v>
      </c>
      <c r="EQ132" s="16">
        <v>56</v>
      </c>
      <c r="ER132" s="16">
        <v>12</v>
      </c>
      <c r="ES132" s="16">
        <v>4184</v>
      </c>
      <c r="ET132" s="16">
        <v>2089</v>
      </c>
      <c r="EU132" s="16">
        <v>3</v>
      </c>
      <c r="EV132" s="16">
        <v>72</v>
      </c>
      <c r="EW132" s="16">
        <v>22</v>
      </c>
      <c r="EX132" s="16">
        <v>6474</v>
      </c>
      <c r="EY132" s="16">
        <v>1545</v>
      </c>
      <c r="EZ132" s="16">
        <v>52</v>
      </c>
      <c r="FA132" s="16">
        <v>32</v>
      </c>
      <c r="FB132" s="16">
        <v>184</v>
      </c>
      <c r="FC132" s="16">
        <v>1</v>
      </c>
      <c r="FD132" s="16">
        <v>518</v>
      </c>
      <c r="FE132" s="16">
        <v>70</v>
      </c>
      <c r="FF132" s="16">
        <v>26</v>
      </c>
      <c r="FG132" s="16">
        <v>5</v>
      </c>
      <c r="FH132" s="16">
        <v>0</v>
      </c>
      <c r="FI132" s="16">
        <v>12</v>
      </c>
      <c r="FJ132" s="16">
        <v>1</v>
      </c>
      <c r="FK132" s="16">
        <v>29</v>
      </c>
      <c r="FL132" s="16">
        <v>1</v>
      </c>
      <c r="FM132" s="16">
        <v>1</v>
      </c>
      <c r="FN132" s="16">
        <v>36</v>
      </c>
      <c r="FO132" s="16">
        <v>0</v>
      </c>
      <c r="FP132" s="16">
        <v>52</v>
      </c>
      <c r="FQ132" s="16">
        <v>250</v>
      </c>
      <c r="FR132" s="16">
        <v>267</v>
      </c>
      <c r="FS132" s="16">
        <v>37</v>
      </c>
      <c r="FT132" s="16">
        <v>151</v>
      </c>
      <c r="FU132" s="16">
        <v>1135</v>
      </c>
      <c r="FV132" s="16">
        <v>3869</v>
      </c>
      <c r="FW132" s="16">
        <v>1116</v>
      </c>
      <c r="FX132" s="16">
        <v>2190</v>
      </c>
      <c r="FY132" s="16">
        <v>38</v>
      </c>
      <c r="FZ132" s="16">
        <v>41</v>
      </c>
      <c r="GA132" s="16">
        <v>11</v>
      </c>
      <c r="GB132" s="16">
        <v>650</v>
      </c>
      <c r="GC132" s="16">
        <v>49</v>
      </c>
      <c r="GD132" s="16">
        <v>6419</v>
      </c>
      <c r="GE132" s="16">
        <v>4</v>
      </c>
      <c r="GF132" s="16">
        <v>90</v>
      </c>
      <c r="GG132" s="16">
        <v>1</v>
      </c>
      <c r="GH132" s="16">
        <v>137</v>
      </c>
      <c r="GI132" s="16">
        <v>57</v>
      </c>
      <c r="GJ132" s="16">
        <v>262</v>
      </c>
      <c r="GK132" s="16">
        <v>24</v>
      </c>
      <c r="GL132" s="16">
        <v>1</v>
      </c>
      <c r="GM132" s="16">
        <v>3</v>
      </c>
      <c r="GN132" s="16">
        <v>6</v>
      </c>
      <c r="GO132" s="16">
        <v>23</v>
      </c>
      <c r="GP132" s="16">
        <v>1</v>
      </c>
      <c r="GQ132" s="16">
        <v>0</v>
      </c>
      <c r="GR132" s="16">
        <v>4</v>
      </c>
      <c r="GS132" s="16">
        <v>10</v>
      </c>
      <c r="GT132" s="16">
        <v>18</v>
      </c>
      <c r="GU132" s="16">
        <v>197</v>
      </c>
      <c r="GV132" s="16">
        <v>190</v>
      </c>
      <c r="GW132" s="16">
        <v>21</v>
      </c>
      <c r="GX132" s="16">
        <v>7</v>
      </c>
      <c r="GY132" s="16">
        <v>1</v>
      </c>
      <c r="GZ132" s="16">
        <v>16</v>
      </c>
      <c r="HA132" s="16">
        <v>83</v>
      </c>
      <c r="HB132" s="16">
        <v>8</v>
      </c>
      <c r="HC132" s="16">
        <v>92</v>
      </c>
      <c r="HD132" s="16">
        <v>92</v>
      </c>
      <c r="HE132" s="16">
        <v>62</v>
      </c>
      <c r="HF132" s="16">
        <v>374</v>
      </c>
      <c r="HG132" s="16">
        <v>1</v>
      </c>
      <c r="HH132" s="16">
        <v>4</v>
      </c>
      <c r="HI132" s="16">
        <v>153</v>
      </c>
      <c r="HJ132" s="16">
        <v>26</v>
      </c>
      <c r="HK132" s="16">
        <v>40</v>
      </c>
      <c r="HL132" s="16">
        <v>403</v>
      </c>
      <c r="HM132" s="16">
        <v>35</v>
      </c>
      <c r="HN132" s="16">
        <v>840</v>
      </c>
      <c r="HO132" s="16">
        <v>8</v>
      </c>
      <c r="HP132" s="16">
        <v>47</v>
      </c>
      <c r="HQ132" s="16">
        <v>74478</v>
      </c>
      <c r="HR132" s="16">
        <v>325</v>
      </c>
      <c r="HS132" s="16">
        <v>564</v>
      </c>
      <c r="HT132" s="16">
        <v>3</v>
      </c>
      <c r="HU132" s="16">
        <v>1176</v>
      </c>
      <c r="HV132" s="16">
        <v>37553</v>
      </c>
      <c r="HW132" s="16">
        <v>72453</v>
      </c>
      <c r="HX132" s="16">
        <v>198</v>
      </c>
      <c r="HY132" s="16">
        <v>131</v>
      </c>
      <c r="HZ132" s="16">
        <v>254</v>
      </c>
      <c r="IA132" s="16">
        <v>117</v>
      </c>
      <c r="IB132" s="16">
        <v>20</v>
      </c>
      <c r="IC132" s="16">
        <v>26</v>
      </c>
      <c r="ID132" s="16">
        <v>354</v>
      </c>
      <c r="IE132" s="16">
        <v>2</v>
      </c>
      <c r="IF132" s="16">
        <v>611</v>
      </c>
      <c r="IG132" s="16">
        <v>6201</v>
      </c>
      <c r="IH132" s="16">
        <v>1110317</v>
      </c>
      <c r="II132" s="16">
        <v>157746</v>
      </c>
      <c r="IJ132" s="16">
        <v>120160</v>
      </c>
      <c r="IK132" s="16">
        <v>152351</v>
      </c>
      <c r="IL132" s="16">
        <v>42111</v>
      </c>
      <c r="IM132" s="16">
        <v>3557</v>
      </c>
      <c r="IN132" s="16">
        <v>803</v>
      </c>
      <c r="IO132" s="16">
        <v>4664</v>
      </c>
      <c r="IP132" s="16">
        <v>7</v>
      </c>
      <c r="IQ132" s="16">
        <v>3</v>
      </c>
      <c r="IR132" s="16">
        <v>11</v>
      </c>
      <c r="IS132" s="16">
        <v>62</v>
      </c>
      <c r="IT132" s="16">
        <v>323</v>
      </c>
      <c r="IU132" s="16">
        <v>17435</v>
      </c>
      <c r="IV132" s="16">
        <v>26581</v>
      </c>
      <c r="IW132" s="16">
        <v>183</v>
      </c>
      <c r="IX132" s="16">
        <v>34</v>
      </c>
      <c r="IY132" s="16">
        <v>27</v>
      </c>
      <c r="IZ132" s="16">
        <v>24</v>
      </c>
      <c r="JA132" s="16">
        <v>28</v>
      </c>
      <c r="JB132" s="16">
        <v>2</v>
      </c>
      <c r="JC132" s="16">
        <v>54</v>
      </c>
      <c r="JD132" s="16">
        <v>5</v>
      </c>
      <c r="JE132" s="16">
        <v>473</v>
      </c>
      <c r="JF132" s="16">
        <v>19</v>
      </c>
      <c r="JG132" s="16">
        <v>7855</v>
      </c>
      <c r="JH132" s="16">
        <v>26979</v>
      </c>
      <c r="JI132" s="16">
        <v>0</v>
      </c>
      <c r="JJ132" s="16">
        <v>0</v>
      </c>
      <c r="JK132" s="16">
        <v>2</v>
      </c>
      <c r="JL132" s="16">
        <v>0</v>
      </c>
      <c r="JM132" s="16">
        <v>0</v>
      </c>
      <c r="JN132" s="16">
        <v>0</v>
      </c>
      <c r="JO132" s="16">
        <v>3</v>
      </c>
      <c r="JP132" s="16">
        <v>110</v>
      </c>
      <c r="JQ132" s="16">
        <v>0</v>
      </c>
      <c r="JR132" s="16">
        <v>19445</v>
      </c>
      <c r="JS132" s="16">
        <v>19071</v>
      </c>
      <c r="JT132" s="16">
        <v>0</v>
      </c>
      <c r="JU132" s="16">
        <v>33828</v>
      </c>
      <c r="JV132" s="16">
        <v>823</v>
      </c>
      <c r="JW132" s="16">
        <v>411</v>
      </c>
      <c r="JX132" s="16">
        <v>614</v>
      </c>
      <c r="JY132" s="16">
        <v>714</v>
      </c>
      <c r="JZ132" s="16">
        <v>531</v>
      </c>
      <c r="KA132" s="16">
        <v>12</v>
      </c>
      <c r="KB132" s="16">
        <v>1</v>
      </c>
      <c r="KC132" s="16">
        <v>53</v>
      </c>
      <c r="KD132" s="16">
        <v>371</v>
      </c>
      <c r="KE132" s="16">
        <v>28</v>
      </c>
      <c r="KF132" s="16">
        <v>622</v>
      </c>
      <c r="KG132" s="16">
        <v>171</v>
      </c>
      <c r="KH132" s="16">
        <v>14</v>
      </c>
      <c r="KI132" s="16">
        <v>10</v>
      </c>
      <c r="KJ132" s="16">
        <v>77</v>
      </c>
      <c r="KK132" s="16">
        <v>245894</v>
      </c>
      <c r="KL132" s="16">
        <v>1</v>
      </c>
      <c r="KM132" s="16">
        <v>58359</v>
      </c>
      <c r="KN132" s="16">
        <v>148943</v>
      </c>
      <c r="KO132" s="16">
        <v>739</v>
      </c>
      <c r="KP132" s="16">
        <v>6</v>
      </c>
      <c r="KQ132" s="16">
        <v>27453</v>
      </c>
      <c r="KR132" s="16">
        <v>4337</v>
      </c>
      <c r="KS132" s="16">
        <v>3</v>
      </c>
      <c r="KT132" s="16">
        <v>82</v>
      </c>
      <c r="KU132" s="16">
        <v>6130</v>
      </c>
      <c r="KV132" s="16">
        <v>2120</v>
      </c>
      <c r="KW132" s="16">
        <v>9462</v>
      </c>
      <c r="KX132" s="16">
        <v>3</v>
      </c>
      <c r="KY132" s="16">
        <v>219497</v>
      </c>
      <c r="KZ132" s="16">
        <v>6824</v>
      </c>
      <c r="LA132" s="16">
        <v>76</v>
      </c>
      <c r="LB132" s="16">
        <v>29</v>
      </c>
      <c r="LC132" s="16">
        <v>77</v>
      </c>
      <c r="LD132" s="16">
        <v>737</v>
      </c>
      <c r="LE132" s="16">
        <v>84</v>
      </c>
      <c r="LF132" s="16">
        <v>29</v>
      </c>
      <c r="LG132" s="16">
        <v>26</v>
      </c>
      <c r="LH132" s="16">
        <v>343</v>
      </c>
      <c r="LI132" s="16">
        <v>9</v>
      </c>
      <c r="LJ132" s="16">
        <v>5</v>
      </c>
      <c r="LK132" s="16">
        <v>18</v>
      </c>
      <c r="LL132" s="16">
        <v>73</v>
      </c>
      <c r="LM132" s="16">
        <v>444</v>
      </c>
      <c r="LN132" s="16">
        <v>127</v>
      </c>
      <c r="LO132" s="16">
        <v>5</v>
      </c>
      <c r="LP132" s="16">
        <v>3646</v>
      </c>
      <c r="LQ132" s="16">
        <v>15</v>
      </c>
      <c r="LR132" s="16">
        <v>39</v>
      </c>
      <c r="LS132" s="16">
        <v>13</v>
      </c>
      <c r="LT132" s="16">
        <v>373</v>
      </c>
      <c r="LU132" s="16">
        <v>3</v>
      </c>
      <c r="LV132" s="16">
        <v>0</v>
      </c>
      <c r="LW132" s="16">
        <v>243</v>
      </c>
      <c r="LX132" s="16">
        <v>475</v>
      </c>
      <c r="LY132" s="16">
        <v>0</v>
      </c>
      <c r="LZ132" s="16">
        <v>406</v>
      </c>
      <c r="MA132" s="16">
        <v>1755</v>
      </c>
      <c r="MB132" s="16">
        <v>19367</v>
      </c>
      <c r="MC132" s="16">
        <v>0</v>
      </c>
      <c r="MD132" s="16">
        <v>0</v>
      </c>
      <c r="ME132" s="16">
        <v>110</v>
      </c>
      <c r="MF132" s="16">
        <v>3094</v>
      </c>
      <c r="MG132" s="16">
        <v>89</v>
      </c>
      <c r="MH132" s="16">
        <v>346830</v>
      </c>
      <c r="MI132" s="16">
        <v>67</v>
      </c>
      <c r="MJ132" s="16">
        <v>1006</v>
      </c>
      <c r="MK132" s="16">
        <v>7423</v>
      </c>
      <c r="ML132" s="16">
        <v>2121</v>
      </c>
      <c r="MM132" s="16">
        <v>27494</v>
      </c>
      <c r="MN132" s="16">
        <v>168558</v>
      </c>
      <c r="MO132" s="16">
        <v>33810</v>
      </c>
      <c r="MP132" s="16">
        <v>38872</v>
      </c>
      <c r="MQ132" s="16">
        <v>42328</v>
      </c>
      <c r="MR132" s="16">
        <v>319</v>
      </c>
      <c r="MS132" s="16">
        <v>1058</v>
      </c>
      <c r="MT132" s="16">
        <v>12</v>
      </c>
      <c r="MU132" s="16">
        <v>897</v>
      </c>
      <c r="MV132" s="16">
        <v>186</v>
      </c>
      <c r="MW132" s="16">
        <v>5091</v>
      </c>
      <c r="MX132" s="16">
        <v>119</v>
      </c>
      <c r="MY132" s="16">
        <v>22</v>
      </c>
      <c r="MZ132" s="16">
        <v>263</v>
      </c>
      <c r="NA132" s="16">
        <v>26</v>
      </c>
      <c r="NB132" s="16">
        <v>582</v>
      </c>
      <c r="NC132" s="16">
        <v>301</v>
      </c>
      <c r="ND132" s="16">
        <v>1051</v>
      </c>
      <c r="NE132" s="16">
        <v>27</v>
      </c>
      <c r="NF132" s="16">
        <v>11266</v>
      </c>
      <c r="NG132" s="16">
        <v>8427</v>
      </c>
      <c r="NH132" s="16">
        <v>1083</v>
      </c>
      <c r="NI132" s="16">
        <v>9984</v>
      </c>
      <c r="NJ132" s="16">
        <v>6676</v>
      </c>
      <c r="NK132" s="16">
        <v>415340</v>
      </c>
      <c r="NL132" s="16">
        <v>754</v>
      </c>
      <c r="NM132" s="16">
        <v>45</v>
      </c>
      <c r="NN132" s="16">
        <v>74</v>
      </c>
      <c r="NO132" s="16">
        <v>0</v>
      </c>
      <c r="NP132" s="16">
        <v>255</v>
      </c>
      <c r="NQ132" s="16">
        <v>0</v>
      </c>
      <c r="NR132" s="17">
        <v>4102515</v>
      </c>
    </row>
    <row r="133" spans="1:382" ht="13.5" customHeight="1" x14ac:dyDescent="0.2">
      <c r="A133" s="2" t="s">
        <v>273</v>
      </c>
      <c r="B133" s="16">
        <v>2580</v>
      </c>
      <c r="C133" s="16">
        <v>2744</v>
      </c>
      <c r="D133" s="16">
        <v>1759</v>
      </c>
      <c r="E133" s="16">
        <v>1185</v>
      </c>
      <c r="F133" s="16">
        <v>9063</v>
      </c>
      <c r="G133" s="16">
        <v>162</v>
      </c>
      <c r="H133" s="16">
        <v>0</v>
      </c>
      <c r="I133" s="16">
        <v>0</v>
      </c>
      <c r="J133" s="16">
        <v>0</v>
      </c>
      <c r="K133" s="16">
        <v>0</v>
      </c>
      <c r="L133" s="16">
        <v>44</v>
      </c>
      <c r="M133" s="16">
        <v>0</v>
      </c>
      <c r="N133" s="16">
        <v>0</v>
      </c>
      <c r="O133" s="16">
        <v>69</v>
      </c>
      <c r="P133" s="16">
        <v>1406</v>
      </c>
      <c r="Q133" s="16">
        <v>12015</v>
      </c>
      <c r="R133" s="16">
        <v>3883</v>
      </c>
      <c r="S133" s="16">
        <v>0</v>
      </c>
      <c r="T133" s="16">
        <v>103</v>
      </c>
      <c r="U133" s="16">
        <v>0</v>
      </c>
      <c r="V133" s="16">
        <v>0</v>
      </c>
      <c r="W133" s="16">
        <v>11</v>
      </c>
      <c r="X133" s="16">
        <v>1158</v>
      </c>
      <c r="Y133" s="16">
        <v>5372</v>
      </c>
      <c r="Z133" s="16">
        <v>468</v>
      </c>
      <c r="AA133" s="16">
        <v>527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9611</v>
      </c>
      <c r="AH133" s="16">
        <v>4717</v>
      </c>
      <c r="AI133" s="16">
        <v>1631</v>
      </c>
      <c r="AJ133" s="16">
        <v>2036</v>
      </c>
      <c r="AK133" s="16">
        <v>481</v>
      </c>
      <c r="AL133" s="16">
        <v>8</v>
      </c>
      <c r="AM133" s="16">
        <v>443</v>
      </c>
      <c r="AN133" s="16">
        <v>1262</v>
      </c>
      <c r="AO133" s="16">
        <v>566</v>
      </c>
      <c r="AP133" s="16">
        <v>0</v>
      </c>
      <c r="AQ133" s="16">
        <v>0</v>
      </c>
      <c r="AR133" s="16">
        <v>0</v>
      </c>
      <c r="AS133" s="16">
        <v>0</v>
      </c>
      <c r="AT133" s="16">
        <v>291</v>
      </c>
      <c r="AU133" s="16">
        <v>2022</v>
      </c>
      <c r="AV133" s="16">
        <v>1071</v>
      </c>
      <c r="AW133" s="16">
        <v>6760</v>
      </c>
      <c r="AX133" s="16">
        <v>634</v>
      </c>
      <c r="AY133" s="16">
        <v>0</v>
      </c>
      <c r="AZ133" s="16">
        <v>1652</v>
      </c>
      <c r="BA133" s="16">
        <v>1812</v>
      </c>
      <c r="BB133" s="16">
        <v>65</v>
      </c>
      <c r="BC133" s="16">
        <v>1781</v>
      </c>
      <c r="BD133" s="16">
        <v>3</v>
      </c>
      <c r="BE133" s="16">
        <v>161</v>
      </c>
      <c r="BF133" s="16">
        <v>1515</v>
      </c>
      <c r="BG133" s="16">
        <v>487</v>
      </c>
      <c r="BH133" s="16">
        <v>875</v>
      </c>
      <c r="BI133" s="16">
        <v>695</v>
      </c>
      <c r="BJ133" s="16">
        <v>318</v>
      </c>
      <c r="BK133" s="16">
        <v>128</v>
      </c>
      <c r="BL133" s="16">
        <v>8628</v>
      </c>
      <c r="BM133" s="16">
        <v>4354</v>
      </c>
      <c r="BN133" s="16">
        <v>1394</v>
      </c>
      <c r="BO133" s="16">
        <v>18576</v>
      </c>
      <c r="BP133" s="16">
        <v>5946</v>
      </c>
      <c r="BQ133" s="16">
        <v>2318</v>
      </c>
      <c r="BR133" s="16">
        <v>261</v>
      </c>
      <c r="BS133" s="16">
        <v>1853</v>
      </c>
      <c r="BT133" s="16">
        <v>52</v>
      </c>
      <c r="BU133" s="16">
        <v>1</v>
      </c>
      <c r="BV133" s="16">
        <v>0</v>
      </c>
      <c r="BW133" s="16">
        <v>1061</v>
      </c>
      <c r="BX133" s="16">
        <v>60</v>
      </c>
      <c r="BY133" s="16">
        <v>3</v>
      </c>
      <c r="BZ133" s="16">
        <v>10301</v>
      </c>
      <c r="CA133" s="16">
        <v>53009</v>
      </c>
      <c r="CB133" s="16">
        <v>24</v>
      </c>
      <c r="CC133" s="16">
        <v>2687</v>
      </c>
      <c r="CD133" s="16">
        <v>2855</v>
      </c>
      <c r="CE133" s="16">
        <v>5195</v>
      </c>
      <c r="CF133" s="16">
        <v>3218</v>
      </c>
      <c r="CG133" s="16">
        <v>0</v>
      </c>
      <c r="CH133" s="16">
        <v>11398</v>
      </c>
      <c r="CI133" s="16">
        <v>408</v>
      </c>
      <c r="CJ133" s="16">
        <v>6779</v>
      </c>
      <c r="CK133" s="16">
        <v>5553</v>
      </c>
      <c r="CL133" s="16">
        <v>6659</v>
      </c>
      <c r="CM133" s="16">
        <v>2597</v>
      </c>
      <c r="CN133" s="16">
        <v>336</v>
      </c>
      <c r="CO133" s="16">
        <v>17017</v>
      </c>
      <c r="CP133" s="16">
        <v>4326</v>
      </c>
      <c r="CQ133" s="16">
        <v>24714</v>
      </c>
      <c r="CR133" s="16">
        <v>6344</v>
      </c>
      <c r="CS133" s="16">
        <v>2547</v>
      </c>
      <c r="CT133" s="16">
        <v>5474</v>
      </c>
      <c r="CU133" s="16">
        <v>5029</v>
      </c>
      <c r="CV133" s="16">
        <v>4718</v>
      </c>
      <c r="CW133" s="16">
        <v>42451</v>
      </c>
      <c r="CX133" s="16">
        <v>39364</v>
      </c>
      <c r="CY133" s="16">
        <v>6090</v>
      </c>
      <c r="CZ133" s="16">
        <v>1124</v>
      </c>
      <c r="DA133" s="16">
        <v>39</v>
      </c>
      <c r="DB133" s="16">
        <v>2277</v>
      </c>
      <c r="DC133" s="16">
        <v>45</v>
      </c>
      <c r="DD133" s="16">
        <v>753</v>
      </c>
      <c r="DE133" s="16">
        <v>180</v>
      </c>
      <c r="DF133" s="16">
        <v>2244</v>
      </c>
      <c r="DG133" s="16">
        <v>672</v>
      </c>
      <c r="DH133" s="16">
        <v>304</v>
      </c>
      <c r="DI133" s="16">
        <v>207</v>
      </c>
      <c r="DJ133" s="16">
        <v>13572</v>
      </c>
      <c r="DK133" s="16">
        <v>788</v>
      </c>
      <c r="DL133" s="16">
        <v>339</v>
      </c>
      <c r="DM133" s="16">
        <v>36078</v>
      </c>
      <c r="DN133" s="16">
        <v>781</v>
      </c>
      <c r="DO133" s="16">
        <v>3105</v>
      </c>
      <c r="DP133" s="16">
        <v>377</v>
      </c>
      <c r="DQ133" s="16">
        <v>12</v>
      </c>
      <c r="DR133" s="16">
        <v>1321</v>
      </c>
      <c r="DS133" s="16">
        <v>32175</v>
      </c>
      <c r="DT133" s="16">
        <v>1315</v>
      </c>
      <c r="DU133" s="16">
        <v>22</v>
      </c>
      <c r="DV133" s="16">
        <v>933</v>
      </c>
      <c r="DW133" s="16">
        <v>9582</v>
      </c>
      <c r="DX133" s="16">
        <v>21684</v>
      </c>
      <c r="DY133" s="16">
        <v>30054</v>
      </c>
      <c r="DZ133" s="16">
        <v>106556</v>
      </c>
      <c r="EA133" s="16">
        <v>40952</v>
      </c>
      <c r="EB133" s="16">
        <v>35326</v>
      </c>
      <c r="EC133" s="16">
        <v>491815</v>
      </c>
      <c r="ED133" s="16">
        <v>91876</v>
      </c>
      <c r="EE133" s="16">
        <v>51</v>
      </c>
      <c r="EF133" s="16">
        <v>2210</v>
      </c>
      <c r="EG133" s="16">
        <v>42643</v>
      </c>
      <c r="EH133" s="16">
        <v>7901</v>
      </c>
      <c r="EI133" s="16">
        <v>427</v>
      </c>
      <c r="EJ133" s="16">
        <v>2386</v>
      </c>
      <c r="EK133" s="16">
        <v>697</v>
      </c>
      <c r="EL133" s="16">
        <v>2683</v>
      </c>
      <c r="EM133" s="16">
        <v>4972</v>
      </c>
      <c r="EN133" s="16">
        <v>13183</v>
      </c>
      <c r="EO133" s="16">
        <v>23764</v>
      </c>
      <c r="EP133" s="16">
        <v>1954</v>
      </c>
      <c r="EQ133" s="16">
        <v>17949</v>
      </c>
      <c r="ER133" s="16">
        <v>2188</v>
      </c>
      <c r="ES133" s="16">
        <v>1041</v>
      </c>
      <c r="ET133" s="16">
        <v>24168</v>
      </c>
      <c r="EU133" s="16">
        <v>113</v>
      </c>
      <c r="EV133" s="16">
        <v>72</v>
      </c>
      <c r="EW133" s="16">
        <v>438</v>
      </c>
      <c r="EX133" s="16">
        <v>22736</v>
      </c>
      <c r="EY133" s="16">
        <v>3800</v>
      </c>
      <c r="EZ133" s="16">
        <v>510</v>
      </c>
      <c r="FA133" s="16">
        <v>1419</v>
      </c>
      <c r="FB133" s="16">
        <v>2286</v>
      </c>
      <c r="FC133" s="16">
        <v>200</v>
      </c>
      <c r="FD133" s="16">
        <v>42377</v>
      </c>
      <c r="FE133" s="16">
        <v>4690</v>
      </c>
      <c r="FF133" s="16">
        <v>1180</v>
      </c>
      <c r="FG133" s="16">
        <v>34</v>
      </c>
      <c r="FH133" s="16">
        <v>4</v>
      </c>
      <c r="FI133" s="16">
        <v>2788</v>
      </c>
      <c r="FJ133" s="16">
        <v>314</v>
      </c>
      <c r="FK133" s="16">
        <v>0</v>
      </c>
      <c r="FL133" s="16">
        <v>0</v>
      </c>
      <c r="FM133" s="16">
        <v>13</v>
      </c>
      <c r="FN133" s="16">
        <v>7690</v>
      </c>
      <c r="FO133" s="16">
        <v>991</v>
      </c>
      <c r="FP133" s="16">
        <v>13832</v>
      </c>
      <c r="FQ133" s="16">
        <v>93199</v>
      </c>
      <c r="FR133" s="16">
        <v>22624</v>
      </c>
      <c r="FS133" s="16">
        <v>30018</v>
      </c>
      <c r="FT133" s="16">
        <v>42382</v>
      </c>
      <c r="FU133" s="16">
        <v>18982</v>
      </c>
      <c r="FV133" s="16">
        <v>87478</v>
      </c>
      <c r="FW133" s="16">
        <v>1572</v>
      </c>
      <c r="FX133" s="16">
        <v>134224</v>
      </c>
      <c r="FY133" s="16">
        <v>10771</v>
      </c>
      <c r="FZ133" s="16">
        <v>15878</v>
      </c>
      <c r="GA133" s="16">
        <v>4164</v>
      </c>
      <c r="GB133" s="16">
        <v>53663</v>
      </c>
      <c r="GC133" s="16">
        <v>64023</v>
      </c>
      <c r="GD133" s="16">
        <v>179759</v>
      </c>
      <c r="GE133" s="16">
        <v>3264</v>
      </c>
      <c r="GF133" s="16">
        <v>7313</v>
      </c>
      <c r="GG133" s="16">
        <v>3696</v>
      </c>
      <c r="GH133" s="16">
        <v>33634</v>
      </c>
      <c r="GI133" s="16">
        <v>3893</v>
      </c>
      <c r="GJ133" s="16">
        <v>41433</v>
      </c>
      <c r="GK133" s="16">
        <v>10898</v>
      </c>
      <c r="GL133" s="16">
        <v>1</v>
      </c>
      <c r="GM133" s="16">
        <v>465</v>
      </c>
      <c r="GN133" s="16">
        <v>819</v>
      </c>
      <c r="GO133" s="16">
        <v>8340</v>
      </c>
      <c r="GP133" s="16">
        <v>498</v>
      </c>
      <c r="GQ133" s="16">
        <v>17027</v>
      </c>
      <c r="GR133" s="16">
        <v>6171</v>
      </c>
      <c r="GS133" s="16">
        <v>924</v>
      </c>
      <c r="GT133" s="16">
        <v>1488</v>
      </c>
      <c r="GU133" s="16">
        <v>42241</v>
      </c>
      <c r="GV133" s="16">
        <v>61424</v>
      </c>
      <c r="GW133" s="16">
        <v>3047</v>
      </c>
      <c r="GX133" s="16">
        <v>2184</v>
      </c>
      <c r="GY133" s="16">
        <v>362</v>
      </c>
      <c r="GZ133" s="16">
        <v>53687</v>
      </c>
      <c r="HA133" s="16">
        <v>49560</v>
      </c>
      <c r="HB133" s="16">
        <v>34830</v>
      </c>
      <c r="HC133" s="16">
        <v>89992</v>
      </c>
      <c r="HD133" s="16">
        <v>135127</v>
      </c>
      <c r="HE133" s="16">
        <v>2029</v>
      </c>
      <c r="HF133" s="16">
        <v>151212</v>
      </c>
      <c r="HG133" s="16">
        <v>12784</v>
      </c>
      <c r="HH133" s="16">
        <v>12261</v>
      </c>
      <c r="HI133" s="16">
        <v>49011</v>
      </c>
      <c r="HJ133" s="16">
        <v>7516</v>
      </c>
      <c r="HK133" s="16">
        <v>16605</v>
      </c>
      <c r="HL133" s="16">
        <v>341830</v>
      </c>
      <c r="HM133" s="16">
        <v>41300</v>
      </c>
      <c r="HN133" s="16">
        <v>263413</v>
      </c>
      <c r="HO133" s="16">
        <v>209789</v>
      </c>
      <c r="HP133" s="16">
        <v>74471</v>
      </c>
      <c r="HQ133" s="16">
        <v>88075</v>
      </c>
      <c r="HR133" s="16">
        <v>86582</v>
      </c>
      <c r="HS133" s="16">
        <v>74438</v>
      </c>
      <c r="HT133" s="16">
        <v>22937</v>
      </c>
      <c r="HU133" s="16">
        <v>151202</v>
      </c>
      <c r="HV133" s="16">
        <v>52677</v>
      </c>
      <c r="HW133" s="16">
        <v>45391</v>
      </c>
      <c r="HX133" s="16">
        <v>56746</v>
      </c>
      <c r="HY133" s="16">
        <v>4989</v>
      </c>
      <c r="HZ133" s="16">
        <v>52260</v>
      </c>
      <c r="IA133" s="16">
        <v>34964</v>
      </c>
      <c r="IB133" s="16">
        <v>28339</v>
      </c>
      <c r="IC133" s="16">
        <v>12796</v>
      </c>
      <c r="ID133" s="16">
        <v>11971</v>
      </c>
      <c r="IE133" s="16">
        <v>3789</v>
      </c>
      <c r="IF133" s="16">
        <v>7802</v>
      </c>
      <c r="IG133" s="16">
        <v>48774</v>
      </c>
      <c r="IH133" s="16">
        <v>210660</v>
      </c>
      <c r="II133" s="16">
        <v>30269</v>
      </c>
      <c r="IJ133" s="16">
        <v>6602</v>
      </c>
      <c r="IK133" s="16">
        <v>8814</v>
      </c>
      <c r="IL133" s="16">
        <v>13566</v>
      </c>
      <c r="IM133" s="16">
        <v>1717</v>
      </c>
      <c r="IN133" s="16">
        <v>136450</v>
      </c>
      <c r="IO133" s="16">
        <v>869599</v>
      </c>
      <c r="IP133" s="16">
        <v>19001</v>
      </c>
      <c r="IQ133" s="16">
        <v>7048</v>
      </c>
      <c r="IR133" s="16">
        <v>16098</v>
      </c>
      <c r="IS133" s="16">
        <v>44346</v>
      </c>
      <c r="IT133" s="16">
        <v>10550</v>
      </c>
      <c r="IU133" s="16">
        <v>93</v>
      </c>
      <c r="IV133" s="16">
        <v>33105</v>
      </c>
      <c r="IW133" s="16">
        <v>143975</v>
      </c>
      <c r="IX133" s="16">
        <v>12197</v>
      </c>
      <c r="IY133" s="16">
        <v>1581</v>
      </c>
      <c r="IZ133" s="16">
        <v>397</v>
      </c>
      <c r="JA133" s="16">
        <v>26181</v>
      </c>
      <c r="JB133" s="16">
        <v>580</v>
      </c>
      <c r="JC133" s="16">
        <v>293</v>
      </c>
      <c r="JD133" s="16">
        <v>344</v>
      </c>
      <c r="JE133" s="16">
        <v>11238</v>
      </c>
      <c r="JF133" s="16">
        <v>15428</v>
      </c>
      <c r="JG133" s="16">
        <v>94070</v>
      </c>
      <c r="JH133" s="16">
        <v>162270</v>
      </c>
      <c r="JI133" s="16">
        <v>722</v>
      </c>
      <c r="JJ133" s="16">
        <v>2194</v>
      </c>
      <c r="JK133" s="16">
        <v>27559</v>
      </c>
      <c r="JL133" s="16">
        <v>9</v>
      </c>
      <c r="JM133" s="16">
        <v>0</v>
      </c>
      <c r="JN133" s="16">
        <v>0</v>
      </c>
      <c r="JO133" s="16">
        <v>369</v>
      </c>
      <c r="JP133" s="16">
        <v>996</v>
      </c>
      <c r="JQ133" s="16">
        <v>457</v>
      </c>
      <c r="JR133" s="16">
        <v>5862</v>
      </c>
      <c r="JS133" s="16">
        <v>3448</v>
      </c>
      <c r="JT133" s="16">
        <v>0</v>
      </c>
      <c r="JU133" s="16">
        <v>15830</v>
      </c>
      <c r="JV133" s="16">
        <v>1700</v>
      </c>
      <c r="JW133" s="16">
        <v>12469</v>
      </c>
      <c r="JX133" s="16">
        <v>17853</v>
      </c>
      <c r="JY133" s="16">
        <v>5592</v>
      </c>
      <c r="JZ133" s="16">
        <v>5161</v>
      </c>
      <c r="KA133" s="16">
        <v>3597</v>
      </c>
      <c r="KB133" s="16">
        <v>186</v>
      </c>
      <c r="KC133" s="16">
        <v>623</v>
      </c>
      <c r="KD133" s="16">
        <v>10358</v>
      </c>
      <c r="KE133" s="16">
        <v>381</v>
      </c>
      <c r="KF133" s="16">
        <v>15472</v>
      </c>
      <c r="KG133" s="16">
        <v>6398</v>
      </c>
      <c r="KH133" s="16">
        <v>644</v>
      </c>
      <c r="KI133" s="16">
        <v>14382</v>
      </c>
      <c r="KJ133" s="16">
        <v>4025</v>
      </c>
      <c r="KK133" s="16">
        <v>24637</v>
      </c>
      <c r="KL133" s="16">
        <v>17</v>
      </c>
      <c r="KM133" s="16">
        <v>655</v>
      </c>
      <c r="KN133" s="16">
        <v>690</v>
      </c>
      <c r="KO133" s="16">
        <v>1440</v>
      </c>
      <c r="KP133" s="16">
        <v>63</v>
      </c>
      <c r="KQ133" s="16">
        <v>25806</v>
      </c>
      <c r="KR133" s="16">
        <v>22923</v>
      </c>
      <c r="KS133" s="16">
        <v>21</v>
      </c>
      <c r="KT133" s="16">
        <v>25</v>
      </c>
      <c r="KU133" s="16">
        <v>12712</v>
      </c>
      <c r="KV133" s="16">
        <v>19237</v>
      </c>
      <c r="KW133" s="16">
        <v>5388</v>
      </c>
      <c r="KX133" s="16">
        <v>0</v>
      </c>
      <c r="KY133" s="16">
        <v>0</v>
      </c>
      <c r="KZ133" s="16">
        <v>59154</v>
      </c>
      <c r="LA133" s="16">
        <v>82</v>
      </c>
      <c r="LB133" s="16">
        <v>1447</v>
      </c>
      <c r="LC133" s="16">
        <v>79</v>
      </c>
      <c r="LD133" s="16">
        <v>738</v>
      </c>
      <c r="LE133" s="16">
        <v>0</v>
      </c>
      <c r="LF133" s="16">
        <v>0</v>
      </c>
      <c r="LG133" s="16">
        <v>0</v>
      </c>
      <c r="LH133" s="16">
        <v>0</v>
      </c>
      <c r="LI133" s="16">
        <v>9</v>
      </c>
      <c r="LJ133" s="16">
        <v>9</v>
      </c>
      <c r="LK133" s="16">
        <v>0</v>
      </c>
      <c r="LL133" s="16">
        <v>202</v>
      </c>
      <c r="LM133" s="16">
        <v>1453</v>
      </c>
      <c r="LN133" s="16">
        <v>36717</v>
      </c>
      <c r="LO133" s="16">
        <v>383</v>
      </c>
      <c r="LP133" s="16">
        <v>7044</v>
      </c>
      <c r="LQ133" s="16">
        <v>578</v>
      </c>
      <c r="LR133" s="16">
        <v>141</v>
      </c>
      <c r="LS133" s="16">
        <v>67</v>
      </c>
      <c r="LT133" s="16">
        <v>1448</v>
      </c>
      <c r="LU133" s="16">
        <v>0</v>
      </c>
      <c r="LV133" s="16">
        <v>0</v>
      </c>
      <c r="LW133" s="16">
        <v>0</v>
      </c>
      <c r="LX133" s="16">
        <v>0</v>
      </c>
      <c r="LY133" s="16">
        <v>0</v>
      </c>
      <c r="LZ133" s="16">
        <v>923</v>
      </c>
      <c r="MA133" s="16">
        <v>2369</v>
      </c>
      <c r="MB133" s="16">
        <v>0</v>
      </c>
      <c r="MC133" s="16">
        <v>7113</v>
      </c>
      <c r="MD133" s="16">
        <v>3125</v>
      </c>
      <c r="ME133" s="16">
        <v>25</v>
      </c>
      <c r="MF133" s="16">
        <v>14271</v>
      </c>
      <c r="MG133" s="16">
        <v>0</v>
      </c>
      <c r="MH133" s="16">
        <v>0</v>
      </c>
      <c r="MI133" s="16">
        <v>153</v>
      </c>
      <c r="MJ133" s="16">
        <v>0</v>
      </c>
      <c r="MK133" s="16">
        <v>3432</v>
      </c>
      <c r="ML133" s="16">
        <v>639</v>
      </c>
      <c r="MM133" s="16">
        <v>5043</v>
      </c>
      <c r="MN133" s="16">
        <v>715</v>
      </c>
      <c r="MO133" s="16">
        <v>178186</v>
      </c>
      <c r="MP133" s="16">
        <v>0</v>
      </c>
      <c r="MQ133" s="16">
        <v>19201</v>
      </c>
      <c r="MR133" s="16">
        <v>7009</v>
      </c>
      <c r="MS133" s="16">
        <v>727</v>
      </c>
      <c r="MT133" s="16">
        <v>0</v>
      </c>
      <c r="MU133" s="16">
        <v>7761</v>
      </c>
      <c r="MV133" s="16">
        <v>0</v>
      </c>
      <c r="MW133" s="16">
        <v>0</v>
      </c>
      <c r="MX133" s="16">
        <v>42</v>
      </c>
      <c r="MY133" s="16">
        <v>589</v>
      </c>
      <c r="MZ133" s="16">
        <v>2608</v>
      </c>
      <c r="NA133" s="16">
        <v>130</v>
      </c>
      <c r="NB133" s="16">
        <v>3031</v>
      </c>
      <c r="NC133" s="16">
        <v>69</v>
      </c>
      <c r="ND133" s="16">
        <v>29</v>
      </c>
      <c r="NE133" s="16">
        <v>29</v>
      </c>
      <c r="NF133" s="16">
        <v>3257</v>
      </c>
      <c r="NG133" s="16">
        <v>2349</v>
      </c>
      <c r="NH133" s="16">
        <v>175</v>
      </c>
      <c r="NI133" s="16">
        <v>0</v>
      </c>
      <c r="NJ133" s="16">
        <v>0</v>
      </c>
      <c r="NK133" s="16">
        <v>67922</v>
      </c>
      <c r="NL133" s="16">
        <v>20293</v>
      </c>
      <c r="NM133" s="16">
        <v>2672</v>
      </c>
      <c r="NN133" s="16">
        <v>1828</v>
      </c>
      <c r="NO133" s="16">
        <v>0</v>
      </c>
      <c r="NP133" s="16">
        <v>3281</v>
      </c>
      <c r="NQ133" s="16">
        <v>383</v>
      </c>
      <c r="NR133" s="17">
        <v>7529697</v>
      </c>
    </row>
    <row r="134" spans="1:382" ht="13.5" customHeight="1" x14ac:dyDescent="0.2">
      <c r="A134" s="2" t="s">
        <v>275</v>
      </c>
      <c r="B134" s="16">
        <v>583</v>
      </c>
      <c r="C134" s="16">
        <v>0</v>
      </c>
      <c r="D134" s="16">
        <v>9</v>
      </c>
      <c r="E134" s="16">
        <v>8</v>
      </c>
      <c r="F134" s="16">
        <v>1164</v>
      </c>
      <c r="G134" s="16">
        <v>228</v>
      </c>
      <c r="H134" s="16">
        <v>1</v>
      </c>
      <c r="I134" s="16">
        <v>3</v>
      </c>
      <c r="J134" s="16">
        <v>0</v>
      </c>
      <c r="K134" s="16">
        <v>0</v>
      </c>
      <c r="L134" s="16">
        <v>16</v>
      </c>
      <c r="M134" s="16">
        <v>17</v>
      </c>
      <c r="N134" s="16">
        <v>0</v>
      </c>
      <c r="O134" s="16">
        <v>1</v>
      </c>
      <c r="P134" s="16">
        <v>584</v>
      </c>
      <c r="Q134" s="16">
        <v>4110</v>
      </c>
      <c r="R134" s="16">
        <v>760</v>
      </c>
      <c r="S134" s="16">
        <v>13</v>
      </c>
      <c r="T134" s="16">
        <v>18</v>
      </c>
      <c r="U134" s="16">
        <v>0</v>
      </c>
      <c r="V134" s="16">
        <v>9</v>
      </c>
      <c r="W134" s="16">
        <v>3</v>
      </c>
      <c r="X134" s="16">
        <v>416</v>
      </c>
      <c r="Y134" s="16">
        <v>1363</v>
      </c>
      <c r="Z134" s="16">
        <v>32</v>
      </c>
      <c r="AA134" s="16">
        <v>85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955</v>
      </c>
      <c r="AH134" s="16">
        <v>85</v>
      </c>
      <c r="AI134" s="16">
        <v>814</v>
      </c>
      <c r="AJ134" s="16">
        <v>2235</v>
      </c>
      <c r="AK134" s="16">
        <v>8082</v>
      </c>
      <c r="AL134" s="16">
        <v>86</v>
      </c>
      <c r="AM134" s="16">
        <v>1293</v>
      </c>
      <c r="AN134" s="16">
        <v>694</v>
      </c>
      <c r="AO134" s="16">
        <v>5128</v>
      </c>
      <c r="AP134" s="16">
        <v>4</v>
      </c>
      <c r="AQ134" s="16">
        <v>0</v>
      </c>
      <c r="AR134" s="16">
        <v>0</v>
      </c>
      <c r="AS134" s="16">
        <v>0</v>
      </c>
      <c r="AT134" s="16">
        <v>0</v>
      </c>
      <c r="AU134" s="16">
        <v>79</v>
      </c>
      <c r="AV134" s="16">
        <v>37</v>
      </c>
      <c r="AW134" s="16">
        <v>1589</v>
      </c>
      <c r="AX134" s="16">
        <v>11</v>
      </c>
      <c r="AY134" s="16">
        <v>126</v>
      </c>
      <c r="AZ134" s="16">
        <v>45</v>
      </c>
      <c r="BA134" s="16">
        <v>1243</v>
      </c>
      <c r="BB134" s="16">
        <v>411</v>
      </c>
      <c r="BC134" s="16">
        <v>2108</v>
      </c>
      <c r="BD134" s="16">
        <v>0</v>
      </c>
      <c r="BE134" s="16">
        <v>135</v>
      </c>
      <c r="BF134" s="16">
        <v>29</v>
      </c>
      <c r="BG134" s="16">
        <v>91</v>
      </c>
      <c r="BH134" s="16">
        <v>435</v>
      </c>
      <c r="BI134" s="16">
        <v>649</v>
      </c>
      <c r="BJ134" s="16">
        <v>8</v>
      </c>
      <c r="BK134" s="16">
        <v>129</v>
      </c>
      <c r="BL134" s="16">
        <v>1132</v>
      </c>
      <c r="BM134" s="16">
        <v>144</v>
      </c>
      <c r="BN134" s="16">
        <v>364</v>
      </c>
      <c r="BO134" s="16">
        <v>3588</v>
      </c>
      <c r="BP134" s="16">
        <v>2389</v>
      </c>
      <c r="BQ134" s="16">
        <v>178</v>
      </c>
      <c r="BR134" s="16">
        <v>1002</v>
      </c>
      <c r="BS134" s="16">
        <v>15577</v>
      </c>
      <c r="BT134" s="16">
        <v>14902</v>
      </c>
      <c r="BU134" s="16">
        <v>3</v>
      </c>
      <c r="BV134" s="16">
        <v>0</v>
      </c>
      <c r="BW134" s="16">
        <v>7498</v>
      </c>
      <c r="BX134" s="16">
        <v>6</v>
      </c>
      <c r="BY134" s="16">
        <v>0</v>
      </c>
      <c r="BZ134" s="16">
        <v>11404</v>
      </c>
      <c r="CA134" s="16">
        <v>7117</v>
      </c>
      <c r="CB134" s="16">
        <v>30</v>
      </c>
      <c r="CC134" s="16">
        <v>947</v>
      </c>
      <c r="CD134" s="16">
        <v>71</v>
      </c>
      <c r="CE134" s="16">
        <v>556</v>
      </c>
      <c r="CF134" s="16">
        <v>249</v>
      </c>
      <c r="CG134" s="16">
        <v>5</v>
      </c>
      <c r="CH134" s="16">
        <v>113</v>
      </c>
      <c r="CI134" s="16">
        <v>13</v>
      </c>
      <c r="CJ134" s="16">
        <v>304</v>
      </c>
      <c r="CK134" s="16">
        <v>1621</v>
      </c>
      <c r="CL134" s="16">
        <v>476</v>
      </c>
      <c r="CM134" s="16">
        <v>425</v>
      </c>
      <c r="CN134" s="16">
        <v>14</v>
      </c>
      <c r="CO134" s="16">
        <v>7853</v>
      </c>
      <c r="CP134" s="16">
        <v>560</v>
      </c>
      <c r="CQ134" s="16">
        <v>4296</v>
      </c>
      <c r="CR134" s="16">
        <v>532</v>
      </c>
      <c r="CS134" s="16">
        <v>880</v>
      </c>
      <c r="CT134" s="16">
        <v>13</v>
      </c>
      <c r="CU134" s="16">
        <v>54</v>
      </c>
      <c r="CV134" s="16">
        <v>113</v>
      </c>
      <c r="CW134" s="16">
        <v>1129</v>
      </c>
      <c r="CX134" s="16">
        <v>384</v>
      </c>
      <c r="CY134" s="16">
        <v>483</v>
      </c>
      <c r="CZ134" s="16">
        <v>24</v>
      </c>
      <c r="DA134" s="16">
        <v>1</v>
      </c>
      <c r="DB134" s="16">
        <v>14</v>
      </c>
      <c r="DC134" s="16">
        <v>-196</v>
      </c>
      <c r="DD134" s="16">
        <v>1072</v>
      </c>
      <c r="DE134" s="16">
        <v>57</v>
      </c>
      <c r="DF134" s="16">
        <v>1109</v>
      </c>
      <c r="DG134" s="16">
        <v>5</v>
      </c>
      <c r="DH134" s="16">
        <v>323</v>
      </c>
      <c r="DI134" s="16">
        <v>912</v>
      </c>
      <c r="DJ134" s="16">
        <v>13256</v>
      </c>
      <c r="DK134" s="16">
        <v>2292</v>
      </c>
      <c r="DL134" s="16">
        <v>19</v>
      </c>
      <c r="DM134" s="16">
        <v>4175</v>
      </c>
      <c r="DN134" s="16">
        <v>14</v>
      </c>
      <c r="DO134" s="16">
        <v>511</v>
      </c>
      <c r="DP134" s="16">
        <v>402</v>
      </c>
      <c r="DQ134" s="16">
        <v>366</v>
      </c>
      <c r="DR134" s="16">
        <v>160</v>
      </c>
      <c r="DS134" s="16">
        <v>3296</v>
      </c>
      <c r="DT134" s="16">
        <v>2420</v>
      </c>
      <c r="DU134" s="16">
        <v>883</v>
      </c>
      <c r="DV134" s="16">
        <v>365</v>
      </c>
      <c r="DW134" s="16">
        <v>3822</v>
      </c>
      <c r="DX134" s="16">
        <v>7098</v>
      </c>
      <c r="DY134" s="16">
        <v>14773</v>
      </c>
      <c r="DZ134" s="16">
        <v>10901</v>
      </c>
      <c r="EA134" s="16">
        <v>23124</v>
      </c>
      <c r="EB134" s="16">
        <v>7455</v>
      </c>
      <c r="EC134" s="16">
        <v>98005</v>
      </c>
      <c r="ED134" s="16">
        <v>29427</v>
      </c>
      <c r="EE134" s="16">
        <v>0</v>
      </c>
      <c r="EF134" s="16">
        <v>277</v>
      </c>
      <c r="EG134" s="16">
        <v>960</v>
      </c>
      <c r="EH134" s="16">
        <v>91</v>
      </c>
      <c r="EI134" s="16">
        <v>96</v>
      </c>
      <c r="EJ134" s="16">
        <v>336</v>
      </c>
      <c r="EK134" s="16">
        <v>126</v>
      </c>
      <c r="EL134" s="16">
        <v>101</v>
      </c>
      <c r="EM134" s="16">
        <v>596</v>
      </c>
      <c r="EN134" s="16">
        <v>994</v>
      </c>
      <c r="EO134" s="16">
        <v>948</v>
      </c>
      <c r="EP134" s="16">
        <v>33</v>
      </c>
      <c r="EQ134" s="16">
        <v>502</v>
      </c>
      <c r="ER134" s="16">
        <v>330</v>
      </c>
      <c r="ES134" s="16">
        <v>47</v>
      </c>
      <c r="ET134" s="16">
        <v>971</v>
      </c>
      <c r="EU134" s="16">
        <v>3</v>
      </c>
      <c r="EV134" s="16">
        <v>0</v>
      </c>
      <c r="EW134" s="16">
        <v>16</v>
      </c>
      <c r="EX134" s="16">
        <v>3379</v>
      </c>
      <c r="EY134" s="16">
        <v>356</v>
      </c>
      <c r="EZ134" s="16">
        <v>34</v>
      </c>
      <c r="FA134" s="16">
        <v>34</v>
      </c>
      <c r="FB134" s="16">
        <v>186</v>
      </c>
      <c r="FC134" s="16">
        <v>40</v>
      </c>
      <c r="FD134" s="16">
        <v>2921</v>
      </c>
      <c r="FE134" s="16">
        <v>464</v>
      </c>
      <c r="FF134" s="16">
        <v>25</v>
      </c>
      <c r="FG134" s="16">
        <v>3</v>
      </c>
      <c r="FH134" s="16">
        <v>0</v>
      </c>
      <c r="FI134" s="16">
        <v>210</v>
      </c>
      <c r="FJ134" s="16">
        <v>46</v>
      </c>
      <c r="FK134" s="16">
        <v>507</v>
      </c>
      <c r="FL134" s="16">
        <v>0</v>
      </c>
      <c r="FM134" s="16">
        <v>147</v>
      </c>
      <c r="FN134" s="16">
        <v>313</v>
      </c>
      <c r="FO134" s="16">
        <v>200</v>
      </c>
      <c r="FP134" s="16">
        <v>1383</v>
      </c>
      <c r="FQ134" s="16">
        <v>3544</v>
      </c>
      <c r="FR134" s="16">
        <v>1337</v>
      </c>
      <c r="FS134" s="16">
        <v>3755</v>
      </c>
      <c r="FT134" s="16">
        <v>873</v>
      </c>
      <c r="FU134" s="16">
        <v>1025</v>
      </c>
      <c r="FV134" s="16">
        <v>2298</v>
      </c>
      <c r="FW134" s="16">
        <v>386</v>
      </c>
      <c r="FX134" s="16">
        <v>4416</v>
      </c>
      <c r="FY134" s="16">
        <v>802</v>
      </c>
      <c r="FZ134" s="16">
        <v>3553</v>
      </c>
      <c r="GA134" s="16">
        <v>156</v>
      </c>
      <c r="GB134" s="16">
        <v>4962</v>
      </c>
      <c r="GC134" s="16">
        <v>1663</v>
      </c>
      <c r="GD134" s="16">
        <v>3532</v>
      </c>
      <c r="GE134" s="16">
        <v>30</v>
      </c>
      <c r="GF134" s="16">
        <v>107</v>
      </c>
      <c r="GG134" s="16">
        <v>766</v>
      </c>
      <c r="GH134" s="16">
        <v>5943</v>
      </c>
      <c r="GI134" s="16">
        <v>474</v>
      </c>
      <c r="GJ134" s="16">
        <v>1688</v>
      </c>
      <c r="GK134" s="16">
        <v>704</v>
      </c>
      <c r="GL134" s="16">
        <v>3</v>
      </c>
      <c r="GM134" s="16">
        <v>17</v>
      </c>
      <c r="GN134" s="16">
        <v>24</v>
      </c>
      <c r="GO134" s="16">
        <v>1054</v>
      </c>
      <c r="GP134" s="16">
        <v>121</v>
      </c>
      <c r="GQ134" s="16">
        <v>9437</v>
      </c>
      <c r="GR134" s="16">
        <v>61</v>
      </c>
      <c r="GS134" s="16">
        <v>55</v>
      </c>
      <c r="GT134" s="16">
        <v>138</v>
      </c>
      <c r="GU134" s="16">
        <v>15573</v>
      </c>
      <c r="GV134" s="16">
        <v>2543</v>
      </c>
      <c r="GW134" s="16">
        <v>1424</v>
      </c>
      <c r="GX134" s="16">
        <v>854</v>
      </c>
      <c r="GY134" s="16">
        <v>11</v>
      </c>
      <c r="GZ134" s="16">
        <v>1358</v>
      </c>
      <c r="HA134" s="16">
        <v>555</v>
      </c>
      <c r="HB134" s="16">
        <v>1407</v>
      </c>
      <c r="HC134" s="16">
        <v>1278</v>
      </c>
      <c r="HD134" s="16">
        <v>1869</v>
      </c>
      <c r="HE134" s="16">
        <v>58</v>
      </c>
      <c r="HF134" s="16">
        <v>5613</v>
      </c>
      <c r="HG134" s="16">
        <v>1210</v>
      </c>
      <c r="HH134" s="16">
        <v>2143</v>
      </c>
      <c r="HI134" s="16">
        <v>5114</v>
      </c>
      <c r="HJ134" s="16">
        <v>196</v>
      </c>
      <c r="HK134" s="16">
        <v>471</v>
      </c>
      <c r="HL134" s="16">
        <v>7077</v>
      </c>
      <c r="HM134" s="16">
        <v>160</v>
      </c>
      <c r="HN134" s="16">
        <v>2193</v>
      </c>
      <c r="HO134" s="16">
        <v>2800</v>
      </c>
      <c r="HP134" s="16">
        <v>1425</v>
      </c>
      <c r="HQ134" s="16">
        <v>4109</v>
      </c>
      <c r="HR134" s="16">
        <v>3231</v>
      </c>
      <c r="HS134" s="16">
        <v>1112</v>
      </c>
      <c r="HT134" s="16">
        <v>329</v>
      </c>
      <c r="HU134" s="16">
        <v>2221</v>
      </c>
      <c r="HV134" s="16">
        <v>1388</v>
      </c>
      <c r="HW134" s="16">
        <v>3218</v>
      </c>
      <c r="HX134" s="16">
        <v>2334</v>
      </c>
      <c r="HY134" s="16">
        <v>321</v>
      </c>
      <c r="HZ134" s="16">
        <v>1028</v>
      </c>
      <c r="IA134" s="16">
        <v>472</v>
      </c>
      <c r="IB134" s="16">
        <v>1550</v>
      </c>
      <c r="IC134" s="16">
        <v>405</v>
      </c>
      <c r="ID134" s="16">
        <v>223</v>
      </c>
      <c r="IE134" s="16">
        <v>4</v>
      </c>
      <c r="IF134" s="16">
        <v>148</v>
      </c>
      <c r="IG134" s="16">
        <v>1221</v>
      </c>
      <c r="IH134" s="16">
        <v>4533</v>
      </c>
      <c r="II134" s="16">
        <v>644</v>
      </c>
      <c r="IJ134" s="16">
        <v>198</v>
      </c>
      <c r="IK134" s="16">
        <v>412</v>
      </c>
      <c r="IL134" s="16">
        <v>419</v>
      </c>
      <c r="IM134" s="16">
        <v>10</v>
      </c>
      <c r="IN134" s="16">
        <v>4974</v>
      </c>
      <c r="IO134" s="16">
        <v>8756</v>
      </c>
      <c r="IP134" s="16">
        <v>9326</v>
      </c>
      <c r="IQ134" s="16">
        <v>168</v>
      </c>
      <c r="IR134" s="16">
        <v>2800</v>
      </c>
      <c r="IS134" s="16">
        <v>2698</v>
      </c>
      <c r="IT134" s="16">
        <v>77</v>
      </c>
      <c r="IU134" s="16">
        <v>4</v>
      </c>
      <c r="IV134" s="16">
        <v>1650</v>
      </c>
      <c r="IW134" s="16">
        <v>2926</v>
      </c>
      <c r="IX134" s="16">
        <v>1324</v>
      </c>
      <c r="IY134" s="16">
        <v>423</v>
      </c>
      <c r="IZ134" s="16">
        <v>10</v>
      </c>
      <c r="JA134" s="16">
        <v>425</v>
      </c>
      <c r="JB134" s="16">
        <v>49</v>
      </c>
      <c r="JC134" s="16">
        <v>2904</v>
      </c>
      <c r="JD134" s="16">
        <v>7</v>
      </c>
      <c r="JE134" s="16">
        <v>950</v>
      </c>
      <c r="JF134" s="16">
        <v>1100</v>
      </c>
      <c r="JG134" s="16">
        <v>11444</v>
      </c>
      <c r="JH134" s="16">
        <v>418</v>
      </c>
      <c r="JI134" s="16">
        <v>3</v>
      </c>
      <c r="JJ134" s="16">
        <v>96</v>
      </c>
      <c r="JK134" s="16">
        <v>1206</v>
      </c>
      <c r="JL134" s="16">
        <v>1</v>
      </c>
      <c r="JM134" s="16">
        <v>0</v>
      </c>
      <c r="JN134" s="16">
        <v>0</v>
      </c>
      <c r="JO134" s="16">
        <v>73</v>
      </c>
      <c r="JP134" s="16">
        <v>82</v>
      </c>
      <c r="JQ134" s="16">
        <v>9</v>
      </c>
      <c r="JR134" s="16">
        <v>7255</v>
      </c>
      <c r="JS134" s="16">
        <v>2409</v>
      </c>
      <c r="JT134" s="16">
        <v>0</v>
      </c>
      <c r="JU134" s="16">
        <v>11185</v>
      </c>
      <c r="JV134" s="16">
        <v>2165</v>
      </c>
      <c r="JW134" s="16">
        <v>1920</v>
      </c>
      <c r="JX134" s="16">
        <v>3731</v>
      </c>
      <c r="JY134" s="16">
        <v>284</v>
      </c>
      <c r="JZ134" s="16">
        <v>147</v>
      </c>
      <c r="KA134" s="16">
        <v>468</v>
      </c>
      <c r="KB134" s="16">
        <v>6</v>
      </c>
      <c r="KC134" s="16">
        <v>1919</v>
      </c>
      <c r="KD134" s="16">
        <v>4</v>
      </c>
      <c r="KE134" s="16">
        <v>15</v>
      </c>
      <c r="KF134" s="16">
        <v>520</v>
      </c>
      <c r="KG134" s="16">
        <v>1429</v>
      </c>
      <c r="KH134" s="16">
        <v>122</v>
      </c>
      <c r="KI134" s="16">
        <v>700</v>
      </c>
      <c r="KJ134" s="16">
        <v>111</v>
      </c>
      <c r="KK134" s="16">
        <v>25396</v>
      </c>
      <c r="KL134" s="16">
        <v>6</v>
      </c>
      <c r="KM134" s="16">
        <v>76</v>
      </c>
      <c r="KN134" s="16">
        <v>70</v>
      </c>
      <c r="KO134" s="16">
        <v>11024</v>
      </c>
      <c r="KP134" s="16">
        <v>1250</v>
      </c>
      <c r="KQ134" s="16">
        <v>708</v>
      </c>
      <c r="KR134" s="16">
        <v>6912</v>
      </c>
      <c r="KS134" s="16">
        <v>325</v>
      </c>
      <c r="KT134" s="16">
        <v>13</v>
      </c>
      <c r="KU134" s="16">
        <v>1039</v>
      </c>
      <c r="KV134" s="16">
        <v>6851</v>
      </c>
      <c r="KW134" s="16">
        <v>5213</v>
      </c>
      <c r="KX134" s="16">
        <v>3</v>
      </c>
      <c r="KY134" s="16">
        <v>39</v>
      </c>
      <c r="KZ134" s="16">
        <v>120221</v>
      </c>
      <c r="LA134" s="16">
        <v>37380</v>
      </c>
      <c r="LB134" s="16">
        <v>5819</v>
      </c>
      <c r="LC134" s="16">
        <v>25854</v>
      </c>
      <c r="LD134" s="16">
        <v>10686</v>
      </c>
      <c r="LE134" s="16">
        <v>11</v>
      </c>
      <c r="LF134" s="16">
        <v>9</v>
      </c>
      <c r="LG134" s="16">
        <v>4</v>
      </c>
      <c r="LH134" s="16">
        <v>33</v>
      </c>
      <c r="LI134" s="16">
        <v>5</v>
      </c>
      <c r="LJ134" s="16">
        <v>6</v>
      </c>
      <c r="LK134" s="16">
        <v>16</v>
      </c>
      <c r="LL134" s="16">
        <v>21</v>
      </c>
      <c r="LM134" s="16">
        <v>134</v>
      </c>
      <c r="LN134" s="16">
        <v>1948</v>
      </c>
      <c r="LO134" s="16">
        <v>45</v>
      </c>
      <c r="LP134" s="16">
        <v>4983</v>
      </c>
      <c r="LQ134" s="16">
        <v>9</v>
      </c>
      <c r="LR134" s="16">
        <v>255</v>
      </c>
      <c r="LS134" s="16">
        <v>45</v>
      </c>
      <c r="LT134" s="16">
        <v>1767</v>
      </c>
      <c r="LU134" s="16">
        <v>404</v>
      </c>
      <c r="LV134" s="16">
        <v>2</v>
      </c>
      <c r="LW134" s="16">
        <v>768</v>
      </c>
      <c r="LX134" s="16">
        <v>1540</v>
      </c>
      <c r="LY134" s="16">
        <v>0</v>
      </c>
      <c r="LZ134" s="16">
        <v>96</v>
      </c>
      <c r="MA134" s="16">
        <v>330</v>
      </c>
      <c r="MB134" s="16">
        <v>4080</v>
      </c>
      <c r="MC134" s="16">
        <v>510</v>
      </c>
      <c r="MD134" s="16">
        <v>9</v>
      </c>
      <c r="ME134" s="16">
        <v>-5</v>
      </c>
      <c r="MF134" s="16">
        <v>6500</v>
      </c>
      <c r="MG134" s="16">
        <v>247</v>
      </c>
      <c r="MH134" s="16">
        <v>4833</v>
      </c>
      <c r="MI134" s="16">
        <v>45</v>
      </c>
      <c r="MJ134" s="16">
        <v>206</v>
      </c>
      <c r="MK134" s="16">
        <v>564</v>
      </c>
      <c r="ML134" s="16">
        <v>139</v>
      </c>
      <c r="MM134" s="16">
        <v>5013</v>
      </c>
      <c r="MN134" s="16">
        <v>976</v>
      </c>
      <c r="MO134" s="16">
        <v>9207</v>
      </c>
      <c r="MP134" s="16">
        <v>5514</v>
      </c>
      <c r="MQ134" s="16">
        <v>11324</v>
      </c>
      <c r="MR134" s="16">
        <v>2235</v>
      </c>
      <c r="MS134" s="16">
        <v>223</v>
      </c>
      <c r="MT134" s="16">
        <v>0</v>
      </c>
      <c r="MU134" s="16">
        <v>14962</v>
      </c>
      <c r="MV134" s="16">
        <v>374</v>
      </c>
      <c r="MW134" s="16">
        <v>667</v>
      </c>
      <c r="MX134" s="16">
        <v>40</v>
      </c>
      <c r="MY134" s="16">
        <v>93429</v>
      </c>
      <c r="MZ134" s="16">
        <v>169445</v>
      </c>
      <c r="NA134" s="16">
        <v>3855</v>
      </c>
      <c r="NB134" s="16">
        <v>5062</v>
      </c>
      <c r="NC134" s="16">
        <v>74</v>
      </c>
      <c r="ND134" s="16">
        <v>9</v>
      </c>
      <c r="NE134" s="16">
        <v>3</v>
      </c>
      <c r="NF134" s="16">
        <v>1962</v>
      </c>
      <c r="NG134" s="16">
        <v>6862</v>
      </c>
      <c r="NH134" s="16">
        <v>23</v>
      </c>
      <c r="NI134" s="16">
        <v>64</v>
      </c>
      <c r="NJ134" s="16">
        <v>1134</v>
      </c>
      <c r="NK134" s="16">
        <v>3662</v>
      </c>
      <c r="NL134" s="16">
        <v>745</v>
      </c>
      <c r="NM134" s="16">
        <v>3779</v>
      </c>
      <c r="NN134" s="16">
        <v>1228</v>
      </c>
      <c r="NO134" s="16">
        <v>0</v>
      </c>
      <c r="NP134" s="16">
        <v>2281</v>
      </c>
      <c r="NQ134" s="16">
        <v>267</v>
      </c>
      <c r="NR134" s="17">
        <v>1224051</v>
      </c>
    </row>
    <row r="135" spans="1:382" ht="13.5" customHeight="1" x14ac:dyDescent="0.2">
      <c r="A135" s="2" t="s">
        <v>277</v>
      </c>
      <c r="B135" s="16">
        <v>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1541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34701</v>
      </c>
      <c r="CI135" s="16">
        <v>0</v>
      </c>
      <c r="CJ135" s="16">
        <v>0</v>
      </c>
      <c r="CK135" s="16">
        <v>0</v>
      </c>
      <c r="CL135" s="16">
        <v>0</v>
      </c>
      <c r="CM135" s="16">
        <v>0</v>
      </c>
      <c r="CN135" s="16">
        <v>0</v>
      </c>
      <c r="CO135" s="16">
        <v>0</v>
      </c>
      <c r="CP135" s="16">
        <v>0</v>
      </c>
      <c r="CQ135" s="16">
        <v>2352</v>
      </c>
      <c r="CR135" s="16">
        <v>0</v>
      </c>
      <c r="CS135" s="16">
        <v>0</v>
      </c>
      <c r="CT135" s="16">
        <v>0</v>
      </c>
      <c r="CU135" s="16">
        <v>0</v>
      </c>
      <c r="CV135" s="16">
        <v>0</v>
      </c>
      <c r="CW135" s="16">
        <v>0</v>
      </c>
      <c r="CX135" s="16">
        <v>0</v>
      </c>
      <c r="CY135" s="16">
        <v>0</v>
      </c>
      <c r="CZ135" s="16">
        <v>0</v>
      </c>
      <c r="DA135" s="16">
        <v>0</v>
      </c>
      <c r="DB135" s="16">
        <v>0</v>
      </c>
      <c r="DC135" s="16">
        <v>0</v>
      </c>
      <c r="DD135" s="16">
        <v>0</v>
      </c>
      <c r="DE135" s="16">
        <v>0</v>
      </c>
      <c r="DF135" s="16">
        <v>0</v>
      </c>
      <c r="DG135" s="16">
        <v>0</v>
      </c>
      <c r="DH135" s="16">
        <v>0</v>
      </c>
      <c r="DI135" s="16">
        <v>0</v>
      </c>
      <c r="DJ135" s="16">
        <v>0</v>
      </c>
      <c r="DK135" s="16">
        <v>0</v>
      </c>
      <c r="DL135" s="16">
        <v>0</v>
      </c>
      <c r="DM135" s="16">
        <v>0</v>
      </c>
      <c r="DN135" s="16">
        <v>117</v>
      </c>
      <c r="DO135" s="16">
        <v>0</v>
      </c>
      <c r="DP135" s="16">
        <v>7</v>
      </c>
      <c r="DQ135" s="16">
        <v>0</v>
      </c>
      <c r="DR135" s="16">
        <v>0</v>
      </c>
      <c r="DS135" s="16">
        <v>0</v>
      </c>
      <c r="DT135" s="16">
        <v>0</v>
      </c>
      <c r="DU135" s="16">
        <v>0</v>
      </c>
      <c r="DV135" s="16">
        <v>0</v>
      </c>
      <c r="DW135" s="16">
        <v>0</v>
      </c>
      <c r="DX135" s="16">
        <v>6382</v>
      </c>
      <c r="DY135" s="16">
        <v>5196</v>
      </c>
      <c r="DZ135" s="16">
        <v>53557</v>
      </c>
      <c r="EA135" s="16">
        <v>11824</v>
      </c>
      <c r="EB135" s="16">
        <v>172</v>
      </c>
      <c r="EC135" s="16">
        <v>0</v>
      </c>
      <c r="ED135" s="16">
        <v>157</v>
      </c>
      <c r="EE135" s="16">
        <v>5195</v>
      </c>
      <c r="EF135" s="16">
        <v>277614</v>
      </c>
      <c r="EG135" s="16">
        <v>208301</v>
      </c>
      <c r="EH135" s="16">
        <v>48736</v>
      </c>
      <c r="EI135" s="16">
        <v>0</v>
      </c>
      <c r="EJ135" s="16">
        <v>0</v>
      </c>
      <c r="EK135" s="16">
        <v>0</v>
      </c>
      <c r="EL135" s="16">
        <v>0</v>
      </c>
      <c r="EM135" s="16">
        <v>0</v>
      </c>
      <c r="EN135" s="16">
        <v>0</v>
      </c>
      <c r="EO135" s="16">
        <v>0</v>
      </c>
      <c r="EP135" s="16">
        <v>0</v>
      </c>
      <c r="EQ135" s="16">
        <v>575</v>
      </c>
      <c r="ER135" s="16">
        <v>2038</v>
      </c>
      <c r="ES135" s="16">
        <v>56</v>
      </c>
      <c r="ET135" s="16">
        <v>2338</v>
      </c>
      <c r="EU135" s="16">
        <v>0</v>
      </c>
      <c r="EV135" s="16">
        <v>0</v>
      </c>
      <c r="EW135" s="16">
        <v>0</v>
      </c>
      <c r="EX135" s="16">
        <v>0</v>
      </c>
      <c r="EY135" s="16">
        <v>0</v>
      </c>
      <c r="EZ135" s="16">
        <v>0</v>
      </c>
      <c r="FA135" s="16">
        <v>0</v>
      </c>
      <c r="FB135" s="16">
        <v>0</v>
      </c>
      <c r="FC135" s="16">
        <v>0</v>
      </c>
      <c r="FD135" s="16">
        <v>0</v>
      </c>
      <c r="FE135" s="16">
        <v>0</v>
      </c>
      <c r="FF135" s="16">
        <v>0</v>
      </c>
      <c r="FG135" s="16">
        <v>0</v>
      </c>
      <c r="FH135" s="16">
        <v>0</v>
      </c>
      <c r="FI135" s="16">
        <v>0</v>
      </c>
      <c r="FJ135" s="16">
        <v>0</v>
      </c>
      <c r="FK135" s="16">
        <v>0</v>
      </c>
      <c r="FL135" s="16">
        <v>0</v>
      </c>
      <c r="FM135" s="16">
        <v>0</v>
      </c>
      <c r="FN135" s="16">
        <v>0</v>
      </c>
      <c r="FO135" s="16">
        <v>0</v>
      </c>
      <c r="FP135" s="16">
        <v>0</v>
      </c>
      <c r="FQ135" s="16">
        <v>0</v>
      </c>
      <c r="FR135" s="16">
        <v>0</v>
      </c>
      <c r="FS135" s="16">
        <v>0</v>
      </c>
      <c r="FT135" s="16">
        <v>0</v>
      </c>
      <c r="FU135" s="16">
        <v>1543</v>
      </c>
      <c r="FV135" s="16">
        <v>10334</v>
      </c>
      <c r="FW135" s="16">
        <v>126</v>
      </c>
      <c r="FX135" s="16">
        <v>1601</v>
      </c>
      <c r="FY135" s="16">
        <v>1200</v>
      </c>
      <c r="FZ135" s="16">
        <v>0</v>
      </c>
      <c r="GA135" s="16">
        <v>2</v>
      </c>
      <c r="GB135" s="16">
        <v>104</v>
      </c>
      <c r="GC135" s="16">
        <v>325</v>
      </c>
      <c r="GD135" s="16">
        <v>3767</v>
      </c>
      <c r="GE135" s="16">
        <v>1378</v>
      </c>
      <c r="GF135" s="16">
        <v>25834</v>
      </c>
      <c r="GG135" s="16">
        <v>4860</v>
      </c>
      <c r="GH135" s="16">
        <v>12694</v>
      </c>
      <c r="GI135" s="16">
        <v>0</v>
      </c>
      <c r="GJ135" s="16">
        <v>1243</v>
      </c>
      <c r="GK135" s="16">
        <v>1588</v>
      </c>
      <c r="GL135" s="16">
        <v>1</v>
      </c>
      <c r="GM135" s="16">
        <v>21</v>
      </c>
      <c r="GN135" s="16">
        <v>197</v>
      </c>
      <c r="GO135" s="16">
        <v>3</v>
      </c>
      <c r="GP135" s="16">
        <v>11</v>
      </c>
      <c r="GQ135" s="16">
        <v>0</v>
      </c>
      <c r="GR135" s="16">
        <v>73</v>
      </c>
      <c r="GS135" s="16">
        <v>30</v>
      </c>
      <c r="GT135" s="16">
        <v>18</v>
      </c>
      <c r="GU135" s="16">
        <v>272</v>
      </c>
      <c r="GV135" s="16">
        <v>48</v>
      </c>
      <c r="GW135" s="16">
        <v>200</v>
      </c>
      <c r="GX135" s="16">
        <v>5115</v>
      </c>
      <c r="GY135" s="16">
        <v>194</v>
      </c>
      <c r="GZ135" s="16">
        <v>0</v>
      </c>
      <c r="HA135" s="16">
        <v>0</v>
      </c>
      <c r="HB135" s="16">
        <v>12</v>
      </c>
      <c r="HC135" s="16">
        <v>32</v>
      </c>
      <c r="HD135" s="16">
        <v>49</v>
      </c>
      <c r="HE135" s="16">
        <v>0</v>
      </c>
      <c r="HF135" s="16">
        <v>4337</v>
      </c>
      <c r="HG135" s="16">
        <v>348</v>
      </c>
      <c r="HH135" s="16">
        <v>106</v>
      </c>
      <c r="HI135" s="16">
        <v>16</v>
      </c>
      <c r="HJ135" s="16">
        <v>22998</v>
      </c>
      <c r="HK135" s="16">
        <v>6990</v>
      </c>
      <c r="HL135" s="16">
        <v>693</v>
      </c>
      <c r="HM135" s="16">
        <v>0</v>
      </c>
      <c r="HN135" s="16">
        <v>0</v>
      </c>
      <c r="HO135" s="16">
        <v>0</v>
      </c>
      <c r="HP135" s="16">
        <v>72</v>
      </c>
      <c r="HQ135" s="16">
        <v>325</v>
      </c>
      <c r="HR135" s="16">
        <v>68</v>
      </c>
      <c r="HS135" s="16">
        <v>399</v>
      </c>
      <c r="HT135" s="16">
        <v>992</v>
      </c>
      <c r="HU135" s="16">
        <v>165</v>
      </c>
      <c r="HV135" s="16">
        <v>1123</v>
      </c>
      <c r="HW135" s="16">
        <v>200</v>
      </c>
      <c r="HX135" s="16">
        <v>136</v>
      </c>
      <c r="HY135" s="16">
        <v>113</v>
      </c>
      <c r="HZ135" s="16">
        <v>372</v>
      </c>
      <c r="IA135" s="16">
        <v>712</v>
      </c>
      <c r="IB135" s="16">
        <v>0</v>
      </c>
      <c r="IC135" s="16">
        <v>0</v>
      </c>
      <c r="ID135" s="16">
        <v>20</v>
      </c>
      <c r="IE135" s="16">
        <v>34</v>
      </c>
      <c r="IF135" s="16">
        <v>0</v>
      </c>
      <c r="IG135" s="16">
        <v>0</v>
      </c>
      <c r="IH135" s="16">
        <v>529</v>
      </c>
      <c r="II135" s="16">
        <v>70</v>
      </c>
      <c r="IJ135" s="16">
        <v>55</v>
      </c>
      <c r="IK135" s="16">
        <v>192</v>
      </c>
      <c r="IL135" s="16">
        <v>14</v>
      </c>
      <c r="IM135" s="16">
        <v>208</v>
      </c>
      <c r="IN135" s="16">
        <v>191</v>
      </c>
      <c r="IO135" s="16">
        <v>281</v>
      </c>
      <c r="IP135" s="16">
        <v>222</v>
      </c>
      <c r="IQ135" s="16">
        <v>57</v>
      </c>
      <c r="IR135" s="16">
        <v>69</v>
      </c>
      <c r="IS135" s="16">
        <v>394</v>
      </c>
      <c r="IT135" s="16">
        <v>0</v>
      </c>
      <c r="IU135" s="16">
        <v>0</v>
      </c>
      <c r="IV135" s="16">
        <v>2067</v>
      </c>
      <c r="IW135" s="16">
        <v>2803</v>
      </c>
      <c r="IX135" s="16">
        <v>2096</v>
      </c>
      <c r="IY135" s="16">
        <v>11325</v>
      </c>
      <c r="IZ135" s="16">
        <v>0</v>
      </c>
      <c r="JA135" s="16">
        <v>0</v>
      </c>
      <c r="JB135" s="16">
        <v>0</v>
      </c>
      <c r="JC135" s="16">
        <v>0</v>
      </c>
      <c r="JD135" s="16">
        <v>24</v>
      </c>
      <c r="JE135" s="16">
        <v>494</v>
      </c>
      <c r="JF135" s="16">
        <v>1573</v>
      </c>
      <c r="JG135" s="16">
        <v>4433</v>
      </c>
      <c r="JH135" s="16">
        <v>14</v>
      </c>
      <c r="JI135" s="16">
        <v>0</v>
      </c>
      <c r="JJ135" s="16">
        <v>0</v>
      </c>
      <c r="JK135" s="16">
        <v>0</v>
      </c>
      <c r="JL135" s="16">
        <v>0</v>
      </c>
      <c r="JM135" s="16">
        <v>0</v>
      </c>
      <c r="JN135" s="16">
        <v>0</v>
      </c>
      <c r="JO135" s="16">
        <v>0</v>
      </c>
      <c r="JP135" s="16">
        <v>0</v>
      </c>
      <c r="JQ135" s="16">
        <v>40</v>
      </c>
      <c r="JR135" s="16">
        <v>1306</v>
      </c>
      <c r="JS135" s="16">
        <v>0</v>
      </c>
      <c r="JT135" s="16">
        <v>0</v>
      </c>
      <c r="JU135" s="16">
        <v>198</v>
      </c>
      <c r="JV135" s="16">
        <v>5523</v>
      </c>
      <c r="JW135" s="16">
        <v>33811</v>
      </c>
      <c r="JX135" s="16">
        <v>50366</v>
      </c>
      <c r="JY135" s="16">
        <v>39327</v>
      </c>
      <c r="JZ135" s="16">
        <v>2310</v>
      </c>
      <c r="KA135" s="16">
        <v>596</v>
      </c>
      <c r="KB135" s="16">
        <v>41</v>
      </c>
      <c r="KC135" s="16">
        <v>345</v>
      </c>
      <c r="KD135" s="16">
        <v>603</v>
      </c>
      <c r="KE135" s="16">
        <v>85</v>
      </c>
      <c r="KF135" s="16">
        <v>664</v>
      </c>
      <c r="KG135" s="16">
        <v>2412</v>
      </c>
      <c r="KH135" s="16">
        <v>82</v>
      </c>
      <c r="KI135" s="16">
        <v>568</v>
      </c>
      <c r="KJ135" s="16">
        <v>1333</v>
      </c>
      <c r="KK135" s="16">
        <v>29857</v>
      </c>
      <c r="KL135" s="16">
        <v>0</v>
      </c>
      <c r="KM135" s="16">
        <v>0</v>
      </c>
      <c r="KN135" s="16">
        <v>0</v>
      </c>
      <c r="KO135" s="16">
        <v>0</v>
      </c>
      <c r="KP135" s="16">
        <v>0</v>
      </c>
      <c r="KQ135" s="16">
        <v>40</v>
      </c>
      <c r="KR135" s="16">
        <v>1809</v>
      </c>
      <c r="KS135" s="16">
        <v>0</v>
      </c>
      <c r="KT135" s="16">
        <v>0</v>
      </c>
      <c r="KU135" s="16">
        <v>528</v>
      </c>
      <c r="KV135" s="16">
        <v>1413</v>
      </c>
      <c r="KW135" s="16">
        <v>254</v>
      </c>
      <c r="KX135" s="16">
        <v>0</v>
      </c>
      <c r="KY135" s="16">
        <v>0</v>
      </c>
      <c r="KZ135" s="16">
        <v>4652</v>
      </c>
      <c r="LA135" s="16">
        <v>102</v>
      </c>
      <c r="LB135" s="16">
        <v>250</v>
      </c>
      <c r="LC135" s="16">
        <v>62</v>
      </c>
      <c r="LD135" s="16">
        <v>188</v>
      </c>
      <c r="LE135" s="16">
        <v>0</v>
      </c>
      <c r="LF135" s="16">
        <v>0</v>
      </c>
      <c r="LG135" s="16">
        <v>0</v>
      </c>
      <c r="LH135" s="16">
        <v>0</v>
      </c>
      <c r="LI135" s="16">
        <v>0</v>
      </c>
      <c r="LJ135" s="16">
        <v>0</v>
      </c>
      <c r="LK135" s="16">
        <v>0</v>
      </c>
      <c r="LL135" s="16">
        <v>0</v>
      </c>
      <c r="LM135" s="16">
        <v>0</v>
      </c>
      <c r="LN135" s="16">
        <v>0</v>
      </c>
      <c r="LO135" s="16">
        <v>6</v>
      </c>
      <c r="LP135" s="16">
        <v>979</v>
      </c>
      <c r="LQ135" s="16">
        <v>218</v>
      </c>
      <c r="LR135" s="16">
        <v>0</v>
      </c>
      <c r="LS135" s="16">
        <v>0</v>
      </c>
      <c r="LT135" s="16">
        <v>0</v>
      </c>
      <c r="LU135" s="16">
        <v>0</v>
      </c>
      <c r="LV135" s="16">
        <v>0</v>
      </c>
      <c r="LW135" s="16">
        <v>0</v>
      </c>
      <c r="LX135" s="16">
        <v>0</v>
      </c>
      <c r="LY135" s="16">
        <v>0</v>
      </c>
      <c r="LZ135" s="16">
        <v>475</v>
      </c>
      <c r="MA135" s="16">
        <v>109</v>
      </c>
      <c r="MB135" s="16">
        <v>444</v>
      </c>
      <c r="MC135" s="16">
        <v>0</v>
      </c>
      <c r="MD135" s="16">
        <v>0</v>
      </c>
      <c r="ME135" s="16">
        <v>2035</v>
      </c>
      <c r="MF135" s="16">
        <v>1159</v>
      </c>
      <c r="MG135" s="16">
        <v>0</v>
      </c>
      <c r="MH135" s="16">
        <v>0</v>
      </c>
      <c r="MI135" s="16">
        <v>0</v>
      </c>
      <c r="MJ135" s="16">
        <v>0</v>
      </c>
      <c r="MK135" s="16">
        <v>0</v>
      </c>
      <c r="ML135" s="16">
        <v>0</v>
      </c>
      <c r="MM135" s="16">
        <v>445</v>
      </c>
      <c r="MN135" s="16">
        <v>0</v>
      </c>
      <c r="MO135" s="16">
        <v>1253</v>
      </c>
      <c r="MP135" s="16">
        <v>790</v>
      </c>
      <c r="MQ135" s="16">
        <v>1025</v>
      </c>
      <c r="MR135" s="16">
        <v>12</v>
      </c>
      <c r="MS135" s="16">
        <v>51</v>
      </c>
      <c r="MT135" s="16">
        <v>0</v>
      </c>
      <c r="MU135" s="16">
        <v>1349</v>
      </c>
      <c r="MV135" s="16">
        <v>25621</v>
      </c>
      <c r="MW135" s="16">
        <v>12922</v>
      </c>
      <c r="MX135" s="16">
        <v>26</v>
      </c>
      <c r="MY135" s="16">
        <v>374</v>
      </c>
      <c r="MZ135" s="16">
        <v>6263</v>
      </c>
      <c r="NA135" s="16">
        <v>0</v>
      </c>
      <c r="NB135" s="16">
        <v>3672</v>
      </c>
      <c r="NC135" s="16">
        <v>0</v>
      </c>
      <c r="ND135" s="16">
        <v>711</v>
      </c>
      <c r="NE135" s="16">
        <v>0</v>
      </c>
      <c r="NF135" s="16">
        <v>61</v>
      </c>
      <c r="NG135" s="16">
        <v>407</v>
      </c>
      <c r="NH135" s="16">
        <v>197</v>
      </c>
      <c r="NI135" s="16">
        <v>321</v>
      </c>
      <c r="NJ135" s="16">
        <v>2174</v>
      </c>
      <c r="NK135" s="16">
        <v>3</v>
      </c>
      <c r="NL135" s="16">
        <v>26</v>
      </c>
      <c r="NM135" s="16">
        <v>313</v>
      </c>
      <c r="NN135" s="16">
        <v>0</v>
      </c>
      <c r="NO135" s="16">
        <v>0</v>
      </c>
      <c r="NP135" s="16">
        <v>33</v>
      </c>
      <c r="NQ135" s="16">
        <v>129</v>
      </c>
      <c r="NR135" s="17">
        <v>1043432</v>
      </c>
    </row>
    <row r="136" spans="1:382" ht="13.5" customHeight="1" x14ac:dyDescent="0.2">
      <c r="A136" s="2" t="s">
        <v>279</v>
      </c>
      <c r="B136" s="16">
        <v>0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16">
        <v>0</v>
      </c>
      <c r="BF136" s="16">
        <v>0</v>
      </c>
      <c r="BG136" s="16">
        <v>0</v>
      </c>
      <c r="BH136" s="16">
        <v>0</v>
      </c>
      <c r="BI136" s="16">
        <v>0</v>
      </c>
      <c r="BJ136" s="16">
        <v>0</v>
      </c>
      <c r="BK136" s="16">
        <v>0</v>
      </c>
      <c r="BL136" s="16">
        <v>0</v>
      </c>
      <c r="BM136" s="16">
        <v>0</v>
      </c>
      <c r="BN136" s="16">
        <v>0</v>
      </c>
      <c r="BO136" s="16">
        <v>0</v>
      </c>
      <c r="BP136" s="16">
        <v>0</v>
      </c>
      <c r="BQ136" s="16">
        <v>0</v>
      </c>
      <c r="BR136" s="16">
        <v>0</v>
      </c>
      <c r="BS136" s="16">
        <v>0</v>
      </c>
      <c r="BT136" s="16">
        <v>0</v>
      </c>
      <c r="BU136" s="16">
        <v>0</v>
      </c>
      <c r="BV136" s="16">
        <v>0</v>
      </c>
      <c r="BW136" s="16">
        <v>0</v>
      </c>
      <c r="BX136" s="16">
        <v>0</v>
      </c>
      <c r="BY136" s="16">
        <v>0</v>
      </c>
      <c r="BZ136" s="16">
        <v>0</v>
      </c>
      <c r="CA136" s="16">
        <v>0</v>
      </c>
      <c r="CB136" s="16">
        <v>0</v>
      </c>
      <c r="CC136" s="16">
        <v>0</v>
      </c>
      <c r="CD136" s="16">
        <v>0</v>
      </c>
      <c r="CE136" s="16">
        <v>0</v>
      </c>
      <c r="CF136" s="16">
        <v>0</v>
      </c>
      <c r="CG136" s="16">
        <v>0</v>
      </c>
      <c r="CH136" s="16">
        <v>0</v>
      </c>
      <c r="CI136" s="16">
        <v>0</v>
      </c>
      <c r="CJ136" s="16">
        <v>0</v>
      </c>
      <c r="CK136" s="16">
        <v>0</v>
      </c>
      <c r="CL136" s="16">
        <v>0</v>
      </c>
      <c r="CM136" s="16">
        <v>0</v>
      </c>
      <c r="CN136" s="16">
        <v>0</v>
      </c>
      <c r="CO136" s="16">
        <v>0</v>
      </c>
      <c r="CP136" s="16">
        <v>0</v>
      </c>
      <c r="CQ136" s="16">
        <v>0</v>
      </c>
      <c r="CR136" s="16">
        <v>0</v>
      </c>
      <c r="CS136" s="16">
        <v>0</v>
      </c>
      <c r="CT136" s="16">
        <v>0</v>
      </c>
      <c r="CU136" s="16">
        <v>0</v>
      </c>
      <c r="CV136" s="16">
        <v>0</v>
      </c>
      <c r="CW136" s="16">
        <v>0</v>
      </c>
      <c r="CX136" s="16">
        <v>0</v>
      </c>
      <c r="CY136" s="16">
        <v>0</v>
      </c>
      <c r="CZ136" s="16">
        <v>0</v>
      </c>
      <c r="DA136" s="16">
        <v>0</v>
      </c>
      <c r="DB136" s="16">
        <v>0</v>
      </c>
      <c r="DC136" s="16">
        <v>0</v>
      </c>
      <c r="DD136" s="16">
        <v>0</v>
      </c>
      <c r="DE136" s="16">
        <v>0</v>
      </c>
      <c r="DF136" s="16">
        <v>0</v>
      </c>
      <c r="DG136" s="16">
        <v>0</v>
      </c>
      <c r="DH136" s="16">
        <v>0</v>
      </c>
      <c r="DI136" s="16">
        <v>0</v>
      </c>
      <c r="DJ136" s="16">
        <v>0</v>
      </c>
      <c r="DK136" s="16">
        <v>0</v>
      </c>
      <c r="DL136" s="16">
        <v>0</v>
      </c>
      <c r="DM136" s="16">
        <v>0</v>
      </c>
      <c r="DN136" s="16">
        <v>0</v>
      </c>
      <c r="DO136" s="16">
        <v>0</v>
      </c>
      <c r="DP136" s="16">
        <v>0</v>
      </c>
      <c r="DQ136" s="16">
        <v>0</v>
      </c>
      <c r="DR136" s="16">
        <v>0</v>
      </c>
      <c r="DS136" s="16">
        <v>0</v>
      </c>
      <c r="DT136" s="16">
        <v>0</v>
      </c>
      <c r="DU136" s="16">
        <v>0</v>
      </c>
      <c r="DV136" s="16">
        <v>0</v>
      </c>
      <c r="DW136" s="16">
        <v>0</v>
      </c>
      <c r="DX136" s="16">
        <v>0</v>
      </c>
      <c r="DY136" s="16">
        <v>0</v>
      </c>
      <c r="DZ136" s="16">
        <v>0</v>
      </c>
      <c r="EA136" s="16">
        <v>0</v>
      </c>
      <c r="EB136" s="16">
        <v>0</v>
      </c>
      <c r="EC136" s="16">
        <v>0</v>
      </c>
      <c r="ED136" s="16">
        <v>0</v>
      </c>
      <c r="EE136" s="16">
        <v>0</v>
      </c>
      <c r="EF136" s="16">
        <v>324003</v>
      </c>
      <c r="EG136" s="16">
        <v>0</v>
      </c>
      <c r="EH136" s="16">
        <v>0</v>
      </c>
      <c r="EI136" s="16">
        <v>0</v>
      </c>
      <c r="EJ136" s="16">
        <v>0</v>
      </c>
      <c r="EK136" s="16">
        <v>0</v>
      </c>
      <c r="EL136" s="16">
        <v>0</v>
      </c>
      <c r="EM136" s="16">
        <v>0</v>
      </c>
      <c r="EN136" s="16">
        <v>0</v>
      </c>
      <c r="EO136" s="16">
        <v>0</v>
      </c>
      <c r="EP136" s="16">
        <v>0</v>
      </c>
      <c r="EQ136" s="16">
        <v>0</v>
      </c>
      <c r="ER136" s="16">
        <v>0</v>
      </c>
      <c r="ES136" s="16">
        <v>0</v>
      </c>
      <c r="ET136" s="16">
        <v>0</v>
      </c>
      <c r="EU136" s="16">
        <v>0</v>
      </c>
      <c r="EV136" s="16">
        <v>0</v>
      </c>
      <c r="EW136" s="16">
        <v>0</v>
      </c>
      <c r="EX136" s="16">
        <v>0</v>
      </c>
      <c r="EY136" s="16">
        <v>0</v>
      </c>
      <c r="EZ136" s="16">
        <v>0</v>
      </c>
      <c r="FA136" s="16">
        <v>0</v>
      </c>
      <c r="FB136" s="16">
        <v>0</v>
      </c>
      <c r="FC136" s="16">
        <v>0</v>
      </c>
      <c r="FD136" s="16">
        <v>0</v>
      </c>
      <c r="FE136" s="16">
        <v>0</v>
      </c>
      <c r="FF136" s="16">
        <v>0</v>
      </c>
      <c r="FG136" s="16">
        <v>0</v>
      </c>
      <c r="FH136" s="16">
        <v>0</v>
      </c>
      <c r="FI136" s="16">
        <v>0</v>
      </c>
      <c r="FJ136" s="16">
        <v>0</v>
      </c>
      <c r="FK136" s="16">
        <v>0</v>
      </c>
      <c r="FL136" s="16">
        <v>0</v>
      </c>
      <c r="FM136" s="16">
        <v>0</v>
      </c>
      <c r="FN136" s="16">
        <v>0</v>
      </c>
      <c r="FO136" s="16">
        <v>0</v>
      </c>
      <c r="FP136" s="16">
        <v>0</v>
      </c>
      <c r="FQ136" s="16">
        <v>0</v>
      </c>
      <c r="FR136" s="16">
        <v>0</v>
      </c>
      <c r="FS136" s="16">
        <v>0</v>
      </c>
      <c r="FT136" s="16">
        <v>0</v>
      </c>
      <c r="FU136" s="16">
        <v>0</v>
      </c>
      <c r="FV136" s="16">
        <v>0</v>
      </c>
      <c r="FW136" s="16">
        <v>0</v>
      </c>
      <c r="FX136" s="16">
        <v>0</v>
      </c>
      <c r="FY136" s="16">
        <v>0</v>
      </c>
      <c r="FZ136" s="16">
        <v>0</v>
      </c>
      <c r="GA136" s="16">
        <v>0</v>
      </c>
      <c r="GB136" s="16">
        <v>0</v>
      </c>
      <c r="GC136" s="16">
        <v>0</v>
      </c>
      <c r="GD136" s="16">
        <v>0</v>
      </c>
      <c r="GE136" s="16">
        <v>0</v>
      </c>
      <c r="GF136" s="16">
        <v>58041</v>
      </c>
      <c r="GG136" s="16">
        <v>135024</v>
      </c>
      <c r="GH136" s="16">
        <v>1086808</v>
      </c>
      <c r="GI136" s="16">
        <v>0</v>
      </c>
      <c r="GJ136" s="16">
        <v>0</v>
      </c>
      <c r="GK136" s="16">
        <v>0</v>
      </c>
      <c r="GL136" s="16">
        <v>0</v>
      </c>
      <c r="GM136" s="16">
        <v>809</v>
      </c>
      <c r="GN136" s="16">
        <v>0</v>
      </c>
      <c r="GO136" s="16">
        <v>0</v>
      </c>
      <c r="GP136" s="16">
        <v>0</v>
      </c>
      <c r="GQ136" s="16">
        <v>0</v>
      </c>
      <c r="GR136" s="16">
        <v>0</v>
      </c>
      <c r="GS136" s="16">
        <v>0</v>
      </c>
      <c r="GT136" s="16">
        <v>0</v>
      </c>
      <c r="GU136" s="16">
        <v>0</v>
      </c>
      <c r="GV136" s="16">
        <v>5927</v>
      </c>
      <c r="GW136" s="16">
        <v>0</v>
      </c>
      <c r="GX136" s="16">
        <v>3354</v>
      </c>
      <c r="GY136" s="16">
        <v>266</v>
      </c>
      <c r="GZ136" s="16">
        <v>0</v>
      </c>
      <c r="HA136" s="16">
        <v>0</v>
      </c>
      <c r="HB136" s="16">
        <v>0</v>
      </c>
      <c r="HC136" s="16">
        <v>0</v>
      </c>
      <c r="HD136" s="16">
        <v>0</v>
      </c>
      <c r="HE136" s="16">
        <v>0</v>
      </c>
      <c r="HF136" s="16">
        <v>0</v>
      </c>
      <c r="HG136" s="16">
        <v>0</v>
      </c>
      <c r="HH136" s="16">
        <v>0</v>
      </c>
      <c r="HI136" s="16">
        <v>0</v>
      </c>
      <c r="HJ136" s="16">
        <v>0</v>
      </c>
      <c r="HK136" s="16">
        <v>0</v>
      </c>
      <c r="HL136" s="16">
        <v>0</v>
      </c>
      <c r="HM136" s="16">
        <v>0</v>
      </c>
      <c r="HN136" s="16">
        <v>0</v>
      </c>
      <c r="HO136" s="16">
        <v>0</v>
      </c>
      <c r="HP136" s="16">
        <v>0</v>
      </c>
      <c r="HQ136" s="16">
        <v>0</v>
      </c>
      <c r="HR136" s="16">
        <v>0</v>
      </c>
      <c r="HS136" s="16">
        <v>0</v>
      </c>
      <c r="HT136" s="16">
        <v>0</v>
      </c>
      <c r="HU136" s="16">
        <v>0</v>
      </c>
      <c r="HV136" s="16">
        <v>0</v>
      </c>
      <c r="HW136" s="16">
        <v>0</v>
      </c>
      <c r="HX136" s="16">
        <v>0</v>
      </c>
      <c r="HY136" s="16">
        <v>0</v>
      </c>
      <c r="HZ136" s="16">
        <v>0</v>
      </c>
      <c r="IA136" s="16">
        <v>0</v>
      </c>
      <c r="IB136" s="16">
        <v>0</v>
      </c>
      <c r="IC136" s="16">
        <v>0</v>
      </c>
      <c r="ID136" s="16">
        <v>0</v>
      </c>
      <c r="IE136" s="16">
        <v>0</v>
      </c>
      <c r="IF136" s="16">
        <v>0</v>
      </c>
      <c r="IG136" s="16">
        <v>0</v>
      </c>
      <c r="IH136" s="16">
        <v>0</v>
      </c>
      <c r="II136" s="16">
        <v>0</v>
      </c>
      <c r="IJ136" s="16">
        <v>0</v>
      </c>
      <c r="IK136" s="16">
        <v>0</v>
      </c>
      <c r="IL136" s="16">
        <v>0</v>
      </c>
      <c r="IM136" s="16">
        <v>0</v>
      </c>
      <c r="IN136" s="16">
        <v>0</v>
      </c>
      <c r="IO136" s="16">
        <v>0</v>
      </c>
      <c r="IP136" s="16">
        <v>0</v>
      </c>
      <c r="IQ136" s="16">
        <v>0</v>
      </c>
      <c r="IR136" s="16">
        <v>0</v>
      </c>
      <c r="IS136" s="16">
        <v>0</v>
      </c>
      <c r="IT136" s="16">
        <v>0</v>
      </c>
      <c r="IU136" s="16">
        <v>0</v>
      </c>
      <c r="IV136" s="16">
        <v>0</v>
      </c>
      <c r="IW136" s="16">
        <v>0</v>
      </c>
      <c r="IX136" s="16">
        <v>0</v>
      </c>
      <c r="IY136" s="16">
        <v>0</v>
      </c>
      <c r="IZ136" s="16">
        <v>0</v>
      </c>
      <c r="JA136" s="16">
        <v>0</v>
      </c>
      <c r="JB136" s="16">
        <v>0</v>
      </c>
      <c r="JC136" s="16">
        <v>0</v>
      </c>
      <c r="JD136" s="16">
        <v>0</v>
      </c>
      <c r="JE136" s="16">
        <v>0</v>
      </c>
      <c r="JF136" s="16">
        <v>0</v>
      </c>
      <c r="JG136" s="16">
        <v>3165</v>
      </c>
      <c r="JH136" s="16">
        <v>0</v>
      </c>
      <c r="JI136" s="16">
        <v>0</v>
      </c>
      <c r="JJ136" s="16">
        <v>0</v>
      </c>
      <c r="JK136" s="16">
        <v>0</v>
      </c>
      <c r="JL136" s="16">
        <v>0</v>
      </c>
      <c r="JM136" s="16">
        <v>0</v>
      </c>
      <c r="JN136" s="16">
        <v>0</v>
      </c>
      <c r="JO136" s="16">
        <v>0</v>
      </c>
      <c r="JP136" s="16">
        <v>0</v>
      </c>
      <c r="JQ136" s="16">
        <v>0</v>
      </c>
      <c r="JR136" s="16">
        <v>0</v>
      </c>
      <c r="JS136" s="16">
        <v>0</v>
      </c>
      <c r="JT136" s="16">
        <v>0</v>
      </c>
      <c r="JU136" s="16">
        <v>0</v>
      </c>
      <c r="JV136" s="16">
        <v>0</v>
      </c>
      <c r="JW136" s="16">
        <v>0</v>
      </c>
      <c r="JX136" s="16">
        <v>0</v>
      </c>
      <c r="JY136" s="16">
        <v>0</v>
      </c>
      <c r="JZ136" s="16">
        <v>0</v>
      </c>
      <c r="KA136" s="16">
        <v>0</v>
      </c>
      <c r="KB136" s="16">
        <v>0</v>
      </c>
      <c r="KC136" s="16">
        <v>0</v>
      </c>
      <c r="KD136" s="16">
        <v>0</v>
      </c>
      <c r="KE136" s="16">
        <v>0</v>
      </c>
      <c r="KF136" s="16">
        <v>0</v>
      </c>
      <c r="KG136" s="16">
        <v>0</v>
      </c>
      <c r="KH136" s="16">
        <v>0</v>
      </c>
      <c r="KI136" s="16">
        <v>0</v>
      </c>
      <c r="KJ136" s="16">
        <v>0</v>
      </c>
      <c r="KK136" s="16">
        <v>5</v>
      </c>
      <c r="KL136" s="16">
        <v>0</v>
      </c>
      <c r="KM136" s="16">
        <v>0</v>
      </c>
      <c r="KN136" s="16">
        <v>0</v>
      </c>
      <c r="KO136" s="16">
        <v>0</v>
      </c>
      <c r="KP136" s="16">
        <v>0</v>
      </c>
      <c r="KQ136" s="16">
        <v>0</v>
      </c>
      <c r="KR136" s="16">
        <v>0</v>
      </c>
      <c r="KS136" s="16">
        <v>0</v>
      </c>
      <c r="KT136" s="16">
        <v>0</v>
      </c>
      <c r="KU136" s="16">
        <v>0</v>
      </c>
      <c r="KV136" s="16">
        <v>0</v>
      </c>
      <c r="KW136" s="16">
        <v>0</v>
      </c>
      <c r="KX136" s="16">
        <v>0</v>
      </c>
      <c r="KY136" s="16">
        <v>0</v>
      </c>
      <c r="KZ136" s="16">
        <v>0</v>
      </c>
      <c r="LA136" s="16">
        <v>0</v>
      </c>
      <c r="LB136" s="16">
        <v>0</v>
      </c>
      <c r="LC136" s="16">
        <v>0</v>
      </c>
      <c r="LD136" s="16">
        <v>0</v>
      </c>
      <c r="LE136" s="16">
        <v>0</v>
      </c>
      <c r="LF136" s="16">
        <v>0</v>
      </c>
      <c r="LG136" s="16">
        <v>0</v>
      </c>
      <c r="LH136" s="16">
        <v>0</v>
      </c>
      <c r="LI136" s="16">
        <v>0</v>
      </c>
      <c r="LJ136" s="16">
        <v>0</v>
      </c>
      <c r="LK136" s="16">
        <v>0</v>
      </c>
      <c r="LL136" s="16">
        <v>0</v>
      </c>
      <c r="LM136" s="16">
        <v>0</v>
      </c>
      <c r="LN136" s="16">
        <v>0</v>
      </c>
      <c r="LO136" s="16">
        <v>0</v>
      </c>
      <c r="LP136" s="16">
        <v>0</v>
      </c>
      <c r="LQ136" s="16">
        <v>0</v>
      </c>
      <c r="LR136" s="16">
        <v>0</v>
      </c>
      <c r="LS136" s="16">
        <v>0</v>
      </c>
      <c r="LT136" s="16">
        <v>0</v>
      </c>
      <c r="LU136" s="16">
        <v>0</v>
      </c>
      <c r="LV136" s="16">
        <v>0</v>
      </c>
      <c r="LW136" s="16">
        <v>0</v>
      </c>
      <c r="LX136" s="16">
        <v>0</v>
      </c>
      <c r="LY136" s="16">
        <v>0</v>
      </c>
      <c r="LZ136" s="16">
        <v>0</v>
      </c>
      <c r="MA136" s="16">
        <v>0</v>
      </c>
      <c r="MB136" s="16">
        <v>0</v>
      </c>
      <c r="MC136" s="16">
        <v>0</v>
      </c>
      <c r="MD136" s="16">
        <v>0</v>
      </c>
      <c r="ME136" s="16">
        <v>0</v>
      </c>
      <c r="MF136" s="16">
        <v>45496</v>
      </c>
      <c r="MG136" s="16">
        <v>0</v>
      </c>
      <c r="MH136" s="16">
        <v>0</v>
      </c>
      <c r="MI136" s="16">
        <v>0</v>
      </c>
      <c r="MJ136" s="16">
        <v>0</v>
      </c>
      <c r="MK136" s="16">
        <v>0</v>
      </c>
      <c r="ML136" s="16">
        <v>0</v>
      </c>
      <c r="MM136" s="16">
        <v>337</v>
      </c>
      <c r="MN136" s="16">
        <v>0</v>
      </c>
      <c r="MO136" s="16">
        <v>0</v>
      </c>
      <c r="MP136" s="16">
        <v>0</v>
      </c>
      <c r="MQ136" s="16">
        <v>0</v>
      </c>
      <c r="MR136" s="16">
        <v>0</v>
      </c>
      <c r="MS136" s="16">
        <v>0</v>
      </c>
      <c r="MT136" s="16">
        <v>0</v>
      </c>
      <c r="MU136" s="16">
        <v>0</v>
      </c>
      <c r="MV136" s="16">
        <v>0</v>
      </c>
      <c r="MW136" s="16">
        <v>0</v>
      </c>
      <c r="MX136" s="16">
        <v>0</v>
      </c>
      <c r="MY136" s="16">
        <v>0</v>
      </c>
      <c r="MZ136" s="16">
        <v>0</v>
      </c>
      <c r="NA136" s="16">
        <v>0</v>
      </c>
      <c r="NB136" s="16">
        <v>0</v>
      </c>
      <c r="NC136" s="16">
        <v>0</v>
      </c>
      <c r="ND136" s="16">
        <v>0</v>
      </c>
      <c r="NE136" s="16">
        <v>0</v>
      </c>
      <c r="NF136" s="16">
        <v>0</v>
      </c>
      <c r="NG136" s="16">
        <v>0</v>
      </c>
      <c r="NH136" s="16">
        <v>0</v>
      </c>
      <c r="NI136" s="16">
        <v>0</v>
      </c>
      <c r="NJ136" s="16">
        <v>0</v>
      </c>
      <c r="NK136" s="16">
        <v>0</v>
      </c>
      <c r="NL136" s="16">
        <v>0</v>
      </c>
      <c r="NM136" s="16">
        <v>0</v>
      </c>
      <c r="NN136" s="16">
        <v>0</v>
      </c>
      <c r="NO136" s="16">
        <v>0</v>
      </c>
      <c r="NP136" s="16">
        <v>0</v>
      </c>
      <c r="NQ136" s="16">
        <v>0</v>
      </c>
      <c r="NR136" s="17">
        <v>1663235</v>
      </c>
    </row>
    <row r="137" spans="1:382" ht="13.5" customHeight="1" x14ac:dyDescent="0.2">
      <c r="A137" s="2" t="s">
        <v>281</v>
      </c>
      <c r="B137" s="16">
        <v>0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644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36</v>
      </c>
      <c r="AL137" s="16">
        <v>8</v>
      </c>
      <c r="AM137" s="16">
        <v>0</v>
      </c>
      <c r="AN137" s="16">
        <v>123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227</v>
      </c>
      <c r="AV137" s="16">
        <v>0</v>
      </c>
      <c r="AW137" s="16">
        <v>14</v>
      </c>
      <c r="AX137" s="16">
        <v>4</v>
      </c>
      <c r="AY137" s="16">
        <v>475</v>
      </c>
      <c r="AZ137" s="16">
        <v>2089</v>
      </c>
      <c r="BA137" s="16">
        <v>761</v>
      </c>
      <c r="BB137" s="16">
        <v>525</v>
      </c>
      <c r="BC137" s="16">
        <v>6</v>
      </c>
      <c r="BD137" s="16">
        <v>0</v>
      </c>
      <c r="BE137" s="16">
        <v>0</v>
      </c>
      <c r="BF137" s="16">
        <v>0</v>
      </c>
      <c r="BG137" s="16">
        <v>23</v>
      </c>
      <c r="BH137" s="16">
        <v>16496</v>
      </c>
      <c r="BI137" s="16">
        <v>0</v>
      </c>
      <c r="BJ137" s="16">
        <v>42</v>
      </c>
      <c r="BK137" s="16">
        <v>97</v>
      </c>
      <c r="BL137" s="16">
        <v>6</v>
      </c>
      <c r="BM137" s="16">
        <v>21604</v>
      </c>
      <c r="BN137" s="16">
        <v>0</v>
      </c>
      <c r="BO137" s="16">
        <v>287</v>
      </c>
      <c r="BP137" s="16">
        <v>143</v>
      </c>
      <c r="BQ137" s="16">
        <v>39</v>
      </c>
      <c r="BR137" s="16">
        <v>625</v>
      </c>
      <c r="BS137" s="16">
        <v>1630</v>
      </c>
      <c r="BT137" s="16">
        <v>0</v>
      </c>
      <c r="BU137" s="16">
        <v>0</v>
      </c>
      <c r="BV137" s="16">
        <v>0</v>
      </c>
      <c r="BW137" s="16">
        <v>510</v>
      </c>
      <c r="BX137" s="16">
        <v>0</v>
      </c>
      <c r="BY137" s="16">
        <v>0</v>
      </c>
      <c r="BZ137" s="16">
        <v>36</v>
      </c>
      <c r="CA137" s="16">
        <v>8</v>
      </c>
      <c r="CB137" s="16">
        <v>0</v>
      </c>
      <c r="CC137" s="16">
        <v>77</v>
      </c>
      <c r="CD137" s="16">
        <v>0</v>
      </c>
      <c r="CE137" s="16">
        <v>933</v>
      </c>
      <c r="CF137" s="16">
        <v>55</v>
      </c>
      <c r="CG137" s="16">
        <v>62</v>
      </c>
      <c r="CH137" s="16">
        <v>2081</v>
      </c>
      <c r="CI137" s="16">
        <v>0</v>
      </c>
      <c r="CJ137" s="16">
        <v>0</v>
      </c>
      <c r="CK137" s="16">
        <v>255</v>
      </c>
      <c r="CL137" s="16">
        <v>10</v>
      </c>
      <c r="CM137" s="16">
        <v>0</v>
      </c>
      <c r="CN137" s="16">
        <v>0</v>
      </c>
      <c r="CO137" s="16">
        <v>0</v>
      </c>
      <c r="CP137" s="16">
        <v>0</v>
      </c>
      <c r="CQ137" s="16">
        <v>1099</v>
      </c>
      <c r="CR137" s="16">
        <v>0</v>
      </c>
      <c r="CS137" s="16">
        <v>0</v>
      </c>
      <c r="CT137" s="16">
        <v>911</v>
      </c>
      <c r="CU137" s="16">
        <v>0</v>
      </c>
      <c r="CV137" s="16">
        <v>0</v>
      </c>
      <c r="CW137" s="16">
        <v>5017</v>
      </c>
      <c r="CX137" s="16">
        <v>0</v>
      </c>
      <c r="CY137" s="16">
        <v>0</v>
      </c>
      <c r="CZ137" s="16">
        <v>0</v>
      </c>
      <c r="DA137" s="16">
        <v>0</v>
      </c>
      <c r="DB137" s="16">
        <v>48</v>
      </c>
      <c r="DC137" s="16">
        <v>0</v>
      </c>
      <c r="DD137" s="16">
        <v>0</v>
      </c>
      <c r="DE137" s="16">
        <v>588</v>
      </c>
      <c r="DF137" s="16">
        <v>167</v>
      </c>
      <c r="DG137" s="16">
        <v>0</v>
      </c>
      <c r="DH137" s="16">
        <v>16</v>
      </c>
      <c r="DI137" s="16">
        <v>0</v>
      </c>
      <c r="DJ137" s="16">
        <v>10883</v>
      </c>
      <c r="DK137" s="16">
        <v>93</v>
      </c>
      <c r="DL137" s="16">
        <v>0</v>
      </c>
      <c r="DM137" s="16">
        <v>222657</v>
      </c>
      <c r="DN137" s="16">
        <v>27</v>
      </c>
      <c r="DO137" s="16">
        <v>6468</v>
      </c>
      <c r="DP137" s="16">
        <v>761</v>
      </c>
      <c r="DQ137" s="16">
        <v>1384</v>
      </c>
      <c r="DR137" s="16">
        <v>3484</v>
      </c>
      <c r="DS137" s="16">
        <v>93141</v>
      </c>
      <c r="DT137" s="16">
        <v>303</v>
      </c>
      <c r="DU137" s="16">
        <v>6460</v>
      </c>
      <c r="DV137" s="16">
        <v>44</v>
      </c>
      <c r="DW137" s="16">
        <v>5513</v>
      </c>
      <c r="DX137" s="16">
        <v>12374</v>
      </c>
      <c r="DY137" s="16">
        <v>21979</v>
      </c>
      <c r="DZ137" s="16">
        <v>41667</v>
      </c>
      <c r="EA137" s="16">
        <v>15354</v>
      </c>
      <c r="EB137" s="16">
        <v>0</v>
      </c>
      <c r="EC137" s="16">
        <v>18550</v>
      </c>
      <c r="ED137" s="16">
        <v>237</v>
      </c>
      <c r="EE137" s="16">
        <v>118</v>
      </c>
      <c r="EF137" s="16">
        <v>18033</v>
      </c>
      <c r="EG137" s="16">
        <v>400239</v>
      </c>
      <c r="EH137" s="16">
        <v>14019</v>
      </c>
      <c r="EI137" s="16">
        <v>377</v>
      </c>
      <c r="EJ137" s="16">
        <v>876</v>
      </c>
      <c r="EK137" s="16">
        <v>24</v>
      </c>
      <c r="EL137" s="16">
        <v>0</v>
      </c>
      <c r="EM137" s="16">
        <v>0</v>
      </c>
      <c r="EN137" s="16">
        <v>0</v>
      </c>
      <c r="EO137" s="16">
        <v>963</v>
      </c>
      <c r="EP137" s="16">
        <v>0</v>
      </c>
      <c r="EQ137" s="16">
        <v>748</v>
      </c>
      <c r="ER137" s="16">
        <v>1251</v>
      </c>
      <c r="ES137" s="16">
        <v>414</v>
      </c>
      <c r="ET137" s="16">
        <v>2336</v>
      </c>
      <c r="EU137" s="16">
        <v>48</v>
      </c>
      <c r="EV137" s="16">
        <v>0</v>
      </c>
      <c r="EW137" s="16">
        <v>12</v>
      </c>
      <c r="EX137" s="16">
        <v>1356</v>
      </c>
      <c r="EY137" s="16">
        <v>312</v>
      </c>
      <c r="EZ137" s="16">
        <v>0</v>
      </c>
      <c r="FA137" s="16">
        <v>2</v>
      </c>
      <c r="FB137" s="16">
        <v>337</v>
      </c>
      <c r="FC137" s="16">
        <v>0</v>
      </c>
      <c r="FD137" s="16">
        <v>1746</v>
      </c>
      <c r="FE137" s="16">
        <v>58</v>
      </c>
      <c r="FF137" s="16">
        <v>208</v>
      </c>
      <c r="FG137" s="16">
        <v>76</v>
      </c>
      <c r="FH137" s="16">
        <v>0</v>
      </c>
      <c r="FI137" s="16">
        <v>1</v>
      </c>
      <c r="FJ137" s="16">
        <v>6</v>
      </c>
      <c r="FK137" s="16">
        <v>0</v>
      </c>
      <c r="FL137" s="16">
        <v>6</v>
      </c>
      <c r="FM137" s="16">
        <v>418</v>
      </c>
      <c r="FN137" s="16">
        <v>546</v>
      </c>
      <c r="FO137" s="16">
        <v>430</v>
      </c>
      <c r="FP137" s="16">
        <v>1162</v>
      </c>
      <c r="FQ137" s="16">
        <v>10304</v>
      </c>
      <c r="FR137" s="16">
        <v>11872</v>
      </c>
      <c r="FS137" s="16">
        <v>949</v>
      </c>
      <c r="FT137" s="16">
        <v>10797</v>
      </c>
      <c r="FU137" s="16">
        <v>814</v>
      </c>
      <c r="FV137" s="16">
        <v>14517</v>
      </c>
      <c r="FW137" s="16">
        <v>357</v>
      </c>
      <c r="FX137" s="16">
        <v>2814</v>
      </c>
      <c r="FY137" s="16">
        <v>4912</v>
      </c>
      <c r="FZ137" s="16">
        <v>1018</v>
      </c>
      <c r="GA137" s="16">
        <v>19</v>
      </c>
      <c r="GB137" s="16">
        <v>22268</v>
      </c>
      <c r="GC137" s="16">
        <v>3797</v>
      </c>
      <c r="GD137" s="16">
        <v>10537</v>
      </c>
      <c r="GE137" s="16">
        <v>68267</v>
      </c>
      <c r="GF137" s="16">
        <v>28443</v>
      </c>
      <c r="GG137" s="16">
        <v>18589</v>
      </c>
      <c r="GH137" s="16">
        <v>57511</v>
      </c>
      <c r="GI137" s="16">
        <v>87774</v>
      </c>
      <c r="GJ137" s="16">
        <v>503</v>
      </c>
      <c r="GK137" s="16">
        <v>21376</v>
      </c>
      <c r="GL137" s="16">
        <v>1</v>
      </c>
      <c r="GM137" s="16">
        <v>14</v>
      </c>
      <c r="GN137" s="16">
        <v>1251</v>
      </c>
      <c r="GO137" s="16">
        <v>6870</v>
      </c>
      <c r="GP137" s="16">
        <v>14346</v>
      </c>
      <c r="GQ137" s="16">
        <v>8024</v>
      </c>
      <c r="GR137" s="16">
        <v>563</v>
      </c>
      <c r="GS137" s="16">
        <v>112</v>
      </c>
      <c r="GT137" s="16">
        <v>403</v>
      </c>
      <c r="GU137" s="16">
        <v>21609</v>
      </c>
      <c r="GV137" s="16">
        <v>9295</v>
      </c>
      <c r="GW137" s="16">
        <v>20560</v>
      </c>
      <c r="GX137" s="16">
        <v>39011</v>
      </c>
      <c r="GY137" s="16">
        <v>774</v>
      </c>
      <c r="GZ137" s="16">
        <v>222630</v>
      </c>
      <c r="HA137" s="16">
        <v>2209</v>
      </c>
      <c r="HB137" s="16">
        <v>719</v>
      </c>
      <c r="HC137" s="16">
        <v>6966</v>
      </c>
      <c r="HD137" s="16">
        <v>8870</v>
      </c>
      <c r="HE137" s="16">
        <v>94823</v>
      </c>
      <c r="HF137" s="16">
        <v>15936</v>
      </c>
      <c r="HG137" s="16">
        <v>6245</v>
      </c>
      <c r="HH137" s="16">
        <v>33524</v>
      </c>
      <c r="HI137" s="16">
        <v>43777</v>
      </c>
      <c r="HJ137" s="16">
        <v>25239</v>
      </c>
      <c r="HK137" s="16">
        <v>134718</v>
      </c>
      <c r="HL137" s="16">
        <v>34605</v>
      </c>
      <c r="HM137" s="16">
        <v>1628</v>
      </c>
      <c r="HN137" s="16">
        <v>7437</v>
      </c>
      <c r="HO137" s="16">
        <v>16019</v>
      </c>
      <c r="HP137" s="16">
        <v>2358</v>
      </c>
      <c r="HQ137" s="16">
        <v>5367</v>
      </c>
      <c r="HR137" s="16">
        <v>5062</v>
      </c>
      <c r="HS137" s="16">
        <v>25617</v>
      </c>
      <c r="HT137" s="16">
        <v>5036</v>
      </c>
      <c r="HU137" s="16">
        <v>1934</v>
      </c>
      <c r="HV137" s="16">
        <v>2005</v>
      </c>
      <c r="HW137" s="16">
        <v>5962</v>
      </c>
      <c r="HX137" s="16">
        <v>334</v>
      </c>
      <c r="HY137" s="16">
        <v>1101</v>
      </c>
      <c r="HZ137" s="16">
        <v>46295</v>
      </c>
      <c r="IA137" s="16">
        <v>30766</v>
      </c>
      <c r="IB137" s="16">
        <v>40</v>
      </c>
      <c r="IC137" s="16">
        <v>443</v>
      </c>
      <c r="ID137" s="16">
        <v>60</v>
      </c>
      <c r="IE137" s="16">
        <v>1</v>
      </c>
      <c r="IF137" s="16">
        <v>270</v>
      </c>
      <c r="IG137" s="16">
        <v>16220</v>
      </c>
      <c r="IH137" s="16">
        <v>1143927</v>
      </c>
      <c r="II137" s="16">
        <v>165602</v>
      </c>
      <c r="IJ137" s="16">
        <v>102487</v>
      </c>
      <c r="IK137" s="16">
        <v>26174</v>
      </c>
      <c r="IL137" s="16">
        <v>6578</v>
      </c>
      <c r="IM137" s="16">
        <v>4867</v>
      </c>
      <c r="IN137" s="16">
        <v>0</v>
      </c>
      <c r="IO137" s="16">
        <v>183227</v>
      </c>
      <c r="IP137" s="16">
        <v>13906</v>
      </c>
      <c r="IQ137" s="16">
        <v>2449</v>
      </c>
      <c r="IR137" s="16">
        <v>983</v>
      </c>
      <c r="IS137" s="16">
        <v>15827</v>
      </c>
      <c r="IT137" s="16">
        <v>12222</v>
      </c>
      <c r="IU137" s="16">
        <v>75</v>
      </c>
      <c r="IV137" s="16">
        <v>43069</v>
      </c>
      <c r="IW137" s="16">
        <v>68986</v>
      </c>
      <c r="IX137" s="16">
        <v>8004</v>
      </c>
      <c r="IY137" s="16">
        <v>7375</v>
      </c>
      <c r="IZ137" s="16">
        <v>1</v>
      </c>
      <c r="JA137" s="16">
        <v>4835</v>
      </c>
      <c r="JB137" s="16">
        <v>538</v>
      </c>
      <c r="JC137" s="16">
        <v>646</v>
      </c>
      <c r="JD137" s="16">
        <v>0</v>
      </c>
      <c r="JE137" s="16">
        <v>34693</v>
      </c>
      <c r="JF137" s="16">
        <v>0</v>
      </c>
      <c r="JG137" s="16">
        <v>60606</v>
      </c>
      <c r="JH137" s="16">
        <v>58064</v>
      </c>
      <c r="JI137" s="16">
        <v>0</v>
      </c>
      <c r="JJ137" s="16">
        <v>1538</v>
      </c>
      <c r="JK137" s="16">
        <v>0</v>
      </c>
      <c r="JL137" s="16">
        <v>0</v>
      </c>
      <c r="JM137" s="16">
        <v>0</v>
      </c>
      <c r="JN137" s="16">
        <v>0</v>
      </c>
      <c r="JO137" s="16">
        <v>0</v>
      </c>
      <c r="JP137" s="16">
        <v>0</v>
      </c>
      <c r="JQ137" s="16">
        <v>0</v>
      </c>
      <c r="JR137" s="16">
        <v>2037</v>
      </c>
      <c r="JS137" s="16">
        <v>1340</v>
      </c>
      <c r="JT137" s="16">
        <v>0</v>
      </c>
      <c r="JU137" s="16">
        <v>2344</v>
      </c>
      <c r="JV137" s="16">
        <v>1051</v>
      </c>
      <c r="JW137" s="16">
        <v>350150</v>
      </c>
      <c r="JX137" s="16">
        <v>779268</v>
      </c>
      <c r="JY137" s="16">
        <v>103100</v>
      </c>
      <c r="JZ137" s="16">
        <v>869</v>
      </c>
      <c r="KA137" s="16">
        <v>388</v>
      </c>
      <c r="KB137" s="16">
        <v>458</v>
      </c>
      <c r="KC137" s="16">
        <v>247</v>
      </c>
      <c r="KD137" s="16">
        <v>398</v>
      </c>
      <c r="KE137" s="16">
        <v>181</v>
      </c>
      <c r="KF137" s="16">
        <v>1335</v>
      </c>
      <c r="KG137" s="16">
        <v>431</v>
      </c>
      <c r="KH137" s="16">
        <v>572</v>
      </c>
      <c r="KI137" s="16">
        <v>3089</v>
      </c>
      <c r="KJ137" s="16">
        <v>6637</v>
      </c>
      <c r="KK137" s="16">
        <v>107085</v>
      </c>
      <c r="KL137" s="16">
        <v>0</v>
      </c>
      <c r="KM137" s="16">
        <v>340</v>
      </c>
      <c r="KN137" s="16">
        <v>25</v>
      </c>
      <c r="KO137" s="16">
        <v>1014</v>
      </c>
      <c r="KP137" s="16">
        <v>11</v>
      </c>
      <c r="KQ137" s="16">
        <v>162</v>
      </c>
      <c r="KR137" s="16">
        <v>5160</v>
      </c>
      <c r="KS137" s="16">
        <v>778</v>
      </c>
      <c r="KT137" s="16">
        <v>0</v>
      </c>
      <c r="KU137" s="16">
        <v>833</v>
      </c>
      <c r="KV137" s="16">
        <v>18648</v>
      </c>
      <c r="KW137" s="16">
        <v>7659</v>
      </c>
      <c r="KX137" s="16">
        <v>0</v>
      </c>
      <c r="KY137" s="16">
        <v>0</v>
      </c>
      <c r="KZ137" s="16">
        <v>371</v>
      </c>
      <c r="LA137" s="16">
        <v>9</v>
      </c>
      <c r="LB137" s="16">
        <v>0</v>
      </c>
      <c r="LC137" s="16">
        <v>10</v>
      </c>
      <c r="LD137" s="16">
        <v>1342</v>
      </c>
      <c r="LE137" s="16">
        <v>0</v>
      </c>
      <c r="LF137" s="16">
        <v>0</v>
      </c>
      <c r="LG137" s="16">
        <v>0</v>
      </c>
      <c r="LH137" s="16">
        <v>0</v>
      </c>
      <c r="LI137" s="16">
        <v>0</v>
      </c>
      <c r="LJ137" s="16">
        <v>0</v>
      </c>
      <c r="LK137" s="16">
        <v>0</v>
      </c>
      <c r="LL137" s="16">
        <v>0</v>
      </c>
      <c r="LM137" s="16">
        <v>339</v>
      </c>
      <c r="LN137" s="16">
        <v>5318</v>
      </c>
      <c r="LO137" s="16">
        <v>54</v>
      </c>
      <c r="LP137" s="16">
        <v>125</v>
      </c>
      <c r="LQ137" s="16">
        <v>0</v>
      </c>
      <c r="LR137" s="16">
        <v>497</v>
      </c>
      <c r="LS137" s="16">
        <v>356</v>
      </c>
      <c r="LT137" s="16">
        <v>834</v>
      </c>
      <c r="LU137" s="16">
        <v>117</v>
      </c>
      <c r="LV137" s="16">
        <v>2</v>
      </c>
      <c r="LW137" s="16">
        <v>293</v>
      </c>
      <c r="LX137" s="16">
        <v>30</v>
      </c>
      <c r="LY137" s="16">
        <v>0</v>
      </c>
      <c r="LZ137" s="16">
        <v>780</v>
      </c>
      <c r="MA137" s="16">
        <v>91</v>
      </c>
      <c r="MB137" s="16">
        <v>13606</v>
      </c>
      <c r="MC137" s="16">
        <v>0</v>
      </c>
      <c r="MD137" s="16">
        <v>0</v>
      </c>
      <c r="ME137" s="16">
        <v>0</v>
      </c>
      <c r="MF137" s="16">
        <v>0</v>
      </c>
      <c r="MG137" s="16">
        <v>0</v>
      </c>
      <c r="MH137" s="16">
        <v>3368</v>
      </c>
      <c r="MI137" s="16">
        <v>3550</v>
      </c>
      <c r="MJ137" s="16">
        <v>3396</v>
      </c>
      <c r="MK137" s="16">
        <v>7720</v>
      </c>
      <c r="ML137" s="16">
        <v>528</v>
      </c>
      <c r="MM137" s="16">
        <v>7626</v>
      </c>
      <c r="MN137" s="16">
        <v>5102</v>
      </c>
      <c r="MO137" s="16">
        <v>1448</v>
      </c>
      <c r="MP137" s="16">
        <v>4661</v>
      </c>
      <c r="MQ137" s="16">
        <v>6193</v>
      </c>
      <c r="MR137" s="16">
        <v>30</v>
      </c>
      <c r="MS137" s="16">
        <v>101</v>
      </c>
      <c r="MT137" s="16">
        <v>554</v>
      </c>
      <c r="MU137" s="16">
        <v>39</v>
      </c>
      <c r="MV137" s="16">
        <v>15325</v>
      </c>
      <c r="MW137" s="16">
        <v>20364</v>
      </c>
      <c r="MX137" s="16">
        <v>0</v>
      </c>
      <c r="MY137" s="16">
        <v>2099</v>
      </c>
      <c r="MZ137" s="16">
        <v>5249</v>
      </c>
      <c r="NA137" s="16">
        <v>0</v>
      </c>
      <c r="NB137" s="16">
        <v>14702</v>
      </c>
      <c r="NC137" s="16">
        <v>1482</v>
      </c>
      <c r="ND137" s="16">
        <v>3988</v>
      </c>
      <c r="NE137" s="16">
        <v>0</v>
      </c>
      <c r="NF137" s="16">
        <v>0</v>
      </c>
      <c r="NG137" s="16">
        <v>0</v>
      </c>
      <c r="NH137" s="16">
        <v>0</v>
      </c>
      <c r="NI137" s="16">
        <v>0</v>
      </c>
      <c r="NJ137" s="16">
        <v>0</v>
      </c>
      <c r="NK137" s="16">
        <v>56850</v>
      </c>
      <c r="NL137" s="16">
        <v>593</v>
      </c>
      <c r="NM137" s="16">
        <v>0</v>
      </c>
      <c r="NN137" s="16">
        <v>0</v>
      </c>
      <c r="NO137" s="16">
        <v>0</v>
      </c>
      <c r="NP137" s="16">
        <v>0</v>
      </c>
      <c r="NQ137" s="16">
        <v>106</v>
      </c>
      <c r="NR137" s="17">
        <v>5821302</v>
      </c>
    </row>
    <row r="138" spans="1:382" ht="13.5" customHeight="1" x14ac:dyDescent="0.2">
      <c r="A138" s="2" t="s">
        <v>283</v>
      </c>
      <c r="B138" s="16">
        <v>0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1</v>
      </c>
      <c r="R138" s="16">
        <v>2</v>
      </c>
      <c r="S138" s="16">
        <v>277</v>
      </c>
      <c r="T138" s="16">
        <v>0</v>
      </c>
      <c r="U138" s="16">
        <v>0</v>
      </c>
      <c r="V138" s="16">
        <v>2</v>
      </c>
      <c r="W138" s="16">
        <v>0</v>
      </c>
      <c r="X138" s="16">
        <v>1</v>
      </c>
      <c r="Y138" s="16">
        <v>3</v>
      </c>
      <c r="Z138" s="16">
        <v>5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2</v>
      </c>
      <c r="AH138" s="16">
        <v>4</v>
      </c>
      <c r="AI138" s="16">
        <v>0</v>
      </c>
      <c r="AJ138" s="16">
        <v>4</v>
      </c>
      <c r="AK138" s="16">
        <v>2</v>
      </c>
      <c r="AL138" s="16">
        <v>0</v>
      </c>
      <c r="AM138" s="16">
        <v>165</v>
      </c>
      <c r="AN138" s="16">
        <v>1</v>
      </c>
      <c r="AO138" s="16">
        <v>18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16</v>
      </c>
      <c r="AV138" s="16">
        <v>0</v>
      </c>
      <c r="AW138" s="16">
        <v>1075</v>
      </c>
      <c r="AX138" s="16">
        <v>67</v>
      </c>
      <c r="AY138" s="16">
        <v>11</v>
      </c>
      <c r="AZ138" s="16">
        <v>11740</v>
      </c>
      <c r="BA138" s="16">
        <v>1287</v>
      </c>
      <c r="BB138" s="16">
        <v>165</v>
      </c>
      <c r="BC138" s="16">
        <v>2</v>
      </c>
      <c r="BD138" s="16">
        <v>43</v>
      </c>
      <c r="BE138" s="16">
        <v>223432</v>
      </c>
      <c r="BF138" s="16">
        <v>226229</v>
      </c>
      <c r="BG138" s="16">
        <v>124961</v>
      </c>
      <c r="BH138" s="16">
        <v>326498</v>
      </c>
      <c r="BI138" s="16">
        <v>0</v>
      </c>
      <c r="BJ138" s="16">
        <v>0</v>
      </c>
      <c r="BK138" s="16">
        <v>6</v>
      </c>
      <c r="BL138" s="16">
        <v>1</v>
      </c>
      <c r="BM138" s="16">
        <v>2</v>
      </c>
      <c r="BN138" s="16">
        <v>3</v>
      </c>
      <c r="BO138" s="16">
        <v>2</v>
      </c>
      <c r="BP138" s="16">
        <v>10</v>
      </c>
      <c r="BQ138" s="16">
        <v>9</v>
      </c>
      <c r="BR138" s="16">
        <v>2383</v>
      </c>
      <c r="BS138" s="16">
        <v>7964</v>
      </c>
      <c r="BT138" s="16">
        <v>7</v>
      </c>
      <c r="BU138" s="16">
        <v>0</v>
      </c>
      <c r="BV138" s="16">
        <v>0</v>
      </c>
      <c r="BW138" s="16">
        <v>151</v>
      </c>
      <c r="BX138" s="16">
        <v>0</v>
      </c>
      <c r="BY138" s="16">
        <v>0</v>
      </c>
      <c r="BZ138" s="16">
        <v>1</v>
      </c>
      <c r="CA138" s="16">
        <v>1</v>
      </c>
      <c r="CB138" s="16">
        <v>0</v>
      </c>
      <c r="CC138" s="16">
        <v>9</v>
      </c>
      <c r="CD138" s="16">
        <v>4</v>
      </c>
      <c r="CE138" s="16">
        <v>8</v>
      </c>
      <c r="CF138" s="16">
        <v>5</v>
      </c>
      <c r="CG138" s="16">
        <v>1</v>
      </c>
      <c r="CH138" s="16">
        <v>11</v>
      </c>
      <c r="CI138" s="16">
        <v>0</v>
      </c>
      <c r="CJ138" s="16">
        <v>1</v>
      </c>
      <c r="CK138" s="16">
        <v>3</v>
      </c>
      <c r="CL138" s="16">
        <v>3</v>
      </c>
      <c r="CM138" s="16">
        <v>1</v>
      </c>
      <c r="CN138" s="16">
        <v>0</v>
      </c>
      <c r="CO138" s="16">
        <v>1</v>
      </c>
      <c r="CP138" s="16">
        <v>1</v>
      </c>
      <c r="CQ138" s="16">
        <v>1</v>
      </c>
      <c r="CR138" s="16">
        <v>0</v>
      </c>
      <c r="CS138" s="16">
        <v>1</v>
      </c>
      <c r="CT138" s="16">
        <v>1</v>
      </c>
      <c r="CU138" s="16">
        <v>1</v>
      </c>
      <c r="CV138" s="16">
        <v>2</v>
      </c>
      <c r="CW138" s="16">
        <v>3</v>
      </c>
      <c r="CX138" s="16">
        <v>6</v>
      </c>
      <c r="CY138" s="16">
        <v>1</v>
      </c>
      <c r="CZ138" s="16">
        <v>0</v>
      </c>
      <c r="DA138" s="16">
        <v>0</v>
      </c>
      <c r="DB138" s="16">
        <v>0</v>
      </c>
      <c r="DC138" s="16">
        <v>0</v>
      </c>
      <c r="DD138" s="16">
        <v>0</v>
      </c>
      <c r="DE138" s="16">
        <v>0</v>
      </c>
      <c r="DF138" s="16">
        <v>16</v>
      </c>
      <c r="DG138" s="16">
        <v>1</v>
      </c>
      <c r="DH138" s="16">
        <v>22</v>
      </c>
      <c r="DI138" s="16">
        <v>1</v>
      </c>
      <c r="DJ138" s="16">
        <v>-11</v>
      </c>
      <c r="DK138" s="16">
        <v>2</v>
      </c>
      <c r="DL138" s="16">
        <v>-97</v>
      </c>
      <c r="DM138" s="16">
        <v>135089</v>
      </c>
      <c r="DN138" s="16">
        <v>1</v>
      </c>
      <c r="DO138" s="16">
        <v>160</v>
      </c>
      <c r="DP138" s="16">
        <v>4993</v>
      </c>
      <c r="DQ138" s="16">
        <v>239</v>
      </c>
      <c r="DR138" s="16">
        <v>93</v>
      </c>
      <c r="DS138" s="16">
        <v>447688</v>
      </c>
      <c r="DT138" s="16">
        <v>47</v>
      </c>
      <c r="DU138" s="16">
        <v>207</v>
      </c>
      <c r="DV138" s="16">
        <v>2758</v>
      </c>
      <c r="DW138" s="16">
        <v>5</v>
      </c>
      <c r="DX138" s="16">
        <v>40</v>
      </c>
      <c r="DY138" s="16">
        <v>150</v>
      </c>
      <c r="DZ138" s="16">
        <v>132</v>
      </c>
      <c r="EA138" s="16">
        <v>1480</v>
      </c>
      <c r="EB138" s="16">
        <v>2</v>
      </c>
      <c r="EC138" s="16">
        <v>2</v>
      </c>
      <c r="ED138" s="16">
        <v>3</v>
      </c>
      <c r="EE138" s="16">
        <v>-176</v>
      </c>
      <c r="EF138" s="16">
        <v>1786</v>
      </c>
      <c r="EG138" s="16">
        <v>15859</v>
      </c>
      <c r="EH138" s="16">
        <v>25439</v>
      </c>
      <c r="EI138" s="16">
        <v>7</v>
      </c>
      <c r="EJ138" s="16">
        <v>0</v>
      </c>
      <c r="EK138" s="16">
        <v>8</v>
      </c>
      <c r="EL138" s="16">
        <v>0</v>
      </c>
      <c r="EM138" s="16">
        <v>1</v>
      </c>
      <c r="EN138" s="16">
        <v>3</v>
      </c>
      <c r="EO138" s="16">
        <v>3</v>
      </c>
      <c r="EP138" s="16">
        <v>3</v>
      </c>
      <c r="EQ138" s="16">
        <v>5</v>
      </c>
      <c r="ER138" s="16">
        <v>3</v>
      </c>
      <c r="ES138" s="16">
        <v>0</v>
      </c>
      <c r="ET138" s="16">
        <v>-204</v>
      </c>
      <c r="EU138" s="16">
        <v>0</v>
      </c>
      <c r="EV138" s="16">
        <v>0</v>
      </c>
      <c r="EW138" s="16">
        <v>0</v>
      </c>
      <c r="EX138" s="16">
        <v>3</v>
      </c>
      <c r="EY138" s="16">
        <v>1</v>
      </c>
      <c r="EZ138" s="16">
        <v>3</v>
      </c>
      <c r="FA138" s="16">
        <v>2</v>
      </c>
      <c r="FB138" s="16">
        <v>7</v>
      </c>
      <c r="FC138" s="16">
        <v>0</v>
      </c>
      <c r="FD138" s="16">
        <v>4</v>
      </c>
      <c r="FE138" s="16">
        <v>26</v>
      </c>
      <c r="FF138" s="16">
        <v>0</v>
      </c>
      <c r="FG138" s="16">
        <v>-8</v>
      </c>
      <c r="FH138" s="16">
        <v>0</v>
      </c>
      <c r="FI138" s="16">
        <v>2</v>
      </c>
      <c r="FJ138" s="16">
        <v>0</v>
      </c>
      <c r="FK138" s="16">
        <v>4</v>
      </c>
      <c r="FL138" s="16">
        <v>0</v>
      </c>
      <c r="FM138" s="16">
        <v>5</v>
      </c>
      <c r="FN138" s="16">
        <v>2</v>
      </c>
      <c r="FO138" s="16">
        <v>0</v>
      </c>
      <c r="FP138" s="16">
        <v>1</v>
      </c>
      <c r="FQ138" s="16">
        <v>82</v>
      </c>
      <c r="FR138" s="16">
        <v>-3</v>
      </c>
      <c r="FS138" s="16">
        <v>1</v>
      </c>
      <c r="FT138" s="16">
        <v>1</v>
      </c>
      <c r="FU138" s="16">
        <v>12</v>
      </c>
      <c r="FV138" s="16">
        <v>160</v>
      </c>
      <c r="FW138" s="16">
        <v>42</v>
      </c>
      <c r="FX138" s="16">
        <v>6</v>
      </c>
      <c r="FY138" s="16">
        <v>459</v>
      </c>
      <c r="FZ138" s="16">
        <v>3</v>
      </c>
      <c r="GA138" s="16">
        <v>1</v>
      </c>
      <c r="GB138" s="16">
        <v>1</v>
      </c>
      <c r="GC138" s="16">
        <v>11</v>
      </c>
      <c r="GD138" s="16">
        <v>1</v>
      </c>
      <c r="GE138" s="16">
        <v>-93</v>
      </c>
      <c r="GF138" s="16">
        <v>663</v>
      </c>
      <c r="GG138" s="16">
        <v>2003</v>
      </c>
      <c r="GH138" s="16">
        <v>14494</v>
      </c>
      <c r="GI138" s="16">
        <v>120</v>
      </c>
      <c r="GJ138" s="16">
        <v>-11</v>
      </c>
      <c r="GK138" s="16">
        <v>15450</v>
      </c>
      <c r="GL138" s="16">
        <v>2147</v>
      </c>
      <c r="GM138" s="16">
        <v>-31</v>
      </c>
      <c r="GN138" s="16">
        <v>553</v>
      </c>
      <c r="GO138" s="16">
        <v>345</v>
      </c>
      <c r="GP138" s="16">
        <v>2039</v>
      </c>
      <c r="GQ138" s="16">
        <v>399</v>
      </c>
      <c r="GR138" s="16">
        <v>276</v>
      </c>
      <c r="GS138" s="16">
        <v>-2</v>
      </c>
      <c r="GT138" s="16">
        <v>-5</v>
      </c>
      <c r="GU138" s="16">
        <v>1</v>
      </c>
      <c r="GV138" s="16">
        <v>755</v>
      </c>
      <c r="GW138" s="16">
        <v>1</v>
      </c>
      <c r="GX138" s="16">
        <v>3157</v>
      </c>
      <c r="GY138" s="16">
        <v>22</v>
      </c>
      <c r="GZ138" s="16">
        <v>846</v>
      </c>
      <c r="HA138" s="16">
        <v>40</v>
      </c>
      <c r="HB138" s="16">
        <v>24</v>
      </c>
      <c r="HC138" s="16">
        <v>2</v>
      </c>
      <c r="HD138" s="16">
        <v>3</v>
      </c>
      <c r="HE138" s="16">
        <v>-428</v>
      </c>
      <c r="HF138" s="16">
        <v>584</v>
      </c>
      <c r="HG138" s="16">
        <v>1527</v>
      </c>
      <c r="HH138" s="16">
        <v>899</v>
      </c>
      <c r="HI138" s="16">
        <v>2652</v>
      </c>
      <c r="HJ138" s="16">
        <v>416</v>
      </c>
      <c r="HK138" s="16">
        <v>2059</v>
      </c>
      <c r="HL138" s="16">
        <v>-117</v>
      </c>
      <c r="HM138" s="16">
        <v>25</v>
      </c>
      <c r="HN138" s="16">
        <v>585</v>
      </c>
      <c r="HO138" s="16">
        <v>712</v>
      </c>
      <c r="HP138" s="16">
        <v>11</v>
      </c>
      <c r="HQ138" s="16">
        <v>1</v>
      </c>
      <c r="HR138" s="16">
        <v>1479</v>
      </c>
      <c r="HS138" s="16">
        <v>318</v>
      </c>
      <c r="HT138" s="16">
        <v>52</v>
      </c>
      <c r="HU138" s="16">
        <v>64</v>
      </c>
      <c r="HV138" s="16">
        <v>1</v>
      </c>
      <c r="HW138" s="16">
        <v>1</v>
      </c>
      <c r="HX138" s="16">
        <v>5</v>
      </c>
      <c r="HY138" s="16">
        <v>6</v>
      </c>
      <c r="HZ138" s="16">
        <v>203</v>
      </c>
      <c r="IA138" s="16">
        <v>2</v>
      </c>
      <c r="IB138" s="16">
        <v>1</v>
      </c>
      <c r="IC138" s="16">
        <v>6</v>
      </c>
      <c r="ID138" s="16">
        <v>4</v>
      </c>
      <c r="IE138" s="16">
        <v>2</v>
      </c>
      <c r="IF138" s="16">
        <v>4</v>
      </c>
      <c r="IG138" s="16">
        <v>19</v>
      </c>
      <c r="IH138" s="16">
        <v>340</v>
      </c>
      <c r="II138" s="16">
        <v>42</v>
      </c>
      <c r="IJ138" s="16">
        <v>150</v>
      </c>
      <c r="IK138" s="16">
        <v>103</v>
      </c>
      <c r="IL138" s="16">
        <v>49</v>
      </c>
      <c r="IM138" s="16">
        <v>2</v>
      </c>
      <c r="IN138" s="16">
        <v>5</v>
      </c>
      <c r="IO138" s="16">
        <v>1931</v>
      </c>
      <c r="IP138" s="16">
        <v>172</v>
      </c>
      <c r="IQ138" s="16">
        <v>22</v>
      </c>
      <c r="IR138" s="16">
        <v>174</v>
      </c>
      <c r="IS138" s="16">
        <v>1</v>
      </c>
      <c r="IT138" s="16">
        <v>10</v>
      </c>
      <c r="IU138" s="16">
        <v>2</v>
      </c>
      <c r="IV138" s="16">
        <v>14</v>
      </c>
      <c r="IW138" s="16">
        <v>1983</v>
      </c>
      <c r="IX138" s="16">
        <v>1</v>
      </c>
      <c r="IY138" s="16">
        <v>1</v>
      </c>
      <c r="IZ138" s="16">
        <v>1</v>
      </c>
      <c r="JA138" s="16">
        <v>1</v>
      </c>
      <c r="JB138" s="16">
        <v>29</v>
      </c>
      <c r="JC138" s="16">
        <v>594</v>
      </c>
      <c r="JD138" s="16">
        <v>280</v>
      </c>
      <c r="JE138" s="16">
        <v>49594</v>
      </c>
      <c r="JF138" s="16">
        <v>14</v>
      </c>
      <c r="JG138" s="16">
        <v>704</v>
      </c>
      <c r="JH138" s="16">
        <v>24</v>
      </c>
      <c r="JI138" s="16">
        <v>0</v>
      </c>
      <c r="JJ138" s="16">
        <v>1</v>
      </c>
      <c r="JK138" s="16">
        <v>2</v>
      </c>
      <c r="JL138" s="16">
        <v>0</v>
      </c>
      <c r="JM138" s="16">
        <v>0</v>
      </c>
      <c r="JN138" s="16">
        <v>0</v>
      </c>
      <c r="JO138" s="16">
        <v>0</v>
      </c>
      <c r="JP138" s="16">
        <v>0</v>
      </c>
      <c r="JQ138" s="16">
        <v>1</v>
      </c>
      <c r="JR138" s="16">
        <v>-15</v>
      </c>
      <c r="JS138" s="16">
        <v>3</v>
      </c>
      <c r="JT138" s="16">
        <v>0</v>
      </c>
      <c r="JU138" s="16">
        <v>-3613</v>
      </c>
      <c r="JV138" s="16">
        <v>61</v>
      </c>
      <c r="JW138" s="16">
        <v>60</v>
      </c>
      <c r="JX138" s="16">
        <v>150</v>
      </c>
      <c r="JY138" s="16">
        <v>111</v>
      </c>
      <c r="JZ138" s="16">
        <v>5</v>
      </c>
      <c r="KA138" s="16">
        <v>1</v>
      </c>
      <c r="KB138" s="16">
        <v>1</v>
      </c>
      <c r="KC138" s="16">
        <v>6</v>
      </c>
      <c r="KD138" s="16">
        <v>0</v>
      </c>
      <c r="KE138" s="16">
        <v>1</v>
      </c>
      <c r="KF138" s="16">
        <v>-2</v>
      </c>
      <c r="KG138" s="16">
        <v>36</v>
      </c>
      <c r="KH138" s="16">
        <v>24</v>
      </c>
      <c r="KI138" s="16">
        <v>254</v>
      </c>
      <c r="KJ138" s="16">
        <v>29</v>
      </c>
      <c r="KK138" s="16">
        <v>435</v>
      </c>
      <c r="KL138" s="16">
        <v>1</v>
      </c>
      <c r="KM138" s="16">
        <v>0</v>
      </c>
      <c r="KN138" s="16">
        <v>64</v>
      </c>
      <c r="KO138" s="16">
        <v>2</v>
      </c>
      <c r="KP138" s="16">
        <v>1</v>
      </c>
      <c r="KQ138" s="16">
        <v>2</v>
      </c>
      <c r="KR138" s="16">
        <v>34</v>
      </c>
      <c r="KS138" s="16">
        <v>0</v>
      </c>
      <c r="KT138" s="16">
        <v>0</v>
      </c>
      <c r="KU138" s="16">
        <v>2</v>
      </c>
      <c r="KV138" s="16">
        <v>8</v>
      </c>
      <c r="KW138" s="16">
        <v>-7</v>
      </c>
      <c r="KX138" s="16">
        <v>3</v>
      </c>
      <c r="KY138" s="16">
        <v>3</v>
      </c>
      <c r="KZ138" s="16">
        <v>15100</v>
      </c>
      <c r="LA138" s="16">
        <v>652</v>
      </c>
      <c r="LB138" s="16">
        <v>743</v>
      </c>
      <c r="LC138" s="16">
        <v>7274</v>
      </c>
      <c r="LD138" s="16">
        <v>2810</v>
      </c>
      <c r="LE138" s="16">
        <v>1</v>
      </c>
      <c r="LF138" s="16">
        <v>61</v>
      </c>
      <c r="LG138" s="16">
        <v>7</v>
      </c>
      <c r="LH138" s="16">
        <v>13</v>
      </c>
      <c r="LI138" s="16">
        <v>5</v>
      </c>
      <c r="LJ138" s="16">
        <v>19</v>
      </c>
      <c r="LK138" s="16">
        <v>1</v>
      </c>
      <c r="LL138" s="16">
        <v>16</v>
      </c>
      <c r="LM138" s="16">
        <v>2</v>
      </c>
      <c r="LN138" s="16">
        <v>12</v>
      </c>
      <c r="LO138" s="16">
        <v>-18</v>
      </c>
      <c r="LP138" s="16">
        <v>6</v>
      </c>
      <c r="LQ138" s="16">
        <v>1</v>
      </c>
      <c r="LR138" s="16">
        <v>9</v>
      </c>
      <c r="LS138" s="16">
        <v>1</v>
      </c>
      <c r="LT138" s="16">
        <v>5</v>
      </c>
      <c r="LU138" s="16">
        <v>5</v>
      </c>
      <c r="LV138" s="16">
        <v>0</v>
      </c>
      <c r="LW138" s="16">
        <v>12</v>
      </c>
      <c r="LX138" s="16">
        <v>41</v>
      </c>
      <c r="LY138" s="16">
        <v>0</v>
      </c>
      <c r="LZ138" s="16">
        <v>-21</v>
      </c>
      <c r="MA138" s="16">
        <v>4</v>
      </c>
      <c r="MB138" s="16">
        <v>45</v>
      </c>
      <c r="MC138" s="16">
        <v>5491</v>
      </c>
      <c r="MD138" s="16">
        <v>114</v>
      </c>
      <c r="ME138" s="16">
        <v>35</v>
      </c>
      <c r="MF138" s="16">
        <v>1065</v>
      </c>
      <c r="MG138" s="16">
        <v>3</v>
      </c>
      <c r="MH138" s="16">
        <v>48</v>
      </c>
      <c r="MI138" s="16">
        <v>2</v>
      </c>
      <c r="MJ138" s="16">
        <v>35</v>
      </c>
      <c r="MK138" s="16">
        <v>4</v>
      </c>
      <c r="ML138" s="16">
        <v>46</v>
      </c>
      <c r="MM138" s="16">
        <v>1</v>
      </c>
      <c r="MN138" s="16">
        <v>2</v>
      </c>
      <c r="MO138" s="16">
        <v>4</v>
      </c>
      <c r="MP138" s="16">
        <v>7</v>
      </c>
      <c r="MQ138" s="16">
        <v>8</v>
      </c>
      <c r="MR138" s="16">
        <v>7985</v>
      </c>
      <c r="MS138" s="16">
        <v>20097</v>
      </c>
      <c r="MT138" s="16">
        <v>0</v>
      </c>
      <c r="MU138" s="16">
        <v>195</v>
      </c>
      <c r="MV138" s="16">
        <v>116</v>
      </c>
      <c r="MW138" s="16">
        <v>44</v>
      </c>
      <c r="MX138" s="16">
        <v>3462</v>
      </c>
      <c r="MY138" s="16">
        <v>1</v>
      </c>
      <c r="MZ138" s="16">
        <v>-10</v>
      </c>
      <c r="NA138" s="16">
        <v>4919</v>
      </c>
      <c r="NB138" s="16">
        <v>26</v>
      </c>
      <c r="NC138" s="16">
        <v>4622</v>
      </c>
      <c r="ND138" s="16">
        <v>2</v>
      </c>
      <c r="NE138" s="16">
        <v>0</v>
      </c>
      <c r="NF138" s="16">
        <v>1</v>
      </c>
      <c r="NG138" s="16">
        <v>1</v>
      </c>
      <c r="NH138" s="16">
        <v>32</v>
      </c>
      <c r="NI138" s="16">
        <v>6</v>
      </c>
      <c r="NJ138" s="16">
        <v>8</v>
      </c>
      <c r="NK138" s="16">
        <v>42</v>
      </c>
      <c r="NL138" s="16">
        <v>20</v>
      </c>
      <c r="NM138" s="16">
        <v>34</v>
      </c>
      <c r="NN138" s="16">
        <v>0</v>
      </c>
      <c r="NO138" s="16">
        <v>0</v>
      </c>
      <c r="NP138" s="16">
        <v>5</v>
      </c>
      <c r="NQ138" s="16">
        <v>1</v>
      </c>
      <c r="NR138" s="17">
        <v>1746684</v>
      </c>
    </row>
    <row r="139" spans="1:382" ht="13.5" customHeight="1" x14ac:dyDescent="0.2">
      <c r="A139" s="2" t="s">
        <v>285</v>
      </c>
      <c r="B139" s="16">
        <v>78</v>
      </c>
      <c r="C139" s="16">
        <v>31</v>
      </c>
      <c r="D139" s="16">
        <v>20</v>
      </c>
      <c r="E139" s="16">
        <v>4</v>
      </c>
      <c r="F139" s="16">
        <v>114</v>
      </c>
      <c r="G139" s="16">
        <v>47</v>
      </c>
      <c r="H139" s="16">
        <v>14</v>
      </c>
      <c r="I139" s="16">
        <v>22</v>
      </c>
      <c r="J139" s="16">
        <v>3</v>
      </c>
      <c r="K139" s="16">
        <v>0</v>
      </c>
      <c r="L139" s="16">
        <v>4</v>
      </c>
      <c r="M139" s="16">
        <v>0</v>
      </c>
      <c r="N139" s="16">
        <v>0</v>
      </c>
      <c r="O139" s="16">
        <v>1</v>
      </c>
      <c r="P139" s="16">
        <v>95</v>
      </c>
      <c r="Q139" s="16">
        <v>93</v>
      </c>
      <c r="R139" s="16">
        <v>31</v>
      </c>
      <c r="S139" s="16">
        <v>26</v>
      </c>
      <c r="T139" s="16">
        <v>2</v>
      </c>
      <c r="U139" s="16">
        <v>8</v>
      </c>
      <c r="V139" s="16">
        <v>2</v>
      </c>
      <c r="W139" s="16">
        <v>6</v>
      </c>
      <c r="X139" s="16">
        <v>41</v>
      </c>
      <c r="Y139" s="16">
        <v>133</v>
      </c>
      <c r="Z139" s="16">
        <v>111</v>
      </c>
      <c r="AA139" s="16">
        <v>2</v>
      </c>
      <c r="AB139" s="16">
        <v>0</v>
      </c>
      <c r="AC139" s="16">
        <v>0</v>
      </c>
      <c r="AD139" s="16">
        <v>0</v>
      </c>
      <c r="AE139" s="16">
        <v>3</v>
      </c>
      <c r="AF139" s="16">
        <v>0</v>
      </c>
      <c r="AG139" s="16">
        <v>144</v>
      </c>
      <c r="AH139" s="16">
        <v>115</v>
      </c>
      <c r="AI139" s="16">
        <v>16</v>
      </c>
      <c r="AJ139" s="16">
        <v>83</v>
      </c>
      <c r="AK139" s="16">
        <v>22</v>
      </c>
      <c r="AL139" s="16">
        <v>9</v>
      </c>
      <c r="AM139" s="16">
        <v>73</v>
      </c>
      <c r="AN139" s="16">
        <v>215</v>
      </c>
      <c r="AO139" s="16">
        <v>42</v>
      </c>
      <c r="AP139" s="16">
        <v>6</v>
      </c>
      <c r="AQ139" s="16">
        <v>26</v>
      </c>
      <c r="AR139" s="16">
        <v>0</v>
      </c>
      <c r="AS139" s="16">
        <v>52</v>
      </c>
      <c r="AT139" s="16">
        <v>17</v>
      </c>
      <c r="AU139" s="16">
        <v>74</v>
      </c>
      <c r="AV139" s="16">
        <v>13</v>
      </c>
      <c r="AW139" s="16">
        <v>47</v>
      </c>
      <c r="AX139" s="16">
        <v>4</v>
      </c>
      <c r="AY139" s="16">
        <v>243</v>
      </c>
      <c r="AZ139" s="16">
        <v>1229</v>
      </c>
      <c r="BA139" s="16">
        <v>4515</v>
      </c>
      <c r="BB139" s="16">
        <v>33</v>
      </c>
      <c r="BC139" s="16">
        <v>30</v>
      </c>
      <c r="BD139" s="16">
        <v>1</v>
      </c>
      <c r="BE139" s="16">
        <v>974</v>
      </c>
      <c r="BF139" s="16">
        <v>98</v>
      </c>
      <c r="BG139" s="16">
        <v>928</v>
      </c>
      <c r="BH139" s="16">
        <v>115</v>
      </c>
      <c r="BI139" s="16">
        <v>43</v>
      </c>
      <c r="BJ139" s="16">
        <v>10</v>
      </c>
      <c r="BK139" s="16">
        <v>8</v>
      </c>
      <c r="BL139" s="16">
        <v>62</v>
      </c>
      <c r="BM139" s="16">
        <v>7</v>
      </c>
      <c r="BN139" s="16">
        <v>59</v>
      </c>
      <c r="BO139" s="16">
        <v>41</v>
      </c>
      <c r="BP139" s="16">
        <v>29</v>
      </c>
      <c r="BQ139" s="16">
        <v>29</v>
      </c>
      <c r="BR139" s="16">
        <v>7</v>
      </c>
      <c r="BS139" s="16">
        <v>69</v>
      </c>
      <c r="BT139" s="16">
        <v>2</v>
      </c>
      <c r="BU139" s="16">
        <v>4</v>
      </c>
      <c r="BV139" s="16">
        <v>1</v>
      </c>
      <c r="BW139" s="16">
        <v>16</v>
      </c>
      <c r="BX139" s="16">
        <v>4</v>
      </c>
      <c r="BY139" s="16">
        <v>1</v>
      </c>
      <c r="BZ139" s="16">
        <v>4</v>
      </c>
      <c r="CA139" s="16">
        <v>30</v>
      </c>
      <c r="CB139" s="16">
        <v>3</v>
      </c>
      <c r="CC139" s="16">
        <v>86</v>
      </c>
      <c r="CD139" s="16">
        <v>17</v>
      </c>
      <c r="CE139" s="16">
        <v>18</v>
      </c>
      <c r="CF139" s="16">
        <v>38</v>
      </c>
      <c r="CG139" s="16">
        <v>10</v>
      </c>
      <c r="CH139" s="16">
        <v>341</v>
      </c>
      <c r="CI139" s="16">
        <v>9</v>
      </c>
      <c r="CJ139" s="16">
        <v>16</v>
      </c>
      <c r="CK139" s="16">
        <v>148</v>
      </c>
      <c r="CL139" s="16">
        <v>54</v>
      </c>
      <c r="CM139" s="16">
        <v>28</v>
      </c>
      <c r="CN139" s="16">
        <v>9</v>
      </c>
      <c r="CO139" s="16">
        <v>29</v>
      </c>
      <c r="CP139" s="16">
        <v>66</v>
      </c>
      <c r="CQ139" s="16">
        <v>302</v>
      </c>
      <c r="CR139" s="16">
        <v>33</v>
      </c>
      <c r="CS139" s="16">
        <v>22</v>
      </c>
      <c r="CT139" s="16">
        <v>9</v>
      </c>
      <c r="CU139" s="16">
        <v>22</v>
      </c>
      <c r="CV139" s="16">
        <v>31</v>
      </c>
      <c r="CW139" s="16">
        <v>101</v>
      </c>
      <c r="CX139" s="16">
        <v>122</v>
      </c>
      <c r="CY139" s="16">
        <v>6</v>
      </c>
      <c r="CZ139" s="16">
        <v>29</v>
      </c>
      <c r="DA139" s="16">
        <v>3</v>
      </c>
      <c r="DB139" s="16">
        <v>19</v>
      </c>
      <c r="DC139" s="16">
        <v>27</v>
      </c>
      <c r="DD139" s="16">
        <v>29</v>
      </c>
      <c r="DE139" s="16">
        <v>28</v>
      </c>
      <c r="DF139" s="16">
        <v>209</v>
      </c>
      <c r="DG139" s="16">
        <v>12</v>
      </c>
      <c r="DH139" s="16">
        <v>40</v>
      </c>
      <c r="DI139" s="16">
        <v>53</v>
      </c>
      <c r="DJ139" s="16">
        <v>314</v>
      </c>
      <c r="DK139" s="16">
        <v>19</v>
      </c>
      <c r="DL139" s="16">
        <v>48</v>
      </c>
      <c r="DM139" s="16">
        <v>714</v>
      </c>
      <c r="DN139" s="16">
        <v>19</v>
      </c>
      <c r="DO139" s="16">
        <v>28</v>
      </c>
      <c r="DP139" s="16">
        <v>60</v>
      </c>
      <c r="DQ139" s="16">
        <v>11</v>
      </c>
      <c r="DR139" s="16">
        <v>29</v>
      </c>
      <c r="DS139" s="16">
        <v>106</v>
      </c>
      <c r="DT139" s="16">
        <v>17</v>
      </c>
      <c r="DU139" s="16">
        <v>8</v>
      </c>
      <c r="DV139" s="16">
        <v>23</v>
      </c>
      <c r="DW139" s="16">
        <v>188</v>
      </c>
      <c r="DX139" s="16">
        <v>102</v>
      </c>
      <c r="DY139" s="16">
        <v>59</v>
      </c>
      <c r="DZ139" s="16">
        <v>310</v>
      </c>
      <c r="EA139" s="16">
        <v>11</v>
      </c>
      <c r="EB139" s="16">
        <v>8</v>
      </c>
      <c r="EC139" s="16">
        <v>65</v>
      </c>
      <c r="ED139" s="16">
        <v>10</v>
      </c>
      <c r="EE139" s="16">
        <v>1</v>
      </c>
      <c r="EF139" s="16">
        <v>4</v>
      </c>
      <c r="EG139" s="16">
        <v>40</v>
      </c>
      <c r="EH139" s="16">
        <v>7</v>
      </c>
      <c r="EI139" s="16">
        <v>1590</v>
      </c>
      <c r="EJ139" s="16">
        <v>785</v>
      </c>
      <c r="EK139" s="16">
        <v>14</v>
      </c>
      <c r="EL139" s="16">
        <v>175</v>
      </c>
      <c r="EM139" s="16">
        <v>14</v>
      </c>
      <c r="EN139" s="16">
        <v>131</v>
      </c>
      <c r="EO139" s="16">
        <v>33</v>
      </c>
      <c r="EP139" s="16">
        <v>10</v>
      </c>
      <c r="EQ139" s="16">
        <v>83</v>
      </c>
      <c r="ER139" s="16">
        <v>4</v>
      </c>
      <c r="ES139" s="16">
        <v>4</v>
      </c>
      <c r="ET139" s="16">
        <v>48</v>
      </c>
      <c r="EU139" s="16">
        <v>94</v>
      </c>
      <c r="EV139" s="16">
        <v>7</v>
      </c>
      <c r="EW139" s="16">
        <v>24</v>
      </c>
      <c r="EX139" s="16">
        <v>486</v>
      </c>
      <c r="EY139" s="16">
        <v>24</v>
      </c>
      <c r="EZ139" s="16">
        <v>1</v>
      </c>
      <c r="FA139" s="16">
        <v>7</v>
      </c>
      <c r="FB139" s="16">
        <v>23</v>
      </c>
      <c r="FC139" s="16">
        <v>4</v>
      </c>
      <c r="FD139" s="16">
        <v>30</v>
      </c>
      <c r="FE139" s="16">
        <v>13</v>
      </c>
      <c r="FF139" s="16">
        <v>23</v>
      </c>
      <c r="FG139" s="16">
        <v>24</v>
      </c>
      <c r="FH139" s="16">
        <v>6</v>
      </c>
      <c r="FI139" s="16">
        <v>30</v>
      </c>
      <c r="FJ139" s="16">
        <v>7</v>
      </c>
      <c r="FK139" s="16">
        <v>16</v>
      </c>
      <c r="FL139" s="16">
        <v>21</v>
      </c>
      <c r="FM139" s="16">
        <v>21</v>
      </c>
      <c r="FN139" s="16">
        <v>74</v>
      </c>
      <c r="FO139" s="16">
        <v>38</v>
      </c>
      <c r="FP139" s="16">
        <v>61</v>
      </c>
      <c r="FQ139" s="16">
        <v>50</v>
      </c>
      <c r="FR139" s="16">
        <v>161</v>
      </c>
      <c r="FS139" s="16">
        <v>33</v>
      </c>
      <c r="FT139" s="16">
        <v>43</v>
      </c>
      <c r="FU139" s="16">
        <v>71</v>
      </c>
      <c r="FV139" s="16">
        <v>614</v>
      </c>
      <c r="FW139" s="16">
        <v>94</v>
      </c>
      <c r="FX139" s="16">
        <v>309</v>
      </c>
      <c r="FY139" s="16">
        <v>71</v>
      </c>
      <c r="FZ139" s="16">
        <v>37</v>
      </c>
      <c r="GA139" s="16">
        <v>7</v>
      </c>
      <c r="GB139" s="16">
        <v>908</v>
      </c>
      <c r="GC139" s="16">
        <v>14</v>
      </c>
      <c r="GD139" s="16">
        <v>201</v>
      </c>
      <c r="GE139" s="16">
        <v>4</v>
      </c>
      <c r="GF139" s="16">
        <v>282</v>
      </c>
      <c r="GG139" s="16">
        <v>1</v>
      </c>
      <c r="GH139" s="16">
        <v>17</v>
      </c>
      <c r="GI139" s="16">
        <v>5</v>
      </c>
      <c r="GJ139" s="16">
        <v>24</v>
      </c>
      <c r="GK139" s="16">
        <v>6</v>
      </c>
      <c r="GL139" s="16">
        <v>29</v>
      </c>
      <c r="GM139" s="16">
        <v>515</v>
      </c>
      <c r="GN139" s="16">
        <v>7</v>
      </c>
      <c r="GO139" s="16">
        <v>121</v>
      </c>
      <c r="GP139" s="16">
        <v>5</v>
      </c>
      <c r="GQ139" s="16">
        <v>6</v>
      </c>
      <c r="GR139" s="16">
        <v>9</v>
      </c>
      <c r="GS139" s="16">
        <v>7</v>
      </c>
      <c r="GT139" s="16">
        <v>1</v>
      </c>
      <c r="GU139" s="16">
        <v>21</v>
      </c>
      <c r="GV139" s="16">
        <v>18</v>
      </c>
      <c r="GW139" s="16">
        <v>16</v>
      </c>
      <c r="GX139" s="16">
        <v>5</v>
      </c>
      <c r="GY139" s="16">
        <v>2</v>
      </c>
      <c r="GZ139" s="16">
        <v>18</v>
      </c>
      <c r="HA139" s="16">
        <v>11</v>
      </c>
      <c r="HB139" s="16">
        <v>11</v>
      </c>
      <c r="HC139" s="16">
        <v>53</v>
      </c>
      <c r="HD139" s="16">
        <v>58</v>
      </c>
      <c r="HE139" s="16">
        <v>5</v>
      </c>
      <c r="HF139" s="16">
        <v>38</v>
      </c>
      <c r="HG139" s="16">
        <v>20</v>
      </c>
      <c r="HH139" s="16">
        <v>13</v>
      </c>
      <c r="HI139" s="16">
        <v>24</v>
      </c>
      <c r="HJ139" s="16">
        <v>17</v>
      </c>
      <c r="HK139" s="16">
        <v>11</v>
      </c>
      <c r="HL139" s="16">
        <v>58</v>
      </c>
      <c r="HM139" s="16">
        <v>29</v>
      </c>
      <c r="HN139" s="16">
        <v>289</v>
      </c>
      <c r="HO139" s="16">
        <v>182</v>
      </c>
      <c r="HP139" s="16">
        <v>31</v>
      </c>
      <c r="HQ139" s="16">
        <v>370</v>
      </c>
      <c r="HR139" s="16">
        <v>103</v>
      </c>
      <c r="HS139" s="16">
        <v>105</v>
      </c>
      <c r="HT139" s="16">
        <v>34</v>
      </c>
      <c r="HU139" s="16">
        <v>60</v>
      </c>
      <c r="HV139" s="16">
        <v>16</v>
      </c>
      <c r="HW139" s="16">
        <v>29</v>
      </c>
      <c r="HX139" s="16">
        <v>188</v>
      </c>
      <c r="HY139" s="16">
        <v>68</v>
      </c>
      <c r="HZ139" s="16">
        <v>180</v>
      </c>
      <c r="IA139" s="16">
        <v>73</v>
      </c>
      <c r="IB139" s="16">
        <v>5</v>
      </c>
      <c r="IC139" s="16">
        <v>12</v>
      </c>
      <c r="ID139" s="16">
        <v>16</v>
      </c>
      <c r="IE139" s="16">
        <v>2</v>
      </c>
      <c r="IF139" s="16">
        <v>17</v>
      </c>
      <c r="IG139" s="16">
        <v>227</v>
      </c>
      <c r="IH139" s="16">
        <v>34</v>
      </c>
      <c r="II139" s="16">
        <v>5</v>
      </c>
      <c r="IJ139" s="16">
        <v>2</v>
      </c>
      <c r="IK139" s="16">
        <v>23</v>
      </c>
      <c r="IL139" s="16">
        <v>2</v>
      </c>
      <c r="IM139" s="16">
        <v>2</v>
      </c>
      <c r="IN139" s="16">
        <v>6</v>
      </c>
      <c r="IO139" s="16">
        <v>92</v>
      </c>
      <c r="IP139" s="16">
        <v>64</v>
      </c>
      <c r="IQ139" s="16">
        <v>17</v>
      </c>
      <c r="IR139" s="16">
        <v>2</v>
      </c>
      <c r="IS139" s="16">
        <v>5</v>
      </c>
      <c r="IT139" s="16">
        <v>3</v>
      </c>
      <c r="IU139" s="16">
        <v>8</v>
      </c>
      <c r="IV139" s="16">
        <v>2</v>
      </c>
      <c r="IW139" s="16">
        <v>38</v>
      </c>
      <c r="IX139" s="16">
        <v>15</v>
      </c>
      <c r="IY139" s="16">
        <v>47</v>
      </c>
      <c r="IZ139" s="16">
        <v>1</v>
      </c>
      <c r="JA139" s="16">
        <v>9</v>
      </c>
      <c r="JB139" s="16">
        <v>3</v>
      </c>
      <c r="JC139" s="16">
        <v>5</v>
      </c>
      <c r="JD139" s="16">
        <v>9</v>
      </c>
      <c r="JE139" s="16">
        <v>68</v>
      </c>
      <c r="JF139" s="16">
        <v>57</v>
      </c>
      <c r="JG139" s="16">
        <v>849</v>
      </c>
      <c r="JH139" s="16">
        <v>8</v>
      </c>
      <c r="JI139" s="16">
        <v>4</v>
      </c>
      <c r="JJ139" s="16">
        <v>690</v>
      </c>
      <c r="JK139" s="16">
        <v>140</v>
      </c>
      <c r="JL139" s="16">
        <v>9</v>
      </c>
      <c r="JM139" s="16">
        <v>1</v>
      </c>
      <c r="JN139" s="16">
        <v>15</v>
      </c>
      <c r="JO139" s="16">
        <v>28</v>
      </c>
      <c r="JP139" s="16">
        <v>226</v>
      </c>
      <c r="JQ139" s="16">
        <v>184</v>
      </c>
      <c r="JR139" s="16">
        <v>1696</v>
      </c>
      <c r="JS139" s="16">
        <v>0</v>
      </c>
      <c r="JT139" s="16">
        <v>0</v>
      </c>
      <c r="JU139" s="16">
        <v>0</v>
      </c>
      <c r="JV139" s="16">
        <v>59</v>
      </c>
      <c r="JW139" s="16">
        <v>208085</v>
      </c>
      <c r="JX139" s="16">
        <v>122602</v>
      </c>
      <c r="JY139" s="16">
        <v>35990</v>
      </c>
      <c r="JZ139" s="16">
        <v>215</v>
      </c>
      <c r="KA139" s="16">
        <v>17</v>
      </c>
      <c r="KB139" s="16">
        <v>35</v>
      </c>
      <c r="KC139" s="16">
        <v>117</v>
      </c>
      <c r="KD139" s="16">
        <v>100</v>
      </c>
      <c r="KE139" s="16">
        <v>34</v>
      </c>
      <c r="KF139" s="16">
        <v>121</v>
      </c>
      <c r="KG139" s="16">
        <v>62</v>
      </c>
      <c r="KH139" s="16">
        <v>36</v>
      </c>
      <c r="KI139" s="16">
        <v>415</v>
      </c>
      <c r="KJ139" s="16">
        <v>1736</v>
      </c>
      <c r="KK139" s="16">
        <v>13715</v>
      </c>
      <c r="KL139" s="16">
        <v>27</v>
      </c>
      <c r="KM139" s="16">
        <v>55</v>
      </c>
      <c r="KN139" s="16">
        <v>13</v>
      </c>
      <c r="KO139" s="16">
        <v>32</v>
      </c>
      <c r="KP139" s="16">
        <v>3</v>
      </c>
      <c r="KQ139" s="16">
        <v>16</v>
      </c>
      <c r="KR139" s="16">
        <v>74</v>
      </c>
      <c r="KS139" s="16">
        <v>66</v>
      </c>
      <c r="KT139" s="16">
        <v>34</v>
      </c>
      <c r="KU139" s="16">
        <v>290</v>
      </c>
      <c r="KV139" s="16">
        <v>26</v>
      </c>
      <c r="KW139" s="16">
        <v>243</v>
      </c>
      <c r="KX139" s="16">
        <v>1</v>
      </c>
      <c r="KY139" s="16">
        <v>69</v>
      </c>
      <c r="KZ139" s="16">
        <v>252999</v>
      </c>
      <c r="LA139" s="16">
        <v>107368</v>
      </c>
      <c r="LB139" s="16">
        <v>10113</v>
      </c>
      <c r="LC139" s="16">
        <v>75167</v>
      </c>
      <c r="LD139" s="16">
        <v>6014</v>
      </c>
      <c r="LE139" s="16">
        <v>250</v>
      </c>
      <c r="LF139" s="16">
        <v>24</v>
      </c>
      <c r="LG139" s="16">
        <v>17</v>
      </c>
      <c r="LH139" s="16">
        <v>498</v>
      </c>
      <c r="LI139" s="16">
        <v>1</v>
      </c>
      <c r="LJ139" s="16">
        <v>21</v>
      </c>
      <c r="LK139" s="16">
        <v>184</v>
      </c>
      <c r="LL139" s="16">
        <v>537</v>
      </c>
      <c r="LM139" s="16">
        <v>1630</v>
      </c>
      <c r="LN139" s="16">
        <v>347</v>
      </c>
      <c r="LO139" s="16">
        <v>42</v>
      </c>
      <c r="LP139" s="16">
        <v>110</v>
      </c>
      <c r="LQ139" s="16">
        <v>16</v>
      </c>
      <c r="LR139" s="16">
        <v>350</v>
      </c>
      <c r="LS139" s="16">
        <v>516</v>
      </c>
      <c r="LT139" s="16">
        <v>163</v>
      </c>
      <c r="LU139" s="16">
        <v>88</v>
      </c>
      <c r="LV139" s="16">
        <v>9</v>
      </c>
      <c r="LW139" s="16">
        <v>69</v>
      </c>
      <c r="LX139" s="16">
        <v>102</v>
      </c>
      <c r="LY139" s="16">
        <v>0</v>
      </c>
      <c r="LZ139" s="16">
        <v>679</v>
      </c>
      <c r="MA139" s="16">
        <v>1706</v>
      </c>
      <c r="MB139" s="16">
        <v>271</v>
      </c>
      <c r="MC139" s="16">
        <v>235</v>
      </c>
      <c r="MD139" s="16">
        <v>13</v>
      </c>
      <c r="ME139" s="16">
        <v>72</v>
      </c>
      <c r="MF139" s="16">
        <v>1411</v>
      </c>
      <c r="MG139" s="16">
        <v>685</v>
      </c>
      <c r="MH139" s="16">
        <v>33832</v>
      </c>
      <c r="MI139" s="16">
        <v>230</v>
      </c>
      <c r="MJ139" s="16">
        <v>164</v>
      </c>
      <c r="MK139" s="16">
        <v>1007</v>
      </c>
      <c r="ML139" s="16">
        <v>72</v>
      </c>
      <c r="MM139" s="16">
        <v>640</v>
      </c>
      <c r="MN139" s="16">
        <v>224</v>
      </c>
      <c r="MO139" s="16">
        <v>7427</v>
      </c>
      <c r="MP139" s="16">
        <v>14190</v>
      </c>
      <c r="MQ139" s="16">
        <v>12794</v>
      </c>
      <c r="MR139" s="16">
        <v>5525</v>
      </c>
      <c r="MS139" s="16">
        <v>6030</v>
      </c>
      <c r="MT139" s="16">
        <v>261</v>
      </c>
      <c r="MU139" s="16">
        <v>32789</v>
      </c>
      <c r="MV139" s="16">
        <v>401</v>
      </c>
      <c r="MW139" s="16">
        <v>1340</v>
      </c>
      <c r="MX139" s="16">
        <v>87</v>
      </c>
      <c r="MY139" s="16">
        <v>1365</v>
      </c>
      <c r="MZ139" s="16">
        <v>81</v>
      </c>
      <c r="NA139" s="16">
        <v>368</v>
      </c>
      <c r="NB139" s="16">
        <v>5421</v>
      </c>
      <c r="NC139" s="16">
        <v>224</v>
      </c>
      <c r="ND139" s="16">
        <v>95</v>
      </c>
      <c r="NE139" s="16">
        <v>28</v>
      </c>
      <c r="NF139" s="16">
        <v>117</v>
      </c>
      <c r="NG139" s="16">
        <v>11458</v>
      </c>
      <c r="NH139" s="16">
        <v>2229</v>
      </c>
      <c r="NI139" s="16">
        <v>1342</v>
      </c>
      <c r="NJ139" s="16">
        <v>6107</v>
      </c>
      <c r="NK139" s="16">
        <v>393</v>
      </c>
      <c r="NL139" s="16">
        <v>6</v>
      </c>
      <c r="NM139" s="16">
        <v>131</v>
      </c>
      <c r="NN139" s="16">
        <v>111</v>
      </c>
      <c r="NO139" s="16">
        <v>0</v>
      </c>
      <c r="NP139" s="16">
        <v>176</v>
      </c>
      <c r="NQ139" s="16">
        <v>1878</v>
      </c>
      <c r="NR139" s="17">
        <v>1023530</v>
      </c>
    </row>
    <row r="140" spans="1:382" ht="13.5" customHeight="1" x14ac:dyDescent="0.2">
      <c r="A140" s="2" t="s">
        <v>287</v>
      </c>
      <c r="B140" s="16">
        <v>0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504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0</v>
      </c>
      <c r="BE140" s="16">
        <v>0</v>
      </c>
      <c r="BF140" s="16">
        <v>0</v>
      </c>
      <c r="BG140" s="16">
        <v>0</v>
      </c>
      <c r="BH140" s="16">
        <v>0</v>
      </c>
      <c r="BI140" s="16">
        <v>0</v>
      </c>
      <c r="BJ140" s="16">
        <v>320</v>
      </c>
      <c r="BK140" s="16">
        <v>0</v>
      </c>
      <c r="BL140" s="16">
        <v>0</v>
      </c>
      <c r="BM140" s="16">
        <v>0</v>
      </c>
      <c r="BN140" s="16">
        <v>0</v>
      </c>
      <c r="BO140" s="16">
        <v>0</v>
      </c>
      <c r="BP140" s="16">
        <v>0</v>
      </c>
      <c r="BQ140" s="16">
        <v>12</v>
      </c>
      <c r="BR140" s="16">
        <v>10</v>
      </c>
      <c r="BS140" s="16">
        <v>0</v>
      </c>
      <c r="BT140" s="16">
        <v>0</v>
      </c>
      <c r="BU140" s="16">
        <v>0</v>
      </c>
      <c r="BV140" s="16">
        <v>0</v>
      </c>
      <c r="BW140" s="16">
        <v>0</v>
      </c>
      <c r="BX140" s="16">
        <v>0</v>
      </c>
      <c r="BY140" s="16">
        <v>0</v>
      </c>
      <c r="BZ140" s="16">
        <v>0</v>
      </c>
      <c r="CA140" s="16">
        <v>0</v>
      </c>
      <c r="CB140" s="16">
        <v>0</v>
      </c>
      <c r="CC140" s="16">
        <v>0</v>
      </c>
      <c r="CD140" s="16">
        <v>0</v>
      </c>
      <c r="CE140" s="16">
        <v>0</v>
      </c>
      <c r="CF140" s="16">
        <v>0</v>
      </c>
      <c r="CG140" s="16">
        <v>0</v>
      </c>
      <c r="CH140" s="16">
        <v>0</v>
      </c>
      <c r="CI140" s="16">
        <v>0</v>
      </c>
      <c r="CJ140" s="16">
        <v>132</v>
      </c>
      <c r="CK140" s="16">
        <v>1051</v>
      </c>
      <c r="CL140" s="16">
        <v>0</v>
      </c>
      <c r="CM140" s="16">
        <v>0</v>
      </c>
      <c r="CN140" s="16">
        <v>0</v>
      </c>
      <c r="CO140" s="16">
        <v>260</v>
      </c>
      <c r="CP140" s="16">
        <v>0</v>
      </c>
      <c r="CQ140" s="16">
        <v>0</v>
      </c>
      <c r="CR140" s="16">
        <v>0</v>
      </c>
      <c r="CS140" s="16">
        <v>278</v>
      </c>
      <c r="CT140" s="16">
        <v>6989</v>
      </c>
      <c r="CU140" s="16">
        <v>405</v>
      </c>
      <c r="CV140" s="16">
        <v>1947</v>
      </c>
      <c r="CW140" s="16">
        <v>14971</v>
      </c>
      <c r="CX140" s="16">
        <v>4668</v>
      </c>
      <c r="CY140" s="16">
        <v>1005</v>
      </c>
      <c r="CZ140" s="16">
        <v>0</v>
      </c>
      <c r="DA140" s="16">
        <v>0</v>
      </c>
      <c r="DB140" s="16">
        <v>0</v>
      </c>
      <c r="DC140" s="16">
        <v>0</v>
      </c>
      <c r="DD140" s="16">
        <v>0</v>
      </c>
      <c r="DE140" s="16">
        <v>1000</v>
      </c>
      <c r="DF140" s="16">
        <v>2847</v>
      </c>
      <c r="DG140" s="16">
        <v>858</v>
      </c>
      <c r="DH140" s="16">
        <v>44</v>
      </c>
      <c r="DI140" s="16">
        <v>480</v>
      </c>
      <c r="DJ140" s="16">
        <v>3571</v>
      </c>
      <c r="DK140" s="16">
        <v>0</v>
      </c>
      <c r="DL140" s="16">
        <v>1667</v>
      </c>
      <c r="DM140" s="16">
        <v>1153</v>
      </c>
      <c r="DN140" s="16">
        <v>185</v>
      </c>
      <c r="DO140" s="16">
        <v>0</v>
      </c>
      <c r="DP140" s="16">
        <v>273</v>
      </c>
      <c r="DQ140" s="16">
        <v>0</v>
      </c>
      <c r="DR140" s="16">
        <v>161</v>
      </c>
      <c r="DS140" s="16">
        <v>0</v>
      </c>
      <c r="DT140" s="16">
        <v>123</v>
      </c>
      <c r="DU140" s="16">
        <v>7</v>
      </c>
      <c r="DV140" s="16">
        <v>89458</v>
      </c>
      <c r="DW140" s="16">
        <v>1298</v>
      </c>
      <c r="DX140" s="16">
        <v>462</v>
      </c>
      <c r="DY140" s="16">
        <v>1093</v>
      </c>
      <c r="DZ140" s="16">
        <v>2644</v>
      </c>
      <c r="EA140" s="16">
        <v>979</v>
      </c>
      <c r="EB140" s="16">
        <v>0</v>
      </c>
      <c r="EC140" s="16">
        <v>162</v>
      </c>
      <c r="ED140" s="16">
        <v>0</v>
      </c>
      <c r="EE140" s="16">
        <v>0</v>
      </c>
      <c r="EF140" s="16">
        <v>228</v>
      </c>
      <c r="EG140" s="16">
        <v>145</v>
      </c>
      <c r="EH140" s="16">
        <v>84</v>
      </c>
      <c r="EI140" s="16">
        <v>280</v>
      </c>
      <c r="EJ140" s="16">
        <v>22664</v>
      </c>
      <c r="EK140" s="16">
        <v>677</v>
      </c>
      <c r="EL140" s="16">
        <v>132</v>
      </c>
      <c r="EM140" s="16">
        <v>0</v>
      </c>
      <c r="EN140" s="16">
        <v>0</v>
      </c>
      <c r="EO140" s="16">
        <v>0</v>
      </c>
      <c r="EP140" s="16">
        <v>0</v>
      </c>
      <c r="EQ140" s="16">
        <v>0</v>
      </c>
      <c r="ER140" s="16">
        <v>0</v>
      </c>
      <c r="ES140" s="16">
        <v>0</v>
      </c>
      <c r="ET140" s="16">
        <v>0</v>
      </c>
      <c r="EU140" s="16">
        <v>153</v>
      </c>
      <c r="EV140" s="16">
        <v>0</v>
      </c>
      <c r="EW140" s="16">
        <v>20</v>
      </c>
      <c r="EX140" s="16">
        <v>2969</v>
      </c>
      <c r="EY140" s="16">
        <v>0</v>
      </c>
      <c r="EZ140" s="16">
        <v>0</v>
      </c>
      <c r="FA140" s="16">
        <v>0</v>
      </c>
      <c r="FB140" s="16">
        <v>0</v>
      </c>
      <c r="FC140" s="16">
        <v>31</v>
      </c>
      <c r="FD140" s="16">
        <v>2457</v>
      </c>
      <c r="FE140" s="16">
        <v>0</v>
      </c>
      <c r="FF140" s="16">
        <v>0</v>
      </c>
      <c r="FG140" s="16">
        <v>0</v>
      </c>
      <c r="FH140" s="16">
        <v>0</v>
      </c>
      <c r="FI140" s="16">
        <v>0</v>
      </c>
      <c r="FJ140" s="16">
        <v>0</v>
      </c>
      <c r="FK140" s="16">
        <v>0</v>
      </c>
      <c r="FL140" s="16">
        <v>0</v>
      </c>
      <c r="FM140" s="16">
        <v>496</v>
      </c>
      <c r="FN140" s="16">
        <v>760</v>
      </c>
      <c r="FO140" s="16">
        <v>0</v>
      </c>
      <c r="FP140" s="16">
        <v>1846</v>
      </c>
      <c r="FQ140" s="16">
        <v>0</v>
      </c>
      <c r="FR140" s="16">
        <v>0</v>
      </c>
      <c r="FS140" s="16">
        <v>0</v>
      </c>
      <c r="FT140" s="16">
        <v>260</v>
      </c>
      <c r="FU140" s="16">
        <v>0</v>
      </c>
      <c r="FV140" s="16">
        <v>8556</v>
      </c>
      <c r="FW140" s="16">
        <v>170</v>
      </c>
      <c r="FX140" s="16">
        <v>1754</v>
      </c>
      <c r="FY140" s="16">
        <v>4050</v>
      </c>
      <c r="FZ140" s="16">
        <v>0</v>
      </c>
      <c r="GA140" s="16">
        <v>0</v>
      </c>
      <c r="GB140" s="16">
        <v>432</v>
      </c>
      <c r="GC140" s="16">
        <v>0</v>
      </c>
      <c r="GD140" s="16">
        <v>1371</v>
      </c>
      <c r="GE140" s="16">
        <v>2066</v>
      </c>
      <c r="GF140" s="16">
        <v>42488</v>
      </c>
      <c r="GG140" s="16">
        <v>5127</v>
      </c>
      <c r="GH140" s="16">
        <v>17083</v>
      </c>
      <c r="GI140" s="16">
        <v>14529</v>
      </c>
      <c r="GJ140" s="16">
        <v>33980</v>
      </c>
      <c r="GK140" s="16">
        <v>36337</v>
      </c>
      <c r="GL140" s="16">
        <v>1</v>
      </c>
      <c r="GM140" s="16">
        <v>391</v>
      </c>
      <c r="GN140" s="16">
        <v>372</v>
      </c>
      <c r="GO140" s="16">
        <v>2668</v>
      </c>
      <c r="GP140" s="16">
        <v>158</v>
      </c>
      <c r="GQ140" s="16">
        <v>7126</v>
      </c>
      <c r="GR140" s="16">
        <v>1030</v>
      </c>
      <c r="GS140" s="16">
        <v>333</v>
      </c>
      <c r="GT140" s="16">
        <v>58</v>
      </c>
      <c r="GU140" s="16">
        <v>242</v>
      </c>
      <c r="GV140" s="16">
        <v>512</v>
      </c>
      <c r="GW140" s="16">
        <v>6261</v>
      </c>
      <c r="GX140" s="16">
        <v>180</v>
      </c>
      <c r="GY140" s="16">
        <v>0</v>
      </c>
      <c r="GZ140" s="16">
        <v>5195</v>
      </c>
      <c r="HA140" s="16">
        <v>37951</v>
      </c>
      <c r="HB140" s="16">
        <v>4372</v>
      </c>
      <c r="HC140" s="16">
        <v>28923</v>
      </c>
      <c r="HD140" s="16">
        <v>28322</v>
      </c>
      <c r="HE140" s="16">
        <v>7984</v>
      </c>
      <c r="HF140" s="16">
        <v>73067</v>
      </c>
      <c r="HG140" s="16">
        <v>1002</v>
      </c>
      <c r="HH140" s="16">
        <v>15445</v>
      </c>
      <c r="HI140" s="16">
        <v>7231</v>
      </c>
      <c r="HJ140" s="16">
        <v>208</v>
      </c>
      <c r="HK140" s="16">
        <v>2148</v>
      </c>
      <c r="HL140" s="16">
        <v>28904</v>
      </c>
      <c r="HM140" s="16">
        <v>22748</v>
      </c>
      <c r="HN140" s="16">
        <v>928</v>
      </c>
      <c r="HO140" s="16">
        <v>278</v>
      </c>
      <c r="HP140" s="16">
        <v>12776</v>
      </c>
      <c r="HQ140" s="16">
        <v>3600</v>
      </c>
      <c r="HR140" s="16">
        <v>745</v>
      </c>
      <c r="HS140" s="16">
        <v>840</v>
      </c>
      <c r="HT140" s="16">
        <v>564</v>
      </c>
      <c r="HU140" s="16">
        <v>1911</v>
      </c>
      <c r="HV140" s="16">
        <v>0</v>
      </c>
      <c r="HW140" s="16">
        <v>1448</v>
      </c>
      <c r="HX140" s="16">
        <v>1765</v>
      </c>
      <c r="HY140" s="16">
        <v>0</v>
      </c>
      <c r="HZ140" s="16">
        <v>8307</v>
      </c>
      <c r="IA140" s="16">
        <v>2175</v>
      </c>
      <c r="IB140" s="16">
        <v>474</v>
      </c>
      <c r="IC140" s="16">
        <v>66</v>
      </c>
      <c r="ID140" s="16">
        <v>726</v>
      </c>
      <c r="IE140" s="16">
        <v>57</v>
      </c>
      <c r="IF140" s="16">
        <v>1332</v>
      </c>
      <c r="IG140" s="16">
        <v>800</v>
      </c>
      <c r="IH140" s="16">
        <v>185</v>
      </c>
      <c r="II140" s="16">
        <v>26</v>
      </c>
      <c r="IJ140" s="16">
        <v>55</v>
      </c>
      <c r="IK140" s="16">
        <v>603</v>
      </c>
      <c r="IL140" s="16">
        <v>234</v>
      </c>
      <c r="IM140" s="16">
        <v>0</v>
      </c>
      <c r="IN140" s="16">
        <v>6205</v>
      </c>
      <c r="IO140" s="16">
        <v>178737</v>
      </c>
      <c r="IP140" s="16">
        <v>109</v>
      </c>
      <c r="IQ140" s="16">
        <v>27</v>
      </c>
      <c r="IR140" s="16">
        <v>34</v>
      </c>
      <c r="IS140" s="16">
        <v>429</v>
      </c>
      <c r="IT140" s="16">
        <v>75</v>
      </c>
      <c r="IU140" s="16">
        <v>103</v>
      </c>
      <c r="IV140" s="16">
        <v>194</v>
      </c>
      <c r="IW140" s="16">
        <v>0</v>
      </c>
      <c r="IX140" s="16">
        <v>0</v>
      </c>
      <c r="IY140" s="16">
        <v>0</v>
      </c>
      <c r="IZ140" s="16">
        <v>0</v>
      </c>
      <c r="JA140" s="16">
        <v>0</v>
      </c>
      <c r="JB140" s="16">
        <v>0</v>
      </c>
      <c r="JC140" s="16">
        <v>0</v>
      </c>
      <c r="JD140" s="16">
        <v>0</v>
      </c>
      <c r="JE140" s="16">
        <v>1512</v>
      </c>
      <c r="JF140" s="16">
        <v>473</v>
      </c>
      <c r="JG140" s="16">
        <v>0</v>
      </c>
      <c r="JH140" s="16">
        <v>0</v>
      </c>
      <c r="JI140" s="16">
        <v>255</v>
      </c>
      <c r="JJ140" s="16">
        <v>40483</v>
      </c>
      <c r="JK140" s="16">
        <v>2494</v>
      </c>
      <c r="JL140" s="16">
        <v>0</v>
      </c>
      <c r="JM140" s="16">
        <v>16</v>
      </c>
      <c r="JN140" s="16">
        <v>476</v>
      </c>
      <c r="JO140" s="16">
        <v>0</v>
      </c>
      <c r="JP140" s="16">
        <v>0</v>
      </c>
      <c r="JQ140" s="16">
        <v>792</v>
      </c>
      <c r="JR140" s="16">
        <v>0</v>
      </c>
      <c r="JS140" s="16">
        <v>0</v>
      </c>
      <c r="JT140" s="16">
        <v>0</v>
      </c>
      <c r="JU140" s="16">
        <v>0</v>
      </c>
      <c r="JV140" s="16">
        <v>0</v>
      </c>
      <c r="JW140" s="16">
        <v>12432</v>
      </c>
      <c r="JX140" s="16">
        <v>16360</v>
      </c>
      <c r="JY140" s="16">
        <v>9910</v>
      </c>
      <c r="JZ140" s="16">
        <v>431</v>
      </c>
      <c r="KA140" s="16">
        <v>893</v>
      </c>
      <c r="KB140" s="16">
        <v>73</v>
      </c>
      <c r="KC140" s="16">
        <v>0</v>
      </c>
      <c r="KD140" s="16">
        <v>0</v>
      </c>
      <c r="KE140" s="16">
        <v>0</v>
      </c>
      <c r="KF140" s="16">
        <v>509</v>
      </c>
      <c r="KG140" s="16">
        <v>111</v>
      </c>
      <c r="KH140" s="16">
        <v>5064</v>
      </c>
      <c r="KI140" s="16">
        <v>1086</v>
      </c>
      <c r="KJ140" s="16">
        <v>12358</v>
      </c>
      <c r="KK140" s="16">
        <v>1209</v>
      </c>
      <c r="KL140" s="16">
        <v>298</v>
      </c>
      <c r="KM140" s="16">
        <v>0</v>
      </c>
      <c r="KN140" s="16">
        <v>0</v>
      </c>
      <c r="KO140" s="16">
        <v>0</v>
      </c>
      <c r="KP140" s="16">
        <v>0</v>
      </c>
      <c r="KQ140" s="16">
        <v>0</v>
      </c>
      <c r="KR140" s="16">
        <v>1108</v>
      </c>
      <c r="KS140" s="16">
        <v>0</v>
      </c>
      <c r="KT140" s="16">
        <v>0</v>
      </c>
      <c r="KU140" s="16">
        <v>0</v>
      </c>
      <c r="KV140" s="16">
        <v>1755</v>
      </c>
      <c r="KW140" s="16">
        <v>0</v>
      </c>
      <c r="KX140" s="16">
        <v>0</v>
      </c>
      <c r="KY140" s="16">
        <v>0</v>
      </c>
      <c r="KZ140" s="16">
        <v>8919</v>
      </c>
      <c r="LA140" s="16">
        <v>1591</v>
      </c>
      <c r="LB140" s="16">
        <v>1791</v>
      </c>
      <c r="LC140" s="16">
        <v>22</v>
      </c>
      <c r="LD140" s="16">
        <v>1208</v>
      </c>
      <c r="LE140" s="16">
        <v>0</v>
      </c>
      <c r="LF140" s="16">
        <v>0</v>
      </c>
      <c r="LG140" s="16">
        <v>0</v>
      </c>
      <c r="LH140" s="16">
        <v>0</v>
      </c>
      <c r="LI140" s="16">
        <v>0</v>
      </c>
      <c r="LJ140" s="16">
        <v>0</v>
      </c>
      <c r="LK140" s="16">
        <v>0</v>
      </c>
      <c r="LL140" s="16">
        <v>0</v>
      </c>
      <c r="LM140" s="16">
        <v>0</v>
      </c>
      <c r="LN140" s="16">
        <v>0</v>
      </c>
      <c r="LO140" s="16">
        <v>0</v>
      </c>
      <c r="LP140" s="16">
        <v>0</v>
      </c>
      <c r="LQ140" s="16">
        <v>0</v>
      </c>
      <c r="LR140" s="16">
        <v>0</v>
      </c>
      <c r="LS140" s="16">
        <v>0</v>
      </c>
      <c r="LT140" s="16">
        <v>0</v>
      </c>
      <c r="LU140" s="16">
        <v>0</v>
      </c>
      <c r="LV140" s="16">
        <v>0</v>
      </c>
      <c r="LW140" s="16">
        <v>0</v>
      </c>
      <c r="LX140" s="16">
        <v>0</v>
      </c>
      <c r="LY140" s="16">
        <v>0</v>
      </c>
      <c r="LZ140" s="16">
        <v>0</v>
      </c>
      <c r="MA140" s="16">
        <v>0</v>
      </c>
      <c r="MB140" s="16">
        <v>0</v>
      </c>
      <c r="MC140" s="16">
        <v>17758</v>
      </c>
      <c r="MD140" s="16">
        <v>22020</v>
      </c>
      <c r="ME140" s="16">
        <v>3224</v>
      </c>
      <c r="MF140" s="16">
        <v>75904</v>
      </c>
      <c r="MG140" s="16">
        <v>0</v>
      </c>
      <c r="MH140" s="16">
        <v>0</v>
      </c>
      <c r="MI140" s="16">
        <v>0</v>
      </c>
      <c r="MJ140" s="16">
        <v>0</v>
      </c>
      <c r="MK140" s="16">
        <v>0</v>
      </c>
      <c r="ML140" s="16">
        <v>0</v>
      </c>
      <c r="MM140" s="16">
        <v>0</v>
      </c>
      <c r="MN140" s="16">
        <v>0</v>
      </c>
      <c r="MO140" s="16">
        <v>0</v>
      </c>
      <c r="MP140" s="16">
        <v>0</v>
      </c>
      <c r="MQ140" s="16">
        <v>0</v>
      </c>
      <c r="MR140" s="16">
        <v>68</v>
      </c>
      <c r="MS140" s="16">
        <v>0</v>
      </c>
      <c r="MT140" s="16">
        <v>0</v>
      </c>
      <c r="MU140" s="16">
        <v>1098</v>
      </c>
      <c r="MV140" s="16">
        <v>597</v>
      </c>
      <c r="MW140" s="16">
        <v>5122</v>
      </c>
      <c r="MX140" s="16">
        <v>0</v>
      </c>
      <c r="MY140" s="16">
        <v>445</v>
      </c>
      <c r="MZ140" s="16">
        <v>5414</v>
      </c>
      <c r="NA140" s="16">
        <v>0</v>
      </c>
      <c r="NB140" s="16">
        <v>6609</v>
      </c>
      <c r="NC140" s="16">
        <v>0</v>
      </c>
      <c r="ND140" s="16">
        <v>0</v>
      </c>
      <c r="NE140" s="16">
        <v>0</v>
      </c>
      <c r="NF140" s="16">
        <v>0</v>
      </c>
      <c r="NG140" s="16">
        <v>0</v>
      </c>
      <c r="NH140" s="16">
        <v>0</v>
      </c>
      <c r="NI140" s="16">
        <v>0</v>
      </c>
      <c r="NJ140" s="16">
        <v>0</v>
      </c>
      <c r="NK140" s="16">
        <v>0</v>
      </c>
      <c r="NL140" s="16">
        <v>0</v>
      </c>
      <c r="NM140" s="16">
        <v>0</v>
      </c>
      <c r="NN140" s="16">
        <v>0</v>
      </c>
      <c r="NO140" s="16">
        <v>0</v>
      </c>
      <c r="NP140" s="16">
        <v>0</v>
      </c>
      <c r="NQ140" s="16">
        <v>419</v>
      </c>
      <c r="NR140" s="17">
        <v>1113109</v>
      </c>
    </row>
    <row r="141" spans="1:382" ht="13.5" customHeight="1" x14ac:dyDescent="0.2">
      <c r="A141" s="2" t="s">
        <v>289</v>
      </c>
      <c r="B141" s="16">
        <v>0</v>
      </c>
      <c r="C141" s="16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7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0</v>
      </c>
      <c r="BO141" s="16">
        <v>0</v>
      </c>
      <c r="BP141" s="16">
        <v>0</v>
      </c>
      <c r="BQ141" s="16">
        <v>0</v>
      </c>
      <c r="BR141" s="16">
        <v>0</v>
      </c>
      <c r="BS141" s="16">
        <v>0</v>
      </c>
      <c r="BT141" s="16">
        <v>0</v>
      </c>
      <c r="BU141" s="16">
        <v>0</v>
      </c>
      <c r="BV141" s="16">
        <v>0</v>
      </c>
      <c r="BW141" s="16">
        <v>0</v>
      </c>
      <c r="BX141" s="16">
        <v>0</v>
      </c>
      <c r="BY141" s="16">
        <v>0</v>
      </c>
      <c r="BZ141" s="16">
        <v>0</v>
      </c>
      <c r="CA141" s="16">
        <v>0</v>
      </c>
      <c r="CB141" s="16">
        <v>0</v>
      </c>
      <c r="CC141" s="16">
        <v>0</v>
      </c>
      <c r="CD141" s="16">
        <v>0</v>
      </c>
      <c r="CE141" s="16">
        <v>0</v>
      </c>
      <c r="CF141" s="16">
        <v>0</v>
      </c>
      <c r="CG141" s="16">
        <v>0</v>
      </c>
      <c r="CH141" s="16">
        <v>0</v>
      </c>
      <c r="CI141" s="16">
        <v>561</v>
      </c>
      <c r="CJ141" s="16">
        <v>0</v>
      </c>
      <c r="CK141" s="16">
        <v>29</v>
      </c>
      <c r="CL141" s="16">
        <v>0</v>
      </c>
      <c r="CM141" s="16">
        <v>0</v>
      </c>
      <c r="CN141" s="16">
        <v>7</v>
      </c>
      <c r="CO141" s="16">
        <v>23</v>
      </c>
      <c r="CP141" s="16">
        <v>0</v>
      </c>
      <c r="CQ141" s="16">
        <v>0</v>
      </c>
      <c r="CR141" s="16">
        <v>211</v>
      </c>
      <c r="CS141" s="16">
        <v>1084</v>
      </c>
      <c r="CT141" s="16">
        <v>2603</v>
      </c>
      <c r="CU141" s="16">
        <v>3952</v>
      </c>
      <c r="CV141" s="16">
        <v>762</v>
      </c>
      <c r="CW141" s="16">
        <v>12133</v>
      </c>
      <c r="CX141" s="16">
        <v>11572</v>
      </c>
      <c r="CY141" s="16">
        <v>300</v>
      </c>
      <c r="CZ141" s="16">
        <v>0</v>
      </c>
      <c r="DA141" s="16">
        <v>0</v>
      </c>
      <c r="DB141" s="16">
        <v>0</v>
      </c>
      <c r="DC141" s="16">
        <v>3</v>
      </c>
      <c r="DD141" s="16">
        <v>11274</v>
      </c>
      <c r="DE141" s="16">
        <v>3142</v>
      </c>
      <c r="DF141" s="16">
        <v>4712</v>
      </c>
      <c r="DG141" s="16">
        <v>0</v>
      </c>
      <c r="DH141" s="16">
        <v>119811</v>
      </c>
      <c r="DI141" s="16">
        <v>787</v>
      </c>
      <c r="DJ141" s="16">
        <v>25215</v>
      </c>
      <c r="DK141" s="16">
        <v>10</v>
      </c>
      <c r="DL141" s="16">
        <v>0</v>
      </c>
      <c r="DM141" s="16">
        <v>0</v>
      </c>
      <c r="DN141" s="16">
        <v>0</v>
      </c>
      <c r="DO141" s="16">
        <v>0</v>
      </c>
      <c r="DP141" s="16">
        <v>3494</v>
      </c>
      <c r="DQ141" s="16">
        <v>0</v>
      </c>
      <c r="DR141" s="16">
        <v>0</v>
      </c>
      <c r="DS141" s="16">
        <v>0</v>
      </c>
      <c r="DT141" s="16">
        <v>0</v>
      </c>
      <c r="DU141" s="16">
        <v>0</v>
      </c>
      <c r="DV141" s="16">
        <v>4</v>
      </c>
      <c r="DW141" s="16">
        <v>37</v>
      </c>
      <c r="DX141" s="16">
        <v>0</v>
      </c>
      <c r="DY141" s="16">
        <v>0</v>
      </c>
      <c r="DZ141" s="16">
        <v>0</v>
      </c>
      <c r="EA141" s="16">
        <v>0</v>
      </c>
      <c r="EB141" s="16">
        <v>0</v>
      </c>
      <c r="EC141" s="16">
        <v>0</v>
      </c>
      <c r="ED141" s="16">
        <v>0</v>
      </c>
      <c r="EE141" s="16">
        <v>2981</v>
      </c>
      <c r="EF141" s="16">
        <v>15565</v>
      </c>
      <c r="EG141" s="16">
        <v>26458</v>
      </c>
      <c r="EH141" s="16">
        <v>5415</v>
      </c>
      <c r="EI141" s="16">
        <v>16000</v>
      </c>
      <c r="EJ141" s="16">
        <v>9842</v>
      </c>
      <c r="EK141" s="16">
        <v>21150</v>
      </c>
      <c r="EL141" s="16">
        <v>4597</v>
      </c>
      <c r="EM141" s="16">
        <v>6631</v>
      </c>
      <c r="EN141" s="16">
        <v>21241</v>
      </c>
      <c r="EO141" s="16">
        <v>67</v>
      </c>
      <c r="EP141" s="16">
        <v>2</v>
      </c>
      <c r="EQ141" s="16">
        <v>0</v>
      </c>
      <c r="ER141" s="16">
        <v>0</v>
      </c>
      <c r="ES141" s="16">
        <v>0</v>
      </c>
      <c r="ET141" s="16">
        <v>141</v>
      </c>
      <c r="EU141" s="16">
        <v>15371</v>
      </c>
      <c r="EV141" s="16">
        <v>91559</v>
      </c>
      <c r="EW141" s="16">
        <v>23603</v>
      </c>
      <c r="EX141" s="16">
        <v>298096</v>
      </c>
      <c r="EY141" s="16">
        <v>44227</v>
      </c>
      <c r="EZ141" s="16">
        <v>7498</v>
      </c>
      <c r="FA141" s="16">
        <v>39918</v>
      </c>
      <c r="FB141" s="16">
        <v>203149</v>
      </c>
      <c r="FC141" s="16">
        <v>9579</v>
      </c>
      <c r="FD141" s="16">
        <v>154778</v>
      </c>
      <c r="FE141" s="16">
        <v>59566</v>
      </c>
      <c r="FF141" s="16">
        <v>39298</v>
      </c>
      <c r="FG141" s="16">
        <v>130171</v>
      </c>
      <c r="FH141" s="16">
        <v>4644</v>
      </c>
      <c r="FI141" s="16">
        <v>4803</v>
      </c>
      <c r="FJ141" s="16">
        <v>4485</v>
      </c>
      <c r="FK141" s="16">
        <v>9663</v>
      </c>
      <c r="FL141" s="16">
        <v>1127</v>
      </c>
      <c r="FM141" s="16">
        <v>5085</v>
      </c>
      <c r="FN141" s="16">
        <v>18142</v>
      </c>
      <c r="FO141" s="16">
        <v>3397</v>
      </c>
      <c r="FP141" s="16">
        <v>117933</v>
      </c>
      <c r="FQ141" s="16">
        <v>271</v>
      </c>
      <c r="FR141" s="16">
        <v>6</v>
      </c>
      <c r="FS141" s="16">
        <v>17</v>
      </c>
      <c r="FT141" s="16">
        <v>4289</v>
      </c>
      <c r="FU141" s="16">
        <v>64291</v>
      </c>
      <c r="FV141" s="16">
        <v>24</v>
      </c>
      <c r="FW141" s="16">
        <v>235</v>
      </c>
      <c r="FX141" s="16">
        <v>134</v>
      </c>
      <c r="FY141" s="16">
        <v>0</v>
      </c>
      <c r="FZ141" s="16">
        <v>0</v>
      </c>
      <c r="GA141" s="16">
        <v>0</v>
      </c>
      <c r="GB141" s="16">
        <v>17</v>
      </c>
      <c r="GC141" s="16">
        <v>0</v>
      </c>
      <c r="GD141" s="16">
        <v>27</v>
      </c>
      <c r="GE141" s="16">
        <v>35</v>
      </c>
      <c r="GF141" s="16">
        <v>5140</v>
      </c>
      <c r="GG141" s="16">
        <v>836</v>
      </c>
      <c r="GH141" s="16">
        <v>31</v>
      </c>
      <c r="GI141" s="16">
        <v>4</v>
      </c>
      <c r="GJ141" s="16">
        <v>92</v>
      </c>
      <c r="GK141" s="16">
        <v>13</v>
      </c>
      <c r="GL141" s="16">
        <v>0</v>
      </c>
      <c r="GM141" s="16">
        <v>2</v>
      </c>
      <c r="GN141" s="16">
        <v>0</v>
      </c>
      <c r="GO141" s="16">
        <v>0</v>
      </c>
      <c r="GP141" s="16">
        <v>24</v>
      </c>
      <c r="GQ141" s="16">
        <v>14</v>
      </c>
      <c r="GR141" s="16">
        <v>0</v>
      </c>
      <c r="GS141" s="16">
        <v>6</v>
      </c>
      <c r="GT141" s="16">
        <v>1</v>
      </c>
      <c r="GU141" s="16">
        <v>0</v>
      </c>
      <c r="GV141" s="16">
        <v>0</v>
      </c>
      <c r="GW141" s="16">
        <v>0</v>
      </c>
      <c r="GX141" s="16">
        <v>0</v>
      </c>
      <c r="GY141" s="16">
        <v>0</v>
      </c>
      <c r="GZ141" s="16">
        <v>0</v>
      </c>
      <c r="HA141" s="16">
        <v>0</v>
      </c>
      <c r="HB141" s="16">
        <v>0</v>
      </c>
      <c r="HC141" s="16">
        <v>0</v>
      </c>
      <c r="HD141" s="16">
        <v>0</v>
      </c>
      <c r="HE141" s="16">
        <v>206</v>
      </c>
      <c r="HF141" s="16">
        <v>0</v>
      </c>
      <c r="HG141" s="16">
        <v>0</v>
      </c>
      <c r="HH141" s="16">
        <v>0</v>
      </c>
      <c r="HI141" s="16">
        <v>82</v>
      </c>
      <c r="HJ141" s="16">
        <v>0</v>
      </c>
      <c r="HK141" s="16">
        <v>2</v>
      </c>
      <c r="HL141" s="16">
        <v>17</v>
      </c>
      <c r="HM141" s="16">
        <v>24</v>
      </c>
      <c r="HN141" s="16">
        <v>100</v>
      </c>
      <c r="HO141" s="16">
        <v>56</v>
      </c>
      <c r="HP141" s="16">
        <v>0</v>
      </c>
      <c r="HQ141" s="16">
        <v>3194</v>
      </c>
      <c r="HR141" s="16">
        <v>0</v>
      </c>
      <c r="HS141" s="16">
        <v>52</v>
      </c>
      <c r="HT141" s="16">
        <v>0</v>
      </c>
      <c r="HU141" s="16">
        <v>56176</v>
      </c>
      <c r="HV141" s="16">
        <v>39</v>
      </c>
      <c r="HW141" s="16">
        <v>1</v>
      </c>
      <c r="HX141" s="16">
        <v>165</v>
      </c>
      <c r="HY141" s="16">
        <v>0</v>
      </c>
      <c r="HZ141" s="16">
        <v>75</v>
      </c>
      <c r="IA141" s="16">
        <v>53</v>
      </c>
      <c r="IB141" s="16">
        <v>0</v>
      </c>
      <c r="IC141" s="16">
        <v>0</v>
      </c>
      <c r="ID141" s="16">
        <v>15</v>
      </c>
      <c r="IE141" s="16">
        <v>8</v>
      </c>
      <c r="IF141" s="16">
        <v>17</v>
      </c>
      <c r="IG141" s="16">
        <v>172</v>
      </c>
      <c r="IH141" s="16">
        <v>0</v>
      </c>
      <c r="II141" s="16">
        <v>0</v>
      </c>
      <c r="IJ141" s="16">
        <v>0</v>
      </c>
      <c r="IK141" s="16">
        <v>0</v>
      </c>
      <c r="IL141" s="16">
        <v>0</v>
      </c>
      <c r="IM141" s="16">
        <v>0</v>
      </c>
      <c r="IN141" s="16">
        <v>0</v>
      </c>
      <c r="IO141" s="16">
        <v>28304</v>
      </c>
      <c r="IP141" s="16">
        <v>3</v>
      </c>
      <c r="IQ141" s="16">
        <v>2</v>
      </c>
      <c r="IR141" s="16">
        <v>0</v>
      </c>
      <c r="IS141" s="16">
        <v>2</v>
      </c>
      <c r="IT141" s="16">
        <v>0</v>
      </c>
      <c r="IU141" s="16">
        <v>7</v>
      </c>
      <c r="IV141" s="16">
        <v>63</v>
      </c>
      <c r="IW141" s="16">
        <v>0</v>
      </c>
      <c r="IX141" s="16">
        <v>0</v>
      </c>
      <c r="IY141" s="16">
        <v>0</v>
      </c>
      <c r="IZ141" s="16">
        <v>0</v>
      </c>
      <c r="JA141" s="16">
        <v>0</v>
      </c>
      <c r="JB141" s="16">
        <v>0</v>
      </c>
      <c r="JC141" s="16">
        <v>0</v>
      </c>
      <c r="JD141" s="16">
        <v>0</v>
      </c>
      <c r="JE141" s="16">
        <v>0</v>
      </c>
      <c r="JF141" s="16">
        <v>4</v>
      </c>
      <c r="JG141" s="16">
        <v>728</v>
      </c>
      <c r="JH141" s="16">
        <v>0</v>
      </c>
      <c r="JI141" s="16">
        <v>11</v>
      </c>
      <c r="JJ141" s="16">
        <v>3557</v>
      </c>
      <c r="JK141" s="16">
        <v>379</v>
      </c>
      <c r="JL141" s="16">
        <v>0</v>
      </c>
      <c r="JM141" s="16">
        <v>85</v>
      </c>
      <c r="JN141" s="16">
        <v>770</v>
      </c>
      <c r="JO141" s="16">
        <v>0</v>
      </c>
      <c r="JP141" s="16">
        <v>0</v>
      </c>
      <c r="JQ141" s="16">
        <v>0</v>
      </c>
      <c r="JR141" s="16">
        <v>0</v>
      </c>
      <c r="JS141" s="16">
        <v>0</v>
      </c>
      <c r="JT141" s="16">
        <v>0</v>
      </c>
      <c r="JU141" s="16">
        <v>113</v>
      </c>
      <c r="JV141" s="16">
        <v>1342</v>
      </c>
      <c r="JW141" s="16">
        <v>220</v>
      </c>
      <c r="JX141" s="16">
        <v>202</v>
      </c>
      <c r="JY141" s="16">
        <v>55</v>
      </c>
      <c r="JZ141" s="16">
        <v>0</v>
      </c>
      <c r="KA141" s="16">
        <v>0</v>
      </c>
      <c r="KB141" s="16">
        <v>0</v>
      </c>
      <c r="KC141" s="16">
        <v>7</v>
      </c>
      <c r="KD141" s="16">
        <v>5</v>
      </c>
      <c r="KE141" s="16">
        <v>0</v>
      </c>
      <c r="KF141" s="16">
        <v>208</v>
      </c>
      <c r="KG141" s="16">
        <v>20</v>
      </c>
      <c r="KH141" s="16">
        <v>3</v>
      </c>
      <c r="KI141" s="16">
        <v>2</v>
      </c>
      <c r="KJ141" s="16">
        <v>25</v>
      </c>
      <c r="KK141" s="16">
        <v>0</v>
      </c>
      <c r="KL141" s="16">
        <v>0</v>
      </c>
      <c r="KM141" s="16">
        <v>0</v>
      </c>
      <c r="KN141" s="16">
        <v>0</v>
      </c>
      <c r="KO141" s="16">
        <v>0</v>
      </c>
      <c r="KP141" s="16">
        <v>0</v>
      </c>
      <c r="KQ141" s="16">
        <v>0</v>
      </c>
      <c r="KR141" s="16">
        <v>0</v>
      </c>
      <c r="KS141" s="16">
        <v>0</v>
      </c>
      <c r="KT141" s="16">
        <v>0</v>
      </c>
      <c r="KU141" s="16">
        <v>0</v>
      </c>
      <c r="KV141" s="16">
        <v>0</v>
      </c>
      <c r="KW141" s="16">
        <v>0</v>
      </c>
      <c r="KX141" s="16">
        <v>0</v>
      </c>
      <c r="KY141" s="16">
        <v>0</v>
      </c>
      <c r="KZ141" s="16">
        <v>0</v>
      </c>
      <c r="LA141" s="16">
        <v>62</v>
      </c>
      <c r="LB141" s="16">
        <v>0</v>
      </c>
      <c r="LC141" s="16">
        <v>39</v>
      </c>
      <c r="LD141" s="16">
        <v>0</v>
      </c>
      <c r="LE141" s="16">
        <v>0</v>
      </c>
      <c r="LF141" s="16">
        <v>0</v>
      </c>
      <c r="LG141" s="16">
        <v>0</v>
      </c>
      <c r="LH141" s="16">
        <v>0</v>
      </c>
      <c r="LI141" s="16">
        <v>0</v>
      </c>
      <c r="LJ141" s="16">
        <v>0</v>
      </c>
      <c r="LK141" s="16">
        <v>0</v>
      </c>
      <c r="LL141" s="16">
        <v>0</v>
      </c>
      <c r="LM141" s="16">
        <v>0</v>
      </c>
      <c r="LN141" s="16">
        <v>0</v>
      </c>
      <c r="LO141" s="16">
        <v>0</v>
      </c>
      <c r="LP141" s="16">
        <v>0</v>
      </c>
      <c r="LQ141" s="16">
        <v>0</v>
      </c>
      <c r="LR141" s="16">
        <v>0</v>
      </c>
      <c r="LS141" s="16">
        <v>0</v>
      </c>
      <c r="LT141" s="16">
        <v>0</v>
      </c>
      <c r="LU141" s="16">
        <v>0</v>
      </c>
      <c r="LV141" s="16">
        <v>0</v>
      </c>
      <c r="LW141" s="16">
        <v>0</v>
      </c>
      <c r="LX141" s="16">
        <v>0</v>
      </c>
      <c r="LY141" s="16">
        <v>0</v>
      </c>
      <c r="LZ141" s="16">
        <v>0</v>
      </c>
      <c r="MA141" s="16">
        <v>0</v>
      </c>
      <c r="MB141" s="16">
        <v>0</v>
      </c>
      <c r="MC141" s="16">
        <v>183</v>
      </c>
      <c r="MD141" s="16">
        <v>0</v>
      </c>
      <c r="ME141" s="16">
        <v>0</v>
      </c>
      <c r="MF141" s="16">
        <v>1982</v>
      </c>
      <c r="MG141" s="16">
        <v>0</v>
      </c>
      <c r="MH141" s="16">
        <v>0</v>
      </c>
      <c r="MI141" s="16">
        <v>0</v>
      </c>
      <c r="MJ141" s="16">
        <v>0</v>
      </c>
      <c r="MK141" s="16">
        <v>0</v>
      </c>
      <c r="ML141" s="16">
        <v>0</v>
      </c>
      <c r="MM141" s="16">
        <v>0</v>
      </c>
      <c r="MN141" s="16">
        <v>0</v>
      </c>
      <c r="MO141" s="16">
        <v>0</v>
      </c>
      <c r="MP141" s="16">
        <v>1053</v>
      </c>
      <c r="MQ141" s="16">
        <v>0</v>
      </c>
      <c r="MR141" s="16">
        <v>42</v>
      </c>
      <c r="MS141" s="16">
        <v>13</v>
      </c>
      <c r="MT141" s="16">
        <v>0</v>
      </c>
      <c r="MU141" s="16">
        <v>0</v>
      </c>
      <c r="MV141" s="16">
        <v>1367</v>
      </c>
      <c r="MW141" s="16">
        <v>0</v>
      </c>
      <c r="MX141" s="16">
        <v>0</v>
      </c>
      <c r="MY141" s="16">
        <v>0</v>
      </c>
      <c r="MZ141" s="16">
        <v>0</v>
      </c>
      <c r="NA141" s="16">
        <v>267</v>
      </c>
      <c r="NB141" s="16">
        <v>0</v>
      </c>
      <c r="NC141" s="16">
        <v>0</v>
      </c>
      <c r="ND141" s="16">
        <v>0</v>
      </c>
      <c r="NE141" s="16">
        <v>0</v>
      </c>
      <c r="NF141" s="16">
        <v>0</v>
      </c>
      <c r="NG141" s="16">
        <v>0</v>
      </c>
      <c r="NH141" s="16">
        <v>0</v>
      </c>
      <c r="NI141" s="16">
        <v>0</v>
      </c>
      <c r="NJ141" s="16">
        <v>0</v>
      </c>
      <c r="NK141" s="16">
        <v>0</v>
      </c>
      <c r="NL141" s="16">
        <v>0</v>
      </c>
      <c r="NM141" s="16">
        <v>0</v>
      </c>
      <c r="NN141" s="16">
        <v>0</v>
      </c>
      <c r="NO141" s="16">
        <v>0</v>
      </c>
      <c r="NP141" s="16">
        <v>0</v>
      </c>
      <c r="NQ141" s="16">
        <v>2</v>
      </c>
      <c r="NR141" s="17">
        <v>1795005</v>
      </c>
    </row>
    <row r="142" spans="1:382" ht="13.5" customHeight="1" x14ac:dyDescent="0.2">
      <c r="A142" s="2" t="s">
        <v>291</v>
      </c>
      <c r="B142" s="16">
        <v>0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6">
        <v>0</v>
      </c>
      <c r="BK142" s="16">
        <v>0</v>
      </c>
      <c r="BL142" s="16">
        <v>0</v>
      </c>
      <c r="BM142" s="16">
        <v>0</v>
      </c>
      <c r="BN142" s="16">
        <v>0</v>
      </c>
      <c r="BO142" s="16">
        <v>0</v>
      </c>
      <c r="BP142" s="16">
        <v>0</v>
      </c>
      <c r="BQ142" s="16">
        <v>0</v>
      </c>
      <c r="BR142" s="16">
        <v>0</v>
      </c>
      <c r="BS142" s="16">
        <v>0</v>
      </c>
      <c r="BT142" s="16">
        <v>0</v>
      </c>
      <c r="BU142" s="16">
        <v>0</v>
      </c>
      <c r="BV142" s="16">
        <v>0</v>
      </c>
      <c r="BW142" s="16">
        <v>0</v>
      </c>
      <c r="BX142" s="16">
        <v>0</v>
      </c>
      <c r="BY142" s="16">
        <v>0</v>
      </c>
      <c r="BZ142" s="16">
        <v>0</v>
      </c>
      <c r="CA142" s="16">
        <v>0</v>
      </c>
      <c r="CB142" s="16">
        <v>0</v>
      </c>
      <c r="CC142" s="16">
        <v>0</v>
      </c>
      <c r="CD142" s="16">
        <v>0</v>
      </c>
      <c r="CE142" s="16">
        <v>0</v>
      </c>
      <c r="CF142" s="16">
        <v>0</v>
      </c>
      <c r="CG142" s="16">
        <v>1</v>
      </c>
      <c r="CH142" s="16">
        <v>532</v>
      </c>
      <c r="CI142" s="16">
        <v>0</v>
      </c>
      <c r="CJ142" s="16">
        <v>0</v>
      </c>
      <c r="CK142" s="16">
        <v>0</v>
      </c>
      <c r="CL142" s="16">
        <v>0</v>
      </c>
      <c r="CM142" s="16">
        <v>0</v>
      </c>
      <c r="CN142" s="16">
        <v>0</v>
      </c>
      <c r="CO142" s="16">
        <v>0</v>
      </c>
      <c r="CP142" s="16">
        <v>0</v>
      </c>
      <c r="CQ142" s="16">
        <v>0</v>
      </c>
      <c r="CR142" s="16">
        <v>0</v>
      </c>
      <c r="CS142" s="16">
        <v>0</v>
      </c>
      <c r="CT142" s="16">
        <v>0</v>
      </c>
      <c r="CU142" s="16">
        <v>0</v>
      </c>
      <c r="CV142" s="16">
        <v>0</v>
      </c>
      <c r="CW142" s="16">
        <v>0</v>
      </c>
      <c r="CX142" s="16">
        <v>0</v>
      </c>
      <c r="CY142" s="16">
        <v>0</v>
      </c>
      <c r="CZ142" s="16">
        <v>13</v>
      </c>
      <c r="DA142" s="16">
        <v>0</v>
      </c>
      <c r="DB142" s="16">
        <v>0</v>
      </c>
      <c r="DC142" s="16">
        <v>0</v>
      </c>
      <c r="DD142" s="16">
        <v>0</v>
      </c>
      <c r="DE142" s="16">
        <v>0</v>
      </c>
      <c r="DF142" s="16">
        <v>0</v>
      </c>
      <c r="DG142" s="16">
        <v>1</v>
      </c>
      <c r="DH142" s="16">
        <v>0</v>
      </c>
      <c r="DI142" s="16">
        <v>0</v>
      </c>
      <c r="DJ142" s="16">
        <v>0</v>
      </c>
      <c r="DK142" s="16">
        <v>0</v>
      </c>
      <c r="DL142" s="16">
        <v>0</v>
      </c>
      <c r="DM142" s="16">
        <v>0</v>
      </c>
      <c r="DN142" s="16">
        <v>0</v>
      </c>
      <c r="DO142" s="16">
        <v>0</v>
      </c>
      <c r="DP142" s="16">
        <v>0</v>
      </c>
      <c r="DQ142" s="16">
        <v>0</v>
      </c>
      <c r="DR142" s="16">
        <v>0</v>
      </c>
      <c r="DS142" s="16">
        <v>0</v>
      </c>
      <c r="DT142" s="16">
        <v>0</v>
      </c>
      <c r="DU142" s="16">
        <v>0</v>
      </c>
      <c r="DV142" s="16">
        <v>0</v>
      </c>
      <c r="DW142" s="16">
        <v>0</v>
      </c>
      <c r="DX142" s="16">
        <v>0</v>
      </c>
      <c r="DY142" s="16">
        <v>0</v>
      </c>
      <c r="DZ142" s="16">
        <v>0</v>
      </c>
      <c r="EA142" s="16">
        <v>0</v>
      </c>
      <c r="EB142" s="16">
        <v>0</v>
      </c>
      <c r="EC142" s="16">
        <v>0</v>
      </c>
      <c r="ED142" s="16">
        <v>0</v>
      </c>
      <c r="EE142" s="16">
        <v>0</v>
      </c>
      <c r="EF142" s="16">
        <v>2</v>
      </c>
      <c r="EG142" s="16">
        <v>19</v>
      </c>
      <c r="EH142" s="16">
        <v>0</v>
      </c>
      <c r="EI142" s="16">
        <v>737</v>
      </c>
      <c r="EJ142" s="16">
        <v>1470</v>
      </c>
      <c r="EK142" s="16">
        <v>520</v>
      </c>
      <c r="EL142" s="16">
        <v>3780</v>
      </c>
      <c r="EM142" s="16">
        <v>0</v>
      </c>
      <c r="EN142" s="16">
        <v>0</v>
      </c>
      <c r="EO142" s="16">
        <v>998</v>
      </c>
      <c r="EP142" s="16">
        <v>0</v>
      </c>
      <c r="EQ142" s="16">
        <v>17</v>
      </c>
      <c r="ER142" s="16">
        <v>0</v>
      </c>
      <c r="ES142" s="16">
        <v>0</v>
      </c>
      <c r="ET142" s="16">
        <v>206</v>
      </c>
      <c r="EU142" s="16">
        <v>4</v>
      </c>
      <c r="EV142" s="16">
        <v>712</v>
      </c>
      <c r="EW142" s="16">
        <v>171</v>
      </c>
      <c r="EX142" s="16">
        <v>4773</v>
      </c>
      <c r="EY142" s="16">
        <v>381</v>
      </c>
      <c r="EZ142" s="16">
        <v>40</v>
      </c>
      <c r="FA142" s="16">
        <v>194</v>
      </c>
      <c r="FB142" s="16">
        <v>310</v>
      </c>
      <c r="FC142" s="16">
        <v>27</v>
      </c>
      <c r="FD142" s="16">
        <v>3872</v>
      </c>
      <c r="FE142" s="16">
        <v>276</v>
      </c>
      <c r="FF142" s="16">
        <v>318</v>
      </c>
      <c r="FG142" s="16">
        <v>638</v>
      </c>
      <c r="FH142" s="16">
        <v>0</v>
      </c>
      <c r="FI142" s="16">
        <v>275</v>
      </c>
      <c r="FJ142" s="16">
        <v>3</v>
      </c>
      <c r="FK142" s="16">
        <v>0</v>
      </c>
      <c r="FL142" s="16">
        <v>0</v>
      </c>
      <c r="FM142" s="16">
        <v>0</v>
      </c>
      <c r="FN142" s="16">
        <v>1004</v>
      </c>
      <c r="FO142" s="16">
        <v>0</v>
      </c>
      <c r="FP142" s="16">
        <v>0</v>
      </c>
      <c r="FQ142" s="16">
        <v>230</v>
      </c>
      <c r="FR142" s="16">
        <v>580</v>
      </c>
      <c r="FS142" s="16">
        <v>0</v>
      </c>
      <c r="FT142" s="16">
        <v>850</v>
      </c>
      <c r="FU142" s="16">
        <v>0</v>
      </c>
      <c r="FV142" s="16">
        <v>0</v>
      </c>
      <c r="FW142" s="16">
        <v>3</v>
      </c>
      <c r="FX142" s="16">
        <v>0</v>
      </c>
      <c r="FY142" s="16">
        <v>0</v>
      </c>
      <c r="FZ142" s="16">
        <v>0</v>
      </c>
      <c r="GA142" s="16">
        <v>0</v>
      </c>
      <c r="GB142" s="16">
        <v>28</v>
      </c>
      <c r="GC142" s="16">
        <v>0</v>
      </c>
      <c r="GD142" s="16">
        <v>1561</v>
      </c>
      <c r="GE142" s="16">
        <v>0</v>
      </c>
      <c r="GF142" s="16">
        <v>0</v>
      </c>
      <c r="GG142" s="16">
        <v>0</v>
      </c>
      <c r="GH142" s="16">
        <v>0</v>
      </c>
      <c r="GI142" s="16">
        <v>0</v>
      </c>
      <c r="GJ142" s="16">
        <v>0</v>
      </c>
      <c r="GK142" s="16">
        <v>0</v>
      </c>
      <c r="GL142" s="16">
        <v>0</v>
      </c>
      <c r="GM142" s="16">
        <v>0</v>
      </c>
      <c r="GN142" s="16">
        <v>0</v>
      </c>
      <c r="GO142" s="16">
        <v>0</v>
      </c>
      <c r="GP142" s="16">
        <v>0</v>
      </c>
      <c r="GQ142" s="16">
        <v>0</v>
      </c>
      <c r="GR142" s="16">
        <v>0</v>
      </c>
      <c r="GS142" s="16">
        <v>0</v>
      </c>
      <c r="GT142" s="16">
        <v>0</v>
      </c>
      <c r="GU142" s="16">
        <v>0</v>
      </c>
      <c r="GV142" s="16">
        <v>0</v>
      </c>
      <c r="GW142" s="16">
        <v>0</v>
      </c>
      <c r="GX142" s="16">
        <v>0</v>
      </c>
      <c r="GY142" s="16">
        <v>0</v>
      </c>
      <c r="GZ142" s="16">
        <v>0</v>
      </c>
      <c r="HA142" s="16">
        <v>0</v>
      </c>
      <c r="HB142" s="16">
        <v>0</v>
      </c>
      <c r="HC142" s="16">
        <v>0</v>
      </c>
      <c r="HD142" s="16">
        <v>0</v>
      </c>
      <c r="HE142" s="16">
        <v>0</v>
      </c>
      <c r="HF142" s="16">
        <v>0</v>
      </c>
      <c r="HG142" s="16">
        <v>0</v>
      </c>
      <c r="HH142" s="16">
        <v>0</v>
      </c>
      <c r="HI142" s="16">
        <v>0</v>
      </c>
      <c r="HJ142" s="16">
        <v>0</v>
      </c>
      <c r="HK142" s="16">
        <v>0</v>
      </c>
      <c r="HL142" s="16">
        <v>0</v>
      </c>
      <c r="HM142" s="16">
        <v>94</v>
      </c>
      <c r="HN142" s="16">
        <v>10</v>
      </c>
      <c r="HO142" s="16">
        <v>142</v>
      </c>
      <c r="HP142" s="16">
        <v>0</v>
      </c>
      <c r="HQ142" s="16">
        <v>0</v>
      </c>
      <c r="HR142" s="16">
        <v>0</v>
      </c>
      <c r="HS142" s="16">
        <v>1</v>
      </c>
      <c r="HT142" s="16">
        <v>0</v>
      </c>
      <c r="HU142" s="16">
        <v>8</v>
      </c>
      <c r="HV142" s="16">
        <v>0</v>
      </c>
      <c r="HW142" s="16">
        <v>0</v>
      </c>
      <c r="HX142" s="16">
        <v>0</v>
      </c>
      <c r="HY142" s="16">
        <v>0</v>
      </c>
      <c r="HZ142" s="16">
        <v>0</v>
      </c>
      <c r="IA142" s="16">
        <v>0</v>
      </c>
      <c r="IB142" s="16">
        <v>0</v>
      </c>
      <c r="IC142" s="16">
        <v>0</v>
      </c>
      <c r="ID142" s="16">
        <v>0</v>
      </c>
      <c r="IE142" s="16">
        <v>0</v>
      </c>
      <c r="IF142" s="16">
        <v>0</v>
      </c>
      <c r="IG142" s="16">
        <v>0</v>
      </c>
      <c r="IH142" s="16">
        <v>0</v>
      </c>
      <c r="II142" s="16">
        <v>0</v>
      </c>
      <c r="IJ142" s="16">
        <v>0</v>
      </c>
      <c r="IK142" s="16">
        <v>0</v>
      </c>
      <c r="IL142" s="16">
        <v>0</v>
      </c>
      <c r="IM142" s="16">
        <v>0</v>
      </c>
      <c r="IN142" s="16">
        <v>0</v>
      </c>
      <c r="IO142" s="16">
        <v>1</v>
      </c>
      <c r="IP142" s="16">
        <v>0</v>
      </c>
      <c r="IQ142" s="16">
        <v>0</v>
      </c>
      <c r="IR142" s="16">
        <v>0</v>
      </c>
      <c r="IS142" s="16">
        <v>0</v>
      </c>
      <c r="IT142" s="16">
        <v>0</v>
      </c>
      <c r="IU142" s="16">
        <v>0</v>
      </c>
      <c r="IV142" s="16">
        <v>0</v>
      </c>
      <c r="IW142" s="16">
        <v>0</v>
      </c>
      <c r="IX142" s="16">
        <v>0</v>
      </c>
      <c r="IY142" s="16">
        <v>0</v>
      </c>
      <c r="IZ142" s="16">
        <v>0</v>
      </c>
      <c r="JA142" s="16">
        <v>342</v>
      </c>
      <c r="JB142" s="16">
        <v>0</v>
      </c>
      <c r="JC142" s="16">
        <v>0</v>
      </c>
      <c r="JD142" s="16">
        <v>0</v>
      </c>
      <c r="JE142" s="16">
        <v>0</v>
      </c>
      <c r="JF142" s="16">
        <v>0</v>
      </c>
      <c r="JG142" s="16">
        <v>0</v>
      </c>
      <c r="JH142" s="16">
        <v>0</v>
      </c>
      <c r="JI142" s="16">
        <v>0</v>
      </c>
      <c r="JJ142" s="16">
        <v>0</v>
      </c>
      <c r="JK142" s="16">
        <v>0</v>
      </c>
      <c r="JL142" s="16">
        <v>0</v>
      </c>
      <c r="JM142" s="16">
        <v>0</v>
      </c>
      <c r="JN142" s="16">
        <v>0</v>
      </c>
      <c r="JO142" s="16">
        <v>0</v>
      </c>
      <c r="JP142" s="16">
        <v>0</v>
      </c>
      <c r="JQ142" s="16">
        <v>0</v>
      </c>
      <c r="JR142" s="16">
        <v>0</v>
      </c>
      <c r="JS142" s="16">
        <v>0</v>
      </c>
      <c r="JT142" s="16">
        <v>0</v>
      </c>
      <c r="JU142" s="16">
        <v>0</v>
      </c>
      <c r="JV142" s="16">
        <v>389</v>
      </c>
      <c r="JW142" s="16">
        <v>550874</v>
      </c>
      <c r="JX142" s="16">
        <v>303758</v>
      </c>
      <c r="JY142" s="16">
        <v>146660</v>
      </c>
      <c r="JZ142" s="16">
        <v>3934</v>
      </c>
      <c r="KA142" s="16">
        <v>3416</v>
      </c>
      <c r="KB142" s="16">
        <v>565</v>
      </c>
      <c r="KC142" s="16">
        <v>1094</v>
      </c>
      <c r="KD142" s="16">
        <v>10839</v>
      </c>
      <c r="KE142" s="16">
        <v>597</v>
      </c>
      <c r="KF142" s="16">
        <v>3244</v>
      </c>
      <c r="KG142" s="16">
        <v>1873</v>
      </c>
      <c r="KH142" s="16">
        <v>3124</v>
      </c>
      <c r="KI142" s="16">
        <v>4071</v>
      </c>
      <c r="KJ142" s="16">
        <v>4332</v>
      </c>
      <c r="KK142" s="16">
        <v>7214</v>
      </c>
      <c r="KL142" s="16">
        <v>0</v>
      </c>
      <c r="KM142" s="16">
        <v>0</v>
      </c>
      <c r="KN142" s="16">
        <v>0</v>
      </c>
      <c r="KO142" s="16">
        <v>0</v>
      </c>
      <c r="KP142" s="16">
        <v>0</v>
      </c>
      <c r="KQ142" s="16">
        <v>0</v>
      </c>
      <c r="KR142" s="16">
        <v>0</v>
      </c>
      <c r="KS142" s="16">
        <v>0</v>
      </c>
      <c r="KT142" s="16">
        <v>0</v>
      </c>
      <c r="KU142" s="16">
        <v>0</v>
      </c>
      <c r="KV142" s="16">
        <v>0</v>
      </c>
      <c r="KW142" s="16">
        <v>0</v>
      </c>
      <c r="KX142" s="16">
        <v>0</v>
      </c>
      <c r="KY142" s="16">
        <v>0</v>
      </c>
      <c r="KZ142" s="16">
        <v>26160</v>
      </c>
      <c r="LA142" s="16">
        <v>4017</v>
      </c>
      <c r="LB142" s="16">
        <v>214</v>
      </c>
      <c r="LC142" s="16">
        <v>942</v>
      </c>
      <c r="LD142" s="16">
        <v>0</v>
      </c>
      <c r="LE142" s="16">
        <v>0</v>
      </c>
      <c r="LF142" s="16">
        <v>0</v>
      </c>
      <c r="LG142" s="16">
        <v>0</v>
      </c>
      <c r="LH142" s="16">
        <v>0</v>
      </c>
      <c r="LI142" s="16">
        <v>0</v>
      </c>
      <c r="LJ142" s="16">
        <v>0</v>
      </c>
      <c r="LK142" s="16">
        <v>0</v>
      </c>
      <c r="LL142" s="16">
        <v>0</v>
      </c>
      <c r="LM142" s="16">
        <v>0</v>
      </c>
      <c r="LN142" s="16">
        <v>0</v>
      </c>
      <c r="LO142" s="16">
        <v>0</v>
      </c>
      <c r="LP142" s="16">
        <v>0</v>
      </c>
      <c r="LQ142" s="16">
        <v>0</v>
      </c>
      <c r="LR142" s="16">
        <v>0</v>
      </c>
      <c r="LS142" s="16">
        <v>0</v>
      </c>
      <c r="LT142" s="16">
        <v>0</v>
      </c>
      <c r="LU142" s="16">
        <v>0</v>
      </c>
      <c r="LV142" s="16">
        <v>0</v>
      </c>
      <c r="LW142" s="16">
        <v>0</v>
      </c>
      <c r="LX142" s="16">
        <v>0</v>
      </c>
      <c r="LY142" s="16">
        <v>0</v>
      </c>
      <c r="LZ142" s="16">
        <v>0</v>
      </c>
      <c r="MA142" s="16">
        <v>0</v>
      </c>
      <c r="MB142" s="16">
        <v>0</v>
      </c>
      <c r="MC142" s="16">
        <v>0</v>
      </c>
      <c r="MD142" s="16">
        <v>0</v>
      </c>
      <c r="ME142" s="16">
        <v>0</v>
      </c>
      <c r="MF142" s="16">
        <v>0</v>
      </c>
      <c r="MG142" s="16">
        <v>0</v>
      </c>
      <c r="MH142" s="16">
        <v>0</v>
      </c>
      <c r="MI142" s="16">
        <v>0</v>
      </c>
      <c r="MJ142" s="16">
        <v>216</v>
      </c>
      <c r="MK142" s="16">
        <v>0</v>
      </c>
      <c r="ML142" s="16">
        <v>0</v>
      </c>
      <c r="MM142" s="16">
        <v>0</v>
      </c>
      <c r="MN142" s="16">
        <v>0</v>
      </c>
      <c r="MO142" s="16">
        <v>75</v>
      </c>
      <c r="MP142" s="16">
        <v>0</v>
      </c>
      <c r="MQ142" s="16">
        <v>0</v>
      </c>
      <c r="MR142" s="16">
        <v>24</v>
      </c>
      <c r="MS142" s="16">
        <v>0</v>
      </c>
      <c r="MT142" s="16">
        <v>0</v>
      </c>
      <c r="MU142" s="16">
        <v>3428</v>
      </c>
      <c r="MV142" s="16">
        <v>0</v>
      </c>
      <c r="MW142" s="16">
        <v>0</v>
      </c>
      <c r="MX142" s="16">
        <v>0</v>
      </c>
      <c r="MY142" s="16">
        <v>0</v>
      </c>
      <c r="MZ142" s="16">
        <v>0</v>
      </c>
      <c r="NA142" s="16">
        <v>0</v>
      </c>
      <c r="NB142" s="16">
        <v>0</v>
      </c>
      <c r="NC142" s="16">
        <v>0</v>
      </c>
      <c r="ND142" s="16">
        <v>0</v>
      </c>
      <c r="NE142" s="16">
        <v>0</v>
      </c>
      <c r="NF142" s="16">
        <v>0</v>
      </c>
      <c r="NG142" s="16">
        <v>57</v>
      </c>
      <c r="NH142" s="16">
        <v>0</v>
      </c>
      <c r="NI142" s="16">
        <v>0</v>
      </c>
      <c r="NJ142" s="16">
        <v>0</v>
      </c>
      <c r="NK142" s="16">
        <v>0</v>
      </c>
      <c r="NL142" s="16">
        <v>0</v>
      </c>
      <c r="NM142" s="16">
        <v>0</v>
      </c>
      <c r="NN142" s="16">
        <v>0</v>
      </c>
      <c r="NO142" s="16">
        <v>0</v>
      </c>
      <c r="NP142" s="16">
        <v>0</v>
      </c>
      <c r="NQ142" s="16">
        <v>481</v>
      </c>
      <c r="NR142" s="17">
        <v>1106742</v>
      </c>
    </row>
    <row r="143" spans="1:382" ht="13.5" customHeight="1" x14ac:dyDescent="0.2">
      <c r="A143" s="2" t="s">
        <v>293</v>
      </c>
      <c r="B143" s="16">
        <v>25</v>
      </c>
      <c r="C143" s="16">
        <v>11</v>
      </c>
      <c r="D143" s="16">
        <v>6</v>
      </c>
      <c r="E143" s="16">
        <v>2</v>
      </c>
      <c r="F143" s="16">
        <v>36</v>
      </c>
      <c r="G143" s="16">
        <v>15</v>
      </c>
      <c r="H143" s="16">
        <v>4</v>
      </c>
      <c r="I143" s="16">
        <v>7</v>
      </c>
      <c r="J143" s="16">
        <v>0</v>
      </c>
      <c r="K143" s="16">
        <v>0</v>
      </c>
      <c r="L143" s="16">
        <v>1</v>
      </c>
      <c r="M143" s="16">
        <v>0</v>
      </c>
      <c r="N143" s="16">
        <v>0</v>
      </c>
      <c r="O143" s="16">
        <v>0</v>
      </c>
      <c r="P143" s="16">
        <v>30</v>
      </c>
      <c r="Q143" s="16">
        <v>27</v>
      </c>
      <c r="R143" s="16">
        <v>8</v>
      </c>
      <c r="S143" s="16">
        <v>9</v>
      </c>
      <c r="T143" s="16">
        <v>0</v>
      </c>
      <c r="U143" s="16">
        <v>3</v>
      </c>
      <c r="V143" s="16">
        <v>1</v>
      </c>
      <c r="W143" s="16">
        <v>3</v>
      </c>
      <c r="X143" s="16">
        <v>13</v>
      </c>
      <c r="Y143" s="16">
        <v>43</v>
      </c>
      <c r="Z143" s="16">
        <v>35</v>
      </c>
      <c r="AA143" s="16">
        <v>1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46</v>
      </c>
      <c r="AH143" s="16">
        <v>36</v>
      </c>
      <c r="AI143" s="16">
        <v>5</v>
      </c>
      <c r="AJ143" s="16">
        <v>13</v>
      </c>
      <c r="AK143" s="16">
        <v>65</v>
      </c>
      <c r="AL143" s="16">
        <v>3</v>
      </c>
      <c r="AM143" s="16">
        <v>23</v>
      </c>
      <c r="AN143" s="16">
        <v>175</v>
      </c>
      <c r="AO143" s="16">
        <v>5</v>
      </c>
      <c r="AP143" s="16">
        <v>2</v>
      </c>
      <c r="AQ143" s="16">
        <v>8</v>
      </c>
      <c r="AR143" s="16">
        <v>0</v>
      </c>
      <c r="AS143" s="16">
        <v>15</v>
      </c>
      <c r="AT143" s="16">
        <v>8</v>
      </c>
      <c r="AU143" s="16">
        <v>53</v>
      </c>
      <c r="AV143" s="16">
        <v>4</v>
      </c>
      <c r="AW143" s="16">
        <v>14</v>
      </c>
      <c r="AX143" s="16">
        <v>6</v>
      </c>
      <c r="AY143" s="16">
        <v>23</v>
      </c>
      <c r="AZ143" s="16">
        <v>6</v>
      </c>
      <c r="BA143" s="16">
        <v>74</v>
      </c>
      <c r="BB143" s="16">
        <v>6</v>
      </c>
      <c r="BC143" s="16">
        <v>12</v>
      </c>
      <c r="BD143" s="16">
        <v>1</v>
      </c>
      <c r="BE143" s="16">
        <v>10</v>
      </c>
      <c r="BF143" s="16">
        <v>31</v>
      </c>
      <c r="BG143" s="16">
        <v>8</v>
      </c>
      <c r="BH143" s="16">
        <v>13</v>
      </c>
      <c r="BI143" s="16">
        <v>14</v>
      </c>
      <c r="BJ143" s="16">
        <v>12</v>
      </c>
      <c r="BK143" s="16">
        <v>2</v>
      </c>
      <c r="BL143" s="16">
        <v>25</v>
      </c>
      <c r="BM143" s="16">
        <v>3</v>
      </c>
      <c r="BN143" s="16">
        <v>18</v>
      </c>
      <c r="BO143" s="16">
        <v>13</v>
      </c>
      <c r="BP143" s="16">
        <v>9</v>
      </c>
      <c r="BQ143" s="16">
        <v>16</v>
      </c>
      <c r="BR143" s="16">
        <v>2</v>
      </c>
      <c r="BS143" s="16">
        <v>36</v>
      </c>
      <c r="BT143" s="16">
        <v>1</v>
      </c>
      <c r="BU143" s="16">
        <v>1</v>
      </c>
      <c r="BV143" s="16">
        <v>1</v>
      </c>
      <c r="BW143" s="16">
        <v>4</v>
      </c>
      <c r="BX143" s="16">
        <v>1</v>
      </c>
      <c r="BY143" s="16">
        <v>0</v>
      </c>
      <c r="BZ143" s="16">
        <v>2</v>
      </c>
      <c r="CA143" s="16">
        <v>2</v>
      </c>
      <c r="CB143" s="16">
        <v>2</v>
      </c>
      <c r="CC143" s="16">
        <v>28</v>
      </c>
      <c r="CD143" s="16">
        <v>5</v>
      </c>
      <c r="CE143" s="16">
        <v>4</v>
      </c>
      <c r="CF143" s="16">
        <v>12</v>
      </c>
      <c r="CG143" s="16">
        <v>2</v>
      </c>
      <c r="CH143" s="16">
        <v>31</v>
      </c>
      <c r="CI143" s="16">
        <v>4</v>
      </c>
      <c r="CJ143" s="16">
        <v>5</v>
      </c>
      <c r="CK143" s="16">
        <v>15</v>
      </c>
      <c r="CL143" s="16">
        <v>17</v>
      </c>
      <c r="CM143" s="16">
        <v>8</v>
      </c>
      <c r="CN143" s="16">
        <v>3</v>
      </c>
      <c r="CO143" s="16">
        <v>8</v>
      </c>
      <c r="CP143" s="16">
        <v>19</v>
      </c>
      <c r="CQ143" s="16">
        <v>154</v>
      </c>
      <c r="CR143" s="16">
        <v>10</v>
      </c>
      <c r="CS143" s="16">
        <v>7</v>
      </c>
      <c r="CT143" s="16">
        <v>2</v>
      </c>
      <c r="CU143" s="16">
        <v>7</v>
      </c>
      <c r="CV143" s="16">
        <v>9</v>
      </c>
      <c r="CW143" s="16">
        <v>31</v>
      </c>
      <c r="CX143" s="16">
        <v>38</v>
      </c>
      <c r="CY143" s="16">
        <v>2</v>
      </c>
      <c r="CZ143" s="16">
        <v>8</v>
      </c>
      <c r="DA143" s="16">
        <v>1</v>
      </c>
      <c r="DB143" s="16">
        <v>5</v>
      </c>
      <c r="DC143" s="16">
        <v>8</v>
      </c>
      <c r="DD143" s="16">
        <v>9</v>
      </c>
      <c r="DE143" s="16">
        <v>8</v>
      </c>
      <c r="DF143" s="16">
        <v>8</v>
      </c>
      <c r="DG143" s="16">
        <v>6</v>
      </c>
      <c r="DH143" s="16">
        <v>12</v>
      </c>
      <c r="DI143" s="16">
        <v>3</v>
      </c>
      <c r="DJ143" s="16">
        <v>103</v>
      </c>
      <c r="DK143" s="16">
        <v>6</v>
      </c>
      <c r="DL143" s="16">
        <v>15</v>
      </c>
      <c r="DM143" s="16">
        <v>185</v>
      </c>
      <c r="DN143" s="16">
        <v>6</v>
      </c>
      <c r="DO143" s="16">
        <v>9</v>
      </c>
      <c r="DP143" s="16">
        <v>18</v>
      </c>
      <c r="DQ143" s="16">
        <v>3</v>
      </c>
      <c r="DR143" s="16">
        <v>4</v>
      </c>
      <c r="DS143" s="16">
        <v>28</v>
      </c>
      <c r="DT143" s="16">
        <v>5</v>
      </c>
      <c r="DU143" s="16">
        <v>2</v>
      </c>
      <c r="DV143" s="16">
        <v>3</v>
      </c>
      <c r="DW143" s="16">
        <v>24</v>
      </c>
      <c r="DX143" s="16">
        <v>454</v>
      </c>
      <c r="DY143" s="16">
        <v>18</v>
      </c>
      <c r="DZ143" s="16">
        <v>55</v>
      </c>
      <c r="EA143" s="16">
        <v>160</v>
      </c>
      <c r="EB143" s="16">
        <v>3</v>
      </c>
      <c r="EC143" s="16">
        <v>15</v>
      </c>
      <c r="ED143" s="16">
        <v>3</v>
      </c>
      <c r="EE143" s="16">
        <v>0</v>
      </c>
      <c r="EF143" s="16">
        <v>1</v>
      </c>
      <c r="EG143" s="16">
        <v>5</v>
      </c>
      <c r="EH143" s="16">
        <v>1</v>
      </c>
      <c r="EI143" s="16">
        <v>154</v>
      </c>
      <c r="EJ143" s="16">
        <v>2</v>
      </c>
      <c r="EK143" s="16">
        <v>7227</v>
      </c>
      <c r="EL143" s="16">
        <v>30</v>
      </c>
      <c r="EM143" s="16">
        <v>289198</v>
      </c>
      <c r="EN143" s="16">
        <v>3292444</v>
      </c>
      <c r="EO143" s="16">
        <v>696586</v>
      </c>
      <c r="EP143" s="16">
        <v>2087</v>
      </c>
      <c r="EQ143" s="16">
        <v>10482</v>
      </c>
      <c r="ER143" s="16">
        <v>14</v>
      </c>
      <c r="ES143" s="16">
        <v>527</v>
      </c>
      <c r="ET143" s="16">
        <v>14537</v>
      </c>
      <c r="EU143" s="16">
        <v>270</v>
      </c>
      <c r="EV143" s="16">
        <v>2</v>
      </c>
      <c r="EW143" s="16">
        <v>6</v>
      </c>
      <c r="EX143" s="16">
        <v>51</v>
      </c>
      <c r="EY143" s="16">
        <v>26</v>
      </c>
      <c r="EZ143" s="16">
        <v>169</v>
      </c>
      <c r="FA143" s="16">
        <v>2</v>
      </c>
      <c r="FB143" s="16">
        <v>8</v>
      </c>
      <c r="FC143" s="16">
        <v>5</v>
      </c>
      <c r="FD143" s="16">
        <v>342</v>
      </c>
      <c r="FE143" s="16">
        <v>4</v>
      </c>
      <c r="FF143" s="16">
        <v>8</v>
      </c>
      <c r="FG143" s="16">
        <v>38</v>
      </c>
      <c r="FH143" s="16">
        <v>2</v>
      </c>
      <c r="FI143" s="16">
        <v>12</v>
      </c>
      <c r="FJ143" s="16">
        <v>2</v>
      </c>
      <c r="FK143" s="16">
        <v>5</v>
      </c>
      <c r="FL143" s="16">
        <v>6</v>
      </c>
      <c r="FM143" s="16">
        <v>6</v>
      </c>
      <c r="FN143" s="16">
        <v>542</v>
      </c>
      <c r="FO143" s="16">
        <v>12</v>
      </c>
      <c r="FP143" s="16">
        <v>269</v>
      </c>
      <c r="FQ143" s="16">
        <v>3395</v>
      </c>
      <c r="FR143" s="16">
        <v>259</v>
      </c>
      <c r="FS143" s="16">
        <v>16</v>
      </c>
      <c r="FT143" s="16">
        <v>56</v>
      </c>
      <c r="FU143" s="16">
        <v>22</v>
      </c>
      <c r="FV143" s="16">
        <v>10</v>
      </c>
      <c r="FW143" s="16">
        <v>34</v>
      </c>
      <c r="FX143" s="16">
        <v>846</v>
      </c>
      <c r="FY143" s="16">
        <v>4</v>
      </c>
      <c r="FZ143" s="16">
        <v>11</v>
      </c>
      <c r="GA143" s="16">
        <v>2</v>
      </c>
      <c r="GB143" s="16">
        <v>290</v>
      </c>
      <c r="GC143" s="16">
        <v>6</v>
      </c>
      <c r="GD143" s="16">
        <v>4546</v>
      </c>
      <c r="GE143" s="16">
        <v>1</v>
      </c>
      <c r="GF143" s="16">
        <v>55</v>
      </c>
      <c r="GG143" s="16">
        <v>0</v>
      </c>
      <c r="GH143" s="16">
        <v>6</v>
      </c>
      <c r="GI143" s="16">
        <v>1</v>
      </c>
      <c r="GJ143" s="16">
        <v>7</v>
      </c>
      <c r="GK143" s="16">
        <v>2</v>
      </c>
      <c r="GL143" s="16">
        <v>6</v>
      </c>
      <c r="GM143" s="16">
        <v>101</v>
      </c>
      <c r="GN143" s="16">
        <v>2</v>
      </c>
      <c r="GO143" s="16">
        <v>24</v>
      </c>
      <c r="GP143" s="16">
        <v>1</v>
      </c>
      <c r="GQ143" s="16">
        <v>1</v>
      </c>
      <c r="GR143" s="16">
        <v>3</v>
      </c>
      <c r="GS143" s="16">
        <v>2</v>
      </c>
      <c r="GT143" s="16">
        <v>3</v>
      </c>
      <c r="GU143" s="16">
        <v>6</v>
      </c>
      <c r="GV143" s="16">
        <v>6</v>
      </c>
      <c r="GW143" s="16">
        <v>5</v>
      </c>
      <c r="GX143" s="16">
        <v>1</v>
      </c>
      <c r="GY143" s="16">
        <v>1</v>
      </c>
      <c r="GZ143" s="16">
        <v>5</v>
      </c>
      <c r="HA143" s="16">
        <v>4</v>
      </c>
      <c r="HB143" s="16">
        <v>3</v>
      </c>
      <c r="HC143" s="16">
        <v>17</v>
      </c>
      <c r="HD143" s="16">
        <v>19</v>
      </c>
      <c r="HE143" s="16">
        <v>1</v>
      </c>
      <c r="HF143" s="16">
        <v>12</v>
      </c>
      <c r="HG143" s="16">
        <v>6</v>
      </c>
      <c r="HH143" s="16">
        <v>4</v>
      </c>
      <c r="HI143" s="16">
        <v>4</v>
      </c>
      <c r="HJ143" s="16">
        <v>5</v>
      </c>
      <c r="HK143" s="16">
        <v>3</v>
      </c>
      <c r="HL143" s="16">
        <v>19</v>
      </c>
      <c r="HM143" s="16">
        <v>9</v>
      </c>
      <c r="HN143" s="16">
        <v>14</v>
      </c>
      <c r="HO143" s="16">
        <v>25</v>
      </c>
      <c r="HP143" s="16">
        <v>10</v>
      </c>
      <c r="HQ143" s="16">
        <v>211</v>
      </c>
      <c r="HR143" s="16">
        <v>29</v>
      </c>
      <c r="HS143" s="16">
        <v>434</v>
      </c>
      <c r="HT143" s="16">
        <v>2</v>
      </c>
      <c r="HU143" s="16">
        <v>2150</v>
      </c>
      <c r="HV143" s="16">
        <v>14</v>
      </c>
      <c r="HW143" s="16">
        <v>11</v>
      </c>
      <c r="HX143" s="16">
        <v>24</v>
      </c>
      <c r="HY143" s="16">
        <v>20</v>
      </c>
      <c r="HZ143" s="16">
        <v>47</v>
      </c>
      <c r="IA143" s="16">
        <v>24</v>
      </c>
      <c r="IB143" s="16">
        <v>3</v>
      </c>
      <c r="IC143" s="16">
        <v>100</v>
      </c>
      <c r="ID143" s="16">
        <v>5</v>
      </c>
      <c r="IE143" s="16">
        <v>1</v>
      </c>
      <c r="IF143" s="16">
        <v>98</v>
      </c>
      <c r="IG143" s="16">
        <v>520</v>
      </c>
      <c r="IH143" s="16">
        <v>11</v>
      </c>
      <c r="II143" s="16">
        <v>0</v>
      </c>
      <c r="IJ143" s="16">
        <v>4</v>
      </c>
      <c r="IK143" s="16">
        <v>8</v>
      </c>
      <c r="IL143" s="16">
        <v>2</v>
      </c>
      <c r="IM143" s="16">
        <v>0</v>
      </c>
      <c r="IN143" s="16">
        <v>1</v>
      </c>
      <c r="IO143" s="16">
        <v>22</v>
      </c>
      <c r="IP143" s="16">
        <v>1</v>
      </c>
      <c r="IQ143" s="16">
        <v>1</v>
      </c>
      <c r="IR143" s="16">
        <v>6</v>
      </c>
      <c r="IS143" s="16">
        <v>1</v>
      </c>
      <c r="IT143" s="16">
        <v>1</v>
      </c>
      <c r="IU143" s="16">
        <v>2</v>
      </c>
      <c r="IV143" s="16">
        <v>2</v>
      </c>
      <c r="IW143" s="16">
        <v>439</v>
      </c>
      <c r="IX143" s="16">
        <v>122</v>
      </c>
      <c r="IY143" s="16">
        <v>94</v>
      </c>
      <c r="IZ143" s="16">
        <v>1</v>
      </c>
      <c r="JA143" s="16">
        <v>3</v>
      </c>
      <c r="JB143" s="16">
        <v>2</v>
      </c>
      <c r="JC143" s="16">
        <v>2</v>
      </c>
      <c r="JD143" s="16">
        <v>2</v>
      </c>
      <c r="JE143" s="16">
        <v>394</v>
      </c>
      <c r="JF143" s="16">
        <v>4</v>
      </c>
      <c r="JG143" s="16">
        <v>1389</v>
      </c>
      <c r="JH143" s="16">
        <v>3</v>
      </c>
      <c r="JI143" s="16">
        <v>10</v>
      </c>
      <c r="JJ143" s="16">
        <v>9</v>
      </c>
      <c r="JK143" s="16">
        <v>21</v>
      </c>
      <c r="JL143" s="16">
        <v>3</v>
      </c>
      <c r="JM143" s="16">
        <v>1</v>
      </c>
      <c r="JN143" s="16">
        <v>14</v>
      </c>
      <c r="JO143" s="16">
        <v>9</v>
      </c>
      <c r="JP143" s="16">
        <v>65</v>
      </c>
      <c r="JQ143" s="16">
        <v>25</v>
      </c>
      <c r="JR143" s="16">
        <v>509</v>
      </c>
      <c r="JS143" s="16">
        <v>0</v>
      </c>
      <c r="JT143" s="16">
        <v>0</v>
      </c>
      <c r="JU143" s="16">
        <v>3984</v>
      </c>
      <c r="JV143" s="16">
        <v>499</v>
      </c>
      <c r="JW143" s="16">
        <v>61342</v>
      </c>
      <c r="JX143" s="16">
        <v>130801</v>
      </c>
      <c r="JY143" s="16">
        <v>48524</v>
      </c>
      <c r="JZ143" s="16">
        <v>39297</v>
      </c>
      <c r="KA143" s="16">
        <v>33014</v>
      </c>
      <c r="KB143" s="16">
        <v>10753</v>
      </c>
      <c r="KC143" s="16">
        <v>8126</v>
      </c>
      <c r="KD143" s="16">
        <v>15022</v>
      </c>
      <c r="KE143" s="16">
        <v>2481</v>
      </c>
      <c r="KF143" s="16">
        <v>41376</v>
      </c>
      <c r="KG143" s="16">
        <v>791</v>
      </c>
      <c r="KH143" s="16">
        <v>1084</v>
      </c>
      <c r="KI143" s="16">
        <v>4267</v>
      </c>
      <c r="KJ143" s="16">
        <v>3944</v>
      </c>
      <c r="KK143" s="16">
        <v>8335</v>
      </c>
      <c r="KL143" s="16">
        <v>2</v>
      </c>
      <c r="KM143" s="16">
        <v>17</v>
      </c>
      <c r="KN143" s="16">
        <v>4</v>
      </c>
      <c r="KO143" s="16">
        <v>1166</v>
      </c>
      <c r="KP143" s="16">
        <v>1</v>
      </c>
      <c r="KQ143" s="16">
        <v>5</v>
      </c>
      <c r="KR143" s="16">
        <v>23</v>
      </c>
      <c r="KS143" s="16">
        <v>20</v>
      </c>
      <c r="KT143" s="16">
        <v>11</v>
      </c>
      <c r="KU143" s="16">
        <v>89</v>
      </c>
      <c r="KV143" s="16">
        <v>7</v>
      </c>
      <c r="KW143" s="16">
        <v>75</v>
      </c>
      <c r="KX143" s="16">
        <v>0</v>
      </c>
      <c r="KY143" s="16">
        <v>21</v>
      </c>
      <c r="KZ143" s="16">
        <v>137</v>
      </c>
      <c r="LA143" s="16">
        <v>24</v>
      </c>
      <c r="LB143" s="16">
        <v>28</v>
      </c>
      <c r="LC143" s="16">
        <v>8</v>
      </c>
      <c r="LD143" s="16">
        <v>9987</v>
      </c>
      <c r="LE143" s="16">
        <v>61</v>
      </c>
      <c r="LF143" s="16">
        <v>7</v>
      </c>
      <c r="LG143" s="16">
        <v>5</v>
      </c>
      <c r="LH143" s="16">
        <v>154</v>
      </c>
      <c r="LI143" s="16">
        <v>17</v>
      </c>
      <c r="LJ143" s="16">
        <v>6</v>
      </c>
      <c r="LK143" s="16">
        <v>41</v>
      </c>
      <c r="LL143" s="16">
        <v>148</v>
      </c>
      <c r="LM143" s="16">
        <v>500</v>
      </c>
      <c r="LN143" s="16">
        <v>110</v>
      </c>
      <c r="LO143" s="16">
        <v>14</v>
      </c>
      <c r="LP143" s="16">
        <v>239</v>
      </c>
      <c r="LQ143" s="16">
        <v>5</v>
      </c>
      <c r="LR143" s="16">
        <v>107</v>
      </c>
      <c r="LS143" s="16">
        <v>157</v>
      </c>
      <c r="LT143" s="16">
        <v>51</v>
      </c>
      <c r="LU143" s="16">
        <v>27</v>
      </c>
      <c r="LV143" s="16">
        <v>3</v>
      </c>
      <c r="LW143" s="16">
        <v>20</v>
      </c>
      <c r="LX143" s="16">
        <v>32</v>
      </c>
      <c r="LY143" s="16">
        <v>0</v>
      </c>
      <c r="LZ143" s="16">
        <v>207</v>
      </c>
      <c r="MA143" s="16">
        <v>524</v>
      </c>
      <c r="MB143" s="16">
        <v>83</v>
      </c>
      <c r="MC143" s="16">
        <v>72</v>
      </c>
      <c r="MD143" s="16">
        <v>3</v>
      </c>
      <c r="ME143" s="16">
        <v>21</v>
      </c>
      <c r="MF143" s="16">
        <v>802</v>
      </c>
      <c r="MG143" s="16">
        <v>709</v>
      </c>
      <c r="MH143" s="16">
        <v>5090</v>
      </c>
      <c r="MI143" s="16">
        <v>31</v>
      </c>
      <c r="MJ143" s="16">
        <v>316</v>
      </c>
      <c r="MK143" s="16">
        <v>209</v>
      </c>
      <c r="ML143" s="16">
        <v>22</v>
      </c>
      <c r="MM143" s="16">
        <v>4661</v>
      </c>
      <c r="MN143" s="16">
        <v>4001</v>
      </c>
      <c r="MO143" s="16">
        <v>3245</v>
      </c>
      <c r="MP143" s="16">
        <v>610</v>
      </c>
      <c r="MQ143" s="16">
        <v>581</v>
      </c>
      <c r="MR143" s="16">
        <v>1396</v>
      </c>
      <c r="MS143" s="16">
        <v>1919</v>
      </c>
      <c r="MT143" s="16">
        <v>78</v>
      </c>
      <c r="MU143" s="16">
        <v>58</v>
      </c>
      <c r="MV143" s="16">
        <v>140</v>
      </c>
      <c r="MW143" s="16">
        <v>262</v>
      </c>
      <c r="MX143" s="16">
        <v>16</v>
      </c>
      <c r="MY143" s="16">
        <v>47</v>
      </c>
      <c r="MZ143" s="16">
        <v>869</v>
      </c>
      <c r="NA143" s="16">
        <v>94</v>
      </c>
      <c r="NB143" s="16">
        <v>387</v>
      </c>
      <c r="NC143" s="16">
        <v>68</v>
      </c>
      <c r="ND143" s="16">
        <v>30</v>
      </c>
      <c r="NE143" s="16">
        <v>8</v>
      </c>
      <c r="NF143" s="16">
        <v>1009</v>
      </c>
      <c r="NG143" s="16">
        <v>155</v>
      </c>
      <c r="NH143" s="16">
        <v>56</v>
      </c>
      <c r="NI143" s="16">
        <v>414</v>
      </c>
      <c r="NJ143" s="16">
        <v>1876</v>
      </c>
      <c r="NK143" s="16">
        <v>78</v>
      </c>
      <c r="NL143" s="16">
        <v>1</v>
      </c>
      <c r="NM143" s="16">
        <v>41</v>
      </c>
      <c r="NN143" s="16">
        <v>35</v>
      </c>
      <c r="NO143" s="16">
        <v>0</v>
      </c>
      <c r="NP143" s="16">
        <v>2562</v>
      </c>
      <c r="NQ143" s="16">
        <v>219</v>
      </c>
      <c r="NR143" s="17">
        <v>4794540</v>
      </c>
    </row>
    <row r="144" spans="1:382" ht="13.5" customHeight="1" x14ac:dyDescent="0.2">
      <c r="A144" s="2" t="s">
        <v>295</v>
      </c>
      <c r="B144" s="16">
        <v>0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10389</v>
      </c>
      <c r="R144" s="16">
        <v>0</v>
      </c>
      <c r="S144" s="16">
        <v>2063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4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3828</v>
      </c>
      <c r="AH144" s="16">
        <v>1472</v>
      </c>
      <c r="AI144" s="16">
        <v>0</v>
      </c>
      <c r="AJ144" s="16">
        <v>1881</v>
      </c>
      <c r="AK144" s="16">
        <v>973</v>
      </c>
      <c r="AL144" s="16">
        <v>0</v>
      </c>
      <c r="AM144" s="16">
        <v>0</v>
      </c>
      <c r="AN144" s="16">
        <v>725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811</v>
      </c>
      <c r="AV144" s="16">
        <v>50</v>
      </c>
      <c r="AW144" s="16">
        <v>0</v>
      </c>
      <c r="AX144" s="16">
        <v>0</v>
      </c>
      <c r="AY144" s="16">
        <v>3981</v>
      </c>
      <c r="AZ144" s="16">
        <v>17</v>
      </c>
      <c r="BA144" s="16">
        <v>993</v>
      </c>
      <c r="BB144" s="16">
        <v>2606</v>
      </c>
      <c r="BC144" s="16">
        <v>0</v>
      </c>
      <c r="BD144" s="16">
        <v>0</v>
      </c>
      <c r="BE144" s="16">
        <v>0</v>
      </c>
      <c r="BF144" s="16">
        <v>0</v>
      </c>
      <c r="BG144" s="16">
        <v>0</v>
      </c>
      <c r="BH144" s="16">
        <v>133</v>
      </c>
      <c r="BI144" s="16">
        <v>0</v>
      </c>
      <c r="BJ144" s="16">
        <v>217</v>
      </c>
      <c r="BK144" s="16">
        <v>0</v>
      </c>
      <c r="BL144" s="16">
        <v>403</v>
      </c>
      <c r="BM144" s="16">
        <v>0</v>
      </c>
      <c r="BN144" s="16">
        <v>0</v>
      </c>
      <c r="BO144" s="16">
        <v>0</v>
      </c>
      <c r="BP144" s="16">
        <v>5</v>
      </c>
      <c r="BQ144" s="16">
        <v>0</v>
      </c>
      <c r="BR144" s="16">
        <v>0</v>
      </c>
      <c r="BS144" s="16">
        <v>0</v>
      </c>
      <c r="BT144" s="16">
        <v>0</v>
      </c>
      <c r="BU144" s="16">
        <v>0</v>
      </c>
      <c r="BV144" s="16">
        <v>0</v>
      </c>
      <c r="BW144" s="16">
        <v>2237</v>
      </c>
      <c r="BX144" s="16">
        <v>0</v>
      </c>
      <c r="BY144" s="16">
        <v>0</v>
      </c>
      <c r="BZ144" s="16">
        <v>0</v>
      </c>
      <c r="CA144" s="16">
        <v>4</v>
      </c>
      <c r="CB144" s="16">
        <v>0</v>
      </c>
      <c r="CC144" s="16">
        <v>5535</v>
      </c>
      <c r="CD144" s="16">
        <v>855</v>
      </c>
      <c r="CE144" s="16">
        <v>981</v>
      </c>
      <c r="CF144" s="16">
        <v>26</v>
      </c>
      <c r="CG144" s="16">
        <v>5</v>
      </c>
      <c r="CH144" s="16">
        <v>0</v>
      </c>
      <c r="CI144" s="16">
        <v>0</v>
      </c>
      <c r="CJ144" s="16">
        <v>0</v>
      </c>
      <c r="CK144" s="16">
        <v>0</v>
      </c>
      <c r="CL144" s="16">
        <v>0</v>
      </c>
      <c r="CM144" s="16">
        <v>0</v>
      </c>
      <c r="CN144" s="16">
        <v>0</v>
      </c>
      <c r="CO144" s="16">
        <v>0</v>
      </c>
      <c r="CP144" s="16">
        <v>0</v>
      </c>
      <c r="CQ144" s="16">
        <v>0</v>
      </c>
      <c r="CR144" s="16">
        <v>0</v>
      </c>
      <c r="CS144" s="16">
        <v>1157</v>
      </c>
      <c r="CT144" s="16">
        <v>1824</v>
      </c>
      <c r="CU144" s="16">
        <v>2572</v>
      </c>
      <c r="CV144" s="16">
        <v>1054</v>
      </c>
      <c r="CW144" s="16">
        <v>17058</v>
      </c>
      <c r="CX144" s="16">
        <v>5868</v>
      </c>
      <c r="CY144" s="16">
        <v>2206</v>
      </c>
      <c r="CZ144" s="16">
        <v>17269</v>
      </c>
      <c r="DA144" s="16">
        <v>90</v>
      </c>
      <c r="DB144" s="16">
        <v>2300</v>
      </c>
      <c r="DC144" s="16">
        <v>330</v>
      </c>
      <c r="DD144" s="16">
        <v>3051</v>
      </c>
      <c r="DE144" s="16">
        <v>935</v>
      </c>
      <c r="DF144" s="16">
        <v>3926</v>
      </c>
      <c r="DG144" s="16">
        <v>5438</v>
      </c>
      <c r="DH144" s="16">
        <v>1267</v>
      </c>
      <c r="DI144" s="16">
        <v>707</v>
      </c>
      <c r="DJ144" s="16">
        <v>13225</v>
      </c>
      <c r="DK144" s="16">
        <v>1194</v>
      </c>
      <c r="DL144" s="16">
        <v>865</v>
      </c>
      <c r="DM144" s="16">
        <v>718</v>
      </c>
      <c r="DN144" s="16">
        <v>1461</v>
      </c>
      <c r="DO144" s="16">
        <v>366</v>
      </c>
      <c r="DP144" s="16">
        <v>634</v>
      </c>
      <c r="DQ144" s="16">
        <v>160</v>
      </c>
      <c r="DR144" s="16">
        <v>1215</v>
      </c>
      <c r="DS144" s="16">
        <v>2706</v>
      </c>
      <c r="DT144" s="16">
        <v>439</v>
      </c>
      <c r="DU144" s="16">
        <v>1565</v>
      </c>
      <c r="DV144" s="16">
        <v>1727</v>
      </c>
      <c r="DW144" s="16">
        <v>3921</v>
      </c>
      <c r="DX144" s="16">
        <v>3898</v>
      </c>
      <c r="DY144" s="16">
        <v>8374</v>
      </c>
      <c r="DZ144" s="16">
        <v>23740</v>
      </c>
      <c r="EA144" s="16">
        <v>4564</v>
      </c>
      <c r="EB144" s="16">
        <v>41</v>
      </c>
      <c r="EC144" s="16">
        <v>6748</v>
      </c>
      <c r="ED144" s="16">
        <v>536</v>
      </c>
      <c r="EE144" s="16">
        <v>12</v>
      </c>
      <c r="EF144" s="16">
        <v>13</v>
      </c>
      <c r="EG144" s="16">
        <v>1096</v>
      </c>
      <c r="EH144" s="16">
        <v>1083</v>
      </c>
      <c r="EI144" s="16">
        <v>256</v>
      </c>
      <c r="EJ144" s="16">
        <v>183</v>
      </c>
      <c r="EK144" s="16">
        <v>766</v>
      </c>
      <c r="EL144" s="16">
        <v>62</v>
      </c>
      <c r="EM144" s="16">
        <v>590</v>
      </c>
      <c r="EN144" s="16">
        <v>1627</v>
      </c>
      <c r="EO144" s="16">
        <v>51969</v>
      </c>
      <c r="EP144" s="16">
        <v>1026</v>
      </c>
      <c r="EQ144" s="16">
        <v>2297</v>
      </c>
      <c r="ER144" s="16">
        <v>444</v>
      </c>
      <c r="ES144" s="16">
        <v>583</v>
      </c>
      <c r="ET144" s="16">
        <v>7411</v>
      </c>
      <c r="EU144" s="16">
        <v>1636</v>
      </c>
      <c r="EV144" s="16">
        <v>2863</v>
      </c>
      <c r="EW144" s="16">
        <v>143</v>
      </c>
      <c r="EX144" s="16">
        <v>24565</v>
      </c>
      <c r="EY144" s="16">
        <v>1286</v>
      </c>
      <c r="EZ144" s="16">
        <v>99</v>
      </c>
      <c r="FA144" s="16">
        <v>216</v>
      </c>
      <c r="FB144" s="16">
        <v>2288</v>
      </c>
      <c r="FC144" s="16">
        <v>325</v>
      </c>
      <c r="FD144" s="16">
        <v>7854</v>
      </c>
      <c r="FE144" s="16">
        <v>1043</v>
      </c>
      <c r="FF144" s="16">
        <v>544</v>
      </c>
      <c r="FG144" s="16">
        <v>2081</v>
      </c>
      <c r="FH144" s="16">
        <v>1331</v>
      </c>
      <c r="FI144" s="16">
        <v>796</v>
      </c>
      <c r="FJ144" s="16">
        <v>1309</v>
      </c>
      <c r="FK144" s="16">
        <v>1167</v>
      </c>
      <c r="FL144" s="16">
        <v>84</v>
      </c>
      <c r="FM144" s="16">
        <v>164</v>
      </c>
      <c r="FN144" s="16">
        <v>650</v>
      </c>
      <c r="FO144" s="16">
        <v>4906</v>
      </c>
      <c r="FP144" s="16">
        <v>2726</v>
      </c>
      <c r="FQ144" s="16">
        <v>12829</v>
      </c>
      <c r="FR144" s="16">
        <v>32169</v>
      </c>
      <c r="FS144" s="16">
        <v>674</v>
      </c>
      <c r="FT144" s="16">
        <v>639</v>
      </c>
      <c r="FU144" s="16">
        <v>2287</v>
      </c>
      <c r="FV144" s="16">
        <v>2689</v>
      </c>
      <c r="FW144" s="16">
        <v>10225</v>
      </c>
      <c r="FX144" s="16">
        <v>98</v>
      </c>
      <c r="FY144" s="16">
        <v>19</v>
      </c>
      <c r="FZ144" s="16">
        <v>0</v>
      </c>
      <c r="GA144" s="16">
        <v>0</v>
      </c>
      <c r="GB144" s="16">
        <v>2931</v>
      </c>
      <c r="GC144" s="16">
        <v>4</v>
      </c>
      <c r="GD144" s="16">
        <v>1508</v>
      </c>
      <c r="GE144" s="16">
        <v>0</v>
      </c>
      <c r="GF144" s="16">
        <v>0</v>
      </c>
      <c r="GG144" s="16">
        <v>0</v>
      </c>
      <c r="GH144" s="16">
        <v>0</v>
      </c>
      <c r="GI144" s="16">
        <v>0</v>
      </c>
      <c r="GJ144" s="16">
        <v>0</v>
      </c>
      <c r="GK144" s="16">
        <v>0</v>
      </c>
      <c r="GL144" s="16">
        <v>0</v>
      </c>
      <c r="GM144" s="16">
        <v>0</v>
      </c>
      <c r="GN144" s="16">
        <v>0</v>
      </c>
      <c r="GO144" s="16">
        <v>0</v>
      </c>
      <c r="GP144" s="16">
        <v>0</v>
      </c>
      <c r="GQ144" s="16">
        <v>0</v>
      </c>
      <c r="GR144" s="16">
        <v>0</v>
      </c>
      <c r="GS144" s="16">
        <v>0</v>
      </c>
      <c r="GT144" s="16">
        <v>0</v>
      </c>
      <c r="GU144" s="16">
        <v>0</v>
      </c>
      <c r="GV144" s="16">
        <v>0</v>
      </c>
      <c r="GW144" s="16">
        <v>0</v>
      </c>
      <c r="GX144" s="16">
        <v>0</v>
      </c>
      <c r="GY144" s="16">
        <v>0</v>
      </c>
      <c r="GZ144" s="16">
        <v>0</v>
      </c>
      <c r="HA144" s="16">
        <v>0</v>
      </c>
      <c r="HB144" s="16">
        <v>0</v>
      </c>
      <c r="HC144" s="16">
        <v>0</v>
      </c>
      <c r="HD144" s="16">
        <v>0</v>
      </c>
      <c r="HE144" s="16">
        <v>0</v>
      </c>
      <c r="HF144" s="16">
        <v>0</v>
      </c>
      <c r="HG144" s="16">
        <v>0</v>
      </c>
      <c r="HH144" s="16">
        <v>0</v>
      </c>
      <c r="HI144" s="16">
        <v>0</v>
      </c>
      <c r="HJ144" s="16">
        <v>0</v>
      </c>
      <c r="HK144" s="16">
        <v>0</v>
      </c>
      <c r="HL144" s="16">
        <v>0</v>
      </c>
      <c r="HM144" s="16">
        <v>3</v>
      </c>
      <c r="HN144" s="16">
        <v>33</v>
      </c>
      <c r="HO144" s="16">
        <v>174</v>
      </c>
      <c r="HP144" s="16">
        <v>146</v>
      </c>
      <c r="HQ144" s="16">
        <v>13</v>
      </c>
      <c r="HR144" s="16">
        <v>0</v>
      </c>
      <c r="HS144" s="16">
        <v>987</v>
      </c>
      <c r="HT144" s="16">
        <v>0</v>
      </c>
      <c r="HU144" s="16">
        <v>3</v>
      </c>
      <c r="HV144" s="16">
        <v>4</v>
      </c>
      <c r="HW144" s="16">
        <v>0</v>
      </c>
      <c r="HX144" s="16">
        <v>14</v>
      </c>
      <c r="HY144" s="16">
        <v>0</v>
      </c>
      <c r="HZ144" s="16">
        <v>0</v>
      </c>
      <c r="IA144" s="16">
        <v>0</v>
      </c>
      <c r="IB144" s="16">
        <v>0</v>
      </c>
      <c r="IC144" s="16">
        <v>0</v>
      </c>
      <c r="ID144" s="16">
        <v>0</v>
      </c>
      <c r="IE144" s="16">
        <v>0</v>
      </c>
      <c r="IF144" s="16">
        <v>0</v>
      </c>
      <c r="IG144" s="16">
        <v>285</v>
      </c>
      <c r="IH144" s="16">
        <v>0</v>
      </c>
      <c r="II144" s="16">
        <v>0</v>
      </c>
      <c r="IJ144" s="16">
        <v>0</v>
      </c>
      <c r="IK144" s="16">
        <v>0</v>
      </c>
      <c r="IL144" s="16">
        <v>0</v>
      </c>
      <c r="IM144" s="16">
        <v>0</v>
      </c>
      <c r="IN144" s="16">
        <v>0</v>
      </c>
      <c r="IO144" s="16">
        <v>0</v>
      </c>
      <c r="IP144" s="16">
        <v>0</v>
      </c>
      <c r="IQ144" s="16">
        <v>0</v>
      </c>
      <c r="IR144" s="16">
        <v>0</v>
      </c>
      <c r="IS144" s="16">
        <v>0</v>
      </c>
      <c r="IT144" s="16">
        <v>0</v>
      </c>
      <c r="IU144" s="16">
        <v>0</v>
      </c>
      <c r="IV144" s="16">
        <v>0</v>
      </c>
      <c r="IW144" s="16">
        <v>0</v>
      </c>
      <c r="IX144" s="16">
        <v>0</v>
      </c>
      <c r="IY144" s="16">
        <v>0</v>
      </c>
      <c r="IZ144" s="16">
        <v>0</v>
      </c>
      <c r="JA144" s="16">
        <v>0</v>
      </c>
      <c r="JB144" s="16">
        <v>0</v>
      </c>
      <c r="JC144" s="16">
        <v>0</v>
      </c>
      <c r="JD144" s="16">
        <v>0</v>
      </c>
      <c r="JE144" s="16">
        <v>163</v>
      </c>
      <c r="JF144" s="16">
        <v>0</v>
      </c>
      <c r="JG144" s="16">
        <v>5027</v>
      </c>
      <c r="JH144" s="16">
        <v>0</v>
      </c>
      <c r="JI144" s="16">
        <v>0</v>
      </c>
      <c r="JJ144" s="16">
        <v>0</v>
      </c>
      <c r="JK144" s="16">
        <v>0</v>
      </c>
      <c r="JL144" s="16">
        <v>0</v>
      </c>
      <c r="JM144" s="16">
        <v>0</v>
      </c>
      <c r="JN144" s="16">
        <v>0</v>
      </c>
      <c r="JO144" s="16">
        <v>7526</v>
      </c>
      <c r="JP144" s="16">
        <v>0</v>
      </c>
      <c r="JQ144" s="16">
        <v>2747</v>
      </c>
      <c r="JR144" s="16">
        <v>84</v>
      </c>
      <c r="JS144" s="16">
        <v>99</v>
      </c>
      <c r="JT144" s="16">
        <v>0</v>
      </c>
      <c r="JU144" s="16">
        <v>8981</v>
      </c>
      <c r="JV144" s="16">
        <v>717</v>
      </c>
      <c r="JW144" s="16">
        <v>6092256</v>
      </c>
      <c r="JX144" s="16">
        <v>5050540</v>
      </c>
      <c r="JY144" s="16">
        <v>665270</v>
      </c>
      <c r="JZ144" s="16">
        <v>1151055</v>
      </c>
      <c r="KA144" s="16">
        <v>280831</v>
      </c>
      <c r="KB144" s="16">
        <v>65736</v>
      </c>
      <c r="KC144" s="16">
        <v>129633</v>
      </c>
      <c r="KD144" s="16">
        <v>95101</v>
      </c>
      <c r="KE144" s="16">
        <v>17284</v>
      </c>
      <c r="KF144" s="16">
        <v>358906</v>
      </c>
      <c r="KG144" s="16">
        <v>19610</v>
      </c>
      <c r="KH144" s="16">
        <v>38050</v>
      </c>
      <c r="KI144" s="16">
        <v>207537</v>
      </c>
      <c r="KJ144" s="16">
        <v>123253</v>
      </c>
      <c r="KK144" s="16">
        <v>876</v>
      </c>
      <c r="KL144" s="16">
        <v>0</v>
      </c>
      <c r="KM144" s="16">
        <v>1656</v>
      </c>
      <c r="KN144" s="16">
        <v>491</v>
      </c>
      <c r="KO144" s="16">
        <v>0</v>
      </c>
      <c r="KP144" s="16">
        <v>0</v>
      </c>
      <c r="KQ144" s="16">
        <v>0</v>
      </c>
      <c r="KR144" s="16">
        <v>8082</v>
      </c>
      <c r="KS144" s="16">
        <v>0</v>
      </c>
      <c r="KT144" s="16">
        <v>0</v>
      </c>
      <c r="KU144" s="16">
        <v>5657</v>
      </c>
      <c r="KV144" s="16">
        <v>0</v>
      </c>
      <c r="KW144" s="16">
        <v>6753</v>
      </c>
      <c r="KX144" s="16">
        <v>0</v>
      </c>
      <c r="KY144" s="16">
        <v>0</v>
      </c>
      <c r="KZ144" s="16">
        <v>47408</v>
      </c>
      <c r="LA144" s="16">
        <v>34254</v>
      </c>
      <c r="LB144" s="16">
        <v>7987</v>
      </c>
      <c r="LC144" s="16">
        <v>5045</v>
      </c>
      <c r="LD144" s="16">
        <v>22814</v>
      </c>
      <c r="LE144" s="16">
        <v>0</v>
      </c>
      <c r="LF144" s="16">
        <v>0</v>
      </c>
      <c r="LG144" s="16">
        <v>0</v>
      </c>
      <c r="LH144" s="16">
        <v>0</v>
      </c>
      <c r="LI144" s="16">
        <v>0</v>
      </c>
      <c r="LJ144" s="16">
        <v>0</v>
      </c>
      <c r="LK144" s="16">
        <v>0</v>
      </c>
      <c r="LL144" s="16">
        <v>0</v>
      </c>
      <c r="LM144" s="16">
        <v>0</v>
      </c>
      <c r="LN144" s="16">
        <v>0</v>
      </c>
      <c r="LO144" s="16">
        <v>0</v>
      </c>
      <c r="LP144" s="16">
        <v>0</v>
      </c>
      <c r="LQ144" s="16">
        <v>0</v>
      </c>
      <c r="LR144" s="16">
        <v>0</v>
      </c>
      <c r="LS144" s="16">
        <v>0</v>
      </c>
      <c r="LT144" s="16">
        <v>0</v>
      </c>
      <c r="LU144" s="16">
        <v>0</v>
      </c>
      <c r="LV144" s="16">
        <v>0</v>
      </c>
      <c r="LW144" s="16">
        <v>0</v>
      </c>
      <c r="LX144" s="16">
        <v>0</v>
      </c>
      <c r="LY144" s="16">
        <v>34550</v>
      </c>
      <c r="LZ144" s="16">
        <v>0</v>
      </c>
      <c r="MA144" s="16">
        <v>0</v>
      </c>
      <c r="MB144" s="16">
        <v>0</v>
      </c>
      <c r="MC144" s="16">
        <v>0</v>
      </c>
      <c r="MD144" s="16">
        <v>0</v>
      </c>
      <c r="ME144" s="16">
        <v>0</v>
      </c>
      <c r="MF144" s="16">
        <v>0</v>
      </c>
      <c r="MG144" s="16">
        <v>0</v>
      </c>
      <c r="MH144" s="16">
        <v>0</v>
      </c>
      <c r="MI144" s="16">
        <v>0</v>
      </c>
      <c r="MJ144" s="16">
        <v>1092</v>
      </c>
      <c r="MK144" s="16">
        <v>41</v>
      </c>
      <c r="ML144" s="16">
        <v>0</v>
      </c>
      <c r="MM144" s="16">
        <v>0</v>
      </c>
      <c r="MN144" s="16">
        <v>0</v>
      </c>
      <c r="MO144" s="16">
        <v>64236</v>
      </c>
      <c r="MP144" s="16">
        <v>420</v>
      </c>
      <c r="MQ144" s="16">
        <v>13607</v>
      </c>
      <c r="MR144" s="16">
        <v>23746</v>
      </c>
      <c r="MS144" s="16">
        <v>29338</v>
      </c>
      <c r="MT144" s="16">
        <v>0</v>
      </c>
      <c r="MU144" s="16">
        <v>6731</v>
      </c>
      <c r="MV144" s="16">
        <v>0</v>
      </c>
      <c r="MW144" s="16">
        <v>7914</v>
      </c>
      <c r="MX144" s="16">
        <v>0</v>
      </c>
      <c r="MY144" s="16">
        <v>1617</v>
      </c>
      <c r="MZ144" s="16">
        <v>1429</v>
      </c>
      <c r="NA144" s="16">
        <v>0</v>
      </c>
      <c r="NB144" s="16">
        <v>0</v>
      </c>
      <c r="NC144" s="16">
        <v>0</v>
      </c>
      <c r="ND144" s="16">
        <v>0</v>
      </c>
      <c r="NE144" s="16">
        <v>0</v>
      </c>
      <c r="NF144" s="16">
        <v>0</v>
      </c>
      <c r="NG144" s="16">
        <v>42943</v>
      </c>
      <c r="NH144" s="16">
        <v>11240</v>
      </c>
      <c r="NI144" s="16">
        <v>0</v>
      </c>
      <c r="NJ144" s="16">
        <v>0</v>
      </c>
      <c r="NK144" s="16">
        <v>0</v>
      </c>
      <c r="NL144" s="16">
        <v>0</v>
      </c>
      <c r="NM144" s="16">
        <v>0</v>
      </c>
      <c r="NN144" s="16">
        <v>0</v>
      </c>
      <c r="NO144" s="16">
        <v>0</v>
      </c>
      <c r="NP144" s="16">
        <v>0</v>
      </c>
      <c r="NQ144" s="16">
        <v>1169</v>
      </c>
      <c r="NR144" s="17">
        <v>15082073</v>
      </c>
    </row>
    <row r="145" spans="1:382" ht="13.5" customHeight="1" x14ac:dyDescent="0.2">
      <c r="A145" s="2" t="s">
        <v>297</v>
      </c>
      <c r="B145" s="16">
        <v>0</v>
      </c>
      <c r="C145" s="16">
        <v>0</v>
      </c>
      <c r="D145" s="16">
        <v>0</v>
      </c>
      <c r="E145" s="16">
        <v>0</v>
      </c>
      <c r="F145" s="16">
        <v>0</v>
      </c>
      <c r="G145" s="16">
        <v>0</v>
      </c>
      <c r="H145" s="16">
        <v>51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1047</v>
      </c>
      <c r="R145" s="16">
        <v>0</v>
      </c>
      <c r="S145" s="16">
        <v>678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1563</v>
      </c>
      <c r="AH145" s="16">
        <v>713</v>
      </c>
      <c r="AI145" s="16">
        <v>0</v>
      </c>
      <c r="AJ145" s="16">
        <v>383</v>
      </c>
      <c r="AK145" s="16">
        <v>1299</v>
      </c>
      <c r="AL145" s="16">
        <v>0</v>
      </c>
      <c r="AM145" s="16">
        <v>0</v>
      </c>
      <c r="AN145" s="16">
        <v>150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88</v>
      </c>
      <c r="AX145" s="16">
        <v>0</v>
      </c>
      <c r="AY145" s="16">
        <v>643</v>
      </c>
      <c r="AZ145" s="16">
        <v>0</v>
      </c>
      <c r="BA145" s="16">
        <v>0</v>
      </c>
      <c r="BB145" s="16">
        <v>251</v>
      </c>
      <c r="BC145" s="16">
        <v>0</v>
      </c>
      <c r="BD145" s="16">
        <v>0</v>
      </c>
      <c r="BE145" s="16">
        <v>0</v>
      </c>
      <c r="BF145" s="16">
        <v>0</v>
      </c>
      <c r="BG145" s="16">
        <v>0</v>
      </c>
      <c r="BH145" s="16">
        <v>654</v>
      </c>
      <c r="BI145" s="16">
        <v>0</v>
      </c>
      <c r="BJ145" s="16">
        <v>6</v>
      </c>
      <c r="BK145" s="16">
        <v>0</v>
      </c>
      <c r="BL145" s="16">
        <v>27</v>
      </c>
      <c r="BM145" s="16">
        <v>0</v>
      </c>
      <c r="BN145" s="16">
        <v>0</v>
      </c>
      <c r="BO145" s="16">
        <v>0</v>
      </c>
      <c r="BP145" s="16">
        <v>0</v>
      </c>
      <c r="BQ145" s="16">
        <v>0</v>
      </c>
      <c r="BR145" s="16">
        <v>0</v>
      </c>
      <c r="BS145" s="16">
        <v>0</v>
      </c>
      <c r="BT145" s="16">
        <v>0</v>
      </c>
      <c r="BU145" s="16">
        <v>0</v>
      </c>
      <c r="BV145" s="16">
        <v>0</v>
      </c>
      <c r="BW145" s="16">
        <v>175</v>
      </c>
      <c r="BX145" s="16">
        <v>0</v>
      </c>
      <c r="BY145" s="16">
        <v>0</v>
      </c>
      <c r="BZ145" s="16">
        <v>0</v>
      </c>
      <c r="CA145" s="16">
        <v>2</v>
      </c>
      <c r="CB145" s="16">
        <v>0</v>
      </c>
      <c r="CC145" s="16">
        <v>765</v>
      </c>
      <c r="CD145" s="16">
        <v>208</v>
      </c>
      <c r="CE145" s="16">
        <v>182</v>
      </c>
      <c r="CF145" s="16">
        <v>48</v>
      </c>
      <c r="CG145" s="16">
        <v>2</v>
      </c>
      <c r="CH145" s="16">
        <v>143</v>
      </c>
      <c r="CI145" s="16">
        <v>0</v>
      </c>
      <c r="CJ145" s="16">
        <v>0</v>
      </c>
      <c r="CK145" s="16">
        <v>0</v>
      </c>
      <c r="CL145" s="16">
        <v>0</v>
      </c>
      <c r="CM145" s="16">
        <v>0</v>
      </c>
      <c r="CN145" s="16">
        <v>0</v>
      </c>
      <c r="CO145" s="16">
        <v>0</v>
      </c>
      <c r="CP145" s="16">
        <v>0</v>
      </c>
      <c r="CQ145" s="16">
        <v>146</v>
      </c>
      <c r="CR145" s="16">
        <v>0</v>
      </c>
      <c r="CS145" s="16">
        <v>171</v>
      </c>
      <c r="CT145" s="16">
        <v>0</v>
      </c>
      <c r="CU145" s="16">
        <v>0</v>
      </c>
      <c r="CV145" s="16">
        <v>0</v>
      </c>
      <c r="CW145" s="16">
        <v>0</v>
      </c>
      <c r="CX145" s="16">
        <v>0</v>
      </c>
      <c r="CY145" s="16">
        <v>0</v>
      </c>
      <c r="CZ145" s="16">
        <v>0</v>
      </c>
      <c r="DA145" s="16">
        <v>0</v>
      </c>
      <c r="DB145" s="16">
        <v>0</v>
      </c>
      <c r="DC145" s="16">
        <v>0</v>
      </c>
      <c r="DD145" s="16">
        <v>0</v>
      </c>
      <c r="DE145" s="16">
        <v>0</v>
      </c>
      <c r="DF145" s="16">
        <v>0</v>
      </c>
      <c r="DG145" s="16">
        <v>0</v>
      </c>
      <c r="DH145" s="16">
        <v>0</v>
      </c>
      <c r="DI145" s="16">
        <v>0</v>
      </c>
      <c r="DJ145" s="16">
        <v>0</v>
      </c>
      <c r="DK145" s="16">
        <v>0</v>
      </c>
      <c r="DL145" s="16">
        <v>0</v>
      </c>
      <c r="DM145" s="16">
        <v>4</v>
      </c>
      <c r="DN145" s="16">
        <v>118</v>
      </c>
      <c r="DO145" s="16">
        <v>0</v>
      </c>
      <c r="DP145" s="16">
        <v>0</v>
      </c>
      <c r="DQ145" s="16">
        <v>0</v>
      </c>
      <c r="DR145" s="16">
        <v>0</v>
      </c>
      <c r="DS145" s="16">
        <v>1868</v>
      </c>
      <c r="DT145" s="16">
        <v>0</v>
      </c>
      <c r="DU145" s="16">
        <v>0</v>
      </c>
      <c r="DV145" s="16">
        <v>86</v>
      </c>
      <c r="DW145" s="16">
        <v>301</v>
      </c>
      <c r="DX145" s="16">
        <v>1296</v>
      </c>
      <c r="DY145" s="16">
        <v>0</v>
      </c>
      <c r="DZ145" s="16">
        <v>331</v>
      </c>
      <c r="EA145" s="16">
        <v>864</v>
      </c>
      <c r="EB145" s="16">
        <v>0</v>
      </c>
      <c r="EC145" s="16">
        <v>0</v>
      </c>
      <c r="ED145" s="16">
        <v>0</v>
      </c>
      <c r="EE145" s="16">
        <v>0</v>
      </c>
      <c r="EF145" s="16">
        <v>0</v>
      </c>
      <c r="EG145" s="16">
        <v>1793</v>
      </c>
      <c r="EH145" s="16">
        <v>0</v>
      </c>
      <c r="EI145" s="16">
        <v>219</v>
      </c>
      <c r="EJ145" s="16">
        <v>0</v>
      </c>
      <c r="EK145" s="16">
        <v>0</v>
      </c>
      <c r="EL145" s="16">
        <v>44</v>
      </c>
      <c r="EM145" s="16">
        <v>0</v>
      </c>
      <c r="EN145" s="16">
        <v>1911</v>
      </c>
      <c r="EO145" s="16">
        <v>69828</v>
      </c>
      <c r="EP145" s="16">
        <v>0</v>
      </c>
      <c r="EQ145" s="16">
        <v>1730</v>
      </c>
      <c r="ER145" s="16">
        <v>0</v>
      </c>
      <c r="ES145" s="16">
        <v>0</v>
      </c>
      <c r="ET145" s="16">
        <v>0</v>
      </c>
      <c r="EU145" s="16">
        <v>0</v>
      </c>
      <c r="EV145" s="16">
        <v>0</v>
      </c>
      <c r="EW145" s="16">
        <v>0</v>
      </c>
      <c r="EX145" s="16">
        <v>2679</v>
      </c>
      <c r="EY145" s="16">
        <v>30</v>
      </c>
      <c r="EZ145" s="16">
        <v>0</v>
      </c>
      <c r="FA145" s="16">
        <v>0</v>
      </c>
      <c r="FB145" s="16">
        <v>1</v>
      </c>
      <c r="FC145" s="16">
        <v>0</v>
      </c>
      <c r="FD145" s="16">
        <v>50</v>
      </c>
      <c r="FE145" s="16">
        <v>0</v>
      </c>
      <c r="FF145" s="16">
        <v>10</v>
      </c>
      <c r="FG145" s="16">
        <v>8</v>
      </c>
      <c r="FH145" s="16">
        <v>0</v>
      </c>
      <c r="FI145" s="16">
        <v>0</v>
      </c>
      <c r="FJ145" s="16">
        <v>0</v>
      </c>
      <c r="FK145" s="16">
        <v>0</v>
      </c>
      <c r="FL145" s="16">
        <v>0</v>
      </c>
      <c r="FM145" s="16">
        <v>0</v>
      </c>
      <c r="FN145" s="16">
        <v>5</v>
      </c>
      <c r="FO145" s="16">
        <v>0</v>
      </c>
      <c r="FP145" s="16">
        <v>0</v>
      </c>
      <c r="FQ145" s="16">
        <v>1076</v>
      </c>
      <c r="FR145" s="16">
        <v>1099</v>
      </c>
      <c r="FS145" s="16">
        <v>8</v>
      </c>
      <c r="FT145" s="16">
        <v>117</v>
      </c>
      <c r="FU145" s="16">
        <v>0</v>
      </c>
      <c r="FV145" s="16">
        <v>511</v>
      </c>
      <c r="FW145" s="16">
        <v>75</v>
      </c>
      <c r="FX145" s="16">
        <v>6</v>
      </c>
      <c r="FY145" s="16">
        <v>0</v>
      </c>
      <c r="FZ145" s="16">
        <v>0</v>
      </c>
      <c r="GA145" s="16">
        <v>0</v>
      </c>
      <c r="GB145" s="16">
        <v>99</v>
      </c>
      <c r="GC145" s="16">
        <v>0</v>
      </c>
      <c r="GD145" s="16">
        <v>293</v>
      </c>
      <c r="GE145" s="16">
        <v>0</v>
      </c>
      <c r="GF145" s="16">
        <v>0</v>
      </c>
      <c r="GG145" s="16">
        <v>0</v>
      </c>
      <c r="GH145" s="16">
        <v>0</v>
      </c>
      <c r="GI145" s="16">
        <v>0</v>
      </c>
      <c r="GJ145" s="16">
        <v>0</v>
      </c>
      <c r="GK145" s="16">
        <v>0</v>
      </c>
      <c r="GL145" s="16">
        <v>0</v>
      </c>
      <c r="GM145" s="16">
        <v>0</v>
      </c>
      <c r="GN145" s="16">
        <v>0</v>
      </c>
      <c r="GO145" s="16">
        <v>0</v>
      </c>
      <c r="GP145" s="16">
        <v>0</v>
      </c>
      <c r="GQ145" s="16">
        <v>0</v>
      </c>
      <c r="GR145" s="16">
        <v>0</v>
      </c>
      <c r="GS145" s="16">
        <v>0</v>
      </c>
      <c r="GT145" s="16">
        <v>0</v>
      </c>
      <c r="GU145" s="16">
        <v>0</v>
      </c>
      <c r="GV145" s="16">
        <v>0</v>
      </c>
      <c r="GW145" s="16">
        <v>21</v>
      </c>
      <c r="GX145" s="16">
        <v>0</v>
      </c>
      <c r="GY145" s="16">
        <v>0</v>
      </c>
      <c r="GZ145" s="16">
        <v>0</v>
      </c>
      <c r="HA145" s="16">
        <v>0</v>
      </c>
      <c r="HB145" s="16">
        <v>0</v>
      </c>
      <c r="HC145" s="16">
        <v>0</v>
      </c>
      <c r="HD145" s="16">
        <v>0</v>
      </c>
      <c r="HE145" s="16">
        <v>0</v>
      </c>
      <c r="HF145" s="16">
        <v>0</v>
      </c>
      <c r="HG145" s="16">
        <v>0</v>
      </c>
      <c r="HH145" s="16">
        <v>0</v>
      </c>
      <c r="HI145" s="16">
        <v>0</v>
      </c>
      <c r="HJ145" s="16">
        <v>0</v>
      </c>
      <c r="HK145" s="16">
        <v>0</v>
      </c>
      <c r="HL145" s="16">
        <v>0</v>
      </c>
      <c r="HM145" s="16">
        <v>58</v>
      </c>
      <c r="HN145" s="16">
        <v>26</v>
      </c>
      <c r="HO145" s="16">
        <v>684</v>
      </c>
      <c r="HP145" s="16">
        <v>0</v>
      </c>
      <c r="HQ145" s="16">
        <v>5</v>
      </c>
      <c r="HR145" s="16">
        <v>1</v>
      </c>
      <c r="HS145" s="16">
        <v>41</v>
      </c>
      <c r="HT145" s="16">
        <v>0</v>
      </c>
      <c r="HU145" s="16">
        <v>123</v>
      </c>
      <c r="HV145" s="16">
        <v>16</v>
      </c>
      <c r="HW145" s="16">
        <v>12</v>
      </c>
      <c r="HX145" s="16">
        <v>21</v>
      </c>
      <c r="HY145" s="16">
        <v>3</v>
      </c>
      <c r="HZ145" s="16">
        <v>0</v>
      </c>
      <c r="IA145" s="16">
        <v>92</v>
      </c>
      <c r="IB145" s="16">
        <v>0</v>
      </c>
      <c r="IC145" s="16">
        <v>0</v>
      </c>
      <c r="ID145" s="16">
        <v>2</v>
      </c>
      <c r="IE145" s="16">
        <v>0</v>
      </c>
      <c r="IF145" s="16">
        <v>0</v>
      </c>
      <c r="IG145" s="16">
        <v>3</v>
      </c>
      <c r="IH145" s="16">
        <v>0</v>
      </c>
      <c r="II145" s="16">
        <v>0</v>
      </c>
      <c r="IJ145" s="16">
        <v>0</v>
      </c>
      <c r="IK145" s="16">
        <v>0</v>
      </c>
      <c r="IL145" s="16">
        <v>0</v>
      </c>
      <c r="IM145" s="16">
        <v>0</v>
      </c>
      <c r="IN145" s="16">
        <v>0</v>
      </c>
      <c r="IO145" s="16">
        <v>0</v>
      </c>
      <c r="IP145" s="16">
        <v>0</v>
      </c>
      <c r="IQ145" s="16">
        <v>0</v>
      </c>
      <c r="IR145" s="16">
        <v>0</v>
      </c>
      <c r="IS145" s="16">
        <v>0</v>
      </c>
      <c r="IT145" s="16">
        <v>0</v>
      </c>
      <c r="IU145" s="16">
        <v>0</v>
      </c>
      <c r="IV145" s="16">
        <v>0</v>
      </c>
      <c r="IW145" s="16">
        <v>332</v>
      </c>
      <c r="IX145" s="16">
        <v>503</v>
      </c>
      <c r="IY145" s="16">
        <v>0</v>
      </c>
      <c r="IZ145" s="16">
        <v>0</v>
      </c>
      <c r="JA145" s="16">
        <v>65</v>
      </c>
      <c r="JB145" s="16">
        <v>0</v>
      </c>
      <c r="JC145" s="16">
        <v>0</v>
      </c>
      <c r="JD145" s="16">
        <v>0</v>
      </c>
      <c r="JE145" s="16">
        <v>0</v>
      </c>
      <c r="JF145" s="16">
        <v>0</v>
      </c>
      <c r="JG145" s="16">
        <v>720</v>
      </c>
      <c r="JH145" s="16">
        <v>646</v>
      </c>
      <c r="JI145" s="16">
        <v>23</v>
      </c>
      <c r="JJ145" s="16">
        <v>0</v>
      </c>
      <c r="JK145" s="16">
        <v>0</v>
      </c>
      <c r="JL145" s="16">
        <v>0</v>
      </c>
      <c r="JM145" s="16">
        <v>0</v>
      </c>
      <c r="JN145" s="16">
        <v>0</v>
      </c>
      <c r="JO145" s="16">
        <v>0</v>
      </c>
      <c r="JP145" s="16">
        <v>0</v>
      </c>
      <c r="JQ145" s="16">
        <v>542</v>
      </c>
      <c r="JR145" s="16">
        <v>13908</v>
      </c>
      <c r="JS145" s="16">
        <v>8663</v>
      </c>
      <c r="JT145" s="16">
        <v>1</v>
      </c>
      <c r="JU145" s="16">
        <v>44</v>
      </c>
      <c r="JV145" s="16">
        <v>1675</v>
      </c>
      <c r="JW145" s="16">
        <v>1621760</v>
      </c>
      <c r="JX145" s="16">
        <v>1872657</v>
      </c>
      <c r="JY145" s="16">
        <v>345277</v>
      </c>
      <c r="JZ145" s="16">
        <v>894780</v>
      </c>
      <c r="KA145" s="16">
        <v>155244</v>
      </c>
      <c r="KB145" s="16">
        <v>145272</v>
      </c>
      <c r="KC145" s="16">
        <v>381805</v>
      </c>
      <c r="KD145" s="16">
        <v>196573</v>
      </c>
      <c r="KE145" s="16">
        <v>111017</v>
      </c>
      <c r="KF145" s="16">
        <v>378506</v>
      </c>
      <c r="KG145" s="16">
        <v>26287</v>
      </c>
      <c r="KH145" s="16">
        <v>108004</v>
      </c>
      <c r="KI145" s="16">
        <v>654725</v>
      </c>
      <c r="KJ145" s="16">
        <v>157178</v>
      </c>
      <c r="KK145" s="16">
        <v>3546</v>
      </c>
      <c r="KL145" s="16">
        <v>0</v>
      </c>
      <c r="KM145" s="16">
        <v>157</v>
      </c>
      <c r="KN145" s="16">
        <v>137</v>
      </c>
      <c r="KO145" s="16">
        <v>721</v>
      </c>
      <c r="KP145" s="16">
        <v>0</v>
      </c>
      <c r="KQ145" s="16">
        <v>0</v>
      </c>
      <c r="KR145" s="16">
        <v>1826</v>
      </c>
      <c r="KS145" s="16">
        <v>0</v>
      </c>
      <c r="KT145" s="16">
        <v>0</v>
      </c>
      <c r="KU145" s="16">
        <v>691</v>
      </c>
      <c r="KV145" s="16">
        <v>0</v>
      </c>
      <c r="KW145" s="16">
        <v>939</v>
      </c>
      <c r="KX145" s="16">
        <v>0</v>
      </c>
      <c r="KY145" s="16">
        <v>0</v>
      </c>
      <c r="KZ145" s="16">
        <v>35330</v>
      </c>
      <c r="LA145" s="16">
        <v>18273</v>
      </c>
      <c r="LB145" s="16">
        <v>2390</v>
      </c>
      <c r="LC145" s="16">
        <v>11110</v>
      </c>
      <c r="LD145" s="16">
        <v>14969</v>
      </c>
      <c r="LE145" s="16">
        <v>0</v>
      </c>
      <c r="LF145" s="16">
        <v>80</v>
      </c>
      <c r="LG145" s="16">
        <v>0</v>
      </c>
      <c r="LH145" s="16">
        <v>0</v>
      </c>
      <c r="LI145" s="16">
        <v>0</v>
      </c>
      <c r="LJ145" s="16">
        <v>0</v>
      </c>
      <c r="LK145" s="16">
        <v>0</v>
      </c>
      <c r="LL145" s="16">
        <v>153</v>
      </c>
      <c r="LM145" s="16">
        <v>0</v>
      </c>
      <c r="LN145" s="16">
        <v>0</v>
      </c>
      <c r="LO145" s="16">
        <v>7</v>
      </c>
      <c r="LP145" s="16">
        <v>49</v>
      </c>
      <c r="LQ145" s="16">
        <v>0</v>
      </c>
      <c r="LR145" s="16">
        <v>0</v>
      </c>
      <c r="LS145" s="16">
        <v>0</v>
      </c>
      <c r="LT145" s="16">
        <v>0</v>
      </c>
      <c r="LU145" s="16">
        <v>0</v>
      </c>
      <c r="LV145" s="16">
        <v>0</v>
      </c>
      <c r="LW145" s="16">
        <v>0</v>
      </c>
      <c r="LX145" s="16">
        <v>0</v>
      </c>
      <c r="LY145" s="16">
        <v>30838</v>
      </c>
      <c r="LZ145" s="16">
        <v>0</v>
      </c>
      <c r="MA145" s="16">
        <v>0</v>
      </c>
      <c r="MB145" s="16">
        <v>0</v>
      </c>
      <c r="MC145" s="16">
        <v>0</v>
      </c>
      <c r="MD145" s="16">
        <v>0</v>
      </c>
      <c r="ME145" s="16">
        <v>0</v>
      </c>
      <c r="MF145" s="16">
        <v>0</v>
      </c>
      <c r="MG145" s="16">
        <v>0</v>
      </c>
      <c r="MH145" s="16">
        <v>0</v>
      </c>
      <c r="MI145" s="16">
        <v>39</v>
      </c>
      <c r="MJ145" s="16">
        <v>16</v>
      </c>
      <c r="MK145" s="16">
        <v>47</v>
      </c>
      <c r="ML145" s="16">
        <v>0</v>
      </c>
      <c r="MM145" s="16">
        <v>1217</v>
      </c>
      <c r="MN145" s="16">
        <v>1523</v>
      </c>
      <c r="MO145" s="16">
        <v>9192</v>
      </c>
      <c r="MP145" s="16">
        <v>611</v>
      </c>
      <c r="MQ145" s="16">
        <v>0</v>
      </c>
      <c r="MR145" s="16">
        <v>4127</v>
      </c>
      <c r="MS145" s="16">
        <v>5754</v>
      </c>
      <c r="MT145" s="16">
        <v>0</v>
      </c>
      <c r="MU145" s="16">
        <v>4773</v>
      </c>
      <c r="MV145" s="16">
        <v>0</v>
      </c>
      <c r="MW145" s="16">
        <v>3351</v>
      </c>
      <c r="MX145" s="16">
        <v>0</v>
      </c>
      <c r="MY145" s="16">
        <v>512</v>
      </c>
      <c r="MZ145" s="16">
        <v>454</v>
      </c>
      <c r="NA145" s="16">
        <v>0</v>
      </c>
      <c r="NB145" s="16">
        <v>0</v>
      </c>
      <c r="NC145" s="16">
        <v>6</v>
      </c>
      <c r="ND145" s="16">
        <v>497</v>
      </c>
      <c r="NE145" s="16">
        <v>0</v>
      </c>
      <c r="NF145" s="16">
        <v>0</v>
      </c>
      <c r="NG145" s="16">
        <v>3439</v>
      </c>
      <c r="NH145" s="16">
        <v>969</v>
      </c>
      <c r="NI145" s="16">
        <v>0</v>
      </c>
      <c r="NJ145" s="16">
        <v>0</v>
      </c>
      <c r="NK145" s="16">
        <v>48</v>
      </c>
      <c r="NL145" s="16">
        <v>0</v>
      </c>
      <c r="NM145" s="16">
        <v>0</v>
      </c>
      <c r="NN145" s="16">
        <v>0</v>
      </c>
      <c r="NO145" s="16">
        <v>0</v>
      </c>
      <c r="NP145" s="16">
        <v>0</v>
      </c>
      <c r="NQ145" s="16">
        <v>4</v>
      </c>
      <c r="NR145" s="17">
        <v>7330965</v>
      </c>
    </row>
    <row r="146" spans="1:382" ht="13.5" customHeight="1" x14ac:dyDescent="0.2">
      <c r="A146" s="2" t="s">
        <v>299</v>
      </c>
      <c r="B146" s="16">
        <v>190</v>
      </c>
      <c r="C146" s="16">
        <v>802</v>
      </c>
      <c r="D146" s="16">
        <v>0</v>
      </c>
      <c r="E146" s="16">
        <v>0</v>
      </c>
      <c r="F146" s="16">
        <v>1071</v>
      </c>
      <c r="G146" s="16">
        <v>945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4716</v>
      </c>
      <c r="N146" s="16">
        <v>0</v>
      </c>
      <c r="O146" s="16">
        <v>0</v>
      </c>
      <c r="P146" s="16">
        <v>147</v>
      </c>
      <c r="Q146" s="16">
        <v>5100</v>
      </c>
      <c r="R146" s="16">
        <v>274</v>
      </c>
      <c r="S146" s="16">
        <v>954</v>
      </c>
      <c r="T146" s="16">
        <v>0</v>
      </c>
      <c r="U146" s="16">
        <v>0</v>
      </c>
      <c r="V146" s="16">
        <v>0</v>
      </c>
      <c r="W146" s="16">
        <v>467</v>
      </c>
      <c r="X146" s="16">
        <v>0</v>
      </c>
      <c r="Y146" s="16">
        <v>0</v>
      </c>
      <c r="Z146" s="16">
        <v>903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6128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449</v>
      </c>
      <c r="BB146" s="16">
        <v>0</v>
      </c>
      <c r="BC146" s="16">
        <v>650</v>
      </c>
      <c r="BD146" s="16">
        <v>0</v>
      </c>
      <c r="BE146" s="16">
        <v>0</v>
      </c>
      <c r="BF146" s="16">
        <v>0</v>
      </c>
      <c r="BG146" s="16">
        <v>0</v>
      </c>
      <c r="BH146" s="16">
        <v>0</v>
      </c>
      <c r="BI146" s="16">
        <v>0</v>
      </c>
      <c r="BJ146" s="16">
        <v>0</v>
      </c>
      <c r="BK146" s="16">
        <v>0</v>
      </c>
      <c r="BL146" s="16">
        <v>0</v>
      </c>
      <c r="BM146" s="16">
        <v>0</v>
      </c>
      <c r="BN146" s="16">
        <v>0</v>
      </c>
      <c r="BO146" s="16">
        <v>0</v>
      </c>
      <c r="BP146" s="16">
        <v>69</v>
      </c>
      <c r="BQ146" s="16">
        <v>81</v>
      </c>
      <c r="BR146" s="16">
        <v>47</v>
      </c>
      <c r="BS146" s="16">
        <v>0</v>
      </c>
      <c r="BT146" s="16">
        <v>0</v>
      </c>
      <c r="BU146" s="16">
        <v>0</v>
      </c>
      <c r="BV146" s="16">
        <v>0</v>
      </c>
      <c r="BW146" s="16">
        <v>0</v>
      </c>
      <c r="BX146" s="16">
        <v>1599</v>
      </c>
      <c r="BY146" s="16">
        <v>0</v>
      </c>
      <c r="BZ146" s="16">
        <v>0</v>
      </c>
      <c r="CA146" s="16">
        <v>0</v>
      </c>
      <c r="CB146" s="16">
        <v>0</v>
      </c>
      <c r="CC146" s="16">
        <v>0</v>
      </c>
      <c r="CD146" s="16">
        <v>0</v>
      </c>
      <c r="CE146" s="16">
        <v>0</v>
      </c>
      <c r="CF146" s="16">
        <v>0</v>
      </c>
      <c r="CG146" s="16">
        <v>0</v>
      </c>
      <c r="CH146" s="16">
        <v>0</v>
      </c>
      <c r="CI146" s="16">
        <v>0</v>
      </c>
      <c r="CJ146" s="16">
        <v>0</v>
      </c>
      <c r="CK146" s="16">
        <v>0</v>
      </c>
      <c r="CL146" s="16">
        <v>0</v>
      </c>
      <c r="CM146" s="16">
        <v>0</v>
      </c>
      <c r="CN146" s="16">
        <v>0</v>
      </c>
      <c r="CO146" s="16">
        <v>0</v>
      </c>
      <c r="CP146" s="16">
        <v>0</v>
      </c>
      <c r="CQ146" s="16">
        <v>816</v>
      </c>
      <c r="CR146" s="16">
        <v>160</v>
      </c>
      <c r="CS146" s="16">
        <v>0</v>
      </c>
      <c r="CT146" s="16">
        <v>0</v>
      </c>
      <c r="CU146" s="16">
        <v>0</v>
      </c>
      <c r="CV146" s="16">
        <v>0</v>
      </c>
      <c r="CW146" s="16">
        <v>0</v>
      </c>
      <c r="CX146" s="16">
        <v>0</v>
      </c>
      <c r="CY146" s="16">
        <v>0</v>
      </c>
      <c r="CZ146" s="16">
        <v>0</v>
      </c>
      <c r="DA146" s="16">
        <v>0</v>
      </c>
      <c r="DB146" s="16">
        <v>0</v>
      </c>
      <c r="DC146" s="16">
        <v>0</v>
      </c>
      <c r="DD146" s="16">
        <v>0</v>
      </c>
      <c r="DE146" s="16">
        <v>5164</v>
      </c>
      <c r="DF146" s="16">
        <v>3264</v>
      </c>
      <c r="DG146" s="16">
        <v>0</v>
      </c>
      <c r="DH146" s="16">
        <v>4263</v>
      </c>
      <c r="DI146" s="16">
        <v>0</v>
      </c>
      <c r="DJ146" s="16">
        <v>0</v>
      </c>
      <c r="DK146" s="16">
        <v>0</v>
      </c>
      <c r="DL146" s="16">
        <v>0</v>
      </c>
      <c r="DM146" s="16">
        <v>2467</v>
      </c>
      <c r="DN146" s="16">
        <v>-4425</v>
      </c>
      <c r="DO146" s="16">
        <v>238</v>
      </c>
      <c r="DP146" s="16">
        <v>162</v>
      </c>
      <c r="DQ146" s="16">
        <v>0</v>
      </c>
      <c r="DR146" s="16">
        <v>0</v>
      </c>
      <c r="DS146" s="16">
        <v>0</v>
      </c>
      <c r="DT146" s="16">
        <v>1278</v>
      </c>
      <c r="DU146" s="16">
        <v>0</v>
      </c>
      <c r="DV146" s="16">
        <v>-649</v>
      </c>
      <c r="DW146" s="16">
        <v>99</v>
      </c>
      <c r="DX146" s="16">
        <v>0</v>
      </c>
      <c r="DY146" s="16">
        <v>0</v>
      </c>
      <c r="DZ146" s="16">
        <v>273</v>
      </c>
      <c r="EA146" s="16">
        <v>589</v>
      </c>
      <c r="EB146" s="16">
        <v>0</v>
      </c>
      <c r="EC146" s="16">
        <v>237</v>
      </c>
      <c r="ED146" s="16">
        <v>0</v>
      </c>
      <c r="EE146" s="16">
        <v>0</v>
      </c>
      <c r="EF146" s="16">
        <v>8</v>
      </c>
      <c r="EG146" s="16">
        <v>111</v>
      </c>
      <c r="EH146" s="16">
        <v>0</v>
      </c>
      <c r="EI146" s="16">
        <v>3002</v>
      </c>
      <c r="EJ146" s="16">
        <v>14925</v>
      </c>
      <c r="EK146" s="16">
        <v>2741</v>
      </c>
      <c r="EL146" s="16">
        <v>126</v>
      </c>
      <c r="EM146" s="16">
        <v>36782</v>
      </c>
      <c r="EN146" s="16">
        <v>8307</v>
      </c>
      <c r="EO146" s="16">
        <v>9467</v>
      </c>
      <c r="EP146" s="16">
        <v>118483</v>
      </c>
      <c r="EQ146" s="16">
        <v>14470</v>
      </c>
      <c r="ER146" s="16">
        <v>256</v>
      </c>
      <c r="ES146" s="16">
        <v>-2127</v>
      </c>
      <c r="ET146" s="16">
        <v>30960</v>
      </c>
      <c r="EU146" s="16">
        <v>8485</v>
      </c>
      <c r="EV146" s="16">
        <v>29593</v>
      </c>
      <c r="EW146" s="16">
        <v>6077</v>
      </c>
      <c r="EX146" s="16">
        <v>198452</v>
      </c>
      <c r="EY146" s="16">
        <v>55161</v>
      </c>
      <c r="EZ146" s="16">
        <v>3448</v>
      </c>
      <c r="FA146" s="16">
        <v>10533</v>
      </c>
      <c r="FB146" s="16">
        <v>37084</v>
      </c>
      <c r="FC146" s="16">
        <v>115</v>
      </c>
      <c r="FD146" s="16">
        <v>161</v>
      </c>
      <c r="FE146" s="16">
        <v>645</v>
      </c>
      <c r="FF146" s="16">
        <v>2688</v>
      </c>
      <c r="FG146" s="16">
        <v>5589</v>
      </c>
      <c r="FH146" s="16">
        <v>151</v>
      </c>
      <c r="FI146" s="16">
        <v>1015</v>
      </c>
      <c r="FJ146" s="16">
        <v>1967</v>
      </c>
      <c r="FK146" s="16">
        <v>227</v>
      </c>
      <c r="FL146" s="16">
        <v>187</v>
      </c>
      <c r="FM146" s="16">
        <v>0</v>
      </c>
      <c r="FN146" s="16">
        <v>0</v>
      </c>
      <c r="FO146" s="16">
        <v>2112</v>
      </c>
      <c r="FP146" s="16">
        <v>7983</v>
      </c>
      <c r="FQ146" s="16">
        <v>3357</v>
      </c>
      <c r="FR146" s="16">
        <v>669</v>
      </c>
      <c r="FS146" s="16">
        <v>0</v>
      </c>
      <c r="FT146" s="16">
        <v>0</v>
      </c>
      <c r="FU146" s="16">
        <v>1632</v>
      </c>
      <c r="FV146" s="16">
        <v>2727</v>
      </c>
      <c r="FW146" s="16">
        <v>6098</v>
      </c>
      <c r="FX146" s="16">
        <v>1197</v>
      </c>
      <c r="FY146" s="16">
        <v>0</v>
      </c>
      <c r="FZ146" s="16">
        <v>463</v>
      </c>
      <c r="GA146" s="16">
        <v>0</v>
      </c>
      <c r="GB146" s="16">
        <v>597</v>
      </c>
      <c r="GC146" s="16">
        <v>0</v>
      </c>
      <c r="GD146" s="16">
        <v>620</v>
      </c>
      <c r="GE146" s="16">
        <v>0</v>
      </c>
      <c r="GF146" s="16">
        <v>0</v>
      </c>
      <c r="GG146" s="16">
        <v>0</v>
      </c>
      <c r="GH146" s="16">
        <v>0</v>
      </c>
      <c r="GI146" s="16">
        <v>0</v>
      </c>
      <c r="GJ146" s="16">
        <v>0</v>
      </c>
      <c r="GK146" s="16">
        <v>0</v>
      </c>
      <c r="GL146" s="16">
        <v>0</v>
      </c>
      <c r="GM146" s="16">
        <v>0</v>
      </c>
      <c r="GN146" s="16">
        <v>0</v>
      </c>
      <c r="GO146" s="16">
        <v>0</v>
      </c>
      <c r="GP146" s="16">
        <v>0</v>
      </c>
      <c r="GQ146" s="16">
        <v>0</v>
      </c>
      <c r="GR146" s="16">
        <v>0</v>
      </c>
      <c r="GS146" s="16">
        <v>0</v>
      </c>
      <c r="GT146" s="16">
        <v>0</v>
      </c>
      <c r="GU146" s="16">
        <v>85</v>
      </c>
      <c r="GV146" s="16">
        <v>0</v>
      </c>
      <c r="GW146" s="16">
        <v>0</v>
      </c>
      <c r="GX146" s="16">
        <v>0</v>
      </c>
      <c r="GY146" s="16">
        <v>0</v>
      </c>
      <c r="GZ146" s="16">
        <v>0</v>
      </c>
      <c r="HA146" s="16">
        <v>0</v>
      </c>
      <c r="HB146" s="16">
        <v>0</v>
      </c>
      <c r="HC146" s="16">
        <v>0</v>
      </c>
      <c r="HD146" s="16">
        <v>0</v>
      </c>
      <c r="HE146" s="16">
        <v>0</v>
      </c>
      <c r="HF146" s="16">
        <v>0</v>
      </c>
      <c r="HG146" s="16">
        <v>0</v>
      </c>
      <c r="HH146" s="16">
        <v>0</v>
      </c>
      <c r="HI146" s="16">
        <v>0</v>
      </c>
      <c r="HJ146" s="16">
        <v>0</v>
      </c>
      <c r="HK146" s="16">
        <v>0</v>
      </c>
      <c r="HL146" s="16">
        <v>0</v>
      </c>
      <c r="HM146" s="16">
        <v>1007</v>
      </c>
      <c r="HN146" s="16">
        <v>0</v>
      </c>
      <c r="HO146" s="16">
        <v>0</v>
      </c>
      <c r="HP146" s="16">
        <v>0</v>
      </c>
      <c r="HQ146" s="16">
        <v>0</v>
      </c>
      <c r="HR146" s="16">
        <v>0</v>
      </c>
      <c r="HS146" s="16">
        <v>1869</v>
      </c>
      <c r="HT146" s="16">
        <v>0</v>
      </c>
      <c r="HU146" s="16">
        <v>917</v>
      </c>
      <c r="HV146" s="16">
        <v>0</v>
      </c>
      <c r="HW146" s="16">
        <v>0</v>
      </c>
      <c r="HX146" s="16">
        <v>0</v>
      </c>
      <c r="HY146" s="16">
        <v>0</v>
      </c>
      <c r="HZ146" s="16">
        <v>0</v>
      </c>
      <c r="IA146" s="16">
        <v>0</v>
      </c>
      <c r="IB146" s="16">
        <v>0</v>
      </c>
      <c r="IC146" s="16">
        <v>0</v>
      </c>
      <c r="ID146" s="16">
        <v>260</v>
      </c>
      <c r="IE146" s="16">
        <v>0</v>
      </c>
      <c r="IF146" s="16">
        <v>372</v>
      </c>
      <c r="IG146" s="16">
        <v>5388</v>
      </c>
      <c r="IH146" s="16">
        <v>0</v>
      </c>
      <c r="II146" s="16">
        <v>0</v>
      </c>
      <c r="IJ146" s="16">
        <v>0</v>
      </c>
      <c r="IK146" s="16">
        <v>0</v>
      </c>
      <c r="IL146" s="16">
        <v>0</v>
      </c>
      <c r="IM146" s="16">
        <v>0</v>
      </c>
      <c r="IN146" s="16">
        <v>0</v>
      </c>
      <c r="IO146" s="16">
        <v>4715</v>
      </c>
      <c r="IP146" s="16">
        <v>197</v>
      </c>
      <c r="IQ146" s="16">
        <v>457</v>
      </c>
      <c r="IR146" s="16">
        <v>339</v>
      </c>
      <c r="IS146" s="16">
        <v>0</v>
      </c>
      <c r="IT146" s="16">
        <v>0</v>
      </c>
      <c r="IU146" s="16">
        <v>0</v>
      </c>
      <c r="IV146" s="16">
        <v>0</v>
      </c>
      <c r="IW146" s="16">
        <v>55</v>
      </c>
      <c r="IX146" s="16">
        <v>554</v>
      </c>
      <c r="IY146" s="16">
        <v>95</v>
      </c>
      <c r="IZ146" s="16">
        <v>0</v>
      </c>
      <c r="JA146" s="16">
        <v>0</v>
      </c>
      <c r="JB146" s="16">
        <v>0</v>
      </c>
      <c r="JC146" s="16">
        <v>20</v>
      </c>
      <c r="JD146" s="16">
        <v>0</v>
      </c>
      <c r="JE146" s="16">
        <v>2850</v>
      </c>
      <c r="JF146" s="16">
        <v>1011</v>
      </c>
      <c r="JG146" s="16">
        <v>1787</v>
      </c>
      <c r="JH146" s="16">
        <v>0</v>
      </c>
      <c r="JI146" s="16">
        <v>0</v>
      </c>
      <c r="JJ146" s="16">
        <v>0</v>
      </c>
      <c r="JK146" s="16">
        <v>0</v>
      </c>
      <c r="JL146" s="16">
        <v>0</v>
      </c>
      <c r="JM146" s="16">
        <v>0</v>
      </c>
      <c r="JN146" s="16">
        <v>0</v>
      </c>
      <c r="JO146" s="16">
        <v>0</v>
      </c>
      <c r="JP146" s="16">
        <v>0</v>
      </c>
      <c r="JQ146" s="16">
        <v>93815</v>
      </c>
      <c r="JR146" s="16">
        <v>62745</v>
      </c>
      <c r="JS146" s="16">
        <v>22553</v>
      </c>
      <c r="JT146" s="16">
        <v>0</v>
      </c>
      <c r="JU146" s="16">
        <v>0</v>
      </c>
      <c r="JV146" s="16">
        <v>0</v>
      </c>
      <c r="JW146" s="16">
        <v>268170</v>
      </c>
      <c r="JX146" s="16">
        <v>561256</v>
      </c>
      <c r="JY146" s="16">
        <v>82478</v>
      </c>
      <c r="JZ146" s="16">
        <v>4201</v>
      </c>
      <c r="KA146" s="16">
        <v>9339</v>
      </c>
      <c r="KB146" s="16">
        <v>47</v>
      </c>
      <c r="KC146" s="16">
        <v>-5</v>
      </c>
      <c r="KD146" s="16">
        <v>1813</v>
      </c>
      <c r="KE146" s="16">
        <v>1666</v>
      </c>
      <c r="KF146" s="16">
        <v>1298</v>
      </c>
      <c r="KG146" s="16">
        <v>443</v>
      </c>
      <c r="KH146" s="16">
        <v>411</v>
      </c>
      <c r="KI146" s="16">
        <v>3704</v>
      </c>
      <c r="KJ146" s="16">
        <v>6014</v>
      </c>
      <c r="KK146" s="16">
        <v>536</v>
      </c>
      <c r="KL146" s="16">
        <v>0</v>
      </c>
      <c r="KM146" s="16">
        <v>0</v>
      </c>
      <c r="KN146" s="16">
        <v>0</v>
      </c>
      <c r="KO146" s="16">
        <v>0</v>
      </c>
      <c r="KP146" s="16">
        <v>0</v>
      </c>
      <c r="KQ146" s="16">
        <v>0</v>
      </c>
      <c r="KR146" s="16">
        <v>0</v>
      </c>
      <c r="KS146" s="16">
        <v>0</v>
      </c>
      <c r="KT146" s="16">
        <v>0</v>
      </c>
      <c r="KU146" s="16">
        <v>0</v>
      </c>
      <c r="KV146" s="16">
        <v>0</v>
      </c>
      <c r="KW146" s="16">
        <v>0</v>
      </c>
      <c r="KX146" s="16">
        <v>0</v>
      </c>
      <c r="KY146" s="16">
        <v>0</v>
      </c>
      <c r="KZ146" s="16">
        <v>0</v>
      </c>
      <c r="LA146" s="16">
        <v>0</v>
      </c>
      <c r="LB146" s="16">
        <v>0</v>
      </c>
      <c r="LC146" s="16">
        <v>0</v>
      </c>
      <c r="LD146" s="16">
        <v>0</v>
      </c>
      <c r="LE146" s="16">
        <v>0</v>
      </c>
      <c r="LF146" s="16">
        <v>0</v>
      </c>
      <c r="LG146" s="16">
        <v>0</v>
      </c>
      <c r="LH146" s="16">
        <v>0</v>
      </c>
      <c r="LI146" s="16">
        <v>0</v>
      </c>
      <c r="LJ146" s="16">
        <v>0</v>
      </c>
      <c r="LK146" s="16">
        <v>0</v>
      </c>
      <c r="LL146" s="16">
        <v>0</v>
      </c>
      <c r="LM146" s="16">
        <v>0</v>
      </c>
      <c r="LN146" s="16">
        <v>0</v>
      </c>
      <c r="LO146" s="16">
        <v>0</v>
      </c>
      <c r="LP146" s="16">
        <v>0</v>
      </c>
      <c r="LQ146" s="16">
        <v>0</v>
      </c>
      <c r="LR146" s="16">
        <v>0</v>
      </c>
      <c r="LS146" s="16">
        <v>0</v>
      </c>
      <c r="LT146" s="16">
        <v>0</v>
      </c>
      <c r="LU146" s="16">
        <v>0</v>
      </c>
      <c r="LV146" s="16">
        <v>0</v>
      </c>
      <c r="LW146" s="16">
        <v>0</v>
      </c>
      <c r="LX146" s="16">
        <v>0</v>
      </c>
      <c r="LY146" s="16">
        <v>0</v>
      </c>
      <c r="LZ146" s="16">
        <v>0</v>
      </c>
      <c r="MA146" s="16">
        <v>0</v>
      </c>
      <c r="MB146" s="16">
        <v>0</v>
      </c>
      <c r="MC146" s="16">
        <v>0</v>
      </c>
      <c r="MD146" s="16">
        <v>0</v>
      </c>
      <c r="ME146" s="16">
        <v>0</v>
      </c>
      <c r="MF146" s="16">
        <v>0</v>
      </c>
      <c r="MG146" s="16">
        <v>0</v>
      </c>
      <c r="MH146" s="16">
        <v>0</v>
      </c>
      <c r="MI146" s="16">
        <v>0</v>
      </c>
      <c r="MJ146" s="16">
        <v>0</v>
      </c>
      <c r="MK146" s="16">
        <v>0</v>
      </c>
      <c r="ML146" s="16">
        <v>0</v>
      </c>
      <c r="MM146" s="16">
        <v>0</v>
      </c>
      <c r="MN146" s="16">
        <v>0</v>
      </c>
      <c r="MO146" s="16">
        <v>0</v>
      </c>
      <c r="MP146" s="16">
        <v>0</v>
      </c>
      <c r="MQ146" s="16">
        <v>0</v>
      </c>
      <c r="MR146" s="16">
        <v>40</v>
      </c>
      <c r="MS146" s="16">
        <v>358</v>
      </c>
      <c r="MT146" s="16">
        <v>0</v>
      </c>
      <c r="MU146" s="16">
        <v>3</v>
      </c>
      <c r="MV146" s="16">
        <v>0</v>
      </c>
      <c r="MW146" s="16">
        <v>0</v>
      </c>
      <c r="MX146" s="16">
        <v>0</v>
      </c>
      <c r="MY146" s="16">
        <v>862</v>
      </c>
      <c r="MZ146" s="16">
        <v>6510</v>
      </c>
      <c r="NA146" s="16">
        <v>0</v>
      </c>
      <c r="NB146" s="16">
        <v>0</v>
      </c>
      <c r="NC146" s="16">
        <v>0</v>
      </c>
      <c r="ND146" s="16">
        <v>0</v>
      </c>
      <c r="NE146" s="16">
        <v>0</v>
      </c>
      <c r="NF146" s="16">
        <v>0</v>
      </c>
      <c r="NG146" s="16">
        <v>0</v>
      </c>
      <c r="NH146" s="16">
        <v>0</v>
      </c>
      <c r="NI146" s="16">
        <v>0</v>
      </c>
      <c r="NJ146" s="16">
        <v>0</v>
      </c>
      <c r="NK146" s="16">
        <v>0</v>
      </c>
      <c r="NL146" s="16">
        <v>0</v>
      </c>
      <c r="NM146" s="16">
        <v>0</v>
      </c>
      <c r="NN146" s="16">
        <v>0</v>
      </c>
      <c r="NO146" s="16">
        <v>0</v>
      </c>
      <c r="NP146" s="16">
        <v>0</v>
      </c>
      <c r="NQ146" s="16">
        <v>10</v>
      </c>
      <c r="NR146" s="17">
        <v>1815317</v>
      </c>
    </row>
    <row r="147" spans="1:382" ht="13.5" customHeight="1" x14ac:dyDescent="0.2">
      <c r="A147" s="2" t="s">
        <v>301</v>
      </c>
      <c r="B147" s="16">
        <v>0</v>
      </c>
      <c r="C147" s="16">
        <v>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24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  <c r="AW147" s="16">
        <v>104</v>
      </c>
      <c r="AX147" s="16">
        <v>0</v>
      </c>
      <c r="AY147" s="16">
        <v>0</v>
      </c>
      <c r="AZ147" s="16">
        <v>0</v>
      </c>
      <c r="BA147" s="16">
        <v>0</v>
      </c>
      <c r="BB147" s="16">
        <v>68</v>
      </c>
      <c r="BC147" s="16">
        <v>0</v>
      </c>
      <c r="BD147" s="16">
        <v>0</v>
      </c>
      <c r="BE147" s="16">
        <v>0</v>
      </c>
      <c r="BF147" s="16">
        <v>0</v>
      </c>
      <c r="BG147" s="16">
        <v>0</v>
      </c>
      <c r="BH147" s="16">
        <v>0</v>
      </c>
      <c r="BI147" s="16">
        <v>0</v>
      </c>
      <c r="BJ147" s="16">
        <v>0</v>
      </c>
      <c r="BK147" s="16">
        <v>0</v>
      </c>
      <c r="BL147" s="16">
        <v>0</v>
      </c>
      <c r="BM147" s="16">
        <v>0</v>
      </c>
      <c r="BN147" s="16">
        <v>0</v>
      </c>
      <c r="BO147" s="16">
        <v>0</v>
      </c>
      <c r="BP147" s="16">
        <v>0</v>
      </c>
      <c r="BQ147" s="16">
        <v>0</v>
      </c>
      <c r="BR147" s="16">
        <v>13</v>
      </c>
      <c r="BS147" s="16">
        <v>0</v>
      </c>
      <c r="BT147" s="16">
        <v>0</v>
      </c>
      <c r="BU147" s="16">
        <v>0</v>
      </c>
      <c r="BV147" s="16">
        <v>0</v>
      </c>
      <c r="BW147" s="16">
        <v>0</v>
      </c>
      <c r="BX147" s="16">
        <v>0</v>
      </c>
      <c r="BY147" s="16">
        <v>0</v>
      </c>
      <c r="BZ147" s="16">
        <v>0</v>
      </c>
      <c r="CA147" s="16">
        <v>0</v>
      </c>
      <c r="CB147" s="16">
        <v>0</v>
      </c>
      <c r="CC147" s="16">
        <v>0</v>
      </c>
      <c r="CD147" s="16">
        <v>0</v>
      </c>
      <c r="CE147" s="16">
        <v>0</v>
      </c>
      <c r="CF147" s="16">
        <v>0</v>
      </c>
      <c r="CG147" s="16">
        <v>0</v>
      </c>
      <c r="CH147" s="16">
        <v>6644</v>
      </c>
      <c r="CI147" s="16">
        <v>0</v>
      </c>
      <c r="CJ147" s="16">
        <v>0</v>
      </c>
      <c r="CK147" s="16">
        <v>0</v>
      </c>
      <c r="CL147" s="16">
        <v>0</v>
      </c>
      <c r="CM147" s="16">
        <v>0</v>
      </c>
      <c r="CN147" s="16">
        <v>0</v>
      </c>
      <c r="CO147" s="16">
        <v>0</v>
      </c>
      <c r="CP147" s="16">
        <v>0</v>
      </c>
      <c r="CQ147" s="16">
        <v>0</v>
      </c>
      <c r="CR147" s="16">
        <v>0</v>
      </c>
      <c r="CS147" s="16">
        <v>0</v>
      </c>
      <c r="CT147" s="16">
        <v>0</v>
      </c>
      <c r="CU147" s="16">
        <v>0</v>
      </c>
      <c r="CV147" s="16">
        <v>0</v>
      </c>
      <c r="CW147" s="16">
        <v>0</v>
      </c>
      <c r="CX147" s="16">
        <v>0</v>
      </c>
      <c r="CY147" s="16">
        <v>0</v>
      </c>
      <c r="CZ147" s="16">
        <v>0</v>
      </c>
      <c r="DA147" s="16">
        <v>0</v>
      </c>
      <c r="DB147" s="16">
        <v>0</v>
      </c>
      <c r="DC147" s="16">
        <v>0</v>
      </c>
      <c r="DD147" s="16">
        <v>0</v>
      </c>
      <c r="DE147" s="16">
        <v>0</v>
      </c>
      <c r="DF147" s="16">
        <v>0</v>
      </c>
      <c r="DG147" s="16">
        <v>0</v>
      </c>
      <c r="DH147" s="16">
        <v>0</v>
      </c>
      <c r="DI147" s="16">
        <v>0</v>
      </c>
      <c r="DJ147" s="16">
        <v>0</v>
      </c>
      <c r="DK147" s="16">
        <v>0</v>
      </c>
      <c r="DL147" s="16">
        <v>0</v>
      </c>
      <c r="DM147" s="16">
        <v>0</v>
      </c>
      <c r="DN147" s="16">
        <v>0</v>
      </c>
      <c r="DO147" s="16">
        <v>0</v>
      </c>
      <c r="DP147" s="16">
        <v>0</v>
      </c>
      <c r="DQ147" s="16">
        <v>0</v>
      </c>
      <c r="DR147" s="16">
        <v>0</v>
      </c>
      <c r="DS147" s="16">
        <v>0</v>
      </c>
      <c r="DT147" s="16">
        <v>0</v>
      </c>
      <c r="DU147" s="16">
        <v>0</v>
      </c>
      <c r="DV147" s="16">
        <v>4</v>
      </c>
      <c r="DW147" s="16">
        <v>0</v>
      </c>
      <c r="DX147" s="16">
        <v>7944</v>
      </c>
      <c r="DY147" s="16">
        <v>0</v>
      </c>
      <c r="DZ147" s="16">
        <v>0</v>
      </c>
      <c r="EA147" s="16">
        <v>0</v>
      </c>
      <c r="EB147" s="16">
        <v>0</v>
      </c>
      <c r="EC147" s="16">
        <v>0</v>
      </c>
      <c r="ED147" s="16">
        <v>0</v>
      </c>
      <c r="EE147" s="16">
        <v>0</v>
      </c>
      <c r="EF147" s="16">
        <v>0</v>
      </c>
      <c r="EG147" s="16">
        <v>0</v>
      </c>
      <c r="EH147" s="16">
        <v>0</v>
      </c>
      <c r="EI147" s="16">
        <v>425</v>
      </c>
      <c r="EJ147" s="16">
        <v>0</v>
      </c>
      <c r="EK147" s="16">
        <v>0</v>
      </c>
      <c r="EL147" s="16">
        <v>141</v>
      </c>
      <c r="EM147" s="16">
        <v>0</v>
      </c>
      <c r="EN147" s="16">
        <v>0</v>
      </c>
      <c r="EO147" s="16">
        <v>9254</v>
      </c>
      <c r="EP147" s="16">
        <v>0</v>
      </c>
      <c r="EQ147" s="16">
        <v>291537</v>
      </c>
      <c r="ER147" s="16">
        <v>0</v>
      </c>
      <c r="ES147" s="16">
        <v>0</v>
      </c>
      <c r="ET147" s="16">
        <v>0</v>
      </c>
      <c r="EU147" s="16">
        <v>0</v>
      </c>
      <c r="EV147" s="16">
        <v>0</v>
      </c>
      <c r="EW147" s="16">
        <v>0</v>
      </c>
      <c r="EX147" s="16">
        <v>0</v>
      </c>
      <c r="EY147" s="16">
        <v>0</v>
      </c>
      <c r="EZ147" s="16">
        <v>0</v>
      </c>
      <c r="FA147" s="16">
        <v>0</v>
      </c>
      <c r="FB147" s="16">
        <v>0</v>
      </c>
      <c r="FC147" s="16">
        <v>0</v>
      </c>
      <c r="FD147" s="16">
        <v>0</v>
      </c>
      <c r="FE147" s="16">
        <v>0</v>
      </c>
      <c r="FF147" s="16">
        <v>0</v>
      </c>
      <c r="FG147" s="16">
        <v>0</v>
      </c>
      <c r="FH147" s="16">
        <v>0</v>
      </c>
      <c r="FI147" s="16">
        <v>0</v>
      </c>
      <c r="FJ147" s="16">
        <v>0</v>
      </c>
      <c r="FK147" s="16">
        <v>0</v>
      </c>
      <c r="FL147" s="16">
        <v>0</v>
      </c>
      <c r="FM147" s="16">
        <v>0</v>
      </c>
      <c r="FN147" s="16">
        <v>144</v>
      </c>
      <c r="FO147" s="16">
        <v>0</v>
      </c>
      <c r="FP147" s="16">
        <v>0</v>
      </c>
      <c r="FQ147" s="16">
        <v>16718</v>
      </c>
      <c r="FR147" s="16">
        <v>0</v>
      </c>
      <c r="FS147" s="16">
        <v>0</v>
      </c>
      <c r="FT147" s="16">
        <v>0</v>
      </c>
      <c r="FU147" s="16">
        <v>0</v>
      </c>
      <c r="FV147" s="16">
        <v>0</v>
      </c>
      <c r="FW147" s="16">
        <v>0</v>
      </c>
      <c r="FX147" s="16">
        <v>0</v>
      </c>
      <c r="FY147" s="16">
        <v>0</v>
      </c>
      <c r="FZ147" s="16">
        <v>0</v>
      </c>
      <c r="GA147" s="16">
        <v>0</v>
      </c>
      <c r="GB147" s="16">
        <v>56</v>
      </c>
      <c r="GC147" s="16">
        <v>0</v>
      </c>
      <c r="GD147" s="16">
        <v>6041</v>
      </c>
      <c r="GE147" s="16">
        <v>0</v>
      </c>
      <c r="GF147" s="16">
        <v>0</v>
      </c>
      <c r="GG147" s="16">
        <v>0</v>
      </c>
      <c r="GH147" s="16">
        <v>0</v>
      </c>
      <c r="GI147" s="16">
        <v>0</v>
      </c>
      <c r="GJ147" s="16">
        <v>0</v>
      </c>
      <c r="GK147" s="16">
        <v>4907</v>
      </c>
      <c r="GL147" s="16">
        <v>0</v>
      </c>
      <c r="GM147" s="16">
        <v>0</v>
      </c>
      <c r="GN147" s="16">
        <v>0</v>
      </c>
      <c r="GO147" s="16">
        <v>0</v>
      </c>
      <c r="GP147" s="16">
        <v>0</v>
      </c>
      <c r="GQ147" s="16">
        <v>0</v>
      </c>
      <c r="GR147" s="16">
        <v>0</v>
      </c>
      <c r="GS147" s="16">
        <v>0</v>
      </c>
      <c r="GT147" s="16">
        <v>0</v>
      </c>
      <c r="GU147" s="16">
        <v>0</v>
      </c>
      <c r="GV147" s="16">
        <v>0</v>
      </c>
      <c r="GW147" s="16">
        <v>0</v>
      </c>
      <c r="GX147" s="16">
        <v>0</v>
      </c>
      <c r="GY147" s="16">
        <v>0</v>
      </c>
      <c r="GZ147" s="16">
        <v>0</v>
      </c>
      <c r="HA147" s="16">
        <v>0</v>
      </c>
      <c r="HB147" s="16">
        <v>0</v>
      </c>
      <c r="HC147" s="16">
        <v>0</v>
      </c>
      <c r="HD147" s="16">
        <v>0</v>
      </c>
      <c r="HE147" s="16">
        <v>0</v>
      </c>
      <c r="HF147" s="16">
        <v>0</v>
      </c>
      <c r="HG147" s="16">
        <v>0</v>
      </c>
      <c r="HH147" s="16">
        <v>0</v>
      </c>
      <c r="HI147" s="16">
        <v>0</v>
      </c>
      <c r="HJ147" s="16">
        <v>0</v>
      </c>
      <c r="HK147" s="16">
        <v>0</v>
      </c>
      <c r="HL147" s="16">
        <v>0</v>
      </c>
      <c r="HM147" s="16">
        <v>0</v>
      </c>
      <c r="HN147" s="16">
        <v>147</v>
      </c>
      <c r="HO147" s="16">
        <v>0</v>
      </c>
      <c r="HP147" s="16">
        <v>0</v>
      </c>
      <c r="HQ147" s="16">
        <v>343</v>
      </c>
      <c r="HR147" s="16">
        <v>0</v>
      </c>
      <c r="HS147" s="16">
        <v>937</v>
      </c>
      <c r="HT147" s="16">
        <v>0</v>
      </c>
      <c r="HU147" s="16">
        <v>0</v>
      </c>
      <c r="HV147" s="16">
        <v>0</v>
      </c>
      <c r="HW147" s="16">
        <v>0</v>
      </c>
      <c r="HX147" s="16">
        <v>0</v>
      </c>
      <c r="HY147" s="16">
        <v>0</v>
      </c>
      <c r="HZ147" s="16">
        <v>1545</v>
      </c>
      <c r="IA147" s="16">
        <v>0</v>
      </c>
      <c r="IB147" s="16">
        <v>0</v>
      </c>
      <c r="IC147" s="16">
        <v>0</v>
      </c>
      <c r="ID147" s="16">
        <v>0</v>
      </c>
      <c r="IE147" s="16">
        <v>1</v>
      </c>
      <c r="IF147" s="16">
        <v>0</v>
      </c>
      <c r="IG147" s="16">
        <v>0</v>
      </c>
      <c r="IH147" s="16">
        <v>0</v>
      </c>
      <c r="II147" s="16">
        <v>0</v>
      </c>
      <c r="IJ147" s="16">
        <v>0</v>
      </c>
      <c r="IK147" s="16">
        <v>0</v>
      </c>
      <c r="IL147" s="16">
        <v>0</v>
      </c>
      <c r="IM147" s="16">
        <v>0</v>
      </c>
      <c r="IN147" s="16">
        <v>0</v>
      </c>
      <c r="IO147" s="16">
        <v>0</v>
      </c>
      <c r="IP147" s="16">
        <v>0</v>
      </c>
      <c r="IQ147" s="16">
        <v>0</v>
      </c>
      <c r="IR147" s="16">
        <v>25</v>
      </c>
      <c r="IS147" s="16">
        <v>0</v>
      </c>
      <c r="IT147" s="16">
        <v>0</v>
      </c>
      <c r="IU147" s="16">
        <v>0</v>
      </c>
      <c r="IV147" s="16">
        <v>0</v>
      </c>
      <c r="IW147" s="16">
        <v>7985</v>
      </c>
      <c r="IX147" s="16">
        <v>55</v>
      </c>
      <c r="IY147" s="16">
        <v>3757</v>
      </c>
      <c r="IZ147" s="16">
        <v>0</v>
      </c>
      <c r="JA147" s="16">
        <v>356</v>
      </c>
      <c r="JB147" s="16">
        <v>0</v>
      </c>
      <c r="JC147" s="16">
        <v>0</v>
      </c>
      <c r="JD147" s="16">
        <v>0</v>
      </c>
      <c r="JE147" s="16">
        <v>482</v>
      </c>
      <c r="JF147" s="16">
        <v>0</v>
      </c>
      <c r="JG147" s="16">
        <v>17369</v>
      </c>
      <c r="JH147" s="16">
        <v>0</v>
      </c>
      <c r="JI147" s="16">
        <v>0</v>
      </c>
      <c r="JJ147" s="16">
        <v>0</v>
      </c>
      <c r="JK147" s="16">
        <v>0</v>
      </c>
      <c r="JL147" s="16">
        <v>0</v>
      </c>
      <c r="JM147" s="16">
        <v>0</v>
      </c>
      <c r="JN147" s="16">
        <v>0</v>
      </c>
      <c r="JO147" s="16">
        <v>0</v>
      </c>
      <c r="JP147" s="16">
        <v>0</v>
      </c>
      <c r="JQ147" s="16">
        <v>0</v>
      </c>
      <c r="JR147" s="16">
        <v>0</v>
      </c>
      <c r="JS147" s="16">
        <v>0</v>
      </c>
      <c r="JT147" s="16">
        <v>0</v>
      </c>
      <c r="JU147" s="16">
        <v>0</v>
      </c>
      <c r="JV147" s="16">
        <v>116</v>
      </c>
      <c r="JW147" s="16">
        <v>449661</v>
      </c>
      <c r="JX147" s="16">
        <v>1170238</v>
      </c>
      <c r="JY147" s="16">
        <v>74375</v>
      </c>
      <c r="JZ147" s="16">
        <v>62521</v>
      </c>
      <c r="KA147" s="16">
        <v>9082</v>
      </c>
      <c r="KB147" s="16">
        <v>856</v>
      </c>
      <c r="KC147" s="16">
        <v>9233</v>
      </c>
      <c r="KD147" s="16">
        <v>10481</v>
      </c>
      <c r="KE147" s="16">
        <v>11001</v>
      </c>
      <c r="KF147" s="16">
        <v>58280</v>
      </c>
      <c r="KG147" s="16">
        <v>844</v>
      </c>
      <c r="KH147" s="16">
        <v>680</v>
      </c>
      <c r="KI147" s="16">
        <v>12390</v>
      </c>
      <c r="KJ147" s="16">
        <v>4765</v>
      </c>
      <c r="KK147" s="16">
        <v>1610</v>
      </c>
      <c r="KL147" s="16">
        <v>0</v>
      </c>
      <c r="KM147" s="16">
        <v>0</v>
      </c>
      <c r="KN147" s="16">
        <v>0</v>
      </c>
      <c r="KO147" s="16">
        <v>0</v>
      </c>
      <c r="KP147" s="16">
        <v>0</v>
      </c>
      <c r="KQ147" s="16">
        <v>0</v>
      </c>
      <c r="KR147" s="16">
        <v>0</v>
      </c>
      <c r="KS147" s="16">
        <v>0</v>
      </c>
      <c r="KT147" s="16">
        <v>0</v>
      </c>
      <c r="KU147" s="16">
        <v>0</v>
      </c>
      <c r="KV147" s="16">
        <v>0</v>
      </c>
      <c r="KW147" s="16">
        <v>0</v>
      </c>
      <c r="KX147" s="16">
        <v>0</v>
      </c>
      <c r="KY147" s="16">
        <v>0</v>
      </c>
      <c r="KZ147" s="16">
        <v>0</v>
      </c>
      <c r="LA147" s="16">
        <v>0</v>
      </c>
      <c r="LB147" s="16">
        <v>0</v>
      </c>
      <c r="LC147" s="16">
        <v>0</v>
      </c>
      <c r="LD147" s="16">
        <v>0</v>
      </c>
      <c r="LE147" s="16">
        <v>1705</v>
      </c>
      <c r="LF147" s="16">
        <v>0</v>
      </c>
      <c r="LG147" s="16">
        <v>0</v>
      </c>
      <c r="LH147" s="16">
        <v>0</v>
      </c>
      <c r="LI147" s="16">
        <v>0</v>
      </c>
      <c r="LJ147" s="16">
        <v>0</v>
      </c>
      <c r="LK147" s="16">
        <v>0</v>
      </c>
      <c r="LL147" s="16">
        <v>0</v>
      </c>
      <c r="LM147" s="16">
        <v>0</v>
      </c>
      <c r="LN147" s="16">
        <v>0</v>
      </c>
      <c r="LO147" s="16">
        <v>0</v>
      </c>
      <c r="LP147" s="16">
        <v>0</v>
      </c>
      <c r="LQ147" s="16">
        <v>0</v>
      </c>
      <c r="LR147" s="16">
        <v>0</v>
      </c>
      <c r="LS147" s="16">
        <v>0</v>
      </c>
      <c r="LT147" s="16">
        <v>0</v>
      </c>
      <c r="LU147" s="16">
        <v>0</v>
      </c>
      <c r="LV147" s="16">
        <v>0</v>
      </c>
      <c r="LW147" s="16">
        <v>0</v>
      </c>
      <c r="LX147" s="16">
        <v>0</v>
      </c>
      <c r="LY147" s="16">
        <v>0</v>
      </c>
      <c r="LZ147" s="16">
        <v>0</v>
      </c>
      <c r="MA147" s="16">
        <v>0</v>
      </c>
      <c r="MB147" s="16">
        <v>0</v>
      </c>
      <c r="MC147" s="16">
        <v>0</v>
      </c>
      <c r="MD147" s="16">
        <v>0</v>
      </c>
      <c r="ME147" s="16">
        <v>0</v>
      </c>
      <c r="MF147" s="16">
        <v>0</v>
      </c>
      <c r="MG147" s="16">
        <v>0</v>
      </c>
      <c r="MH147" s="16">
        <v>0</v>
      </c>
      <c r="MI147" s="16">
        <v>617</v>
      </c>
      <c r="MJ147" s="16">
        <v>3845</v>
      </c>
      <c r="MK147" s="16">
        <v>0</v>
      </c>
      <c r="ML147" s="16">
        <v>1824</v>
      </c>
      <c r="MM147" s="16">
        <v>33469</v>
      </c>
      <c r="MN147" s="16">
        <v>68020</v>
      </c>
      <c r="MO147" s="16">
        <v>836</v>
      </c>
      <c r="MP147" s="16">
        <v>5513</v>
      </c>
      <c r="MQ147" s="16">
        <v>0</v>
      </c>
      <c r="MR147" s="16">
        <v>1055</v>
      </c>
      <c r="MS147" s="16">
        <v>9109</v>
      </c>
      <c r="MT147" s="16">
        <v>0</v>
      </c>
      <c r="MU147" s="16">
        <v>0</v>
      </c>
      <c r="MV147" s="16">
        <v>0</v>
      </c>
      <c r="MW147" s="16">
        <v>0</v>
      </c>
      <c r="MX147" s="16">
        <v>0</v>
      </c>
      <c r="MY147" s="16">
        <v>0</v>
      </c>
      <c r="MZ147" s="16">
        <v>0</v>
      </c>
      <c r="NA147" s="16">
        <v>0</v>
      </c>
      <c r="NB147" s="16">
        <v>0</v>
      </c>
      <c r="NC147" s="16">
        <v>0</v>
      </c>
      <c r="ND147" s="16">
        <v>0</v>
      </c>
      <c r="NE147" s="16">
        <v>0</v>
      </c>
      <c r="NF147" s="16">
        <v>0</v>
      </c>
      <c r="NG147" s="16">
        <v>0</v>
      </c>
      <c r="NH147" s="16">
        <v>0</v>
      </c>
      <c r="NI147" s="16">
        <v>0</v>
      </c>
      <c r="NJ147" s="16">
        <v>0</v>
      </c>
      <c r="NK147" s="16">
        <v>0</v>
      </c>
      <c r="NL147" s="16">
        <v>0</v>
      </c>
      <c r="NM147" s="16">
        <v>0</v>
      </c>
      <c r="NN147" s="16">
        <v>0</v>
      </c>
      <c r="NO147" s="16">
        <v>0</v>
      </c>
      <c r="NP147" s="16">
        <v>0</v>
      </c>
      <c r="NQ147" s="16">
        <v>108</v>
      </c>
      <c r="NR147" s="17">
        <v>2379260</v>
      </c>
    </row>
    <row r="148" spans="1:382" ht="13.5" customHeight="1" x14ac:dyDescent="0.2">
      <c r="A148" s="2" t="s">
        <v>303</v>
      </c>
      <c r="B148" s="16">
        <v>3</v>
      </c>
      <c r="C148" s="16">
        <v>0</v>
      </c>
      <c r="D148" s="16">
        <v>0</v>
      </c>
      <c r="E148" s="16">
        <v>0</v>
      </c>
      <c r="F148" s="16">
        <v>0</v>
      </c>
      <c r="G148" s="16">
        <v>2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1</v>
      </c>
      <c r="U148" s="16">
        <v>0</v>
      </c>
      <c r="V148" s="16">
        <v>0</v>
      </c>
      <c r="W148" s="16">
        <v>0</v>
      </c>
      <c r="X148" s="16">
        <v>2</v>
      </c>
      <c r="Y148" s="16">
        <v>0</v>
      </c>
      <c r="Z148" s="16">
        <v>13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1233</v>
      </c>
      <c r="AH148" s="16">
        <v>13</v>
      </c>
      <c r="AI148" s="16">
        <v>21</v>
      </c>
      <c r="AJ148" s="16">
        <v>23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>
        <v>57</v>
      </c>
      <c r="AU148" s="16">
        <v>45</v>
      </c>
      <c r="AV148" s="16">
        <v>0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0</v>
      </c>
      <c r="BH148" s="16">
        <v>140</v>
      </c>
      <c r="BI148" s="16">
        <v>0</v>
      </c>
      <c r="BJ148" s="16">
        <v>0</v>
      </c>
      <c r="BK148" s="16">
        <v>0</v>
      </c>
      <c r="BL148" s="16">
        <v>0</v>
      </c>
      <c r="BM148" s="16">
        <v>1</v>
      </c>
      <c r="BN148" s="16">
        <v>0</v>
      </c>
      <c r="BO148" s="16">
        <v>3</v>
      </c>
      <c r="BP148" s="16">
        <v>1</v>
      </c>
      <c r="BQ148" s="16">
        <v>0</v>
      </c>
      <c r="BR148" s="16">
        <v>0</v>
      </c>
      <c r="BS148" s="16">
        <v>0</v>
      </c>
      <c r="BT148" s="16">
        <v>0</v>
      </c>
      <c r="BU148" s="16">
        <v>0</v>
      </c>
      <c r="BV148" s="16">
        <v>0</v>
      </c>
      <c r="BW148" s="16">
        <v>0</v>
      </c>
      <c r="BX148" s="16">
        <v>46</v>
      </c>
      <c r="BY148" s="16">
        <v>0</v>
      </c>
      <c r="BZ148" s="16">
        <v>0</v>
      </c>
      <c r="CA148" s="16">
        <v>18</v>
      </c>
      <c r="CB148" s="16">
        <v>0</v>
      </c>
      <c r="CC148" s="16">
        <v>417</v>
      </c>
      <c r="CD148" s="16">
        <v>815</v>
      </c>
      <c r="CE148" s="16">
        <v>640</v>
      </c>
      <c r="CF148" s="16">
        <v>852</v>
      </c>
      <c r="CG148" s="16">
        <v>1281</v>
      </c>
      <c r="CH148" s="16">
        <v>1707</v>
      </c>
      <c r="CI148" s="16">
        <v>0</v>
      </c>
      <c r="CJ148" s="16">
        <v>116</v>
      </c>
      <c r="CK148" s="16">
        <v>4</v>
      </c>
      <c r="CL148" s="16">
        <v>7</v>
      </c>
      <c r="CM148" s="16">
        <v>7</v>
      </c>
      <c r="CN148" s="16">
        <v>40</v>
      </c>
      <c r="CO148" s="16">
        <v>56</v>
      </c>
      <c r="CP148" s="16">
        <v>36</v>
      </c>
      <c r="CQ148" s="16">
        <v>2356</v>
      </c>
      <c r="CR148" s="16">
        <v>345</v>
      </c>
      <c r="CS148" s="16">
        <v>0</v>
      </c>
      <c r="CT148" s="16">
        <v>0</v>
      </c>
      <c r="CU148" s="16">
        <v>0</v>
      </c>
      <c r="CV148" s="16">
        <v>0</v>
      </c>
      <c r="CW148" s="16">
        <v>0</v>
      </c>
      <c r="CX148" s="16">
        <v>0</v>
      </c>
      <c r="CY148" s="16">
        <v>0</v>
      </c>
      <c r="CZ148" s="16">
        <v>0</v>
      </c>
      <c r="DA148" s="16">
        <v>0</v>
      </c>
      <c r="DB148" s="16">
        <v>0</v>
      </c>
      <c r="DC148" s="16">
        <v>0</v>
      </c>
      <c r="DD148" s="16">
        <v>0</v>
      </c>
      <c r="DE148" s="16">
        <v>0</v>
      </c>
      <c r="DF148" s="16">
        <v>270</v>
      </c>
      <c r="DG148" s="16">
        <v>0</v>
      </c>
      <c r="DH148" s="16">
        <v>5</v>
      </c>
      <c r="DI148" s="16">
        <v>1</v>
      </c>
      <c r="DJ148" s="16">
        <v>2</v>
      </c>
      <c r="DK148" s="16">
        <v>0</v>
      </c>
      <c r="DL148" s="16">
        <v>1</v>
      </c>
      <c r="DM148" s="16">
        <v>0</v>
      </c>
      <c r="DN148" s="16">
        <v>66</v>
      </c>
      <c r="DO148" s="16">
        <v>0</v>
      </c>
      <c r="DP148" s="16">
        <v>158</v>
      </c>
      <c r="DQ148" s="16">
        <v>7</v>
      </c>
      <c r="DR148" s="16">
        <v>0</v>
      </c>
      <c r="DS148" s="16">
        <v>0</v>
      </c>
      <c r="DT148" s="16">
        <v>47</v>
      </c>
      <c r="DU148" s="16">
        <v>14</v>
      </c>
      <c r="DV148" s="16">
        <v>64</v>
      </c>
      <c r="DW148" s="16">
        <v>248</v>
      </c>
      <c r="DX148" s="16">
        <v>2</v>
      </c>
      <c r="DY148" s="16">
        <v>2</v>
      </c>
      <c r="DZ148" s="16">
        <v>9</v>
      </c>
      <c r="EA148" s="16">
        <v>3909</v>
      </c>
      <c r="EB148" s="16">
        <v>2</v>
      </c>
      <c r="EC148" s="16">
        <v>259</v>
      </c>
      <c r="ED148" s="16">
        <v>39</v>
      </c>
      <c r="EE148" s="16">
        <v>217</v>
      </c>
      <c r="EF148" s="16">
        <v>4352</v>
      </c>
      <c r="EG148" s="16">
        <v>9869</v>
      </c>
      <c r="EH148" s="16">
        <v>1527</v>
      </c>
      <c r="EI148" s="16">
        <v>198</v>
      </c>
      <c r="EJ148" s="16">
        <v>502</v>
      </c>
      <c r="EK148" s="16">
        <v>39</v>
      </c>
      <c r="EL148" s="16">
        <v>0</v>
      </c>
      <c r="EM148" s="16">
        <v>4</v>
      </c>
      <c r="EN148" s="16">
        <v>0</v>
      </c>
      <c r="EO148" s="16">
        <v>0</v>
      </c>
      <c r="EP148" s="16">
        <v>10</v>
      </c>
      <c r="EQ148" s="16">
        <v>2126</v>
      </c>
      <c r="ER148" s="16">
        <v>23636</v>
      </c>
      <c r="ES148" s="16">
        <v>0</v>
      </c>
      <c r="ET148" s="16">
        <v>1350</v>
      </c>
      <c r="EU148" s="16">
        <v>29</v>
      </c>
      <c r="EV148" s="16">
        <v>208</v>
      </c>
      <c r="EW148" s="16">
        <v>138</v>
      </c>
      <c r="EX148" s="16">
        <v>10537</v>
      </c>
      <c r="EY148" s="16">
        <v>860</v>
      </c>
      <c r="EZ148" s="16">
        <v>652</v>
      </c>
      <c r="FA148" s="16">
        <v>4905</v>
      </c>
      <c r="FB148" s="16">
        <v>10017</v>
      </c>
      <c r="FC148" s="16">
        <v>0</v>
      </c>
      <c r="FD148" s="16">
        <v>6104</v>
      </c>
      <c r="FE148" s="16">
        <v>2310</v>
      </c>
      <c r="FF148" s="16">
        <v>1705</v>
      </c>
      <c r="FG148" s="16">
        <v>0</v>
      </c>
      <c r="FH148" s="16">
        <v>0</v>
      </c>
      <c r="FI148" s="16">
        <v>0</v>
      </c>
      <c r="FJ148" s="16">
        <v>0</v>
      </c>
      <c r="FK148" s="16">
        <v>0</v>
      </c>
      <c r="FL148" s="16">
        <v>0</v>
      </c>
      <c r="FM148" s="16">
        <v>516</v>
      </c>
      <c r="FN148" s="16">
        <v>3834</v>
      </c>
      <c r="FO148" s="16">
        <v>0</v>
      </c>
      <c r="FP148" s="16">
        <v>1196</v>
      </c>
      <c r="FQ148" s="16">
        <v>1119</v>
      </c>
      <c r="FR148" s="16">
        <v>145</v>
      </c>
      <c r="FS148" s="16">
        <v>1778</v>
      </c>
      <c r="FT148" s="16">
        <v>320</v>
      </c>
      <c r="FU148" s="16">
        <v>2999</v>
      </c>
      <c r="FV148" s="16">
        <v>20833</v>
      </c>
      <c r="FW148" s="16">
        <v>17489</v>
      </c>
      <c r="FX148" s="16">
        <v>20622</v>
      </c>
      <c r="FY148" s="16">
        <v>3174</v>
      </c>
      <c r="FZ148" s="16">
        <v>5952</v>
      </c>
      <c r="GA148" s="16">
        <v>23637</v>
      </c>
      <c r="GB148" s="16">
        <v>3523</v>
      </c>
      <c r="GC148" s="16">
        <v>773</v>
      </c>
      <c r="GD148" s="16">
        <v>5429</v>
      </c>
      <c r="GE148" s="16">
        <v>5646</v>
      </c>
      <c r="GF148" s="16">
        <v>15514</v>
      </c>
      <c r="GG148" s="16">
        <v>1218</v>
      </c>
      <c r="GH148" s="16">
        <v>6110</v>
      </c>
      <c r="GI148" s="16">
        <v>65</v>
      </c>
      <c r="GJ148" s="16">
        <v>511</v>
      </c>
      <c r="GK148" s="16">
        <v>347</v>
      </c>
      <c r="GL148" s="16">
        <v>3</v>
      </c>
      <c r="GM148" s="16">
        <v>81</v>
      </c>
      <c r="GN148" s="16">
        <v>94</v>
      </c>
      <c r="GO148" s="16">
        <v>0</v>
      </c>
      <c r="GP148" s="16">
        <v>8</v>
      </c>
      <c r="GQ148" s="16">
        <v>0</v>
      </c>
      <c r="GR148" s="16">
        <v>1</v>
      </c>
      <c r="GS148" s="16">
        <v>1</v>
      </c>
      <c r="GT148" s="16">
        <v>2</v>
      </c>
      <c r="GU148" s="16">
        <v>604</v>
      </c>
      <c r="GV148" s="16">
        <v>68</v>
      </c>
      <c r="GW148" s="16">
        <v>14</v>
      </c>
      <c r="GX148" s="16">
        <v>1347</v>
      </c>
      <c r="GY148" s="16">
        <v>17</v>
      </c>
      <c r="GZ148" s="16">
        <v>378</v>
      </c>
      <c r="HA148" s="16">
        <v>29</v>
      </c>
      <c r="HB148" s="16">
        <v>228</v>
      </c>
      <c r="HC148" s="16">
        <v>105</v>
      </c>
      <c r="HD148" s="16">
        <v>152</v>
      </c>
      <c r="HE148" s="16">
        <v>27</v>
      </c>
      <c r="HF148" s="16">
        <v>606</v>
      </c>
      <c r="HG148" s="16">
        <v>0</v>
      </c>
      <c r="HH148" s="16">
        <v>5</v>
      </c>
      <c r="HI148" s="16">
        <v>179</v>
      </c>
      <c r="HJ148" s="16">
        <v>1</v>
      </c>
      <c r="HK148" s="16">
        <v>2</v>
      </c>
      <c r="HL148" s="16">
        <v>1528</v>
      </c>
      <c r="HM148" s="16">
        <v>887</v>
      </c>
      <c r="HN148" s="16">
        <v>1631</v>
      </c>
      <c r="HO148" s="16">
        <v>176</v>
      </c>
      <c r="HP148" s="16">
        <v>9885</v>
      </c>
      <c r="HQ148" s="16">
        <v>2126</v>
      </c>
      <c r="HR148" s="16">
        <v>1430</v>
      </c>
      <c r="HS148" s="16">
        <v>645</v>
      </c>
      <c r="HT148" s="16">
        <v>72</v>
      </c>
      <c r="HU148" s="16">
        <v>2693</v>
      </c>
      <c r="HV148" s="16">
        <v>112</v>
      </c>
      <c r="HW148" s="16">
        <v>539</v>
      </c>
      <c r="HX148" s="16">
        <v>3445</v>
      </c>
      <c r="HY148" s="16">
        <v>750</v>
      </c>
      <c r="HZ148" s="16">
        <v>1250</v>
      </c>
      <c r="IA148" s="16">
        <v>276</v>
      </c>
      <c r="IB148" s="16">
        <v>97</v>
      </c>
      <c r="IC148" s="16">
        <v>21</v>
      </c>
      <c r="ID148" s="16">
        <v>197</v>
      </c>
      <c r="IE148" s="16">
        <v>3</v>
      </c>
      <c r="IF148" s="16">
        <v>185</v>
      </c>
      <c r="IG148" s="16">
        <v>2485</v>
      </c>
      <c r="IH148" s="16">
        <v>4844</v>
      </c>
      <c r="II148" s="16">
        <v>593</v>
      </c>
      <c r="IJ148" s="16">
        <v>189</v>
      </c>
      <c r="IK148" s="16">
        <v>206</v>
      </c>
      <c r="IL148" s="16">
        <v>146</v>
      </c>
      <c r="IM148" s="16">
        <v>8</v>
      </c>
      <c r="IN148" s="16">
        <v>7885</v>
      </c>
      <c r="IO148" s="16">
        <v>17321</v>
      </c>
      <c r="IP148" s="16">
        <v>24</v>
      </c>
      <c r="IQ148" s="16">
        <v>20</v>
      </c>
      <c r="IR148" s="16">
        <v>383</v>
      </c>
      <c r="IS148" s="16">
        <v>220</v>
      </c>
      <c r="IT148" s="16">
        <v>64</v>
      </c>
      <c r="IU148" s="16">
        <v>18</v>
      </c>
      <c r="IV148" s="16">
        <v>1393</v>
      </c>
      <c r="IW148" s="16">
        <v>1419</v>
      </c>
      <c r="IX148" s="16">
        <v>2075</v>
      </c>
      <c r="IY148" s="16">
        <v>192</v>
      </c>
      <c r="IZ148" s="16">
        <v>11</v>
      </c>
      <c r="JA148" s="16">
        <v>444</v>
      </c>
      <c r="JB148" s="16">
        <v>768</v>
      </c>
      <c r="JC148" s="16">
        <v>35</v>
      </c>
      <c r="JD148" s="16">
        <v>2837</v>
      </c>
      <c r="JE148" s="16">
        <v>5159</v>
      </c>
      <c r="JF148" s="16">
        <v>2416</v>
      </c>
      <c r="JG148" s="16">
        <v>7953</v>
      </c>
      <c r="JH148" s="16">
        <v>441</v>
      </c>
      <c r="JI148" s="16">
        <v>0</v>
      </c>
      <c r="JJ148" s="16">
        <v>0</v>
      </c>
      <c r="JK148" s="16">
        <v>0</v>
      </c>
      <c r="JL148" s="16">
        <v>0</v>
      </c>
      <c r="JM148" s="16">
        <v>0</v>
      </c>
      <c r="JN148" s="16">
        <v>0</v>
      </c>
      <c r="JO148" s="16">
        <v>0</v>
      </c>
      <c r="JP148" s="16">
        <v>0</v>
      </c>
      <c r="JQ148" s="16">
        <v>0</v>
      </c>
      <c r="JR148" s="16">
        <v>0</v>
      </c>
      <c r="JS148" s="16">
        <v>0</v>
      </c>
      <c r="JT148" s="16">
        <v>0</v>
      </c>
      <c r="JU148" s="16">
        <v>0</v>
      </c>
      <c r="JV148" s="16">
        <v>0</v>
      </c>
      <c r="JW148" s="16">
        <v>1094</v>
      </c>
      <c r="JX148" s="16">
        <v>1596</v>
      </c>
      <c r="JY148" s="16">
        <v>748</v>
      </c>
      <c r="JZ148" s="16">
        <v>9</v>
      </c>
      <c r="KA148" s="16">
        <v>6</v>
      </c>
      <c r="KB148" s="16">
        <v>1</v>
      </c>
      <c r="KC148" s="16">
        <v>26</v>
      </c>
      <c r="KD148" s="16">
        <v>0</v>
      </c>
      <c r="KE148" s="16">
        <v>0</v>
      </c>
      <c r="KF148" s="16">
        <v>7</v>
      </c>
      <c r="KG148" s="16">
        <v>106</v>
      </c>
      <c r="KH148" s="16">
        <v>7</v>
      </c>
      <c r="KI148" s="16">
        <v>17</v>
      </c>
      <c r="KJ148" s="16">
        <v>5</v>
      </c>
      <c r="KK148" s="16">
        <v>0</v>
      </c>
      <c r="KL148" s="16">
        <v>0</v>
      </c>
      <c r="KM148" s="16">
        <v>0</v>
      </c>
      <c r="KN148" s="16">
        <v>0</v>
      </c>
      <c r="KO148" s="16">
        <v>0</v>
      </c>
      <c r="KP148" s="16">
        <v>0</v>
      </c>
      <c r="KQ148" s="16">
        <v>1</v>
      </c>
      <c r="KR148" s="16">
        <v>0</v>
      </c>
      <c r="KS148" s="16">
        <v>0</v>
      </c>
      <c r="KT148" s="16">
        <v>0</v>
      </c>
      <c r="KU148" s="16">
        <v>0</v>
      </c>
      <c r="KV148" s="16">
        <v>0</v>
      </c>
      <c r="KW148" s="16">
        <v>0</v>
      </c>
      <c r="KX148" s="16">
        <v>0</v>
      </c>
      <c r="KY148" s="16">
        <v>0</v>
      </c>
      <c r="KZ148" s="16">
        <v>2028</v>
      </c>
      <c r="LA148" s="16">
        <v>183</v>
      </c>
      <c r="LB148" s="16">
        <v>343</v>
      </c>
      <c r="LC148" s="16">
        <v>0</v>
      </c>
      <c r="LD148" s="16">
        <v>0</v>
      </c>
      <c r="LE148" s="16">
        <v>0</v>
      </c>
      <c r="LF148" s="16">
        <v>0</v>
      </c>
      <c r="LG148" s="16">
        <v>0</v>
      </c>
      <c r="LH148" s="16">
        <v>0</v>
      </c>
      <c r="LI148" s="16">
        <v>0</v>
      </c>
      <c r="LJ148" s="16">
        <v>0</v>
      </c>
      <c r="LK148" s="16">
        <v>0</v>
      </c>
      <c r="LL148" s="16">
        <v>0</v>
      </c>
      <c r="LM148" s="16">
        <v>0</v>
      </c>
      <c r="LN148" s="16">
        <v>0</v>
      </c>
      <c r="LO148" s="16">
        <v>0</v>
      </c>
      <c r="LP148" s="16">
        <v>0</v>
      </c>
      <c r="LQ148" s="16">
        <v>0</v>
      </c>
      <c r="LR148" s="16">
        <v>0</v>
      </c>
      <c r="LS148" s="16">
        <v>0</v>
      </c>
      <c r="LT148" s="16">
        <v>0</v>
      </c>
      <c r="LU148" s="16">
        <v>0</v>
      </c>
      <c r="LV148" s="16">
        <v>0</v>
      </c>
      <c r="LW148" s="16">
        <v>0</v>
      </c>
      <c r="LX148" s="16">
        <v>0</v>
      </c>
      <c r="LY148" s="16">
        <v>0</v>
      </c>
      <c r="LZ148" s="16">
        <v>0</v>
      </c>
      <c r="MA148" s="16">
        <v>0</v>
      </c>
      <c r="MB148" s="16">
        <v>0</v>
      </c>
      <c r="MC148" s="16">
        <v>0</v>
      </c>
      <c r="MD148" s="16">
        <v>13</v>
      </c>
      <c r="ME148" s="16">
        <v>3</v>
      </c>
      <c r="MF148" s="16">
        <v>10513</v>
      </c>
      <c r="MG148" s="16">
        <v>0</v>
      </c>
      <c r="MH148" s="16">
        <v>0</v>
      </c>
      <c r="MI148" s="16">
        <v>0</v>
      </c>
      <c r="MJ148" s="16">
        <v>0</v>
      </c>
      <c r="MK148" s="16">
        <v>0</v>
      </c>
      <c r="ML148" s="16">
        <v>0</v>
      </c>
      <c r="MM148" s="16">
        <v>14</v>
      </c>
      <c r="MN148" s="16">
        <v>0</v>
      </c>
      <c r="MO148" s="16">
        <v>0</v>
      </c>
      <c r="MP148" s="16">
        <v>0</v>
      </c>
      <c r="MQ148" s="16">
        <v>0</v>
      </c>
      <c r="MR148" s="16">
        <v>0</v>
      </c>
      <c r="MS148" s="16">
        <v>0</v>
      </c>
      <c r="MT148" s="16">
        <v>0</v>
      </c>
      <c r="MU148" s="16">
        <v>265</v>
      </c>
      <c r="MV148" s="16">
        <v>0</v>
      </c>
      <c r="MW148" s="16">
        <v>0</v>
      </c>
      <c r="MX148" s="16">
        <v>0</v>
      </c>
      <c r="MY148" s="16">
        <v>0</v>
      </c>
      <c r="MZ148" s="16">
        <v>152</v>
      </c>
      <c r="NA148" s="16">
        <v>0</v>
      </c>
      <c r="NB148" s="16">
        <v>0</v>
      </c>
      <c r="NC148" s="16">
        <v>0</v>
      </c>
      <c r="ND148" s="16">
        <v>0</v>
      </c>
      <c r="NE148" s="16">
        <v>0</v>
      </c>
      <c r="NF148" s="16">
        <v>0</v>
      </c>
      <c r="NG148" s="16">
        <v>1058</v>
      </c>
      <c r="NH148" s="16">
        <v>0</v>
      </c>
      <c r="NI148" s="16">
        <v>0</v>
      </c>
      <c r="NJ148" s="16">
        <v>0</v>
      </c>
      <c r="NK148" s="16">
        <v>776</v>
      </c>
      <c r="NL148" s="16">
        <v>918</v>
      </c>
      <c r="NM148" s="16">
        <v>0</v>
      </c>
      <c r="NN148" s="16">
        <v>0</v>
      </c>
      <c r="NO148" s="16">
        <v>0</v>
      </c>
      <c r="NP148" s="16">
        <v>0</v>
      </c>
      <c r="NQ148" s="16">
        <v>0</v>
      </c>
      <c r="NR148" s="17">
        <v>350789</v>
      </c>
    </row>
    <row r="149" spans="1:382" ht="13.5" customHeight="1" x14ac:dyDescent="0.2">
      <c r="A149" s="2" t="s">
        <v>305</v>
      </c>
      <c r="B149" s="16">
        <v>0</v>
      </c>
      <c r="C149" s="16">
        <v>0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499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842</v>
      </c>
      <c r="AU149" s="16">
        <v>566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12612</v>
      </c>
      <c r="BB149" s="16">
        <v>2041</v>
      </c>
      <c r="BC149" s="16">
        <v>198</v>
      </c>
      <c r="BD149" s="16">
        <v>0</v>
      </c>
      <c r="BE149" s="16">
        <v>0</v>
      </c>
      <c r="BF149" s="16">
        <v>0</v>
      </c>
      <c r="BG149" s="16">
        <v>0</v>
      </c>
      <c r="BH149" s="16">
        <v>0</v>
      </c>
      <c r="BI149" s="16">
        <v>0</v>
      </c>
      <c r="BJ149" s="16">
        <v>0</v>
      </c>
      <c r="BK149" s="16">
        <v>0</v>
      </c>
      <c r="BL149" s="16">
        <v>0</v>
      </c>
      <c r="BM149" s="16">
        <v>0</v>
      </c>
      <c r="BN149" s="16">
        <v>0</v>
      </c>
      <c r="BO149" s="16">
        <v>0</v>
      </c>
      <c r="BP149" s="16">
        <v>0</v>
      </c>
      <c r="BQ149" s="16">
        <v>0</v>
      </c>
      <c r="BR149" s="16">
        <v>0</v>
      </c>
      <c r="BS149" s="16">
        <v>0</v>
      </c>
      <c r="BT149" s="16">
        <v>0</v>
      </c>
      <c r="BU149" s="16">
        <v>0</v>
      </c>
      <c r="BV149" s="16">
        <v>0</v>
      </c>
      <c r="BW149" s="16">
        <v>0</v>
      </c>
      <c r="BX149" s="16">
        <v>0</v>
      </c>
      <c r="BY149" s="16">
        <v>0</v>
      </c>
      <c r="BZ149" s="16">
        <v>0</v>
      </c>
      <c r="CA149" s="16">
        <v>492</v>
      </c>
      <c r="CB149" s="16">
        <v>0</v>
      </c>
      <c r="CC149" s="16">
        <v>0</v>
      </c>
      <c r="CD149" s="16">
        <v>0</v>
      </c>
      <c r="CE149" s="16">
        <v>0</v>
      </c>
      <c r="CF149" s="16">
        <v>0</v>
      </c>
      <c r="CG149" s="16">
        <v>0</v>
      </c>
      <c r="CH149" s="16">
        <v>0</v>
      </c>
      <c r="CI149" s="16">
        <v>0</v>
      </c>
      <c r="CJ149" s="16">
        <v>0</v>
      </c>
      <c r="CK149" s="16">
        <v>0</v>
      </c>
      <c r="CL149" s="16">
        <v>0</v>
      </c>
      <c r="CM149" s="16">
        <v>0</v>
      </c>
      <c r="CN149" s="16">
        <v>0</v>
      </c>
      <c r="CO149" s="16">
        <v>0</v>
      </c>
      <c r="CP149" s="16">
        <v>0</v>
      </c>
      <c r="CQ149" s="16">
        <v>0</v>
      </c>
      <c r="CR149" s="16">
        <v>0</v>
      </c>
      <c r="CS149" s="16">
        <v>0</v>
      </c>
      <c r="CT149" s="16">
        <v>0</v>
      </c>
      <c r="CU149" s="16">
        <v>0</v>
      </c>
      <c r="CV149" s="16">
        <v>0</v>
      </c>
      <c r="CW149" s="16">
        <v>0</v>
      </c>
      <c r="CX149" s="16">
        <v>0</v>
      </c>
      <c r="CY149" s="16">
        <v>0</v>
      </c>
      <c r="CZ149" s="16">
        <v>0</v>
      </c>
      <c r="DA149" s="16">
        <v>0</v>
      </c>
      <c r="DB149" s="16">
        <v>0</v>
      </c>
      <c r="DC149" s="16">
        <v>0</v>
      </c>
      <c r="DD149" s="16">
        <v>0</v>
      </c>
      <c r="DE149" s="16">
        <v>0</v>
      </c>
      <c r="DF149" s="16">
        <v>0</v>
      </c>
      <c r="DG149" s="16">
        <v>0</v>
      </c>
      <c r="DH149" s="16">
        <v>0</v>
      </c>
      <c r="DI149" s="16">
        <v>0</v>
      </c>
      <c r="DJ149" s="16">
        <v>0</v>
      </c>
      <c r="DK149" s="16">
        <v>0</v>
      </c>
      <c r="DL149" s="16">
        <v>0</v>
      </c>
      <c r="DM149" s="16">
        <v>0</v>
      </c>
      <c r="DN149" s="16">
        <v>0</v>
      </c>
      <c r="DO149" s="16">
        <v>0</v>
      </c>
      <c r="DP149" s="16">
        <v>14495</v>
      </c>
      <c r="DQ149" s="16">
        <v>0</v>
      </c>
      <c r="DR149" s="16">
        <v>0</v>
      </c>
      <c r="DS149" s="16">
        <v>0</v>
      </c>
      <c r="DT149" s="16">
        <v>0</v>
      </c>
      <c r="DU149" s="16">
        <v>0</v>
      </c>
      <c r="DV149" s="16">
        <v>0</v>
      </c>
      <c r="DW149" s="16">
        <v>0</v>
      </c>
      <c r="DX149" s="16">
        <v>687</v>
      </c>
      <c r="DY149" s="16">
        <v>0</v>
      </c>
      <c r="DZ149" s="16">
        <v>0</v>
      </c>
      <c r="EA149" s="16">
        <v>0</v>
      </c>
      <c r="EB149" s="16">
        <v>0</v>
      </c>
      <c r="EC149" s="16">
        <v>0</v>
      </c>
      <c r="ED149" s="16">
        <v>0</v>
      </c>
      <c r="EE149" s="16">
        <v>0</v>
      </c>
      <c r="EF149" s="16">
        <v>0</v>
      </c>
      <c r="EG149" s="16">
        <v>0</v>
      </c>
      <c r="EH149" s="16">
        <v>3861</v>
      </c>
      <c r="EI149" s="16">
        <v>2371</v>
      </c>
      <c r="EJ149" s="16">
        <v>7890</v>
      </c>
      <c r="EK149" s="16">
        <v>4696</v>
      </c>
      <c r="EL149" s="16">
        <v>0</v>
      </c>
      <c r="EM149" s="16">
        <v>0</v>
      </c>
      <c r="EN149" s="16">
        <v>22134</v>
      </c>
      <c r="EO149" s="16">
        <v>19675</v>
      </c>
      <c r="EP149" s="16">
        <v>8179</v>
      </c>
      <c r="EQ149" s="16">
        <v>1528</v>
      </c>
      <c r="ER149" s="16">
        <v>2914</v>
      </c>
      <c r="ES149" s="16">
        <v>35647</v>
      </c>
      <c r="ET149" s="16">
        <v>16834</v>
      </c>
      <c r="EU149" s="16">
        <v>0</v>
      </c>
      <c r="EV149" s="16">
        <v>0</v>
      </c>
      <c r="EW149" s="16">
        <v>0</v>
      </c>
      <c r="EX149" s="16">
        <v>0</v>
      </c>
      <c r="EY149" s="16">
        <v>792</v>
      </c>
      <c r="EZ149" s="16">
        <v>0</v>
      </c>
      <c r="FA149" s="16">
        <v>0</v>
      </c>
      <c r="FB149" s="16">
        <v>0</v>
      </c>
      <c r="FC149" s="16">
        <v>0</v>
      </c>
      <c r="FD149" s="16">
        <v>299</v>
      </c>
      <c r="FE149" s="16">
        <v>0</v>
      </c>
      <c r="FF149" s="16">
        <v>0</v>
      </c>
      <c r="FG149" s="16">
        <v>0</v>
      </c>
      <c r="FH149" s="16">
        <v>0</v>
      </c>
      <c r="FI149" s="16">
        <v>12</v>
      </c>
      <c r="FJ149" s="16">
        <v>0</v>
      </c>
      <c r="FK149" s="16">
        <v>0</v>
      </c>
      <c r="FL149" s="16">
        <v>0</v>
      </c>
      <c r="FM149" s="16">
        <v>34</v>
      </c>
      <c r="FN149" s="16">
        <v>0</v>
      </c>
      <c r="FO149" s="16">
        <v>0</v>
      </c>
      <c r="FP149" s="16">
        <v>10750</v>
      </c>
      <c r="FQ149" s="16">
        <v>15521</v>
      </c>
      <c r="FR149" s="16">
        <v>1479</v>
      </c>
      <c r="FS149" s="16">
        <v>115</v>
      </c>
      <c r="FT149" s="16">
        <v>0</v>
      </c>
      <c r="FU149" s="16">
        <v>0</v>
      </c>
      <c r="FV149" s="16">
        <v>0</v>
      </c>
      <c r="FW149" s="16">
        <v>0</v>
      </c>
      <c r="FX149" s="16">
        <v>5751</v>
      </c>
      <c r="FY149" s="16">
        <v>0</v>
      </c>
      <c r="FZ149" s="16">
        <v>0</v>
      </c>
      <c r="GA149" s="16">
        <v>1136</v>
      </c>
      <c r="GB149" s="16">
        <v>457</v>
      </c>
      <c r="GC149" s="16">
        <v>678</v>
      </c>
      <c r="GD149" s="16">
        <v>15829</v>
      </c>
      <c r="GE149" s="16">
        <v>0</v>
      </c>
      <c r="GF149" s="16">
        <v>0</v>
      </c>
      <c r="GG149" s="16">
        <v>0</v>
      </c>
      <c r="GH149" s="16">
        <v>0</v>
      </c>
      <c r="GI149" s="16">
        <v>0</v>
      </c>
      <c r="GJ149" s="16">
        <v>0</v>
      </c>
      <c r="GK149" s="16">
        <v>0</v>
      </c>
      <c r="GL149" s="16">
        <v>0</v>
      </c>
      <c r="GM149" s="16">
        <v>0</v>
      </c>
      <c r="GN149" s="16">
        <v>0</v>
      </c>
      <c r="GO149" s="16">
        <v>0</v>
      </c>
      <c r="GP149" s="16">
        <v>0</v>
      </c>
      <c r="GQ149" s="16">
        <v>0</v>
      </c>
      <c r="GR149" s="16">
        <v>0</v>
      </c>
      <c r="GS149" s="16">
        <v>0</v>
      </c>
      <c r="GT149" s="16">
        <v>0</v>
      </c>
      <c r="GU149" s="16">
        <v>0</v>
      </c>
      <c r="GV149" s="16">
        <v>0</v>
      </c>
      <c r="GW149" s="16">
        <v>0</v>
      </c>
      <c r="GX149" s="16">
        <v>0</v>
      </c>
      <c r="GY149" s="16">
        <v>0</v>
      </c>
      <c r="GZ149" s="16">
        <v>0</v>
      </c>
      <c r="HA149" s="16">
        <v>0</v>
      </c>
      <c r="HB149" s="16">
        <v>0</v>
      </c>
      <c r="HC149" s="16">
        <v>0</v>
      </c>
      <c r="HD149" s="16">
        <v>0</v>
      </c>
      <c r="HE149" s="16">
        <v>0</v>
      </c>
      <c r="HF149" s="16">
        <v>195</v>
      </c>
      <c r="HG149" s="16">
        <v>0</v>
      </c>
      <c r="HH149" s="16">
        <v>0</v>
      </c>
      <c r="HI149" s="16">
        <v>0</v>
      </c>
      <c r="HJ149" s="16">
        <v>0</v>
      </c>
      <c r="HK149" s="16">
        <v>0</v>
      </c>
      <c r="HL149" s="16">
        <v>0</v>
      </c>
      <c r="HM149" s="16">
        <v>278</v>
      </c>
      <c r="HN149" s="16">
        <v>0</v>
      </c>
      <c r="HO149" s="16">
        <v>1554</v>
      </c>
      <c r="HP149" s="16">
        <v>0</v>
      </c>
      <c r="HQ149" s="16">
        <v>4496</v>
      </c>
      <c r="HR149" s="16">
        <v>0</v>
      </c>
      <c r="HS149" s="16">
        <v>7310</v>
      </c>
      <c r="HT149" s="16">
        <v>0</v>
      </c>
      <c r="HU149" s="16">
        <v>384</v>
      </c>
      <c r="HV149" s="16">
        <v>0</v>
      </c>
      <c r="HW149" s="16">
        <v>0</v>
      </c>
      <c r="HX149" s="16">
        <v>0</v>
      </c>
      <c r="HY149" s="16">
        <v>0</v>
      </c>
      <c r="HZ149" s="16">
        <v>5066</v>
      </c>
      <c r="IA149" s="16">
        <v>0</v>
      </c>
      <c r="IB149" s="16">
        <v>0</v>
      </c>
      <c r="IC149" s="16">
        <v>0</v>
      </c>
      <c r="ID149" s="16">
        <v>1847</v>
      </c>
      <c r="IE149" s="16">
        <v>0</v>
      </c>
      <c r="IF149" s="16">
        <v>0</v>
      </c>
      <c r="IG149" s="16">
        <v>2523</v>
      </c>
      <c r="IH149" s="16">
        <v>0</v>
      </c>
      <c r="II149" s="16">
        <v>0</v>
      </c>
      <c r="IJ149" s="16">
        <v>0</v>
      </c>
      <c r="IK149" s="16">
        <v>0</v>
      </c>
      <c r="IL149" s="16">
        <v>0</v>
      </c>
      <c r="IM149" s="16">
        <v>0</v>
      </c>
      <c r="IN149" s="16">
        <v>0</v>
      </c>
      <c r="IO149" s="16">
        <v>56</v>
      </c>
      <c r="IP149" s="16">
        <v>0</v>
      </c>
      <c r="IQ149" s="16">
        <v>0</v>
      </c>
      <c r="IR149" s="16">
        <v>377</v>
      </c>
      <c r="IS149" s="16">
        <v>0</v>
      </c>
      <c r="IT149" s="16">
        <v>0</v>
      </c>
      <c r="IU149" s="16">
        <v>0</v>
      </c>
      <c r="IV149" s="16">
        <v>0</v>
      </c>
      <c r="IW149" s="16">
        <v>1459</v>
      </c>
      <c r="IX149" s="16">
        <v>0</v>
      </c>
      <c r="IY149" s="16">
        <v>0</v>
      </c>
      <c r="IZ149" s="16">
        <v>0</v>
      </c>
      <c r="JA149" s="16">
        <v>0</v>
      </c>
      <c r="JB149" s="16">
        <v>0</v>
      </c>
      <c r="JC149" s="16">
        <v>0</v>
      </c>
      <c r="JD149" s="16">
        <v>0</v>
      </c>
      <c r="JE149" s="16">
        <v>0</v>
      </c>
      <c r="JF149" s="16">
        <v>0</v>
      </c>
      <c r="JG149" s="16">
        <v>6470</v>
      </c>
      <c r="JH149" s="16">
        <v>0</v>
      </c>
      <c r="JI149" s="16">
        <v>0</v>
      </c>
      <c r="JJ149" s="16">
        <v>0</v>
      </c>
      <c r="JK149" s="16">
        <v>0</v>
      </c>
      <c r="JL149" s="16">
        <v>0</v>
      </c>
      <c r="JM149" s="16">
        <v>0</v>
      </c>
      <c r="JN149" s="16">
        <v>0</v>
      </c>
      <c r="JO149" s="16">
        <v>0</v>
      </c>
      <c r="JP149" s="16">
        <v>0</v>
      </c>
      <c r="JQ149" s="16">
        <v>0</v>
      </c>
      <c r="JR149" s="16">
        <v>6805</v>
      </c>
      <c r="JS149" s="16">
        <v>6222</v>
      </c>
      <c r="JT149" s="16">
        <v>0</v>
      </c>
      <c r="JU149" s="16">
        <v>14538</v>
      </c>
      <c r="JV149" s="16">
        <v>14604</v>
      </c>
      <c r="JW149" s="16">
        <v>69455</v>
      </c>
      <c r="JX149" s="16">
        <v>260674</v>
      </c>
      <c r="JY149" s="16">
        <v>10919</v>
      </c>
      <c r="JZ149" s="16">
        <v>1014808</v>
      </c>
      <c r="KA149" s="16">
        <v>23127</v>
      </c>
      <c r="KB149" s="16">
        <v>10620</v>
      </c>
      <c r="KC149" s="16">
        <v>34629</v>
      </c>
      <c r="KD149" s="16">
        <v>18709</v>
      </c>
      <c r="KE149" s="16">
        <v>5577</v>
      </c>
      <c r="KF149" s="16">
        <v>829871</v>
      </c>
      <c r="KG149" s="16">
        <v>10020</v>
      </c>
      <c r="KH149" s="16">
        <v>10009</v>
      </c>
      <c r="KI149" s="16">
        <v>40778</v>
      </c>
      <c r="KJ149" s="16">
        <v>20399</v>
      </c>
      <c r="KK149" s="16">
        <v>0</v>
      </c>
      <c r="KL149" s="16">
        <v>0</v>
      </c>
      <c r="KM149" s="16">
        <v>0</v>
      </c>
      <c r="KN149" s="16">
        <v>0</v>
      </c>
      <c r="KO149" s="16">
        <v>0</v>
      </c>
      <c r="KP149" s="16">
        <v>0</v>
      </c>
      <c r="KQ149" s="16">
        <v>0</v>
      </c>
      <c r="KR149" s="16">
        <v>0</v>
      </c>
      <c r="KS149" s="16">
        <v>0</v>
      </c>
      <c r="KT149" s="16">
        <v>0</v>
      </c>
      <c r="KU149" s="16">
        <v>0</v>
      </c>
      <c r="KV149" s="16">
        <v>0</v>
      </c>
      <c r="KW149" s="16">
        <v>0</v>
      </c>
      <c r="KX149" s="16">
        <v>0</v>
      </c>
      <c r="KY149" s="16">
        <v>0</v>
      </c>
      <c r="KZ149" s="16">
        <v>0</v>
      </c>
      <c r="LA149" s="16">
        <v>0</v>
      </c>
      <c r="LB149" s="16">
        <v>0</v>
      </c>
      <c r="LC149" s="16">
        <v>0</v>
      </c>
      <c r="LD149" s="16">
        <v>0</v>
      </c>
      <c r="LE149" s="16">
        <v>0</v>
      </c>
      <c r="LF149" s="16">
        <v>0</v>
      </c>
      <c r="LG149" s="16">
        <v>0</v>
      </c>
      <c r="LH149" s="16">
        <v>0</v>
      </c>
      <c r="LI149" s="16">
        <v>0</v>
      </c>
      <c r="LJ149" s="16">
        <v>0</v>
      </c>
      <c r="LK149" s="16">
        <v>0</v>
      </c>
      <c r="LL149" s="16">
        <v>0</v>
      </c>
      <c r="LM149" s="16">
        <v>0</v>
      </c>
      <c r="LN149" s="16">
        <v>0</v>
      </c>
      <c r="LO149" s="16">
        <v>0</v>
      </c>
      <c r="LP149" s="16">
        <v>0</v>
      </c>
      <c r="LQ149" s="16">
        <v>0</v>
      </c>
      <c r="LR149" s="16">
        <v>0</v>
      </c>
      <c r="LS149" s="16">
        <v>0</v>
      </c>
      <c r="LT149" s="16">
        <v>0</v>
      </c>
      <c r="LU149" s="16">
        <v>0</v>
      </c>
      <c r="LV149" s="16">
        <v>0</v>
      </c>
      <c r="LW149" s="16">
        <v>0</v>
      </c>
      <c r="LX149" s="16">
        <v>0</v>
      </c>
      <c r="LY149" s="16">
        <v>0</v>
      </c>
      <c r="LZ149" s="16">
        <v>0</v>
      </c>
      <c r="MA149" s="16">
        <v>0</v>
      </c>
      <c r="MB149" s="16">
        <v>0</v>
      </c>
      <c r="MC149" s="16">
        <v>0</v>
      </c>
      <c r="MD149" s="16">
        <v>0</v>
      </c>
      <c r="ME149" s="16">
        <v>0</v>
      </c>
      <c r="MF149" s="16">
        <v>0</v>
      </c>
      <c r="MG149" s="16">
        <v>0</v>
      </c>
      <c r="MH149" s="16">
        <v>0</v>
      </c>
      <c r="MI149" s="16">
        <v>0</v>
      </c>
      <c r="MJ149" s="16">
        <v>2785</v>
      </c>
      <c r="MK149" s="16">
        <v>0</v>
      </c>
      <c r="ML149" s="16">
        <v>0</v>
      </c>
      <c r="MM149" s="16">
        <v>503</v>
      </c>
      <c r="MN149" s="16">
        <v>0</v>
      </c>
      <c r="MO149" s="16">
        <v>23061</v>
      </c>
      <c r="MP149" s="16">
        <v>3125</v>
      </c>
      <c r="MQ149" s="16">
        <v>0</v>
      </c>
      <c r="MR149" s="16">
        <v>206</v>
      </c>
      <c r="MS149" s="16">
        <v>287507</v>
      </c>
      <c r="MT149" s="16">
        <v>0</v>
      </c>
      <c r="MU149" s="16">
        <v>0</v>
      </c>
      <c r="MV149" s="16">
        <v>0</v>
      </c>
      <c r="MW149" s="16">
        <v>0</v>
      </c>
      <c r="MX149" s="16">
        <v>0</v>
      </c>
      <c r="MY149" s="16">
        <v>0</v>
      </c>
      <c r="MZ149" s="16">
        <v>0</v>
      </c>
      <c r="NA149" s="16">
        <v>0</v>
      </c>
      <c r="NB149" s="16">
        <v>0</v>
      </c>
      <c r="NC149" s="16">
        <v>0</v>
      </c>
      <c r="ND149" s="16">
        <v>3037</v>
      </c>
      <c r="NE149" s="16">
        <v>0</v>
      </c>
      <c r="NF149" s="16">
        <v>0</v>
      </c>
      <c r="NG149" s="16">
        <v>1742</v>
      </c>
      <c r="NH149" s="16">
        <v>50802</v>
      </c>
      <c r="NI149" s="16">
        <v>0</v>
      </c>
      <c r="NJ149" s="16">
        <v>0</v>
      </c>
      <c r="NK149" s="16">
        <v>0</v>
      </c>
      <c r="NL149" s="16">
        <v>0</v>
      </c>
      <c r="NM149" s="16">
        <v>0</v>
      </c>
      <c r="NN149" s="16">
        <v>0</v>
      </c>
      <c r="NO149" s="16">
        <v>0</v>
      </c>
      <c r="NP149" s="16">
        <v>0</v>
      </c>
      <c r="NQ149" s="16">
        <v>39</v>
      </c>
      <c r="NR149" s="17">
        <v>3017600</v>
      </c>
    </row>
    <row r="150" spans="1:382" ht="13.5" customHeight="1" x14ac:dyDescent="0.2">
      <c r="A150" s="2" t="s">
        <v>307</v>
      </c>
      <c r="B150" s="16">
        <v>0</v>
      </c>
      <c r="C150" s="16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218</v>
      </c>
      <c r="R150" s="16">
        <v>0</v>
      </c>
      <c r="S150" s="16">
        <v>0</v>
      </c>
      <c r="T150" s="16">
        <v>-21</v>
      </c>
      <c r="U150" s="16">
        <v>0</v>
      </c>
      <c r="V150" s="16">
        <v>0</v>
      </c>
      <c r="W150" s="16">
        <v>0</v>
      </c>
      <c r="X150" s="16">
        <v>114</v>
      </c>
      <c r="Y150" s="16">
        <v>2362</v>
      </c>
      <c r="Z150" s="16">
        <v>-19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-624</v>
      </c>
      <c r="AH150" s="16">
        <v>-21</v>
      </c>
      <c r="AI150" s="16">
        <v>342</v>
      </c>
      <c r="AJ150" s="16">
        <v>-2910</v>
      </c>
      <c r="AK150" s="16">
        <v>-772</v>
      </c>
      <c r="AL150" s="16">
        <v>-17493</v>
      </c>
      <c r="AM150" s="16">
        <v>-5439</v>
      </c>
      <c r="AN150" s="16">
        <v>-1244</v>
      </c>
      <c r="AO150" s="16">
        <v>-1299</v>
      </c>
      <c r="AP150" s="16">
        <v>0</v>
      </c>
      <c r="AQ150" s="16">
        <v>0</v>
      </c>
      <c r="AR150" s="16">
        <v>0</v>
      </c>
      <c r="AS150" s="16">
        <v>0</v>
      </c>
      <c r="AT150" s="16">
        <v>-5135</v>
      </c>
      <c r="AU150" s="16">
        <v>-5043</v>
      </c>
      <c r="AV150" s="16">
        <v>-2577</v>
      </c>
      <c r="AW150" s="16">
        <v>-2592</v>
      </c>
      <c r="AX150" s="16">
        <v>-153</v>
      </c>
      <c r="AY150" s="16">
        <v>-1480</v>
      </c>
      <c r="AZ150" s="16">
        <v>-223</v>
      </c>
      <c r="BA150" s="16">
        <v>-945</v>
      </c>
      <c r="BB150" s="16">
        <v>-5250</v>
      </c>
      <c r="BC150" s="16">
        <v>-2272</v>
      </c>
      <c r="BD150" s="16">
        <v>-538</v>
      </c>
      <c r="BE150" s="16">
        <v>-1115</v>
      </c>
      <c r="BF150" s="16">
        <v>-22282</v>
      </c>
      <c r="BG150" s="16">
        <v>-292</v>
      </c>
      <c r="BH150" s="16">
        <v>-1768</v>
      </c>
      <c r="BI150" s="16">
        <v>0</v>
      </c>
      <c r="BJ150" s="16">
        <v>-8</v>
      </c>
      <c r="BK150" s="16">
        <v>-4</v>
      </c>
      <c r="BL150" s="16">
        <v>-40</v>
      </c>
      <c r="BM150" s="16">
        <v>-6</v>
      </c>
      <c r="BN150" s="16">
        <v>-49</v>
      </c>
      <c r="BO150" s="16">
        <v>-159</v>
      </c>
      <c r="BP150" s="16">
        <v>373</v>
      </c>
      <c r="BQ150" s="16">
        <v>6</v>
      </c>
      <c r="BR150" s="16">
        <v>-4</v>
      </c>
      <c r="BS150" s="16">
        <v>354</v>
      </c>
      <c r="BT150" s="16">
        <v>0</v>
      </c>
      <c r="BU150" s="16">
        <v>0</v>
      </c>
      <c r="BV150" s="16">
        <v>0</v>
      </c>
      <c r="BW150" s="16">
        <v>0</v>
      </c>
      <c r="BX150" s="16">
        <v>-983</v>
      </c>
      <c r="BY150" s="16">
        <v>0</v>
      </c>
      <c r="BZ150" s="16">
        <v>0</v>
      </c>
      <c r="CA150" s="16">
        <v>213</v>
      </c>
      <c r="CB150" s="16">
        <v>0</v>
      </c>
      <c r="CC150" s="16">
        <v>-34</v>
      </c>
      <c r="CD150" s="16">
        <v>566</v>
      </c>
      <c r="CE150" s="16">
        <v>-350</v>
      </c>
      <c r="CF150" s="16">
        <v>0</v>
      </c>
      <c r="CG150" s="16">
        <v>0</v>
      </c>
      <c r="CH150" s="16">
        <v>463</v>
      </c>
      <c r="CI150" s="16">
        <v>2220</v>
      </c>
      <c r="CJ150" s="16">
        <v>-6174</v>
      </c>
      <c r="CK150" s="16">
        <v>-8900</v>
      </c>
      <c r="CL150" s="16">
        <v>-2908</v>
      </c>
      <c r="CM150" s="16">
        <v>1155</v>
      </c>
      <c r="CN150" s="16">
        <v>0</v>
      </c>
      <c r="CO150" s="16">
        <v>-8890</v>
      </c>
      <c r="CP150" s="16">
        <v>12635</v>
      </c>
      <c r="CQ150" s="16">
        <v>-672</v>
      </c>
      <c r="CR150" s="16">
        <v>1366</v>
      </c>
      <c r="CS150" s="16">
        <v>1613</v>
      </c>
      <c r="CT150" s="16">
        <v>2228</v>
      </c>
      <c r="CU150" s="16">
        <v>1196</v>
      </c>
      <c r="CV150" s="16">
        <v>955</v>
      </c>
      <c r="CW150" s="16">
        <v>10372</v>
      </c>
      <c r="CX150" s="16">
        <v>2192</v>
      </c>
      <c r="CY150" s="16">
        <v>631</v>
      </c>
      <c r="CZ150" s="16">
        <v>1594</v>
      </c>
      <c r="DA150" s="16">
        <v>50</v>
      </c>
      <c r="DB150" s="16">
        <v>10239</v>
      </c>
      <c r="DC150" s="16">
        <v>1601</v>
      </c>
      <c r="DD150" s="16">
        <v>2986</v>
      </c>
      <c r="DE150" s="16">
        <v>-4124</v>
      </c>
      <c r="DF150" s="16">
        <v>4401</v>
      </c>
      <c r="DG150" s="16">
        <v>-1719</v>
      </c>
      <c r="DH150" s="16">
        <v>3705</v>
      </c>
      <c r="DI150" s="16">
        <v>420</v>
      </c>
      <c r="DJ150" s="16">
        <v>838</v>
      </c>
      <c r="DK150" s="16">
        <v>1221</v>
      </c>
      <c r="DL150" s="16">
        <v>-865</v>
      </c>
      <c r="DM150" s="16">
        <v>1112</v>
      </c>
      <c r="DN150" s="16">
        <v>-146</v>
      </c>
      <c r="DO150" s="16">
        <v>10714</v>
      </c>
      <c r="DP150" s="16">
        <v>-205614</v>
      </c>
      <c r="DQ150" s="16">
        <v>3495</v>
      </c>
      <c r="DR150" s="16">
        <v>4246</v>
      </c>
      <c r="DS150" s="16">
        <v>-132573</v>
      </c>
      <c r="DT150" s="16">
        <v>219</v>
      </c>
      <c r="DU150" s="16">
        <v>7840</v>
      </c>
      <c r="DV150" s="16">
        <v>410470</v>
      </c>
      <c r="DW150" s="16">
        <v>-73363</v>
      </c>
      <c r="DX150" s="16">
        <v>-1480</v>
      </c>
      <c r="DY150" s="16">
        <v>5560</v>
      </c>
      <c r="DZ150" s="16">
        <v>13595</v>
      </c>
      <c r="EA150" s="16">
        <v>9548</v>
      </c>
      <c r="EB150" s="16">
        <v>-333</v>
      </c>
      <c r="EC150" s="16">
        <v>5415</v>
      </c>
      <c r="ED150" s="16">
        <v>1062</v>
      </c>
      <c r="EE150" s="16">
        <v>6623</v>
      </c>
      <c r="EF150" s="16">
        <v>47612</v>
      </c>
      <c r="EG150" s="16">
        <v>78165</v>
      </c>
      <c r="EH150" s="16">
        <v>25979</v>
      </c>
      <c r="EI150" s="16">
        <v>10876</v>
      </c>
      <c r="EJ150" s="16">
        <v>26227</v>
      </c>
      <c r="EK150" s="16">
        <v>53148</v>
      </c>
      <c r="EL150" s="16">
        <v>54455</v>
      </c>
      <c r="EM150" s="16">
        <v>11640</v>
      </c>
      <c r="EN150" s="16">
        <v>78698</v>
      </c>
      <c r="EO150" s="16">
        <v>350836</v>
      </c>
      <c r="EP150" s="16">
        <v>2969</v>
      </c>
      <c r="EQ150" s="16">
        <v>-54123</v>
      </c>
      <c r="ER150" s="16">
        <v>27683</v>
      </c>
      <c r="ES150" s="16">
        <v>192062</v>
      </c>
      <c r="ET150" s="16">
        <v>27095</v>
      </c>
      <c r="EU150" s="16">
        <v>-10541</v>
      </c>
      <c r="EV150" s="16">
        <v>53329</v>
      </c>
      <c r="EW150" s="16">
        <v>-42264</v>
      </c>
      <c r="EX150" s="16">
        <v>150467</v>
      </c>
      <c r="EY150" s="16">
        <v>26601</v>
      </c>
      <c r="EZ150" s="16">
        <v>16026</v>
      </c>
      <c r="FA150" s="16">
        <v>35493</v>
      </c>
      <c r="FB150" s="16">
        <v>107732</v>
      </c>
      <c r="FC150" s="16">
        <v>12881</v>
      </c>
      <c r="FD150" s="16">
        <v>104964</v>
      </c>
      <c r="FE150" s="16">
        <v>63318</v>
      </c>
      <c r="FF150" s="16">
        <v>82361</v>
      </c>
      <c r="FG150" s="16">
        <v>382285</v>
      </c>
      <c r="FH150" s="16">
        <v>-687</v>
      </c>
      <c r="FI150" s="16">
        <v>42412</v>
      </c>
      <c r="FJ150" s="16">
        <v>-585</v>
      </c>
      <c r="FK150" s="16">
        <v>8682</v>
      </c>
      <c r="FL150" s="16">
        <v>736</v>
      </c>
      <c r="FM150" s="16">
        <v>2576</v>
      </c>
      <c r="FN150" s="16">
        <v>9427</v>
      </c>
      <c r="FO150" s="16">
        <v>5961</v>
      </c>
      <c r="FP150" s="16">
        <v>409532</v>
      </c>
      <c r="FQ150" s="16">
        <v>41933</v>
      </c>
      <c r="FR150" s="16">
        <v>6380</v>
      </c>
      <c r="FS150" s="16">
        <v>75</v>
      </c>
      <c r="FT150" s="16">
        <v>3170</v>
      </c>
      <c r="FU150" s="16">
        <v>17765</v>
      </c>
      <c r="FV150" s="16">
        <v>29576</v>
      </c>
      <c r="FW150" s="16">
        <v>-23823</v>
      </c>
      <c r="FX150" s="16">
        <v>-1358</v>
      </c>
      <c r="FY150" s="16">
        <v>1766</v>
      </c>
      <c r="FZ150" s="16">
        <v>4060</v>
      </c>
      <c r="GA150" s="16">
        <v>2808</v>
      </c>
      <c r="GB150" s="16">
        <v>37077</v>
      </c>
      <c r="GC150" s="16">
        <v>817</v>
      </c>
      <c r="GD150" s="16">
        <v>18435</v>
      </c>
      <c r="GE150" s="16">
        <v>-19707</v>
      </c>
      <c r="GF150" s="16">
        <v>-11165</v>
      </c>
      <c r="GG150" s="16">
        <v>15266</v>
      </c>
      <c r="GH150" s="16">
        <v>25712</v>
      </c>
      <c r="GI150" s="16">
        <v>-14422</v>
      </c>
      <c r="GJ150" s="16">
        <v>5718</v>
      </c>
      <c r="GK150" s="16">
        <v>-20641</v>
      </c>
      <c r="GL150" s="16">
        <v>6</v>
      </c>
      <c r="GM150" s="16">
        <v>-144</v>
      </c>
      <c r="GN150" s="16">
        <v>133</v>
      </c>
      <c r="GO150" s="16">
        <v>-1666</v>
      </c>
      <c r="GP150" s="16">
        <v>-2</v>
      </c>
      <c r="GQ150" s="16">
        <v>-1044</v>
      </c>
      <c r="GR150" s="16">
        <v>83</v>
      </c>
      <c r="GS150" s="16">
        <v>53</v>
      </c>
      <c r="GT150" s="16">
        <v>-133</v>
      </c>
      <c r="GU150" s="16">
        <v>1007</v>
      </c>
      <c r="GV150" s="16">
        <v>1572</v>
      </c>
      <c r="GW150" s="16">
        <v>-491</v>
      </c>
      <c r="GX150" s="16">
        <v>299</v>
      </c>
      <c r="GY150" s="16">
        <v>6</v>
      </c>
      <c r="GZ150" s="16">
        <v>3562</v>
      </c>
      <c r="HA150" s="16">
        <v>628</v>
      </c>
      <c r="HB150" s="16">
        <v>1933</v>
      </c>
      <c r="HC150" s="16">
        <v>43627</v>
      </c>
      <c r="HD150" s="16">
        <v>48078</v>
      </c>
      <c r="HE150" s="16">
        <v>589485</v>
      </c>
      <c r="HF150" s="16">
        <v>68448</v>
      </c>
      <c r="HG150" s="16">
        <v>724</v>
      </c>
      <c r="HH150" s="16">
        <v>864</v>
      </c>
      <c r="HI150" s="16">
        <v>1970</v>
      </c>
      <c r="HJ150" s="16">
        <v>868</v>
      </c>
      <c r="HK150" s="16">
        <v>1097</v>
      </c>
      <c r="HL150" s="16">
        <v>126071</v>
      </c>
      <c r="HM150" s="16">
        <v>3794</v>
      </c>
      <c r="HN150" s="16">
        <v>10809</v>
      </c>
      <c r="HO150" s="16">
        <v>11194</v>
      </c>
      <c r="HP150" s="16">
        <v>2034</v>
      </c>
      <c r="HQ150" s="16">
        <v>326</v>
      </c>
      <c r="HR150" s="16">
        <v>16828</v>
      </c>
      <c r="HS150" s="16">
        <v>7068</v>
      </c>
      <c r="HT150" s="16">
        <v>15</v>
      </c>
      <c r="HU150" s="16">
        <v>41338</v>
      </c>
      <c r="HV150" s="16">
        <v>-2010</v>
      </c>
      <c r="HW150" s="16">
        <v>453</v>
      </c>
      <c r="HX150" s="16">
        <v>29509</v>
      </c>
      <c r="HY150" s="16">
        <v>1809</v>
      </c>
      <c r="HZ150" s="16">
        <v>2474</v>
      </c>
      <c r="IA150" s="16">
        <v>131</v>
      </c>
      <c r="IB150" s="16">
        <v>0</v>
      </c>
      <c r="IC150" s="16">
        <v>392</v>
      </c>
      <c r="ID150" s="16">
        <v>1321</v>
      </c>
      <c r="IE150" s="16">
        <v>-448</v>
      </c>
      <c r="IF150" s="16">
        <v>967</v>
      </c>
      <c r="IG150" s="16">
        <v>5472</v>
      </c>
      <c r="IH150" s="16">
        <v>-1692</v>
      </c>
      <c r="II150" s="16">
        <v>2</v>
      </c>
      <c r="IJ150" s="16">
        <v>-82</v>
      </c>
      <c r="IK150" s="16">
        <v>-78</v>
      </c>
      <c r="IL150" s="16">
        <v>-20</v>
      </c>
      <c r="IM150" s="16">
        <v>33</v>
      </c>
      <c r="IN150" s="16">
        <v>1906</v>
      </c>
      <c r="IO150" s="16">
        <v>305178</v>
      </c>
      <c r="IP150" s="16">
        <v>850</v>
      </c>
      <c r="IQ150" s="16">
        <v>223</v>
      </c>
      <c r="IR150" s="16">
        <v>2110</v>
      </c>
      <c r="IS150" s="16">
        <v>776</v>
      </c>
      <c r="IT150" s="16">
        <v>617</v>
      </c>
      <c r="IU150" s="16">
        <v>43</v>
      </c>
      <c r="IV150" s="16">
        <v>6653</v>
      </c>
      <c r="IW150" s="16">
        <v>1929</v>
      </c>
      <c r="IX150" s="16">
        <v>-261</v>
      </c>
      <c r="IY150" s="16">
        <v>2305</v>
      </c>
      <c r="IZ150" s="16">
        <v>3</v>
      </c>
      <c r="JA150" s="16">
        <v>723</v>
      </c>
      <c r="JB150" s="16">
        <v>5</v>
      </c>
      <c r="JC150" s="16">
        <v>4869</v>
      </c>
      <c r="JD150" s="16">
        <v>-10</v>
      </c>
      <c r="JE150" s="16">
        <v>9116</v>
      </c>
      <c r="JF150" s="16">
        <v>3715</v>
      </c>
      <c r="JG150" s="16">
        <v>32391</v>
      </c>
      <c r="JH150" s="16">
        <v>765</v>
      </c>
      <c r="JI150" s="16">
        <v>-5208</v>
      </c>
      <c r="JJ150" s="16">
        <v>-134092</v>
      </c>
      <c r="JK150" s="16">
        <v>-27837</v>
      </c>
      <c r="JL150" s="16">
        <v>-471</v>
      </c>
      <c r="JM150" s="16">
        <v>-1060</v>
      </c>
      <c r="JN150" s="16">
        <v>-1988</v>
      </c>
      <c r="JO150" s="16">
        <v>-329</v>
      </c>
      <c r="JP150" s="16">
        <v>-39881</v>
      </c>
      <c r="JQ150" s="16">
        <v>373</v>
      </c>
      <c r="JR150" s="16">
        <v>-64860</v>
      </c>
      <c r="JS150" s="16">
        <v>-17690</v>
      </c>
      <c r="JT150" s="16">
        <v>0</v>
      </c>
      <c r="JU150" s="16">
        <v>-48079</v>
      </c>
      <c r="JV150" s="16">
        <v>39122</v>
      </c>
      <c r="JW150" s="16">
        <v>38696</v>
      </c>
      <c r="JX150" s="16">
        <v>143275</v>
      </c>
      <c r="JY150" s="16">
        <v>13219</v>
      </c>
      <c r="JZ150" s="16">
        <v>179</v>
      </c>
      <c r="KA150" s="16">
        <v>810</v>
      </c>
      <c r="KB150" s="16">
        <v>132</v>
      </c>
      <c r="KC150" s="16">
        <v>-12765</v>
      </c>
      <c r="KD150" s="16">
        <v>-193699</v>
      </c>
      <c r="KE150" s="16">
        <v>1547</v>
      </c>
      <c r="KF150" s="16">
        <v>96798</v>
      </c>
      <c r="KG150" s="16">
        <v>-58875</v>
      </c>
      <c r="KH150" s="16">
        <v>-18161</v>
      </c>
      <c r="KI150" s="16">
        <v>2222</v>
      </c>
      <c r="KJ150" s="16">
        <v>-21362</v>
      </c>
      <c r="KK150" s="16">
        <v>-54942</v>
      </c>
      <c r="KL150" s="16">
        <v>0</v>
      </c>
      <c r="KM150" s="16">
        <v>-4</v>
      </c>
      <c r="KN150" s="16">
        <v>0</v>
      </c>
      <c r="KO150" s="16">
        <v>66</v>
      </c>
      <c r="KP150" s="16">
        <v>0</v>
      </c>
      <c r="KQ150" s="16">
        <v>1084</v>
      </c>
      <c r="KR150" s="16">
        <v>-197</v>
      </c>
      <c r="KS150" s="16">
        <v>10</v>
      </c>
      <c r="KT150" s="16">
        <v>-27</v>
      </c>
      <c r="KU150" s="16">
        <v>4424</v>
      </c>
      <c r="KV150" s="16">
        <v>-45</v>
      </c>
      <c r="KW150" s="16">
        <v>-15</v>
      </c>
      <c r="KX150" s="16">
        <v>0</v>
      </c>
      <c r="KY150" s="16">
        <v>0</v>
      </c>
      <c r="KZ150" s="16">
        <v>-91</v>
      </c>
      <c r="LA150" s="16">
        <v>-38</v>
      </c>
      <c r="LB150" s="16">
        <v>-11</v>
      </c>
      <c r="LC150" s="16">
        <v>0</v>
      </c>
      <c r="LD150" s="16">
        <v>-222</v>
      </c>
      <c r="LE150" s="16">
        <v>0</v>
      </c>
      <c r="LF150" s="16">
        <v>0</v>
      </c>
      <c r="LG150" s="16">
        <v>0</v>
      </c>
      <c r="LH150" s="16">
        <v>0</v>
      </c>
      <c r="LI150" s="16">
        <v>0</v>
      </c>
      <c r="LJ150" s="16">
        <v>0</v>
      </c>
      <c r="LK150" s="16">
        <v>0</v>
      </c>
      <c r="LL150" s="16">
        <v>0</v>
      </c>
      <c r="LM150" s="16">
        <v>0</v>
      </c>
      <c r="LN150" s="16">
        <v>0</v>
      </c>
      <c r="LO150" s="16">
        <v>-519</v>
      </c>
      <c r="LP150" s="16">
        <v>37</v>
      </c>
      <c r="LQ150" s="16">
        <v>0</v>
      </c>
      <c r="LR150" s="16">
        <v>0</v>
      </c>
      <c r="LS150" s="16">
        <v>0</v>
      </c>
      <c r="LT150" s="16">
        <v>0</v>
      </c>
      <c r="LU150" s="16">
        <v>0</v>
      </c>
      <c r="LV150" s="16">
        <v>0</v>
      </c>
      <c r="LW150" s="16">
        <v>0</v>
      </c>
      <c r="LX150" s="16">
        <v>0</v>
      </c>
      <c r="LY150" s="16">
        <v>0</v>
      </c>
      <c r="LZ150" s="16">
        <v>-189</v>
      </c>
      <c r="MA150" s="16">
        <v>0</v>
      </c>
      <c r="MB150" s="16">
        <v>0</v>
      </c>
      <c r="MC150" s="16">
        <v>18</v>
      </c>
      <c r="MD150" s="16">
        <v>941</v>
      </c>
      <c r="ME150" s="16">
        <v>0</v>
      </c>
      <c r="MF150" s="16">
        <v>30007</v>
      </c>
      <c r="MG150" s="16">
        <v>0</v>
      </c>
      <c r="MH150" s="16">
        <v>0</v>
      </c>
      <c r="MI150" s="16">
        <v>0</v>
      </c>
      <c r="MJ150" s="16">
        <v>0</v>
      </c>
      <c r="MK150" s="16">
        <v>93</v>
      </c>
      <c r="ML150" s="16">
        <v>-186</v>
      </c>
      <c r="MM150" s="16">
        <v>0</v>
      </c>
      <c r="MN150" s="16">
        <v>0</v>
      </c>
      <c r="MO150" s="16">
        <v>-28678</v>
      </c>
      <c r="MP150" s="16">
        <v>0</v>
      </c>
      <c r="MQ150" s="16">
        <v>0</v>
      </c>
      <c r="MR150" s="16">
        <v>703</v>
      </c>
      <c r="MS150" s="16">
        <v>-75014</v>
      </c>
      <c r="MT150" s="16">
        <v>-8</v>
      </c>
      <c r="MU150" s="16">
        <v>-2849</v>
      </c>
      <c r="MV150" s="16">
        <v>0</v>
      </c>
      <c r="MW150" s="16">
        <v>0</v>
      </c>
      <c r="MX150" s="16">
        <v>-23</v>
      </c>
      <c r="MY150" s="16">
        <v>25</v>
      </c>
      <c r="MZ150" s="16">
        <v>0</v>
      </c>
      <c r="NA150" s="16">
        <v>-2418</v>
      </c>
      <c r="NB150" s="16">
        <v>0</v>
      </c>
      <c r="NC150" s="16">
        <v>-988</v>
      </c>
      <c r="ND150" s="16">
        <v>0</v>
      </c>
      <c r="NE150" s="16">
        <v>0</v>
      </c>
      <c r="NF150" s="16">
        <v>0</v>
      </c>
      <c r="NG150" s="16">
        <v>-40</v>
      </c>
      <c r="NH150" s="16">
        <v>-11</v>
      </c>
      <c r="NI150" s="16">
        <v>-19272</v>
      </c>
      <c r="NJ150" s="16">
        <v>0</v>
      </c>
      <c r="NK150" s="16">
        <v>-25</v>
      </c>
      <c r="NL150" s="16">
        <v>0</v>
      </c>
      <c r="NM150" s="16">
        <v>0</v>
      </c>
      <c r="NN150" s="16">
        <v>0</v>
      </c>
      <c r="NO150" s="16">
        <v>0</v>
      </c>
      <c r="NP150" s="16">
        <v>0</v>
      </c>
      <c r="NQ150" s="16">
        <v>3</v>
      </c>
      <c r="NR150" s="17">
        <v>3465287</v>
      </c>
    </row>
    <row r="151" spans="1:382" ht="13.5" customHeight="1" x14ac:dyDescent="0.2">
      <c r="A151" s="2" t="s">
        <v>309</v>
      </c>
      <c r="B151" s="16">
        <v>0</v>
      </c>
      <c r="C151" s="16">
        <v>0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-20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-554</v>
      </c>
      <c r="AB151" s="16">
        <v>0</v>
      </c>
      <c r="AC151" s="16">
        <v>0</v>
      </c>
      <c r="AD151" s="16">
        <v>0</v>
      </c>
      <c r="AE151" s="16">
        <v>-41</v>
      </c>
      <c r="AF151" s="16">
        <v>0</v>
      </c>
      <c r="AG151" s="16">
        <v>-414</v>
      </c>
      <c r="AH151" s="16">
        <v>-1362</v>
      </c>
      <c r="AI151" s="16">
        <v>-248</v>
      </c>
      <c r="AJ151" s="16">
        <v>-54</v>
      </c>
      <c r="AK151" s="16">
        <v>-15</v>
      </c>
      <c r="AL151" s="16">
        <v>-373</v>
      </c>
      <c r="AM151" s="16">
        <v>-765</v>
      </c>
      <c r="AN151" s="16">
        <v>-122</v>
      </c>
      <c r="AO151" s="16">
        <v>-145</v>
      </c>
      <c r="AP151" s="16">
        <v>0</v>
      </c>
      <c r="AQ151" s="16">
        <v>-28</v>
      </c>
      <c r="AR151" s="16">
        <v>0</v>
      </c>
      <c r="AS151" s="16">
        <v>-84</v>
      </c>
      <c r="AT151" s="16">
        <v>-74</v>
      </c>
      <c r="AU151" s="16">
        <v>-194</v>
      </c>
      <c r="AV151" s="16">
        <v>-91</v>
      </c>
      <c r="AW151" s="16">
        <v>-178</v>
      </c>
      <c r="AX151" s="16">
        <v>-353</v>
      </c>
      <c r="AY151" s="16">
        <v>-103</v>
      </c>
      <c r="AZ151" s="16">
        <v>-9</v>
      </c>
      <c r="BA151" s="16">
        <v>-6</v>
      </c>
      <c r="BB151" s="16">
        <v>-200</v>
      </c>
      <c r="BC151" s="16">
        <v>-184</v>
      </c>
      <c r="BD151" s="16">
        <v>0</v>
      </c>
      <c r="BE151" s="16">
        <v>0</v>
      </c>
      <c r="BF151" s="16">
        <v>-12</v>
      </c>
      <c r="BG151" s="16">
        <v>0</v>
      </c>
      <c r="BH151" s="16">
        <v>-338</v>
      </c>
      <c r="BI151" s="16">
        <v>-58</v>
      </c>
      <c r="BJ151" s="16">
        <v>-318</v>
      </c>
      <c r="BK151" s="16">
        <v>-4</v>
      </c>
      <c r="BL151" s="16">
        <v>-400</v>
      </c>
      <c r="BM151" s="16">
        <v>-39</v>
      </c>
      <c r="BN151" s="16">
        <v>-71</v>
      </c>
      <c r="BO151" s="16">
        <v>-306</v>
      </c>
      <c r="BP151" s="16">
        <v>-2998</v>
      </c>
      <c r="BQ151" s="16">
        <v>0</v>
      </c>
      <c r="BR151" s="16">
        <v>-3977</v>
      </c>
      <c r="BS151" s="16">
        <v>-289</v>
      </c>
      <c r="BT151" s="16">
        <v>-90</v>
      </c>
      <c r="BU151" s="16">
        <v>0</v>
      </c>
      <c r="BV151" s="16">
        <v>0</v>
      </c>
      <c r="BW151" s="16">
        <v>-1</v>
      </c>
      <c r="BX151" s="16">
        <v>-139</v>
      </c>
      <c r="BY151" s="16">
        <v>0</v>
      </c>
      <c r="BZ151" s="16">
        <v>-33</v>
      </c>
      <c r="CA151" s="16">
        <v>-286</v>
      </c>
      <c r="CB151" s="16">
        <v>-1</v>
      </c>
      <c r="CC151" s="16">
        <v>-1</v>
      </c>
      <c r="CD151" s="16">
        <v>-20</v>
      </c>
      <c r="CE151" s="16">
        <v>-15</v>
      </c>
      <c r="CF151" s="16">
        <v>-335</v>
      </c>
      <c r="CG151" s="16">
        <v>0</v>
      </c>
      <c r="CH151" s="16">
        <v>0</v>
      </c>
      <c r="CI151" s="16">
        <v>-87</v>
      </c>
      <c r="CJ151" s="16">
        <v>-1242</v>
      </c>
      <c r="CK151" s="16">
        <v>-1290</v>
      </c>
      <c r="CL151" s="16">
        <v>-959</v>
      </c>
      <c r="CM151" s="16">
        <v>0</v>
      </c>
      <c r="CN151" s="16">
        <v>0</v>
      </c>
      <c r="CO151" s="16">
        <v>-149</v>
      </c>
      <c r="CP151" s="16">
        <v>-58</v>
      </c>
      <c r="CQ151" s="16">
        <v>-78</v>
      </c>
      <c r="CR151" s="16">
        <v>-183</v>
      </c>
      <c r="CS151" s="16">
        <v>-90</v>
      </c>
      <c r="CT151" s="16">
        <v>-67</v>
      </c>
      <c r="CU151" s="16">
        <v>-44</v>
      </c>
      <c r="CV151" s="16">
        <v>-38</v>
      </c>
      <c r="CW151" s="16">
        <v>-273</v>
      </c>
      <c r="CX151" s="16">
        <v>-96</v>
      </c>
      <c r="CY151" s="16">
        <v>-33</v>
      </c>
      <c r="CZ151" s="16">
        <v>-30</v>
      </c>
      <c r="DA151" s="16">
        <v>-74</v>
      </c>
      <c r="DB151" s="16">
        <v>-100</v>
      </c>
      <c r="DC151" s="16">
        <v>0</v>
      </c>
      <c r="DD151" s="16">
        <v>0</v>
      </c>
      <c r="DE151" s="16">
        <v>0</v>
      </c>
      <c r="DF151" s="16">
        <v>0</v>
      </c>
      <c r="DG151" s="16">
        <v>4931</v>
      </c>
      <c r="DH151" s="16">
        <v>0</v>
      </c>
      <c r="DI151" s="16">
        <v>0</v>
      </c>
      <c r="DJ151" s="16">
        <v>0</v>
      </c>
      <c r="DK151" s="16">
        <v>-46</v>
      </c>
      <c r="DL151" s="16">
        <v>-727</v>
      </c>
      <c r="DM151" s="16">
        <v>-116</v>
      </c>
      <c r="DN151" s="16">
        <v>-508</v>
      </c>
      <c r="DO151" s="16">
        <v>-13</v>
      </c>
      <c r="DP151" s="16">
        <v>-176</v>
      </c>
      <c r="DQ151" s="16">
        <v>0</v>
      </c>
      <c r="DR151" s="16">
        <v>-32</v>
      </c>
      <c r="DS151" s="16">
        <v>-12</v>
      </c>
      <c r="DT151" s="16">
        <v>0</v>
      </c>
      <c r="DU151" s="16">
        <v>-1</v>
      </c>
      <c r="DV151" s="16">
        <v>0</v>
      </c>
      <c r="DW151" s="16">
        <v>-5122</v>
      </c>
      <c r="DX151" s="16">
        <v>-1319</v>
      </c>
      <c r="DY151" s="16">
        <v>0</v>
      </c>
      <c r="DZ151" s="16">
        <v>-20</v>
      </c>
      <c r="EA151" s="16">
        <v>0</v>
      </c>
      <c r="EB151" s="16">
        <v>-178</v>
      </c>
      <c r="EC151" s="16">
        <v>-1013</v>
      </c>
      <c r="ED151" s="16">
        <v>-817</v>
      </c>
      <c r="EE151" s="16">
        <v>-15</v>
      </c>
      <c r="EF151" s="16">
        <v>-1246</v>
      </c>
      <c r="EG151" s="16">
        <v>-302</v>
      </c>
      <c r="EH151" s="16">
        <v>-41</v>
      </c>
      <c r="EI151" s="16">
        <v>-112</v>
      </c>
      <c r="EJ151" s="16">
        <v>-58</v>
      </c>
      <c r="EK151" s="16">
        <v>-151</v>
      </c>
      <c r="EL151" s="16">
        <v>-28</v>
      </c>
      <c r="EM151" s="16">
        <v>22147</v>
      </c>
      <c r="EN151" s="16">
        <v>0</v>
      </c>
      <c r="EO151" s="16">
        <v>-12518</v>
      </c>
      <c r="EP151" s="16">
        <v>-78</v>
      </c>
      <c r="EQ151" s="16">
        <v>-608</v>
      </c>
      <c r="ER151" s="16">
        <v>-19</v>
      </c>
      <c r="ES151" s="16">
        <v>-136</v>
      </c>
      <c r="ET151" s="16">
        <v>-106</v>
      </c>
      <c r="EU151" s="16">
        <v>51423</v>
      </c>
      <c r="EV151" s="16">
        <v>20258</v>
      </c>
      <c r="EW151" s="16">
        <v>657505</v>
      </c>
      <c r="EX151" s="16">
        <v>2530816</v>
      </c>
      <c r="EY151" s="16">
        <v>214095</v>
      </c>
      <c r="EZ151" s="16">
        <v>80514</v>
      </c>
      <c r="FA151" s="16">
        <v>371490</v>
      </c>
      <c r="FB151" s="16">
        <v>786157</v>
      </c>
      <c r="FC151" s="16">
        <v>43999</v>
      </c>
      <c r="FD151" s="16">
        <v>483098</v>
      </c>
      <c r="FE151" s="16">
        <v>488782</v>
      </c>
      <c r="FF151" s="16">
        <v>581083</v>
      </c>
      <c r="FG151" s="16">
        <v>87270</v>
      </c>
      <c r="FH151" s="16">
        <v>-125</v>
      </c>
      <c r="FI151" s="16">
        <v>-8163</v>
      </c>
      <c r="FJ151" s="16">
        <v>-636</v>
      </c>
      <c r="FK151" s="16">
        <v>-183</v>
      </c>
      <c r="FL151" s="16">
        <v>-41</v>
      </c>
      <c r="FM151" s="16">
        <v>-1717</v>
      </c>
      <c r="FN151" s="16">
        <v>-1444</v>
      </c>
      <c r="FO151" s="16">
        <v>-319</v>
      </c>
      <c r="FP151" s="16">
        <v>555726</v>
      </c>
      <c r="FQ151" s="16">
        <v>-12897</v>
      </c>
      <c r="FR151" s="16">
        <v>-91776</v>
      </c>
      <c r="FS151" s="16">
        <v>-10341</v>
      </c>
      <c r="FT151" s="16">
        <v>-5765</v>
      </c>
      <c r="FU151" s="16">
        <v>-34149</v>
      </c>
      <c r="FV151" s="16">
        <v>-182376</v>
      </c>
      <c r="FW151" s="16">
        <v>-39099</v>
      </c>
      <c r="FX151" s="16">
        <v>-44357</v>
      </c>
      <c r="FY151" s="16">
        <v>0</v>
      </c>
      <c r="FZ151" s="16">
        <v>-17200</v>
      </c>
      <c r="GA151" s="16">
        <v>-5422</v>
      </c>
      <c r="GB151" s="16">
        <v>-126552</v>
      </c>
      <c r="GC151" s="16">
        <v>-23662</v>
      </c>
      <c r="GD151" s="16">
        <v>-946</v>
      </c>
      <c r="GE151" s="16">
        <v>-2362</v>
      </c>
      <c r="GF151" s="16">
        <v>-8744</v>
      </c>
      <c r="GG151" s="16">
        <v>-9262</v>
      </c>
      <c r="GH151" s="16">
        <v>-2245</v>
      </c>
      <c r="GI151" s="16">
        <v>-2676</v>
      </c>
      <c r="GJ151" s="16">
        <v>-2280</v>
      </c>
      <c r="GK151" s="16">
        <v>-9775</v>
      </c>
      <c r="GL151" s="16">
        <v>-1294</v>
      </c>
      <c r="GM151" s="16">
        <v>-6</v>
      </c>
      <c r="GN151" s="16">
        <v>-151</v>
      </c>
      <c r="GO151" s="16">
        <v>-1709</v>
      </c>
      <c r="GP151" s="16">
        <v>-54</v>
      </c>
      <c r="GQ151" s="16">
        <v>-164</v>
      </c>
      <c r="GR151" s="16">
        <v>-1384</v>
      </c>
      <c r="GS151" s="16">
        <v>-1821</v>
      </c>
      <c r="GT151" s="16">
        <v>-22</v>
      </c>
      <c r="GU151" s="16">
        <v>-1879</v>
      </c>
      <c r="GV151" s="16">
        <v>-1251</v>
      </c>
      <c r="GW151" s="16">
        <v>-759</v>
      </c>
      <c r="GX151" s="16">
        <v>-440</v>
      </c>
      <c r="GY151" s="16">
        <v>-25</v>
      </c>
      <c r="GZ151" s="16">
        <v>-11253</v>
      </c>
      <c r="HA151" s="16">
        <v>-6209</v>
      </c>
      <c r="HB151" s="16">
        <v>-1421</v>
      </c>
      <c r="HC151" s="16">
        <v>-5927</v>
      </c>
      <c r="HD151" s="16">
        <v>-48</v>
      </c>
      <c r="HE151" s="16">
        <v>-3288</v>
      </c>
      <c r="HF151" s="16">
        <v>-2063</v>
      </c>
      <c r="HG151" s="16">
        <v>-13989</v>
      </c>
      <c r="HH151" s="16">
        <v>-2545</v>
      </c>
      <c r="HI151" s="16">
        <v>-7116</v>
      </c>
      <c r="HJ151" s="16">
        <v>-2545</v>
      </c>
      <c r="HK151" s="16">
        <v>0</v>
      </c>
      <c r="HL151" s="16">
        <v>-2375</v>
      </c>
      <c r="HM151" s="16">
        <v>-46550</v>
      </c>
      <c r="HN151" s="16">
        <v>-16192</v>
      </c>
      <c r="HO151" s="16">
        <v>-22376</v>
      </c>
      <c r="HP151" s="16">
        <v>-33446</v>
      </c>
      <c r="HQ151" s="16">
        <v>-84897</v>
      </c>
      <c r="HR151" s="16">
        <v>-7494</v>
      </c>
      <c r="HS151" s="16">
        <v>-12847</v>
      </c>
      <c r="HT151" s="16">
        <v>-4247</v>
      </c>
      <c r="HU151" s="16">
        <v>-12722</v>
      </c>
      <c r="HV151" s="16">
        <v>-12648</v>
      </c>
      <c r="HW151" s="16">
        <v>-36394</v>
      </c>
      <c r="HX151" s="16">
        <v>-6674</v>
      </c>
      <c r="HY151" s="16">
        <v>709618</v>
      </c>
      <c r="HZ151" s="16">
        <v>-16180</v>
      </c>
      <c r="IA151" s="16">
        <v>-464</v>
      </c>
      <c r="IB151" s="16">
        <v>-3168</v>
      </c>
      <c r="IC151" s="16">
        <v>-5515</v>
      </c>
      <c r="ID151" s="16">
        <v>-28282</v>
      </c>
      <c r="IE151" s="16">
        <v>-1373</v>
      </c>
      <c r="IF151" s="16">
        <v>-505</v>
      </c>
      <c r="IG151" s="16">
        <v>-313</v>
      </c>
      <c r="IH151" s="16">
        <v>-17186</v>
      </c>
      <c r="II151" s="16">
        <v>-122</v>
      </c>
      <c r="IJ151" s="16">
        <v>-871</v>
      </c>
      <c r="IK151" s="16">
        <v>-765</v>
      </c>
      <c r="IL151" s="16">
        <v>-2149</v>
      </c>
      <c r="IM151" s="16">
        <v>-7870</v>
      </c>
      <c r="IN151" s="16">
        <v>-9463</v>
      </c>
      <c r="IO151" s="16">
        <v>61338</v>
      </c>
      <c r="IP151" s="16">
        <v>-255350</v>
      </c>
      <c r="IQ151" s="16">
        <v>-1525</v>
      </c>
      <c r="IR151" s="16">
        <v>-4079</v>
      </c>
      <c r="IS151" s="16">
        <v>-6213</v>
      </c>
      <c r="IT151" s="16">
        <v>-2722</v>
      </c>
      <c r="IU151" s="16">
        <v>-1045</v>
      </c>
      <c r="IV151" s="16">
        <v>-1627</v>
      </c>
      <c r="IW151" s="16">
        <v>-1631</v>
      </c>
      <c r="IX151" s="16">
        <v>-1125</v>
      </c>
      <c r="IY151" s="16">
        <v>-326</v>
      </c>
      <c r="IZ151" s="16">
        <v>-209</v>
      </c>
      <c r="JA151" s="16">
        <v>-283</v>
      </c>
      <c r="JB151" s="16">
        <v>-28</v>
      </c>
      <c r="JC151" s="16">
        <v>0</v>
      </c>
      <c r="JD151" s="16">
        <v>-35</v>
      </c>
      <c r="JE151" s="16">
        <v>-244</v>
      </c>
      <c r="JF151" s="16">
        <v>-148</v>
      </c>
      <c r="JG151" s="16">
        <v>-3654</v>
      </c>
      <c r="JH151" s="16">
        <v>3085</v>
      </c>
      <c r="JI151" s="16">
        <v>-97</v>
      </c>
      <c r="JJ151" s="16">
        <v>0</v>
      </c>
      <c r="JK151" s="16">
        <v>-511</v>
      </c>
      <c r="JL151" s="16">
        <v>-3559</v>
      </c>
      <c r="JM151" s="16">
        <v>-22</v>
      </c>
      <c r="JN151" s="16">
        <v>-32</v>
      </c>
      <c r="JO151" s="16">
        <v>-6</v>
      </c>
      <c r="JP151" s="16">
        <v>-48</v>
      </c>
      <c r="JQ151" s="16">
        <v>0</v>
      </c>
      <c r="JR151" s="16">
        <v>0</v>
      </c>
      <c r="JS151" s="16">
        <v>0</v>
      </c>
      <c r="JT151" s="16">
        <v>0</v>
      </c>
      <c r="JU151" s="16">
        <v>0</v>
      </c>
      <c r="JV151" s="16">
        <v>-48191</v>
      </c>
      <c r="JW151" s="16">
        <v>-163265</v>
      </c>
      <c r="JX151" s="16">
        <v>-179617</v>
      </c>
      <c r="JY151" s="16">
        <v>-56295</v>
      </c>
      <c r="JZ151" s="16">
        <v>-34569</v>
      </c>
      <c r="KA151" s="16">
        <v>-712</v>
      </c>
      <c r="KB151" s="16">
        <v>-440</v>
      </c>
      <c r="KC151" s="16">
        <v>-7254</v>
      </c>
      <c r="KD151" s="16">
        <v>-12032</v>
      </c>
      <c r="KE151" s="16">
        <v>-6235</v>
      </c>
      <c r="KF151" s="16">
        <v>-3546</v>
      </c>
      <c r="KG151" s="16">
        <v>0</v>
      </c>
      <c r="KH151" s="16">
        <v>-17103</v>
      </c>
      <c r="KI151" s="16">
        <v>-737</v>
      </c>
      <c r="KJ151" s="16">
        <v>-31410</v>
      </c>
      <c r="KK151" s="16">
        <v>0</v>
      </c>
      <c r="KL151" s="16">
        <v>-4787</v>
      </c>
      <c r="KM151" s="16">
        <v>-3625</v>
      </c>
      <c r="KN151" s="16">
        <v>-6657</v>
      </c>
      <c r="KO151" s="16">
        <v>-628</v>
      </c>
      <c r="KP151" s="16">
        <v>-250</v>
      </c>
      <c r="KQ151" s="16">
        <v>0</v>
      </c>
      <c r="KR151" s="16">
        <v>-104</v>
      </c>
      <c r="KS151" s="16">
        <v>-70</v>
      </c>
      <c r="KT151" s="16">
        <v>-28</v>
      </c>
      <c r="KU151" s="16">
        <v>-386</v>
      </c>
      <c r="KV151" s="16">
        <v>-196</v>
      </c>
      <c r="KW151" s="16">
        <v>-106</v>
      </c>
      <c r="KX151" s="16">
        <v>0</v>
      </c>
      <c r="KY151" s="16">
        <v>0</v>
      </c>
      <c r="KZ151" s="16">
        <v>-2217</v>
      </c>
      <c r="LA151" s="16">
        <v>-261</v>
      </c>
      <c r="LB151" s="16">
        <v>-110</v>
      </c>
      <c r="LC151" s="16">
        <v>0</v>
      </c>
      <c r="LD151" s="16">
        <v>-234</v>
      </c>
      <c r="LE151" s="16">
        <v>0</v>
      </c>
      <c r="LF151" s="16">
        <v>0</v>
      </c>
      <c r="LG151" s="16">
        <v>0</v>
      </c>
      <c r="LH151" s="16">
        <v>0</v>
      </c>
      <c r="LI151" s="16">
        <v>-9</v>
      </c>
      <c r="LJ151" s="16">
        <v>-22</v>
      </c>
      <c r="LK151" s="16">
        <v>0</v>
      </c>
      <c r="LL151" s="16">
        <v>0</v>
      </c>
      <c r="LM151" s="16">
        <v>0</v>
      </c>
      <c r="LN151" s="16">
        <v>0</v>
      </c>
      <c r="LO151" s="16">
        <v>0</v>
      </c>
      <c r="LP151" s="16">
        <v>0</v>
      </c>
      <c r="LQ151" s="16">
        <v>0</v>
      </c>
      <c r="LR151" s="16">
        <v>-51</v>
      </c>
      <c r="LS151" s="16">
        <v>0</v>
      </c>
      <c r="LT151" s="16">
        <v>-7</v>
      </c>
      <c r="LU151" s="16">
        <v>0</v>
      </c>
      <c r="LV151" s="16">
        <v>0</v>
      </c>
      <c r="LW151" s="16">
        <v>0</v>
      </c>
      <c r="LX151" s="16">
        <v>-22</v>
      </c>
      <c r="LY151" s="16">
        <v>0</v>
      </c>
      <c r="LZ151" s="16">
        <v>-302</v>
      </c>
      <c r="MA151" s="16">
        <v>0</v>
      </c>
      <c r="MB151" s="16">
        <v>-437</v>
      </c>
      <c r="MC151" s="16">
        <v>-194</v>
      </c>
      <c r="MD151" s="16">
        <v>0</v>
      </c>
      <c r="ME151" s="16">
        <v>-161</v>
      </c>
      <c r="MF151" s="16">
        <v>8382</v>
      </c>
      <c r="MG151" s="16">
        <v>0</v>
      </c>
      <c r="MH151" s="16">
        <v>0</v>
      </c>
      <c r="MI151" s="16">
        <v>-287</v>
      </c>
      <c r="MJ151" s="16">
        <v>-106</v>
      </c>
      <c r="MK151" s="16">
        <v>0</v>
      </c>
      <c r="ML151" s="16">
        <v>0</v>
      </c>
      <c r="MM151" s="16">
        <v>0</v>
      </c>
      <c r="MN151" s="16">
        <v>-1457</v>
      </c>
      <c r="MO151" s="16">
        <v>0</v>
      </c>
      <c r="MP151" s="16">
        <v>0</v>
      </c>
      <c r="MQ151" s="16">
        <v>0</v>
      </c>
      <c r="MR151" s="16">
        <v>0</v>
      </c>
      <c r="MS151" s="16">
        <v>0</v>
      </c>
      <c r="MT151" s="16">
        <v>-57</v>
      </c>
      <c r="MU151" s="16">
        <v>-25137</v>
      </c>
      <c r="MV151" s="16">
        <v>-451</v>
      </c>
      <c r="MW151" s="16">
        <v>-573</v>
      </c>
      <c r="MX151" s="16">
        <v>-78</v>
      </c>
      <c r="MY151" s="16">
        <v>-33</v>
      </c>
      <c r="MZ151" s="16">
        <v>-113</v>
      </c>
      <c r="NA151" s="16">
        <v>0</v>
      </c>
      <c r="NB151" s="16">
        <v>-113</v>
      </c>
      <c r="NC151" s="16">
        <v>-203</v>
      </c>
      <c r="ND151" s="16">
        <v>0</v>
      </c>
      <c r="NE151" s="16">
        <v>0</v>
      </c>
      <c r="NF151" s="16">
        <v>0</v>
      </c>
      <c r="NG151" s="16">
        <v>-705</v>
      </c>
      <c r="NH151" s="16">
        <v>-778</v>
      </c>
      <c r="NI151" s="16">
        <v>0</v>
      </c>
      <c r="NJ151" s="16">
        <v>0</v>
      </c>
      <c r="NK151" s="16">
        <v>-12532</v>
      </c>
      <c r="NL151" s="16">
        <v>-28</v>
      </c>
      <c r="NM151" s="16">
        <v>0</v>
      </c>
      <c r="NN151" s="16">
        <v>0</v>
      </c>
      <c r="NO151" s="16">
        <v>0</v>
      </c>
      <c r="NP151" s="16">
        <v>0</v>
      </c>
      <c r="NQ151" s="16">
        <v>179</v>
      </c>
      <c r="NR151" s="17">
        <v>5701734</v>
      </c>
    </row>
    <row r="152" spans="1:382" ht="13.5" customHeight="1" x14ac:dyDescent="0.2">
      <c r="A152" s="2" t="s">
        <v>311</v>
      </c>
      <c r="B152" s="16">
        <v>0</v>
      </c>
      <c r="C152" s="16">
        <v>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  <c r="BB152" s="16">
        <v>0</v>
      </c>
      <c r="BC152" s="16">
        <v>0</v>
      </c>
      <c r="BD152" s="16">
        <v>0</v>
      </c>
      <c r="BE152" s="16">
        <v>0</v>
      </c>
      <c r="BF152" s="16">
        <v>0</v>
      </c>
      <c r="BG152" s="16">
        <v>0</v>
      </c>
      <c r="BH152" s="16">
        <v>0</v>
      </c>
      <c r="BI152" s="16">
        <v>0</v>
      </c>
      <c r="BJ152" s="16">
        <v>0</v>
      </c>
      <c r="BK152" s="16">
        <v>0</v>
      </c>
      <c r="BL152" s="16">
        <v>0</v>
      </c>
      <c r="BM152" s="16">
        <v>0</v>
      </c>
      <c r="BN152" s="16">
        <v>0</v>
      </c>
      <c r="BO152" s="16">
        <v>0</v>
      </c>
      <c r="BP152" s="16">
        <v>0</v>
      </c>
      <c r="BQ152" s="16">
        <v>0</v>
      </c>
      <c r="BR152" s="16">
        <v>0</v>
      </c>
      <c r="BS152" s="16">
        <v>0</v>
      </c>
      <c r="BT152" s="16">
        <v>0</v>
      </c>
      <c r="BU152" s="16">
        <v>0</v>
      </c>
      <c r="BV152" s="16">
        <v>0</v>
      </c>
      <c r="BW152" s="16">
        <v>0</v>
      </c>
      <c r="BX152" s="16">
        <v>0</v>
      </c>
      <c r="BY152" s="16">
        <v>0</v>
      </c>
      <c r="BZ152" s="16">
        <v>0</v>
      </c>
      <c r="CA152" s="16">
        <v>0</v>
      </c>
      <c r="CB152" s="16">
        <v>0</v>
      </c>
      <c r="CC152" s="16">
        <v>0</v>
      </c>
      <c r="CD152" s="16">
        <v>0</v>
      </c>
      <c r="CE152" s="16">
        <v>0</v>
      </c>
      <c r="CF152" s="16">
        <v>0</v>
      </c>
      <c r="CG152" s="16">
        <v>0</v>
      </c>
      <c r="CH152" s="16">
        <v>0</v>
      </c>
      <c r="CI152" s="16">
        <v>0</v>
      </c>
      <c r="CJ152" s="16">
        <v>0</v>
      </c>
      <c r="CK152" s="16">
        <v>0</v>
      </c>
      <c r="CL152" s="16">
        <v>0</v>
      </c>
      <c r="CM152" s="16">
        <v>0</v>
      </c>
      <c r="CN152" s="16">
        <v>0</v>
      </c>
      <c r="CO152" s="16">
        <v>0</v>
      </c>
      <c r="CP152" s="16">
        <v>0</v>
      </c>
      <c r="CQ152" s="16">
        <v>0</v>
      </c>
      <c r="CR152" s="16">
        <v>0</v>
      </c>
      <c r="CS152" s="16">
        <v>0</v>
      </c>
      <c r="CT152" s="16">
        <v>0</v>
      </c>
      <c r="CU152" s="16">
        <v>0</v>
      </c>
      <c r="CV152" s="16">
        <v>0</v>
      </c>
      <c r="CW152" s="16">
        <v>0</v>
      </c>
      <c r="CX152" s="16">
        <v>0</v>
      </c>
      <c r="CY152" s="16">
        <v>0</v>
      </c>
      <c r="CZ152" s="16">
        <v>0</v>
      </c>
      <c r="DA152" s="16">
        <v>0</v>
      </c>
      <c r="DB152" s="16">
        <v>0</v>
      </c>
      <c r="DC152" s="16">
        <v>0</v>
      </c>
      <c r="DD152" s="16">
        <v>0</v>
      </c>
      <c r="DE152" s="16">
        <v>0</v>
      </c>
      <c r="DF152" s="16">
        <v>0</v>
      </c>
      <c r="DG152" s="16">
        <v>0</v>
      </c>
      <c r="DH152" s="16">
        <v>0</v>
      </c>
      <c r="DI152" s="16">
        <v>0</v>
      </c>
      <c r="DJ152" s="16">
        <v>0</v>
      </c>
      <c r="DK152" s="16">
        <v>0</v>
      </c>
      <c r="DL152" s="16">
        <v>0</v>
      </c>
      <c r="DM152" s="16">
        <v>0</v>
      </c>
      <c r="DN152" s="16">
        <v>0</v>
      </c>
      <c r="DO152" s="16">
        <v>0</v>
      </c>
      <c r="DP152" s="16">
        <v>0</v>
      </c>
      <c r="DQ152" s="16">
        <v>0</v>
      </c>
      <c r="DR152" s="16">
        <v>0</v>
      </c>
      <c r="DS152" s="16">
        <v>0</v>
      </c>
      <c r="DT152" s="16">
        <v>0</v>
      </c>
      <c r="DU152" s="16">
        <v>0</v>
      </c>
      <c r="DV152" s="16">
        <v>0</v>
      </c>
      <c r="DW152" s="16">
        <v>0</v>
      </c>
      <c r="DX152" s="16">
        <v>0</v>
      </c>
      <c r="DY152" s="16">
        <v>0</v>
      </c>
      <c r="DZ152" s="16">
        <v>0</v>
      </c>
      <c r="EA152" s="16">
        <v>0</v>
      </c>
      <c r="EB152" s="16">
        <v>0</v>
      </c>
      <c r="EC152" s="16">
        <v>0</v>
      </c>
      <c r="ED152" s="16">
        <v>0</v>
      </c>
      <c r="EE152" s="16">
        <v>0</v>
      </c>
      <c r="EF152" s="16">
        <v>0</v>
      </c>
      <c r="EG152" s="16">
        <v>0</v>
      </c>
      <c r="EH152" s="16">
        <v>0</v>
      </c>
      <c r="EI152" s="16">
        <v>0</v>
      </c>
      <c r="EJ152" s="16">
        <v>0</v>
      </c>
      <c r="EK152" s="16">
        <v>0</v>
      </c>
      <c r="EL152" s="16">
        <v>0</v>
      </c>
      <c r="EM152" s="16">
        <v>0</v>
      </c>
      <c r="EN152" s="16">
        <v>0</v>
      </c>
      <c r="EO152" s="16">
        <v>0</v>
      </c>
      <c r="EP152" s="16">
        <v>0</v>
      </c>
      <c r="EQ152" s="16">
        <v>0</v>
      </c>
      <c r="ER152" s="16">
        <v>0</v>
      </c>
      <c r="ES152" s="16">
        <v>0</v>
      </c>
      <c r="ET152" s="16">
        <v>0</v>
      </c>
      <c r="EU152" s="16">
        <v>0</v>
      </c>
      <c r="EV152" s="16">
        <v>29005</v>
      </c>
      <c r="EW152" s="16">
        <v>92178</v>
      </c>
      <c r="EX152" s="16">
        <v>518007</v>
      </c>
      <c r="EY152" s="16">
        <v>290165</v>
      </c>
      <c r="EZ152" s="16">
        <v>185342</v>
      </c>
      <c r="FA152" s="16">
        <v>299948</v>
      </c>
      <c r="FB152" s="16">
        <v>645364</v>
      </c>
      <c r="FC152" s="16">
        <v>16124</v>
      </c>
      <c r="FD152" s="16">
        <v>10841</v>
      </c>
      <c r="FE152" s="16">
        <v>1082334</v>
      </c>
      <c r="FF152" s="16">
        <v>394597</v>
      </c>
      <c r="FG152" s="16">
        <v>186</v>
      </c>
      <c r="FH152" s="16">
        <v>7</v>
      </c>
      <c r="FI152" s="16">
        <v>33897</v>
      </c>
      <c r="FJ152" s="16">
        <v>461</v>
      </c>
      <c r="FK152" s="16">
        <v>0</v>
      </c>
      <c r="FL152" s="16">
        <v>7466</v>
      </c>
      <c r="FM152" s="16">
        <v>8862</v>
      </c>
      <c r="FN152" s="16">
        <v>2364</v>
      </c>
      <c r="FO152" s="16">
        <v>15679</v>
      </c>
      <c r="FP152" s="16">
        <v>123007</v>
      </c>
      <c r="FQ152" s="16">
        <v>0</v>
      </c>
      <c r="FR152" s="16">
        <v>0</v>
      </c>
      <c r="FS152" s="16">
        <v>0</v>
      </c>
      <c r="FT152" s="16">
        <v>0</v>
      </c>
      <c r="FU152" s="16">
        <v>21385</v>
      </c>
      <c r="FV152" s="16">
        <v>404</v>
      </c>
      <c r="FW152" s="16">
        <v>0</v>
      </c>
      <c r="FX152" s="16">
        <v>20963</v>
      </c>
      <c r="FY152" s="16">
        <v>404</v>
      </c>
      <c r="FZ152" s="16">
        <v>0</v>
      </c>
      <c r="GA152" s="16">
        <v>20328</v>
      </c>
      <c r="GB152" s="16">
        <v>12656</v>
      </c>
      <c r="GC152" s="16">
        <v>533</v>
      </c>
      <c r="GD152" s="16">
        <v>8504</v>
      </c>
      <c r="GE152" s="16">
        <v>0</v>
      </c>
      <c r="GF152" s="16">
        <v>0</v>
      </c>
      <c r="GG152" s="16">
        <v>0</v>
      </c>
      <c r="GH152" s="16">
        <v>0</v>
      </c>
      <c r="GI152" s="16">
        <v>0</v>
      </c>
      <c r="GJ152" s="16">
        <v>0</v>
      </c>
      <c r="GK152" s="16">
        <v>0</v>
      </c>
      <c r="GL152" s="16">
        <v>0</v>
      </c>
      <c r="GM152" s="16">
        <v>0</v>
      </c>
      <c r="GN152" s="16">
        <v>0</v>
      </c>
      <c r="GO152" s="16">
        <v>0</v>
      </c>
      <c r="GP152" s="16">
        <v>0</v>
      </c>
      <c r="GQ152" s="16">
        <v>0</v>
      </c>
      <c r="GR152" s="16">
        <v>0</v>
      </c>
      <c r="GS152" s="16">
        <v>0</v>
      </c>
      <c r="GT152" s="16">
        <v>0</v>
      </c>
      <c r="GU152" s="16">
        <v>0</v>
      </c>
      <c r="GV152" s="16">
        <v>0</v>
      </c>
      <c r="GW152" s="16">
        <v>0</v>
      </c>
      <c r="GX152" s="16">
        <v>0</v>
      </c>
      <c r="GY152" s="16">
        <v>0</v>
      </c>
      <c r="GZ152" s="16">
        <v>0</v>
      </c>
      <c r="HA152" s="16">
        <v>0</v>
      </c>
      <c r="HB152" s="16">
        <v>0</v>
      </c>
      <c r="HC152" s="16">
        <v>0</v>
      </c>
      <c r="HD152" s="16">
        <v>0</v>
      </c>
      <c r="HE152" s="16">
        <v>0</v>
      </c>
      <c r="HF152" s="16">
        <v>0</v>
      </c>
      <c r="HG152" s="16">
        <v>0</v>
      </c>
      <c r="HH152" s="16">
        <v>0</v>
      </c>
      <c r="HI152" s="16">
        <v>0</v>
      </c>
      <c r="HJ152" s="16">
        <v>0</v>
      </c>
      <c r="HK152" s="16">
        <v>0</v>
      </c>
      <c r="HL152" s="16">
        <v>336</v>
      </c>
      <c r="HM152" s="16">
        <v>31191</v>
      </c>
      <c r="HN152" s="16">
        <v>0</v>
      </c>
      <c r="HO152" s="16">
        <v>0</v>
      </c>
      <c r="HP152" s="16">
        <v>11</v>
      </c>
      <c r="HQ152" s="16">
        <v>0</v>
      </c>
      <c r="HR152" s="16">
        <v>0</v>
      </c>
      <c r="HS152" s="16">
        <v>0</v>
      </c>
      <c r="HT152" s="16">
        <v>0</v>
      </c>
      <c r="HU152" s="16">
        <v>3909</v>
      </c>
      <c r="HV152" s="16">
        <v>0</v>
      </c>
      <c r="HW152" s="16">
        <v>0</v>
      </c>
      <c r="HX152" s="16">
        <v>1808</v>
      </c>
      <c r="HY152" s="16">
        <v>31655</v>
      </c>
      <c r="HZ152" s="16">
        <v>0</v>
      </c>
      <c r="IA152" s="16">
        <v>0</v>
      </c>
      <c r="IB152" s="16">
        <v>0</v>
      </c>
      <c r="IC152" s="16">
        <v>0</v>
      </c>
      <c r="ID152" s="16">
        <v>0</v>
      </c>
      <c r="IE152" s="16">
        <v>0</v>
      </c>
      <c r="IF152" s="16">
        <v>0</v>
      </c>
      <c r="IG152" s="16">
        <v>552</v>
      </c>
      <c r="IH152" s="16">
        <v>0</v>
      </c>
      <c r="II152" s="16">
        <v>0</v>
      </c>
      <c r="IJ152" s="16">
        <v>0</v>
      </c>
      <c r="IK152" s="16">
        <v>0</v>
      </c>
      <c r="IL152" s="16">
        <v>0</v>
      </c>
      <c r="IM152" s="16">
        <v>0</v>
      </c>
      <c r="IN152" s="16">
        <v>3844</v>
      </c>
      <c r="IO152" s="16">
        <v>12071</v>
      </c>
      <c r="IP152" s="16">
        <v>0</v>
      </c>
      <c r="IQ152" s="16">
        <v>0</v>
      </c>
      <c r="IR152" s="16">
        <v>0</v>
      </c>
      <c r="IS152" s="16">
        <v>0</v>
      </c>
      <c r="IT152" s="16">
        <v>0</v>
      </c>
      <c r="IU152" s="16">
        <v>0</v>
      </c>
      <c r="IV152" s="16">
        <v>0</v>
      </c>
      <c r="IW152" s="16">
        <v>0</v>
      </c>
      <c r="IX152" s="16">
        <v>0</v>
      </c>
      <c r="IY152" s="16">
        <v>0</v>
      </c>
      <c r="IZ152" s="16">
        <v>0</v>
      </c>
      <c r="JA152" s="16">
        <v>0</v>
      </c>
      <c r="JB152" s="16">
        <v>0</v>
      </c>
      <c r="JC152" s="16">
        <v>0</v>
      </c>
      <c r="JD152" s="16">
        <v>0</v>
      </c>
      <c r="JE152" s="16">
        <v>0</v>
      </c>
      <c r="JF152" s="16">
        <v>0</v>
      </c>
      <c r="JG152" s="16">
        <v>18274</v>
      </c>
      <c r="JH152" s="16">
        <v>0</v>
      </c>
      <c r="JI152" s="16">
        <v>0</v>
      </c>
      <c r="JJ152" s="16">
        <v>0</v>
      </c>
      <c r="JK152" s="16">
        <v>0</v>
      </c>
      <c r="JL152" s="16">
        <v>0</v>
      </c>
      <c r="JM152" s="16">
        <v>0</v>
      </c>
      <c r="JN152" s="16">
        <v>0</v>
      </c>
      <c r="JO152" s="16">
        <v>0</v>
      </c>
      <c r="JP152" s="16">
        <v>0</v>
      </c>
      <c r="JQ152" s="16">
        <v>0</v>
      </c>
      <c r="JR152" s="16">
        <v>0</v>
      </c>
      <c r="JS152" s="16">
        <v>0</v>
      </c>
      <c r="JT152" s="16">
        <v>0</v>
      </c>
      <c r="JU152" s="16">
        <v>0</v>
      </c>
      <c r="JV152" s="16">
        <v>0</v>
      </c>
      <c r="JW152" s="16">
        <v>0</v>
      </c>
      <c r="JX152" s="16">
        <v>0</v>
      </c>
      <c r="JY152" s="16">
        <v>0</v>
      </c>
      <c r="JZ152" s="16">
        <v>0</v>
      </c>
      <c r="KA152" s="16">
        <v>0</v>
      </c>
      <c r="KB152" s="16">
        <v>0</v>
      </c>
      <c r="KC152" s="16">
        <v>0</v>
      </c>
      <c r="KD152" s="16">
        <v>0</v>
      </c>
      <c r="KE152" s="16">
        <v>0</v>
      </c>
      <c r="KF152" s="16">
        <v>0</v>
      </c>
      <c r="KG152" s="16">
        <v>0</v>
      </c>
      <c r="KH152" s="16">
        <v>0</v>
      </c>
      <c r="KI152" s="16">
        <v>0</v>
      </c>
      <c r="KJ152" s="16">
        <v>0</v>
      </c>
      <c r="KK152" s="16">
        <v>0</v>
      </c>
      <c r="KL152" s="16">
        <v>0</v>
      </c>
      <c r="KM152" s="16">
        <v>0</v>
      </c>
      <c r="KN152" s="16">
        <v>0</v>
      </c>
      <c r="KO152" s="16">
        <v>0</v>
      </c>
      <c r="KP152" s="16">
        <v>0</v>
      </c>
      <c r="KQ152" s="16">
        <v>0</v>
      </c>
      <c r="KR152" s="16">
        <v>0</v>
      </c>
      <c r="KS152" s="16">
        <v>0</v>
      </c>
      <c r="KT152" s="16">
        <v>0</v>
      </c>
      <c r="KU152" s="16">
        <v>0</v>
      </c>
      <c r="KV152" s="16">
        <v>0</v>
      </c>
      <c r="KW152" s="16">
        <v>0</v>
      </c>
      <c r="KX152" s="16">
        <v>0</v>
      </c>
      <c r="KY152" s="16">
        <v>0</v>
      </c>
      <c r="KZ152" s="16">
        <v>0</v>
      </c>
      <c r="LA152" s="16">
        <v>0</v>
      </c>
      <c r="LB152" s="16">
        <v>0</v>
      </c>
      <c r="LC152" s="16">
        <v>0</v>
      </c>
      <c r="LD152" s="16">
        <v>0</v>
      </c>
      <c r="LE152" s="16">
        <v>0</v>
      </c>
      <c r="LF152" s="16">
        <v>0</v>
      </c>
      <c r="LG152" s="16">
        <v>0</v>
      </c>
      <c r="LH152" s="16">
        <v>0</v>
      </c>
      <c r="LI152" s="16">
        <v>0</v>
      </c>
      <c r="LJ152" s="16">
        <v>0</v>
      </c>
      <c r="LK152" s="16">
        <v>0</v>
      </c>
      <c r="LL152" s="16">
        <v>0</v>
      </c>
      <c r="LM152" s="16">
        <v>0</v>
      </c>
      <c r="LN152" s="16">
        <v>0</v>
      </c>
      <c r="LO152" s="16">
        <v>0</v>
      </c>
      <c r="LP152" s="16">
        <v>0</v>
      </c>
      <c r="LQ152" s="16">
        <v>0</v>
      </c>
      <c r="LR152" s="16">
        <v>0</v>
      </c>
      <c r="LS152" s="16">
        <v>0</v>
      </c>
      <c r="LT152" s="16">
        <v>0</v>
      </c>
      <c r="LU152" s="16">
        <v>0</v>
      </c>
      <c r="LV152" s="16">
        <v>0</v>
      </c>
      <c r="LW152" s="16">
        <v>0</v>
      </c>
      <c r="LX152" s="16">
        <v>0</v>
      </c>
      <c r="LY152" s="16">
        <v>0</v>
      </c>
      <c r="LZ152" s="16">
        <v>0</v>
      </c>
      <c r="MA152" s="16">
        <v>0</v>
      </c>
      <c r="MB152" s="16">
        <v>0</v>
      </c>
      <c r="MC152" s="16">
        <v>0</v>
      </c>
      <c r="MD152" s="16">
        <v>0</v>
      </c>
      <c r="ME152" s="16">
        <v>0</v>
      </c>
      <c r="MF152" s="16">
        <v>15759</v>
      </c>
      <c r="MG152" s="16">
        <v>0</v>
      </c>
      <c r="MH152" s="16">
        <v>0</v>
      </c>
      <c r="MI152" s="16">
        <v>0</v>
      </c>
      <c r="MJ152" s="16">
        <v>0</v>
      </c>
      <c r="MK152" s="16">
        <v>0</v>
      </c>
      <c r="ML152" s="16">
        <v>0</v>
      </c>
      <c r="MM152" s="16">
        <v>0</v>
      </c>
      <c r="MN152" s="16">
        <v>0</v>
      </c>
      <c r="MO152" s="16">
        <v>0</v>
      </c>
      <c r="MP152" s="16">
        <v>0</v>
      </c>
      <c r="MQ152" s="16">
        <v>0</v>
      </c>
      <c r="MR152" s="16">
        <v>0</v>
      </c>
      <c r="MS152" s="16">
        <v>0</v>
      </c>
      <c r="MT152" s="16">
        <v>0</v>
      </c>
      <c r="MU152" s="16">
        <v>0</v>
      </c>
      <c r="MV152" s="16">
        <v>0</v>
      </c>
      <c r="MW152" s="16">
        <v>0</v>
      </c>
      <c r="MX152" s="16">
        <v>0</v>
      </c>
      <c r="MY152" s="16">
        <v>0</v>
      </c>
      <c r="MZ152" s="16">
        <v>0</v>
      </c>
      <c r="NA152" s="16">
        <v>0</v>
      </c>
      <c r="NB152" s="16">
        <v>0</v>
      </c>
      <c r="NC152" s="16">
        <v>0</v>
      </c>
      <c r="ND152" s="16">
        <v>0</v>
      </c>
      <c r="NE152" s="16">
        <v>0</v>
      </c>
      <c r="NF152" s="16">
        <v>0</v>
      </c>
      <c r="NG152" s="16">
        <v>0</v>
      </c>
      <c r="NH152" s="16">
        <v>0</v>
      </c>
      <c r="NI152" s="16">
        <v>0</v>
      </c>
      <c r="NJ152" s="16">
        <v>0</v>
      </c>
      <c r="NK152" s="16">
        <v>0</v>
      </c>
      <c r="NL152" s="16">
        <v>0</v>
      </c>
      <c r="NM152" s="16">
        <v>0</v>
      </c>
      <c r="NN152" s="16">
        <v>0</v>
      </c>
      <c r="NO152" s="16">
        <v>0</v>
      </c>
      <c r="NP152" s="16">
        <v>0</v>
      </c>
      <c r="NQ152" s="16">
        <v>0</v>
      </c>
      <c r="NR152" s="17">
        <v>3960421</v>
      </c>
    </row>
    <row r="153" spans="1:382" ht="13.5" customHeight="1" x14ac:dyDescent="0.2">
      <c r="A153" s="2" t="s">
        <v>313</v>
      </c>
      <c r="B153" s="16">
        <v>0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16">
        <v>0</v>
      </c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16">
        <v>0</v>
      </c>
      <c r="BP153" s="16">
        <v>0</v>
      </c>
      <c r="BQ153" s="16">
        <v>0</v>
      </c>
      <c r="BR153" s="16">
        <v>0</v>
      </c>
      <c r="BS153" s="16">
        <v>0</v>
      </c>
      <c r="BT153" s="16">
        <v>0</v>
      </c>
      <c r="BU153" s="16">
        <v>0</v>
      </c>
      <c r="BV153" s="16">
        <v>0</v>
      </c>
      <c r="BW153" s="16">
        <v>0</v>
      </c>
      <c r="BX153" s="16">
        <v>0</v>
      </c>
      <c r="BY153" s="16">
        <v>0</v>
      </c>
      <c r="BZ153" s="16">
        <v>0</v>
      </c>
      <c r="CA153" s="16">
        <v>0</v>
      </c>
      <c r="CB153" s="16">
        <v>0</v>
      </c>
      <c r="CC153" s="16">
        <v>0</v>
      </c>
      <c r="CD153" s="16">
        <v>0</v>
      </c>
      <c r="CE153" s="16">
        <v>0</v>
      </c>
      <c r="CF153" s="16">
        <v>0</v>
      </c>
      <c r="CG153" s="16">
        <v>0</v>
      </c>
      <c r="CH153" s="16">
        <v>0</v>
      </c>
      <c r="CI153" s="16">
        <v>0</v>
      </c>
      <c r="CJ153" s="16">
        <v>0</v>
      </c>
      <c r="CK153" s="16">
        <v>0</v>
      </c>
      <c r="CL153" s="16">
        <v>0</v>
      </c>
      <c r="CM153" s="16">
        <v>0</v>
      </c>
      <c r="CN153" s="16">
        <v>0</v>
      </c>
      <c r="CO153" s="16">
        <v>0</v>
      </c>
      <c r="CP153" s="16">
        <v>0</v>
      </c>
      <c r="CQ153" s="16">
        <v>0</v>
      </c>
      <c r="CR153" s="16">
        <v>0</v>
      </c>
      <c r="CS153" s="16">
        <v>0</v>
      </c>
      <c r="CT153" s="16">
        <v>0</v>
      </c>
      <c r="CU153" s="16">
        <v>0</v>
      </c>
      <c r="CV153" s="16">
        <v>0</v>
      </c>
      <c r="CW153" s="16">
        <v>0</v>
      </c>
      <c r="CX153" s="16">
        <v>0</v>
      </c>
      <c r="CY153" s="16">
        <v>0</v>
      </c>
      <c r="CZ153" s="16">
        <v>0</v>
      </c>
      <c r="DA153" s="16">
        <v>0</v>
      </c>
      <c r="DB153" s="16">
        <v>0</v>
      </c>
      <c r="DC153" s="16">
        <v>0</v>
      </c>
      <c r="DD153" s="16">
        <v>0</v>
      </c>
      <c r="DE153" s="16">
        <v>0</v>
      </c>
      <c r="DF153" s="16">
        <v>0</v>
      </c>
      <c r="DG153" s="16">
        <v>0</v>
      </c>
      <c r="DH153" s="16">
        <v>0</v>
      </c>
      <c r="DI153" s="16">
        <v>0</v>
      </c>
      <c r="DJ153" s="16">
        <v>0</v>
      </c>
      <c r="DK153" s="16">
        <v>0</v>
      </c>
      <c r="DL153" s="16">
        <v>0</v>
      </c>
      <c r="DM153" s="16">
        <v>0</v>
      </c>
      <c r="DN153" s="16">
        <v>0</v>
      </c>
      <c r="DO153" s="16">
        <v>0</v>
      </c>
      <c r="DP153" s="16">
        <v>0</v>
      </c>
      <c r="DQ153" s="16">
        <v>0</v>
      </c>
      <c r="DR153" s="16">
        <v>0</v>
      </c>
      <c r="DS153" s="16">
        <v>0</v>
      </c>
      <c r="DT153" s="16">
        <v>0</v>
      </c>
      <c r="DU153" s="16">
        <v>0</v>
      </c>
      <c r="DV153" s="16">
        <v>0</v>
      </c>
      <c r="DW153" s="16">
        <v>0</v>
      </c>
      <c r="DX153" s="16">
        <v>0</v>
      </c>
      <c r="DY153" s="16">
        <v>0</v>
      </c>
      <c r="DZ153" s="16">
        <v>0</v>
      </c>
      <c r="EA153" s="16">
        <v>0</v>
      </c>
      <c r="EB153" s="16">
        <v>0</v>
      </c>
      <c r="EC153" s="16">
        <v>0</v>
      </c>
      <c r="ED153" s="16">
        <v>0</v>
      </c>
      <c r="EE153" s="16">
        <v>0</v>
      </c>
      <c r="EF153" s="16">
        <v>0</v>
      </c>
      <c r="EG153" s="16">
        <v>0</v>
      </c>
      <c r="EH153" s="16">
        <v>0</v>
      </c>
      <c r="EI153" s="16">
        <v>0</v>
      </c>
      <c r="EJ153" s="16">
        <v>0</v>
      </c>
      <c r="EK153" s="16">
        <v>0</v>
      </c>
      <c r="EL153" s="16">
        <v>0</v>
      </c>
      <c r="EM153" s="16">
        <v>0</v>
      </c>
      <c r="EN153" s="16">
        <v>0</v>
      </c>
      <c r="EO153" s="16">
        <v>0</v>
      </c>
      <c r="EP153" s="16">
        <v>0</v>
      </c>
      <c r="EQ153" s="16">
        <v>0</v>
      </c>
      <c r="ER153" s="16">
        <v>0</v>
      </c>
      <c r="ES153" s="16">
        <v>0</v>
      </c>
      <c r="ET153" s="16">
        <v>0</v>
      </c>
      <c r="EU153" s="16">
        <v>0</v>
      </c>
      <c r="EV153" s="16">
        <v>0</v>
      </c>
      <c r="EW153" s="16">
        <v>85021</v>
      </c>
      <c r="EX153" s="16">
        <v>973573</v>
      </c>
      <c r="EY153" s="16">
        <v>320759</v>
      </c>
      <c r="EZ153" s="16">
        <v>114591</v>
      </c>
      <c r="FA153" s="16">
        <v>802058</v>
      </c>
      <c r="FB153" s="16">
        <v>642076</v>
      </c>
      <c r="FC153" s="16">
        <v>0</v>
      </c>
      <c r="FD153" s="16">
        <v>136409</v>
      </c>
      <c r="FE153" s="16">
        <v>117614</v>
      </c>
      <c r="FF153" s="16">
        <v>32282</v>
      </c>
      <c r="FG153" s="16">
        <v>0</v>
      </c>
      <c r="FH153" s="16">
        <v>0</v>
      </c>
      <c r="FI153" s="16">
        <v>0</v>
      </c>
      <c r="FJ153" s="16">
        <v>0</v>
      </c>
      <c r="FK153" s="16">
        <v>0</v>
      </c>
      <c r="FL153" s="16">
        <v>0</v>
      </c>
      <c r="FM153" s="16">
        <v>0</v>
      </c>
      <c r="FN153" s="16">
        <v>0</v>
      </c>
      <c r="FO153" s="16">
        <v>0</v>
      </c>
      <c r="FP153" s="16">
        <v>32016</v>
      </c>
      <c r="FQ153" s="16">
        <v>789</v>
      </c>
      <c r="FR153" s="16">
        <v>3108</v>
      </c>
      <c r="FS153" s="16">
        <v>0</v>
      </c>
      <c r="FT153" s="16">
        <v>0</v>
      </c>
      <c r="FU153" s="16">
        <v>162659</v>
      </c>
      <c r="FV153" s="16">
        <v>0</v>
      </c>
      <c r="FW153" s="16">
        <v>0</v>
      </c>
      <c r="FX153" s="16">
        <v>0</v>
      </c>
      <c r="FY153" s="16">
        <v>0</v>
      </c>
      <c r="FZ153" s="16">
        <v>0</v>
      </c>
      <c r="GA153" s="16">
        <v>0</v>
      </c>
      <c r="GB153" s="16">
        <v>0</v>
      </c>
      <c r="GC153" s="16">
        <v>0</v>
      </c>
      <c r="GD153" s="16">
        <v>0</v>
      </c>
      <c r="GE153" s="16">
        <v>0</v>
      </c>
      <c r="GF153" s="16">
        <v>0</v>
      </c>
      <c r="GG153" s="16">
        <v>0</v>
      </c>
      <c r="GH153" s="16">
        <v>0</v>
      </c>
      <c r="GI153" s="16">
        <v>0</v>
      </c>
      <c r="GJ153" s="16">
        <v>0</v>
      </c>
      <c r="GK153" s="16">
        <v>0</v>
      </c>
      <c r="GL153" s="16">
        <v>0</v>
      </c>
      <c r="GM153" s="16">
        <v>0</v>
      </c>
      <c r="GN153" s="16">
        <v>0</v>
      </c>
      <c r="GO153" s="16">
        <v>0</v>
      </c>
      <c r="GP153" s="16">
        <v>0</v>
      </c>
      <c r="GQ153" s="16">
        <v>0</v>
      </c>
      <c r="GR153" s="16">
        <v>0</v>
      </c>
      <c r="GS153" s="16">
        <v>0</v>
      </c>
      <c r="GT153" s="16">
        <v>0</v>
      </c>
      <c r="GU153" s="16">
        <v>0</v>
      </c>
      <c r="GV153" s="16">
        <v>0</v>
      </c>
      <c r="GW153" s="16">
        <v>0</v>
      </c>
      <c r="GX153" s="16">
        <v>0</v>
      </c>
      <c r="GY153" s="16">
        <v>0</v>
      </c>
      <c r="GZ153" s="16">
        <v>0</v>
      </c>
      <c r="HA153" s="16">
        <v>0</v>
      </c>
      <c r="HB153" s="16">
        <v>0</v>
      </c>
      <c r="HC153" s="16">
        <v>0</v>
      </c>
      <c r="HD153" s="16">
        <v>0</v>
      </c>
      <c r="HE153" s="16">
        <v>0</v>
      </c>
      <c r="HF153" s="16">
        <v>0</v>
      </c>
      <c r="HG153" s="16">
        <v>0</v>
      </c>
      <c r="HH153" s="16">
        <v>0</v>
      </c>
      <c r="HI153" s="16">
        <v>0</v>
      </c>
      <c r="HJ153" s="16">
        <v>0</v>
      </c>
      <c r="HK153" s="16">
        <v>0</v>
      </c>
      <c r="HL153" s="16">
        <v>0</v>
      </c>
      <c r="HM153" s="16">
        <v>6712</v>
      </c>
      <c r="HN153" s="16">
        <v>4209</v>
      </c>
      <c r="HO153" s="16">
        <v>3116</v>
      </c>
      <c r="HP153" s="16">
        <v>0</v>
      </c>
      <c r="HQ153" s="16">
        <v>0</v>
      </c>
      <c r="HR153" s="16">
        <v>0</v>
      </c>
      <c r="HS153" s="16">
        <v>0</v>
      </c>
      <c r="HT153" s="16">
        <v>0</v>
      </c>
      <c r="HU153" s="16">
        <v>0</v>
      </c>
      <c r="HV153" s="16">
        <v>0</v>
      </c>
      <c r="HW153" s="16">
        <v>0</v>
      </c>
      <c r="HX153" s="16">
        <v>0</v>
      </c>
      <c r="HY153" s="16">
        <v>8851</v>
      </c>
      <c r="HZ153" s="16">
        <v>0</v>
      </c>
      <c r="IA153" s="16">
        <v>0</v>
      </c>
      <c r="IB153" s="16">
        <v>0</v>
      </c>
      <c r="IC153" s="16">
        <v>0</v>
      </c>
      <c r="ID153" s="16">
        <v>0</v>
      </c>
      <c r="IE153" s="16">
        <v>0</v>
      </c>
      <c r="IF153" s="16">
        <v>0</v>
      </c>
      <c r="IG153" s="16">
        <v>0</v>
      </c>
      <c r="IH153" s="16">
        <v>0</v>
      </c>
      <c r="II153" s="16">
        <v>0</v>
      </c>
      <c r="IJ153" s="16">
        <v>0</v>
      </c>
      <c r="IK153" s="16">
        <v>0</v>
      </c>
      <c r="IL153" s="16">
        <v>0</v>
      </c>
      <c r="IM153" s="16">
        <v>0</v>
      </c>
      <c r="IN153" s="16">
        <v>0</v>
      </c>
      <c r="IO153" s="16">
        <v>0</v>
      </c>
      <c r="IP153" s="16">
        <v>0</v>
      </c>
      <c r="IQ153" s="16">
        <v>0</v>
      </c>
      <c r="IR153" s="16">
        <v>0</v>
      </c>
      <c r="IS153" s="16">
        <v>0</v>
      </c>
      <c r="IT153" s="16">
        <v>0</v>
      </c>
      <c r="IU153" s="16">
        <v>0</v>
      </c>
      <c r="IV153" s="16">
        <v>0</v>
      </c>
      <c r="IW153" s="16">
        <v>0</v>
      </c>
      <c r="IX153" s="16">
        <v>0</v>
      </c>
      <c r="IY153" s="16">
        <v>0</v>
      </c>
      <c r="IZ153" s="16">
        <v>0</v>
      </c>
      <c r="JA153" s="16">
        <v>0</v>
      </c>
      <c r="JB153" s="16">
        <v>0</v>
      </c>
      <c r="JC153" s="16">
        <v>0</v>
      </c>
      <c r="JD153" s="16">
        <v>0</v>
      </c>
      <c r="JE153" s="16">
        <v>0</v>
      </c>
      <c r="JF153" s="16">
        <v>0</v>
      </c>
      <c r="JG153" s="16">
        <v>32419</v>
      </c>
      <c r="JH153" s="16">
        <v>0</v>
      </c>
      <c r="JI153" s="16">
        <v>0</v>
      </c>
      <c r="JJ153" s="16">
        <v>0</v>
      </c>
      <c r="JK153" s="16">
        <v>0</v>
      </c>
      <c r="JL153" s="16">
        <v>0</v>
      </c>
      <c r="JM153" s="16">
        <v>0</v>
      </c>
      <c r="JN153" s="16">
        <v>0</v>
      </c>
      <c r="JO153" s="16">
        <v>0</v>
      </c>
      <c r="JP153" s="16">
        <v>0</v>
      </c>
      <c r="JQ153" s="16">
        <v>0</v>
      </c>
      <c r="JR153" s="16">
        <v>0</v>
      </c>
      <c r="JS153" s="16">
        <v>0</v>
      </c>
      <c r="JT153" s="16">
        <v>0</v>
      </c>
      <c r="JU153" s="16">
        <v>0</v>
      </c>
      <c r="JV153" s="16">
        <v>0</v>
      </c>
      <c r="JW153" s="16">
        <v>0</v>
      </c>
      <c r="JX153" s="16">
        <v>0</v>
      </c>
      <c r="JY153" s="16">
        <v>0</v>
      </c>
      <c r="JZ153" s="16">
        <v>0</v>
      </c>
      <c r="KA153" s="16">
        <v>0</v>
      </c>
      <c r="KB153" s="16">
        <v>0</v>
      </c>
      <c r="KC153" s="16">
        <v>0</v>
      </c>
      <c r="KD153" s="16">
        <v>0</v>
      </c>
      <c r="KE153" s="16">
        <v>0</v>
      </c>
      <c r="KF153" s="16">
        <v>0</v>
      </c>
      <c r="KG153" s="16">
        <v>0</v>
      </c>
      <c r="KH153" s="16">
        <v>0</v>
      </c>
      <c r="KI153" s="16">
        <v>0</v>
      </c>
      <c r="KJ153" s="16">
        <v>0</v>
      </c>
      <c r="KK153" s="16">
        <v>0</v>
      </c>
      <c r="KL153" s="16">
        <v>0</v>
      </c>
      <c r="KM153" s="16">
        <v>0</v>
      </c>
      <c r="KN153" s="16">
        <v>0</v>
      </c>
      <c r="KO153" s="16">
        <v>0</v>
      </c>
      <c r="KP153" s="16">
        <v>0</v>
      </c>
      <c r="KQ153" s="16">
        <v>0</v>
      </c>
      <c r="KR153" s="16">
        <v>0</v>
      </c>
      <c r="KS153" s="16">
        <v>0</v>
      </c>
      <c r="KT153" s="16">
        <v>0</v>
      </c>
      <c r="KU153" s="16">
        <v>0</v>
      </c>
      <c r="KV153" s="16">
        <v>0</v>
      </c>
      <c r="KW153" s="16">
        <v>0</v>
      </c>
      <c r="KX153" s="16">
        <v>0</v>
      </c>
      <c r="KY153" s="16">
        <v>0</v>
      </c>
      <c r="KZ153" s="16">
        <v>0</v>
      </c>
      <c r="LA153" s="16">
        <v>0</v>
      </c>
      <c r="LB153" s="16">
        <v>0</v>
      </c>
      <c r="LC153" s="16">
        <v>0</v>
      </c>
      <c r="LD153" s="16">
        <v>0</v>
      </c>
      <c r="LE153" s="16">
        <v>0</v>
      </c>
      <c r="LF153" s="16">
        <v>0</v>
      </c>
      <c r="LG153" s="16">
        <v>0</v>
      </c>
      <c r="LH153" s="16">
        <v>0</v>
      </c>
      <c r="LI153" s="16">
        <v>0</v>
      </c>
      <c r="LJ153" s="16">
        <v>0</v>
      </c>
      <c r="LK153" s="16">
        <v>0</v>
      </c>
      <c r="LL153" s="16">
        <v>0</v>
      </c>
      <c r="LM153" s="16">
        <v>0</v>
      </c>
      <c r="LN153" s="16">
        <v>0</v>
      </c>
      <c r="LO153" s="16">
        <v>0</v>
      </c>
      <c r="LP153" s="16">
        <v>0</v>
      </c>
      <c r="LQ153" s="16">
        <v>0</v>
      </c>
      <c r="LR153" s="16">
        <v>0</v>
      </c>
      <c r="LS153" s="16">
        <v>0</v>
      </c>
      <c r="LT153" s="16">
        <v>0</v>
      </c>
      <c r="LU153" s="16">
        <v>0</v>
      </c>
      <c r="LV153" s="16">
        <v>0</v>
      </c>
      <c r="LW153" s="16">
        <v>0</v>
      </c>
      <c r="LX153" s="16">
        <v>0</v>
      </c>
      <c r="LY153" s="16">
        <v>0</v>
      </c>
      <c r="LZ153" s="16">
        <v>0</v>
      </c>
      <c r="MA153" s="16">
        <v>0</v>
      </c>
      <c r="MB153" s="16">
        <v>0</v>
      </c>
      <c r="MC153" s="16">
        <v>0</v>
      </c>
      <c r="MD153" s="16">
        <v>0</v>
      </c>
      <c r="ME153" s="16">
        <v>0</v>
      </c>
      <c r="MF153" s="16">
        <v>22328</v>
      </c>
      <c r="MG153" s="16">
        <v>0</v>
      </c>
      <c r="MH153" s="16">
        <v>0</v>
      </c>
      <c r="MI153" s="16">
        <v>0</v>
      </c>
      <c r="MJ153" s="16">
        <v>0</v>
      </c>
      <c r="MK153" s="16">
        <v>5744</v>
      </c>
      <c r="ML153" s="16">
        <v>0</v>
      </c>
      <c r="MM153" s="16">
        <v>0</v>
      </c>
      <c r="MN153" s="16">
        <v>0</v>
      </c>
      <c r="MO153" s="16">
        <v>0</v>
      </c>
      <c r="MP153" s="16">
        <v>0</v>
      </c>
      <c r="MQ153" s="16">
        <v>0</v>
      </c>
      <c r="MR153" s="16">
        <v>0</v>
      </c>
      <c r="MS153" s="16">
        <v>0</v>
      </c>
      <c r="MT153" s="16">
        <v>0</v>
      </c>
      <c r="MU153" s="16">
        <v>0</v>
      </c>
      <c r="MV153" s="16">
        <v>0</v>
      </c>
      <c r="MW153" s="16">
        <v>0</v>
      </c>
      <c r="MX153" s="16">
        <v>0</v>
      </c>
      <c r="MY153" s="16">
        <v>0</v>
      </c>
      <c r="MZ153" s="16">
        <v>0</v>
      </c>
      <c r="NA153" s="16">
        <v>0</v>
      </c>
      <c r="NB153" s="16">
        <v>0</v>
      </c>
      <c r="NC153" s="16">
        <v>0</v>
      </c>
      <c r="ND153" s="16">
        <v>0</v>
      </c>
      <c r="NE153" s="16">
        <v>0</v>
      </c>
      <c r="NF153" s="16">
        <v>0</v>
      </c>
      <c r="NG153" s="16">
        <v>0</v>
      </c>
      <c r="NH153" s="16">
        <v>0</v>
      </c>
      <c r="NI153" s="16">
        <v>0</v>
      </c>
      <c r="NJ153" s="16">
        <v>0</v>
      </c>
      <c r="NK153" s="16">
        <v>0</v>
      </c>
      <c r="NL153" s="16">
        <v>0</v>
      </c>
      <c r="NM153" s="16">
        <v>0</v>
      </c>
      <c r="NN153" s="16">
        <v>0</v>
      </c>
      <c r="NO153" s="16">
        <v>0</v>
      </c>
      <c r="NP153" s="16">
        <v>0</v>
      </c>
      <c r="NQ153" s="16">
        <v>0</v>
      </c>
      <c r="NR153" s="17">
        <v>3506334</v>
      </c>
    </row>
    <row r="154" spans="1:382" ht="13.5" customHeight="1" x14ac:dyDescent="0.2">
      <c r="A154" s="2" t="s">
        <v>315</v>
      </c>
      <c r="B154" s="16">
        <v>0</v>
      </c>
      <c r="C154" s="16">
        <v>0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526</v>
      </c>
      <c r="P154" s="16">
        <v>9132</v>
      </c>
      <c r="Q154" s="16">
        <v>3243</v>
      </c>
      <c r="R154" s="16">
        <v>1438</v>
      </c>
      <c r="S154" s="16">
        <v>2155</v>
      </c>
      <c r="T154" s="16">
        <v>0</v>
      </c>
      <c r="U154" s="16">
        <v>0</v>
      </c>
      <c r="V154" s="16">
        <v>0</v>
      </c>
      <c r="W154" s="16">
        <v>0</v>
      </c>
      <c r="X154" s="16">
        <v>618</v>
      </c>
      <c r="Y154" s="16">
        <v>0</v>
      </c>
      <c r="Z154" s="16">
        <v>345</v>
      </c>
      <c r="AA154" s="16">
        <v>51</v>
      </c>
      <c r="AB154" s="16">
        <v>0</v>
      </c>
      <c r="AC154" s="16">
        <v>0</v>
      </c>
      <c r="AD154" s="16">
        <v>0</v>
      </c>
      <c r="AE154" s="16">
        <v>40</v>
      </c>
      <c r="AF154" s="16">
        <v>34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6">
        <v>0</v>
      </c>
      <c r="BD154" s="16">
        <v>0</v>
      </c>
      <c r="BE154" s="16">
        <v>0</v>
      </c>
      <c r="BF154" s="16">
        <v>0</v>
      </c>
      <c r="BG154" s="16">
        <v>0</v>
      </c>
      <c r="BH154" s="16">
        <v>0</v>
      </c>
      <c r="BI154" s="16">
        <v>0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16">
        <v>0</v>
      </c>
      <c r="BP154" s="16">
        <v>316</v>
      </c>
      <c r="BQ154" s="16">
        <v>566</v>
      </c>
      <c r="BR154" s="16">
        <v>5502</v>
      </c>
      <c r="BS154" s="16">
        <v>0</v>
      </c>
      <c r="BT154" s="16">
        <v>0</v>
      </c>
      <c r="BU154" s="16">
        <v>0</v>
      </c>
      <c r="BV154" s="16">
        <v>0</v>
      </c>
      <c r="BW154" s="16">
        <v>0</v>
      </c>
      <c r="BX154" s="16">
        <v>64</v>
      </c>
      <c r="BY154" s="16">
        <v>0</v>
      </c>
      <c r="BZ154" s="16">
        <v>0</v>
      </c>
      <c r="CA154" s="16">
        <v>0</v>
      </c>
      <c r="CB154" s="16">
        <v>0</v>
      </c>
      <c r="CC154" s="16">
        <v>0</v>
      </c>
      <c r="CD154" s="16">
        <v>0</v>
      </c>
      <c r="CE154" s="16">
        <v>0</v>
      </c>
      <c r="CF154" s="16">
        <v>0</v>
      </c>
      <c r="CG154" s="16">
        <v>0</v>
      </c>
      <c r="CH154" s="16">
        <v>0</v>
      </c>
      <c r="CI154" s="16">
        <v>0</v>
      </c>
      <c r="CJ154" s="16">
        <v>0</v>
      </c>
      <c r="CK154" s="16">
        <v>0</v>
      </c>
      <c r="CL154" s="16">
        <v>0</v>
      </c>
      <c r="CM154" s="16">
        <v>0</v>
      </c>
      <c r="CN154" s="16">
        <v>0</v>
      </c>
      <c r="CO154" s="16">
        <v>0</v>
      </c>
      <c r="CP154" s="16">
        <v>0</v>
      </c>
      <c r="CQ154" s="16">
        <v>0</v>
      </c>
      <c r="CR154" s="16">
        <v>220</v>
      </c>
      <c r="CS154" s="16">
        <v>35</v>
      </c>
      <c r="CT154" s="16">
        <v>0</v>
      </c>
      <c r="CU154" s="16">
        <v>0</v>
      </c>
      <c r="CV154" s="16">
        <v>0</v>
      </c>
      <c r="CW154" s="16">
        <v>26</v>
      </c>
      <c r="CX154" s="16">
        <v>62</v>
      </c>
      <c r="CY154" s="16">
        <v>0</v>
      </c>
      <c r="CZ154" s="16">
        <v>0</v>
      </c>
      <c r="DA154" s="16">
        <v>0</v>
      </c>
      <c r="DB154" s="16">
        <v>344</v>
      </c>
      <c r="DC154" s="16">
        <v>0</v>
      </c>
      <c r="DD154" s="16">
        <v>0</v>
      </c>
      <c r="DE154" s="16">
        <v>0</v>
      </c>
      <c r="DF154" s="16">
        <v>102</v>
      </c>
      <c r="DG154" s="16">
        <v>0</v>
      </c>
      <c r="DH154" s="16">
        <v>0</v>
      </c>
      <c r="DI154" s="16">
        <v>0</v>
      </c>
      <c r="DJ154" s="16">
        <v>292</v>
      </c>
      <c r="DK154" s="16">
        <v>0</v>
      </c>
      <c r="DL154" s="16">
        <v>0</v>
      </c>
      <c r="DM154" s="16">
        <v>0</v>
      </c>
      <c r="DN154" s="16">
        <v>0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6">
        <v>0</v>
      </c>
      <c r="DV154" s="16">
        <v>2171</v>
      </c>
      <c r="DW154" s="16">
        <v>192</v>
      </c>
      <c r="DX154" s="16">
        <v>73</v>
      </c>
      <c r="DY154" s="16">
        <v>390</v>
      </c>
      <c r="DZ154" s="16">
        <v>285</v>
      </c>
      <c r="EA154" s="16">
        <v>185</v>
      </c>
      <c r="EB154" s="16">
        <v>0</v>
      </c>
      <c r="EC154" s="16">
        <v>1138</v>
      </c>
      <c r="ED154" s="16">
        <v>53</v>
      </c>
      <c r="EE154" s="16">
        <v>0</v>
      </c>
      <c r="EF154" s="16">
        <v>13</v>
      </c>
      <c r="EG154" s="16">
        <v>24</v>
      </c>
      <c r="EH154" s="16">
        <v>0</v>
      </c>
      <c r="EI154" s="16">
        <v>0</v>
      </c>
      <c r="EJ154" s="16">
        <v>0</v>
      </c>
      <c r="EK154" s="16">
        <v>10</v>
      </c>
      <c r="EL154" s="16">
        <v>165</v>
      </c>
      <c r="EM154" s="16">
        <v>855</v>
      </c>
      <c r="EN154" s="16">
        <v>11438</v>
      </c>
      <c r="EO154" s="16">
        <v>430397</v>
      </c>
      <c r="EP154" s="16">
        <v>0</v>
      </c>
      <c r="EQ154" s="16">
        <v>0</v>
      </c>
      <c r="ER154" s="16">
        <v>0</v>
      </c>
      <c r="ES154" s="16">
        <v>39</v>
      </c>
      <c r="ET154" s="16">
        <v>523</v>
      </c>
      <c r="EU154" s="16">
        <v>0</v>
      </c>
      <c r="EV154" s="16">
        <v>292</v>
      </c>
      <c r="EW154" s="16">
        <v>11601</v>
      </c>
      <c r="EX154" s="16">
        <v>122044</v>
      </c>
      <c r="EY154" s="16">
        <v>0</v>
      </c>
      <c r="EZ154" s="16">
        <v>21516</v>
      </c>
      <c r="FA154" s="16">
        <v>573</v>
      </c>
      <c r="FB154" s="16">
        <v>0</v>
      </c>
      <c r="FC154" s="16">
        <v>205428</v>
      </c>
      <c r="FD154" s="16">
        <v>43468</v>
      </c>
      <c r="FE154" s="16">
        <v>75216</v>
      </c>
      <c r="FF154" s="16">
        <v>2405</v>
      </c>
      <c r="FG154" s="16">
        <v>49111</v>
      </c>
      <c r="FH154" s="16">
        <v>148</v>
      </c>
      <c r="FI154" s="16">
        <v>0</v>
      </c>
      <c r="FJ154" s="16">
        <v>488</v>
      </c>
      <c r="FK154" s="16">
        <v>0</v>
      </c>
      <c r="FL154" s="16">
        <v>846</v>
      </c>
      <c r="FM154" s="16">
        <v>0</v>
      </c>
      <c r="FN154" s="16">
        <v>12789</v>
      </c>
      <c r="FO154" s="16">
        <v>12679</v>
      </c>
      <c r="FP154" s="16">
        <v>47167</v>
      </c>
      <c r="FQ154" s="16">
        <v>242806</v>
      </c>
      <c r="FR154" s="16">
        <v>175184</v>
      </c>
      <c r="FS154" s="16">
        <v>33567</v>
      </c>
      <c r="FT154" s="16">
        <v>22095</v>
      </c>
      <c r="FU154" s="16">
        <v>23618</v>
      </c>
      <c r="FV154" s="16">
        <v>40892</v>
      </c>
      <c r="FW154" s="16">
        <v>5117</v>
      </c>
      <c r="FX154" s="16">
        <v>138469</v>
      </c>
      <c r="FY154" s="16">
        <v>18490</v>
      </c>
      <c r="FZ154" s="16">
        <v>60018</v>
      </c>
      <c r="GA154" s="16">
        <v>212947</v>
      </c>
      <c r="GB154" s="16">
        <v>588919</v>
      </c>
      <c r="GC154" s="16">
        <v>884</v>
      </c>
      <c r="GD154" s="16">
        <v>124701</v>
      </c>
      <c r="GE154" s="16">
        <v>21</v>
      </c>
      <c r="GF154" s="16">
        <v>30</v>
      </c>
      <c r="GG154" s="16">
        <v>1</v>
      </c>
      <c r="GH154" s="16">
        <v>29</v>
      </c>
      <c r="GI154" s="16">
        <v>78</v>
      </c>
      <c r="GJ154" s="16">
        <v>0</v>
      </c>
      <c r="GK154" s="16">
        <v>206</v>
      </c>
      <c r="GL154" s="16">
        <v>0</v>
      </c>
      <c r="GM154" s="16">
        <v>200</v>
      </c>
      <c r="GN154" s="16">
        <v>0</v>
      </c>
      <c r="GO154" s="16">
        <v>0</v>
      </c>
      <c r="GP154" s="16">
        <v>16</v>
      </c>
      <c r="GQ154" s="16">
        <v>8</v>
      </c>
      <c r="GR154" s="16">
        <v>0</v>
      </c>
      <c r="GS154" s="16">
        <v>53</v>
      </c>
      <c r="GT154" s="16">
        <v>9</v>
      </c>
      <c r="GU154" s="16">
        <v>612</v>
      </c>
      <c r="GV154" s="16">
        <v>15</v>
      </c>
      <c r="GW154" s="16">
        <v>2</v>
      </c>
      <c r="GX154" s="16">
        <v>5</v>
      </c>
      <c r="GY154" s="16">
        <v>0</v>
      </c>
      <c r="GZ154" s="16">
        <v>520</v>
      </c>
      <c r="HA154" s="16">
        <v>115</v>
      </c>
      <c r="HB154" s="16">
        <v>495</v>
      </c>
      <c r="HC154" s="16">
        <v>3</v>
      </c>
      <c r="HD154" s="16">
        <v>14</v>
      </c>
      <c r="HE154" s="16">
        <v>125</v>
      </c>
      <c r="HF154" s="16">
        <v>575</v>
      </c>
      <c r="HG154" s="16">
        <v>962</v>
      </c>
      <c r="HH154" s="16">
        <v>95</v>
      </c>
      <c r="HI154" s="16">
        <v>612</v>
      </c>
      <c r="HJ154" s="16">
        <v>2</v>
      </c>
      <c r="HK154" s="16">
        <v>44</v>
      </c>
      <c r="HL154" s="16">
        <v>1693</v>
      </c>
      <c r="HM154" s="16">
        <v>17697</v>
      </c>
      <c r="HN154" s="16">
        <v>18093</v>
      </c>
      <c r="HO154" s="16">
        <v>20781</v>
      </c>
      <c r="HP154" s="16">
        <v>40802</v>
      </c>
      <c r="HQ154" s="16">
        <v>12056</v>
      </c>
      <c r="HR154" s="16">
        <v>1677</v>
      </c>
      <c r="HS154" s="16">
        <v>5365</v>
      </c>
      <c r="HT154" s="16">
        <v>36</v>
      </c>
      <c r="HU154" s="16">
        <v>16626</v>
      </c>
      <c r="HV154" s="16">
        <v>5069</v>
      </c>
      <c r="HW154" s="16">
        <v>152286</v>
      </c>
      <c r="HX154" s="16">
        <v>31646</v>
      </c>
      <c r="HY154" s="16">
        <v>14762</v>
      </c>
      <c r="HZ154" s="16">
        <v>13155</v>
      </c>
      <c r="IA154" s="16">
        <v>4359</v>
      </c>
      <c r="IB154" s="16">
        <v>1565</v>
      </c>
      <c r="IC154" s="16">
        <v>2034</v>
      </c>
      <c r="ID154" s="16">
        <v>2496</v>
      </c>
      <c r="IE154" s="16">
        <v>929</v>
      </c>
      <c r="IF154" s="16">
        <v>3111</v>
      </c>
      <c r="IG154" s="16">
        <v>32716</v>
      </c>
      <c r="IH154" s="16">
        <v>87182</v>
      </c>
      <c r="II154" s="16">
        <v>13701</v>
      </c>
      <c r="IJ154" s="16">
        <v>5949</v>
      </c>
      <c r="IK154" s="16">
        <v>20262</v>
      </c>
      <c r="IL154" s="16">
        <v>30294</v>
      </c>
      <c r="IM154" s="16">
        <v>12209</v>
      </c>
      <c r="IN154" s="16">
        <v>7615</v>
      </c>
      <c r="IO154" s="16">
        <v>1704483</v>
      </c>
      <c r="IP154" s="16">
        <v>36552</v>
      </c>
      <c r="IQ154" s="16">
        <v>8859</v>
      </c>
      <c r="IR154" s="16">
        <v>21528</v>
      </c>
      <c r="IS154" s="16">
        <v>57145</v>
      </c>
      <c r="IT154" s="16">
        <v>4649</v>
      </c>
      <c r="IU154" s="16">
        <v>244</v>
      </c>
      <c r="IV154" s="16">
        <v>9224</v>
      </c>
      <c r="IW154" s="16">
        <v>95</v>
      </c>
      <c r="IX154" s="16">
        <v>567</v>
      </c>
      <c r="IY154" s="16">
        <v>0</v>
      </c>
      <c r="IZ154" s="16">
        <v>14</v>
      </c>
      <c r="JA154" s="16">
        <v>510</v>
      </c>
      <c r="JB154" s="16">
        <v>0</v>
      </c>
      <c r="JC154" s="16">
        <v>0</v>
      </c>
      <c r="JD154" s="16">
        <v>837</v>
      </c>
      <c r="JE154" s="16">
        <v>329</v>
      </c>
      <c r="JF154" s="16">
        <v>0</v>
      </c>
      <c r="JG154" s="16">
        <v>60039</v>
      </c>
      <c r="JH154" s="16">
        <v>0</v>
      </c>
      <c r="JI154" s="16">
        <v>0</v>
      </c>
      <c r="JJ154" s="16">
        <v>2149</v>
      </c>
      <c r="JK154" s="16">
        <v>66</v>
      </c>
      <c r="JL154" s="16">
        <v>0</v>
      </c>
      <c r="JM154" s="16">
        <v>3668</v>
      </c>
      <c r="JN154" s="16">
        <v>52970</v>
      </c>
      <c r="JO154" s="16">
        <v>0</v>
      </c>
      <c r="JP154" s="16">
        <v>0</v>
      </c>
      <c r="JQ154" s="16">
        <v>0</v>
      </c>
      <c r="JR154" s="16">
        <v>0</v>
      </c>
      <c r="JS154" s="16">
        <v>0</v>
      </c>
      <c r="JT154" s="16">
        <v>0</v>
      </c>
      <c r="JU154" s="16">
        <v>0</v>
      </c>
      <c r="JV154" s="16">
        <v>10094</v>
      </c>
      <c r="JW154" s="16">
        <v>4835522</v>
      </c>
      <c r="JX154" s="16">
        <v>4371410</v>
      </c>
      <c r="JY154" s="16">
        <v>316115</v>
      </c>
      <c r="JZ154" s="16">
        <v>339851</v>
      </c>
      <c r="KA154" s="16">
        <v>121677</v>
      </c>
      <c r="KB154" s="16">
        <v>42924</v>
      </c>
      <c r="KC154" s="16">
        <v>55015</v>
      </c>
      <c r="KD154" s="16">
        <v>43986</v>
      </c>
      <c r="KE154" s="16">
        <v>23550</v>
      </c>
      <c r="KF154" s="16">
        <v>222985</v>
      </c>
      <c r="KG154" s="16">
        <v>108563</v>
      </c>
      <c r="KH154" s="16">
        <v>57511</v>
      </c>
      <c r="KI154" s="16">
        <v>119260</v>
      </c>
      <c r="KJ154" s="16">
        <v>111832</v>
      </c>
      <c r="KK154" s="16">
        <v>0</v>
      </c>
      <c r="KL154" s="16">
        <v>48</v>
      </c>
      <c r="KM154" s="16">
        <v>275</v>
      </c>
      <c r="KN154" s="16">
        <v>42</v>
      </c>
      <c r="KO154" s="16">
        <v>0</v>
      </c>
      <c r="KP154" s="16">
        <v>191</v>
      </c>
      <c r="KQ154" s="16">
        <v>16</v>
      </c>
      <c r="KR154" s="16">
        <v>0</v>
      </c>
      <c r="KS154" s="16">
        <v>0</v>
      </c>
      <c r="KT154" s="16">
        <v>0</v>
      </c>
      <c r="KU154" s="16">
        <v>0</v>
      </c>
      <c r="KV154" s="16">
        <v>0</v>
      </c>
      <c r="KW154" s="16">
        <v>0</v>
      </c>
      <c r="KX154" s="16">
        <v>0</v>
      </c>
      <c r="KY154" s="16">
        <v>0</v>
      </c>
      <c r="KZ154" s="16">
        <v>0</v>
      </c>
      <c r="LA154" s="16">
        <v>0</v>
      </c>
      <c r="LB154" s="16">
        <v>0</v>
      </c>
      <c r="LC154" s="16">
        <v>0</v>
      </c>
      <c r="LD154" s="16">
        <v>0</v>
      </c>
      <c r="LE154" s="16">
        <v>0</v>
      </c>
      <c r="LF154" s="16">
        <v>0</v>
      </c>
      <c r="LG154" s="16">
        <v>0</v>
      </c>
      <c r="LH154" s="16">
        <v>0</v>
      </c>
      <c r="LI154" s="16">
        <v>0</v>
      </c>
      <c r="LJ154" s="16">
        <v>0</v>
      </c>
      <c r="LK154" s="16">
        <v>0</v>
      </c>
      <c r="LL154" s="16">
        <v>0</v>
      </c>
      <c r="LM154" s="16">
        <v>0</v>
      </c>
      <c r="LN154" s="16">
        <v>0</v>
      </c>
      <c r="LO154" s="16">
        <v>0</v>
      </c>
      <c r="LP154" s="16">
        <v>0</v>
      </c>
      <c r="LQ154" s="16">
        <v>0</v>
      </c>
      <c r="LR154" s="16">
        <v>0</v>
      </c>
      <c r="LS154" s="16">
        <v>0</v>
      </c>
      <c r="LT154" s="16">
        <v>0</v>
      </c>
      <c r="LU154" s="16">
        <v>0</v>
      </c>
      <c r="LV154" s="16">
        <v>0</v>
      </c>
      <c r="LW154" s="16">
        <v>0</v>
      </c>
      <c r="LX154" s="16">
        <v>0</v>
      </c>
      <c r="LY154" s="16">
        <v>0</v>
      </c>
      <c r="LZ154" s="16">
        <v>0</v>
      </c>
      <c r="MA154" s="16">
        <v>0</v>
      </c>
      <c r="MB154" s="16">
        <v>0</v>
      </c>
      <c r="MC154" s="16">
        <v>0</v>
      </c>
      <c r="MD154" s="16">
        <v>0</v>
      </c>
      <c r="ME154" s="16">
        <v>0</v>
      </c>
      <c r="MF154" s="16">
        <v>28143</v>
      </c>
      <c r="MG154" s="16">
        <v>0</v>
      </c>
      <c r="MH154" s="16">
        <v>0</v>
      </c>
      <c r="MI154" s="16">
        <v>0</v>
      </c>
      <c r="MJ154" s="16">
        <v>0</v>
      </c>
      <c r="MK154" s="16">
        <v>1411</v>
      </c>
      <c r="ML154" s="16">
        <v>698</v>
      </c>
      <c r="MM154" s="16">
        <v>0</v>
      </c>
      <c r="MN154" s="16">
        <v>0</v>
      </c>
      <c r="MO154" s="16">
        <v>0</v>
      </c>
      <c r="MP154" s="16">
        <v>0</v>
      </c>
      <c r="MQ154" s="16">
        <v>0</v>
      </c>
      <c r="MR154" s="16">
        <v>1010</v>
      </c>
      <c r="MS154" s="16">
        <v>0</v>
      </c>
      <c r="MT154" s="16">
        <v>0</v>
      </c>
      <c r="MU154" s="16">
        <v>365</v>
      </c>
      <c r="MV154" s="16">
        <v>4244</v>
      </c>
      <c r="MW154" s="16">
        <v>0</v>
      </c>
      <c r="MX154" s="16">
        <v>0</v>
      </c>
      <c r="MY154" s="16">
        <v>0</v>
      </c>
      <c r="MZ154" s="16">
        <v>4571</v>
      </c>
      <c r="NA154" s="16">
        <v>0</v>
      </c>
      <c r="NB154" s="16">
        <v>31070</v>
      </c>
      <c r="NC154" s="16">
        <v>0</v>
      </c>
      <c r="ND154" s="16">
        <v>0</v>
      </c>
      <c r="NE154" s="16">
        <v>0</v>
      </c>
      <c r="NF154" s="16">
        <v>0</v>
      </c>
      <c r="NG154" s="16">
        <v>0</v>
      </c>
      <c r="NH154" s="16">
        <v>0</v>
      </c>
      <c r="NI154" s="16">
        <v>0</v>
      </c>
      <c r="NJ154" s="16">
        <v>0</v>
      </c>
      <c r="NK154" s="16">
        <v>242</v>
      </c>
      <c r="NL154" s="16">
        <v>0</v>
      </c>
      <c r="NM154" s="16">
        <v>0</v>
      </c>
      <c r="NN154" s="16">
        <v>0</v>
      </c>
      <c r="NO154" s="16">
        <v>0</v>
      </c>
      <c r="NP154" s="16">
        <v>0</v>
      </c>
      <c r="NQ154" s="16">
        <v>45</v>
      </c>
      <c r="NR154" s="17">
        <v>16164147</v>
      </c>
    </row>
    <row r="155" spans="1:382" ht="13.5" customHeight="1" x14ac:dyDescent="0.2">
      <c r="A155" s="2" t="s">
        <v>317</v>
      </c>
      <c r="B155" s="16">
        <v>0</v>
      </c>
      <c r="C155" s="16">
        <v>0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8</v>
      </c>
      <c r="AA155" s="16">
        <v>4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16">
        <v>0</v>
      </c>
      <c r="BP155" s="16">
        <v>0</v>
      </c>
      <c r="BQ155" s="16">
        <v>0</v>
      </c>
      <c r="BR155" s="16">
        <v>0</v>
      </c>
      <c r="BS155" s="16">
        <v>0</v>
      </c>
      <c r="BT155" s="16">
        <v>0</v>
      </c>
      <c r="BU155" s="16">
        <v>0</v>
      </c>
      <c r="BV155" s="16">
        <v>0</v>
      </c>
      <c r="BW155" s="16">
        <v>0</v>
      </c>
      <c r="BX155" s="16">
        <v>0</v>
      </c>
      <c r="BY155" s="16">
        <v>0</v>
      </c>
      <c r="BZ155" s="16">
        <v>0</v>
      </c>
      <c r="CA155" s="16">
        <v>0</v>
      </c>
      <c r="CB155" s="16">
        <v>0</v>
      </c>
      <c r="CC155" s="16">
        <v>0</v>
      </c>
      <c r="CD155" s="16">
        <v>0</v>
      </c>
      <c r="CE155" s="16">
        <v>0</v>
      </c>
      <c r="CF155" s="16">
        <v>0</v>
      </c>
      <c r="CG155" s="16">
        <v>0</v>
      </c>
      <c r="CH155" s="16">
        <v>0</v>
      </c>
      <c r="CI155" s="16">
        <v>0</v>
      </c>
      <c r="CJ155" s="16">
        <v>0</v>
      </c>
      <c r="CK155" s="16">
        <v>0</v>
      </c>
      <c r="CL155" s="16">
        <v>0</v>
      </c>
      <c r="CM155" s="16">
        <v>0</v>
      </c>
      <c r="CN155" s="16">
        <v>0</v>
      </c>
      <c r="CO155" s="16">
        <v>0</v>
      </c>
      <c r="CP155" s="16">
        <v>0</v>
      </c>
      <c r="CQ155" s="16">
        <v>0</v>
      </c>
      <c r="CR155" s="16">
        <v>0</v>
      </c>
      <c r="CS155" s="16">
        <v>0</v>
      </c>
      <c r="CT155" s="16">
        <v>0</v>
      </c>
      <c r="CU155" s="16">
        <v>0</v>
      </c>
      <c r="CV155" s="16">
        <v>0</v>
      </c>
      <c r="CW155" s="16">
        <v>0</v>
      </c>
      <c r="CX155" s="16">
        <v>0</v>
      </c>
      <c r="CY155" s="16">
        <v>0</v>
      </c>
      <c r="CZ155" s="16">
        <v>0</v>
      </c>
      <c r="DA155" s="16">
        <v>0</v>
      </c>
      <c r="DB155" s="16">
        <v>0</v>
      </c>
      <c r="DC155" s="16">
        <v>0</v>
      </c>
      <c r="DD155" s="16">
        <v>0</v>
      </c>
      <c r="DE155" s="16">
        <v>0</v>
      </c>
      <c r="DF155" s="16">
        <v>0</v>
      </c>
      <c r="DG155" s="16">
        <v>0</v>
      </c>
      <c r="DH155" s="16">
        <v>0</v>
      </c>
      <c r="DI155" s="16">
        <v>0</v>
      </c>
      <c r="DJ155" s="16">
        <v>0</v>
      </c>
      <c r="DK155" s="16">
        <v>0</v>
      </c>
      <c r="DL155" s="16">
        <v>0</v>
      </c>
      <c r="DM155" s="16">
        <v>0</v>
      </c>
      <c r="DN155" s="16">
        <v>0</v>
      </c>
      <c r="DO155" s="16">
        <v>0</v>
      </c>
      <c r="DP155" s="16">
        <v>0</v>
      </c>
      <c r="DQ155" s="16">
        <v>0</v>
      </c>
      <c r="DR155" s="16">
        <v>0</v>
      </c>
      <c r="DS155" s="16">
        <v>0</v>
      </c>
      <c r="DT155" s="16">
        <v>0</v>
      </c>
      <c r="DU155" s="16">
        <v>0</v>
      </c>
      <c r="DV155" s="16">
        <v>0</v>
      </c>
      <c r="DW155" s="16">
        <v>0</v>
      </c>
      <c r="DX155" s="16">
        <v>0</v>
      </c>
      <c r="DY155" s="16">
        <v>0</v>
      </c>
      <c r="DZ155" s="16">
        <v>0</v>
      </c>
      <c r="EA155" s="16">
        <v>0</v>
      </c>
      <c r="EB155" s="16">
        <v>0</v>
      </c>
      <c r="EC155" s="16">
        <v>0</v>
      </c>
      <c r="ED155" s="16">
        <v>0</v>
      </c>
      <c r="EE155" s="16">
        <v>0</v>
      </c>
      <c r="EF155" s="16">
        <v>0</v>
      </c>
      <c r="EG155" s="16">
        <v>0</v>
      </c>
      <c r="EH155" s="16">
        <v>0</v>
      </c>
      <c r="EI155" s="16">
        <v>0</v>
      </c>
      <c r="EJ155" s="16">
        <v>0</v>
      </c>
      <c r="EK155" s="16">
        <v>0</v>
      </c>
      <c r="EL155" s="16">
        <v>0</v>
      </c>
      <c r="EM155" s="16">
        <v>0</v>
      </c>
      <c r="EN155" s="16">
        <v>0</v>
      </c>
      <c r="EO155" s="16">
        <v>0</v>
      </c>
      <c r="EP155" s="16">
        <v>0</v>
      </c>
      <c r="EQ155" s="16">
        <v>0</v>
      </c>
      <c r="ER155" s="16">
        <v>0</v>
      </c>
      <c r="ES155" s="16">
        <v>0</v>
      </c>
      <c r="ET155" s="16">
        <v>0</v>
      </c>
      <c r="EU155" s="16">
        <v>0</v>
      </c>
      <c r="EV155" s="16">
        <v>0</v>
      </c>
      <c r="EW155" s="16">
        <v>0</v>
      </c>
      <c r="EX155" s="16">
        <v>0</v>
      </c>
      <c r="EY155" s="16">
        <v>2777</v>
      </c>
      <c r="EZ155" s="16">
        <v>0</v>
      </c>
      <c r="FA155" s="16">
        <v>0</v>
      </c>
      <c r="FB155" s="16">
        <v>0</v>
      </c>
      <c r="FC155" s="16">
        <v>0</v>
      </c>
      <c r="FD155" s="16">
        <v>0</v>
      </c>
      <c r="FE155" s="16">
        <v>0</v>
      </c>
      <c r="FF155" s="16">
        <v>1514</v>
      </c>
      <c r="FG155" s="16">
        <v>0</v>
      </c>
      <c r="FH155" s="16">
        <v>0</v>
      </c>
      <c r="FI155" s="16">
        <v>0</v>
      </c>
      <c r="FJ155" s="16">
        <v>0</v>
      </c>
      <c r="FK155" s="16">
        <v>0</v>
      </c>
      <c r="FL155" s="16">
        <v>0</v>
      </c>
      <c r="FM155" s="16">
        <v>0</v>
      </c>
      <c r="FN155" s="16">
        <v>0</v>
      </c>
      <c r="FO155" s="16">
        <v>6</v>
      </c>
      <c r="FP155" s="16">
        <v>27</v>
      </c>
      <c r="FQ155" s="16">
        <v>532148</v>
      </c>
      <c r="FR155" s="16">
        <v>1039460</v>
      </c>
      <c r="FS155" s="16">
        <v>32</v>
      </c>
      <c r="FT155" s="16">
        <v>4</v>
      </c>
      <c r="FU155" s="16">
        <v>8</v>
      </c>
      <c r="FV155" s="16">
        <v>35</v>
      </c>
      <c r="FW155" s="16">
        <v>0</v>
      </c>
      <c r="FX155" s="16">
        <v>9</v>
      </c>
      <c r="FY155" s="16">
        <v>1</v>
      </c>
      <c r="FZ155" s="16">
        <v>2</v>
      </c>
      <c r="GA155" s="16">
        <v>0</v>
      </c>
      <c r="GB155" s="16">
        <v>3</v>
      </c>
      <c r="GC155" s="16">
        <v>1</v>
      </c>
      <c r="GD155" s="16">
        <v>4</v>
      </c>
      <c r="GE155" s="16">
        <v>0</v>
      </c>
      <c r="GF155" s="16">
        <v>0</v>
      </c>
      <c r="GG155" s="16">
        <v>0</v>
      </c>
      <c r="GH155" s="16">
        <v>0</v>
      </c>
      <c r="GI155" s="16">
        <v>0</v>
      </c>
      <c r="GJ155" s="16">
        <v>0</v>
      </c>
      <c r="GK155" s="16">
        <v>0</v>
      </c>
      <c r="GL155" s="16">
        <v>0</v>
      </c>
      <c r="GM155" s="16">
        <v>0</v>
      </c>
      <c r="GN155" s="16">
        <v>0</v>
      </c>
      <c r="GO155" s="16">
        <v>0</v>
      </c>
      <c r="GP155" s="16">
        <v>0</v>
      </c>
      <c r="GQ155" s="16">
        <v>0</v>
      </c>
      <c r="GR155" s="16">
        <v>0</v>
      </c>
      <c r="GS155" s="16">
        <v>0</v>
      </c>
      <c r="GT155" s="16">
        <v>0</v>
      </c>
      <c r="GU155" s="16">
        <v>20</v>
      </c>
      <c r="GV155" s="16">
        <v>0</v>
      </c>
      <c r="GW155" s="16">
        <v>6</v>
      </c>
      <c r="GX155" s="16">
        <v>0</v>
      </c>
      <c r="GY155" s="16">
        <v>0</v>
      </c>
      <c r="GZ155" s="16">
        <v>18</v>
      </c>
      <c r="HA155" s="16">
        <v>7</v>
      </c>
      <c r="HB155" s="16">
        <v>0</v>
      </c>
      <c r="HC155" s="16">
        <v>7</v>
      </c>
      <c r="HD155" s="16">
        <v>23</v>
      </c>
      <c r="HE155" s="16">
        <v>0</v>
      </c>
      <c r="HF155" s="16">
        <v>0</v>
      </c>
      <c r="HG155" s="16">
        <v>0</v>
      </c>
      <c r="HH155" s="16">
        <v>0</v>
      </c>
      <c r="HI155" s="16">
        <v>38</v>
      </c>
      <c r="HJ155" s="16">
        <v>0</v>
      </c>
      <c r="HK155" s="16">
        <v>0</v>
      </c>
      <c r="HL155" s="16">
        <v>14</v>
      </c>
      <c r="HM155" s="16">
        <v>196</v>
      </c>
      <c r="HN155" s="16">
        <v>994</v>
      </c>
      <c r="HO155" s="16">
        <v>24</v>
      </c>
      <c r="HP155" s="16">
        <v>0</v>
      </c>
      <c r="HQ155" s="16">
        <v>2990</v>
      </c>
      <c r="HR155" s="16">
        <v>1934</v>
      </c>
      <c r="HS155" s="16">
        <v>2375</v>
      </c>
      <c r="HT155" s="16">
        <v>0</v>
      </c>
      <c r="HU155" s="16">
        <v>7307</v>
      </c>
      <c r="HV155" s="16">
        <v>32</v>
      </c>
      <c r="HW155" s="16">
        <v>2032</v>
      </c>
      <c r="HX155" s="16">
        <v>449</v>
      </c>
      <c r="HY155" s="16">
        <v>515</v>
      </c>
      <c r="HZ155" s="16">
        <v>56</v>
      </c>
      <c r="IA155" s="16">
        <v>40</v>
      </c>
      <c r="IB155" s="16">
        <v>163</v>
      </c>
      <c r="IC155" s="16">
        <v>125</v>
      </c>
      <c r="ID155" s="16">
        <v>392</v>
      </c>
      <c r="IE155" s="16">
        <v>21</v>
      </c>
      <c r="IF155" s="16">
        <v>102</v>
      </c>
      <c r="IG155" s="16">
        <v>2078</v>
      </c>
      <c r="IH155" s="16">
        <v>6979</v>
      </c>
      <c r="II155" s="16">
        <v>1027</v>
      </c>
      <c r="IJ155" s="16">
        <v>0</v>
      </c>
      <c r="IK155" s="16">
        <v>0</v>
      </c>
      <c r="IL155" s="16">
        <v>5193</v>
      </c>
      <c r="IM155" s="16">
        <v>223</v>
      </c>
      <c r="IN155" s="16">
        <v>577</v>
      </c>
      <c r="IO155" s="16">
        <v>22762</v>
      </c>
      <c r="IP155" s="16">
        <v>456205</v>
      </c>
      <c r="IQ155" s="16">
        <v>113649</v>
      </c>
      <c r="IR155" s="16">
        <v>142198</v>
      </c>
      <c r="IS155" s="16">
        <v>108</v>
      </c>
      <c r="IT155" s="16">
        <v>122</v>
      </c>
      <c r="IU155" s="16">
        <v>0</v>
      </c>
      <c r="IV155" s="16">
        <v>174</v>
      </c>
      <c r="IW155" s="16">
        <v>1</v>
      </c>
      <c r="IX155" s="16">
        <v>79</v>
      </c>
      <c r="IY155" s="16">
        <v>1</v>
      </c>
      <c r="IZ155" s="16">
        <v>0</v>
      </c>
      <c r="JA155" s="16">
        <v>0</v>
      </c>
      <c r="JB155" s="16">
        <v>0</v>
      </c>
      <c r="JC155" s="16">
        <v>0</v>
      </c>
      <c r="JD155" s="16">
        <v>0</v>
      </c>
      <c r="JE155" s="16">
        <v>5</v>
      </c>
      <c r="JF155" s="16">
        <v>0</v>
      </c>
      <c r="JG155" s="16">
        <v>2552</v>
      </c>
      <c r="JH155" s="16">
        <v>1</v>
      </c>
      <c r="JI155" s="16">
        <v>0</v>
      </c>
      <c r="JJ155" s="16">
        <v>0</v>
      </c>
      <c r="JK155" s="16">
        <v>0</v>
      </c>
      <c r="JL155" s="16">
        <v>0</v>
      </c>
      <c r="JM155" s="16">
        <v>443</v>
      </c>
      <c r="JN155" s="16">
        <v>6184</v>
      </c>
      <c r="JO155" s="16">
        <v>0</v>
      </c>
      <c r="JP155" s="16">
        <v>0</v>
      </c>
      <c r="JQ155" s="16">
        <v>0</v>
      </c>
      <c r="JR155" s="16">
        <v>0</v>
      </c>
      <c r="JS155" s="16">
        <v>0</v>
      </c>
      <c r="JT155" s="16">
        <v>0</v>
      </c>
      <c r="JU155" s="16">
        <v>0</v>
      </c>
      <c r="JV155" s="16">
        <v>0</v>
      </c>
      <c r="JW155" s="16">
        <v>606332</v>
      </c>
      <c r="JX155" s="16">
        <v>800928</v>
      </c>
      <c r="JY155" s="16">
        <v>65463</v>
      </c>
      <c r="JZ155" s="16">
        <v>90452</v>
      </c>
      <c r="KA155" s="16">
        <v>72779</v>
      </c>
      <c r="KB155" s="16">
        <v>8277</v>
      </c>
      <c r="KC155" s="16">
        <v>17001</v>
      </c>
      <c r="KD155" s="16">
        <v>16803</v>
      </c>
      <c r="KE155" s="16">
        <v>6285</v>
      </c>
      <c r="KF155" s="16">
        <v>75612</v>
      </c>
      <c r="KG155" s="16">
        <v>48114</v>
      </c>
      <c r="KH155" s="16">
        <v>13492</v>
      </c>
      <c r="KI155" s="16">
        <v>185849</v>
      </c>
      <c r="KJ155" s="16">
        <v>137798</v>
      </c>
      <c r="KK155" s="16">
        <v>22</v>
      </c>
      <c r="KL155" s="16">
        <v>0</v>
      </c>
      <c r="KM155" s="16">
        <v>0</v>
      </c>
      <c r="KN155" s="16">
        <v>0</v>
      </c>
      <c r="KO155" s="16">
        <v>0</v>
      </c>
      <c r="KP155" s="16">
        <v>1</v>
      </c>
      <c r="KQ155" s="16">
        <v>0</v>
      </c>
      <c r="KR155" s="16">
        <v>0</v>
      </c>
      <c r="KS155" s="16">
        <v>0</v>
      </c>
      <c r="KT155" s="16">
        <v>0</v>
      </c>
      <c r="KU155" s="16">
        <v>35</v>
      </c>
      <c r="KV155" s="16">
        <v>0</v>
      </c>
      <c r="KW155" s="16">
        <v>0</v>
      </c>
      <c r="KX155" s="16">
        <v>0</v>
      </c>
      <c r="KY155" s="16">
        <v>0</v>
      </c>
      <c r="KZ155" s="16">
        <v>0</v>
      </c>
      <c r="LA155" s="16">
        <v>0</v>
      </c>
      <c r="LB155" s="16">
        <v>0</v>
      </c>
      <c r="LC155" s="16">
        <v>0</v>
      </c>
      <c r="LD155" s="16">
        <v>0</v>
      </c>
      <c r="LE155" s="16">
        <v>0</v>
      </c>
      <c r="LF155" s="16">
        <v>0</v>
      </c>
      <c r="LG155" s="16">
        <v>0</v>
      </c>
      <c r="LH155" s="16">
        <v>0</v>
      </c>
      <c r="LI155" s="16">
        <v>0</v>
      </c>
      <c r="LJ155" s="16">
        <v>0</v>
      </c>
      <c r="LK155" s="16">
        <v>0</v>
      </c>
      <c r="LL155" s="16">
        <v>0</v>
      </c>
      <c r="LM155" s="16">
        <v>0</v>
      </c>
      <c r="LN155" s="16">
        <v>0</v>
      </c>
      <c r="LO155" s="16">
        <v>0</v>
      </c>
      <c r="LP155" s="16">
        <v>0</v>
      </c>
      <c r="LQ155" s="16">
        <v>0</v>
      </c>
      <c r="LR155" s="16">
        <v>0</v>
      </c>
      <c r="LS155" s="16">
        <v>0</v>
      </c>
      <c r="LT155" s="16">
        <v>0</v>
      </c>
      <c r="LU155" s="16">
        <v>0</v>
      </c>
      <c r="LV155" s="16">
        <v>0</v>
      </c>
      <c r="LW155" s="16">
        <v>0</v>
      </c>
      <c r="LX155" s="16">
        <v>0</v>
      </c>
      <c r="LY155" s="16">
        <v>0</v>
      </c>
      <c r="LZ155" s="16">
        <v>0</v>
      </c>
      <c r="MA155" s="16">
        <v>0</v>
      </c>
      <c r="MB155" s="16">
        <v>0</v>
      </c>
      <c r="MC155" s="16">
        <v>0</v>
      </c>
      <c r="MD155" s="16">
        <v>0</v>
      </c>
      <c r="ME155" s="16">
        <v>0</v>
      </c>
      <c r="MF155" s="16">
        <v>0</v>
      </c>
      <c r="MG155" s="16">
        <v>0</v>
      </c>
      <c r="MH155" s="16">
        <v>0</v>
      </c>
      <c r="MI155" s="16">
        <v>0</v>
      </c>
      <c r="MJ155" s="16">
        <v>0</v>
      </c>
      <c r="MK155" s="16">
        <v>0</v>
      </c>
      <c r="ML155" s="16">
        <v>0</v>
      </c>
      <c r="MM155" s="16">
        <v>0</v>
      </c>
      <c r="MN155" s="16">
        <v>0</v>
      </c>
      <c r="MO155" s="16">
        <v>0</v>
      </c>
      <c r="MP155" s="16">
        <v>0</v>
      </c>
      <c r="MQ155" s="16">
        <v>0</v>
      </c>
      <c r="MR155" s="16">
        <v>1</v>
      </c>
      <c r="MS155" s="16">
        <v>0</v>
      </c>
      <c r="MT155" s="16">
        <v>0</v>
      </c>
      <c r="MU155" s="16">
        <v>0</v>
      </c>
      <c r="MV155" s="16">
        <v>0</v>
      </c>
      <c r="MW155" s="16">
        <v>0</v>
      </c>
      <c r="MX155" s="16">
        <v>0</v>
      </c>
      <c r="MY155" s="16">
        <v>358</v>
      </c>
      <c r="MZ155" s="16">
        <v>44</v>
      </c>
      <c r="NA155" s="16">
        <v>0</v>
      </c>
      <c r="NB155" s="16">
        <v>1279</v>
      </c>
      <c r="NC155" s="16">
        <v>0</v>
      </c>
      <c r="ND155" s="16">
        <v>0</v>
      </c>
      <c r="NE155" s="16">
        <v>0</v>
      </c>
      <c r="NF155" s="16">
        <v>0</v>
      </c>
      <c r="NG155" s="16">
        <v>0</v>
      </c>
      <c r="NH155" s="16">
        <v>0</v>
      </c>
      <c r="NI155" s="16">
        <v>0</v>
      </c>
      <c r="NJ155" s="16">
        <v>0</v>
      </c>
      <c r="NK155" s="16">
        <v>0</v>
      </c>
      <c r="NL155" s="16">
        <v>8</v>
      </c>
      <c r="NM155" s="16">
        <v>0</v>
      </c>
      <c r="NN155" s="16">
        <v>0</v>
      </c>
      <c r="NO155" s="16">
        <v>0</v>
      </c>
      <c r="NP155" s="16">
        <v>0</v>
      </c>
      <c r="NQ155" s="16">
        <v>6</v>
      </c>
      <c r="NR155" s="17">
        <v>4503423</v>
      </c>
    </row>
    <row r="156" spans="1:382" ht="13.5" customHeight="1" x14ac:dyDescent="0.2">
      <c r="A156" s="2" t="s">
        <v>319</v>
      </c>
      <c r="B156" s="16">
        <v>0</v>
      </c>
      <c r="C156" s="16">
        <v>0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977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0</v>
      </c>
      <c r="BO156" s="16">
        <v>0</v>
      </c>
      <c r="BP156" s="16">
        <v>0</v>
      </c>
      <c r="BQ156" s="16">
        <v>0</v>
      </c>
      <c r="BR156" s="16">
        <v>0</v>
      </c>
      <c r="BS156" s="16">
        <v>0</v>
      </c>
      <c r="BT156" s="16">
        <v>0</v>
      </c>
      <c r="BU156" s="16">
        <v>0</v>
      </c>
      <c r="BV156" s="16">
        <v>0</v>
      </c>
      <c r="BW156" s="16">
        <v>0</v>
      </c>
      <c r="BX156" s="16">
        <v>0</v>
      </c>
      <c r="BY156" s="16">
        <v>0</v>
      </c>
      <c r="BZ156" s="16">
        <v>0</v>
      </c>
      <c r="CA156" s="16">
        <v>0</v>
      </c>
      <c r="CB156" s="16">
        <v>0</v>
      </c>
      <c r="CC156" s="16">
        <v>0</v>
      </c>
      <c r="CD156" s="16">
        <v>0</v>
      </c>
      <c r="CE156" s="16">
        <v>0</v>
      </c>
      <c r="CF156" s="16">
        <v>0</v>
      </c>
      <c r="CG156" s="16">
        <v>0</v>
      </c>
      <c r="CH156" s="16">
        <v>0</v>
      </c>
      <c r="CI156" s="16">
        <v>0</v>
      </c>
      <c r="CJ156" s="16">
        <v>0</v>
      </c>
      <c r="CK156" s="16">
        <v>0</v>
      </c>
      <c r="CL156" s="16">
        <v>0</v>
      </c>
      <c r="CM156" s="16">
        <v>0</v>
      </c>
      <c r="CN156" s="16">
        <v>0</v>
      </c>
      <c r="CO156" s="16">
        <v>0</v>
      </c>
      <c r="CP156" s="16">
        <v>0</v>
      </c>
      <c r="CQ156" s="16">
        <v>0</v>
      </c>
      <c r="CR156" s="16">
        <v>0</v>
      </c>
      <c r="CS156" s="16">
        <v>0</v>
      </c>
      <c r="CT156" s="16">
        <v>0</v>
      </c>
      <c r="CU156" s="16">
        <v>0</v>
      </c>
      <c r="CV156" s="16">
        <v>0</v>
      </c>
      <c r="CW156" s="16">
        <v>0</v>
      </c>
      <c r="CX156" s="16">
        <v>0</v>
      </c>
      <c r="CY156" s="16">
        <v>0</v>
      </c>
      <c r="CZ156" s="16">
        <v>0</v>
      </c>
      <c r="DA156" s="16">
        <v>0</v>
      </c>
      <c r="DB156" s="16">
        <v>0</v>
      </c>
      <c r="DC156" s="16">
        <v>0</v>
      </c>
      <c r="DD156" s="16">
        <v>0</v>
      </c>
      <c r="DE156" s="16">
        <v>0</v>
      </c>
      <c r="DF156" s="16">
        <v>0</v>
      </c>
      <c r="DG156" s="16">
        <v>0</v>
      </c>
      <c r="DH156" s="16">
        <v>0</v>
      </c>
      <c r="DI156" s="16">
        <v>0</v>
      </c>
      <c r="DJ156" s="16">
        <v>0</v>
      </c>
      <c r="DK156" s="16">
        <v>0</v>
      </c>
      <c r="DL156" s="16">
        <v>0</v>
      </c>
      <c r="DM156" s="16">
        <v>0</v>
      </c>
      <c r="DN156" s="16">
        <v>0</v>
      </c>
      <c r="DO156" s="16">
        <v>0</v>
      </c>
      <c r="DP156" s="16">
        <v>0</v>
      </c>
      <c r="DQ156" s="16">
        <v>0</v>
      </c>
      <c r="DR156" s="16">
        <v>0</v>
      </c>
      <c r="DS156" s="16">
        <v>0</v>
      </c>
      <c r="DT156" s="16">
        <v>0</v>
      </c>
      <c r="DU156" s="16">
        <v>0</v>
      </c>
      <c r="DV156" s="16">
        <v>0</v>
      </c>
      <c r="DW156" s="16">
        <v>0</v>
      </c>
      <c r="DX156" s="16">
        <v>0</v>
      </c>
      <c r="DY156" s="16">
        <v>0</v>
      </c>
      <c r="DZ156" s="16">
        <v>0</v>
      </c>
      <c r="EA156" s="16">
        <v>2067</v>
      </c>
      <c r="EB156" s="16">
        <v>0</v>
      </c>
      <c r="EC156" s="16">
        <v>0</v>
      </c>
      <c r="ED156" s="16">
        <v>0</v>
      </c>
      <c r="EE156" s="16">
        <v>0</v>
      </c>
      <c r="EF156" s="16">
        <v>0</v>
      </c>
      <c r="EG156" s="16">
        <v>0</v>
      </c>
      <c r="EH156" s="16">
        <v>0</v>
      </c>
      <c r="EI156" s="16">
        <v>0</v>
      </c>
      <c r="EJ156" s="16">
        <v>0</v>
      </c>
      <c r="EK156" s="16">
        <v>0</v>
      </c>
      <c r="EL156" s="16">
        <v>0</v>
      </c>
      <c r="EM156" s="16">
        <v>1998</v>
      </c>
      <c r="EN156" s="16">
        <v>0</v>
      </c>
      <c r="EO156" s="16">
        <v>0</v>
      </c>
      <c r="EP156" s="16">
        <v>0</v>
      </c>
      <c r="EQ156" s="16">
        <v>0</v>
      </c>
      <c r="ER156" s="16">
        <v>0</v>
      </c>
      <c r="ES156" s="16">
        <v>0</v>
      </c>
      <c r="ET156" s="16">
        <v>0</v>
      </c>
      <c r="EU156" s="16">
        <v>0</v>
      </c>
      <c r="EV156" s="16">
        <v>0</v>
      </c>
      <c r="EW156" s="16">
        <v>1445</v>
      </c>
      <c r="EX156" s="16">
        <v>125406</v>
      </c>
      <c r="EY156" s="16">
        <v>4833</v>
      </c>
      <c r="EZ156" s="16">
        <v>0</v>
      </c>
      <c r="FA156" s="16">
        <v>0</v>
      </c>
      <c r="FB156" s="16">
        <v>0</v>
      </c>
      <c r="FC156" s="16">
        <v>1613861</v>
      </c>
      <c r="FD156" s="16">
        <v>0</v>
      </c>
      <c r="FE156" s="16">
        <v>395</v>
      </c>
      <c r="FF156" s="16">
        <v>0</v>
      </c>
      <c r="FG156" s="16">
        <v>0</v>
      </c>
      <c r="FH156" s="16">
        <v>0</v>
      </c>
      <c r="FI156" s="16">
        <v>0</v>
      </c>
      <c r="FJ156" s="16">
        <v>0</v>
      </c>
      <c r="FK156" s="16">
        <v>0</v>
      </c>
      <c r="FL156" s="16">
        <v>0</v>
      </c>
      <c r="FM156" s="16">
        <v>0</v>
      </c>
      <c r="FN156" s="16">
        <v>0</v>
      </c>
      <c r="FO156" s="16">
        <v>0</v>
      </c>
      <c r="FP156" s="16">
        <v>0</v>
      </c>
      <c r="FQ156" s="16">
        <v>163</v>
      </c>
      <c r="FR156" s="16">
        <v>1829</v>
      </c>
      <c r="FS156" s="16">
        <v>14</v>
      </c>
      <c r="FT156" s="16">
        <v>52</v>
      </c>
      <c r="FU156" s="16">
        <v>653</v>
      </c>
      <c r="FV156" s="16">
        <v>148</v>
      </c>
      <c r="FW156" s="16">
        <v>155137</v>
      </c>
      <c r="FX156" s="16">
        <v>558640</v>
      </c>
      <c r="FY156" s="16">
        <v>0</v>
      </c>
      <c r="FZ156" s="16">
        <v>8</v>
      </c>
      <c r="GA156" s="16">
        <v>0</v>
      </c>
      <c r="GB156" s="16">
        <v>736339</v>
      </c>
      <c r="GC156" s="16">
        <v>167</v>
      </c>
      <c r="GD156" s="16">
        <v>84959</v>
      </c>
      <c r="GE156" s="16">
        <v>0</v>
      </c>
      <c r="GF156" s="16">
        <v>0</v>
      </c>
      <c r="GG156" s="16">
        <v>0</v>
      </c>
      <c r="GH156" s="16">
        <v>22</v>
      </c>
      <c r="GI156" s="16">
        <v>21</v>
      </c>
      <c r="GJ156" s="16">
        <v>0</v>
      </c>
      <c r="GK156" s="16">
        <v>21</v>
      </c>
      <c r="GL156" s="16">
        <v>0</v>
      </c>
      <c r="GM156" s="16">
        <v>0</v>
      </c>
      <c r="GN156" s="16">
        <v>0</v>
      </c>
      <c r="GO156" s="16">
        <v>0</v>
      </c>
      <c r="GP156" s="16">
        <v>1</v>
      </c>
      <c r="GQ156" s="16">
        <v>0</v>
      </c>
      <c r="GR156" s="16">
        <v>0</v>
      </c>
      <c r="GS156" s="16">
        <v>0</v>
      </c>
      <c r="GT156" s="16">
        <v>0</v>
      </c>
      <c r="GU156" s="16">
        <v>0</v>
      </c>
      <c r="GV156" s="16">
        <v>7</v>
      </c>
      <c r="GW156" s="16">
        <v>0</v>
      </c>
      <c r="GX156" s="16">
        <v>0</v>
      </c>
      <c r="GY156" s="16">
        <v>0</v>
      </c>
      <c r="GZ156" s="16">
        <v>3</v>
      </c>
      <c r="HA156" s="16">
        <v>6270</v>
      </c>
      <c r="HB156" s="16">
        <v>66</v>
      </c>
      <c r="HC156" s="16">
        <v>126</v>
      </c>
      <c r="HD156" s="16">
        <v>451</v>
      </c>
      <c r="HE156" s="16">
        <v>0</v>
      </c>
      <c r="HF156" s="16">
        <v>314</v>
      </c>
      <c r="HG156" s="16">
        <v>0</v>
      </c>
      <c r="HH156" s="16">
        <v>0</v>
      </c>
      <c r="HI156" s="16">
        <v>474</v>
      </c>
      <c r="HJ156" s="16">
        <v>9</v>
      </c>
      <c r="HK156" s="16">
        <v>27</v>
      </c>
      <c r="HL156" s="16">
        <v>181</v>
      </c>
      <c r="HM156" s="16">
        <v>24</v>
      </c>
      <c r="HN156" s="16">
        <v>218</v>
      </c>
      <c r="HO156" s="16">
        <v>30531</v>
      </c>
      <c r="HP156" s="16">
        <v>234</v>
      </c>
      <c r="HQ156" s="16">
        <v>79871</v>
      </c>
      <c r="HR156" s="16">
        <v>520</v>
      </c>
      <c r="HS156" s="16">
        <v>0</v>
      </c>
      <c r="HT156" s="16">
        <v>0</v>
      </c>
      <c r="HU156" s="16">
        <v>25</v>
      </c>
      <c r="HV156" s="16">
        <v>4</v>
      </c>
      <c r="HW156" s="16">
        <v>18</v>
      </c>
      <c r="HX156" s="16">
        <v>58</v>
      </c>
      <c r="HY156" s="16">
        <v>392</v>
      </c>
      <c r="HZ156" s="16">
        <v>5</v>
      </c>
      <c r="IA156" s="16">
        <v>0</v>
      </c>
      <c r="IB156" s="16">
        <v>0</v>
      </c>
      <c r="IC156" s="16">
        <v>3</v>
      </c>
      <c r="ID156" s="16">
        <v>3</v>
      </c>
      <c r="IE156" s="16">
        <v>0</v>
      </c>
      <c r="IF156" s="16">
        <v>0</v>
      </c>
      <c r="IG156" s="16">
        <v>125</v>
      </c>
      <c r="IH156" s="16">
        <v>0</v>
      </c>
      <c r="II156" s="16">
        <v>0</v>
      </c>
      <c r="IJ156" s="16">
        <v>0</v>
      </c>
      <c r="IK156" s="16">
        <v>0</v>
      </c>
      <c r="IL156" s="16">
        <v>0</v>
      </c>
      <c r="IM156" s="16">
        <v>0</v>
      </c>
      <c r="IN156" s="16">
        <v>0</v>
      </c>
      <c r="IO156" s="16">
        <v>43195</v>
      </c>
      <c r="IP156" s="16">
        <v>539</v>
      </c>
      <c r="IQ156" s="16">
        <v>744</v>
      </c>
      <c r="IR156" s="16">
        <v>28</v>
      </c>
      <c r="IS156" s="16">
        <v>34911</v>
      </c>
      <c r="IT156" s="16">
        <v>10434</v>
      </c>
      <c r="IU156" s="16">
        <v>0</v>
      </c>
      <c r="IV156" s="16">
        <v>0</v>
      </c>
      <c r="IW156" s="16">
        <v>0</v>
      </c>
      <c r="IX156" s="16">
        <v>0</v>
      </c>
      <c r="IY156" s="16">
        <v>0</v>
      </c>
      <c r="IZ156" s="16">
        <v>0</v>
      </c>
      <c r="JA156" s="16">
        <v>0</v>
      </c>
      <c r="JB156" s="16">
        <v>0</v>
      </c>
      <c r="JC156" s="16">
        <v>1823</v>
      </c>
      <c r="JD156" s="16">
        <v>1298</v>
      </c>
      <c r="JE156" s="16">
        <v>0</v>
      </c>
      <c r="JF156" s="16">
        <v>0</v>
      </c>
      <c r="JG156" s="16">
        <v>47217</v>
      </c>
      <c r="JH156" s="16">
        <v>0</v>
      </c>
      <c r="JI156" s="16">
        <v>0</v>
      </c>
      <c r="JJ156" s="16">
        <v>35931</v>
      </c>
      <c r="JK156" s="16">
        <v>0</v>
      </c>
      <c r="JL156" s="16">
        <v>0</v>
      </c>
      <c r="JM156" s="16">
        <v>0</v>
      </c>
      <c r="JN156" s="16">
        <v>0</v>
      </c>
      <c r="JO156" s="16">
        <v>0</v>
      </c>
      <c r="JP156" s="16">
        <v>0</v>
      </c>
      <c r="JQ156" s="16">
        <v>0</v>
      </c>
      <c r="JR156" s="16">
        <v>0</v>
      </c>
      <c r="JS156" s="16">
        <v>0</v>
      </c>
      <c r="JT156" s="16">
        <v>0</v>
      </c>
      <c r="JU156" s="16">
        <v>0</v>
      </c>
      <c r="JV156" s="16">
        <v>0</v>
      </c>
      <c r="JW156" s="16">
        <v>751</v>
      </c>
      <c r="JX156" s="16">
        <v>3074</v>
      </c>
      <c r="JY156" s="16">
        <v>0</v>
      </c>
      <c r="JZ156" s="16">
        <v>261</v>
      </c>
      <c r="KA156" s="16">
        <v>273350</v>
      </c>
      <c r="KB156" s="16">
        <v>0</v>
      </c>
      <c r="KC156" s="16">
        <v>67</v>
      </c>
      <c r="KD156" s="16">
        <v>183</v>
      </c>
      <c r="KE156" s="16">
        <v>38</v>
      </c>
      <c r="KF156" s="16">
        <v>0</v>
      </c>
      <c r="KG156" s="16">
        <v>0</v>
      </c>
      <c r="KH156" s="16">
        <v>0</v>
      </c>
      <c r="KI156" s="16">
        <v>0</v>
      </c>
      <c r="KJ156" s="16">
        <v>2367</v>
      </c>
      <c r="KK156" s="16">
        <v>0</v>
      </c>
      <c r="KL156" s="16">
        <v>550</v>
      </c>
      <c r="KM156" s="16">
        <v>0</v>
      </c>
      <c r="KN156" s="16">
        <v>0</v>
      </c>
      <c r="KO156" s="16">
        <v>0</v>
      </c>
      <c r="KP156" s="16">
        <v>0</v>
      </c>
      <c r="KQ156" s="16">
        <v>0</v>
      </c>
      <c r="KR156" s="16">
        <v>0</v>
      </c>
      <c r="KS156" s="16">
        <v>0</v>
      </c>
      <c r="KT156" s="16">
        <v>0</v>
      </c>
      <c r="KU156" s="16">
        <v>0</v>
      </c>
      <c r="KV156" s="16">
        <v>0</v>
      </c>
      <c r="KW156" s="16">
        <v>0</v>
      </c>
      <c r="KX156" s="16">
        <v>0</v>
      </c>
      <c r="KY156" s="16">
        <v>0</v>
      </c>
      <c r="KZ156" s="16">
        <v>0</v>
      </c>
      <c r="LA156" s="16">
        <v>0</v>
      </c>
      <c r="LB156" s="16">
        <v>0</v>
      </c>
      <c r="LC156" s="16">
        <v>0</v>
      </c>
      <c r="LD156" s="16">
        <v>0</v>
      </c>
      <c r="LE156" s="16">
        <v>0</v>
      </c>
      <c r="LF156" s="16">
        <v>0</v>
      </c>
      <c r="LG156" s="16">
        <v>0</v>
      </c>
      <c r="LH156" s="16">
        <v>0</v>
      </c>
      <c r="LI156" s="16">
        <v>0</v>
      </c>
      <c r="LJ156" s="16">
        <v>0</v>
      </c>
      <c r="LK156" s="16">
        <v>0</v>
      </c>
      <c r="LL156" s="16">
        <v>0</v>
      </c>
      <c r="LM156" s="16">
        <v>0</v>
      </c>
      <c r="LN156" s="16">
        <v>0</v>
      </c>
      <c r="LO156" s="16">
        <v>0</v>
      </c>
      <c r="LP156" s="16">
        <v>0</v>
      </c>
      <c r="LQ156" s="16">
        <v>0</v>
      </c>
      <c r="LR156" s="16">
        <v>0</v>
      </c>
      <c r="LS156" s="16">
        <v>0</v>
      </c>
      <c r="LT156" s="16">
        <v>0</v>
      </c>
      <c r="LU156" s="16">
        <v>0</v>
      </c>
      <c r="LV156" s="16">
        <v>0</v>
      </c>
      <c r="LW156" s="16">
        <v>0</v>
      </c>
      <c r="LX156" s="16">
        <v>0</v>
      </c>
      <c r="LY156" s="16">
        <v>0</v>
      </c>
      <c r="LZ156" s="16">
        <v>0</v>
      </c>
      <c r="MA156" s="16">
        <v>0</v>
      </c>
      <c r="MB156" s="16">
        <v>0</v>
      </c>
      <c r="MC156" s="16">
        <v>0</v>
      </c>
      <c r="MD156" s="16">
        <v>0</v>
      </c>
      <c r="ME156" s="16">
        <v>0</v>
      </c>
      <c r="MF156" s="16">
        <v>0</v>
      </c>
      <c r="MG156" s="16">
        <v>0</v>
      </c>
      <c r="MH156" s="16">
        <v>0</v>
      </c>
      <c r="MI156" s="16">
        <v>0</v>
      </c>
      <c r="MJ156" s="16">
        <v>0</v>
      </c>
      <c r="MK156" s="16">
        <v>0</v>
      </c>
      <c r="ML156" s="16">
        <v>0</v>
      </c>
      <c r="MM156" s="16">
        <v>0</v>
      </c>
      <c r="MN156" s="16">
        <v>0</v>
      </c>
      <c r="MO156" s="16">
        <v>0</v>
      </c>
      <c r="MP156" s="16">
        <v>0</v>
      </c>
      <c r="MQ156" s="16">
        <v>0</v>
      </c>
      <c r="MR156" s="16">
        <v>322</v>
      </c>
      <c r="MS156" s="16">
        <v>0</v>
      </c>
      <c r="MT156" s="16">
        <v>0</v>
      </c>
      <c r="MU156" s="16">
        <v>0</v>
      </c>
      <c r="MV156" s="16">
        <v>0</v>
      </c>
      <c r="MW156" s="16">
        <v>0</v>
      </c>
      <c r="MX156" s="16">
        <v>0</v>
      </c>
      <c r="MY156" s="16">
        <v>0</v>
      </c>
      <c r="MZ156" s="16">
        <v>0</v>
      </c>
      <c r="NA156" s="16">
        <v>0</v>
      </c>
      <c r="NB156" s="16">
        <v>0</v>
      </c>
      <c r="NC156" s="16">
        <v>0</v>
      </c>
      <c r="ND156" s="16">
        <v>0</v>
      </c>
      <c r="NE156" s="16">
        <v>0</v>
      </c>
      <c r="NF156" s="16">
        <v>0</v>
      </c>
      <c r="NG156" s="16">
        <v>0</v>
      </c>
      <c r="NH156" s="16">
        <v>0</v>
      </c>
      <c r="NI156" s="16">
        <v>0</v>
      </c>
      <c r="NJ156" s="16">
        <v>0</v>
      </c>
      <c r="NK156" s="16">
        <v>0</v>
      </c>
      <c r="NL156" s="16">
        <v>0</v>
      </c>
      <c r="NM156" s="16">
        <v>0</v>
      </c>
      <c r="NN156" s="16">
        <v>0</v>
      </c>
      <c r="NO156" s="16">
        <v>0</v>
      </c>
      <c r="NP156" s="16">
        <v>0</v>
      </c>
      <c r="NQ156" s="16">
        <v>449</v>
      </c>
      <c r="NR156" s="17">
        <v>3866647</v>
      </c>
    </row>
    <row r="157" spans="1:382" ht="13.5" customHeight="1" x14ac:dyDescent="0.2">
      <c r="A157" s="2" t="s">
        <v>321</v>
      </c>
      <c r="B157" s="16">
        <v>0</v>
      </c>
      <c r="C157" s="16">
        <v>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6">
        <v>0</v>
      </c>
      <c r="BD157" s="16">
        <v>0</v>
      </c>
      <c r="BE157" s="16">
        <v>0</v>
      </c>
      <c r="BF157" s="16">
        <v>0</v>
      </c>
      <c r="BG157" s="16">
        <v>0</v>
      </c>
      <c r="BH157" s="16">
        <v>0</v>
      </c>
      <c r="BI157" s="16">
        <v>0</v>
      </c>
      <c r="BJ157" s="16">
        <v>0</v>
      </c>
      <c r="BK157" s="16">
        <v>0</v>
      </c>
      <c r="BL157" s="16">
        <v>0</v>
      </c>
      <c r="BM157" s="16">
        <v>0</v>
      </c>
      <c r="BN157" s="16">
        <v>0</v>
      </c>
      <c r="BO157" s="16">
        <v>0</v>
      </c>
      <c r="BP157" s="16">
        <v>0</v>
      </c>
      <c r="BQ157" s="16">
        <v>0</v>
      </c>
      <c r="BR157" s="16">
        <v>0</v>
      </c>
      <c r="BS157" s="16">
        <v>0</v>
      </c>
      <c r="BT157" s="16">
        <v>0</v>
      </c>
      <c r="BU157" s="16">
        <v>0</v>
      </c>
      <c r="BV157" s="16">
        <v>0</v>
      </c>
      <c r="BW157" s="16">
        <v>0</v>
      </c>
      <c r="BX157" s="16">
        <v>0</v>
      </c>
      <c r="BY157" s="16">
        <v>0</v>
      </c>
      <c r="BZ157" s="16">
        <v>0</v>
      </c>
      <c r="CA157" s="16">
        <v>0</v>
      </c>
      <c r="CB157" s="16">
        <v>0</v>
      </c>
      <c r="CC157" s="16">
        <v>0</v>
      </c>
      <c r="CD157" s="16">
        <v>0</v>
      </c>
      <c r="CE157" s="16">
        <v>0</v>
      </c>
      <c r="CF157" s="16">
        <v>0</v>
      </c>
      <c r="CG157" s="16">
        <v>0</v>
      </c>
      <c r="CH157" s="16">
        <v>0</v>
      </c>
      <c r="CI157" s="16">
        <v>0</v>
      </c>
      <c r="CJ157" s="16">
        <v>0</v>
      </c>
      <c r="CK157" s="16">
        <v>0</v>
      </c>
      <c r="CL157" s="16">
        <v>0</v>
      </c>
      <c r="CM157" s="16">
        <v>0</v>
      </c>
      <c r="CN157" s="16">
        <v>0</v>
      </c>
      <c r="CO157" s="16">
        <v>0</v>
      </c>
      <c r="CP157" s="16">
        <v>0</v>
      </c>
      <c r="CQ157" s="16">
        <v>0</v>
      </c>
      <c r="CR157" s="16">
        <v>0</v>
      </c>
      <c r="CS157" s="16">
        <v>0</v>
      </c>
      <c r="CT157" s="16">
        <v>0</v>
      </c>
      <c r="CU157" s="16">
        <v>0</v>
      </c>
      <c r="CV157" s="16">
        <v>0</v>
      </c>
      <c r="CW157" s="16">
        <v>0</v>
      </c>
      <c r="CX157" s="16">
        <v>0</v>
      </c>
      <c r="CY157" s="16">
        <v>0</v>
      </c>
      <c r="CZ157" s="16">
        <v>0</v>
      </c>
      <c r="DA157" s="16">
        <v>0</v>
      </c>
      <c r="DB157" s="16">
        <v>0</v>
      </c>
      <c r="DC157" s="16">
        <v>0</v>
      </c>
      <c r="DD157" s="16">
        <v>0</v>
      </c>
      <c r="DE157" s="16">
        <v>0</v>
      </c>
      <c r="DF157" s="16">
        <v>0</v>
      </c>
      <c r="DG157" s="16">
        <v>0</v>
      </c>
      <c r="DH157" s="16">
        <v>0</v>
      </c>
      <c r="DI157" s="16">
        <v>0</v>
      </c>
      <c r="DJ157" s="16">
        <v>0</v>
      </c>
      <c r="DK157" s="16">
        <v>0</v>
      </c>
      <c r="DL157" s="16">
        <v>0</v>
      </c>
      <c r="DM157" s="16">
        <v>0</v>
      </c>
      <c r="DN157" s="16">
        <v>0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6">
        <v>0</v>
      </c>
      <c r="DV157" s="16">
        <v>0</v>
      </c>
      <c r="DW157" s="16">
        <v>0</v>
      </c>
      <c r="DX157" s="16">
        <v>5</v>
      </c>
      <c r="DY157" s="16">
        <v>10</v>
      </c>
      <c r="DZ157" s="16">
        <v>23</v>
      </c>
      <c r="EA157" s="16">
        <v>7</v>
      </c>
      <c r="EB157" s="16">
        <v>0</v>
      </c>
      <c r="EC157" s="16">
        <v>30</v>
      </c>
      <c r="ED157" s="16">
        <v>14</v>
      </c>
      <c r="EE157" s="16">
        <v>0</v>
      </c>
      <c r="EF157" s="16">
        <v>0</v>
      </c>
      <c r="EG157" s="16">
        <v>0</v>
      </c>
      <c r="EH157" s="16">
        <v>0</v>
      </c>
      <c r="EI157" s="16">
        <v>0</v>
      </c>
      <c r="EJ157" s="16">
        <v>0</v>
      </c>
      <c r="EK157" s="16">
        <v>0</v>
      </c>
      <c r="EL157" s="16">
        <v>0</v>
      </c>
      <c r="EM157" s="16">
        <v>37</v>
      </c>
      <c r="EN157" s="16">
        <v>160</v>
      </c>
      <c r="EO157" s="16">
        <v>254</v>
      </c>
      <c r="EP157" s="16">
        <v>0</v>
      </c>
      <c r="EQ157" s="16">
        <v>0</v>
      </c>
      <c r="ER157" s="16">
        <v>0</v>
      </c>
      <c r="ES157" s="16">
        <v>0</v>
      </c>
      <c r="ET157" s="16">
        <v>0</v>
      </c>
      <c r="EU157" s="16">
        <v>208</v>
      </c>
      <c r="EV157" s="16">
        <v>0</v>
      </c>
      <c r="EW157" s="16">
        <v>1963</v>
      </c>
      <c r="EX157" s="16">
        <v>8380</v>
      </c>
      <c r="EY157" s="16">
        <v>70513</v>
      </c>
      <c r="EZ157" s="16">
        <v>4386</v>
      </c>
      <c r="FA157" s="16">
        <v>7664</v>
      </c>
      <c r="FB157" s="16">
        <v>120870</v>
      </c>
      <c r="FC157" s="16">
        <v>0</v>
      </c>
      <c r="FD157" s="16">
        <v>10302</v>
      </c>
      <c r="FE157" s="16">
        <v>0</v>
      </c>
      <c r="FF157" s="16">
        <v>0</v>
      </c>
      <c r="FG157" s="16">
        <v>0</v>
      </c>
      <c r="FH157" s="16">
        <v>0</v>
      </c>
      <c r="FI157" s="16">
        <v>0</v>
      </c>
      <c r="FJ157" s="16">
        <v>0</v>
      </c>
      <c r="FK157" s="16">
        <v>0</v>
      </c>
      <c r="FL157" s="16">
        <v>0</v>
      </c>
      <c r="FM157" s="16">
        <v>1841</v>
      </c>
      <c r="FN157" s="16">
        <v>25119</v>
      </c>
      <c r="FO157" s="16">
        <v>28033</v>
      </c>
      <c r="FP157" s="16">
        <v>42699</v>
      </c>
      <c r="FQ157" s="16">
        <v>1496</v>
      </c>
      <c r="FR157" s="16">
        <v>463523</v>
      </c>
      <c r="FS157" s="16">
        <v>17604</v>
      </c>
      <c r="FT157" s="16">
        <v>133</v>
      </c>
      <c r="FU157" s="16">
        <v>715</v>
      </c>
      <c r="FV157" s="16">
        <v>588798</v>
      </c>
      <c r="FW157" s="16">
        <v>19</v>
      </c>
      <c r="FX157" s="16">
        <v>1052</v>
      </c>
      <c r="FY157" s="16">
        <v>33</v>
      </c>
      <c r="FZ157" s="16">
        <v>436</v>
      </c>
      <c r="GA157" s="16">
        <v>301</v>
      </c>
      <c r="GB157" s="16">
        <v>864</v>
      </c>
      <c r="GC157" s="16">
        <v>58</v>
      </c>
      <c r="GD157" s="16">
        <v>3877</v>
      </c>
      <c r="GE157" s="16">
        <v>1</v>
      </c>
      <c r="GF157" s="16">
        <v>1</v>
      </c>
      <c r="GG157" s="16">
        <v>1</v>
      </c>
      <c r="GH157" s="16">
        <v>3</v>
      </c>
      <c r="GI157" s="16">
        <v>3</v>
      </c>
      <c r="GJ157" s="16">
        <v>15</v>
      </c>
      <c r="GK157" s="16">
        <v>80</v>
      </c>
      <c r="GL157" s="16">
        <v>5</v>
      </c>
      <c r="GM157" s="16">
        <v>11</v>
      </c>
      <c r="GN157" s="16">
        <v>9</v>
      </c>
      <c r="GO157" s="16">
        <v>11</v>
      </c>
      <c r="GP157" s="16">
        <v>2</v>
      </c>
      <c r="GQ157" s="16">
        <v>26</v>
      </c>
      <c r="GR157" s="16">
        <v>3</v>
      </c>
      <c r="GS157" s="16">
        <v>2</v>
      </c>
      <c r="GT157" s="16">
        <v>6</v>
      </c>
      <c r="GU157" s="16">
        <v>0</v>
      </c>
      <c r="GV157" s="16">
        <v>4</v>
      </c>
      <c r="GW157" s="16">
        <v>29</v>
      </c>
      <c r="GX157" s="16">
        <v>2</v>
      </c>
      <c r="GY157" s="16">
        <v>0</v>
      </c>
      <c r="GZ157" s="16">
        <v>203</v>
      </c>
      <c r="HA157" s="16">
        <v>211</v>
      </c>
      <c r="HB157" s="16">
        <v>74</v>
      </c>
      <c r="HC157" s="16">
        <v>101</v>
      </c>
      <c r="HD157" s="16">
        <v>120</v>
      </c>
      <c r="HE157" s="16">
        <v>57</v>
      </c>
      <c r="HF157" s="16">
        <v>40</v>
      </c>
      <c r="HG157" s="16">
        <v>21</v>
      </c>
      <c r="HH157" s="16">
        <v>42</v>
      </c>
      <c r="HI157" s="16">
        <v>115</v>
      </c>
      <c r="HJ157" s="16">
        <v>4</v>
      </c>
      <c r="HK157" s="16">
        <v>46</v>
      </c>
      <c r="HL157" s="16">
        <v>246</v>
      </c>
      <c r="HM157" s="16">
        <v>102203</v>
      </c>
      <c r="HN157" s="16">
        <v>48641</v>
      </c>
      <c r="HO157" s="16">
        <v>6351</v>
      </c>
      <c r="HP157" s="16">
        <v>12967</v>
      </c>
      <c r="HQ157" s="16">
        <v>40297</v>
      </c>
      <c r="HR157" s="16">
        <v>44462</v>
      </c>
      <c r="HS157" s="16">
        <v>49774</v>
      </c>
      <c r="HT157" s="16">
        <v>704</v>
      </c>
      <c r="HU157" s="16">
        <v>109699</v>
      </c>
      <c r="HV157" s="16">
        <v>14293</v>
      </c>
      <c r="HW157" s="16">
        <v>130716</v>
      </c>
      <c r="HX157" s="16">
        <v>24605</v>
      </c>
      <c r="HY157" s="16">
        <v>93090</v>
      </c>
      <c r="HZ157" s="16">
        <v>1846</v>
      </c>
      <c r="IA157" s="16">
        <v>1655</v>
      </c>
      <c r="IB157" s="16">
        <v>5832</v>
      </c>
      <c r="IC157" s="16">
        <v>1637</v>
      </c>
      <c r="ID157" s="16">
        <v>6299</v>
      </c>
      <c r="IE157" s="16">
        <v>785</v>
      </c>
      <c r="IF157" s="16">
        <v>4160</v>
      </c>
      <c r="IG157" s="16">
        <v>28536</v>
      </c>
      <c r="IH157" s="16">
        <v>53949</v>
      </c>
      <c r="II157" s="16">
        <v>7916</v>
      </c>
      <c r="IJ157" s="16">
        <v>7656</v>
      </c>
      <c r="IK157" s="16">
        <v>35680</v>
      </c>
      <c r="IL157" s="16">
        <v>6370</v>
      </c>
      <c r="IM157" s="16">
        <v>26921</v>
      </c>
      <c r="IN157" s="16">
        <v>144203</v>
      </c>
      <c r="IO157" s="16">
        <v>137409</v>
      </c>
      <c r="IP157" s="16">
        <v>4143558</v>
      </c>
      <c r="IQ157" s="16">
        <v>298447</v>
      </c>
      <c r="IR157" s="16">
        <v>257549</v>
      </c>
      <c r="IS157" s="16">
        <v>30893</v>
      </c>
      <c r="IT157" s="16">
        <v>4557</v>
      </c>
      <c r="IU157" s="16">
        <v>2481</v>
      </c>
      <c r="IV157" s="16">
        <v>83001</v>
      </c>
      <c r="IW157" s="16">
        <v>16776</v>
      </c>
      <c r="IX157" s="16">
        <v>1351</v>
      </c>
      <c r="IY157" s="16">
        <v>39959</v>
      </c>
      <c r="IZ157" s="16">
        <v>0</v>
      </c>
      <c r="JA157" s="16">
        <v>79</v>
      </c>
      <c r="JB157" s="16">
        <v>0</v>
      </c>
      <c r="JC157" s="16">
        <v>0</v>
      </c>
      <c r="JD157" s="16">
        <v>154</v>
      </c>
      <c r="JE157" s="16">
        <v>12</v>
      </c>
      <c r="JF157" s="16">
        <v>0</v>
      </c>
      <c r="JG157" s="16">
        <v>1891</v>
      </c>
      <c r="JH157" s="16">
        <v>76344</v>
      </c>
      <c r="JI157" s="16">
        <v>0</v>
      </c>
      <c r="JJ157" s="16">
        <v>132</v>
      </c>
      <c r="JK157" s="16">
        <v>9</v>
      </c>
      <c r="JL157" s="16">
        <v>0</v>
      </c>
      <c r="JM157" s="16">
        <v>456</v>
      </c>
      <c r="JN157" s="16">
        <v>4965</v>
      </c>
      <c r="JO157" s="16">
        <v>0</v>
      </c>
      <c r="JP157" s="16">
        <v>0</v>
      </c>
      <c r="JQ157" s="16">
        <v>0</v>
      </c>
      <c r="JR157" s="16">
        <v>0</v>
      </c>
      <c r="JS157" s="16">
        <v>0</v>
      </c>
      <c r="JT157" s="16">
        <v>0</v>
      </c>
      <c r="JU157" s="16">
        <v>0</v>
      </c>
      <c r="JV157" s="16">
        <v>131</v>
      </c>
      <c r="JW157" s="16">
        <v>390363</v>
      </c>
      <c r="JX157" s="16">
        <v>899760</v>
      </c>
      <c r="JY157" s="16">
        <v>6348</v>
      </c>
      <c r="JZ157" s="16">
        <v>8320</v>
      </c>
      <c r="KA157" s="16">
        <v>29243</v>
      </c>
      <c r="KB157" s="16">
        <v>645</v>
      </c>
      <c r="KC157" s="16">
        <v>798</v>
      </c>
      <c r="KD157" s="16">
        <v>3626</v>
      </c>
      <c r="KE157" s="16">
        <v>1685</v>
      </c>
      <c r="KF157" s="16">
        <v>17085</v>
      </c>
      <c r="KG157" s="16">
        <v>1942</v>
      </c>
      <c r="KH157" s="16">
        <v>2581</v>
      </c>
      <c r="KI157" s="16">
        <v>3533</v>
      </c>
      <c r="KJ157" s="16">
        <v>34345</v>
      </c>
      <c r="KK157" s="16">
        <v>0</v>
      </c>
      <c r="KL157" s="16">
        <v>0</v>
      </c>
      <c r="KM157" s="16">
        <v>0</v>
      </c>
      <c r="KN157" s="16">
        <v>0</v>
      </c>
      <c r="KO157" s="16">
        <v>0</v>
      </c>
      <c r="KP157" s="16">
        <v>0</v>
      </c>
      <c r="KQ157" s="16">
        <v>0</v>
      </c>
      <c r="KR157" s="16">
        <v>0</v>
      </c>
      <c r="KS157" s="16">
        <v>0</v>
      </c>
      <c r="KT157" s="16">
        <v>0</v>
      </c>
      <c r="KU157" s="16">
        <v>0</v>
      </c>
      <c r="KV157" s="16">
        <v>0</v>
      </c>
      <c r="KW157" s="16">
        <v>0</v>
      </c>
      <c r="KX157" s="16">
        <v>0</v>
      </c>
      <c r="KY157" s="16">
        <v>0</v>
      </c>
      <c r="KZ157" s="16">
        <v>0</v>
      </c>
      <c r="LA157" s="16">
        <v>0</v>
      </c>
      <c r="LB157" s="16">
        <v>0</v>
      </c>
      <c r="LC157" s="16">
        <v>0</v>
      </c>
      <c r="LD157" s="16">
        <v>0</v>
      </c>
      <c r="LE157" s="16">
        <v>0</v>
      </c>
      <c r="LF157" s="16">
        <v>0</v>
      </c>
      <c r="LG157" s="16">
        <v>0</v>
      </c>
      <c r="LH157" s="16">
        <v>0</v>
      </c>
      <c r="LI157" s="16">
        <v>0</v>
      </c>
      <c r="LJ157" s="16">
        <v>0</v>
      </c>
      <c r="LK157" s="16">
        <v>0</v>
      </c>
      <c r="LL157" s="16">
        <v>0</v>
      </c>
      <c r="LM157" s="16">
        <v>0</v>
      </c>
      <c r="LN157" s="16">
        <v>0</v>
      </c>
      <c r="LO157" s="16">
        <v>0</v>
      </c>
      <c r="LP157" s="16">
        <v>0</v>
      </c>
      <c r="LQ157" s="16">
        <v>0</v>
      </c>
      <c r="LR157" s="16">
        <v>0</v>
      </c>
      <c r="LS157" s="16">
        <v>0</v>
      </c>
      <c r="LT157" s="16">
        <v>0</v>
      </c>
      <c r="LU157" s="16">
        <v>0</v>
      </c>
      <c r="LV157" s="16">
        <v>0</v>
      </c>
      <c r="LW157" s="16">
        <v>0</v>
      </c>
      <c r="LX157" s="16">
        <v>0</v>
      </c>
      <c r="LY157" s="16">
        <v>0</v>
      </c>
      <c r="LZ157" s="16">
        <v>0</v>
      </c>
      <c r="MA157" s="16">
        <v>0</v>
      </c>
      <c r="MB157" s="16">
        <v>0</v>
      </c>
      <c r="MC157" s="16">
        <v>0</v>
      </c>
      <c r="MD157" s="16">
        <v>0</v>
      </c>
      <c r="ME157" s="16">
        <v>0</v>
      </c>
      <c r="MF157" s="16">
        <v>68</v>
      </c>
      <c r="MG157" s="16">
        <v>0</v>
      </c>
      <c r="MH157" s="16">
        <v>0</v>
      </c>
      <c r="MI157" s="16">
        <v>0</v>
      </c>
      <c r="MJ157" s="16">
        <v>0</v>
      </c>
      <c r="MK157" s="16">
        <v>0</v>
      </c>
      <c r="ML157" s="16">
        <v>0</v>
      </c>
      <c r="MM157" s="16">
        <v>0</v>
      </c>
      <c r="MN157" s="16">
        <v>0</v>
      </c>
      <c r="MO157" s="16">
        <v>0</v>
      </c>
      <c r="MP157" s="16">
        <v>0</v>
      </c>
      <c r="MQ157" s="16">
        <v>0</v>
      </c>
      <c r="MR157" s="16">
        <v>0</v>
      </c>
      <c r="MS157" s="16">
        <v>0</v>
      </c>
      <c r="MT157" s="16">
        <v>0</v>
      </c>
      <c r="MU157" s="16">
        <v>0</v>
      </c>
      <c r="MV157" s="16">
        <v>0</v>
      </c>
      <c r="MW157" s="16">
        <v>0</v>
      </c>
      <c r="MX157" s="16">
        <v>0</v>
      </c>
      <c r="MY157" s="16">
        <v>0</v>
      </c>
      <c r="MZ157" s="16">
        <v>0</v>
      </c>
      <c r="NA157" s="16">
        <v>0</v>
      </c>
      <c r="NB157" s="16">
        <v>0</v>
      </c>
      <c r="NC157" s="16">
        <v>0</v>
      </c>
      <c r="ND157" s="16">
        <v>0</v>
      </c>
      <c r="NE157" s="16">
        <v>0</v>
      </c>
      <c r="NF157" s="16">
        <v>0</v>
      </c>
      <c r="NG157" s="16">
        <v>0</v>
      </c>
      <c r="NH157" s="16">
        <v>0</v>
      </c>
      <c r="NI157" s="16">
        <v>0</v>
      </c>
      <c r="NJ157" s="16">
        <v>0</v>
      </c>
      <c r="NK157" s="16">
        <v>0</v>
      </c>
      <c r="NL157" s="16">
        <v>0</v>
      </c>
      <c r="NM157" s="16">
        <v>0</v>
      </c>
      <c r="NN157" s="16">
        <v>0</v>
      </c>
      <c r="NO157" s="16">
        <v>0</v>
      </c>
      <c r="NP157" s="16">
        <v>394</v>
      </c>
      <c r="NQ157" s="16">
        <v>0</v>
      </c>
      <c r="NR157" s="17">
        <v>8915058</v>
      </c>
    </row>
    <row r="158" spans="1:382" ht="13.5" customHeight="1" x14ac:dyDescent="0.2">
      <c r="A158" s="2" t="s">
        <v>323</v>
      </c>
      <c r="B158" s="16">
        <v>0</v>
      </c>
      <c r="C158" s="16">
        <v>0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6">
        <v>0</v>
      </c>
      <c r="BD158" s="16">
        <v>0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6">
        <v>0</v>
      </c>
      <c r="BK158" s="16">
        <v>0</v>
      </c>
      <c r="BL158" s="16">
        <v>0</v>
      </c>
      <c r="BM158" s="16">
        <v>0</v>
      </c>
      <c r="BN158" s="16">
        <v>0</v>
      </c>
      <c r="BO158" s="16">
        <v>0</v>
      </c>
      <c r="BP158" s="16">
        <v>0</v>
      </c>
      <c r="BQ158" s="16">
        <v>0</v>
      </c>
      <c r="BR158" s="16">
        <v>0</v>
      </c>
      <c r="BS158" s="16">
        <v>0</v>
      </c>
      <c r="BT158" s="16">
        <v>0</v>
      </c>
      <c r="BU158" s="16">
        <v>0</v>
      </c>
      <c r="BV158" s="16">
        <v>0</v>
      </c>
      <c r="BW158" s="16">
        <v>0</v>
      </c>
      <c r="BX158" s="16">
        <v>0</v>
      </c>
      <c r="BY158" s="16">
        <v>0</v>
      </c>
      <c r="BZ158" s="16">
        <v>0</v>
      </c>
      <c r="CA158" s="16">
        <v>0</v>
      </c>
      <c r="CB158" s="16">
        <v>0</v>
      </c>
      <c r="CC158" s="16">
        <v>0</v>
      </c>
      <c r="CD158" s="16">
        <v>0</v>
      </c>
      <c r="CE158" s="16">
        <v>0</v>
      </c>
      <c r="CF158" s="16">
        <v>0</v>
      </c>
      <c r="CG158" s="16">
        <v>0</v>
      </c>
      <c r="CH158" s="16">
        <v>0</v>
      </c>
      <c r="CI158" s="16">
        <v>0</v>
      </c>
      <c r="CJ158" s="16">
        <v>0</v>
      </c>
      <c r="CK158" s="16">
        <v>0</v>
      </c>
      <c r="CL158" s="16">
        <v>0</v>
      </c>
      <c r="CM158" s="16">
        <v>0</v>
      </c>
      <c r="CN158" s="16">
        <v>0</v>
      </c>
      <c r="CO158" s="16">
        <v>0</v>
      </c>
      <c r="CP158" s="16">
        <v>0</v>
      </c>
      <c r="CQ158" s="16">
        <v>0</v>
      </c>
      <c r="CR158" s="16">
        <v>0</v>
      </c>
      <c r="CS158" s="16">
        <v>0</v>
      </c>
      <c r="CT158" s="16">
        <v>0</v>
      </c>
      <c r="CU158" s="16">
        <v>0</v>
      </c>
      <c r="CV158" s="16">
        <v>0</v>
      </c>
      <c r="CW158" s="16">
        <v>0</v>
      </c>
      <c r="CX158" s="16">
        <v>0</v>
      </c>
      <c r="CY158" s="16">
        <v>0</v>
      </c>
      <c r="CZ158" s="16">
        <v>0</v>
      </c>
      <c r="DA158" s="16">
        <v>0</v>
      </c>
      <c r="DB158" s="16">
        <v>0</v>
      </c>
      <c r="DC158" s="16">
        <v>0</v>
      </c>
      <c r="DD158" s="16">
        <v>0</v>
      </c>
      <c r="DE158" s="16">
        <v>0</v>
      </c>
      <c r="DF158" s="16">
        <v>0</v>
      </c>
      <c r="DG158" s="16">
        <v>0</v>
      </c>
      <c r="DH158" s="16">
        <v>0</v>
      </c>
      <c r="DI158" s="16">
        <v>0</v>
      </c>
      <c r="DJ158" s="16">
        <v>0</v>
      </c>
      <c r="DK158" s="16">
        <v>0</v>
      </c>
      <c r="DL158" s="16">
        <v>0</v>
      </c>
      <c r="DM158" s="16">
        <v>0</v>
      </c>
      <c r="DN158" s="16">
        <v>0</v>
      </c>
      <c r="DO158" s="16">
        <v>0</v>
      </c>
      <c r="DP158" s="16">
        <v>0</v>
      </c>
      <c r="DQ158" s="16">
        <v>0</v>
      </c>
      <c r="DR158" s="16">
        <v>0</v>
      </c>
      <c r="DS158" s="16">
        <v>0</v>
      </c>
      <c r="DT158" s="16">
        <v>0</v>
      </c>
      <c r="DU158" s="16">
        <v>0</v>
      </c>
      <c r="DV158" s="16">
        <v>0</v>
      </c>
      <c r="DW158" s="16">
        <v>0</v>
      </c>
      <c r="DX158" s="16">
        <v>144</v>
      </c>
      <c r="DY158" s="16">
        <v>178</v>
      </c>
      <c r="DZ158" s="16">
        <v>476</v>
      </c>
      <c r="EA158" s="16">
        <v>154</v>
      </c>
      <c r="EB158" s="16">
        <v>2</v>
      </c>
      <c r="EC158" s="16">
        <v>760</v>
      </c>
      <c r="ED158" s="16">
        <v>364</v>
      </c>
      <c r="EE158" s="16">
        <v>0</v>
      </c>
      <c r="EF158" s="16">
        <v>0</v>
      </c>
      <c r="EG158" s="16">
        <v>0</v>
      </c>
      <c r="EH158" s="16">
        <v>0</v>
      </c>
      <c r="EI158" s="16">
        <v>0</v>
      </c>
      <c r="EJ158" s="16">
        <v>0</v>
      </c>
      <c r="EK158" s="16">
        <v>0</v>
      </c>
      <c r="EL158" s="16">
        <v>0</v>
      </c>
      <c r="EM158" s="16">
        <v>490</v>
      </c>
      <c r="EN158" s="16">
        <v>4366</v>
      </c>
      <c r="EO158" s="16">
        <v>4292</v>
      </c>
      <c r="EP158" s="16">
        <v>0</v>
      </c>
      <c r="EQ158" s="16">
        <v>0</v>
      </c>
      <c r="ER158" s="16">
        <v>0</v>
      </c>
      <c r="ES158" s="16">
        <v>0</v>
      </c>
      <c r="ET158" s="16">
        <v>0</v>
      </c>
      <c r="EU158" s="16">
        <v>436</v>
      </c>
      <c r="EV158" s="16">
        <v>0</v>
      </c>
      <c r="EW158" s="16">
        <v>4876</v>
      </c>
      <c r="EX158" s="16">
        <v>83253</v>
      </c>
      <c r="EY158" s="16">
        <v>211597</v>
      </c>
      <c r="EZ158" s="16">
        <v>9764</v>
      </c>
      <c r="FA158" s="16">
        <v>41231</v>
      </c>
      <c r="FB158" s="16">
        <v>392136</v>
      </c>
      <c r="FC158" s="16">
        <v>346</v>
      </c>
      <c r="FD158" s="16">
        <v>2513453</v>
      </c>
      <c r="FE158" s="16">
        <v>1686822</v>
      </c>
      <c r="FF158" s="16">
        <v>2484252</v>
      </c>
      <c r="FG158" s="16">
        <v>3166221</v>
      </c>
      <c r="FH158" s="16">
        <v>505</v>
      </c>
      <c r="FI158" s="16">
        <v>5</v>
      </c>
      <c r="FJ158" s="16">
        <v>0</v>
      </c>
      <c r="FK158" s="16">
        <v>0</v>
      </c>
      <c r="FL158" s="16">
        <v>0</v>
      </c>
      <c r="FM158" s="16">
        <v>4389</v>
      </c>
      <c r="FN158" s="16">
        <v>32050</v>
      </c>
      <c r="FO158" s="16">
        <v>41672</v>
      </c>
      <c r="FP158" s="16">
        <v>28153</v>
      </c>
      <c r="FQ158" s="16">
        <v>23221</v>
      </c>
      <c r="FR158" s="16">
        <v>64932</v>
      </c>
      <c r="FS158" s="16">
        <v>21631</v>
      </c>
      <c r="FT158" s="16">
        <v>13010</v>
      </c>
      <c r="FU158" s="16">
        <v>96188</v>
      </c>
      <c r="FV158" s="16">
        <v>11632</v>
      </c>
      <c r="FW158" s="16">
        <v>1430</v>
      </c>
      <c r="FX158" s="16">
        <v>23117</v>
      </c>
      <c r="FY158" s="16">
        <v>3234</v>
      </c>
      <c r="FZ158" s="16">
        <v>48627</v>
      </c>
      <c r="GA158" s="16">
        <v>1658</v>
      </c>
      <c r="GB158" s="16">
        <v>17228</v>
      </c>
      <c r="GC158" s="16">
        <v>5703</v>
      </c>
      <c r="GD158" s="16">
        <v>17823</v>
      </c>
      <c r="GE158" s="16">
        <v>22</v>
      </c>
      <c r="GF158" s="16">
        <v>661</v>
      </c>
      <c r="GG158" s="16">
        <v>34</v>
      </c>
      <c r="GH158" s="16">
        <v>409</v>
      </c>
      <c r="GI158" s="16">
        <v>2136</v>
      </c>
      <c r="GJ158" s="16">
        <v>7525</v>
      </c>
      <c r="GK158" s="16">
        <v>40629</v>
      </c>
      <c r="GL158" s="16">
        <v>2</v>
      </c>
      <c r="GM158" s="16">
        <v>55</v>
      </c>
      <c r="GN158" s="16">
        <v>320</v>
      </c>
      <c r="GO158" s="16">
        <v>8</v>
      </c>
      <c r="GP158" s="16">
        <v>497</v>
      </c>
      <c r="GQ158" s="16">
        <v>201</v>
      </c>
      <c r="GR158" s="16">
        <v>1292</v>
      </c>
      <c r="GS158" s="16">
        <v>364</v>
      </c>
      <c r="GT158" s="16">
        <v>56</v>
      </c>
      <c r="GU158" s="16">
        <v>0</v>
      </c>
      <c r="GV158" s="16">
        <v>1810</v>
      </c>
      <c r="GW158" s="16">
        <v>13289</v>
      </c>
      <c r="GX158" s="16">
        <v>14</v>
      </c>
      <c r="GY158" s="16">
        <v>0</v>
      </c>
      <c r="GZ158" s="16">
        <v>39281</v>
      </c>
      <c r="HA158" s="16">
        <v>66951</v>
      </c>
      <c r="HB158" s="16">
        <v>9636</v>
      </c>
      <c r="HC158" s="16">
        <v>44986</v>
      </c>
      <c r="HD158" s="16">
        <v>92169</v>
      </c>
      <c r="HE158" s="16">
        <v>2155</v>
      </c>
      <c r="HF158" s="16">
        <v>11534</v>
      </c>
      <c r="HG158" s="16">
        <v>10587</v>
      </c>
      <c r="HH158" s="16">
        <v>24633</v>
      </c>
      <c r="HI158" s="16">
        <v>45276</v>
      </c>
      <c r="HJ158" s="16">
        <v>3277</v>
      </c>
      <c r="HK158" s="16">
        <v>15559</v>
      </c>
      <c r="HL158" s="16">
        <v>46547</v>
      </c>
      <c r="HM158" s="16">
        <v>44672</v>
      </c>
      <c r="HN158" s="16">
        <v>13222</v>
      </c>
      <c r="HO158" s="16">
        <v>2704</v>
      </c>
      <c r="HP158" s="16">
        <v>4177</v>
      </c>
      <c r="HQ158" s="16">
        <v>10535</v>
      </c>
      <c r="HR158" s="16">
        <v>7883</v>
      </c>
      <c r="HS158" s="16">
        <v>13203</v>
      </c>
      <c r="HT158" s="16">
        <v>88</v>
      </c>
      <c r="HU158" s="16">
        <v>6668</v>
      </c>
      <c r="HV158" s="16">
        <v>4335</v>
      </c>
      <c r="HW158" s="16">
        <v>10685</v>
      </c>
      <c r="HX158" s="16">
        <v>12817</v>
      </c>
      <c r="HY158" s="16">
        <v>32819</v>
      </c>
      <c r="HZ158" s="16">
        <v>530</v>
      </c>
      <c r="IA158" s="16">
        <v>450</v>
      </c>
      <c r="IB158" s="16">
        <v>1636</v>
      </c>
      <c r="IC158" s="16">
        <v>2035</v>
      </c>
      <c r="ID158" s="16">
        <v>1596</v>
      </c>
      <c r="IE158" s="16">
        <v>131</v>
      </c>
      <c r="IF158" s="16">
        <v>1158</v>
      </c>
      <c r="IG158" s="16">
        <v>11100</v>
      </c>
      <c r="IH158" s="16">
        <v>62617</v>
      </c>
      <c r="II158" s="16">
        <v>8248</v>
      </c>
      <c r="IJ158" s="16">
        <v>22506</v>
      </c>
      <c r="IK158" s="16">
        <v>170350</v>
      </c>
      <c r="IL158" s="16">
        <v>113415</v>
      </c>
      <c r="IM158" s="16">
        <v>64167</v>
      </c>
      <c r="IN158" s="16">
        <v>17111</v>
      </c>
      <c r="IO158" s="16">
        <v>1424402</v>
      </c>
      <c r="IP158" s="16">
        <v>11154</v>
      </c>
      <c r="IQ158" s="16">
        <v>870</v>
      </c>
      <c r="IR158" s="16">
        <v>1917</v>
      </c>
      <c r="IS158" s="16">
        <v>592</v>
      </c>
      <c r="IT158" s="16">
        <v>187</v>
      </c>
      <c r="IU158" s="16">
        <v>10</v>
      </c>
      <c r="IV158" s="16">
        <v>5850</v>
      </c>
      <c r="IW158" s="16">
        <v>4473</v>
      </c>
      <c r="IX158" s="16">
        <v>21269</v>
      </c>
      <c r="IY158" s="16">
        <v>2808</v>
      </c>
      <c r="IZ158" s="16">
        <v>2</v>
      </c>
      <c r="JA158" s="16">
        <v>1350</v>
      </c>
      <c r="JB158" s="16">
        <v>0</v>
      </c>
      <c r="JC158" s="16">
        <v>0</v>
      </c>
      <c r="JD158" s="16">
        <v>667</v>
      </c>
      <c r="JE158" s="16">
        <v>200</v>
      </c>
      <c r="JF158" s="16">
        <v>0</v>
      </c>
      <c r="JG158" s="16">
        <v>18270</v>
      </c>
      <c r="JH158" s="16">
        <v>1795</v>
      </c>
      <c r="JI158" s="16">
        <v>0</v>
      </c>
      <c r="JJ158" s="16">
        <v>3019</v>
      </c>
      <c r="JK158" s="16">
        <v>89</v>
      </c>
      <c r="JL158" s="16">
        <v>0</v>
      </c>
      <c r="JM158" s="16">
        <v>0</v>
      </c>
      <c r="JN158" s="16">
        <v>0</v>
      </c>
      <c r="JO158" s="16">
        <v>0</v>
      </c>
      <c r="JP158" s="16">
        <v>0</v>
      </c>
      <c r="JQ158" s="16">
        <v>0</v>
      </c>
      <c r="JR158" s="16">
        <v>0</v>
      </c>
      <c r="JS158" s="16">
        <v>0</v>
      </c>
      <c r="JT158" s="16">
        <v>0</v>
      </c>
      <c r="JU158" s="16">
        <v>0</v>
      </c>
      <c r="JV158" s="16">
        <v>513</v>
      </c>
      <c r="JW158" s="16">
        <v>197051</v>
      </c>
      <c r="JX158" s="16">
        <v>172616</v>
      </c>
      <c r="JY158" s="16">
        <v>5374</v>
      </c>
      <c r="JZ158" s="16">
        <v>6509</v>
      </c>
      <c r="KA158" s="16">
        <v>31191</v>
      </c>
      <c r="KB158" s="16">
        <v>508</v>
      </c>
      <c r="KC158" s="16">
        <v>735</v>
      </c>
      <c r="KD158" s="16">
        <v>3331</v>
      </c>
      <c r="KE158" s="16">
        <v>1343</v>
      </c>
      <c r="KF158" s="16">
        <v>13393</v>
      </c>
      <c r="KG158" s="16">
        <v>1524</v>
      </c>
      <c r="KH158" s="16">
        <v>464</v>
      </c>
      <c r="KI158" s="16">
        <v>69195</v>
      </c>
      <c r="KJ158" s="16">
        <v>4643</v>
      </c>
      <c r="KK158" s="16">
        <v>0</v>
      </c>
      <c r="KL158" s="16">
        <v>0</v>
      </c>
      <c r="KM158" s="16">
        <v>0</v>
      </c>
      <c r="KN158" s="16">
        <v>0</v>
      </c>
      <c r="KO158" s="16">
        <v>0</v>
      </c>
      <c r="KP158" s="16">
        <v>0</v>
      </c>
      <c r="KQ158" s="16">
        <v>0</v>
      </c>
      <c r="KR158" s="16">
        <v>0</v>
      </c>
      <c r="KS158" s="16">
        <v>0</v>
      </c>
      <c r="KT158" s="16">
        <v>0</v>
      </c>
      <c r="KU158" s="16">
        <v>0</v>
      </c>
      <c r="KV158" s="16">
        <v>0</v>
      </c>
      <c r="KW158" s="16">
        <v>0</v>
      </c>
      <c r="KX158" s="16">
        <v>0</v>
      </c>
      <c r="KY158" s="16">
        <v>0</v>
      </c>
      <c r="KZ158" s="16">
        <v>0</v>
      </c>
      <c r="LA158" s="16">
        <v>0</v>
      </c>
      <c r="LB158" s="16">
        <v>0</v>
      </c>
      <c r="LC158" s="16">
        <v>0</v>
      </c>
      <c r="LD158" s="16">
        <v>0</v>
      </c>
      <c r="LE158" s="16">
        <v>0</v>
      </c>
      <c r="LF158" s="16">
        <v>0</v>
      </c>
      <c r="LG158" s="16">
        <v>0</v>
      </c>
      <c r="LH158" s="16">
        <v>0</v>
      </c>
      <c r="LI158" s="16">
        <v>0</v>
      </c>
      <c r="LJ158" s="16">
        <v>0</v>
      </c>
      <c r="LK158" s="16">
        <v>0</v>
      </c>
      <c r="LL158" s="16">
        <v>0</v>
      </c>
      <c r="LM158" s="16">
        <v>0</v>
      </c>
      <c r="LN158" s="16">
        <v>0</v>
      </c>
      <c r="LO158" s="16">
        <v>0</v>
      </c>
      <c r="LP158" s="16">
        <v>0</v>
      </c>
      <c r="LQ158" s="16">
        <v>0</v>
      </c>
      <c r="LR158" s="16">
        <v>0</v>
      </c>
      <c r="LS158" s="16">
        <v>0</v>
      </c>
      <c r="LT158" s="16">
        <v>0</v>
      </c>
      <c r="LU158" s="16">
        <v>0</v>
      </c>
      <c r="LV158" s="16">
        <v>0</v>
      </c>
      <c r="LW158" s="16">
        <v>0</v>
      </c>
      <c r="LX158" s="16">
        <v>0</v>
      </c>
      <c r="LY158" s="16">
        <v>0</v>
      </c>
      <c r="LZ158" s="16">
        <v>0</v>
      </c>
      <c r="MA158" s="16">
        <v>0</v>
      </c>
      <c r="MB158" s="16">
        <v>0</v>
      </c>
      <c r="MC158" s="16">
        <v>0</v>
      </c>
      <c r="MD158" s="16">
        <v>0</v>
      </c>
      <c r="ME158" s="16">
        <v>0</v>
      </c>
      <c r="MF158" s="16">
        <v>659</v>
      </c>
      <c r="MG158" s="16">
        <v>0</v>
      </c>
      <c r="MH158" s="16">
        <v>0</v>
      </c>
      <c r="MI158" s="16">
        <v>0</v>
      </c>
      <c r="MJ158" s="16">
        <v>0</v>
      </c>
      <c r="MK158" s="16">
        <v>0</v>
      </c>
      <c r="ML158" s="16">
        <v>0</v>
      </c>
      <c r="MM158" s="16">
        <v>0</v>
      </c>
      <c r="MN158" s="16">
        <v>0</v>
      </c>
      <c r="MO158" s="16">
        <v>0</v>
      </c>
      <c r="MP158" s="16">
        <v>0</v>
      </c>
      <c r="MQ158" s="16">
        <v>0</v>
      </c>
      <c r="MR158" s="16">
        <v>540</v>
      </c>
      <c r="MS158" s="16">
        <v>0</v>
      </c>
      <c r="MT158" s="16">
        <v>0</v>
      </c>
      <c r="MU158" s="16">
        <v>0</v>
      </c>
      <c r="MV158" s="16">
        <v>0</v>
      </c>
      <c r="MW158" s="16">
        <v>0</v>
      </c>
      <c r="MX158" s="16">
        <v>0</v>
      </c>
      <c r="MY158" s="16">
        <v>0</v>
      </c>
      <c r="MZ158" s="16">
        <v>0</v>
      </c>
      <c r="NA158" s="16">
        <v>0</v>
      </c>
      <c r="NB158" s="16">
        <v>0</v>
      </c>
      <c r="NC158" s="16">
        <v>0</v>
      </c>
      <c r="ND158" s="16">
        <v>0</v>
      </c>
      <c r="NE158" s="16">
        <v>0</v>
      </c>
      <c r="NF158" s="16">
        <v>0</v>
      </c>
      <c r="NG158" s="16">
        <v>0</v>
      </c>
      <c r="NH158" s="16">
        <v>0</v>
      </c>
      <c r="NI158" s="16">
        <v>0</v>
      </c>
      <c r="NJ158" s="16">
        <v>0</v>
      </c>
      <c r="NK158" s="16">
        <v>0</v>
      </c>
      <c r="NL158" s="16">
        <v>0</v>
      </c>
      <c r="NM158" s="16">
        <v>0</v>
      </c>
      <c r="NN158" s="16">
        <v>0</v>
      </c>
      <c r="NO158" s="16">
        <v>0</v>
      </c>
      <c r="NP158" s="16">
        <v>10417</v>
      </c>
      <c r="NQ158" s="16">
        <v>1</v>
      </c>
      <c r="NR158" s="17">
        <v>14203525</v>
      </c>
    </row>
    <row r="159" spans="1:382" ht="13.5" customHeight="1" x14ac:dyDescent="0.2">
      <c r="A159" s="2" t="s">
        <v>325</v>
      </c>
      <c r="B159" s="16">
        <v>4</v>
      </c>
      <c r="C159" s="16">
        <v>0</v>
      </c>
      <c r="D159" s="16">
        <v>0</v>
      </c>
      <c r="E159" s="16">
        <v>0</v>
      </c>
      <c r="F159" s="16">
        <v>7</v>
      </c>
      <c r="G159" s="16">
        <v>1</v>
      </c>
      <c r="H159" s="16">
        <v>1</v>
      </c>
      <c r="I159" s="16">
        <v>1</v>
      </c>
      <c r="J159" s="16">
        <v>1</v>
      </c>
      <c r="K159" s="16">
        <v>0</v>
      </c>
      <c r="L159" s="16">
        <v>2</v>
      </c>
      <c r="M159" s="16">
        <v>0</v>
      </c>
      <c r="N159" s="16">
        <v>0</v>
      </c>
      <c r="O159" s="16">
        <v>0</v>
      </c>
      <c r="P159" s="16">
        <v>1</v>
      </c>
      <c r="Q159" s="16">
        <v>12</v>
      </c>
      <c r="R159" s="16">
        <v>7</v>
      </c>
      <c r="S159" s="16">
        <v>13</v>
      </c>
      <c r="T159" s="16">
        <v>0</v>
      </c>
      <c r="U159" s="16">
        <v>0</v>
      </c>
      <c r="V159" s="16">
        <v>1</v>
      </c>
      <c r="W159" s="16">
        <v>1</v>
      </c>
      <c r="X159" s="16">
        <v>4</v>
      </c>
      <c r="Y159" s="16">
        <v>14</v>
      </c>
      <c r="Z159" s="16">
        <v>20</v>
      </c>
      <c r="AA159" s="16">
        <v>5</v>
      </c>
      <c r="AB159" s="16">
        <v>0</v>
      </c>
      <c r="AC159" s="16">
        <v>0</v>
      </c>
      <c r="AD159" s="16">
        <v>0</v>
      </c>
      <c r="AE159" s="16">
        <v>6</v>
      </c>
      <c r="AF159" s="16">
        <v>2</v>
      </c>
      <c r="AG159" s="16">
        <v>212</v>
      </c>
      <c r="AH159" s="16">
        <v>59</v>
      </c>
      <c r="AI159" s="16">
        <v>21</v>
      </c>
      <c r="AJ159" s="16">
        <v>0</v>
      </c>
      <c r="AK159" s="16">
        <v>0</v>
      </c>
      <c r="AL159" s="16">
        <v>6</v>
      </c>
      <c r="AM159" s="16">
        <v>1</v>
      </c>
      <c r="AN159" s="16">
        <v>1</v>
      </c>
      <c r="AO159" s="16">
        <v>12</v>
      </c>
      <c r="AP159" s="16">
        <v>0</v>
      </c>
      <c r="AQ159" s="16">
        <v>0</v>
      </c>
      <c r="AR159" s="16">
        <v>0</v>
      </c>
      <c r="AS159" s="16">
        <v>0</v>
      </c>
      <c r="AT159" s="16">
        <v>14</v>
      </c>
      <c r="AU159" s="16">
        <v>4</v>
      </c>
      <c r="AV159" s="16">
        <v>3</v>
      </c>
      <c r="AW159" s="16">
        <v>5</v>
      </c>
      <c r="AX159" s="16">
        <v>8</v>
      </c>
      <c r="AY159" s="16">
        <v>0</v>
      </c>
      <c r="AZ159" s="16">
        <v>3</v>
      </c>
      <c r="BA159" s="16">
        <v>23</v>
      </c>
      <c r="BB159" s="16">
        <v>5</v>
      </c>
      <c r="BC159" s="16">
        <v>5</v>
      </c>
      <c r="BD159" s="16">
        <v>0</v>
      </c>
      <c r="BE159" s="16">
        <v>2</v>
      </c>
      <c r="BF159" s="16">
        <v>1</v>
      </c>
      <c r="BG159" s="16">
        <v>9</v>
      </c>
      <c r="BH159" s="16">
        <v>1</v>
      </c>
      <c r="BI159" s="16">
        <v>0</v>
      </c>
      <c r="BJ159" s="16">
        <v>4</v>
      </c>
      <c r="BK159" s="16">
        <v>3</v>
      </c>
      <c r="BL159" s="16">
        <v>7</v>
      </c>
      <c r="BM159" s="16">
        <v>7</v>
      </c>
      <c r="BN159" s="16">
        <v>6</v>
      </c>
      <c r="BO159" s="16">
        <v>1</v>
      </c>
      <c r="BP159" s="16">
        <v>213</v>
      </c>
      <c r="BQ159" s="16">
        <v>10</v>
      </c>
      <c r="BR159" s="16">
        <v>243</v>
      </c>
      <c r="BS159" s="16">
        <v>26</v>
      </c>
      <c r="BT159" s="16">
        <v>1</v>
      </c>
      <c r="BU159" s="16">
        <v>2</v>
      </c>
      <c r="BV159" s="16">
        <v>0</v>
      </c>
      <c r="BW159" s="16">
        <v>1</v>
      </c>
      <c r="BX159" s="16">
        <v>2</v>
      </c>
      <c r="BY159" s="16">
        <v>0</v>
      </c>
      <c r="BZ159" s="16">
        <v>206</v>
      </c>
      <c r="CA159" s="16">
        <v>7</v>
      </c>
      <c r="CB159" s="16">
        <v>16</v>
      </c>
      <c r="CC159" s="16">
        <v>170</v>
      </c>
      <c r="CD159" s="16">
        <v>24</v>
      </c>
      <c r="CE159" s="16">
        <v>22</v>
      </c>
      <c r="CF159" s="16">
        <v>1511</v>
      </c>
      <c r="CG159" s="16">
        <v>421</v>
      </c>
      <c r="CH159" s="16">
        <v>702</v>
      </c>
      <c r="CI159" s="16">
        <v>183</v>
      </c>
      <c r="CJ159" s="16">
        <v>40</v>
      </c>
      <c r="CK159" s="16">
        <v>173</v>
      </c>
      <c r="CL159" s="16">
        <v>414</v>
      </c>
      <c r="CM159" s="16">
        <v>24</v>
      </c>
      <c r="CN159" s="16">
        <v>15</v>
      </c>
      <c r="CO159" s="16">
        <v>9</v>
      </c>
      <c r="CP159" s="16">
        <v>86</v>
      </c>
      <c r="CQ159" s="16">
        <v>531</v>
      </c>
      <c r="CR159" s="16">
        <v>33</v>
      </c>
      <c r="CS159" s="16">
        <v>16</v>
      </c>
      <c r="CT159" s="16">
        <v>15</v>
      </c>
      <c r="CU159" s="16">
        <v>22</v>
      </c>
      <c r="CV159" s="16">
        <v>38</v>
      </c>
      <c r="CW159" s="16">
        <v>174</v>
      </c>
      <c r="CX159" s="16">
        <v>37</v>
      </c>
      <c r="CY159" s="16">
        <v>1</v>
      </c>
      <c r="CZ159" s="16">
        <v>4</v>
      </c>
      <c r="DA159" s="16">
        <v>2</v>
      </c>
      <c r="DB159" s="16">
        <v>1</v>
      </c>
      <c r="DC159" s="16">
        <v>0</v>
      </c>
      <c r="DD159" s="16">
        <v>2</v>
      </c>
      <c r="DE159" s="16">
        <v>11</v>
      </c>
      <c r="DF159" s="16">
        <v>21</v>
      </c>
      <c r="DG159" s="16">
        <v>1</v>
      </c>
      <c r="DH159" s="16">
        <v>15</v>
      </c>
      <c r="DI159" s="16">
        <v>2</v>
      </c>
      <c r="DJ159" s="16">
        <v>101</v>
      </c>
      <c r="DK159" s="16">
        <v>1</v>
      </c>
      <c r="DL159" s="16">
        <v>8</v>
      </c>
      <c r="DM159" s="16">
        <v>12</v>
      </c>
      <c r="DN159" s="16">
        <v>2</v>
      </c>
      <c r="DO159" s="16">
        <v>6</v>
      </c>
      <c r="DP159" s="16">
        <v>8</v>
      </c>
      <c r="DQ159" s="16">
        <v>4</v>
      </c>
      <c r="DR159" s="16">
        <v>2</v>
      </c>
      <c r="DS159" s="16">
        <v>2</v>
      </c>
      <c r="DT159" s="16">
        <v>1</v>
      </c>
      <c r="DU159" s="16">
        <v>4</v>
      </c>
      <c r="DV159" s="16">
        <v>27</v>
      </c>
      <c r="DW159" s="16">
        <v>198</v>
      </c>
      <c r="DX159" s="16">
        <v>208</v>
      </c>
      <c r="DY159" s="16">
        <v>160</v>
      </c>
      <c r="DZ159" s="16">
        <v>856</v>
      </c>
      <c r="EA159" s="16">
        <v>610</v>
      </c>
      <c r="EB159" s="16">
        <v>147256</v>
      </c>
      <c r="EC159" s="16">
        <v>7742</v>
      </c>
      <c r="ED159" s="16">
        <v>218</v>
      </c>
      <c r="EE159" s="16">
        <v>7</v>
      </c>
      <c r="EF159" s="16">
        <v>69</v>
      </c>
      <c r="EG159" s="16">
        <v>71</v>
      </c>
      <c r="EH159" s="16">
        <v>5</v>
      </c>
      <c r="EI159" s="16">
        <v>8</v>
      </c>
      <c r="EJ159" s="16">
        <v>87</v>
      </c>
      <c r="EK159" s="16">
        <v>2</v>
      </c>
      <c r="EL159" s="16">
        <v>6</v>
      </c>
      <c r="EM159" s="16">
        <v>17</v>
      </c>
      <c r="EN159" s="16">
        <v>1547</v>
      </c>
      <c r="EO159" s="16">
        <v>172807</v>
      </c>
      <c r="EP159" s="16">
        <v>9</v>
      </c>
      <c r="EQ159" s="16">
        <v>130</v>
      </c>
      <c r="ER159" s="16">
        <v>2</v>
      </c>
      <c r="ES159" s="16">
        <v>0</v>
      </c>
      <c r="ET159" s="16">
        <v>334</v>
      </c>
      <c r="EU159" s="16">
        <v>2</v>
      </c>
      <c r="EV159" s="16">
        <v>0</v>
      </c>
      <c r="EW159" s="16">
        <v>5</v>
      </c>
      <c r="EX159" s="16">
        <v>5439</v>
      </c>
      <c r="EY159" s="16">
        <v>98</v>
      </c>
      <c r="EZ159" s="16">
        <v>1251</v>
      </c>
      <c r="FA159" s="16">
        <v>15</v>
      </c>
      <c r="FB159" s="16">
        <v>94</v>
      </c>
      <c r="FC159" s="16">
        <v>66310</v>
      </c>
      <c r="FD159" s="16">
        <v>4420</v>
      </c>
      <c r="FE159" s="16">
        <v>342</v>
      </c>
      <c r="FF159" s="16">
        <v>140</v>
      </c>
      <c r="FG159" s="16">
        <v>1120</v>
      </c>
      <c r="FH159" s="16">
        <v>0</v>
      </c>
      <c r="FI159" s="16">
        <v>27</v>
      </c>
      <c r="FJ159" s="16">
        <v>17</v>
      </c>
      <c r="FK159" s="16">
        <v>32</v>
      </c>
      <c r="FL159" s="16">
        <v>0</v>
      </c>
      <c r="FM159" s="16">
        <v>64</v>
      </c>
      <c r="FN159" s="16">
        <v>531</v>
      </c>
      <c r="FO159" s="16">
        <v>279</v>
      </c>
      <c r="FP159" s="16">
        <v>712</v>
      </c>
      <c r="FQ159" s="16">
        <v>38380</v>
      </c>
      <c r="FR159" s="16">
        <v>117579</v>
      </c>
      <c r="FS159" s="16">
        <v>1440</v>
      </c>
      <c r="FT159" s="16">
        <v>313</v>
      </c>
      <c r="FU159" s="16">
        <v>3570</v>
      </c>
      <c r="FV159" s="16">
        <v>8316</v>
      </c>
      <c r="FW159" s="16">
        <v>171</v>
      </c>
      <c r="FX159" s="16">
        <v>438528</v>
      </c>
      <c r="FY159" s="16">
        <v>1883</v>
      </c>
      <c r="FZ159" s="16">
        <v>3802</v>
      </c>
      <c r="GA159" s="16">
        <v>1548</v>
      </c>
      <c r="GB159" s="16">
        <v>504485</v>
      </c>
      <c r="GC159" s="16">
        <v>942</v>
      </c>
      <c r="GD159" s="16">
        <v>22170</v>
      </c>
      <c r="GE159" s="16">
        <v>387</v>
      </c>
      <c r="GF159" s="16">
        <v>821</v>
      </c>
      <c r="GG159" s="16">
        <v>289</v>
      </c>
      <c r="GH159" s="16">
        <v>892</v>
      </c>
      <c r="GI159" s="16">
        <v>1213</v>
      </c>
      <c r="GJ159" s="16">
        <v>1783</v>
      </c>
      <c r="GK159" s="16">
        <v>2088</v>
      </c>
      <c r="GL159" s="16">
        <v>25</v>
      </c>
      <c r="GM159" s="16">
        <v>52</v>
      </c>
      <c r="GN159" s="16">
        <v>13</v>
      </c>
      <c r="GO159" s="16">
        <v>2350</v>
      </c>
      <c r="GP159" s="16">
        <v>185</v>
      </c>
      <c r="GQ159" s="16">
        <v>561</v>
      </c>
      <c r="GR159" s="16">
        <v>132</v>
      </c>
      <c r="GS159" s="16">
        <v>28</v>
      </c>
      <c r="GT159" s="16">
        <v>68</v>
      </c>
      <c r="GU159" s="16">
        <v>212</v>
      </c>
      <c r="GV159" s="16">
        <v>148</v>
      </c>
      <c r="GW159" s="16">
        <v>550</v>
      </c>
      <c r="GX159" s="16">
        <v>622</v>
      </c>
      <c r="GY159" s="16">
        <v>8</v>
      </c>
      <c r="GZ159" s="16">
        <v>2909</v>
      </c>
      <c r="HA159" s="16">
        <v>1512</v>
      </c>
      <c r="HB159" s="16">
        <v>1897</v>
      </c>
      <c r="HC159" s="16">
        <v>2509</v>
      </c>
      <c r="HD159" s="16">
        <v>1565</v>
      </c>
      <c r="HE159" s="16">
        <v>6074</v>
      </c>
      <c r="HF159" s="16">
        <v>71175</v>
      </c>
      <c r="HG159" s="16">
        <v>163</v>
      </c>
      <c r="HH159" s="16">
        <v>57</v>
      </c>
      <c r="HI159" s="16">
        <v>1123</v>
      </c>
      <c r="HJ159" s="16">
        <v>134</v>
      </c>
      <c r="HK159" s="16">
        <v>751</v>
      </c>
      <c r="HL159" s="16">
        <v>18964</v>
      </c>
      <c r="HM159" s="16">
        <v>1023</v>
      </c>
      <c r="HN159" s="16">
        <v>2534</v>
      </c>
      <c r="HO159" s="16">
        <v>3518</v>
      </c>
      <c r="HP159" s="16">
        <v>3897</v>
      </c>
      <c r="HQ159" s="16">
        <v>3563</v>
      </c>
      <c r="HR159" s="16">
        <v>1572</v>
      </c>
      <c r="HS159" s="16">
        <v>776</v>
      </c>
      <c r="HT159" s="16">
        <v>224</v>
      </c>
      <c r="HU159" s="16">
        <v>1818</v>
      </c>
      <c r="HV159" s="16">
        <v>388</v>
      </c>
      <c r="HW159" s="16">
        <v>1578</v>
      </c>
      <c r="HX159" s="16">
        <v>561</v>
      </c>
      <c r="HY159" s="16">
        <v>3805</v>
      </c>
      <c r="HZ159" s="16">
        <v>2078</v>
      </c>
      <c r="IA159" s="16">
        <v>26</v>
      </c>
      <c r="IB159" s="16">
        <v>302</v>
      </c>
      <c r="IC159" s="16">
        <v>141</v>
      </c>
      <c r="ID159" s="16">
        <v>249</v>
      </c>
      <c r="IE159" s="16">
        <v>53</v>
      </c>
      <c r="IF159" s="16">
        <v>165</v>
      </c>
      <c r="IG159" s="16">
        <v>1356</v>
      </c>
      <c r="IH159" s="16">
        <v>1649</v>
      </c>
      <c r="II159" s="16">
        <v>7</v>
      </c>
      <c r="IJ159" s="16">
        <v>15</v>
      </c>
      <c r="IK159" s="16">
        <v>10</v>
      </c>
      <c r="IL159" s="16">
        <v>212</v>
      </c>
      <c r="IM159" s="16">
        <v>5</v>
      </c>
      <c r="IN159" s="16">
        <v>788</v>
      </c>
      <c r="IO159" s="16">
        <v>23811</v>
      </c>
      <c r="IP159" s="16">
        <v>6090</v>
      </c>
      <c r="IQ159" s="16">
        <v>126</v>
      </c>
      <c r="IR159" s="16">
        <v>149</v>
      </c>
      <c r="IS159" s="16">
        <v>71</v>
      </c>
      <c r="IT159" s="16">
        <v>27</v>
      </c>
      <c r="IU159" s="16">
        <v>3</v>
      </c>
      <c r="IV159" s="16">
        <v>1621</v>
      </c>
      <c r="IW159" s="16">
        <v>1161</v>
      </c>
      <c r="IX159" s="16">
        <v>789</v>
      </c>
      <c r="IY159" s="16">
        <v>1676</v>
      </c>
      <c r="IZ159" s="16">
        <v>1</v>
      </c>
      <c r="JA159" s="16">
        <v>274</v>
      </c>
      <c r="JB159" s="16">
        <v>22</v>
      </c>
      <c r="JC159" s="16">
        <v>313</v>
      </c>
      <c r="JD159" s="16">
        <v>474</v>
      </c>
      <c r="JE159" s="16">
        <v>2549</v>
      </c>
      <c r="JF159" s="16">
        <v>1014</v>
      </c>
      <c r="JG159" s="16">
        <v>2549</v>
      </c>
      <c r="JH159" s="16">
        <v>202</v>
      </c>
      <c r="JI159" s="16">
        <v>3</v>
      </c>
      <c r="JJ159" s="16">
        <v>51</v>
      </c>
      <c r="JK159" s="16">
        <v>28</v>
      </c>
      <c r="JL159" s="16">
        <v>1</v>
      </c>
      <c r="JM159" s="16">
        <v>5</v>
      </c>
      <c r="JN159" s="16">
        <v>38</v>
      </c>
      <c r="JO159" s="16">
        <v>6</v>
      </c>
      <c r="JP159" s="16">
        <v>350</v>
      </c>
      <c r="JQ159" s="16">
        <v>9</v>
      </c>
      <c r="JR159" s="16">
        <v>116</v>
      </c>
      <c r="JS159" s="16">
        <v>20</v>
      </c>
      <c r="JT159" s="16">
        <v>0</v>
      </c>
      <c r="JU159" s="16">
        <v>118</v>
      </c>
      <c r="JV159" s="16">
        <v>40</v>
      </c>
      <c r="JW159" s="16">
        <v>453995</v>
      </c>
      <c r="JX159" s="16">
        <v>371777</v>
      </c>
      <c r="JY159" s="16">
        <v>108698</v>
      </c>
      <c r="JZ159" s="16">
        <v>149195</v>
      </c>
      <c r="KA159" s="16">
        <v>114785</v>
      </c>
      <c r="KB159" s="16">
        <v>10045</v>
      </c>
      <c r="KC159" s="16">
        <v>53024</v>
      </c>
      <c r="KD159" s="16">
        <v>39299</v>
      </c>
      <c r="KE159" s="16">
        <v>16060</v>
      </c>
      <c r="KF159" s="16">
        <v>94942</v>
      </c>
      <c r="KG159" s="16">
        <v>18313</v>
      </c>
      <c r="KH159" s="16">
        <v>17625</v>
      </c>
      <c r="KI159" s="16">
        <v>113685</v>
      </c>
      <c r="KJ159" s="16">
        <v>14842</v>
      </c>
      <c r="KK159" s="16">
        <v>531</v>
      </c>
      <c r="KL159" s="16">
        <v>17</v>
      </c>
      <c r="KM159" s="16">
        <v>0</v>
      </c>
      <c r="KN159" s="16">
        <v>1</v>
      </c>
      <c r="KO159" s="16">
        <v>1</v>
      </c>
      <c r="KP159" s="16">
        <v>261</v>
      </c>
      <c r="KQ159" s="16">
        <v>349</v>
      </c>
      <c r="KR159" s="16">
        <v>113</v>
      </c>
      <c r="KS159" s="16">
        <v>10</v>
      </c>
      <c r="KT159" s="16">
        <v>0</v>
      </c>
      <c r="KU159" s="16">
        <v>941</v>
      </c>
      <c r="KV159" s="16">
        <v>697</v>
      </c>
      <c r="KW159" s="16">
        <v>460</v>
      </c>
      <c r="KX159" s="16">
        <v>0</v>
      </c>
      <c r="KY159" s="16">
        <v>0</v>
      </c>
      <c r="KZ159" s="16">
        <v>35</v>
      </c>
      <c r="LA159" s="16">
        <v>1</v>
      </c>
      <c r="LB159" s="16">
        <v>1</v>
      </c>
      <c r="LC159" s="16">
        <v>3</v>
      </c>
      <c r="LD159" s="16">
        <v>6</v>
      </c>
      <c r="LE159" s="16">
        <v>2</v>
      </c>
      <c r="LF159" s="16">
        <v>0</v>
      </c>
      <c r="LG159" s="16">
        <v>1</v>
      </c>
      <c r="LH159" s="16">
        <v>1</v>
      </c>
      <c r="LI159" s="16">
        <v>0</v>
      </c>
      <c r="LJ159" s="16">
        <v>2</v>
      </c>
      <c r="LK159" s="16">
        <v>2</v>
      </c>
      <c r="LL159" s="16">
        <v>6</v>
      </c>
      <c r="LM159" s="16">
        <v>2</v>
      </c>
      <c r="LN159" s="16">
        <v>62</v>
      </c>
      <c r="LO159" s="16">
        <v>1</v>
      </c>
      <c r="LP159" s="16">
        <v>35</v>
      </c>
      <c r="LQ159" s="16">
        <v>0</v>
      </c>
      <c r="LR159" s="16">
        <v>3</v>
      </c>
      <c r="LS159" s="16">
        <v>0</v>
      </c>
      <c r="LT159" s="16">
        <v>1</v>
      </c>
      <c r="LU159" s="16">
        <v>2</v>
      </c>
      <c r="LV159" s="16">
        <v>0</v>
      </c>
      <c r="LW159" s="16">
        <v>3</v>
      </c>
      <c r="LX159" s="16">
        <v>2</v>
      </c>
      <c r="LY159" s="16">
        <v>0</v>
      </c>
      <c r="LZ159" s="16">
        <v>41</v>
      </c>
      <c r="MA159" s="16">
        <v>100</v>
      </c>
      <c r="MB159" s="16">
        <v>10</v>
      </c>
      <c r="MC159" s="16">
        <v>10</v>
      </c>
      <c r="MD159" s="16">
        <v>48</v>
      </c>
      <c r="ME159" s="16">
        <v>0</v>
      </c>
      <c r="MF159" s="16">
        <v>1</v>
      </c>
      <c r="MG159" s="16">
        <v>1</v>
      </c>
      <c r="MH159" s="16">
        <v>20</v>
      </c>
      <c r="MI159" s="16">
        <v>4</v>
      </c>
      <c r="MJ159" s="16">
        <v>12</v>
      </c>
      <c r="MK159" s="16">
        <v>27</v>
      </c>
      <c r="ML159" s="16">
        <v>2</v>
      </c>
      <c r="MM159" s="16">
        <v>20</v>
      </c>
      <c r="MN159" s="16">
        <v>19</v>
      </c>
      <c r="MO159" s="16">
        <v>4</v>
      </c>
      <c r="MP159" s="16">
        <v>2</v>
      </c>
      <c r="MQ159" s="16">
        <v>72</v>
      </c>
      <c r="MR159" s="16">
        <v>11</v>
      </c>
      <c r="MS159" s="16">
        <v>0</v>
      </c>
      <c r="MT159" s="16">
        <v>0</v>
      </c>
      <c r="MU159" s="16">
        <v>4</v>
      </c>
      <c r="MV159" s="16">
        <v>37</v>
      </c>
      <c r="MW159" s="16">
        <v>0</v>
      </c>
      <c r="MX159" s="16">
        <v>0</v>
      </c>
      <c r="MY159" s="16">
        <v>0</v>
      </c>
      <c r="MZ159" s="16">
        <v>0</v>
      </c>
      <c r="NA159" s="16">
        <v>0</v>
      </c>
      <c r="NB159" s="16">
        <v>262</v>
      </c>
      <c r="NC159" s="16">
        <v>2</v>
      </c>
      <c r="ND159" s="16">
        <v>11</v>
      </c>
      <c r="NE159" s="16">
        <v>4</v>
      </c>
      <c r="NF159" s="16">
        <v>13</v>
      </c>
      <c r="NG159" s="16">
        <v>44</v>
      </c>
      <c r="NH159" s="16">
        <v>1</v>
      </c>
      <c r="NI159" s="16">
        <v>1</v>
      </c>
      <c r="NJ159" s="16">
        <v>98</v>
      </c>
      <c r="NK159" s="16">
        <v>292</v>
      </c>
      <c r="NL159" s="16">
        <v>170</v>
      </c>
      <c r="NM159" s="16">
        <v>7</v>
      </c>
      <c r="NN159" s="16">
        <v>54</v>
      </c>
      <c r="NO159" s="16">
        <v>0</v>
      </c>
      <c r="NP159" s="16">
        <v>3</v>
      </c>
      <c r="NQ159" s="16">
        <v>1</v>
      </c>
      <c r="NR159" s="17">
        <v>3341050</v>
      </c>
    </row>
    <row r="160" spans="1:382" ht="13.5" customHeight="1" x14ac:dyDescent="0.2">
      <c r="A160" s="2" t="s">
        <v>327</v>
      </c>
      <c r="B160" s="16">
        <v>0</v>
      </c>
      <c r="C160" s="16">
        <v>0</v>
      </c>
      <c r="D160" s="16">
        <v>0</v>
      </c>
      <c r="E160" s="16">
        <v>0</v>
      </c>
      <c r="F160" s="16">
        <v>23899</v>
      </c>
      <c r="G160" s="16">
        <v>18636</v>
      </c>
      <c r="H160" s="16">
        <v>4002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13</v>
      </c>
      <c r="P160" s="16">
        <v>661</v>
      </c>
      <c r="Q160" s="16">
        <v>3337</v>
      </c>
      <c r="R160" s="16">
        <v>1089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729</v>
      </c>
      <c r="Y160" s="16">
        <v>5724</v>
      </c>
      <c r="Z160" s="16">
        <v>7174</v>
      </c>
      <c r="AA160" s="16">
        <v>163</v>
      </c>
      <c r="AB160" s="16">
        <v>0</v>
      </c>
      <c r="AC160" s="16">
        <v>0</v>
      </c>
      <c r="AD160" s="16">
        <v>0</v>
      </c>
      <c r="AE160" s="16">
        <v>97</v>
      </c>
      <c r="AF160" s="16">
        <v>236</v>
      </c>
      <c r="AG160" s="16">
        <v>3236</v>
      </c>
      <c r="AH160" s="16">
        <v>1897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7059</v>
      </c>
      <c r="AX160" s="16">
        <v>0</v>
      </c>
      <c r="AY160" s="16">
        <v>0</v>
      </c>
      <c r="AZ160" s="16">
        <v>0</v>
      </c>
      <c r="BA160" s="16">
        <v>0</v>
      </c>
      <c r="BB160" s="16">
        <v>0</v>
      </c>
      <c r="BC160" s="16">
        <v>1832</v>
      </c>
      <c r="BD160" s="16">
        <v>0</v>
      </c>
      <c r="BE160" s="16">
        <v>0</v>
      </c>
      <c r="BF160" s="16">
        <v>6459</v>
      </c>
      <c r="BG160" s="16">
        <v>0</v>
      </c>
      <c r="BH160" s="16">
        <v>0</v>
      </c>
      <c r="BI160" s="16">
        <v>4815</v>
      </c>
      <c r="BJ160" s="16">
        <v>0</v>
      </c>
      <c r="BK160" s="16">
        <v>0</v>
      </c>
      <c r="BL160" s="16">
        <v>737</v>
      </c>
      <c r="BM160" s="16">
        <v>457</v>
      </c>
      <c r="BN160" s="16">
        <v>0</v>
      </c>
      <c r="BO160" s="16">
        <v>0</v>
      </c>
      <c r="BP160" s="16">
        <v>2110</v>
      </c>
      <c r="BQ160" s="16">
        <v>0</v>
      </c>
      <c r="BR160" s="16">
        <v>205</v>
      </c>
      <c r="BS160" s="16">
        <v>0</v>
      </c>
      <c r="BT160" s="16">
        <v>0</v>
      </c>
      <c r="BU160" s="16">
        <v>0</v>
      </c>
      <c r="BV160" s="16">
        <v>0</v>
      </c>
      <c r="BW160" s="16">
        <v>0</v>
      </c>
      <c r="BX160" s="16">
        <v>15</v>
      </c>
      <c r="BY160" s="16">
        <v>0</v>
      </c>
      <c r="BZ160" s="16">
        <v>0</v>
      </c>
      <c r="CA160" s="16">
        <v>0</v>
      </c>
      <c r="CB160" s="16">
        <v>0</v>
      </c>
      <c r="CC160" s="16">
        <v>0</v>
      </c>
      <c r="CD160" s="16">
        <v>0</v>
      </c>
      <c r="CE160" s="16">
        <v>0</v>
      </c>
      <c r="CF160" s="16">
        <v>0</v>
      </c>
      <c r="CG160" s="16">
        <v>0</v>
      </c>
      <c r="CH160" s="16">
        <v>0</v>
      </c>
      <c r="CI160" s="16">
        <v>0</v>
      </c>
      <c r="CJ160" s="16">
        <v>12791</v>
      </c>
      <c r="CK160" s="16">
        <v>16248</v>
      </c>
      <c r="CL160" s="16">
        <v>83</v>
      </c>
      <c r="CM160" s="16">
        <v>0</v>
      </c>
      <c r="CN160" s="16">
        <v>248</v>
      </c>
      <c r="CO160" s="16">
        <v>0</v>
      </c>
      <c r="CP160" s="16">
        <v>6049</v>
      </c>
      <c r="CQ160" s="16">
        <v>0</v>
      </c>
      <c r="CR160" s="16">
        <v>2094</v>
      </c>
      <c r="CS160" s="16">
        <v>36310</v>
      </c>
      <c r="CT160" s="16">
        <v>35760</v>
      </c>
      <c r="CU160" s="16">
        <v>43840</v>
      </c>
      <c r="CV160" s="16">
        <v>31969</v>
      </c>
      <c r="CW160" s="16">
        <v>214407</v>
      </c>
      <c r="CX160" s="16">
        <v>72757</v>
      </c>
      <c r="CY160" s="16">
        <v>14631</v>
      </c>
      <c r="CZ160" s="16">
        <v>24225</v>
      </c>
      <c r="DA160" s="16">
        <v>1866</v>
      </c>
      <c r="DB160" s="16">
        <v>53567</v>
      </c>
      <c r="DC160" s="16">
        <v>20347</v>
      </c>
      <c r="DD160" s="16">
        <v>30684</v>
      </c>
      <c r="DE160" s="16">
        <v>13181</v>
      </c>
      <c r="DF160" s="16">
        <v>56501</v>
      </c>
      <c r="DG160" s="16">
        <v>15745</v>
      </c>
      <c r="DH160" s="16">
        <v>800</v>
      </c>
      <c r="DI160" s="16">
        <v>3949</v>
      </c>
      <c r="DJ160" s="16">
        <v>55356</v>
      </c>
      <c r="DK160" s="16">
        <v>7131</v>
      </c>
      <c r="DL160" s="16">
        <v>432</v>
      </c>
      <c r="DM160" s="16">
        <v>12115</v>
      </c>
      <c r="DN160" s="16">
        <v>1591</v>
      </c>
      <c r="DO160" s="16">
        <v>4256</v>
      </c>
      <c r="DP160" s="16">
        <v>5166</v>
      </c>
      <c r="DQ160" s="16">
        <v>261</v>
      </c>
      <c r="DR160" s="16">
        <v>0</v>
      </c>
      <c r="DS160" s="16">
        <v>2188</v>
      </c>
      <c r="DT160" s="16">
        <v>1901</v>
      </c>
      <c r="DU160" s="16">
        <v>0</v>
      </c>
      <c r="DV160" s="16">
        <v>280</v>
      </c>
      <c r="DW160" s="16">
        <v>18678</v>
      </c>
      <c r="DX160" s="16">
        <v>15272</v>
      </c>
      <c r="DY160" s="16">
        <v>18174</v>
      </c>
      <c r="DZ160" s="16">
        <v>48987</v>
      </c>
      <c r="EA160" s="16">
        <v>32873</v>
      </c>
      <c r="EB160" s="16">
        <v>459</v>
      </c>
      <c r="EC160" s="16">
        <v>18410</v>
      </c>
      <c r="ED160" s="16">
        <v>19528</v>
      </c>
      <c r="EE160" s="16">
        <v>79</v>
      </c>
      <c r="EF160" s="16">
        <v>43</v>
      </c>
      <c r="EG160" s="16">
        <v>313</v>
      </c>
      <c r="EH160" s="16">
        <v>204</v>
      </c>
      <c r="EI160" s="16">
        <v>369</v>
      </c>
      <c r="EJ160" s="16">
        <v>882</v>
      </c>
      <c r="EK160" s="16">
        <v>67</v>
      </c>
      <c r="EL160" s="16">
        <v>0</v>
      </c>
      <c r="EM160" s="16">
        <v>3760</v>
      </c>
      <c r="EN160" s="16">
        <v>10778</v>
      </c>
      <c r="EO160" s="16">
        <v>4523</v>
      </c>
      <c r="EP160" s="16">
        <v>2227</v>
      </c>
      <c r="EQ160" s="16">
        <v>3467</v>
      </c>
      <c r="ER160" s="16">
        <v>0</v>
      </c>
      <c r="ES160" s="16">
        <v>0</v>
      </c>
      <c r="ET160" s="16">
        <v>6503</v>
      </c>
      <c r="EU160" s="16">
        <v>45</v>
      </c>
      <c r="EV160" s="16">
        <v>3096</v>
      </c>
      <c r="EW160" s="16">
        <v>818</v>
      </c>
      <c r="EX160" s="16">
        <v>677</v>
      </c>
      <c r="EY160" s="16">
        <v>1583</v>
      </c>
      <c r="EZ160" s="16">
        <v>454</v>
      </c>
      <c r="FA160" s="16">
        <v>3</v>
      </c>
      <c r="FB160" s="16">
        <v>2105</v>
      </c>
      <c r="FC160" s="16">
        <v>4470</v>
      </c>
      <c r="FD160" s="16">
        <v>1112994</v>
      </c>
      <c r="FE160" s="16">
        <v>1894</v>
      </c>
      <c r="FF160" s="16">
        <v>1171</v>
      </c>
      <c r="FG160" s="16">
        <v>39476</v>
      </c>
      <c r="FH160" s="16">
        <v>0</v>
      </c>
      <c r="FI160" s="16">
        <v>0</v>
      </c>
      <c r="FJ160" s="16">
        <v>435</v>
      </c>
      <c r="FK160" s="16">
        <v>0</v>
      </c>
      <c r="FL160" s="16">
        <v>0</v>
      </c>
      <c r="FM160" s="16">
        <v>92</v>
      </c>
      <c r="FN160" s="16">
        <v>7644</v>
      </c>
      <c r="FO160" s="16">
        <v>0</v>
      </c>
      <c r="FP160" s="16">
        <v>54097</v>
      </c>
      <c r="FQ160" s="16">
        <v>314641</v>
      </c>
      <c r="FR160" s="16">
        <v>385295</v>
      </c>
      <c r="FS160" s="16">
        <v>188281</v>
      </c>
      <c r="FT160" s="16">
        <v>289206</v>
      </c>
      <c r="FU160" s="16">
        <v>3326</v>
      </c>
      <c r="FV160" s="16">
        <v>70425</v>
      </c>
      <c r="FW160" s="16">
        <v>32594</v>
      </c>
      <c r="FX160" s="16">
        <v>180355</v>
      </c>
      <c r="FY160" s="16">
        <v>13530</v>
      </c>
      <c r="FZ160" s="16">
        <v>66371</v>
      </c>
      <c r="GA160" s="16">
        <v>11122</v>
      </c>
      <c r="GB160" s="16">
        <v>17937</v>
      </c>
      <c r="GC160" s="16">
        <v>4651</v>
      </c>
      <c r="GD160" s="16">
        <v>102301</v>
      </c>
      <c r="GE160" s="16">
        <v>34</v>
      </c>
      <c r="GF160" s="16">
        <v>3017</v>
      </c>
      <c r="GG160" s="16">
        <v>787</v>
      </c>
      <c r="GH160" s="16">
        <v>424</v>
      </c>
      <c r="GI160" s="16">
        <v>15</v>
      </c>
      <c r="GJ160" s="16">
        <v>81</v>
      </c>
      <c r="GK160" s="16">
        <v>233</v>
      </c>
      <c r="GL160" s="16">
        <v>0</v>
      </c>
      <c r="GM160" s="16">
        <v>2</v>
      </c>
      <c r="GN160" s="16">
        <v>12</v>
      </c>
      <c r="GO160" s="16">
        <v>136</v>
      </c>
      <c r="GP160" s="16">
        <v>3</v>
      </c>
      <c r="GQ160" s="16">
        <v>46</v>
      </c>
      <c r="GR160" s="16">
        <v>48</v>
      </c>
      <c r="GS160" s="16">
        <v>53</v>
      </c>
      <c r="GT160" s="16">
        <v>2</v>
      </c>
      <c r="GU160" s="16">
        <v>1181</v>
      </c>
      <c r="GV160" s="16">
        <v>21334</v>
      </c>
      <c r="GW160" s="16">
        <v>5818</v>
      </c>
      <c r="GX160" s="16">
        <v>5</v>
      </c>
      <c r="GY160" s="16">
        <v>0</v>
      </c>
      <c r="GZ160" s="16">
        <v>72820</v>
      </c>
      <c r="HA160" s="16">
        <v>14484</v>
      </c>
      <c r="HB160" s="16">
        <v>1683</v>
      </c>
      <c r="HC160" s="16">
        <v>12131</v>
      </c>
      <c r="HD160" s="16">
        <v>11174</v>
      </c>
      <c r="HE160" s="16">
        <v>207</v>
      </c>
      <c r="HF160" s="16">
        <v>1099</v>
      </c>
      <c r="HG160" s="16">
        <v>5161</v>
      </c>
      <c r="HH160" s="16">
        <v>116</v>
      </c>
      <c r="HI160" s="16">
        <v>5558</v>
      </c>
      <c r="HJ160" s="16">
        <v>1467</v>
      </c>
      <c r="HK160" s="16">
        <v>461</v>
      </c>
      <c r="HL160" s="16">
        <v>43731</v>
      </c>
      <c r="HM160" s="16">
        <v>209155</v>
      </c>
      <c r="HN160" s="16">
        <v>342397</v>
      </c>
      <c r="HO160" s="16">
        <v>153873</v>
      </c>
      <c r="HP160" s="16">
        <v>163727</v>
      </c>
      <c r="HQ160" s="16">
        <v>102828</v>
      </c>
      <c r="HR160" s="16">
        <v>126759</v>
      </c>
      <c r="HS160" s="16">
        <v>156882</v>
      </c>
      <c r="HT160" s="16">
        <v>48</v>
      </c>
      <c r="HU160" s="16">
        <v>179056</v>
      </c>
      <c r="HV160" s="16">
        <v>53333</v>
      </c>
      <c r="HW160" s="16">
        <v>126252</v>
      </c>
      <c r="HX160" s="16">
        <v>139521</v>
      </c>
      <c r="HY160" s="16">
        <v>104459</v>
      </c>
      <c r="HZ160" s="16">
        <v>46687</v>
      </c>
      <c r="IA160" s="16">
        <v>21514</v>
      </c>
      <c r="IB160" s="16">
        <v>23355</v>
      </c>
      <c r="IC160" s="16">
        <v>2769</v>
      </c>
      <c r="ID160" s="16">
        <v>43439</v>
      </c>
      <c r="IE160" s="16">
        <v>5476</v>
      </c>
      <c r="IF160" s="16">
        <v>38345</v>
      </c>
      <c r="IG160" s="16">
        <v>70754</v>
      </c>
      <c r="IH160" s="16">
        <v>38460</v>
      </c>
      <c r="II160" s="16">
        <v>5160</v>
      </c>
      <c r="IJ160" s="16">
        <v>7109</v>
      </c>
      <c r="IK160" s="16">
        <v>42775</v>
      </c>
      <c r="IL160" s="16">
        <v>38169</v>
      </c>
      <c r="IM160" s="16">
        <v>13688</v>
      </c>
      <c r="IN160" s="16">
        <v>138111</v>
      </c>
      <c r="IO160" s="16">
        <v>647452</v>
      </c>
      <c r="IP160" s="16">
        <v>358246</v>
      </c>
      <c r="IQ160" s="16">
        <v>49971</v>
      </c>
      <c r="IR160" s="16">
        <v>31580</v>
      </c>
      <c r="IS160" s="16">
        <v>12975</v>
      </c>
      <c r="IT160" s="16">
        <v>16820</v>
      </c>
      <c r="IU160" s="16">
        <v>171</v>
      </c>
      <c r="IV160" s="16">
        <v>69871</v>
      </c>
      <c r="IW160" s="16">
        <v>79114</v>
      </c>
      <c r="IX160" s="16">
        <v>47371</v>
      </c>
      <c r="IY160" s="16">
        <v>51</v>
      </c>
      <c r="IZ160" s="16">
        <v>19</v>
      </c>
      <c r="JA160" s="16">
        <v>62587</v>
      </c>
      <c r="JB160" s="16">
        <v>220</v>
      </c>
      <c r="JC160" s="16">
        <v>952</v>
      </c>
      <c r="JD160" s="16">
        <v>1374</v>
      </c>
      <c r="JE160" s="16">
        <v>4143</v>
      </c>
      <c r="JF160" s="16">
        <v>3204</v>
      </c>
      <c r="JG160" s="16">
        <v>2045</v>
      </c>
      <c r="JH160" s="16">
        <v>54</v>
      </c>
      <c r="JI160" s="16">
        <v>1635</v>
      </c>
      <c r="JJ160" s="16">
        <v>19269</v>
      </c>
      <c r="JK160" s="16">
        <v>1723</v>
      </c>
      <c r="JL160" s="16">
        <v>0</v>
      </c>
      <c r="JM160" s="16">
        <v>0</v>
      </c>
      <c r="JN160" s="16">
        <v>0</v>
      </c>
      <c r="JO160" s="16">
        <v>57037</v>
      </c>
      <c r="JP160" s="16">
        <v>168977</v>
      </c>
      <c r="JQ160" s="16">
        <v>113567</v>
      </c>
      <c r="JR160" s="16">
        <v>17313</v>
      </c>
      <c r="JS160" s="16">
        <v>0</v>
      </c>
      <c r="JT160" s="16">
        <v>0</v>
      </c>
      <c r="JU160" s="16">
        <v>3584</v>
      </c>
      <c r="JV160" s="16">
        <v>4582</v>
      </c>
      <c r="JW160" s="16">
        <v>857828</v>
      </c>
      <c r="JX160" s="16">
        <v>1103321</v>
      </c>
      <c r="JY160" s="16">
        <v>272346</v>
      </c>
      <c r="JZ160" s="16">
        <v>182163</v>
      </c>
      <c r="KA160" s="16">
        <v>50420</v>
      </c>
      <c r="KB160" s="16">
        <v>95943</v>
      </c>
      <c r="KC160" s="16">
        <v>49111</v>
      </c>
      <c r="KD160" s="16">
        <v>1227136</v>
      </c>
      <c r="KE160" s="16">
        <v>51145</v>
      </c>
      <c r="KF160" s="16">
        <v>275730</v>
      </c>
      <c r="KG160" s="16">
        <v>104428</v>
      </c>
      <c r="KH160" s="16">
        <v>53689</v>
      </c>
      <c r="KI160" s="16">
        <v>818767</v>
      </c>
      <c r="KJ160" s="16">
        <v>247112</v>
      </c>
      <c r="KK160" s="16">
        <v>0</v>
      </c>
      <c r="KL160" s="16">
        <v>0</v>
      </c>
      <c r="KM160" s="16">
        <v>391</v>
      </c>
      <c r="KN160" s="16">
        <v>20</v>
      </c>
      <c r="KO160" s="16">
        <v>2628</v>
      </c>
      <c r="KP160" s="16">
        <v>111</v>
      </c>
      <c r="KQ160" s="16">
        <v>12</v>
      </c>
      <c r="KR160" s="16">
        <v>6612</v>
      </c>
      <c r="KS160" s="16">
        <v>0</v>
      </c>
      <c r="KT160" s="16">
        <v>0</v>
      </c>
      <c r="KU160" s="16">
        <v>0</v>
      </c>
      <c r="KV160" s="16">
        <v>0</v>
      </c>
      <c r="KW160" s="16">
        <v>0</v>
      </c>
      <c r="KX160" s="16">
        <v>0</v>
      </c>
      <c r="KY160" s="16">
        <v>0</v>
      </c>
      <c r="KZ160" s="16">
        <v>0</v>
      </c>
      <c r="LA160" s="16">
        <v>0</v>
      </c>
      <c r="LB160" s="16">
        <v>0</v>
      </c>
      <c r="LC160" s="16">
        <v>0</v>
      </c>
      <c r="LD160" s="16">
        <v>0</v>
      </c>
      <c r="LE160" s="16">
        <v>0</v>
      </c>
      <c r="LF160" s="16">
        <v>0</v>
      </c>
      <c r="LG160" s="16">
        <v>0</v>
      </c>
      <c r="LH160" s="16">
        <v>0</v>
      </c>
      <c r="LI160" s="16">
        <v>0</v>
      </c>
      <c r="LJ160" s="16">
        <v>0</v>
      </c>
      <c r="LK160" s="16">
        <v>0</v>
      </c>
      <c r="LL160" s="16">
        <v>0</v>
      </c>
      <c r="LM160" s="16">
        <v>0</v>
      </c>
      <c r="LN160" s="16">
        <v>0</v>
      </c>
      <c r="LO160" s="16">
        <v>0</v>
      </c>
      <c r="LP160" s="16">
        <v>0</v>
      </c>
      <c r="LQ160" s="16">
        <v>0</v>
      </c>
      <c r="LR160" s="16">
        <v>0</v>
      </c>
      <c r="LS160" s="16">
        <v>0</v>
      </c>
      <c r="LT160" s="16">
        <v>0</v>
      </c>
      <c r="LU160" s="16">
        <v>0</v>
      </c>
      <c r="LV160" s="16">
        <v>0</v>
      </c>
      <c r="LW160" s="16">
        <v>0</v>
      </c>
      <c r="LX160" s="16">
        <v>0</v>
      </c>
      <c r="LY160" s="16">
        <v>0</v>
      </c>
      <c r="LZ160" s="16">
        <v>2027</v>
      </c>
      <c r="MA160" s="16">
        <v>162</v>
      </c>
      <c r="MB160" s="16">
        <v>0</v>
      </c>
      <c r="MC160" s="16">
        <v>0</v>
      </c>
      <c r="MD160" s="16">
        <v>2205</v>
      </c>
      <c r="ME160" s="16">
        <v>4584</v>
      </c>
      <c r="MF160" s="16">
        <v>120</v>
      </c>
      <c r="MG160" s="16">
        <v>0</v>
      </c>
      <c r="MH160" s="16">
        <v>0</v>
      </c>
      <c r="MI160" s="16">
        <v>0</v>
      </c>
      <c r="MJ160" s="16">
        <v>0</v>
      </c>
      <c r="MK160" s="16">
        <v>0</v>
      </c>
      <c r="ML160" s="16">
        <v>0</v>
      </c>
      <c r="MM160" s="16">
        <v>0</v>
      </c>
      <c r="MN160" s="16">
        <v>2549</v>
      </c>
      <c r="MO160" s="16">
        <v>0</v>
      </c>
      <c r="MP160" s="16">
        <v>0</v>
      </c>
      <c r="MQ160" s="16">
        <v>0</v>
      </c>
      <c r="MR160" s="16">
        <v>154</v>
      </c>
      <c r="MS160" s="16">
        <v>353</v>
      </c>
      <c r="MT160" s="16">
        <v>0</v>
      </c>
      <c r="MU160" s="16">
        <v>0</v>
      </c>
      <c r="MV160" s="16">
        <v>0</v>
      </c>
      <c r="MW160" s="16">
        <v>0</v>
      </c>
      <c r="MX160" s="16">
        <v>0</v>
      </c>
      <c r="MY160" s="16">
        <v>0</v>
      </c>
      <c r="MZ160" s="16">
        <v>0</v>
      </c>
      <c r="NA160" s="16">
        <v>0</v>
      </c>
      <c r="NB160" s="16">
        <v>0</v>
      </c>
      <c r="NC160" s="16">
        <v>4</v>
      </c>
      <c r="ND160" s="16">
        <v>0</v>
      </c>
      <c r="NE160" s="16">
        <v>0</v>
      </c>
      <c r="NF160" s="16">
        <v>0</v>
      </c>
      <c r="NG160" s="16">
        <v>0</v>
      </c>
      <c r="NH160" s="16">
        <v>0</v>
      </c>
      <c r="NI160" s="16">
        <v>0</v>
      </c>
      <c r="NJ160" s="16">
        <v>0</v>
      </c>
      <c r="NK160" s="16">
        <v>205</v>
      </c>
      <c r="NL160" s="16">
        <v>478</v>
      </c>
      <c r="NM160" s="16">
        <v>0</v>
      </c>
      <c r="NN160" s="16">
        <v>0</v>
      </c>
      <c r="NO160" s="16">
        <v>0</v>
      </c>
      <c r="NP160" s="16">
        <v>0</v>
      </c>
      <c r="NQ160" s="16">
        <v>8183</v>
      </c>
      <c r="NR160" s="17">
        <v>13803264</v>
      </c>
    </row>
    <row r="161" spans="1:382" ht="13.5" customHeight="1" x14ac:dyDescent="0.2">
      <c r="A161" s="2" t="s">
        <v>329</v>
      </c>
      <c r="B161" s="16">
        <v>0</v>
      </c>
      <c r="C161" s="16">
        <v>0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78</v>
      </c>
      <c r="P161" s="16">
        <v>861</v>
      </c>
      <c r="Q161" s="16">
        <v>247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  <c r="AW161" s="16">
        <v>0</v>
      </c>
      <c r="AX161" s="16">
        <v>0</v>
      </c>
      <c r="AY161" s="16">
        <v>0</v>
      </c>
      <c r="AZ161" s="16">
        <v>0</v>
      </c>
      <c r="BA161" s="16">
        <v>0</v>
      </c>
      <c r="BB161" s="16">
        <v>0</v>
      </c>
      <c r="BC161" s="16">
        <v>0</v>
      </c>
      <c r="BD161" s="16">
        <v>0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6">
        <v>0</v>
      </c>
      <c r="BK161" s="16">
        <v>0</v>
      </c>
      <c r="BL161" s="16">
        <v>0</v>
      </c>
      <c r="BM161" s="16">
        <v>0</v>
      </c>
      <c r="BN161" s="16">
        <v>0</v>
      </c>
      <c r="BO161" s="16">
        <v>0</v>
      </c>
      <c r="BP161" s="16">
        <v>0</v>
      </c>
      <c r="BQ161" s="16">
        <v>0</v>
      </c>
      <c r="BR161" s="16">
        <v>0</v>
      </c>
      <c r="BS161" s="16">
        <v>0</v>
      </c>
      <c r="BT161" s="16">
        <v>0</v>
      </c>
      <c r="BU161" s="16">
        <v>0</v>
      </c>
      <c r="BV161" s="16">
        <v>0</v>
      </c>
      <c r="BW161" s="16">
        <v>0</v>
      </c>
      <c r="BX161" s="16">
        <v>0</v>
      </c>
      <c r="BY161" s="16">
        <v>0</v>
      </c>
      <c r="BZ161" s="16">
        <v>0</v>
      </c>
      <c r="CA161" s="16">
        <v>0</v>
      </c>
      <c r="CB161" s="16">
        <v>0</v>
      </c>
      <c r="CC161" s="16">
        <v>0</v>
      </c>
      <c r="CD161" s="16">
        <v>0</v>
      </c>
      <c r="CE161" s="16">
        <v>0</v>
      </c>
      <c r="CF161" s="16">
        <v>0</v>
      </c>
      <c r="CG161" s="16">
        <v>0</v>
      </c>
      <c r="CH161" s="16">
        <v>0</v>
      </c>
      <c r="CI161" s="16">
        <v>0</v>
      </c>
      <c r="CJ161" s="16">
        <v>0</v>
      </c>
      <c r="CK161" s="16">
        <v>0</v>
      </c>
      <c r="CL161" s="16">
        <v>0</v>
      </c>
      <c r="CM161" s="16">
        <v>0</v>
      </c>
      <c r="CN161" s="16">
        <v>0</v>
      </c>
      <c r="CO161" s="16">
        <v>0</v>
      </c>
      <c r="CP161" s="16">
        <v>0</v>
      </c>
      <c r="CQ161" s="16">
        <v>0</v>
      </c>
      <c r="CR161" s="16">
        <v>0</v>
      </c>
      <c r="CS161" s="16">
        <v>0</v>
      </c>
      <c r="CT161" s="16">
        <v>0</v>
      </c>
      <c r="CU161" s="16">
        <v>0</v>
      </c>
      <c r="CV161" s="16">
        <v>0</v>
      </c>
      <c r="CW161" s="16">
        <v>0</v>
      </c>
      <c r="CX161" s="16">
        <v>0</v>
      </c>
      <c r="CY161" s="16">
        <v>0</v>
      </c>
      <c r="CZ161" s="16">
        <v>0</v>
      </c>
      <c r="DA161" s="16">
        <v>0</v>
      </c>
      <c r="DB161" s="16">
        <v>0</v>
      </c>
      <c r="DC161" s="16">
        <v>0</v>
      </c>
      <c r="DD161" s="16">
        <v>0</v>
      </c>
      <c r="DE161" s="16">
        <v>0</v>
      </c>
      <c r="DF161" s="16">
        <v>0</v>
      </c>
      <c r="DG161" s="16">
        <v>0</v>
      </c>
      <c r="DH161" s="16">
        <v>0</v>
      </c>
      <c r="DI161" s="16">
        <v>0</v>
      </c>
      <c r="DJ161" s="16">
        <v>0</v>
      </c>
      <c r="DK161" s="16">
        <v>0</v>
      </c>
      <c r="DL161" s="16">
        <v>0</v>
      </c>
      <c r="DM161" s="16">
        <v>0</v>
      </c>
      <c r="DN161" s="16">
        <v>0</v>
      </c>
      <c r="DO161" s="16">
        <v>0</v>
      </c>
      <c r="DP161" s="16">
        <v>0</v>
      </c>
      <c r="DQ161" s="16">
        <v>0</v>
      </c>
      <c r="DR161" s="16">
        <v>0</v>
      </c>
      <c r="DS161" s="16">
        <v>0</v>
      </c>
      <c r="DT161" s="16">
        <v>0</v>
      </c>
      <c r="DU161" s="16">
        <v>0</v>
      </c>
      <c r="DV161" s="16">
        <v>0</v>
      </c>
      <c r="DW161" s="16">
        <v>0</v>
      </c>
      <c r="DX161" s="16">
        <v>0</v>
      </c>
      <c r="DY161" s="16">
        <v>0</v>
      </c>
      <c r="DZ161" s="16">
        <v>0</v>
      </c>
      <c r="EA161" s="16">
        <v>1289</v>
      </c>
      <c r="EB161" s="16">
        <v>0</v>
      </c>
      <c r="EC161" s="16">
        <v>115</v>
      </c>
      <c r="ED161" s="16">
        <v>0</v>
      </c>
      <c r="EE161" s="16">
        <v>0</v>
      </c>
      <c r="EF161" s="16">
        <v>0</v>
      </c>
      <c r="EG161" s="16">
        <v>0</v>
      </c>
      <c r="EH161" s="16">
        <v>0</v>
      </c>
      <c r="EI161" s="16">
        <v>0</v>
      </c>
      <c r="EJ161" s="16">
        <v>0</v>
      </c>
      <c r="EK161" s="16">
        <v>0</v>
      </c>
      <c r="EL161" s="16">
        <v>0</v>
      </c>
      <c r="EM161" s="16">
        <v>208</v>
      </c>
      <c r="EN161" s="16">
        <v>334</v>
      </c>
      <c r="EO161" s="16">
        <v>17655</v>
      </c>
      <c r="EP161" s="16">
        <v>0</v>
      </c>
      <c r="EQ161" s="16">
        <v>0</v>
      </c>
      <c r="ER161" s="16">
        <v>0</v>
      </c>
      <c r="ES161" s="16">
        <v>0</v>
      </c>
      <c r="ET161" s="16">
        <v>0</v>
      </c>
      <c r="EU161" s="16">
        <v>0</v>
      </c>
      <c r="EV161" s="16">
        <v>0</v>
      </c>
      <c r="EW161" s="16">
        <v>192</v>
      </c>
      <c r="EX161" s="16">
        <v>0</v>
      </c>
      <c r="EY161" s="16">
        <v>151</v>
      </c>
      <c r="EZ161" s="16">
        <v>145</v>
      </c>
      <c r="FA161" s="16">
        <v>12</v>
      </c>
      <c r="FB161" s="16">
        <v>1840</v>
      </c>
      <c r="FC161" s="16">
        <v>2309</v>
      </c>
      <c r="FD161" s="16">
        <v>77621</v>
      </c>
      <c r="FE161" s="16">
        <v>119802</v>
      </c>
      <c r="FF161" s="16">
        <v>1227200</v>
      </c>
      <c r="FG161" s="16">
        <v>2763316</v>
      </c>
      <c r="FH161" s="16">
        <v>0</v>
      </c>
      <c r="FI161" s="16">
        <v>0</v>
      </c>
      <c r="FJ161" s="16">
        <v>620</v>
      </c>
      <c r="FK161" s="16">
        <v>46</v>
      </c>
      <c r="FL161" s="16">
        <v>4167</v>
      </c>
      <c r="FM161" s="16">
        <v>372</v>
      </c>
      <c r="FN161" s="16">
        <v>2739</v>
      </c>
      <c r="FO161" s="16">
        <v>22173</v>
      </c>
      <c r="FP161" s="16">
        <v>14004</v>
      </c>
      <c r="FQ161" s="16">
        <v>111480</v>
      </c>
      <c r="FR161" s="16">
        <v>69810</v>
      </c>
      <c r="FS161" s="16">
        <v>36959</v>
      </c>
      <c r="FT161" s="16">
        <v>16353</v>
      </c>
      <c r="FU161" s="16">
        <v>3526</v>
      </c>
      <c r="FV161" s="16">
        <v>206829</v>
      </c>
      <c r="FW161" s="16">
        <v>5753</v>
      </c>
      <c r="FX161" s="16">
        <v>527438</v>
      </c>
      <c r="FY161" s="16">
        <v>49474</v>
      </c>
      <c r="FZ161" s="16">
        <v>16284</v>
      </c>
      <c r="GA161" s="16">
        <v>4075</v>
      </c>
      <c r="GB161" s="16">
        <v>14007</v>
      </c>
      <c r="GC161" s="16">
        <v>2937</v>
      </c>
      <c r="GD161" s="16">
        <v>56259</v>
      </c>
      <c r="GE161" s="16">
        <v>676</v>
      </c>
      <c r="GF161" s="16">
        <v>4380</v>
      </c>
      <c r="GG161" s="16">
        <v>16415</v>
      </c>
      <c r="GH161" s="16">
        <v>7998</v>
      </c>
      <c r="GI161" s="16">
        <v>1006</v>
      </c>
      <c r="GJ161" s="16">
        <v>1991</v>
      </c>
      <c r="GK161" s="16">
        <v>6588</v>
      </c>
      <c r="GL161" s="16">
        <v>4683</v>
      </c>
      <c r="GM161" s="16">
        <v>590</v>
      </c>
      <c r="GN161" s="16">
        <v>263</v>
      </c>
      <c r="GO161" s="16">
        <v>1420</v>
      </c>
      <c r="GP161" s="16">
        <v>82</v>
      </c>
      <c r="GQ161" s="16">
        <v>774</v>
      </c>
      <c r="GR161" s="16">
        <v>107</v>
      </c>
      <c r="GS161" s="16">
        <v>379</v>
      </c>
      <c r="GT161" s="16">
        <v>25</v>
      </c>
      <c r="GU161" s="16">
        <v>4096</v>
      </c>
      <c r="GV161" s="16">
        <v>30451</v>
      </c>
      <c r="GW161" s="16">
        <v>13317</v>
      </c>
      <c r="GX161" s="16">
        <v>317</v>
      </c>
      <c r="GY161" s="16">
        <v>1</v>
      </c>
      <c r="GZ161" s="16">
        <v>57974</v>
      </c>
      <c r="HA161" s="16">
        <v>73070</v>
      </c>
      <c r="HB161" s="16">
        <v>7490</v>
      </c>
      <c r="HC161" s="16">
        <v>19612</v>
      </c>
      <c r="HD161" s="16">
        <v>16347</v>
      </c>
      <c r="HE161" s="16">
        <v>2314</v>
      </c>
      <c r="HF161" s="16">
        <v>2343</v>
      </c>
      <c r="HG161" s="16">
        <v>15168</v>
      </c>
      <c r="HH161" s="16">
        <v>5176</v>
      </c>
      <c r="HI161" s="16">
        <v>12689</v>
      </c>
      <c r="HJ161" s="16">
        <v>1991</v>
      </c>
      <c r="HK161" s="16">
        <v>1296</v>
      </c>
      <c r="HL161" s="16">
        <v>57422</v>
      </c>
      <c r="HM161" s="16">
        <v>11036</v>
      </c>
      <c r="HN161" s="16">
        <v>17532</v>
      </c>
      <c r="HO161" s="16">
        <v>58927</v>
      </c>
      <c r="HP161" s="16">
        <v>8478</v>
      </c>
      <c r="HQ161" s="16">
        <v>7926</v>
      </c>
      <c r="HR161" s="16">
        <v>3529</v>
      </c>
      <c r="HS161" s="16">
        <v>9800</v>
      </c>
      <c r="HT161" s="16">
        <v>357</v>
      </c>
      <c r="HU161" s="16">
        <v>20311</v>
      </c>
      <c r="HV161" s="16">
        <v>2911</v>
      </c>
      <c r="HW161" s="16">
        <v>27099</v>
      </c>
      <c r="HX161" s="16">
        <v>6825</v>
      </c>
      <c r="HY161" s="16">
        <v>24119</v>
      </c>
      <c r="HZ161" s="16">
        <v>1019</v>
      </c>
      <c r="IA161" s="16">
        <v>1259</v>
      </c>
      <c r="IB161" s="16">
        <v>1372</v>
      </c>
      <c r="IC161" s="16">
        <v>364</v>
      </c>
      <c r="ID161" s="16">
        <v>3451</v>
      </c>
      <c r="IE161" s="16">
        <v>587</v>
      </c>
      <c r="IF161" s="16">
        <v>2269</v>
      </c>
      <c r="IG161" s="16">
        <v>8095</v>
      </c>
      <c r="IH161" s="16">
        <v>1861662</v>
      </c>
      <c r="II161" s="16">
        <v>273767</v>
      </c>
      <c r="IJ161" s="16">
        <v>43716</v>
      </c>
      <c r="IK161" s="16">
        <v>48903</v>
      </c>
      <c r="IL161" s="16">
        <v>48235</v>
      </c>
      <c r="IM161" s="16">
        <v>5513</v>
      </c>
      <c r="IN161" s="16">
        <v>13893</v>
      </c>
      <c r="IO161" s="16">
        <v>2092247</v>
      </c>
      <c r="IP161" s="16">
        <v>191732</v>
      </c>
      <c r="IQ161" s="16">
        <v>2704</v>
      </c>
      <c r="IR161" s="16">
        <v>752</v>
      </c>
      <c r="IS161" s="16">
        <v>25513</v>
      </c>
      <c r="IT161" s="16">
        <v>2439</v>
      </c>
      <c r="IU161" s="16">
        <v>721</v>
      </c>
      <c r="IV161" s="16">
        <v>56465</v>
      </c>
      <c r="IW161" s="16">
        <v>708</v>
      </c>
      <c r="IX161" s="16">
        <v>40138</v>
      </c>
      <c r="IY161" s="16">
        <v>263</v>
      </c>
      <c r="IZ161" s="16">
        <v>45</v>
      </c>
      <c r="JA161" s="16">
        <v>7404</v>
      </c>
      <c r="JB161" s="16">
        <v>0</v>
      </c>
      <c r="JC161" s="16">
        <v>1939</v>
      </c>
      <c r="JD161" s="16">
        <v>2506</v>
      </c>
      <c r="JE161" s="16">
        <v>1592</v>
      </c>
      <c r="JF161" s="16">
        <v>2586</v>
      </c>
      <c r="JG161" s="16">
        <v>158049</v>
      </c>
      <c r="JH161" s="16">
        <v>160</v>
      </c>
      <c r="JI161" s="16">
        <v>0</v>
      </c>
      <c r="JJ161" s="16">
        <v>341</v>
      </c>
      <c r="JK161" s="16">
        <v>0</v>
      </c>
      <c r="JL161" s="16">
        <v>0</v>
      </c>
      <c r="JM161" s="16">
        <v>0</v>
      </c>
      <c r="JN161" s="16">
        <v>0</v>
      </c>
      <c r="JO161" s="16">
        <v>0</v>
      </c>
      <c r="JP161" s="16">
        <v>0</v>
      </c>
      <c r="JQ161" s="16">
        <v>0</v>
      </c>
      <c r="JR161" s="16">
        <v>0</v>
      </c>
      <c r="JS161" s="16">
        <v>0</v>
      </c>
      <c r="JT161" s="16">
        <v>0</v>
      </c>
      <c r="JU161" s="16">
        <v>0</v>
      </c>
      <c r="JV161" s="16">
        <v>0</v>
      </c>
      <c r="JW161" s="16">
        <v>22854</v>
      </c>
      <c r="JX161" s="16">
        <v>28607</v>
      </c>
      <c r="JY161" s="16">
        <v>7027</v>
      </c>
      <c r="JZ161" s="16">
        <v>5754</v>
      </c>
      <c r="KA161" s="16">
        <v>1183</v>
      </c>
      <c r="KB161" s="16">
        <v>894</v>
      </c>
      <c r="KC161" s="16">
        <v>1061</v>
      </c>
      <c r="KD161" s="16">
        <v>33192</v>
      </c>
      <c r="KE161" s="16">
        <v>329</v>
      </c>
      <c r="KF161" s="16">
        <v>8428</v>
      </c>
      <c r="KG161" s="16">
        <v>633</v>
      </c>
      <c r="KH161" s="16">
        <v>743</v>
      </c>
      <c r="KI161" s="16">
        <v>8678</v>
      </c>
      <c r="KJ161" s="16">
        <v>10144</v>
      </c>
      <c r="KK161" s="16">
        <v>0</v>
      </c>
      <c r="KL161" s="16">
        <v>0</v>
      </c>
      <c r="KM161" s="16">
        <v>0</v>
      </c>
      <c r="KN161" s="16">
        <v>181</v>
      </c>
      <c r="KO161" s="16">
        <v>0</v>
      </c>
      <c r="KP161" s="16">
        <v>0</v>
      </c>
      <c r="KQ161" s="16">
        <v>53</v>
      </c>
      <c r="KR161" s="16">
        <v>0</v>
      </c>
      <c r="KS161" s="16">
        <v>0</v>
      </c>
      <c r="KT161" s="16">
        <v>0</v>
      </c>
      <c r="KU161" s="16">
        <v>0</v>
      </c>
      <c r="KV161" s="16">
        <v>0</v>
      </c>
      <c r="KW161" s="16">
        <v>0</v>
      </c>
      <c r="KX161" s="16">
        <v>0</v>
      </c>
      <c r="KY161" s="16">
        <v>0</v>
      </c>
      <c r="KZ161" s="16">
        <v>0</v>
      </c>
      <c r="LA161" s="16">
        <v>0</v>
      </c>
      <c r="LB161" s="16">
        <v>0</v>
      </c>
      <c r="LC161" s="16">
        <v>0</v>
      </c>
      <c r="LD161" s="16">
        <v>0</v>
      </c>
      <c r="LE161" s="16">
        <v>0</v>
      </c>
      <c r="LF161" s="16">
        <v>0</v>
      </c>
      <c r="LG161" s="16">
        <v>0</v>
      </c>
      <c r="LH161" s="16">
        <v>0</v>
      </c>
      <c r="LI161" s="16">
        <v>0</v>
      </c>
      <c r="LJ161" s="16">
        <v>0</v>
      </c>
      <c r="LK161" s="16">
        <v>0</v>
      </c>
      <c r="LL161" s="16">
        <v>0</v>
      </c>
      <c r="LM161" s="16">
        <v>0</v>
      </c>
      <c r="LN161" s="16">
        <v>0</v>
      </c>
      <c r="LO161" s="16">
        <v>0</v>
      </c>
      <c r="LP161" s="16">
        <v>0</v>
      </c>
      <c r="LQ161" s="16">
        <v>0</v>
      </c>
      <c r="LR161" s="16">
        <v>0</v>
      </c>
      <c r="LS161" s="16">
        <v>0</v>
      </c>
      <c r="LT161" s="16">
        <v>0</v>
      </c>
      <c r="LU161" s="16">
        <v>0</v>
      </c>
      <c r="LV161" s="16">
        <v>0</v>
      </c>
      <c r="LW161" s="16">
        <v>0</v>
      </c>
      <c r="LX161" s="16">
        <v>0</v>
      </c>
      <c r="LY161" s="16">
        <v>0</v>
      </c>
      <c r="LZ161" s="16">
        <v>0</v>
      </c>
      <c r="MA161" s="16">
        <v>0</v>
      </c>
      <c r="MB161" s="16">
        <v>0</v>
      </c>
      <c r="MC161" s="16">
        <v>1157</v>
      </c>
      <c r="MD161" s="16">
        <v>0</v>
      </c>
      <c r="ME161" s="16">
        <v>0</v>
      </c>
      <c r="MF161" s="16">
        <v>171237</v>
      </c>
      <c r="MG161" s="16">
        <v>0</v>
      </c>
      <c r="MH161" s="16">
        <v>0</v>
      </c>
      <c r="MI161" s="16">
        <v>0</v>
      </c>
      <c r="MJ161" s="16">
        <v>0</v>
      </c>
      <c r="MK161" s="16">
        <v>0</v>
      </c>
      <c r="ML161" s="16">
        <v>0</v>
      </c>
      <c r="MM161" s="16">
        <v>0</v>
      </c>
      <c r="MN161" s="16">
        <v>0</v>
      </c>
      <c r="MO161" s="16">
        <v>0</v>
      </c>
      <c r="MP161" s="16">
        <v>0</v>
      </c>
      <c r="MQ161" s="16">
        <v>0</v>
      </c>
      <c r="MR161" s="16">
        <v>7</v>
      </c>
      <c r="MS161" s="16">
        <v>0</v>
      </c>
      <c r="MT161" s="16">
        <v>0</v>
      </c>
      <c r="MU161" s="16">
        <v>0</v>
      </c>
      <c r="MV161" s="16">
        <v>0</v>
      </c>
      <c r="MW161" s="16">
        <v>0</v>
      </c>
      <c r="MX161" s="16">
        <v>0</v>
      </c>
      <c r="MY161" s="16">
        <v>0</v>
      </c>
      <c r="MZ161" s="16">
        <v>0</v>
      </c>
      <c r="NA161" s="16">
        <v>0</v>
      </c>
      <c r="NB161" s="16">
        <v>3034</v>
      </c>
      <c r="NC161" s="16">
        <v>0</v>
      </c>
      <c r="ND161" s="16">
        <v>0</v>
      </c>
      <c r="NE161" s="16">
        <v>0</v>
      </c>
      <c r="NF161" s="16">
        <v>0</v>
      </c>
      <c r="NG161" s="16">
        <v>0</v>
      </c>
      <c r="NH161" s="16">
        <v>0</v>
      </c>
      <c r="NI161" s="16">
        <v>0</v>
      </c>
      <c r="NJ161" s="16">
        <v>0</v>
      </c>
      <c r="NK161" s="16">
        <v>289</v>
      </c>
      <c r="NL161" s="16">
        <v>909</v>
      </c>
      <c r="NM161" s="16">
        <v>0</v>
      </c>
      <c r="NN161" s="16">
        <v>0</v>
      </c>
      <c r="NO161" s="16">
        <v>0</v>
      </c>
      <c r="NP161" s="16">
        <v>0</v>
      </c>
      <c r="NQ161" s="16">
        <v>3</v>
      </c>
      <c r="NR161" s="17">
        <v>11154787</v>
      </c>
    </row>
    <row r="162" spans="1:382" ht="13.5" customHeight="1" x14ac:dyDescent="0.2">
      <c r="A162" s="2" t="s">
        <v>331</v>
      </c>
      <c r="B162" s="16">
        <v>0</v>
      </c>
      <c r="C162" s="16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  <c r="AK162" s="16">
        <v>0</v>
      </c>
      <c r="AL162" s="16">
        <v>0</v>
      </c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0</v>
      </c>
      <c r="BL162" s="16">
        <v>0</v>
      </c>
      <c r="BM162" s="16">
        <v>0</v>
      </c>
      <c r="BN162" s="16">
        <v>0</v>
      </c>
      <c r="BO162" s="16">
        <v>0</v>
      </c>
      <c r="BP162" s="16">
        <v>0</v>
      </c>
      <c r="BQ162" s="16">
        <v>0</v>
      </c>
      <c r="BR162" s="16">
        <v>0</v>
      </c>
      <c r="BS162" s="16">
        <v>0</v>
      </c>
      <c r="BT162" s="16">
        <v>0</v>
      </c>
      <c r="BU162" s="16">
        <v>0</v>
      </c>
      <c r="BV162" s="16">
        <v>0</v>
      </c>
      <c r="BW162" s="16">
        <v>0</v>
      </c>
      <c r="BX162" s="16">
        <v>0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6">
        <v>0</v>
      </c>
      <c r="CF162" s="16">
        <v>0</v>
      </c>
      <c r="CG162" s="16">
        <v>0</v>
      </c>
      <c r="CH162" s="16">
        <v>0</v>
      </c>
      <c r="CI162" s="16">
        <v>0</v>
      </c>
      <c r="CJ162" s="16">
        <v>0</v>
      </c>
      <c r="CK162" s="16">
        <v>0</v>
      </c>
      <c r="CL162" s="16">
        <v>0</v>
      </c>
      <c r="CM162" s="16">
        <v>0</v>
      </c>
      <c r="CN162" s="16">
        <v>0</v>
      </c>
      <c r="CO162" s="16">
        <v>0</v>
      </c>
      <c r="CP162" s="16">
        <v>0</v>
      </c>
      <c r="CQ162" s="16">
        <v>0</v>
      </c>
      <c r="CR162" s="16">
        <v>0</v>
      </c>
      <c r="CS162" s="16">
        <v>0</v>
      </c>
      <c r="CT162" s="16">
        <v>0</v>
      </c>
      <c r="CU162" s="16">
        <v>0</v>
      </c>
      <c r="CV162" s="16">
        <v>0</v>
      </c>
      <c r="CW162" s="16">
        <v>0</v>
      </c>
      <c r="CX162" s="16">
        <v>0</v>
      </c>
      <c r="CY162" s="16">
        <v>0</v>
      </c>
      <c r="CZ162" s="16">
        <v>0</v>
      </c>
      <c r="DA162" s="16">
        <v>0</v>
      </c>
      <c r="DB162" s="16">
        <v>0</v>
      </c>
      <c r="DC162" s="16">
        <v>0</v>
      </c>
      <c r="DD162" s="16">
        <v>0</v>
      </c>
      <c r="DE162" s="16">
        <v>0</v>
      </c>
      <c r="DF162" s="16">
        <v>0</v>
      </c>
      <c r="DG162" s="16">
        <v>0</v>
      </c>
      <c r="DH162" s="16">
        <v>0</v>
      </c>
      <c r="DI162" s="16">
        <v>0</v>
      </c>
      <c r="DJ162" s="16">
        <v>0</v>
      </c>
      <c r="DK162" s="16">
        <v>0</v>
      </c>
      <c r="DL162" s="16">
        <v>0</v>
      </c>
      <c r="DM162" s="16">
        <v>0</v>
      </c>
      <c r="DN162" s="16">
        <v>0</v>
      </c>
      <c r="DO162" s="16">
        <v>0</v>
      </c>
      <c r="DP162" s="16">
        <v>0</v>
      </c>
      <c r="DQ162" s="16">
        <v>0</v>
      </c>
      <c r="DR162" s="16">
        <v>0</v>
      </c>
      <c r="DS162" s="16">
        <v>0</v>
      </c>
      <c r="DT162" s="16">
        <v>0</v>
      </c>
      <c r="DU162" s="16">
        <v>0</v>
      </c>
      <c r="DV162" s="16">
        <v>0</v>
      </c>
      <c r="DW162" s="16">
        <v>0</v>
      </c>
      <c r="DX162" s="16">
        <v>0</v>
      </c>
      <c r="DY162" s="16">
        <v>0</v>
      </c>
      <c r="DZ162" s="16">
        <v>0</v>
      </c>
      <c r="EA162" s="16">
        <v>182</v>
      </c>
      <c r="EB162" s="16">
        <v>0</v>
      </c>
      <c r="EC162" s="16">
        <v>0</v>
      </c>
      <c r="ED162" s="16">
        <v>0</v>
      </c>
      <c r="EE162" s="16">
        <v>0</v>
      </c>
      <c r="EF162" s="16">
        <v>0</v>
      </c>
      <c r="EG162" s="16">
        <v>0</v>
      </c>
      <c r="EH162" s="16">
        <v>0</v>
      </c>
      <c r="EI162" s="16">
        <v>0</v>
      </c>
      <c r="EJ162" s="16">
        <v>0</v>
      </c>
      <c r="EK162" s="16">
        <v>0</v>
      </c>
      <c r="EL162" s="16">
        <v>0</v>
      </c>
      <c r="EM162" s="16">
        <v>0</v>
      </c>
      <c r="EN162" s="16">
        <v>0</v>
      </c>
      <c r="EO162" s="16">
        <v>0</v>
      </c>
      <c r="EP162" s="16">
        <v>0</v>
      </c>
      <c r="EQ162" s="16">
        <v>0</v>
      </c>
      <c r="ER162" s="16">
        <v>0</v>
      </c>
      <c r="ES162" s="16">
        <v>0</v>
      </c>
      <c r="ET162" s="16">
        <v>0</v>
      </c>
      <c r="EU162" s="16">
        <v>0</v>
      </c>
      <c r="EV162" s="16">
        <v>0</v>
      </c>
      <c r="EW162" s="16">
        <v>56</v>
      </c>
      <c r="EX162" s="16">
        <v>1541</v>
      </c>
      <c r="EY162" s="16">
        <v>0</v>
      </c>
      <c r="EZ162" s="16">
        <v>0</v>
      </c>
      <c r="FA162" s="16">
        <v>25</v>
      </c>
      <c r="FB162" s="16">
        <v>2</v>
      </c>
      <c r="FC162" s="16">
        <v>665</v>
      </c>
      <c r="FD162" s="16">
        <v>495416</v>
      </c>
      <c r="FE162" s="16">
        <v>5303</v>
      </c>
      <c r="FF162" s="16">
        <v>745842</v>
      </c>
      <c r="FG162" s="16">
        <v>997871</v>
      </c>
      <c r="FH162" s="16">
        <v>0</v>
      </c>
      <c r="FI162" s="16">
        <v>0</v>
      </c>
      <c r="FJ162" s="16">
        <v>0</v>
      </c>
      <c r="FK162" s="16">
        <v>0</v>
      </c>
      <c r="FL162" s="16">
        <v>0</v>
      </c>
      <c r="FM162" s="16">
        <v>450</v>
      </c>
      <c r="FN162" s="16">
        <v>0</v>
      </c>
      <c r="FO162" s="16">
        <v>1909</v>
      </c>
      <c r="FP162" s="16">
        <v>3673</v>
      </c>
      <c r="FQ162" s="16">
        <v>466825</v>
      </c>
      <c r="FR162" s="16">
        <v>264102</v>
      </c>
      <c r="FS162" s="16">
        <v>105278</v>
      </c>
      <c r="FT162" s="16">
        <v>190366</v>
      </c>
      <c r="FU162" s="16">
        <v>183407</v>
      </c>
      <c r="FV162" s="16">
        <v>281035</v>
      </c>
      <c r="FW162" s="16">
        <v>45070</v>
      </c>
      <c r="FX162" s="16">
        <v>946123</v>
      </c>
      <c r="FY162" s="16">
        <v>13246</v>
      </c>
      <c r="FZ162" s="16">
        <v>55945</v>
      </c>
      <c r="GA162" s="16">
        <v>2398</v>
      </c>
      <c r="GB162" s="16">
        <v>74299</v>
      </c>
      <c r="GC162" s="16">
        <v>445546</v>
      </c>
      <c r="GD162" s="16">
        <v>317108</v>
      </c>
      <c r="GE162" s="16">
        <v>1798</v>
      </c>
      <c r="GF162" s="16">
        <v>208192</v>
      </c>
      <c r="GG162" s="16">
        <v>19303</v>
      </c>
      <c r="GH162" s="16">
        <v>233575</v>
      </c>
      <c r="GI162" s="16">
        <v>7912</v>
      </c>
      <c r="GJ162" s="16">
        <v>29929</v>
      </c>
      <c r="GK162" s="16">
        <v>25169</v>
      </c>
      <c r="GL162" s="16">
        <v>6</v>
      </c>
      <c r="GM162" s="16">
        <v>351</v>
      </c>
      <c r="GN162" s="16">
        <v>1373</v>
      </c>
      <c r="GO162" s="16">
        <v>2109</v>
      </c>
      <c r="GP162" s="16">
        <v>729</v>
      </c>
      <c r="GQ162" s="16">
        <v>1402</v>
      </c>
      <c r="GR162" s="16">
        <v>8559</v>
      </c>
      <c r="GS162" s="16">
        <v>1556</v>
      </c>
      <c r="GT162" s="16">
        <v>420</v>
      </c>
      <c r="GU162" s="16">
        <v>4487</v>
      </c>
      <c r="GV162" s="16">
        <v>16225</v>
      </c>
      <c r="GW162" s="16">
        <v>21524</v>
      </c>
      <c r="GX162" s="16">
        <v>750</v>
      </c>
      <c r="GY162" s="16">
        <v>55</v>
      </c>
      <c r="GZ162" s="16">
        <v>94644</v>
      </c>
      <c r="HA162" s="16">
        <v>305625</v>
      </c>
      <c r="HB162" s="16">
        <v>18399</v>
      </c>
      <c r="HC162" s="16">
        <v>161182</v>
      </c>
      <c r="HD162" s="16">
        <v>215597</v>
      </c>
      <c r="HE162" s="16">
        <v>40524</v>
      </c>
      <c r="HF162" s="16">
        <v>4461</v>
      </c>
      <c r="HG162" s="16">
        <v>89275</v>
      </c>
      <c r="HH162" s="16">
        <v>33987</v>
      </c>
      <c r="HI162" s="16">
        <v>57171</v>
      </c>
      <c r="HJ162" s="16">
        <v>17752</v>
      </c>
      <c r="HK162" s="16">
        <v>58722</v>
      </c>
      <c r="HL162" s="16">
        <v>158946</v>
      </c>
      <c r="HM162" s="16">
        <v>5268</v>
      </c>
      <c r="HN162" s="16">
        <v>18777</v>
      </c>
      <c r="HO162" s="16">
        <v>6073</v>
      </c>
      <c r="HP162" s="16">
        <v>24051</v>
      </c>
      <c r="HQ162" s="16">
        <v>83899</v>
      </c>
      <c r="HR162" s="16">
        <v>210744</v>
      </c>
      <c r="HS162" s="16">
        <v>50638</v>
      </c>
      <c r="HT162" s="16">
        <v>437</v>
      </c>
      <c r="HU162" s="16">
        <v>178955</v>
      </c>
      <c r="HV162" s="16">
        <v>5694</v>
      </c>
      <c r="HW162" s="16">
        <v>26053</v>
      </c>
      <c r="HX162" s="16">
        <v>17218</v>
      </c>
      <c r="HY162" s="16">
        <v>3930</v>
      </c>
      <c r="HZ162" s="16">
        <v>34135</v>
      </c>
      <c r="IA162" s="16">
        <v>12468</v>
      </c>
      <c r="IB162" s="16">
        <v>5028</v>
      </c>
      <c r="IC162" s="16">
        <v>305</v>
      </c>
      <c r="ID162" s="16">
        <v>4894</v>
      </c>
      <c r="IE162" s="16">
        <v>428</v>
      </c>
      <c r="IF162" s="16">
        <v>4164</v>
      </c>
      <c r="IG162" s="16">
        <v>102406</v>
      </c>
      <c r="IH162" s="16">
        <v>1908377</v>
      </c>
      <c r="II162" s="16">
        <v>220797</v>
      </c>
      <c r="IJ162" s="16">
        <v>36081</v>
      </c>
      <c r="IK162" s="16">
        <v>159226</v>
      </c>
      <c r="IL162" s="16">
        <v>65732</v>
      </c>
      <c r="IM162" s="16">
        <v>33920</v>
      </c>
      <c r="IN162" s="16">
        <v>22523</v>
      </c>
      <c r="IO162" s="16">
        <v>1588734</v>
      </c>
      <c r="IP162" s="16">
        <v>232762</v>
      </c>
      <c r="IQ162" s="16">
        <v>257</v>
      </c>
      <c r="IR162" s="16">
        <v>1627</v>
      </c>
      <c r="IS162" s="16">
        <v>65</v>
      </c>
      <c r="IT162" s="16">
        <v>791</v>
      </c>
      <c r="IU162" s="16">
        <v>0</v>
      </c>
      <c r="IV162" s="16">
        <v>5226</v>
      </c>
      <c r="IW162" s="16">
        <v>372</v>
      </c>
      <c r="IX162" s="16">
        <v>32971</v>
      </c>
      <c r="IY162" s="16">
        <v>208</v>
      </c>
      <c r="IZ162" s="16">
        <v>1</v>
      </c>
      <c r="JA162" s="16">
        <v>712</v>
      </c>
      <c r="JB162" s="16">
        <v>0</v>
      </c>
      <c r="JC162" s="16">
        <v>178</v>
      </c>
      <c r="JD162" s="16">
        <v>607</v>
      </c>
      <c r="JE162" s="16">
        <v>7090</v>
      </c>
      <c r="JF162" s="16">
        <v>14098</v>
      </c>
      <c r="JG162" s="16">
        <v>15357</v>
      </c>
      <c r="JH162" s="16">
        <v>0</v>
      </c>
      <c r="JI162" s="16">
        <v>0</v>
      </c>
      <c r="JJ162" s="16">
        <v>0</v>
      </c>
      <c r="JK162" s="16">
        <v>0</v>
      </c>
      <c r="JL162" s="16">
        <v>0</v>
      </c>
      <c r="JM162" s="16">
        <v>0</v>
      </c>
      <c r="JN162" s="16">
        <v>7354</v>
      </c>
      <c r="JO162" s="16">
        <v>0</v>
      </c>
      <c r="JP162" s="16">
        <v>0</v>
      </c>
      <c r="JQ162" s="16">
        <v>0</v>
      </c>
      <c r="JR162" s="16">
        <v>0</v>
      </c>
      <c r="JS162" s="16">
        <v>0</v>
      </c>
      <c r="JT162" s="16">
        <v>0</v>
      </c>
      <c r="JU162" s="16">
        <v>0</v>
      </c>
      <c r="JV162" s="16">
        <v>0</v>
      </c>
      <c r="JW162" s="16">
        <v>534431</v>
      </c>
      <c r="JX162" s="16">
        <v>784802</v>
      </c>
      <c r="JY162" s="16">
        <v>328057</v>
      </c>
      <c r="JZ162" s="16">
        <v>50371</v>
      </c>
      <c r="KA162" s="16">
        <v>19120</v>
      </c>
      <c r="KB162" s="16">
        <v>601</v>
      </c>
      <c r="KC162" s="16">
        <v>14885</v>
      </c>
      <c r="KD162" s="16">
        <v>20731</v>
      </c>
      <c r="KE162" s="16">
        <v>7877</v>
      </c>
      <c r="KF162" s="16">
        <v>20346</v>
      </c>
      <c r="KG162" s="16">
        <v>10420</v>
      </c>
      <c r="KH162" s="16">
        <v>28310</v>
      </c>
      <c r="KI162" s="16">
        <v>397638</v>
      </c>
      <c r="KJ162" s="16">
        <v>93252</v>
      </c>
      <c r="KK162" s="16">
        <v>0</v>
      </c>
      <c r="KL162" s="16">
        <v>0</v>
      </c>
      <c r="KM162" s="16">
        <v>0</v>
      </c>
      <c r="KN162" s="16">
        <v>0</v>
      </c>
      <c r="KO162" s="16">
        <v>0</v>
      </c>
      <c r="KP162" s="16">
        <v>0</v>
      </c>
      <c r="KQ162" s="16">
        <v>0</v>
      </c>
      <c r="KR162" s="16">
        <v>0</v>
      </c>
      <c r="KS162" s="16">
        <v>0</v>
      </c>
      <c r="KT162" s="16">
        <v>0</v>
      </c>
      <c r="KU162" s="16">
        <v>0</v>
      </c>
      <c r="KV162" s="16">
        <v>0</v>
      </c>
      <c r="KW162" s="16">
        <v>0</v>
      </c>
      <c r="KX162" s="16">
        <v>0</v>
      </c>
      <c r="KY162" s="16">
        <v>0</v>
      </c>
      <c r="KZ162" s="16">
        <v>0</v>
      </c>
      <c r="LA162" s="16">
        <v>0</v>
      </c>
      <c r="LB162" s="16">
        <v>0</v>
      </c>
      <c r="LC162" s="16">
        <v>0</v>
      </c>
      <c r="LD162" s="16">
        <v>0</v>
      </c>
      <c r="LE162" s="16">
        <v>0</v>
      </c>
      <c r="LF162" s="16">
        <v>0</v>
      </c>
      <c r="LG162" s="16">
        <v>0</v>
      </c>
      <c r="LH162" s="16">
        <v>0</v>
      </c>
      <c r="LI162" s="16">
        <v>0</v>
      </c>
      <c r="LJ162" s="16">
        <v>0</v>
      </c>
      <c r="LK162" s="16">
        <v>0</v>
      </c>
      <c r="LL162" s="16">
        <v>0</v>
      </c>
      <c r="LM162" s="16">
        <v>0</v>
      </c>
      <c r="LN162" s="16">
        <v>0</v>
      </c>
      <c r="LO162" s="16">
        <v>0</v>
      </c>
      <c r="LP162" s="16">
        <v>0</v>
      </c>
      <c r="LQ162" s="16">
        <v>0</v>
      </c>
      <c r="LR162" s="16">
        <v>0</v>
      </c>
      <c r="LS162" s="16">
        <v>0</v>
      </c>
      <c r="LT162" s="16">
        <v>0</v>
      </c>
      <c r="LU162" s="16">
        <v>0</v>
      </c>
      <c r="LV162" s="16">
        <v>0</v>
      </c>
      <c r="LW162" s="16">
        <v>0</v>
      </c>
      <c r="LX162" s="16">
        <v>0</v>
      </c>
      <c r="LY162" s="16">
        <v>0</v>
      </c>
      <c r="LZ162" s="16">
        <v>0</v>
      </c>
      <c r="MA162" s="16">
        <v>0</v>
      </c>
      <c r="MB162" s="16">
        <v>0</v>
      </c>
      <c r="MC162" s="16">
        <v>0</v>
      </c>
      <c r="MD162" s="16">
        <v>0</v>
      </c>
      <c r="ME162" s="16">
        <v>230</v>
      </c>
      <c r="MF162" s="16">
        <v>0</v>
      </c>
      <c r="MG162" s="16">
        <v>0</v>
      </c>
      <c r="MH162" s="16">
        <v>0</v>
      </c>
      <c r="MI162" s="16">
        <v>0</v>
      </c>
      <c r="MJ162" s="16">
        <v>0</v>
      </c>
      <c r="MK162" s="16">
        <v>4231</v>
      </c>
      <c r="ML162" s="16">
        <v>766</v>
      </c>
      <c r="MM162" s="16">
        <v>0</v>
      </c>
      <c r="MN162" s="16">
        <v>0</v>
      </c>
      <c r="MO162" s="16">
        <v>0</v>
      </c>
      <c r="MP162" s="16">
        <v>0</v>
      </c>
      <c r="MQ162" s="16">
        <v>0</v>
      </c>
      <c r="MR162" s="16">
        <v>0</v>
      </c>
      <c r="MS162" s="16">
        <v>0</v>
      </c>
      <c r="MT162" s="16">
        <v>0</v>
      </c>
      <c r="MU162" s="16">
        <v>0</v>
      </c>
      <c r="MV162" s="16">
        <v>0</v>
      </c>
      <c r="MW162" s="16">
        <v>0</v>
      </c>
      <c r="MX162" s="16">
        <v>0</v>
      </c>
      <c r="MY162" s="16">
        <v>0</v>
      </c>
      <c r="MZ162" s="16">
        <v>0</v>
      </c>
      <c r="NA162" s="16">
        <v>0</v>
      </c>
      <c r="NB162" s="16">
        <v>0</v>
      </c>
      <c r="NC162" s="16">
        <v>0</v>
      </c>
      <c r="ND162" s="16">
        <v>0</v>
      </c>
      <c r="NE162" s="16">
        <v>0</v>
      </c>
      <c r="NF162" s="16">
        <v>0</v>
      </c>
      <c r="NG162" s="16">
        <v>0</v>
      </c>
      <c r="NH162" s="16">
        <v>0</v>
      </c>
      <c r="NI162" s="16">
        <v>0</v>
      </c>
      <c r="NJ162" s="16">
        <v>0</v>
      </c>
      <c r="NK162" s="16">
        <v>85</v>
      </c>
      <c r="NL162" s="16">
        <v>0</v>
      </c>
      <c r="NM162" s="16">
        <v>0</v>
      </c>
      <c r="NN162" s="16">
        <v>0</v>
      </c>
      <c r="NO162" s="16">
        <v>0</v>
      </c>
      <c r="NP162" s="16">
        <v>0</v>
      </c>
      <c r="NQ162" s="16">
        <v>1</v>
      </c>
      <c r="NR162" s="17">
        <v>14952177</v>
      </c>
    </row>
    <row r="163" spans="1:382" ht="13.5" customHeight="1" x14ac:dyDescent="0.2">
      <c r="A163" s="2" t="s">
        <v>333</v>
      </c>
      <c r="B163" s="16">
        <v>0</v>
      </c>
      <c r="C163" s="16">
        <v>0</v>
      </c>
      <c r="D163" s="16">
        <v>0</v>
      </c>
      <c r="E163" s="16">
        <v>0</v>
      </c>
      <c r="F163" s="16">
        <v>118</v>
      </c>
      <c r="G163" s="16">
        <v>24</v>
      </c>
      <c r="H163" s="16">
        <v>7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2</v>
      </c>
      <c r="P163" s="16">
        <v>438</v>
      </c>
      <c r="Q163" s="16">
        <v>184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31</v>
      </c>
      <c r="Y163" s="16">
        <v>92</v>
      </c>
      <c r="Z163" s="16">
        <v>150</v>
      </c>
      <c r="AA163" s="16">
        <v>444</v>
      </c>
      <c r="AB163" s="16">
        <v>0</v>
      </c>
      <c r="AC163" s="16">
        <v>0</v>
      </c>
      <c r="AD163" s="16">
        <v>0</v>
      </c>
      <c r="AE163" s="16">
        <v>0</v>
      </c>
      <c r="AF163" s="16">
        <v>723</v>
      </c>
      <c r="AG163" s="16">
        <v>1636</v>
      </c>
      <c r="AH163" s="16">
        <v>331</v>
      </c>
      <c r="AI163" s="16">
        <v>777</v>
      </c>
      <c r="AJ163" s="16">
        <v>0</v>
      </c>
      <c r="AK163" s="16">
        <v>0</v>
      </c>
      <c r="AL163" s="16">
        <v>11</v>
      </c>
      <c r="AM163" s="16">
        <v>0</v>
      </c>
      <c r="AN163" s="16">
        <v>0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0</v>
      </c>
      <c r="BE163" s="16">
        <v>0</v>
      </c>
      <c r="BF163" s="16">
        <v>0</v>
      </c>
      <c r="BG163" s="16">
        <v>0</v>
      </c>
      <c r="BH163" s="16">
        <v>0</v>
      </c>
      <c r="BI163" s="16">
        <v>0</v>
      </c>
      <c r="BJ163" s="16">
        <v>0</v>
      </c>
      <c r="BK163" s="16">
        <v>0</v>
      </c>
      <c r="BL163" s="16">
        <v>0</v>
      </c>
      <c r="BM163" s="16">
        <v>0</v>
      </c>
      <c r="BN163" s="16">
        <v>0</v>
      </c>
      <c r="BO163" s="16">
        <v>329</v>
      </c>
      <c r="BP163" s="16">
        <v>21</v>
      </c>
      <c r="BQ163" s="16">
        <v>0</v>
      </c>
      <c r="BR163" s="16">
        <v>38</v>
      </c>
      <c r="BS163" s="16">
        <v>0</v>
      </c>
      <c r="BT163" s="16">
        <v>0</v>
      </c>
      <c r="BU163" s="16">
        <v>0</v>
      </c>
      <c r="BV163" s="16">
        <v>0</v>
      </c>
      <c r="BW163" s="16">
        <v>0</v>
      </c>
      <c r="BX163" s="16">
        <v>0</v>
      </c>
      <c r="BY163" s="16">
        <v>0</v>
      </c>
      <c r="BZ163" s="16">
        <v>0</v>
      </c>
      <c r="CA163" s="16">
        <v>0</v>
      </c>
      <c r="CB163" s="16">
        <v>0</v>
      </c>
      <c r="CC163" s="16">
        <v>0</v>
      </c>
      <c r="CD163" s="16">
        <v>334</v>
      </c>
      <c r="CE163" s="16">
        <v>155</v>
      </c>
      <c r="CF163" s="16">
        <v>0</v>
      </c>
      <c r="CG163" s="16">
        <v>0</v>
      </c>
      <c r="CH163" s="16">
        <v>0</v>
      </c>
      <c r="CI163" s="16">
        <v>11</v>
      </c>
      <c r="CJ163" s="16">
        <v>314</v>
      </c>
      <c r="CK163" s="16">
        <v>0</v>
      </c>
      <c r="CL163" s="16">
        <v>0</v>
      </c>
      <c r="CM163" s="16">
        <v>1081</v>
      </c>
      <c r="CN163" s="16">
        <v>0</v>
      </c>
      <c r="CO163" s="16">
        <v>0</v>
      </c>
      <c r="CP163" s="16">
        <v>445</v>
      </c>
      <c r="CQ163" s="16">
        <v>0</v>
      </c>
      <c r="CR163" s="16">
        <v>14</v>
      </c>
      <c r="CS163" s="16">
        <v>29</v>
      </c>
      <c r="CT163" s="16">
        <v>62</v>
      </c>
      <c r="CU163" s="16">
        <v>268</v>
      </c>
      <c r="CV163" s="16">
        <v>548</v>
      </c>
      <c r="CW163" s="16">
        <v>1802</v>
      </c>
      <c r="CX163" s="16">
        <v>871</v>
      </c>
      <c r="CY163" s="16">
        <v>90</v>
      </c>
      <c r="CZ163" s="16">
        <v>313</v>
      </c>
      <c r="DA163" s="16">
        <v>22</v>
      </c>
      <c r="DB163" s="16">
        <v>111</v>
      </c>
      <c r="DC163" s="16">
        <v>0</v>
      </c>
      <c r="DD163" s="16">
        <v>0</v>
      </c>
      <c r="DE163" s="16">
        <v>74</v>
      </c>
      <c r="DF163" s="16">
        <v>296</v>
      </c>
      <c r="DG163" s="16">
        <v>0</v>
      </c>
      <c r="DH163" s="16">
        <v>149</v>
      </c>
      <c r="DI163" s="16">
        <v>0</v>
      </c>
      <c r="DJ163" s="16">
        <v>2546</v>
      </c>
      <c r="DK163" s="16">
        <v>65</v>
      </c>
      <c r="DL163" s="16">
        <v>0</v>
      </c>
      <c r="DM163" s="16">
        <v>36</v>
      </c>
      <c r="DN163" s="16">
        <v>172</v>
      </c>
      <c r="DO163" s="16">
        <v>0</v>
      </c>
      <c r="DP163" s="16">
        <v>243</v>
      </c>
      <c r="DQ163" s="16">
        <v>0</v>
      </c>
      <c r="DR163" s="16">
        <v>123</v>
      </c>
      <c r="DS163" s="16">
        <v>0</v>
      </c>
      <c r="DT163" s="16">
        <v>0</v>
      </c>
      <c r="DU163" s="16">
        <v>4843</v>
      </c>
      <c r="DV163" s="16">
        <v>112</v>
      </c>
      <c r="DW163" s="16">
        <v>780</v>
      </c>
      <c r="DX163" s="16">
        <v>264</v>
      </c>
      <c r="DY163" s="16">
        <v>346</v>
      </c>
      <c r="DZ163" s="16">
        <v>874</v>
      </c>
      <c r="EA163" s="16">
        <v>1456</v>
      </c>
      <c r="EB163" s="16">
        <v>6</v>
      </c>
      <c r="EC163" s="16">
        <v>1488</v>
      </c>
      <c r="ED163" s="16">
        <v>667</v>
      </c>
      <c r="EE163" s="16">
        <v>80</v>
      </c>
      <c r="EF163" s="16">
        <v>9</v>
      </c>
      <c r="EG163" s="16">
        <v>99</v>
      </c>
      <c r="EH163" s="16">
        <v>117</v>
      </c>
      <c r="EI163" s="16">
        <v>0</v>
      </c>
      <c r="EJ163" s="16">
        <v>0</v>
      </c>
      <c r="EK163" s="16">
        <v>102</v>
      </c>
      <c r="EL163" s="16">
        <v>70</v>
      </c>
      <c r="EM163" s="16">
        <v>2570</v>
      </c>
      <c r="EN163" s="16">
        <v>10793</v>
      </c>
      <c r="EO163" s="16">
        <v>35426</v>
      </c>
      <c r="EP163" s="16">
        <v>1027</v>
      </c>
      <c r="EQ163" s="16">
        <v>10555</v>
      </c>
      <c r="ER163" s="16">
        <v>172</v>
      </c>
      <c r="ES163" s="16">
        <v>0</v>
      </c>
      <c r="ET163" s="16">
        <v>479</v>
      </c>
      <c r="EU163" s="16">
        <v>64</v>
      </c>
      <c r="EV163" s="16">
        <v>280</v>
      </c>
      <c r="EW163" s="16">
        <v>462</v>
      </c>
      <c r="EX163" s="16">
        <v>1718</v>
      </c>
      <c r="EY163" s="16">
        <v>5782</v>
      </c>
      <c r="EZ163" s="16">
        <v>169</v>
      </c>
      <c r="FA163" s="16">
        <v>170</v>
      </c>
      <c r="FB163" s="16">
        <v>1</v>
      </c>
      <c r="FC163" s="16">
        <v>1456</v>
      </c>
      <c r="FD163" s="16">
        <v>1448485</v>
      </c>
      <c r="FE163" s="16">
        <v>1251</v>
      </c>
      <c r="FF163" s="16">
        <v>173917</v>
      </c>
      <c r="FG163" s="16">
        <v>33968</v>
      </c>
      <c r="FH163" s="16">
        <v>8</v>
      </c>
      <c r="FI163" s="16">
        <v>36</v>
      </c>
      <c r="FJ163" s="16">
        <v>63</v>
      </c>
      <c r="FK163" s="16">
        <v>0</v>
      </c>
      <c r="FL163" s="16">
        <v>0</v>
      </c>
      <c r="FM163" s="16">
        <v>585</v>
      </c>
      <c r="FN163" s="16">
        <v>6071</v>
      </c>
      <c r="FO163" s="16">
        <v>2166</v>
      </c>
      <c r="FP163" s="16">
        <v>13130</v>
      </c>
      <c r="FQ163" s="16">
        <v>478476</v>
      </c>
      <c r="FR163" s="16">
        <v>430211</v>
      </c>
      <c r="FS163" s="16">
        <v>313713</v>
      </c>
      <c r="FT163" s="16">
        <v>216964</v>
      </c>
      <c r="FU163" s="16">
        <v>6581</v>
      </c>
      <c r="FV163" s="16">
        <v>225597</v>
      </c>
      <c r="FW163" s="16">
        <v>1766</v>
      </c>
      <c r="FX163" s="16">
        <v>1467656</v>
      </c>
      <c r="FY163" s="16">
        <v>195225</v>
      </c>
      <c r="FZ163" s="16">
        <v>279694</v>
      </c>
      <c r="GA163" s="16">
        <v>40468</v>
      </c>
      <c r="GB163" s="16">
        <v>230276</v>
      </c>
      <c r="GC163" s="16">
        <v>153990</v>
      </c>
      <c r="GD163" s="16">
        <v>270164</v>
      </c>
      <c r="GE163" s="16">
        <v>2861</v>
      </c>
      <c r="GF163" s="16">
        <v>55072</v>
      </c>
      <c r="GG163" s="16">
        <v>10928</v>
      </c>
      <c r="GH163" s="16">
        <v>22407</v>
      </c>
      <c r="GI163" s="16">
        <v>4618</v>
      </c>
      <c r="GJ163" s="16">
        <v>41746</v>
      </c>
      <c r="GK163" s="16">
        <v>6352</v>
      </c>
      <c r="GL163" s="16">
        <v>9</v>
      </c>
      <c r="GM163" s="16">
        <v>153</v>
      </c>
      <c r="GN163" s="16">
        <v>1637</v>
      </c>
      <c r="GO163" s="16">
        <v>534</v>
      </c>
      <c r="GP163" s="16">
        <v>318</v>
      </c>
      <c r="GQ163" s="16">
        <v>1285</v>
      </c>
      <c r="GR163" s="16">
        <v>2451</v>
      </c>
      <c r="GS163" s="16">
        <v>707</v>
      </c>
      <c r="GT163" s="16">
        <v>320</v>
      </c>
      <c r="GU163" s="16">
        <v>16160</v>
      </c>
      <c r="GV163" s="16">
        <v>13568</v>
      </c>
      <c r="GW163" s="16">
        <v>13196</v>
      </c>
      <c r="GX163" s="16">
        <v>237</v>
      </c>
      <c r="GY163" s="16">
        <v>95</v>
      </c>
      <c r="GZ163" s="16">
        <v>194079</v>
      </c>
      <c r="HA163" s="16">
        <v>64525</v>
      </c>
      <c r="HB163" s="16">
        <v>21741</v>
      </c>
      <c r="HC163" s="16">
        <v>71798</v>
      </c>
      <c r="HD163" s="16">
        <v>198346</v>
      </c>
      <c r="HE163" s="16">
        <v>3955</v>
      </c>
      <c r="HF163" s="16">
        <v>9151</v>
      </c>
      <c r="HG163" s="16">
        <v>27739</v>
      </c>
      <c r="HH163" s="16">
        <v>10448</v>
      </c>
      <c r="HI163" s="16">
        <v>31466</v>
      </c>
      <c r="HJ163" s="16">
        <v>4996</v>
      </c>
      <c r="HK163" s="16">
        <v>29214</v>
      </c>
      <c r="HL163" s="16">
        <v>60103</v>
      </c>
      <c r="HM163" s="16">
        <v>36544</v>
      </c>
      <c r="HN163" s="16">
        <v>98982</v>
      </c>
      <c r="HO163" s="16">
        <v>18894</v>
      </c>
      <c r="HP163" s="16">
        <v>75753</v>
      </c>
      <c r="HQ163" s="16">
        <v>291065</v>
      </c>
      <c r="HR163" s="16">
        <v>231853</v>
      </c>
      <c r="HS163" s="16">
        <v>171621</v>
      </c>
      <c r="HT163" s="16">
        <v>2535</v>
      </c>
      <c r="HU163" s="16">
        <v>639376</v>
      </c>
      <c r="HV163" s="16">
        <v>22633</v>
      </c>
      <c r="HW163" s="16">
        <v>103185</v>
      </c>
      <c r="HX163" s="16">
        <v>153722</v>
      </c>
      <c r="HY163" s="16">
        <v>536981</v>
      </c>
      <c r="HZ163" s="16">
        <v>108427</v>
      </c>
      <c r="IA163" s="16">
        <v>13792</v>
      </c>
      <c r="IB163" s="16">
        <v>18677</v>
      </c>
      <c r="IC163" s="16">
        <v>10242</v>
      </c>
      <c r="ID163" s="16">
        <v>13920</v>
      </c>
      <c r="IE163" s="16">
        <v>3510</v>
      </c>
      <c r="IF163" s="16">
        <v>9214</v>
      </c>
      <c r="IG163" s="16">
        <v>139107</v>
      </c>
      <c r="IH163" s="16">
        <v>13706</v>
      </c>
      <c r="II163" s="16">
        <v>1839</v>
      </c>
      <c r="IJ163" s="16">
        <v>814</v>
      </c>
      <c r="IK163" s="16">
        <v>4060</v>
      </c>
      <c r="IL163" s="16">
        <v>3492</v>
      </c>
      <c r="IM163" s="16">
        <v>8661</v>
      </c>
      <c r="IN163" s="16">
        <v>899</v>
      </c>
      <c r="IO163" s="16">
        <v>1252701</v>
      </c>
      <c r="IP163" s="16">
        <v>177945</v>
      </c>
      <c r="IQ163" s="16">
        <v>3606</v>
      </c>
      <c r="IR163" s="16">
        <v>3744</v>
      </c>
      <c r="IS163" s="16">
        <v>7887</v>
      </c>
      <c r="IT163" s="16">
        <v>1033</v>
      </c>
      <c r="IU163" s="16">
        <v>32</v>
      </c>
      <c r="IV163" s="16">
        <v>9976</v>
      </c>
      <c r="IW163" s="16">
        <v>2942</v>
      </c>
      <c r="IX163" s="16">
        <v>132374</v>
      </c>
      <c r="IY163" s="16">
        <v>45094</v>
      </c>
      <c r="IZ163" s="16">
        <v>4</v>
      </c>
      <c r="JA163" s="16">
        <v>2292</v>
      </c>
      <c r="JB163" s="16">
        <v>85</v>
      </c>
      <c r="JC163" s="16">
        <v>1048</v>
      </c>
      <c r="JD163" s="16">
        <v>1974</v>
      </c>
      <c r="JE163" s="16">
        <v>20557</v>
      </c>
      <c r="JF163" s="16">
        <v>2128</v>
      </c>
      <c r="JG163" s="16">
        <v>147903</v>
      </c>
      <c r="JH163" s="16">
        <v>34453</v>
      </c>
      <c r="JI163" s="16">
        <v>0</v>
      </c>
      <c r="JJ163" s="16">
        <v>2522</v>
      </c>
      <c r="JK163" s="16">
        <v>119</v>
      </c>
      <c r="JL163" s="16">
        <v>0</v>
      </c>
      <c r="JM163" s="16">
        <v>0</v>
      </c>
      <c r="JN163" s="16">
        <v>0</v>
      </c>
      <c r="JO163" s="16">
        <v>1898</v>
      </c>
      <c r="JP163" s="16">
        <v>1136</v>
      </c>
      <c r="JQ163" s="16">
        <v>0</v>
      </c>
      <c r="JR163" s="16">
        <v>0</v>
      </c>
      <c r="JS163" s="16">
        <v>0</v>
      </c>
      <c r="JT163" s="16">
        <v>0</v>
      </c>
      <c r="JU163" s="16">
        <v>1582</v>
      </c>
      <c r="JV163" s="16">
        <v>208</v>
      </c>
      <c r="JW163" s="16">
        <v>5365</v>
      </c>
      <c r="JX163" s="16">
        <v>348367</v>
      </c>
      <c r="JY163" s="16">
        <v>89815</v>
      </c>
      <c r="JZ163" s="16">
        <v>25827</v>
      </c>
      <c r="KA163" s="16">
        <v>21166</v>
      </c>
      <c r="KB163" s="16">
        <v>5331</v>
      </c>
      <c r="KC163" s="16">
        <v>6022</v>
      </c>
      <c r="KD163" s="16">
        <v>73740</v>
      </c>
      <c r="KE163" s="16">
        <v>5382</v>
      </c>
      <c r="KF163" s="16">
        <v>59219</v>
      </c>
      <c r="KG163" s="16">
        <v>12660</v>
      </c>
      <c r="KH163" s="16">
        <v>23692</v>
      </c>
      <c r="KI163" s="16">
        <v>14968</v>
      </c>
      <c r="KJ163" s="16">
        <v>67764</v>
      </c>
      <c r="KK163" s="16">
        <v>0</v>
      </c>
      <c r="KL163" s="16">
        <v>3</v>
      </c>
      <c r="KM163" s="16">
        <v>27</v>
      </c>
      <c r="KN163" s="16">
        <v>5</v>
      </c>
      <c r="KO163" s="16">
        <v>0</v>
      </c>
      <c r="KP163" s="16">
        <v>2</v>
      </c>
      <c r="KQ163" s="16">
        <v>8</v>
      </c>
      <c r="KR163" s="16">
        <v>0</v>
      </c>
      <c r="KS163" s="16">
        <v>0</v>
      </c>
      <c r="KT163" s="16">
        <v>0</v>
      </c>
      <c r="KU163" s="16">
        <v>92</v>
      </c>
      <c r="KV163" s="16">
        <v>12926</v>
      </c>
      <c r="KW163" s="16">
        <v>0</v>
      </c>
      <c r="KX163" s="16">
        <v>0</v>
      </c>
      <c r="KY163" s="16">
        <v>0</v>
      </c>
      <c r="KZ163" s="16">
        <v>0</v>
      </c>
      <c r="LA163" s="16">
        <v>0</v>
      </c>
      <c r="LB163" s="16">
        <v>0</v>
      </c>
      <c r="LC163" s="16">
        <v>0</v>
      </c>
      <c r="LD163" s="16">
        <v>0</v>
      </c>
      <c r="LE163" s="16">
        <v>0</v>
      </c>
      <c r="LF163" s="16">
        <v>0</v>
      </c>
      <c r="LG163" s="16">
        <v>0</v>
      </c>
      <c r="LH163" s="16">
        <v>0</v>
      </c>
      <c r="LI163" s="16">
        <v>0</v>
      </c>
      <c r="LJ163" s="16">
        <v>0</v>
      </c>
      <c r="LK163" s="16">
        <v>0</v>
      </c>
      <c r="LL163" s="16">
        <v>0</v>
      </c>
      <c r="LM163" s="16">
        <v>0</v>
      </c>
      <c r="LN163" s="16">
        <v>0</v>
      </c>
      <c r="LO163" s="16">
        <v>0</v>
      </c>
      <c r="LP163" s="16">
        <v>268</v>
      </c>
      <c r="LQ163" s="16">
        <v>61</v>
      </c>
      <c r="LR163" s="16">
        <v>0</v>
      </c>
      <c r="LS163" s="16">
        <v>0</v>
      </c>
      <c r="LT163" s="16">
        <v>0</v>
      </c>
      <c r="LU163" s="16">
        <v>0</v>
      </c>
      <c r="LV163" s="16">
        <v>0</v>
      </c>
      <c r="LW163" s="16">
        <v>0</v>
      </c>
      <c r="LX163" s="16">
        <v>0</v>
      </c>
      <c r="LY163" s="16">
        <v>0</v>
      </c>
      <c r="LZ163" s="16">
        <v>0</v>
      </c>
      <c r="MA163" s="16">
        <v>0</v>
      </c>
      <c r="MB163" s="16">
        <v>0</v>
      </c>
      <c r="MC163" s="16">
        <v>805</v>
      </c>
      <c r="MD163" s="16">
        <v>79</v>
      </c>
      <c r="ME163" s="16">
        <v>92</v>
      </c>
      <c r="MF163" s="16">
        <v>85473</v>
      </c>
      <c r="MG163" s="16">
        <v>0</v>
      </c>
      <c r="MH163" s="16">
        <v>0</v>
      </c>
      <c r="MI163" s="16">
        <v>0</v>
      </c>
      <c r="MJ163" s="16">
        <v>0</v>
      </c>
      <c r="MK163" s="16">
        <v>2265</v>
      </c>
      <c r="ML163" s="16">
        <v>508</v>
      </c>
      <c r="MM163" s="16">
        <v>0</v>
      </c>
      <c r="MN163" s="16">
        <v>0</v>
      </c>
      <c r="MO163" s="16">
        <v>0</v>
      </c>
      <c r="MP163" s="16">
        <v>0</v>
      </c>
      <c r="MQ163" s="16">
        <v>0</v>
      </c>
      <c r="MR163" s="16">
        <v>93</v>
      </c>
      <c r="MS163" s="16">
        <v>152</v>
      </c>
      <c r="MT163" s="16">
        <v>0</v>
      </c>
      <c r="MU163" s="16">
        <v>0</v>
      </c>
      <c r="MV163" s="16">
        <v>0</v>
      </c>
      <c r="MW163" s="16">
        <v>0</v>
      </c>
      <c r="MX163" s="16">
        <v>0</v>
      </c>
      <c r="MY163" s="16">
        <v>0</v>
      </c>
      <c r="MZ163" s="16">
        <v>0</v>
      </c>
      <c r="NA163" s="16">
        <v>0</v>
      </c>
      <c r="NB163" s="16">
        <v>4823</v>
      </c>
      <c r="NC163" s="16">
        <v>0</v>
      </c>
      <c r="ND163" s="16">
        <v>0</v>
      </c>
      <c r="NE163" s="16">
        <v>0</v>
      </c>
      <c r="NF163" s="16">
        <v>0</v>
      </c>
      <c r="NG163" s="16">
        <v>0</v>
      </c>
      <c r="NH163" s="16">
        <v>0</v>
      </c>
      <c r="NI163" s="16">
        <v>0</v>
      </c>
      <c r="NJ163" s="16">
        <v>0</v>
      </c>
      <c r="NK163" s="16">
        <v>223</v>
      </c>
      <c r="NL163" s="16">
        <v>221</v>
      </c>
      <c r="NM163" s="16">
        <v>0</v>
      </c>
      <c r="NN163" s="16">
        <v>0</v>
      </c>
      <c r="NO163" s="16">
        <v>0</v>
      </c>
      <c r="NP163" s="16">
        <v>0</v>
      </c>
      <c r="NQ163" s="16">
        <v>14</v>
      </c>
      <c r="NR163" s="17">
        <v>12466848</v>
      </c>
    </row>
    <row r="164" spans="1:382" ht="13.5" customHeight="1" x14ac:dyDescent="0.2">
      <c r="A164" s="2" t="s">
        <v>335</v>
      </c>
      <c r="B164" s="16">
        <v>0</v>
      </c>
      <c r="C164" s="16">
        <v>0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-32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-6</v>
      </c>
      <c r="AV164" s="16">
        <v>-24</v>
      </c>
      <c r="AW164" s="16">
        <v>0</v>
      </c>
      <c r="AX164" s="16">
        <v>0</v>
      </c>
      <c r="AY164" s="16">
        <v>0</v>
      </c>
      <c r="AZ164" s="16">
        <v>0</v>
      </c>
      <c r="BA164" s="16">
        <v>-3844</v>
      </c>
      <c r="BB164" s="16">
        <v>0</v>
      </c>
      <c r="BC164" s="16">
        <v>-294</v>
      </c>
      <c r="BD164" s="16">
        <v>0</v>
      </c>
      <c r="BE164" s="16">
        <v>0</v>
      </c>
      <c r="BF164" s="16">
        <v>0</v>
      </c>
      <c r="BG164" s="16">
        <v>0</v>
      </c>
      <c r="BH164" s="16">
        <v>-240</v>
      </c>
      <c r="BI164" s="16">
        <v>0</v>
      </c>
      <c r="BJ164" s="16">
        <v>-4</v>
      </c>
      <c r="BK164" s="16">
        <v>-41</v>
      </c>
      <c r="BL164" s="16">
        <v>-13</v>
      </c>
      <c r="BM164" s="16">
        <v>-41</v>
      </c>
      <c r="BN164" s="16">
        <v>-9</v>
      </c>
      <c r="BO164" s="16">
        <v>-15</v>
      </c>
      <c r="BP164" s="16">
        <v>-50</v>
      </c>
      <c r="BQ164" s="16">
        <v>0</v>
      </c>
      <c r="BR164" s="16">
        <v>-136</v>
      </c>
      <c r="BS164" s="16">
        <v>0</v>
      </c>
      <c r="BT164" s="16">
        <v>0</v>
      </c>
      <c r="BU164" s="16">
        <v>0</v>
      </c>
      <c r="BV164" s="16">
        <v>0</v>
      </c>
      <c r="BW164" s="16">
        <v>0</v>
      </c>
      <c r="BX164" s="16">
        <v>0</v>
      </c>
      <c r="BY164" s="16">
        <v>0</v>
      </c>
      <c r="BZ164" s="16">
        <v>0</v>
      </c>
      <c r="CA164" s="16">
        <v>-446</v>
      </c>
      <c r="CB164" s="16">
        <v>0</v>
      </c>
      <c r="CC164" s="16">
        <v>0</v>
      </c>
      <c r="CD164" s="16">
        <v>0</v>
      </c>
      <c r="CE164" s="16">
        <v>0</v>
      </c>
      <c r="CF164" s="16">
        <v>0</v>
      </c>
      <c r="CG164" s="16">
        <v>0</v>
      </c>
      <c r="CH164" s="16">
        <v>0</v>
      </c>
      <c r="CI164" s="16">
        <v>0</v>
      </c>
      <c r="CJ164" s="16">
        <v>0</v>
      </c>
      <c r="CK164" s="16">
        <v>0</v>
      </c>
      <c r="CL164" s="16">
        <v>0</v>
      </c>
      <c r="CM164" s="16">
        <v>0</v>
      </c>
      <c r="CN164" s="16">
        <v>0</v>
      </c>
      <c r="CO164" s="16">
        <v>0</v>
      </c>
      <c r="CP164" s="16">
        <v>-15</v>
      </c>
      <c r="CQ164" s="16">
        <v>0</v>
      </c>
      <c r="CR164" s="16">
        <v>0</v>
      </c>
      <c r="CS164" s="16">
        <v>-128</v>
      </c>
      <c r="CT164" s="16">
        <v>-108</v>
      </c>
      <c r="CU164" s="16">
        <v>-74</v>
      </c>
      <c r="CV164" s="16">
        <v>-48</v>
      </c>
      <c r="CW164" s="16">
        <v>-320</v>
      </c>
      <c r="CX164" s="16">
        <v>-126</v>
      </c>
      <c r="CY164" s="16">
        <v>-32</v>
      </c>
      <c r="CZ164" s="16">
        <v>-46</v>
      </c>
      <c r="DA164" s="16">
        <v>-4</v>
      </c>
      <c r="DB164" s="16">
        <v>-32</v>
      </c>
      <c r="DC164" s="16">
        <v>0</v>
      </c>
      <c r="DD164" s="16">
        <v>0</v>
      </c>
      <c r="DE164" s="16">
        <v>0</v>
      </c>
      <c r="DF164" s="16">
        <v>0</v>
      </c>
      <c r="DG164" s="16">
        <v>0</v>
      </c>
      <c r="DH164" s="16">
        <v>0</v>
      </c>
      <c r="DI164" s="16">
        <v>0</v>
      </c>
      <c r="DJ164" s="16">
        <v>0</v>
      </c>
      <c r="DK164" s="16">
        <v>-9</v>
      </c>
      <c r="DL164" s="16">
        <v>-255</v>
      </c>
      <c r="DM164" s="16">
        <v>0</v>
      </c>
      <c r="DN164" s="16">
        <v>0</v>
      </c>
      <c r="DO164" s="16">
        <v>0</v>
      </c>
      <c r="DP164" s="16">
        <v>-61</v>
      </c>
      <c r="DQ164" s="16">
        <v>0</v>
      </c>
      <c r="DR164" s="16">
        <v>0</v>
      </c>
      <c r="DS164" s="16">
        <v>0</v>
      </c>
      <c r="DT164" s="16">
        <v>0</v>
      </c>
      <c r="DU164" s="16">
        <v>0</v>
      </c>
      <c r="DV164" s="16">
        <v>0</v>
      </c>
      <c r="DW164" s="16">
        <v>-28</v>
      </c>
      <c r="DX164" s="16">
        <v>0</v>
      </c>
      <c r="DY164" s="16">
        <v>-28</v>
      </c>
      <c r="DZ164" s="16">
        <v>-46</v>
      </c>
      <c r="EA164" s="16">
        <v>0</v>
      </c>
      <c r="EB164" s="16">
        <v>0</v>
      </c>
      <c r="EC164" s="16">
        <v>-139</v>
      </c>
      <c r="ED164" s="16">
        <v>0</v>
      </c>
      <c r="EE164" s="16">
        <v>0</v>
      </c>
      <c r="EF164" s="16">
        <v>-18337</v>
      </c>
      <c r="EG164" s="16">
        <v>-7052</v>
      </c>
      <c r="EH164" s="16">
        <v>0</v>
      </c>
      <c r="EI164" s="16">
        <v>0</v>
      </c>
      <c r="EJ164" s="16">
        <v>0</v>
      </c>
      <c r="EK164" s="16">
        <v>-178</v>
      </c>
      <c r="EL164" s="16">
        <v>0</v>
      </c>
      <c r="EM164" s="16">
        <v>0</v>
      </c>
      <c r="EN164" s="16">
        <v>0</v>
      </c>
      <c r="EO164" s="16">
        <v>-9</v>
      </c>
      <c r="EP164" s="16">
        <v>0</v>
      </c>
      <c r="EQ164" s="16">
        <v>0</v>
      </c>
      <c r="ER164" s="16">
        <v>0</v>
      </c>
      <c r="ES164" s="16">
        <v>0</v>
      </c>
      <c r="ET164" s="16">
        <v>0</v>
      </c>
      <c r="EU164" s="16">
        <v>-11278</v>
      </c>
      <c r="EV164" s="16">
        <v>-29461</v>
      </c>
      <c r="EW164" s="16">
        <v>-15</v>
      </c>
      <c r="EX164" s="16">
        <v>-470</v>
      </c>
      <c r="EY164" s="16">
        <v>-1570</v>
      </c>
      <c r="EZ164" s="16">
        <v>0</v>
      </c>
      <c r="FA164" s="16">
        <v>0</v>
      </c>
      <c r="FB164" s="16">
        <v>0</v>
      </c>
      <c r="FC164" s="16">
        <v>-33</v>
      </c>
      <c r="FD164" s="16">
        <v>0</v>
      </c>
      <c r="FE164" s="16">
        <v>0</v>
      </c>
      <c r="FF164" s="16">
        <v>0</v>
      </c>
      <c r="FG164" s="16">
        <v>-58</v>
      </c>
      <c r="FH164" s="16">
        <v>1850092</v>
      </c>
      <c r="FI164" s="16">
        <v>-22</v>
      </c>
      <c r="FJ164" s="16">
        <v>0</v>
      </c>
      <c r="FK164" s="16">
        <v>192337</v>
      </c>
      <c r="FL164" s="16">
        <v>0</v>
      </c>
      <c r="FM164" s="16">
        <v>7050378</v>
      </c>
      <c r="FN164" s="16">
        <v>0</v>
      </c>
      <c r="FO164" s="16">
        <v>14797</v>
      </c>
      <c r="FP164" s="16">
        <v>29352</v>
      </c>
      <c r="FQ164" s="16">
        <v>-26355</v>
      </c>
      <c r="FR164" s="16">
        <v>-6508</v>
      </c>
      <c r="FS164" s="16">
        <v>-303</v>
      </c>
      <c r="FT164" s="16">
        <v>0</v>
      </c>
      <c r="FU164" s="16">
        <v>2357</v>
      </c>
      <c r="FV164" s="16">
        <v>-34336</v>
      </c>
      <c r="FW164" s="16">
        <v>11536</v>
      </c>
      <c r="FX164" s="16">
        <v>44</v>
      </c>
      <c r="FY164" s="16">
        <v>0</v>
      </c>
      <c r="FZ164" s="16">
        <v>-169</v>
      </c>
      <c r="GA164" s="16">
        <v>-316</v>
      </c>
      <c r="GB164" s="16">
        <v>0</v>
      </c>
      <c r="GC164" s="16">
        <v>-7078</v>
      </c>
      <c r="GD164" s="16">
        <v>4185</v>
      </c>
      <c r="GE164" s="16">
        <v>-23010</v>
      </c>
      <c r="GF164" s="16">
        <v>-40810</v>
      </c>
      <c r="GG164" s="16">
        <v>-1197</v>
      </c>
      <c r="GH164" s="16">
        <v>-5647</v>
      </c>
      <c r="GI164" s="16">
        <v>-9093</v>
      </c>
      <c r="GJ164" s="16">
        <v>-4369</v>
      </c>
      <c r="GK164" s="16">
        <v>-47058</v>
      </c>
      <c r="GL164" s="16">
        <v>0</v>
      </c>
      <c r="GM164" s="16">
        <v>0</v>
      </c>
      <c r="GN164" s="16">
        <v>0</v>
      </c>
      <c r="GO164" s="16">
        <v>-1100</v>
      </c>
      <c r="GP164" s="16">
        <v>-1856</v>
      </c>
      <c r="GQ164" s="16">
        <v>-347</v>
      </c>
      <c r="GR164" s="16">
        <v>-1144</v>
      </c>
      <c r="GS164" s="16">
        <v>-736</v>
      </c>
      <c r="GT164" s="16">
        <v>-9</v>
      </c>
      <c r="GU164" s="16">
        <v>-433</v>
      </c>
      <c r="GV164" s="16">
        <v>0</v>
      </c>
      <c r="GW164" s="16">
        <v>-349</v>
      </c>
      <c r="GX164" s="16">
        <v>0</v>
      </c>
      <c r="GY164" s="16">
        <v>-379</v>
      </c>
      <c r="GZ164" s="16">
        <v>-14083</v>
      </c>
      <c r="HA164" s="16">
        <v>-288</v>
      </c>
      <c r="HB164" s="16">
        <v>-1185</v>
      </c>
      <c r="HC164" s="16">
        <v>-20386</v>
      </c>
      <c r="HD164" s="16">
        <v>0</v>
      </c>
      <c r="HE164" s="16">
        <v>-1016</v>
      </c>
      <c r="HF164" s="16">
        <v>4654205</v>
      </c>
      <c r="HG164" s="16">
        <v>-637</v>
      </c>
      <c r="HH164" s="16">
        <v>-5068</v>
      </c>
      <c r="HI164" s="16">
        <v>-1072</v>
      </c>
      <c r="HJ164" s="16">
        <v>0</v>
      </c>
      <c r="HK164" s="16">
        <v>0</v>
      </c>
      <c r="HL164" s="16">
        <v>-2915</v>
      </c>
      <c r="HM164" s="16">
        <v>0</v>
      </c>
      <c r="HN164" s="16">
        <v>0</v>
      </c>
      <c r="HO164" s="16">
        <v>27188</v>
      </c>
      <c r="HP164" s="16">
        <v>-110</v>
      </c>
      <c r="HQ164" s="16">
        <v>-180</v>
      </c>
      <c r="HR164" s="16">
        <v>0</v>
      </c>
      <c r="HS164" s="16">
        <v>0</v>
      </c>
      <c r="HT164" s="16">
        <v>-868</v>
      </c>
      <c r="HU164" s="16">
        <v>-333</v>
      </c>
      <c r="HV164" s="16">
        <v>0</v>
      </c>
      <c r="HW164" s="16">
        <v>0</v>
      </c>
      <c r="HX164" s="16">
        <v>-778</v>
      </c>
      <c r="HY164" s="16">
        <v>-10230</v>
      </c>
      <c r="HZ164" s="16">
        <v>0</v>
      </c>
      <c r="IA164" s="16">
        <v>0</v>
      </c>
      <c r="IB164" s="16">
        <v>0</v>
      </c>
      <c r="IC164" s="16">
        <v>-4</v>
      </c>
      <c r="ID164" s="16">
        <v>-227</v>
      </c>
      <c r="IE164" s="16">
        <v>0</v>
      </c>
      <c r="IF164" s="16">
        <v>0</v>
      </c>
      <c r="IG164" s="16">
        <v>-219</v>
      </c>
      <c r="IH164" s="16">
        <v>0</v>
      </c>
      <c r="II164" s="16">
        <v>0</v>
      </c>
      <c r="IJ164" s="16">
        <v>0</v>
      </c>
      <c r="IK164" s="16">
        <v>0</v>
      </c>
      <c r="IL164" s="16">
        <v>0</v>
      </c>
      <c r="IM164" s="16">
        <v>0</v>
      </c>
      <c r="IN164" s="16">
        <v>-214</v>
      </c>
      <c r="IO164" s="16">
        <v>-15181</v>
      </c>
      <c r="IP164" s="16">
        <v>0</v>
      </c>
      <c r="IQ164" s="16">
        <v>0</v>
      </c>
      <c r="IR164" s="16">
        <v>-6307</v>
      </c>
      <c r="IS164" s="16">
        <v>-1141</v>
      </c>
      <c r="IT164" s="16">
        <v>0</v>
      </c>
      <c r="IU164" s="16">
        <v>0</v>
      </c>
      <c r="IV164" s="16">
        <v>-56</v>
      </c>
      <c r="IW164" s="16">
        <v>0</v>
      </c>
      <c r="IX164" s="16">
        <v>0</v>
      </c>
      <c r="IY164" s="16">
        <v>0</v>
      </c>
      <c r="IZ164" s="16">
        <v>0</v>
      </c>
      <c r="JA164" s="16">
        <v>0</v>
      </c>
      <c r="JB164" s="16">
        <v>-22</v>
      </c>
      <c r="JC164" s="16">
        <v>-20</v>
      </c>
      <c r="JD164" s="16">
        <v>-6794</v>
      </c>
      <c r="JE164" s="16">
        <v>2</v>
      </c>
      <c r="JF164" s="16">
        <v>0</v>
      </c>
      <c r="JG164" s="16">
        <v>-20028</v>
      </c>
      <c r="JH164" s="16">
        <v>0</v>
      </c>
      <c r="JI164" s="16">
        <v>-9</v>
      </c>
      <c r="JJ164" s="16">
        <v>0</v>
      </c>
      <c r="JK164" s="16">
        <v>-39</v>
      </c>
      <c r="JL164" s="16">
        <v>-24</v>
      </c>
      <c r="JM164" s="16">
        <v>0</v>
      </c>
      <c r="JN164" s="16">
        <v>-4</v>
      </c>
      <c r="JO164" s="16">
        <v>0</v>
      </c>
      <c r="JP164" s="16">
        <v>0</v>
      </c>
      <c r="JQ164" s="16">
        <v>0</v>
      </c>
      <c r="JR164" s="16">
        <v>0</v>
      </c>
      <c r="JS164" s="16">
        <v>-331</v>
      </c>
      <c r="JT164" s="16">
        <v>0</v>
      </c>
      <c r="JU164" s="16">
        <v>0</v>
      </c>
      <c r="JV164" s="16">
        <v>-62787</v>
      </c>
      <c r="JW164" s="16">
        <v>0</v>
      </c>
      <c r="JX164" s="16">
        <v>0</v>
      </c>
      <c r="JY164" s="16">
        <v>0</v>
      </c>
      <c r="JZ164" s="16">
        <v>-215</v>
      </c>
      <c r="KA164" s="16">
        <v>0</v>
      </c>
      <c r="KB164" s="16">
        <v>0</v>
      </c>
      <c r="KC164" s="16">
        <v>0</v>
      </c>
      <c r="KD164" s="16">
        <v>0</v>
      </c>
      <c r="KE164" s="16">
        <v>0</v>
      </c>
      <c r="KF164" s="16">
        <v>0</v>
      </c>
      <c r="KG164" s="16">
        <v>0</v>
      </c>
      <c r="KH164" s="16">
        <v>-191</v>
      </c>
      <c r="KI164" s="16">
        <v>0</v>
      </c>
      <c r="KJ164" s="16">
        <v>0</v>
      </c>
      <c r="KK164" s="16">
        <v>0</v>
      </c>
      <c r="KL164" s="16">
        <v>-150</v>
      </c>
      <c r="KM164" s="16">
        <v>0</v>
      </c>
      <c r="KN164" s="16">
        <v>0</v>
      </c>
      <c r="KO164" s="16">
        <v>0</v>
      </c>
      <c r="KP164" s="16">
        <v>0</v>
      </c>
      <c r="KQ164" s="16">
        <v>0</v>
      </c>
      <c r="KR164" s="16">
        <v>0</v>
      </c>
      <c r="KS164" s="16">
        <v>0</v>
      </c>
      <c r="KT164" s="16">
        <v>0</v>
      </c>
      <c r="KU164" s="16">
        <v>0</v>
      </c>
      <c r="KV164" s="16">
        <v>-1408</v>
      </c>
      <c r="KW164" s="16">
        <v>-6</v>
      </c>
      <c r="KX164" s="16">
        <v>0</v>
      </c>
      <c r="KY164" s="16">
        <v>0</v>
      </c>
      <c r="KZ164" s="16">
        <v>-17</v>
      </c>
      <c r="LA164" s="16">
        <v>-7</v>
      </c>
      <c r="LB164" s="16">
        <v>0</v>
      </c>
      <c r="LC164" s="16">
        <v>0</v>
      </c>
      <c r="LD164" s="16">
        <v>-43</v>
      </c>
      <c r="LE164" s="16">
        <v>-3634</v>
      </c>
      <c r="LF164" s="16">
        <v>-4642</v>
      </c>
      <c r="LG164" s="16">
        <v>-836</v>
      </c>
      <c r="LH164" s="16">
        <v>0</v>
      </c>
      <c r="LI164" s="16">
        <v>0</v>
      </c>
      <c r="LJ164" s="16">
        <v>0</v>
      </c>
      <c r="LK164" s="16">
        <v>0</v>
      </c>
      <c r="LL164" s="16">
        <v>0</v>
      </c>
      <c r="LM164" s="16">
        <v>0</v>
      </c>
      <c r="LN164" s="16">
        <v>0</v>
      </c>
      <c r="LO164" s="16">
        <v>0</v>
      </c>
      <c r="LP164" s="16">
        <v>0</v>
      </c>
      <c r="LQ164" s="16">
        <v>0</v>
      </c>
      <c r="LR164" s="16">
        <v>0</v>
      </c>
      <c r="LS164" s="16">
        <v>0</v>
      </c>
      <c r="LT164" s="16">
        <v>0</v>
      </c>
      <c r="LU164" s="16">
        <v>0</v>
      </c>
      <c r="LV164" s="16">
        <v>0</v>
      </c>
      <c r="LW164" s="16">
        <v>0</v>
      </c>
      <c r="LX164" s="16">
        <v>0</v>
      </c>
      <c r="LY164" s="16">
        <v>0</v>
      </c>
      <c r="LZ164" s="16">
        <v>-17</v>
      </c>
      <c r="MA164" s="16">
        <v>0</v>
      </c>
      <c r="MB164" s="16">
        <v>-156</v>
      </c>
      <c r="MC164" s="16">
        <v>0</v>
      </c>
      <c r="MD164" s="16">
        <v>0</v>
      </c>
      <c r="ME164" s="16">
        <v>0</v>
      </c>
      <c r="MF164" s="16">
        <v>0</v>
      </c>
      <c r="MG164" s="16">
        <v>0</v>
      </c>
      <c r="MH164" s="16">
        <v>0</v>
      </c>
      <c r="MI164" s="16">
        <v>0</v>
      </c>
      <c r="MJ164" s="16">
        <v>0</v>
      </c>
      <c r="MK164" s="16">
        <v>0</v>
      </c>
      <c r="ML164" s="16">
        <v>0</v>
      </c>
      <c r="MM164" s="16">
        <v>0</v>
      </c>
      <c r="MN164" s="16">
        <v>0</v>
      </c>
      <c r="MO164" s="16">
        <v>0</v>
      </c>
      <c r="MP164" s="16">
        <v>0</v>
      </c>
      <c r="MQ164" s="16">
        <v>0</v>
      </c>
      <c r="MR164" s="16">
        <v>6</v>
      </c>
      <c r="MS164" s="16">
        <v>79</v>
      </c>
      <c r="MT164" s="16">
        <v>0</v>
      </c>
      <c r="MU164" s="16">
        <v>-65</v>
      </c>
      <c r="MV164" s="16">
        <v>-310</v>
      </c>
      <c r="MW164" s="16">
        <v>0</v>
      </c>
      <c r="MX164" s="16">
        <v>0</v>
      </c>
      <c r="MY164" s="16">
        <v>0</v>
      </c>
      <c r="MZ164" s="16">
        <v>-48</v>
      </c>
      <c r="NA164" s="16">
        <v>0</v>
      </c>
      <c r="NB164" s="16">
        <v>0</v>
      </c>
      <c r="NC164" s="16">
        <v>0</v>
      </c>
      <c r="ND164" s="16">
        <v>0</v>
      </c>
      <c r="NE164" s="16">
        <v>0</v>
      </c>
      <c r="NF164" s="16">
        <v>0</v>
      </c>
      <c r="NG164" s="16">
        <v>-6</v>
      </c>
      <c r="NH164" s="16">
        <v>-119</v>
      </c>
      <c r="NI164" s="16">
        <v>0</v>
      </c>
      <c r="NJ164" s="16">
        <v>-52</v>
      </c>
      <c r="NK164" s="16">
        <v>0</v>
      </c>
      <c r="NL164" s="16">
        <v>0</v>
      </c>
      <c r="NM164" s="16">
        <v>0</v>
      </c>
      <c r="NN164" s="16">
        <v>0</v>
      </c>
      <c r="NO164" s="16">
        <v>0</v>
      </c>
      <c r="NP164" s="16">
        <v>0</v>
      </c>
      <c r="NQ164" s="16">
        <v>0</v>
      </c>
      <c r="NR164" s="17">
        <v>13364301</v>
      </c>
    </row>
    <row r="165" spans="1:382" ht="13.5" customHeight="1" x14ac:dyDescent="0.2">
      <c r="A165" s="2" t="s">
        <v>337</v>
      </c>
      <c r="B165" s="16">
        <v>0</v>
      </c>
      <c r="C165" s="16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-233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-785</v>
      </c>
      <c r="AN165" s="16">
        <v>0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0</v>
      </c>
      <c r="AU165" s="16">
        <v>-5</v>
      </c>
      <c r="AV165" s="16">
        <v>0</v>
      </c>
      <c r="AW165" s="16">
        <v>0</v>
      </c>
      <c r="AX165" s="16">
        <v>0</v>
      </c>
      <c r="AY165" s="16">
        <v>-2</v>
      </c>
      <c r="AZ165" s="16">
        <v>0</v>
      </c>
      <c r="BA165" s="16">
        <v>0</v>
      </c>
      <c r="BB165" s="16">
        <v>-2</v>
      </c>
      <c r="BC165" s="16">
        <v>0</v>
      </c>
      <c r="BD165" s="16">
        <v>0</v>
      </c>
      <c r="BE165" s="16">
        <v>-50</v>
      </c>
      <c r="BF165" s="16">
        <v>0</v>
      </c>
      <c r="BG165" s="16">
        <v>-74</v>
      </c>
      <c r="BH165" s="16">
        <v>0</v>
      </c>
      <c r="BI165" s="16">
        <v>0</v>
      </c>
      <c r="BJ165" s="16">
        <v>0</v>
      </c>
      <c r="BK165" s="16">
        <v>0</v>
      </c>
      <c r="BL165" s="16">
        <v>0</v>
      </c>
      <c r="BM165" s="16">
        <v>0</v>
      </c>
      <c r="BN165" s="16">
        <v>0</v>
      </c>
      <c r="BO165" s="16">
        <v>0</v>
      </c>
      <c r="BP165" s="16">
        <v>0</v>
      </c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>
        <v>0</v>
      </c>
      <c r="CA165" s="16">
        <v>-10</v>
      </c>
      <c r="CB165" s="16">
        <v>0</v>
      </c>
      <c r="CC165" s="16">
        <v>0</v>
      </c>
      <c r="CD165" s="16">
        <v>0</v>
      </c>
      <c r="CE165" s="16">
        <v>0</v>
      </c>
      <c r="CF165" s="16">
        <v>0</v>
      </c>
      <c r="CG165" s="16">
        <v>0</v>
      </c>
      <c r="CH165" s="16">
        <v>0</v>
      </c>
      <c r="CI165" s="16">
        <v>0</v>
      </c>
      <c r="CJ165" s="16">
        <v>0</v>
      </c>
      <c r="CK165" s="16">
        <v>-31</v>
      </c>
      <c r="CL165" s="16">
        <v>0</v>
      </c>
      <c r="CM165" s="16">
        <v>0</v>
      </c>
      <c r="CN165" s="16">
        <v>0</v>
      </c>
      <c r="CO165" s="16">
        <v>0</v>
      </c>
      <c r="CP165" s="16">
        <v>-1878</v>
      </c>
      <c r="CQ165" s="16">
        <v>-164</v>
      </c>
      <c r="CR165" s="16">
        <v>0</v>
      </c>
      <c r="CS165" s="16">
        <v>0</v>
      </c>
      <c r="CT165" s="16">
        <v>0</v>
      </c>
      <c r="CU165" s="16">
        <v>0</v>
      </c>
      <c r="CV165" s="16">
        <v>0</v>
      </c>
      <c r="CW165" s="16">
        <v>0</v>
      </c>
      <c r="CX165" s="16">
        <v>0</v>
      </c>
      <c r="CY165" s="16">
        <v>0</v>
      </c>
      <c r="CZ165" s="16">
        <v>0</v>
      </c>
      <c r="DA165" s="16">
        <v>0</v>
      </c>
      <c r="DB165" s="16">
        <v>0</v>
      </c>
      <c r="DC165" s="16">
        <v>0</v>
      </c>
      <c r="DD165" s="16">
        <v>0</v>
      </c>
      <c r="DE165" s="16">
        <v>0</v>
      </c>
      <c r="DF165" s="16">
        <v>0</v>
      </c>
      <c r="DG165" s="16">
        <v>0</v>
      </c>
      <c r="DH165" s="16">
        <v>14</v>
      </c>
      <c r="DI165" s="16">
        <v>1763</v>
      </c>
      <c r="DJ165" s="16">
        <v>0</v>
      </c>
      <c r="DK165" s="16">
        <v>0</v>
      </c>
      <c r="DL165" s="16">
        <v>0</v>
      </c>
      <c r="DM165" s="16">
        <v>0</v>
      </c>
      <c r="DN165" s="16">
        <v>36</v>
      </c>
      <c r="DO165" s="16">
        <v>0</v>
      </c>
      <c r="DP165" s="16">
        <v>981</v>
      </c>
      <c r="DQ165" s="16">
        <v>0</v>
      </c>
      <c r="DR165" s="16">
        <v>44</v>
      </c>
      <c r="DS165" s="16">
        <v>0</v>
      </c>
      <c r="DT165" s="16">
        <v>0</v>
      </c>
      <c r="DU165" s="16">
        <v>0</v>
      </c>
      <c r="DV165" s="16">
        <v>16128</v>
      </c>
      <c r="DW165" s="16">
        <v>0</v>
      </c>
      <c r="DX165" s="16">
        <v>-10</v>
      </c>
      <c r="DY165" s="16">
        <v>-12</v>
      </c>
      <c r="DZ165" s="16">
        <v>0</v>
      </c>
      <c r="EA165" s="16">
        <v>-19</v>
      </c>
      <c r="EB165" s="16">
        <v>3</v>
      </c>
      <c r="EC165" s="16">
        <v>0</v>
      </c>
      <c r="ED165" s="16">
        <v>0</v>
      </c>
      <c r="EE165" s="16">
        <v>0</v>
      </c>
      <c r="EF165" s="16">
        <v>8</v>
      </c>
      <c r="EG165" s="16">
        <v>87</v>
      </c>
      <c r="EH165" s="16">
        <v>48</v>
      </c>
      <c r="EI165" s="16">
        <v>0</v>
      </c>
      <c r="EJ165" s="16">
        <v>1210</v>
      </c>
      <c r="EK165" s="16">
        <v>125615</v>
      </c>
      <c r="EL165" s="16">
        <v>38</v>
      </c>
      <c r="EM165" s="16">
        <v>0</v>
      </c>
      <c r="EN165" s="16">
        <v>0</v>
      </c>
      <c r="EO165" s="16">
        <v>0</v>
      </c>
      <c r="EP165" s="16">
        <v>0</v>
      </c>
      <c r="EQ165" s="16">
        <v>0</v>
      </c>
      <c r="ER165" s="16">
        <v>0</v>
      </c>
      <c r="ES165" s="16">
        <v>0</v>
      </c>
      <c r="ET165" s="16">
        <v>0</v>
      </c>
      <c r="EU165" s="16">
        <v>0</v>
      </c>
      <c r="EV165" s="16">
        <v>434</v>
      </c>
      <c r="EW165" s="16">
        <v>29196</v>
      </c>
      <c r="EX165" s="16">
        <v>-133</v>
      </c>
      <c r="EY165" s="16">
        <v>-1088</v>
      </c>
      <c r="EZ165" s="16">
        <v>0</v>
      </c>
      <c r="FA165" s="16">
        <v>0</v>
      </c>
      <c r="FB165" s="16">
        <v>0</v>
      </c>
      <c r="FC165" s="16">
        <v>-1352</v>
      </c>
      <c r="FD165" s="16">
        <v>554</v>
      </c>
      <c r="FE165" s="16">
        <v>0</v>
      </c>
      <c r="FF165" s="16">
        <v>442837</v>
      </c>
      <c r="FG165" s="16">
        <v>0</v>
      </c>
      <c r="FH165" s="16">
        <v>-1618</v>
      </c>
      <c r="FI165" s="16">
        <v>2683051</v>
      </c>
      <c r="FJ165" s="16">
        <v>6988</v>
      </c>
      <c r="FK165" s="16">
        <v>-1314</v>
      </c>
      <c r="FL165" s="16">
        <v>91</v>
      </c>
      <c r="FM165" s="16">
        <v>18754</v>
      </c>
      <c r="FN165" s="16">
        <v>5441047</v>
      </c>
      <c r="FO165" s="16">
        <v>18658</v>
      </c>
      <c r="FP165" s="16">
        <v>934629</v>
      </c>
      <c r="FQ165" s="16">
        <v>703548</v>
      </c>
      <c r="FR165" s="16">
        <v>6487</v>
      </c>
      <c r="FS165" s="16">
        <v>126</v>
      </c>
      <c r="FT165" s="16">
        <v>43078</v>
      </c>
      <c r="FU165" s="16">
        <v>9294</v>
      </c>
      <c r="FV165" s="16">
        <v>19634</v>
      </c>
      <c r="FW165" s="16">
        <v>306457</v>
      </c>
      <c r="FX165" s="16">
        <v>44708</v>
      </c>
      <c r="FY165" s="16">
        <v>144</v>
      </c>
      <c r="FZ165" s="16">
        <v>9378</v>
      </c>
      <c r="GA165" s="16">
        <v>545</v>
      </c>
      <c r="GB165" s="16">
        <v>18024</v>
      </c>
      <c r="GC165" s="16">
        <v>38886</v>
      </c>
      <c r="GD165" s="16">
        <v>40043</v>
      </c>
      <c r="GE165" s="16">
        <v>229</v>
      </c>
      <c r="GF165" s="16">
        <v>10420</v>
      </c>
      <c r="GG165" s="16">
        <v>13</v>
      </c>
      <c r="GH165" s="16">
        <v>67</v>
      </c>
      <c r="GI165" s="16">
        <v>-281</v>
      </c>
      <c r="GJ165" s="16">
        <v>410</v>
      </c>
      <c r="GK165" s="16">
        <v>68</v>
      </c>
      <c r="GL165" s="16">
        <v>-2</v>
      </c>
      <c r="GM165" s="16">
        <v>7</v>
      </c>
      <c r="GN165" s="16">
        <v>-69</v>
      </c>
      <c r="GO165" s="16">
        <v>-21</v>
      </c>
      <c r="GP165" s="16">
        <v>4</v>
      </c>
      <c r="GQ165" s="16">
        <v>-107</v>
      </c>
      <c r="GR165" s="16">
        <v>69</v>
      </c>
      <c r="GS165" s="16">
        <v>23</v>
      </c>
      <c r="GT165" s="16">
        <v>5</v>
      </c>
      <c r="GU165" s="16">
        <v>581</v>
      </c>
      <c r="GV165" s="16">
        <v>-15</v>
      </c>
      <c r="GW165" s="16">
        <v>0</v>
      </c>
      <c r="GX165" s="16">
        <v>-390</v>
      </c>
      <c r="GY165" s="16">
        <v>-10</v>
      </c>
      <c r="GZ165" s="16">
        <v>649</v>
      </c>
      <c r="HA165" s="16">
        <v>38</v>
      </c>
      <c r="HB165" s="16">
        <v>423</v>
      </c>
      <c r="HC165" s="16">
        <v>168</v>
      </c>
      <c r="HD165" s="16">
        <v>707</v>
      </c>
      <c r="HE165" s="16">
        <v>752567</v>
      </c>
      <c r="HF165" s="16">
        <v>-8782</v>
      </c>
      <c r="HG165" s="16">
        <v>850</v>
      </c>
      <c r="HH165" s="16">
        <v>467</v>
      </c>
      <c r="HI165" s="16">
        <v>4968</v>
      </c>
      <c r="HJ165" s="16">
        <v>0</v>
      </c>
      <c r="HK165" s="16">
        <v>0</v>
      </c>
      <c r="HL165" s="16">
        <v>32567</v>
      </c>
      <c r="HM165" s="16">
        <v>2959</v>
      </c>
      <c r="HN165" s="16">
        <v>1421</v>
      </c>
      <c r="HO165" s="16">
        <v>17401</v>
      </c>
      <c r="HP165" s="16">
        <v>15458</v>
      </c>
      <c r="HQ165" s="16">
        <v>-423</v>
      </c>
      <c r="HR165" s="16">
        <v>6335</v>
      </c>
      <c r="HS165" s="16">
        <v>1821</v>
      </c>
      <c r="HT165" s="16">
        <v>335</v>
      </c>
      <c r="HU165" s="16">
        <v>698</v>
      </c>
      <c r="HV165" s="16">
        <v>367</v>
      </c>
      <c r="HW165" s="16">
        <v>38</v>
      </c>
      <c r="HX165" s="16">
        <v>1098</v>
      </c>
      <c r="HY165" s="16">
        <v>4141</v>
      </c>
      <c r="HZ165" s="16">
        <v>215</v>
      </c>
      <c r="IA165" s="16">
        <v>161</v>
      </c>
      <c r="IB165" s="16">
        <v>0</v>
      </c>
      <c r="IC165" s="16">
        <v>-440</v>
      </c>
      <c r="ID165" s="16">
        <v>-176</v>
      </c>
      <c r="IE165" s="16">
        <v>186</v>
      </c>
      <c r="IF165" s="16">
        <v>0</v>
      </c>
      <c r="IG165" s="16">
        <v>12</v>
      </c>
      <c r="IH165" s="16">
        <v>61985</v>
      </c>
      <c r="II165" s="16">
        <v>679</v>
      </c>
      <c r="IJ165" s="16">
        <v>-24</v>
      </c>
      <c r="IK165" s="16">
        <v>-345</v>
      </c>
      <c r="IL165" s="16">
        <v>-2</v>
      </c>
      <c r="IM165" s="16">
        <v>-302</v>
      </c>
      <c r="IN165" s="16">
        <v>15</v>
      </c>
      <c r="IO165" s="16">
        <v>1778395</v>
      </c>
      <c r="IP165" s="16">
        <v>17</v>
      </c>
      <c r="IQ165" s="16">
        <v>58</v>
      </c>
      <c r="IR165" s="16">
        <v>21080</v>
      </c>
      <c r="IS165" s="16">
        <v>0</v>
      </c>
      <c r="IT165" s="16">
        <v>16</v>
      </c>
      <c r="IU165" s="16">
        <v>26</v>
      </c>
      <c r="IV165" s="16">
        <v>133</v>
      </c>
      <c r="IW165" s="16">
        <v>0</v>
      </c>
      <c r="IX165" s="16">
        <v>1341</v>
      </c>
      <c r="IY165" s="16">
        <v>0</v>
      </c>
      <c r="IZ165" s="16">
        <v>5</v>
      </c>
      <c r="JA165" s="16">
        <v>0</v>
      </c>
      <c r="JB165" s="16">
        <v>-2</v>
      </c>
      <c r="JC165" s="16">
        <v>-5</v>
      </c>
      <c r="JD165" s="16">
        <v>73</v>
      </c>
      <c r="JE165" s="16">
        <v>625</v>
      </c>
      <c r="JF165" s="16">
        <v>1203</v>
      </c>
      <c r="JG165" s="16">
        <v>9952</v>
      </c>
      <c r="JH165" s="16">
        <v>0</v>
      </c>
      <c r="JI165" s="16">
        <v>-12</v>
      </c>
      <c r="JJ165" s="16">
        <v>0</v>
      </c>
      <c r="JK165" s="16">
        <v>-62</v>
      </c>
      <c r="JL165" s="16">
        <v>0</v>
      </c>
      <c r="JM165" s="16">
        <v>0</v>
      </c>
      <c r="JN165" s="16">
        <v>-5</v>
      </c>
      <c r="JO165" s="16">
        <v>0</v>
      </c>
      <c r="JP165" s="16">
        <v>0</v>
      </c>
      <c r="JQ165" s="16">
        <v>0</v>
      </c>
      <c r="JR165" s="16">
        <v>0</v>
      </c>
      <c r="JS165" s="16">
        <v>0</v>
      </c>
      <c r="JT165" s="16">
        <v>0</v>
      </c>
      <c r="JU165" s="16">
        <v>0</v>
      </c>
      <c r="JV165" s="16">
        <v>1972</v>
      </c>
      <c r="JW165" s="16">
        <v>0</v>
      </c>
      <c r="JX165" s="16">
        <v>0</v>
      </c>
      <c r="JY165" s="16">
        <v>0</v>
      </c>
      <c r="JZ165" s="16">
        <v>0</v>
      </c>
      <c r="KA165" s="16">
        <v>0</v>
      </c>
      <c r="KB165" s="16">
        <v>0</v>
      </c>
      <c r="KC165" s="16">
        <v>0</v>
      </c>
      <c r="KD165" s="16">
        <v>0</v>
      </c>
      <c r="KE165" s="16">
        <v>0</v>
      </c>
      <c r="KF165" s="16">
        <v>0</v>
      </c>
      <c r="KG165" s="16">
        <v>0</v>
      </c>
      <c r="KH165" s="16">
        <v>0</v>
      </c>
      <c r="KI165" s="16">
        <v>0</v>
      </c>
      <c r="KJ165" s="16">
        <v>0</v>
      </c>
      <c r="KK165" s="16">
        <v>0</v>
      </c>
      <c r="KL165" s="16">
        <v>-55</v>
      </c>
      <c r="KM165" s="16">
        <v>0</v>
      </c>
      <c r="KN165" s="16">
        <v>0</v>
      </c>
      <c r="KO165" s="16">
        <v>0</v>
      </c>
      <c r="KP165" s="16">
        <v>0</v>
      </c>
      <c r="KQ165" s="16">
        <v>0</v>
      </c>
      <c r="KR165" s="16">
        <v>0</v>
      </c>
      <c r="KS165" s="16">
        <v>0</v>
      </c>
      <c r="KT165" s="16">
        <v>0</v>
      </c>
      <c r="KU165" s="16">
        <v>0</v>
      </c>
      <c r="KV165" s="16">
        <v>0</v>
      </c>
      <c r="KW165" s="16">
        <v>-7</v>
      </c>
      <c r="KX165" s="16">
        <v>0</v>
      </c>
      <c r="KY165" s="16">
        <v>0</v>
      </c>
      <c r="KZ165" s="16">
        <v>0</v>
      </c>
      <c r="LA165" s="16">
        <v>0</v>
      </c>
      <c r="LB165" s="16">
        <v>0</v>
      </c>
      <c r="LC165" s="16">
        <v>0</v>
      </c>
      <c r="LD165" s="16">
        <v>0</v>
      </c>
      <c r="LE165" s="16">
        <v>-102</v>
      </c>
      <c r="LF165" s="16">
        <v>-129</v>
      </c>
      <c r="LG165" s="16">
        <v>-24</v>
      </c>
      <c r="LH165" s="16">
        <v>0</v>
      </c>
      <c r="LI165" s="16">
        <v>0</v>
      </c>
      <c r="LJ165" s="16">
        <v>0</v>
      </c>
      <c r="LK165" s="16">
        <v>0</v>
      </c>
      <c r="LL165" s="16">
        <v>0</v>
      </c>
      <c r="LM165" s="16">
        <v>0</v>
      </c>
      <c r="LN165" s="16">
        <v>0</v>
      </c>
      <c r="LO165" s="16">
        <v>-202</v>
      </c>
      <c r="LP165" s="16">
        <v>0</v>
      </c>
      <c r="LQ165" s="16">
        <v>0</v>
      </c>
      <c r="LR165" s="16">
        <v>0</v>
      </c>
      <c r="LS165" s="16">
        <v>0</v>
      </c>
      <c r="LT165" s="16">
        <v>0</v>
      </c>
      <c r="LU165" s="16">
        <v>0</v>
      </c>
      <c r="LV165" s="16">
        <v>0</v>
      </c>
      <c r="LW165" s="16">
        <v>0</v>
      </c>
      <c r="LX165" s="16">
        <v>0</v>
      </c>
      <c r="LY165" s="16">
        <v>0</v>
      </c>
      <c r="LZ165" s="16">
        <v>-17</v>
      </c>
      <c r="MA165" s="16">
        <v>0</v>
      </c>
      <c r="MB165" s="16">
        <v>0</v>
      </c>
      <c r="MC165" s="16">
        <v>0</v>
      </c>
      <c r="MD165" s="16">
        <v>0</v>
      </c>
      <c r="ME165" s="16">
        <v>-45</v>
      </c>
      <c r="MF165" s="16">
        <v>557</v>
      </c>
      <c r="MG165" s="16">
        <v>0</v>
      </c>
      <c r="MH165" s="16">
        <v>0</v>
      </c>
      <c r="MI165" s="16">
        <v>-264</v>
      </c>
      <c r="MJ165" s="16">
        <v>0</v>
      </c>
      <c r="MK165" s="16">
        <v>-181</v>
      </c>
      <c r="ML165" s="16">
        <v>0</v>
      </c>
      <c r="MM165" s="16">
        <v>0</v>
      </c>
      <c r="MN165" s="16">
        <v>0</v>
      </c>
      <c r="MO165" s="16">
        <v>0</v>
      </c>
      <c r="MP165" s="16">
        <v>0</v>
      </c>
      <c r="MQ165" s="16">
        <v>0</v>
      </c>
      <c r="MR165" s="16">
        <v>-2</v>
      </c>
      <c r="MS165" s="16">
        <v>0</v>
      </c>
      <c r="MT165" s="16">
        <v>0</v>
      </c>
      <c r="MU165" s="16">
        <v>-33</v>
      </c>
      <c r="MV165" s="16">
        <v>0</v>
      </c>
      <c r="MW165" s="16">
        <v>0</v>
      </c>
      <c r="MX165" s="16">
        <v>0</v>
      </c>
      <c r="MY165" s="16">
        <v>0</v>
      </c>
      <c r="MZ165" s="16">
        <v>0</v>
      </c>
      <c r="NA165" s="16">
        <v>-33</v>
      </c>
      <c r="NB165" s="16">
        <v>0</v>
      </c>
      <c r="NC165" s="16">
        <v>-10</v>
      </c>
      <c r="ND165" s="16">
        <v>0</v>
      </c>
      <c r="NE165" s="16">
        <v>0</v>
      </c>
      <c r="NF165" s="16">
        <v>0</v>
      </c>
      <c r="NG165" s="16">
        <v>0</v>
      </c>
      <c r="NH165" s="16">
        <v>0</v>
      </c>
      <c r="NI165" s="16">
        <v>0</v>
      </c>
      <c r="NJ165" s="16">
        <v>0</v>
      </c>
      <c r="NK165" s="16">
        <v>0</v>
      </c>
      <c r="NL165" s="16">
        <v>0</v>
      </c>
      <c r="NM165" s="16">
        <v>0</v>
      </c>
      <c r="NN165" s="16">
        <v>0</v>
      </c>
      <c r="NO165" s="16">
        <v>0</v>
      </c>
      <c r="NP165" s="16">
        <v>0</v>
      </c>
      <c r="NQ165" s="16">
        <v>12</v>
      </c>
      <c r="NR165" s="17">
        <v>13677297</v>
      </c>
    </row>
    <row r="166" spans="1:382" ht="13.5" customHeight="1" x14ac:dyDescent="0.2">
      <c r="A166" s="2" t="s">
        <v>339</v>
      </c>
      <c r="B166" s="16">
        <v>0</v>
      </c>
      <c r="C166" s="16">
        <v>0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-1302</v>
      </c>
      <c r="AU166" s="16">
        <v>0</v>
      </c>
      <c r="AV166" s="16">
        <v>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  <c r="BB166" s="16">
        <v>0</v>
      </c>
      <c r="BC166" s="16">
        <v>0</v>
      </c>
      <c r="BD166" s="16">
        <v>0</v>
      </c>
      <c r="BE166" s="16">
        <v>0</v>
      </c>
      <c r="BF166" s="16">
        <v>0</v>
      </c>
      <c r="BG166" s="16">
        <v>0</v>
      </c>
      <c r="BH166" s="16">
        <v>0</v>
      </c>
      <c r="BI166" s="16">
        <v>0</v>
      </c>
      <c r="BJ166" s="16">
        <v>0</v>
      </c>
      <c r="BK166" s="16">
        <v>0</v>
      </c>
      <c r="BL166" s="16">
        <v>0</v>
      </c>
      <c r="BM166" s="16">
        <v>0</v>
      </c>
      <c r="BN166" s="16">
        <v>0</v>
      </c>
      <c r="BO166" s="16">
        <v>0</v>
      </c>
      <c r="BP166" s="16">
        <v>0</v>
      </c>
      <c r="BQ166" s="16">
        <v>0</v>
      </c>
      <c r="BR166" s="16">
        <v>-9</v>
      </c>
      <c r="BS166" s="16">
        <v>0</v>
      </c>
      <c r="BT166" s="16">
        <v>0</v>
      </c>
      <c r="BU166" s="16">
        <v>0</v>
      </c>
      <c r="BV166" s="16">
        <v>0</v>
      </c>
      <c r="BW166" s="16">
        <v>0</v>
      </c>
      <c r="BX166" s="16">
        <v>0</v>
      </c>
      <c r="BY166" s="16">
        <v>0</v>
      </c>
      <c r="BZ166" s="16">
        <v>0</v>
      </c>
      <c r="CA166" s="16">
        <v>0</v>
      </c>
      <c r="CB166" s="16">
        <v>0</v>
      </c>
      <c r="CC166" s="16">
        <v>0</v>
      </c>
      <c r="CD166" s="16">
        <v>0</v>
      </c>
      <c r="CE166" s="16">
        <v>0</v>
      </c>
      <c r="CF166" s="16">
        <v>0</v>
      </c>
      <c r="CG166" s="16">
        <v>0</v>
      </c>
      <c r="CH166" s="16">
        <v>0</v>
      </c>
      <c r="CI166" s="16">
        <v>0</v>
      </c>
      <c r="CJ166" s="16">
        <v>0</v>
      </c>
      <c r="CK166" s="16">
        <v>0</v>
      </c>
      <c r="CL166" s="16">
        <v>0</v>
      </c>
      <c r="CM166" s="16">
        <v>0</v>
      </c>
      <c r="CN166" s="16">
        <v>0</v>
      </c>
      <c r="CO166" s="16">
        <v>-572</v>
      </c>
      <c r="CP166" s="16">
        <v>0</v>
      </c>
      <c r="CQ166" s="16">
        <v>0</v>
      </c>
      <c r="CR166" s="16">
        <v>-38</v>
      </c>
      <c r="CS166" s="16">
        <v>0</v>
      </c>
      <c r="CT166" s="16">
        <v>0</v>
      </c>
      <c r="CU166" s="16">
        <v>0</v>
      </c>
      <c r="CV166" s="16">
        <v>0</v>
      </c>
      <c r="CW166" s="16">
        <v>0</v>
      </c>
      <c r="CX166" s="16">
        <v>0</v>
      </c>
      <c r="CY166" s="16">
        <v>-23</v>
      </c>
      <c r="CZ166" s="16">
        <v>0</v>
      </c>
      <c r="DA166" s="16">
        <v>0</v>
      </c>
      <c r="DB166" s="16">
        <v>-324</v>
      </c>
      <c r="DC166" s="16">
        <v>0</v>
      </c>
      <c r="DD166" s="16">
        <v>0</v>
      </c>
      <c r="DE166" s="16">
        <v>0</v>
      </c>
      <c r="DF166" s="16">
        <v>0</v>
      </c>
      <c r="DG166" s="16">
        <v>0</v>
      </c>
      <c r="DH166" s="16">
        <v>3560</v>
      </c>
      <c r="DI166" s="16">
        <v>10383</v>
      </c>
      <c r="DJ166" s="16">
        <v>0</v>
      </c>
      <c r="DK166" s="16">
        <v>-12</v>
      </c>
      <c r="DL166" s="16">
        <v>0</v>
      </c>
      <c r="DM166" s="16">
        <v>0</v>
      </c>
      <c r="DN166" s="16">
        <v>0</v>
      </c>
      <c r="DO166" s="16">
        <v>0</v>
      </c>
      <c r="DP166" s="16">
        <v>10887</v>
      </c>
      <c r="DQ166" s="16">
        <v>0</v>
      </c>
      <c r="DR166" s="16">
        <v>0</v>
      </c>
      <c r="DS166" s="16">
        <v>0</v>
      </c>
      <c r="DT166" s="16">
        <v>0</v>
      </c>
      <c r="DU166" s="16">
        <v>0</v>
      </c>
      <c r="DV166" s="16">
        <v>11859</v>
      </c>
      <c r="DW166" s="16">
        <v>-18</v>
      </c>
      <c r="DX166" s="16">
        <v>0</v>
      </c>
      <c r="DY166" s="16">
        <v>0</v>
      </c>
      <c r="DZ166" s="16">
        <v>0</v>
      </c>
      <c r="EA166" s="16">
        <v>0</v>
      </c>
      <c r="EB166" s="16">
        <v>0</v>
      </c>
      <c r="EC166" s="16">
        <v>0</v>
      </c>
      <c r="ED166" s="16">
        <v>0</v>
      </c>
      <c r="EE166" s="16">
        <v>75</v>
      </c>
      <c r="EF166" s="16">
        <v>3</v>
      </c>
      <c r="EG166" s="16">
        <v>34</v>
      </c>
      <c r="EH166" s="16">
        <v>40</v>
      </c>
      <c r="EI166" s="16">
        <v>0</v>
      </c>
      <c r="EJ166" s="16">
        <v>0</v>
      </c>
      <c r="EK166" s="16">
        <v>0</v>
      </c>
      <c r="EL166" s="16">
        <v>0</v>
      </c>
      <c r="EM166" s="16">
        <v>0</v>
      </c>
      <c r="EN166" s="16">
        <v>0</v>
      </c>
      <c r="EO166" s="16">
        <v>0</v>
      </c>
      <c r="EP166" s="16">
        <v>0</v>
      </c>
      <c r="EQ166" s="16">
        <v>0</v>
      </c>
      <c r="ER166" s="16">
        <v>0</v>
      </c>
      <c r="ES166" s="16">
        <v>0</v>
      </c>
      <c r="ET166" s="16">
        <v>0</v>
      </c>
      <c r="EU166" s="16">
        <v>-105</v>
      </c>
      <c r="EV166" s="16">
        <v>0</v>
      </c>
      <c r="EW166" s="16">
        <v>-10248</v>
      </c>
      <c r="EX166" s="16">
        <v>-5924</v>
      </c>
      <c r="EY166" s="16">
        <v>-2783</v>
      </c>
      <c r="EZ166" s="16">
        <v>11</v>
      </c>
      <c r="FA166" s="16">
        <v>0</v>
      </c>
      <c r="FB166" s="16">
        <v>0</v>
      </c>
      <c r="FC166" s="16">
        <v>-7787</v>
      </c>
      <c r="FD166" s="16">
        <v>15945</v>
      </c>
      <c r="FE166" s="16">
        <v>0</v>
      </c>
      <c r="FF166" s="16">
        <v>721782</v>
      </c>
      <c r="FG166" s="16">
        <v>0</v>
      </c>
      <c r="FH166" s="16">
        <v>1998</v>
      </c>
      <c r="FI166" s="16">
        <v>10349</v>
      </c>
      <c r="FJ166" s="16">
        <v>174037</v>
      </c>
      <c r="FK166" s="16">
        <v>4304</v>
      </c>
      <c r="FL166" s="16">
        <v>11271</v>
      </c>
      <c r="FM166" s="16">
        <v>107983</v>
      </c>
      <c r="FN166" s="16">
        <v>72241</v>
      </c>
      <c r="FO166" s="16">
        <v>491841</v>
      </c>
      <c r="FP166" s="16">
        <v>131698</v>
      </c>
      <c r="FQ166" s="16">
        <v>-276728</v>
      </c>
      <c r="FR166" s="16">
        <v>-4905</v>
      </c>
      <c r="FS166" s="16">
        <v>-745</v>
      </c>
      <c r="FT166" s="16">
        <v>0</v>
      </c>
      <c r="FU166" s="16">
        <v>83030</v>
      </c>
      <c r="FV166" s="16">
        <v>-110655</v>
      </c>
      <c r="FW166" s="16">
        <v>119683</v>
      </c>
      <c r="FX166" s="16">
        <v>-48663</v>
      </c>
      <c r="FY166" s="16">
        <v>622</v>
      </c>
      <c r="FZ166" s="16">
        <v>28236</v>
      </c>
      <c r="GA166" s="16">
        <v>1425</v>
      </c>
      <c r="GB166" s="16">
        <v>30815</v>
      </c>
      <c r="GC166" s="16">
        <v>1275</v>
      </c>
      <c r="GD166" s="16">
        <v>75</v>
      </c>
      <c r="GE166" s="16">
        <v>-4753</v>
      </c>
      <c r="GF166" s="16">
        <v>2429</v>
      </c>
      <c r="GG166" s="16">
        <v>1</v>
      </c>
      <c r="GH166" s="16">
        <v>-36265</v>
      </c>
      <c r="GI166" s="16">
        <v>-2225</v>
      </c>
      <c r="GJ166" s="16">
        <v>-4117</v>
      </c>
      <c r="GK166" s="16">
        <v>-4308</v>
      </c>
      <c r="GL166" s="16">
        <v>1</v>
      </c>
      <c r="GM166" s="16">
        <v>12</v>
      </c>
      <c r="GN166" s="16">
        <v>211</v>
      </c>
      <c r="GO166" s="16">
        <v>0</v>
      </c>
      <c r="GP166" s="16">
        <v>-164</v>
      </c>
      <c r="GQ166" s="16">
        <v>-9</v>
      </c>
      <c r="GR166" s="16">
        <v>127</v>
      </c>
      <c r="GS166" s="16">
        <v>0</v>
      </c>
      <c r="GT166" s="16">
        <v>-1754</v>
      </c>
      <c r="GU166" s="16">
        <v>0</v>
      </c>
      <c r="GV166" s="16">
        <v>16</v>
      </c>
      <c r="GW166" s="16">
        <v>0</v>
      </c>
      <c r="GX166" s="16">
        <v>50</v>
      </c>
      <c r="GY166" s="16">
        <v>0</v>
      </c>
      <c r="GZ166" s="16">
        <v>0</v>
      </c>
      <c r="HA166" s="16">
        <v>0</v>
      </c>
      <c r="HB166" s="16">
        <v>0</v>
      </c>
      <c r="HC166" s="16">
        <v>510</v>
      </c>
      <c r="HD166" s="16">
        <v>1963</v>
      </c>
      <c r="HE166" s="16">
        <v>2328197</v>
      </c>
      <c r="HF166" s="16">
        <v>2040</v>
      </c>
      <c r="HG166" s="16">
        <v>0</v>
      </c>
      <c r="HH166" s="16">
        <v>0</v>
      </c>
      <c r="HI166" s="16">
        <v>23</v>
      </c>
      <c r="HJ166" s="16">
        <v>0</v>
      </c>
      <c r="HK166" s="16">
        <v>0</v>
      </c>
      <c r="HL166" s="16">
        <v>-62896</v>
      </c>
      <c r="HM166" s="16">
        <v>0</v>
      </c>
      <c r="HN166" s="16">
        <v>0</v>
      </c>
      <c r="HO166" s="16">
        <v>196</v>
      </c>
      <c r="HP166" s="16">
        <v>2</v>
      </c>
      <c r="HQ166" s="16">
        <v>-996</v>
      </c>
      <c r="HR166" s="16">
        <v>0</v>
      </c>
      <c r="HS166" s="16">
        <v>0</v>
      </c>
      <c r="HT166" s="16">
        <v>54</v>
      </c>
      <c r="HU166" s="16">
        <v>545</v>
      </c>
      <c r="HV166" s="16">
        <v>0</v>
      </c>
      <c r="HW166" s="16">
        <v>0</v>
      </c>
      <c r="HX166" s="16">
        <v>-55</v>
      </c>
      <c r="HY166" s="16">
        <v>9054</v>
      </c>
      <c r="HZ166" s="16">
        <v>256</v>
      </c>
      <c r="IA166" s="16">
        <v>186</v>
      </c>
      <c r="IB166" s="16">
        <v>0</v>
      </c>
      <c r="IC166" s="16">
        <v>0</v>
      </c>
      <c r="ID166" s="16">
        <v>-260</v>
      </c>
      <c r="IE166" s="16">
        <v>0</v>
      </c>
      <c r="IF166" s="16">
        <v>0</v>
      </c>
      <c r="IG166" s="16">
        <v>174</v>
      </c>
      <c r="IH166" s="16">
        <v>-21442</v>
      </c>
      <c r="II166" s="16">
        <v>-152</v>
      </c>
      <c r="IJ166" s="16">
        <v>-996</v>
      </c>
      <c r="IK166" s="16">
        <v>-891</v>
      </c>
      <c r="IL166" s="16">
        <v>-50</v>
      </c>
      <c r="IM166" s="16">
        <v>0</v>
      </c>
      <c r="IN166" s="16">
        <v>-1754</v>
      </c>
      <c r="IO166" s="16">
        <v>16203</v>
      </c>
      <c r="IP166" s="16">
        <v>2</v>
      </c>
      <c r="IQ166" s="16">
        <v>1</v>
      </c>
      <c r="IR166" s="16">
        <v>22</v>
      </c>
      <c r="IS166" s="16">
        <v>-2955</v>
      </c>
      <c r="IT166" s="16">
        <v>-943</v>
      </c>
      <c r="IU166" s="16">
        <v>-254</v>
      </c>
      <c r="IV166" s="16">
        <v>-578</v>
      </c>
      <c r="IW166" s="16">
        <v>0</v>
      </c>
      <c r="IX166" s="16">
        <v>0</v>
      </c>
      <c r="IY166" s="16">
        <v>0</v>
      </c>
      <c r="IZ166" s="16">
        <v>0</v>
      </c>
      <c r="JA166" s="16">
        <v>0</v>
      </c>
      <c r="JB166" s="16">
        <v>0</v>
      </c>
      <c r="JC166" s="16">
        <v>-26</v>
      </c>
      <c r="JD166" s="16">
        <v>0</v>
      </c>
      <c r="JE166" s="16">
        <v>15026</v>
      </c>
      <c r="JF166" s="16">
        <v>1502</v>
      </c>
      <c r="JG166" s="16">
        <v>103475</v>
      </c>
      <c r="JH166" s="16">
        <v>0</v>
      </c>
      <c r="JI166" s="16">
        <v>0</v>
      </c>
      <c r="JJ166" s="16">
        <v>0</v>
      </c>
      <c r="JK166" s="16">
        <v>0</v>
      </c>
      <c r="JL166" s="16">
        <v>-1136</v>
      </c>
      <c r="JM166" s="16">
        <v>0</v>
      </c>
      <c r="JN166" s="16">
        <v>0</v>
      </c>
      <c r="JO166" s="16">
        <v>0</v>
      </c>
      <c r="JP166" s="16">
        <v>0</v>
      </c>
      <c r="JQ166" s="16">
        <v>0</v>
      </c>
      <c r="JR166" s="16">
        <v>0</v>
      </c>
      <c r="JS166" s="16">
        <v>-27557</v>
      </c>
      <c r="JT166" s="16">
        <v>0</v>
      </c>
      <c r="JU166" s="16">
        <v>0</v>
      </c>
      <c r="JV166" s="16">
        <v>4777</v>
      </c>
      <c r="JW166" s="16">
        <v>0</v>
      </c>
      <c r="JX166" s="16">
        <v>0</v>
      </c>
      <c r="JY166" s="16">
        <v>0</v>
      </c>
      <c r="JZ166" s="16">
        <v>0</v>
      </c>
      <c r="KA166" s="16">
        <v>0</v>
      </c>
      <c r="KB166" s="16">
        <v>0</v>
      </c>
      <c r="KC166" s="16">
        <v>0</v>
      </c>
      <c r="KD166" s="16">
        <v>0</v>
      </c>
      <c r="KE166" s="16">
        <v>0</v>
      </c>
      <c r="KF166" s="16">
        <v>0</v>
      </c>
      <c r="KG166" s="16">
        <v>0</v>
      </c>
      <c r="KH166" s="16">
        <v>0</v>
      </c>
      <c r="KI166" s="16">
        <v>-130388</v>
      </c>
      <c r="KJ166" s="16">
        <v>-37307</v>
      </c>
      <c r="KK166" s="16">
        <v>0</v>
      </c>
      <c r="KL166" s="16">
        <v>0</v>
      </c>
      <c r="KM166" s="16">
        <v>-13084</v>
      </c>
      <c r="KN166" s="16">
        <v>0</v>
      </c>
      <c r="KO166" s="16">
        <v>0</v>
      </c>
      <c r="KP166" s="16">
        <v>0</v>
      </c>
      <c r="KQ166" s="16">
        <v>0</v>
      </c>
      <c r="KR166" s="16">
        <v>0</v>
      </c>
      <c r="KS166" s="16">
        <v>0</v>
      </c>
      <c r="KT166" s="16">
        <v>0</v>
      </c>
      <c r="KU166" s="16">
        <v>0</v>
      </c>
      <c r="KV166" s="16">
        <v>0</v>
      </c>
      <c r="KW166" s="16">
        <v>-905</v>
      </c>
      <c r="KX166" s="16">
        <v>0</v>
      </c>
      <c r="KY166" s="16">
        <v>0</v>
      </c>
      <c r="KZ166" s="16">
        <v>0</v>
      </c>
      <c r="LA166" s="16">
        <v>0</v>
      </c>
      <c r="LB166" s="16">
        <v>0</v>
      </c>
      <c r="LC166" s="16">
        <v>0</v>
      </c>
      <c r="LD166" s="16">
        <v>0</v>
      </c>
      <c r="LE166" s="16">
        <v>-3448</v>
      </c>
      <c r="LF166" s="16">
        <v>-4406</v>
      </c>
      <c r="LG166" s="16">
        <v>-791</v>
      </c>
      <c r="LH166" s="16">
        <v>0</v>
      </c>
      <c r="LI166" s="16">
        <v>0</v>
      </c>
      <c r="LJ166" s="16">
        <v>0</v>
      </c>
      <c r="LK166" s="16">
        <v>0</v>
      </c>
      <c r="LL166" s="16">
        <v>0</v>
      </c>
      <c r="LM166" s="16">
        <v>0</v>
      </c>
      <c r="LN166" s="16">
        <v>0</v>
      </c>
      <c r="LO166" s="16">
        <v>-3434</v>
      </c>
      <c r="LP166" s="16">
        <v>0</v>
      </c>
      <c r="LQ166" s="16">
        <v>0</v>
      </c>
      <c r="LR166" s="16">
        <v>0</v>
      </c>
      <c r="LS166" s="16">
        <v>0</v>
      </c>
      <c r="LT166" s="16">
        <v>0</v>
      </c>
      <c r="LU166" s="16">
        <v>0</v>
      </c>
      <c r="LV166" s="16">
        <v>0</v>
      </c>
      <c r="LW166" s="16">
        <v>0</v>
      </c>
      <c r="LX166" s="16">
        <v>0</v>
      </c>
      <c r="LY166" s="16">
        <v>0</v>
      </c>
      <c r="LZ166" s="16">
        <v>-2026</v>
      </c>
      <c r="MA166" s="16">
        <v>0</v>
      </c>
      <c r="MB166" s="16">
        <v>0</v>
      </c>
      <c r="MC166" s="16">
        <v>0</v>
      </c>
      <c r="MD166" s="16">
        <v>0</v>
      </c>
      <c r="ME166" s="16">
        <v>0</v>
      </c>
      <c r="MF166" s="16">
        <v>8299</v>
      </c>
      <c r="MG166" s="16">
        <v>0</v>
      </c>
      <c r="MH166" s="16">
        <v>0</v>
      </c>
      <c r="MI166" s="16">
        <v>0</v>
      </c>
      <c r="MJ166" s="16">
        <v>0</v>
      </c>
      <c r="MK166" s="16">
        <v>0</v>
      </c>
      <c r="ML166" s="16">
        <v>0</v>
      </c>
      <c r="MM166" s="16">
        <v>0</v>
      </c>
      <c r="MN166" s="16">
        <v>0</v>
      </c>
      <c r="MO166" s="16">
        <v>0</v>
      </c>
      <c r="MP166" s="16">
        <v>0</v>
      </c>
      <c r="MQ166" s="16">
        <v>0</v>
      </c>
      <c r="MR166" s="16">
        <v>1</v>
      </c>
      <c r="MS166" s="16">
        <v>0</v>
      </c>
      <c r="MT166" s="16">
        <v>0</v>
      </c>
      <c r="MU166" s="16">
        <v>0</v>
      </c>
      <c r="MV166" s="16">
        <v>0</v>
      </c>
      <c r="MW166" s="16">
        <v>0</v>
      </c>
      <c r="MX166" s="16">
        <v>0</v>
      </c>
      <c r="MY166" s="16">
        <v>0</v>
      </c>
      <c r="MZ166" s="16">
        <v>-15744</v>
      </c>
      <c r="NA166" s="16">
        <v>0</v>
      </c>
      <c r="NB166" s="16">
        <v>0</v>
      </c>
      <c r="NC166" s="16">
        <v>0</v>
      </c>
      <c r="ND166" s="16">
        <v>0</v>
      </c>
      <c r="NE166" s="16">
        <v>0</v>
      </c>
      <c r="NF166" s="16">
        <v>0</v>
      </c>
      <c r="NG166" s="16">
        <v>0</v>
      </c>
      <c r="NH166" s="16">
        <v>-3107</v>
      </c>
      <c r="NI166" s="16">
        <v>-28474</v>
      </c>
      <c r="NJ166" s="16">
        <v>0</v>
      </c>
      <c r="NK166" s="16">
        <v>-3063</v>
      </c>
      <c r="NL166" s="16">
        <v>0</v>
      </c>
      <c r="NM166" s="16">
        <v>0</v>
      </c>
      <c r="NN166" s="16">
        <v>0</v>
      </c>
      <c r="NO166" s="16">
        <v>0</v>
      </c>
      <c r="NP166" s="16">
        <v>0</v>
      </c>
      <c r="NQ166" s="16">
        <v>51</v>
      </c>
      <c r="NR166" s="17">
        <v>3647314</v>
      </c>
    </row>
    <row r="167" spans="1:382" ht="13.5" customHeight="1" x14ac:dyDescent="0.2">
      <c r="A167" s="2" t="s">
        <v>341</v>
      </c>
      <c r="B167" s="16">
        <v>0</v>
      </c>
      <c r="C167" s="16">
        <v>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  <c r="AW167" s="16">
        <v>0</v>
      </c>
      <c r="AX167" s="16">
        <v>0</v>
      </c>
      <c r="AY167" s="16">
        <v>0</v>
      </c>
      <c r="AZ167" s="16">
        <v>0</v>
      </c>
      <c r="BA167" s="16">
        <v>0</v>
      </c>
      <c r="BB167" s="16">
        <v>0</v>
      </c>
      <c r="BC167" s="16">
        <v>0</v>
      </c>
      <c r="BD167" s="16">
        <v>0</v>
      </c>
      <c r="BE167" s="16">
        <v>0</v>
      </c>
      <c r="BF167" s="16">
        <v>0</v>
      </c>
      <c r="BG167" s="16">
        <v>0</v>
      </c>
      <c r="BH167" s="16">
        <v>0</v>
      </c>
      <c r="BI167" s="16">
        <v>0</v>
      </c>
      <c r="BJ167" s="16">
        <v>0</v>
      </c>
      <c r="BK167" s="16">
        <v>0</v>
      </c>
      <c r="BL167" s="16">
        <v>0</v>
      </c>
      <c r="BM167" s="16">
        <v>0</v>
      </c>
      <c r="BN167" s="16">
        <v>0</v>
      </c>
      <c r="BO167" s="16">
        <v>0</v>
      </c>
      <c r="BP167" s="16">
        <v>0</v>
      </c>
      <c r="BQ167" s="16">
        <v>0</v>
      </c>
      <c r="BR167" s="16">
        <v>0</v>
      </c>
      <c r="BS167" s="16">
        <v>99</v>
      </c>
      <c r="BT167" s="16">
        <v>0</v>
      </c>
      <c r="BU167" s="16">
        <v>0</v>
      </c>
      <c r="BV167" s="16">
        <v>0</v>
      </c>
      <c r="BW167" s="16">
        <v>0</v>
      </c>
      <c r="BX167" s="16">
        <v>0</v>
      </c>
      <c r="BY167" s="16">
        <v>0</v>
      </c>
      <c r="BZ167" s="16">
        <v>0</v>
      </c>
      <c r="CA167" s="16">
        <v>0</v>
      </c>
      <c r="CB167" s="16">
        <v>0</v>
      </c>
      <c r="CC167" s="16">
        <v>0</v>
      </c>
      <c r="CD167" s="16">
        <v>0</v>
      </c>
      <c r="CE167" s="16">
        <v>0</v>
      </c>
      <c r="CF167" s="16">
        <v>0</v>
      </c>
      <c r="CG167" s="16">
        <v>0</v>
      </c>
      <c r="CH167" s="16">
        <v>0</v>
      </c>
      <c r="CI167" s="16">
        <v>0</v>
      </c>
      <c r="CJ167" s="16">
        <v>0</v>
      </c>
      <c r="CK167" s="16">
        <v>0</v>
      </c>
      <c r="CL167" s="16">
        <v>0</v>
      </c>
      <c r="CM167" s="16">
        <v>0</v>
      </c>
      <c r="CN167" s="16">
        <v>0</v>
      </c>
      <c r="CO167" s="16">
        <v>0</v>
      </c>
      <c r="CP167" s="16">
        <v>0</v>
      </c>
      <c r="CQ167" s="16">
        <v>0</v>
      </c>
      <c r="CR167" s="16">
        <v>0</v>
      </c>
      <c r="CS167" s="16">
        <v>0</v>
      </c>
      <c r="CT167" s="16">
        <v>0</v>
      </c>
      <c r="CU167" s="16">
        <v>0</v>
      </c>
      <c r="CV167" s="16">
        <v>0</v>
      </c>
      <c r="CW167" s="16">
        <v>0</v>
      </c>
      <c r="CX167" s="16">
        <v>0</v>
      </c>
      <c r="CY167" s="16">
        <v>0</v>
      </c>
      <c r="CZ167" s="16">
        <v>37</v>
      </c>
      <c r="DA167" s="16">
        <v>0</v>
      </c>
      <c r="DB167" s="16">
        <v>0</v>
      </c>
      <c r="DC167" s="16">
        <v>0</v>
      </c>
      <c r="DD167" s="16">
        <v>0</v>
      </c>
      <c r="DE167" s="16">
        <v>581</v>
      </c>
      <c r="DF167" s="16">
        <v>4012</v>
      </c>
      <c r="DG167" s="16">
        <v>0</v>
      </c>
      <c r="DH167" s="16">
        <v>76</v>
      </c>
      <c r="DI167" s="16">
        <v>0</v>
      </c>
      <c r="DJ167" s="16">
        <v>0</v>
      </c>
      <c r="DK167" s="16">
        <v>0</v>
      </c>
      <c r="DL167" s="16">
        <v>0</v>
      </c>
      <c r="DM167" s="16">
        <v>140824</v>
      </c>
      <c r="DN167" s="16">
        <v>0</v>
      </c>
      <c r="DO167" s="16">
        <v>179</v>
      </c>
      <c r="DP167" s="16">
        <v>0</v>
      </c>
      <c r="DQ167" s="16">
        <v>46</v>
      </c>
      <c r="DR167" s="16">
        <v>77</v>
      </c>
      <c r="DS167" s="16">
        <v>4892</v>
      </c>
      <c r="DT167" s="16">
        <v>0</v>
      </c>
      <c r="DU167" s="16">
        <v>175</v>
      </c>
      <c r="DV167" s="16">
        <v>1202682</v>
      </c>
      <c r="DW167" s="16">
        <v>0</v>
      </c>
      <c r="DX167" s="16">
        <v>0</v>
      </c>
      <c r="DY167" s="16">
        <v>0</v>
      </c>
      <c r="DZ167" s="16">
        <v>0</v>
      </c>
      <c r="EA167" s="16">
        <v>0</v>
      </c>
      <c r="EB167" s="16">
        <v>0</v>
      </c>
      <c r="EC167" s="16">
        <v>0</v>
      </c>
      <c r="ED167" s="16">
        <v>0</v>
      </c>
      <c r="EE167" s="16">
        <v>0</v>
      </c>
      <c r="EF167" s="16">
        <v>1188</v>
      </c>
      <c r="EG167" s="16">
        <v>2342</v>
      </c>
      <c r="EH167" s="16">
        <v>660</v>
      </c>
      <c r="EI167" s="16">
        <v>649</v>
      </c>
      <c r="EJ167" s="16">
        <v>0</v>
      </c>
      <c r="EK167" s="16">
        <v>0</v>
      </c>
      <c r="EL167" s="16">
        <v>0</v>
      </c>
      <c r="EM167" s="16">
        <v>0</v>
      </c>
      <c r="EN167" s="16">
        <v>0</v>
      </c>
      <c r="EO167" s="16">
        <v>0</v>
      </c>
      <c r="EP167" s="16">
        <v>0</v>
      </c>
      <c r="EQ167" s="16">
        <v>0</v>
      </c>
      <c r="ER167" s="16">
        <v>0</v>
      </c>
      <c r="ES167" s="16">
        <v>0</v>
      </c>
      <c r="ET167" s="16">
        <v>0</v>
      </c>
      <c r="EU167" s="16">
        <v>0</v>
      </c>
      <c r="EV167" s="16">
        <v>0</v>
      </c>
      <c r="EW167" s="16">
        <v>0</v>
      </c>
      <c r="EX167" s="16">
        <v>0</v>
      </c>
      <c r="EY167" s="16">
        <v>0</v>
      </c>
      <c r="EZ167" s="16">
        <v>0</v>
      </c>
      <c r="FA167" s="16">
        <v>0</v>
      </c>
      <c r="FB167" s="16">
        <v>0</v>
      </c>
      <c r="FC167" s="16">
        <v>0</v>
      </c>
      <c r="FD167" s="16">
        <v>0</v>
      </c>
      <c r="FE167" s="16">
        <v>0</v>
      </c>
      <c r="FF167" s="16">
        <v>0</v>
      </c>
      <c r="FG167" s="16">
        <v>0</v>
      </c>
      <c r="FH167" s="16">
        <v>0</v>
      </c>
      <c r="FI167" s="16">
        <v>0</v>
      </c>
      <c r="FJ167" s="16">
        <v>0</v>
      </c>
      <c r="FK167" s="16">
        <v>874454</v>
      </c>
      <c r="FL167" s="16">
        <v>0</v>
      </c>
      <c r="FM167" s="16">
        <v>0</v>
      </c>
      <c r="FN167" s="16">
        <v>0</v>
      </c>
      <c r="FO167" s="16">
        <v>222265</v>
      </c>
      <c r="FP167" s="16">
        <v>0</v>
      </c>
      <c r="FQ167" s="16">
        <v>0</v>
      </c>
      <c r="FR167" s="16">
        <v>0</v>
      </c>
      <c r="FS167" s="16">
        <v>0</v>
      </c>
      <c r="FT167" s="16">
        <v>0</v>
      </c>
      <c r="FU167" s="16">
        <v>647</v>
      </c>
      <c r="FV167" s="16">
        <v>4125</v>
      </c>
      <c r="FW167" s="16">
        <v>0</v>
      </c>
      <c r="FX167" s="16">
        <v>75002</v>
      </c>
      <c r="FY167" s="16">
        <v>3789</v>
      </c>
      <c r="FZ167" s="16">
        <v>0</v>
      </c>
      <c r="GA167" s="16">
        <v>0</v>
      </c>
      <c r="GB167" s="16">
        <v>483</v>
      </c>
      <c r="GC167" s="16">
        <v>964</v>
      </c>
      <c r="GD167" s="16">
        <v>57346</v>
      </c>
      <c r="GE167" s="16">
        <v>518</v>
      </c>
      <c r="GF167" s="16">
        <v>1428240</v>
      </c>
      <c r="GG167" s="16">
        <v>30465</v>
      </c>
      <c r="GH167" s="16">
        <v>47625</v>
      </c>
      <c r="GI167" s="16">
        <v>820</v>
      </c>
      <c r="GJ167" s="16">
        <v>582</v>
      </c>
      <c r="GK167" s="16">
        <v>710</v>
      </c>
      <c r="GL167" s="16">
        <v>0</v>
      </c>
      <c r="GM167" s="16">
        <v>4042</v>
      </c>
      <c r="GN167" s="16">
        <v>0</v>
      </c>
      <c r="GO167" s="16">
        <v>0</v>
      </c>
      <c r="GP167" s="16">
        <v>1292</v>
      </c>
      <c r="GQ167" s="16">
        <v>124</v>
      </c>
      <c r="GR167" s="16">
        <v>0</v>
      </c>
      <c r="GS167" s="16">
        <v>258</v>
      </c>
      <c r="GT167" s="16">
        <v>47</v>
      </c>
      <c r="GU167" s="16">
        <v>75156</v>
      </c>
      <c r="GV167" s="16">
        <v>14065</v>
      </c>
      <c r="GW167" s="16">
        <v>6609</v>
      </c>
      <c r="GX167" s="16">
        <v>96</v>
      </c>
      <c r="GY167" s="16">
        <v>606</v>
      </c>
      <c r="GZ167" s="16">
        <v>29</v>
      </c>
      <c r="HA167" s="16">
        <v>0</v>
      </c>
      <c r="HB167" s="16">
        <v>68</v>
      </c>
      <c r="HC167" s="16">
        <v>5142</v>
      </c>
      <c r="HD167" s="16">
        <v>3115</v>
      </c>
      <c r="HE167" s="16">
        <v>1252</v>
      </c>
      <c r="HF167" s="16">
        <v>5911</v>
      </c>
      <c r="HG167" s="16">
        <v>703</v>
      </c>
      <c r="HH167" s="16">
        <v>0</v>
      </c>
      <c r="HI167" s="16">
        <v>0</v>
      </c>
      <c r="HJ167" s="16">
        <v>0</v>
      </c>
      <c r="HK167" s="16">
        <v>0</v>
      </c>
      <c r="HL167" s="16">
        <v>2644</v>
      </c>
      <c r="HM167" s="16">
        <v>0</v>
      </c>
      <c r="HN167" s="16">
        <v>0</v>
      </c>
      <c r="HO167" s="16">
        <v>0</v>
      </c>
      <c r="HP167" s="16">
        <v>0</v>
      </c>
      <c r="HQ167" s="16">
        <v>0</v>
      </c>
      <c r="HR167" s="16">
        <v>12</v>
      </c>
      <c r="HS167" s="16">
        <v>0</v>
      </c>
      <c r="HT167" s="16">
        <v>105</v>
      </c>
      <c r="HU167" s="16">
        <v>0</v>
      </c>
      <c r="HV167" s="16">
        <v>0</v>
      </c>
      <c r="HW167" s="16">
        <v>0</v>
      </c>
      <c r="HX167" s="16">
        <v>0</v>
      </c>
      <c r="HY167" s="16">
        <v>0</v>
      </c>
      <c r="HZ167" s="16">
        <v>0</v>
      </c>
      <c r="IA167" s="16">
        <v>0</v>
      </c>
      <c r="IB167" s="16">
        <v>0</v>
      </c>
      <c r="IC167" s="16">
        <v>0</v>
      </c>
      <c r="ID167" s="16">
        <v>0</v>
      </c>
      <c r="IE167" s="16">
        <v>0</v>
      </c>
      <c r="IF167" s="16">
        <v>0</v>
      </c>
      <c r="IG167" s="16">
        <v>0</v>
      </c>
      <c r="IH167" s="16">
        <v>0</v>
      </c>
      <c r="II167" s="16">
        <v>0</v>
      </c>
      <c r="IJ167" s="16">
        <v>0</v>
      </c>
      <c r="IK167" s="16">
        <v>0</v>
      </c>
      <c r="IL167" s="16">
        <v>0</v>
      </c>
      <c r="IM167" s="16">
        <v>0</v>
      </c>
      <c r="IN167" s="16">
        <v>0</v>
      </c>
      <c r="IO167" s="16">
        <v>149988</v>
      </c>
      <c r="IP167" s="16">
        <v>0</v>
      </c>
      <c r="IQ167" s="16">
        <v>0</v>
      </c>
      <c r="IR167" s="16">
        <v>0</v>
      </c>
      <c r="IS167" s="16">
        <v>0</v>
      </c>
      <c r="IT167" s="16">
        <v>0</v>
      </c>
      <c r="IU167" s="16">
        <v>0</v>
      </c>
      <c r="IV167" s="16">
        <v>0</v>
      </c>
      <c r="IW167" s="16">
        <v>35</v>
      </c>
      <c r="IX167" s="16">
        <v>69</v>
      </c>
      <c r="IY167" s="16">
        <v>0</v>
      </c>
      <c r="IZ167" s="16">
        <v>0</v>
      </c>
      <c r="JA167" s="16">
        <v>0</v>
      </c>
      <c r="JB167" s="16">
        <v>0</v>
      </c>
      <c r="JC167" s="16">
        <v>0</v>
      </c>
      <c r="JD167" s="16">
        <v>724124</v>
      </c>
      <c r="JE167" s="16">
        <v>1538</v>
      </c>
      <c r="JF167" s="16">
        <v>0</v>
      </c>
      <c r="JG167" s="16">
        <v>5799</v>
      </c>
      <c r="JH167" s="16">
        <v>0</v>
      </c>
      <c r="JI167" s="16">
        <v>0</v>
      </c>
      <c r="JJ167" s="16">
        <v>0</v>
      </c>
      <c r="JK167" s="16">
        <v>0</v>
      </c>
      <c r="JL167" s="16">
        <v>0</v>
      </c>
      <c r="JM167" s="16">
        <v>0</v>
      </c>
      <c r="JN167" s="16">
        <v>0</v>
      </c>
      <c r="JO167" s="16">
        <v>0</v>
      </c>
      <c r="JP167" s="16">
        <v>0</v>
      </c>
      <c r="JQ167" s="16">
        <v>0</v>
      </c>
      <c r="JR167" s="16">
        <v>0</v>
      </c>
      <c r="JS167" s="16">
        <v>0</v>
      </c>
      <c r="JT167" s="16">
        <v>0</v>
      </c>
      <c r="JU167" s="16">
        <v>0</v>
      </c>
      <c r="JV167" s="16">
        <v>0</v>
      </c>
      <c r="JW167" s="16">
        <v>0</v>
      </c>
      <c r="JX167" s="16">
        <v>0</v>
      </c>
      <c r="JY167" s="16">
        <v>0</v>
      </c>
      <c r="JZ167" s="16">
        <v>0</v>
      </c>
      <c r="KA167" s="16">
        <v>0</v>
      </c>
      <c r="KB167" s="16">
        <v>0</v>
      </c>
      <c r="KC167" s="16">
        <v>0</v>
      </c>
      <c r="KD167" s="16">
        <v>0</v>
      </c>
      <c r="KE167" s="16">
        <v>0</v>
      </c>
      <c r="KF167" s="16">
        <v>0</v>
      </c>
      <c r="KG167" s="16">
        <v>0</v>
      </c>
      <c r="KH167" s="16">
        <v>0</v>
      </c>
      <c r="KI167" s="16">
        <v>0</v>
      </c>
      <c r="KJ167" s="16">
        <v>0</v>
      </c>
      <c r="KK167" s="16">
        <v>0</v>
      </c>
      <c r="KL167" s="16">
        <v>0</v>
      </c>
      <c r="KM167" s="16">
        <v>0</v>
      </c>
      <c r="KN167" s="16">
        <v>0</v>
      </c>
      <c r="KO167" s="16">
        <v>0</v>
      </c>
      <c r="KP167" s="16">
        <v>0</v>
      </c>
      <c r="KQ167" s="16">
        <v>0</v>
      </c>
      <c r="KR167" s="16">
        <v>0</v>
      </c>
      <c r="KS167" s="16">
        <v>0</v>
      </c>
      <c r="KT167" s="16">
        <v>0</v>
      </c>
      <c r="KU167" s="16">
        <v>0</v>
      </c>
      <c r="KV167" s="16">
        <v>0</v>
      </c>
      <c r="KW167" s="16">
        <v>0</v>
      </c>
      <c r="KX167" s="16">
        <v>0</v>
      </c>
      <c r="KY167" s="16">
        <v>0</v>
      </c>
      <c r="KZ167" s="16">
        <v>0</v>
      </c>
      <c r="LA167" s="16">
        <v>0</v>
      </c>
      <c r="LB167" s="16">
        <v>0</v>
      </c>
      <c r="LC167" s="16">
        <v>0</v>
      </c>
      <c r="LD167" s="16">
        <v>0</v>
      </c>
      <c r="LE167" s="16">
        <v>0</v>
      </c>
      <c r="LF167" s="16">
        <v>0</v>
      </c>
      <c r="LG167" s="16">
        <v>0</v>
      </c>
      <c r="LH167" s="16">
        <v>0</v>
      </c>
      <c r="LI167" s="16">
        <v>0</v>
      </c>
      <c r="LJ167" s="16">
        <v>0</v>
      </c>
      <c r="LK167" s="16">
        <v>0</v>
      </c>
      <c r="LL167" s="16">
        <v>0</v>
      </c>
      <c r="LM167" s="16">
        <v>0</v>
      </c>
      <c r="LN167" s="16">
        <v>0</v>
      </c>
      <c r="LO167" s="16">
        <v>0</v>
      </c>
      <c r="LP167" s="16">
        <v>0</v>
      </c>
      <c r="LQ167" s="16">
        <v>0</v>
      </c>
      <c r="LR167" s="16">
        <v>0</v>
      </c>
      <c r="LS167" s="16">
        <v>0</v>
      </c>
      <c r="LT167" s="16">
        <v>0</v>
      </c>
      <c r="LU167" s="16">
        <v>0</v>
      </c>
      <c r="LV167" s="16">
        <v>0</v>
      </c>
      <c r="LW167" s="16">
        <v>0</v>
      </c>
      <c r="LX167" s="16">
        <v>0</v>
      </c>
      <c r="LY167" s="16">
        <v>0</v>
      </c>
      <c r="LZ167" s="16">
        <v>0</v>
      </c>
      <c r="MA167" s="16">
        <v>0</v>
      </c>
      <c r="MB167" s="16">
        <v>0</v>
      </c>
      <c r="MC167" s="16">
        <v>88</v>
      </c>
      <c r="MD167" s="16">
        <v>76</v>
      </c>
      <c r="ME167" s="16">
        <v>33</v>
      </c>
      <c r="MF167" s="16">
        <v>30</v>
      </c>
      <c r="MG167" s="16">
        <v>0</v>
      </c>
      <c r="MH167" s="16">
        <v>0</v>
      </c>
      <c r="MI167" s="16">
        <v>0</v>
      </c>
      <c r="MJ167" s="16">
        <v>0</v>
      </c>
      <c r="MK167" s="16">
        <v>0</v>
      </c>
      <c r="ML167" s="16">
        <v>0</v>
      </c>
      <c r="MM167" s="16">
        <v>968</v>
      </c>
      <c r="MN167" s="16">
        <v>0</v>
      </c>
      <c r="MO167" s="16">
        <v>0</v>
      </c>
      <c r="MP167" s="16">
        <v>0</v>
      </c>
      <c r="MQ167" s="16">
        <v>0</v>
      </c>
      <c r="MR167" s="16">
        <v>0</v>
      </c>
      <c r="MS167" s="16">
        <v>0</v>
      </c>
      <c r="MT167" s="16">
        <v>0</v>
      </c>
      <c r="MU167" s="16">
        <v>0</v>
      </c>
      <c r="MV167" s="16">
        <v>0</v>
      </c>
      <c r="MW167" s="16">
        <v>0</v>
      </c>
      <c r="MX167" s="16">
        <v>0</v>
      </c>
      <c r="MY167" s="16">
        <v>22109</v>
      </c>
      <c r="MZ167" s="16">
        <v>205140</v>
      </c>
      <c r="NA167" s="16">
        <v>0</v>
      </c>
      <c r="NB167" s="16">
        <v>0</v>
      </c>
      <c r="NC167" s="16">
        <v>0</v>
      </c>
      <c r="ND167" s="16">
        <v>0</v>
      </c>
      <c r="NE167" s="16">
        <v>0</v>
      </c>
      <c r="NF167" s="16">
        <v>0</v>
      </c>
      <c r="NG167" s="16">
        <v>0</v>
      </c>
      <c r="NH167" s="16">
        <v>0</v>
      </c>
      <c r="NI167" s="16">
        <v>0</v>
      </c>
      <c r="NJ167" s="16">
        <v>0</v>
      </c>
      <c r="NK167" s="16">
        <v>0</v>
      </c>
      <c r="NL167" s="16">
        <v>0</v>
      </c>
      <c r="NM167" s="16">
        <v>0</v>
      </c>
      <c r="NN167" s="16">
        <v>0</v>
      </c>
      <c r="NO167" s="16">
        <v>0</v>
      </c>
      <c r="NP167" s="16">
        <v>0</v>
      </c>
      <c r="NQ167" s="16">
        <v>29</v>
      </c>
      <c r="NR167" s="17">
        <v>5337856</v>
      </c>
    </row>
    <row r="168" spans="1:382" ht="13.5" customHeight="1" x14ac:dyDescent="0.2">
      <c r="A168" s="2" t="s">
        <v>343</v>
      </c>
      <c r="B168" s="16">
        <v>0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6">
        <v>0</v>
      </c>
      <c r="AZ168" s="16">
        <v>0</v>
      </c>
      <c r="BA168" s="16">
        <v>0</v>
      </c>
      <c r="BB168" s="16">
        <v>0</v>
      </c>
      <c r="BC168" s="16">
        <v>0</v>
      </c>
      <c r="BD168" s="16">
        <v>0</v>
      </c>
      <c r="BE168" s="16">
        <v>0</v>
      </c>
      <c r="BF168" s="16">
        <v>0</v>
      </c>
      <c r="BG168" s="16">
        <v>0</v>
      </c>
      <c r="BH168" s="16">
        <v>0</v>
      </c>
      <c r="BI168" s="16">
        <v>0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16">
        <v>0</v>
      </c>
      <c r="BP168" s="16">
        <v>0</v>
      </c>
      <c r="BQ168" s="16">
        <v>0</v>
      </c>
      <c r="BR168" s="16">
        <v>-9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>
        <v>0</v>
      </c>
      <c r="CA168" s="16">
        <v>0</v>
      </c>
      <c r="CB168" s="16">
        <v>0</v>
      </c>
      <c r="CC168" s="16">
        <v>0</v>
      </c>
      <c r="CD168" s="16">
        <v>0</v>
      </c>
      <c r="CE168" s="16">
        <v>0</v>
      </c>
      <c r="CF168" s="16">
        <v>0</v>
      </c>
      <c r="CG168" s="16">
        <v>0</v>
      </c>
      <c r="CH168" s="16">
        <v>0</v>
      </c>
      <c r="CI168" s="16">
        <v>0</v>
      </c>
      <c r="CJ168" s="16">
        <v>0</v>
      </c>
      <c r="CK168" s="16">
        <v>0</v>
      </c>
      <c r="CL168" s="16">
        <v>0</v>
      </c>
      <c r="CM168" s="16">
        <v>0</v>
      </c>
      <c r="CN168" s="16">
        <v>0</v>
      </c>
      <c r="CO168" s="16">
        <v>0</v>
      </c>
      <c r="CP168" s="16">
        <v>0</v>
      </c>
      <c r="CQ168" s="16">
        <v>0</v>
      </c>
      <c r="CR168" s="16">
        <v>-13</v>
      </c>
      <c r="CS168" s="16">
        <v>-170</v>
      </c>
      <c r="CT168" s="16">
        <v>-160</v>
      </c>
      <c r="CU168" s="16">
        <v>-110</v>
      </c>
      <c r="CV168" s="16">
        <v>-69</v>
      </c>
      <c r="CW168" s="16">
        <v>-463</v>
      </c>
      <c r="CX168" s="16">
        <v>-180</v>
      </c>
      <c r="CY168" s="16">
        <v>-48</v>
      </c>
      <c r="CZ168" s="16">
        <v>-66</v>
      </c>
      <c r="DA168" s="16">
        <v>-9</v>
      </c>
      <c r="DB168" s="16">
        <v>-50</v>
      </c>
      <c r="DC168" s="16">
        <v>-18</v>
      </c>
      <c r="DD168" s="16">
        <v>-66</v>
      </c>
      <c r="DE168" s="16">
        <v>-68</v>
      </c>
      <c r="DF168" s="16">
        <v>10316</v>
      </c>
      <c r="DG168" s="16">
        <v>3584</v>
      </c>
      <c r="DH168" s="16">
        <v>-14942</v>
      </c>
      <c r="DI168" s="16">
        <v>22902</v>
      </c>
      <c r="DJ168" s="16">
        <v>-572</v>
      </c>
      <c r="DK168" s="16">
        <v>-11</v>
      </c>
      <c r="DL168" s="16">
        <v>-744</v>
      </c>
      <c r="DM168" s="16">
        <v>0</v>
      </c>
      <c r="DN168" s="16">
        <v>66</v>
      </c>
      <c r="DO168" s="16">
        <v>0</v>
      </c>
      <c r="DP168" s="16">
        <v>19850</v>
      </c>
      <c r="DQ168" s="16">
        <v>-358</v>
      </c>
      <c r="DR168" s="16">
        <v>97</v>
      </c>
      <c r="DS168" s="16">
        <v>0</v>
      </c>
      <c r="DT168" s="16">
        <v>-396</v>
      </c>
      <c r="DU168" s="16">
        <v>0</v>
      </c>
      <c r="DV168" s="16">
        <v>207448</v>
      </c>
      <c r="DW168" s="16">
        <v>-51</v>
      </c>
      <c r="DX168" s="16">
        <v>297</v>
      </c>
      <c r="DY168" s="16">
        <v>4851</v>
      </c>
      <c r="DZ168" s="16">
        <v>9659</v>
      </c>
      <c r="EA168" s="16">
        <v>-5000</v>
      </c>
      <c r="EB168" s="16">
        <v>3</v>
      </c>
      <c r="EC168" s="16">
        <v>0</v>
      </c>
      <c r="ED168" s="16">
        <v>0</v>
      </c>
      <c r="EE168" s="16">
        <v>0</v>
      </c>
      <c r="EF168" s="16">
        <v>820</v>
      </c>
      <c r="EG168" s="16">
        <v>74</v>
      </c>
      <c r="EH168" s="16">
        <v>67</v>
      </c>
      <c r="EI168" s="16">
        <v>-68</v>
      </c>
      <c r="EJ168" s="16">
        <v>326</v>
      </c>
      <c r="EK168" s="16">
        <v>13307</v>
      </c>
      <c r="EL168" s="16">
        <v>50</v>
      </c>
      <c r="EM168" s="16">
        <v>654</v>
      </c>
      <c r="EN168" s="16">
        <v>0</v>
      </c>
      <c r="EO168" s="16">
        <v>0</v>
      </c>
      <c r="EP168" s="16">
        <v>0</v>
      </c>
      <c r="EQ168" s="16">
        <v>0</v>
      </c>
      <c r="ER168" s="16">
        <v>0</v>
      </c>
      <c r="ES168" s="16">
        <v>-1952</v>
      </c>
      <c r="ET168" s="16">
        <v>-1132</v>
      </c>
      <c r="EU168" s="16">
        <v>3095</v>
      </c>
      <c r="EV168" s="16">
        <v>21716</v>
      </c>
      <c r="EW168" s="16">
        <v>-15169</v>
      </c>
      <c r="EX168" s="16">
        <v>-2168</v>
      </c>
      <c r="EY168" s="16">
        <v>-216</v>
      </c>
      <c r="EZ168" s="16">
        <v>15680</v>
      </c>
      <c r="FA168" s="16">
        <v>33291</v>
      </c>
      <c r="FB168" s="16">
        <v>80678</v>
      </c>
      <c r="FC168" s="16">
        <v>1257</v>
      </c>
      <c r="FD168" s="16">
        <v>-8487</v>
      </c>
      <c r="FE168" s="16">
        <v>147583</v>
      </c>
      <c r="FF168" s="16">
        <v>485505</v>
      </c>
      <c r="FG168" s="16">
        <v>24000</v>
      </c>
      <c r="FH168" s="16">
        <v>236</v>
      </c>
      <c r="FI168" s="16">
        <v>28031</v>
      </c>
      <c r="FJ168" s="16">
        <v>999</v>
      </c>
      <c r="FK168" s="16">
        <v>62151</v>
      </c>
      <c r="FL168" s="16">
        <v>81553</v>
      </c>
      <c r="FM168" s="16">
        <v>190437</v>
      </c>
      <c r="FN168" s="16">
        <v>38443</v>
      </c>
      <c r="FO168" s="16">
        <v>1001434</v>
      </c>
      <c r="FP168" s="16">
        <v>112063</v>
      </c>
      <c r="FQ168" s="16">
        <v>0</v>
      </c>
      <c r="FR168" s="16">
        <v>0</v>
      </c>
      <c r="FS168" s="16">
        <v>0</v>
      </c>
      <c r="FT168" s="16">
        <v>711</v>
      </c>
      <c r="FU168" s="16">
        <v>24737</v>
      </c>
      <c r="FV168" s="16">
        <v>-84164</v>
      </c>
      <c r="FW168" s="16">
        <v>136637</v>
      </c>
      <c r="FX168" s="16">
        <v>42083</v>
      </c>
      <c r="FY168" s="16">
        <v>1738</v>
      </c>
      <c r="FZ168" s="16">
        <v>-250</v>
      </c>
      <c r="GA168" s="16">
        <v>-2336</v>
      </c>
      <c r="GB168" s="16">
        <v>17606</v>
      </c>
      <c r="GC168" s="16">
        <v>1566</v>
      </c>
      <c r="GD168" s="16">
        <v>33372</v>
      </c>
      <c r="GE168" s="16">
        <v>6802</v>
      </c>
      <c r="GF168" s="16">
        <v>7947</v>
      </c>
      <c r="GG168" s="16">
        <v>3347</v>
      </c>
      <c r="GH168" s="16">
        <v>-22275</v>
      </c>
      <c r="GI168" s="16">
        <v>21748</v>
      </c>
      <c r="GJ168" s="16">
        <v>51282</v>
      </c>
      <c r="GK168" s="16">
        <v>3467</v>
      </c>
      <c r="GL168" s="16">
        <v>0</v>
      </c>
      <c r="GM168" s="16">
        <v>1261</v>
      </c>
      <c r="GN168" s="16">
        <v>0</v>
      </c>
      <c r="GO168" s="16">
        <v>1</v>
      </c>
      <c r="GP168" s="16">
        <v>-139</v>
      </c>
      <c r="GQ168" s="16">
        <v>10</v>
      </c>
      <c r="GR168" s="16">
        <v>252</v>
      </c>
      <c r="GS168" s="16">
        <v>-10390</v>
      </c>
      <c r="GT168" s="16">
        <v>-168</v>
      </c>
      <c r="GU168" s="16">
        <v>3997</v>
      </c>
      <c r="GV168" s="16">
        <v>3726</v>
      </c>
      <c r="GW168" s="16">
        <v>673</v>
      </c>
      <c r="GX168" s="16">
        <v>500</v>
      </c>
      <c r="GY168" s="16">
        <v>0</v>
      </c>
      <c r="GZ168" s="16">
        <v>-118</v>
      </c>
      <c r="HA168" s="16">
        <v>654</v>
      </c>
      <c r="HB168" s="16">
        <v>2085</v>
      </c>
      <c r="HC168" s="16">
        <v>-7644</v>
      </c>
      <c r="HD168" s="16">
        <v>1632</v>
      </c>
      <c r="HE168" s="16">
        <v>60944</v>
      </c>
      <c r="HF168" s="16">
        <v>1264</v>
      </c>
      <c r="HG168" s="16">
        <v>-101</v>
      </c>
      <c r="HH168" s="16">
        <v>323</v>
      </c>
      <c r="HI168" s="16">
        <v>3867</v>
      </c>
      <c r="HJ168" s="16">
        <v>68</v>
      </c>
      <c r="HK168" s="16">
        <v>167</v>
      </c>
      <c r="HL168" s="16">
        <v>13728</v>
      </c>
      <c r="HM168" s="16">
        <v>3663</v>
      </c>
      <c r="HN168" s="16">
        <v>-75</v>
      </c>
      <c r="HO168" s="16">
        <v>2699</v>
      </c>
      <c r="HP168" s="16">
        <v>6</v>
      </c>
      <c r="HQ168" s="16">
        <v>1082</v>
      </c>
      <c r="HR168" s="16">
        <v>-58</v>
      </c>
      <c r="HS168" s="16">
        <v>0</v>
      </c>
      <c r="HT168" s="16">
        <v>58</v>
      </c>
      <c r="HU168" s="16">
        <v>-18103</v>
      </c>
      <c r="HV168" s="16">
        <v>250</v>
      </c>
      <c r="HW168" s="16">
        <v>0</v>
      </c>
      <c r="HX168" s="16">
        <v>301</v>
      </c>
      <c r="HY168" s="16">
        <v>6754</v>
      </c>
      <c r="HZ168" s="16">
        <v>-126</v>
      </c>
      <c r="IA168" s="16">
        <v>71</v>
      </c>
      <c r="IB168" s="16">
        <v>0</v>
      </c>
      <c r="IC168" s="16">
        <v>19</v>
      </c>
      <c r="ID168" s="16">
        <v>41</v>
      </c>
      <c r="IE168" s="16">
        <v>0</v>
      </c>
      <c r="IF168" s="16">
        <v>-33</v>
      </c>
      <c r="IG168" s="16">
        <v>4257</v>
      </c>
      <c r="IH168" s="16">
        <v>574</v>
      </c>
      <c r="II168" s="16">
        <v>75</v>
      </c>
      <c r="IJ168" s="16">
        <v>0</v>
      </c>
      <c r="IK168" s="16">
        <v>0</v>
      </c>
      <c r="IL168" s="16">
        <v>0</v>
      </c>
      <c r="IM168" s="16">
        <v>0</v>
      </c>
      <c r="IN168" s="16">
        <v>65</v>
      </c>
      <c r="IO168" s="16">
        <v>64094</v>
      </c>
      <c r="IP168" s="16">
        <v>1791</v>
      </c>
      <c r="IQ168" s="16">
        <v>8</v>
      </c>
      <c r="IR168" s="16">
        <v>19</v>
      </c>
      <c r="IS168" s="16">
        <v>33</v>
      </c>
      <c r="IT168" s="16">
        <v>-1269</v>
      </c>
      <c r="IU168" s="16">
        <v>0</v>
      </c>
      <c r="IV168" s="16">
        <v>480</v>
      </c>
      <c r="IW168" s="16">
        <v>0</v>
      </c>
      <c r="IX168" s="16">
        <v>470</v>
      </c>
      <c r="IY168" s="16">
        <v>0</v>
      </c>
      <c r="IZ168" s="16">
        <v>0</v>
      </c>
      <c r="JA168" s="16">
        <v>0</v>
      </c>
      <c r="JB168" s="16">
        <v>0</v>
      </c>
      <c r="JC168" s="16">
        <v>0</v>
      </c>
      <c r="JD168" s="16">
        <v>16501</v>
      </c>
      <c r="JE168" s="16">
        <v>3766</v>
      </c>
      <c r="JF168" s="16">
        <v>2696</v>
      </c>
      <c r="JG168" s="16">
        <v>121950</v>
      </c>
      <c r="JH168" s="16">
        <v>3310</v>
      </c>
      <c r="JI168" s="16">
        <v>0</v>
      </c>
      <c r="JJ168" s="16">
        <v>0</v>
      </c>
      <c r="JK168" s="16">
        <v>0</v>
      </c>
      <c r="JL168" s="16">
        <v>-403</v>
      </c>
      <c r="JM168" s="16">
        <v>0</v>
      </c>
      <c r="JN168" s="16">
        <v>0</v>
      </c>
      <c r="JO168" s="16">
        <v>0</v>
      </c>
      <c r="JP168" s="16">
        <v>0</v>
      </c>
      <c r="JQ168" s="16">
        <v>0</v>
      </c>
      <c r="JR168" s="16">
        <v>0</v>
      </c>
      <c r="JS168" s="16">
        <v>0</v>
      </c>
      <c r="JT168" s="16">
        <v>0</v>
      </c>
      <c r="JU168" s="16">
        <v>0</v>
      </c>
      <c r="JV168" s="16">
        <v>8068</v>
      </c>
      <c r="JW168" s="16">
        <v>0</v>
      </c>
      <c r="JX168" s="16">
        <v>0</v>
      </c>
      <c r="JY168" s="16">
        <v>0</v>
      </c>
      <c r="JZ168" s="16">
        <v>-9</v>
      </c>
      <c r="KA168" s="16">
        <v>0</v>
      </c>
      <c r="KB168" s="16">
        <v>-2117</v>
      </c>
      <c r="KC168" s="16">
        <v>0</v>
      </c>
      <c r="KD168" s="16">
        <v>0</v>
      </c>
      <c r="KE168" s="16">
        <v>-3573</v>
      </c>
      <c r="KF168" s="16">
        <v>-12538</v>
      </c>
      <c r="KG168" s="16">
        <v>0</v>
      </c>
      <c r="KH168" s="16">
        <v>0</v>
      </c>
      <c r="KI168" s="16">
        <v>0</v>
      </c>
      <c r="KJ168" s="16">
        <v>0</v>
      </c>
      <c r="KK168" s="16">
        <v>-3464</v>
      </c>
      <c r="KL168" s="16">
        <v>0</v>
      </c>
      <c r="KM168" s="16">
        <v>0</v>
      </c>
      <c r="KN168" s="16">
        <v>-11</v>
      </c>
      <c r="KO168" s="16">
        <v>0</v>
      </c>
      <c r="KP168" s="16">
        <v>0</v>
      </c>
      <c r="KQ168" s="16">
        <v>0</v>
      </c>
      <c r="KR168" s="16">
        <v>0</v>
      </c>
      <c r="KS168" s="16">
        <v>0</v>
      </c>
      <c r="KT168" s="16">
        <v>0</v>
      </c>
      <c r="KU168" s="16">
        <v>0</v>
      </c>
      <c r="KV168" s="16">
        <v>0</v>
      </c>
      <c r="KW168" s="16">
        <v>0</v>
      </c>
      <c r="KX168" s="16">
        <v>0</v>
      </c>
      <c r="KY168" s="16">
        <v>0</v>
      </c>
      <c r="KZ168" s="16">
        <v>0</v>
      </c>
      <c r="LA168" s="16">
        <v>0</v>
      </c>
      <c r="LB168" s="16">
        <v>0</v>
      </c>
      <c r="LC168" s="16">
        <v>0</v>
      </c>
      <c r="LD168" s="16">
        <v>0</v>
      </c>
      <c r="LE168" s="16">
        <v>0</v>
      </c>
      <c r="LF168" s="16">
        <v>0</v>
      </c>
      <c r="LG168" s="16">
        <v>0</v>
      </c>
      <c r="LH168" s="16">
        <v>0</v>
      </c>
      <c r="LI168" s="16">
        <v>0</v>
      </c>
      <c r="LJ168" s="16">
        <v>0</v>
      </c>
      <c r="LK168" s="16">
        <v>0</v>
      </c>
      <c r="LL168" s="16">
        <v>0</v>
      </c>
      <c r="LM168" s="16">
        <v>0</v>
      </c>
      <c r="LN168" s="16">
        <v>0</v>
      </c>
      <c r="LO168" s="16">
        <v>0</v>
      </c>
      <c r="LP168" s="16">
        <v>0</v>
      </c>
      <c r="LQ168" s="16">
        <v>0</v>
      </c>
      <c r="LR168" s="16">
        <v>0</v>
      </c>
      <c r="LS168" s="16">
        <v>0</v>
      </c>
      <c r="LT168" s="16">
        <v>0</v>
      </c>
      <c r="LU168" s="16">
        <v>0</v>
      </c>
      <c r="LV168" s="16">
        <v>0</v>
      </c>
      <c r="LW168" s="16">
        <v>0</v>
      </c>
      <c r="LX168" s="16">
        <v>0</v>
      </c>
      <c r="LY168" s="16">
        <v>0</v>
      </c>
      <c r="LZ168" s="16">
        <v>0</v>
      </c>
      <c r="MA168" s="16">
        <v>0</v>
      </c>
      <c r="MB168" s="16">
        <v>0</v>
      </c>
      <c r="MC168" s="16">
        <v>0</v>
      </c>
      <c r="MD168" s="16">
        <v>0</v>
      </c>
      <c r="ME168" s="16">
        <v>0</v>
      </c>
      <c r="MF168" s="16">
        <v>227</v>
      </c>
      <c r="MG168" s="16">
        <v>0</v>
      </c>
      <c r="MH168" s="16">
        <v>0</v>
      </c>
      <c r="MI168" s="16">
        <v>0</v>
      </c>
      <c r="MJ168" s="16">
        <v>0</v>
      </c>
      <c r="MK168" s="16">
        <v>0</v>
      </c>
      <c r="ML168" s="16">
        <v>0</v>
      </c>
      <c r="MM168" s="16">
        <v>0</v>
      </c>
      <c r="MN168" s="16">
        <v>0</v>
      </c>
      <c r="MO168" s="16">
        <v>0</v>
      </c>
      <c r="MP168" s="16">
        <v>0</v>
      </c>
      <c r="MQ168" s="16">
        <v>0</v>
      </c>
      <c r="MR168" s="16">
        <v>0</v>
      </c>
      <c r="MS168" s="16">
        <v>0</v>
      </c>
      <c r="MT168" s="16">
        <v>0</v>
      </c>
      <c r="MU168" s="16">
        <v>0</v>
      </c>
      <c r="MV168" s="16">
        <v>0</v>
      </c>
      <c r="MW168" s="16">
        <v>0</v>
      </c>
      <c r="MX168" s="16">
        <v>0</v>
      </c>
      <c r="MY168" s="16">
        <v>1641</v>
      </c>
      <c r="MZ168" s="16">
        <v>83510</v>
      </c>
      <c r="NA168" s="16">
        <v>0</v>
      </c>
      <c r="NB168" s="16">
        <v>0</v>
      </c>
      <c r="NC168" s="16">
        <v>0</v>
      </c>
      <c r="ND168" s="16">
        <v>0</v>
      </c>
      <c r="NE168" s="16">
        <v>0</v>
      </c>
      <c r="NF168" s="16">
        <v>0</v>
      </c>
      <c r="NG168" s="16">
        <v>0</v>
      </c>
      <c r="NH168" s="16">
        <v>0</v>
      </c>
      <c r="NI168" s="16">
        <v>0</v>
      </c>
      <c r="NJ168" s="16">
        <v>0</v>
      </c>
      <c r="NK168" s="16">
        <v>0</v>
      </c>
      <c r="NL168" s="16">
        <v>0</v>
      </c>
      <c r="NM168" s="16">
        <v>0</v>
      </c>
      <c r="NN168" s="16">
        <v>0</v>
      </c>
      <c r="NO168" s="16">
        <v>0</v>
      </c>
      <c r="NP168" s="16">
        <v>0</v>
      </c>
      <c r="NQ168" s="16">
        <v>146</v>
      </c>
      <c r="NR168" s="17">
        <v>3177214</v>
      </c>
    </row>
    <row r="169" spans="1:382" ht="13.5" customHeight="1" x14ac:dyDescent="0.2">
      <c r="A169" s="2" t="s">
        <v>345</v>
      </c>
      <c r="B169" s="16">
        <v>0</v>
      </c>
      <c r="C169" s="16">
        <v>0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1703</v>
      </c>
      <c r="X169" s="16">
        <v>18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58</v>
      </c>
      <c r="AM169" s="16">
        <v>0</v>
      </c>
      <c r="AN169" s="16">
        <v>0</v>
      </c>
      <c r="AO169" s="16">
        <v>0</v>
      </c>
      <c r="AP169" s="16">
        <v>0</v>
      </c>
      <c r="AQ169" s="16">
        <v>0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0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6">
        <v>0</v>
      </c>
      <c r="BK169" s="16">
        <v>0</v>
      </c>
      <c r="BL169" s="16">
        <v>0</v>
      </c>
      <c r="BM169" s="16">
        <v>0</v>
      </c>
      <c r="BN169" s="16">
        <v>0</v>
      </c>
      <c r="BO169" s="16">
        <v>123</v>
      </c>
      <c r="BP169" s="16">
        <v>182</v>
      </c>
      <c r="BQ169" s="16">
        <v>0</v>
      </c>
      <c r="BR169" s="16">
        <v>0</v>
      </c>
      <c r="BS169" s="16">
        <v>0</v>
      </c>
      <c r="BT169" s="16">
        <v>0</v>
      </c>
      <c r="BU169" s="16">
        <v>0</v>
      </c>
      <c r="BV169" s="16">
        <v>0</v>
      </c>
      <c r="BW169" s="16">
        <v>0</v>
      </c>
      <c r="BX169" s="16">
        <v>0</v>
      </c>
      <c r="BY169" s="16">
        <v>0</v>
      </c>
      <c r="BZ169" s="16">
        <v>0</v>
      </c>
      <c r="CA169" s="16">
        <v>0</v>
      </c>
      <c r="CB169" s="16">
        <v>0</v>
      </c>
      <c r="CC169" s="16">
        <v>0</v>
      </c>
      <c r="CD169" s="16">
        <v>0</v>
      </c>
      <c r="CE169" s="16">
        <v>0</v>
      </c>
      <c r="CF169" s="16">
        <v>0</v>
      </c>
      <c r="CG169" s="16">
        <v>0</v>
      </c>
      <c r="CH169" s="16">
        <v>0</v>
      </c>
      <c r="CI169" s="16">
        <v>0</v>
      </c>
      <c r="CJ169" s="16">
        <v>0</v>
      </c>
      <c r="CK169" s="16">
        <v>606</v>
      </c>
      <c r="CL169" s="16">
        <v>0</v>
      </c>
      <c r="CM169" s="16">
        <v>737</v>
      </c>
      <c r="CN169" s="16">
        <v>90</v>
      </c>
      <c r="CO169" s="16">
        <v>384</v>
      </c>
      <c r="CP169" s="16">
        <v>514</v>
      </c>
      <c r="CQ169" s="16">
        <v>256</v>
      </c>
      <c r="CR169" s="16">
        <v>45</v>
      </c>
      <c r="CS169" s="16">
        <v>5777</v>
      </c>
      <c r="CT169" s="16">
        <v>227</v>
      </c>
      <c r="CU169" s="16">
        <v>939</v>
      </c>
      <c r="CV169" s="16">
        <v>240</v>
      </c>
      <c r="CW169" s="16">
        <v>3356</v>
      </c>
      <c r="CX169" s="16">
        <v>2194</v>
      </c>
      <c r="CY169" s="16">
        <v>169</v>
      </c>
      <c r="CZ169" s="16">
        <v>0</v>
      </c>
      <c r="DA169" s="16">
        <v>0</v>
      </c>
      <c r="DB169" s="16">
        <v>0</v>
      </c>
      <c r="DC169" s="16">
        <v>0</v>
      </c>
      <c r="DD169" s="16">
        <v>0</v>
      </c>
      <c r="DE169" s="16">
        <v>3230</v>
      </c>
      <c r="DF169" s="16">
        <v>2687</v>
      </c>
      <c r="DG169" s="16">
        <v>2124</v>
      </c>
      <c r="DH169" s="16">
        <v>18</v>
      </c>
      <c r="DI169" s="16">
        <v>294</v>
      </c>
      <c r="DJ169" s="16">
        <v>5786</v>
      </c>
      <c r="DK169" s="16">
        <v>0</v>
      </c>
      <c r="DL169" s="16">
        <v>0</v>
      </c>
      <c r="DM169" s="16">
        <v>311</v>
      </c>
      <c r="DN169" s="16">
        <v>0</v>
      </c>
      <c r="DO169" s="16">
        <v>0</v>
      </c>
      <c r="DP169" s="16">
        <v>972</v>
      </c>
      <c r="DQ169" s="16">
        <v>87</v>
      </c>
      <c r="DR169" s="16">
        <v>186</v>
      </c>
      <c r="DS169" s="16">
        <v>349</v>
      </c>
      <c r="DT169" s="16">
        <v>0</v>
      </c>
      <c r="DU169" s="16">
        <v>2183</v>
      </c>
      <c r="DV169" s="16">
        <v>69</v>
      </c>
      <c r="DW169" s="16">
        <v>15302</v>
      </c>
      <c r="DX169" s="16">
        <v>2883</v>
      </c>
      <c r="DY169" s="16">
        <v>1796</v>
      </c>
      <c r="DZ169" s="16">
        <v>5519</v>
      </c>
      <c r="EA169" s="16">
        <v>76677</v>
      </c>
      <c r="EB169" s="16">
        <v>910</v>
      </c>
      <c r="EC169" s="16">
        <v>580</v>
      </c>
      <c r="ED169" s="16">
        <v>69</v>
      </c>
      <c r="EE169" s="16">
        <v>41</v>
      </c>
      <c r="EF169" s="16">
        <v>33</v>
      </c>
      <c r="EG169" s="16">
        <v>1154</v>
      </c>
      <c r="EH169" s="16">
        <v>76</v>
      </c>
      <c r="EI169" s="16">
        <v>59</v>
      </c>
      <c r="EJ169" s="16">
        <v>2129</v>
      </c>
      <c r="EK169" s="16">
        <v>0</v>
      </c>
      <c r="EL169" s="16">
        <v>0</v>
      </c>
      <c r="EM169" s="16">
        <v>0</v>
      </c>
      <c r="EN169" s="16">
        <v>0</v>
      </c>
      <c r="EO169" s="16">
        <v>0</v>
      </c>
      <c r="EP169" s="16">
        <v>0</v>
      </c>
      <c r="EQ169" s="16">
        <v>5437</v>
      </c>
      <c r="ER169" s="16">
        <v>0</v>
      </c>
      <c r="ES169" s="16">
        <v>0</v>
      </c>
      <c r="ET169" s="16">
        <v>2223</v>
      </c>
      <c r="EU169" s="16">
        <v>42</v>
      </c>
      <c r="EV169" s="16">
        <v>0</v>
      </c>
      <c r="EW169" s="16">
        <v>6</v>
      </c>
      <c r="EX169" s="16">
        <v>0</v>
      </c>
      <c r="EY169" s="16">
        <v>5</v>
      </c>
      <c r="EZ169" s="16">
        <v>3</v>
      </c>
      <c r="FA169" s="16">
        <v>8</v>
      </c>
      <c r="FB169" s="16">
        <v>0</v>
      </c>
      <c r="FC169" s="16">
        <v>574</v>
      </c>
      <c r="FD169" s="16">
        <v>1193</v>
      </c>
      <c r="FE169" s="16">
        <v>0</v>
      </c>
      <c r="FF169" s="16">
        <v>72</v>
      </c>
      <c r="FG169" s="16">
        <v>1334</v>
      </c>
      <c r="FH169" s="16">
        <v>18939</v>
      </c>
      <c r="FI169" s="16">
        <v>3691</v>
      </c>
      <c r="FJ169" s="16">
        <v>3306</v>
      </c>
      <c r="FK169" s="16">
        <v>0</v>
      </c>
      <c r="FL169" s="16">
        <v>0</v>
      </c>
      <c r="FM169" s="16">
        <v>37978</v>
      </c>
      <c r="FN169" s="16">
        <v>3602</v>
      </c>
      <c r="FO169" s="16">
        <v>2500</v>
      </c>
      <c r="FP169" s="16">
        <v>4947</v>
      </c>
      <c r="FQ169" s="16">
        <v>91330</v>
      </c>
      <c r="FR169" s="16">
        <v>10724</v>
      </c>
      <c r="FS169" s="16">
        <v>11670</v>
      </c>
      <c r="FT169" s="16">
        <v>310865</v>
      </c>
      <c r="FU169" s="16">
        <v>3383</v>
      </c>
      <c r="FV169" s="16">
        <v>12666</v>
      </c>
      <c r="FW169" s="16">
        <v>378</v>
      </c>
      <c r="FX169" s="16">
        <v>71714</v>
      </c>
      <c r="FY169" s="16">
        <v>7196</v>
      </c>
      <c r="FZ169" s="16">
        <v>55863</v>
      </c>
      <c r="GA169" s="16">
        <v>12971</v>
      </c>
      <c r="GB169" s="16">
        <v>69266</v>
      </c>
      <c r="GC169" s="16">
        <v>10070</v>
      </c>
      <c r="GD169" s="16">
        <v>295369</v>
      </c>
      <c r="GE169" s="16">
        <v>18952</v>
      </c>
      <c r="GF169" s="16">
        <v>476679</v>
      </c>
      <c r="GG169" s="16">
        <v>25226</v>
      </c>
      <c r="GH169" s="16">
        <v>73789</v>
      </c>
      <c r="GI169" s="16">
        <v>863991</v>
      </c>
      <c r="GJ169" s="16">
        <v>47354</v>
      </c>
      <c r="GK169" s="16">
        <v>44662</v>
      </c>
      <c r="GL169" s="16">
        <v>12245</v>
      </c>
      <c r="GM169" s="16">
        <v>2784</v>
      </c>
      <c r="GN169" s="16">
        <v>3615</v>
      </c>
      <c r="GO169" s="16">
        <v>725</v>
      </c>
      <c r="GP169" s="16">
        <v>102959</v>
      </c>
      <c r="GQ169" s="16">
        <v>122506</v>
      </c>
      <c r="GR169" s="16">
        <v>3627</v>
      </c>
      <c r="GS169" s="16">
        <v>631</v>
      </c>
      <c r="GT169" s="16">
        <v>115</v>
      </c>
      <c r="GU169" s="16">
        <v>2326</v>
      </c>
      <c r="GV169" s="16">
        <v>30887</v>
      </c>
      <c r="GW169" s="16">
        <v>9380</v>
      </c>
      <c r="GX169" s="16">
        <v>2680</v>
      </c>
      <c r="GY169" s="16">
        <v>34</v>
      </c>
      <c r="GZ169" s="16">
        <v>228097</v>
      </c>
      <c r="HA169" s="16">
        <v>114029</v>
      </c>
      <c r="HB169" s="16">
        <v>42696</v>
      </c>
      <c r="HC169" s="16">
        <v>483112</v>
      </c>
      <c r="HD169" s="16">
        <v>231335</v>
      </c>
      <c r="HE169" s="16">
        <v>232433</v>
      </c>
      <c r="HF169" s="16">
        <v>2905337</v>
      </c>
      <c r="HG169" s="16">
        <v>19465</v>
      </c>
      <c r="HH169" s="16">
        <v>3050</v>
      </c>
      <c r="HI169" s="16">
        <v>33011</v>
      </c>
      <c r="HJ169" s="16">
        <v>51612</v>
      </c>
      <c r="HK169" s="16">
        <v>37024</v>
      </c>
      <c r="HL169" s="16">
        <v>550629</v>
      </c>
      <c r="HM169" s="16">
        <v>7180</v>
      </c>
      <c r="HN169" s="16">
        <v>28412</v>
      </c>
      <c r="HO169" s="16">
        <v>132955</v>
      </c>
      <c r="HP169" s="16">
        <v>18228</v>
      </c>
      <c r="HQ169" s="16">
        <v>15432</v>
      </c>
      <c r="HR169" s="16">
        <v>289782</v>
      </c>
      <c r="HS169" s="16">
        <v>38226</v>
      </c>
      <c r="HT169" s="16">
        <v>377</v>
      </c>
      <c r="HU169" s="16">
        <v>45821</v>
      </c>
      <c r="HV169" s="16">
        <v>2314</v>
      </c>
      <c r="HW169" s="16">
        <v>340</v>
      </c>
      <c r="HX169" s="16">
        <v>12802</v>
      </c>
      <c r="HY169" s="16">
        <v>29443</v>
      </c>
      <c r="HZ169" s="16">
        <v>28865</v>
      </c>
      <c r="IA169" s="16">
        <v>6459</v>
      </c>
      <c r="IB169" s="16">
        <v>147</v>
      </c>
      <c r="IC169" s="16">
        <v>788</v>
      </c>
      <c r="ID169" s="16">
        <v>6706</v>
      </c>
      <c r="IE169" s="16">
        <v>1038</v>
      </c>
      <c r="IF169" s="16">
        <v>4686</v>
      </c>
      <c r="IG169" s="16">
        <v>30582</v>
      </c>
      <c r="IH169" s="16">
        <v>1501</v>
      </c>
      <c r="II169" s="16">
        <v>202</v>
      </c>
      <c r="IJ169" s="16">
        <v>101</v>
      </c>
      <c r="IK169" s="16">
        <v>1699</v>
      </c>
      <c r="IL169" s="16">
        <v>0</v>
      </c>
      <c r="IM169" s="16">
        <v>268</v>
      </c>
      <c r="IN169" s="16">
        <v>125</v>
      </c>
      <c r="IO169" s="16">
        <v>50906</v>
      </c>
      <c r="IP169" s="16">
        <v>160</v>
      </c>
      <c r="IQ169" s="16">
        <v>55</v>
      </c>
      <c r="IR169" s="16">
        <v>94</v>
      </c>
      <c r="IS169" s="16">
        <v>610</v>
      </c>
      <c r="IT169" s="16">
        <v>21066</v>
      </c>
      <c r="IU169" s="16">
        <v>32</v>
      </c>
      <c r="IV169" s="16">
        <v>7598</v>
      </c>
      <c r="IW169" s="16">
        <v>292</v>
      </c>
      <c r="IX169" s="16">
        <v>5981</v>
      </c>
      <c r="IY169" s="16">
        <v>70</v>
      </c>
      <c r="IZ169" s="16">
        <v>8</v>
      </c>
      <c r="JA169" s="16">
        <v>2641</v>
      </c>
      <c r="JB169" s="16">
        <v>1667</v>
      </c>
      <c r="JC169" s="16">
        <v>790</v>
      </c>
      <c r="JD169" s="16">
        <v>1593</v>
      </c>
      <c r="JE169" s="16">
        <v>12656</v>
      </c>
      <c r="JF169" s="16">
        <v>7751</v>
      </c>
      <c r="JG169" s="16">
        <v>56705</v>
      </c>
      <c r="JH169" s="16">
        <v>2863</v>
      </c>
      <c r="JI169" s="16">
        <v>0</v>
      </c>
      <c r="JJ169" s="16">
        <v>3527</v>
      </c>
      <c r="JK169" s="16">
        <v>0</v>
      </c>
      <c r="JL169" s="16">
        <v>0</v>
      </c>
      <c r="JM169" s="16">
        <v>0</v>
      </c>
      <c r="JN169" s="16">
        <v>0</v>
      </c>
      <c r="JO169" s="16">
        <v>3486</v>
      </c>
      <c r="JP169" s="16">
        <v>0</v>
      </c>
      <c r="JQ169" s="16">
        <v>1108</v>
      </c>
      <c r="JR169" s="16">
        <v>10097</v>
      </c>
      <c r="JS169" s="16">
        <v>13373</v>
      </c>
      <c r="JT169" s="16">
        <v>0</v>
      </c>
      <c r="JU169" s="16">
        <v>4740</v>
      </c>
      <c r="JV169" s="16">
        <v>11807</v>
      </c>
      <c r="JW169" s="16">
        <v>296697</v>
      </c>
      <c r="JX169" s="16">
        <v>41401</v>
      </c>
      <c r="JY169" s="16">
        <v>2956</v>
      </c>
      <c r="JZ169" s="16">
        <v>31</v>
      </c>
      <c r="KA169" s="16">
        <v>237</v>
      </c>
      <c r="KB169" s="16">
        <v>0</v>
      </c>
      <c r="KC169" s="16">
        <v>28</v>
      </c>
      <c r="KD169" s="16">
        <v>41</v>
      </c>
      <c r="KE169" s="16">
        <v>27</v>
      </c>
      <c r="KF169" s="16">
        <v>495</v>
      </c>
      <c r="KG169" s="16">
        <v>690</v>
      </c>
      <c r="KH169" s="16">
        <v>275</v>
      </c>
      <c r="KI169" s="16">
        <v>501</v>
      </c>
      <c r="KJ169" s="16">
        <v>395</v>
      </c>
      <c r="KK169" s="16">
        <v>0</v>
      </c>
      <c r="KL169" s="16">
        <v>0</v>
      </c>
      <c r="KM169" s="16">
        <v>0</v>
      </c>
      <c r="KN169" s="16">
        <v>0</v>
      </c>
      <c r="KO169" s="16">
        <v>0</v>
      </c>
      <c r="KP169" s="16">
        <v>0</v>
      </c>
      <c r="KQ169" s="16">
        <v>1510</v>
      </c>
      <c r="KR169" s="16">
        <v>1987</v>
      </c>
      <c r="KS169" s="16">
        <v>0</v>
      </c>
      <c r="KT169" s="16">
        <v>0</v>
      </c>
      <c r="KU169" s="16">
        <v>0</v>
      </c>
      <c r="KV169" s="16">
        <v>8402</v>
      </c>
      <c r="KW169" s="16">
        <v>0</v>
      </c>
      <c r="KX169" s="16">
        <v>0</v>
      </c>
      <c r="KY169" s="16">
        <v>0</v>
      </c>
      <c r="KZ169" s="16">
        <v>0</v>
      </c>
      <c r="LA169" s="16">
        <v>0</v>
      </c>
      <c r="LB169" s="16">
        <v>0</v>
      </c>
      <c r="LC169" s="16">
        <v>0</v>
      </c>
      <c r="LD169" s="16">
        <v>0</v>
      </c>
      <c r="LE169" s="16">
        <v>0</v>
      </c>
      <c r="LF169" s="16">
        <v>0</v>
      </c>
      <c r="LG169" s="16">
        <v>0</v>
      </c>
      <c r="LH169" s="16">
        <v>0</v>
      </c>
      <c r="LI169" s="16">
        <v>0</v>
      </c>
      <c r="LJ169" s="16">
        <v>0</v>
      </c>
      <c r="LK169" s="16">
        <v>0</v>
      </c>
      <c r="LL169" s="16">
        <v>0</v>
      </c>
      <c r="LM169" s="16">
        <v>0</v>
      </c>
      <c r="LN169" s="16">
        <v>0</v>
      </c>
      <c r="LO169" s="16">
        <v>0</v>
      </c>
      <c r="LP169" s="16">
        <v>0</v>
      </c>
      <c r="LQ169" s="16">
        <v>0</v>
      </c>
      <c r="LR169" s="16">
        <v>0</v>
      </c>
      <c r="LS169" s="16">
        <v>0</v>
      </c>
      <c r="LT169" s="16">
        <v>0</v>
      </c>
      <c r="LU169" s="16">
        <v>0</v>
      </c>
      <c r="LV169" s="16">
        <v>0</v>
      </c>
      <c r="LW169" s="16">
        <v>0</v>
      </c>
      <c r="LX169" s="16">
        <v>0</v>
      </c>
      <c r="LY169" s="16">
        <v>0</v>
      </c>
      <c r="LZ169" s="16">
        <v>28</v>
      </c>
      <c r="MA169" s="16">
        <v>0</v>
      </c>
      <c r="MB169" s="16">
        <v>0</v>
      </c>
      <c r="MC169" s="16">
        <v>5943</v>
      </c>
      <c r="MD169" s="16">
        <v>197</v>
      </c>
      <c r="ME169" s="16">
        <v>0</v>
      </c>
      <c r="MF169" s="16">
        <v>34449</v>
      </c>
      <c r="MG169" s="16">
        <v>0</v>
      </c>
      <c r="MH169" s="16">
        <v>0</v>
      </c>
      <c r="MI169" s="16">
        <v>0</v>
      </c>
      <c r="MJ169" s="16">
        <v>0</v>
      </c>
      <c r="MK169" s="16">
        <v>792</v>
      </c>
      <c r="ML169" s="16">
        <v>210</v>
      </c>
      <c r="MM169" s="16">
        <v>0</v>
      </c>
      <c r="MN169" s="16">
        <v>0</v>
      </c>
      <c r="MO169" s="16">
        <v>0</v>
      </c>
      <c r="MP169" s="16">
        <v>0</v>
      </c>
      <c r="MQ169" s="16">
        <v>0</v>
      </c>
      <c r="MR169" s="16">
        <v>10</v>
      </c>
      <c r="MS169" s="16">
        <v>0</v>
      </c>
      <c r="MT169" s="16">
        <v>0</v>
      </c>
      <c r="MU169" s="16">
        <v>0</v>
      </c>
      <c r="MV169" s="16">
        <v>0</v>
      </c>
      <c r="MW169" s="16">
        <v>0</v>
      </c>
      <c r="MX169" s="16">
        <v>0</v>
      </c>
      <c r="MY169" s="16">
        <v>0</v>
      </c>
      <c r="MZ169" s="16">
        <v>0</v>
      </c>
      <c r="NA169" s="16">
        <v>0</v>
      </c>
      <c r="NB169" s="16">
        <v>1393</v>
      </c>
      <c r="NC169" s="16">
        <v>7</v>
      </c>
      <c r="ND169" s="16">
        <v>0</v>
      </c>
      <c r="NE169" s="16">
        <v>0</v>
      </c>
      <c r="NF169" s="16">
        <v>0</v>
      </c>
      <c r="NG169" s="16">
        <v>0</v>
      </c>
      <c r="NH169" s="16">
        <v>0</v>
      </c>
      <c r="NI169" s="16">
        <v>0</v>
      </c>
      <c r="NJ169" s="16">
        <v>0</v>
      </c>
      <c r="NK169" s="16">
        <v>0</v>
      </c>
      <c r="NL169" s="16">
        <v>132</v>
      </c>
      <c r="NM169" s="16">
        <v>0</v>
      </c>
      <c r="NN169" s="16">
        <v>0</v>
      </c>
      <c r="NO169" s="16">
        <v>0</v>
      </c>
      <c r="NP169" s="16">
        <v>0</v>
      </c>
      <c r="NQ169" s="16">
        <v>7</v>
      </c>
      <c r="NR169" s="17">
        <v>9294460</v>
      </c>
    </row>
    <row r="170" spans="1:382" ht="13.5" customHeight="1" x14ac:dyDescent="0.2">
      <c r="A170" s="2" t="s">
        <v>347</v>
      </c>
      <c r="B170" s="16">
        <v>0</v>
      </c>
      <c r="C170" s="16">
        <v>0</v>
      </c>
      <c r="D170" s="16">
        <v>0</v>
      </c>
      <c r="E170" s="16">
        <v>0</v>
      </c>
      <c r="F170" s="16">
        <v>0</v>
      </c>
      <c r="G170" s="16">
        <v>0</v>
      </c>
      <c r="H170" s="16">
        <v>266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2936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8534</v>
      </c>
      <c r="AN170" s="16">
        <v>0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0</v>
      </c>
      <c r="AU170" s="16">
        <v>1194</v>
      </c>
      <c r="AV170" s="16">
        <v>0</v>
      </c>
      <c r="AW170" s="16">
        <v>0</v>
      </c>
      <c r="AX170" s="16">
        <v>0</v>
      </c>
      <c r="AY170" s="16">
        <v>0</v>
      </c>
      <c r="AZ170" s="16">
        <v>3727</v>
      </c>
      <c r="BA170" s="16">
        <v>68</v>
      </c>
      <c r="BB170" s="16">
        <v>413</v>
      </c>
      <c r="BC170" s="16">
        <v>0</v>
      </c>
      <c r="BD170" s="16">
        <v>0</v>
      </c>
      <c r="BE170" s="16">
        <v>0</v>
      </c>
      <c r="BF170" s="16">
        <v>1822</v>
      </c>
      <c r="BG170" s="16">
        <v>0</v>
      </c>
      <c r="BH170" s="16">
        <v>158</v>
      </c>
      <c r="BI170" s="16">
        <v>0</v>
      </c>
      <c r="BJ170" s="16">
        <v>0</v>
      </c>
      <c r="BK170" s="16">
        <v>0</v>
      </c>
      <c r="BL170" s="16">
        <v>0</v>
      </c>
      <c r="BM170" s="16">
        <v>0</v>
      </c>
      <c r="BN170" s="16">
        <v>0</v>
      </c>
      <c r="BO170" s="16">
        <v>715</v>
      </c>
      <c r="BP170" s="16">
        <v>23</v>
      </c>
      <c r="BQ170" s="16">
        <v>0</v>
      </c>
      <c r="BR170" s="16">
        <v>0</v>
      </c>
      <c r="BS170" s="16">
        <v>0</v>
      </c>
      <c r="BT170" s="16">
        <v>0</v>
      </c>
      <c r="BU170" s="16">
        <v>0</v>
      </c>
      <c r="BV170" s="16">
        <v>0</v>
      </c>
      <c r="BW170" s="16">
        <v>0</v>
      </c>
      <c r="BX170" s="16">
        <v>0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6">
        <v>0</v>
      </c>
      <c r="CF170" s="16">
        <v>306</v>
      </c>
      <c r="CG170" s="16">
        <v>0</v>
      </c>
      <c r="CH170" s="16">
        <v>0</v>
      </c>
      <c r="CI170" s="16">
        <v>0</v>
      </c>
      <c r="CJ170" s="16">
        <v>204</v>
      </c>
      <c r="CK170" s="16">
        <v>2461</v>
      </c>
      <c r="CL170" s="16">
        <v>0</v>
      </c>
      <c r="CM170" s="16">
        <v>1755</v>
      </c>
      <c r="CN170" s="16">
        <v>305</v>
      </c>
      <c r="CO170" s="16">
        <v>0</v>
      </c>
      <c r="CP170" s="16">
        <v>267</v>
      </c>
      <c r="CQ170" s="16">
        <v>791</v>
      </c>
      <c r="CR170" s="16">
        <v>0</v>
      </c>
      <c r="CS170" s="16">
        <v>0</v>
      </c>
      <c r="CT170" s="16">
        <v>0</v>
      </c>
      <c r="CU170" s="16">
        <v>0</v>
      </c>
      <c r="CV170" s="16">
        <v>0</v>
      </c>
      <c r="CW170" s="16">
        <v>0</v>
      </c>
      <c r="CX170" s="16">
        <v>0</v>
      </c>
      <c r="CY170" s="16">
        <v>0</v>
      </c>
      <c r="CZ170" s="16">
        <v>0</v>
      </c>
      <c r="DA170" s="16">
        <v>0</v>
      </c>
      <c r="DB170" s="16">
        <v>0</v>
      </c>
      <c r="DC170" s="16">
        <v>0</v>
      </c>
      <c r="DD170" s="16">
        <v>0</v>
      </c>
      <c r="DE170" s="16">
        <v>0</v>
      </c>
      <c r="DF170" s="16">
        <v>333</v>
      </c>
      <c r="DG170" s="16">
        <v>0</v>
      </c>
      <c r="DH170" s="16">
        <v>0</v>
      </c>
      <c r="DI170" s="16">
        <v>302</v>
      </c>
      <c r="DJ170" s="16">
        <v>0</v>
      </c>
      <c r="DK170" s="16">
        <v>0</v>
      </c>
      <c r="DL170" s="16">
        <v>0</v>
      </c>
      <c r="DM170" s="16">
        <v>3574</v>
      </c>
      <c r="DN170" s="16">
        <v>0</v>
      </c>
      <c r="DO170" s="16">
        <v>2206</v>
      </c>
      <c r="DP170" s="16">
        <v>1894</v>
      </c>
      <c r="DQ170" s="16">
        <v>384</v>
      </c>
      <c r="DR170" s="16">
        <v>45</v>
      </c>
      <c r="DS170" s="16">
        <v>3433</v>
      </c>
      <c r="DT170" s="16">
        <v>0</v>
      </c>
      <c r="DU170" s="16">
        <v>1567</v>
      </c>
      <c r="DV170" s="16">
        <v>1595</v>
      </c>
      <c r="DW170" s="16">
        <v>28373</v>
      </c>
      <c r="DX170" s="16">
        <v>85303</v>
      </c>
      <c r="DY170" s="16">
        <v>37392</v>
      </c>
      <c r="DZ170" s="16">
        <v>33651</v>
      </c>
      <c r="EA170" s="16">
        <v>36174</v>
      </c>
      <c r="EB170" s="16">
        <v>1</v>
      </c>
      <c r="EC170" s="16">
        <v>2026</v>
      </c>
      <c r="ED170" s="16">
        <v>6717</v>
      </c>
      <c r="EE170" s="16">
        <v>67</v>
      </c>
      <c r="EF170" s="16">
        <v>21</v>
      </c>
      <c r="EG170" s="16">
        <v>227</v>
      </c>
      <c r="EH170" s="16">
        <v>134</v>
      </c>
      <c r="EI170" s="16">
        <v>118</v>
      </c>
      <c r="EJ170" s="16">
        <v>1915</v>
      </c>
      <c r="EK170" s="16">
        <v>5739</v>
      </c>
      <c r="EL170" s="16">
        <v>0</v>
      </c>
      <c r="EM170" s="16">
        <v>0</v>
      </c>
      <c r="EN170" s="16">
        <v>0</v>
      </c>
      <c r="EO170" s="16">
        <v>1389</v>
      </c>
      <c r="EP170" s="16">
        <v>0</v>
      </c>
      <c r="EQ170" s="16">
        <v>1842</v>
      </c>
      <c r="ER170" s="16">
        <v>512</v>
      </c>
      <c r="ES170" s="16">
        <v>0</v>
      </c>
      <c r="ET170" s="16">
        <v>1844</v>
      </c>
      <c r="EU170" s="16">
        <v>0</v>
      </c>
      <c r="EV170" s="16">
        <v>0</v>
      </c>
      <c r="EW170" s="16">
        <v>31</v>
      </c>
      <c r="EX170" s="16">
        <v>0</v>
      </c>
      <c r="EY170" s="16">
        <v>0</v>
      </c>
      <c r="EZ170" s="16">
        <v>0</v>
      </c>
      <c r="FA170" s="16">
        <v>0</v>
      </c>
      <c r="FB170" s="16">
        <v>0</v>
      </c>
      <c r="FC170" s="16">
        <v>72</v>
      </c>
      <c r="FD170" s="16">
        <v>22613</v>
      </c>
      <c r="FE170" s="16">
        <v>0</v>
      </c>
      <c r="FF170" s="16">
        <v>15886</v>
      </c>
      <c r="FG170" s="16">
        <v>0</v>
      </c>
      <c r="FH170" s="16">
        <v>40</v>
      </c>
      <c r="FI170" s="16">
        <v>121455</v>
      </c>
      <c r="FJ170" s="16">
        <v>2743</v>
      </c>
      <c r="FK170" s="16">
        <v>0</v>
      </c>
      <c r="FL170" s="16">
        <v>0</v>
      </c>
      <c r="FM170" s="16">
        <v>8484</v>
      </c>
      <c r="FN170" s="16">
        <v>474182</v>
      </c>
      <c r="FO170" s="16">
        <v>655</v>
      </c>
      <c r="FP170" s="16">
        <v>109334</v>
      </c>
      <c r="FQ170" s="16">
        <v>1951588</v>
      </c>
      <c r="FR170" s="16">
        <v>149714</v>
      </c>
      <c r="FS170" s="16">
        <v>33787</v>
      </c>
      <c r="FT170" s="16">
        <v>20293</v>
      </c>
      <c r="FU170" s="16">
        <v>105883</v>
      </c>
      <c r="FV170" s="16">
        <v>173988</v>
      </c>
      <c r="FW170" s="16">
        <v>419</v>
      </c>
      <c r="FX170" s="16">
        <v>517398</v>
      </c>
      <c r="FY170" s="16">
        <v>171217</v>
      </c>
      <c r="FZ170" s="16">
        <v>145218</v>
      </c>
      <c r="GA170" s="16">
        <v>2863</v>
      </c>
      <c r="GB170" s="16">
        <v>94758</v>
      </c>
      <c r="GC170" s="16">
        <v>510359</v>
      </c>
      <c r="GD170" s="16">
        <v>379353</v>
      </c>
      <c r="GE170" s="16">
        <v>2688</v>
      </c>
      <c r="GF170" s="16">
        <v>157080</v>
      </c>
      <c r="GG170" s="16">
        <v>24299</v>
      </c>
      <c r="GH170" s="16">
        <v>39377</v>
      </c>
      <c r="GI170" s="16">
        <v>8830</v>
      </c>
      <c r="GJ170" s="16">
        <v>113773</v>
      </c>
      <c r="GK170" s="16">
        <v>525</v>
      </c>
      <c r="GL170" s="16">
        <v>5099</v>
      </c>
      <c r="GM170" s="16">
        <v>188</v>
      </c>
      <c r="GN170" s="16">
        <v>2109</v>
      </c>
      <c r="GO170" s="16">
        <v>8</v>
      </c>
      <c r="GP170" s="16">
        <v>5868</v>
      </c>
      <c r="GQ170" s="16">
        <v>31711</v>
      </c>
      <c r="GR170" s="16">
        <v>6165</v>
      </c>
      <c r="GS170" s="16">
        <v>610</v>
      </c>
      <c r="GT170" s="16">
        <v>130</v>
      </c>
      <c r="GU170" s="16">
        <v>12341</v>
      </c>
      <c r="GV170" s="16">
        <v>13520</v>
      </c>
      <c r="GW170" s="16">
        <v>4234</v>
      </c>
      <c r="GX170" s="16">
        <v>6098</v>
      </c>
      <c r="GY170" s="16">
        <v>0</v>
      </c>
      <c r="GZ170" s="16">
        <v>49368</v>
      </c>
      <c r="HA170" s="16">
        <v>19739</v>
      </c>
      <c r="HB170" s="16">
        <v>6206</v>
      </c>
      <c r="HC170" s="16">
        <v>29228</v>
      </c>
      <c r="HD170" s="16">
        <v>41274</v>
      </c>
      <c r="HE170" s="16">
        <v>257176</v>
      </c>
      <c r="HF170" s="16">
        <v>209364</v>
      </c>
      <c r="HG170" s="16">
        <v>12414</v>
      </c>
      <c r="HH170" s="16">
        <v>8504</v>
      </c>
      <c r="HI170" s="16">
        <v>28417</v>
      </c>
      <c r="HJ170" s="16">
        <v>10479</v>
      </c>
      <c r="HK170" s="16">
        <v>20050</v>
      </c>
      <c r="HL170" s="16">
        <v>64262</v>
      </c>
      <c r="HM170" s="16">
        <v>28674</v>
      </c>
      <c r="HN170" s="16">
        <v>140606</v>
      </c>
      <c r="HO170" s="16">
        <v>418</v>
      </c>
      <c r="HP170" s="16">
        <v>64332</v>
      </c>
      <c r="HQ170" s="16">
        <v>26996</v>
      </c>
      <c r="HR170" s="16">
        <v>361574</v>
      </c>
      <c r="HS170" s="16">
        <v>60358</v>
      </c>
      <c r="HT170" s="16">
        <v>1999</v>
      </c>
      <c r="HU170" s="16">
        <v>136709</v>
      </c>
      <c r="HV170" s="16">
        <v>8219</v>
      </c>
      <c r="HW170" s="16">
        <v>6457</v>
      </c>
      <c r="HX170" s="16">
        <v>4404</v>
      </c>
      <c r="HY170" s="16">
        <v>5633</v>
      </c>
      <c r="HZ170" s="16">
        <v>123286</v>
      </c>
      <c r="IA170" s="16">
        <v>1152</v>
      </c>
      <c r="IB170" s="16">
        <v>3589</v>
      </c>
      <c r="IC170" s="16">
        <v>2262</v>
      </c>
      <c r="ID170" s="16">
        <v>13216</v>
      </c>
      <c r="IE170" s="16">
        <v>4219</v>
      </c>
      <c r="IF170" s="16">
        <v>7373</v>
      </c>
      <c r="IG170" s="16">
        <v>64996</v>
      </c>
      <c r="IH170" s="16">
        <v>49292</v>
      </c>
      <c r="II170" s="16">
        <v>6291</v>
      </c>
      <c r="IJ170" s="16">
        <v>1369</v>
      </c>
      <c r="IK170" s="16">
        <v>18461</v>
      </c>
      <c r="IL170" s="16">
        <v>4503</v>
      </c>
      <c r="IM170" s="16">
        <v>14013</v>
      </c>
      <c r="IN170" s="16">
        <v>7962</v>
      </c>
      <c r="IO170" s="16">
        <v>748176</v>
      </c>
      <c r="IP170" s="16">
        <v>20959</v>
      </c>
      <c r="IQ170" s="16">
        <v>715</v>
      </c>
      <c r="IR170" s="16">
        <v>2946</v>
      </c>
      <c r="IS170" s="16">
        <v>842</v>
      </c>
      <c r="IT170" s="16">
        <v>198270</v>
      </c>
      <c r="IU170" s="16">
        <v>177</v>
      </c>
      <c r="IV170" s="16">
        <v>35299</v>
      </c>
      <c r="IW170" s="16">
        <v>988</v>
      </c>
      <c r="IX170" s="16">
        <v>126696</v>
      </c>
      <c r="IY170" s="16">
        <v>1279</v>
      </c>
      <c r="IZ170" s="16">
        <v>284</v>
      </c>
      <c r="JA170" s="16">
        <v>21307</v>
      </c>
      <c r="JB170" s="16">
        <v>1156</v>
      </c>
      <c r="JC170" s="16">
        <v>2590</v>
      </c>
      <c r="JD170" s="16">
        <v>3828</v>
      </c>
      <c r="JE170" s="16">
        <v>107124</v>
      </c>
      <c r="JF170" s="16">
        <v>1818</v>
      </c>
      <c r="JG170" s="16">
        <v>91320</v>
      </c>
      <c r="JH170" s="16">
        <v>43</v>
      </c>
      <c r="JI170" s="16">
        <v>0</v>
      </c>
      <c r="JJ170" s="16">
        <v>0</v>
      </c>
      <c r="JK170" s="16">
        <v>0</v>
      </c>
      <c r="JL170" s="16">
        <v>0</v>
      </c>
      <c r="JM170" s="16">
        <v>0</v>
      </c>
      <c r="JN170" s="16">
        <v>0</v>
      </c>
      <c r="JO170" s="16">
        <v>0</v>
      </c>
      <c r="JP170" s="16">
        <v>0</v>
      </c>
      <c r="JQ170" s="16">
        <v>0</v>
      </c>
      <c r="JR170" s="16">
        <v>0</v>
      </c>
      <c r="JS170" s="16">
        <v>0</v>
      </c>
      <c r="JT170" s="16">
        <v>0</v>
      </c>
      <c r="JU170" s="16">
        <v>0</v>
      </c>
      <c r="JV170" s="16">
        <v>0</v>
      </c>
      <c r="JW170" s="16">
        <v>57461</v>
      </c>
      <c r="JX170" s="16">
        <v>367258</v>
      </c>
      <c r="JY170" s="16">
        <v>73825</v>
      </c>
      <c r="JZ170" s="16">
        <v>29412</v>
      </c>
      <c r="KA170" s="16">
        <v>100</v>
      </c>
      <c r="KB170" s="16">
        <v>11</v>
      </c>
      <c r="KC170" s="16">
        <v>95</v>
      </c>
      <c r="KD170" s="16">
        <v>986</v>
      </c>
      <c r="KE170" s="16">
        <v>0</v>
      </c>
      <c r="KF170" s="16">
        <v>482</v>
      </c>
      <c r="KG170" s="16">
        <v>3972</v>
      </c>
      <c r="KH170" s="16">
        <v>135</v>
      </c>
      <c r="KI170" s="16">
        <v>5070</v>
      </c>
      <c r="KJ170" s="16">
        <v>13344</v>
      </c>
      <c r="KK170" s="16">
        <v>2198</v>
      </c>
      <c r="KL170" s="16">
        <v>0</v>
      </c>
      <c r="KM170" s="16">
        <v>0</v>
      </c>
      <c r="KN170" s="16">
        <v>0</v>
      </c>
      <c r="KO170" s="16">
        <v>0</v>
      </c>
      <c r="KP170" s="16">
        <v>0</v>
      </c>
      <c r="KQ170" s="16">
        <v>85276</v>
      </c>
      <c r="KR170" s="16">
        <v>0</v>
      </c>
      <c r="KS170" s="16">
        <v>0</v>
      </c>
      <c r="KT170" s="16">
        <v>0</v>
      </c>
      <c r="KU170" s="16">
        <v>0</v>
      </c>
      <c r="KV170" s="16">
        <v>0</v>
      </c>
      <c r="KW170" s="16">
        <v>0</v>
      </c>
      <c r="KX170" s="16">
        <v>0</v>
      </c>
      <c r="KY170" s="16">
        <v>0</v>
      </c>
      <c r="KZ170" s="16">
        <v>17208</v>
      </c>
      <c r="LA170" s="16">
        <v>12353</v>
      </c>
      <c r="LB170" s="16">
        <v>558</v>
      </c>
      <c r="LC170" s="16">
        <v>0</v>
      </c>
      <c r="LD170" s="16">
        <v>0</v>
      </c>
      <c r="LE170" s="16">
        <v>0</v>
      </c>
      <c r="LF170" s="16">
        <v>0</v>
      </c>
      <c r="LG170" s="16">
        <v>0</v>
      </c>
      <c r="LH170" s="16">
        <v>0</v>
      </c>
      <c r="LI170" s="16">
        <v>0</v>
      </c>
      <c r="LJ170" s="16">
        <v>0</v>
      </c>
      <c r="LK170" s="16">
        <v>0</v>
      </c>
      <c r="LL170" s="16">
        <v>0</v>
      </c>
      <c r="LM170" s="16">
        <v>0</v>
      </c>
      <c r="LN170" s="16">
        <v>0</v>
      </c>
      <c r="LO170" s="16">
        <v>0</v>
      </c>
      <c r="LP170" s="16">
        <v>0</v>
      </c>
      <c r="LQ170" s="16">
        <v>0</v>
      </c>
      <c r="LR170" s="16">
        <v>0</v>
      </c>
      <c r="LS170" s="16">
        <v>0</v>
      </c>
      <c r="LT170" s="16">
        <v>0</v>
      </c>
      <c r="LU170" s="16">
        <v>0</v>
      </c>
      <c r="LV170" s="16">
        <v>0</v>
      </c>
      <c r="LW170" s="16">
        <v>0</v>
      </c>
      <c r="LX170" s="16">
        <v>0</v>
      </c>
      <c r="LY170" s="16">
        <v>0</v>
      </c>
      <c r="LZ170" s="16">
        <v>53</v>
      </c>
      <c r="MA170" s="16">
        <v>0</v>
      </c>
      <c r="MB170" s="16">
        <v>0</v>
      </c>
      <c r="MC170" s="16">
        <v>3591</v>
      </c>
      <c r="MD170" s="16">
        <v>0</v>
      </c>
      <c r="ME170" s="16">
        <v>0</v>
      </c>
      <c r="MF170" s="16">
        <v>3925</v>
      </c>
      <c r="MG170" s="16">
        <v>0</v>
      </c>
      <c r="MH170" s="16">
        <v>0</v>
      </c>
      <c r="MI170" s="16">
        <v>0</v>
      </c>
      <c r="MJ170" s="16">
        <v>0</v>
      </c>
      <c r="MK170" s="16">
        <v>0</v>
      </c>
      <c r="ML170" s="16">
        <v>0</v>
      </c>
      <c r="MM170" s="16">
        <v>0</v>
      </c>
      <c r="MN170" s="16">
        <v>0</v>
      </c>
      <c r="MO170" s="16">
        <v>0</v>
      </c>
      <c r="MP170" s="16">
        <v>0</v>
      </c>
      <c r="MQ170" s="16">
        <v>0</v>
      </c>
      <c r="MR170" s="16">
        <v>136</v>
      </c>
      <c r="MS170" s="16">
        <v>0</v>
      </c>
      <c r="MT170" s="16">
        <v>0</v>
      </c>
      <c r="MU170" s="16">
        <v>2242</v>
      </c>
      <c r="MV170" s="16">
        <v>0</v>
      </c>
      <c r="MW170" s="16">
        <v>0</v>
      </c>
      <c r="MX170" s="16">
        <v>0</v>
      </c>
      <c r="MY170" s="16">
        <v>0</v>
      </c>
      <c r="MZ170" s="16">
        <v>6472</v>
      </c>
      <c r="NA170" s="16">
        <v>0</v>
      </c>
      <c r="NB170" s="16">
        <v>0</v>
      </c>
      <c r="NC170" s="16">
        <v>0</v>
      </c>
      <c r="ND170" s="16">
        <v>0</v>
      </c>
      <c r="NE170" s="16">
        <v>0</v>
      </c>
      <c r="NF170" s="16">
        <v>0</v>
      </c>
      <c r="NG170" s="16">
        <v>0</v>
      </c>
      <c r="NH170" s="16">
        <v>0</v>
      </c>
      <c r="NI170" s="16">
        <v>0</v>
      </c>
      <c r="NJ170" s="16">
        <v>0</v>
      </c>
      <c r="NK170" s="16">
        <v>0</v>
      </c>
      <c r="NL170" s="16">
        <v>120</v>
      </c>
      <c r="NM170" s="16">
        <v>0</v>
      </c>
      <c r="NN170" s="16">
        <v>0</v>
      </c>
      <c r="NO170" s="16">
        <v>0</v>
      </c>
      <c r="NP170" s="16">
        <v>0</v>
      </c>
      <c r="NQ170" s="16">
        <v>1</v>
      </c>
      <c r="NR170" s="17">
        <v>9708654</v>
      </c>
    </row>
    <row r="171" spans="1:382" ht="13.5" customHeight="1" x14ac:dyDescent="0.2">
      <c r="A171" s="2" t="s">
        <v>349</v>
      </c>
      <c r="B171" s="16">
        <v>0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15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144</v>
      </c>
      <c r="Y171" s="16">
        <v>1030</v>
      </c>
      <c r="Z171" s="16">
        <v>0</v>
      </c>
      <c r="AA171" s="16">
        <v>97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0</v>
      </c>
      <c r="AN171" s="16">
        <v>0</v>
      </c>
      <c r="AO171" s="16">
        <v>0</v>
      </c>
      <c r="AP171" s="16">
        <v>0</v>
      </c>
      <c r="AQ171" s="16">
        <v>0</v>
      </c>
      <c r="AR171" s="16">
        <v>0</v>
      </c>
      <c r="AS171" s="16">
        <v>0</v>
      </c>
      <c r="AT171" s="16">
        <v>0</v>
      </c>
      <c r="AU171" s="16">
        <v>0</v>
      </c>
      <c r="AV171" s="16">
        <v>0</v>
      </c>
      <c r="AW171" s="16">
        <v>0</v>
      </c>
      <c r="AX171" s="16">
        <v>0</v>
      </c>
      <c r="AY171" s="16">
        <v>0</v>
      </c>
      <c r="AZ171" s="16">
        <v>0</v>
      </c>
      <c r="BA171" s="16">
        <v>0</v>
      </c>
      <c r="BB171" s="16">
        <v>0</v>
      </c>
      <c r="BC171" s="16">
        <v>0</v>
      </c>
      <c r="BD171" s="16">
        <v>0</v>
      </c>
      <c r="BE171" s="16">
        <v>0</v>
      </c>
      <c r="BF171" s="16">
        <v>0</v>
      </c>
      <c r="BG171" s="16">
        <v>0</v>
      </c>
      <c r="BH171" s="16">
        <v>0</v>
      </c>
      <c r="BI171" s="16">
        <v>0</v>
      </c>
      <c r="BJ171" s="16">
        <v>0</v>
      </c>
      <c r="BK171" s="16">
        <v>0</v>
      </c>
      <c r="BL171" s="16">
        <v>0</v>
      </c>
      <c r="BM171" s="16">
        <v>0</v>
      </c>
      <c r="BN171" s="16">
        <v>0</v>
      </c>
      <c r="BO171" s="16">
        <v>0</v>
      </c>
      <c r="BP171" s="16">
        <v>0</v>
      </c>
      <c r="BQ171" s="16">
        <v>0</v>
      </c>
      <c r="BR171" s="16">
        <v>171</v>
      </c>
      <c r="BS171" s="16">
        <v>0</v>
      </c>
      <c r="BT171" s="16">
        <v>0</v>
      </c>
      <c r="BU171" s="16">
        <v>0</v>
      </c>
      <c r="BV171" s="16">
        <v>0</v>
      </c>
      <c r="BW171" s="16">
        <v>0</v>
      </c>
      <c r="BX171" s="16">
        <v>0</v>
      </c>
      <c r="BY171" s="16">
        <v>0</v>
      </c>
      <c r="BZ171" s="16">
        <v>0</v>
      </c>
      <c r="CA171" s="16">
        <v>0</v>
      </c>
      <c r="CB171" s="16">
        <v>0</v>
      </c>
      <c r="CC171" s="16">
        <v>0</v>
      </c>
      <c r="CD171" s="16">
        <v>0</v>
      </c>
      <c r="CE171" s="16">
        <v>0</v>
      </c>
      <c r="CF171" s="16">
        <v>0</v>
      </c>
      <c r="CG171" s="16">
        <v>0</v>
      </c>
      <c r="CH171" s="16">
        <v>0</v>
      </c>
      <c r="CI171" s="16">
        <v>0</v>
      </c>
      <c r="CJ171" s="16">
        <v>263</v>
      </c>
      <c r="CK171" s="16">
        <v>17</v>
      </c>
      <c r="CL171" s="16">
        <v>59</v>
      </c>
      <c r="CM171" s="16">
        <v>1001</v>
      </c>
      <c r="CN171" s="16">
        <v>0</v>
      </c>
      <c r="CO171" s="16">
        <v>0</v>
      </c>
      <c r="CP171" s="16">
        <v>512</v>
      </c>
      <c r="CQ171" s="16">
        <v>0</v>
      </c>
      <c r="CR171" s="16">
        <v>4874</v>
      </c>
      <c r="CS171" s="16">
        <v>1327</v>
      </c>
      <c r="CT171" s="16">
        <v>677</v>
      </c>
      <c r="CU171" s="16">
        <v>567</v>
      </c>
      <c r="CV171" s="16">
        <v>657</v>
      </c>
      <c r="CW171" s="16">
        <v>1728</v>
      </c>
      <c r="CX171" s="16">
        <v>3966</v>
      </c>
      <c r="CY171" s="16">
        <v>272</v>
      </c>
      <c r="CZ171" s="16">
        <v>0</v>
      </c>
      <c r="DA171" s="16">
        <v>0</v>
      </c>
      <c r="DB171" s="16">
        <v>2096</v>
      </c>
      <c r="DC171" s="16">
        <v>0</v>
      </c>
      <c r="DD171" s="16">
        <v>0</v>
      </c>
      <c r="DE171" s="16">
        <v>1437</v>
      </c>
      <c r="DF171" s="16">
        <v>2547</v>
      </c>
      <c r="DG171" s="16">
        <v>0</v>
      </c>
      <c r="DH171" s="16">
        <v>129694</v>
      </c>
      <c r="DI171" s="16">
        <v>16</v>
      </c>
      <c r="DJ171" s="16">
        <v>2666</v>
      </c>
      <c r="DK171" s="16">
        <v>0</v>
      </c>
      <c r="DL171" s="16">
        <v>0</v>
      </c>
      <c r="DM171" s="16">
        <v>5860</v>
      </c>
      <c r="DN171" s="16">
        <v>66</v>
      </c>
      <c r="DO171" s="16">
        <v>0</v>
      </c>
      <c r="DP171" s="16">
        <v>3087</v>
      </c>
      <c r="DQ171" s="16">
        <v>983</v>
      </c>
      <c r="DR171" s="16">
        <v>88</v>
      </c>
      <c r="DS171" s="16">
        <v>993</v>
      </c>
      <c r="DT171" s="16">
        <v>55492</v>
      </c>
      <c r="DU171" s="16">
        <v>0</v>
      </c>
      <c r="DV171" s="16">
        <v>567873</v>
      </c>
      <c r="DW171" s="16">
        <v>551</v>
      </c>
      <c r="DX171" s="16">
        <v>218</v>
      </c>
      <c r="DY171" s="16">
        <v>301</v>
      </c>
      <c r="DZ171" s="16">
        <v>761</v>
      </c>
      <c r="EA171" s="16">
        <v>1159</v>
      </c>
      <c r="EB171" s="16">
        <v>7</v>
      </c>
      <c r="EC171" s="16">
        <v>309</v>
      </c>
      <c r="ED171" s="16">
        <v>0</v>
      </c>
      <c r="EE171" s="16">
        <v>232</v>
      </c>
      <c r="EF171" s="16">
        <v>27</v>
      </c>
      <c r="EG171" s="16">
        <v>298</v>
      </c>
      <c r="EH171" s="16">
        <v>802</v>
      </c>
      <c r="EI171" s="16">
        <v>116</v>
      </c>
      <c r="EJ171" s="16">
        <v>2075</v>
      </c>
      <c r="EK171" s="16">
        <v>6</v>
      </c>
      <c r="EL171" s="16">
        <v>48</v>
      </c>
      <c r="EM171" s="16">
        <v>456</v>
      </c>
      <c r="EN171" s="16">
        <v>0</v>
      </c>
      <c r="EO171" s="16">
        <v>0</v>
      </c>
      <c r="EP171" s="16">
        <v>0</v>
      </c>
      <c r="EQ171" s="16">
        <v>0</v>
      </c>
      <c r="ER171" s="16">
        <v>0</v>
      </c>
      <c r="ES171" s="16">
        <v>0</v>
      </c>
      <c r="ET171" s="16">
        <v>0</v>
      </c>
      <c r="EU171" s="16">
        <v>5943</v>
      </c>
      <c r="EV171" s="16">
        <v>2692</v>
      </c>
      <c r="EW171" s="16">
        <v>1180</v>
      </c>
      <c r="EX171" s="16">
        <v>0</v>
      </c>
      <c r="EY171" s="16">
        <v>68</v>
      </c>
      <c r="EZ171" s="16">
        <v>0</v>
      </c>
      <c r="FA171" s="16">
        <v>25809</v>
      </c>
      <c r="FB171" s="16">
        <v>0</v>
      </c>
      <c r="FC171" s="16">
        <v>3020</v>
      </c>
      <c r="FD171" s="16">
        <v>74362</v>
      </c>
      <c r="FE171" s="16">
        <v>22877</v>
      </c>
      <c r="FF171" s="16">
        <v>18105</v>
      </c>
      <c r="FG171" s="16">
        <v>6339</v>
      </c>
      <c r="FH171" s="16">
        <v>8764</v>
      </c>
      <c r="FI171" s="16">
        <v>15750</v>
      </c>
      <c r="FJ171" s="16">
        <v>1656</v>
      </c>
      <c r="FK171" s="16">
        <v>327874</v>
      </c>
      <c r="FL171" s="16">
        <v>8007</v>
      </c>
      <c r="FM171" s="16">
        <v>38584</v>
      </c>
      <c r="FN171" s="16">
        <v>199332</v>
      </c>
      <c r="FO171" s="16">
        <v>153513</v>
      </c>
      <c r="FP171" s="16">
        <v>6366</v>
      </c>
      <c r="FQ171" s="16">
        <v>15803</v>
      </c>
      <c r="FR171" s="16">
        <v>6101</v>
      </c>
      <c r="FS171" s="16">
        <v>539</v>
      </c>
      <c r="FT171" s="16">
        <v>13574</v>
      </c>
      <c r="FU171" s="16">
        <v>3469</v>
      </c>
      <c r="FV171" s="16">
        <v>7550</v>
      </c>
      <c r="FW171" s="16">
        <v>63202</v>
      </c>
      <c r="FX171" s="16">
        <v>59332</v>
      </c>
      <c r="FY171" s="16">
        <v>14494</v>
      </c>
      <c r="FZ171" s="16">
        <v>89924</v>
      </c>
      <c r="GA171" s="16">
        <v>46724</v>
      </c>
      <c r="GB171" s="16">
        <v>70578</v>
      </c>
      <c r="GC171" s="16">
        <v>30522</v>
      </c>
      <c r="GD171" s="16">
        <v>51158</v>
      </c>
      <c r="GE171" s="16">
        <v>298685</v>
      </c>
      <c r="GF171" s="16">
        <v>934641</v>
      </c>
      <c r="GG171" s="16">
        <v>26413</v>
      </c>
      <c r="GH171" s="16">
        <v>32471</v>
      </c>
      <c r="GI171" s="16">
        <v>13455</v>
      </c>
      <c r="GJ171" s="16">
        <v>24269</v>
      </c>
      <c r="GK171" s="16">
        <v>319800</v>
      </c>
      <c r="GL171" s="16">
        <v>3</v>
      </c>
      <c r="GM171" s="16">
        <v>1733</v>
      </c>
      <c r="GN171" s="16">
        <v>535</v>
      </c>
      <c r="GO171" s="16">
        <v>359</v>
      </c>
      <c r="GP171" s="16">
        <v>16753</v>
      </c>
      <c r="GQ171" s="16">
        <v>3067</v>
      </c>
      <c r="GR171" s="16">
        <v>176</v>
      </c>
      <c r="GS171" s="16">
        <v>607</v>
      </c>
      <c r="GT171" s="16">
        <v>186</v>
      </c>
      <c r="GU171" s="16">
        <v>86220</v>
      </c>
      <c r="GV171" s="16">
        <v>6628</v>
      </c>
      <c r="GW171" s="16">
        <v>5901</v>
      </c>
      <c r="GX171" s="16">
        <v>3856</v>
      </c>
      <c r="GY171" s="16">
        <v>348</v>
      </c>
      <c r="GZ171" s="16">
        <v>82036</v>
      </c>
      <c r="HA171" s="16">
        <v>15619</v>
      </c>
      <c r="HB171" s="16">
        <v>3336</v>
      </c>
      <c r="HC171" s="16">
        <v>21776</v>
      </c>
      <c r="HD171" s="16">
        <v>28310</v>
      </c>
      <c r="HE171" s="16">
        <v>1042848</v>
      </c>
      <c r="HF171" s="16">
        <v>98041</v>
      </c>
      <c r="HG171" s="16">
        <v>791</v>
      </c>
      <c r="HH171" s="16">
        <v>2253</v>
      </c>
      <c r="HI171" s="16">
        <v>3817</v>
      </c>
      <c r="HJ171" s="16">
        <v>752</v>
      </c>
      <c r="HK171" s="16">
        <v>17048</v>
      </c>
      <c r="HL171" s="16">
        <v>43135</v>
      </c>
      <c r="HM171" s="16">
        <v>1899</v>
      </c>
      <c r="HN171" s="16">
        <v>10430</v>
      </c>
      <c r="HO171" s="16">
        <v>8966</v>
      </c>
      <c r="HP171" s="16">
        <v>702</v>
      </c>
      <c r="HQ171" s="16">
        <v>4491</v>
      </c>
      <c r="HR171" s="16">
        <v>9123</v>
      </c>
      <c r="HS171" s="16">
        <v>3198</v>
      </c>
      <c r="HT171" s="16">
        <v>839</v>
      </c>
      <c r="HU171" s="16">
        <v>64200</v>
      </c>
      <c r="HV171" s="16">
        <v>1712</v>
      </c>
      <c r="HW171" s="16">
        <v>4688</v>
      </c>
      <c r="HX171" s="16">
        <v>4060</v>
      </c>
      <c r="HY171" s="16">
        <v>17054</v>
      </c>
      <c r="HZ171" s="16">
        <v>528</v>
      </c>
      <c r="IA171" s="16">
        <v>5184</v>
      </c>
      <c r="IB171" s="16">
        <v>1279</v>
      </c>
      <c r="IC171" s="16">
        <v>200</v>
      </c>
      <c r="ID171" s="16">
        <v>1762</v>
      </c>
      <c r="IE171" s="16">
        <v>196</v>
      </c>
      <c r="IF171" s="16">
        <v>1085</v>
      </c>
      <c r="IG171" s="16">
        <v>12845</v>
      </c>
      <c r="IH171" s="16">
        <v>1831</v>
      </c>
      <c r="II171" s="16">
        <v>227</v>
      </c>
      <c r="IJ171" s="16">
        <v>277</v>
      </c>
      <c r="IK171" s="16">
        <v>1358</v>
      </c>
      <c r="IL171" s="16">
        <v>889</v>
      </c>
      <c r="IM171" s="16">
        <v>200</v>
      </c>
      <c r="IN171" s="16">
        <v>1113</v>
      </c>
      <c r="IO171" s="16">
        <v>186433</v>
      </c>
      <c r="IP171" s="16">
        <v>27796</v>
      </c>
      <c r="IQ171" s="16">
        <v>104</v>
      </c>
      <c r="IR171" s="16">
        <v>947</v>
      </c>
      <c r="IS171" s="16">
        <v>156</v>
      </c>
      <c r="IT171" s="16">
        <v>123402</v>
      </c>
      <c r="IU171" s="16">
        <v>10</v>
      </c>
      <c r="IV171" s="16">
        <v>2158</v>
      </c>
      <c r="IW171" s="16">
        <v>383</v>
      </c>
      <c r="IX171" s="16">
        <v>1433</v>
      </c>
      <c r="IY171" s="16">
        <v>249</v>
      </c>
      <c r="IZ171" s="16">
        <v>116</v>
      </c>
      <c r="JA171" s="16">
        <v>2598</v>
      </c>
      <c r="JB171" s="16">
        <v>81</v>
      </c>
      <c r="JC171" s="16">
        <v>2406</v>
      </c>
      <c r="JD171" s="16">
        <v>39547</v>
      </c>
      <c r="JE171" s="16">
        <v>26204</v>
      </c>
      <c r="JF171" s="16">
        <v>10081</v>
      </c>
      <c r="JG171" s="16">
        <v>74465</v>
      </c>
      <c r="JH171" s="16">
        <v>487</v>
      </c>
      <c r="JI171" s="16">
        <v>0</v>
      </c>
      <c r="JJ171" s="16">
        <v>2951</v>
      </c>
      <c r="JK171" s="16">
        <v>32678</v>
      </c>
      <c r="JL171" s="16">
        <v>0</v>
      </c>
      <c r="JM171" s="16">
        <v>0</v>
      </c>
      <c r="JN171" s="16">
        <v>192</v>
      </c>
      <c r="JO171" s="16">
        <v>0</v>
      </c>
      <c r="JP171" s="16">
        <v>0</v>
      </c>
      <c r="JQ171" s="16">
        <v>0</v>
      </c>
      <c r="JR171" s="16">
        <v>0</v>
      </c>
      <c r="JS171" s="16">
        <v>0</v>
      </c>
      <c r="JT171" s="16">
        <v>0</v>
      </c>
      <c r="JU171" s="16">
        <v>0</v>
      </c>
      <c r="JV171" s="16">
        <v>0</v>
      </c>
      <c r="JW171" s="16">
        <v>6854</v>
      </c>
      <c r="JX171" s="16">
        <v>23574</v>
      </c>
      <c r="JY171" s="16">
        <v>4810</v>
      </c>
      <c r="JZ171" s="16">
        <v>4483</v>
      </c>
      <c r="KA171" s="16">
        <v>707</v>
      </c>
      <c r="KB171" s="16">
        <v>130</v>
      </c>
      <c r="KC171" s="16">
        <v>445</v>
      </c>
      <c r="KD171" s="16">
        <v>1605</v>
      </c>
      <c r="KE171" s="16">
        <v>130</v>
      </c>
      <c r="KF171" s="16">
        <v>2012</v>
      </c>
      <c r="KG171" s="16">
        <v>1126</v>
      </c>
      <c r="KH171" s="16">
        <v>1520</v>
      </c>
      <c r="KI171" s="16">
        <v>2371</v>
      </c>
      <c r="KJ171" s="16">
        <v>4243</v>
      </c>
      <c r="KK171" s="16">
        <v>0</v>
      </c>
      <c r="KL171" s="16">
        <v>0</v>
      </c>
      <c r="KM171" s="16">
        <v>0</v>
      </c>
      <c r="KN171" s="16">
        <v>0</v>
      </c>
      <c r="KO171" s="16">
        <v>0</v>
      </c>
      <c r="KP171" s="16">
        <v>0</v>
      </c>
      <c r="KQ171" s="16">
        <v>33912</v>
      </c>
      <c r="KR171" s="16">
        <v>1541</v>
      </c>
      <c r="KS171" s="16">
        <v>0</v>
      </c>
      <c r="KT171" s="16">
        <v>0</v>
      </c>
      <c r="KU171" s="16">
        <v>0</v>
      </c>
      <c r="KV171" s="16">
        <v>4864</v>
      </c>
      <c r="KW171" s="16">
        <v>0</v>
      </c>
      <c r="KX171" s="16">
        <v>0</v>
      </c>
      <c r="KY171" s="16">
        <v>0</v>
      </c>
      <c r="KZ171" s="16">
        <v>0</v>
      </c>
      <c r="LA171" s="16">
        <v>0</v>
      </c>
      <c r="LB171" s="16">
        <v>0</v>
      </c>
      <c r="LC171" s="16">
        <v>0</v>
      </c>
      <c r="LD171" s="16">
        <v>0</v>
      </c>
      <c r="LE171" s="16">
        <v>0</v>
      </c>
      <c r="LF171" s="16">
        <v>0</v>
      </c>
      <c r="LG171" s="16">
        <v>0</v>
      </c>
      <c r="LH171" s="16">
        <v>0</v>
      </c>
      <c r="LI171" s="16">
        <v>0</v>
      </c>
      <c r="LJ171" s="16">
        <v>0</v>
      </c>
      <c r="LK171" s="16">
        <v>0</v>
      </c>
      <c r="LL171" s="16">
        <v>0</v>
      </c>
      <c r="LM171" s="16">
        <v>0</v>
      </c>
      <c r="LN171" s="16">
        <v>0</v>
      </c>
      <c r="LO171" s="16">
        <v>0</v>
      </c>
      <c r="LP171" s="16">
        <v>0</v>
      </c>
      <c r="LQ171" s="16">
        <v>0</v>
      </c>
      <c r="LR171" s="16">
        <v>0</v>
      </c>
      <c r="LS171" s="16">
        <v>0</v>
      </c>
      <c r="LT171" s="16">
        <v>0</v>
      </c>
      <c r="LU171" s="16">
        <v>0</v>
      </c>
      <c r="LV171" s="16">
        <v>0</v>
      </c>
      <c r="LW171" s="16">
        <v>0</v>
      </c>
      <c r="LX171" s="16">
        <v>0</v>
      </c>
      <c r="LY171" s="16">
        <v>0</v>
      </c>
      <c r="LZ171" s="16">
        <v>0</v>
      </c>
      <c r="MA171" s="16">
        <v>0</v>
      </c>
      <c r="MB171" s="16">
        <v>0</v>
      </c>
      <c r="MC171" s="16">
        <v>4937</v>
      </c>
      <c r="MD171" s="16">
        <v>992</v>
      </c>
      <c r="ME171" s="16">
        <v>1188</v>
      </c>
      <c r="MF171" s="16">
        <v>12450</v>
      </c>
      <c r="MG171" s="16">
        <v>0</v>
      </c>
      <c r="MH171" s="16">
        <v>0</v>
      </c>
      <c r="MI171" s="16">
        <v>0</v>
      </c>
      <c r="MJ171" s="16">
        <v>0</v>
      </c>
      <c r="MK171" s="16">
        <v>116</v>
      </c>
      <c r="ML171" s="16">
        <v>0</v>
      </c>
      <c r="MM171" s="16">
        <v>0</v>
      </c>
      <c r="MN171" s="16">
        <v>0</v>
      </c>
      <c r="MO171" s="16">
        <v>0</v>
      </c>
      <c r="MP171" s="16">
        <v>0</v>
      </c>
      <c r="MQ171" s="16">
        <v>0</v>
      </c>
      <c r="MR171" s="16">
        <v>0</v>
      </c>
      <c r="MS171" s="16">
        <v>0</v>
      </c>
      <c r="MT171" s="16">
        <v>0</v>
      </c>
      <c r="MU171" s="16">
        <v>0</v>
      </c>
      <c r="MV171" s="16">
        <v>0</v>
      </c>
      <c r="MW171" s="16">
        <v>0</v>
      </c>
      <c r="MX171" s="16">
        <v>0</v>
      </c>
      <c r="MY171" s="16">
        <v>324</v>
      </c>
      <c r="MZ171" s="16">
        <v>15148</v>
      </c>
      <c r="NA171" s="16">
        <v>0</v>
      </c>
      <c r="NB171" s="16">
        <v>0</v>
      </c>
      <c r="NC171" s="16">
        <v>0</v>
      </c>
      <c r="ND171" s="16">
        <v>0</v>
      </c>
      <c r="NE171" s="16">
        <v>0</v>
      </c>
      <c r="NF171" s="16">
        <v>0</v>
      </c>
      <c r="NG171" s="16">
        <v>0</v>
      </c>
      <c r="NH171" s="16">
        <v>0</v>
      </c>
      <c r="NI171" s="16">
        <v>0</v>
      </c>
      <c r="NJ171" s="16">
        <v>0</v>
      </c>
      <c r="NK171" s="16">
        <v>0</v>
      </c>
      <c r="NL171" s="16">
        <v>0</v>
      </c>
      <c r="NM171" s="16">
        <v>0</v>
      </c>
      <c r="NN171" s="16">
        <v>0</v>
      </c>
      <c r="NO171" s="16">
        <v>0</v>
      </c>
      <c r="NP171" s="16">
        <v>0</v>
      </c>
      <c r="NQ171" s="16">
        <v>7</v>
      </c>
      <c r="NR171" s="17">
        <v>6151422</v>
      </c>
    </row>
    <row r="172" spans="1:382" ht="13.5" customHeight="1" x14ac:dyDescent="0.2">
      <c r="A172" s="2" t="s">
        <v>351</v>
      </c>
      <c r="B172" s="16">
        <v>0</v>
      </c>
      <c r="C172" s="16">
        <v>0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6">
        <v>0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>
        <v>0</v>
      </c>
      <c r="AU172" s="16">
        <v>0</v>
      </c>
      <c r="AV172" s="16">
        <v>0</v>
      </c>
      <c r="AW172" s="16">
        <v>0</v>
      </c>
      <c r="AX172" s="16">
        <v>0</v>
      </c>
      <c r="AY172" s="16">
        <v>0</v>
      </c>
      <c r="AZ172" s="16">
        <v>0</v>
      </c>
      <c r="BA172" s="16">
        <v>0</v>
      </c>
      <c r="BB172" s="16">
        <v>0</v>
      </c>
      <c r="BC172" s="16">
        <v>0</v>
      </c>
      <c r="BD172" s="16">
        <v>0</v>
      </c>
      <c r="BE172" s="16">
        <v>0</v>
      </c>
      <c r="BF172" s="16">
        <v>0</v>
      </c>
      <c r="BG172" s="16">
        <v>0</v>
      </c>
      <c r="BH172" s="16">
        <v>0</v>
      </c>
      <c r="BI172" s="16">
        <v>0</v>
      </c>
      <c r="BJ172" s="16">
        <v>0</v>
      </c>
      <c r="BK172" s="16">
        <v>0</v>
      </c>
      <c r="BL172" s="16">
        <v>0</v>
      </c>
      <c r="BM172" s="16">
        <v>0</v>
      </c>
      <c r="BN172" s="16">
        <v>0</v>
      </c>
      <c r="BO172" s="16">
        <v>0</v>
      </c>
      <c r="BP172" s="16">
        <v>4</v>
      </c>
      <c r="BQ172" s="16">
        <v>0</v>
      </c>
      <c r="BR172" s="16">
        <v>0</v>
      </c>
      <c r="BS172" s="16">
        <v>0</v>
      </c>
      <c r="BT172" s="16">
        <v>0</v>
      </c>
      <c r="BU172" s="16">
        <v>0</v>
      </c>
      <c r="BV172" s="16">
        <v>0</v>
      </c>
      <c r="BW172" s="16">
        <v>0</v>
      </c>
      <c r="BX172" s="16">
        <v>0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0</v>
      </c>
      <c r="CE172" s="16">
        <v>0</v>
      </c>
      <c r="CF172" s="16">
        <v>0</v>
      </c>
      <c r="CG172" s="16">
        <v>0</v>
      </c>
      <c r="CH172" s="16">
        <v>0</v>
      </c>
      <c r="CI172" s="16">
        <v>0</v>
      </c>
      <c r="CJ172" s="16">
        <v>0</v>
      </c>
      <c r="CK172" s="16">
        <v>0</v>
      </c>
      <c r="CL172" s="16">
        <v>0</v>
      </c>
      <c r="CM172" s="16">
        <v>0</v>
      </c>
      <c r="CN172" s="16">
        <v>0</v>
      </c>
      <c r="CO172" s="16">
        <v>0</v>
      </c>
      <c r="CP172" s="16">
        <v>2</v>
      </c>
      <c r="CQ172" s="16">
        <v>0</v>
      </c>
      <c r="CR172" s="16">
        <v>1</v>
      </c>
      <c r="CS172" s="16">
        <v>36</v>
      </c>
      <c r="CT172" s="16">
        <v>0</v>
      </c>
      <c r="CU172" s="16">
        <v>0</v>
      </c>
      <c r="CV172" s="16">
        <v>0</v>
      </c>
      <c r="CW172" s="16">
        <v>0</v>
      </c>
      <c r="CX172" s="16">
        <v>0</v>
      </c>
      <c r="CY172" s="16">
        <v>5</v>
      </c>
      <c r="CZ172" s="16">
        <v>0</v>
      </c>
      <c r="DA172" s="16">
        <v>0</v>
      </c>
      <c r="DB172" s="16">
        <v>0</v>
      </c>
      <c r="DC172" s="16">
        <v>0</v>
      </c>
      <c r="DD172" s="16">
        <v>0</v>
      </c>
      <c r="DE172" s="16">
        <v>69</v>
      </c>
      <c r="DF172" s="16">
        <v>8</v>
      </c>
      <c r="DG172" s="16">
        <v>0</v>
      </c>
      <c r="DH172" s="16">
        <v>0</v>
      </c>
      <c r="DI172" s="16">
        <v>0</v>
      </c>
      <c r="DJ172" s="16">
        <v>73</v>
      </c>
      <c r="DK172" s="16">
        <v>0</v>
      </c>
      <c r="DL172" s="16">
        <v>2</v>
      </c>
      <c r="DM172" s="16">
        <v>0</v>
      </c>
      <c r="DN172" s="16">
        <v>1</v>
      </c>
      <c r="DO172" s="16">
        <v>0</v>
      </c>
      <c r="DP172" s="16">
        <v>0</v>
      </c>
      <c r="DQ172" s="16">
        <v>0</v>
      </c>
      <c r="DR172" s="16">
        <v>0</v>
      </c>
      <c r="DS172" s="16">
        <v>0</v>
      </c>
      <c r="DT172" s="16">
        <v>0</v>
      </c>
      <c r="DU172" s="16">
        <v>0</v>
      </c>
      <c r="DV172" s="16">
        <v>4</v>
      </c>
      <c r="DW172" s="16">
        <v>10</v>
      </c>
      <c r="DX172" s="16">
        <v>157</v>
      </c>
      <c r="DY172" s="16">
        <v>0</v>
      </c>
      <c r="DZ172" s="16">
        <v>1</v>
      </c>
      <c r="EA172" s="16">
        <v>3</v>
      </c>
      <c r="EB172" s="16">
        <v>0</v>
      </c>
      <c r="EC172" s="16">
        <v>46</v>
      </c>
      <c r="ED172" s="16">
        <v>1</v>
      </c>
      <c r="EE172" s="16">
        <v>0</v>
      </c>
      <c r="EF172" s="16">
        <v>4</v>
      </c>
      <c r="EG172" s="16">
        <v>1</v>
      </c>
      <c r="EH172" s="16">
        <v>0</v>
      </c>
      <c r="EI172" s="16">
        <v>0</v>
      </c>
      <c r="EJ172" s="16">
        <v>5479</v>
      </c>
      <c r="EK172" s="16">
        <v>123</v>
      </c>
      <c r="EL172" s="16">
        <v>1</v>
      </c>
      <c r="EM172" s="16">
        <v>156</v>
      </c>
      <c r="EN172" s="16">
        <v>1</v>
      </c>
      <c r="EO172" s="16">
        <v>396</v>
      </c>
      <c r="EP172" s="16">
        <v>0</v>
      </c>
      <c r="EQ172" s="16">
        <v>0</v>
      </c>
      <c r="ER172" s="16">
        <v>0</v>
      </c>
      <c r="ES172" s="16">
        <v>0</v>
      </c>
      <c r="ET172" s="16">
        <v>0</v>
      </c>
      <c r="EU172" s="16">
        <v>5</v>
      </c>
      <c r="EV172" s="16">
        <v>0</v>
      </c>
      <c r="EW172" s="16">
        <v>0</v>
      </c>
      <c r="EX172" s="16">
        <v>4308</v>
      </c>
      <c r="EY172" s="16">
        <v>0</v>
      </c>
      <c r="EZ172" s="16">
        <v>0</v>
      </c>
      <c r="FA172" s="16">
        <v>0</v>
      </c>
      <c r="FB172" s="16">
        <v>0</v>
      </c>
      <c r="FC172" s="16">
        <v>1247</v>
      </c>
      <c r="FD172" s="16">
        <v>86426</v>
      </c>
      <c r="FE172" s="16">
        <v>0</v>
      </c>
      <c r="FF172" s="16">
        <v>138</v>
      </c>
      <c r="FG172" s="16">
        <v>9229</v>
      </c>
      <c r="FH172" s="16">
        <v>0</v>
      </c>
      <c r="FI172" s="16">
        <v>0</v>
      </c>
      <c r="FJ172" s="16">
        <v>0</v>
      </c>
      <c r="FK172" s="16">
        <v>0</v>
      </c>
      <c r="FL172" s="16">
        <v>0</v>
      </c>
      <c r="FM172" s="16">
        <v>8364</v>
      </c>
      <c r="FN172" s="16">
        <v>11</v>
      </c>
      <c r="FO172" s="16">
        <v>1205</v>
      </c>
      <c r="FP172" s="16">
        <v>97355</v>
      </c>
      <c r="FQ172" s="16">
        <v>180881</v>
      </c>
      <c r="FR172" s="16">
        <v>166490</v>
      </c>
      <c r="FS172" s="16">
        <v>30203</v>
      </c>
      <c r="FT172" s="16">
        <v>29517</v>
      </c>
      <c r="FU172" s="16">
        <v>22649</v>
      </c>
      <c r="FV172" s="16">
        <v>124286</v>
      </c>
      <c r="FW172" s="16">
        <v>7525</v>
      </c>
      <c r="FX172" s="16">
        <v>546391</v>
      </c>
      <c r="FY172" s="16">
        <v>26922</v>
      </c>
      <c r="FZ172" s="16">
        <v>203310</v>
      </c>
      <c r="GA172" s="16">
        <v>15096</v>
      </c>
      <c r="GB172" s="16">
        <v>114561</v>
      </c>
      <c r="GC172" s="16">
        <v>21742</v>
      </c>
      <c r="GD172" s="16">
        <v>142588</v>
      </c>
      <c r="GE172" s="16">
        <v>9034</v>
      </c>
      <c r="GF172" s="16">
        <v>49067</v>
      </c>
      <c r="GG172" s="16">
        <v>6151</v>
      </c>
      <c r="GH172" s="16">
        <v>910</v>
      </c>
      <c r="GI172" s="16">
        <v>14932</v>
      </c>
      <c r="GJ172" s="16">
        <v>50570</v>
      </c>
      <c r="GK172" s="16">
        <v>1225</v>
      </c>
      <c r="GL172" s="16">
        <v>4</v>
      </c>
      <c r="GM172" s="16">
        <v>106</v>
      </c>
      <c r="GN172" s="16">
        <v>470</v>
      </c>
      <c r="GO172" s="16">
        <v>2275</v>
      </c>
      <c r="GP172" s="16">
        <v>43</v>
      </c>
      <c r="GQ172" s="16">
        <v>3881</v>
      </c>
      <c r="GR172" s="16">
        <v>916</v>
      </c>
      <c r="GS172" s="16">
        <v>899</v>
      </c>
      <c r="GT172" s="16">
        <v>126</v>
      </c>
      <c r="GU172" s="16">
        <v>16208</v>
      </c>
      <c r="GV172" s="16">
        <v>8528</v>
      </c>
      <c r="GW172" s="16">
        <v>36647</v>
      </c>
      <c r="GX172" s="16">
        <v>277</v>
      </c>
      <c r="GY172" s="16">
        <v>0</v>
      </c>
      <c r="GZ172" s="16">
        <v>49944</v>
      </c>
      <c r="HA172" s="16">
        <v>33501</v>
      </c>
      <c r="HB172" s="16">
        <v>12221</v>
      </c>
      <c r="HC172" s="16">
        <v>81946</v>
      </c>
      <c r="HD172" s="16">
        <v>101794</v>
      </c>
      <c r="HE172" s="16">
        <v>7779</v>
      </c>
      <c r="HF172" s="16">
        <v>87489</v>
      </c>
      <c r="HG172" s="16">
        <v>11872</v>
      </c>
      <c r="HH172" s="16">
        <v>3858</v>
      </c>
      <c r="HI172" s="16">
        <v>38404</v>
      </c>
      <c r="HJ172" s="16">
        <v>6482</v>
      </c>
      <c r="HK172" s="16">
        <v>20568</v>
      </c>
      <c r="HL172" s="16">
        <v>144461</v>
      </c>
      <c r="HM172" s="16">
        <v>311977</v>
      </c>
      <c r="HN172" s="16">
        <v>585583</v>
      </c>
      <c r="HO172" s="16">
        <v>434216</v>
      </c>
      <c r="HP172" s="16">
        <v>200504</v>
      </c>
      <c r="HQ172" s="16">
        <v>220556</v>
      </c>
      <c r="HR172" s="16">
        <v>139309</v>
      </c>
      <c r="HS172" s="16">
        <v>83502</v>
      </c>
      <c r="HT172" s="16">
        <v>844</v>
      </c>
      <c r="HU172" s="16">
        <v>377788</v>
      </c>
      <c r="HV172" s="16">
        <v>48126</v>
      </c>
      <c r="HW172" s="16">
        <v>269523</v>
      </c>
      <c r="HX172" s="16">
        <v>68404</v>
      </c>
      <c r="HY172" s="16">
        <v>748669</v>
      </c>
      <c r="HZ172" s="16">
        <v>47397</v>
      </c>
      <c r="IA172" s="16">
        <v>8366</v>
      </c>
      <c r="IB172" s="16">
        <v>4606</v>
      </c>
      <c r="IC172" s="16">
        <v>4175</v>
      </c>
      <c r="ID172" s="16">
        <v>22071</v>
      </c>
      <c r="IE172" s="16">
        <v>3433</v>
      </c>
      <c r="IF172" s="16">
        <v>24639</v>
      </c>
      <c r="IG172" s="16">
        <v>147374</v>
      </c>
      <c r="IH172" s="16">
        <v>1708</v>
      </c>
      <c r="II172" s="16">
        <v>226</v>
      </c>
      <c r="IJ172" s="16">
        <v>462</v>
      </c>
      <c r="IK172" s="16">
        <v>6673</v>
      </c>
      <c r="IL172" s="16">
        <v>1051</v>
      </c>
      <c r="IM172" s="16">
        <v>1685</v>
      </c>
      <c r="IN172" s="16">
        <v>29055</v>
      </c>
      <c r="IO172" s="16">
        <v>1015048</v>
      </c>
      <c r="IP172" s="16">
        <v>6113</v>
      </c>
      <c r="IQ172" s="16">
        <v>6237</v>
      </c>
      <c r="IR172" s="16">
        <v>10472</v>
      </c>
      <c r="IS172" s="16">
        <v>519</v>
      </c>
      <c r="IT172" s="16">
        <v>44</v>
      </c>
      <c r="IU172" s="16">
        <v>0</v>
      </c>
      <c r="IV172" s="16">
        <v>0</v>
      </c>
      <c r="IW172" s="16">
        <v>22</v>
      </c>
      <c r="IX172" s="16">
        <v>180</v>
      </c>
      <c r="IY172" s="16">
        <v>3</v>
      </c>
      <c r="IZ172" s="16">
        <v>0</v>
      </c>
      <c r="JA172" s="16">
        <v>29</v>
      </c>
      <c r="JB172" s="16">
        <v>0</v>
      </c>
      <c r="JC172" s="16">
        <v>0</v>
      </c>
      <c r="JD172" s="16">
        <v>1</v>
      </c>
      <c r="JE172" s="16">
        <v>37</v>
      </c>
      <c r="JF172" s="16">
        <v>0</v>
      </c>
      <c r="JG172" s="16">
        <v>42</v>
      </c>
      <c r="JH172" s="16">
        <v>0</v>
      </c>
      <c r="JI172" s="16">
        <v>0</v>
      </c>
      <c r="JJ172" s="16">
        <v>0</v>
      </c>
      <c r="JK172" s="16">
        <v>0</v>
      </c>
      <c r="JL172" s="16">
        <v>0</v>
      </c>
      <c r="JM172" s="16">
        <v>0</v>
      </c>
      <c r="JN172" s="16">
        <v>4519</v>
      </c>
      <c r="JO172" s="16">
        <v>0</v>
      </c>
      <c r="JP172" s="16">
        <v>0</v>
      </c>
      <c r="JQ172" s="16">
        <v>101774</v>
      </c>
      <c r="JR172" s="16">
        <v>0</v>
      </c>
      <c r="JS172" s="16">
        <v>0</v>
      </c>
      <c r="JT172" s="16">
        <v>0</v>
      </c>
      <c r="JU172" s="16">
        <v>0</v>
      </c>
      <c r="JV172" s="16">
        <v>0</v>
      </c>
      <c r="JW172" s="16">
        <v>19695</v>
      </c>
      <c r="JX172" s="16">
        <v>32442</v>
      </c>
      <c r="JY172" s="16">
        <v>19579</v>
      </c>
      <c r="JZ172" s="16">
        <v>11112</v>
      </c>
      <c r="KA172" s="16">
        <v>6079</v>
      </c>
      <c r="KB172" s="16">
        <v>126</v>
      </c>
      <c r="KC172" s="16">
        <v>3615</v>
      </c>
      <c r="KD172" s="16">
        <v>57807</v>
      </c>
      <c r="KE172" s="16">
        <v>548</v>
      </c>
      <c r="KF172" s="16">
        <v>15668</v>
      </c>
      <c r="KG172" s="16">
        <v>5063</v>
      </c>
      <c r="KH172" s="16">
        <v>459</v>
      </c>
      <c r="KI172" s="16">
        <v>5241</v>
      </c>
      <c r="KJ172" s="16">
        <v>4755</v>
      </c>
      <c r="KK172" s="16">
        <v>0</v>
      </c>
      <c r="KL172" s="16">
        <v>0</v>
      </c>
      <c r="KM172" s="16">
        <v>0</v>
      </c>
      <c r="KN172" s="16">
        <v>0</v>
      </c>
      <c r="KO172" s="16">
        <v>0</v>
      </c>
      <c r="KP172" s="16">
        <v>0</v>
      </c>
      <c r="KQ172" s="16">
        <v>87</v>
      </c>
      <c r="KR172" s="16">
        <v>0</v>
      </c>
      <c r="KS172" s="16">
        <v>0</v>
      </c>
      <c r="KT172" s="16">
        <v>0</v>
      </c>
      <c r="KU172" s="16">
        <v>0</v>
      </c>
      <c r="KV172" s="16">
        <v>0</v>
      </c>
      <c r="KW172" s="16">
        <v>0</v>
      </c>
      <c r="KX172" s="16">
        <v>0</v>
      </c>
      <c r="KY172" s="16">
        <v>0</v>
      </c>
      <c r="KZ172" s="16">
        <v>0</v>
      </c>
      <c r="LA172" s="16">
        <v>0</v>
      </c>
      <c r="LB172" s="16">
        <v>0</v>
      </c>
      <c r="LC172" s="16">
        <v>0</v>
      </c>
      <c r="LD172" s="16">
        <v>0</v>
      </c>
      <c r="LE172" s="16">
        <v>0</v>
      </c>
      <c r="LF172" s="16">
        <v>0</v>
      </c>
      <c r="LG172" s="16">
        <v>0</v>
      </c>
      <c r="LH172" s="16">
        <v>0</v>
      </c>
      <c r="LI172" s="16">
        <v>0</v>
      </c>
      <c r="LJ172" s="16">
        <v>0</v>
      </c>
      <c r="LK172" s="16">
        <v>0</v>
      </c>
      <c r="LL172" s="16">
        <v>0</v>
      </c>
      <c r="LM172" s="16">
        <v>0</v>
      </c>
      <c r="LN172" s="16">
        <v>0</v>
      </c>
      <c r="LO172" s="16">
        <v>0</v>
      </c>
      <c r="LP172" s="16">
        <v>0</v>
      </c>
      <c r="LQ172" s="16">
        <v>0</v>
      </c>
      <c r="LR172" s="16">
        <v>0</v>
      </c>
      <c r="LS172" s="16">
        <v>0</v>
      </c>
      <c r="LT172" s="16">
        <v>0</v>
      </c>
      <c r="LU172" s="16">
        <v>0</v>
      </c>
      <c r="LV172" s="16">
        <v>0</v>
      </c>
      <c r="LW172" s="16">
        <v>0</v>
      </c>
      <c r="LX172" s="16">
        <v>0</v>
      </c>
      <c r="LY172" s="16">
        <v>0</v>
      </c>
      <c r="LZ172" s="16">
        <v>0</v>
      </c>
      <c r="MA172" s="16">
        <v>0</v>
      </c>
      <c r="MB172" s="16">
        <v>0</v>
      </c>
      <c r="MC172" s="16">
        <v>0</v>
      </c>
      <c r="MD172" s="16">
        <v>0</v>
      </c>
      <c r="ME172" s="16">
        <v>0</v>
      </c>
      <c r="MF172" s="16">
        <v>267</v>
      </c>
      <c r="MG172" s="16">
        <v>0</v>
      </c>
      <c r="MH172" s="16">
        <v>0</v>
      </c>
      <c r="MI172" s="16">
        <v>0</v>
      </c>
      <c r="MJ172" s="16">
        <v>0</v>
      </c>
      <c r="MK172" s="16">
        <v>0</v>
      </c>
      <c r="ML172" s="16">
        <v>0</v>
      </c>
      <c r="MM172" s="16">
        <v>0</v>
      </c>
      <c r="MN172" s="16">
        <v>0</v>
      </c>
      <c r="MO172" s="16">
        <v>0</v>
      </c>
      <c r="MP172" s="16">
        <v>0</v>
      </c>
      <c r="MQ172" s="16">
        <v>0</v>
      </c>
      <c r="MR172" s="16">
        <v>293</v>
      </c>
      <c r="MS172" s="16">
        <v>0</v>
      </c>
      <c r="MT172" s="16">
        <v>0</v>
      </c>
      <c r="MU172" s="16">
        <v>0</v>
      </c>
      <c r="MV172" s="16">
        <v>0</v>
      </c>
      <c r="MW172" s="16">
        <v>0</v>
      </c>
      <c r="MX172" s="16">
        <v>0</v>
      </c>
      <c r="MY172" s="16">
        <v>0</v>
      </c>
      <c r="MZ172" s="16">
        <v>1073</v>
      </c>
      <c r="NA172" s="16">
        <v>0</v>
      </c>
      <c r="NB172" s="16">
        <v>0</v>
      </c>
      <c r="NC172" s="16">
        <v>0</v>
      </c>
      <c r="ND172" s="16">
        <v>0</v>
      </c>
      <c r="NE172" s="16">
        <v>0</v>
      </c>
      <c r="NF172" s="16">
        <v>0</v>
      </c>
      <c r="NG172" s="16">
        <v>0</v>
      </c>
      <c r="NH172" s="16">
        <v>0</v>
      </c>
      <c r="NI172" s="16">
        <v>0</v>
      </c>
      <c r="NJ172" s="16">
        <v>0</v>
      </c>
      <c r="NK172" s="16">
        <v>0</v>
      </c>
      <c r="NL172" s="16">
        <v>0</v>
      </c>
      <c r="NM172" s="16">
        <v>0</v>
      </c>
      <c r="NN172" s="16">
        <v>0</v>
      </c>
      <c r="NO172" s="16">
        <v>0</v>
      </c>
      <c r="NP172" s="16">
        <v>0</v>
      </c>
      <c r="NQ172" s="16">
        <v>1</v>
      </c>
      <c r="NR172" s="17">
        <v>7770493</v>
      </c>
    </row>
    <row r="173" spans="1:382" ht="13.5" customHeight="1" x14ac:dyDescent="0.2">
      <c r="A173" s="2" t="s">
        <v>353</v>
      </c>
      <c r="B173" s="16">
        <v>0</v>
      </c>
      <c r="C173" s="16">
        <v>0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93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7</v>
      </c>
      <c r="X173" s="16">
        <v>57</v>
      </c>
      <c r="Y173" s="16">
        <v>5601</v>
      </c>
      <c r="Z173" s="16">
        <v>112</v>
      </c>
      <c r="AA173" s="16">
        <v>1365</v>
      </c>
      <c r="AB173" s="16">
        <v>0</v>
      </c>
      <c r="AC173" s="16">
        <v>0</v>
      </c>
      <c r="AD173" s="16">
        <v>0</v>
      </c>
      <c r="AE173" s="16">
        <v>520</v>
      </c>
      <c r="AF173" s="16">
        <v>1290</v>
      </c>
      <c r="AG173" s="16">
        <v>646</v>
      </c>
      <c r="AH173" s="16">
        <v>32973</v>
      </c>
      <c r="AI173" s="16">
        <v>3303</v>
      </c>
      <c r="AJ173" s="16">
        <v>154</v>
      </c>
      <c r="AK173" s="16">
        <v>0</v>
      </c>
      <c r="AL173" s="16">
        <v>0</v>
      </c>
      <c r="AM173" s="16">
        <v>9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134</v>
      </c>
      <c r="AU173" s="16">
        <v>9317</v>
      </c>
      <c r="AV173" s="16">
        <v>0</v>
      </c>
      <c r="AW173" s="16">
        <v>6860</v>
      </c>
      <c r="AX173" s="16">
        <v>23</v>
      </c>
      <c r="AY173" s="16">
        <v>0</v>
      </c>
      <c r="AZ173" s="16">
        <v>0</v>
      </c>
      <c r="BA173" s="16">
        <v>96</v>
      </c>
      <c r="BB173" s="16">
        <v>39</v>
      </c>
      <c r="BC173" s="16">
        <v>0</v>
      </c>
      <c r="BD173" s="16">
        <v>0</v>
      </c>
      <c r="BE173" s="16">
        <v>0</v>
      </c>
      <c r="BF173" s="16">
        <v>0</v>
      </c>
      <c r="BG173" s="16">
        <v>0</v>
      </c>
      <c r="BH173" s="16">
        <v>31</v>
      </c>
      <c r="BI173" s="16">
        <v>0</v>
      </c>
      <c r="BJ173" s="16">
        <v>1</v>
      </c>
      <c r="BK173" s="16">
        <v>0</v>
      </c>
      <c r="BL173" s="16">
        <v>913</v>
      </c>
      <c r="BM173" s="16">
        <v>0</v>
      </c>
      <c r="BN173" s="16">
        <v>0</v>
      </c>
      <c r="BO173" s="16">
        <v>82</v>
      </c>
      <c r="BP173" s="16">
        <v>26</v>
      </c>
      <c r="BQ173" s="16">
        <v>39</v>
      </c>
      <c r="BR173" s="16">
        <v>0</v>
      </c>
      <c r="BS173" s="16">
        <v>0</v>
      </c>
      <c r="BT173" s="16">
        <v>0</v>
      </c>
      <c r="BU173" s="16">
        <v>0</v>
      </c>
      <c r="BV173" s="16">
        <v>0</v>
      </c>
      <c r="BW173" s="16">
        <v>0</v>
      </c>
      <c r="BX173" s="16">
        <v>0</v>
      </c>
      <c r="BY173" s="16">
        <v>0</v>
      </c>
      <c r="BZ173" s="16">
        <v>0</v>
      </c>
      <c r="CA173" s="16">
        <v>0</v>
      </c>
      <c r="CB173" s="16">
        <v>0</v>
      </c>
      <c r="CC173" s="16">
        <v>800</v>
      </c>
      <c r="CD173" s="16">
        <v>169</v>
      </c>
      <c r="CE173" s="16">
        <v>18</v>
      </c>
      <c r="CF173" s="16">
        <v>29766</v>
      </c>
      <c r="CG173" s="16">
        <v>0</v>
      </c>
      <c r="CH173" s="16">
        <v>0</v>
      </c>
      <c r="CI173" s="16">
        <v>351</v>
      </c>
      <c r="CJ173" s="16">
        <v>33</v>
      </c>
      <c r="CK173" s="16">
        <v>98</v>
      </c>
      <c r="CL173" s="16">
        <v>99</v>
      </c>
      <c r="CM173" s="16">
        <v>0</v>
      </c>
      <c r="CN173" s="16">
        <v>0</v>
      </c>
      <c r="CO173" s="16">
        <v>0</v>
      </c>
      <c r="CP173" s="16">
        <v>61</v>
      </c>
      <c r="CQ173" s="16">
        <v>0</v>
      </c>
      <c r="CR173" s="16">
        <v>0</v>
      </c>
      <c r="CS173" s="16">
        <v>19487</v>
      </c>
      <c r="CT173" s="16">
        <v>44401</v>
      </c>
      <c r="CU173" s="16">
        <v>56755</v>
      </c>
      <c r="CV173" s="16">
        <v>41784</v>
      </c>
      <c r="CW173" s="16">
        <v>210174</v>
      </c>
      <c r="CX173" s="16">
        <v>343082</v>
      </c>
      <c r="CY173" s="16">
        <v>14508</v>
      </c>
      <c r="CZ173" s="16">
        <v>7172</v>
      </c>
      <c r="DA173" s="16">
        <v>270</v>
      </c>
      <c r="DB173" s="16">
        <v>20267</v>
      </c>
      <c r="DC173" s="16">
        <v>578</v>
      </c>
      <c r="DD173" s="16">
        <v>12444</v>
      </c>
      <c r="DE173" s="16">
        <v>581</v>
      </c>
      <c r="DF173" s="16">
        <v>4313</v>
      </c>
      <c r="DG173" s="16">
        <v>1324</v>
      </c>
      <c r="DH173" s="16">
        <v>195</v>
      </c>
      <c r="DI173" s="16">
        <v>11</v>
      </c>
      <c r="DJ173" s="16">
        <v>13124</v>
      </c>
      <c r="DK173" s="16">
        <v>136</v>
      </c>
      <c r="DL173" s="16">
        <v>44</v>
      </c>
      <c r="DM173" s="16">
        <v>0</v>
      </c>
      <c r="DN173" s="16">
        <v>240</v>
      </c>
      <c r="DO173" s="16">
        <v>405</v>
      </c>
      <c r="DP173" s="16">
        <v>86</v>
      </c>
      <c r="DQ173" s="16">
        <v>0</v>
      </c>
      <c r="DR173" s="16">
        <v>64</v>
      </c>
      <c r="DS173" s="16">
        <v>1760</v>
      </c>
      <c r="DT173" s="16">
        <v>34</v>
      </c>
      <c r="DU173" s="16">
        <v>0</v>
      </c>
      <c r="DV173" s="16">
        <v>171</v>
      </c>
      <c r="DW173" s="16">
        <v>1262</v>
      </c>
      <c r="DX173" s="16">
        <v>3950</v>
      </c>
      <c r="DY173" s="16">
        <v>3435</v>
      </c>
      <c r="DZ173" s="16">
        <v>16546</v>
      </c>
      <c r="EA173" s="16">
        <v>30437</v>
      </c>
      <c r="EB173" s="16">
        <v>28</v>
      </c>
      <c r="EC173" s="16">
        <v>112</v>
      </c>
      <c r="ED173" s="16">
        <v>52</v>
      </c>
      <c r="EE173" s="16">
        <v>76</v>
      </c>
      <c r="EF173" s="16">
        <v>9</v>
      </c>
      <c r="EG173" s="16">
        <v>339</v>
      </c>
      <c r="EH173" s="16">
        <v>41</v>
      </c>
      <c r="EI173" s="16">
        <v>75</v>
      </c>
      <c r="EJ173" s="16">
        <v>834</v>
      </c>
      <c r="EK173" s="16">
        <v>0</v>
      </c>
      <c r="EL173" s="16">
        <v>47</v>
      </c>
      <c r="EM173" s="16">
        <v>629</v>
      </c>
      <c r="EN173" s="16">
        <v>4000</v>
      </c>
      <c r="EO173" s="16">
        <v>10349</v>
      </c>
      <c r="EP173" s="16">
        <v>95</v>
      </c>
      <c r="EQ173" s="16">
        <v>358</v>
      </c>
      <c r="ER173" s="16">
        <v>57</v>
      </c>
      <c r="ES173" s="16">
        <v>4240</v>
      </c>
      <c r="ET173" s="16">
        <v>243</v>
      </c>
      <c r="EU173" s="16">
        <v>0</v>
      </c>
      <c r="EV173" s="16">
        <v>37</v>
      </c>
      <c r="EW173" s="16">
        <v>0</v>
      </c>
      <c r="EX173" s="16">
        <v>6707</v>
      </c>
      <c r="EY173" s="16">
        <v>5139</v>
      </c>
      <c r="EZ173" s="16">
        <v>0</v>
      </c>
      <c r="FA173" s="16">
        <v>0</v>
      </c>
      <c r="FB173" s="16">
        <v>0</v>
      </c>
      <c r="FC173" s="16">
        <v>0</v>
      </c>
      <c r="FD173" s="16">
        <v>13279</v>
      </c>
      <c r="FE173" s="16">
        <v>114</v>
      </c>
      <c r="FF173" s="16">
        <v>0</v>
      </c>
      <c r="FG173" s="16">
        <v>3555</v>
      </c>
      <c r="FH173" s="16">
        <v>0</v>
      </c>
      <c r="FI173" s="16">
        <v>0</v>
      </c>
      <c r="FJ173" s="16">
        <v>0</v>
      </c>
      <c r="FK173" s="16">
        <v>0</v>
      </c>
      <c r="FL173" s="16">
        <v>2</v>
      </c>
      <c r="FM173" s="16">
        <v>26</v>
      </c>
      <c r="FN173" s="16">
        <v>141</v>
      </c>
      <c r="FO173" s="16">
        <v>0</v>
      </c>
      <c r="FP173" s="16">
        <v>1809</v>
      </c>
      <c r="FQ173" s="16">
        <v>1086023</v>
      </c>
      <c r="FR173" s="16">
        <v>1091087</v>
      </c>
      <c r="FS173" s="16">
        <v>51163</v>
      </c>
      <c r="FT173" s="16">
        <v>4005</v>
      </c>
      <c r="FU173" s="16">
        <v>1980</v>
      </c>
      <c r="FV173" s="16">
        <v>13460</v>
      </c>
      <c r="FW173" s="16">
        <v>995</v>
      </c>
      <c r="FX173" s="16">
        <v>25369</v>
      </c>
      <c r="FY173" s="16">
        <v>58</v>
      </c>
      <c r="FZ173" s="16">
        <v>29556</v>
      </c>
      <c r="GA173" s="16">
        <v>18</v>
      </c>
      <c r="GB173" s="16">
        <v>5679</v>
      </c>
      <c r="GC173" s="16">
        <v>1852</v>
      </c>
      <c r="GD173" s="16">
        <v>32528</v>
      </c>
      <c r="GE173" s="16">
        <v>211</v>
      </c>
      <c r="GF173" s="16">
        <v>12235</v>
      </c>
      <c r="GG173" s="16">
        <v>84</v>
      </c>
      <c r="GH173" s="16">
        <v>2575</v>
      </c>
      <c r="GI173" s="16">
        <v>171</v>
      </c>
      <c r="GJ173" s="16">
        <v>440</v>
      </c>
      <c r="GK173" s="16">
        <v>304</v>
      </c>
      <c r="GL173" s="16">
        <v>3</v>
      </c>
      <c r="GM173" s="16">
        <v>23</v>
      </c>
      <c r="GN173" s="16">
        <v>1044</v>
      </c>
      <c r="GO173" s="16">
        <v>1</v>
      </c>
      <c r="GP173" s="16">
        <v>194</v>
      </c>
      <c r="GQ173" s="16">
        <v>12</v>
      </c>
      <c r="GR173" s="16">
        <v>490</v>
      </c>
      <c r="GS173" s="16">
        <v>558</v>
      </c>
      <c r="GT173" s="16">
        <v>123</v>
      </c>
      <c r="GU173" s="16">
        <v>3033</v>
      </c>
      <c r="GV173" s="16">
        <v>4582</v>
      </c>
      <c r="GW173" s="16">
        <v>1858</v>
      </c>
      <c r="GX173" s="16">
        <v>511</v>
      </c>
      <c r="GY173" s="16">
        <v>164</v>
      </c>
      <c r="GZ173" s="16">
        <v>1843</v>
      </c>
      <c r="HA173" s="16">
        <v>1884</v>
      </c>
      <c r="HB173" s="16">
        <v>1068</v>
      </c>
      <c r="HC173" s="16">
        <v>1403</v>
      </c>
      <c r="HD173" s="16">
        <v>3032</v>
      </c>
      <c r="HE173" s="16">
        <v>303</v>
      </c>
      <c r="HF173" s="16">
        <v>2203</v>
      </c>
      <c r="HG173" s="16">
        <v>1340</v>
      </c>
      <c r="HH173" s="16">
        <v>951</v>
      </c>
      <c r="HI173" s="16">
        <v>2180</v>
      </c>
      <c r="HJ173" s="16">
        <v>394</v>
      </c>
      <c r="HK173" s="16">
        <v>290</v>
      </c>
      <c r="HL173" s="16">
        <v>715</v>
      </c>
      <c r="HM173" s="16">
        <v>35307</v>
      </c>
      <c r="HN173" s="16">
        <v>10271</v>
      </c>
      <c r="HO173" s="16">
        <v>11052</v>
      </c>
      <c r="HP173" s="16">
        <v>1271</v>
      </c>
      <c r="HQ173" s="16">
        <v>49788</v>
      </c>
      <c r="HR173" s="16">
        <v>21743</v>
      </c>
      <c r="HS173" s="16">
        <v>2318</v>
      </c>
      <c r="HT173" s="16">
        <v>673</v>
      </c>
      <c r="HU173" s="16">
        <v>6760</v>
      </c>
      <c r="HV173" s="16">
        <v>1847</v>
      </c>
      <c r="HW173" s="16">
        <v>1572</v>
      </c>
      <c r="HX173" s="16">
        <v>316</v>
      </c>
      <c r="HY173" s="16">
        <v>1890</v>
      </c>
      <c r="HZ173" s="16">
        <v>1923</v>
      </c>
      <c r="IA173" s="16">
        <v>3187</v>
      </c>
      <c r="IB173" s="16">
        <v>740</v>
      </c>
      <c r="IC173" s="16">
        <v>214</v>
      </c>
      <c r="ID173" s="16">
        <v>750</v>
      </c>
      <c r="IE173" s="16">
        <v>212</v>
      </c>
      <c r="IF173" s="16">
        <v>934</v>
      </c>
      <c r="IG173" s="16">
        <v>3951</v>
      </c>
      <c r="IH173" s="16">
        <v>18772</v>
      </c>
      <c r="II173" s="16">
        <v>2340</v>
      </c>
      <c r="IJ173" s="16">
        <v>397</v>
      </c>
      <c r="IK173" s="16">
        <v>1920</v>
      </c>
      <c r="IL173" s="16">
        <v>3853</v>
      </c>
      <c r="IM173" s="16">
        <v>233</v>
      </c>
      <c r="IN173" s="16">
        <v>796</v>
      </c>
      <c r="IO173" s="16">
        <v>939</v>
      </c>
      <c r="IP173" s="16">
        <v>272648</v>
      </c>
      <c r="IQ173" s="16">
        <v>5575</v>
      </c>
      <c r="IR173" s="16">
        <v>6379</v>
      </c>
      <c r="IS173" s="16">
        <v>1384</v>
      </c>
      <c r="IT173" s="16">
        <v>2983</v>
      </c>
      <c r="IU173" s="16">
        <v>13</v>
      </c>
      <c r="IV173" s="16">
        <v>706</v>
      </c>
      <c r="IW173" s="16">
        <v>12400</v>
      </c>
      <c r="IX173" s="16">
        <v>3271</v>
      </c>
      <c r="IY173" s="16">
        <v>3642</v>
      </c>
      <c r="IZ173" s="16">
        <v>0</v>
      </c>
      <c r="JA173" s="16">
        <v>3182</v>
      </c>
      <c r="JB173" s="16">
        <v>0</v>
      </c>
      <c r="JC173" s="16">
        <v>4</v>
      </c>
      <c r="JD173" s="16">
        <v>3</v>
      </c>
      <c r="JE173" s="16">
        <v>6733</v>
      </c>
      <c r="JF173" s="16">
        <v>67</v>
      </c>
      <c r="JG173" s="16">
        <v>245127</v>
      </c>
      <c r="JH173" s="16">
        <v>57</v>
      </c>
      <c r="JI173" s="16">
        <v>120</v>
      </c>
      <c r="JJ173" s="16">
        <v>28366</v>
      </c>
      <c r="JK173" s="16">
        <v>5440</v>
      </c>
      <c r="JL173" s="16">
        <v>0</v>
      </c>
      <c r="JM173" s="16">
        <v>145</v>
      </c>
      <c r="JN173" s="16">
        <v>3040</v>
      </c>
      <c r="JO173" s="16">
        <v>749</v>
      </c>
      <c r="JP173" s="16">
        <v>0</v>
      </c>
      <c r="JQ173" s="16">
        <v>88</v>
      </c>
      <c r="JR173" s="16">
        <v>47912</v>
      </c>
      <c r="JS173" s="16">
        <v>65331</v>
      </c>
      <c r="JT173" s="16">
        <v>0</v>
      </c>
      <c r="JU173" s="16">
        <v>29652</v>
      </c>
      <c r="JV173" s="16">
        <v>10187</v>
      </c>
      <c r="JW173" s="16">
        <v>5532944</v>
      </c>
      <c r="JX173" s="16">
        <v>7634767</v>
      </c>
      <c r="JY173" s="16">
        <v>2044215</v>
      </c>
      <c r="JZ173" s="16">
        <v>430618</v>
      </c>
      <c r="KA173" s="16">
        <v>67791</v>
      </c>
      <c r="KB173" s="16">
        <v>2634</v>
      </c>
      <c r="KC173" s="16">
        <v>23997</v>
      </c>
      <c r="KD173" s="16">
        <v>27315</v>
      </c>
      <c r="KE173" s="16">
        <v>78443</v>
      </c>
      <c r="KF173" s="16">
        <v>225494</v>
      </c>
      <c r="KG173" s="16">
        <v>185574</v>
      </c>
      <c r="KH173" s="16">
        <v>171303</v>
      </c>
      <c r="KI173" s="16">
        <v>526909</v>
      </c>
      <c r="KJ173" s="16">
        <v>381783</v>
      </c>
      <c r="KK173" s="16">
        <v>43794</v>
      </c>
      <c r="KL173" s="16">
        <v>181</v>
      </c>
      <c r="KM173" s="16">
        <v>813</v>
      </c>
      <c r="KN173" s="16">
        <v>1323</v>
      </c>
      <c r="KO173" s="16">
        <v>7147</v>
      </c>
      <c r="KP173" s="16">
        <v>180</v>
      </c>
      <c r="KQ173" s="16">
        <v>698</v>
      </c>
      <c r="KR173" s="16">
        <v>14605</v>
      </c>
      <c r="KS173" s="16">
        <v>19</v>
      </c>
      <c r="KT173" s="16">
        <v>36</v>
      </c>
      <c r="KU173" s="16">
        <v>4765</v>
      </c>
      <c r="KV173" s="16">
        <v>57803</v>
      </c>
      <c r="KW173" s="16">
        <v>33307</v>
      </c>
      <c r="KX173" s="16">
        <v>0</v>
      </c>
      <c r="KY173" s="16">
        <v>0</v>
      </c>
      <c r="KZ173" s="16">
        <v>0</v>
      </c>
      <c r="LA173" s="16">
        <v>0</v>
      </c>
      <c r="LB173" s="16">
        <v>0</v>
      </c>
      <c r="LC173" s="16">
        <v>0</v>
      </c>
      <c r="LD173" s="16">
        <v>0</v>
      </c>
      <c r="LE173" s="16">
        <v>1291</v>
      </c>
      <c r="LF173" s="16">
        <v>518</v>
      </c>
      <c r="LG173" s="16">
        <v>50</v>
      </c>
      <c r="LH173" s="16">
        <v>534</v>
      </c>
      <c r="LI173" s="16">
        <v>1</v>
      </c>
      <c r="LJ173" s="16">
        <v>24</v>
      </c>
      <c r="LK173" s="16">
        <v>0</v>
      </c>
      <c r="LL173" s="16">
        <v>7453</v>
      </c>
      <c r="LM173" s="16">
        <v>0</v>
      </c>
      <c r="LN173" s="16">
        <v>0</v>
      </c>
      <c r="LO173" s="16">
        <v>0</v>
      </c>
      <c r="LP173" s="16">
        <v>406</v>
      </c>
      <c r="LQ173" s="16">
        <v>38</v>
      </c>
      <c r="LR173" s="16">
        <v>277</v>
      </c>
      <c r="LS173" s="16">
        <v>0</v>
      </c>
      <c r="LT173" s="16">
        <v>0</v>
      </c>
      <c r="LU173" s="16">
        <v>0</v>
      </c>
      <c r="LV173" s="16">
        <v>0</v>
      </c>
      <c r="LW173" s="16">
        <v>0</v>
      </c>
      <c r="LX173" s="16">
        <v>0</v>
      </c>
      <c r="LY173" s="16">
        <v>42655</v>
      </c>
      <c r="LZ173" s="16">
        <v>5144</v>
      </c>
      <c r="MA173" s="16">
        <v>13329</v>
      </c>
      <c r="MB173" s="16">
        <v>0</v>
      </c>
      <c r="MC173" s="16">
        <v>72</v>
      </c>
      <c r="MD173" s="16">
        <v>114</v>
      </c>
      <c r="ME173" s="16">
        <v>0</v>
      </c>
      <c r="MF173" s="16">
        <v>53495</v>
      </c>
      <c r="MG173" s="16">
        <v>0</v>
      </c>
      <c r="MH173" s="16">
        <v>0</v>
      </c>
      <c r="MI173" s="16">
        <v>0</v>
      </c>
      <c r="MJ173" s="16">
        <v>0</v>
      </c>
      <c r="MK173" s="16">
        <v>38995</v>
      </c>
      <c r="ML173" s="16">
        <v>0</v>
      </c>
      <c r="MM173" s="16">
        <v>78871</v>
      </c>
      <c r="MN173" s="16">
        <v>65144</v>
      </c>
      <c r="MO173" s="16">
        <v>68193</v>
      </c>
      <c r="MP173" s="16">
        <v>43382</v>
      </c>
      <c r="MQ173" s="16">
        <v>142210</v>
      </c>
      <c r="MR173" s="16">
        <v>15837</v>
      </c>
      <c r="MS173" s="16">
        <v>5135</v>
      </c>
      <c r="MT173" s="16">
        <v>2884</v>
      </c>
      <c r="MU173" s="16">
        <v>24</v>
      </c>
      <c r="MV173" s="16">
        <v>11778</v>
      </c>
      <c r="MW173" s="16">
        <v>0</v>
      </c>
      <c r="MX173" s="16">
        <v>44</v>
      </c>
      <c r="MY173" s="16">
        <v>0</v>
      </c>
      <c r="MZ173" s="16">
        <v>7836</v>
      </c>
      <c r="NA173" s="16">
        <v>3199</v>
      </c>
      <c r="NB173" s="16">
        <v>57813</v>
      </c>
      <c r="NC173" s="16">
        <v>0</v>
      </c>
      <c r="ND173" s="16">
        <v>32514</v>
      </c>
      <c r="NE173" s="16">
        <v>0</v>
      </c>
      <c r="NF173" s="16">
        <v>6167</v>
      </c>
      <c r="NG173" s="16">
        <v>47728</v>
      </c>
      <c r="NH173" s="16">
        <v>82083</v>
      </c>
      <c r="NI173" s="16">
        <v>0</v>
      </c>
      <c r="NJ173" s="16">
        <v>0</v>
      </c>
      <c r="NK173" s="16">
        <v>118</v>
      </c>
      <c r="NL173" s="16">
        <v>24</v>
      </c>
      <c r="NM173" s="16">
        <v>0</v>
      </c>
      <c r="NN173" s="16">
        <v>0</v>
      </c>
      <c r="NO173" s="16">
        <v>0</v>
      </c>
      <c r="NP173" s="16">
        <v>0</v>
      </c>
      <c r="NQ173" s="16">
        <v>1059</v>
      </c>
      <c r="NR173" s="17">
        <v>22662584</v>
      </c>
    </row>
    <row r="174" spans="1:382" ht="13.5" customHeight="1" x14ac:dyDescent="0.2">
      <c r="A174" s="2" t="s">
        <v>355</v>
      </c>
      <c r="B174" s="16">
        <v>0</v>
      </c>
      <c r="C174" s="16">
        <v>0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49</v>
      </c>
      <c r="Y174" s="16">
        <v>943</v>
      </c>
      <c r="Z174" s="16">
        <v>0</v>
      </c>
      <c r="AA174" s="16">
        <v>2961</v>
      </c>
      <c r="AB174" s="16">
        <v>0</v>
      </c>
      <c r="AC174" s="16">
        <v>0</v>
      </c>
      <c r="AD174" s="16">
        <v>0</v>
      </c>
      <c r="AE174" s="16">
        <v>338</v>
      </c>
      <c r="AF174" s="16">
        <v>557</v>
      </c>
      <c r="AG174" s="16">
        <v>1412</v>
      </c>
      <c r="AH174" s="16">
        <v>3735</v>
      </c>
      <c r="AI174" s="16">
        <v>7469</v>
      </c>
      <c r="AJ174" s="16">
        <v>0</v>
      </c>
      <c r="AK174" s="16">
        <v>0</v>
      </c>
      <c r="AL174" s="16">
        <v>0</v>
      </c>
      <c r="AM174" s="16">
        <v>0</v>
      </c>
      <c r="AN174" s="16">
        <v>14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>
        <v>0</v>
      </c>
      <c r="AU174" s="16">
        <v>57</v>
      </c>
      <c r="AV174" s="16">
        <v>0</v>
      </c>
      <c r="AW174" s="16">
        <v>0</v>
      </c>
      <c r="AX174" s="16">
        <v>0</v>
      </c>
      <c r="AY174" s="16">
        <v>0</v>
      </c>
      <c r="AZ174" s="16">
        <v>31</v>
      </c>
      <c r="BA174" s="16">
        <v>572</v>
      </c>
      <c r="BB174" s="16">
        <v>0</v>
      </c>
      <c r="BC174" s="16">
        <v>0</v>
      </c>
      <c r="BD174" s="16">
        <v>0</v>
      </c>
      <c r="BE174" s="16">
        <v>0</v>
      </c>
      <c r="BF174" s="16">
        <v>0</v>
      </c>
      <c r="BG174" s="16">
        <v>0</v>
      </c>
      <c r="BH174" s="16">
        <v>146</v>
      </c>
      <c r="BI174" s="16">
        <v>0</v>
      </c>
      <c r="BJ174" s="16">
        <v>0</v>
      </c>
      <c r="BK174" s="16">
        <v>0</v>
      </c>
      <c r="BL174" s="16">
        <v>0</v>
      </c>
      <c r="BM174" s="16">
        <v>0</v>
      </c>
      <c r="BN174" s="16">
        <v>0</v>
      </c>
      <c r="BO174" s="16">
        <v>0</v>
      </c>
      <c r="BP174" s="16">
        <v>0</v>
      </c>
      <c r="BQ174" s="16">
        <v>0</v>
      </c>
      <c r="BR174" s="16">
        <v>0</v>
      </c>
      <c r="BS174" s="16">
        <v>0</v>
      </c>
      <c r="BT174" s="16">
        <v>0</v>
      </c>
      <c r="BU174" s="16">
        <v>0</v>
      </c>
      <c r="BV174" s="16">
        <v>0</v>
      </c>
      <c r="BW174" s="16">
        <v>0</v>
      </c>
      <c r="BX174" s="16">
        <v>0</v>
      </c>
      <c r="BY174" s="16">
        <v>0</v>
      </c>
      <c r="BZ174" s="16">
        <v>0</v>
      </c>
      <c r="CA174" s="16">
        <v>0</v>
      </c>
      <c r="CB174" s="16">
        <v>0</v>
      </c>
      <c r="CC174" s="16">
        <v>0</v>
      </c>
      <c r="CD174" s="16">
        <v>0</v>
      </c>
      <c r="CE174" s="16">
        <v>0</v>
      </c>
      <c r="CF174" s="16">
        <v>0</v>
      </c>
      <c r="CG174" s="16">
        <v>0</v>
      </c>
      <c r="CH174" s="16">
        <v>0</v>
      </c>
      <c r="CI174" s="16">
        <v>0</v>
      </c>
      <c r="CJ174" s="16">
        <v>0</v>
      </c>
      <c r="CK174" s="16">
        <v>0</v>
      </c>
      <c r="CL174" s="16">
        <v>0</v>
      </c>
      <c r="CM174" s="16">
        <v>0</v>
      </c>
      <c r="CN174" s="16">
        <v>0</v>
      </c>
      <c r="CO174" s="16">
        <v>0</v>
      </c>
      <c r="CP174" s="16">
        <v>0</v>
      </c>
      <c r="CQ174" s="16">
        <v>0</v>
      </c>
      <c r="CR174" s="16">
        <v>128</v>
      </c>
      <c r="CS174" s="16">
        <v>26917</v>
      </c>
      <c r="CT174" s="16">
        <v>27786</v>
      </c>
      <c r="CU174" s="16">
        <v>46361</v>
      </c>
      <c r="CV174" s="16">
        <v>42030</v>
      </c>
      <c r="CW174" s="16">
        <v>260753</v>
      </c>
      <c r="CX174" s="16">
        <v>127784</v>
      </c>
      <c r="CY174" s="16">
        <v>14253</v>
      </c>
      <c r="CZ174" s="16">
        <v>52339</v>
      </c>
      <c r="DA174" s="16">
        <v>1020</v>
      </c>
      <c r="DB174" s="16">
        <v>21280</v>
      </c>
      <c r="DC174" s="16">
        <v>2589</v>
      </c>
      <c r="DD174" s="16">
        <v>43364</v>
      </c>
      <c r="DE174" s="16">
        <v>2123</v>
      </c>
      <c r="DF174" s="16">
        <v>1181</v>
      </c>
      <c r="DG174" s="16">
        <v>28</v>
      </c>
      <c r="DH174" s="16">
        <v>790</v>
      </c>
      <c r="DI174" s="16">
        <v>0</v>
      </c>
      <c r="DJ174" s="16">
        <v>18386</v>
      </c>
      <c r="DK174" s="16">
        <v>31</v>
      </c>
      <c r="DL174" s="16">
        <v>0</v>
      </c>
      <c r="DM174" s="16">
        <v>0</v>
      </c>
      <c r="DN174" s="16">
        <v>0</v>
      </c>
      <c r="DO174" s="16">
        <v>0</v>
      </c>
      <c r="DP174" s="16">
        <v>8888</v>
      </c>
      <c r="DQ174" s="16">
        <v>0</v>
      </c>
      <c r="DR174" s="16">
        <v>0</v>
      </c>
      <c r="DS174" s="16">
        <v>1310</v>
      </c>
      <c r="DT174" s="16">
        <v>0</v>
      </c>
      <c r="DU174" s="16">
        <v>0</v>
      </c>
      <c r="DV174" s="16">
        <v>30</v>
      </c>
      <c r="DW174" s="16">
        <v>0</v>
      </c>
      <c r="DX174" s="16">
        <v>283</v>
      </c>
      <c r="DY174" s="16">
        <v>4020</v>
      </c>
      <c r="DZ174" s="16">
        <v>8648</v>
      </c>
      <c r="EA174" s="16">
        <v>3313</v>
      </c>
      <c r="EB174" s="16">
        <v>0</v>
      </c>
      <c r="EC174" s="16">
        <v>0</v>
      </c>
      <c r="ED174" s="16">
        <v>0</v>
      </c>
      <c r="EE174" s="16">
        <v>203</v>
      </c>
      <c r="EF174" s="16">
        <v>0</v>
      </c>
      <c r="EG174" s="16">
        <v>329</v>
      </c>
      <c r="EH174" s="16">
        <v>0</v>
      </c>
      <c r="EI174" s="16">
        <v>0</v>
      </c>
      <c r="EJ174" s="16">
        <v>2047</v>
      </c>
      <c r="EK174" s="16">
        <v>0</v>
      </c>
      <c r="EL174" s="16">
        <v>124</v>
      </c>
      <c r="EM174" s="16">
        <v>901</v>
      </c>
      <c r="EN174" s="16">
        <v>0</v>
      </c>
      <c r="EO174" s="16">
        <v>2861</v>
      </c>
      <c r="EP174" s="16">
        <v>0</v>
      </c>
      <c r="EQ174" s="16">
        <v>0</v>
      </c>
      <c r="ER174" s="16">
        <v>0</v>
      </c>
      <c r="ES174" s="16">
        <v>0</v>
      </c>
      <c r="ET174" s="16">
        <v>25</v>
      </c>
      <c r="EU174" s="16">
        <v>63</v>
      </c>
      <c r="EV174" s="16">
        <v>0</v>
      </c>
      <c r="EW174" s="16">
        <v>35</v>
      </c>
      <c r="EX174" s="16">
        <v>0</v>
      </c>
      <c r="EY174" s="16">
        <v>135</v>
      </c>
      <c r="EZ174" s="16">
        <v>106</v>
      </c>
      <c r="FA174" s="16">
        <v>36</v>
      </c>
      <c r="FB174" s="16">
        <v>0</v>
      </c>
      <c r="FC174" s="16">
        <v>0</v>
      </c>
      <c r="FD174" s="16">
        <v>3994</v>
      </c>
      <c r="FE174" s="16">
        <v>316</v>
      </c>
      <c r="FF174" s="16">
        <v>147</v>
      </c>
      <c r="FG174" s="16">
        <v>6619</v>
      </c>
      <c r="FH174" s="16">
        <v>0</v>
      </c>
      <c r="FI174" s="16">
        <v>0</v>
      </c>
      <c r="FJ174" s="16">
        <v>0</v>
      </c>
      <c r="FK174" s="16">
        <v>0</v>
      </c>
      <c r="FL174" s="16">
        <v>0</v>
      </c>
      <c r="FM174" s="16">
        <v>0</v>
      </c>
      <c r="FN174" s="16">
        <v>0</v>
      </c>
      <c r="FO174" s="16">
        <v>1158</v>
      </c>
      <c r="FP174" s="16">
        <v>593</v>
      </c>
      <c r="FQ174" s="16">
        <v>541801</v>
      </c>
      <c r="FR174" s="16">
        <v>1422592</v>
      </c>
      <c r="FS174" s="16">
        <v>27180</v>
      </c>
      <c r="FT174" s="16">
        <v>4456</v>
      </c>
      <c r="FU174" s="16">
        <v>73661</v>
      </c>
      <c r="FV174" s="16">
        <v>0</v>
      </c>
      <c r="FW174" s="16">
        <v>140</v>
      </c>
      <c r="FX174" s="16">
        <v>5517</v>
      </c>
      <c r="FY174" s="16">
        <v>105</v>
      </c>
      <c r="FZ174" s="16">
        <v>7539</v>
      </c>
      <c r="GA174" s="16">
        <v>4</v>
      </c>
      <c r="GB174" s="16">
        <v>5015</v>
      </c>
      <c r="GC174" s="16">
        <v>0</v>
      </c>
      <c r="GD174" s="16">
        <v>1817</v>
      </c>
      <c r="GE174" s="16">
        <v>426</v>
      </c>
      <c r="GF174" s="16">
        <v>3255</v>
      </c>
      <c r="GG174" s="16">
        <v>28</v>
      </c>
      <c r="GH174" s="16">
        <v>6958</v>
      </c>
      <c r="GI174" s="16">
        <v>352</v>
      </c>
      <c r="GJ174" s="16">
        <v>2135</v>
      </c>
      <c r="GK174" s="16">
        <v>848</v>
      </c>
      <c r="GL174" s="16">
        <v>7</v>
      </c>
      <c r="GM174" s="16">
        <v>110</v>
      </c>
      <c r="GN174" s="16">
        <v>1278</v>
      </c>
      <c r="GO174" s="16">
        <v>124</v>
      </c>
      <c r="GP174" s="16">
        <v>12</v>
      </c>
      <c r="GQ174" s="16">
        <v>3</v>
      </c>
      <c r="GR174" s="16">
        <v>625</v>
      </c>
      <c r="GS174" s="16">
        <v>123</v>
      </c>
      <c r="GT174" s="16">
        <v>21</v>
      </c>
      <c r="GU174" s="16">
        <v>1203</v>
      </c>
      <c r="GV174" s="16">
        <v>2714</v>
      </c>
      <c r="GW174" s="16">
        <v>2128</v>
      </c>
      <c r="GX174" s="16">
        <v>324</v>
      </c>
      <c r="GY174" s="16">
        <v>0</v>
      </c>
      <c r="GZ174" s="16">
        <v>1353</v>
      </c>
      <c r="HA174" s="16">
        <v>1209</v>
      </c>
      <c r="HB174" s="16">
        <v>898</v>
      </c>
      <c r="HC174" s="16">
        <v>1363</v>
      </c>
      <c r="HD174" s="16">
        <v>5001</v>
      </c>
      <c r="HE174" s="16">
        <v>347</v>
      </c>
      <c r="HF174" s="16">
        <v>1604</v>
      </c>
      <c r="HG174" s="16">
        <v>2031</v>
      </c>
      <c r="HH174" s="16">
        <v>1698</v>
      </c>
      <c r="HI174" s="16">
        <v>2219</v>
      </c>
      <c r="HJ174" s="16">
        <v>176</v>
      </c>
      <c r="HK174" s="16">
        <v>361</v>
      </c>
      <c r="HL174" s="16">
        <v>1868</v>
      </c>
      <c r="HM174" s="16">
        <v>31220</v>
      </c>
      <c r="HN174" s="16">
        <v>2512</v>
      </c>
      <c r="HO174" s="16">
        <v>2848</v>
      </c>
      <c r="HP174" s="16">
        <v>7</v>
      </c>
      <c r="HQ174" s="16">
        <v>48024</v>
      </c>
      <c r="HR174" s="16">
        <v>13786</v>
      </c>
      <c r="HS174" s="16">
        <v>2438</v>
      </c>
      <c r="HT174" s="16">
        <v>10</v>
      </c>
      <c r="HU174" s="16">
        <v>38120</v>
      </c>
      <c r="HV174" s="16">
        <v>0</v>
      </c>
      <c r="HW174" s="16">
        <v>620</v>
      </c>
      <c r="HX174" s="16">
        <v>545</v>
      </c>
      <c r="HY174" s="16">
        <v>1910</v>
      </c>
      <c r="HZ174" s="16">
        <v>1198</v>
      </c>
      <c r="IA174" s="16">
        <v>10533</v>
      </c>
      <c r="IB174" s="16">
        <v>736</v>
      </c>
      <c r="IC174" s="16">
        <v>96</v>
      </c>
      <c r="ID174" s="16">
        <v>0</v>
      </c>
      <c r="IE174" s="16">
        <v>151</v>
      </c>
      <c r="IF174" s="16">
        <v>560</v>
      </c>
      <c r="IG174" s="16">
        <v>12943</v>
      </c>
      <c r="IH174" s="16">
        <v>14317</v>
      </c>
      <c r="II174" s="16">
        <v>1789</v>
      </c>
      <c r="IJ174" s="16">
        <v>492</v>
      </c>
      <c r="IK174" s="16">
        <v>2710</v>
      </c>
      <c r="IL174" s="16">
        <v>1604</v>
      </c>
      <c r="IM174" s="16">
        <v>622</v>
      </c>
      <c r="IN174" s="16">
        <v>489</v>
      </c>
      <c r="IO174" s="16">
        <v>2749</v>
      </c>
      <c r="IP174" s="16">
        <v>2494900</v>
      </c>
      <c r="IQ174" s="16">
        <v>161728</v>
      </c>
      <c r="IR174" s="16">
        <v>74520</v>
      </c>
      <c r="IS174" s="16">
        <v>1117</v>
      </c>
      <c r="IT174" s="16">
        <v>1246</v>
      </c>
      <c r="IU174" s="16">
        <v>46</v>
      </c>
      <c r="IV174" s="16">
        <v>50816</v>
      </c>
      <c r="IW174" s="16">
        <v>561</v>
      </c>
      <c r="IX174" s="16">
        <v>290</v>
      </c>
      <c r="IY174" s="16">
        <v>33</v>
      </c>
      <c r="IZ174" s="16">
        <v>44</v>
      </c>
      <c r="JA174" s="16">
        <v>1045</v>
      </c>
      <c r="JB174" s="16">
        <v>0</v>
      </c>
      <c r="JC174" s="16">
        <v>0</v>
      </c>
      <c r="JD174" s="16">
        <v>0</v>
      </c>
      <c r="JE174" s="16">
        <v>0</v>
      </c>
      <c r="JF174" s="16">
        <v>0</v>
      </c>
      <c r="JG174" s="16">
        <v>0</v>
      </c>
      <c r="JH174" s="16">
        <v>0</v>
      </c>
      <c r="JI174" s="16">
        <v>2066</v>
      </c>
      <c r="JJ174" s="16">
        <v>57494</v>
      </c>
      <c r="JK174" s="16">
        <v>23019</v>
      </c>
      <c r="JL174" s="16">
        <v>774</v>
      </c>
      <c r="JM174" s="16">
        <v>2465</v>
      </c>
      <c r="JN174" s="16">
        <v>32380</v>
      </c>
      <c r="JO174" s="16">
        <v>9635</v>
      </c>
      <c r="JP174" s="16">
        <v>43241</v>
      </c>
      <c r="JQ174" s="16">
        <v>1220</v>
      </c>
      <c r="JR174" s="16">
        <v>16814</v>
      </c>
      <c r="JS174" s="16">
        <v>14325</v>
      </c>
      <c r="JT174" s="16">
        <v>0</v>
      </c>
      <c r="JU174" s="16">
        <v>0</v>
      </c>
      <c r="JV174" s="16">
        <v>0</v>
      </c>
      <c r="JW174" s="16">
        <v>1943243</v>
      </c>
      <c r="JX174" s="16">
        <v>1948379</v>
      </c>
      <c r="JY174" s="16">
        <v>69937</v>
      </c>
      <c r="JZ174" s="16">
        <v>1032031</v>
      </c>
      <c r="KA174" s="16">
        <v>147465</v>
      </c>
      <c r="KB174" s="16">
        <v>16564</v>
      </c>
      <c r="KC174" s="16">
        <v>18344</v>
      </c>
      <c r="KD174" s="16">
        <v>36082</v>
      </c>
      <c r="KE174" s="16">
        <v>42979</v>
      </c>
      <c r="KF174" s="16">
        <v>142987</v>
      </c>
      <c r="KG174" s="16">
        <v>44383</v>
      </c>
      <c r="KH174" s="16">
        <v>88097</v>
      </c>
      <c r="KI174" s="16">
        <v>134241</v>
      </c>
      <c r="KJ174" s="16">
        <v>117042</v>
      </c>
      <c r="KK174" s="16">
        <v>77513</v>
      </c>
      <c r="KL174" s="16">
        <v>586</v>
      </c>
      <c r="KM174" s="16">
        <v>396</v>
      </c>
      <c r="KN174" s="16">
        <v>326</v>
      </c>
      <c r="KO174" s="16">
        <v>6410</v>
      </c>
      <c r="KP174" s="16">
        <v>285</v>
      </c>
      <c r="KQ174" s="16">
        <v>213</v>
      </c>
      <c r="KR174" s="16">
        <v>2757</v>
      </c>
      <c r="KS174" s="16">
        <v>2012</v>
      </c>
      <c r="KT174" s="16">
        <v>2912</v>
      </c>
      <c r="KU174" s="16">
        <v>4249</v>
      </c>
      <c r="KV174" s="16">
        <v>24885</v>
      </c>
      <c r="KW174" s="16">
        <v>9369</v>
      </c>
      <c r="KX174" s="16">
        <v>0</v>
      </c>
      <c r="KY174" s="16">
        <v>3882</v>
      </c>
      <c r="KZ174" s="16">
        <v>0</v>
      </c>
      <c r="LA174" s="16">
        <v>0</v>
      </c>
      <c r="LB174" s="16">
        <v>0</v>
      </c>
      <c r="LC174" s="16">
        <v>0</v>
      </c>
      <c r="LD174" s="16">
        <v>0</v>
      </c>
      <c r="LE174" s="16">
        <v>0</v>
      </c>
      <c r="LF174" s="16">
        <v>0</v>
      </c>
      <c r="LG174" s="16">
        <v>0</v>
      </c>
      <c r="LH174" s="16">
        <v>0</v>
      </c>
      <c r="LI174" s="16">
        <v>0</v>
      </c>
      <c r="LJ174" s="16">
        <v>0</v>
      </c>
      <c r="LK174" s="16">
        <v>0</v>
      </c>
      <c r="LL174" s="16">
        <v>0</v>
      </c>
      <c r="LM174" s="16">
        <v>0</v>
      </c>
      <c r="LN174" s="16">
        <v>0</v>
      </c>
      <c r="LO174" s="16">
        <v>0</v>
      </c>
      <c r="LP174" s="16">
        <v>0</v>
      </c>
      <c r="LQ174" s="16">
        <v>0</v>
      </c>
      <c r="LR174" s="16">
        <v>0</v>
      </c>
      <c r="LS174" s="16">
        <v>0</v>
      </c>
      <c r="LT174" s="16">
        <v>0</v>
      </c>
      <c r="LU174" s="16">
        <v>0</v>
      </c>
      <c r="LV174" s="16">
        <v>0</v>
      </c>
      <c r="LW174" s="16">
        <v>0</v>
      </c>
      <c r="LX174" s="16">
        <v>0</v>
      </c>
      <c r="LY174" s="16">
        <v>0</v>
      </c>
      <c r="LZ174" s="16">
        <v>5035</v>
      </c>
      <c r="MA174" s="16">
        <v>1109</v>
      </c>
      <c r="MB174" s="16">
        <v>0</v>
      </c>
      <c r="MC174" s="16">
        <v>0</v>
      </c>
      <c r="MD174" s="16">
        <v>0</v>
      </c>
      <c r="ME174" s="16">
        <v>0</v>
      </c>
      <c r="MF174" s="16">
        <v>3380</v>
      </c>
      <c r="MG174" s="16">
        <v>0</v>
      </c>
      <c r="MH174" s="16">
        <v>0</v>
      </c>
      <c r="MI174" s="16">
        <v>3127</v>
      </c>
      <c r="MJ174" s="16">
        <v>362</v>
      </c>
      <c r="MK174" s="16">
        <v>18292</v>
      </c>
      <c r="ML174" s="16">
        <v>0</v>
      </c>
      <c r="MM174" s="16">
        <v>25208</v>
      </c>
      <c r="MN174" s="16">
        <v>1065</v>
      </c>
      <c r="MO174" s="16">
        <v>372</v>
      </c>
      <c r="MP174" s="16">
        <v>7813</v>
      </c>
      <c r="MQ174" s="16">
        <v>0</v>
      </c>
      <c r="MR174" s="16">
        <v>17</v>
      </c>
      <c r="MS174" s="16">
        <v>1684</v>
      </c>
      <c r="MT174" s="16">
        <v>0</v>
      </c>
      <c r="MU174" s="16">
        <v>0</v>
      </c>
      <c r="MV174" s="16">
        <v>627</v>
      </c>
      <c r="MW174" s="16">
        <v>2427</v>
      </c>
      <c r="MX174" s="16">
        <v>0</v>
      </c>
      <c r="MY174" s="16">
        <v>0</v>
      </c>
      <c r="MZ174" s="16">
        <v>0</v>
      </c>
      <c r="NA174" s="16">
        <v>387</v>
      </c>
      <c r="NB174" s="16">
        <v>10091</v>
      </c>
      <c r="NC174" s="16">
        <v>0</v>
      </c>
      <c r="ND174" s="16">
        <v>84</v>
      </c>
      <c r="NE174" s="16">
        <v>0</v>
      </c>
      <c r="NF174" s="16">
        <v>0</v>
      </c>
      <c r="NG174" s="16">
        <v>0</v>
      </c>
      <c r="NH174" s="16">
        <v>0</v>
      </c>
      <c r="NI174" s="16">
        <v>0</v>
      </c>
      <c r="NJ174" s="16">
        <v>0</v>
      </c>
      <c r="NK174" s="16">
        <v>421</v>
      </c>
      <c r="NL174" s="16">
        <v>0</v>
      </c>
      <c r="NM174" s="16">
        <v>0</v>
      </c>
      <c r="NN174" s="16">
        <v>0</v>
      </c>
      <c r="NO174" s="16">
        <v>0</v>
      </c>
      <c r="NP174" s="16">
        <v>0</v>
      </c>
      <c r="NQ174" s="16">
        <v>9</v>
      </c>
      <c r="NR174" s="17">
        <v>12068127</v>
      </c>
    </row>
    <row r="175" spans="1:382" ht="13.5" customHeight="1" x14ac:dyDescent="0.2">
      <c r="A175" s="2" t="s">
        <v>357</v>
      </c>
      <c r="B175" s="16">
        <v>0</v>
      </c>
      <c r="C175" s="16">
        <v>0</v>
      </c>
      <c r="D175" s="16">
        <v>0</v>
      </c>
      <c r="E175" s="16">
        <v>0</v>
      </c>
      <c r="F175" s="16">
        <v>0</v>
      </c>
      <c r="G175" s="16">
        <v>0</v>
      </c>
      <c r="H175" s="16">
        <v>67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173</v>
      </c>
      <c r="Q175" s="16">
        <v>255</v>
      </c>
      <c r="R175" s="16">
        <v>190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4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>
        <v>0</v>
      </c>
      <c r="AU175" s="16">
        <v>111</v>
      </c>
      <c r="AV175" s="16">
        <v>0</v>
      </c>
      <c r="AW175" s="16">
        <v>3047</v>
      </c>
      <c r="AX175" s="16">
        <v>0</v>
      </c>
      <c r="AY175" s="16">
        <v>0</v>
      </c>
      <c r="AZ175" s="16">
        <v>0</v>
      </c>
      <c r="BA175" s="16">
        <v>2713</v>
      </c>
      <c r="BB175" s="16">
        <v>0</v>
      </c>
      <c r="BC175" s="16">
        <v>0</v>
      </c>
      <c r="BD175" s="16">
        <v>0</v>
      </c>
      <c r="BE175" s="16">
        <v>0</v>
      </c>
      <c r="BF175" s="16">
        <v>0</v>
      </c>
      <c r="BG175" s="16">
        <v>0</v>
      </c>
      <c r="BH175" s="16">
        <v>0</v>
      </c>
      <c r="BI175" s="16">
        <v>0</v>
      </c>
      <c r="BJ175" s="16">
        <v>0</v>
      </c>
      <c r="BK175" s="16">
        <v>0</v>
      </c>
      <c r="BL175" s="16">
        <v>0</v>
      </c>
      <c r="BM175" s="16">
        <v>0</v>
      </c>
      <c r="BN175" s="16">
        <v>0</v>
      </c>
      <c r="BO175" s="16">
        <v>3</v>
      </c>
      <c r="BP175" s="16">
        <v>0</v>
      </c>
      <c r="BQ175" s="16">
        <v>0</v>
      </c>
      <c r="BR175" s="16">
        <v>1</v>
      </c>
      <c r="BS175" s="16">
        <v>0</v>
      </c>
      <c r="BT175" s="16">
        <v>0</v>
      </c>
      <c r="BU175" s="16">
        <v>0</v>
      </c>
      <c r="BV175" s="16">
        <v>0</v>
      </c>
      <c r="BW175" s="16">
        <v>33</v>
      </c>
      <c r="BX175" s="16">
        <v>0</v>
      </c>
      <c r="BY175" s="16">
        <v>0</v>
      </c>
      <c r="BZ175" s="16">
        <v>0</v>
      </c>
      <c r="CA175" s="16">
        <v>0</v>
      </c>
      <c r="CB175" s="16">
        <v>0</v>
      </c>
      <c r="CC175" s="16">
        <v>0</v>
      </c>
      <c r="CD175" s="16">
        <v>0</v>
      </c>
      <c r="CE175" s="16">
        <v>0</v>
      </c>
      <c r="CF175" s="16">
        <v>0</v>
      </c>
      <c r="CG175" s="16">
        <v>0</v>
      </c>
      <c r="CH175" s="16">
        <v>0</v>
      </c>
      <c r="CI175" s="16">
        <v>0</v>
      </c>
      <c r="CJ175" s="16">
        <v>0</v>
      </c>
      <c r="CK175" s="16">
        <v>0</v>
      </c>
      <c r="CL175" s="16">
        <v>0</v>
      </c>
      <c r="CM175" s="16">
        <v>0</v>
      </c>
      <c r="CN175" s="16">
        <v>0</v>
      </c>
      <c r="CO175" s="16">
        <v>0</v>
      </c>
      <c r="CP175" s="16">
        <v>0</v>
      </c>
      <c r="CQ175" s="16">
        <v>0</v>
      </c>
      <c r="CR175" s="16">
        <v>0</v>
      </c>
      <c r="CS175" s="16">
        <v>22717</v>
      </c>
      <c r="CT175" s="16">
        <v>12882</v>
      </c>
      <c r="CU175" s="16">
        <v>28258</v>
      </c>
      <c r="CV175" s="16">
        <v>24602</v>
      </c>
      <c r="CW175" s="16">
        <v>154233</v>
      </c>
      <c r="CX175" s="16">
        <v>41121</v>
      </c>
      <c r="CY175" s="16">
        <v>17490</v>
      </c>
      <c r="CZ175" s="16">
        <v>2237</v>
      </c>
      <c r="DA175" s="16">
        <v>684</v>
      </c>
      <c r="DB175" s="16">
        <v>48023</v>
      </c>
      <c r="DC175" s="16">
        <v>1630</v>
      </c>
      <c r="DD175" s="16">
        <v>38566</v>
      </c>
      <c r="DE175" s="16">
        <v>21613</v>
      </c>
      <c r="DF175" s="16">
        <v>3684</v>
      </c>
      <c r="DG175" s="16">
        <v>201660</v>
      </c>
      <c r="DH175" s="16">
        <v>595</v>
      </c>
      <c r="DI175" s="16">
        <v>3784</v>
      </c>
      <c r="DJ175" s="16">
        <v>42996</v>
      </c>
      <c r="DK175" s="16">
        <v>782</v>
      </c>
      <c r="DL175" s="16">
        <v>0</v>
      </c>
      <c r="DM175" s="16">
        <v>0</v>
      </c>
      <c r="DN175" s="16">
        <v>195</v>
      </c>
      <c r="DO175" s="16">
        <v>718</v>
      </c>
      <c r="DP175" s="16">
        <v>1114</v>
      </c>
      <c r="DQ175" s="16">
        <v>0</v>
      </c>
      <c r="DR175" s="16">
        <v>101</v>
      </c>
      <c r="DS175" s="16">
        <v>3705</v>
      </c>
      <c r="DT175" s="16">
        <v>186</v>
      </c>
      <c r="DU175" s="16">
        <v>0</v>
      </c>
      <c r="DV175" s="16">
        <v>339</v>
      </c>
      <c r="DW175" s="16">
        <v>393</v>
      </c>
      <c r="DX175" s="16">
        <v>575</v>
      </c>
      <c r="DY175" s="16">
        <v>1171</v>
      </c>
      <c r="DZ175" s="16">
        <v>2692</v>
      </c>
      <c r="EA175" s="16">
        <v>1034</v>
      </c>
      <c r="EB175" s="16">
        <v>5</v>
      </c>
      <c r="EC175" s="16">
        <v>0</v>
      </c>
      <c r="ED175" s="16">
        <v>0</v>
      </c>
      <c r="EE175" s="16">
        <v>0</v>
      </c>
      <c r="EF175" s="16">
        <v>2</v>
      </c>
      <c r="EG175" s="16">
        <v>31</v>
      </c>
      <c r="EH175" s="16">
        <v>1</v>
      </c>
      <c r="EI175" s="16">
        <v>0</v>
      </c>
      <c r="EJ175" s="16">
        <v>51</v>
      </c>
      <c r="EK175" s="16">
        <v>0</v>
      </c>
      <c r="EL175" s="16">
        <v>41</v>
      </c>
      <c r="EM175" s="16">
        <v>0</v>
      </c>
      <c r="EN175" s="16">
        <v>0</v>
      </c>
      <c r="EO175" s="16">
        <v>0</v>
      </c>
      <c r="EP175" s="16">
        <v>0</v>
      </c>
      <c r="EQ175" s="16">
        <v>61</v>
      </c>
      <c r="ER175" s="16">
        <v>0</v>
      </c>
      <c r="ES175" s="16">
        <v>422</v>
      </c>
      <c r="ET175" s="16">
        <v>1166</v>
      </c>
      <c r="EU175" s="16">
        <v>0</v>
      </c>
      <c r="EV175" s="16">
        <v>0</v>
      </c>
      <c r="EW175" s="16">
        <v>0</v>
      </c>
      <c r="EX175" s="16">
        <v>0</v>
      </c>
      <c r="EY175" s="16">
        <v>0</v>
      </c>
      <c r="EZ175" s="16">
        <v>0</v>
      </c>
      <c r="FA175" s="16">
        <v>0</v>
      </c>
      <c r="FB175" s="16">
        <v>0</v>
      </c>
      <c r="FC175" s="16">
        <v>7</v>
      </c>
      <c r="FD175" s="16">
        <v>1371</v>
      </c>
      <c r="FE175" s="16">
        <v>0</v>
      </c>
      <c r="FF175" s="16">
        <v>0</v>
      </c>
      <c r="FG175" s="16">
        <v>69</v>
      </c>
      <c r="FH175" s="16">
        <v>0</v>
      </c>
      <c r="FI175" s="16">
        <v>217</v>
      </c>
      <c r="FJ175" s="16">
        <v>0</v>
      </c>
      <c r="FK175" s="16">
        <v>0</v>
      </c>
      <c r="FL175" s="16">
        <v>0</v>
      </c>
      <c r="FM175" s="16">
        <v>50</v>
      </c>
      <c r="FN175" s="16">
        <v>2</v>
      </c>
      <c r="FO175" s="16">
        <v>95</v>
      </c>
      <c r="FP175" s="16">
        <v>1006</v>
      </c>
      <c r="FQ175" s="16">
        <v>11287</v>
      </c>
      <c r="FR175" s="16">
        <v>67656</v>
      </c>
      <c r="FS175" s="16">
        <v>324738</v>
      </c>
      <c r="FT175" s="16">
        <v>5866</v>
      </c>
      <c r="FU175" s="16">
        <v>0</v>
      </c>
      <c r="FV175" s="16">
        <v>0</v>
      </c>
      <c r="FW175" s="16">
        <v>95</v>
      </c>
      <c r="FX175" s="16">
        <v>2167</v>
      </c>
      <c r="FY175" s="16">
        <v>0</v>
      </c>
      <c r="FZ175" s="16">
        <v>536</v>
      </c>
      <c r="GA175" s="16">
        <v>3</v>
      </c>
      <c r="GB175" s="16">
        <v>0</v>
      </c>
      <c r="GC175" s="16">
        <v>10</v>
      </c>
      <c r="GD175" s="16">
        <v>4705</v>
      </c>
      <c r="GE175" s="16">
        <v>24</v>
      </c>
      <c r="GF175" s="16">
        <v>1833</v>
      </c>
      <c r="GG175" s="16">
        <v>883</v>
      </c>
      <c r="GH175" s="16">
        <v>64</v>
      </c>
      <c r="GI175" s="16">
        <v>30</v>
      </c>
      <c r="GJ175" s="16">
        <v>0</v>
      </c>
      <c r="GK175" s="16">
        <v>12</v>
      </c>
      <c r="GL175" s="16">
        <v>0</v>
      </c>
      <c r="GM175" s="16">
        <v>175</v>
      </c>
      <c r="GN175" s="16">
        <v>0</v>
      </c>
      <c r="GO175" s="16">
        <v>303</v>
      </c>
      <c r="GP175" s="16">
        <v>42</v>
      </c>
      <c r="GQ175" s="16">
        <v>0</v>
      </c>
      <c r="GR175" s="16">
        <v>59</v>
      </c>
      <c r="GS175" s="16">
        <v>202</v>
      </c>
      <c r="GT175" s="16">
        <v>20</v>
      </c>
      <c r="GU175" s="16">
        <v>738</v>
      </c>
      <c r="GV175" s="16">
        <v>1033</v>
      </c>
      <c r="GW175" s="16">
        <v>846</v>
      </c>
      <c r="GX175" s="16">
        <v>44</v>
      </c>
      <c r="GY175" s="16">
        <v>0</v>
      </c>
      <c r="GZ175" s="16">
        <v>904</v>
      </c>
      <c r="HA175" s="16">
        <v>511</v>
      </c>
      <c r="HB175" s="16">
        <v>0</v>
      </c>
      <c r="HC175" s="16">
        <v>252</v>
      </c>
      <c r="HD175" s="16">
        <v>689</v>
      </c>
      <c r="HE175" s="16">
        <v>25</v>
      </c>
      <c r="HF175" s="16">
        <v>192</v>
      </c>
      <c r="HG175" s="16">
        <v>852</v>
      </c>
      <c r="HH175" s="16">
        <v>98</v>
      </c>
      <c r="HI175" s="16">
        <v>782</v>
      </c>
      <c r="HJ175" s="16">
        <v>443</v>
      </c>
      <c r="HK175" s="16">
        <v>127</v>
      </c>
      <c r="HL175" s="16">
        <v>110</v>
      </c>
      <c r="HM175" s="16">
        <v>13676</v>
      </c>
      <c r="HN175" s="16">
        <v>6273</v>
      </c>
      <c r="HO175" s="16">
        <v>0</v>
      </c>
      <c r="HP175" s="16">
        <v>0</v>
      </c>
      <c r="HQ175" s="16">
        <v>17247</v>
      </c>
      <c r="HR175" s="16">
        <v>740</v>
      </c>
      <c r="HS175" s="16">
        <v>37983</v>
      </c>
      <c r="HT175" s="16">
        <v>0</v>
      </c>
      <c r="HU175" s="16">
        <v>9492</v>
      </c>
      <c r="HV175" s="16">
        <v>5685</v>
      </c>
      <c r="HW175" s="16">
        <v>6583</v>
      </c>
      <c r="HX175" s="16">
        <v>1323</v>
      </c>
      <c r="HY175" s="16">
        <v>56</v>
      </c>
      <c r="HZ175" s="16">
        <v>29476</v>
      </c>
      <c r="IA175" s="16">
        <v>3118</v>
      </c>
      <c r="IB175" s="16">
        <v>224</v>
      </c>
      <c r="IC175" s="16">
        <v>33</v>
      </c>
      <c r="ID175" s="16">
        <v>1024</v>
      </c>
      <c r="IE175" s="16">
        <v>27</v>
      </c>
      <c r="IF175" s="16">
        <v>122</v>
      </c>
      <c r="IG175" s="16">
        <v>2729</v>
      </c>
      <c r="IH175" s="16">
        <v>11534</v>
      </c>
      <c r="II175" s="16">
        <v>1488</v>
      </c>
      <c r="IJ175" s="16">
        <v>983</v>
      </c>
      <c r="IK175" s="16">
        <v>1080</v>
      </c>
      <c r="IL175" s="16">
        <v>32459</v>
      </c>
      <c r="IM175" s="16">
        <v>190</v>
      </c>
      <c r="IN175" s="16">
        <v>2722</v>
      </c>
      <c r="IO175" s="16">
        <v>6035</v>
      </c>
      <c r="IP175" s="16">
        <v>195295</v>
      </c>
      <c r="IQ175" s="16">
        <v>2198</v>
      </c>
      <c r="IR175" s="16">
        <v>2158</v>
      </c>
      <c r="IS175" s="16">
        <v>17497</v>
      </c>
      <c r="IT175" s="16">
        <v>230</v>
      </c>
      <c r="IU175" s="16">
        <v>39</v>
      </c>
      <c r="IV175" s="16">
        <v>1626</v>
      </c>
      <c r="IW175" s="16">
        <v>0</v>
      </c>
      <c r="IX175" s="16">
        <v>18</v>
      </c>
      <c r="IY175" s="16">
        <v>0</v>
      </c>
      <c r="IZ175" s="16">
        <v>0</v>
      </c>
      <c r="JA175" s="16">
        <v>0</v>
      </c>
      <c r="JB175" s="16">
        <v>0</v>
      </c>
      <c r="JC175" s="16">
        <v>0</v>
      </c>
      <c r="JD175" s="16">
        <v>0</v>
      </c>
      <c r="JE175" s="16">
        <v>0</v>
      </c>
      <c r="JF175" s="16">
        <v>0</v>
      </c>
      <c r="JG175" s="16">
        <v>11672</v>
      </c>
      <c r="JH175" s="16">
        <v>1336</v>
      </c>
      <c r="JI175" s="16">
        <v>0</v>
      </c>
      <c r="JJ175" s="16">
        <v>0</v>
      </c>
      <c r="JK175" s="16">
        <v>8387</v>
      </c>
      <c r="JL175" s="16">
        <v>0</v>
      </c>
      <c r="JM175" s="16">
        <v>0</v>
      </c>
      <c r="JN175" s="16">
        <v>0</v>
      </c>
      <c r="JO175" s="16">
        <v>16267</v>
      </c>
      <c r="JP175" s="16">
        <v>0</v>
      </c>
      <c r="JQ175" s="16">
        <v>967</v>
      </c>
      <c r="JR175" s="16">
        <v>20236</v>
      </c>
      <c r="JS175" s="16">
        <v>26883</v>
      </c>
      <c r="JT175" s="16">
        <v>1</v>
      </c>
      <c r="JU175" s="16">
        <v>19</v>
      </c>
      <c r="JV175" s="16">
        <v>0</v>
      </c>
      <c r="JW175" s="16">
        <v>20923</v>
      </c>
      <c r="JX175" s="16">
        <v>165591</v>
      </c>
      <c r="JY175" s="16">
        <v>12359</v>
      </c>
      <c r="JZ175" s="16">
        <v>4461</v>
      </c>
      <c r="KA175" s="16">
        <v>673</v>
      </c>
      <c r="KB175" s="16">
        <v>176</v>
      </c>
      <c r="KC175" s="16">
        <v>261</v>
      </c>
      <c r="KD175" s="16">
        <v>373</v>
      </c>
      <c r="KE175" s="16">
        <v>1277</v>
      </c>
      <c r="KF175" s="16">
        <v>2947</v>
      </c>
      <c r="KG175" s="16">
        <v>5197</v>
      </c>
      <c r="KH175" s="16">
        <v>64</v>
      </c>
      <c r="KI175" s="16">
        <v>10975</v>
      </c>
      <c r="KJ175" s="16">
        <v>1287</v>
      </c>
      <c r="KK175" s="16">
        <v>150578</v>
      </c>
      <c r="KL175" s="16">
        <v>0</v>
      </c>
      <c r="KM175" s="16">
        <v>568</v>
      </c>
      <c r="KN175" s="16">
        <v>8</v>
      </c>
      <c r="KO175" s="16">
        <v>5916</v>
      </c>
      <c r="KP175" s="16">
        <v>679</v>
      </c>
      <c r="KQ175" s="16">
        <v>181</v>
      </c>
      <c r="KR175" s="16">
        <v>0</v>
      </c>
      <c r="KS175" s="16">
        <v>0</v>
      </c>
      <c r="KT175" s="16">
        <v>0</v>
      </c>
      <c r="KU175" s="16">
        <v>19877</v>
      </c>
      <c r="KV175" s="16">
        <v>9001</v>
      </c>
      <c r="KW175" s="16">
        <v>0</v>
      </c>
      <c r="KX175" s="16">
        <v>0</v>
      </c>
      <c r="KY175" s="16">
        <v>0</v>
      </c>
      <c r="KZ175" s="16">
        <v>213072</v>
      </c>
      <c r="LA175" s="16">
        <v>82456</v>
      </c>
      <c r="LB175" s="16">
        <v>14437</v>
      </c>
      <c r="LC175" s="16">
        <v>19238</v>
      </c>
      <c r="LD175" s="16">
        <v>59494</v>
      </c>
      <c r="LE175" s="16">
        <v>0</v>
      </c>
      <c r="LF175" s="16">
        <v>0</v>
      </c>
      <c r="LG175" s="16">
        <v>0</v>
      </c>
      <c r="LH175" s="16">
        <v>0</v>
      </c>
      <c r="LI175" s="16">
        <v>0</v>
      </c>
      <c r="LJ175" s="16">
        <v>0</v>
      </c>
      <c r="LK175" s="16">
        <v>0</v>
      </c>
      <c r="LL175" s="16">
        <v>0</v>
      </c>
      <c r="LM175" s="16">
        <v>0</v>
      </c>
      <c r="LN175" s="16">
        <v>0</v>
      </c>
      <c r="LO175" s="16">
        <v>0</v>
      </c>
      <c r="LP175" s="16">
        <v>0</v>
      </c>
      <c r="LQ175" s="16">
        <v>0</v>
      </c>
      <c r="LR175" s="16">
        <v>0</v>
      </c>
      <c r="LS175" s="16">
        <v>0</v>
      </c>
      <c r="LT175" s="16">
        <v>0</v>
      </c>
      <c r="LU175" s="16">
        <v>0</v>
      </c>
      <c r="LV175" s="16">
        <v>0</v>
      </c>
      <c r="LW175" s="16">
        <v>0</v>
      </c>
      <c r="LX175" s="16">
        <v>0</v>
      </c>
      <c r="LY175" s="16">
        <v>0</v>
      </c>
      <c r="LZ175" s="16">
        <v>3714</v>
      </c>
      <c r="MA175" s="16">
        <v>826</v>
      </c>
      <c r="MB175" s="16">
        <v>2091</v>
      </c>
      <c r="MC175" s="16">
        <v>910</v>
      </c>
      <c r="MD175" s="16">
        <v>1</v>
      </c>
      <c r="ME175" s="16">
        <v>0</v>
      </c>
      <c r="MF175" s="16">
        <v>13246</v>
      </c>
      <c r="MG175" s="16">
        <v>0</v>
      </c>
      <c r="MH175" s="16">
        <v>0</v>
      </c>
      <c r="MI175" s="16">
        <v>0</v>
      </c>
      <c r="MJ175" s="16">
        <v>0</v>
      </c>
      <c r="MK175" s="16">
        <v>604</v>
      </c>
      <c r="ML175" s="16">
        <v>0</v>
      </c>
      <c r="MM175" s="16">
        <v>0</v>
      </c>
      <c r="MN175" s="16">
        <v>0</v>
      </c>
      <c r="MO175" s="16">
        <v>0</v>
      </c>
      <c r="MP175" s="16">
        <v>8427</v>
      </c>
      <c r="MQ175" s="16">
        <v>0</v>
      </c>
      <c r="MR175" s="16">
        <v>2141</v>
      </c>
      <c r="MS175" s="16">
        <v>15</v>
      </c>
      <c r="MT175" s="16">
        <v>0</v>
      </c>
      <c r="MU175" s="16">
        <v>27677</v>
      </c>
      <c r="MV175" s="16">
        <v>0</v>
      </c>
      <c r="MW175" s="16">
        <v>0</v>
      </c>
      <c r="MX175" s="16">
        <v>0</v>
      </c>
      <c r="MY175" s="16">
        <v>0</v>
      </c>
      <c r="MZ175" s="16">
        <v>0</v>
      </c>
      <c r="NA175" s="16">
        <v>0</v>
      </c>
      <c r="NB175" s="16">
        <v>0</v>
      </c>
      <c r="NC175" s="16">
        <v>0</v>
      </c>
      <c r="ND175" s="16">
        <v>0</v>
      </c>
      <c r="NE175" s="16">
        <v>0</v>
      </c>
      <c r="NF175" s="16">
        <v>0</v>
      </c>
      <c r="NG175" s="16">
        <v>6</v>
      </c>
      <c r="NH175" s="16">
        <v>0</v>
      </c>
      <c r="NI175" s="16">
        <v>0</v>
      </c>
      <c r="NJ175" s="16">
        <v>0</v>
      </c>
      <c r="NK175" s="16">
        <v>626</v>
      </c>
      <c r="NL175" s="16">
        <v>0</v>
      </c>
      <c r="NM175" s="16">
        <v>0</v>
      </c>
      <c r="NN175" s="16">
        <v>0</v>
      </c>
      <c r="NO175" s="16">
        <v>0</v>
      </c>
      <c r="NP175" s="16">
        <v>0</v>
      </c>
      <c r="NQ175" s="16">
        <v>23</v>
      </c>
      <c r="NR175" s="17">
        <v>2478837</v>
      </c>
    </row>
    <row r="176" spans="1:382" ht="13.5" customHeight="1" x14ac:dyDescent="0.2">
      <c r="A176" s="2" t="s">
        <v>359</v>
      </c>
      <c r="B176" s="16">
        <v>0</v>
      </c>
      <c r="C176" s="16">
        <v>0</v>
      </c>
      <c r="D176" s="16">
        <v>0</v>
      </c>
      <c r="E176" s="16">
        <v>0</v>
      </c>
      <c r="F176" s="16">
        <v>320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1596</v>
      </c>
      <c r="Q176" s="16">
        <v>4120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806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352</v>
      </c>
      <c r="AM176" s="16">
        <v>0</v>
      </c>
      <c r="AN176" s="16">
        <v>93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232</v>
      </c>
      <c r="AU176" s="16">
        <v>930</v>
      </c>
      <c r="AV176" s="16">
        <v>14</v>
      </c>
      <c r="AW176" s="16">
        <v>583</v>
      </c>
      <c r="AX176" s="16">
        <v>332</v>
      </c>
      <c r="AY176" s="16">
        <v>0</v>
      </c>
      <c r="AZ176" s="16">
        <v>14</v>
      </c>
      <c r="BA176" s="16">
        <v>3393</v>
      </c>
      <c r="BB176" s="16">
        <v>0</v>
      </c>
      <c r="BC176" s="16">
        <v>46</v>
      </c>
      <c r="BD176" s="16">
        <v>0</v>
      </c>
      <c r="BE176" s="16">
        <v>0</v>
      </c>
      <c r="BF176" s="16">
        <v>0</v>
      </c>
      <c r="BG176" s="16">
        <v>0</v>
      </c>
      <c r="BH176" s="16">
        <v>1042</v>
      </c>
      <c r="BI176" s="16">
        <v>0</v>
      </c>
      <c r="BJ176" s="16">
        <v>0</v>
      </c>
      <c r="BK176" s="16">
        <v>0</v>
      </c>
      <c r="BL176" s="16">
        <v>0</v>
      </c>
      <c r="BM176" s="16">
        <v>0</v>
      </c>
      <c r="BN176" s="16">
        <v>0</v>
      </c>
      <c r="BO176" s="16">
        <v>0</v>
      </c>
      <c r="BP176" s="16">
        <v>35</v>
      </c>
      <c r="BQ176" s="16">
        <v>29</v>
      </c>
      <c r="BR176" s="16">
        <v>0</v>
      </c>
      <c r="BS176" s="16">
        <v>469</v>
      </c>
      <c r="BT176" s="16">
        <v>20</v>
      </c>
      <c r="BU176" s="16">
        <v>0</v>
      </c>
      <c r="BV176" s="16">
        <v>0</v>
      </c>
      <c r="BW176" s="16">
        <v>0</v>
      </c>
      <c r="BX176" s="16">
        <v>0</v>
      </c>
      <c r="BY176" s="16">
        <v>0</v>
      </c>
      <c r="BZ176" s="16">
        <v>0</v>
      </c>
      <c r="CA176" s="16">
        <v>113</v>
      </c>
      <c r="CB176" s="16">
        <v>0</v>
      </c>
      <c r="CC176" s="16">
        <v>0</v>
      </c>
      <c r="CD176" s="16">
        <v>0</v>
      </c>
      <c r="CE176" s="16">
        <v>0</v>
      </c>
      <c r="CF176" s="16">
        <v>0</v>
      </c>
      <c r="CG176" s="16">
        <v>0</v>
      </c>
      <c r="CH176" s="16">
        <v>0</v>
      </c>
      <c r="CI176" s="16">
        <v>0</v>
      </c>
      <c r="CJ176" s="16">
        <v>0</v>
      </c>
      <c r="CK176" s="16">
        <v>505</v>
      </c>
      <c r="CL176" s="16">
        <v>0</v>
      </c>
      <c r="CM176" s="16">
        <v>0</v>
      </c>
      <c r="CN176" s="16">
        <v>63</v>
      </c>
      <c r="CO176" s="16">
        <v>0</v>
      </c>
      <c r="CP176" s="16">
        <v>0</v>
      </c>
      <c r="CQ176" s="16">
        <v>220</v>
      </c>
      <c r="CR176" s="16">
        <v>4</v>
      </c>
      <c r="CS176" s="16">
        <v>815</v>
      </c>
      <c r="CT176" s="16">
        <v>2263</v>
      </c>
      <c r="CU176" s="16">
        <v>1756</v>
      </c>
      <c r="CV176" s="16">
        <v>4068</v>
      </c>
      <c r="CW176" s="16">
        <v>14838</v>
      </c>
      <c r="CX176" s="16">
        <v>5276</v>
      </c>
      <c r="CY176" s="16">
        <v>0</v>
      </c>
      <c r="CZ176" s="16">
        <v>0</v>
      </c>
      <c r="DA176" s="16">
        <v>0</v>
      </c>
      <c r="DB176" s="16">
        <v>0</v>
      </c>
      <c r="DC176" s="16">
        <v>0</v>
      </c>
      <c r="DD176" s="16">
        <v>0</v>
      </c>
      <c r="DE176" s="16">
        <v>1424</v>
      </c>
      <c r="DF176" s="16">
        <v>0</v>
      </c>
      <c r="DG176" s="16">
        <v>2061</v>
      </c>
      <c r="DH176" s="16">
        <v>608</v>
      </c>
      <c r="DI176" s="16">
        <v>277</v>
      </c>
      <c r="DJ176" s="16">
        <v>3735</v>
      </c>
      <c r="DK176" s="16">
        <v>0</v>
      </c>
      <c r="DL176" s="16">
        <v>0</v>
      </c>
      <c r="DM176" s="16">
        <v>406</v>
      </c>
      <c r="DN176" s="16">
        <v>170</v>
      </c>
      <c r="DO176" s="16">
        <v>0</v>
      </c>
      <c r="DP176" s="16">
        <v>0</v>
      </c>
      <c r="DQ176" s="16">
        <v>112</v>
      </c>
      <c r="DR176" s="16">
        <v>0</v>
      </c>
      <c r="DS176" s="16">
        <v>16</v>
      </c>
      <c r="DT176" s="16">
        <v>148</v>
      </c>
      <c r="DU176" s="16">
        <v>0</v>
      </c>
      <c r="DV176" s="16">
        <v>63</v>
      </c>
      <c r="DW176" s="16">
        <v>809</v>
      </c>
      <c r="DX176" s="16">
        <v>0</v>
      </c>
      <c r="DY176" s="16">
        <v>0</v>
      </c>
      <c r="DZ176" s="16">
        <v>0</v>
      </c>
      <c r="EA176" s="16">
        <v>769</v>
      </c>
      <c r="EB176" s="16">
        <v>0</v>
      </c>
      <c r="EC176" s="16">
        <v>19</v>
      </c>
      <c r="ED176" s="16">
        <v>0</v>
      </c>
      <c r="EE176" s="16">
        <v>0</v>
      </c>
      <c r="EF176" s="16">
        <v>20</v>
      </c>
      <c r="EG176" s="16">
        <v>320</v>
      </c>
      <c r="EH176" s="16">
        <v>96</v>
      </c>
      <c r="EI176" s="16">
        <v>0</v>
      </c>
      <c r="EJ176" s="16">
        <v>155</v>
      </c>
      <c r="EK176" s="16">
        <v>0</v>
      </c>
      <c r="EL176" s="16">
        <v>0</v>
      </c>
      <c r="EM176" s="16">
        <v>0</v>
      </c>
      <c r="EN176" s="16">
        <v>801</v>
      </c>
      <c r="EO176" s="16">
        <v>739</v>
      </c>
      <c r="EP176" s="16">
        <v>0</v>
      </c>
      <c r="EQ176" s="16">
        <v>44</v>
      </c>
      <c r="ER176" s="16">
        <v>55</v>
      </c>
      <c r="ES176" s="16">
        <v>0</v>
      </c>
      <c r="ET176" s="16">
        <v>0</v>
      </c>
      <c r="EU176" s="16">
        <v>70</v>
      </c>
      <c r="EV176" s="16">
        <v>0</v>
      </c>
      <c r="EW176" s="16">
        <v>4</v>
      </c>
      <c r="EX176" s="16">
        <v>0</v>
      </c>
      <c r="EY176" s="16">
        <v>0</v>
      </c>
      <c r="EZ176" s="16">
        <v>33</v>
      </c>
      <c r="FA176" s="16">
        <v>4</v>
      </c>
      <c r="FB176" s="16">
        <v>0</v>
      </c>
      <c r="FC176" s="16">
        <v>0</v>
      </c>
      <c r="FD176" s="16">
        <v>408</v>
      </c>
      <c r="FE176" s="16">
        <v>185</v>
      </c>
      <c r="FF176" s="16">
        <v>1</v>
      </c>
      <c r="FG176" s="16">
        <v>4</v>
      </c>
      <c r="FH176" s="16">
        <v>0</v>
      </c>
      <c r="FI176" s="16">
        <v>185</v>
      </c>
      <c r="FJ176" s="16">
        <v>91</v>
      </c>
      <c r="FK176" s="16">
        <v>0</v>
      </c>
      <c r="FL176" s="16">
        <v>0</v>
      </c>
      <c r="FM176" s="16">
        <v>2</v>
      </c>
      <c r="FN176" s="16">
        <v>0</v>
      </c>
      <c r="FO176" s="16">
        <v>0</v>
      </c>
      <c r="FP176" s="16">
        <v>6356</v>
      </c>
      <c r="FQ176" s="16">
        <v>457</v>
      </c>
      <c r="FR176" s="16">
        <v>764</v>
      </c>
      <c r="FS176" s="16">
        <v>1026</v>
      </c>
      <c r="FT176" s="16">
        <v>374241</v>
      </c>
      <c r="FU176" s="16">
        <v>0</v>
      </c>
      <c r="FV176" s="16">
        <v>690</v>
      </c>
      <c r="FW176" s="16">
        <v>114</v>
      </c>
      <c r="FX176" s="16">
        <v>0</v>
      </c>
      <c r="FY176" s="16">
        <v>179</v>
      </c>
      <c r="FZ176" s="16">
        <v>0</v>
      </c>
      <c r="GA176" s="16">
        <v>0</v>
      </c>
      <c r="GB176" s="16">
        <v>30</v>
      </c>
      <c r="GC176" s="16">
        <v>0</v>
      </c>
      <c r="GD176" s="16">
        <v>151</v>
      </c>
      <c r="GE176" s="16">
        <v>71</v>
      </c>
      <c r="GF176" s="16">
        <v>835</v>
      </c>
      <c r="GG176" s="16">
        <v>41</v>
      </c>
      <c r="GH176" s="16">
        <v>133</v>
      </c>
      <c r="GI176" s="16">
        <v>0</v>
      </c>
      <c r="GJ176" s="16">
        <v>0</v>
      </c>
      <c r="GK176" s="16">
        <v>28</v>
      </c>
      <c r="GL176" s="16">
        <v>0</v>
      </c>
      <c r="GM176" s="16">
        <v>40</v>
      </c>
      <c r="GN176" s="16">
        <v>0</v>
      </c>
      <c r="GO176" s="16">
        <v>241</v>
      </c>
      <c r="GP176" s="16">
        <v>12</v>
      </c>
      <c r="GQ176" s="16">
        <v>1</v>
      </c>
      <c r="GR176" s="16">
        <v>0</v>
      </c>
      <c r="GS176" s="16">
        <v>0</v>
      </c>
      <c r="GT176" s="16">
        <v>0</v>
      </c>
      <c r="GU176" s="16">
        <v>209</v>
      </c>
      <c r="GV176" s="16">
        <v>23</v>
      </c>
      <c r="GW176" s="16">
        <v>120</v>
      </c>
      <c r="GX176" s="16">
        <v>0</v>
      </c>
      <c r="GY176" s="16">
        <v>0</v>
      </c>
      <c r="GZ176" s="16">
        <v>92</v>
      </c>
      <c r="HA176" s="16">
        <v>376</v>
      </c>
      <c r="HB176" s="16">
        <v>534</v>
      </c>
      <c r="HC176" s="16">
        <v>114</v>
      </c>
      <c r="HD176" s="16">
        <v>531</v>
      </c>
      <c r="HE176" s="16">
        <v>94</v>
      </c>
      <c r="HF176" s="16">
        <v>106</v>
      </c>
      <c r="HG176" s="16">
        <v>0</v>
      </c>
      <c r="HH176" s="16">
        <v>76</v>
      </c>
      <c r="HI176" s="16">
        <v>4937</v>
      </c>
      <c r="HJ176" s="16">
        <v>0</v>
      </c>
      <c r="HK176" s="16">
        <v>136</v>
      </c>
      <c r="HL176" s="16">
        <v>989</v>
      </c>
      <c r="HM176" s="16">
        <v>0</v>
      </c>
      <c r="HN176" s="16">
        <v>1008</v>
      </c>
      <c r="HO176" s="16">
        <v>494</v>
      </c>
      <c r="HP176" s="16">
        <v>10</v>
      </c>
      <c r="HQ176" s="16">
        <v>896</v>
      </c>
      <c r="HR176" s="16">
        <v>993</v>
      </c>
      <c r="HS176" s="16">
        <v>822</v>
      </c>
      <c r="HT176" s="16">
        <v>0</v>
      </c>
      <c r="HU176" s="16">
        <v>892</v>
      </c>
      <c r="HV176" s="16">
        <v>220</v>
      </c>
      <c r="HW176" s="16">
        <v>23</v>
      </c>
      <c r="HX176" s="16">
        <v>464</v>
      </c>
      <c r="HY176" s="16">
        <v>616</v>
      </c>
      <c r="HZ176" s="16">
        <v>188</v>
      </c>
      <c r="IA176" s="16">
        <v>121</v>
      </c>
      <c r="IB176" s="16">
        <v>216</v>
      </c>
      <c r="IC176" s="16">
        <v>280</v>
      </c>
      <c r="ID176" s="16">
        <v>40</v>
      </c>
      <c r="IE176" s="16">
        <v>77</v>
      </c>
      <c r="IF176" s="16">
        <v>51</v>
      </c>
      <c r="IG176" s="16">
        <v>646</v>
      </c>
      <c r="IH176" s="16">
        <v>729</v>
      </c>
      <c r="II176" s="16">
        <v>97</v>
      </c>
      <c r="IJ176" s="16">
        <v>110</v>
      </c>
      <c r="IK176" s="16">
        <v>0</v>
      </c>
      <c r="IL176" s="16">
        <v>0</v>
      </c>
      <c r="IM176" s="16">
        <v>0</v>
      </c>
      <c r="IN176" s="16">
        <v>0</v>
      </c>
      <c r="IO176" s="16">
        <v>559</v>
      </c>
      <c r="IP176" s="16">
        <v>27022</v>
      </c>
      <c r="IQ176" s="16">
        <v>552</v>
      </c>
      <c r="IR176" s="16">
        <v>557</v>
      </c>
      <c r="IS176" s="16">
        <v>0</v>
      </c>
      <c r="IT176" s="16">
        <v>0</v>
      </c>
      <c r="IU176" s="16">
        <v>0</v>
      </c>
      <c r="IV176" s="16">
        <v>0</v>
      </c>
      <c r="IW176" s="16">
        <v>878</v>
      </c>
      <c r="IX176" s="16">
        <v>549</v>
      </c>
      <c r="IY176" s="16">
        <v>131</v>
      </c>
      <c r="IZ176" s="16">
        <v>0</v>
      </c>
      <c r="JA176" s="16">
        <v>0</v>
      </c>
      <c r="JB176" s="16">
        <v>0</v>
      </c>
      <c r="JC176" s="16">
        <v>29</v>
      </c>
      <c r="JD176" s="16">
        <v>0</v>
      </c>
      <c r="JE176" s="16">
        <v>83</v>
      </c>
      <c r="JF176" s="16">
        <v>0</v>
      </c>
      <c r="JG176" s="16">
        <v>0</v>
      </c>
      <c r="JH176" s="16">
        <v>0</v>
      </c>
      <c r="JI176" s="16">
        <v>0</v>
      </c>
      <c r="JJ176" s="16">
        <v>24154</v>
      </c>
      <c r="JK176" s="16">
        <v>3148</v>
      </c>
      <c r="JL176" s="16">
        <v>11619</v>
      </c>
      <c r="JM176" s="16">
        <v>5560</v>
      </c>
      <c r="JN176" s="16">
        <v>59666</v>
      </c>
      <c r="JO176" s="16">
        <v>0</v>
      </c>
      <c r="JP176" s="16">
        <v>0</v>
      </c>
      <c r="JQ176" s="16">
        <v>0</v>
      </c>
      <c r="JR176" s="16">
        <v>5300</v>
      </c>
      <c r="JS176" s="16">
        <v>10765</v>
      </c>
      <c r="JT176" s="16">
        <v>0</v>
      </c>
      <c r="JU176" s="16">
        <v>0</v>
      </c>
      <c r="JV176" s="16">
        <v>0</v>
      </c>
      <c r="JW176" s="16">
        <v>22706</v>
      </c>
      <c r="JX176" s="16">
        <v>34638</v>
      </c>
      <c r="JY176" s="16">
        <v>17361</v>
      </c>
      <c r="JZ176" s="16">
        <v>226</v>
      </c>
      <c r="KA176" s="16">
        <v>109</v>
      </c>
      <c r="KB176" s="16">
        <v>45</v>
      </c>
      <c r="KC176" s="16">
        <v>0</v>
      </c>
      <c r="KD176" s="16">
        <v>0</v>
      </c>
      <c r="KE176" s="16">
        <v>101</v>
      </c>
      <c r="KF176" s="16">
        <v>0</v>
      </c>
      <c r="KG176" s="16">
        <v>16292</v>
      </c>
      <c r="KH176" s="16">
        <v>25943</v>
      </c>
      <c r="KI176" s="16">
        <v>5723</v>
      </c>
      <c r="KJ176" s="16">
        <v>0</v>
      </c>
      <c r="KK176" s="16">
        <v>24355</v>
      </c>
      <c r="KL176" s="16">
        <v>0</v>
      </c>
      <c r="KM176" s="16">
        <v>0</v>
      </c>
      <c r="KN176" s="16">
        <v>0</v>
      </c>
      <c r="KO176" s="16">
        <v>715</v>
      </c>
      <c r="KP176" s="16">
        <v>32</v>
      </c>
      <c r="KQ176" s="16">
        <v>10</v>
      </c>
      <c r="KR176" s="16">
        <v>6919</v>
      </c>
      <c r="KS176" s="16">
        <v>811</v>
      </c>
      <c r="KT176" s="16">
        <v>0</v>
      </c>
      <c r="KU176" s="16">
        <v>1540</v>
      </c>
      <c r="KV176" s="16">
        <v>38847</v>
      </c>
      <c r="KW176" s="16">
        <v>0</v>
      </c>
      <c r="KX176" s="16">
        <v>0</v>
      </c>
      <c r="KY176" s="16">
        <v>3153</v>
      </c>
      <c r="KZ176" s="16">
        <v>0</v>
      </c>
      <c r="LA176" s="16">
        <v>0</v>
      </c>
      <c r="LB176" s="16">
        <v>0</v>
      </c>
      <c r="LC176" s="16">
        <v>0</v>
      </c>
      <c r="LD176" s="16">
        <v>4614</v>
      </c>
      <c r="LE176" s="16">
        <v>0</v>
      </c>
      <c r="LF176" s="16">
        <v>0</v>
      </c>
      <c r="LG176" s="16">
        <v>4</v>
      </c>
      <c r="LH176" s="16">
        <v>0</v>
      </c>
      <c r="LI176" s="16">
        <v>0</v>
      </c>
      <c r="LJ176" s="16">
        <v>0</v>
      </c>
      <c r="LK176" s="16">
        <v>0</v>
      </c>
      <c r="LL176" s="16">
        <v>0</v>
      </c>
      <c r="LM176" s="16">
        <v>0</v>
      </c>
      <c r="LN176" s="16">
        <v>0</v>
      </c>
      <c r="LO176" s="16">
        <v>0</v>
      </c>
      <c r="LP176" s="16">
        <v>0</v>
      </c>
      <c r="LQ176" s="16">
        <v>0</v>
      </c>
      <c r="LR176" s="16">
        <v>0</v>
      </c>
      <c r="LS176" s="16">
        <v>0</v>
      </c>
      <c r="LT176" s="16">
        <v>0</v>
      </c>
      <c r="LU176" s="16">
        <v>0</v>
      </c>
      <c r="LV176" s="16">
        <v>0</v>
      </c>
      <c r="LW176" s="16">
        <v>0</v>
      </c>
      <c r="LX176" s="16">
        <v>0</v>
      </c>
      <c r="LY176" s="16">
        <v>0</v>
      </c>
      <c r="LZ176" s="16">
        <v>0</v>
      </c>
      <c r="MA176" s="16">
        <v>0</v>
      </c>
      <c r="MB176" s="16">
        <v>0</v>
      </c>
      <c r="MC176" s="16">
        <v>0</v>
      </c>
      <c r="MD176" s="16">
        <v>0</v>
      </c>
      <c r="ME176" s="16">
        <v>0</v>
      </c>
      <c r="MF176" s="16">
        <v>4564</v>
      </c>
      <c r="MG176" s="16">
        <v>0</v>
      </c>
      <c r="MH176" s="16">
        <v>0</v>
      </c>
      <c r="MI176" s="16">
        <v>0</v>
      </c>
      <c r="MJ176" s="16">
        <v>0</v>
      </c>
      <c r="MK176" s="16">
        <v>1920</v>
      </c>
      <c r="ML176" s="16">
        <v>0</v>
      </c>
      <c r="MM176" s="16">
        <v>0</v>
      </c>
      <c r="MN176" s="16">
        <v>0</v>
      </c>
      <c r="MO176" s="16">
        <v>2875</v>
      </c>
      <c r="MP176" s="16">
        <v>774</v>
      </c>
      <c r="MQ176" s="16">
        <v>0</v>
      </c>
      <c r="MR176" s="16">
        <v>1386</v>
      </c>
      <c r="MS176" s="16">
        <v>1628</v>
      </c>
      <c r="MT176" s="16">
        <v>3075</v>
      </c>
      <c r="MU176" s="16">
        <v>403</v>
      </c>
      <c r="MV176" s="16">
        <v>8327</v>
      </c>
      <c r="MW176" s="16">
        <v>9290</v>
      </c>
      <c r="MX176" s="16">
        <v>147</v>
      </c>
      <c r="MY176" s="16">
        <v>728</v>
      </c>
      <c r="MZ176" s="16">
        <v>8587</v>
      </c>
      <c r="NA176" s="16">
        <v>346</v>
      </c>
      <c r="NB176" s="16">
        <v>117820</v>
      </c>
      <c r="NC176" s="16">
        <v>893</v>
      </c>
      <c r="ND176" s="16">
        <v>0</v>
      </c>
      <c r="NE176" s="16">
        <v>0</v>
      </c>
      <c r="NF176" s="16">
        <v>0</v>
      </c>
      <c r="NG176" s="16">
        <v>0</v>
      </c>
      <c r="NH176" s="16">
        <v>0</v>
      </c>
      <c r="NI176" s="16">
        <v>0</v>
      </c>
      <c r="NJ176" s="16">
        <v>0</v>
      </c>
      <c r="NK176" s="16">
        <v>0</v>
      </c>
      <c r="NL176" s="16">
        <v>0</v>
      </c>
      <c r="NM176" s="16">
        <v>0</v>
      </c>
      <c r="NN176" s="16">
        <v>0</v>
      </c>
      <c r="NO176" s="16">
        <v>0</v>
      </c>
      <c r="NP176" s="16">
        <v>0</v>
      </c>
      <c r="NQ176" s="16">
        <v>6409</v>
      </c>
      <c r="NR176" s="17">
        <v>984809</v>
      </c>
    </row>
    <row r="177" spans="1:382" ht="13.5" customHeight="1" x14ac:dyDescent="0.2">
      <c r="A177" s="2" t="s">
        <v>361</v>
      </c>
      <c r="B177" s="16">
        <v>0</v>
      </c>
      <c r="C177" s="16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6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9</v>
      </c>
      <c r="AN177" s="16">
        <v>0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1</v>
      </c>
      <c r="AV177" s="16">
        <v>0</v>
      </c>
      <c r="AW177" s="16">
        <v>7</v>
      </c>
      <c r="AX177" s="16">
        <v>0</v>
      </c>
      <c r="AY177" s="16">
        <v>0</v>
      </c>
      <c r="AZ177" s="16">
        <v>7</v>
      </c>
      <c r="BA177" s="16">
        <v>0</v>
      </c>
      <c r="BB177" s="16">
        <v>2</v>
      </c>
      <c r="BC177" s="16">
        <v>0</v>
      </c>
      <c r="BD177" s="16">
        <v>0</v>
      </c>
      <c r="BE177" s="16">
        <v>19</v>
      </c>
      <c r="BF177" s="16">
        <v>21</v>
      </c>
      <c r="BG177" s="16">
        <v>0</v>
      </c>
      <c r="BH177" s="16">
        <v>0</v>
      </c>
      <c r="BI177" s="16">
        <v>0</v>
      </c>
      <c r="BJ177" s="16">
        <v>0</v>
      </c>
      <c r="BK177" s="16">
        <v>0</v>
      </c>
      <c r="BL177" s="16">
        <v>0</v>
      </c>
      <c r="BM177" s="16">
        <v>0</v>
      </c>
      <c r="BN177" s="16">
        <v>0</v>
      </c>
      <c r="BO177" s="16">
        <v>0</v>
      </c>
      <c r="BP177" s="16">
        <v>141</v>
      </c>
      <c r="BQ177" s="16">
        <v>0</v>
      </c>
      <c r="BR177" s="16">
        <v>3</v>
      </c>
      <c r="BS177" s="16">
        <v>8</v>
      </c>
      <c r="BT177" s="16">
        <v>1</v>
      </c>
      <c r="BU177" s="16">
        <v>0</v>
      </c>
      <c r="BV177" s="16">
        <v>0</v>
      </c>
      <c r="BW177" s="16">
        <v>1</v>
      </c>
      <c r="BX177" s="16">
        <v>0</v>
      </c>
      <c r="BY177" s="16">
        <v>0</v>
      </c>
      <c r="BZ177" s="16">
        <v>70</v>
      </c>
      <c r="CA177" s="16">
        <v>5</v>
      </c>
      <c r="CB177" s="16">
        <v>0</v>
      </c>
      <c r="CC177" s="16">
        <v>0</v>
      </c>
      <c r="CD177" s="16">
        <v>0</v>
      </c>
      <c r="CE177" s="16">
        <v>0</v>
      </c>
      <c r="CF177" s="16">
        <v>6</v>
      </c>
      <c r="CG177" s="16">
        <v>355</v>
      </c>
      <c r="CH177" s="16">
        <v>0</v>
      </c>
      <c r="CI177" s="16">
        <v>0</v>
      </c>
      <c r="CJ177" s="16">
        <v>0</v>
      </c>
      <c r="CK177" s="16">
        <v>4</v>
      </c>
      <c r="CL177" s="16">
        <v>0</v>
      </c>
      <c r="CM177" s="16">
        <v>34</v>
      </c>
      <c r="CN177" s="16">
        <v>2</v>
      </c>
      <c r="CO177" s="16">
        <v>0</v>
      </c>
      <c r="CP177" s="16">
        <v>0</v>
      </c>
      <c r="CQ177" s="16">
        <v>10</v>
      </c>
      <c r="CR177" s="16">
        <v>0</v>
      </c>
      <c r="CS177" s="16">
        <v>106</v>
      </c>
      <c r="CT177" s="16">
        <v>0</v>
      </c>
      <c r="CU177" s="16">
        <v>0</v>
      </c>
      <c r="CV177" s="16">
        <v>0</v>
      </c>
      <c r="CW177" s="16">
        <v>177</v>
      </c>
      <c r="CX177" s="16">
        <v>94</v>
      </c>
      <c r="CY177" s="16">
        <v>0</v>
      </c>
      <c r="CZ177" s="16">
        <v>0</v>
      </c>
      <c r="DA177" s="16">
        <v>0</v>
      </c>
      <c r="DB177" s="16">
        <v>0</v>
      </c>
      <c r="DC177" s="16">
        <v>0</v>
      </c>
      <c r="DD177" s="16">
        <v>0</v>
      </c>
      <c r="DE177" s="16">
        <v>229</v>
      </c>
      <c r="DF177" s="16">
        <v>0</v>
      </c>
      <c r="DG177" s="16">
        <v>0</v>
      </c>
      <c r="DH177" s="16">
        <v>1211</v>
      </c>
      <c r="DI177" s="16">
        <v>0</v>
      </c>
      <c r="DJ177" s="16">
        <v>6</v>
      </c>
      <c r="DK177" s="16">
        <v>0</v>
      </c>
      <c r="DL177" s="16">
        <v>0</v>
      </c>
      <c r="DM177" s="16">
        <v>17</v>
      </c>
      <c r="DN177" s="16">
        <v>0</v>
      </c>
      <c r="DO177" s="16">
        <v>0</v>
      </c>
      <c r="DP177" s="16">
        <v>75</v>
      </c>
      <c r="DQ177" s="16">
        <v>0</v>
      </c>
      <c r="DR177" s="16">
        <v>0</v>
      </c>
      <c r="DS177" s="16">
        <v>637</v>
      </c>
      <c r="DT177" s="16">
        <v>0</v>
      </c>
      <c r="DU177" s="16">
        <v>0</v>
      </c>
      <c r="DV177" s="16">
        <v>2</v>
      </c>
      <c r="DW177" s="16">
        <v>9</v>
      </c>
      <c r="DX177" s="16">
        <v>626</v>
      </c>
      <c r="DY177" s="16">
        <v>56</v>
      </c>
      <c r="DZ177" s="16">
        <v>68</v>
      </c>
      <c r="EA177" s="16">
        <v>39</v>
      </c>
      <c r="EB177" s="16">
        <v>1095</v>
      </c>
      <c r="EC177" s="16">
        <v>82</v>
      </c>
      <c r="ED177" s="16">
        <v>2</v>
      </c>
      <c r="EE177" s="16">
        <v>109</v>
      </c>
      <c r="EF177" s="16">
        <v>37389</v>
      </c>
      <c r="EG177" s="16">
        <v>1333</v>
      </c>
      <c r="EH177" s="16">
        <v>2</v>
      </c>
      <c r="EI177" s="16">
        <v>0</v>
      </c>
      <c r="EJ177" s="16">
        <v>0</v>
      </c>
      <c r="EK177" s="16">
        <v>24</v>
      </c>
      <c r="EL177" s="16">
        <v>0</v>
      </c>
      <c r="EM177" s="16">
        <v>0</v>
      </c>
      <c r="EN177" s="16">
        <v>0</v>
      </c>
      <c r="EO177" s="16">
        <v>130</v>
      </c>
      <c r="EP177" s="16">
        <v>0</v>
      </c>
      <c r="EQ177" s="16">
        <v>0</v>
      </c>
      <c r="ER177" s="16">
        <v>0</v>
      </c>
      <c r="ES177" s="16">
        <v>0</v>
      </c>
      <c r="ET177" s="16">
        <v>0</v>
      </c>
      <c r="EU177" s="16">
        <v>0</v>
      </c>
      <c r="EV177" s="16">
        <v>0</v>
      </c>
      <c r="EW177" s="16">
        <v>0</v>
      </c>
      <c r="EX177" s="16">
        <v>0</v>
      </c>
      <c r="EY177" s="16">
        <v>0</v>
      </c>
      <c r="EZ177" s="16">
        <v>31</v>
      </c>
      <c r="FA177" s="16">
        <v>2</v>
      </c>
      <c r="FB177" s="16">
        <v>0</v>
      </c>
      <c r="FC177" s="16">
        <v>35</v>
      </c>
      <c r="FD177" s="16">
        <v>2373</v>
      </c>
      <c r="FE177" s="16">
        <v>19</v>
      </c>
      <c r="FF177" s="16">
        <v>15</v>
      </c>
      <c r="FG177" s="16">
        <v>137</v>
      </c>
      <c r="FH177" s="16">
        <v>0</v>
      </c>
      <c r="FI177" s="16">
        <v>5</v>
      </c>
      <c r="FJ177" s="16">
        <v>1</v>
      </c>
      <c r="FK177" s="16">
        <v>0</v>
      </c>
      <c r="FL177" s="16">
        <v>0</v>
      </c>
      <c r="FM177" s="16">
        <v>128</v>
      </c>
      <c r="FN177" s="16">
        <v>656</v>
      </c>
      <c r="FO177" s="16">
        <v>89</v>
      </c>
      <c r="FP177" s="16">
        <v>205</v>
      </c>
      <c r="FQ177" s="16">
        <v>95516</v>
      </c>
      <c r="FR177" s="16">
        <v>23214</v>
      </c>
      <c r="FS177" s="16">
        <v>12921</v>
      </c>
      <c r="FT177" s="16">
        <v>13617</v>
      </c>
      <c r="FU177" s="16">
        <v>20662</v>
      </c>
      <c r="FV177" s="16">
        <v>60161</v>
      </c>
      <c r="FW177" s="16">
        <v>6209</v>
      </c>
      <c r="FX177" s="16">
        <v>278618</v>
      </c>
      <c r="FY177" s="16">
        <v>10964</v>
      </c>
      <c r="FZ177" s="16">
        <v>47119</v>
      </c>
      <c r="GA177" s="16">
        <v>168181</v>
      </c>
      <c r="GB177" s="16">
        <v>27501</v>
      </c>
      <c r="GC177" s="16">
        <v>9700</v>
      </c>
      <c r="GD177" s="16">
        <v>34704</v>
      </c>
      <c r="GE177" s="16">
        <v>665</v>
      </c>
      <c r="GF177" s="16">
        <v>4408</v>
      </c>
      <c r="GG177" s="16">
        <v>33712</v>
      </c>
      <c r="GH177" s="16">
        <v>11006</v>
      </c>
      <c r="GI177" s="16">
        <v>3854</v>
      </c>
      <c r="GJ177" s="16">
        <v>641</v>
      </c>
      <c r="GK177" s="16">
        <v>1904</v>
      </c>
      <c r="GL177" s="16">
        <v>0</v>
      </c>
      <c r="GM177" s="16">
        <v>954</v>
      </c>
      <c r="GN177" s="16">
        <v>106</v>
      </c>
      <c r="GO177" s="16">
        <v>2396</v>
      </c>
      <c r="GP177" s="16">
        <v>31272</v>
      </c>
      <c r="GQ177" s="16">
        <v>3301</v>
      </c>
      <c r="GR177" s="16">
        <v>4</v>
      </c>
      <c r="GS177" s="16">
        <v>3</v>
      </c>
      <c r="GT177" s="16">
        <v>47</v>
      </c>
      <c r="GU177" s="16">
        <v>652</v>
      </c>
      <c r="GV177" s="16">
        <v>1030</v>
      </c>
      <c r="GW177" s="16">
        <v>1817</v>
      </c>
      <c r="GX177" s="16">
        <v>1354</v>
      </c>
      <c r="GY177" s="16">
        <v>0</v>
      </c>
      <c r="GZ177" s="16">
        <v>662</v>
      </c>
      <c r="HA177" s="16">
        <v>178</v>
      </c>
      <c r="HB177" s="16">
        <v>8</v>
      </c>
      <c r="HC177" s="16">
        <v>1498</v>
      </c>
      <c r="HD177" s="16">
        <v>291</v>
      </c>
      <c r="HE177" s="16">
        <v>33448</v>
      </c>
      <c r="HF177" s="16">
        <v>83</v>
      </c>
      <c r="HG177" s="16">
        <v>215</v>
      </c>
      <c r="HH177" s="16">
        <v>3</v>
      </c>
      <c r="HI177" s="16">
        <v>1961</v>
      </c>
      <c r="HJ177" s="16">
        <v>929</v>
      </c>
      <c r="HK177" s="16">
        <v>125</v>
      </c>
      <c r="HL177" s="16">
        <v>1182</v>
      </c>
      <c r="HM177" s="16">
        <v>1108360</v>
      </c>
      <c r="HN177" s="16">
        <v>50633</v>
      </c>
      <c r="HO177" s="16">
        <v>46636</v>
      </c>
      <c r="HP177" s="16">
        <v>43964</v>
      </c>
      <c r="HQ177" s="16">
        <v>29543</v>
      </c>
      <c r="HR177" s="16">
        <v>13212</v>
      </c>
      <c r="HS177" s="16">
        <v>13289</v>
      </c>
      <c r="HT177" s="16">
        <v>112</v>
      </c>
      <c r="HU177" s="16">
        <v>47982</v>
      </c>
      <c r="HV177" s="16">
        <v>5583</v>
      </c>
      <c r="HW177" s="16">
        <v>39731</v>
      </c>
      <c r="HX177" s="16">
        <v>6936</v>
      </c>
      <c r="HY177" s="16">
        <v>68582</v>
      </c>
      <c r="HZ177" s="16">
        <v>58742</v>
      </c>
      <c r="IA177" s="16">
        <v>2743</v>
      </c>
      <c r="IB177" s="16">
        <v>544</v>
      </c>
      <c r="IC177" s="16">
        <v>903</v>
      </c>
      <c r="ID177" s="16">
        <v>3157</v>
      </c>
      <c r="IE177" s="16">
        <v>727</v>
      </c>
      <c r="IF177" s="16">
        <v>3129</v>
      </c>
      <c r="IG177" s="16">
        <v>19436</v>
      </c>
      <c r="IH177" s="16">
        <v>24305</v>
      </c>
      <c r="II177" s="16">
        <v>2476</v>
      </c>
      <c r="IJ177" s="16">
        <v>1619</v>
      </c>
      <c r="IK177" s="16">
        <v>4965</v>
      </c>
      <c r="IL177" s="16">
        <v>1509</v>
      </c>
      <c r="IM177" s="16">
        <v>358</v>
      </c>
      <c r="IN177" s="16">
        <v>79354</v>
      </c>
      <c r="IO177" s="16">
        <v>2132286</v>
      </c>
      <c r="IP177" s="16">
        <v>136841</v>
      </c>
      <c r="IQ177" s="16">
        <v>7391</v>
      </c>
      <c r="IR177" s="16">
        <v>41908</v>
      </c>
      <c r="IS177" s="16">
        <v>431</v>
      </c>
      <c r="IT177" s="16">
        <v>52607</v>
      </c>
      <c r="IU177" s="16">
        <v>60</v>
      </c>
      <c r="IV177" s="16">
        <v>544</v>
      </c>
      <c r="IW177" s="16">
        <v>6</v>
      </c>
      <c r="IX177" s="16">
        <v>189</v>
      </c>
      <c r="IY177" s="16">
        <v>1653</v>
      </c>
      <c r="IZ177" s="16">
        <v>0</v>
      </c>
      <c r="JA177" s="16">
        <v>76</v>
      </c>
      <c r="JB177" s="16">
        <v>21</v>
      </c>
      <c r="JC177" s="16">
        <v>14</v>
      </c>
      <c r="JD177" s="16">
        <v>63</v>
      </c>
      <c r="JE177" s="16">
        <v>88</v>
      </c>
      <c r="JF177" s="16">
        <v>89</v>
      </c>
      <c r="JG177" s="16">
        <v>3416</v>
      </c>
      <c r="JH177" s="16">
        <v>16321</v>
      </c>
      <c r="JI177" s="16">
        <v>0</v>
      </c>
      <c r="JJ177" s="16">
        <v>2646</v>
      </c>
      <c r="JK177" s="16">
        <v>22</v>
      </c>
      <c r="JL177" s="16">
        <v>5</v>
      </c>
      <c r="JM177" s="16">
        <v>0</v>
      </c>
      <c r="JN177" s="16">
        <v>352</v>
      </c>
      <c r="JO177" s="16">
        <v>0</v>
      </c>
      <c r="JP177" s="16">
        <v>0</v>
      </c>
      <c r="JQ177" s="16">
        <v>0</v>
      </c>
      <c r="JR177" s="16">
        <v>0</v>
      </c>
      <c r="JS177" s="16">
        <v>0</v>
      </c>
      <c r="JT177" s="16">
        <v>0</v>
      </c>
      <c r="JU177" s="16">
        <v>0</v>
      </c>
      <c r="JV177" s="16">
        <v>0</v>
      </c>
      <c r="JW177" s="16">
        <v>19098</v>
      </c>
      <c r="JX177" s="16">
        <v>233</v>
      </c>
      <c r="JY177" s="16">
        <v>424</v>
      </c>
      <c r="JZ177" s="16">
        <v>734</v>
      </c>
      <c r="KA177" s="16">
        <v>3</v>
      </c>
      <c r="KB177" s="16">
        <v>61</v>
      </c>
      <c r="KC177" s="16">
        <v>8</v>
      </c>
      <c r="KD177" s="16">
        <v>6</v>
      </c>
      <c r="KE177" s="16">
        <v>14</v>
      </c>
      <c r="KF177" s="16">
        <v>212</v>
      </c>
      <c r="KG177" s="16">
        <v>5</v>
      </c>
      <c r="KH177" s="16">
        <v>2161</v>
      </c>
      <c r="KI177" s="16">
        <v>1895</v>
      </c>
      <c r="KJ177" s="16">
        <v>628</v>
      </c>
      <c r="KK177" s="16">
        <v>152</v>
      </c>
      <c r="KL177" s="16">
        <v>0</v>
      </c>
      <c r="KM177" s="16">
        <v>0</v>
      </c>
      <c r="KN177" s="16">
        <v>0</v>
      </c>
      <c r="KO177" s="16">
        <v>0</v>
      </c>
      <c r="KP177" s="16">
        <v>1</v>
      </c>
      <c r="KQ177" s="16">
        <v>83578</v>
      </c>
      <c r="KR177" s="16">
        <v>0</v>
      </c>
      <c r="KS177" s="16">
        <v>0</v>
      </c>
      <c r="KT177" s="16">
        <v>0</v>
      </c>
      <c r="KU177" s="16">
        <v>0</v>
      </c>
      <c r="KV177" s="16">
        <v>3422</v>
      </c>
      <c r="KW177" s="16">
        <v>0</v>
      </c>
      <c r="KX177" s="16">
        <v>0</v>
      </c>
      <c r="KY177" s="16">
        <v>0</v>
      </c>
      <c r="KZ177" s="16">
        <v>92</v>
      </c>
      <c r="LA177" s="16">
        <v>58</v>
      </c>
      <c r="LB177" s="16">
        <v>0</v>
      </c>
      <c r="LC177" s="16">
        <v>0</v>
      </c>
      <c r="LD177" s="16">
        <v>2</v>
      </c>
      <c r="LE177" s="16">
        <v>0</v>
      </c>
      <c r="LF177" s="16">
        <v>0</v>
      </c>
      <c r="LG177" s="16">
        <v>0</v>
      </c>
      <c r="LH177" s="16">
        <v>0</v>
      </c>
      <c r="LI177" s="16">
        <v>0</v>
      </c>
      <c r="LJ177" s="16">
        <v>0</v>
      </c>
      <c r="LK177" s="16">
        <v>0</v>
      </c>
      <c r="LL177" s="16">
        <v>0</v>
      </c>
      <c r="LM177" s="16">
        <v>0</v>
      </c>
      <c r="LN177" s="16">
        <v>20</v>
      </c>
      <c r="LO177" s="16">
        <v>0</v>
      </c>
      <c r="LP177" s="16">
        <v>0</v>
      </c>
      <c r="LQ177" s="16">
        <v>0</v>
      </c>
      <c r="LR177" s="16">
        <v>49</v>
      </c>
      <c r="LS177" s="16">
        <v>0</v>
      </c>
      <c r="LT177" s="16">
        <v>48</v>
      </c>
      <c r="LU177" s="16">
        <v>0</v>
      </c>
      <c r="LV177" s="16">
        <v>0</v>
      </c>
      <c r="LW177" s="16">
        <v>0</v>
      </c>
      <c r="LX177" s="16">
        <v>0</v>
      </c>
      <c r="LY177" s="16">
        <v>0</v>
      </c>
      <c r="LZ177" s="16">
        <v>0</v>
      </c>
      <c r="MA177" s="16">
        <v>0</v>
      </c>
      <c r="MB177" s="16">
        <v>0</v>
      </c>
      <c r="MC177" s="16">
        <v>16</v>
      </c>
      <c r="MD177" s="16">
        <v>0</v>
      </c>
      <c r="ME177" s="16">
        <v>0</v>
      </c>
      <c r="MF177" s="16">
        <v>2514</v>
      </c>
      <c r="MG177" s="16">
        <v>0</v>
      </c>
      <c r="MH177" s="16">
        <v>0</v>
      </c>
      <c r="MI177" s="16">
        <v>0</v>
      </c>
      <c r="MJ177" s="16">
        <v>16</v>
      </c>
      <c r="MK177" s="16">
        <v>0</v>
      </c>
      <c r="ML177" s="16">
        <v>0</v>
      </c>
      <c r="MM177" s="16">
        <v>0</v>
      </c>
      <c r="MN177" s="16">
        <v>20</v>
      </c>
      <c r="MO177" s="16">
        <v>0</v>
      </c>
      <c r="MP177" s="16">
        <v>0</v>
      </c>
      <c r="MQ177" s="16">
        <v>32</v>
      </c>
      <c r="MR177" s="16">
        <v>3</v>
      </c>
      <c r="MS177" s="16">
        <v>0</v>
      </c>
      <c r="MT177" s="16">
        <v>0</v>
      </c>
      <c r="MU177" s="16">
        <v>7</v>
      </c>
      <c r="MV177" s="16">
        <v>89</v>
      </c>
      <c r="MW177" s="16">
        <v>0</v>
      </c>
      <c r="MX177" s="16">
        <v>0</v>
      </c>
      <c r="MY177" s="16">
        <v>0</v>
      </c>
      <c r="MZ177" s="16">
        <v>51</v>
      </c>
      <c r="NA177" s="16">
        <v>0</v>
      </c>
      <c r="NB177" s="16">
        <v>57</v>
      </c>
      <c r="NC177" s="16">
        <v>0</v>
      </c>
      <c r="ND177" s="16">
        <v>0</v>
      </c>
      <c r="NE177" s="16">
        <v>0</v>
      </c>
      <c r="NF177" s="16">
        <v>0</v>
      </c>
      <c r="NG177" s="16">
        <v>0</v>
      </c>
      <c r="NH177" s="16">
        <v>0</v>
      </c>
      <c r="NI177" s="16">
        <v>0</v>
      </c>
      <c r="NJ177" s="16">
        <v>0</v>
      </c>
      <c r="NK177" s="16">
        <v>5</v>
      </c>
      <c r="NL177" s="16">
        <v>12</v>
      </c>
      <c r="NM177" s="16">
        <v>0</v>
      </c>
      <c r="NN177" s="16">
        <v>0</v>
      </c>
      <c r="NO177" s="16">
        <v>0</v>
      </c>
      <c r="NP177" s="16">
        <v>0</v>
      </c>
      <c r="NQ177" s="16">
        <v>33</v>
      </c>
      <c r="NR177" s="17">
        <v>5188041</v>
      </c>
    </row>
    <row r="178" spans="1:382" ht="13.5" customHeight="1" x14ac:dyDescent="0.2">
      <c r="A178" s="2" t="s">
        <v>363</v>
      </c>
      <c r="B178" s="16">
        <v>299</v>
      </c>
      <c r="C178" s="16">
        <v>199</v>
      </c>
      <c r="D178" s="16">
        <v>267</v>
      </c>
      <c r="E178" s="16">
        <v>135</v>
      </c>
      <c r="F178" s="16">
        <v>1132</v>
      </c>
      <c r="G178" s="16">
        <v>111</v>
      </c>
      <c r="H178" s="16">
        <v>16</v>
      </c>
      <c r="I178" s="16">
        <v>553</v>
      </c>
      <c r="J178" s="16">
        <v>0</v>
      </c>
      <c r="K178" s="16">
        <v>0</v>
      </c>
      <c r="L178" s="16">
        <v>33</v>
      </c>
      <c r="M178" s="16">
        <v>80</v>
      </c>
      <c r="N178" s="16">
        <v>0</v>
      </c>
      <c r="O178" s="16">
        <v>2</v>
      </c>
      <c r="P178" s="16">
        <v>347</v>
      </c>
      <c r="Q178" s="16">
        <v>532</v>
      </c>
      <c r="R178" s="16">
        <v>399</v>
      </c>
      <c r="S178" s="16">
        <v>62</v>
      </c>
      <c r="T178" s="16">
        <v>0</v>
      </c>
      <c r="U178" s="16">
        <v>0</v>
      </c>
      <c r="V178" s="16">
        <v>35</v>
      </c>
      <c r="W178" s="16">
        <v>0</v>
      </c>
      <c r="X178" s="16">
        <v>152</v>
      </c>
      <c r="Y178" s="16">
        <v>796</v>
      </c>
      <c r="Z178" s="16">
        <v>252</v>
      </c>
      <c r="AA178" s="16">
        <v>29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7670</v>
      </c>
      <c r="AH178" s="16">
        <v>10830</v>
      </c>
      <c r="AI178" s="16">
        <v>2715</v>
      </c>
      <c r="AJ178" s="16">
        <v>428</v>
      </c>
      <c r="AK178" s="16">
        <v>459</v>
      </c>
      <c r="AL178" s="16">
        <v>4</v>
      </c>
      <c r="AM178" s="16">
        <v>384</v>
      </c>
      <c r="AN178" s="16">
        <v>130</v>
      </c>
      <c r="AO178" s="16">
        <v>93</v>
      </c>
      <c r="AP178" s="16">
        <v>0</v>
      </c>
      <c r="AQ178" s="16">
        <v>216</v>
      </c>
      <c r="AR178" s="16">
        <v>0</v>
      </c>
      <c r="AS178" s="16">
        <v>172</v>
      </c>
      <c r="AT178" s="16">
        <v>117</v>
      </c>
      <c r="AU178" s="16">
        <v>1356</v>
      </c>
      <c r="AV178" s="16">
        <v>172</v>
      </c>
      <c r="AW178" s="16">
        <v>945</v>
      </c>
      <c r="AX178" s="16">
        <v>65</v>
      </c>
      <c r="AY178" s="16">
        <v>853</v>
      </c>
      <c r="AZ178" s="16">
        <v>685</v>
      </c>
      <c r="BA178" s="16">
        <v>305</v>
      </c>
      <c r="BB178" s="16">
        <v>343</v>
      </c>
      <c r="BC178" s="16">
        <v>12</v>
      </c>
      <c r="BD178" s="16">
        <v>0</v>
      </c>
      <c r="BE178" s="16">
        <v>409</v>
      </c>
      <c r="BF178" s="16">
        <v>1201</v>
      </c>
      <c r="BG178" s="16">
        <v>130</v>
      </c>
      <c r="BH178" s="16">
        <v>8</v>
      </c>
      <c r="BI178" s="16">
        <v>116</v>
      </c>
      <c r="BJ178" s="16">
        <v>125</v>
      </c>
      <c r="BK178" s="16">
        <v>220</v>
      </c>
      <c r="BL178" s="16">
        <v>50</v>
      </c>
      <c r="BM178" s="16">
        <v>587</v>
      </c>
      <c r="BN178" s="16">
        <v>378</v>
      </c>
      <c r="BO178" s="16">
        <v>75</v>
      </c>
      <c r="BP178" s="16">
        <v>510</v>
      </c>
      <c r="BQ178" s="16">
        <v>70</v>
      </c>
      <c r="BR178" s="16">
        <v>40</v>
      </c>
      <c r="BS178" s="16">
        <v>6025</v>
      </c>
      <c r="BT178" s="16">
        <v>47</v>
      </c>
      <c r="BU178" s="16">
        <v>9</v>
      </c>
      <c r="BV178" s="16">
        <v>15</v>
      </c>
      <c r="BW178" s="16">
        <v>1635</v>
      </c>
      <c r="BX178" s="16">
        <v>0</v>
      </c>
      <c r="BY178" s="16">
        <v>0</v>
      </c>
      <c r="BZ178" s="16">
        <v>989</v>
      </c>
      <c r="CA178" s="16">
        <v>718</v>
      </c>
      <c r="CB178" s="16">
        <v>1185</v>
      </c>
      <c r="CC178" s="16">
        <v>337</v>
      </c>
      <c r="CD178" s="16">
        <v>29</v>
      </c>
      <c r="CE178" s="16">
        <v>135</v>
      </c>
      <c r="CF178" s="16">
        <v>598</v>
      </c>
      <c r="CG178" s="16">
        <v>1088</v>
      </c>
      <c r="CH178" s="16">
        <v>3043</v>
      </c>
      <c r="CI178" s="16">
        <v>0</v>
      </c>
      <c r="CJ178" s="16">
        <v>392</v>
      </c>
      <c r="CK178" s="16">
        <v>626</v>
      </c>
      <c r="CL178" s="16">
        <v>980</v>
      </c>
      <c r="CM178" s="16">
        <v>78</v>
      </c>
      <c r="CN178" s="16">
        <v>230</v>
      </c>
      <c r="CO178" s="16">
        <v>94</v>
      </c>
      <c r="CP178" s="16">
        <v>158</v>
      </c>
      <c r="CQ178" s="16">
        <v>1391</v>
      </c>
      <c r="CR178" s="16">
        <v>447</v>
      </c>
      <c r="CS178" s="16">
        <v>123</v>
      </c>
      <c r="CT178" s="16">
        <v>350</v>
      </c>
      <c r="CU178" s="16">
        <v>256</v>
      </c>
      <c r="CV178" s="16">
        <v>162</v>
      </c>
      <c r="CW178" s="16">
        <v>402</v>
      </c>
      <c r="CX178" s="16">
        <v>397</v>
      </c>
      <c r="CY178" s="16">
        <v>47</v>
      </c>
      <c r="CZ178" s="16">
        <v>109</v>
      </c>
      <c r="DA178" s="16">
        <v>0</v>
      </c>
      <c r="DB178" s="16">
        <v>185</v>
      </c>
      <c r="DC178" s="16">
        <v>67</v>
      </c>
      <c r="DD178" s="16">
        <v>34</v>
      </c>
      <c r="DE178" s="16">
        <v>1390</v>
      </c>
      <c r="DF178" s="16">
        <v>162</v>
      </c>
      <c r="DG178" s="16">
        <v>527</v>
      </c>
      <c r="DH178" s="16">
        <v>214</v>
      </c>
      <c r="DI178" s="16">
        <v>98</v>
      </c>
      <c r="DJ178" s="16">
        <v>1392</v>
      </c>
      <c r="DK178" s="16">
        <v>17</v>
      </c>
      <c r="DL178" s="16">
        <v>443</v>
      </c>
      <c r="DM178" s="16">
        <v>17769</v>
      </c>
      <c r="DN178" s="16">
        <v>140</v>
      </c>
      <c r="DO178" s="16">
        <v>0</v>
      </c>
      <c r="DP178" s="16">
        <v>273</v>
      </c>
      <c r="DQ178" s="16">
        <v>0</v>
      </c>
      <c r="DR178" s="16">
        <v>0</v>
      </c>
      <c r="DS178" s="16">
        <v>33557</v>
      </c>
      <c r="DT178" s="16">
        <v>54</v>
      </c>
      <c r="DU178" s="16">
        <v>236</v>
      </c>
      <c r="DV178" s="16">
        <v>50</v>
      </c>
      <c r="DW178" s="16">
        <v>463</v>
      </c>
      <c r="DX178" s="16">
        <v>688</v>
      </c>
      <c r="DY178" s="16">
        <v>1635</v>
      </c>
      <c r="DZ178" s="16">
        <v>1422</v>
      </c>
      <c r="EA178" s="16">
        <v>1953</v>
      </c>
      <c r="EB178" s="16">
        <v>1454</v>
      </c>
      <c r="EC178" s="16">
        <v>59622</v>
      </c>
      <c r="ED178" s="16">
        <v>311</v>
      </c>
      <c r="EE178" s="16">
        <v>0</v>
      </c>
      <c r="EF178" s="16">
        <v>102</v>
      </c>
      <c r="EG178" s="16">
        <v>5348</v>
      </c>
      <c r="EH178" s="16">
        <v>965</v>
      </c>
      <c r="EI178" s="16">
        <v>155</v>
      </c>
      <c r="EJ178" s="16">
        <v>243</v>
      </c>
      <c r="EK178" s="16">
        <v>17</v>
      </c>
      <c r="EL178" s="16">
        <v>45</v>
      </c>
      <c r="EM178" s="16">
        <v>0</v>
      </c>
      <c r="EN178" s="16">
        <v>6451</v>
      </c>
      <c r="EO178" s="16">
        <v>5415</v>
      </c>
      <c r="EP178" s="16">
        <v>0</v>
      </c>
      <c r="EQ178" s="16">
        <v>769</v>
      </c>
      <c r="ER178" s="16">
        <v>47</v>
      </c>
      <c r="ES178" s="16">
        <v>0</v>
      </c>
      <c r="ET178" s="16">
        <v>1399</v>
      </c>
      <c r="EU178" s="16">
        <v>246</v>
      </c>
      <c r="EV178" s="16">
        <v>0</v>
      </c>
      <c r="EW178" s="16">
        <v>35</v>
      </c>
      <c r="EX178" s="16">
        <v>4108</v>
      </c>
      <c r="EY178" s="16">
        <v>252</v>
      </c>
      <c r="EZ178" s="16">
        <v>6</v>
      </c>
      <c r="FA178" s="16">
        <v>9</v>
      </c>
      <c r="FB178" s="16">
        <v>0</v>
      </c>
      <c r="FC178" s="16">
        <v>724</v>
      </c>
      <c r="FD178" s="16">
        <v>3392</v>
      </c>
      <c r="FE178" s="16">
        <v>187</v>
      </c>
      <c r="FF178" s="16">
        <v>78</v>
      </c>
      <c r="FG178" s="16">
        <v>6100</v>
      </c>
      <c r="FH178" s="16">
        <v>0</v>
      </c>
      <c r="FI178" s="16">
        <v>307</v>
      </c>
      <c r="FJ178" s="16">
        <v>13</v>
      </c>
      <c r="FK178" s="16">
        <v>0</v>
      </c>
      <c r="FL178" s="16">
        <v>180</v>
      </c>
      <c r="FM178" s="16">
        <v>202</v>
      </c>
      <c r="FN178" s="16">
        <v>1395</v>
      </c>
      <c r="FO178" s="16">
        <v>751</v>
      </c>
      <c r="FP178" s="16">
        <v>618</v>
      </c>
      <c r="FQ178" s="16">
        <v>10024</v>
      </c>
      <c r="FR178" s="16">
        <v>9874</v>
      </c>
      <c r="FS178" s="16">
        <v>6591</v>
      </c>
      <c r="FT178" s="16">
        <v>14220</v>
      </c>
      <c r="FU178" s="16">
        <v>6606</v>
      </c>
      <c r="FV178" s="16">
        <v>72009</v>
      </c>
      <c r="FW178" s="16">
        <v>25472</v>
      </c>
      <c r="FX178" s="16">
        <v>101862</v>
      </c>
      <c r="FY178" s="16">
        <v>43679</v>
      </c>
      <c r="FZ178" s="16">
        <v>21456</v>
      </c>
      <c r="GA178" s="16">
        <v>2009</v>
      </c>
      <c r="GB178" s="16">
        <v>25550</v>
      </c>
      <c r="GC178" s="16">
        <v>3146</v>
      </c>
      <c r="GD178" s="16">
        <v>128383</v>
      </c>
      <c r="GE178" s="16">
        <v>288</v>
      </c>
      <c r="GF178" s="16">
        <v>4836</v>
      </c>
      <c r="GG178" s="16">
        <v>164</v>
      </c>
      <c r="GH178" s="16">
        <v>6051</v>
      </c>
      <c r="GI178" s="16">
        <v>391</v>
      </c>
      <c r="GJ178" s="16">
        <v>9608</v>
      </c>
      <c r="GK178" s="16">
        <v>2041</v>
      </c>
      <c r="GL178" s="16">
        <v>8</v>
      </c>
      <c r="GM178" s="16">
        <v>97</v>
      </c>
      <c r="GN178" s="16">
        <v>490</v>
      </c>
      <c r="GO178" s="16">
        <v>1147</v>
      </c>
      <c r="GP178" s="16">
        <v>160827</v>
      </c>
      <c r="GQ178" s="16">
        <v>3582</v>
      </c>
      <c r="GR178" s="16">
        <v>5097</v>
      </c>
      <c r="GS178" s="16">
        <v>3361</v>
      </c>
      <c r="GT178" s="16">
        <v>1516</v>
      </c>
      <c r="GU178" s="16">
        <v>262172</v>
      </c>
      <c r="GV178" s="16">
        <v>27144</v>
      </c>
      <c r="GW178" s="16">
        <v>14976</v>
      </c>
      <c r="GX178" s="16">
        <v>1050</v>
      </c>
      <c r="GY178" s="16">
        <v>40</v>
      </c>
      <c r="GZ178" s="16">
        <v>6565</v>
      </c>
      <c r="HA178" s="16">
        <v>1319</v>
      </c>
      <c r="HB178" s="16">
        <v>1975</v>
      </c>
      <c r="HC178" s="16">
        <v>5891</v>
      </c>
      <c r="HD178" s="16">
        <v>12551</v>
      </c>
      <c r="HE178" s="16">
        <v>109</v>
      </c>
      <c r="HF178" s="16">
        <v>1605</v>
      </c>
      <c r="HG178" s="16">
        <v>204448</v>
      </c>
      <c r="HH178" s="16">
        <v>11385</v>
      </c>
      <c r="HI178" s="16">
        <v>30547</v>
      </c>
      <c r="HJ178" s="16">
        <v>199</v>
      </c>
      <c r="HK178" s="16">
        <v>572</v>
      </c>
      <c r="HL178" s="16">
        <v>16551</v>
      </c>
      <c r="HM178" s="16">
        <v>7618</v>
      </c>
      <c r="HN178" s="16">
        <v>18055</v>
      </c>
      <c r="HO178" s="16">
        <v>16251</v>
      </c>
      <c r="HP178" s="16">
        <v>25201</v>
      </c>
      <c r="HQ178" s="16">
        <v>22847</v>
      </c>
      <c r="HR178" s="16">
        <v>14525</v>
      </c>
      <c r="HS178" s="16">
        <v>7209</v>
      </c>
      <c r="HT178" s="16">
        <v>1989</v>
      </c>
      <c r="HU178" s="16">
        <v>9746</v>
      </c>
      <c r="HV178" s="16">
        <v>6387</v>
      </c>
      <c r="HW178" s="16">
        <v>3633</v>
      </c>
      <c r="HX178" s="16">
        <v>11237</v>
      </c>
      <c r="HY178" s="16">
        <v>10585</v>
      </c>
      <c r="HZ178" s="16">
        <v>12196</v>
      </c>
      <c r="IA178" s="16">
        <v>4435</v>
      </c>
      <c r="IB178" s="16">
        <v>1151</v>
      </c>
      <c r="IC178" s="16">
        <v>981</v>
      </c>
      <c r="ID178" s="16">
        <v>5893</v>
      </c>
      <c r="IE178" s="16">
        <v>313</v>
      </c>
      <c r="IF178" s="16">
        <v>2490</v>
      </c>
      <c r="IG178" s="16">
        <v>35126</v>
      </c>
      <c r="IH178" s="16">
        <v>2254973</v>
      </c>
      <c r="II178" s="16">
        <v>349381</v>
      </c>
      <c r="IJ178" s="16">
        <v>20144</v>
      </c>
      <c r="IK178" s="16">
        <v>95092</v>
      </c>
      <c r="IL178" s="16">
        <v>51047</v>
      </c>
      <c r="IM178" s="16">
        <v>11415</v>
      </c>
      <c r="IN178" s="16">
        <v>4944</v>
      </c>
      <c r="IO178" s="16">
        <v>1878770</v>
      </c>
      <c r="IP178" s="16">
        <v>917</v>
      </c>
      <c r="IQ178" s="16">
        <v>633</v>
      </c>
      <c r="IR178" s="16">
        <v>1265</v>
      </c>
      <c r="IS178" s="16">
        <v>2862</v>
      </c>
      <c r="IT178" s="16">
        <v>4097</v>
      </c>
      <c r="IU178" s="16">
        <v>31</v>
      </c>
      <c r="IV178" s="16">
        <v>7107</v>
      </c>
      <c r="IW178" s="16">
        <v>66676</v>
      </c>
      <c r="IX178" s="16">
        <v>3637</v>
      </c>
      <c r="IY178" s="16">
        <v>5190</v>
      </c>
      <c r="IZ178" s="16">
        <v>197</v>
      </c>
      <c r="JA178" s="16">
        <v>2069</v>
      </c>
      <c r="JB178" s="16">
        <v>217</v>
      </c>
      <c r="JC178" s="16">
        <v>127</v>
      </c>
      <c r="JD178" s="16">
        <v>382</v>
      </c>
      <c r="JE178" s="16">
        <v>1269</v>
      </c>
      <c r="JF178" s="16">
        <v>14746</v>
      </c>
      <c r="JG178" s="16">
        <v>53593</v>
      </c>
      <c r="JH178" s="16">
        <v>216</v>
      </c>
      <c r="JI178" s="16">
        <v>99</v>
      </c>
      <c r="JJ178" s="16">
        <v>3225</v>
      </c>
      <c r="JK178" s="16">
        <v>6895</v>
      </c>
      <c r="JL178" s="16">
        <v>4864</v>
      </c>
      <c r="JM178" s="16">
        <v>16644</v>
      </c>
      <c r="JN178" s="16">
        <v>122872</v>
      </c>
      <c r="JO178" s="16">
        <v>1183</v>
      </c>
      <c r="JP178" s="16">
        <v>0</v>
      </c>
      <c r="JQ178" s="16">
        <v>0</v>
      </c>
      <c r="JR178" s="16">
        <v>8065</v>
      </c>
      <c r="JS178" s="16">
        <v>1939</v>
      </c>
      <c r="JT178" s="16">
        <v>0</v>
      </c>
      <c r="JU178" s="16">
        <v>4909</v>
      </c>
      <c r="JV178" s="16">
        <v>3151</v>
      </c>
      <c r="JW178" s="16">
        <v>4205</v>
      </c>
      <c r="JX178" s="16">
        <v>3590</v>
      </c>
      <c r="JY178" s="16">
        <v>5245</v>
      </c>
      <c r="JZ178" s="16">
        <v>2943</v>
      </c>
      <c r="KA178" s="16">
        <v>1049</v>
      </c>
      <c r="KB178" s="16">
        <v>131</v>
      </c>
      <c r="KC178" s="16">
        <v>482</v>
      </c>
      <c r="KD178" s="16">
        <v>1222</v>
      </c>
      <c r="KE178" s="16">
        <v>155</v>
      </c>
      <c r="KF178" s="16">
        <v>1004</v>
      </c>
      <c r="KG178" s="16">
        <v>1134</v>
      </c>
      <c r="KH178" s="16">
        <v>233</v>
      </c>
      <c r="KI178" s="16">
        <v>1663</v>
      </c>
      <c r="KJ178" s="16">
        <v>1479</v>
      </c>
      <c r="KK178" s="16">
        <v>167541</v>
      </c>
      <c r="KL178" s="16">
        <v>24</v>
      </c>
      <c r="KM178" s="16">
        <v>6949</v>
      </c>
      <c r="KN178" s="16">
        <v>3350</v>
      </c>
      <c r="KO178" s="16">
        <v>1175</v>
      </c>
      <c r="KP178" s="16">
        <v>0</v>
      </c>
      <c r="KQ178" s="16">
        <v>0</v>
      </c>
      <c r="KR178" s="16">
        <v>3338</v>
      </c>
      <c r="KS178" s="16">
        <v>0</v>
      </c>
      <c r="KT178" s="16">
        <v>0</v>
      </c>
      <c r="KU178" s="16">
        <v>854</v>
      </c>
      <c r="KV178" s="16">
        <v>19985</v>
      </c>
      <c r="KW178" s="16">
        <v>9982</v>
      </c>
      <c r="KX178" s="16">
        <v>15</v>
      </c>
      <c r="KY178" s="16">
        <v>5999</v>
      </c>
      <c r="KZ178" s="16">
        <v>105690</v>
      </c>
      <c r="LA178" s="16">
        <v>29184</v>
      </c>
      <c r="LB178" s="16">
        <v>16596</v>
      </c>
      <c r="LC178" s="16">
        <v>45402</v>
      </c>
      <c r="LD178" s="16">
        <v>25012</v>
      </c>
      <c r="LE178" s="16">
        <v>146</v>
      </c>
      <c r="LF178" s="16">
        <v>154</v>
      </c>
      <c r="LG178" s="16">
        <v>8</v>
      </c>
      <c r="LH178" s="16">
        <v>83</v>
      </c>
      <c r="LI178" s="16">
        <v>1</v>
      </c>
      <c r="LJ178" s="16">
        <v>10</v>
      </c>
      <c r="LK178" s="16">
        <v>101</v>
      </c>
      <c r="LL178" s="16">
        <v>67</v>
      </c>
      <c r="LM178" s="16">
        <v>1640</v>
      </c>
      <c r="LN178" s="16">
        <v>0</v>
      </c>
      <c r="LO178" s="16">
        <v>24</v>
      </c>
      <c r="LP178" s="16">
        <v>953</v>
      </c>
      <c r="LQ178" s="16">
        <v>0</v>
      </c>
      <c r="LR178" s="16">
        <v>310</v>
      </c>
      <c r="LS178" s="16">
        <v>401</v>
      </c>
      <c r="LT178" s="16">
        <v>342</v>
      </c>
      <c r="LU178" s="16">
        <v>23</v>
      </c>
      <c r="LV178" s="16">
        <v>4</v>
      </c>
      <c r="LW178" s="16">
        <v>48</v>
      </c>
      <c r="LX178" s="16">
        <v>478</v>
      </c>
      <c r="LY178" s="16">
        <v>0</v>
      </c>
      <c r="LZ178" s="16">
        <v>978</v>
      </c>
      <c r="MA178" s="16">
        <v>189</v>
      </c>
      <c r="MB178" s="16">
        <v>5900</v>
      </c>
      <c r="MC178" s="16">
        <v>597</v>
      </c>
      <c r="MD178" s="16">
        <v>432</v>
      </c>
      <c r="ME178" s="16">
        <v>164</v>
      </c>
      <c r="MF178" s="16">
        <v>2485</v>
      </c>
      <c r="MG178" s="16">
        <v>1884</v>
      </c>
      <c r="MH178" s="16">
        <v>6562</v>
      </c>
      <c r="MI178" s="16">
        <v>710</v>
      </c>
      <c r="MJ178" s="16">
        <v>573</v>
      </c>
      <c r="MK178" s="16">
        <v>3088</v>
      </c>
      <c r="ML178" s="16">
        <v>250</v>
      </c>
      <c r="MM178" s="16">
        <v>2244</v>
      </c>
      <c r="MN178" s="16">
        <v>7927</v>
      </c>
      <c r="MO178" s="16">
        <v>3397</v>
      </c>
      <c r="MP178" s="16">
        <v>3762</v>
      </c>
      <c r="MQ178" s="16">
        <v>2930</v>
      </c>
      <c r="MR178" s="16">
        <v>1827</v>
      </c>
      <c r="MS178" s="16">
        <v>0</v>
      </c>
      <c r="MT178" s="16">
        <v>0</v>
      </c>
      <c r="MU178" s="16">
        <v>13854</v>
      </c>
      <c r="MV178" s="16">
        <v>6311</v>
      </c>
      <c r="MW178" s="16">
        <v>9920</v>
      </c>
      <c r="MX178" s="16">
        <v>0</v>
      </c>
      <c r="MY178" s="16">
        <v>0</v>
      </c>
      <c r="MZ178" s="16">
        <v>0</v>
      </c>
      <c r="NA178" s="16">
        <v>989</v>
      </c>
      <c r="NB178" s="16">
        <v>21685</v>
      </c>
      <c r="NC178" s="16">
        <v>934</v>
      </c>
      <c r="ND178" s="16">
        <v>593</v>
      </c>
      <c r="NE178" s="16">
        <v>230</v>
      </c>
      <c r="NF178" s="16">
        <v>990</v>
      </c>
      <c r="NG178" s="16">
        <v>1049</v>
      </c>
      <c r="NH178" s="16">
        <v>260</v>
      </c>
      <c r="NI178" s="16">
        <v>4841</v>
      </c>
      <c r="NJ178" s="16">
        <v>6443</v>
      </c>
      <c r="NK178" s="16">
        <v>332820</v>
      </c>
      <c r="NL178" s="16">
        <v>5671</v>
      </c>
      <c r="NM178" s="16">
        <v>3624</v>
      </c>
      <c r="NN178" s="16">
        <v>1874</v>
      </c>
      <c r="NO178" s="16">
        <v>0</v>
      </c>
      <c r="NP178" s="16">
        <v>508</v>
      </c>
      <c r="NQ178" s="16">
        <v>119</v>
      </c>
      <c r="NR178" s="17">
        <v>7644347</v>
      </c>
    </row>
    <row r="179" spans="1:382" ht="13.5" customHeight="1" x14ac:dyDescent="0.2">
      <c r="A179" s="2" t="s">
        <v>365</v>
      </c>
      <c r="B179" s="16">
        <v>0</v>
      </c>
      <c r="C179" s="16">
        <v>0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893</v>
      </c>
      <c r="AN179" s="16">
        <v>0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68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  <c r="BB179" s="16">
        <v>0</v>
      </c>
      <c r="BC179" s="16">
        <v>0</v>
      </c>
      <c r="BD179" s="16">
        <v>0</v>
      </c>
      <c r="BE179" s="16">
        <v>0</v>
      </c>
      <c r="BF179" s="16">
        <v>0</v>
      </c>
      <c r="BG179" s="16">
        <v>0</v>
      </c>
      <c r="BH179" s="16">
        <v>0</v>
      </c>
      <c r="BI179" s="16">
        <v>0</v>
      </c>
      <c r="BJ179" s="16">
        <v>0</v>
      </c>
      <c r="BK179" s="16">
        <v>0</v>
      </c>
      <c r="BL179" s="16">
        <v>0</v>
      </c>
      <c r="BM179" s="16">
        <v>0</v>
      </c>
      <c r="BN179" s="16">
        <v>0</v>
      </c>
      <c r="BO179" s="16">
        <v>0</v>
      </c>
      <c r="BP179" s="16">
        <v>167</v>
      </c>
      <c r="BQ179" s="16">
        <v>12</v>
      </c>
      <c r="BR179" s="16">
        <v>25</v>
      </c>
      <c r="BS179" s="16">
        <v>0</v>
      </c>
      <c r="BT179" s="16">
        <v>0</v>
      </c>
      <c r="BU179" s="16">
        <v>0</v>
      </c>
      <c r="BV179" s="16">
        <v>0</v>
      </c>
      <c r="BW179" s="16">
        <v>0</v>
      </c>
      <c r="BX179" s="16">
        <v>0</v>
      </c>
      <c r="BY179" s="16">
        <v>0</v>
      </c>
      <c r="BZ179" s="16">
        <v>508</v>
      </c>
      <c r="CA179" s="16">
        <v>259</v>
      </c>
      <c r="CB179" s="16">
        <v>0</v>
      </c>
      <c r="CC179" s="16">
        <v>4494</v>
      </c>
      <c r="CD179" s="16">
        <v>0</v>
      </c>
      <c r="CE179" s="16">
        <v>0</v>
      </c>
      <c r="CF179" s="16">
        <v>0</v>
      </c>
      <c r="CG179" s="16">
        <v>1315</v>
      </c>
      <c r="CH179" s="16">
        <v>0</v>
      </c>
      <c r="CI179" s="16">
        <v>0</v>
      </c>
      <c r="CJ179" s="16">
        <v>0</v>
      </c>
      <c r="CK179" s="16">
        <v>0</v>
      </c>
      <c r="CL179" s="16">
        <v>0</v>
      </c>
      <c r="CM179" s="16">
        <v>0</v>
      </c>
      <c r="CN179" s="16">
        <v>425</v>
      </c>
      <c r="CO179" s="16">
        <v>0</v>
      </c>
      <c r="CP179" s="16">
        <v>27</v>
      </c>
      <c r="CQ179" s="16">
        <v>752</v>
      </c>
      <c r="CR179" s="16">
        <v>0</v>
      </c>
      <c r="CS179" s="16">
        <v>0</v>
      </c>
      <c r="CT179" s="16">
        <v>0</v>
      </c>
      <c r="CU179" s="16">
        <v>0</v>
      </c>
      <c r="CV179" s="16">
        <v>0</v>
      </c>
      <c r="CW179" s="16">
        <v>0</v>
      </c>
      <c r="CX179" s="16">
        <v>0</v>
      </c>
      <c r="CY179" s="16">
        <v>0</v>
      </c>
      <c r="CZ179" s="16">
        <v>0</v>
      </c>
      <c r="DA179" s="16">
        <v>0</v>
      </c>
      <c r="DB179" s="16">
        <v>0</v>
      </c>
      <c r="DC179" s="16">
        <v>0</v>
      </c>
      <c r="DD179" s="16">
        <v>0</v>
      </c>
      <c r="DE179" s="16">
        <v>0</v>
      </c>
      <c r="DF179" s="16">
        <v>19</v>
      </c>
      <c r="DG179" s="16">
        <v>0</v>
      </c>
      <c r="DH179" s="16">
        <v>0</v>
      </c>
      <c r="DI179" s="16">
        <v>0</v>
      </c>
      <c r="DJ179" s="16">
        <v>0</v>
      </c>
      <c r="DK179" s="16">
        <v>0</v>
      </c>
      <c r="DL179" s="16">
        <v>0</v>
      </c>
      <c r="DM179" s="16">
        <v>349</v>
      </c>
      <c r="DN179" s="16">
        <v>0</v>
      </c>
      <c r="DO179" s="16">
        <v>7</v>
      </c>
      <c r="DP179" s="16">
        <v>99</v>
      </c>
      <c r="DQ179" s="16">
        <v>0</v>
      </c>
      <c r="DR179" s="16">
        <v>405</v>
      </c>
      <c r="DS179" s="16">
        <v>2218</v>
      </c>
      <c r="DT179" s="16">
        <v>0</v>
      </c>
      <c r="DU179" s="16">
        <v>519</v>
      </c>
      <c r="DV179" s="16">
        <v>404</v>
      </c>
      <c r="DW179" s="16">
        <v>20459</v>
      </c>
      <c r="DX179" s="16">
        <v>3898</v>
      </c>
      <c r="DY179" s="16">
        <v>7238</v>
      </c>
      <c r="DZ179" s="16">
        <v>31202</v>
      </c>
      <c r="EA179" s="16">
        <v>11393</v>
      </c>
      <c r="EB179" s="16">
        <v>560</v>
      </c>
      <c r="EC179" s="16">
        <v>45257</v>
      </c>
      <c r="ED179" s="16">
        <v>6146</v>
      </c>
      <c r="EE179" s="16">
        <v>3</v>
      </c>
      <c r="EF179" s="16">
        <v>1</v>
      </c>
      <c r="EG179" s="16">
        <v>101</v>
      </c>
      <c r="EH179" s="16">
        <v>12</v>
      </c>
      <c r="EI179" s="16">
        <v>92</v>
      </c>
      <c r="EJ179" s="16">
        <v>1414</v>
      </c>
      <c r="EK179" s="16">
        <v>2146</v>
      </c>
      <c r="EL179" s="16">
        <v>0</v>
      </c>
      <c r="EM179" s="16">
        <v>0</v>
      </c>
      <c r="EN179" s="16">
        <v>82</v>
      </c>
      <c r="EO179" s="16">
        <v>285</v>
      </c>
      <c r="EP179" s="16">
        <v>0</v>
      </c>
      <c r="EQ179" s="16">
        <v>0</v>
      </c>
      <c r="ER179" s="16">
        <v>221</v>
      </c>
      <c r="ES179" s="16">
        <v>0</v>
      </c>
      <c r="ET179" s="16">
        <v>0</v>
      </c>
      <c r="EU179" s="16">
        <v>0</v>
      </c>
      <c r="EV179" s="16">
        <v>0</v>
      </c>
      <c r="EW179" s="16">
        <v>98</v>
      </c>
      <c r="EX179" s="16">
        <v>23764</v>
      </c>
      <c r="EY179" s="16">
        <v>2635</v>
      </c>
      <c r="EZ179" s="16">
        <v>466</v>
      </c>
      <c r="FA179" s="16">
        <v>486</v>
      </c>
      <c r="FB179" s="16">
        <v>930</v>
      </c>
      <c r="FC179" s="16">
        <v>2009</v>
      </c>
      <c r="FD179" s="16">
        <v>95557</v>
      </c>
      <c r="FE179" s="16">
        <v>8441</v>
      </c>
      <c r="FF179" s="16">
        <v>13467</v>
      </c>
      <c r="FG179" s="16">
        <v>118702</v>
      </c>
      <c r="FH179" s="16">
        <v>0</v>
      </c>
      <c r="FI179" s="16">
        <v>2750</v>
      </c>
      <c r="FJ179" s="16">
        <v>0</v>
      </c>
      <c r="FK179" s="16">
        <v>0</v>
      </c>
      <c r="FL179" s="16">
        <v>0</v>
      </c>
      <c r="FM179" s="16">
        <v>16961</v>
      </c>
      <c r="FN179" s="16">
        <v>126777</v>
      </c>
      <c r="FO179" s="16">
        <v>8377</v>
      </c>
      <c r="FP179" s="16">
        <v>207546</v>
      </c>
      <c r="FQ179" s="16">
        <v>939644</v>
      </c>
      <c r="FR179" s="16">
        <v>989966</v>
      </c>
      <c r="FS179" s="16">
        <v>139499</v>
      </c>
      <c r="FT179" s="16">
        <v>103515</v>
      </c>
      <c r="FU179" s="16">
        <v>320207</v>
      </c>
      <c r="FV179" s="16">
        <v>355393</v>
      </c>
      <c r="FW179" s="16">
        <v>457707</v>
      </c>
      <c r="FX179" s="16">
        <v>1813069</v>
      </c>
      <c r="FY179" s="16">
        <v>249634</v>
      </c>
      <c r="FZ179" s="16">
        <v>424579</v>
      </c>
      <c r="GA179" s="16">
        <v>378636</v>
      </c>
      <c r="GB179" s="16">
        <v>548014</v>
      </c>
      <c r="GC179" s="16">
        <v>217438</v>
      </c>
      <c r="GD179" s="16">
        <v>452903</v>
      </c>
      <c r="GE179" s="16">
        <v>2354</v>
      </c>
      <c r="GF179" s="16">
        <v>102001</v>
      </c>
      <c r="GG179" s="16">
        <v>94</v>
      </c>
      <c r="GH179" s="16">
        <v>7012</v>
      </c>
      <c r="GI179" s="16">
        <v>49440</v>
      </c>
      <c r="GJ179" s="16">
        <v>9089</v>
      </c>
      <c r="GK179" s="16">
        <v>12444</v>
      </c>
      <c r="GL179" s="16">
        <v>20</v>
      </c>
      <c r="GM179" s="16">
        <v>155</v>
      </c>
      <c r="GN179" s="16">
        <v>117</v>
      </c>
      <c r="GO179" s="16">
        <v>5</v>
      </c>
      <c r="GP179" s="16">
        <v>1318</v>
      </c>
      <c r="GQ179" s="16">
        <v>27</v>
      </c>
      <c r="GR179" s="16">
        <v>4792</v>
      </c>
      <c r="GS179" s="16">
        <v>240</v>
      </c>
      <c r="GT179" s="16">
        <v>622</v>
      </c>
      <c r="GU179" s="16">
        <v>37707</v>
      </c>
      <c r="GV179" s="16">
        <v>83839</v>
      </c>
      <c r="GW179" s="16">
        <v>36524</v>
      </c>
      <c r="GX179" s="16">
        <v>5355</v>
      </c>
      <c r="GY179" s="16">
        <v>141</v>
      </c>
      <c r="GZ179" s="16">
        <v>30205</v>
      </c>
      <c r="HA179" s="16">
        <v>37917</v>
      </c>
      <c r="HB179" s="16">
        <v>11119</v>
      </c>
      <c r="HC179" s="16">
        <v>66023</v>
      </c>
      <c r="HD179" s="16">
        <v>68116</v>
      </c>
      <c r="HE179" s="16">
        <v>332</v>
      </c>
      <c r="HF179" s="16">
        <v>7553</v>
      </c>
      <c r="HG179" s="16">
        <v>6984</v>
      </c>
      <c r="HH179" s="16">
        <v>10964</v>
      </c>
      <c r="HI179" s="16">
        <v>37855</v>
      </c>
      <c r="HJ179" s="16">
        <v>7832</v>
      </c>
      <c r="HK179" s="16">
        <v>16886</v>
      </c>
      <c r="HL179" s="16">
        <v>70408</v>
      </c>
      <c r="HM179" s="16">
        <v>258908</v>
      </c>
      <c r="HN179" s="16">
        <v>268977</v>
      </c>
      <c r="HO179" s="16">
        <v>383577</v>
      </c>
      <c r="HP179" s="16">
        <v>340723</v>
      </c>
      <c r="HQ179" s="16">
        <v>250480</v>
      </c>
      <c r="HR179" s="16">
        <v>110966</v>
      </c>
      <c r="HS179" s="16">
        <v>149071</v>
      </c>
      <c r="HT179" s="16">
        <v>5713</v>
      </c>
      <c r="HU179" s="16">
        <v>332723</v>
      </c>
      <c r="HV179" s="16">
        <v>124901</v>
      </c>
      <c r="HW179" s="16">
        <v>284675</v>
      </c>
      <c r="HX179" s="16">
        <v>407701</v>
      </c>
      <c r="HY179" s="16">
        <v>710823</v>
      </c>
      <c r="HZ179" s="16">
        <v>431905</v>
      </c>
      <c r="IA179" s="16">
        <v>131490</v>
      </c>
      <c r="IB179" s="16">
        <v>45633</v>
      </c>
      <c r="IC179" s="16">
        <v>20909</v>
      </c>
      <c r="ID179" s="16">
        <v>57825</v>
      </c>
      <c r="IE179" s="16">
        <v>8912</v>
      </c>
      <c r="IF179" s="16">
        <v>29948</v>
      </c>
      <c r="IG179" s="16">
        <v>214982</v>
      </c>
      <c r="IH179" s="16">
        <v>14388</v>
      </c>
      <c r="II179" s="16">
        <v>1931</v>
      </c>
      <c r="IJ179" s="16">
        <v>262</v>
      </c>
      <c r="IK179" s="16">
        <v>235</v>
      </c>
      <c r="IL179" s="16">
        <v>15740</v>
      </c>
      <c r="IM179" s="16">
        <v>3210</v>
      </c>
      <c r="IN179" s="16">
        <v>15823</v>
      </c>
      <c r="IO179" s="16">
        <v>1105995</v>
      </c>
      <c r="IP179" s="16">
        <v>9545</v>
      </c>
      <c r="IQ179" s="16">
        <v>3577</v>
      </c>
      <c r="IR179" s="16">
        <v>7660</v>
      </c>
      <c r="IS179" s="16">
        <v>20517</v>
      </c>
      <c r="IT179" s="16">
        <v>238</v>
      </c>
      <c r="IU179" s="16">
        <v>332</v>
      </c>
      <c r="IV179" s="16">
        <v>95646</v>
      </c>
      <c r="IW179" s="16">
        <v>1725</v>
      </c>
      <c r="IX179" s="16">
        <v>76682</v>
      </c>
      <c r="IY179" s="16">
        <v>1726</v>
      </c>
      <c r="IZ179" s="16">
        <v>296</v>
      </c>
      <c r="JA179" s="16">
        <v>24897</v>
      </c>
      <c r="JB179" s="16">
        <v>214</v>
      </c>
      <c r="JC179" s="16">
        <v>625</v>
      </c>
      <c r="JD179" s="16">
        <v>5769</v>
      </c>
      <c r="JE179" s="16">
        <v>24396</v>
      </c>
      <c r="JF179" s="16">
        <v>17187</v>
      </c>
      <c r="JG179" s="16">
        <v>69663</v>
      </c>
      <c r="JH179" s="16">
        <v>0</v>
      </c>
      <c r="JI179" s="16">
        <v>0</v>
      </c>
      <c r="JJ179" s="16">
        <v>0</v>
      </c>
      <c r="JK179" s="16">
        <v>0</v>
      </c>
      <c r="JL179" s="16">
        <v>0</v>
      </c>
      <c r="JM179" s="16">
        <v>0</v>
      </c>
      <c r="JN179" s="16">
        <v>0</v>
      </c>
      <c r="JO179" s="16">
        <v>0</v>
      </c>
      <c r="JP179" s="16">
        <v>0</v>
      </c>
      <c r="JQ179" s="16">
        <v>0</v>
      </c>
      <c r="JR179" s="16">
        <v>0</v>
      </c>
      <c r="JS179" s="16">
        <v>0</v>
      </c>
      <c r="JT179" s="16">
        <v>0</v>
      </c>
      <c r="JU179" s="16">
        <v>0</v>
      </c>
      <c r="JV179" s="16">
        <v>0</v>
      </c>
      <c r="JW179" s="16">
        <v>1203</v>
      </c>
      <c r="JX179" s="16">
        <v>14098</v>
      </c>
      <c r="JY179" s="16">
        <v>2426</v>
      </c>
      <c r="JZ179" s="16">
        <v>63</v>
      </c>
      <c r="KA179" s="16">
        <v>66</v>
      </c>
      <c r="KB179" s="16">
        <v>2</v>
      </c>
      <c r="KC179" s="16">
        <v>1</v>
      </c>
      <c r="KD179" s="16">
        <v>4</v>
      </c>
      <c r="KE179" s="16">
        <v>1</v>
      </c>
      <c r="KF179" s="16">
        <v>242</v>
      </c>
      <c r="KG179" s="16">
        <v>1082</v>
      </c>
      <c r="KH179" s="16">
        <v>709</v>
      </c>
      <c r="KI179" s="16">
        <v>955</v>
      </c>
      <c r="KJ179" s="16">
        <v>119</v>
      </c>
      <c r="KK179" s="16">
        <v>0</v>
      </c>
      <c r="KL179" s="16">
        <v>0</v>
      </c>
      <c r="KM179" s="16">
        <v>0</v>
      </c>
      <c r="KN179" s="16">
        <v>0</v>
      </c>
      <c r="KO179" s="16">
        <v>0</v>
      </c>
      <c r="KP179" s="16">
        <v>0</v>
      </c>
      <c r="KQ179" s="16">
        <v>0</v>
      </c>
      <c r="KR179" s="16">
        <v>0</v>
      </c>
      <c r="KS179" s="16">
        <v>0</v>
      </c>
      <c r="KT179" s="16">
        <v>0</v>
      </c>
      <c r="KU179" s="16">
        <v>0</v>
      </c>
      <c r="KV179" s="16">
        <v>0</v>
      </c>
      <c r="KW179" s="16">
        <v>0</v>
      </c>
      <c r="KX179" s="16">
        <v>0</v>
      </c>
      <c r="KY179" s="16">
        <v>0</v>
      </c>
      <c r="KZ179" s="16">
        <v>0</v>
      </c>
      <c r="LA179" s="16">
        <v>0</v>
      </c>
      <c r="LB179" s="16">
        <v>0</v>
      </c>
      <c r="LC179" s="16">
        <v>0</v>
      </c>
      <c r="LD179" s="16">
        <v>0</v>
      </c>
      <c r="LE179" s="16">
        <v>0</v>
      </c>
      <c r="LF179" s="16">
        <v>0</v>
      </c>
      <c r="LG179" s="16">
        <v>0</v>
      </c>
      <c r="LH179" s="16">
        <v>0</v>
      </c>
      <c r="LI179" s="16">
        <v>0</v>
      </c>
      <c r="LJ179" s="16">
        <v>0</v>
      </c>
      <c r="LK179" s="16">
        <v>0</v>
      </c>
      <c r="LL179" s="16">
        <v>0</v>
      </c>
      <c r="LM179" s="16">
        <v>0</v>
      </c>
      <c r="LN179" s="16">
        <v>0</v>
      </c>
      <c r="LO179" s="16">
        <v>0</v>
      </c>
      <c r="LP179" s="16">
        <v>0</v>
      </c>
      <c r="LQ179" s="16">
        <v>0</v>
      </c>
      <c r="LR179" s="16">
        <v>0</v>
      </c>
      <c r="LS179" s="16">
        <v>0</v>
      </c>
      <c r="LT179" s="16">
        <v>0</v>
      </c>
      <c r="LU179" s="16">
        <v>0</v>
      </c>
      <c r="LV179" s="16">
        <v>0</v>
      </c>
      <c r="LW179" s="16">
        <v>0</v>
      </c>
      <c r="LX179" s="16">
        <v>0</v>
      </c>
      <c r="LY179" s="16">
        <v>0</v>
      </c>
      <c r="LZ179" s="16">
        <v>0</v>
      </c>
      <c r="MA179" s="16">
        <v>0</v>
      </c>
      <c r="MB179" s="16">
        <v>0</v>
      </c>
      <c r="MC179" s="16">
        <v>0</v>
      </c>
      <c r="MD179" s="16">
        <v>0</v>
      </c>
      <c r="ME179" s="16">
        <v>0</v>
      </c>
      <c r="MF179" s="16">
        <v>53352</v>
      </c>
      <c r="MG179" s="16">
        <v>0</v>
      </c>
      <c r="MH179" s="16">
        <v>0</v>
      </c>
      <c r="MI179" s="16">
        <v>4</v>
      </c>
      <c r="MJ179" s="16">
        <v>0</v>
      </c>
      <c r="MK179" s="16">
        <v>0</v>
      </c>
      <c r="ML179" s="16">
        <v>0</v>
      </c>
      <c r="MM179" s="16">
        <v>0</v>
      </c>
      <c r="MN179" s="16">
        <v>0</v>
      </c>
      <c r="MO179" s="16">
        <v>0</v>
      </c>
      <c r="MP179" s="16">
        <v>0</v>
      </c>
      <c r="MQ179" s="16">
        <v>0</v>
      </c>
      <c r="MR179" s="16">
        <v>30</v>
      </c>
      <c r="MS179" s="16">
        <v>17</v>
      </c>
      <c r="MT179" s="16">
        <v>0</v>
      </c>
      <c r="MU179" s="16">
        <v>3</v>
      </c>
      <c r="MV179" s="16">
        <v>0</v>
      </c>
      <c r="MW179" s="16">
        <v>0</v>
      </c>
      <c r="MX179" s="16">
        <v>0</v>
      </c>
      <c r="MY179" s="16">
        <v>0</v>
      </c>
      <c r="MZ179" s="16">
        <v>0</v>
      </c>
      <c r="NA179" s="16">
        <v>0</v>
      </c>
      <c r="NB179" s="16">
        <v>0</v>
      </c>
      <c r="NC179" s="16">
        <v>0</v>
      </c>
      <c r="ND179" s="16">
        <v>0</v>
      </c>
      <c r="NE179" s="16">
        <v>0</v>
      </c>
      <c r="NF179" s="16">
        <v>0</v>
      </c>
      <c r="NG179" s="16">
        <v>0</v>
      </c>
      <c r="NH179" s="16">
        <v>0</v>
      </c>
      <c r="NI179" s="16">
        <v>0</v>
      </c>
      <c r="NJ179" s="16">
        <v>0</v>
      </c>
      <c r="NK179" s="16">
        <v>8832</v>
      </c>
      <c r="NL179" s="16">
        <v>0</v>
      </c>
      <c r="NM179" s="16">
        <v>0</v>
      </c>
      <c r="NN179" s="16">
        <v>0</v>
      </c>
      <c r="NO179" s="16">
        <v>0</v>
      </c>
      <c r="NP179" s="16">
        <v>0</v>
      </c>
      <c r="NQ179" s="16">
        <v>0</v>
      </c>
      <c r="NR179" s="17">
        <v>15060465</v>
      </c>
    </row>
    <row r="180" spans="1:382" ht="13.5" customHeight="1" x14ac:dyDescent="0.2">
      <c r="A180" s="2" t="s">
        <v>367</v>
      </c>
      <c r="B180" s="16">
        <v>8</v>
      </c>
      <c r="C180" s="16">
        <v>0</v>
      </c>
      <c r="D180" s="16">
        <v>11</v>
      </c>
      <c r="E180" s="16">
        <v>3</v>
      </c>
      <c r="F180" s="16">
        <v>135</v>
      </c>
      <c r="G180" s="16">
        <v>6</v>
      </c>
      <c r="H180" s="16">
        <v>2</v>
      </c>
      <c r="I180" s="16">
        <v>20</v>
      </c>
      <c r="J180" s="16">
        <v>0</v>
      </c>
      <c r="K180" s="16">
        <v>0</v>
      </c>
      <c r="L180" s="16">
        <v>52</v>
      </c>
      <c r="M180" s="16">
        <v>0</v>
      </c>
      <c r="N180" s="16">
        <v>0</v>
      </c>
      <c r="O180" s="16">
        <v>3</v>
      </c>
      <c r="P180" s="16">
        <v>1322</v>
      </c>
      <c r="Q180" s="16">
        <v>427</v>
      </c>
      <c r="R180" s="16">
        <v>431</v>
      </c>
      <c r="S180" s="16">
        <v>79</v>
      </c>
      <c r="T180" s="16">
        <v>7</v>
      </c>
      <c r="U180" s="16">
        <v>20</v>
      </c>
      <c r="V180" s="16">
        <v>5</v>
      </c>
      <c r="W180" s="16">
        <v>7</v>
      </c>
      <c r="X180" s="16">
        <v>95</v>
      </c>
      <c r="Y180" s="16">
        <v>1020</v>
      </c>
      <c r="Z180" s="16">
        <v>473</v>
      </c>
      <c r="AA180" s="16">
        <v>146</v>
      </c>
      <c r="AB180" s="16">
        <v>0</v>
      </c>
      <c r="AC180" s="16">
        <v>0</v>
      </c>
      <c r="AD180" s="16">
        <v>0</v>
      </c>
      <c r="AE180" s="16">
        <v>5</v>
      </c>
      <c r="AF180" s="16">
        <v>72</v>
      </c>
      <c r="AG180" s="16">
        <v>1964</v>
      </c>
      <c r="AH180" s="16">
        <v>1195</v>
      </c>
      <c r="AI180" s="16">
        <v>980</v>
      </c>
      <c r="AJ180" s="16">
        <v>1226</v>
      </c>
      <c r="AK180" s="16">
        <v>244</v>
      </c>
      <c r="AL180" s="16">
        <v>19</v>
      </c>
      <c r="AM180" s="16">
        <v>2542</v>
      </c>
      <c r="AN180" s="16">
        <v>115</v>
      </c>
      <c r="AO180" s="16">
        <v>2407</v>
      </c>
      <c r="AP180" s="16">
        <v>5</v>
      </c>
      <c r="AQ180" s="16">
        <v>0</v>
      </c>
      <c r="AR180" s="16">
        <v>0</v>
      </c>
      <c r="AS180" s="16">
        <v>0</v>
      </c>
      <c r="AT180" s="16">
        <v>117</v>
      </c>
      <c r="AU180" s="16">
        <v>157</v>
      </c>
      <c r="AV180" s="16">
        <v>159</v>
      </c>
      <c r="AW180" s="16">
        <v>1934</v>
      </c>
      <c r="AX180" s="16">
        <v>106</v>
      </c>
      <c r="AY180" s="16">
        <v>313</v>
      </c>
      <c r="AZ180" s="16">
        <v>10134</v>
      </c>
      <c r="BA180" s="16">
        <v>10811</v>
      </c>
      <c r="BB180" s="16">
        <v>2522</v>
      </c>
      <c r="BC180" s="16">
        <v>491</v>
      </c>
      <c r="BD180" s="16">
        <v>6</v>
      </c>
      <c r="BE180" s="16">
        <v>1661</v>
      </c>
      <c r="BF180" s="16">
        <v>9044</v>
      </c>
      <c r="BG180" s="16">
        <v>2629</v>
      </c>
      <c r="BH180" s="16">
        <v>905</v>
      </c>
      <c r="BI180" s="16">
        <v>0</v>
      </c>
      <c r="BJ180" s="16">
        <v>117</v>
      </c>
      <c r="BK180" s="16">
        <v>33</v>
      </c>
      <c r="BL180" s="16">
        <v>1108</v>
      </c>
      <c r="BM180" s="16">
        <v>1329</v>
      </c>
      <c r="BN180" s="16">
        <v>2409</v>
      </c>
      <c r="BO180" s="16">
        <v>2307</v>
      </c>
      <c r="BP180" s="16">
        <v>4556</v>
      </c>
      <c r="BQ180" s="16">
        <v>408</v>
      </c>
      <c r="BR180" s="16">
        <v>339</v>
      </c>
      <c r="BS180" s="16">
        <v>13834</v>
      </c>
      <c r="BT180" s="16">
        <v>128</v>
      </c>
      <c r="BU180" s="16">
        <v>7</v>
      </c>
      <c r="BV180" s="16">
        <v>11</v>
      </c>
      <c r="BW180" s="16">
        <v>1738</v>
      </c>
      <c r="BX180" s="16">
        <v>16</v>
      </c>
      <c r="BY180" s="16">
        <v>0</v>
      </c>
      <c r="BZ180" s="16">
        <v>167</v>
      </c>
      <c r="CA180" s="16">
        <v>123</v>
      </c>
      <c r="CB180" s="16">
        <v>2991</v>
      </c>
      <c r="CC180" s="16">
        <v>7891</v>
      </c>
      <c r="CD180" s="16">
        <v>195</v>
      </c>
      <c r="CE180" s="16">
        <v>36</v>
      </c>
      <c r="CF180" s="16">
        <v>4252</v>
      </c>
      <c r="CG180" s="16">
        <v>4617</v>
      </c>
      <c r="CH180" s="16">
        <v>3261</v>
      </c>
      <c r="CI180" s="16">
        <v>392</v>
      </c>
      <c r="CJ180" s="16">
        <v>1123</v>
      </c>
      <c r="CK180" s="16">
        <v>2243</v>
      </c>
      <c r="CL180" s="16">
        <v>1994</v>
      </c>
      <c r="CM180" s="16">
        <v>224</v>
      </c>
      <c r="CN180" s="16">
        <v>4190</v>
      </c>
      <c r="CO180" s="16">
        <v>238</v>
      </c>
      <c r="CP180" s="16">
        <v>1078</v>
      </c>
      <c r="CQ180" s="16">
        <v>6963</v>
      </c>
      <c r="CR180" s="16">
        <v>49</v>
      </c>
      <c r="CS180" s="16">
        <v>774</v>
      </c>
      <c r="CT180" s="16">
        <v>2147</v>
      </c>
      <c r="CU180" s="16">
        <v>1624</v>
      </c>
      <c r="CV180" s="16">
        <v>11255</v>
      </c>
      <c r="CW180" s="16">
        <v>16425</v>
      </c>
      <c r="CX180" s="16">
        <v>20992</v>
      </c>
      <c r="CY180" s="16">
        <v>2106</v>
      </c>
      <c r="CZ180" s="16">
        <v>459</v>
      </c>
      <c r="DA180" s="16">
        <v>15</v>
      </c>
      <c r="DB180" s="16">
        <v>489</v>
      </c>
      <c r="DC180" s="16">
        <v>58</v>
      </c>
      <c r="DD180" s="16">
        <v>824</v>
      </c>
      <c r="DE180" s="16">
        <v>135</v>
      </c>
      <c r="DF180" s="16">
        <v>820</v>
      </c>
      <c r="DG180" s="16">
        <v>1891</v>
      </c>
      <c r="DH180" s="16">
        <v>282</v>
      </c>
      <c r="DI180" s="16">
        <v>358</v>
      </c>
      <c r="DJ180" s="16">
        <v>6801</v>
      </c>
      <c r="DK180" s="16">
        <v>150</v>
      </c>
      <c r="DL180" s="16">
        <v>1734</v>
      </c>
      <c r="DM180" s="16">
        <v>116754</v>
      </c>
      <c r="DN180" s="16">
        <v>1113</v>
      </c>
      <c r="DO180" s="16">
        <v>1061</v>
      </c>
      <c r="DP180" s="16">
        <v>519</v>
      </c>
      <c r="DQ180" s="16">
        <v>30</v>
      </c>
      <c r="DR180" s="16">
        <v>1214</v>
      </c>
      <c r="DS180" s="16">
        <v>11772</v>
      </c>
      <c r="DT180" s="16">
        <v>187</v>
      </c>
      <c r="DU180" s="16">
        <v>1207</v>
      </c>
      <c r="DV180" s="16">
        <v>714</v>
      </c>
      <c r="DW180" s="16">
        <v>5029</v>
      </c>
      <c r="DX180" s="16">
        <v>5659</v>
      </c>
      <c r="DY180" s="16">
        <v>4184</v>
      </c>
      <c r="DZ180" s="16">
        <v>20058</v>
      </c>
      <c r="EA180" s="16">
        <v>5243</v>
      </c>
      <c r="EB180" s="16">
        <v>1514</v>
      </c>
      <c r="EC180" s="16">
        <v>26711</v>
      </c>
      <c r="ED180" s="16">
        <v>5491</v>
      </c>
      <c r="EE180" s="16">
        <v>41</v>
      </c>
      <c r="EF180" s="16">
        <v>598</v>
      </c>
      <c r="EG180" s="16">
        <v>22093</v>
      </c>
      <c r="EH180" s="16">
        <v>5138</v>
      </c>
      <c r="EI180" s="16">
        <v>839</v>
      </c>
      <c r="EJ180" s="16">
        <v>179</v>
      </c>
      <c r="EK180" s="16">
        <v>498</v>
      </c>
      <c r="EL180" s="16">
        <v>284</v>
      </c>
      <c r="EM180" s="16">
        <v>604</v>
      </c>
      <c r="EN180" s="16">
        <v>14270</v>
      </c>
      <c r="EO180" s="16">
        <v>8036</v>
      </c>
      <c r="EP180" s="16">
        <v>351</v>
      </c>
      <c r="EQ180" s="16">
        <v>1996</v>
      </c>
      <c r="ER180" s="16">
        <v>121</v>
      </c>
      <c r="ES180" s="16">
        <v>19</v>
      </c>
      <c r="ET180" s="16">
        <v>4389</v>
      </c>
      <c r="EU180" s="16">
        <v>30</v>
      </c>
      <c r="EV180" s="16">
        <v>376</v>
      </c>
      <c r="EW180" s="16">
        <v>139</v>
      </c>
      <c r="EX180" s="16">
        <v>82708</v>
      </c>
      <c r="EY180" s="16">
        <v>4064</v>
      </c>
      <c r="EZ180" s="16">
        <v>257</v>
      </c>
      <c r="FA180" s="16">
        <v>121</v>
      </c>
      <c r="FB180" s="16">
        <v>691</v>
      </c>
      <c r="FC180" s="16">
        <v>571</v>
      </c>
      <c r="FD180" s="16">
        <v>27563</v>
      </c>
      <c r="FE180" s="16">
        <v>4196</v>
      </c>
      <c r="FF180" s="16">
        <v>273</v>
      </c>
      <c r="FG180" s="16">
        <v>13422</v>
      </c>
      <c r="FH180" s="16">
        <v>6</v>
      </c>
      <c r="FI180" s="16">
        <v>12860</v>
      </c>
      <c r="FJ180" s="16">
        <v>396</v>
      </c>
      <c r="FK180" s="16">
        <v>9390</v>
      </c>
      <c r="FL180" s="16">
        <v>48</v>
      </c>
      <c r="FM180" s="16">
        <v>5072</v>
      </c>
      <c r="FN180" s="16">
        <v>7919</v>
      </c>
      <c r="FO180" s="16">
        <v>3002</v>
      </c>
      <c r="FP180" s="16">
        <v>5090</v>
      </c>
      <c r="FQ180" s="16">
        <v>358991</v>
      </c>
      <c r="FR180" s="16">
        <v>100406</v>
      </c>
      <c r="FS180" s="16">
        <v>46061</v>
      </c>
      <c r="FT180" s="16">
        <v>280700</v>
      </c>
      <c r="FU180" s="16">
        <v>9440</v>
      </c>
      <c r="FV180" s="16">
        <v>126147</v>
      </c>
      <c r="FW180" s="16">
        <v>168325</v>
      </c>
      <c r="FX180" s="16">
        <v>293944</v>
      </c>
      <c r="FY180" s="16">
        <v>25296</v>
      </c>
      <c r="FZ180" s="16">
        <v>11832</v>
      </c>
      <c r="GA180" s="16">
        <v>13028</v>
      </c>
      <c r="GB180" s="16">
        <v>133121</v>
      </c>
      <c r="GC180" s="16">
        <v>174722</v>
      </c>
      <c r="GD180" s="16">
        <v>94283</v>
      </c>
      <c r="GE180" s="16">
        <v>3171</v>
      </c>
      <c r="GF180" s="16">
        <v>27194</v>
      </c>
      <c r="GG180" s="16">
        <v>34</v>
      </c>
      <c r="GH180" s="16">
        <v>44652</v>
      </c>
      <c r="GI180" s="16">
        <v>35671</v>
      </c>
      <c r="GJ180" s="16">
        <v>173228</v>
      </c>
      <c r="GK180" s="16">
        <v>54198</v>
      </c>
      <c r="GL180" s="16">
        <v>1</v>
      </c>
      <c r="GM180" s="16">
        <v>467</v>
      </c>
      <c r="GN180" s="16">
        <v>711</v>
      </c>
      <c r="GO180" s="16">
        <v>645</v>
      </c>
      <c r="GP180" s="16">
        <v>1281</v>
      </c>
      <c r="GQ180" s="16">
        <v>686</v>
      </c>
      <c r="GR180" s="16">
        <v>12950</v>
      </c>
      <c r="GS180" s="16">
        <v>3474</v>
      </c>
      <c r="GT180" s="16">
        <v>3258</v>
      </c>
      <c r="GU180" s="16">
        <v>117715</v>
      </c>
      <c r="GV180" s="16">
        <v>250380</v>
      </c>
      <c r="GW180" s="16">
        <v>64749</v>
      </c>
      <c r="GX180" s="16">
        <v>3090</v>
      </c>
      <c r="GY180" s="16">
        <v>46</v>
      </c>
      <c r="GZ180" s="16">
        <v>234354</v>
      </c>
      <c r="HA180" s="16">
        <v>439700</v>
      </c>
      <c r="HB180" s="16">
        <v>55435</v>
      </c>
      <c r="HC180" s="16">
        <v>375302</v>
      </c>
      <c r="HD180" s="16">
        <v>327816</v>
      </c>
      <c r="HE180" s="16">
        <v>14333</v>
      </c>
      <c r="HF180" s="16">
        <v>270830</v>
      </c>
      <c r="HG180" s="16">
        <v>202517</v>
      </c>
      <c r="HH180" s="16">
        <v>35920</v>
      </c>
      <c r="HI180" s="16">
        <v>171203</v>
      </c>
      <c r="HJ180" s="16">
        <v>60493</v>
      </c>
      <c r="HK180" s="16">
        <v>135483</v>
      </c>
      <c r="HL180" s="16">
        <v>1047642</v>
      </c>
      <c r="HM180" s="16">
        <v>151803</v>
      </c>
      <c r="HN180" s="16">
        <v>737165</v>
      </c>
      <c r="HO180" s="16">
        <v>361205</v>
      </c>
      <c r="HP180" s="16">
        <v>642935</v>
      </c>
      <c r="HQ180" s="16">
        <v>1086625</v>
      </c>
      <c r="HR180" s="16">
        <v>882054</v>
      </c>
      <c r="HS180" s="16">
        <v>434606</v>
      </c>
      <c r="HT180" s="16">
        <v>19844</v>
      </c>
      <c r="HU180" s="16">
        <v>1117371</v>
      </c>
      <c r="HV180" s="16">
        <v>165353</v>
      </c>
      <c r="HW180" s="16">
        <v>274180</v>
      </c>
      <c r="HX180" s="16">
        <v>457263</v>
      </c>
      <c r="HY180" s="16">
        <v>1078613</v>
      </c>
      <c r="HZ180" s="16">
        <v>598677</v>
      </c>
      <c r="IA180" s="16">
        <v>278495</v>
      </c>
      <c r="IB180" s="16">
        <v>69006</v>
      </c>
      <c r="IC180" s="16">
        <v>42061</v>
      </c>
      <c r="ID180" s="16">
        <v>262851</v>
      </c>
      <c r="IE180" s="16">
        <v>20551</v>
      </c>
      <c r="IF180" s="16">
        <v>159416</v>
      </c>
      <c r="IG180" s="16">
        <v>943130</v>
      </c>
      <c r="IH180" s="16">
        <v>140376</v>
      </c>
      <c r="II180" s="16">
        <v>15357</v>
      </c>
      <c r="IJ180" s="16">
        <v>7665</v>
      </c>
      <c r="IK180" s="16">
        <v>81252</v>
      </c>
      <c r="IL180" s="16">
        <v>21582</v>
      </c>
      <c r="IM180" s="16">
        <v>11601</v>
      </c>
      <c r="IN180" s="16">
        <v>603287</v>
      </c>
      <c r="IO180" s="16">
        <v>1750610</v>
      </c>
      <c r="IP180" s="16">
        <v>782309</v>
      </c>
      <c r="IQ180" s="16">
        <v>226962</v>
      </c>
      <c r="IR180" s="16">
        <v>154746</v>
      </c>
      <c r="IS180" s="16">
        <v>129000</v>
      </c>
      <c r="IT180" s="16">
        <v>42771</v>
      </c>
      <c r="IU180" s="16">
        <v>28</v>
      </c>
      <c r="IV180" s="16">
        <v>74664</v>
      </c>
      <c r="IW180" s="16">
        <v>5471</v>
      </c>
      <c r="IX180" s="16">
        <v>9168</v>
      </c>
      <c r="IY180" s="16">
        <v>2327</v>
      </c>
      <c r="IZ180" s="16">
        <v>263</v>
      </c>
      <c r="JA180" s="16">
        <v>2029</v>
      </c>
      <c r="JB180" s="16">
        <v>55</v>
      </c>
      <c r="JC180" s="16">
        <v>940</v>
      </c>
      <c r="JD180" s="16">
        <v>306</v>
      </c>
      <c r="JE180" s="16">
        <v>3144</v>
      </c>
      <c r="JF180" s="16">
        <v>8017</v>
      </c>
      <c r="JG180" s="16">
        <v>17975</v>
      </c>
      <c r="JH180" s="16">
        <v>114450</v>
      </c>
      <c r="JI180" s="16">
        <v>68</v>
      </c>
      <c r="JJ180" s="16">
        <v>233</v>
      </c>
      <c r="JK180" s="16">
        <v>3679</v>
      </c>
      <c r="JL180" s="16">
        <v>251</v>
      </c>
      <c r="JM180" s="16">
        <v>1381</v>
      </c>
      <c r="JN180" s="16">
        <v>21380</v>
      </c>
      <c r="JO180" s="16">
        <v>108</v>
      </c>
      <c r="JP180" s="16">
        <v>620</v>
      </c>
      <c r="JQ180" s="16">
        <v>16</v>
      </c>
      <c r="JR180" s="16">
        <v>2202</v>
      </c>
      <c r="JS180" s="16">
        <v>624</v>
      </c>
      <c r="JT180" s="16">
        <v>0</v>
      </c>
      <c r="JU180" s="16">
        <v>3105</v>
      </c>
      <c r="JV180" s="16">
        <v>2219</v>
      </c>
      <c r="JW180" s="16">
        <v>2466</v>
      </c>
      <c r="JX180" s="16">
        <v>3528</v>
      </c>
      <c r="JY180" s="16">
        <v>10539</v>
      </c>
      <c r="JZ180" s="16">
        <v>1224</v>
      </c>
      <c r="KA180" s="16">
        <v>4921</v>
      </c>
      <c r="KB180" s="16">
        <v>204</v>
      </c>
      <c r="KC180" s="16">
        <v>935</v>
      </c>
      <c r="KD180" s="16">
        <v>30</v>
      </c>
      <c r="KE180" s="16">
        <v>40</v>
      </c>
      <c r="KF180" s="16">
        <v>3651</v>
      </c>
      <c r="KG180" s="16">
        <v>830</v>
      </c>
      <c r="KH180" s="16">
        <v>482</v>
      </c>
      <c r="KI180" s="16">
        <v>723</v>
      </c>
      <c r="KJ180" s="16">
        <v>206</v>
      </c>
      <c r="KK180" s="16">
        <v>33927</v>
      </c>
      <c r="KL180" s="16">
        <v>5</v>
      </c>
      <c r="KM180" s="16">
        <v>323</v>
      </c>
      <c r="KN180" s="16">
        <v>12</v>
      </c>
      <c r="KO180" s="16">
        <v>314</v>
      </c>
      <c r="KP180" s="16">
        <v>76</v>
      </c>
      <c r="KQ180" s="16">
        <v>75</v>
      </c>
      <c r="KR180" s="16">
        <v>1097</v>
      </c>
      <c r="KS180" s="16">
        <v>6</v>
      </c>
      <c r="KT180" s="16">
        <v>45</v>
      </c>
      <c r="KU180" s="16">
        <v>339</v>
      </c>
      <c r="KV180" s="16">
        <v>4558</v>
      </c>
      <c r="KW180" s="16">
        <v>2738</v>
      </c>
      <c r="KX180" s="16">
        <v>7</v>
      </c>
      <c r="KY180" s="16">
        <v>1055</v>
      </c>
      <c r="KZ180" s="16">
        <v>15603</v>
      </c>
      <c r="LA180" s="16">
        <v>7162</v>
      </c>
      <c r="LB180" s="16">
        <v>738</v>
      </c>
      <c r="LC180" s="16">
        <v>7283</v>
      </c>
      <c r="LD180" s="16">
        <v>12686</v>
      </c>
      <c r="LE180" s="16">
        <v>355</v>
      </c>
      <c r="LF180" s="16">
        <v>150</v>
      </c>
      <c r="LG180" s="16">
        <v>23</v>
      </c>
      <c r="LH180" s="16">
        <v>202</v>
      </c>
      <c r="LI180" s="16">
        <v>1</v>
      </c>
      <c r="LJ180" s="16">
        <v>44</v>
      </c>
      <c r="LK180" s="16">
        <v>931</v>
      </c>
      <c r="LL180" s="16">
        <v>262</v>
      </c>
      <c r="LM180" s="16">
        <v>1828</v>
      </c>
      <c r="LN180" s="16">
        <v>7133</v>
      </c>
      <c r="LO180" s="16">
        <v>78</v>
      </c>
      <c r="LP180" s="16">
        <v>1068</v>
      </c>
      <c r="LQ180" s="16">
        <v>160</v>
      </c>
      <c r="LR180" s="16">
        <v>3606</v>
      </c>
      <c r="LS180" s="16">
        <v>507</v>
      </c>
      <c r="LT180" s="16">
        <v>7704</v>
      </c>
      <c r="LU180" s="16">
        <v>363</v>
      </c>
      <c r="LV180" s="16">
        <v>4</v>
      </c>
      <c r="LW180" s="16">
        <v>240</v>
      </c>
      <c r="LX180" s="16">
        <v>1759</v>
      </c>
      <c r="LY180" s="16">
        <v>0</v>
      </c>
      <c r="LZ180" s="16">
        <v>203</v>
      </c>
      <c r="MA180" s="16">
        <v>564</v>
      </c>
      <c r="MB180" s="16">
        <v>11726</v>
      </c>
      <c r="MC180" s="16">
        <v>551</v>
      </c>
      <c r="MD180" s="16">
        <v>489</v>
      </c>
      <c r="ME180" s="16">
        <v>73</v>
      </c>
      <c r="MF180" s="16">
        <v>13586</v>
      </c>
      <c r="MG180" s="16">
        <v>1692</v>
      </c>
      <c r="MH180" s="16">
        <v>20890</v>
      </c>
      <c r="MI180" s="16">
        <v>301</v>
      </c>
      <c r="MJ180" s="16">
        <v>1106</v>
      </c>
      <c r="MK180" s="16">
        <v>1682</v>
      </c>
      <c r="ML180" s="16">
        <v>333</v>
      </c>
      <c r="MM180" s="16">
        <v>4280</v>
      </c>
      <c r="MN180" s="16">
        <v>15641</v>
      </c>
      <c r="MO180" s="16">
        <v>1936</v>
      </c>
      <c r="MP180" s="16">
        <v>5013</v>
      </c>
      <c r="MQ180" s="16">
        <v>10664</v>
      </c>
      <c r="MR180" s="16">
        <v>5</v>
      </c>
      <c r="MS180" s="16">
        <v>0</v>
      </c>
      <c r="MT180" s="16">
        <v>1935</v>
      </c>
      <c r="MU180" s="16">
        <v>2068</v>
      </c>
      <c r="MV180" s="16">
        <v>2259</v>
      </c>
      <c r="MW180" s="16">
        <v>4046</v>
      </c>
      <c r="MX180" s="16">
        <v>0</v>
      </c>
      <c r="MY180" s="16">
        <v>34</v>
      </c>
      <c r="MZ180" s="16">
        <v>1822</v>
      </c>
      <c r="NA180" s="16">
        <v>0</v>
      </c>
      <c r="NB180" s="16">
        <v>2587</v>
      </c>
      <c r="NC180" s="16">
        <v>0</v>
      </c>
      <c r="ND180" s="16">
        <v>353</v>
      </c>
      <c r="NE180" s="16">
        <v>97</v>
      </c>
      <c r="NF180" s="16">
        <v>1813</v>
      </c>
      <c r="NG180" s="16">
        <v>1478</v>
      </c>
      <c r="NH180" s="16">
        <v>99</v>
      </c>
      <c r="NI180" s="16">
        <v>1697</v>
      </c>
      <c r="NJ180" s="16">
        <v>5216</v>
      </c>
      <c r="NK180" s="16">
        <v>93383</v>
      </c>
      <c r="NL180" s="16">
        <v>8414</v>
      </c>
      <c r="NM180" s="16">
        <v>1487</v>
      </c>
      <c r="NN180" s="16">
        <v>185</v>
      </c>
      <c r="NO180" s="16">
        <v>0</v>
      </c>
      <c r="NP180" s="16">
        <v>212</v>
      </c>
      <c r="NQ180" s="16">
        <v>55</v>
      </c>
      <c r="NR180" s="17">
        <v>21036442</v>
      </c>
    </row>
    <row r="181" spans="1:382" ht="13.5" customHeight="1" x14ac:dyDescent="0.2">
      <c r="A181" s="2" t="s">
        <v>369</v>
      </c>
      <c r="B181" s="16">
        <v>2</v>
      </c>
      <c r="C181" s="16">
        <v>0</v>
      </c>
      <c r="D181" s="16">
        <v>0</v>
      </c>
      <c r="E181" s="16">
        <v>0</v>
      </c>
      <c r="F181" s="16">
        <v>17</v>
      </c>
      <c r="G181" s="16">
        <v>1</v>
      </c>
      <c r="H181" s="16">
        <v>2</v>
      </c>
      <c r="I181" s="16">
        <v>2</v>
      </c>
      <c r="J181" s="16">
        <v>0</v>
      </c>
      <c r="K181" s="16">
        <v>0</v>
      </c>
      <c r="L181" s="16">
        <v>27</v>
      </c>
      <c r="M181" s="16">
        <v>0</v>
      </c>
      <c r="N181" s="16">
        <v>0</v>
      </c>
      <c r="O181" s="16">
        <v>0</v>
      </c>
      <c r="P181" s="16">
        <v>99</v>
      </c>
      <c r="Q181" s="16">
        <v>78</v>
      </c>
      <c r="R181" s="16">
        <v>69</v>
      </c>
      <c r="S181" s="16">
        <v>30</v>
      </c>
      <c r="T181" s="16">
        <v>1</v>
      </c>
      <c r="U181" s="16">
        <v>7</v>
      </c>
      <c r="V181" s="16">
        <v>0</v>
      </c>
      <c r="W181" s="16">
        <v>2</v>
      </c>
      <c r="X181" s="16">
        <v>23</v>
      </c>
      <c r="Y181" s="16">
        <v>83</v>
      </c>
      <c r="Z181" s="16">
        <v>469</v>
      </c>
      <c r="AA181" s="16">
        <v>3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80</v>
      </c>
      <c r="AH181" s="16">
        <v>60</v>
      </c>
      <c r="AI181" s="16">
        <v>29</v>
      </c>
      <c r="AJ181" s="16">
        <v>28</v>
      </c>
      <c r="AK181" s="16">
        <v>87</v>
      </c>
      <c r="AL181" s="16">
        <v>47</v>
      </c>
      <c r="AM181" s="16">
        <v>194</v>
      </c>
      <c r="AN181" s="16">
        <v>49</v>
      </c>
      <c r="AO181" s="16">
        <v>2271</v>
      </c>
      <c r="AP181" s="16">
        <v>0</v>
      </c>
      <c r="AQ181" s="16">
        <v>0</v>
      </c>
      <c r="AR181" s="16">
        <v>0</v>
      </c>
      <c r="AS181" s="16">
        <v>0</v>
      </c>
      <c r="AT181" s="16">
        <v>0</v>
      </c>
      <c r="AU181" s="16">
        <v>62</v>
      </c>
      <c r="AV181" s="16">
        <v>12</v>
      </c>
      <c r="AW181" s="16">
        <v>147</v>
      </c>
      <c r="AX181" s="16">
        <v>6</v>
      </c>
      <c r="AY181" s="16">
        <v>0</v>
      </c>
      <c r="AZ181" s="16">
        <v>730</v>
      </c>
      <c r="BA181" s="16">
        <v>1490</v>
      </c>
      <c r="BB181" s="16">
        <v>426</v>
      </c>
      <c r="BC181" s="16">
        <v>21</v>
      </c>
      <c r="BD181" s="16">
        <v>1</v>
      </c>
      <c r="BE181" s="16">
        <v>1807</v>
      </c>
      <c r="BF181" s="16">
        <v>4463</v>
      </c>
      <c r="BG181" s="16">
        <v>978</v>
      </c>
      <c r="BH181" s="16">
        <v>64</v>
      </c>
      <c r="BI181" s="16">
        <v>0</v>
      </c>
      <c r="BJ181" s="16">
        <v>7</v>
      </c>
      <c r="BK181" s="16">
        <v>43</v>
      </c>
      <c r="BL181" s="16">
        <v>45</v>
      </c>
      <c r="BM181" s="16">
        <v>67</v>
      </c>
      <c r="BN181" s="16">
        <v>248</v>
      </c>
      <c r="BO181" s="16">
        <v>210</v>
      </c>
      <c r="BP181" s="16">
        <v>366</v>
      </c>
      <c r="BQ181" s="16">
        <v>33</v>
      </c>
      <c r="BR181" s="16">
        <v>39</v>
      </c>
      <c r="BS181" s="16">
        <v>5238</v>
      </c>
      <c r="BT181" s="16">
        <v>36</v>
      </c>
      <c r="BU181" s="16">
        <v>8</v>
      </c>
      <c r="BV181" s="16">
        <v>0</v>
      </c>
      <c r="BW181" s="16">
        <v>486</v>
      </c>
      <c r="BX181" s="16">
        <v>2</v>
      </c>
      <c r="BY181" s="16">
        <v>0</v>
      </c>
      <c r="BZ181" s="16">
        <v>627</v>
      </c>
      <c r="CA181" s="16">
        <v>62</v>
      </c>
      <c r="CB181" s="16">
        <v>261</v>
      </c>
      <c r="CC181" s="16">
        <v>568</v>
      </c>
      <c r="CD181" s="16">
        <v>85</v>
      </c>
      <c r="CE181" s="16">
        <v>5</v>
      </c>
      <c r="CF181" s="16">
        <v>204</v>
      </c>
      <c r="CG181" s="16">
        <v>505</v>
      </c>
      <c r="CH181" s="16">
        <v>2714</v>
      </c>
      <c r="CI181" s="16">
        <v>71</v>
      </c>
      <c r="CJ181" s="16">
        <v>174</v>
      </c>
      <c r="CK181" s="16">
        <v>753</v>
      </c>
      <c r="CL181" s="16">
        <v>1300</v>
      </c>
      <c r="CM181" s="16">
        <v>15</v>
      </c>
      <c r="CN181" s="16">
        <v>196</v>
      </c>
      <c r="CO181" s="16">
        <v>97</v>
      </c>
      <c r="CP181" s="16">
        <v>304</v>
      </c>
      <c r="CQ181" s="16">
        <v>1127</v>
      </c>
      <c r="CR181" s="16">
        <v>99</v>
      </c>
      <c r="CS181" s="16">
        <v>31</v>
      </c>
      <c r="CT181" s="16">
        <v>24</v>
      </c>
      <c r="CU181" s="16">
        <v>52</v>
      </c>
      <c r="CV181" s="16">
        <v>848</v>
      </c>
      <c r="CW181" s="16">
        <v>1538</v>
      </c>
      <c r="CX181" s="16">
        <v>2471</v>
      </c>
      <c r="CY181" s="16">
        <v>31</v>
      </c>
      <c r="CZ181" s="16">
        <v>34</v>
      </c>
      <c r="DA181" s="16">
        <v>1</v>
      </c>
      <c r="DB181" s="16">
        <v>11</v>
      </c>
      <c r="DC181" s="16">
        <v>5</v>
      </c>
      <c r="DD181" s="16">
        <v>42</v>
      </c>
      <c r="DE181" s="16">
        <v>38</v>
      </c>
      <c r="DF181" s="16">
        <v>36</v>
      </c>
      <c r="DG181" s="16">
        <v>35</v>
      </c>
      <c r="DH181" s="16">
        <v>26</v>
      </c>
      <c r="DI181" s="16">
        <v>24</v>
      </c>
      <c r="DJ181" s="16">
        <v>939</v>
      </c>
      <c r="DK181" s="16">
        <v>18</v>
      </c>
      <c r="DL181" s="16">
        <v>69</v>
      </c>
      <c r="DM181" s="16">
        <v>1492</v>
      </c>
      <c r="DN181" s="16">
        <v>58</v>
      </c>
      <c r="DO181" s="16">
        <v>43</v>
      </c>
      <c r="DP181" s="16">
        <v>121</v>
      </c>
      <c r="DQ181" s="16">
        <v>13</v>
      </c>
      <c r="DR181" s="16">
        <v>227</v>
      </c>
      <c r="DS181" s="16">
        <v>404</v>
      </c>
      <c r="DT181" s="16">
        <v>26</v>
      </c>
      <c r="DU181" s="16">
        <v>50</v>
      </c>
      <c r="DV181" s="16">
        <v>89</v>
      </c>
      <c r="DW181" s="16">
        <v>923</v>
      </c>
      <c r="DX181" s="16">
        <v>638</v>
      </c>
      <c r="DY181" s="16">
        <v>469</v>
      </c>
      <c r="DZ181" s="16">
        <v>2245</v>
      </c>
      <c r="EA181" s="16">
        <v>15760</v>
      </c>
      <c r="EB181" s="16">
        <v>169</v>
      </c>
      <c r="EC181" s="16">
        <v>1969</v>
      </c>
      <c r="ED181" s="16">
        <v>248</v>
      </c>
      <c r="EE181" s="16">
        <v>6</v>
      </c>
      <c r="EF181" s="16">
        <v>105</v>
      </c>
      <c r="EG181" s="16">
        <v>2344</v>
      </c>
      <c r="EH181" s="16">
        <v>232</v>
      </c>
      <c r="EI181" s="16">
        <v>64</v>
      </c>
      <c r="EJ181" s="16">
        <v>217</v>
      </c>
      <c r="EK181" s="16">
        <v>40</v>
      </c>
      <c r="EL181" s="16">
        <v>10</v>
      </c>
      <c r="EM181" s="16">
        <v>88</v>
      </c>
      <c r="EN181" s="16">
        <v>1653</v>
      </c>
      <c r="EO181" s="16">
        <v>572</v>
      </c>
      <c r="EP181" s="16">
        <v>16</v>
      </c>
      <c r="EQ181" s="16">
        <v>56</v>
      </c>
      <c r="ER181" s="16">
        <v>6</v>
      </c>
      <c r="ES181" s="16">
        <v>3</v>
      </c>
      <c r="ET181" s="16">
        <v>145</v>
      </c>
      <c r="EU181" s="16">
        <v>3</v>
      </c>
      <c r="EV181" s="16">
        <v>20</v>
      </c>
      <c r="EW181" s="16">
        <v>5</v>
      </c>
      <c r="EX181" s="16">
        <v>2727</v>
      </c>
      <c r="EY181" s="16">
        <v>105</v>
      </c>
      <c r="EZ181" s="16">
        <v>10</v>
      </c>
      <c r="FA181" s="16">
        <v>22</v>
      </c>
      <c r="FB181" s="16">
        <v>124</v>
      </c>
      <c r="FC181" s="16">
        <v>83</v>
      </c>
      <c r="FD181" s="16">
        <v>1021</v>
      </c>
      <c r="FE181" s="16">
        <v>368</v>
      </c>
      <c r="FF181" s="16">
        <v>32</v>
      </c>
      <c r="FG181" s="16">
        <v>1534</v>
      </c>
      <c r="FH181" s="16">
        <v>0</v>
      </c>
      <c r="FI181" s="16">
        <v>447</v>
      </c>
      <c r="FJ181" s="16">
        <v>30</v>
      </c>
      <c r="FK181" s="16">
        <v>662</v>
      </c>
      <c r="FL181" s="16">
        <v>2</v>
      </c>
      <c r="FM181" s="16">
        <v>432</v>
      </c>
      <c r="FN181" s="16">
        <v>1996</v>
      </c>
      <c r="FO181" s="16">
        <v>206</v>
      </c>
      <c r="FP181" s="16">
        <v>630</v>
      </c>
      <c r="FQ181" s="16">
        <v>2074</v>
      </c>
      <c r="FR181" s="16">
        <v>1799</v>
      </c>
      <c r="FS181" s="16">
        <v>357</v>
      </c>
      <c r="FT181" s="16">
        <v>2531</v>
      </c>
      <c r="FU181" s="16">
        <v>594</v>
      </c>
      <c r="FV181" s="16">
        <v>1405</v>
      </c>
      <c r="FW181" s="16">
        <v>417</v>
      </c>
      <c r="FX181" s="16">
        <v>425</v>
      </c>
      <c r="FY181" s="16">
        <v>128885</v>
      </c>
      <c r="FZ181" s="16">
        <v>8410</v>
      </c>
      <c r="GA181" s="16">
        <v>6674</v>
      </c>
      <c r="GB181" s="16">
        <v>5779</v>
      </c>
      <c r="GC181" s="16">
        <v>502</v>
      </c>
      <c r="GD181" s="16">
        <v>1967</v>
      </c>
      <c r="GE181" s="16">
        <v>64</v>
      </c>
      <c r="GF181" s="16">
        <v>877</v>
      </c>
      <c r="GG181" s="16">
        <v>913</v>
      </c>
      <c r="GH181" s="16">
        <v>873</v>
      </c>
      <c r="GI181" s="16">
        <v>427</v>
      </c>
      <c r="GJ181" s="16">
        <v>3797</v>
      </c>
      <c r="GK181" s="16">
        <v>316</v>
      </c>
      <c r="GL181" s="16">
        <v>8</v>
      </c>
      <c r="GM181" s="16">
        <v>15</v>
      </c>
      <c r="GN181" s="16">
        <v>61</v>
      </c>
      <c r="GO181" s="16">
        <v>2157</v>
      </c>
      <c r="GP181" s="16">
        <v>393</v>
      </c>
      <c r="GQ181" s="16">
        <v>1190</v>
      </c>
      <c r="GR181" s="16">
        <v>96</v>
      </c>
      <c r="GS181" s="16">
        <v>143</v>
      </c>
      <c r="GT181" s="16">
        <v>22</v>
      </c>
      <c r="GU181" s="16">
        <v>533</v>
      </c>
      <c r="GV181" s="16">
        <v>228</v>
      </c>
      <c r="GW181" s="16">
        <v>374</v>
      </c>
      <c r="GX181" s="16">
        <v>152</v>
      </c>
      <c r="GY181" s="16">
        <v>2</v>
      </c>
      <c r="GZ181" s="16">
        <v>2594</v>
      </c>
      <c r="HA181" s="16">
        <v>458</v>
      </c>
      <c r="HB181" s="16">
        <v>476</v>
      </c>
      <c r="HC181" s="16">
        <v>1267</v>
      </c>
      <c r="HD181" s="16">
        <v>2060</v>
      </c>
      <c r="HE181" s="16">
        <v>102</v>
      </c>
      <c r="HF181" s="16">
        <v>514</v>
      </c>
      <c r="HG181" s="16">
        <v>2622</v>
      </c>
      <c r="HH181" s="16">
        <v>3403</v>
      </c>
      <c r="HI181" s="16">
        <v>25034</v>
      </c>
      <c r="HJ181" s="16">
        <v>156</v>
      </c>
      <c r="HK181" s="16">
        <v>251</v>
      </c>
      <c r="HL181" s="16">
        <v>562</v>
      </c>
      <c r="HM181" s="16">
        <v>2021</v>
      </c>
      <c r="HN181" s="16">
        <v>4335</v>
      </c>
      <c r="HO181" s="16">
        <v>2505</v>
      </c>
      <c r="HP181" s="16">
        <v>2062</v>
      </c>
      <c r="HQ181" s="16">
        <v>2005</v>
      </c>
      <c r="HR181" s="16">
        <v>645</v>
      </c>
      <c r="HS181" s="16">
        <v>2639</v>
      </c>
      <c r="HT181" s="16">
        <v>3263</v>
      </c>
      <c r="HU181" s="16">
        <v>725</v>
      </c>
      <c r="HV181" s="16">
        <v>731</v>
      </c>
      <c r="HW181" s="16">
        <v>368</v>
      </c>
      <c r="HX181" s="16">
        <v>544</v>
      </c>
      <c r="HY181" s="16">
        <v>514</v>
      </c>
      <c r="HZ181" s="16">
        <v>2259</v>
      </c>
      <c r="IA181" s="16">
        <v>1212</v>
      </c>
      <c r="IB181" s="16">
        <v>584</v>
      </c>
      <c r="IC181" s="16">
        <v>313</v>
      </c>
      <c r="ID181" s="16">
        <v>513</v>
      </c>
      <c r="IE181" s="16">
        <v>120</v>
      </c>
      <c r="IF181" s="16">
        <v>572</v>
      </c>
      <c r="IG181" s="16">
        <v>1519</v>
      </c>
      <c r="IH181" s="16">
        <v>1512</v>
      </c>
      <c r="II181" s="16">
        <v>190</v>
      </c>
      <c r="IJ181" s="16">
        <v>79</v>
      </c>
      <c r="IK181" s="16">
        <v>234</v>
      </c>
      <c r="IL181" s="16">
        <v>438</v>
      </c>
      <c r="IM181" s="16">
        <v>87</v>
      </c>
      <c r="IN181" s="16">
        <v>897</v>
      </c>
      <c r="IO181" s="16">
        <v>5045</v>
      </c>
      <c r="IP181" s="16">
        <v>552</v>
      </c>
      <c r="IQ181" s="16">
        <v>538</v>
      </c>
      <c r="IR181" s="16">
        <v>335</v>
      </c>
      <c r="IS181" s="16">
        <v>1030</v>
      </c>
      <c r="IT181" s="16">
        <v>211</v>
      </c>
      <c r="IU181" s="16">
        <v>8</v>
      </c>
      <c r="IV181" s="16">
        <v>3461</v>
      </c>
      <c r="IW181" s="16">
        <v>355905</v>
      </c>
      <c r="IX181" s="16">
        <v>42815</v>
      </c>
      <c r="IY181" s="16">
        <v>11776</v>
      </c>
      <c r="IZ181" s="16">
        <v>174</v>
      </c>
      <c r="JA181" s="16">
        <v>749</v>
      </c>
      <c r="JB181" s="16">
        <v>137</v>
      </c>
      <c r="JC181" s="16">
        <v>345</v>
      </c>
      <c r="JD181" s="16">
        <v>81</v>
      </c>
      <c r="JE181" s="16">
        <v>3211</v>
      </c>
      <c r="JF181" s="16">
        <v>3733</v>
      </c>
      <c r="JG181" s="16">
        <v>22038</v>
      </c>
      <c r="JH181" s="16">
        <v>492</v>
      </c>
      <c r="JI181" s="16">
        <v>3</v>
      </c>
      <c r="JJ181" s="16">
        <v>22</v>
      </c>
      <c r="JK181" s="16">
        <v>305</v>
      </c>
      <c r="JL181" s="16">
        <v>113</v>
      </c>
      <c r="JM181" s="16">
        <v>3</v>
      </c>
      <c r="JN181" s="16">
        <v>30</v>
      </c>
      <c r="JO181" s="16">
        <v>9</v>
      </c>
      <c r="JP181" s="16">
        <v>125</v>
      </c>
      <c r="JQ181" s="16">
        <v>19</v>
      </c>
      <c r="JR181" s="16">
        <v>559</v>
      </c>
      <c r="JS181" s="16">
        <v>81</v>
      </c>
      <c r="JT181" s="16">
        <v>0</v>
      </c>
      <c r="JU181" s="16">
        <v>1358</v>
      </c>
      <c r="JV181" s="16">
        <v>3083</v>
      </c>
      <c r="JW181" s="16">
        <v>3821</v>
      </c>
      <c r="JX181" s="16">
        <v>7102</v>
      </c>
      <c r="JY181" s="16">
        <v>2414</v>
      </c>
      <c r="JZ181" s="16">
        <v>809</v>
      </c>
      <c r="KA181" s="16">
        <v>1315</v>
      </c>
      <c r="KB181" s="16">
        <v>37</v>
      </c>
      <c r="KC181" s="16">
        <v>69</v>
      </c>
      <c r="KD181" s="16">
        <v>3</v>
      </c>
      <c r="KE181" s="16">
        <v>14</v>
      </c>
      <c r="KF181" s="16">
        <v>399</v>
      </c>
      <c r="KG181" s="16">
        <v>150</v>
      </c>
      <c r="KH181" s="16">
        <v>69</v>
      </c>
      <c r="KI181" s="16">
        <v>184</v>
      </c>
      <c r="KJ181" s="16">
        <v>39</v>
      </c>
      <c r="KK181" s="16">
        <v>181245</v>
      </c>
      <c r="KL181" s="16">
        <v>3</v>
      </c>
      <c r="KM181" s="16">
        <v>134</v>
      </c>
      <c r="KN181" s="16">
        <v>4</v>
      </c>
      <c r="KO181" s="16">
        <v>2382</v>
      </c>
      <c r="KP181" s="16">
        <v>177</v>
      </c>
      <c r="KQ181" s="16">
        <v>1001</v>
      </c>
      <c r="KR181" s="16">
        <v>1159</v>
      </c>
      <c r="KS181" s="16">
        <v>9</v>
      </c>
      <c r="KT181" s="16">
        <v>13</v>
      </c>
      <c r="KU181" s="16">
        <v>1316</v>
      </c>
      <c r="KV181" s="16">
        <v>4622</v>
      </c>
      <c r="KW181" s="16">
        <v>3488</v>
      </c>
      <c r="KX181" s="16">
        <v>2</v>
      </c>
      <c r="KY181" s="16">
        <v>30</v>
      </c>
      <c r="KZ181" s="16">
        <v>512161</v>
      </c>
      <c r="LA181" s="16">
        <v>150279</v>
      </c>
      <c r="LB181" s="16">
        <v>68439</v>
      </c>
      <c r="LC181" s="16">
        <v>48810</v>
      </c>
      <c r="LD181" s="16">
        <v>109584</v>
      </c>
      <c r="LE181" s="16">
        <v>102</v>
      </c>
      <c r="LF181" s="16">
        <v>1</v>
      </c>
      <c r="LG181" s="16">
        <v>15</v>
      </c>
      <c r="LH181" s="16">
        <v>136</v>
      </c>
      <c r="LI181" s="16">
        <v>13</v>
      </c>
      <c r="LJ181" s="16">
        <v>25</v>
      </c>
      <c r="LK181" s="16">
        <v>1578</v>
      </c>
      <c r="LL181" s="16">
        <v>236</v>
      </c>
      <c r="LM181" s="16">
        <v>1707</v>
      </c>
      <c r="LN181" s="16">
        <v>11201</v>
      </c>
      <c r="LO181" s="16">
        <v>41</v>
      </c>
      <c r="LP181" s="16">
        <v>260</v>
      </c>
      <c r="LQ181" s="16">
        <v>19</v>
      </c>
      <c r="LR181" s="16">
        <v>1282</v>
      </c>
      <c r="LS181" s="16">
        <v>74</v>
      </c>
      <c r="LT181" s="16">
        <v>3358</v>
      </c>
      <c r="LU181" s="16">
        <v>399</v>
      </c>
      <c r="LV181" s="16">
        <v>3</v>
      </c>
      <c r="LW181" s="16">
        <v>342</v>
      </c>
      <c r="LX181" s="16">
        <v>1836</v>
      </c>
      <c r="LY181" s="16">
        <v>0</v>
      </c>
      <c r="LZ181" s="16">
        <v>268</v>
      </c>
      <c r="MA181" s="16">
        <v>2208</v>
      </c>
      <c r="MB181" s="16">
        <v>4238</v>
      </c>
      <c r="MC181" s="16">
        <v>734</v>
      </c>
      <c r="MD181" s="16">
        <v>770</v>
      </c>
      <c r="ME181" s="16">
        <v>104</v>
      </c>
      <c r="MF181" s="16">
        <v>2464</v>
      </c>
      <c r="MG181" s="16">
        <v>7381</v>
      </c>
      <c r="MH181" s="16">
        <v>47895</v>
      </c>
      <c r="MI181" s="16">
        <v>121</v>
      </c>
      <c r="MJ181" s="16">
        <v>1984</v>
      </c>
      <c r="MK181" s="16">
        <v>2307</v>
      </c>
      <c r="ML181" s="16">
        <v>344</v>
      </c>
      <c r="MM181" s="16">
        <v>7512</v>
      </c>
      <c r="MN181" s="16">
        <v>8718</v>
      </c>
      <c r="MO181" s="16">
        <v>14811</v>
      </c>
      <c r="MP181" s="16">
        <v>25693</v>
      </c>
      <c r="MQ181" s="16">
        <v>12228</v>
      </c>
      <c r="MR181" s="16">
        <v>3769</v>
      </c>
      <c r="MS181" s="16">
        <v>82</v>
      </c>
      <c r="MT181" s="16">
        <v>1659</v>
      </c>
      <c r="MU181" s="16">
        <v>49562</v>
      </c>
      <c r="MV181" s="16">
        <v>5213</v>
      </c>
      <c r="MW181" s="16">
        <v>29133</v>
      </c>
      <c r="MX181" s="16">
        <v>0</v>
      </c>
      <c r="MY181" s="16">
        <v>273</v>
      </c>
      <c r="MZ181" s="16">
        <v>12795</v>
      </c>
      <c r="NA181" s="16">
        <v>2792</v>
      </c>
      <c r="NB181" s="16">
        <v>31335</v>
      </c>
      <c r="NC181" s="16">
        <v>651</v>
      </c>
      <c r="ND181" s="16">
        <v>44</v>
      </c>
      <c r="NE181" s="16">
        <v>16</v>
      </c>
      <c r="NF181" s="16">
        <v>1236</v>
      </c>
      <c r="NG181" s="16">
        <v>3436</v>
      </c>
      <c r="NH181" s="16">
        <v>645</v>
      </c>
      <c r="NI181" s="16">
        <v>9819</v>
      </c>
      <c r="NJ181" s="16">
        <v>28302</v>
      </c>
      <c r="NK181" s="16">
        <v>840</v>
      </c>
      <c r="NL181" s="16">
        <v>293</v>
      </c>
      <c r="NM181" s="16">
        <v>27845</v>
      </c>
      <c r="NN181" s="16">
        <v>1555</v>
      </c>
      <c r="NO181" s="16">
        <v>0</v>
      </c>
      <c r="NP181" s="16">
        <v>8897</v>
      </c>
      <c r="NQ181" s="16">
        <v>3006</v>
      </c>
      <c r="NR181" s="17">
        <v>2269275</v>
      </c>
    </row>
    <row r="182" spans="1:382" ht="13.5" customHeight="1" x14ac:dyDescent="0.2">
      <c r="A182" s="2" t="s">
        <v>371</v>
      </c>
      <c r="B182" s="16">
        <v>385</v>
      </c>
      <c r="C182" s="16">
        <v>0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103</v>
      </c>
      <c r="Q182" s="16">
        <v>342</v>
      </c>
      <c r="R182" s="16">
        <v>84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23</v>
      </c>
      <c r="Y182" s="16">
        <v>506</v>
      </c>
      <c r="Z182" s="16">
        <v>907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737</v>
      </c>
      <c r="AH182" s="16">
        <v>0</v>
      </c>
      <c r="AI182" s="16">
        <v>0</v>
      </c>
      <c r="AJ182" s="16">
        <v>0</v>
      </c>
      <c r="AK182" s="16">
        <v>6102</v>
      </c>
      <c r="AL182" s="16">
        <v>79</v>
      </c>
      <c r="AM182" s="16">
        <v>353</v>
      </c>
      <c r="AN182" s="16">
        <v>444</v>
      </c>
      <c r="AO182" s="16">
        <v>26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6">
        <v>450</v>
      </c>
      <c r="AV182" s="16">
        <v>0</v>
      </c>
      <c r="AW182" s="16">
        <v>63</v>
      </c>
      <c r="AX182" s="16">
        <v>0</v>
      </c>
      <c r="AY182" s="16">
        <v>3494</v>
      </c>
      <c r="AZ182" s="16">
        <v>0</v>
      </c>
      <c r="BA182" s="16">
        <v>5747</v>
      </c>
      <c r="BB182" s="16">
        <v>209</v>
      </c>
      <c r="BC182" s="16">
        <v>0</v>
      </c>
      <c r="BD182" s="16">
        <v>0</v>
      </c>
      <c r="BE182" s="16">
        <v>0</v>
      </c>
      <c r="BF182" s="16">
        <v>0</v>
      </c>
      <c r="BG182" s="16">
        <v>0</v>
      </c>
      <c r="BH182" s="16">
        <v>361</v>
      </c>
      <c r="BI182" s="16">
        <v>0</v>
      </c>
      <c r="BJ182" s="16">
        <v>5</v>
      </c>
      <c r="BK182" s="16">
        <v>76</v>
      </c>
      <c r="BL182" s="16">
        <v>0</v>
      </c>
      <c r="BM182" s="16">
        <v>577</v>
      </c>
      <c r="BN182" s="16">
        <v>168</v>
      </c>
      <c r="BO182" s="16">
        <v>401</v>
      </c>
      <c r="BP182" s="16">
        <v>13072</v>
      </c>
      <c r="BQ182" s="16">
        <v>38</v>
      </c>
      <c r="BR182" s="16">
        <v>15</v>
      </c>
      <c r="BS182" s="16">
        <v>264</v>
      </c>
      <c r="BT182" s="16">
        <v>4</v>
      </c>
      <c r="BU182" s="16">
        <v>0</v>
      </c>
      <c r="BV182" s="16">
        <v>0</v>
      </c>
      <c r="BW182" s="16">
        <v>1029</v>
      </c>
      <c r="BX182" s="16">
        <v>0</v>
      </c>
      <c r="BY182" s="16">
        <v>0</v>
      </c>
      <c r="BZ182" s="16">
        <v>87894</v>
      </c>
      <c r="CA182" s="16">
        <v>1601</v>
      </c>
      <c r="CB182" s="16">
        <v>1888</v>
      </c>
      <c r="CC182" s="16">
        <v>38547</v>
      </c>
      <c r="CD182" s="16">
        <v>1055</v>
      </c>
      <c r="CE182" s="16">
        <v>2146</v>
      </c>
      <c r="CF182" s="16">
        <v>150064</v>
      </c>
      <c r="CG182" s="16">
        <v>2546</v>
      </c>
      <c r="CH182" s="16">
        <v>6060</v>
      </c>
      <c r="CI182" s="16">
        <v>0</v>
      </c>
      <c r="CJ182" s="16">
        <v>198</v>
      </c>
      <c r="CK182" s="16">
        <v>763</v>
      </c>
      <c r="CL182" s="16">
        <v>699</v>
      </c>
      <c r="CM182" s="16">
        <v>315</v>
      </c>
      <c r="CN182" s="16">
        <v>15920</v>
      </c>
      <c r="CO182" s="16">
        <v>287</v>
      </c>
      <c r="CP182" s="16">
        <v>669</v>
      </c>
      <c r="CQ182" s="16">
        <v>3136</v>
      </c>
      <c r="CR182" s="16">
        <v>0</v>
      </c>
      <c r="CS182" s="16">
        <v>0</v>
      </c>
      <c r="CT182" s="16">
        <v>0</v>
      </c>
      <c r="CU182" s="16">
        <v>0</v>
      </c>
      <c r="CV182" s="16">
        <v>0</v>
      </c>
      <c r="CW182" s="16">
        <v>658</v>
      </c>
      <c r="CX182" s="16">
        <v>2295</v>
      </c>
      <c r="CY182" s="16">
        <v>0</v>
      </c>
      <c r="CZ182" s="16">
        <v>0</v>
      </c>
      <c r="DA182" s="16">
        <v>0</v>
      </c>
      <c r="DB182" s="16">
        <v>0</v>
      </c>
      <c r="DC182" s="16">
        <v>0</v>
      </c>
      <c r="DD182" s="16">
        <v>0</v>
      </c>
      <c r="DE182" s="16">
        <v>481</v>
      </c>
      <c r="DF182" s="16">
        <v>215</v>
      </c>
      <c r="DG182" s="16">
        <v>310</v>
      </c>
      <c r="DH182" s="16">
        <v>12</v>
      </c>
      <c r="DI182" s="16">
        <v>0</v>
      </c>
      <c r="DJ182" s="16">
        <v>1936</v>
      </c>
      <c r="DK182" s="16">
        <v>98</v>
      </c>
      <c r="DL182" s="16">
        <v>0</v>
      </c>
      <c r="DM182" s="16">
        <v>196</v>
      </c>
      <c r="DN182" s="16">
        <v>5</v>
      </c>
      <c r="DO182" s="16">
        <v>0</v>
      </c>
      <c r="DP182" s="16">
        <v>392</v>
      </c>
      <c r="DQ182" s="16">
        <v>66</v>
      </c>
      <c r="DR182" s="16">
        <v>0</v>
      </c>
      <c r="DS182" s="16">
        <v>565</v>
      </c>
      <c r="DT182" s="16">
        <v>0</v>
      </c>
      <c r="DU182" s="16">
        <v>0</v>
      </c>
      <c r="DV182" s="16">
        <v>305</v>
      </c>
      <c r="DW182" s="16">
        <v>2868</v>
      </c>
      <c r="DX182" s="16">
        <v>4412</v>
      </c>
      <c r="DY182" s="16">
        <v>10333</v>
      </c>
      <c r="DZ182" s="16">
        <v>48619</v>
      </c>
      <c r="EA182" s="16">
        <v>3438</v>
      </c>
      <c r="EB182" s="16">
        <v>2</v>
      </c>
      <c r="EC182" s="16">
        <v>59</v>
      </c>
      <c r="ED182" s="16">
        <v>5899</v>
      </c>
      <c r="EE182" s="16">
        <v>0</v>
      </c>
      <c r="EF182" s="16">
        <v>13</v>
      </c>
      <c r="EG182" s="16">
        <v>168</v>
      </c>
      <c r="EH182" s="16">
        <v>10</v>
      </c>
      <c r="EI182" s="16">
        <v>28</v>
      </c>
      <c r="EJ182" s="16">
        <v>582</v>
      </c>
      <c r="EK182" s="16">
        <v>0</v>
      </c>
      <c r="EL182" s="16">
        <v>1</v>
      </c>
      <c r="EM182" s="16">
        <v>27</v>
      </c>
      <c r="EN182" s="16">
        <v>1476</v>
      </c>
      <c r="EO182" s="16">
        <v>1651</v>
      </c>
      <c r="EP182" s="16">
        <v>0</v>
      </c>
      <c r="EQ182" s="16">
        <v>3877</v>
      </c>
      <c r="ER182" s="16">
        <v>0</v>
      </c>
      <c r="ES182" s="16">
        <v>5</v>
      </c>
      <c r="ET182" s="16">
        <v>28</v>
      </c>
      <c r="EU182" s="16">
        <v>0</v>
      </c>
      <c r="EV182" s="16">
        <v>3</v>
      </c>
      <c r="EW182" s="16">
        <v>4</v>
      </c>
      <c r="EX182" s="16">
        <v>0</v>
      </c>
      <c r="EY182" s="16">
        <v>53</v>
      </c>
      <c r="EZ182" s="16">
        <v>0</v>
      </c>
      <c r="FA182" s="16">
        <v>1</v>
      </c>
      <c r="FB182" s="16">
        <v>16</v>
      </c>
      <c r="FC182" s="16">
        <v>15</v>
      </c>
      <c r="FD182" s="16">
        <v>2498</v>
      </c>
      <c r="FE182" s="16">
        <v>74</v>
      </c>
      <c r="FF182" s="16">
        <v>108</v>
      </c>
      <c r="FG182" s="16">
        <v>2169</v>
      </c>
      <c r="FH182" s="16">
        <v>0</v>
      </c>
      <c r="FI182" s="16">
        <v>165</v>
      </c>
      <c r="FJ182" s="16">
        <v>2</v>
      </c>
      <c r="FK182" s="16">
        <v>42</v>
      </c>
      <c r="FL182" s="16">
        <v>0</v>
      </c>
      <c r="FM182" s="16">
        <v>241</v>
      </c>
      <c r="FN182" s="16">
        <v>14330</v>
      </c>
      <c r="FO182" s="16">
        <v>1912</v>
      </c>
      <c r="FP182" s="16">
        <v>624</v>
      </c>
      <c r="FQ182" s="16">
        <v>304162</v>
      </c>
      <c r="FR182" s="16">
        <v>91179</v>
      </c>
      <c r="FS182" s="16">
        <v>26320</v>
      </c>
      <c r="FT182" s="16">
        <v>4757</v>
      </c>
      <c r="FU182" s="16">
        <v>3753</v>
      </c>
      <c r="FV182" s="16">
        <v>64962</v>
      </c>
      <c r="FW182" s="16">
        <v>2984</v>
      </c>
      <c r="FX182" s="16">
        <v>85416</v>
      </c>
      <c r="FY182" s="16">
        <v>945</v>
      </c>
      <c r="FZ182" s="16">
        <v>201920</v>
      </c>
      <c r="GA182" s="16">
        <v>624</v>
      </c>
      <c r="GB182" s="16">
        <v>4194</v>
      </c>
      <c r="GC182" s="16">
        <v>1690</v>
      </c>
      <c r="GD182" s="16">
        <v>14446</v>
      </c>
      <c r="GE182" s="16">
        <v>310</v>
      </c>
      <c r="GF182" s="16">
        <v>1220</v>
      </c>
      <c r="GG182" s="16">
        <v>1342</v>
      </c>
      <c r="GH182" s="16">
        <v>930</v>
      </c>
      <c r="GI182" s="16">
        <v>177</v>
      </c>
      <c r="GJ182" s="16">
        <v>901</v>
      </c>
      <c r="GK182" s="16">
        <v>2739</v>
      </c>
      <c r="GL182" s="16">
        <v>4</v>
      </c>
      <c r="GM182" s="16">
        <v>78</v>
      </c>
      <c r="GN182" s="16">
        <v>388</v>
      </c>
      <c r="GO182" s="16">
        <v>440</v>
      </c>
      <c r="GP182" s="16">
        <v>35487</v>
      </c>
      <c r="GQ182" s="16">
        <v>11568</v>
      </c>
      <c r="GR182" s="16">
        <v>91</v>
      </c>
      <c r="GS182" s="16">
        <v>46</v>
      </c>
      <c r="GT182" s="16">
        <v>34</v>
      </c>
      <c r="GU182" s="16">
        <v>11929</v>
      </c>
      <c r="GV182" s="16">
        <v>99</v>
      </c>
      <c r="GW182" s="16">
        <v>97</v>
      </c>
      <c r="GX182" s="16">
        <v>1817</v>
      </c>
      <c r="GY182" s="16">
        <v>0</v>
      </c>
      <c r="GZ182" s="16">
        <v>1874</v>
      </c>
      <c r="HA182" s="16">
        <v>1053</v>
      </c>
      <c r="HB182" s="16">
        <v>495</v>
      </c>
      <c r="HC182" s="16">
        <v>493</v>
      </c>
      <c r="HD182" s="16">
        <v>1004</v>
      </c>
      <c r="HE182" s="16">
        <v>1431</v>
      </c>
      <c r="HF182" s="16">
        <v>208</v>
      </c>
      <c r="HG182" s="16">
        <v>14692</v>
      </c>
      <c r="HH182" s="16">
        <v>517</v>
      </c>
      <c r="HI182" s="16">
        <v>1245</v>
      </c>
      <c r="HJ182" s="16">
        <v>1100</v>
      </c>
      <c r="HK182" s="16">
        <v>201</v>
      </c>
      <c r="HL182" s="16">
        <v>2005</v>
      </c>
      <c r="HM182" s="16">
        <v>631</v>
      </c>
      <c r="HN182" s="16">
        <v>3833</v>
      </c>
      <c r="HO182" s="16">
        <v>1146</v>
      </c>
      <c r="HP182" s="16">
        <v>263</v>
      </c>
      <c r="HQ182" s="16">
        <v>15252</v>
      </c>
      <c r="HR182" s="16">
        <v>5039</v>
      </c>
      <c r="HS182" s="16">
        <v>23889</v>
      </c>
      <c r="HT182" s="16">
        <v>6269</v>
      </c>
      <c r="HU182" s="16">
        <v>2408</v>
      </c>
      <c r="HV182" s="16">
        <v>395</v>
      </c>
      <c r="HW182" s="16">
        <v>7620</v>
      </c>
      <c r="HX182" s="16">
        <v>2534</v>
      </c>
      <c r="HY182" s="16">
        <v>1620</v>
      </c>
      <c r="HZ182" s="16">
        <v>1919</v>
      </c>
      <c r="IA182" s="16">
        <v>2895</v>
      </c>
      <c r="IB182" s="16">
        <v>44</v>
      </c>
      <c r="IC182" s="16">
        <v>949</v>
      </c>
      <c r="ID182" s="16">
        <v>479</v>
      </c>
      <c r="IE182" s="16">
        <v>21</v>
      </c>
      <c r="IF182" s="16">
        <v>526</v>
      </c>
      <c r="IG182" s="16">
        <v>14075</v>
      </c>
      <c r="IH182" s="16">
        <v>352554</v>
      </c>
      <c r="II182" s="16">
        <v>50785</v>
      </c>
      <c r="IJ182" s="16">
        <v>11267</v>
      </c>
      <c r="IK182" s="16">
        <v>26720</v>
      </c>
      <c r="IL182" s="16">
        <v>11243</v>
      </c>
      <c r="IM182" s="16">
        <v>1102</v>
      </c>
      <c r="IN182" s="16">
        <v>4193</v>
      </c>
      <c r="IO182" s="16">
        <v>513195</v>
      </c>
      <c r="IP182" s="16">
        <v>3903</v>
      </c>
      <c r="IQ182" s="16">
        <v>353</v>
      </c>
      <c r="IR182" s="16">
        <v>560</v>
      </c>
      <c r="IS182" s="16">
        <v>11855</v>
      </c>
      <c r="IT182" s="16">
        <v>6922</v>
      </c>
      <c r="IU182" s="16">
        <v>365</v>
      </c>
      <c r="IV182" s="16">
        <v>11133</v>
      </c>
      <c r="IW182" s="16">
        <v>41707</v>
      </c>
      <c r="IX182" s="16">
        <v>81375</v>
      </c>
      <c r="IY182" s="16">
        <v>17445</v>
      </c>
      <c r="IZ182" s="16">
        <v>4</v>
      </c>
      <c r="JA182" s="16">
        <v>1946</v>
      </c>
      <c r="JB182" s="16">
        <v>309</v>
      </c>
      <c r="JC182" s="16">
        <v>0</v>
      </c>
      <c r="JD182" s="16">
        <v>222</v>
      </c>
      <c r="JE182" s="16">
        <v>7918</v>
      </c>
      <c r="JF182" s="16">
        <v>8742</v>
      </c>
      <c r="JG182" s="16">
        <v>35970</v>
      </c>
      <c r="JH182" s="16">
        <v>2081</v>
      </c>
      <c r="JI182" s="16">
        <v>346</v>
      </c>
      <c r="JJ182" s="16">
        <v>2643</v>
      </c>
      <c r="JK182" s="16">
        <v>225</v>
      </c>
      <c r="JL182" s="16">
        <v>0</v>
      </c>
      <c r="JM182" s="16">
        <v>0</v>
      </c>
      <c r="JN182" s="16">
        <v>0</v>
      </c>
      <c r="JO182" s="16">
        <v>0</v>
      </c>
      <c r="JP182" s="16">
        <v>0</v>
      </c>
      <c r="JQ182" s="16">
        <v>453</v>
      </c>
      <c r="JR182" s="16">
        <v>68</v>
      </c>
      <c r="JS182" s="16">
        <v>95</v>
      </c>
      <c r="JT182" s="16">
        <v>0</v>
      </c>
      <c r="JU182" s="16">
        <v>5535</v>
      </c>
      <c r="JV182" s="16">
        <v>6741</v>
      </c>
      <c r="JW182" s="16">
        <v>189076</v>
      </c>
      <c r="JX182" s="16">
        <v>241978</v>
      </c>
      <c r="JY182" s="16">
        <v>41139</v>
      </c>
      <c r="JZ182" s="16">
        <v>92</v>
      </c>
      <c r="KA182" s="16">
        <v>554</v>
      </c>
      <c r="KB182" s="16">
        <v>14</v>
      </c>
      <c r="KC182" s="16">
        <v>78</v>
      </c>
      <c r="KD182" s="16">
        <v>2771</v>
      </c>
      <c r="KE182" s="16">
        <v>73</v>
      </c>
      <c r="KF182" s="16">
        <v>1387</v>
      </c>
      <c r="KG182" s="16">
        <v>637</v>
      </c>
      <c r="KH182" s="16">
        <v>212</v>
      </c>
      <c r="KI182" s="16">
        <v>6672</v>
      </c>
      <c r="KJ182" s="16">
        <v>717</v>
      </c>
      <c r="KK182" s="16">
        <v>135937</v>
      </c>
      <c r="KL182" s="16">
        <v>21</v>
      </c>
      <c r="KM182" s="16">
        <v>4639</v>
      </c>
      <c r="KN182" s="16">
        <v>564</v>
      </c>
      <c r="KO182" s="16">
        <v>703</v>
      </c>
      <c r="KP182" s="16">
        <v>131</v>
      </c>
      <c r="KQ182" s="16">
        <v>40378</v>
      </c>
      <c r="KR182" s="16">
        <v>7189</v>
      </c>
      <c r="KS182" s="16">
        <v>426</v>
      </c>
      <c r="KT182" s="16">
        <v>523</v>
      </c>
      <c r="KU182" s="16">
        <v>4038</v>
      </c>
      <c r="KV182" s="16">
        <v>57605</v>
      </c>
      <c r="KW182" s="16">
        <v>17745</v>
      </c>
      <c r="KX182" s="16">
        <v>0</v>
      </c>
      <c r="KY182" s="16">
        <v>7939</v>
      </c>
      <c r="KZ182" s="16">
        <v>6453</v>
      </c>
      <c r="LA182" s="16">
        <v>1922</v>
      </c>
      <c r="LB182" s="16">
        <v>975</v>
      </c>
      <c r="LC182" s="16">
        <v>2613</v>
      </c>
      <c r="LD182" s="16">
        <v>16466</v>
      </c>
      <c r="LE182" s="16">
        <v>1394</v>
      </c>
      <c r="LF182" s="16">
        <v>318</v>
      </c>
      <c r="LG182" s="16">
        <v>0</v>
      </c>
      <c r="LH182" s="16">
        <v>0</v>
      </c>
      <c r="LI182" s="16">
        <v>0</v>
      </c>
      <c r="LJ182" s="16">
        <v>267</v>
      </c>
      <c r="LK182" s="16">
        <v>2047</v>
      </c>
      <c r="LL182" s="16">
        <v>196</v>
      </c>
      <c r="LM182" s="16">
        <v>0</v>
      </c>
      <c r="LN182" s="16">
        <v>7606</v>
      </c>
      <c r="LO182" s="16">
        <v>32</v>
      </c>
      <c r="LP182" s="16">
        <v>0</v>
      </c>
      <c r="LQ182" s="16">
        <v>0</v>
      </c>
      <c r="LR182" s="16">
        <v>1571</v>
      </c>
      <c r="LS182" s="16">
        <v>669</v>
      </c>
      <c r="LT182" s="16">
        <v>5380</v>
      </c>
      <c r="LU182" s="16">
        <v>1014</v>
      </c>
      <c r="LV182" s="16">
        <v>22</v>
      </c>
      <c r="LW182" s="16">
        <v>503</v>
      </c>
      <c r="LX182" s="16">
        <v>1998</v>
      </c>
      <c r="LY182" s="16">
        <v>56126</v>
      </c>
      <c r="LZ182" s="16">
        <v>15290</v>
      </c>
      <c r="MA182" s="16">
        <v>49</v>
      </c>
      <c r="MB182" s="16">
        <v>4062</v>
      </c>
      <c r="MC182" s="16">
        <v>1381</v>
      </c>
      <c r="MD182" s="16">
        <v>1124</v>
      </c>
      <c r="ME182" s="16">
        <v>689</v>
      </c>
      <c r="MF182" s="16">
        <v>13200</v>
      </c>
      <c r="MG182" s="16">
        <v>8402</v>
      </c>
      <c r="MH182" s="16">
        <v>38959</v>
      </c>
      <c r="MI182" s="16">
        <v>1889</v>
      </c>
      <c r="MJ182" s="16">
        <v>5245</v>
      </c>
      <c r="MK182" s="16">
        <v>13519</v>
      </c>
      <c r="ML182" s="16">
        <v>812</v>
      </c>
      <c r="MM182" s="16">
        <v>26794</v>
      </c>
      <c r="MN182" s="16">
        <v>33494</v>
      </c>
      <c r="MO182" s="16">
        <v>25567</v>
      </c>
      <c r="MP182" s="16">
        <v>2160</v>
      </c>
      <c r="MQ182" s="16">
        <v>12902</v>
      </c>
      <c r="MR182" s="16">
        <v>338</v>
      </c>
      <c r="MS182" s="16">
        <v>159</v>
      </c>
      <c r="MT182" s="16">
        <v>2319</v>
      </c>
      <c r="MU182" s="16">
        <v>898</v>
      </c>
      <c r="MV182" s="16">
        <v>36081</v>
      </c>
      <c r="MW182" s="16">
        <v>100880</v>
      </c>
      <c r="MX182" s="16">
        <v>103</v>
      </c>
      <c r="MY182" s="16">
        <v>3591</v>
      </c>
      <c r="MZ182" s="16">
        <v>9369</v>
      </c>
      <c r="NA182" s="16">
        <v>2305</v>
      </c>
      <c r="NB182" s="16">
        <v>20572</v>
      </c>
      <c r="NC182" s="16">
        <v>15</v>
      </c>
      <c r="ND182" s="16">
        <v>132</v>
      </c>
      <c r="NE182" s="16">
        <v>0</v>
      </c>
      <c r="NF182" s="16">
        <v>918</v>
      </c>
      <c r="NG182" s="16">
        <v>12840</v>
      </c>
      <c r="NH182" s="16">
        <v>3833</v>
      </c>
      <c r="NI182" s="16">
        <v>0</v>
      </c>
      <c r="NJ182" s="16">
        <v>0</v>
      </c>
      <c r="NK182" s="16">
        <v>214565</v>
      </c>
      <c r="NL182" s="16">
        <v>1097</v>
      </c>
      <c r="NM182" s="16">
        <v>0</v>
      </c>
      <c r="NN182" s="16">
        <v>0</v>
      </c>
      <c r="NO182" s="16">
        <v>0</v>
      </c>
      <c r="NP182" s="16">
        <v>157</v>
      </c>
      <c r="NQ182" s="16">
        <v>179</v>
      </c>
      <c r="NR182" s="17">
        <v>4164987</v>
      </c>
    </row>
    <row r="183" spans="1:382" ht="13.5" customHeight="1" x14ac:dyDescent="0.2">
      <c r="A183" s="2" t="s">
        <v>373</v>
      </c>
      <c r="B183" s="16">
        <v>840</v>
      </c>
      <c r="C183" s="16">
        <v>1781</v>
      </c>
      <c r="D183" s="16">
        <v>1707</v>
      </c>
      <c r="E183" s="16">
        <v>1712</v>
      </c>
      <c r="F183" s="16">
        <v>1834</v>
      </c>
      <c r="G183" s="16">
        <v>1448</v>
      </c>
      <c r="H183" s="16">
        <v>18</v>
      </c>
      <c r="I183" s="16">
        <v>2406</v>
      </c>
      <c r="J183" s="16">
        <v>71</v>
      </c>
      <c r="K183" s="16">
        <v>0</v>
      </c>
      <c r="L183" s="16">
        <v>0</v>
      </c>
      <c r="M183" s="16">
        <v>3256</v>
      </c>
      <c r="N183" s="16">
        <v>0</v>
      </c>
      <c r="O183" s="16">
        <v>18</v>
      </c>
      <c r="P183" s="16">
        <v>403</v>
      </c>
      <c r="Q183" s="16">
        <v>1769</v>
      </c>
      <c r="R183" s="16">
        <v>180</v>
      </c>
      <c r="S183" s="16">
        <v>0</v>
      </c>
      <c r="T183" s="16">
        <v>0</v>
      </c>
      <c r="U183" s="16">
        <v>8613</v>
      </c>
      <c r="V183" s="16">
        <v>862</v>
      </c>
      <c r="W183" s="16">
        <v>132</v>
      </c>
      <c r="X183" s="16">
        <v>84</v>
      </c>
      <c r="Y183" s="16">
        <v>1252</v>
      </c>
      <c r="Z183" s="16">
        <v>15</v>
      </c>
      <c r="AA183" s="16">
        <v>88</v>
      </c>
      <c r="AB183" s="16">
        <v>0</v>
      </c>
      <c r="AC183" s="16">
        <v>0</v>
      </c>
      <c r="AD183" s="16">
        <v>0</v>
      </c>
      <c r="AE183" s="16">
        <v>91</v>
      </c>
      <c r="AF183" s="16">
        <v>112</v>
      </c>
      <c r="AG183" s="16">
        <v>5046</v>
      </c>
      <c r="AH183" s="16">
        <v>2118</v>
      </c>
      <c r="AI183" s="16">
        <v>629</v>
      </c>
      <c r="AJ183" s="16">
        <v>0</v>
      </c>
      <c r="AK183" s="16">
        <v>2580</v>
      </c>
      <c r="AL183" s="16">
        <v>207</v>
      </c>
      <c r="AM183" s="16">
        <v>0</v>
      </c>
      <c r="AN183" s="16">
        <v>1649</v>
      </c>
      <c r="AO183" s="16">
        <v>2270</v>
      </c>
      <c r="AP183" s="16">
        <v>64</v>
      </c>
      <c r="AQ183" s="16">
        <v>833</v>
      </c>
      <c r="AR183" s="16">
        <v>0</v>
      </c>
      <c r="AS183" s="16">
        <v>1693</v>
      </c>
      <c r="AT183" s="16">
        <v>157</v>
      </c>
      <c r="AU183" s="16">
        <v>2187</v>
      </c>
      <c r="AV183" s="16">
        <v>167</v>
      </c>
      <c r="AW183" s="16">
        <v>528</v>
      </c>
      <c r="AX183" s="16">
        <v>248</v>
      </c>
      <c r="AY183" s="16">
        <v>586</v>
      </c>
      <c r="AZ183" s="16">
        <v>106</v>
      </c>
      <c r="BA183" s="16">
        <v>1532</v>
      </c>
      <c r="BB183" s="16">
        <v>444</v>
      </c>
      <c r="BC183" s="16">
        <v>453</v>
      </c>
      <c r="BD183" s="16">
        <v>23</v>
      </c>
      <c r="BE183" s="16">
        <v>152</v>
      </c>
      <c r="BF183" s="16">
        <v>593</v>
      </c>
      <c r="BG183" s="16">
        <v>70</v>
      </c>
      <c r="BH183" s="16">
        <v>703</v>
      </c>
      <c r="BI183" s="16">
        <v>541</v>
      </c>
      <c r="BJ183" s="16">
        <v>168</v>
      </c>
      <c r="BK183" s="16">
        <v>139</v>
      </c>
      <c r="BL183" s="16">
        <v>469</v>
      </c>
      <c r="BM183" s="16">
        <v>971</v>
      </c>
      <c r="BN183" s="16">
        <v>524</v>
      </c>
      <c r="BO183" s="16">
        <v>589</v>
      </c>
      <c r="BP183" s="16">
        <v>66</v>
      </c>
      <c r="BQ183" s="16">
        <v>50</v>
      </c>
      <c r="BR183" s="16">
        <v>22</v>
      </c>
      <c r="BS183" s="16">
        <v>1867</v>
      </c>
      <c r="BT183" s="16">
        <v>2079</v>
      </c>
      <c r="BU183" s="16">
        <v>124</v>
      </c>
      <c r="BV183" s="16">
        <v>18</v>
      </c>
      <c r="BW183" s="16">
        <v>20</v>
      </c>
      <c r="BX183" s="16">
        <v>126</v>
      </c>
      <c r="BY183" s="16">
        <v>0</v>
      </c>
      <c r="BZ183" s="16">
        <v>5630</v>
      </c>
      <c r="CA183" s="16">
        <v>1328</v>
      </c>
      <c r="CB183" s="16">
        <v>721</v>
      </c>
      <c r="CC183" s="16">
        <v>17298</v>
      </c>
      <c r="CD183" s="16">
        <v>4800</v>
      </c>
      <c r="CE183" s="16">
        <v>4667</v>
      </c>
      <c r="CF183" s="16">
        <v>11982</v>
      </c>
      <c r="CG183" s="16">
        <v>1721</v>
      </c>
      <c r="CH183" s="16">
        <v>5657</v>
      </c>
      <c r="CI183" s="16">
        <v>371</v>
      </c>
      <c r="CJ183" s="16">
        <v>950</v>
      </c>
      <c r="CK183" s="16">
        <v>1706</v>
      </c>
      <c r="CL183" s="16">
        <v>234</v>
      </c>
      <c r="CM183" s="16">
        <v>732</v>
      </c>
      <c r="CN183" s="16">
        <v>104</v>
      </c>
      <c r="CO183" s="16">
        <v>877</v>
      </c>
      <c r="CP183" s="16">
        <v>386</v>
      </c>
      <c r="CQ183" s="16">
        <v>1014</v>
      </c>
      <c r="CR183" s="16">
        <v>107</v>
      </c>
      <c r="CS183" s="16">
        <v>833</v>
      </c>
      <c r="CT183" s="16">
        <v>2981</v>
      </c>
      <c r="CU183" s="16">
        <v>2460</v>
      </c>
      <c r="CV183" s="16">
        <v>3450</v>
      </c>
      <c r="CW183" s="16">
        <v>7307</v>
      </c>
      <c r="CX183" s="16">
        <v>5205</v>
      </c>
      <c r="CY183" s="16">
        <v>2973</v>
      </c>
      <c r="CZ183" s="16">
        <v>277</v>
      </c>
      <c r="DA183" s="16">
        <v>77</v>
      </c>
      <c r="DB183" s="16">
        <v>7578</v>
      </c>
      <c r="DC183" s="16">
        <v>67</v>
      </c>
      <c r="DD183" s="16">
        <v>2410</v>
      </c>
      <c r="DE183" s="16">
        <v>1354</v>
      </c>
      <c r="DF183" s="16">
        <v>1829</v>
      </c>
      <c r="DG183" s="16">
        <v>1600</v>
      </c>
      <c r="DH183" s="16">
        <v>64</v>
      </c>
      <c r="DI183" s="16">
        <v>275</v>
      </c>
      <c r="DJ183" s="16">
        <v>6269</v>
      </c>
      <c r="DK183" s="16">
        <v>209</v>
      </c>
      <c r="DL183" s="16">
        <v>400</v>
      </c>
      <c r="DM183" s="16">
        <v>451</v>
      </c>
      <c r="DN183" s="16">
        <v>191</v>
      </c>
      <c r="DO183" s="16">
        <v>707</v>
      </c>
      <c r="DP183" s="16">
        <v>1149</v>
      </c>
      <c r="DQ183" s="16">
        <v>39</v>
      </c>
      <c r="DR183" s="16">
        <v>146</v>
      </c>
      <c r="DS183" s="16">
        <v>3029</v>
      </c>
      <c r="DT183" s="16">
        <v>244</v>
      </c>
      <c r="DU183" s="16">
        <v>234</v>
      </c>
      <c r="DV183" s="16">
        <v>28</v>
      </c>
      <c r="DW183" s="16">
        <v>1358</v>
      </c>
      <c r="DX183" s="16">
        <v>1890</v>
      </c>
      <c r="DY183" s="16">
        <v>6169</v>
      </c>
      <c r="DZ183" s="16">
        <v>1529</v>
      </c>
      <c r="EA183" s="16">
        <v>8212</v>
      </c>
      <c r="EB183" s="16">
        <v>3</v>
      </c>
      <c r="EC183" s="16">
        <v>95</v>
      </c>
      <c r="ED183" s="16">
        <v>86</v>
      </c>
      <c r="EE183" s="16">
        <v>55</v>
      </c>
      <c r="EF183" s="16">
        <v>67</v>
      </c>
      <c r="EG183" s="16">
        <v>466</v>
      </c>
      <c r="EH183" s="16">
        <v>105</v>
      </c>
      <c r="EI183" s="16">
        <v>70</v>
      </c>
      <c r="EJ183" s="16">
        <v>405</v>
      </c>
      <c r="EK183" s="16">
        <v>19</v>
      </c>
      <c r="EL183" s="16">
        <v>78</v>
      </c>
      <c r="EM183" s="16">
        <v>226</v>
      </c>
      <c r="EN183" s="16">
        <v>3510</v>
      </c>
      <c r="EO183" s="16">
        <v>3286</v>
      </c>
      <c r="EP183" s="16">
        <v>346</v>
      </c>
      <c r="EQ183" s="16">
        <v>36030</v>
      </c>
      <c r="ER183" s="16">
        <v>887</v>
      </c>
      <c r="ES183" s="16">
        <v>279</v>
      </c>
      <c r="ET183" s="16">
        <v>3919</v>
      </c>
      <c r="EU183" s="16">
        <v>383</v>
      </c>
      <c r="EV183" s="16">
        <v>26</v>
      </c>
      <c r="EW183" s="16">
        <v>89</v>
      </c>
      <c r="EX183" s="16">
        <v>3544</v>
      </c>
      <c r="EY183" s="16">
        <v>429</v>
      </c>
      <c r="EZ183" s="16">
        <v>53</v>
      </c>
      <c r="FA183" s="16">
        <v>2288</v>
      </c>
      <c r="FB183" s="16">
        <v>42</v>
      </c>
      <c r="FC183" s="16">
        <v>5131</v>
      </c>
      <c r="FD183" s="16">
        <v>15341</v>
      </c>
      <c r="FE183" s="16">
        <v>444</v>
      </c>
      <c r="FF183" s="16">
        <v>2807</v>
      </c>
      <c r="FG183" s="16">
        <v>10095</v>
      </c>
      <c r="FH183" s="16">
        <v>214</v>
      </c>
      <c r="FI183" s="16">
        <v>351</v>
      </c>
      <c r="FJ183" s="16">
        <v>137</v>
      </c>
      <c r="FK183" s="16">
        <v>34</v>
      </c>
      <c r="FL183" s="16">
        <v>765</v>
      </c>
      <c r="FM183" s="16">
        <v>5624</v>
      </c>
      <c r="FN183" s="16">
        <v>4642</v>
      </c>
      <c r="FO183" s="16">
        <v>4951</v>
      </c>
      <c r="FP183" s="16">
        <v>3529</v>
      </c>
      <c r="FQ183" s="16">
        <v>35752</v>
      </c>
      <c r="FR183" s="16">
        <v>9698</v>
      </c>
      <c r="FS183" s="16">
        <v>3962</v>
      </c>
      <c r="FT183" s="16">
        <v>38781</v>
      </c>
      <c r="FU183" s="16">
        <v>13359</v>
      </c>
      <c r="FV183" s="16">
        <v>7478</v>
      </c>
      <c r="FW183" s="16">
        <v>39035</v>
      </c>
      <c r="FX183" s="16">
        <v>29164</v>
      </c>
      <c r="FY183" s="16">
        <v>864</v>
      </c>
      <c r="FZ183" s="16">
        <v>4907</v>
      </c>
      <c r="GA183" s="16">
        <v>228111</v>
      </c>
      <c r="GB183" s="16">
        <v>27130</v>
      </c>
      <c r="GC183" s="16">
        <v>1956</v>
      </c>
      <c r="GD183" s="16">
        <v>6746</v>
      </c>
      <c r="GE183" s="16">
        <v>1055</v>
      </c>
      <c r="GF183" s="16">
        <v>11125</v>
      </c>
      <c r="GG183" s="16">
        <v>3512</v>
      </c>
      <c r="GH183" s="16">
        <v>3993</v>
      </c>
      <c r="GI183" s="16">
        <v>4193</v>
      </c>
      <c r="GJ183" s="16">
        <v>2497</v>
      </c>
      <c r="GK183" s="16">
        <v>376</v>
      </c>
      <c r="GL183" s="16">
        <v>11</v>
      </c>
      <c r="GM183" s="16">
        <v>193</v>
      </c>
      <c r="GN183" s="16">
        <v>9676</v>
      </c>
      <c r="GO183" s="16">
        <v>479</v>
      </c>
      <c r="GP183" s="16">
        <v>3233</v>
      </c>
      <c r="GQ183" s="16">
        <v>3723</v>
      </c>
      <c r="GR183" s="16">
        <v>494</v>
      </c>
      <c r="GS183" s="16">
        <v>372</v>
      </c>
      <c r="GT183" s="16">
        <v>93</v>
      </c>
      <c r="GU183" s="16">
        <v>2848</v>
      </c>
      <c r="GV183" s="16">
        <v>1721</v>
      </c>
      <c r="GW183" s="16">
        <v>3375</v>
      </c>
      <c r="GX183" s="16">
        <v>425</v>
      </c>
      <c r="GY183" s="16">
        <v>90</v>
      </c>
      <c r="GZ183" s="16">
        <v>10354</v>
      </c>
      <c r="HA183" s="16">
        <v>426</v>
      </c>
      <c r="HB183" s="16">
        <v>235</v>
      </c>
      <c r="HC183" s="16">
        <v>1849</v>
      </c>
      <c r="HD183" s="16">
        <v>707</v>
      </c>
      <c r="HE183" s="16">
        <v>181</v>
      </c>
      <c r="HF183" s="16">
        <v>4546</v>
      </c>
      <c r="HG183" s="16">
        <v>1799</v>
      </c>
      <c r="HH183" s="16">
        <v>3032</v>
      </c>
      <c r="HI183" s="16">
        <v>5413</v>
      </c>
      <c r="HJ183" s="16">
        <v>321</v>
      </c>
      <c r="HK183" s="16">
        <v>248</v>
      </c>
      <c r="HL183" s="16">
        <v>8997</v>
      </c>
      <c r="HM183" s="16">
        <v>10412</v>
      </c>
      <c r="HN183" s="16">
        <v>15003</v>
      </c>
      <c r="HO183" s="16">
        <v>10340</v>
      </c>
      <c r="HP183" s="16">
        <v>8197</v>
      </c>
      <c r="HQ183" s="16">
        <v>23008</v>
      </c>
      <c r="HR183" s="16">
        <v>17018</v>
      </c>
      <c r="HS183" s="16">
        <v>7995</v>
      </c>
      <c r="HT183" s="16">
        <v>692</v>
      </c>
      <c r="HU183" s="16">
        <v>9995</v>
      </c>
      <c r="HV183" s="16">
        <v>4963</v>
      </c>
      <c r="HW183" s="16">
        <v>10245</v>
      </c>
      <c r="HX183" s="16">
        <v>93630</v>
      </c>
      <c r="HY183" s="16">
        <v>140567</v>
      </c>
      <c r="HZ183" s="16">
        <v>19611</v>
      </c>
      <c r="IA183" s="16">
        <v>4090</v>
      </c>
      <c r="IB183" s="16">
        <v>2728</v>
      </c>
      <c r="IC183" s="16">
        <v>3982</v>
      </c>
      <c r="ID183" s="16">
        <v>1214</v>
      </c>
      <c r="IE183" s="16">
        <v>531</v>
      </c>
      <c r="IF183" s="16">
        <v>401</v>
      </c>
      <c r="IG183" s="16">
        <v>24282</v>
      </c>
      <c r="IH183" s="16">
        <v>38457</v>
      </c>
      <c r="II183" s="16">
        <v>4730</v>
      </c>
      <c r="IJ183" s="16">
        <v>2243</v>
      </c>
      <c r="IK183" s="16">
        <v>5550</v>
      </c>
      <c r="IL183" s="16">
        <v>4446</v>
      </c>
      <c r="IM183" s="16">
        <v>824</v>
      </c>
      <c r="IN183" s="16">
        <v>2685</v>
      </c>
      <c r="IO183" s="16">
        <v>42439</v>
      </c>
      <c r="IP183" s="16">
        <v>1754</v>
      </c>
      <c r="IQ183" s="16">
        <v>2831</v>
      </c>
      <c r="IR183" s="16">
        <v>1383</v>
      </c>
      <c r="IS183" s="16">
        <v>2959</v>
      </c>
      <c r="IT183" s="16">
        <v>7678</v>
      </c>
      <c r="IU183" s="16">
        <v>40</v>
      </c>
      <c r="IV183" s="16">
        <v>4363</v>
      </c>
      <c r="IW183" s="16">
        <v>36507</v>
      </c>
      <c r="IX183" s="16">
        <v>8350</v>
      </c>
      <c r="IY183" s="16">
        <v>8198</v>
      </c>
      <c r="IZ183" s="16">
        <v>87</v>
      </c>
      <c r="JA183" s="16">
        <v>3594</v>
      </c>
      <c r="JB183" s="16">
        <v>121</v>
      </c>
      <c r="JC183" s="16">
        <v>1174</v>
      </c>
      <c r="JD183" s="16">
        <v>2053</v>
      </c>
      <c r="JE183" s="16">
        <v>4246</v>
      </c>
      <c r="JF183" s="16">
        <v>4712</v>
      </c>
      <c r="JG183" s="16">
        <v>338652</v>
      </c>
      <c r="JH183" s="16">
        <v>33832</v>
      </c>
      <c r="JI183" s="16">
        <v>58</v>
      </c>
      <c r="JJ183" s="16">
        <v>6870</v>
      </c>
      <c r="JK183" s="16">
        <v>465</v>
      </c>
      <c r="JL183" s="16">
        <v>4974</v>
      </c>
      <c r="JM183" s="16">
        <v>473</v>
      </c>
      <c r="JN183" s="16">
        <v>6274</v>
      </c>
      <c r="JO183" s="16">
        <v>34404</v>
      </c>
      <c r="JP183" s="16">
        <v>48116</v>
      </c>
      <c r="JQ183" s="16">
        <v>160</v>
      </c>
      <c r="JR183" s="16">
        <v>103501</v>
      </c>
      <c r="JS183" s="16">
        <v>25187</v>
      </c>
      <c r="JT183" s="16">
        <v>0</v>
      </c>
      <c r="JU183" s="16">
        <v>12397</v>
      </c>
      <c r="JV183" s="16">
        <v>5983</v>
      </c>
      <c r="JW183" s="16">
        <v>24212</v>
      </c>
      <c r="JX183" s="16">
        <v>54485</v>
      </c>
      <c r="JY183" s="16">
        <v>6955</v>
      </c>
      <c r="JZ183" s="16">
        <v>1611</v>
      </c>
      <c r="KA183" s="16">
        <v>2040</v>
      </c>
      <c r="KB183" s="16">
        <v>46</v>
      </c>
      <c r="KC183" s="16">
        <v>57</v>
      </c>
      <c r="KD183" s="16">
        <v>1067</v>
      </c>
      <c r="KE183" s="16">
        <v>79</v>
      </c>
      <c r="KF183" s="16">
        <v>1109</v>
      </c>
      <c r="KG183" s="16">
        <v>1136</v>
      </c>
      <c r="KH183" s="16">
        <v>275</v>
      </c>
      <c r="KI183" s="16">
        <v>2588</v>
      </c>
      <c r="KJ183" s="16">
        <v>2384</v>
      </c>
      <c r="KK183" s="16">
        <v>82157</v>
      </c>
      <c r="KL183" s="16">
        <v>153</v>
      </c>
      <c r="KM183" s="16">
        <v>653</v>
      </c>
      <c r="KN183" s="16">
        <v>219</v>
      </c>
      <c r="KO183" s="16">
        <v>4307</v>
      </c>
      <c r="KP183" s="16">
        <v>39</v>
      </c>
      <c r="KQ183" s="16">
        <v>622</v>
      </c>
      <c r="KR183" s="16">
        <v>844</v>
      </c>
      <c r="KS183" s="16">
        <v>11974</v>
      </c>
      <c r="KT183" s="16">
        <v>0</v>
      </c>
      <c r="KU183" s="16">
        <v>5974</v>
      </c>
      <c r="KV183" s="16">
        <v>9276</v>
      </c>
      <c r="KW183" s="16">
        <v>5919</v>
      </c>
      <c r="KX183" s="16">
        <v>141</v>
      </c>
      <c r="KY183" s="16">
        <v>8663</v>
      </c>
      <c r="KZ183" s="16">
        <v>9916</v>
      </c>
      <c r="LA183" s="16">
        <v>4234</v>
      </c>
      <c r="LB183" s="16">
        <v>1492</v>
      </c>
      <c r="LC183" s="16">
        <v>3274</v>
      </c>
      <c r="LD183" s="16">
        <v>12895</v>
      </c>
      <c r="LE183" s="16">
        <v>1080</v>
      </c>
      <c r="LF183" s="16">
        <v>431</v>
      </c>
      <c r="LG183" s="16">
        <v>102</v>
      </c>
      <c r="LH183" s="16">
        <v>2142</v>
      </c>
      <c r="LI183" s="16">
        <v>26</v>
      </c>
      <c r="LJ183" s="16">
        <v>799</v>
      </c>
      <c r="LK183" s="16">
        <v>3867</v>
      </c>
      <c r="LL183" s="16">
        <v>4318</v>
      </c>
      <c r="LM183" s="16">
        <v>10946</v>
      </c>
      <c r="LN183" s="16">
        <v>17293</v>
      </c>
      <c r="LO183" s="16">
        <v>330</v>
      </c>
      <c r="LP183" s="16">
        <v>12669</v>
      </c>
      <c r="LQ183" s="16">
        <v>1620</v>
      </c>
      <c r="LR183" s="16">
        <v>1116</v>
      </c>
      <c r="LS183" s="16">
        <v>954</v>
      </c>
      <c r="LT183" s="16">
        <v>719</v>
      </c>
      <c r="LU183" s="16">
        <v>228</v>
      </c>
      <c r="LV183" s="16">
        <v>24</v>
      </c>
      <c r="LW183" s="16">
        <v>268</v>
      </c>
      <c r="LX183" s="16">
        <v>785</v>
      </c>
      <c r="LY183" s="16">
        <v>0</v>
      </c>
      <c r="LZ183" s="16">
        <v>344</v>
      </c>
      <c r="MA183" s="16">
        <v>1844</v>
      </c>
      <c r="MB183" s="16">
        <v>3847</v>
      </c>
      <c r="MC183" s="16">
        <v>1285</v>
      </c>
      <c r="MD183" s="16">
        <v>448</v>
      </c>
      <c r="ME183" s="16">
        <v>1285</v>
      </c>
      <c r="MF183" s="16">
        <v>11153</v>
      </c>
      <c r="MG183" s="16">
        <v>425</v>
      </c>
      <c r="MH183" s="16">
        <v>3374</v>
      </c>
      <c r="MI183" s="16">
        <v>297</v>
      </c>
      <c r="MJ183" s="16">
        <v>3104</v>
      </c>
      <c r="MK183" s="16">
        <v>12022</v>
      </c>
      <c r="ML183" s="16">
        <v>1289</v>
      </c>
      <c r="MM183" s="16">
        <v>9355</v>
      </c>
      <c r="MN183" s="16">
        <v>200138</v>
      </c>
      <c r="MO183" s="16">
        <v>7190</v>
      </c>
      <c r="MP183" s="16">
        <v>85780</v>
      </c>
      <c r="MQ183" s="16">
        <v>27777</v>
      </c>
      <c r="MR183" s="16">
        <v>12426</v>
      </c>
      <c r="MS183" s="16">
        <v>9416</v>
      </c>
      <c r="MT183" s="16">
        <v>6</v>
      </c>
      <c r="MU183" s="16">
        <v>1341</v>
      </c>
      <c r="MV183" s="16">
        <v>13501</v>
      </c>
      <c r="MW183" s="16">
        <v>41461</v>
      </c>
      <c r="MX183" s="16">
        <v>730</v>
      </c>
      <c r="MY183" s="16">
        <v>1867</v>
      </c>
      <c r="MZ183" s="16">
        <v>617</v>
      </c>
      <c r="NA183" s="16">
        <v>1047</v>
      </c>
      <c r="NB183" s="16">
        <v>1127</v>
      </c>
      <c r="NC183" s="16">
        <v>1920</v>
      </c>
      <c r="ND183" s="16">
        <v>8360</v>
      </c>
      <c r="NE183" s="16">
        <v>608</v>
      </c>
      <c r="NF183" s="16">
        <v>303</v>
      </c>
      <c r="NG183" s="16">
        <v>8872</v>
      </c>
      <c r="NH183" s="16">
        <v>1583</v>
      </c>
      <c r="NI183" s="16">
        <v>1099</v>
      </c>
      <c r="NJ183" s="16">
        <v>4536</v>
      </c>
      <c r="NK183" s="16">
        <v>26002</v>
      </c>
      <c r="NL183" s="16">
        <v>10556</v>
      </c>
      <c r="NM183" s="16">
        <v>1270</v>
      </c>
      <c r="NN183" s="16">
        <v>2583</v>
      </c>
      <c r="NO183" s="16">
        <v>0</v>
      </c>
      <c r="NP183" s="16">
        <v>1675</v>
      </c>
      <c r="NQ183" s="16">
        <v>392</v>
      </c>
      <c r="NR183" s="17">
        <v>2910610</v>
      </c>
    </row>
    <row r="184" spans="1:382" ht="13.5" customHeight="1" x14ac:dyDescent="0.2">
      <c r="A184" s="2" t="s">
        <v>375</v>
      </c>
      <c r="B184" s="16">
        <v>273</v>
      </c>
      <c r="C184" s="16">
        <v>0</v>
      </c>
      <c r="D184" s="16">
        <v>0</v>
      </c>
      <c r="E184" s="16">
        <v>0</v>
      </c>
      <c r="F184" s="16">
        <v>174</v>
      </c>
      <c r="G184" s="16">
        <v>17</v>
      </c>
      <c r="H184" s="16">
        <v>9</v>
      </c>
      <c r="I184" s="16">
        <v>7</v>
      </c>
      <c r="J184" s="16">
        <v>4</v>
      </c>
      <c r="K184" s="16">
        <v>0</v>
      </c>
      <c r="L184" s="16">
        <v>43</v>
      </c>
      <c r="M184" s="16">
        <v>0</v>
      </c>
      <c r="N184" s="16">
        <v>0</v>
      </c>
      <c r="O184" s="16">
        <v>15</v>
      </c>
      <c r="P184" s="16">
        <v>4342</v>
      </c>
      <c r="Q184" s="16">
        <v>1482</v>
      </c>
      <c r="R184" s="16">
        <v>908</v>
      </c>
      <c r="S184" s="16">
        <v>663</v>
      </c>
      <c r="T184" s="16">
        <v>7</v>
      </c>
      <c r="U184" s="16">
        <v>0</v>
      </c>
      <c r="V184" s="16">
        <v>28</v>
      </c>
      <c r="W184" s="16">
        <v>10</v>
      </c>
      <c r="X184" s="16">
        <v>180</v>
      </c>
      <c r="Y184" s="16">
        <v>952</v>
      </c>
      <c r="Z184" s="16">
        <v>1463</v>
      </c>
      <c r="AA184" s="16">
        <v>180</v>
      </c>
      <c r="AB184" s="16">
        <v>0</v>
      </c>
      <c r="AC184" s="16">
        <v>0</v>
      </c>
      <c r="AD184" s="16">
        <v>0</v>
      </c>
      <c r="AE184" s="16">
        <v>138</v>
      </c>
      <c r="AF184" s="16">
        <v>6</v>
      </c>
      <c r="AG184" s="16">
        <v>5933</v>
      </c>
      <c r="AH184" s="16">
        <v>3053</v>
      </c>
      <c r="AI184" s="16">
        <v>686</v>
      </c>
      <c r="AJ184" s="16">
        <v>1511</v>
      </c>
      <c r="AK184" s="16">
        <v>13067</v>
      </c>
      <c r="AL184" s="16">
        <v>32</v>
      </c>
      <c r="AM184" s="16">
        <v>2428</v>
      </c>
      <c r="AN184" s="16">
        <v>58</v>
      </c>
      <c r="AO184" s="16">
        <v>3102</v>
      </c>
      <c r="AP184" s="16">
        <v>0</v>
      </c>
      <c r="AQ184" s="16">
        <v>0</v>
      </c>
      <c r="AR184" s="16">
        <v>0</v>
      </c>
      <c r="AS184" s="16">
        <v>0</v>
      </c>
      <c r="AT184" s="16">
        <v>201</v>
      </c>
      <c r="AU184" s="16">
        <v>1047</v>
      </c>
      <c r="AV184" s="16">
        <v>36</v>
      </c>
      <c r="AW184" s="16">
        <v>1582</v>
      </c>
      <c r="AX184" s="16">
        <v>571</v>
      </c>
      <c r="AY184" s="16">
        <v>0</v>
      </c>
      <c r="AZ184" s="16">
        <v>2785</v>
      </c>
      <c r="BA184" s="16">
        <v>3882</v>
      </c>
      <c r="BB184" s="16">
        <v>804</v>
      </c>
      <c r="BC184" s="16">
        <v>2369</v>
      </c>
      <c r="BD184" s="16">
        <v>108</v>
      </c>
      <c r="BE184" s="16">
        <v>5551</v>
      </c>
      <c r="BF184" s="16">
        <v>13751</v>
      </c>
      <c r="BG184" s="16">
        <v>1452</v>
      </c>
      <c r="BH184" s="16">
        <v>576</v>
      </c>
      <c r="BI184" s="16">
        <v>306</v>
      </c>
      <c r="BJ184" s="16">
        <v>134</v>
      </c>
      <c r="BK184" s="16">
        <v>495</v>
      </c>
      <c r="BL184" s="16">
        <v>1400</v>
      </c>
      <c r="BM184" s="16">
        <v>1862</v>
      </c>
      <c r="BN184" s="16">
        <v>2655</v>
      </c>
      <c r="BO184" s="16">
        <v>5046</v>
      </c>
      <c r="BP184" s="16">
        <v>3737</v>
      </c>
      <c r="BQ184" s="16">
        <v>268</v>
      </c>
      <c r="BR184" s="16">
        <v>1694</v>
      </c>
      <c r="BS184" s="16">
        <v>2349</v>
      </c>
      <c r="BT184" s="16">
        <v>27</v>
      </c>
      <c r="BU184" s="16">
        <v>1</v>
      </c>
      <c r="BV184" s="16">
        <v>0</v>
      </c>
      <c r="BW184" s="16">
        <v>1968</v>
      </c>
      <c r="BX184" s="16">
        <v>239</v>
      </c>
      <c r="BY184" s="16">
        <v>0</v>
      </c>
      <c r="BZ184" s="16">
        <v>8991</v>
      </c>
      <c r="CA184" s="16">
        <v>5093</v>
      </c>
      <c r="CB184" s="16">
        <v>4460</v>
      </c>
      <c r="CC184" s="16">
        <v>43237</v>
      </c>
      <c r="CD184" s="16">
        <v>3966</v>
      </c>
      <c r="CE184" s="16">
        <v>8093</v>
      </c>
      <c r="CF184" s="16">
        <v>20125</v>
      </c>
      <c r="CG184" s="16">
        <v>10747</v>
      </c>
      <c r="CH184" s="16">
        <v>15766</v>
      </c>
      <c r="CI184" s="16">
        <v>1147</v>
      </c>
      <c r="CJ184" s="16">
        <v>1880</v>
      </c>
      <c r="CK184" s="16">
        <v>7809</v>
      </c>
      <c r="CL184" s="16">
        <v>8210</v>
      </c>
      <c r="CM184" s="16">
        <v>2632</v>
      </c>
      <c r="CN184" s="16">
        <v>1889</v>
      </c>
      <c r="CO184" s="16">
        <v>1359</v>
      </c>
      <c r="CP184" s="16">
        <v>4123</v>
      </c>
      <c r="CQ184" s="16">
        <v>16940</v>
      </c>
      <c r="CR184" s="16">
        <v>645</v>
      </c>
      <c r="CS184" s="16">
        <v>2747</v>
      </c>
      <c r="CT184" s="16">
        <v>2356</v>
      </c>
      <c r="CU184" s="16">
        <v>3421</v>
      </c>
      <c r="CV184" s="16">
        <v>8111</v>
      </c>
      <c r="CW184" s="16">
        <v>26690</v>
      </c>
      <c r="CX184" s="16">
        <v>21455</v>
      </c>
      <c r="CY184" s="16">
        <v>3513</v>
      </c>
      <c r="CZ184" s="16">
        <v>368</v>
      </c>
      <c r="DA184" s="16">
        <v>4</v>
      </c>
      <c r="DB184" s="16">
        <v>592</v>
      </c>
      <c r="DC184" s="16">
        <v>114</v>
      </c>
      <c r="DD184" s="16">
        <v>4942</v>
      </c>
      <c r="DE184" s="16">
        <v>416</v>
      </c>
      <c r="DF184" s="16">
        <v>1630</v>
      </c>
      <c r="DG184" s="16">
        <v>743</v>
      </c>
      <c r="DH184" s="16">
        <v>467</v>
      </c>
      <c r="DI184" s="16">
        <v>1141</v>
      </c>
      <c r="DJ184" s="16">
        <v>10957</v>
      </c>
      <c r="DK184" s="16">
        <v>555</v>
      </c>
      <c r="DL184" s="16">
        <v>825</v>
      </c>
      <c r="DM184" s="16">
        <v>6678</v>
      </c>
      <c r="DN184" s="16">
        <v>466</v>
      </c>
      <c r="DO184" s="16">
        <v>195</v>
      </c>
      <c r="DP184" s="16">
        <v>1154</v>
      </c>
      <c r="DQ184" s="16">
        <v>18</v>
      </c>
      <c r="DR184" s="16">
        <v>462</v>
      </c>
      <c r="DS184" s="16">
        <v>17135</v>
      </c>
      <c r="DT184" s="16">
        <v>221</v>
      </c>
      <c r="DU184" s="16">
        <v>668</v>
      </c>
      <c r="DV184" s="16">
        <v>592</v>
      </c>
      <c r="DW184" s="16">
        <v>44760</v>
      </c>
      <c r="DX184" s="16">
        <v>76662</v>
      </c>
      <c r="DY184" s="16">
        <v>51392</v>
      </c>
      <c r="DZ184" s="16">
        <v>23680</v>
      </c>
      <c r="EA184" s="16">
        <v>48606</v>
      </c>
      <c r="EB184" s="16">
        <v>48012</v>
      </c>
      <c r="EC184" s="16">
        <v>241407</v>
      </c>
      <c r="ED184" s="16">
        <v>14775</v>
      </c>
      <c r="EE184" s="16">
        <v>38</v>
      </c>
      <c r="EF184" s="16">
        <v>694</v>
      </c>
      <c r="EG184" s="16">
        <v>16148</v>
      </c>
      <c r="EH184" s="16">
        <v>6043</v>
      </c>
      <c r="EI184" s="16">
        <v>562</v>
      </c>
      <c r="EJ184" s="16">
        <v>9016</v>
      </c>
      <c r="EK184" s="16">
        <v>5615</v>
      </c>
      <c r="EL184" s="16">
        <v>890</v>
      </c>
      <c r="EM184" s="16">
        <v>1104</v>
      </c>
      <c r="EN184" s="16">
        <v>31972</v>
      </c>
      <c r="EO184" s="16">
        <v>224389</v>
      </c>
      <c r="EP184" s="16">
        <v>454</v>
      </c>
      <c r="EQ184" s="16">
        <v>8174</v>
      </c>
      <c r="ER184" s="16">
        <v>260</v>
      </c>
      <c r="ES184" s="16">
        <v>226</v>
      </c>
      <c r="ET184" s="16">
        <v>7354</v>
      </c>
      <c r="EU184" s="16">
        <v>107</v>
      </c>
      <c r="EV184" s="16">
        <v>95</v>
      </c>
      <c r="EW184" s="16">
        <v>228</v>
      </c>
      <c r="EX184" s="16">
        <v>56852</v>
      </c>
      <c r="EY184" s="16">
        <v>2500</v>
      </c>
      <c r="EZ184" s="16">
        <v>728</v>
      </c>
      <c r="FA184" s="16">
        <v>598</v>
      </c>
      <c r="FB184" s="16">
        <v>3404</v>
      </c>
      <c r="FC184" s="16">
        <v>6074</v>
      </c>
      <c r="FD184" s="16">
        <v>69138</v>
      </c>
      <c r="FE184" s="16">
        <v>7897</v>
      </c>
      <c r="FF184" s="16">
        <v>2071</v>
      </c>
      <c r="FG184" s="16">
        <v>59270</v>
      </c>
      <c r="FH184" s="16">
        <v>12</v>
      </c>
      <c r="FI184" s="16">
        <v>4136</v>
      </c>
      <c r="FJ184" s="16">
        <v>322</v>
      </c>
      <c r="FK184" s="16">
        <v>2773</v>
      </c>
      <c r="FL184" s="16">
        <v>11</v>
      </c>
      <c r="FM184" s="16">
        <v>2770</v>
      </c>
      <c r="FN184" s="16">
        <v>83048</v>
      </c>
      <c r="FO184" s="16">
        <v>3658</v>
      </c>
      <c r="FP184" s="16">
        <v>104335</v>
      </c>
      <c r="FQ184" s="16">
        <v>170706</v>
      </c>
      <c r="FR184" s="16">
        <v>194427</v>
      </c>
      <c r="FS184" s="16">
        <v>52726</v>
      </c>
      <c r="FT184" s="16">
        <v>56343</v>
      </c>
      <c r="FU184" s="16">
        <v>68964</v>
      </c>
      <c r="FV184" s="16">
        <v>180043</v>
      </c>
      <c r="FW184" s="16">
        <v>24261</v>
      </c>
      <c r="FX184" s="16">
        <v>415838</v>
      </c>
      <c r="FY184" s="16">
        <v>42136</v>
      </c>
      <c r="FZ184" s="16">
        <v>99749</v>
      </c>
      <c r="GA184" s="16">
        <v>25308</v>
      </c>
      <c r="GB184" s="16">
        <v>382743</v>
      </c>
      <c r="GC184" s="16">
        <v>13570</v>
      </c>
      <c r="GD184" s="16">
        <v>327831</v>
      </c>
      <c r="GE184" s="16">
        <v>1768</v>
      </c>
      <c r="GF184" s="16">
        <v>18141</v>
      </c>
      <c r="GG184" s="16">
        <v>7217</v>
      </c>
      <c r="GH184" s="16">
        <v>6615</v>
      </c>
      <c r="GI184" s="16">
        <v>6386</v>
      </c>
      <c r="GJ184" s="16">
        <v>37939</v>
      </c>
      <c r="GK184" s="16">
        <v>14729</v>
      </c>
      <c r="GL184" s="16">
        <v>1</v>
      </c>
      <c r="GM184" s="16">
        <v>453</v>
      </c>
      <c r="GN184" s="16">
        <v>2616</v>
      </c>
      <c r="GO184" s="16">
        <v>7914</v>
      </c>
      <c r="GP184" s="16">
        <v>10244</v>
      </c>
      <c r="GQ184" s="16">
        <v>52912</v>
      </c>
      <c r="GR184" s="16">
        <v>3060</v>
      </c>
      <c r="GS184" s="16">
        <v>2627</v>
      </c>
      <c r="GT184" s="16">
        <v>1829</v>
      </c>
      <c r="GU184" s="16">
        <v>13240</v>
      </c>
      <c r="GV184" s="16">
        <v>64866</v>
      </c>
      <c r="GW184" s="16">
        <v>26969</v>
      </c>
      <c r="GX184" s="16">
        <v>12310</v>
      </c>
      <c r="GY184" s="16">
        <v>44</v>
      </c>
      <c r="GZ184" s="16">
        <v>107444</v>
      </c>
      <c r="HA184" s="16">
        <v>35955</v>
      </c>
      <c r="HB184" s="16">
        <v>18274</v>
      </c>
      <c r="HC184" s="16">
        <v>96254</v>
      </c>
      <c r="HD184" s="16">
        <v>108468</v>
      </c>
      <c r="HE184" s="16">
        <v>7821</v>
      </c>
      <c r="HF184" s="16">
        <v>48199</v>
      </c>
      <c r="HG184" s="16">
        <v>13004</v>
      </c>
      <c r="HH184" s="16">
        <v>8372</v>
      </c>
      <c r="HI184" s="16">
        <v>63022</v>
      </c>
      <c r="HJ184" s="16">
        <v>10619</v>
      </c>
      <c r="HK184" s="16">
        <v>31749</v>
      </c>
      <c r="HL184" s="16">
        <v>162666</v>
      </c>
      <c r="HM184" s="16">
        <v>212371</v>
      </c>
      <c r="HN184" s="16">
        <v>174444</v>
      </c>
      <c r="HO184" s="16">
        <v>297663</v>
      </c>
      <c r="HP184" s="16">
        <v>67868</v>
      </c>
      <c r="HQ184" s="16">
        <v>180988</v>
      </c>
      <c r="HR184" s="16">
        <v>122204</v>
      </c>
      <c r="HS184" s="16">
        <v>96158</v>
      </c>
      <c r="HT184" s="16">
        <v>4916</v>
      </c>
      <c r="HU184" s="16">
        <v>85139</v>
      </c>
      <c r="HV184" s="16">
        <v>34809</v>
      </c>
      <c r="HW184" s="16">
        <v>78566</v>
      </c>
      <c r="HX184" s="16">
        <v>92275</v>
      </c>
      <c r="HY184" s="16">
        <v>154300</v>
      </c>
      <c r="HZ184" s="16">
        <v>103665</v>
      </c>
      <c r="IA184" s="16">
        <v>46385</v>
      </c>
      <c r="IB184" s="16">
        <v>13460</v>
      </c>
      <c r="IC184" s="16">
        <v>8862</v>
      </c>
      <c r="ID184" s="16">
        <v>29390</v>
      </c>
      <c r="IE184" s="16">
        <v>4703</v>
      </c>
      <c r="IF184" s="16">
        <v>21896</v>
      </c>
      <c r="IG184" s="16">
        <v>168028</v>
      </c>
      <c r="IH184" s="16">
        <v>107631</v>
      </c>
      <c r="II184" s="16">
        <v>13335</v>
      </c>
      <c r="IJ184" s="16">
        <v>1341</v>
      </c>
      <c r="IK184" s="16">
        <v>3558</v>
      </c>
      <c r="IL184" s="16">
        <v>10758</v>
      </c>
      <c r="IM184" s="16">
        <v>1066</v>
      </c>
      <c r="IN184" s="16">
        <v>39866</v>
      </c>
      <c r="IO184" s="16">
        <v>667256</v>
      </c>
      <c r="IP184" s="16">
        <v>35318</v>
      </c>
      <c r="IQ184" s="16">
        <v>55589</v>
      </c>
      <c r="IR184" s="16">
        <v>7637</v>
      </c>
      <c r="IS184" s="16">
        <v>20761</v>
      </c>
      <c r="IT184" s="16">
        <v>126148</v>
      </c>
      <c r="IU184" s="16">
        <v>238</v>
      </c>
      <c r="IV184" s="16">
        <v>62873</v>
      </c>
      <c r="IW184" s="16">
        <v>78143</v>
      </c>
      <c r="IX184" s="16">
        <v>49669</v>
      </c>
      <c r="IY184" s="16">
        <v>59884</v>
      </c>
      <c r="IZ184" s="16">
        <v>843</v>
      </c>
      <c r="JA184" s="16">
        <v>13398</v>
      </c>
      <c r="JB184" s="16">
        <v>2049</v>
      </c>
      <c r="JC184" s="16">
        <v>2196</v>
      </c>
      <c r="JD184" s="16">
        <v>4217</v>
      </c>
      <c r="JE184" s="16">
        <v>28824</v>
      </c>
      <c r="JF184" s="16">
        <v>22299</v>
      </c>
      <c r="JG184" s="16">
        <v>179664</v>
      </c>
      <c r="JH184" s="16">
        <v>28261</v>
      </c>
      <c r="JI184" s="16">
        <v>932</v>
      </c>
      <c r="JJ184" s="16">
        <v>4064</v>
      </c>
      <c r="JK184" s="16">
        <v>12652</v>
      </c>
      <c r="JL184" s="16">
        <v>371</v>
      </c>
      <c r="JM184" s="16">
        <v>2841</v>
      </c>
      <c r="JN184" s="16">
        <v>39775</v>
      </c>
      <c r="JO184" s="16">
        <v>3486</v>
      </c>
      <c r="JP184" s="16">
        <v>9640</v>
      </c>
      <c r="JQ184" s="16">
        <v>1174</v>
      </c>
      <c r="JR184" s="16">
        <v>5986</v>
      </c>
      <c r="JS184" s="16">
        <v>1066</v>
      </c>
      <c r="JT184" s="16">
        <v>0</v>
      </c>
      <c r="JU184" s="16">
        <v>5361</v>
      </c>
      <c r="JV184" s="16">
        <v>10210</v>
      </c>
      <c r="JW184" s="16">
        <v>249962</v>
      </c>
      <c r="JX184" s="16">
        <v>311127</v>
      </c>
      <c r="JY184" s="16">
        <v>132512</v>
      </c>
      <c r="JZ184" s="16">
        <v>35201</v>
      </c>
      <c r="KA184" s="16">
        <v>33738</v>
      </c>
      <c r="KB184" s="16">
        <v>2991</v>
      </c>
      <c r="KC184" s="16">
        <v>32309</v>
      </c>
      <c r="KD184" s="16">
        <v>24874</v>
      </c>
      <c r="KE184" s="16">
        <v>3783</v>
      </c>
      <c r="KF184" s="16">
        <v>54229</v>
      </c>
      <c r="KG184" s="16">
        <v>11506</v>
      </c>
      <c r="KH184" s="16">
        <v>24842</v>
      </c>
      <c r="KI184" s="16">
        <v>26071</v>
      </c>
      <c r="KJ184" s="16">
        <v>72063</v>
      </c>
      <c r="KK184" s="16">
        <v>165100</v>
      </c>
      <c r="KL184" s="16">
        <v>45</v>
      </c>
      <c r="KM184" s="16">
        <v>416</v>
      </c>
      <c r="KN184" s="16">
        <v>3</v>
      </c>
      <c r="KO184" s="16">
        <v>1399</v>
      </c>
      <c r="KP184" s="16">
        <v>903</v>
      </c>
      <c r="KQ184" s="16">
        <v>123119</v>
      </c>
      <c r="KR184" s="16">
        <v>3309</v>
      </c>
      <c r="KS184" s="16">
        <v>7954</v>
      </c>
      <c r="KT184" s="16">
        <v>0</v>
      </c>
      <c r="KU184" s="16">
        <v>16090</v>
      </c>
      <c r="KV184" s="16">
        <v>42528</v>
      </c>
      <c r="KW184" s="16">
        <v>54571</v>
      </c>
      <c r="KX184" s="16">
        <v>15</v>
      </c>
      <c r="KY184" s="16">
        <v>0</v>
      </c>
      <c r="KZ184" s="16">
        <v>51749</v>
      </c>
      <c r="LA184" s="16">
        <v>6033</v>
      </c>
      <c r="LB184" s="16">
        <v>1238</v>
      </c>
      <c r="LC184" s="16">
        <v>3314</v>
      </c>
      <c r="LD184" s="16">
        <v>2491</v>
      </c>
      <c r="LE184" s="16">
        <v>793</v>
      </c>
      <c r="LF184" s="16">
        <v>169</v>
      </c>
      <c r="LG184" s="16">
        <v>74</v>
      </c>
      <c r="LH184" s="16">
        <v>978</v>
      </c>
      <c r="LI184" s="16">
        <v>9</v>
      </c>
      <c r="LJ184" s="16">
        <v>413</v>
      </c>
      <c r="LK184" s="16">
        <v>1272</v>
      </c>
      <c r="LL184" s="16">
        <v>1117</v>
      </c>
      <c r="LM184" s="16">
        <v>4260</v>
      </c>
      <c r="LN184" s="16">
        <v>1919</v>
      </c>
      <c r="LO184" s="16">
        <v>137</v>
      </c>
      <c r="LP184" s="16">
        <v>4439</v>
      </c>
      <c r="LQ184" s="16">
        <v>1698</v>
      </c>
      <c r="LR184" s="16">
        <v>3100</v>
      </c>
      <c r="LS184" s="16">
        <v>1399</v>
      </c>
      <c r="LT184" s="16">
        <v>1577</v>
      </c>
      <c r="LU184" s="16">
        <v>799</v>
      </c>
      <c r="LV184" s="16">
        <v>15</v>
      </c>
      <c r="LW184" s="16">
        <v>267</v>
      </c>
      <c r="LX184" s="16">
        <v>2815</v>
      </c>
      <c r="LY184" s="16">
        <v>0</v>
      </c>
      <c r="LZ184" s="16">
        <v>1179</v>
      </c>
      <c r="MA184" s="16">
        <v>3409</v>
      </c>
      <c r="MB184" s="16">
        <v>5116</v>
      </c>
      <c r="MC184" s="16">
        <v>1429</v>
      </c>
      <c r="MD184" s="16">
        <v>1857</v>
      </c>
      <c r="ME184" s="16">
        <v>2991</v>
      </c>
      <c r="MF184" s="16">
        <v>28080</v>
      </c>
      <c r="MG184" s="16">
        <v>2171</v>
      </c>
      <c r="MH184" s="16">
        <v>10528</v>
      </c>
      <c r="MI184" s="16">
        <v>2161</v>
      </c>
      <c r="MJ184" s="16">
        <v>1335</v>
      </c>
      <c r="MK184" s="16">
        <v>2001</v>
      </c>
      <c r="ML184" s="16">
        <v>763</v>
      </c>
      <c r="MM184" s="16">
        <v>3837</v>
      </c>
      <c r="MN184" s="16">
        <v>10665</v>
      </c>
      <c r="MO184" s="16">
        <v>1404</v>
      </c>
      <c r="MP184" s="16">
        <v>7344</v>
      </c>
      <c r="MQ184" s="16">
        <v>5104</v>
      </c>
      <c r="MR184" s="16">
        <v>653</v>
      </c>
      <c r="MS184" s="16">
        <v>270</v>
      </c>
      <c r="MT184" s="16">
        <v>0</v>
      </c>
      <c r="MU184" s="16">
        <v>6824</v>
      </c>
      <c r="MV184" s="16">
        <v>13353</v>
      </c>
      <c r="MW184" s="16">
        <v>52852</v>
      </c>
      <c r="MX184" s="16">
        <v>0</v>
      </c>
      <c r="MY184" s="16">
        <v>1852</v>
      </c>
      <c r="MZ184" s="16">
        <v>535</v>
      </c>
      <c r="NA184" s="16">
        <v>0</v>
      </c>
      <c r="NB184" s="16">
        <v>6151</v>
      </c>
      <c r="NC184" s="16">
        <v>1210</v>
      </c>
      <c r="ND184" s="16">
        <v>1502</v>
      </c>
      <c r="NE184" s="16">
        <v>1139</v>
      </c>
      <c r="NF184" s="16">
        <v>1447</v>
      </c>
      <c r="NG184" s="16">
        <v>927</v>
      </c>
      <c r="NH184" s="16">
        <v>501</v>
      </c>
      <c r="NI184" s="16">
        <v>3388</v>
      </c>
      <c r="NJ184" s="16">
        <v>5839</v>
      </c>
      <c r="NK184" s="16">
        <v>35479</v>
      </c>
      <c r="NL184" s="16">
        <v>18172</v>
      </c>
      <c r="NM184" s="16">
        <v>1760</v>
      </c>
      <c r="NN184" s="16">
        <v>2168</v>
      </c>
      <c r="NO184" s="16">
        <v>0</v>
      </c>
      <c r="NP184" s="16">
        <v>387</v>
      </c>
      <c r="NQ184" s="16">
        <v>1154</v>
      </c>
      <c r="NR184" s="17">
        <v>10204189</v>
      </c>
    </row>
    <row r="185" spans="1:382" ht="13.5" customHeight="1" x14ac:dyDescent="0.2">
      <c r="A185" s="2" t="s">
        <v>377</v>
      </c>
      <c r="B185" s="16">
        <v>2</v>
      </c>
      <c r="C185" s="16">
        <v>0</v>
      </c>
      <c r="D185" s="16">
        <v>0</v>
      </c>
      <c r="E185" s="16">
        <v>0</v>
      </c>
      <c r="F185" s="16">
        <v>1341</v>
      </c>
      <c r="G185" s="16">
        <v>1</v>
      </c>
      <c r="H185" s="16">
        <v>1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67</v>
      </c>
      <c r="Q185" s="16">
        <v>119</v>
      </c>
      <c r="R185" s="16">
        <v>285</v>
      </c>
      <c r="S185" s="16">
        <v>4</v>
      </c>
      <c r="T185" s="16">
        <v>2</v>
      </c>
      <c r="U185" s="16">
        <v>0</v>
      </c>
      <c r="V185" s="16">
        <v>0</v>
      </c>
      <c r="W185" s="16">
        <v>0</v>
      </c>
      <c r="X185" s="16">
        <v>21</v>
      </c>
      <c r="Y185" s="16">
        <v>1348</v>
      </c>
      <c r="Z185" s="16">
        <v>534</v>
      </c>
      <c r="AA185" s="16">
        <v>2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90</v>
      </c>
      <c r="AH185" s="16">
        <v>220</v>
      </c>
      <c r="AI185" s="16">
        <v>18</v>
      </c>
      <c r="AJ185" s="16">
        <v>5</v>
      </c>
      <c r="AK185" s="16">
        <v>6</v>
      </c>
      <c r="AL185" s="16">
        <v>182935</v>
      </c>
      <c r="AM185" s="16">
        <v>72995</v>
      </c>
      <c r="AN185" s="16">
        <v>216284</v>
      </c>
      <c r="AO185" s="16">
        <v>34365</v>
      </c>
      <c r="AP185" s="16">
        <v>0</v>
      </c>
      <c r="AQ185" s="16">
        <v>0</v>
      </c>
      <c r="AR185" s="16">
        <v>0</v>
      </c>
      <c r="AS185" s="16">
        <v>0</v>
      </c>
      <c r="AT185" s="16">
        <v>21048</v>
      </c>
      <c r="AU185" s="16">
        <v>1622</v>
      </c>
      <c r="AV185" s="16">
        <v>108</v>
      </c>
      <c r="AW185" s="16">
        <v>78696</v>
      </c>
      <c r="AX185" s="16">
        <v>5330</v>
      </c>
      <c r="AY185" s="16">
        <v>171540</v>
      </c>
      <c r="AZ185" s="16">
        <v>63129</v>
      </c>
      <c r="BA185" s="16">
        <v>46418</v>
      </c>
      <c r="BB185" s="16">
        <v>38041</v>
      </c>
      <c r="BC185" s="16">
        <v>3269</v>
      </c>
      <c r="BD185" s="16">
        <v>317</v>
      </c>
      <c r="BE185" s="16">
        <v>3208</v>
      </c>
      <c r="BF185" s="16">
        <v>296742</v>
      </c>
      <c r="BG185" s="16">
        <v>18235</v>
      </c>
      <c r="BH185" s="16">
        <v>855915</v>
      </c>
      <c r="BI185" s="16">
        <v>0</v>
      </c>
      <c r="BJ185" s="16">
        <v>9</v>
      </c>
      <c r="BK185" s="16">
        <v>1</v>
      </c>
      <c r="BL185" s="16">
        <v>17</v>
      </c>
      <c r="BM185" s="16">
        <v>21</v>
      </c>
      <c r="BN185" s="16">
        <v>41</v>
      </c>
      <c r="BO185" s="16">
        <v>34</v>
      </c>
      <c r="BP185" s="16">
        <v>994</v>
      </c>
      <c r="BQ185" s="16">
        <v>76</v>
      </c>
      <c r="BR185" s="16">
        <v>34</v>
      </c>
      <c r="BS185" s="16">
        <v>312</v>
      </c>
      <c r="BT185" s="16">
        <v>6</v>
      </c>
      <c r="BU185" s="16">
        <v>4</v>
      </c>
      <c r="BV185" s="16">
        <v>0</v>
      </c>
      <c r="BW185" s="16">
        <v>280</v>
      </c>
      <c r="BX185" s="16">
        <v>13</v>
      </c>
      <c r="BY185" s="16">
        <v>0</v>
      </c>
      <c r="BZ185" s="16">
        <v>3410</v>
      </c>
      <c r="CA185" s="16">
        <v>32</v>
      </c>
      <c r="CB185" s="16">
        <v>339</v>
      </c>
      <c r="CC185" s="16">
        <v>217</v>
      </c>
      <c r="CD185" s="16">
        <v>3</v>
      </c>
      <c r="CE185" s="16">
        <v>1</v>
      </c>
      <c r="CF185" s="16">
        <v>109</v>
      </c>
      <c r="CG185" s="16">
        <v>99</v>
      </c>
      <c r="CH185" s="16">
        <v>220</v>
      </c>
      <c r="CI185" s="16">
        <v>393</v>
      </c>
      <c r="CJ185" s="16">
        <v>477</v>
      </c>
      <c r="CK185" s="16">
        <v>2798</v>
      </c>
      <c r="CL185" s="16">
        <v>53</v>
      </c>
      <c r="CM185" s="16">
        <v>3</v>
      </c>
      <c r="CN185" s="16">
        <v>36</v>
      </c>
      <c r="CO185" s="16">
        <v>4</v>
      </c>
      <c r="CP185" s="16">
        <v>441</v>
      </c>
      <c r="CQ185" s="16">
        <v>218</v>
      </c>
      <c r="CR185" s="16">
        <v>69</v>
      </c>
      <c r="CS185" s="16">
        <v>6829</v>
      </c>
      <c r="CT185" s="16">
        <v>14281</v>
      </c>
      <c r="CU185" s="16">
        <v>17439</v>
      </c>
      <c r="CV185" s="16">
        <v>23882</v>
      </c>
      <c r="CW185" s="16">
        <v>63968</v>
      </c>
      <c r="CX185" s="16">
        <v>192760</v>
      </c>
      <c r="CY185" s="16">
        <v>6458</v>
      </c>
      <c r="CZ185" s="16">
        <v>333847</v>
      </c>
      <c r="DA185" s="16">
        <v>65460</v>
      </c>
      <c r="DB185" s="16">
        <v>115366</v>
      </c>
      <c r="DC185" s="16">
        <v>2139</v>
      </c>
      <c r="DD185" s="16">
        <v>11615</v>
      </c>
      <c r="DE185" s="16">
        <v>525</v>
      </c>
      <c r="DF185" s="16">
        <v>24628</v>
      </c>
      <c r="DG185" s="16">
        <v>5688</v>
      </c>
      <c r="DH185" s="16">
        <v>16236</v>
      </c>
      <c r="DI185" s="16">
        <v>21553</v>
      </c>
      <c r="DJ185" s="16">
        <v>73385</v>
      </c>
      <c r="DK185" s="16">
        <v>5054</v>
      </c>
      <c r="DL185" s="16">
        <v>969</v>
      </c>
      <c r="DM185" s="16">
        <v>204766</v>
      </c>
      <c r="DN185" s="16">
        <v>4703</v>
      </c>
      <c r="DO185" s="16">
        <v>5277</v>
      </c>
      <c r="DP185" s="16">
        <v>151124</v>
      </c>
      <c r="DQ185" s="16">
        <v>29261</v>
      </c>
      <c r="DR185" s="16">
        <v>4035</v>
      </c>
      <c r="DS185" s="16">
        <v>63866</v>
      </c>
      <c r="DT185" s="16">
        <v>15878</v>
      </c>
      <c r="DU185" s="16">
        <v>37086</v>
      </c>
      <c r="DV185" s="16">
        <v>18657</v>
      </c>
      <c r="DW185" s="16">
        <v>4085</v>
      </c>
      <c r="DX185" s="16">
        <v>725</v>
      </c>
      <c r="DY185" s="16">
        <v>1349</v>
      </c>
      <c r="DZ185" s="16">
        <v>2043</v>
      </c>
      <c r="EA185" s="16">
        <v>6055</v>
      </c>
      <c r="EB185" s="16">
        <v>93</v>
      </c>
      <c r="EC185" s="16">
        <v>2967</v>
      </c>
      <c r="ED185" s="16">
        <v>165</v>
      </c>
      <c r="EE185" s="16">
        <v>37</v>
      </c>
      <c r="EF185" s="16">
        <v>42</v>
      </c>
      <c r="EG185" s="16">
        <v>1020</v>
      </c>
      <c r="EH185" s="16">
        <v>106</v>
      </c>
      <c r="EI185" s="16">
        <v>10</v>
      </c>
      <c r="EJ185" s="16">
        <v>150</v>
      </c>
      <c r="EK185" s="16">
        <v>473</v>
      </c>
      <c r="EL185" s="16">
        <v>6</v>
      </c>
      <c r="EM185" s="16">
        <v>38</v>
      </c>
      <c r="EN185" s="16">
        <v>670</v>
      </c>
      <c r="EO185" s="16">
        <v>2726</v>
      </c>
      <c r="EP185" s="16">
        <v>307</v>
      </c>
      <c r="EQ185" s="16">
        <v>19</v>
      </c>
      <c r="ER185" s="16">
        <v>36</v>
      </c>
      <c r="ES185" s="16">
        <v>2760</v>
      </c>
      <c r="ET185" s="16">
        <v>4927</v>
      </c>
      <c r="EU185" s="16">
        <v>4</v>
      </c>
      <c r="EV185" s="16">
        <v>263</v>
      </c>
      <c r="EW185" s="16">
        <v>22</v>
      </c>
      <c r="EX185" s="16">
        <v>10125</v>
      </c>
      <c r="EY185" s="16">
        <v>1990</v>
      </c>
      <c r="EZ185" s="16">
        <v>21</v>
      </c>
      <c r="FA185" s="16">
        <v>46</v>
      </c>
      <c r="FB185" s="16">
        <v>268</v>
      </c>
      <c r="FC185" s="16">
        <v>11</v>
      </c>
      <c r="FD185" s="16">
        <v>6510</v>
      </c>
      <c r="FE185" s="16">
        <v>259</v>
      </c>
      <c r="FF185" s="16">
        <v>89</v>
      </c>
      <c r="FG185" s="16">
        <v>308</v>
      </c>
      <c r="FH185" s="16">
        <v>1</v>
      </c>
      <c r="FI185" s="16">
        <v>716</v>
      </c>
      <c r="FJ185" s="16">
        <v>302</v>
      </c>
      <c r="FK185" s="16">
        <v>551</v>
      </c>
      <c r="FL185" s="16">
        <v>47</v>
      </c>
      <c r="FM185" s="16">
        <v>1005</v>
      </c>
      <c r="FN185" s="16">
        <v>554</v>
      </c>
      <c r="FO185" s="16">
        <v>685</v>
      </c>
      <c r="FP185" s="16">
        <v>3221</v>
      </c>
      <c r="FQ185" s="16">
        <v>7515</v>
      </c>
      <c r="FR185" s="16">
        <v>6703</v>
      </c>
      <c r="FS185" s="16">
        <v>703</v>
      </c>
      <c r="FT185" s="16">
        <v>1349</v>
      </c>
      <c r="FU185" s="16">
        <v>3528</v>
      </c>
      <c r="FV185" s="16">
        <v>21268</v>
      </c>
      <c r="FW185" s="16">
        <v>5800</v>
      </c>
      <c r="FX185" s="16">
        <v>12646</v>
      </c>
      <c r="FY185" s="16">
        <v>1083</v>
      </c>
      <c r="FZ185" s="16">
        <v>1819</v>
      </c>
      <c r="GA185" s="16">
        <v>938</v>
      </c>
      <c r="GB185" s="16">
        <v>10118</v>
      </c>
      <c r="GC185" s="16">
        <v>19863</v>
      </c>
      <c r="GD185" s="16">
        <v>2954</v>
      </c>
      <c r="GE185" s="16">
        <v>201</v>
      </c>
      <c r="GF185" s="16">
        <v>4334</v>
      </c>
      <c r="GG185" s="16">
        <v>7947</v>
      </c>
      <c r="GH185" s="16">
        <v>3740</v>
      </c>
      <c r="GI185" s="16">
        <v>821</v>
      </c>
      <c r="GJ185" s="16">
        <v>3112</v>
      </c>
      <c r="GK185" s="16">
        <v>696</v>
      </c>
      <c r="GL185" s="16">
        <v>5</v>
      </c>
      <c r="GM185" s="16">
        <v>18</v>
      </c>
      <c r="GN185" s="16">
        <v>28</v>
      </c>
      <c r="GO185" s="16">
        <v>1143</v>
      </c>
      <c r="GP185" s="16">
        <v>56</v>
      </c>
      <c r="GQ185" s="16">
        <v>2162</v>
      </c>
      <c r="GR185" s="16">
        <v>1526</v>
      </c>
      <c r="GS185" s="16">
        <v>68</v>
      </c>
      <c r="GT185" s="16">
        <v>60</v>
      </c>
      <c r="GU185" s="16">
        <v>1466</v>
      </c>
      <c r="GV185" s="16">
        <v>3479</v>
      </c>
      <c r="GW185" s="16">
        <v>1072</v>
      </c>
      <c r="GX185" s="16">
        <v>69</v>
      </c>
      <c r="GY185" s="16">
        <v>1</v>
      </c>
      <c r="GZ185" s="16">
        <v>1756</v>
      </c>
      <c r="HA185" s="16">
        <v>2126</v>
      </c>
      <c r="HB185" s="16">
        <v>3956</v>
      </c>
      <c r="HC185" s="16">
        <v>2137</v>
      </c>
      <c r="HD185" s="16">
        <v>3161</v>
      </c>
      <c r="HE185" s="16">
        <v>46510</v>
      </c>
      <c r="HF185" s="16">
        <v>18707</v>
      </c>
      <c r="HG185" s="16">
        <v>1364</v>
      </c>
      <c r="HH185" s="16">
        <v>506</v>
      </c>
      <c r="HI185" s="16">
        <v>5071</v>
      </c>
      <c r="HJ185" s="16">
        <v>206</v>
      </c>
      <c r="HK185" s="16">
        <v>327</v>
      </c>
      <c r="HL185" s="16">
        <v>16816</v>
      </c>
      <c r="HM185" s="16">
        <v>822</v>
      </c>
      <c r="HN185" s="16">
        <v>3012</v>
      </c>
      <c r="HO185" s="16">
        <v>2962</v>
      </c>
      <c r="HP185" s="16">
        <v>2572</v>
      </c>
      <c r="HQ185" s="16">
        <v>4100</v>
      </c>
      <c r="HR185" s="16">
        <v>4144</v>
      </c>
      <c r="HS185" s="16">
        <v>5230</v>
      </c>
      <c r="HT185" s="16">
        <v>318</v>
      </c>
      <c r="HU185" s="16">
        <v>10827</v>
      </c>
      <c r="HV185" s="16">
        <v>354</v>
      </c>
      <c r="HW185" s="16">
        <v>627</v>
      </c>
      <c r="HX185" s="16">
        <v>1726</v>
      </c>
      <c r="HY185" s="16">
        <v>1941</v>
      </c>
      <c r="HZ185" s="16">
        <v>3963</v>
      </c>
      <c r="IA185" s="16">
        <v>1806</v>
      </c>
      <c r="IB185" s="16">
        <v>848</v>
      </c>
      <c r="IC185" s="16">
        <v>332</v>
      </c>
      <c r="ID185" s="16">
        <v>820</v>
      </c>
      <c r="IE185" s="16">
        <v>43</v>
      </c>
      <c r="IF185" s="16">
        <v>455</v>
      </c>
      <c r="IG185" s="16">
        <v>2645</v>
      </c>
      <c r="IH185" s="16">
        <v>2304</v>
      </c>
      <c r="II185" s="16">
        <v>295</v>
      </c>
      <c r="IJ185" s="16">
        <v>68</v>
      </c>
      <c r="IK185" s="16">
        <v>295</v>
      </c>
      <c r="IL185" s="16">
        <v>589</v>
      </c>
      <c r="IM185" s="16">
        <v>14</v>
      </c>
      <c r="IN185" s="16">
        <v>829</v>
      </c>
      <c r="IO185" s="16">
        <v>2698</v>
      </c>
      <c r="IP185" s="16">
        <v>1496</v>
      </c>
      <c r="IQ185" s="16">
        <v>807</v>
      </c>
      <c r="IR185" s="16">
        <v>401</v>
      </c>
      <c r="IS185" s="16">
        <v>1596</v>
      </c>
      <c r="IT185" s="16">
        <v>219</v>
      </c>
      <c r="IU185" s="16">
        <v>1</v>
      </c>
      <c r="IV185" s="16">
        <v>1362</v>
      </c>
      <c r="IW185" s="16">
        <v>1163</v>
      </c>
      <c r="IX185" s="16">
        <v>407</v>
      </c>
      <c r="IY185" s="16">
        <v>356</v>
      </c>
      <c r="IZ185" s="16">
        <v>34</v>
      </c>
      <c r="JA185" s="16">
        <v>1861</v>
      </c>
      <c r="JB185" s="16">
        <v>14</v>
      </c>
      <c r="JC185" s="16">
        <v>111</v>
      </c>
      <c r="JD185" s="16">
        <v>23</v>
      </c>
      <c r="JE185" s="16">
        <v>243</v>
      </c>
      <c r="JF185" s="16">
        <v>1125</v>
      </c>
      <c r="JG185" s="16">
        <v>14897</v>
      </c>
      <c r="JH185" s="16">
        <v>203</v>
      </c>
      <c r="JI185" s="16">
        <v>344</v>
      </c>
      <c r="JJ185" s="16">
        <v>5413</v>
      </c>
      <c r="JK185" s="16">
        <v>9307</v>
      </c>
      <c r="JL185" s="16">
        <v>30</v>
      </c>
      <c r="JM185" s="16">
        <v>1</v>
      </c>
      <c r="JN185" s="16">
        <v>11</v>
      </c>
      <c r="JO185" s="16">
        <v>3</v>
      </c>
      <c r="JP185" s="16">
        <v>58</v>
      </c>
      <c r="JQ185" s="16">
        <v>1</v>
      </c>
      <c r="JR185" s="16">
        <v>1262</v>
      </c>
      <c r="JS185" s="16">
        <v>879</v>
      </c>
      <c r="JT185" s="16">
        <v>0</v>
      </c>
      <c r="JU185" s="16">
        <v>3872</v>
      </c>
      <c r="JV185" s="16">
        <v>3377</v>
      </c>
      <c r="JW185" s="16">
        <v>11324</v>
      </c>
      <c r="JX185" s="16">
        <v>5950</v>
      </c>
      <c r="JY185" s="16">
        <v>3041</v>
      </c>
      <c r="JZ185" s="16">
        <v>170</v>
      </c>
      <c r="KA185" s="16">
        <v>2347</v>
      </c>
      <c r="KB185" s="16">
        <v>30</v>
      </c>
      <c r="KC185" s="16">
        <v>145</v>
      </c>
      <c r="KD185" s="16">
        <v>9</v>
      </c>
      <c r="KE185" s="16">
        <v>22</v>
      </c>
      <c r="KF185" s="16">
        <v>771</v>
      </c>
      <c r="KG185" s="16">
        <v>188</v>
      </c>
      <c r="KH185" s="16">
        <v>96</v>
      </c>
      <c r="KI185" s="16">
        <v>245</v>
      </c>
      <c r="KJ185" s="16">
        <v>24</v>
      </c>
      <c r="KK185" s="16">
        <v>18937</v>
      </c>
      <c r="KL185" s="16">
        <v>1</v>
      </c>
      <c r="KM185" s="16">
        <v>0</v>
      </c>
      <c r="KN185" s="16">
        <v>411</v>
      </c>
      <c r="KO185" s="16">
        <v>7</v>
      </c>
      <c r="KP185" s="16">
        <v>52</v>
      </c>
      <c r="KQ185" s="16">
        <v>11163</v>
      </c>
      <c r="KR185" s="16">
        <v>10</v>
      </c>
      <c r="KS185" s="16">
        <v>39</v>
      </c>
      <c r="KT185" s="16">
        <v>2</v>
      </c>
      <c r="KU185" s="16">
        <v>14</v>
      </c>
      <c r="KV185" s="16">
        <v>18200</v>
      </c>
      <c r="KW185" s="16">
        <v>115</v>
      </c>
      <c r="KX185" s="16">
        <v>1</v>
      </c>
      <c r="KY185" s="16">
        <v>18</v>
      </c>
      <c r="KZ185" s="16">
        <v>12310</v>
      </c>
      <c r="LA185" s="16">
        <v>2656</v>
      </c>
      <c r="LB185" s="16">
        <v>259</v>
      </c>
      <c r="LC185" s="16">
        <v>2710</v>
      </c>
      <c r="LD185" s="16">
        <v>618</v>
      </c>
      <c r="LE185" s="16">
        <v>13</v>
      </c>
      <c r="LF185" s="16">
        <v>28</v>
      </c>
      <c r="LG185" s="16">
        <v>3</v>
      </c>
      <c r="LH185" s="16">
        <v>35</v>
      </c>
      <c r="LI185" s="16">
        <v>4</v>
      </c>
      <c r="LJ185" s="16">
        <v>3</v>
      </c>
      <c r="LK185" s="16">
        <v>17</v>
      </c>
      <c r="LL185" s="16">
        <v>36</v>
      </c>
      <c r="LM185" s="16">
        <v>220</v>
      </c>
      <c r="LN185" s="16">
        <v>1201</v>
      </c>
      <c r="LO185" s="16">
        <v>6</v>
      </c>
      <c r="LP185" s="16">
        <v>842</v>
      </c>
      <c r="LQ185" s="16">
        <v>39</v>
      </c>
      <c r="LR185" s="16">
        <v>579</v>
      </c>
      <c r="LS185" s="16">
        <v>39</v>
      </c>
      <c r="LT185" s="16">
        <v>1374</v>
      </c>
      <c r="LU185" s="16">
        <v>8</v>
      </c>
      <c r="LV185" s="16">
        <v>0</v>
      </c>
      <c r="LW185" s="16">
        <v>9</v>
      </c>
      <c r="LX185" s="16">
        <v>44</v>
      </c>
      <c r="LY185" s="16">
        <v>0</v>
      </c>
      <c r="LZ185" s="16">
        <v>21</v>
      </c>
      <c r="MA185" s="16">
        <v>99</v>
      </c>
      <c r="MB185" s="16">
        <v>1312</v>
      </c>
      <c r="MC185" s="16">
        <v>1201</v>
      </c>
      <c r="MD185" s="16">
        <v>31</v>
      </c>
      <c r="ME185" s="16">
        <v>34</v>
      </c>
      <c r="MF185" s="16">
        <v>3446</v>
      </c>
      <c r="MG185" s="16">
        <v>127</v>
      </c>
      <c r="MH185" s="16">
        <v>1477</v>
      </c>
      <c r="MI185" s="16">
        <v>23</v>
      </c>
      <c r="MJ185" s="16">
        <v>185</v>
      </c>
      <c r="MK185" s="16">
        <v>113</v>
      </c>
      <c r="ML185" s="16">
        <v>30</v>
      </c>
      <c r="MM185" s="16">
        <v>411</v>
      </c>
      <c r="MN185" s="16">
        <v>2588</v>
      </c>
      <c r="MO185" s="16">
        <v>138</v>
      </c>
      <c r="MP185" s="16">
        <v>811</v>
      </c>
      <c r="MQ185" s="16">
        <v>1803</v>
      </c>
      <c r="MR185" s="16">
        <v>3407</v>
      </c>
      <c r="MS185" s="16">
        <v>17</v>
      </c>
      <c r="MT185" s="16">
        <v>0</v>
      </c>
      <c r="MU185" s="16">
        <v>1566</v>
      </c>
      <c r="MV185" s="16">
        <v>343</v>
      </c>
      <c r="MW185" s="16">
        <v>621</v>
      </c>
      <c r="MX185" s="16">
        <v>0</v>
      </c>
      <c r="MY185" s="16">
        <v>0</v>
      </c>
      <c r="MZ185" s="16">
        <v>305</v>
      </c>
      <c r="NA185" s="16">
        <v>0</v>
      </c>
      <c r="NB185" s="16">
        <v>400</v>
      </c>
      <c r="NC185" s="16">
        <v>0</v>
      </c>
      <c r="ND185" s="16">
        <v>27</v>
      </c>
      <c r="NE185" s="16">
        <v>6</v>
      </c>
      <c r="NF185" s="16">
        <v>307</v>
      </c>
      <c r="NG185" s="16">
        <v>133</v>
      </c>
      <c r="NH185" s="16">
        <v>118</v>
      </c>
      <c r="NI185" s="16">
        <v>59</v>
      </c>
      <c r="NJ185" s="16">
        <v>831</v>
      </c>
      <c r="NK185" s="16">
        <v>136</v>
      </c>
      <c r="NL185" s="16">
        <v>163</v>
      </c>
      <c r="NM185" s="16">
        <v>104</v>
      </c>
      <c r="NN185" s="16">
        <v>16</v>
      </c>
      <c r="NO185" s="16">
        <v>0</v>
      </c>
      <c r="NP185" s="16">
        <v>25</v>
      </c>
      <c r="NQ185" s="16">
        <v>6</v>
      </c>
      <c r="NR185" s="17">
        <v>4176844</v>
      </c>
    </row>
    <row r="186" spans="1:382" ht="13.5" customHeight="1" x14ac:dyDescent="0.2">
      <c r="A186" s="2" t="s">
        <v>379</v>
      </c>
      <c r="B186" s="16">
        <v>24</v>
      </c>
      <c r="C186" s="16">
        <v>0</v>
      </c>
      <c r="D186" s="16">
        <v>0</v>
      </c>
      <c r="E186" s="16">
        <v>17</v>
      </c>
      <c r="F186" s="16">
        <v>312</v>
      </c>
      <c r="G186" s="16">
        <v>42</v>
      </c>
      <c r="H186" s="16">
        <v>2</v>
      </c>
      <c r="I186" s="16">
        <v>390</v>
      </c>
      <c r="J186" s="16">
        <v>5</v>
      </c>
      <c r="K186" s="16">
        <v>0</v>
      </c>
      <c r="L186" s="16">
        <v>96</v>
      </c>
      <c r="M186" s="16">
        <v>0</v>
      </c>
      <c r="N186" s="16">
        <v>0</v>
      </c>
      <c r="O186" s="16">
        <v>2</v>
      </c>
      <c r="P186" s="16">
        <v>474</v>
      </c>
      <c r="Q186" s="16">
        <v>1018</v>
      </c>
      <c r="R186" s="16">
        <v>544</v>
      </c>
      <c r="S186" s="16">
        <v>264</v>
      </c>
      <c r="T186" s="16">
        <v>27</v>
      </c>
      <c r="U186" s="16">
        <v>377</v>
      </c>
      <c r="V186" s="16">
        <v>20</v>
      </c>
      <c r="W186" s="16">
        <v>20</v>
      </c>
      <c r="X186" s="16">
        <v>651</v>
      </c>
      <c r="Y186" s="16">
        <v>2261</v>
      </c>
      <c r="Z186" s="16">
        <v>1501</v>
      </c>
      <c r="AA186" s="16">
        <v>405</v>
      </c>
      <c r="AB186" s="16">
        <v>0</v>
      </c>
      <c r="AC186" s="16">
        <v>0</v>
      </c>
      <c r="AD186" s="16">
        <v>0</v>
      </c>
      <c r="AE186" s="16">
        <v>83</v>
      </c>
      <c r="AF186" s="16">
        <v>310</v>
      </c>
      <c r="AG186" s="16">
        <v>7949</v>
      </c>
      <c r="AH186" s="16">
        <v>2289</v>
      </c>
      <c r="AI186" s="16">
        <v>5331</v>
      </c>
      <c r="AJ186" s="16">
        <v>1446</v>
      </c>
      <c r="AK186" s="16">
        <v>2796</v>
      </c>
      <c r="AL186" s="16">
        <v>345</v>
      </c>
      <c r="AM186" s="16">
        <v>959</v>
      </c>
      <c r="AN186" s="16">
        <v>764</v>
      </c>
      <c r="AO186" s="16">
        <v>13563</v>
      </c>
      <c r="AP186" s="16">
        <v>24</v>
      </c>
      <c r="AQ186" s="16">
        <v>145</v>
      </c>
      <c r="AR186" s="16">
        <v>0</v>
      </c>
      <c r="AS186" s="16">
        <v>125</v>
      </c>
      <c r="AT186" s="16">
        <v>1498</v>
      </c>
      <c r="AU186" s="16">
        <v>112</v>
      </c>
      <c r="AV186" s="16">
        <v>147</v>
      </c>
      <c r="AW186" s="16">
        <v>1594</v>
      </c>
      <c r="AX186" s="16">
        <v>775</v>
      </c>
      <c r="AY186" s="16">
        <v>245</v>
      </c>
      <c r="AZ186" s="16">
        <v>6308</v>
      </c>
      <c r="BA186" s="16">
        <v>3762</v>
      </c>
      <c r="BB186" s="16">
        <v>1240</v>
      </c>
      <c r="BC186" s="16">
        <v>3167</v>
      </c>
      <c r="BD186" s="16">
        <v>63</v>
      </c>
      <c r="BE186" s="16">
        <v>554</v>
      </c>
      <c r="BF186" s="16">
        <v>20781</v>
      </c>
      <c r="BG186" s="16">
        <v>2670</v>
      </c>
      <c r="BH186" s="16">
        <v>5350</v>
      </c>
      <c r="BI186" s="16">
        <v>1661</v>
      </c>
      <c r="BJ186" s="16">
        <v>186</v>
      </c>
      <c r="BK186" s="16">
        <v>1156</v>
      </c>
      <c r="BL186" s="16">
        <v>877</v>
      </c>
      <c r="BM186" s="16">
        <v>1991</v>
      </c>
      <c r="BN186" s="16">
        <v>2668</v>
      </c>
      <c r="BO186" s="16">
        <v>1793</v>
      </c>
      <c r="BP186" s="16">
        <v>3198</v>
      </c>
      <c r="BQ186" s="16">
        <v>242</v>
      </c>
      <c r="BR186" s="16">
        <v>1890</v>
      </c>
      <c r="BS186" s="16">
        <v>2235</v>
      </c>
      <c r="BT186" s="16">
        <v>57</v>
      </c>
      <c r="BU186" s="16">
        <v>464</v>
      </c>
      <c r="BV186" s="16">
        <v>17</v>
      </c>
      <c r="BW186" s="16">
        <v>2543</v>
      </c>
      <c r="BX186" s="16">
        <v>18</v>
      </c>
      <c r="BY186" s="16">
        <v>51</v>
      </c>
      <c r="BZ186" s="16">
        <v>3181</v>
      </c>
      <c r="CA186" s="16">
        <v>1217</v>
      </c>
      <c r="CB186" s="16">
        <v>1365</v>
      </c>
      <c r="CC186" s="16">
        <v>10803</v>
      </c>
      <c r="CD186" s="16">
        <v>5470</v>
      </c>
      <c r="CE186" s="16">
        <v>2994</v>
      </c>
      <c r="CF186" s="16">
        <v>7075</v>
      </c>
      <c r="CG186" s="16">
        <v>3569</v>
      </c>
      <c r="CH186" s="16">
        <v>10230</v>
      </c>
      <c r="CI186" s="16">
        <v>342</v>
      </c>
      <c r="CJ186" s="16">
        <v>3783</v>
      </c>
      <c r="CK186" s="16">
        <v>16578</v>
      </c>
      <c r="CL186" s="16">
        <v>2667</v>
      </c>
      <c r="CM186" s="16">
        <v>1193</v>
      </c>
      <c r="CN186" s="16">
        <v>1041</v>
      </c>
      <c r="CO186" s="16">
        <v>2189</v>
      </c>
      <c r="CP186" s="16">
        <v>2547</v>
      </c>
      <c r="CQ186" s="16">
        <v>15426</v>
      </c>
      <c r="CR186" s="16">
        <v>2403</v>
      </c>
      <c r="CS186" s="16">
        <v>4510</v>
      </c>
      <c r="CT186" s="16">
        <v>6183</v>
      </c>
      <c r="CU186" s="16">
        <v>10056</v>
      </c>
      <c r="CV186" s="16">
        <v>24611</v>
      </c>
      <c r="CW186" s="16">
        <v>36817</v>
      </c>
      <c r="CX186" s="16">
        <v>20719</v>
      </c>
      <c r="CY186" s="16">
        <v>12483</v>
      </c>
      <c r="CZ186" s="16">
        <v>5285</v>
      </c>
      <c r="DA186" s="16">
        <v>386</v>
      </c>
      <c r="DB186" s="16">
        <v>6072</v>
      </c>
      <c r="DC186" s="16">
        <v>658</v>
      </c>
      <c r="DD186" s="16">
        <v>13540</v>
      </c>
      <c r="DE186" s="16">
        <v>1182</v>
      </c>
      <c r="DF186" s="16">
        <v>6324</v>
      </c>
      <c r="DG186" s="16">
        <v>12440</v>
      </c>
      <c r="DH186" s="16">
        <v>2486</v>
      </c>
      <c r="DI186" s="16">
        <v>3795</v>
      </c>
      <c r="DJ186" s="16">
        <v>29763</v>
      </c>
      <c r="DK186" s="16">
        <v>740</v>
      </c>
      <c r="DL186" s="16">
        <v>2163</v>
      </c>
      <c r="DM186" s="16">
        <v>21056</v>
      </c>
      <c r="DN186" s="16">
        <v>2976</v>
      </c>
      <c r="DO186" s="16">
        <v>2145</v>
      </c>
      <c r="DP186" s="16">
        <v>3266</v>
      </c>
      <c r="DQ186" s="16">
        <v>301</v>
      </c>
      <c r="DR186" s="16">
        <v>2386</v>
      </c>
      <c r="DS186" s="16">
        <v>11497</v>
      </c>
      <c r="DT186" s="16">
        <v>2690</v>
      </c>
      <c r="DU186" s="16">
        <v>5229</v>
      </c>
      <c r="DV186" s="16">
        <v>1766</v>
      </c>
      <c r="DW186" s="16">
        <v>4420</v>
      </c>
      <c r="DX186" s="16">
        <v>8904</v>
      </c>
      <c r="DY186" s="16">
        <v>7391</v>
      </c>
      <c r="DZ186" s="16">
        <v>13751</v>
      </c>
      <c r="EA186" s="16">
        <v>17718</v>
      </c>
      <c r="EB186" s="16">
        <v>10731</v>
      </c>
      <c r="EC186" s="16">
        <v>18813</v>
      </c>
      <c r="ED186" s="16">
        <v>2184</v>
      </c>
      <c r="EE186" s="16">
        <v>557</v>
      </c>
      <c r="EF186" s="16">
        <v>18005</v>
      </c>
      <c r="EG186" s="16">
        <v>7233</v>
      </c>
      <c r="EH186" s="16">
        <v>3028</v>
      </c>
      <c r="EI186" s="16">
        <v>904</v>
      </c>
      <c r="EJ186" s="16">
        <v>4099</v>
      </c>
      <c r="EK186" s="16">
        <v>1349</v>
      </c>
      <c r="EL186" s="16">
        <v>1234</v>
      </c>
      <c r="EM186" s="16">
        <v>3161</v>
      </c>
      <c r="EN186" s="16">
        <v>31683</v>
      </c>
      <c r="EO186" s="16">
        <v>14975</v>
      </c>
      <c r="EP186" s="16">
        <v>933</v>
      </c>
      <c r="EQ186" s="16">
        <v>13749</v>
      </c>
      <c r="ER186" s="16">
        <v>843</v>
      </c>
      <c r="ES186" s="16">
        <v>353</v>
      </c>
      <c r="ET186" s="16">
        <v>20017</v>
      </c>
      <c r="EU186" s="16">
        <v>20</v>
      </c>
      <c r="EV186" s="16">
        <v>689</v>
      </c>
      <c r="EW186" s="16">
        <v>1164</v>
      </c>
      <c r="EX186" s="16">
        <v>20596</v>
      </c>
      <c r="EY186" s="16">
        <v>8037</v>
      </c>
      <c r="EZ186" s="16">
        <v>813</v>
      </c>
      <c r="FA186" s="16">
        <v>1300</v>
      </c>
      <c r="FB186" s="16">
        <v>3290</v>
      </c>
      <c r="FC186" s="16">
        <v>5965</v>
      </c>
      <c r="FD186" s="16">
        <v>19765</v>
      </c>
      <c r="FE186" s="16">
        <v>1749</v>
      </c>
      <c r="FF186" s="16">
        <v>4689</v>
      </c>
      <c r="FG186" s="16">
        <v>17067</v>
      </c>
      <c r="FH186" s="16">
        <v>23</v>
      </c>
      <c r="FI186" s="16">
        <v>5870</v>
      </c>
      <c r="FJ186" s="16">
        <v>803</v>
      </c>
      <c r="FK186" s="16">
        <v>12317</v>
      </c>
      <c r="FL186" s="16">
        <v>66</v>
      </c>
      <c r="FM186" s="16">
        <v>6142</v>
      </c>
      <c r="FN186" s="16">
        <v>21022</v>
      </c>
      <c r="FO186" s="16">
        <v>14204</v>
      </c>
      <c r="FP186" s="16">
        <v>13858</v>
      </c>
      <c r="FQ186" s="16">
        <v>29859</v>
      </c>
      <c r="FR186" s="16">
        <v>367362</v>
      </c>
      <c r="FS186" s="16">
        <v>28470</v>
      </c>
      <c r="FT186" s="16">
        <v>26969</v>
      </c>
      <c r="FU186" s="16">
        <v>41740</v>
      </c>
      <c r="FV186" s="16">
        <v>34898</v>
      </c>
      <c r="FW186" s="16">
        <v>597633</v>
      </c>
      <c r="FX186" s="16">
        <v>109923</v>
      </c>
      <c r="FY186" s="16">
        <v>5270</v>
      </c>
      <c r="FZ186" s="16">
        <v>19198</v>
      </c>
      <c r="GA186" s="16">
        <v>23644</v>
      </c>
      <c r="GB186" s="16">
        <v>29670</v>
      </c>
      <c r="GC186" s="16">
        <v>27298</v>
      </c>
      <c r="GD186" s="16">
        <v>286049</v>
      </c>
      <c r="GE186" s="16">
        <v>1249</v>
      </c>
      <c r="GF186" s="16">
        <v>43777</v>
      </c>
      <c r="GG186" s="16">
        <v>61286</v>
      </c>
      <c r="GH186" s="16">
        <v>178056</v>
      </c>
      <c r="GI186" s="16">
        <v>9793</v>
      </c>
      <c r="GJ186" s="16">
        <v>25373</v>
      </c>
      <c r="GK186" s="16">
        <v>10897</v>
      </c>
      <c r="GL186" s="16">
        <v>90</v>
      </c>
      <c r="GM186" s="16">
        <v>10184</v>
      </c>
      <c r="GN186" s="16">
        <v>630</v>
      </c>
      <c r="GO186" s="16">
        <v>4715</v>
      </c>
      <c r="GP186" s="16">
        <v>4174</v>
      </c>
      <c r="GQ186" s="16">
        <v>16554</v>
      </c>
      <c r="GR186" s="16">
        <v>4188</v>
      </c>
      <c r="GS186" s="16">
        <v>2945</v>
      </c>
      <c r="GT186" s="16">
        <v>1562</v>
      </c>
      <c r="GU186" s="16">
        <v>9163</v>
      </c>
      <c r="GV186" s="16">
        <v>17049</v>
      </c>
      <c r="GW186" s="16">
        <v>23650</v>
      </c>
      <c r="GX186" s="16">
        <v>5950</v>
      </c>
      <c r="GY186" s="16">
        <v>111</v>
      </c>
      <c r="GZ186" s="16">
        <v>13946</v>
      </c>
      <c r="HA186" s="16">
        <v>5695</v>
      </c>
      <c r="HB186" s="16">
        <v>19283</v>
      </c>
      <c r="HC186" s="16">
        <v>9563</v>
      </c>
      <c r="HD186" s="16">
        <v>8408</v>
      </c>
      <c r="HE186" s="16">
        <v>6583</v>
      </c>
      <c r="HF186" s="16">
        <v>11724</v>
      </c>
      <c r="HG186" s="16">
        <v>8721</v>
      </c>
      <c r="HH186" s="16">
        <v>6722</v>
      </c>
      <c r="HI186" s="16">
        <v>16757</v>
      </c>
      <c r="HJ186" s="16">
        <v>1561</v>
      </c>
      <c r="HK186" s="16">
        <v>4278</v>
      </c>
      <c r="HL186" s="16">
        <v>64885</v>
      </c>
      <c r="HM186" s="16">
        <v>14611</v>
      </c>
      <c r="HN186" s="16">
        <v>60351</v>
      </c>
      <c r="HO186" s="16">
        <v>12093</v>
      </c>
      <c r="HP186" s="16">
        <v>11742</v>
      </c>
      <c r="HQ186" s="16">
        <v>38890</v>
      </c>
      <c r="HR186" s="16">
        <v>15303</v>
      </c>
      <c r="HS186" s="16">
        <v>12416</v>
      </c>
      <c r="HT186" s="16">
        <v>6248</v>
      </c>
      <c r="HU186" s="16">
        <v>36345</v>
      </c>
      <c r="HV186" s="16">
        <v>5993</v>
      </c>
      <c r="HW186" s="16">
        <v>20256</v>
      </c>
      <c r="HX186" s="16">
        <v>19512</v>
      </c>
      <c r="HY186" s="16">
        <v>145250</v>
      </c>
      <c r="HZ186" s="16">
        <v>33467</v>
      </c>
      <c r="IA186" s="16">
        <v>30647</v>
      </c>
      <c r="IB186" s="16">
        <v>2284</v>
      </c>
      <c r="IC186" s="16">
        <v>1922</v>
      </c>
      <c r="ID186" s="16">
        <v>22254</v>
      </c>
      <c r="IE186" s="16">
        <v>1966</v>
      </c>
      <c r="IF186" s="16">
        <v>9746</v>
      </c>
      <c r="IG186" s="16">
        <v>85173</v>
      </c>
      <c r="IH186" s="16">
        <v>52642</v>
      </c>
      <c r="II186" s="16">
        <v>14323</v>
      </c>
      <c r="IJ186" s="16">
        <v>508</v>
      </c>
      <c r="IK186" s="16">
        <v>992</v>
      </c>
      <c r="IL186" s="16">
        <v>10753</v>
      </c>
      <c r="IM186" s="16">
        <v>535</v>
      </c>
      <c r="IN186" s="16">
        <v>11554</v>
      </c>
      <c r="IO186" s="16">
        <v>38601</v>
      </c>
      <c r="IP186" s="16">
        <v>240512</v>
      </c>
      <c r="IQ186" s="16">
        <v>75508</v>
      </c>
      <c r="IR186" s="16">
        <v>11158</v>
      </c>
      <c r="IS186" s="16">
        <v>4121</v>
      </c>
      <c r="IT186" s="16">
        <v>85664</v>
      </c>
      <c r="IU186" s="16">
        <v>290</v>
      </c>
      <c r="IV186" s="16">
        <v>36647</v>
      </c>
      <c r="IW186" s="16">
        <v>76990</v>
      </c>
      <c r="IX186" s="16">
        <v>136510</v>
      </c>
      <c r="IY186" s="16">
        <v>11937</v>
      </c>
      <c r="IZ186" s="16">
        <v>782</v>
      </c>
      <c r="JA186" s="16">
        <v>5228</v>
      </c>
      <c r="JB186" s="16">
        <v>641</v>
      </c>
      <c r="JC186" s="16">
        <v>4077</v>
      </c>
      <c r="JD186" s="16">
        <v>2797</v>
      </c>
      <c r="JE186" s="16">
        <v>5424</v>
      </c>
      <c r="JF186" s="16">
        <v>17209</v>
      </c>
      <c r="JG186" s="16">
        <v>35894</v>
      </c>
      <c r="JH186" s="16">
        <v>62392</v>
      </c>
      <c r="JI186" s="16">
        <v>2430</v>
      </c>
      <c r="JJ186" s="16">
        <v>17590</v>
      </c>
      <c r="JK186" s="16">
        <v>16433</v>
      </c>
      <c r="JL186" s="16">
        <v>2949</v>
      </c>
      <c r="JM186" s="16">
        <v>4916</v>
      </c>
      <c r="JN186" s="16">
        <v>69486</v>
      </c>
      <c r="JO186" s="16">
        <v>271</v>
      </c>
      <c r="JP186" s="16">
        <v>36410</v>
      </c>
      <c r="JQ186" s="16">
        <v>684</v>
      </c>
      <c r="JR186" s="16">
        <v>57617</v>
      </c>
      <c r="JS186" s="16">
        <v>2589</v>
      </c>
      <c r="JT186" s="16">
        <v>0</v>
      </c>
      <c r="JU186" s="16">
        <v>12263</v>
      </c>
      <c r="JV186" s="16">
        <v>530</v>
      </c>
      <c r="JW186" s="16">
        <v>26482</v>
      </c>
      <c r="JX186" s="16">
        <v>17337</v>
      </c>
      <c r="JY186" s="16">
        <v>8558</v>
      </c>
      <c r="JZ186" s="16">
        <v>52940</v>
      </c>
      <c r="KA186" s="16">
        <v>30236</v>
      </c>
      <c r="KB186" s="16">
        <v>3535</v>
      </c>
      <c r="KC186" s="16">
        <v>16049</v>
      </c>
      <c r="KD186" s="16">
        <v>13149</v>
      </c>
      <c r="KE186" s="16">
        <v>1354</v>
      </c>
      <c r="KF186" s="16">
        <v>12314</v>
      </c>
      <c r="KG186" s="16">
        <v>7242</v>
      </c>
      <c r="KH186" s="16">
        <v>4108</v>
      </c>
      <c r="KI186" s="16">
        <v>61981</v>
      </c>
      <c r="KJ186" s="16">
        <v>15538</v>
      </c>
      <c r="KK186" s="16">
        <v>66018</v>
      </c>
      <c r="KL186" s="16">
        <v>258</v>
      </c>
      <c r="KM186" s="16">
        <v>4196</v>
      </c>
      <c r="KN186" s="16">
        <v>645</v>
      </c>
      <c r="KO186" s="16">
        <v>3928</v>
      </c>
      <c r="KP186" s="16">
        <v>1569</v>
      </c>
      <c r="KQ186" s="16">
        <v>42942</v>
      </c>
      <c r="KR186" s="16">
        <v>7746</v>
      </c>
      <c r="KS186" s="16">
        <v>37</v>
      </c>
      <c r="KT186" s="16">
        <v>345</v>
      </c>
      <c r="KU186" s="16">
        <v>4033</v>
      </c>
      <c r="KV186" s="16">
        <v>68330</v>
      </c>
      <c r="KW186" s="16">
        <v>31732</v>
      </c>
      <c r="KX186" s="16">
        <v>143</v>
      </c>
      <c r="KY186" s="16">
        <v>9715</v>
      </c>
      <c r="KZ186" s="16">
        <v>35421</v>
      </c>
      <c r="LA186" s="16">
        <v>3453</v>
      </c>
      <c r="LB186" s="16">
        <v>734</v>
      </c>
      <c r="LC186" s="16">
        <v>4823</v>
      </c>
      <c r="LD186" s="16">
        <v>5846</v>
      </c>
      <c r="LE186" s="16">
        <v>3145</v>
      </c>
      <c r="LF186" s="16">
        <v>1852</v>
      </c>
      <c r="LG186" s="16">
        <v>1140</v>
      </c>
      <c r="LH186" s="16">
        <v>5470</v>
      </c>
      <c r="LI186" s="16">
        <v>183</v>
      </c>
      <c r="LJ186" s="16">
        <v>1226</v>
      </c>
      <c r="LK186" s="16">
        <v>5272</v>
      </c>
      <c r="LL186" s="16">
        <v>716</v>
      </c>
      <c r="LM186" s="16">
        <v>3806</v>
      </c>
      <c r="LN186" s="16">
        <v>87954</v>
      </c>
      <c r="LO186" s="16">
        <v>1149</v>
      </c>
      <c r="LP186" s="16">
        <v>9900</v>
      </c>
      <c r="LQ186" s="16">
        <v>1594</v>
      </c>
      <c r="LR186" s="16">
        <v>21374</v>
      </c>
      <c r="LS186" s="16">
        <v>1791</v>
      </c>
      <c r="LT186" s="16">
        <v>40373</v>
      </c>
      <c r="LU186" s="16">
        <v>4230</v>
      </c>
      <c r="LV186" s="16">
        <v>39</v>
      </c>
      <c r="LW186" s="16">
        <v>3744</v>
      </c>
      <c r="LX186" s="16">
        <v>19229</v>
      </c>
      <c r="LY186" s="16">
        <v>0</v>
      </c>
      <c r="LZ186" s="16">
        <v>1359</v>
      </c>
      <c r="MA186" s="16">
        <v>2501</v>
      </c>
      <c r="MB186" s="16">
        <v>4087</v>
      </c>
      <c r="MC186" s="16">
        <v>12975</v>
      </c>
      <c r="MD186" s="16">
        <v>8216</v>
      </c>
      <c r="ME186" s="16">
        <v>440</v>
      </c>
      <c r="MF186" s="16">
        <v>441756</v>
      </c>
      <c r="MG186" s="16">
        <v>6754</v>
      </c>
      <c r="MH186" s="16">
        <v>58191</v>
      </c>
      <c r="MI186" s="16">
        <v>539</v>
      </c>
      <c r="MJ186" s="16">
        <v>12665</v>
      </c>
      <c r="MK186" s="16">
        <v>22659</v>
      </c>
      <c r="ML186" s="16">
        <v>6724</v>
      </c>
      <c r="MM186" s="16">
        <v>21513</v>
      </c>
      <c r="MN186" s="16">
        <v>54415</v>
      </c>
      <c r="MO186" s="16">
        <v>90715</v>
      </c>
      <c r="MP186" s="16">
        <v>20454</v>
      </c>
      <c r="MQ186" s="16">
        <v>57967</v>
      </c>
      <c r="MR186" s="16">
        <v>1659925</v>
      </c>
      <c r="MS186" s="16">
        <v>9396</v>
      </c>
      <c r="MT186" s="16">
        <v>682</v>
      </c>
      <c r="MU186" s="16">
        <v>10134</v>
      </c>
      <c r="MV186" s="16">
        <v>1309</v>
      </c>
      <c r="MW186" s="16">
        <v>9965</v>
      </c>
      <c r="MX186" s="16">
        <v>2034</v>
      </c>
      <c r="MY186" s="16">
        <v>598</v>
      </c>
      <c r="MZ186" s="16">
        <v>5012</v>
      </c>
      <c r="NA186" s="16">
        <v>1761</v>
      </c>
      <c r="NB186" s="16">
        <v>14422</v>
      </c>
      <c r="NC186" s="16">
        <v>2507</v>
      </c>
      <c r="ND186" s="16">
        <v>1174</v>
      </c>
      <c r="NE186" s="16">
        <v>3385</v>
      </c>
      <c r="NF186" s="16">
        <v>497</v>
      </c>
      <c r="NG186" s="16">
        <v>15910</v>
      </c>
      <c r="NH186" s="16">
        <v>2051</v>
      </c>
      <c r="NI186" s="16">
        <v>2295</v>
      </c>
      <c r="NJ186" s="16">
        <v>39131</v>
      </c>
      <c r="NK186" s="16">
        <v>6337</v>
      </c>
      <c r="NL186" s="16">
        <v>12358</v>
      </c>
      <c r="NM186" s="16">
        <v>3985</v>
      </c>
      <c r="NN186" s="16">
        <v>2485</v>
      </c>
      <c r="NO186" s="16">
        <v>0</v>
      </c>
      <c r="NP186" s="16">
        <v>566</v>
      </c>
      <c r="NQ186" s="16">
        <v>3350</v>
      </c>
      <c r="NR186" s="17">
        <v>8230930</v>
      </c>
    </row>
    <row r="187" spans="1:382" ht="13.5" customHeight="1" x14ac:dyDescent="0.2">
      <c r="A187" s="2" t="s">
        <v>381</v>
      </c>
      <c r="B187" s="16">
        <v>0</v>
      </c>
      <c r="C187" s="16">
        <v>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38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  <c r="AK187" s="16">
        <v>0</v>
      </c>
      <c r="AL187" s="16">
        <v>0</v>
      </c>
      <c r="AM187" s="16">
        <v>148</v>
      </c>
      <c r="AN187" s="16">
        <v>0</v>
      </c>
      <c r="AO187" s="16">
        <v>0</v>
      </c>
      <c r="AP187" s="16">
        <v>0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  <c r="AW187" s="16">
        <v>0</v>
      </c>
      <c r="AX187" s="16">
        <v>0</v>
      </c>
      <c r="AY187" s="16">
        <v>0</v>
      </c>
      <c r="AZ187" s="16">
        <v>0</v>
      </c>
      <c r="BA187" s="16">
        <v>0</v>
      </c>
      <c r="BB187" s="16">
        <v>0</v>
      </c>
      <c r="BC187" s="16">
        <v>0</v>
      </c>
      <c r="BD187" s="16">
        <v>0</v>
      </c>
      <c r="BE187" s="16">
        <v>0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16">
        <v>0</v>
      </c>
      <c r="BP187" s="16">
        <v>0</v>
      </c>
      <c r="BQ187" s="16">
        <v>0</v>
      </c>
      <c r="BR187" s="16">
        <v>0</v>
      </c>
      <c r="BS187" s="16">
        <v>0</v>
      </c>
      <c r="BT187" s="16">
        <v>0</v>
      </c>
      <c r="BU187" s="16">
        <v>0</v>
      </c>
      <c r="BV187" s="16">
        <v>0</v>
      </c>
      <c r="BW187" s="16">
        <v>0</v>
      </c>
      <c r="BX187" s="16">
        <v>0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6">
        <v>0</v>
      </c>
      <c r="CF187" s="16">
        <v>0</v>
      </c>
      <c r="CG187" s="16">
        <v>0</v>
      </c>
      <c r="CH187" s="16">
        <v>0</v>
      </c>
      <c r="CI187" s="16">
        <v>0</v>
      </c>
      <c r="CJ187" s="16">
        <v>57</v>
      </c>
      <c r="CK187" s="16">
        <v>0</v>
      </c>
      <c r="CL187" s="16">
        <v>0</v>
      </c>
      <c r="CM187" s="16">
        <v>0</v>
      </c>
      <c r="CN187" s="16">
        <v>0</v>
      </c>
      <c r="CO187" s="16">
        <v>0</v>
      </c>
      <c r="CP187" s="16">
        <v>0</v>
      </c>
      <c r="CQ187" s="16">
        <v>88</v>
      </c>
      <c r="CR187" s="16">
        <v>0</v>
      </c>
      <c r="CS187" s="16">
        <v>0</v>
      </c>
      <c r="CT187" s="16">
        <v>0</v>
      </c>
      <c r="CU187" s="16">
        <v>0</v>
      </c>
      <c r="CV187" s="16">
        <v>0</v>
      </c>
      <c r="CW187" s="16">
        <v>0</v>
      </c>
      <c r="CX187" s="16">
        <v>0</v>
      </c>
      <c r="CY187" s="16">
        <v>0</v>
      </c>
      <c r="CZ187" s="16">
        <v>0</v>
      </c>
      <c r="DA187" s="16">
        <v>0</v>
      </c>
      <c r="DB187" s="16">
        <v>0</v>
      </c>
      <c r="DC187" s="16">
        <v>0</v>
      </c>
      <c r="DD187" s="16">
        <v>0</v>
      </c>
      <c r="DE187" s="16">
        <v>1</v>
      </c>
      <c r="DF187" s="16">
        <v>14</v>
      </c>
      <c r="DG187" s="16">
        <v>0</v>
      </c>
      <c r="DH187" s="16">
        <v>0</v>
      </c>
      <c r="DI187" s="16">
        <v>0</v>
      </c>
      <c r="DJ187" s="16">
        <v>345</v>
      </c>
      <c r="DK187" s="16">
        <v>0</v>
      </c>
      <c r="DL187" s="16">
        <v>0</v>
      </c>
      <c r="DM187" s="16">
        <v>0</v>
      </c>
      <c r="DN187" s="16">
        <v>0</v>
      </c>
      <c r="DO187" s="16">
        <v>0</v>
      </c>
      <c r="DP187" s="16">
        <v>0</v>
      </c>
      <c r="DQ187" s="16">
        <v>0</v>
      </c>
      <c r="DR187" s="16">
        <v>0</v>
      </c>
      <c r="DS187" s="16">
        <v>0</v>
      </c>
      <c r="DT187" s="16">
        <v>0</v>
      </c>
      <c r="DU187" s="16">
        <v>0</v>
      </c>
      <c r="DV187" s="16">
        <v>0</v>
      </c>
      <c r="DW187" s="16">
        <v>0</v>
      </c>
      <c r="DX187" s="16">
        <v>0</v>
      </c>
      <c r="DY187" s="16">
        <v>0</v>
      </c>
      <c r="DZ187" s="16">
        <v>0</v>
      </c>
      <c r="EA187" s="16">
        <v>0</v>
      </c>
      <c r="EB187" s="16">
        <v>0</v>
      </c>
      <c r="EC187" s="16">
        <v>0</v>
      </c>
      <c r="ED187" s="16">
        <v>0</v>
      </c>
      <c r="EE187" s="16">
        <v>0</v>
      </c>
      <c r="EF187" s="16">
        <v>0</v>
      </c>
      <c r="EG187" s="16">
        <v>0</v>
      </c>
      <c r="EH187" s="16">
        <v>0</v>
      </c>
      <c r="EI187" s="16">
        <v>0</v>
      </c>
      <c r="EJ187" s="16">
        <v>0</v>
      </c>
      <c r="EK187" s="16">
        <v>0</v>
      </c>
      <c r="EL187" s="16">
        <v>0</v>
      </c>
      <c r="EM187" s="16">
        <v>0</v>
      </c>
      <c r="EN187" s="16">
        <v>0</v>
      </c>
      <c r="EO187" s="16">
        <v>0</v>
      </c>
      <c r="EP187" s="16">
        <v>0</v>
      </c>
      <c r="EQ187" s="16">
        <v>0</v>
      </c>
      <c r="ER187" s="16">
        <v>0</v>
      </c>
      <c r="ES187" s="16">
        <v>0</v>
      </c>
      <c r="ET187" s="16">
        <v>0</v>
      </c>
      <c r="EU187" s="16">
        <v>0</v>
      </c>
      <c r="EV187" s="16">
        <v>0</v>
      </c>
      <c r="EW187" s="16">
        <v>0</v>
      </c>
      <c r="EX187" s="16">
        <v>2005</v>
      </c>
      <c r="EY187" s="16">
        <v>0</v>
      </c>
      <c r="EZ187" s="16">
        <v>7</v>
      </c>
      <c r="FA187" s="16">
        <v>0</v>
      </c>
      <c r="FB187" s="16">
        <v>0</v>
      </c>
      <c r="FC187" s="16">
        <v>0</v>
      </c>
      <c r="FD187" s="16">
        <v>0</v>
      </c>
      <c r="FE187" s="16">
        <v>479</v>
      </c>
      <c r="FF187" s="16">
        <v>3</v>
      </c>
      <c r="FG187" s="16">
        <v>0</v>
      </c>
      <c r="FH187" s="16">
        <v>0</v>
      </c>
      <c r="FI187" s="16">
        <v>0</v>
      </c>
      <c r="FJ187" s="16">
        <v>0</v>
      </c>
      <c r="FK187" s="16">
        <v>0</v>
      </c>
      <c r="FL187" s="16">
        <v>0</v>
      </c>
      <c r="FM187" s="16">
        <v>523</v>
      </c>
      <c r="FN187" s="16">
        <v>0</v>
      </c>
      <c r="FO187" s="16">
        <v>0</v>
      </c>
      <c r="FP187" s="16">
        <v>44</v>
      </c>
      <c r="FQ187" s="16">
        <v>0</v>
      </c>
      <c r="FR187" s="16">
        <v>0</v>
      </c>
      <c r="FS187" s="16">
        <v>0</v>
      </c>
      <c r="FT187" s="16">
        <v>3718</v>
      </c>
      <c r="FU187" s="16">
        <v>337</v>
      </c>
      <c r="FV187" s="16">
        <v>26469</v>
      </c>
      <c r="FW187" s="16">
        <v>0</v>
      </c>
      <c r="FX187" s="16">
        <v>0</v>
      </c>
      <c r="FY187" s="16">
        <v>0</v>
      </c>
      <c r="FZ187" s="16">
        <v>0</v>
      </c>
      <c r="GA187" s="16">
        <v>0</v>
      </c>
      <c r="GB187" s="16">
        <v>0</v>
      </c>
      <c r="GC187" s="16">
        <v>0</v>
      </c>
      <c r="GD187" s="16">
        <v>37580</v>
      </c>
      <c r="GE187" s="16">
        <v>3090089</v>
      </c>
      <c r="GF187" s="16">
        <v>1678575</v>
      </c>
      <c r="GG187" s="16">
        <v>437797</v>
      </c>
      <c r="GH187" s="16">
        <v>823966</v>
      </c>
      <c r="GI187" s="16">
        <v>12242</v>
      </c>
      <c r="GJ187" s="16">
        <v>75388</v>
      </c>
      <c r="GK187" s="16">
        <v>576691</v>
      </c>
      <c r="GL187" s="16">
        <v>8041</v>
      </c>
      <c r="GM187" s="16">
        <v>29177</v>
      </c>
      <c r="GN187" s="16">
        <v>25751</v>
      </c>
      <c r="GO187" s="16">
        <v>142718</v>
      </c>
      <c r="GP187" s="16">
        <v>586638</v>
      </c>
      <c r="GQ187" s="16">
        <v>447965</v>
      </c>
      <c r="GR187" s="16">
        <v>57746</v>
      </c>
      <c r="GS187" s="16">
        <v>61272</v>
      </c>
      <c r="GT187" s="16">
        <v>171213</v>
      </c>
      <c r="GU187" s="16">
        <v>131779</v>
      </c>
      <c r="GV187" s="16">
        <v>78934</v>
      </c>
      <c r="GW187" s="16">
        <v>61919</v>
      </c>
      <c r="GX187" s="16">
        <v>62421</v>
      </c>
      <c r="GY187" s="16">
        <v>203</v>
      </c>
      <c r="GZ187" s="16">
        <v>1485119</v>
      </c>
      <c r="HA187" s="16">
        <v>84093</v>
      </c>
      <c r="HB187" s="16">
        <v>191559</v>
      </c>
      <c r="HC187" s="16">
        <v>260756</v>
      </c>
      <c r="HD187" s="16">
        <v>289512</v>
      </c>
      <c r="HE187" s="16">
        <v>661733</v>
      </c>
      <c r="HF187" s="16">
        <v>79295</v>
      </c>
      <c r="HG187" s="16">
        <v>53337</v>
      </c>
      <c r="HH187" s="16">
        <v>44502</v>
      </c>
      <c r="HI187" s="16">
        <v>119908</v>
      </c>
      <c r="HJ187" s="16">
        <v>150274</v>
      </c>
      <c r="HK187" s="16">
        <v>1054387</v>
      </c>
      <c r="HL187" s="16">
        <v>398258</v>
      </c>
      <c r="HM187" s="16">
        <v>1215</v>
      </c>
      <c r="HN187" s="16">
        <v>3716</v>
      </c>
      <c r="HO187" s="16">
        <v>13</v>
      </c>
      <c r="HP187" s="16">
        <v>0</v>
      </c>
      <c r="HQ187" s="16">
        <v>53329</v>
      </c>
      <c r="HR187" s="16">
        <v>66291</v>
      </c>
      <c r="HS187" s="16">
        <v>25892</v>
      </c>
      <c r="HT187" s="16">
        <v>9060</v>
      </c>
      <c r="HU187" s="16">
        <v>41887</v>
      </c>
      <c r="HV187" s="16">
        <v>935</v>
      </c>
      <c r="HW187" s="16">
        <v>4228</v>
      </c>
      <c r="HX187" s="16">
        <v>7106</v>
      </c>
      <c r="HY187" s="16">
        <v>14</v>
      </c>
      <c r="HZ187" s="16">
        <v>334393</v>
      </c>
      <c r="IA187" s="16">
        <v>82320</v>
      </c>
      <c r="IB187" s="16">
        <v>5927</v>
      </c>
      <c r="IC187" s="16">
        <v>48</v>
      </c>
      <c r="ID187" s="16">
        <v>3430</v>
      </c>
      <c r="IE187" s="16">
        <v>1116</v>
      </c>
      <c r="IF187" s="16">
        <v>4575</v>
      </c>
      <c r="IG187" s="16">
        <v>33802</v>
      </c>
      <c r="IH187" s="16">
        <v>6670</v>
      </c>
      <c r="II187" s="16">
        <v>177</v>
      </c>
      <c r="IJ187" s="16">
        <v>44</v>
      </c>
      <c r="IK187" s="16">
        <v>267</v>
      </c>
      <c r="IL187" s="16">
        <v>126</v>
      </c>
      <c r="IM187" s="16">
        <v>0</v>
      </c>
      <c r="IN187" s="16">
        <v>3123</v>
      </c>
      <c r="IO187" s="16">
        <v>183167</v>
      </c>
      <c r="IP187" s="16">
        <v>3347</v>
      </c>
      <c r="IQ187" s="16">
        <v>65</v>
      </c>
      <c r="IR187" s="16">
        <v>121</v>
      </c>
      <c r="IS187" s="16">
        <v>36480</v>
      </c>
      <c r="IT187" s="16">
        <v>714</v>
      </c>
      <c r="IU187" s="16">
        <v>0</v>
      </c>
      <c r="IV187" s="16">
        <v>14621</v>
      </c>
      <c r="IW187" s="16">
        <v>666</v>
      </c>
      <c r="IX187" s="16">
        <v>0</v>
      </c>
      <c r="IY187" s="16">
        <v>718</v>
      </c>
      <c r="IZ187" s="16">
        <v>1281</v>
      </c>
      <c r="JA187" s="16">
        <v>1131</v>
      </c>
      <c r="JB187" s="16">
        <v>1153</v>
      </c>
      <c r="JC187" s="16">
        <v>0</v>
      </c>
      <c r="JD187" s="16">
        <v>0</v>
      </c>
      <c r="JE187" s="16">
        <v>1138</v>
      </c>
      <c r="JF187" s="16">
        <v>13</v>
      </c>
      <c r="JG187" s="16">
        <v>160573</v>
      </c>
      <c r="JH187" s="16">
        <v>36389</v>
      </c>
      <c r="JI187" s="16">
        <v>0</v>
      </c>
      <c r="JJ187" s="16">
        <v>0</v>
      </c>
      <c r="JK187" s="16">
        <v>691</v>
      </c>
      <c r="JL187" s="16">
        <v>0</v>
      </c>
      <c r="JM187" s="16">
        <v>7448</v>
      </c>
      <c r="JN187" s="16">
        <v>33529</v>
      </c>
      <c r="JO187" s="16">
        <v>0</v>
      </c>
      <c r="JP187" s="16">
        <v>0</v>
      </c>
      <c r="JQ187" s="16">
        <v>0</v>
      </c>
      <c r="JR187" s="16">
        <v>0</v>
      </c>
      <c r="JS187" s="16">
        <v>0</v>
      </c>
      <c r="JT187" s="16">
        <v>0</v>
      </c>
      <c r="JU187" s="16">
        <v>0</v>
      </c>
      <c r="JV187" s="16">
        <v>0</v>
      </c>
      <c r="JW187" s="16">
        <v>0</v>
      </c>
      <c r="JX187" s="16">
        <v>0</v>
      </c>
      <c r="JY187" s="16">
        <v>0</v>
      </c>
      <c r="JZ187" s="16">
        <v>0</v>
      </c>
      <c r="KA187" s="16">
        <v>0</v>
      </c>
      <c r="KB187" s="16">
        <v>0</v>
      </c>
      <c r="KC187" s="16">
        <v>0</v>
      </c>
      <c r="KD187" s="16">
        <v>0</v>
      </c>
      <c r="KE187" s="16">
        <v>0</v>
      </c>
      <c r="KF187" s="16">
        <v>0</v>
      </c>
      <c r="KG187" s="16">
        <v>0</v>
      </c>
      <c r="KH187" s="16">
        <v>21</v>
      </c>
      <c r="KI187" s="16">
        <v>0</v>
      </c>
      <c r="KJ187" s="16">
        <v>68</v>
      </c>
      <c r="KK187" s="16">
        <v>0</v>
      </c>
      <c r="KL187" s="16">
        <v>0</v>
      </c>
      <c r="KM187" s="16">
        <v>0</v>
      </c>
      <c r="KN187" s="16">
        <v>0</v>
      </c>
      <c r="KO187" s="16">
        <v>0</v>
      </c>
      <c r="KP187" s="16">
        <v>0</v>
      </c>
      <c r="KQ187" s="16">
        <v>89</v>
      </c>
      <c r="KR187" s="16">
        <v>0</v>
      </c>
      <c r="KS187" s="16">
        <v>0</v>
      </c>
      <c r="KT187" s="16">
        <v>459</v>
      </c>
      <c r="KU187" s="16">
        <v>0</v>
      </c>
      <c r="KV187" s="16">
        <v>0</v>
      </c>
      <c r="KW187" s="16">
        <v>0</v>
      </c>
      <c r="KX187" s="16">
        <v>0</v>
      </c>
      <c r="KY187" s="16">
        <v>0</v>
      </c>
      <c r="KZ187" s="16">
        <v>0</v>
      </c>
      <c r="LA187" s="16">
        <v>0</v>
      </c>
      <c r="LB187" s="16">
        <v>0</v>
      </c>
      <c r="LC187" s="16">
        <v>0</v>
      </c>
      <c r="LD187" s="16">
        <v>0</v>
      </c>
      <c r="LE187" s="16">
        <v>6427</v>
      </c>
      <c r="LF187" s="16">
        <v>1836</v>
      </c>
      <c r="LG187" s="16">
        <v>1255</v>
      </c>
      <c r="LH187" s="16">
        <v>10877</v>
      </c>
      <c r="LI187" s="16">
        <v>26</v>
      </c>
      <c r="LJ187" s="16">
        <v>1576</v>
      </c>
      <c r="LK187" s="16">
        <v>35534</v>
      </c>
      <c r="LL187" s="16">
        <v>11521</v>
      </c>
      <c r="LM187" s="16">
        <v>92087</v>
      </c>
      <c r="LN187" s="16">
        <v>238671</v>
      </c>
      <c r="LO187" s="16">
        <v>0</v>
      </c>
      <c r="LP187" s="16">
        <v>161</v>
      </c>
      <c r="LQ187" s="16">
        <v>0</v>
      </c>
      <c r="LR187" s="16">
        <v>0</v>
      </c>
      <c r="LS187" s="16">
        <v>0</v>
      </c>
      <c r="LT187" s="16">
        <v>0</v>
      </c>
      <c r="LU187" s="16">
        <v>0</v>
      </c>
      <c r="LV187" s="16">
        <v>0</v>
      </c>
      <c r="LW187" s="16">
        <v>0</v>
      </c>
      <c r="LX187" s="16">
        <v>0</v>
      </c>
      <c r="LY187" s="16">
        <v>0</v>
      </c>
      <c r="LZ187" s="16">
        <v>0</v>
      </c>
      <c r="MA187" s="16">
        <v>0</v>
      </c>
      <c r="MB187" s="16">
        <v>0</v>
      </c>
      <c r="MC187" s="16">
        <v>11091</v>
      </c>
      <c r="MD187" s="16">
        <v>19267</v>
      </c>
      <c r="ME187" s="16">
        <v>3131</v>
      </c>
      <c r="MF187" s="16">
        <v>959710</v>
      </c>
      <c r="MG187" s="16">
        <v>0</v>
      </c>
      <c r="MH187" s="16">
        <v>0</v>
      </c>
      <c r="MI187" s="16">
        <v>0</v>
      </c>
      <c r="MJ187" s="16">
        <v>0</v>
      </c>
      <c r="MK187" s="16">
        <v>22176</v>
      </c>
      <c r="ML187" s="16">
        <v>3454</v>
      </c>
      <c r="MM187" s="16">
        <v>1113</v>
      </c>
      <c r="MN187" s="16">
        <v>10961</v>
      </c>
      <c r="MO187" s="16">
        <v>0</v>
      </c>
      <c r="MP187" s="16">
        <v>0</v>
      </c>
      <c r="MQ187" s="16">
        <v>0</v>
      </c>
      <c r="MR187" s="16">
        <v>8</v>
      </c>
      <c r="MS187" s="16">
        <v>104</v>
      </c>
      <c r="MT187" s="16">
        <v>0</v>
      </c>
      <c r="MU187" s="16">
        <v>0</v>
      </c>
      <c r="MV187" s="16">
        <v>0</v>
      </c>
      <c r="MW187" s="16">
        <v>0</v>
      </c>
      <c r="MX187" s="16">
        <v>0</v>
      </c>
      <c r="MY187" s="16">
        <v>0</v>
      </c>
      <c r="MZ187" s="16">
        <v>0</v>
      </c>
      <c r="NA187" s="16">
        <v>0</v>
      </c>
      <c r="NB187" s="16">
        <v>0</v>
      </c>
      <c r="NC187" s="16">
        <v>0</v>
      </c>
      <c r="ND187" s="16">
        <v>0</v>
      </c>
      <c r="NE187" s="16">
        <v>0</v>
      </c>
      <c r="NF187" s="16">
        <v>0</v>
      </c>
      <c r="NG187" s="16">
        <v>0</v>
      </c>
      <c r="NH187" s="16">
        <v>14</v>
      </c>
      <c r="NI187" s="16">
        <v>0</v>
      </c>
      <c r="NJ187" s="16">
        <v>0</v>
      </c>
      <c r="NK187" s="16">
        <v>3141</v>
      </c>
      <c r="NL187" s="16">
        <v>120494</v>
      </c>
      <c r="NM187" s="16">
        <v>0</v>
      </c>
      <c r="NN187" s="16">
        <v>0</v>
      </c>
      <c r="NO187" s="16">
        <v>0</v>
      </c>
      <c r="NP187" s="16">
        <v>0</v>
      </c>
      <c r="NQ187" s="16">
        <v>608</v>
      </c>
      <c r="NR187" s="17">
        <v>16233943</v>
      </c>
    </row>
    <row r="188" spans="1:382" ht="13.5" customHeight="1" x14ac:dyDescent="0.2">
      <c r="A188" s="2" t="s">
        <v>383</v>
      </c>
      <c r="B188" s="16">
        <v>0</v>
      </c>
      <c r="C188" s="16">
        <v>0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  <c r="BB188" s="16">
        <v>0</v>
      </c>
      <c r="BC188" s="16">
        <v>0</v>
      </c>
      <c r="BD188" s="16">
        <v>0</v>
      </c>
      <c r="BE188" s="16">
        <v>0</v>
      </c>
      <c r="BF188" s="16">
        <v>0</v>
      </c>
      <c r="BG188" s="16">
        <v>0</v>
      </c>
      <c r="BH188" s="16">
        <v>0</v>
      </c>
      <c r="BI188" s="16">
        <v>0</v>
      </c>
      <c r="BJ188" s="16">
        <v>0</v>
      </c>
      <c r="BK188" s="16">
        <v>0</v>
      </c>
      <c r="BL188" s="16">
        <v>0</v>
      </c>
      <c r="BM188" s="16">
        <v>0</v>
      </c>
      <c r="BN188" s="16">
        <v>0</v>
      </c>
      <c r="BO188" s="16">
        <v>0</v>
      </c>
      <c r="BP188" s="16">
        <v>0</v>
      </c>
      <c r="BQ188" s="16">
        <v>0</v>
      </c>
      <c r="BR188" s="16">
        <v>0</v>
      </c>
      <c r="BS188" s="16">
        <v>0</v>
      </c>
      <c r="BT188" s="16">
        <v>0</v>
      </c>
      <c r="BU188" s="16">
        <v>0</v>
      </c>
      <c r="BV188" s="16">
        <v>0</v>
      </c>
      <c r="BW188" s="16">
        <v>0</v>
      </c>
      <c r="BX188" s="16">
        <v>0</v>
      </c>
      <c r="BY188" s="16">
        <v>0</v>
      </c>
      <c r="BZ188" s="16">
        <v>0</v>
      </c>
      <c r="CA188" s="16">
        <v>0</v>
      </c>
      <c r="CB188" s="16">
        <v>0</v>
      </c>
      <c r="CC188" s="16">
        <v>0</v>
      </c>
      <c r="CD188" s="16">
        <v>0</v>
      </c>
      <c r="CE188" s="16">
        <v>0</v>
      </c>
      <c r="CF188" s="16">
        <v>0</v>
      </c>
      <c r="CG188" s="16">
        <v>0</v>
      </c>
      <c r="CH188" s="16">
        <v>0</v>
      </c>
      <c r="CI188" s="16">
        <v>0</v>
      </c>
      <c r="CJ188" s="16">
        <v>0</v>
      </c>
      <c r="CK188" s="16">
        <v>45</v>
      </c>
      <c r="CL188" s="16">
        <v>0</v>
      </c>
      <c r="CM188" s="16">
        <v>0</v>
      </c>
      <c r="CN188" s="16">
        <v>0</v>
      </c>
      <c r="CO188" s="16">
        <v>0</v>
      </c>
      <c r="CP188" s="16">
        <v>66</v>
      </c>
      <c r="CQ188" s="16">
        <v>4128</v>
      </c>
      <c r="CR188" s="16">
        <v>0</v>
      </c>
      <c r="CS188" s="16">
        <v>0</v>
      </c>
      <c r="CT188" s="16">
        <v>0</v>
      </c>
      <c r="CU188" s="16">
        <v>0</v>
      </c>
      <c r="CV188" s="16">
        <v>0</v>
      </c>
      <c r="CW188" s="16">
        <v>0</v>
      </c>
      <c r="CX188" s="16">
        <v>0</v>
      </c>
      <c r="CY188" s="16">
        <v>0</v>
      </c>
      <c r="CZ188" s="16">
        <v>0</v>
      </c>
      <c r="DA188" s="16">
        <v>0</v>
      </c>
      <c r="DB188" s="16">
        <v>0</v>
      </c>
      <c r="DC188" s="16">
        <v>0</v>
      </c>
      <c r="DD188" s="16">
        <v>0</v>
      </c>
      <c r="DE188" s="16">
        <v>0</v>
      </c>
      <c r="DF188" s="16">
        <v>0</v>
      </c>
      <c r="DG188" s="16">
        <v>0</v>
      </c>
      <c r="DH188" s="16">
        <v>0</v>
      </c>
      <c r="DI188" s="16">
        <v>0</v>
      </c>
      <c r="DJ188" s="16">
        <v>0</v>
      </c>
      <c r="DK188" s="16">
        <v>19</v>
      </c>
      <c r="DL188" s="16">
        <v>0</v>
      </c>
      <c r="DM188" s="16">
        <v>438</v>
      </c>
      <c r="DN188" s="16">
        <v>0</v>
      </c>
      <c r="DO188" s="16">
        <v>0</v>
      </c>
      <c r="DP188" s="16">
        <v>0</v>
      </c>
      <c r="DQ188" s="16">
        <v>0</v>
      </c>
      <c r="DR188" s="16">
        <v>0</v>
      </c>
      <c r="DS188" s="16">
        <v>0</v>
      </c>
      <c r="DT188" s="16">
        <v>0</v>
      </c>
      <c r="DU188" s="16">
        <v>46</v>
      </c>
      <c r="DV188" s="16">
        <v>365</v>
      </c>
      <c r="DW188" s="16">
        <v>0</v>
      </c>
      <c r="DX188" s="16">
        <v>473</v>
      </c>
      <c r="DY188" s="16">
        <v>598</v>
      </c>
      <c r="DZ188" s="16">
        <v>2279</v>
      </c>
      <c r="EA188" s="16">
        <v>1053</v>
      </c>
      <c r="EB188" s="16">
        <v>0</v>
      </c>
      <c r="EC188" s="16">
        <v>0</v>
      </c>
      <c r="ED188" s="16">
        <v>0</v>
      </c>
      <c r="EE188" s="16">
        <v>0</v>
      </c>
      <c r="EF188" s="16">
        <v>69</v>
      </c>
      <c r="EG188" s="16">
        <v>555</v>
      </c>
      <c r="EH188" s="16">
        <v>0</v>
      </c>
      <c r="EI188" s="16">
        <v>0</v>
      </c>
      <c r="EJ188" s="16">
        <v>129</v>
      </c>
      <c r="EK188" s="16">
        <v>0</v>
      </c>
      <c r="EL188" s="16">
        <v>0</v>
      </c>
      <c r="EM188" s="16">
        <v>0</v>
      </c>
      <c r="EN188" s="16">
        <v>0</v>
      </c>
      <c r="EO188" s="16">
        <v>0</v>
      </c>
      <c r="EP188" s="16">
        <v>0</v>
      </c>
      <c r="EQ188" s="16">
        <v>0</v>
      </c>
      <c r="ER188" s="16">
        <v>0</v>
      </c>
      <c r="ES188" s="16">
        <v>0</v>
      </c>
      <c r="ET188" s="16">
        <v>0</v>
      </c>
      <c r="EU188" s="16">
        <v>0</v>
      </c>
      <c r="EV188" s="16">
        <v>0</v>
      </c>
      <c r="EW188" s="16">
        <v>0</v>
      </c>
      <c r="EX188" s="16">
        <v>0</v>
      </c>
      <c r="EY188" s="16">
        <v>0</v>
      </c>
      <c r="EZ188" s="16">
        <v>0</v>
      </c>
      <c r="FA188" s="16">
        <v>0</v>
      </c>
      <c r="FB188" s="16">
        <v>0</v>
      </c>
      <c r="FC188" s="16">
        <v>0</v>
      </c>
      <c r="FD188" s="16">
        <v>0</v>
      </c>
      <c r="FE188" s="16">
        <v>0</v>
      </c>
      <c r="FF188" s="16">
        <v>0</v>
      </c>
      <c r="FG188" s="16">
        <v>0</v>
      </c>
      <c r="FH188" s="16">
        <v>0</v>
      </c>
      <c r="FI188" s="16">
        <v>0</v>
      </c>
      <c r="FJ188" s="16">
        <v>0</v>
      </c>
      <c r="FK188" s="16">
        <v>0</v>
      </c>
      <c r="FL188" s="16">
        <v>0</v>
      </c>
      <c r="FM188" s="16">
        <v>0</v>
      </c>
      <c r="FN188" s="16">
        <v>0</v>
      </c>
      <c r="FO188" s="16">
        <v>0</v>
      </c>
      <c r="FP188" s="16">
        <v>0</v>
      </c>
      <c r="FQ188" s="16">
        <v>0</v>
      </c>
      <c r="FR188" s="16">
        <v>7</v>
      </c>
      <c r="FS188" s="16">
        <v>0</v>
      </c>
      <c r="FT188" s="16">
        <v>13067</v>
      </c>
      <c r="FU188" s="16">
        <v>0</v>
      </c>
      <c r="FV188" s="16">
        <v>1130</v>
      </c>
      <c r="FW188" s="16">
        <v>0</v>
      </c>
      <c r="FX188" s="16">
        <v>0</v>
      </c>
      <c r="FY188" s="16">
        <v>0</v>
      </c>
      <c r="FZ188" s="16">
        <v>0</v>
      </c>
      <c r="GA188" s="16">
        <v>0</v>
      </c>
      <c r="GB188" s="16">
        <v>77</v>
      </c>
      <c r="GC188" s="16">
        <v>0</v>
      </c>
      <c r="GD188" s="16">
        <v>7560</v>
      </c>
      <c r="GE188" s="16">
        <v>102525</v>
      </c>
      <c r="GF188" s="16">
        <v>24323069</v>
      </c>
      <c r="GG188" s="16">
        <v>1314884</v>
      </c>
      <c r="GH188" s="16">
        <v>3375453</v>
      </c>
      <c r="GI188" s="16">
        <v>2145</v>
      </c>
      <c r="GJ188" s="16">
        <v>50538</v>
      </c>
      <c r="GK188" s="16">
        <v>579785</v>
      </c>
      <c r="GL188" s="16">
        <v>154122</v>
      </c>
      <c r="GM188" s="16">
        <v>4826015</v>
      </c>
      <c r="GN188" s="16">
        <v>108784</v>
      </c>
      <c r="GO188" s="16">
        <v>473026</v>
      </c>
      <c r="GP188" s="16">
        <v>4134361</v>
      </c>
      <c r="GQ188" s="16">
        <v>2505223</v>
      </c>
      <c r="GR188" s="16">
        <v>42776</v>
      </c>
      <c r="GS188" s="16">
        <v>141512</v>
      </c>
      <c r="GT188" s="16">
        <v>102338</v>
      </c>
      <c r="GU188" s="16">
        <v>216830</v>
      </c>
      <c r="GV188" s="16">
        <v>387846</v>
      </c>
      <c r="GW188" s="16">
        <v>166066</v>
      </c>
      <c r="GX188" s="16">
        <v>151789</v>
      </c>
      <c r="GY188" s="16">
        <v>958</v>
      </c>
      <c r="GZ188" s="16">
        <v>30927</v>
      </c>
      <c r="HA188" s="16">
        <v>10532</v>
      </c>
      <c r="HB188" s="16">
        <v>130091</v>
      </c>
      <c r="HC188" s="16">
        <v>73864</v>
      </c>
      <c r="HD188" s="16">
        <v>83996</v>
      </c>
      <c r="HE188" s="16">
        <v>73650</v>
      </c>
      <c r="HF188" s="16">
        <v>10106</v>
      </c>
      <c r="HG188" s="16">
        <v>80715</v>
      </c>
      <c r="HH188" s="16">
        <v>37793</v>
      </c>
      <c r="HI188" s="16">
        <v>129648</v>
      </c>
      <c r="HJ188" s="16">
        <v>7491</v>
      </c>
      <c r="HK188" s="16">
        <v>92085</v>
      </c>
      <c r="HL188" s="16">
        <v>704571</v>
      </c>
      <c r="HM188" s="16">
        <v>4672</v>
      </c>
      <c r="HN188" s="16">
        <v>6350</v>
      </c>
      <c r="HO188" s="16">
        <v>0</v>
      </c>
      <c r="HP188" s="16">
        <v>0</v>
      </c>
      <c r="HQ188" s="16">
        <v>50440</v>
      </c>
      <c r="HR188" s="16">
        <v>22201</v>
      </c>
      <c r="HS188" s="16">
        <v>14489</v>
      </c>
      <c r="HT188" s="16">
        <v>95247</v>
      </c>
      <c r="HU188" s="16">
        <v>15913</v>
      </c>
      <c r="HV188" s="16">
        <v>1152</v>
      </c>
      <c r="HW188" s="16">
        <v>599</v>
      </c>
      <c r="HX188" s="16">
        <v>18506</v>
      </c>
      <c r="HY188" s="16">
        <v>0</v>
      </c>
      <c r="HZ188" s="16">
        <v>163557</v>
      </c>
      <c r="IA188" s="16">
        <v>30804</v>
      </c>
      <c r="IB188" s="16">
        <v>562</v>
      </c>
      <c r="IC188" s="16">
        <v>271</v>
      </c>
      <c r="ID188" s="16">
        <v>10213</v>
      </c>
      <c r="IE188" s="16">
        <v>1726</v>
      </c>
      <c r="IF188" s="16">
        <v>6827</v>
      </c>
      <c r="IG188" s="16">
        <v>200229</v>
      </c>
      <c r="IH188" s="16">
        <v>50673</v>
      </c>
      <c r="II188" s="16">
        <v>811</v>
      </c>
      <c r="IJ188" s="16">
        <v>652</v>
      </c>
      <c r="IK188" s="16">
        <v>2847</v>
      </c>
      <c r="IL188" s="16">
        <v>182</v>
      </c>
      <c r="IM188" s="16">
        <v>33</v>
      </c>
      <c r="IN188" s="16">
        <v>18363</v>
      </c>
      <c r="IO188" s="16">
        <v>1614612</v>
      </c>
      <c r="IP188" s="16">
        <v>34</v>
      </c>
      <c r="IQ188" s="16">
        <v>28</v>
      </c>
      <c r="IR188" s="16">
        <v>0</v>
      </c>
      <c r="IS188" s="16">
        <v>842</v>
      </c>
      <c r="IT188" s="16">
        <v>11598</v>
      </c>
      <c r="IU188" s="16">
        <v>6</v>
      </c>
      <c r="IV188" s="16">
        <v>5025</v>
      </c>
      <c r="IW188" s="16">
        <v>0</v>
      </c>
      <c r="IX188" s="16">
        <v>0</v>
      </c>
      <c r="IY188" s="16">
        <v>1397</v>
      </c>
      <c r="IZ188" s="16">
        <v>6798</v>
      </c>
      <c r="JA188" s="16">
        <v>804</v>
      </c>
      <c r="JB188" s="16">
        <v>4339</v>
      </c>
      <c r="JC188" s="16">
        <v>0</v>
      </c>
      <c r="JD188" s="16">
        <v>0</v>
      </c>
      <c r="JE188" s="16">
        <v>722</v>
      </c>
      <c r="JF188" s="16">
        <v>663</v>
      </c>
      <c r="JG188" s="16">
        <v>49699</v>
      </c>
      <c r="JH188" s="16">
        <v>5693</v>
      </c>
      <c r="JI188" s="16">
        <v>0</v>
      </c>
      <c r="JJ188" s="16">
        <v>0</v>
      </c>
      <c r="JK188" s="16">
        <v>3608</v>
      </c>
      <c r="JL188" s="16">
        <v>0</v>
      </c>
      <c r="JM188" s="16">
        <v>0</v>
      </c>
      <c r="JN188" s="16">
        <v>0</v>
      </c>
      <c r="JO188" s="16">
        <v>0</v>
      </c>
      <c r="JP188" s="16">
        <v>0</v>
      </c>
      <c r="JQ188" s="16">
        <v>0</v>
      </c>
      <c r="JR188" s="16">
        <v>0</v>
      </c>
      <c r="JS188" s="16">
        <v>0</v>
      </c>
      <c r="JT188" s="16">
        <v>0</v>
      </c>
      <c r="JU188" s="16">
        <v>0</v>
      </c>
      <c r="JV188" s="16">
        <v>3005</v>
      </c>
      <c r="JW188" s="16">
        <v>0</v>
      </c>
      <c r="JX188" s="16">
        <v>0</v>
      </c>
      <c r="JY188" s="16">
        <v>0</v>
      </c>
      <c r="JZ188" s="16">
        <v>0</v>
      </c>
      <c r="KA188" s="16">
        <v>0</v>
      </c>
      <c r="KB188" s="16">
        <v>0</v>
      </c>
      <c r="KC188" s="16">
        <v>0</v>
      </c>
      <c r="KD188" s="16">
        <v>0</v>
      </c>
      <c r="KE188" s="16">
        <v>0</v>
      </c>
      <c r="KF188" s="16">
        <v>0</v>
      </c>
      <c r="KG188" s="16">
        <v>0</v>
      </c>
      <c r="KH188" s="16">
        <v>23</v>
      </c>
      <c r="KI188" s="16">
        <v>0</v>
      </c>
      <c r="KJ188" s="16">
        <v>702</v>
      </c>
      <c r="KK188" s="16">
        <v>33815</v>
      </c>
      <c r="KL188" s="16">
        <v>0</v>
      </c>
      <c r="KM188" s="16">
        <v>0</v>
      </c>
      <c r="KN188" s="16">
        <v>0</v>
      </c>
      <c r="KO188" s="16">
        <v>0</v>
      </c>
      <c r="KP188" s="16">
        <v>0</v>
      </c>
      <c r="KQ188" s="16">
        <v>323</v>
      </c>
      <c r="KR188" s="16">
        <v>0</v>
      </c>
      <c r="KS188" s="16">
        <v>0</v>
      </c>
      <c r="KT188" s="16">
        <v>352</v>
      </c>
      <c r="KU188" s="16">
        <v>0</v>
      </c>
      <c r="KV188" s="16">
        <v>0</v>
      </c>
      <c r="KW188" s="16">
        <v>0</v>
      </c>
      <c r="KX188" s="16">
        <v>0</v>
      </c>
      <c r="KY188" s="16">
        <v>0</v>
      </c>
      <c r="KZ188" s="16">
        <v>0</v>
      </c>
      <c r="LA188" s="16">
        <v>0</v>
      </c>
      <c r="LB188" s="16">
        <v>0</v>
      </c>
      <c r="LC188" s="16">
        <v>0</v>
      </c>
      <c r="LD188" s="16">
        <v>0</v>
      </c>
      <c r="LE188" s="16">
        <v>6055</v>
      </c>
      <c r="LF188" s="16">
        <v>3734</v>
      </c>
      <c r="LG188" s="16">
        <v>747</v>
      </c>
      <c r="LH188" s="16">
        <v>2446</v>
      </c>
      <c r="LI188" s="16">
        <v>137</v>
      </c>
      <c r="LJ188" s="16">
        <v>3974</v>
      </c>
      <c r="LK188" s="16">
        <v>85178</v>
      </c>
      <c r="LL188" s="16">
        <v>82205</v>
      </c>
      <c r="LM188" s="16">
        <v>260299</v>
      </c>
      <c r="LN188" s="16">
        <v>327562</v>
      </c>
      <c r="LO188" s="16">
        <v>78</v>
      </c>
      <c r="LP188" s="16">
        <v>49403</v>
      </c>
      <c r="LQ188" s="16">
        <v>574</v>
      </c>
      <c r="LR188" s="16">
        <v>0</v>
      </c>
      <c r="LS188" s="16">
        <v>0</v>
      </c>
      <c r="LT188" s="16">
        <v>0</v>
      </c>
      <c r="LU188" s="16">
        <v>0</v>
      </c>
      <c r="LV188" s="16">
        <v>0</v>
      </c>
      <c r="LW188" s="16">
        <v>0</v>
      </c>
      <c r="LX188" s="16">
        <v>0</v>
      </c>
      <c r="LY188" s="16">
        <v>0</v>
      </c>
      <c r="LZ188" s="16">
        <v>0</v>
      </c>
      <c r="MA188" s="16">
        <v>0</v>
      </c>
      <c r="MB188" s="16">
        <v>0</v>
      </c>
      <c r="MC188" s="16">
        <v>40631</v>
      </c>
      <c r="MD188" s="16">
        <v>38577</v>
      </c>
      <c r="ME188" s="16">
        <v>2069</v>
      </c>
      <c r="MF188" s="16">
        <v>683117</v>
      </c>
      <c r="MG188" s="16">
        <v>0</v>
      </c>
      <c r="MH188" s="16">
        <v>68374</v>
      </c>
      <c r="MI188" s="16">
        <v>5239</v>
      </c>
      <c r="MJ188" s="16">
        <v>0</v>
      </c>
      <c r="MK188" s="16">
        <v>5192</v>
      </c>
      <c r="ML188" s="16">
        <v>1638</v>
      </c>
      <c r="MM188" s="16">
        <v>1609</v>
      </c>
      <c r="MN188" s="16">
        <v>42541</v>
      </c>
      <c r="MO188" s="16">
        <v>0</v>
      </c>
      <c r="MP188" s="16">
        <v>0</v>
      </c>
      <c r="MQ188" s="16">
        <v>0</v>
      </c>
      <c r="MR188" s="16">
        <v>225</v>
      </c>
      <c r="MS188" s="16">
        <v>220</v>
      </c>
      <c r="MT188" s="16">
        <v>0</v>
      </c>
      <c r="MU188" s="16">
        <v>0</v>
      </c>
      <c r="MV188" s="16">
        <v>0</v>
      </c>
      <c r="MW188" s="16">
        <v>0</v>
      </c>
      <c r="MX188" s="16">
        <v>0</v>
      </c>
      <c r="MY188" s="16">
        <v>0</v>
      </c>
      <c r="MZ188" s="16">
        <v>0</v>
      </c>
      <c r="NA188" s="16">
        <v>0</v>
      </c>
      <c r="NB188" s="16">
        <v>0</v>
      </c>
      <c r="NC188" s="16">
        <v>101</v>
      </c>
      <c r="ND188" s="16">
        <v>0</v>
      </c>
      <c r="NE188" s="16">
        <v>0</v>
      </c>
      <c r="NF188" s="16">
        <v>0</v>
      </c>
      <c r="NG188" s="16">
        <v>276</v>
      </c>
      <c r="NH188" s="16">
        <v>647</v>
      </c>
      <c r="NI188" s="16">
        <v>0</v>
      </c>
      <c r="NJ188" s="16">
        <v>0</v>
      </c>
      <c r="NK188" s="16">
        <v>1176</v>
      </c>
      <c r="NL188" s="16">
        <v>25628</v>
      </c>
      <c r="NM188" s="16">
        <v>0</v>
      </c>
      <c r="NN188" s="16">
        <v>0</v>
      </c>
      <c r="NO188" s="16">
        <v>0</v>
      </c>
      <c r="NP188" s="16">
        <v>0</v>
      </c>
      <c r="NQ188" s="16">
        <v>3387</v>
      </c>
      <c r="NR188" s="17">
        <v>48862064</v>
      </c>
    </row>
    <row r="189" spans="1:382" ht="13.5" customHeight="1" x14ac:dyDescent="0.2">
      <c r="A189" s="2" t="s">
        <v>385</v>
      </c>
      <c r="B189" s="16">
        <v>0</v>
      </c>
      <c r="C189" s="16">
        <v>0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  <c r="AK189" s="16">
        <v>0</v>
      </c>
      <c r="AL189" s="16">
        <v>0</v>
      </c>
      <c r="AM189" s="16">
        <v>0</v>
      </c>
      <c r="AN189" s="16">
        <v>0</v>
      </c>
      <c r="AO189" s="16">
        <v>0</v>
      </c>
      <c r="AP189" s="16">
        <v>0</v>
      </c>
      <c r="AQ189" s="16">
        <v>0</v>
      </c>
      <c r="AR189" s="16">
        <v>0</v>
      </c>
      <c r="AS189" s="16">
        <v>0</v>
      </c>
      <c r="AT189" s="16">
        <v>0</v>
      </c>
      <c r="AU189" s="16">
        <v>0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340</v>
      </c>
      <c r="BB189" s="16">
        <v>0</v>
      </c>
      <c r="BC189" s="16">
        <v>0</v>
      </c>
      <c r="BD189" s="16">
        <v>0</v>
      </c>
      <c r="BE189" s="16">
        <v>0</v>
      </c>
      <c r="BF189" s="16">
        <v>0</v>
      </c>
      <c r="BG189" s="16">
        <v>0</v>
      </c>
      <c r="BH189" s="16">
        <v>0</v>
      </c>
      <c r="BI189" s="16">
        <v>0</v>
      </c>
      <c r="BJ189" s="16">
        <v>0</v>
      </c>
      <c r="BK189" s="16">
        <v>0</v>
      </c>
      <c r="BL189" s="16">
        <v>0</v>
      </c>
      <c r="BM189" s="16">
        <v>0</v>
      </c>
      <c r="BN189" s="16">
        <v>0</v>
      </c>
      <c r="BO189" s="16">
        <v>0</v>
      </c>
      <c r="BP189" s="16">
        <v>0</v>
      </c>
      <c r="BQ189" s="16">
        <v>0</v>
      </c>
      <c r="BR189" s="16">
        <v>0</v>
      </c>
      <c r="BS189" s="16">
        <v>0</v>
      </c>
      <c r="BT189" s="16">
        <v>0</v>
      </c>
      <c r="BU189" s="16">
        <v>0</v>
      </c>
      <c r="BV189" s="16">
        <v>0</v>
      </c>
      <c r="BW189" s="16">
        <v>0</v>
      </c>
      <c r="BX189" s="16">
        <v>0</v>
      </c>
      <c r="BY189" s="16">
        <v>0</v>
      </c>
      <c r="BZ189" s="16">
        <v>0</v>
      </c>
      <c r="CA189" s="16">
        <v>0</v>
      </c>
      <c r="CB189" s="16">
        <v>0</v>
      </c>
      <c r="CC189" s="16">
        <v>0</v>
      </c>
      <c r="CD189" s="16">
        <v>0</v>
      </c>
      <c r="CE189" s="16">
        <v>0</v>
      </c>
      <c r="CF189" s="16">
        <v>0</v>
      </c>
      <c r="CG189" s="16">
        <v>0</v>
      </c>
      <c r="CH189" s="16">
        <v>0</v>
      </c>
      <c r="CI189" s="16">
        <v>0</v>
      </c>
      <c r="CJ189" s="16">
        <v>0</v>
      </c>
      <c r="CK189" s="16">
        <v>0</v>
      </c>
      <c r="CL189" s="16">
        <v>0</v>
      </c>
      <c r="CM189" s="16">
        <v>0</v>
      </c>
      <c r="CN189" s="16">
        <v>0</v>
      </c>
      <c r="CO189" s="16">
        <v>0</v>
      </c>
      <c r="CP189" s="16">
        <v>119</v>
      </c>
      <c r="CQ189" s="16">
        <v>23286</v>
      </c>
      <c r="CR189" s="16">
        <v>0</v>
      </c>
      <c r="CS189" s="16">
        <v>0</v>
      </c>
      <c r="CT189" s="16">
        <v>0</v>
      </c>
      <c r="CU189" s="16">
        <v>0</v>
      </c>
      <c r="CV189" s="16">
        <v>0</v>
      </c>
      <c r="CW189" s="16">
        <v>0</v>
      </c>
      <c r="CX189" s="16">
        <v>0</v>
      </c>
      <c r="CY189" s="16">
        <v>0</v>
      </c>
      <c r="CZ189" s="16">
        <v>0</v>
      </c>
      <c r="DA189" s="16">
        <v>0</v>
      </c>
      <c r="DB189" s="16">
        <v>0</v>
      </c>
      <c r="DC189" s="16">
        <v>0</v>
      </c>
      <c r="DD189" s="16">
        <v>0</v>
      </c>
      <c r="DE189" s="16">
        <v>0</v>
      </c>
      <c r="DF189" s="16">
        <v>0</v>
      </c>
      <c r="DG189" s="16">
        <v>0</v>
      </c>
      <c r="DH189" s="16">
        <v>0</v>
      </c>
      <c r="DI189" s="16">
        <v>0</v>
      </c>
      <c r="DJ189" s="16">
        <v>0</v>
      </c>
      <c r="DK189" s="16">
        <v>0</v>
      </c>
      <c r="DL189" s="16">
        <v>0</v>
      </c>
      <c r="DM189" s="16">
        <v>0</v>
      </c>
      <c r="DN189" s="16">
        <v>0</v>
      </c>
      <c r="DO189" s="16">
        <v>0</v>
      </c>
      <c r="DP189" s="16">
        <v>0</v>
      </c>
      <c r="DQ189" s="16">
        <v>0</v>
      </c>
      <c r="DR189" s="16">
        <v>0</v>
      </c>
      <c r="DS189" s="16">
        <v>0</v>
      </c>
      <c r="DT189" s="16">
        <v>0</v>
      </c>
      <c r="DU189" s="16">
        <v>0</v>
      </c>
      <c r="DV189" s="16">
        <v>153</v>
      </c>
      <c r="DW189" s="16">
        <v>0</v>
      </c>
      <c r="DX189" s="16">
        <v>0</v>
      </c>
      <c r="DY189" s="16">
        <v>0</v>
      </c>
      <c r="DZ189" s="16">
        <v>0</v>
      </c>
      <c r="EA189" s="16">
        <v>0</v>
      </c>
      <c r="EB189" s="16">
        <v>0</v>
      </c>
      <c r="EC189" s="16">
        <v>0</v>
      </c>
      <c r="ED189" s="16">
        <v>0</v>
      </c>
      <c r="EE189" s="16">
        <v>0</v>
      </c>
      <c r="EF189" s="16">
        <v>0</v>
      </c>
      <c r="EG189" s="16">
        <v>9</v>
      </c>
      <c r="EH189" s="16">
        <v>0</v>
      </c>
      <c r="EI189" s="16">
        <v>0</v>
      </c>
      <c r="EJ189" s="16">
        <v>0</v>
      </c>
      <c r="EK189" s="16">
        <v>0</v>
      </c>
      <c r="EL189" s="16">
        <v>0</v>
      </c>
      <c r="EM189" s="16">
        <v>0</v>
      </c>
      <c r="EN189" s="16">
        <v>0</v>
      </c>
      <c r="EO189" s="16">
        <v>0</v>
      </c>
      <c r="EP189" s="16">
        <v>0</v>
      </c>
      <c r="EQ189" s="16">
        <v>0</v>
      </c>
      <c r="ER189" s="16">
        <v>0</v>
      </c>
      <c r="ES189" s="16">
        <v>0</v>
      </c>
      <c r="ET189" s="16">
        <v>0</v>
      </c>
      <c r="EU189" s="16">
        <v>0</v>
      </c>
      <c r="EV189" s="16">
        <v>0</v>
      </c>
      <c r="EW189" s="16">
        <v>0</v>
      </c>
      <c r="EX189" s="16">
        <v>0</v>
      </c>
      <c r="EY189" s="16">
        <v>0</v>
      </c>
      <c r="EZ189" s="16">
        <v>0</v>
      </c>
      <c r="FA189" s="16">
        <v>0</v>
      </c>
      <c r="FB189" s="16">
        <v>0</v>
      </c>
      <c r="FC189" s="16">
        <v>0</v>
      </c>
      <c r="FD189" s="16">
        <v>0</v>
      </c>
      <c r="FE189" s="16">
        <v>0</v>
      </c>
      <c r="FF189" s="16">
        <v>0</v>
      </c>
      <c r="FG189" s="16">
        <v>0</v>
      </c>
      <c r="FH189" s="16">
        <v>0</v>
      </c>
      <c r="FI189" s="16">
        <v>0</v>
      </c>
      <c r="FJ189" s="16">
        <v>0</v>
      </c>
      <c r="FK189" s="16">
        <v>0</v>
      </c>
      <c r="FL189" s="16">
        <v>0</v>
      </c>
      <c r="FM189" s="16">
        <v>0</v>
      </c>
      <c r="FN189" s="16">
        <v>0</v>
      </c>
      <c r="FO189" s="16">
        <v>0</v>
      </c>
      <c r="FP189" s="16">
        <v>0</v>
      </c>
      <c r="FQ189" s="16">
        <v>0</v>
      </c>
      <c r="FR189" s="16">
        <v>0</v>
      </c>
      <c r="FS189" s="16">
        <v>0</v>
      </c>
      <c r="FT189" s="16">
        <v>95225</v>
      </c>
      <c r="FU189" s="16">
        <v>0</v>
      </c>
      <c r="FV189" s="16">
        <v>0</v>
      </c>
      <c r="FW189" s="16">
        <v>0</v>
      </c>
      <c r="FX189" s="16">
        <v>0</v>
      </c>
      <c r="FY189" s="16">
        <v>0</v>
      </c>
      <c r="FZ189" s="16">
        <v>0</v>
      </c>
      <c r="GA189" s="16">
        <v>0</v>
      </c>
      <c r="GB189" s="16">
        <v>0</v>
      </c>
      <c r="GC189" s="16">
        <v>0</v>
      </c>
      <c r="GD189" s="16">
        <v>32093</v>
      </c>
      <c r="GE189" s="16">
        <v>0</v>
      </c>
      <c r="GF189" s="16">
        <v>6016</v>
      </c>
      <c r="GG189" s="16">
        <v>2487236</v>
      </c>
      <c r="GH189" s="16">
        <v>407267</v>
      </c>
      <c r="GI189" s="16">
        <v>402</v>
      </c>
      <c r="GJ189" s="16">
        <v>29</v>
      </c>
      <c r="GK189" s="16">
        <v>81625</v>
      </c>
      <c r="GL189" s="16">
        <v>234288</v>
      </c>
      <c r="GM189" s="16">
        <v>36889</v>
      </c>
      <c r="GN189" s="16">
        <v>130723</v>
      </c>
      <c r="GO189" s="16">
        <v>60833</v>
      </c>
      <c r="GP189" s="16">
        <v>1414802</v>
      </c>
      <c r="GQ189" s="16">
        <v>279850</v>
      </c>
      <c r="GR189" s="16">
        <v>236948</v>
      </c>
      <c r="GS189" s="16">
        <v>204654</v>
      </c>
      <c r="GT189" s="16">
        <v>8743</v>
      </c>
      <c r="GU189" s="16">
        <v>275487</v>
      </c>
      <c r="GV189" s="16">
        <v>800144</v>
      </c>
      <c r="GW189" s="16">
        <v>118306</v>
      </c>
      <c r="GX189" s="16">
        <v>73715</v>
      </c>
      <c r="GY189" s="16">
        <v>1251</v>
      </c>
      <c r="GZ189" s="16">
        <v>1772</v>
      </c>
      <c r="HA189" s="16">
        <v>1219</v>
      </c>
      <c r="HB189" s="16">
        <v>60969</v>
      </c>
      <c r="HC189" s="16">
        <v>134406</v>
      </c>
      <c r="HD189" s="16">
        <v>84726</v>
      </c>
      <c r="HE189" s="16">
        <v>1052</v>
      </c>
      <c r="HF189" s="16">
        <v>1781</v>
      </c>
      <c r="HG189" s="16">
        <v>27629</v>
      </c>
      <c r="HH189" s="16">
        <v>12264</v>
      </c>
      <c r="HI189" s="16">
        <v>54308</v>
      </c>
      <c r="HJ189" s="16">
        <v>6678</v>
      </c>
      <c r="HK189" s="16">
        <v>12238</v>
      </c>
      <c r="HL189" s="16">
        <v>70376</v>
      </c>
      <c r="HM189" s="16">
        <v>3070</v>
      </c>
      <c r="HN189" s="16">
        <v>48934</v>
      </c>
      <c r="HO189" s="16">
        <v>0</v>
      </c>
      <c r="HP189" s="16">
        <v>0</v>
      </c>
      <c r="HQ189" s="16">
        <v>62453</v>
      </c>
      <c r="HR189" s="16">
        <v>122100</v>
      </c>
      <c r="HS189" s="16">
        <v>111950</v>
      </c>
      <c r="HT189" s="16">
        <v>88260</v>
      </c>
      <c r="HU189" s="16">
        <v>187130</v>
      </c>
      <c r="HV189" s="16">
        <v>14979</v>
      </c>
      <c r="HW189" s="16">
        <v>4001</v>
      </c>
      <c r="HX189" s="16">
        <v>32361</v>
      </c>
      <c r="HY189" s="16">
        <v>3661</v>
      </c>
      <c r="HZ189" s="16">
        <v>168329</v>
      </c>
      <c r="IA189" s="16">
        <v>213882</v>
      </c>
      <c r="IB189" s="16">
        <v>15509</v>
      </c>
      <c r="IC189" s="16">
        <v>3140</v>
      </c>
      <c r="ID189" s="16">
        <v>25441</v>
      </c>
      <c r="IE189" s="16">
        <v>1676</v>
      </c>
      <c r="IF189" s="16">
        <v>5861</v>
      </c>
      <c r="IG189" s="16">
        <v>184186</v>
      </c>
      <c r="IH189" s="16">
        <v>0</v>
      </c>
      <c r="II189" s="16">
        <v>0</v>
      </c>
      <c r="IJ189" s="16">
        <v>0</v>
      </c>
      <c r="IK189" s="16">
        <v>0</v>
      </c>
      <c r="IL189" s="16">
        <v>0</v>
      </c>
      <c r="IM189" s="16">
        <v>0</v>
      </c>
      <c r="IN189" s="16">
        <v>0</v>
      </c>
      <c r="IO189" s="16">
        <v>309172</v>
      </c>
      <c r="IP189" s="16">
        <v>212</v>
      </c>
      <c r="IQ189" s="16">
        <v>0</v>
      </c>
      <c r="IR189" s="16">
        <v>0</v>
      </c>
      <c r="IS189" s="16">
        <v>238</v>
      </c>
      <c r="IT189" s="16">
        <v>487</v>
      </c>
      <c r="IU189" s="16">
        <v>0</v>
      </c>
      <c r="IV189" s="16">
        <v>5975</v>
      </c>
      <c r="IW189" s="16">
        <v>356</v>
      </c>
      <c r="IX189" s="16">
        <v>0</v>
      </c>
      <c r="IY189" s="16">
        <v>473</v>
      </c>
      <c r="IZ189" s="16">
        <v>5691</v>
      </c>
      <c r="JA189" s="16">
        <v>6154</v>
      </c>
      <c r="JB189" s="16">
        <v>4142</v>
      </c>
      <c r="JC189" s="16">
        <v>0</v>
      </c>
      <c r="JD189" s="16">
        <v>0</v>
      </c>
      <c r="JE189" s="16">
        <v>0</v>
      </c>
      <c r="JF189" s="16">
        <v>0</v>
      </c>
      <c r="JG189" s="16">
        <v>491996</v>
      </c>
      <c r="JH189" s="16">
        <v>4316</v>
      </c>
      <c r="JI189" s="16">
        <v>0</v>
      </c>
      <c r="JJ189" s="16">
        <v>0</v>
      </c>
      <c r="JK189" s="16">
        <v>0</v>
      </c>
      <c r="JL189" s="16">
        <v>0</v>
      </c>
      <c r="JM189" s="16">
        <v>0</v>
      </c>
      <c r="JN189" s="16">
        <v>0</v>
      </c>
      <c r="JO189" s="16">
        <v>0</v>
      </c>
      <c r="JP189" s="16">
        <v>0</v>
      </c>
      <c r="JQ189" s="16">
        <v>0</v>
      </c>
      <c r="JR189" s="16">
        <v>0</v>
      </c>
      <c r="JS189" s="16">
        <v>0</v>
      </c>
      <c r="JT189" s="16">
        <v>0</v>
      </c>
      <c r="JU189" s="16">
        <v>0</v>
      </c>
      <c r="JV189" s="16">
        <v>0</v>
      </c>
      <c r="JW189" s="16">
        <v>0</v>
      </c>
      <c r="JX189" s="16">
        <v>13385</v>
      </c>
      <c r="JY189" s="16">
        <v>0</v>
      </c>
      <c r="JZ189" s="16">
        <v>434</v>
      </c>
      <c r="KA189" s="16">
        <v>0</v>
      </c>
      <c r="KB189" s="16">
        <v>0</v>
      </c>
      <c r="KC189" s="16">
        <v>0</v>
      </c>
      <c r="KD189" s="16">
        <v>0</v>
      </c>
      <c r="KE189" s="16">
        <v>0</v>
      </c>
      <c r="KF189" s="16">
        <v>0</v>
      </c>
      <c r="KG189" s="16">
        <v>419</v>
      </c>
      <c r="KH189" s="16">
        <v>0</v>
      </c>
      <c r="KI189" s="16">
        <v>956</v>
      </c>
      <c r="KJ189" s="16">
        <v>74</v>
      </c>
      <c r="KK189" s="16">
        <v>0</v>
      </c>
      <c r="KL189" s="16">
        <v>0</v>
      </c>
      <c r="KM189" s="16">
        <v>0</v>
      </c>
      <c r="KN189" s="16">
        <v>0</v>
      </c>
      <c r="KO189" s="16">
        <v>0</v>
      </c>
      <c r="KP189" s="16">
        <v>0</v>
      </c>
      <c r="KQ189" s="16">
        <v>336</v>
      </c>
      <c r="KR189" s="16">
        <v>0</v>
      </c>
      <c r="KS189" s="16">
        <v>0</v>
      </c>
      <c r="KT189" s="16">
        <v>0</v>
      </c>
      <c r="KU189" s="16">
        <v>0</v>
      </c>
      <c r="KV189" s="16">
        <v>0</v>
      </c>
      <c r="KW189" s="16">
        <v>0</v>
      </c>
      <c r="KX189" s="16">
        <v>0</v>
      </c>
      <c r="KY189" s="16">
        <v>0</v>
      </c>
      <c r="KZ189" s="16">
        <v>0</v>
      </c>
      <c r="LA189" s="16">
        <v>0</v>
      </c>
      <c r="LB189" s="16">
        <v>0</v>
      </c>
      <c r="LC189" s="16">
        <v>0</v>
      </c>
      <c r="LD189" s="16">
        <v>0</v>
      </c>
      <c r="LE189" s="16">
        <v>1162</v>
      </c>
      <c r="LF189" s="16">
        <v>418</v>
      </c>
      <c r="LG189" s="16">
        <v>42</v>
      </c>
      <c r="LH189" s="16">
        <v>392</v>
      </c>
      <c r="LI189" s="16">
        <v>0</v>
      </c>
      <c r="LJ189" s="16">
        <v>0</v>
      </c>
      <c r="LK189" s="16">
        <v>3547</v>
      </c>
      <c r="LL189" s="16">
        <v>2317</v>
      </c>
      <c r="LM189" s="16">
        <v>4013</v>
      </c>
      <c r="LN189" s="16">
        <v>29896</v>
      </c>
      <c r="LO189" s="16">
        <v>456</v>
      </c>
      <c r="LP189" s="16">
        <v>0</v>
      </c>
      <c r="LQ189" s="16">
        <v>0</v>
      </c>
      <c r="LR189" s="16">
        <v>0</v>
      </c>
      <c r="LS189" s="16">
        <v>0</v>
      </c>
      <c r="LT189" s="16">
        <v>0</v>
      </c>
      <c r="LU189" s="16">
        <v>0</v>
      </c>
      <c r="LV189" s="16">
        <v>0</v>
      </c>
      <c r="LW189" s="16">
        <v>0</v>
      </c>
      <c r="LX189" s="16">
        <v>0</v>
      </c>
      <c r="LY189" s="16">
        <v>0</v>
      </c>
      <c r="LZ189" s="16">
        <v>0</v>
      </c>
      <c r="MA189" s="16">
        <v>0</v>
      </c>
      <c r="MB189" s="16">
        <v>0</v>
      </c>
      <c r="MC189" s="16">
        <v>58903</v>
      </c>
      <c r="MD189" s="16">
        <v>53383</v>
      </c>
      <c r="ME189" s="16">
        <v>7910</v>
      </c>
      <c r="MF189" s="16">
        <v>484012</v>
      </c>
      <c r="MG189" s="16">
        <v>0</v>
      </c>
      <c r="MH189" s="16">
        <v>0</v>
      </c>
      <c r="MI189" s="16">
        <v>169</v>
      </c>
      <c r="MJ189" s="16">
        <v>0</v>
      </c>
      <c r="MK189" s="16">
        <v>1558</v>
      </c>
      <c r="ML189" s="16">
        <v>1167</v>
      </c>
      <c r="MM189" s="16">
        <v>1097</v>
      </c>
      <c r="MN189" s="16">
        <v>0</v>
      </c>
      <c r="MO189" s="16">
        <v>0</v>
      </c>
      <c r="MP189" s="16">
        <v>0</v>
      </c>
      <c r="MQ189" s="16">
        <v>0</v>
      </c>
      <c r="MR189" s="16">
        <v>16</v>
      </c>
      <c r="MS189" s="16">
        <v>295</v>
      </c>
      <c r="MT189" s="16">
        <v>0</v>
      </c>
      <c r="MU189" s="16">
        <v>83</v>
      </c>
      <c r="MV189" s="16">
        <v>0</v>
      </c>
      <c r="MW189" s="16">
        <v>0</v>
      </c>
      <c r="MX189" s="16">
        <v>0</v>
      </c>
      <c r="MY189" s="16">
        <v>0</v>
      </c>
      <c r="MZ189" s="16">
        <v>0</v>
      </c>
      <c r="NA189" s="16">
        <v>0</v>
      </c>
      <c r="NB189" s="16">
        <v>0</v>
      </c>
      <c r="NC189" s="16">
        <v>9</v>
      </c>
      <c r="ND189" s="16">
        <v>0</v>
      </c>
      <c r="NE189" s="16">
        <v>49</v>
      </c>
      <c r="NF189" s="16">
        <v>0</v>
      </c>
      <c r="NG189" s="16">
        <v>0</v>
      </c>
      <c r="NH189" s="16">
        <v>0</v>
      </c>
      <c r="NI189" s="16">
        <v>0</v>
      </c>
      <c r="NJ189" s="16">
        <v>0</v>
      </c>
      <c r="NK189" s="16">
        <v>0</v>
      </c>
      <c r="NL189" s="16">
        <v>72698</v>
      </c>
      <c r="NM189" s="16">
        <v>0</v>
      </c>
      <c r="NN189" s="16">
        <v>0</v>
      </c>
      <c r="NO189" s="16">
        <v>0</v>
      </c>
      <c r="NP189" s="16">
        <v>0</v>
      </c>
      <c r="NQ189" s="16">
        <v>3</v>
      </c>
      <c r="NR189" s="17">
        <v>10345185</v>
      </c>
    </row>
    <row r="190" spans="1:382" ht="13.5" customHeight="1" x14ac:dyDescent="0.2">
      <c r="A190" s="2" t="s">
        <v>387</v>
      </c>
      <c r="B190" s="16">
        <v>0</v>
      </c>
      <c r="C190" s="16">
        <v>0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  <c r="AK190" s="16">
        <v>0</v>
      </c>
      <c r="AL190" s="16">
        <v>0</v>
      </c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0</v>
      </c>
      <c r="BE190" s="16">
        <v>0</v>
      </c>
      <c r="BF190" s="16">
        <v>0</v>
      </c>
      <c r="BG190" s="16">
        <v>0</v>
      </c>
      <c r="BH190" s="16">
        <v>0</v>
      </c>
      <c r="BI190" s="16">
        <v>0</v>
      </c>
      <c r="BJ190" s="16">
        <v>0</v>
      </c>
      <c r="BK190" s="16">
        <v>0</v>
      </c>
      <c r="BL190" s="16">
        <v>0</v>
      </c>
      <c r="BM190" s="16">
        <v>0</v>
      </c>
      <c r="BN190" s="16">
        <v>0</v>
      </c>
      <c r="BO190" s="16">
        <v>0</v>
      </c>
      <c r="BP190" s="16">
        <v>0</v>
      </c>
      <c r="BQ190" s="16">
        <v>0</v>
      </c>
      <c r="BR190" s="16">
        <v>0</v>
      </c>
      <c r="BS190" s="16">
        <v>0</v>
      </c>
      <c r="BT190" s="16">
        <v>0</v>
      </c>
      <c r="BU190" s="16">
        <v>0</v>
      </c>
      <c r="BV190" s="16">
        <v>0</v>
      </c>
      <c r="BW190" s="16">
        <v>0</v>
      </c>
      <c r="BX190" s="16">
        <v>0</v>
      </c>
      <c r="BY190" s="16">
        <v>0</v>
      </c>
      <c r="BZ190" s="16">
        <v>0</v>
      </c>
      <c r="CA190" s="16">
        <v>0</v>
      </c>
      <c r="CB190" s="16">
        <v>0</v>
      </c>
      <c r="CC190" s="16">
        <v>0</v>
      </c>
      <c r="CD190" s="16">
        <v>0</v>
      </c>
      <c r="CE190" s="16">
        <v>0</v>
      </c>
      <c r="CF190" s="16">
        <v>0</v>
      </c>
      <c r="CG190" s="16">
        <v>0</v>
      </c>
      <c r="CH190" s="16">
        <v>0</v>
      </c>
      <c r="CI190" s="16">
        <v>0</v>
      </c>
      <c r="CJ190" s="16">
        <v>0</v>
      </c>
      <c r="CK190" s="16">
        <v>0</v>
      </c>
      <c r="CL190" s="16">
        <v>0</v>
      </c>
      <c r="CM190" s="16">
        <v>0</v>
      </c>
      <c r="CN190" s="16">
        <v>0</v>
      </c>
      <c r="CO190" s="16">
        <v>0</v>
      </c>
      <c r="CP190" s="16">
        <v>0</v>
      </c>
      <c r="CQ190" s="16">
        <v>1181</v>
      </c>
      <c r="CR190" s="16">
        <v>0</v>
      </c>
      <c r="CS190" s="16">
        <v>0</v>
      </c>
      <c r="CT190" s="16">
        <v>0</v>
      </c>
      <c r="CU190" s="16">
        <v>0</v>
      </c>
      <c r="CV190" s="16">
        <v>0</v>
      </c>
      <c r="CW190" s="16">
        <v>0</v>
      </c>
      <c r="CX190" s="16">
        <v>0</v>
      </c>
      <c r="CY190" s="16">
        <v>0</v>
      </c>
      <c r="CZ190" s="16">
        <v>0</v>
      </c>
      <c r="DA190" s="16">
        <v>0</v>
      </c>
      <c r="DB190" s="16">
        <v>0</v>
      </c>
      <c r="DC190" s="16">
        <v>0</v>
      </c>
      <c r="DD190" s="16">
        <v>0</v>
      </c>
      <c r="DE190" s="16">
        <v>0</v>
      </c>
      <c r="DF190" s="16">
        <v>0</v>
      </c>
      <c r="DG190" s="16">
        <v>0</v>
      </c>
      <c r="DH190" s="16">
        <v>0</v>
      </c>
      <c r="DI190" s="16">
        <v>0</v>
      </c>
      <c r="DJ190" s="16">
        <v>0</v>
      </c>
      <c r="DK190" s="16">
        <v>0</v>
      </c>
      <c r="DL190" s="16">
        <v>0</v>
      </c>
      <c r="DM190" s="16">
        <v>0</v>
      </c>
      <c r="DN190" s="16">
        <v>0</v>
      </c>
      <c r="DO190" s="16">
        <v>0</v>
      </c>
      <c r="DP190" s="16">
        <v>0</v>
      </c>
      <c r="DQ190" s="16">
        <v>0</v>
      </c>
      <c r="DR190" s="16">
        <v>0</v>
      </c>
      <c r="DS190" s="16">
        <v>0</v>
      </c>
      <c r="DT190" s="16">
        <v>0</v>
      </c>
      <c r="DU190" s="16">
        <v>0</v>
      </c>
      <c r="DV190" s="16">
        <v>0</v>
      </c>
      <c r="DW190" s="16">
        <v>0</v>
      </c>
      <c r="DX190" s="16">
        <v>0</v>
      </c>
      <c r="DY190" s="16">
        <v>0</v>
      </c>
      <c r="DZ190" s="16">
        <v>0</v>
      </c>
      <c r="EA190" s="16">
        <v>0</v>
      </c>
      <c r="EB190" s="16">
        <v>0</v>
      </c>
      <c r="EC190" s="16">
        <v>0</v>
      </c>
      <c r="ED190" s="16">
        <v>0</v>
      </c>
      <c r="EE190" s="16">
        <v>0</v>
      </c>
      <c r="EF190" s="16">
        <v>0</v>
      </c>
      <c r="EG190" s="16">
        <v>0</v>
      </c>
      <c r="EH190" s="16">
        <v>0</v>
      </c>
      <c r="EI190" s="16">
        <v>0</v>
      </c>
      <c r="EJ190" s="16">
        <v>0</v>
      </c>
      <c r="EK190" s="16">
        <v>0</v>
      </c>
      <c r="EL190" s="16">
        <v>0</v>
      </c>
      <c r="EM190" s="16">
        <v>0</v>
      </c>
      <c r="EN190" s="16">
        <v>0</v>
      </c>
      <c r="EO190" s="16">
        <v>0</v>
      </c>
      <c r="EP190" s="16">
        <v>0</v>
      </c>
      <c r="EQ190" s="16">
        <v>0</v>
      </c>
      <c r="ER190" s="16">
        <v>0</v>
      </c>
      <c r="ES190" s="16">
        <v>0</v>
      </c>
      <c r="ET190" s="16">
        <v>0</v>
      </c>
      <c r="EU190" s="16">
        <v>0</v>
      </c>
      <c r="EV190" s="16">
        <v>0</v>
      </c>
      <c r="EW190" s="16">
        <v>0</v>
      </c>
      <c r="EX190" s="16">
        <v>0</v>
      </c>
      <c r="EY190" s="16">
        <v>0</v>
      </c>
      <c r="EZ190" s="16">
        <v>0</v>
      </c>
      <c r="FA190" s="16">
        <v>0</v>
      </c>
      <c r="FB190" s="16">
        <v>0</v>
      </c>
      <c r="FC190" s="16">
        <v>0</v>
      </c>
      <c r="FD190" s="16">
        <v>0</v>
      </c>
      <c r="FE190" s="16">
        <v>0</v>
      </c>
      <c r="FF190" s="16">
        <v>0</v>
      </c>
      <c r="FG190" s="16">
        <v>0</v>
      </c>
      <c r="FH190" s="16">
        <v>0</v>
      </c>
      <c r="FI190" s="16">
        <v>0</v>
      </c>
      <c r="FJ190" s="16">
        <v>0</v>
      </c>
      <c r="FK190" s="16">
        <v>0</v>
      </c>
      <c r="FL190" s="16">
        <v>0</v>
      </c>
      <c r="FM190" s="16">
        <v>0</v>
      </c>
      <c r="FN190" s="16">
        <v>0</v>
      </c>
      <c r="FO190" s="16">
        <v>0</v>
      </c>
      <c r="FP190" s="16">
        <v>0</v>
      </c>
      <c r="FQ190" s="16">
        <v>0</v>
      </c>
      <c r="FR190" s="16">
        <v>0</v>
      </c>
      <c r="FS190" s="16">
        <v>0</v>
      </c>
      <c r="FT190" s="16">
        <v>3587</v>
      </c>
      <c r="FU190" s="16">
        <v>0</v>
      </c>
      <c r="FV190" s="16">
        <v>0</v>
      </c>
      <c r="FW190" s="16">
        <v>0</v>
      </c>
      <c r="FX190" s="16">
        <v>0</v>
      </c>
      <c r="FY190" s="16">
        <v>0</v>
      </c>
      <c r="FZ190" s="16">
        <v>0</v>
      </c>
      <c r="GA190" s="16">
        <v>0</v>
      </c>
      <c r="GB190" s="16">
        <v>0</v>
      </c>
      <c r="GC190" s="16">
        <v>0</v>
      </c>
      <c r="GD190" s="16">
        <v>17384</v>
      </c>
      <c r="GE190" s="16">
        <v>20</v>
      </c>
      <c r="GF190" s="16">
        <v>38586</v>
      </c>
      <c r="GG190" s="16">
        <v>163706</v>
      </c>
      <c r="GH190" s="16">
        <v>10198150</v>
      </c>
      <c r="GI190" s="16">
        <v>155</v>
      </c>
      <c r="GJ190" s="16">
        <v>0</v>
      </c>
      <c r="GK190" s="16">
        <v>1747780</v>
      </c>
      <c r="GL190" s="16">
        <v>51752</v>
      </c>
      <c r="GM190" s="16">
        <v>98780</v>
      </c>
      <c r="GN190" s="16">
        <v>339258</v>
      </c>
      <c r="GO190" s="16">
        <v>6609</v>
      </c>
      <c r="GP190" s="16">
        <v>3603995</v>
      </c>
      <c r="GQ190" s="16">
        <v>8702</v>
      </c>
      <c r="GR190" s="16">
        <v>386179</v>
      </c>
      <c r="GS190" s="16">
        <v>350080</v>
      </c>
      <c r="GT190" s="16">
        <v>310085</v>
      </c>
      <c r="GU190" s="16">
        <v>494464</v>
      </c>
      <c r="GV190" s="16">
        <v>502094</v>
      </c>
      <c r="GW190" s="16">
        <v>89473</v>
      </c>
      <c r="GX190" s="16">
        <v>32844</v>
      </c>
      <c r="GY190" s="16">
        <v>1780</v>
      </c>
      <c r="GZ190" s="16">
        <v>6219</v>
      </c>
      <c r="HA190" s="16">
        <v>223</v>
      </c>
      <c r="HB190" s="16">
        <v>14855</v>
      </c>
      <c r="HC190" s="16">
        <v>6752</v>
      </c>
      <c r="HD190" s="16">
        <v>28490</v>
      </c>
      <c r="HE190" s="16">
        <v>0</v>
      </c>
      <c r="HF190" s="16">
        <v>154187</v>
      </c>
      <c r="HG190" s="16">
        <v>679893</v>
      </c>
      <c r="HH190" s="16">
        <v>306691</v>
      </c>
      <c r="HI190" s="16">
        <v>388264</v>
      </c>
      <c r="HJ190" s="16">
        <v>460</v>
      </c>
      <c r="HK190" s="16">
        <v>3050</v>
      </c>
      <c r="HL190" s="16">
        <v>51646</v>
      </c>
      <c r="HM190" s="16">
        <v>326</v>
      </c>
      <c r="HN190" s="16">
        <v>17035</v>
      </c>
      <c r="HO190" s="16">
        <v>0</v>
      </c>
      <c r="HP190" s="16">
        <v>0</v>
      </c>
      <c r="HQ190" s="16">
        <v>38722</v>
      </c>
      <c r="HR190" s="16">
        <v>26354</v>
      </c>
      <c r="HS190" s="16">
        <v>6282</v>
      </c>
      <c r="HT190" s="16">
        <v>27426</v>
      </c>
      <c r="HU190" s="16">
        <v>12001</v>
      </c>
      <c r="HV190" s="16">
        <v>2386</v>
      </c>
      <c r="HW190" s="16">
        <v>511</v>
      </c>
      <c r="HX190" s="16">
        <v>49752</v>
      </c>
      <c r="HY190" s="16">
        <v>0</v>
      </c>
      <c r="HZ190" s="16">
        <v>72217</v>
      </c>
      <c r="IA190" s="16">
        <v>14504</v>
      </c>
      <c r="IB190" s="16">
        <v>1648</v>
      </c>
      <c r="IC190" s="16">
        <v>408</v>
      </c>
      <c r="ID190" s="16">
        <v>70316</v>
      </c>
      <c r="IE190" s="16">
        <v>390</v>
      </c>
      <c r="IF190" s="16">
        <v>1962</v>
      </c>
      <c r="IG190" s="16">
        <v>8901</v>
      </c>
      <c r="IH190" s="16">
        <v>0</v>
      </c>
      <c r="II190" s="16">
        <v>0</v>
      </c>
      <c r="IJ190" s="16">
        <v>0</v>
      </c>
      <c r="IK190" s="16">
        <v>0</v>
      </c>
      <c r="IL190" s="16">
        <v>0</v>
      </c>
      <c r="IM190" s="16">
        <v>0</v>
      </c>
      <c r="IN190" s="16">
        <v>0</v>
      </c>
      <c r="IO190" s="16">
        <v>668848</v>
      </c>
      <c r="IP190" s="16">
        <v>56</v>
      </c>
      <c r="IQ190" s="16">
        <v>0</v>
      </c>
      <c r="IR190" s="16">
        <v>0</v>
      </c>
      <c r="IS190" s="16">
        <v>38</v>
      </c>
      <c r="IT190" s="16">
        <v>113</v>
      </c>
      <c r="IU190" s="16">
        <v>0</v>
      </c>
      <c r="IV190" s="16">
        <v>11545</v>
      </c>
      <c r="IW190" s="16">
        <v>98</v>
      </c>
      <c r="IX190" s="16">
        <v>0</v>
      </c>
      <c r="IY190" s="16">
        <v>120</v>
      </c>
      <c r="IZ190" s="16">
        <v>16375</v>
      </c>
      <c r="JA190" s="16">
        <v>1427</v>
      </c>
      <c r="JB190" s="16">
        <v>4354</v>
      </c>
      <c r="JC190" s="16">
        <v>0</v>
      </c>
      <c r="JD190" s="16">
        <v>0</v>
      </c>
      <c r="JE190" s="16">
        <v>10545</v>
      </c>
      <c r="JF190" s="16">
        <v>0</v>
      </c>
      <c r="JG190" s="16">
        <v>388092</v>
      </c>
      <c r="JH190" s="16">
        <v>38727</v>
      </c>
      <c r="JI190" s="16">
        <v>0</v>
      </c>
      <c r="JJ190" s="16">
        <v>0</v>
      </c>
      <c r="JK190" s="16">
        <v>0</v>
      </c>
      <c r="JL190" s="16">
        <v>0</v>
      </c>
      <c r="JM190" s="16">
        <v>0</v>
      </c>
      <c r="JN190" s="16">
        <v>0</v>
      </c>
      <c r="JO190" s="16">
        <v>0</v>
      </c>
      <c r="JP190" s="16">
        <v>0</v>
      </c>
      <c r="JQ190" s="16">
        <v>0</v>
      </c>
      <c r="JR190" s="16">
        <v>0</v>
      </c>
      <c r="JS190" s="16">
        <v>0</v>
      </c>
      <c r="JT190" s="16">
        <v>0</v>
      </c>
      <c r="JU190" s="16">
        <v>0</v>
      </c>
      <c r="JV190" s="16">
        <v>0</v>
      </c>
      <c r="JW190" s="16">
        <v>0</v>
      </c>
      <c r="JX190" s="16">
        <v>3056</v>
      </c>
      <c r="JY190" s="16">
        <v>0</v>
      </c>
      <c r="JZ190" s="16">
        <v>109</v>
      </c>
      <c r="KA190" s="16">
        <v>0</v>
      </c>
      <c r="KB190" s="16">
        <v>0</v>
      </c>
      <c r="KC190" s="16">
        <v>0</v>
      </c>
      <c r="KD190" s="16">
        <v>0</v>
      </c>
      <c r="KE190" s="16">
        <v>0</v>
      </c>
      <c r="KF190" s="16">
        <v>0</v>
      </c>
      <c r="KG190" s="16">
        <v>262</v>
      </c>
      <c r="KH190" s="16">
        <v>0</v>
      </c>
      <c r="KI190" s="16">
        <v>222</v>
      </c>
      <c r="KJ190" s="16">
        <v>85</v>
      </c>
      <c r="KK190" s="16">
        <v>0</v>
      </c>
      <c r="KL190" s="16">
        <v>0</v>
      </c>
      <c r="KM190" s="16">
        <v>0</v>
      </c>
      <c r="KN190" s="16">
        <v>0</v>
      </c>
      <c r="KO190" s="16">
        <v>0</v>
      </c>
      <c r="KP190" s="16">
        <v>0</v>
      </c>
      <c r="KQ190" s="16">
        <v>87</v>
      </c>
      <c r="KR190" s="16">
        <v>0</v>
      </c>
      <c r="KS190" s="16">
        <v>0</v>
      </c>
      <c r="KT190" s="16">
        <v>928</v>
      </c>
      <c r="KU190" s="16">
        <v>0</v>
      </c>
      <c r="KV190" s="16">
        <v>0</v>
      </c>
      <c r="KW190" s="16">
        <v>0</v>
      </c>
      <c r="KX190" s="16">
        <v>0</v>
      </c>
      <c r="KY190" s="16">
        <v>0</v>
      </c>
      <c r="KZ190" s="16">
        <v>0</v>
      </c>
      <c r="LA190" s="16">
        <v>0</v>
      </c>
      <c r="LB190" s="16">
        <v>0</v>
      </c>
      <c r="LC190" s="16">
        <v>0</v>
      </c>
      <c r="LD190" s="16">
        <v>0</v>
      </c>
      <c r="LE190" s="16">
        <v>286</v>
      </c>
      <c r="LF190" s="16">
        <v>172</v>
      </c>
      <c r="LG190" s="16">
        <v>60</v>
      </c>
      <c r="LH190" s="16">
        <v>386</v>
      </c>
      <c r="LI190" s="16">
        <v>34</v>
      </c>
      <c r="LJ190" s="16">
        <v>1398</v>
      </c>
      <c r="LK190" s="16">
        <v>502</v>
      </c>
      <c r="LL190" s="16">
        <v>1328</v>
      </c>
      <c r="LM190" s="16">
        <v>10301</v>
      </c>
      <c r="LN190" s="16">
        <v>3376</v>
      </c>
      <c r="LO190" s="16">
        <v>72</v>
      </c>
      <c r="LP190" s="16">
        <v>0</v>
      </c>
      <c r="LQ190" s="16">
        <v>0</v>
      </c>
      <c r="LR190" s="16">
        <v>0</v>
      </c>
      <c r="LS190" s="16">
        <v>0</v>
      </c>
      <c r="LT190" s="16">
        <v>0</v>
      </c>
      <c r="LU190" s="16">
        <v>0</v>
      </c>
      <c r="LV190" s="16">
        <v>0</v>
      </c>
      <c r="LW190" s="16">
        <v>0</v>
      </c>
      <c r="LX190" s="16">
        <v>0</v>
      </c>
      <c r="LY190" s="16">
        <v>0</v>
      </c>
      <c r="LZ190" s="16">
        <v>0</v>
      </c>
      <c r="MA190" s="16">
        <v>0</v>
      </c>
      <c r="MB190" s="16">
        <v>0</v>
      </c>
      <c r="MC190" s="16">
        <v>22078</v>
      </c>
      <c r="MD190" s="16">
        <v>544</v>
      </c>
      <c r="ME190" s="16">
        <v>2661</v>
      </c>
      <c r="MF190" s="16">
        <v>135816</v>
      </c>
      <c r="MG190" s="16">
        <v>0</v>
      </c>
      <c r="MH190" s="16">
        <v>0</v>
      </c>
      <c r="MI190" s="16">
        <v>0</v>
      </c>
      <c r="MJ190" s="16">
        <v>0</v>
      </c>
      <c r="MK190" s="16">
        <v>1244</v>
      </c>
      <c r="ML190" s="16">
        <v>0</v>
      </c>
      <c r="MM190" s="16">
        <v>0</v>
      </c>
      <c r="MN190" s="16">
        <v>0</v>
      </c>
      <c r="MO190" s="16">
        <v>0</v>
      </c>
      <c r="MP190" s="16">
        <v>0</v>
      </c>
      <c r="MQ190" s="16">
        <v>0</v>
      </c>
      <c r="MR190" s="16">
        <v>3014</v>
      </c>
      <c r="MS190" s="16">
        <v>497</v>
      </c>
      <c r="MT190" s="16">
        <v>0</v>
      </c>
      <c r="MU190" s="16">
        <v>0</v>
      </c>
      <c r="MV190" s="16">
        <v>40300</v>
      </c>
      <c r="MW190" s="16">
        <v>567</v>
      </c>
      <c r="MX190" s="16">
        <v>0</v>
      </c>
      <c r="MY190" s="16">
        <v>0</v>
      </c>
      <c r="MZ190" s="16">
        <v>0</v>
      </c>
      <c r="NA190" s="16">
        <v>0</v>
      </c>
      <c r="NB190" s="16">
        <v>0</v>
      </c>
      <c r="NC190" s="16">
        <v>0</v>
      </c>
      <c r="ND190" s="16">
        <v>0</v>
      </c>
      <c r="NE190" s="16">
        <v>0</v>
      </c>
      <c r="NF190" s="16">
        <v>0</v>
      </c>
      <c r="NG190" s="16">
        <v>0</v>
      </c>
      <c r="NH190" s="16">
        <v>0</v>
      </c>
      <c r="NI190" s="16">
        <v>0</v>
      </c>
      <c r="NJ190" s="16">
        <v>0</v>
      </c>
      <c r="NK190" s="16">
        <v>0</v>
      </c>
      <c r="NL190" s="16">
        <v>398476</v>
      </c>
      <c r="NM190" s="16">
        <v>0</v>
      </c>
      <c r="NN190" s="16">
        <v>0</v>
      </c>
      <c r="NO190" s="16">
        <v>0</v>
      </c>
      <c r="NP190" s="16">
        <v>0</v>
      </c>
      <c r="NQ190" s="16">
        <v>20501</v>
      </c>
      <c r="NR190" s="17">
        <v>22227215</v>
      </c>
    </row>
    <row r="191" spans="1:382" ht="13.5" customHeight="1" x14ac:dyDescent="0.2">
      <c r="A191" s="2" t="s">
        <v>389</v>
      </c>
      <c r="B191" s="16">
        <v>0</v>
      </c>
      <c r="C191" s="16">
        <v>0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11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6">
        <v>0</v>
      </c>
      <c r="AN191" s="16">
        <v>0</v>
      </c>
      <c r="AO191" s="16">
        <v>0</v>
      </c>
      <c r="AP191" s="16">
        <v>0</v>
      </c>
      <c r="AQ191" s="16">
        <v>0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16">
        <v>6</v>
      </c>
      <c r="BF191" s="16">
        <v>0</v>
      </c>
      <c r="BG191" s="16">
        <v>0</v>
      </c>
      <c r="BH191" s="16">
        <v>0</v>
      </c>
      <c r="BI191" s="16">
        <v>0</v>
      </c>
      <c r="BJ191" s="16">
        <v>0</v>
      </c>
      <c r="BK191" s="16">
        <v>0</v>
      </c>
      <c r="BL191" s="16">
        <v>0</v>
      </c>
      <c r="BM191" s="16">
        <v>0</v>
      </c>
      <c r="BN191" s="16">
        <v>0</v>
      </c>
      <c r="BO191" s="16">
        <v>0</v>
      </c>
      <c r="BP191" s="16">
        <v>0</v>
      </c>
      <c r="BQ191" s="16">
        <v>0</v>
      </c>
      <c r="BR191" s="16">
        <v>0</v>
      </c>
      <c r="BS191" s="16">
        <v>0</v>
      </c>
      <c r="BT191" s="16">
        <v>0</v>
      </c>
      <c r="BU191" s="16">
        <v>0</v>
      </c>
      <c r="BV191" s="16">
        <v>0</v>
      </c>
      <c r="BW191" s="16">
        <v>0</v>
      </c>
      <c r="BX191" s="16">
        <v>0</v>
      </c>
      <c r="BY191" s="16">
        <v>0</v>
      </c>
      <c r="BZ191" s="16">
        <v>0</v>
      </c>
      <c r="CA191" s="16">
        <v>0</v>
      </c>
      <c r="CB191" s="16">
        <v>0</v>
      </c>
      <c r="CC191" s="16">
        <v>0</v>
      </c>
      <c r="CD191" s="16">
        <v>0</v>
      </c>
      <c r="CE191" s="16">
        <v>0</v>
      </c>
      <c r="CF191" s="16">
        <v>0</v>
      </c>
      <c r="CG191" s="16">
        <v>0</v>
      </c>
      <c r="CH191" s="16">
        <v>0</v>
      </c>
      <c r="CI191" s="16">
        <v>0</v>
      </c>
      <c r="CJ191" s="16">
        <v>0</v>
      </c>
      <c r="CK191" s="16">
        <v>0</v>
      </c>
      <c r="CL191" s="16">
        <v>0</v>
      </c>
      <c r="CM191" s="16">
        <v>0</v>
      </c>
      <c r="CN191" s="16">
        <v>0</v>
      </c>
      <c r="CO191" s="16">
        <v>0</v>
      </c>
      <c r="CP191" s="16">
        <v>13</v>
      </c>
      <c r="CQ191" s="16">
        <v>2724</v>
      </c>
      <c r="CR191" s="16">
        <v>399</v>
      </c>
      <c r="CS191" s="16">
        <v>0</v>
      </c>
      <c r="CT191" s="16">
        <v>0</v>
      </c>
      <c r="CU191" s="16">
        <v>0</v>
      </c>
      <c r="CV191" s="16">
        <v>0</v>
      </c>
      <c r="CW191" s="16">
        <v>0</v>
      </c>
      <c r="CX191" s="16">
        <v>0</v>
      </c>
      <c r="CY191" s="16">
        <v>0</v>
      </c>
      <c r="CZ191" s="16">
        <v>0</v>
      </c>
      <c r="DA191" s="16">
        <v>0</v>
      </c>
      <c r="DB191" s="16">
        <v>0</v>
      </c>
      <c r="DC191" s="16">
        <v>0</v>
      </c>
      <c r="DD191" s="16">
        <v>0</v>
      </c>
      <c r="DE191" s="16">
        <v>0</v>
      </c>
      <c r="DF191" s="16">
        <v>0</v>
      </c>
      <c r="DG191" s="16">
        <v>2</v>
      </c>
      <c r="DH191" s="16">
        <v>4</v>
      </c>
      <c r="DI191" s="16">
        <v>0</v>
      </c>
      <c r="DJ191" s="16">
        <v>49</v>
      </c>
      <c r="DK191" s="16">
        <v>0</v>
      </c>
      <c r="DL191" s="16">
        <v>35</v>
      </c>
      <c r="DM191" s="16">
        <v>0</v>
      </c>
      <c r="DN191" s="16">
        <v>0</v>
      </c>
      <c r="DO191" s="16">
        <v>0</v>
      </c>
      <c r="DP191" s="16">
        <v>0</v>
      </c>
      <c r="DQ191" s="16">
        <v>0</v>
      </c>
      <c r="DR191" s="16">
        <v>0</v>
      </c>
      <c r="DS191" s="16">
        <v>0</v>
      </c>
      <c r="DT191" s="16">
        <v>0</v>
      </c>
      <c r="DU191" s="16">
        <v>0</v>
      </c>
      <c r="DV191" s="16">
        <v>2</v>
      </c>
      <c r="DW191" s="16">
        <v>0</v>
      </c>
      <c r="DX191" s="16">
        <v>0</v>
      </c>
      <c r="DY191" s="16">
        <v>0</v>
      </c>
      <c r="DZ191" s="16">
        <v>0</v>
      </c>
      <c r="EA191" s="16">
        <v>0</v>
      </c>
      <c r="EB191" s="16">
        <v>0</v>
      </c>
      <c r="EC191" s="16">
        <v>33</v>
      </c>
      <c r="ED191" s="16">
        <v>2</v>
      </c>
      <c r="EE191" s="16">
        <v>0</v>
      </c>
      <c r="EF191" s="16">
        <v>0</v>
      </c>
      <c r="EG191" s="16">
        <v>0</v>
      </c>
      <c r="EH191" s="16">
        <v>0</v>
      </c>
      <c r="EI191" s="16">
        <v>0</v>
      </c>
      <c r="EJ191" s="16">
        <v>0</v>
      </c>
      <c r="EK191" s="16">
        <v>0</v>
      </c>
      <c r="EL191" s="16">
        <v>0</v>
      </c>
      <c r="EM191" s="16">
        <v>0</v>
      </c>
      <c r="EN191" s="16">
        <v>78</v>
      </c>
      <c r="EO191" s="16">
        <v>0</v>
      </c>
      <c r="EP191" s="16">
        <v>0</v>
      </c>
      <c r="EQ191" s="16">
        <v>0</v>
      </c>
      <c r="ER191" s="16">
        <v>0</v>
      </c>
      <c r="ES191" s="16">
        <v>0</v>
      </c>
      <c r="ET191" s="16">
        <v>0</v>
      </c>
      <c r="EU191" s="16">
        <v>7</v>
      </c>
      <c r="EV191" s="16">
        <v>13</v>
      </c>
      <c r="EW191" s="16">
        <v>119</v>
      </c>
      <c r="EX191" s="16">
        <v>0</v>
      </c>
      <c r="EY191" s="16">
        <v>0</v>
      </c>
      <c r="EZ191" s="16">
        <v>55</v>
      </c>
      <c r="FA191" s="16">
        <v>128</v>
      </c>
      <c r="FB191" s="16">
        <v>1787</v>
      </c>
      <c r="FC191" s="16">
        <v>0</v>
      </c>
      <c r="FD191" s="16">
        <v>0</v>
      </c>
      <c r="FE191" s="16">
        <v>669</v>
      </c>
      <c r="FF191" s="16">
        <v>476</v>
      </c>
      <c r="FG191" s="16">
        <v>0</v>
      </c>
      <c r="FH191" s="16">
        <v>0</v>
      </c>
      <c r="FI191" s="16">
        <v>0</v>
      </c>
      <c r="FJ191" s="16">
        <v>0</v>
      </c>
      <c r="FK191" s="16">
        <v>0</v>
      </c>
      <c r="FL191" s="16">
        <v>0</v>
      </c>
      <c r="FM191" s="16">
        <v>0</v>
      </c>
      <c r="FN191" s="16">
        <v>0</v>
      </c>
      <c r="FO191" s="16">
        <v>226</v>
      </c>
      <c r="FP191" s="16">
        <v>0</v>
      </c>
      <c r="FQ191" s="16">
        <v>0</v>
      </c>
      <c r="FR191" s="16">
        <v>0</v>
      </c>
      <c r="FS191" s="16">
        <v>0</v>
      </c>
      <c r="FT191" s="16">
        <v>2926</v>
      </c>
      <c r="FU191" s="16">
        <v>0</v>
      </c>
      <c r="FV191" s="16">
        <v>0</v>
      </c>
      <c r="FW191" s="16">
        <v>0</v>
      </c>
      <c r="FX191" s="16">
        <v>0</v>
      </c>
      <c r="FY191" s="16">
        <v>0</v>
      </c>
      <c r="FZ191" s="16">
        <v>0</v>
      </c>
      <c r="GA191" s="16">
        <v>0</v>
      </c>
      <c r="GB191" s="16">
        <v>0</v>
      </c>
      <c r="GC191" s="16">
        <v>0</v>
      </c>
      <c r="GD191" s="16">
        <v>1055</v>
      </c>
      <c r="GE191" s="16">
        <v>66031</v>
      </c>
      <c r="GF191" s="16">
        <v>2011963</v>
      </c>
      <c r="GG191" s="16">
        <v>350452</v>
      </c>
      <c r="GH191" s="16">
        <v>1216168</v>
      </c>
      <c r="GI191" s="16">
        <v>3302197</v>
      </c>
      <c r="GJ191" s="16">
        <v>184893</v>
      </c>
      <c r="GK191" s="16">
        <v>60182</v>
      </c>
      <c r="GL191" s="16">
        <v>513</v>
      </c>
      <c r="GM191" s="16">
        <v>236995</v>
      </c>
      <c r="GN191" s="16">
        <v>61572</v>
      </c>
      <c r="GO191" s="16">
        <v>7159</v>
      </c>
      <c r="GP191" s="16">
        <v>362482</v>
      </c>
      <c r="GQ191" s="16">
        <v>46811</v>
      </c>
      <c r="GR191" s="16">
        <v>79131</v>
      </c>
      <c r="GS191" s="16">
        <v>15151</v>
      </c>
      <c r="GT191" s="16">
        <v>14232</v>
      </c>
      <c r="GU191" s="16">
        <v>92438</v>
      </c>
      <c r="GV191" s="16">
        <v>397161</v>
      </c>
      <c r="GW191" s="16">
        <v>42703</v>
      </c>
      <c r="GX191" s="16">
        <v>21941</v>
      </c>
      <c r="GY191" s="16">
        <v>65</v>
      </c>
      <c r="GZ191" s="16">
        <v>17904</v>
      </c>
      <c r="HA191" s="16">
        <v>1457</v>
      </c>
      <c r="HB191" s="16">
        <v>54594</v>
      </c>
      <c r="HC191" s="16">
        <v>140627</v>
      </c>
      <c r="HD191" s="16">
        <v>174839</v>
      </c>
      <c r="HE191" s="16">
        <v>94755</v>
      </c>
      <c r="HF191" s="16">
        <v>11428</v>
      </c>
      <c r="HG191" s="16">
        <v>19683</v>
      </c>
      <c r="HH191" s="16">
        <v>21938</v>
      </c>
      <c r="HI191" s="16">
        <v>88231</v>
      </c>
      <c r="HJ191" s="16">
        <v>6312</v>
      </c>
      <c r="HK191" s="16">
        <v>1991</v>
      </c>
      <c r="HL191" s="16">
        <v>426269</v>
      </c>
      <c r="HM191" s="16">
        <v>344</v>
      </c>
      <c r="HN191" s="16">
        <v>939</v>
      </c>
      <c r="HO191" s="16">
        <v>23</v>
      </c>
      <c r="HP191" s="16">
        <v>0</v>
      </c>
      <c r="HQ191" s="16">
        <v>7290</v>
      </c>
      <c r="HR191" s="16">
        <v>6053</v>
      </c>
      <c r="HS191" s="16">
        <v>4607</v>
      </c>
      <c r="HT191" s="16">
        <v>2510</v>
      </c>
      <c r="HU191" s="16">
        <v>6825</v>
      </c>
      <c r="HV191" s="16">
        <v>1084</v>
      </c>
      <c r="HW191" s="16">
        <v>233</v>
      </c>
      <c r="HX191" s="16">
        <v>8835</v>
      </c>
      <c r="HY191" s="16">
        <v>0</v>
      </c>
      <c r="HZ191" s="16">
        <v>175574</v>
      </c>
      <c r="IA191" s="16">
        <v>12640</v>
      </c>
      <c r="IB191" s="16">
        <v>220</v>
      </c>
      <c r="IC191" s="16">
        <v>558</v>
      </c>
      <c r="ID191" s="16">
        <v>869</v>
      </c>
      <c r="IE191" s="16">
        <v>320</v>
      </c>
      <c r="IF191" s="16">
        <v>894</v>
      </c>
      <c r="IG191" s="16">
        <v>8009</v>
      </c>
      <c r="IH191" s="16">
        <v>796</v>
      </c>
      <c r="II191" s="16">
        <v>107</v>
      </c>
      <c r="IJ191" s="16">
        <v>4</v>
      </c>
      <c r="IK191" s="16">
        <v>27</v>
      </c>
      <c r="IL191" s="16">
        <v>18</v>
      </c>
      <c r="IM191" s="16">
        <v>0</v>
      </c>
      <c r="IN191" s="16">
        <v>1654</v>
      </c>
      <c r="IO191" s="16">
        <v>142014</v>
      </c>
      <c r="IP191" s="16">
        <v>47</v>
      </c>
      <c r="IQ191" s="16">
        <v>17</v>
      </c>
      <c r="IR191" s="16">
        <v>12</v>
      </c>
      <c r="IS191" s="16">
        <v>2206</v>
      </c>
      <c r="IT191" s="16">
        <v>95</v>
      </c>
      <c r="IU191" s="16">
        <v>5</v>
      </c>
      <c r="IV191" s="16">
        <v>4357</v>
      </c>
      <c r="IW191" s="16">
        <v>41</v>
      </c>
      <c r="IX191" s="16">
        <v>0</v>
      </c>
      <c r="IY191" s="16">
        <v>45</v>
      </c>
      <c r="IZ191" s="16">
        <v>299</v>
      </c>
      <c r="JA191" s="16">
        <v>193</v>
      </c>
      <c r="JB191" s="16">
        <v>614</v>
      </c>
      <c r="JC191" s="16">
        <v>0</v>
      </c>
      <c r="JD191" s="16">
        <v>0</v>
      </c>
      <c r="JE191" s="16">
        <v>0</v>
      </c>
      <c r="JF191" s="16">
        <v>0</v>
      </c>
      <c r="JG191" s="16">
        <v>7113</v>
      </c>
      <c r="JH191" s="16">
        <v>18143</v>
      </c>
      <c r="JI191" s="16">
        <v>4</v>
      </c>
      <c r="JJ191" s="16">
        <v>619</v>
      </c>
      <c r="JK191" s="16">
        <v>135</v>
      </c>
      <c r="JL191" s="16">
        <v>0</v>
      </c>
      <c r="JM191" s="16">
        <v>0</v>
      </c>
      <c r="JN191" s="16">
        <v>0</v>
      </c>
      <c r="JO191" s="16">
        <v>0</v>
      </c>
      <c r="JP191" s="16">
        <v>0</v>
      </c>
      <c r="JQ191" s="16">
        <v>0</v>
      </c>
      <c r="JR191" s="16">
        <v>0</v>
      </c>
      <c r="JS191" s="16">
        <v>0</v>
      </c>
      <c r="JT191" s="16">
        <v>0</v>
      </c>
      <c r="JU191" s="16">
        <v>0</v>
      </c>
      <c r="JV191" s="16">
        <v>1</v>
      </c>
      <c r="JW191" s="16">
        <v>0</v>
      </c>
      <c r="JX191" s="16">
        <v>0</v>
      </c>
      <c r="JY191" s="16">
        <v>0</v>
      </c>
      <c r="JZ191" s="16">
        <v>0</v>
      </c>
      <c r="KA191" s="16">
        <v>0</v>
      </c>
      <c r="KB191" s="16">
        <v>0</v>
      </c>
      <c r="KC191" s="16">
        <v>0</v>
      </c>
      <c r="KD191" s="16">
        <v>0</v>
      </c>
      <c r="KE191" s="16">
        <v>0</v>
      </c>
      <c r="KF191" s="16">
        <v>0</v>
      </c>
      <c r="KG191" s="16">
        <v>0</v>
      </c>
      <c r="KH191" s="16">
        <v>0</v>
      </c>
      <c r="KI191" s="16">
        <v>0</v>
      </c>
      <c r="KJ191" s="16">
        <v>2</v>
      </c>
      <c r="KK191" s="16">
        <v>0</v>
      </c>
      <c r="KL191" s="16">
        <v>0</v>
      </c>
      <c r="KM191" s="16">
        <v>0</v>
      </c>
      <c r="KN191" s="16">
        <v>0</v>
      </c>
      <c r="KO191" s="16">
        <v>0</v>
      </c>
      <c r="KP191" s="16">
        <v>0</v>
      </c>
      <c r="KQ191" s="16">
        <v>34</v>
      </c>
      <c r="KR191" s="16">
        <v>0</v>
      </c>
      <c r="KS191" s="16">
        <v>0</v>
      </c>
      <c r="KT191" s="16">
        <v>0</v>
      </c>
      <c r="KU191" s="16">
        <v>0</v>
      </c>
      <c r="KV191" s="16">
        <v>0</v>
      </c>
      <c r="KW191" s="16">
        <v>0</v>
      </c>
      <c r="KX191" s="16">
        <v>0</v>
      </c>
      <c r="KY191" s="16">
        <v>0</v>
      </c>
      <c r="KZ191" s="16">
        <v>0</v>
      </c>
      <c r="LA191" s="16">
        <v>0</v>
      </c>
      <c r="LB191" s="16">
        <v>0</v>
      </c>
      <c r="LC191" s="16">
        <v>0</v>
      </c>
      <c r="LD191" s="16">
        <v>0</v>
      </c>
      <c r="LE191" s="16">
        <v>2386</v>
      </c>
      <c r="LF191" s="16">
        <v>841</v>
      </c>
      <c r="LG191" s="16">
        <v>1130</v>
      </c>
      <c r="LH191" s="16">
        <v>10383</v>
      </c>
      <c r="LI191" s="16">
        <v>26</v>
      </c>
      <c r="LJ191" s="16">
        <v>6085</v>
      </c>
      <c r="LK191" s="16">
        <v>50178</v>
      </c>
      <c r="LL191" s="16">
        <v>1179</v>
      </c>
      <c r="LM191" s="16">
        <v>4451</v>
      </c>
      <c r="LN191" s="16">
        <v>271080</v>
      </c>
      <c r="LO191" s="16">
        <v>0</v>
      </c>
      <c r="LP191" s="16">
        <v>4347</v>
      </c>
      <c r="LQ191" s="16">
        <v>36</v>
      </c>
      <c r="LR191" s="16">
        <v>0</v>
      </c>
      <c r="LS191" s="16">
        <v>0</v>
      </c>
      <c r="LT191" s="16">
        <v>0</v>
      </c>
      <c r="LU191" s="16">
        <v>0</v>
      </c>
      <c r="LV191" s="16">
        <v>0</v>
      </c>
      <c r="LW191" s="16">
        <v>0</v>
      </c>
      <c r="LX191" s="16">
        <v>0</v>
      </c>
      <c r="LY191" s="16">
        <v>0</v>
      </c>
      <c r="LZ191" s="16">
        <v>0</v>
      </c>
      <c r="MA191" s="16">
        <v>0</v>
      </c>
      <c r="MB191" s="16">
        <v>0</v>
      </c>
      <c r="MC191" s="16">
        <v>9163</v>
      </c>
      <c r="MD191" s="16">
        <v>0</v>
      </c>
      <c r="ME191" s="16">
        <v>0</v>
      </c>
      <c r="MF191" s="16">
        <v>5513</v>
      </c>
      <c r="MG191" s="16">
        <v>0</v>
      </c>
      <c r="MH191" s="16">
        <v>0</v>
      </c>
      <c r="MI191" s="16">
        <v>0</v>
      </c>
      <c r="MJ191" s="16">
        <v>0</v>
      </c>
      <c r="MK191" s="16">
        <v>75249</v>
      </c>
      <c r="ML191" s="16">
        <v>9851</v>
      </c>
      <c r="MM191" s="16">
        <v>1390</v>
      </c>
      <c r="MN191" s="16">
        <v>6017</v>
      </c>
      <c r="MO191" s="16">
        <v>0</v>
      </c>
      <c r="MP191" s="16">
        <v>0</v>
      </c>
      <c r="MQ191" s="16">
        <v>0</v>
      </c>
      <c r="MR191" s="16">
        <v>0</v>
      </c>
      <c r="MS191" s="16">
        <v>0</v>
      </c>
      <c r="MT191" s="16">
        <v>0</v>
      </c>
      <c r="MU191" s="16">
        <v>0</v>
      </c>
      <c r="MV191" s="16">
        <v>0</v>
      </c>
      <c r="MW191" s="16">
        <v>0</v>
      </c>
      <c r="MX191" s="16">
        <v>0</v>
      </c>
      <c r="MY191" s="16">
        <v>0</v>
      </c>
      <c r="MZ191" s="16">
        <v>0</v>
      </c>
      <c r="NA191" s="16">
        <v>0</v>
      </c>
      <c r="NB191" s="16">
        <v>0</v>
      </c>
      <c r="NC191" s="16">
        <v>0</v>
      </c>
      <c r="ND191" s="16">
        <v>0</v>
      </c>
      <c r="NE191" s="16">
        <v>0</v>
      </c>
      <c r="NF191" s="16">
        <v>0</v>
      </c>
      <c r="NG191" s="16">
        <v>0</v>
      </c>
      <c r="NH191" s="16">
        <v>0</v>
      </c>
      <c r="NI191" s="16">
        <v>0</v>
      </c>
      <c r="NJ191" s="16">
        <v>0</v>
      </c>
      <c r="NK191" s="16">
        <v>12109</v>
      </c>
      <c r="NL191" s="16">
        <v>62433</v>
      </c>
      <c r="NM191" s="16">
        <v>0</v>
      </c>
      <c r="NN191" s="16">
        <v>0</v>
      </c>
      <c r="NO191" s="16">
        <v>0</v>
      </c>
      <c r="NP191" s="16">
        <v>0</v>
      </c>
      <c r="NQ191" s="16">
        <v>575</v>
      </c>
      <c r="NR191" s="17">
        <v>10591938</v>
      </c>
    </row>
    <row r="192" spans="1:382" ht="13.5" customHeight="1" x14ac:dyDescent="0.2">
      <c r="A192" s="2" t="s">
        <v>391</v>
      </c>
      <c r="B192" s="16">
        <v>0</v>
      </c>
      <c r="C192" s="16">
        <v>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317</v>
      </c>
      <c r="Y192" s="16">
        <v>57</v>
      </c>
      <c r="Z192" s="16">
        <v>68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267</v>
      </c>
      <c r="AH192" s="16">
        <v>80</v>
      </c>
      <c r="AI192" s="16">
        <v>23</v>
      </c>
      <c r="AJ192" s="16">
        <v>0</v>
      </c>
      <c r="AK192" s="16">
        <v>35</v>
      </c>
      <c r="AL192" s="16">
        <v>0</v>
      </c>
      <c r="AM192" s="16">
        <v>43</v>
      </c>
      <c r="AN192" s="16">
        <v>69</v>
      </c>
      <c r="AO192" s="16">
        <v>0</v>
      </c>
      <c r="AP192" s="16">
        <v>0</v>
      </c>
      <c r="AQ192" s="16">
        <v>0</v>
      </c>
      <c r="AR192" s="16">
        <v>0</v>
      </c>
      <c r="AS192" s="16">
        <v>0</v>
      </c>
      <c r="AT192" s="16">
        <v>0</v>
      </c>
      <c r="AU192" s="16">
        <v>20</v>
      </c>
      <c r="AV192" s="16">
        <v>2</v>
      </c>
      <c r="AW192" s="16">
        <v>186</v>
      </c>
      <c r="AX192" s="16">
        <v>15</v>
      </c>
      <c r="AY192" s="16">
        <v>0</v>
      </c>
      <c r="AZ192" s="16">
        <v>29</v>
      </c>
      <c r="BA192" s="16">
        <v>59</v>
      </c>
      <c r="BB192" s="16">
        <v>21</v>
      </c>
      <c r="BC192" s="16">
        <v>14</v>
      </c>
      <c r="BD192" s="16">
        <v>0</v>
      </c>
      <c r="BE192" s="16">
        <v>10</v>
      </c>
      <c r="BF192" s="16">
        <v>7</v>
      </c>
      <c r="BG192" s="16">
        <v>4</v>
      </c>
      <c r="BH192" s="16">
        <v>29</v>
      </c>
      <c r="BI192" s="16">
        <v>0</v>
      </c>
      <c r="BJ192" s="16">
        <v>0</v>
      </c>
      <c r="BK192" s="16">
        <v>29</v>
      </c>
      <c r="BL192" s="16">
        <v>19</v>
      </c>
      <c r="BM192" s="16">
        <v>10</v>
      </c>
      <c r="BN192" s="16">
        <v>82</v>
      </c>
      <c r="BO192" s="16">
        <v>63</v>
      </c>
      <c r="BP192" s="16">
        <v>8</v>
      </c>
      <c r="BQ192" s="16">
        <v>16</v>
      </c>
      <c r="BR192" s="16">
        <v>1</v>
      </c>
      <c r="BS192" s="16">
        <v>21</v>
      </c>
      <c r="BT192" s="16">
        <v>1</v>
      </c>
      <c r="BU192" s="16">
        <v>0</v>
      </c>
      <c r="BV192" s="16">
        <v>0</v>
      </c>
      <c r="BW192" s="16">
        <v>67</v>
      </c>
      <c r="BX192" s="16">
        <v>2</v>
      </c>
      <c r="BY192" s="16">
        <v>0</v>
      </c>
      <c r="BZ192" s="16">
        <v>8</v>
      </c>
      <c r="CA192" s="16">
        <v>5</v>
      </c>
      <c r="CB192" s="16">
        <v>9</v>
      </c>
      <c r="CC192" s="16">
        <v>99</v>
      </c>
      <c r="CD192" s="16">
        <v>40</v>
      </c>
      <c r="CE192" s="16">
        <v>23</v>
      </c>
      <c r="CF192" s="16">
        <v>40</v>
      </c>
      <c r="CG192" s="16">
        <v>0</v>
      </c>
      <c r="CH192" s="16">
        <v>0</v>
      </c>
      <c r="CI192" s="16">
        <v>46</v>
      </c>
      <c r="CJ192" s="16">
        <v>36</v>
      </c>
      <c r="CK192" s="16">
        <v>31</v>
      </c>
      <c r="CL192" s="16">
        <v>0</v>
      </c>
      <c r="CM192" s="16">
        <v>14</v>
      </c>
      <c r="CN192" s="16">
        <v>5</v>
      </c>
      <c r="CO192" s="16">
        <v>29</v>
      </c>
      <c r="CP192" s="16">
        <v>29</v>
      </c>
      <c r="CQ192" s="16">
        <v>4462</v>
      </c>
      <c r="CR192" s="16">
        <v>1165</v>
      </c>
      <c r="CS192" s="16">
        <v>135</v>
      </c>
      <c r="CT192" s="16">
        <v>60</v>
      </c>
      <c r="CU192" s="16">
        <v>356</v>
      </c>
      <c r="CV192" s="16">
        <v>319</v>
      </c>
      <c r="CW192" s="16">
        <v>1454</v>
      </c>
      <c r="CX192" s="16">
        <v>1151</v>
      </c>
      <c r="CY192" s="16">
        <v>116</v>
      </c>
      <c r="CZ192" s="16">
        <v>17</v>
      </c>
      <c r="DA192" s="16">
        <v>1</v>
      </c>
      <c r="DB192" s="16">
        <v>95</v>
      </c>
      <c r="DC192" s="16">
        <v>3</v>
      </c>
      <c r="DD192" s="16">
        <v>17</v>
      </c>
      <c r="DE192" s="16">
        <v>2</v>
      </c>
      <c r="DF192" s="16">
        <v>50</v>
      </c>
      <c r="DG192" s="16">
        <v>13</v>
      </c>
      <c r="DH192" s="16">
        <v>0</v>
      </c>
      <c r="DI192" s="16">
        <v>4</v>
      </c>
      <c r="DJ192" s="16">
        <v>373</v>
      </c>
      <c r="DK192" s="16">
        <v>0</v>
      </c>
      <c r="DL192" s="16">
        <v>21</v>
      </c>
      <c r="DM192" s="16">
        <v>276</v>
      </c>
      <c r="DN192" s="16">
        <v>9</v>
      </c>
      <c r="DO192" s="16">
        <v>17</v>
      </c>
      <c r="DP192" s="16">
        <v>51</v>
      </c>
      <c r="DQ192" s="16">
        <v>4</v>
      </c>
      <c r="DR192" s="16">
        <v>7</v>
      </c>
      <c r="DS192" s="16">
        <v>113</v>
      </c>
      <c r="DT192" s="16">
        <v>0</v>
      </c>
      <c r="DU192" s="16">
        <v>11</v>
      </c>
      <c r="DV192" s="16">
        <v>8</v>
      </c>
      <c r="DW192" s="16">
        <v>277</v>
      </c>
      <c r="DX192" s="16">
        <v>86</v>
      </c>
      <c r="DY192" s="16">
        <v>66</v>
      </c>
      <c r="DZ192" s="16">
        <v>332</v>
      </c>
      <c r="EA192" s="16">
        <v>95</v>
      </c>
      <c r="EB192" s="16">
        <v>8</v>
      </c>
      <c r="EC192" s="16">
        <v>20</v>
      </c>
      <c r="ED192" s="16">
        <v>4</v>
      </c>
      <c r="EE192" s="16">
        <v>0</v>
      </c>
      <c r="EF192" s="16">
        <v>68</v>
      </c>
      <c r="EG192" s="16">
        <v>2366</v>
      </c>
      <c r="EH192" s="16">
        <v>200</v>
      </c>
      <c r="EI192" s="16">
        <v>4</v>
      </c>
      <c r="EJ192" s="16">
        <v>6</v>
      </c>
      <c r="EK192" s="16">
        <v>75</v>
      </c>
      <c r="EL192" s="16">
        <v>3</v>
      </c>
      <c r="EM192" s="16">
        <v>40</v>
      </c>
      <c r="EN192" s="16">
        <v>513</v>
      </c>
      <c r="EO192" s="16">
        <v>234</v>
      </c>
      <c r="EP192" s="16">
        <v>11</v>
      </c>
      <c r="EQ192" s="16">
        <v>17</v>
      </c>
      <c r="ER192" s="16">
        <v>3</v>
      </c>
      <c r="ES192" s="16">
        <v>1</v>
      </c>
      <c r="ET192" s="16">
        <v>38</v>
      </c>
      <c r="EU192" s="16">
        <v>22</v>
      </c>
      <c r="EV192" s="16">
        <v>0</v>
      </c>
      <c r="EW192" s="16">
        <v>93</v>
      </c>
      <c r="EX192" s="16">
        <v>7356</v>
      </c>
      <c r="EY192" s="16">
        <v>287</v>
      </c>
      <c r="EZ192" s="16">
        <v>223</v>
      </c>
      <c r="FA192" s="16">
        <v>83</v>
      </c>
      <c r="FB192" s="16">
        <v>466</v>
      </c>
      <c r="FC192" s="16">
        <v>9</v>
      </c>
      <c r="FD192" s="16">
        <v>75</v>
      </c>
      <c r="FE192" s="16">
        <v>308</v>
      </c>
      <c r="FF192" s="16">
        <v>0</v>
      </c>
      <c r="FG192" s="16">
        <v>58</v>
      </c>
      <c r="FH192" s="16">
        <v>0</v>
      </c>
      <c r="FI192" s="16">
        <v>62</v>
      </c>
      <c r="FJ192" s="16">
        <v>17</v>
      </c>
      <c r="FK192" s="16">
        <v>149</v>
      </c>
      <c r="FL192" s="16">
        <v>0</v>
      </c>
      <c r="FM192" s="16">
        <v>10</v>
      </c>
      <c r="FN192" s="16">
        <v>67</v>
      </c>
      <c r="FO192" s="16">
        <v>0</v>
      </c>
      <c r="FP192" s="16">
        <v>124</v>
      </c>
      <c r="FQ192" s="16">
        <v>301</v>
      </c>
      <c r="FR192" s="16">
        <v>1488</v>
      </c>
      <c r="FS192" s="16">
        <v>54</v>
      </c>
      <c r="FT192" s="16">
        <v>18596</v>
      </c>
      <c r="FU192" s="16">
        <v>478</v>
      </c>
      <c r="FV192" s="16">
        <v>355</v>
      </c>
      <c r="FW192" s="16">
        <v>46</v>
      </c>
      <c r="FX192" s="16">
        <v>1324</v>
      </c>
      <c r="FY192" s="16">
        <v>61</v>
      </c>
      <c r="FZ192" s="16">
        <v>50</v>
      </c>
      <c r="GA192" s="16">
        <v>1475</v>
      </c>
      <c r="GB192" s="16">
        <v>1246</v>
      </c>
      <c r="GC192" s="16">
        <v>41</v>
      </c>
      <c r="GD192" s="16">
        <v>650</v>
      </c>
      <c r="GE192" s="16">
        <v>13376</v>
      </c>
      <c r="GF192" s="16">
        <v>268353</v>
      </c>
      <c r="GG192" s="16">
        <v>22637</v>
      </c>
      <c r="GH192" s="16">
        <v>111573</v>
      </c>
      <c r="GI192" s="16">
        <v>27666</v>
      </c>
      <c r="GJ192" s="16">
        <v>563407</v>
      </c>
      <c r="GK192" s="16">
        <v>117815</v>
      </c>
      <c r="GL192" s="16">
        <v>39935</v>
      </c>
      <c r="GM192" s="16">
        <v>14143</v>
      </c>
      <c r="GN192" s="16">
        <v>20244</v>
      </c>
      <c r="GO192" s="16">
        <v>13038</v>
      </c>
      <c r="GP192" s="16">
        <v>97318</v>
      </c>
      <c r="GQ192" s="16">
        <v>240536</v>
      </c>
      <c r="GR192" s="16">
        <v>8603</v>
      </c>
      <c r="GS192" s="16">
        <v>17468</v>
      </c>
      <c r="GT192" s="16">
        <v>27833</v>
      </c>
      <c r="GU192" s="16">
        <v>68632</v>
      </c>
      <c r="GV192" s="16">
        <v>492204</v>
      </c>
      <c r="GW192" s="16">
        <v>60352</v>
      </c>
      <c r="GX192" s="16">
        <v>11262</v>
      </c>
      <c r="GY192" s="16">
        <v>348</v>
      </c>
      <c r="GZ192" s="16">
        <v>525085</v>
      </c>
      <c r="HA192" s="16">
        <v>245761</v>
      </c>
      <c r="HB192" s="16">
        <v>215969</v>
      </c>
      <c r="HC192" s="16">
        <v>354932</v>
      </c>
      <c r="HD192" s="16">
        <v>515626</v>
      </c>
      <c r="HE192" s="16">
        <v>172850</v>
      </c>
      <c r="HF192" s="16">
        <v>121341</v>
      </c>
      <c r="HG192" s="16">
        <v>83127</v>
      </c>
      <c r="HH192" s="16">
        <v>117741</v>
      </c>
      <c r="HI192" s="16">
        <v>177546</v>
      </c>
      <c r="HJ192" s="16">
        <v>36942</v>
      </c>
      <c r="HK192" s="16">
        <v>69278</v>
      </c>
      <c r="HL192" s="16">
        <v>544887</v>
      </c>
      <c r="HM192" s="16">
        <v>30974</v>
      </c>
      <c r="HN192" s="16">
        <v>974335</v>
      </c>
      <c r="HO192" s="16">
        <v>18</v>
      </c>
      <c r="HP192" s="16">
        <v>275</v>
      </c>
      <c r="HQ192" s="16">
        <v>69630</v>
      </c>
      <c r="HR192" s="16">
        <v>114365</v>
      </c>
      <c r="HS192" s="16">
        <v>55049</v>
      </c>
      <c r="HT192" s="16">
        <v>7727</v>
      </c>
      <c r="HU192" s="16">
        <v>63869</v>
      </c>
      <c r="HV192" s="16">
        <v>2063</v>
      </c>
      <c r="HW192" s="16">
        <v>4679</v>
      </c>
      <c r="HX192" s="16">
        <v>63340</v>
      </c>
      <c r="HY192" s="16">
        <v>307</v>
      </c>
      <c r="HZ192" s="16">
        <v>119169</v>
      </c>
      <c r="IA192" s="16">
        <v>48101</v>
      </c>
      <c r="IB192" s="16">
        <v>4081</v>
      </c>
      <c r="IC192" s="16">
        <v>636</v>
      </c>
      <c r="ID192" s="16">
        <v>6307</v>
      </c>
      <c r="IE192" s="16">
        <v>1365</v>
      </c>
      <c r="IF192" s="16">
        <v>8600</v>
      </c>
      <c r="IG192" s="16">
        <v>19968</v>
      </c>
      <c r="IH192" s="16">
        <v>23768</v>
      </c>
      <c r="II192" s="16">
        <v>406</v>
      </c>
      <c r="IJ192" s="16">
        <v>976</v>
      </c>
      <c r="IK192" s="16">
        <v>983</v>
      </c>
      <c r="IL192" s="16">
        <v>5922</v>
      </c>
      <c r="IM192" s="16">
        <v>4</v>
      </c>
      <c r="IN192" s="16">
        <v>16345</v>
      </c>
      <c r="IO192" s="16">
        <v>193253</v>
      </c>
      <c r="IP192" s="16">
        <v>437</v>
      </c>
      <c r="IQ192" s="16">
        <v>116</v>
      </c>
      <c r="IR192" s="16">
        <v>331</v>
      </c>
      <c r="IS192" s="16">
        <v>38203</v>
      </c>
      <c r="IT192" s="16">
        <v>760</v>
      </c>
      <c r="IU192" s="16">
        <v>2</v>
      </c>
      <c r="IV192" s="16">
        <v>29129</v>
      </c>
      <c r="IW192" s="16">
        <v>494</v>
      </c>
      <c r="IX192" s="16">
        <v>27</v>
      </c>
      <c r="IY192" s="16">
        <v>5</v>
      </c>
      <c r="IZ192" s="16">
        <v>3081</v>
      </c>
      <c r="JA192" s="16">
        <v>9</v>
      </c>
      <c r="JB192" s="16">
        <v>3689</v>
      </c>
      <c r="JC192" s="16">
        <v>0</v>
      </c>
      <c r="JD192" s="16">
        <v>2</v>
      </c>
      <c r="JE192" s="16">
        <v>33</v>
      </c>
      <c r="JF192" s="16">
        <v>18</v>
      </c>
      <c r="JG192" s="16">
        <v>62613</v>
      </c>
      <c r="JH192" s="16">
        <v>31343</v>
      </c>
      <c r="JI192" s="16">
        <v>4931</v>
      </c>
      <c r="JJ192" s="16">
        <v>23341</v>
      </c>
      <c r="JK192" s="16">
        <v>4534</v>
      </c>
      <c r="JL192" s="16">
        <v>0</v>
      </c>
      <c r="JM192" s="16">
        <v>0</v>
      </c>
      <c r="JN192" s="16">
        <v>0</v>
      </c>
      <c r="JO192" s="16">
        <v>0</v>
      </c>
      <c r="JP192" s="16">
        <v>0</v>
      </c>
      <c r="JQ192" s="16">
        <v>186</v>
      </c>
      <c r="JR192" s="16">
        <v>339</v>
      </c>
      <c r="JS192" s="16">
        <v>110</v>
      </c>
      <c r="JT192" s="16">
        <v>0</v>
      </c>
      <c r="JU192" s="16">
        <v>710</v>
      </c>
      <c r="JV192" s="16">
        <v>7</v>
      </c>
      <c r="JW192" s="16">
        <v>6376</v>
      </c>
      <c r="JX192" s="16">
        <v>4538</v>
      </c>
      <c r="JY192" s="16">
        <v>6025</v>
      </c>
      <c r="JZ192" s="16">
        <v>247</v>
      </c>
      <c r="KA192" s="16">
        <v>810</v>
      </c>
      <c r="KB192" s="16">
        <v>56</v>
      </c>
      <c r="KC192" s="16">
        <v>3</v>
      </c>
      <c r="KD192" s="16">
        <v>3</v>
      </c>
      <c r="KE192" s="16">
        <v>3</v>
      </c>
      <c r="KF192" s="16">
        <v>944</v>
      </c>
      <c r="KG192" s="16">
        <v>3857</v>
      </c>
      <c r="KH192" s="16">
        <v>3256</v>
      </c>
      <c r="KI192" s="16">
        <v>1890</v>
      </c>
      <c r="KJ192" s="16">
        <v>3788</v>
      </c>
      <c r="KK192" s="16">
        <v>242</v>
      </c>
      <c r="KL192" s="16">
        <v>29</v>
      </c>
      <c r="KM192" s="16">
        <v>0</v>
      </c>
      <c r="KN192" s="16">
        <v>13</v>
      </c>
      <c r="KO192" s="16">
        <v>17</v>
      </c>
      <c r="KP192" s="16">
        <v>4</v>
      </c>
      <c r="KQ192" s="16">
        <v>559</v>
      </c>
      <c r="KR192" s="16">
        <v>88</v>
      </c>
      <c r="KS192" s="16">
        <v>0</v>
      </c>
      <c r="KT192" s="16">
        <v>66</v>
      </c>
      <c r="KU192" s="16">
        <v>0</v>
      </c>
      <c r="KV192" s="16">
        <v>40</v>
      </c>
      <c r="KW192" s="16">
        <v>1125</v>
      </c>
      <c r="KX192" s="16">
        <v>0</v>
      </c>
      <c r="KY192" s="16">
        <v>0</v>
      </c>
      <c r="KZ192" s="16">
        <v>318</v>
      </c>
      <c r="LA192" s="16">
        <v>34</v>
      </c>
      <c r="LB192" s="16">
        <v>0</v>
      </c>
      <c r="LC192" s="16">
        <v>31</v>
      </c>
      <c r="LD192" s="16">
        <v>142</v>
      </c>
      <c r="LE192" s="16">
        <v>1405</v>
      </c>
      <c r="LF192" s="16">
        <v>522</v>
      </c>
      <c r="LG192" s="16">
        <v>45</v>
      </c>
      <c r="LH192" s="16">
        <v>421</v>
      </c>
      <c r="LI192" s="16">
        <v>0</v>
      </c>
      <c r="LJ192" s="16">
        <v>0</v>
      </c>
      <c r="LK192" s="16">
        <v>2740</v>
      </c>
      <c r="LL192" s="16">
        <v>5961</v>
      </c>
      <c r="LM192" s="16">
        <v>15381</v>
      </c>
      <c r="LN192" s="16">
        <v>9392</v>
      </c>
      <c r="LO192" s="16">
        <v>6</v>
      </c>
      <c r="LP192" s="16">
        <v>21873</v>
      </c>
      <c r="LQ192" s="16">
        <v>5786</v>
      </c>
      <c r="LR192" s="16">
        <v>134</v>
      </c>
      <c r="LS192" s="16">
        <v>88</v>
      </c>
      <c r="LT192" s="16">
        <v>134</v>
      </c>
      <c r="LU192" s="16">
        <v>0</v>
      </c>
      <c r="LV192" s="16">
        <v>0</v>
      </c>
      <c r="LW192" s="16">
        <v>88</v>
      </c>
      <c r="LX192" s="16">
        <v>65</v>
      </c>
      <c r="LY192" s="16">
        <v>0</v>
      </c>
      <c r="LZ192" s="16">
        <v>268</v>
      </c>
      <c r="MA192" s="16">
        <v>1216</v>
      </c>
      <c r="MB192" s="16">
        <v>0</v>
      </c>
      <c r="MC192" s="16">
        <v>13718</v>
      </c>
      <c r="MD192" s="16">
        <v>77</v>
      </c>
      <c r="ME192" s="16">
        <v>254</v>
      </c>
      <c r="MF192" s="16">
        <v>402257</v>
      </c>
      <c r="MG192" s="16">
        <v>0</v>
      </c>
      <c r="MH192" s="16">
        <v>0</v>
      </c>
      <c r="MI192" s="16">
        <v>0</v>
      </c>
      <c r="MJ192" s="16">
        <v>0</v>
      </c>
      <c r="MK192" s="16">
        <v>8615</v>
      </c>
      <c r="ML192" s="16">
        <v>2165</v>
      </c>
      <c r="MM192" s="16">
        <v>1080</v>
      </c>
      <c r="MN192" s="16">
        <v>23515</v>
      </c>
      <c r="MO192" s="16">
        <v>5317</v>
      </c>
      <c r="MP192" s="16">
        <v>0</v>
      </c>
      <c r="MQ192" s="16">
        <v>647</v>
      </c>
      <c r="MR192" s="16">
        <v>1364</v>
      </c>
      <c r="MS192" s="16">
        <v>146</v>
      </c>
      <c r="MT192" s="16">
        <v>0</v>
      </c>
      <c r="MU192" s="16">
        <v>43</v>
      </c>
      <c r="MV192" s="16">
        <v>0</v>
      </c>
      <c r="MW192" s="16">
        <v>0</v>
      </c>
      <c r="MX192" s="16">
        <v>54</v>
      </c>
      <c r="MY192" s="16">
        <v>0</v>
      </c>
      <c r="MZ192" s="16">
        <v>13</v>
      </c>
      <c r="NA192" s="16">
        <v>17</v>
      </c>
      <c r="NB192" s="16">
        <v>0</v>
      </c>
      <c r="NC192" s="16">
        <v>0</v>
      </c>
      <c r="ND192" s="16">
        <v>25</v>
      </c>
      <c r="NE192" s="16">
        <v>0</v>
      </c>
      <c r="NF192" s="16">
        <v>108</v>
      </c>
      <c r="NG192" s="16">
        <v>99</v>
      </c>
      <c r="NH192" s="16">
        <v>20</v>
      </c>
      <c r="NI192" s="16">
        <v>0</v>
      </c>
      <c r="NJ192" s="16">
        <v>162</v>
      </c>
      <c r="NK192" s="16">
        <v>1679</v>
      </c>
      <c r="NL192" s="16">
        <v>90169</v>
      </c>
      <c r="NM192" s="16">
        <v>10</v>
      </c>
      <c r="NN192" s="16">
        <v>0</v>
      </c>
      <c r="NO192" s="16">
        <v>0</v>
      </c>
      <c r="NP192" s="16">
        <v>8</v>
      </c>
      <c r="NQ192" s="16">
        <v>0</v>
      </c>
      <c r="NR192" s="17">
        <v>8162823</v>
      </c>
    </row>
    <row r="193" spans="1:382" ht="13.5" customHeight="1" x14ac:dyDescent="0.2">
      <c r="A193" s="2" t="s">
        <v>393</v>
      </c>
      <c r="B193" s="16">
        <v>17</v>
      </c>
      <c r="C193" s="16">
        <v>0</v>
      </c>
      <c r="D193" s="16">
        <v>14</v>
      </c>
      <c r="E193" s="16">
        <v>3</v>
      </c>
      <c r="F193" s="16">
        <v>11</v>
      </c>
      <c r="G193" s="16">
        <v>2</v>
      </c>
      <c r="H193" s="16">
        <v>1</v>
      </c>
      <c r="I193" s="16">
        <v>0</v>
      </c>
      <c r="J193" s="16">
        <v>0</v>
      </c>
      <c r="K193" s="16">
        <v>0</v>
      </c>
      <c r="L193" s="16">
        <v>95</v>
      </c>
      <c r="M193" s="16">
        <v>0</v>
      </c>
      <c r="N193" s="16">
        <v>0</v>
      </c>
      <c r="O193" s="16">
        <v>1</v>
      </c>
      <c r="P193" s="16">
        <v>133</v>
      </c>
      <c r="Q193" s="16">
        <v>840</v>
      </c>
      <c r="R193" s="16">
        <v>137</v>
      </c>
      <c r="S193" s="16">
        <v>0</v>
      </c>
      <c r="T193" s="16">
        <v>8</v>
      </c>
      <c r="U193" s="16">
        <v>58</v>
      </c>
      <c r="V193" s="16">
        <v>11</v>
      </c>
      <c r="W193" s="16">
        <v>6</v>
      </c>
      <c r="X193" s="16">
        <v>31</v>
      </c>
      <c r="Y193" s="16">
        <v>112</v>
      </c>
      <c r="Z193" s="16">
        <v>231</v>
      </c>
      <c r="AA193" s="16">
        <v>2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608</v>
      </c>
      <c r="AH193" s="16">
        <v>111</v>
      </c>
      <c r="AI193" s="16">
        <v>59</v>
      </c>
      <c r="AJ193" s="16">
        <v>122</v>
      </c>
      <c r="AK193" s="16">
        <v>1013</v>
      </c>
      <c r="AL193" s="16">
        <v>40</v>
      </c>
      <c r="AM193" s="16">
        <v>267</v>
      </c>
      <c r="AN193" s="16">
        <v>210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>
        <v>0</v>
      </c>
      <c r="AU193" s="16">
        <v>114</v>
      </c>
      <c r="AV193" s="16">
        <v>23</v>
      </c>
      <c r="AW193" s="16">
        <v>848</v>
      </c>
      <c r="AX193" s="16">
        <v>10</v>
      </c>
      <c r="AY193" s="16">
        <v>43</v>
      </c>
      <c r="AZ193" s="16">
        <v>860</v>
      </c>
      <c r="BA193" s="16">
        <v>617</v>
      </c>
      <c r="BB193" s="16">
        <v>155</v>
      </c>
      <c r="BC193" s="16">
        <v>282</v>
      </c>
      <c r="BD193" s="16">
        <v>3</v>
      </c>
      <c r="BE193" s="16">
        <v>35</v>
      </c>
      <c r="BF193" s="16">
        <v>78</v>
      </c>
      <c r="BG193" s="16">
        <v>32</v>
      </c>
      <c r="BH193" s="16">
        <v>231</v>
      </c>
      <c r="BI193" s="16">
        <v>0</v>
      </c>
      <c r="BJ193" s="16">
        <v>9</v>
      </c>
      <c r="BK193" s="16">
        <v>32</v>
      </c>
      <c r="BL193" s="16">
        <v>87</v>
      </c>
      <c r="BM193" s="16">
        <v>630</v>
      </c>
      <c r="BN193" s="16">
        <v>669</v>
      </c>
      <c r="BO193" s="16">
        <v>587</v>
      </c>
      <c r="BP193" s="16">
        <v>232</v>
      </c>
      <c r="BQ193" s="16">
        <v>57</v>
      </c>
      <c r="BR193" s="16">
        <v>2</v>
      </c>
      <c r="BS193" s="16">
        <v>354</v>
      </c>
      <c r="BT193" s="16">
        <v>6</v>
      </c>
      <c r="BU193" s="16">
        <v>1</v>
      </c>
      <c r="BV193" s="16">
        <v>0</v>
      </c>
      <c r="BW193" s="16">
        <v>150</v>
      </c>
      <c r="BX193" s="16">
        <v>6</v>
      </c>
      <c r="BY193" s="16">
        <v>0</v>
      </c>
      <c r="BZ193" s="16">
        <v>146</v>
      </c>
      <c r="CA193" s="16">
        <v>91</v>
      </c>
      <c r="CB193" s="16">
        <v>14</v>
      </c>
      <c r="CC193" s="16">
        <v>2636</v>
      </c>
      <c r="CD193" s="16">
        <v>129</v>
      </c>
      <c r="CE193" s="16">
        <v>26</v>
      </c>
      <c r="CF193" s="16">
        <v>202</v>
      </c>
      <c r="CG193" s="16">
        <v>117</v>
      </c>
      <c r="CH193" s="16">
        <v>235</v>
      </c>
      <c r="CI193" s="16">
        <v>204</v>
      </c>
      <c r="CJ193" s="16">
        <v>359</v>
      </c>
      <c r="CK193" s="16">
        <v>2098</v>
      </c>
      <c r="CL193" s="16">
        <v>602</v>
      </c>
      <c r="CM193" s="16">
        <v>333</v>
      </c>
      <c r="CN193" s="16">
        <v>22</v>
      </c>
      <c r="CO193" s="16">
        <v>288</v>
      </c>
      <c r="CP193" s="16">
        <v>895</v>
      </c>
      <c r="CQ193" s="16">
        <v>10221</v>
      </c>
      <c r="CR193" s="16">
        <v>156</v>
      </c>
      <c r="CS193" s="16">
        <v>762</v>
      </c>
      <c r="CT193" s="16">
        <v>791</v>
      </c>
      <c r="CU193" s="16">
        <v>231</v>
      </c>
      <c r="CV193" s="16">
        <v>230</v>
      </c>
      <c r="CW193" s="16">
        <v>2595</v>
      </c>
      <c r="CX193" s="16">
        <v>2728</v>
      </c>
      <c r="CY193" s="16">
        <v>643</v>
      </c>
      <c r="CZ193" s="16">
        <v>251</v>
      </c>
      <c r="DA193" s="16">
        <v>3</v>
      </c>
      <c r="DB193" s="16">
        <v>42</v>
      </c>
      <c r="DC193" s="16">
        <v>4</v>
      </c>
      <c r="DD193" s="16">
        <v>29</v>
      </c>
      <c r="DE193" s="16">
        <v>26</v>
      </c>
      <c r="DF193" s="16">
        <v>579</v>
      </c>
      <c r="DG193" s="16">
        <v>156</v>
      </c>
      <c r="DH193" s="16">
        <v>954</v>
      </c>
      <c r="DI193" s="16">
        <v>44</v>
      </c>
      <c r="DJ193" s="16">
        <v>1670</v>
      </c>
      <c r="DK193" s="16">
        <v>328</v>
      </c>
      <c r="DL193" s="16">
        <v>173</v>
      </c>
      <c r="DM193" s="16">
        <v>851</v>
      </c>
      <c r="DN193" s="16">
        <v>58</v>
      </c>
      <c r="DO193" s="16">
        <v>60</v>
      </c>
      <c r="DP193" s="16">
        <v>354</v>
      </c>
      <c r="DQ193" s="16">
        <v>171</v>
      </c>
      <c r="DR193" s="16">
        <v>89</v>
      </c>
      <c r="DS193" s="16">
        <v>950</v>
      </c>
      <c r="DT193" s="16">
        <v>2797</v>
      </c>
      <c r="DU193" s="16">
        <v>621</v>
      </c>
      <c r="DV193" s="16">
        <v>122</v>
      </c>
      <c r="DW193" s="16">
        <v>1627</v>
      </c>
      <c r="DX193" s="16">
        <v>1343</v>
      </c>
      <c r="DY193" s="16">
        <v>1253</v>
      </c>
      <c r="DZ193" s="16">
        <v>2095</v>
      </c>
      <c r="EA193" s="16">
        <v>2252</v>
      </c>
      <c r="EB193" s="16">
        <v>28</v>
      </c>
      <c r="EC193" s="16">
        <v>472</v>
      </c>
      <c r="ED193" s="16">
        <v>44</v>
      </c>
      <c r="EE193" s="16">
        <v>108</v>
      </c>
      <c r="EF193" s="16">
        <v>8</v>
      </c>
      <c r="EG193" s="16">
        <v>404</v>
      </c>
      <c r="EH193" s="16">
        <v>1754</v>
      </c>
      <c r="EI193" s="16">
        <v>27</v>
      </c>
      <c r="EJ193" s="16">
        <v>14</v>
      </c>
      <c r="EK193" s="16">
        <v>37</v>
      </c>
      <c r="EL193" s="16">
        <v>10</v>
      </c>
      <c r="EM193" s="16">
        <v>53</v>
      </c>
      <c r="EN193" s="16">
        <v>2119</v>
      </c>
      <c r="EO193" s="16">
        <v>710</v>
      </c>
      <c r="EP193" s="16">
        <v>36</v>
      </c>
      <c r="EQ193" s="16">
        <v>159</v>
      </c>
      <c r="ER193" s="16">
        <v>29</v>
      </c>
      <c r="ES193" s="16">
        <v>21</v>
      </c>
      <c r="ET193" s="16">
        <v>140</v>
      </c>
      <c r="EU193" s="16">
        <v>9</v>
      </c>
      <c r="EV193" s="16">
        <v>0</v>
      </c>
      <c r="EW193" s="16">
        <v>8</v>
      </c>
      <c r="EX193" s="16">
        <v>7537</v>
      </c>
      <c r="EY193" s="16">
        <v>806</v>
      </c>
      <c r="EZ193" s="16">
        <v>29</v>
      </c>
      <c r="FA193" s="16">
        <v>44</v>
      </c>
      <c r="FB193" s="16">
        <v>254</v>
      </c>
      <c r="FC193" s="16">
        <v>2</v>
      </c>
      <c r="FD193" s="16">
        <v>3758</v>
      </c>
      <c r="FE193" s="16">
        <v>465</v>
      </c>
      <c r="FF193" s="16">
        <v>152</v>
      </c>
      <c r="FG193" s="16">
        <v>2809</v>
      </c>
      <c r="FH193" s="16">
        <v>2</v>
      </c>
      <c r="FI193" s="16">
        <v>59</v>
      </c>
      <c r="FJ193" s="16">
        <v>41</v>
      </c>
      <c r="FK193" s="16">
        <v>480</v>
      </c>
      <c r="FL193" s="16">
        <v>8</v>
      </c>
      <c r="FM193" s="16">
        <v>351</v>
      </c>
      <c r="FN193" s="16">
        <v>1291</v>
      </c>
      <c r="FO193" s="16">
        <v>372</v>
      </c>
      <c r="FP193" s="16">
        <v>888</v>
      </c>
      <c r="FQ193" s="16">
        <v>3741</v>
      </c>
      <c r="FR193" s="16">
        <v>828</v>
      </c>
      <c r="FS193" s="16">
        <v>1115</v>
      </c>
      <c r="FT193" s="16">
        <v>4043</v>
      </c>
      <c r="FU193" s="16">
        <v>3758</v>
      </c>
      <c r="FV193" s="16">
        <v>4136</v>
      </c>
      <c r="FW193" s="16">
        <v>1403</v>
      </c>
      <c r="FX193" s="16">
        <v>2276</v>
      </c>
      <c r="FY193" s="16">
        <v>165</v>
      </c>
      <c r="FZ193" s="16">
        <v>1993</v>
      </c>
      <c r="GA193" s="16">
        <v>146</v>
      </c>
      <c r="GB193" s="16">
        <v>3785</v>
      </c>
      <c r="GC193" s="16">
        <v>867</v>
      </c>
      <c r="GD193" s="16">
        <v>13213</v>
      </c>
      <c r="GE193" s="16">
        <v>91750</v>
      </c>
      <c r="GF193" s="16">
        <v>700160</v>
      </c>
      <c r="GG193" s="16">
        <v>204646</v>
      </c>
      <c r="GH193" s="16">
        <v>214424</v>
      </c>
      <c r="GI193" s="16">
        <v>11324</v>
      </c>
      <c r="GJ193" s="16">
        <v>171397</v>
      </c>
      <c r="GK193" s="16">
        <v>135748</v>
      </c>
      <c r="GL193" s="16">
        <v>232857</v>
      </c>
      <c r="GM193" s="16">
        <v>116049</v>
      </c>
      <c r="GN193" s="16">
        <v>72970</v>
      </c>
      <c r="GO193" s="16">
        <v>43301</v>
      </c>
      <c r="GP193" s="16">
        <v>380994</v>
      </c>
      <c r="GQ193" s="16">
        <v>43877</v>
      </c>
      <c r="GR193" s="16">
        <v>28784</v>
      </c>
      <c r="GS193" s="16">
        <v>13424</v>
      </c>
      <c r="GT193" s="16">
        <v>37078</v>
      </c>
      <c r="GU193" s="16">
        <v>39026</v>
      </c>
      <c r="GV193" s="16">
        <v>284847</v>
      </c>
      <c r="GW193" s="16">
        <v>192034</v>
      </c>
      <c r="GX193" s="16">
        <v>16467</v>
      </c>
      <c r="GY193" s="16">
        <v>42</v>
      </c>
      <c r="GZ193" s="16">
        <v>2295</v>
      </c>
      <c r="HA193" s="16">
        <v>2958</v>
      </c>
      <c r="HB193" s="16">
        <v>5040</v>
      </c>
      <c r="HC193" s="16">
        <v>8399</v>
      </c>
      <c r="HD193" s="16">
        <v>32863</v>
      </c>
      <c r="HE193" s="16">
        <v>118</v>
      </c>
      <c r="HF193" s="16">
        <v>5370</v>
      </c>
      <c r="HG193" s="16">
        <v>7988</v>
      </c>
      <c r="HH193" s="16">
        <v>8642</v>
      </c>
      <c r="HI193" s="16">
        <v>26819</v>
      </c>
      <c r="HJ193" s="16">
        <v>3832</v>
      </c>
      <c r="HK193" s="16">
        <v>1669</v>
      </c>
      <c r="HL193" s="16">
        <v>62163</v>
      </c>
      <c r="HM193" s="16">
        <v>944</v>
      </c>
      <c r="HN193" s="16">
        <v>3400</v>
      </c>
      <c r="HO193" s="16">
        <v>573</v>
      </c>
      <c r="HP193" s="16">
        <v>149</v>
      </c>
      <c r="HQ193" s="16">
        <v>8238</v>
      </c>
      <c r="HR193" s="16">
        <v>6919</v>
      </c>
      <c r="HS193" s="16">
        <v>5748</v>
      </c>
      <c r="HT193" s="16">
        <v>1881</v>
      </c>
      <c r="HU193" s="16">
        <v>14307</v>
      </c>
      <c r="HV193" s="16">
        <v>3925</v>
      </c>
      <c r="HW193" s="16">
        <v>2658</v>
      </c>
      <c r="HX193" s="16">
        <v>6224</v>
      </c>
      <c r="HY193" s="16">
        <v>950</v>
      </c>
      <c r="HZ193" s="16">
        <v>121544</v>
      </c>
      <c r="IA193" s="16">
        <v>44522</v>
      </c>
      <c r="IB193" s="16">
        <v>2849</v>
      </c>
      <c r="IC193" s="16">
        <v>645</v>
      </c>
      <c r="ID193" s="16">
        <v>1263</v>
      </c>
      <c r="IE193" s="16">
        <v>2078</v>
      </c>
      <c r="IF193" s="16">
        <v>1599</v>
      </c>
      <c r="IG193" s="16">
        <v>18502</v>
      </c>
      <c r="IH193" s="16">
        <v>241206</v>
      </c>
      <c r="II193" s="16">
        <v>99380</v>
      </c>
      <c r="IJ193" s="16">
        <v>39222</v>
      </c>
      <c r="IK193" s="16">
        <v>80000</v>
      </c>
      <c r="IL193" s="16">
        <v>6543</v>
      </c>
      <c r="IM193" s="16">
        <v>0</v>
      </c>
      <c r="IN193" s="16">
        <v>0</v>
      </c>
      <c r="IO193" s="16">
        <v>1424215</v>
      </c>
      <c r="IP193" s="16">
        <v>907</v>
      </c>
      <c r="IQ193" s="16">
        <v>192</v>
      </c>
      <c r="IR193" s="16">
        <v>96</v>
      </c>
      <c r="IS193" s="16">
        <v>2624</v>
      </c>
      <c r="IT193" s="16">
        <v>811</v>
      </c>
      <c r="IU193" s="16">
        <v>12</v>
      </c>
      <c r="IV193" s="16">
        <v>9664</v>
      </c>
      <c r="IW193" s="16">
        <v>597</v>
      </c>
      <c r="IX193" s="16">
        <v>83</v>
      </c>
      <c r="IY193" s="16">
        <v>397</v>
      </c>
      <c r="IZ193" s="16">
        <v>907</v>
      </c>
      <c r="JA193" s="16">
        <v>1109</v>
      </c>
      <c r="JB193" s="16">
        <v>6307</v>
      </c>
      <c r="JC193" s="16">
        <v>26</v>
      </c>
      <c r="JD193" s="16">
        <v>5</v>
      </c>
      <c r="JE193" s="16">
        <v>2894</v>
      </c>
      <c r="JF193" s="16">
        <v>188</v>
      </c>
      <c r="JG193" s="16">
        <v>82115</v>
      </c>
      <c r="JH193" s="16">
        <v>37100</v>
      </c>
      <c r="JI193" s="16">
        <v>469</v>
      </c>
      <c r="JJ193" s="16">
        <v>1155</v>
      </c>
      <c r="JK193" s="16">
        <v>6158</v>
      </c>
      <c r="JL193" s="16">
        <v>50</v>
      </c>
      <c r="JM193" s="16">
        <v>1</v>
      </c>
      <c r="JN193" s="16">
        <v>16</v>
      </c>
      <c r="JO193" s="16">
        <v>225</v>
      </c>
      <c r="JP193" s="16">
        <v>4930</v>
      </c>
      <c r="JQ193" s="16">
        <v>289</v>
      </c>
      <c r="JR193" s="16">
        <v>8243</v>
      </c>
      <c r="JS193" s="16">
        <v>1186</v>
      </c>
      <c r="JT193" s="16">
        <v>0</v>
      </c>
      <c r="JU193" s="16">
        <v>8563</v>
      </c>
      <c r="JV193" s="16">
        <v>5970</v>
      </c>
      <c r="JW193" s="16">
        <v>3585</v>
      </c>
      <c r="JX193" s="16">
        <v>6086</v>
      </c>
      <c r="JY193" s="16">
        <v>1990</v>
      </c>
      <c r="JZ193" s="16">
        <v>120</v>
      </c>
      <c r="KA193" s="16">
        <v>537</v>
      </c>
      <c r="KB193" s="16">
        <v>47</v>
      </c>
      <c r="KC193" s="16">
        <v>132</v>
      </c>
      <c r="KD193" s="16">
        <v>5</v>
      </c>
      <c r="KE193" s="16">
        <v>6</v>
      </c>
      <c r="KF193" s="16">
        <v>444</v>
      </c>
      <c r="KG193" s="16">
        <v>2294</v>
      </c>
      <c r="KH193" s="16">
        <v>114</v>
      </c>
      <c r="KI193" s="16">
        <v>690</v>
      </c>
      <c r="KJ193" s="16">
        <v>574</v>
      </c>
      <c r="KK193" s="16">
        <v>77315</v>
      </c>
      <c r="KL193" s="16">
        <v>559</v>
      </c>
      <c r="KM193" s="16">
        <v>3558</v>
      </c>
      <c r="KN193" s="16">
        <v>427</v>
      </c>
      <c r="KO193" s="16">
        <v>1411</v>
      </c>
      <c r="KP193" s="16">
        <v>55</v>
      </c>
      <c r="KQ193" s="16">
        <v>226</v>
      </c>
      <c r="KR193" s="16">
        <v>13605</v>
      </c>
      <c r="KS193" s="16">
        <v>16</v>
      </c>
      <c r="KT193" s="16">
        <v>2058</v>
      </c>
      <c r="KU193" s="16">
        <v>3868</v>
      </c>
      <c r="KV193" s="16">
        <v>22939</v>
      </c>
      <c r="KW193" s="16">
        <v>4397</v>
      </c>
      <c r="KX193" s="16">
        <v>172</v>
      </c>
      <c r="KY193" s="16">
        <v>54136</v>
      </c>
      <c r="KZ193" s="16">
        <v>39081</v>
      </c>
      <c r="LA193" s="16">
        <v>2361</v>
      </c>
      <c r="LB193" s="16">
        <v>2211</v>
      </c>
      <c r="LC193" s="16">
        <v>2362</v>
      </c>
      <c r="LD193" s="16">
        <v>11733</v>
      </c>
      <c r="LE193" s="16">
        <v>26335</v>
      </c>
      <c r="LF193" s="16">
        <v>14866</v>
      </c>
      <c r="LG193" s="16">
        <v>9195</v>
      </c>
      <c r="LH193" s="16">
        <v>80019</v>
      </c>
      <c r="LI193" s="16">
        <v>610</v>
      </c>
      <c r="LJ193" s="16">
        <v>6402</v>
      </c>
      <c r="LK193" s="16">
        <v>79269</v>
      </c>
      <c r="LL193" s="16">
        <v>108058</v>
      </c>
      <c r="LM193" s="16">
        <v>280556</v>
      </c>
      <c r="LN193" s="16">
        <v>163291</v>
      </c>
      <c r="LO193" s="16">
        <v>274</v>
      </c>
      <c r="LP193" s="16">
        <v>86028</v>
      </c>
      <c r="LQ193" s="16">
        <v>1647</v>
      </c>
      <c r="LR193" s="16">
        <v>24384</v>
      </c>
      <c r="LS193" s="16">
        <v>32848</v>
      </c>
      <c r="LT193" s="16">
        <v>82474</v>
      </c>
      <c r="LU193" s="16">
        <v>2440</v>
      </c>
      <c r="LV193" s="16">
        <v>24</v>
      </c>
      <c r="LW193" s="16">
        <v>4896</v>
      </c>
      <c r="LX193" s="16">
        <v>1969</v>
      </c>
      <c r="LY193" s="16">
        <v>0</v>
      </c>
      <c r="LZ193" s="16">
        <v>3955</v>
      </c>
      <c r="MA193" s="16">
        <v>10129</v>
      </c>
      <c r="MB193" s="16">
        <v>41779</v>
      </c>
      <c r="MC193" s="16">
        <v>40005</v>
      </c>
      <c r="MD193" s="16">
        <v>32145</v>
      </c>
      <c r="ME193" s="16">
        <v>1526</v>
      </c>
      <c r="MF193" s="16">
        <v>347331</v>
      </c>
      <c r="MG193" s="16">
        <v>27555</v>
      </c>
      <c r="MH193" s="16">
        <v>889356</v>
      </c>
      <c r="MI193" s="16">
        <v>19893</v>
      </c>
      <c r="MJ193" s="16">
        <v>4680</v>
      </c>
      <c r="MK193" s="16">
        <v>17477</v>
      </c>
      <c r="ML193" s="16">
        <v>6208</v>
      </c>
      <c r="MM193" s="16">
        <v>89528</v>
      </c>
      <c r="MN193" s="16">
        <v>26670</v>
      </c>
      <c r="MO193" s="16">
        <v>5698</v>
      </c>
      <c r="MP193" s="16">
        <v>45361</v>
      </c>
      <c r="MQ193" s="16">
        <v>62633</v>
      </c>
      <c r="MR193" s="16">
        <v>159396</v>
      </c>
      <c r="MS193" s="16">
        <v>53627</v>
      </c>
      <c r="MT193" s="16">
        <v>13800</v>
      </c>
      <c r="MU193" s="16">
        <v>7033</v>
      </c>
      <c r="MV193" s="16">
        <v>65255</v>
      </c>
      <c r="MW193" s="16">
        <v>159229</v>
      </c>
      <c r="MX193" s="16">
        <v>11625</v>
      </c>
      <c r="MY193" s="16">
        <v>1437</v>
      </c>
      <c r="MZ193" s="16">
        <v>32103</v>
      </c>
      <c r="NA193" s="16">
        <v>57947</v>
      </c>
      <c r="NB193" s="16">
        <v>57531</v>
      </c>
      <c r="NC193" s="16">
        <v>79979</v>
      </c>
      <c r="ND193" s="16">
        <v>17612</v>
      </c>
      <c r="NE193" s="16">
        <v>418</v>
      </c>
      <c r="NF193" s="16">
        <v>36798</v>
      </c>
      <c r="NG193" s="16">
        <v>18709</v>
      </c>
      <c r="NH193" s="16">
        <v>1786</v>
      </c>
      <c r="NI193" s="16">
        <v>41113</v>
      </c>
      <c r="NJ193" s="16">
        <v>53973</v>
      </c>
      <c r="NK193" s="16">
        <v>74507</v>
      </c>
      <c r="NL193" s="16">
        <v>222263</v>
      </c>
      <c r="NM193" s="16">
        <v>3707</v>
      </c>
      <c r="NN193" s="16">
        <v>209</v>
      </c>
      <c r="NO193" s="16">
        <v>0</v>
      </c>
      <c r="NP193" s="16">
        <v>852</v>
      </c>
      <c r="NQ193" s="16">
        <v>5014</v>
      </c>
      <c r="NR193" s="17">
        <v>9757638</v>
      </c>
    </row>
    <row r="194" spans="1:382" ht="13.5" customHeight="1" x14ac:dyDescent="0.2">
      <c r="A194" s="2" t="s">
        <v>395</v>
      </c>
      <c r="B194" s="16">
        <v>0</v>
      </c>
      <c r="C194" s="16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0</v>
      </c>
      <c r="AU194" s="16">
        <v>0</v>
      </c>
      <c r="AV194" s="16">
        <v>0</v>
      </c>
      <c r="AW194" s="16">
        <v>0</v>
      </c>
      <c r="AX194" s="16">
        <v>0</v>
      </c>
      <c r="AY194" s="16">
        <v>0</v>
      </c>
      <c r="AZ194" s="16">
        <v>0</v>
      </c>
      <c r="BA194" s="16">
        <v>0</v>
      </c>
      <c r="BB194" s="16">
        <v>0</v>
      </c>
      <c r="BC194" s="16">
        <v>0</v>
      </c>
      <c r="BD194" s="16">
        <v>0</v>
      </c>
      <c r="BE194" s="16">
        <v>0</v>
      </c>
      <c r="BF194" s="16">
        <v>0</v>
      </c>
      <c r="BG194" s="16">
        <v>0</v>
      </c>
      <c r="BH194" s="16">
        <v>0</v>
      </c>
      <c r="BI194" s="16">
        <v>0</v>
      </c>
      <c r="BJ194" s="16">
        <v>0</v>
      </c>
      <c r="BK194" s="16">
        <v>0</v>
      </c>
      <c r="BL194" s="16">
        <v>0</v>
      </c>
      <c r="BM194" s="16">
        <v>0</v>
      </c>
      <c r="BN194" s="16">
        <v>0</v>
      </c>
      <c r="BO194" s="16">
        <v>0</v>
      </c>
      <c r="BP194" s="16">
        <v>0</v>
      </c>
      <c r="BQ194" s="16">
        <v>0</v>
      </c>
      <c r="BR194" s="16">
        <v>0</v>
      </c>
      <c r="BS194" s="16">
        <v>0</v>
      </c>
      <c r="BT194" s="16">
        <v>0</v>
      </c>
      <c r="BU194" s="16">
        <v>0</v>
      </c>
      <c r="BV194" s="16">
        <v>0</v>
      </c>
      <c r="BW194" s="16">
        <v>0</v>
      </c>
      <c r="BX194" s="16">
        <v>0</v>
      </c>
      <c r="BY194" s="16">
        <v>0</v>
      </c>
      <c r="BZ194" s="16">
        <v>0</v>
      </c>
      <c r="CA194" s="16">
        <v>0</v>
      </c>
      <c r="CB194" s="16">
        <v>0</v>
      </c>
      <c r="CC194" s="16">
        <v>0</v>
      </c>
      <c r="CD194" s="16">
        <v>0</v>
      </c>
      <c r="CE194" s="16">
        <v>0</v>
      </c>
      <c r="CF194" s="16">
        <v>0</v>
      </c>
      <c r="CG194" s="16">
        <v>0</v>
      </c>
      <c r="CH194" s="16">
        <v>0</v>
      </c>
      <c r="CI194" s="16">
        <v>0</v>
      </c>
      <c r="CJ194" s="16">
        <v>0</v>
      </c>
      <c r="CK194" s="16">
        <v>0</v>
      </c>
      <c r="CL194" s="16">
        <v>0</v>
      </c>
      <c r="CM194" s="16">
        <v>0</v>
      </c>
      <c r="CN194" s="16">
        <v>0</v>
      </c>
      <c r="CO194" s="16">
        <v>0</v>
      </c>
      <c r="CP194" s="16">
        <v>0</v>
      </c>
      <c r="CQ194" s="16">
        <v>0</v>
      </c>
      <c r="CR194" s="16">
        <v>0</v>
      </c>
      <c r="CS194" s="16">
        <v>0</v>
      </c>
      <c r="CT194" s="16">
        <v>0</v>
      </c>
      <c r="CU194" s="16">
        <v>0</v>
      </c>
      <c r="CV194" s="16">
        <v>0</v>
      </c>
      <c r="CW194" s="16">
        <v>0</v>
      </c>
      <c r="CX194" s="16">
        <v>0</v>
      </c>
      <c r="CY194" s="16">
        <v>0</v>
      </c>
      <c r="CZ194" s="16">
        <v>0</v>
      </c>
      <c r="DA194" s="16">
        <v>0</v>
      </c>
      <c r="DB194" s="16">
        <v>0</v>
      </c>
      <c r="DC194" s="16">
        <v>0</v>
      </c>
      <c r="DD194" s="16">
        <v>0</v>
      </c>
      <c r="DE194" s="16">
        <v>0</v>
      </c>
      <c r="DF194" s="16">
        <v>0</v>
      </c>
      <c r="DG194" s="16">
        <v>0</v>
      </c>
      <c r="DH194" s="16">
        <v>0</v>
      </c>
      <c r="DI194" s="16">
        <v>0</v>
      </c>
      <c r="DJ194" s="16">
        <v>0</v>
      </c>
      <c r="DK194" s="16">
        <v>0</v>
      </c>
      <c r="DL194" s="16">
        <v>0</v>
      </c>
      <c r="DM194" s="16">
        <v>0</v>
      </c>
      <c r="DN194" s="16">
        <v>0</v>
      </c>
      <c r="DO194" s="16">
        <v>0</v>
      </c>
      <c r="DP194" s="16">
        <v>0</v>
      </c>
      <c r="DQ194" s="16">
        <v>0</v>
      </c>
      <c r="DR194" s="16">
        <v>0</v>
      </c>
      <c r="DS194" s="16">
        <v>0</v>
      </c>
      <c r="DT194" s="16">
        <v>0</v>
      </c>
      <c r="DU194" s="16">
        <v>0</v>
      </c>
      <c r="DV194" s="16">
        <v>0</v>
      </c>
      <c r="DW194" s="16">
        <v>0</v>
      </c>
      <c r="DX194" s="16">
        <v>0</v>
      </c>
      <c r="DY194" s="16">
        <v>0</v>
      </c>
      <c r="DZ194" s="16">
        <v>0</v>
      </c>
      <c r="EA194" s="16">
        <v>0</v>
      </c>
      <c r="EB194" s="16">
        <v>0</v>
      </c>
      <c r="EC194" s="16">
        <v>0</v>
      </c>
      <c r="ED194" s="16">
        <v>0</v>
      </c>
      <c r="EE194" s="16">
        <v>0</v>
      </c>
      <c r="EF194" s="16">
        <v>0</v>
      </c>
      <c r="EG194" s="16">
        <v>0</v>
      </c>
      <c r="EH194" s="16">
        <v>0</v>
      </c>
      <c r="EI194" s="16">
        <v>0</v>
      </c>
      <c r="EJ194" s="16">
        <v>0</v>
      </c>
      <c r="EK194" s="16">
        <v>0</v>
      </c>
      <c r="EL194" s="16">
        <v>0</v>
      </c>
      <c r="EM194" s="16">
        <v>0</v>
      </c>
      <c r="EN194" s="16">
        <v>0</v>
      </c>
      <c r="EO194" s="16">
        <v>0</v>
      </c>
      <c r="EP194" s="16">
        <v>0</v>
      </c>
      <c r="EQ194" s="16">
        <v>0</v>
      </c>
      <c r="ER194" s="16">
        <v>0</v>
      </c>
      <c r="ES194" s="16">
        <v>0</v>
      </c>
      <c r="ET194" s="16">
        <v>0</v>
      </c>
      <c r="EU194" s="16">
        <v>0</v>
      </c>
      <c r="EV194" s="16">
        <v>0</v>
      </c>
      <c r="EW194" s="16">
        <v>0</v>
      </c>
      <c r="EX194" s="16">
        <v>0</v>
      </c>
      <c r="EY194" s="16">
        <v>0</v>
      </c>
      <c r="EZ194" s="16">
        <v>0</v>
      </c>
      <c r="FA194" s="16">
        <v>0</v>
      </c>
      <c r="FB194" s="16">
        <v>0</v>
      </c>
      <c r="FC194" s="16">
        <v>0</v>
      </c>
      <c r="FD194" s="16">
        <v>0</v>
      </c>
      <c r="FE194" s="16">
        <v>0</v>
      </c>
      <c r="FF194" s="16">
        <v>0</v>
      </c>
      <c r="FG194" s="16">
        <v>0</v>
      </c>
      <c r="FH194" s="16">
        <v>0</v>
      </c>
      <c r="FI194" s="16">
        <v>0</v>
      </c>
      <c r="FJ194" s="16">
        <v>0</v>
      </c>
      <c r="FK194" s="16">
        <v>0</v>
      </c>
      <c r="FL194" s="16">
        <v>0</v>
      </c>
      <c r="FM194" s="16">
        <v>0</v>
      </c>
      <c r="FN194" s="16">
        <v>0</v>
      </c>
      <c r="FO194" s="16">
        <v>0</v>
      </c>
      <c r="FP194" s="16">
        <v>0</v>
      </c>
      <c r="FQ194" s="16">
        <v>0</v>
      </c>
      <c r="FR194" s="16">
        <v>0</v>
      </c>
      <c r="FS194" s="16">
        <v>0</v>
      </c>
      <c r="FT194" s="16">
        <v>0</v>
      </c>
      <c r="FU194" s="16">
        <v>0</v>
      </c>
      <c r="FV194" s="16">
        <v>0</v>
      </c>
      <c r="FW194" s="16">
        <v>0</v>
      </c>
      <c r="FX194" s="16">
        <v>0</v>
      </c>
      <c r="FY194" s="16">
        <v>0</v>
      </c>
      <c r="FZ194" s="16">
        <v>0</v>
      </c>
      <c r="GA194" s="16">
        <v>0</v>
      </c>
      <c r="GB194" s="16">
        <v>0</v>
      </c>
      <c r="GC194" s="16">
        <v>0</v>
      </c>
      <c r="GD194" s="16">
        <v>0</v>
      </c>
      <c r="GE194" s="16">
        <v>0</v>
      </c>
      <c r="GF194" s="16">
        <v>0</v>
      </c>
      <c r="GG194" s="16">
        <v>0</v>
      </c>
      <c r="GH194" s="16">
        <v>0</v>
      </c>
      <c r="GI194" s="16">
        <v>0</v>
      </c>
      <c r="GJ194" s="16">
        <v>0</v>
      </c>
      <c r="GK194" s="16">
        <v>0</v>
      </c>
      <c r="GL194" s="16">
        <v>313</v>
      </c>
      <c r="GM194" s="16">
        <v>0</v>
      </c>
      <c r="GN194" s="16">
        <v>0</v>
      </c>
      <c r="GO194" s="16">
        <v>0</v>
      </c>
      <c r="GP194" s="16">
        <v>0</v>
      </c>
      <c r="GQ194" s="16">
        <v>0</v>
      </c>
      <c r="GR194" s="16">
        <v>0</v>
      </c>
      <c r="GS194" s="16">
        <v>0</v>
      </c>
      <c r="GT194" s="16">
        <v>0</v>
      </c>
      <c r="GU194" s="16">
        <v>0</v>
      </c>
      <c r="GV194" s="16">
        <v>0</v>
      </c>
      <c r="GW194" s="16">
        <v>0</v>
      </c>
      <c r="GX194" s="16">
        <v>0</v>
      </c>
      <c r="GY194" s="16">
        <v>0</v>
      </c>
      <c r="GZ194" s="16">
        <v>0</v>
      </c>
      <c r="HA194" s="16">
        <v>0</v>
      </c>
      <c r="HB194" s="16">
        <v>0</v>
      </c>
      <c r="HC194" s="16">
        <v>0</v>
      </c>
      <c r="HD194" s="16">
        <v>0</v>
      </c>
      <c r="HE194" s="16">
        <v>0</v>
      </c>
      <c r="HF194" s="16">
        <v>0</v>
      </c>
      <c r="HG194" s="16">
        <v>0</v>
      </c>
      <c r="HH194" s="16">
        <v>0</v>
      </c>
      <c r="HI194" s="16">
        <v>0</v>
      </c>
      <c r="HJ194" s="16">
        <v>0</v>
      </c>
      <c r="HK194" s="16">
        <v>0</v>
      </c>
      <c r="HL194" s="16">
        <v>0</v>
      </c>
      <c r="HM194" s="16">
        <v>0</v>
      </c>
      <c r="HN194" s="16">
        <v>0</v>
      </c>
      <c r="HO194" s="16">
        <v>0</v>
      </c>
      <c r="HP194" s="16">
        <v>0</v>
      </c>
      <c r="HQ194" s="16">
        <v>0</v>
      </c>
      <c r="HR194" s="16">
        <v>0</v>
      </c>
      <c r="HS194" s="16">
        <v>0</v>
      </c>
      <c r="HT194" s="16">
        <v>0</v>
      </c>
      <c r="HU194" s="16">
        <v>0</v>
      </c>
      <c r="HV194" s="16">
        <v>0</v>
      </c>
      <c r="HW194" s="16">
        <v>0</v>
      </c>
      <c r="HX194" s="16">
        <v>0</v>
      </c>
      <c r="HY194" s="16">
        <v>0</v>
      </c>
      <c r="HZ194" s="16">
        <v>0</v>
      </c>
      <c r="IA194" s="16">
        <v>0</v>
      </c>
      <c r="IB194" s="16">
        <v>0</v>
      </c>
      <c r="IC194" s="16">
        <v>0</v>
      </c>
      <c r="ID194" s="16">
        <v>0</v>
      </c>
      <c r="IE194" s="16">
        <v>0</v>
      </c>
      <c r="IF194" s="16">
        <v>0</v>
      </c>
      <c r="IG194" s="16">
        <v>0</v>
      </c>
      <c r="IH194" s="16">
        <v>0</v>
      </c>
      <c r="II194" s="16">
        <v>0</v>
      </c>
      <c r="IJ194" s="16">
        <v>0</v>
      </c>
      <c r="IK194" s="16">
        <v>0</v>
      </c>
      <c r="IL194" s="16">
        <v>0</v>
      </c>
      <c r="IM194" s="16">
        <v>0</v>
      </c>
      <c r="IN194" s="16">
        <v>0</v>
      </c>
      <c r="IO194" s="16">
        <v>0</v>
      </c>
      <c r="IP194" s="16">
        <v>0</v>
      </c>
      <c r="IQ194" s="16">
        <v>0</v>
      </c>
      <c r="IR194" s="16">
        <v>0</v>
      </c>
      <c r="IS194" s="16">
        <v>0</v>
      </c>
      <c r="IT194" s="16">
        <v>0</v>
      </c>
      <c r="IU194" s="16">
        <v>0</v>
      </c>
      <c r="IV194" s="16">
        <v>0</v>
      </c>
      <c r="IW194" s="16">
        <v>0</v>
      </c>
      <c r="IX194" s="16">
        <v>0</v>
      </c>
      <c r="IY194" s="16">
        <v>0</v>
      </c>
      <c r="IZ194" s="16">
        <v>0</v>
      </c>
      <c r="JA194" s="16">
        <v>0</v>
      </c>
      <c r="JB194" s="16">
        <v>0</v>
      </c>
      <c r="JC194" s="16">
        <v>0</v>
      </c>
      <c r="JD194" s="16">
        <v>0</v>
      </c>
      <c r="JE194" s="16">
        <v>0</v>
      </c>
      <c r="JF194" s="16">
        <v>0</v>
      </c>
      <c r="JG194" s="16">
        <v>0</v>
      </c>
      <c r="JH194" s="16">
        <v>0</v>
      </c>
      <c r="JI194" s="16">
        <v>0</v>
      </c>
      <c r="JJ194" s="16">
        <v>0</v>
      </c>
      <c r="JK194" s="16">
        <v>0</v>
      </c>
      <c r="JL194" s="16">
        <v>0</v>
      </c>
      <c r="JM194" s="16">
        <v>0</v>
      </c>
      <c r="JN194" s="16">
        <v>0</v>
      </c>
      <c r="JO194" s="16">
        <v>0</v>
      </c>
      <c r="JP194" s="16">
        <v>0</v>
      </c>
      <c r="JQ194" s="16">
        <v>0</v>
      </c>
      <c r="JR194" s="16">
        <v>0</v>
      </c>
      <c r="JS194" s="16">
        <v>0</v>
      </c>
      <c r="JT194" s="16">
        <v>0</v>
      </c>
      <c r="JU194" s="16">
        <v>0</v>
      </c>
      <c r="JV194" s="16">
        <v>0</v>
      </c>
      <c r="JW194" s="16">
        <v>0</v>
      </c>
      <c r="JX194" s="16">
        <v>0</v>
      </c>
      <c r="JY194" s="16">
        <v>0</v>
      </c>
      <c r="JZ194" s="16">
        <v>0</v>
      </c>
      <c r="KA194" s="16">
        <v>0</v>
      </c>
      <c r="KB194" s="16">
        <v>0</v>
      </c>
      <c r="KC194" s="16">
        <v>0</v>
      </c>
      <c r="KD194" s="16">
        <v>0</v>
      </c>
      <c r="KE194" s="16">
        <v>0</v>
      </c>
      <c r="KF194" s="16">
        <v>0</v>
      </c>
      <c r="KG194" s="16">
        <v>0</v>
      </c>
      <c r="KH194" s="16">
        <v>0</v>
      </c>
      <c r="KI194" s="16">
        <v>0</v>
      </c>
      <c r="KJ194" s="16">
        <v>0</v>
      </c>
      <c r="KK194" s="16">
        <v>0</v>
      </c>
      <c r="KL194" s="16">
        <v>0</v>
      </c>
      <c r="KM194" s="16">
        <v>0</v>
      </c>
      <c r="KN194" s="16">
        <v>0</v>
      </c>
      <c r="KO194" s="16">
        <v>0</v>
      </c>
      <c r="KP194" s="16">
        <v>0</v>
      </c>
      <c r="KQ194" s="16">
        <v>0</v>
      </c>
      <c r="KR194" s="16">
        <v>0</v>
      </c>
      <c r="KS194" s="16">
        <v>0</v>
      </c>
      <c r="KT194" s="16">
        <v>0</v>
      </c>
      <c r="KU194" s="16">
        <v>0</v>
      </c>
      <c r="KV194" s="16">
        <v>0</v>
      </c>
      <c r="KW194" s="16">
        <v>0</v>
      </c>
      <c r="KX194" s="16">
        <v>0</v>
      </c>
      <c r="KY194" s="16">
        <v>0</v>
      </c>
      <c r="KZ194" s="16">
        <v>0</v>
      </c>
      <c r="LA194" s="16">
        <v>0</v>
      </c>
      <c r="LB194" s="16">
        <v>0</v>
      </c>
      <c r="LC194" s="16">
        <v>0</v>
      </c>
      <c r="LD194" s="16">
        <v>0</v>
      </c>
      <c r="LE194" s="16">
        <v>0</v>
      </c>
      <c r="LF194" s="16">
        <v>0</v>
      </c>
      <c r="LG194" s="16">
        <v>0</v>
      </c>
      <c r="LH194" s="16">
        <v>0</v>
      </c>
      <c r="LI194" s="16">
        <v>0</v>
      </c>
      <c r="LJ194" s="16">
        <v>0</v>
      </c>
      <c r="LK194" s="16">
        <v>0</v>
      </c>
      <c r="LL194" s="16">
        <v>0</v>
      </c>
      <c r="LM194" s="16">
        <v>0</v>
      </c>
      <c r="LN194" s="16">
        <v>0</v>
      </c>
      <c r="LO194" s="16">
        <v>0</v>
      </c>
      <c r="LP194" s="16">
        <v>0</v>
      </c>
      <c r="LQ194" s="16">
        <v>0</v>
      </c>
      <c r="LR194" s="16">
        <v>0</v>
      </c>
      <c r="LS194" s="16">
        <v>0</v>
      </c>
      <c r="LT194" s="16">
        <v>0</v>
      </c>
      <c r="LU194" s="16">
        <v>0</v>
      </c>
      <c r="LV194" s="16">
        <v>0</v>
      </c>
      <c r="LW194" s="16">
        <v>0</v>
      </c>
      <c r="LX194" s="16">
        <v>0</v>
      </c>
      <c r="LY194" s="16">
        <v>0</v>
      </c>
      <c r="LZ194" s="16">
        <v>0</v>
      </c>
      <c r="MA194" s="16">
        <v>0</v>
      </c>
      <c r="MB194" s="16">
        <v>0</v>
      </c>
      <c r="MC194" s="16">
        <v>0</v>
      </c>
      <c r="MD194" s="16">
        <v>0</v>
      </c>
      <c r="ME194" s="16">
        <v>44976</v>
      </c>
      <c r="MF194" s="16">
        <v>294388</v>
      </c>
      <c r="MG194" s="16">
        <v>0</v>
      </c>
      <c r="MH194" s="16">
        <v>0</v>
      </c>
      <c r="MI194" s="16">
        <v>0</v>
      </c>
      <c r="MJ194" s="16">
        <v>0</v>
      </c>
      <c r="MK194" s="16">
        <v>0</v>
      </c>
      <c r="ML194" s="16">
        <v>0</v>
      </c>
      <c r="MM194" s="16">
        <v>0</v>
      </c>
      <c r="MN194" s="16">
        <v>0</v>
      </c>
      <c r="MO194" s="16">
        <v>0</v>
      </c>
      <c r="MP194" s="16">
        <v>0</v>
      </c>
      <c r="MQ194" s="16">
        <v>0</v>
      </c>
      <c r="MR194" s="16">
        <v>0</v>
      </c>
      <c r="MS194" s="16">
        <v>0</v>
      </c>
      <c r="MT194" s="16">
        <v>0</v>
      </c>
      <c r="MU194" s="16">
        <v>0</v>
      </c>
      <c r="MV194" s="16">
        <v>0</v>
      </c>
      <c r="MW194" s="16">
        <v>0</v>
      </c>
      <c r="MX194" s="16">
        <v>0</v>
      </c>
      <c r="MY194" s="16">
        <v>0</v>
      </c>
      <c r="MZ194" s="16">
        <v>0</v>
      </c>
      <c r="NA194" s="16">
        <v>0</v>
      </c>
      <c r="NB194" s="16">
        <v>0</v>
      </c>
      <c r="NC194" s="16">
        <v>0</v>
      </c>
      <c r="ND194" s="16">
        <v>0</v>
      </c>
      <c r="NE194" s="16">
        <v>0</v>
      </c>
      <c r="NF194" s="16">
        <v>0</v>
      </c>
      <c r="NG194" s="16">
        <v>0</v>
      </c>
      <c r="NH194" s="16">
        <v>0</v>
      </c>
      <c r="NI194" s="16">
        <v>0</v>
      </c>
      <c r="NJ194" s="16">
        <v>0</v>
      </c>
      <c r="NK194" s="16">
        <v>0</v>
      </c>
      <c r="NL194" s="16">
        <v>0</v>
      </c>
      <c r="NM194" s="16">
        <v>0</v>
      </c>
      <c r="NN194" s="16">
        <v>0</v>
      </c>
      <c r="NO194" s="16">
        <v>0</v>
      </c>
      <c r="NP194" s="16">
        <v>0</v>
      </c>
      <c r="NQ194" s="16">
        <v>0</v>
      </c>
      <c r="NR194" s="17">
        <v>339677</v>
      </c>
    </row>
    <row r="195" spans="1:382" ht="13.5" customHeight="1" x14ac:dyDescent="0.2">
      <c r="A195" s="2" t="s">
        <v>397</v>
      </c>
      <c r="B195" s="16">
        <v>0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65</v>
      </c>
      <c r="R195" s="16">
        <v>18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13</v>
      </c>
      <c r="Y195" s="16">
        <v>59</v>
      </c>
      <c r="Z195" s="16">
        <v>392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25</v>
      </c>
      <c r="AH195" s="16">
        <v>40</v>
      </c>
      <c r="AI195" s="16">
        <v>14</v>
      </c>
      <c r="AJ195" s="16">
        <v>57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>
        <v>0</v>
      </c>
      <c r="AU195" s="16">
        <v>102</v>
      </c>
      <c r="AV195" s="16">
        <v>4</v>
      </c>
      <c r="AW195" s="16">
        <v>233</v>
      </c>
      <c r="AX195" s="16">
        <v>4</v>
      </c>
      <c r="AY195" s="16">
        <v>0</v>
      </c>
      <c r="AZ195" s="16">
        <v>0</v>
      </c>
      <c r="BA195" s="16">
        <v>352</v>
      </c>
      <c r="BB195" s="16">
        <v>115</v>
      </c>
      <c r="BC195" s="16">
        <v>4</v>
      </c>
      <c r="BD195" s="16">
        <v>0</v>
      </c>
      <c r="BE195" s="16">
        <v>0</v>
      </c>
      <c r="BF195" s="16">
        <v>0</v>
      </c>
      <c r="BG195" s="16">
        <v>0</v>
      </c>
      <c r="BH195" s="16">
        <v>7</v>
      </c>
      <c r="BI195" s="16">
        <v>0</v>
      </c>
      <c r="BJ195" s="16">
        <v>19</v>
      </c>
      <c r="BK195" s="16">
        <v>0</v>
      </c>
      <c r="BL195" s="16">
        <v>12</v>
      </c>
      <c r="BM195" s="16">
        <v>0</v>
      </c>
      <c r="BN195" s="16">
        <v>12</v>
      </c>
      <c r="BO195" s="16">
        <v>11</v>
      </c>
      <c r="BP195" s="16">
        <v>5</v>
      </c>
      <c r="BQ195" s="16">
        <v>12</v>
      </c>
      <c r="BR195" s="16">
        <v>0</v>
      </c>
      <c r="BS195" s="16">
        <v>19</v>
      </c>
      <c r="BT195" s="16">
        <v>0</v>
      </c>
      <c r="BU195" s="16">
        <v>0</v>
      </c>
      <c r="BV195" s="16">
        <v>0</v>
      </c>
      <c r="BW195" s="16">
        <v>0</v>
      </c>
      <c r="BX195" s="16">
        <v>1</v>
      </c>
      <c r="BY195" s="16">
        <v>0</v>
      </c>
      <c r="BZ195" s="16">
        <v>0</v>
      </c>
      <c r="CA195" s="16">
        <v>10</v>
      </c>
      <c r="CB195" s="16">
        <v>0</v>
      </c>
      <c r="CC195" s="16">
        <v>59</v>
      </c>
      <c r="CD195" s="16">
        <v>41</v>
      </c>
      <c r="CE195" s="16">
        <v>0</v>
      </c>
      <c r="CF195" s="16">
        <v>68</v>
      </c>
      <c r="CG195" s="16">
        <v>0</v>
      </c>
      <c r="CH195" s="16">
        <v>95</v>
      </c>
      <c r="CI195" s="16">
        <v>29</v>
      </c>
      <c r="CJ195" s="16">
        <v>57</v>
      </c>
      <c r="CK195" s="16">
        <v>257</v>
      </c>
      <c r="CL195" s="16">
        <v>62</v>
      </c>
      <c r="CM195" s="16">
        <v>23</v>
      </c>
      <c r="CN195" s="16">
        <v>8</v>
      </c>
      <c r="CO195" s="16">
        <v>58</v>
      </c>
      <c r="CP195" s="16">
        <v>218</v>
      </c>
      <c r="CQ195" s="16">
        <v>59067</v>
      </c>
      <c r="CR195" s="16">
        <v>0</v>
      </c>
      <c r="CS195" s="16">
        <v>2578</v>
      </c>
      <c r="CT195" s="16">
        <v>2664</v>
      </c>
      <c r="CU195" s="16">
        <v>750</v>
      </c>
      <c r="CV195" s="16">
        <v>3778</v>
      </c>
      <c r="CW195" s="16">
        <v>14831</v>
      </c>
      <c r="CX195" s="16">
        <v>25601</v>
      </c>
      <c r="CY195" s="16">
        <v>2599</v>
      </c>
      <c r="CZ195" s="16">
        <v>149</v>
      </c>
      <c r="DA195" s="16">
        <v>2</v>
      </c>
      <c r="DB195" s="16">
        <v>22</v>
      </c>
      <c r="DC195" s="16">
        <v>0</v>
      </c>
      <c r="DD195" s="16">
        <v>12</v>
      </c>
      <c r="DE195" s="16">
        <v>3</v>
      </c>
      <c r="DF195" s="16">
        <v>343</v>
      </c>
      <c r="DG195" s="16">
        <v>4</v>
      </c>
      <c r="DH195" s="16">
        <v>6</v>
      </c>
      <c r="DI195" s="16">
        <v>0</v>
      </c>
      <c r="DJ195" s="16">
        <v>500</v>
      </c>
      <c r="DK195" s="16">
        <v>167</v>
      </c>
      <c r="DL195" s="16">
        <v>74</v>
      </c>
      <c r="DM195" s="16">
        <v>320</v>
      </c>
      <c r="DN195" s="16">
        <v>83</v>
      </c>
      <c r="DO195" s="16">
        <v>49</v>
      </c>
      <c r="DP195" s="16">
        <v>187</v>
      </c>
      <c r="DQ195" s="16">
        <v>6</v>
      </c>
      <c r="DR195" s="16">
        <v>37</v>
      </c>
      <c r="DS195" s="16">
        <v>271</v>
      </c>
      <c r="DT195" s="16">
        <v>6</v>
      </c>
      <c r="DU195" s="16">
        <v>18</v>
      </c>
      <c r="DV195" s="16">
        <v>23</v>
      </c>
      <c r="DW195" s="16">
        <v>250</v>
      </c>
      <c r="DX195" s="16">
        <v>274</v>
      </c>
      <c r="DY195" s="16">
        <v>199</v>
      </c>
      <c r="DZ195" s="16">
        <v>405</v>
      </c>
      <c r="EA195" s="16">
        <v>370</v>
      </c>
      <c r="EB195" s="16">
        <v>7</v>
      </c>
      <c r="EC195" s="16">
        <v>45</v>
      </c>
      <c r="ED195" s="16">
        <v>7</v>
      </c>
      <c r="EE195" s="16">
        <v>0</v>
      </c>
      <c r="EF195" s="16">
        <v>8</v>
      </c>
      <c r="EG195" s="16">
        <v>463</v>
      </c>
      <c r="EH195" s="16">
        <v>53</v>
      </c>
      <c r="EI195" s="16">
        <v>11</v>
      </c>
      <c r="EJ195" s="16">
        <v>0</v>
      </c>
      <c r="EK195" s="16">
        <v>15</v>
      </c>
      <c r="EL195" s="16">
        <v>11</v>
      </c>
      <c r="EM195" s="16">
        <v>8</v>
      </c>
      <c r="EN195" s="16">
        <v>57</v>
      </c>
      <c r="EO195" s="16">
        <v>194</v>
      </c>
      <c r="EP195" s="16">
        <v>19</v>
      </c>
      <c r="EQ195" s="16">
        <v>29</v>
      </c>
      <c r="ER195" s="16">
        <v>6</v>
      </c>
      <c r="ES195" s="16">
        <v>4</v>
      </c>
      <c r="ET195" s="16">
        <v>22</v>
      </c>
      <c r="EU195" s="16">
        <v>0</v>
      </c>
      <c r="EV195" s="16">
        <v>0</v>
      </c>
      <c r="EW195" s="16">
        <v>6</v>
      </c>
      <c r="EX195" s="16">
        <v>1200</v>
      </c>
      <c r="EY195" s="16">
        <v>336</v>
      </c>
      <c r="EZ195" s="16">
        <v>12</v>
      </c>
      <c r="FA195" s="16">
        <v>42</v>
      </c>
      <c r="FB195" s="16">
        <v>83</v>
      </c>
      <c r="FC195" s="16">
        <v>0</v>
      </c>
      <c r="FD195" s="16">
        <v>575</v>
      </c>
      <c r="FE195" s="16">
        <v>49</v>
      </c>
      <c r="FF195" s="16">
        <v>40</v>
      </c>
      <c r="FG195" s="16">
        <v>15</v>
      </c>
      <c r="FH195" s="16">
        <v>0</v>
      </c>
      <c r="FI195" s="16">
        <v>0</v>
      </c>
      <c r="FJ195" s="16">
        <v>0</v>
      </c>
      <c r="FK195" s="16">
        <v>0</v>
      </c>
      <c r="FL195" s="16">
        <v>0</v>
      </c>
      <c r="FM195" s="16">
        <v>68</v>
      </c>
      <c r="FN195" s="16">
        <v>0</v>
      </c>
      <c r="FO195" s="16">
        <v>0</v>
      </c>
      <c r="FP195" s="16">
        <v>15</v>
      </c>
      <c r="FQ195" s="16">
        <v>185</v>
      </c>
      <c r="FR195" s="16">
        <v>164</v>
      </c>
      <c r="FS195" s="16">
        <v>32</v>
      </c>
      <c r="FT195" s="16">
        <v>63</v>
      </c>
      <c r="FU195" s="16">
        <v>42</v>
      </c>
      <c r="FV195" s="16">
        <v>537</v>
      </c>
      <c r="FW195" s="16">
        <v>27</v>
      </c>
      <c r="FX195" s="16">
        <v>480</v>
      </c>
      <c r="FY195" s="16">
        <v>14</v>
      </c>
      <c r="FZ195" s="16">
        <v>85</v>
      </c>
      <c r="GA195" s="16">
        <v>4</v>
      </c>
      <c r="GB195" s="16">
        <v>335</v>
      </c>
      <c r="GC195" s="16">
        <v>17</v>
      </c>
      <c r="GD195" s="16">
        <v>549</v>
      </c>
      <c r="GE195" s="16">
        <v>33</v>
      </c>
      <c r="GF195" s="16">
        <v>249</v>
      </c>
      <c r="GG195" s="16">
        <v>69</v>
      </c>
      <c r="GH195" s="16">
        <v>3569</v>
      </c>
      <c r="GI195" s="16">
        <v>98</v>
      </c>
      <c r="GJ195" s="16">
        <v>2130</v>
      </c>
      <c r="GK195" s="16">
        <v>2962</v>
      </c>
      <c r="GL195" s="16">
        <v>119464</v>
      </c>
      <c r="GM195" s="16">
        <v>439599</v>
      </c>
      <c r="GN195" s="16">
        <v>1790</v>
      </c>
      <c r="GO195" s="16">
        <v>569</v>
      </c>
      <c r="GP195" s="16">
        <v>73</v>
      </c>
      <c r="GQ195" s="16">
        <v>1402</v>
      </c>
      <c r="GR195" s="16">
        <v>181</v>
      </c>
      <c r="GS195" s="16">
        <v>1044</v>
      </c>
      <c r="GT195" s="16">
        <v>38592</v>
      </c>
      <c r="GU195" s="16">
        <v>1020</v>
      </c>
      <c r="GV195" s="16">
        <v>1084</v>
      </c>
      <c r="GW195" s="16">
        <v>2482</v>
      </c>
      <c r="GX195" s="16">
        <v>420</v>
      </c>
      <c r="GY195" s="16">
        <v>0</v>
      </c>
      <c r="GZ195" s="16">
        <v>1267</v>
      </c>
      <c r="HA195" s="16">
        <v>228</v>
      </c>
      <c r="HB195" s="16">
        <v>306</v>
      </c>
      <c r="HC195" s="16">
        <v>1274</v>
      </c>
      <c r="HD195" s="16">
        <v>1739</v>
      </c>
      <c r="HE195" s="16">
        <v>29</v>
      </c>
      <c r="HF195" s="16">
        <v>995</v>
      </c>
      <c r="HG195" s="16">
        <v>1456</v>
      </c>
      <c r="HH195" s="16">
        <v>618</v>
      </c>
      <c r="HI195" s="16">
        <v>1257</v>
      </c>
      <c r="HJ195" s="16">
        <v>51</v>
      </c>
      <c r="HK195" s="16">
        <v>71</v>
      </c>
      <c r="HL195" s="16">
        <v>2582</v>
      </c>
      <c r="HM195" s="16">
        <v>81</v>
      </c>
      <c r="HN195" s="16">
        <v>50</v>
      </c>
      <c r="HO195" s="16">
        <v>71</v>
      </c>
      <c r="HP195" s="16">
        <v>54</v>
      </c>
      <c r="HQ195" s="16">
        <v>719</v>
      </c>
      <c r="HR195" s="16">
        <v>627</v>
      </c>
      <c r="HS195" s="16">
        <v>219</v>
      </c>
      <c r="HT195" s="16">
        <v>126</v>
      </c>
      <c r="HU195" s="16">
        <v>473</v>
      </c>
      <c r="HV195" s="16">
        <v>89</v>
      </c>
      <c r="HW195" s="16">
        <v>185</v>
      </c>
      <c r="HX195" s="16">
        <v>149</v>
      </c>
      <c r="HY195" s="16">
        <v>269</v>
      </c>
      <c r="HZ195" s="16">
        <v>11264</v>
      </c>
      <c r="IA195" s="16">
        <v>4993</v>
      </c>
      <c r="IB195" s="16">
        <v>38</v>
      </c>
      <c r="IC195" s="16">
        <v>50</v>
      </c>
      <c r="ID195" s="16">
        <v>290</v>
      </c>
      <c r="IE195" s="16">
        <v>24</v>
      </c>
      <c r="IF195" s="16">
        <v>382</v>
      </c>
      <c r="IG195" s="16">
        <v>1016</v>
      </c>
      <c r="IH195" s="16">
        <v>27102</v>
      </c>
      <c r="II195" s="16">
        <v>2966</v>
      </c>
      <c r="IJ195" s="16">
        <v>312</v>
      </c>
      <c r="IK195" s="16">
        <v>1615</v>
      </c>
      <c r="IL195" s="16">
        <v>1850</v>
      </c>
      <c r="IM195" s="16">
        <v>18</v>
      </c>
      <c r="IN195" s="16">
        <v>22026</v>
      </c>
      <c r="IO195" s="16">
        <v>4758</v>
      </c>
      <c r="IP195" s="16">
        <v>511</v>
      </c>
      <c r="IQ195" s="16">
        <v>107</v>
      </c>
      <c r="IR195" s="16">
        <v>26</v>
      </c>
      <c r="IS195" s="16">
        <v>3530</v>
      </c>
      <c r="IT195" s="16">
        <v>101</v>
      </c>
      <c r="IU195" s="16">
        <v>2</v>
      </c>
      <c r="IV195" s="16">
        <v>23880</v>
      </c>
      <c r="IW195" s="16">
        <v>286</v>
      </c>
      <c r="IX195" s="16">
        <v>24</v>
      </c>
      <c r="IY195" s="16">
        <v>80</v>
      </c>
      <c r="IZ195" s="16">
        <v>138</v>
      </c>
      <c r="JA195" s="16">
        <v>7</v>
      </c>
      <c r="JB195" s="16">
        <v>113</v>
      </c>
      <c r="JC195" s="16">
        <v>5</v>
      </c>
      <c r="JD195" s="16">
        <v>0</v>
      </c>
      <c r="JE195" s="16">
        <v>682</v>
      </c>
      <c r="JF195" s="16">
        <v>40</v>
      </c>
      <c r="JG195" s="16">
        <v>22310</v>
      </c>
      <c r="JH195" s="16">
        <v>5189</v>
      </c>
      <c r="JI195" s="16">
        <v>177</v>
      </c>
      <c r="JJ195" s="16">
        <v>234</v>
      </c>
      <c r="JK195" s="16">
        <v>88</v>
      </c>
      <c r="JL195" s="16">
        <v>25</v>
      </c>
      <c r="JM195" s="16">
        <v>0</v>
      </c>
      <c r="JN195" s="16">
        <v>23</v>
      </c>
      <c r="JO195" s="16">
        <v>23</v>
      </c>
      <c r="JP195" s="16">
        <v>1095</v>
      </c>
      <c r="JQ195" s="16">
        <v>54</v>
      </c>
      <c r="JR195" s="16">
        <v>1107</v>
      </c>
      <c r="JS195" s="16">
        <v>255</v>
      </c>
      <c r="JT195" s="16">
        <v>0</v>
      </c>
      <c r="JU195" s="16">
        <v>1291</v>
      </c>
      <c r="JV195" s="16">
        <v>5055</v>
      </c>
      <c r="JW195" s="16">
        <v>439</v>
      </c>
      <c r="JX195" s="16">
        <v>869</v>
      </c>
      <c r="JY195" s="16">
        <v>487</v>
      </c>
      <c r="JZ195" s="16">
        <v>14</v>
      </c>
      <c r="KA195" s="16">
        <v>129</v>
      </c>
      <c r="KB195" s="16">
        <v>1</v>
      </c>
      <c r="KC195" s="16">
        <v>0</v>
      </c>
      <c r="KD195" s="16">
        <v>0</v>
      </c>
      <c r="KE195" s="16">
        <v>1</v>
      </c>
      <c r="KF195" s="16">
        <v>93</v>
      </c>
      <c r="KG195" s="16">
        <v>196</v>
      </c>
      <c r="KH195" s="16">
        <v>10</v>
      </c>
      <c r="KI195" s="16">
        <v>55</v>
      </c>
      <c r="KJ195" s="16">
        <v>4</v>
      </c>
      <c r="KK195" s="16">
        <v>21714</v>
      </c>
      <c r="KL195" s="16">
        <v>2</v>
      </c>
      <c r="KM195" s="16">
        <v>67</v>
      </c>
      <c r="KN195" s="16">
        <v>44</v>
      </c>
      <c r="KO195" s="16">
        <v>250</v>
      </c>
      <c r="KP195" s="16">
        <v>18</v>
      </c>
      <c r="KQ195" s="16">
        <v>27</v>
      </c>
      <c r="KR195" s="16">
        <v>1071</v>
      </c>
      <c r="KS195" s="16">
        <v>0</v>
      </c>
      <c r="KT195" s="16">
        <v>77</v>
      </c>
      <c r="KU195" s="16">
        <v>451</v>
      </c>
      <c r="KV195" s="16">
        <v>5448</v>
      </c>
      <c r="KW195" s="16">
        <v>3818</v>
      </c>
      <c r="KX195" s="16">
        <v>597</v>
      </c>
      <c r="KY195" s="16">
        <v>5331</v>
      </c>
      <c r="KZ195" s="16">
        <v>17434</v>
      </c>
      <c r="LA195" s="16">
        <v>4599</v>
      </c>
      <c r="LB195" s="16">
        <v>592</v>
      </c>
      <c r="LC195" s="16">
        <v>4681</v>
      </c>
      <c r="LD195" s="16">
        <v>1904</v>
      </c>
      <c r="LE195" s="16">
        <v>1050</v>
      </c>
      <c r="LF195" s="16">
        <v>5076</v>
      </c>
      <c r="LG195" s="16">
        <v>2051</v>
      </c>
      <c r="LH195" s="16">
        <v>16442</v>
      </c>
      <c r="LI195" s="16">
        <v>3</v>
      </c>
      <c r="LJ195" s="16">
        <v>6441</v>
      </c>
      <c r="LK195" s="16">
        <v>265680</v>
      </c>
      <c r="LL195" s="16">
        <v>47710</v>
      </c>
      <c r="LM195" s="16">
        <v>1550727</v>
      </c>
      <c r="LN195" s="16">
        <v>275890</v>
      </c>
      <c r="LO195" s="16">
        <v>176</v>
      </c>
      <c r="LP195" s="16">
        <v>313</v>
      </c>
      <c r="LQ195" s="16">
        <v>390</v>
      </c>
      <c r="LR195" s="16">
        <v>5871</v>
      </c>
      <c r="LS195" s="16">
        <v>3746</v>
      </c>
      <c r="LT195" s="16">
        <v>2338</v>
      </c>
      <c r="LU195" s="16">
        <v>1190</v>
      </c>
      <c r="LV195" s="16">
        <v>29</v>
      </c>
      <c r="LW195" s="16">
        <v>2378</v>
      </c>
      <c r="LX195" s="16">
        <v>5488</v>
      </c>
      <c r="LY195" s="16">
        <v>0</v>
      </c>
      <c r="LZ195" s="16">
        <v>2109</v>
      </c>
      <c r="MA195" s="16">
        <v>6969</v>
      </c>
      <c r="MB195" s="16">
        <v>15375</v>
      </c>
      <c r="MC195" s="16">
        <v>32872</v>
      </c>
      <c r="MD195" s="16">
        <v>17445</v>
      </c>
      <c r="ME195" s="16">
        <v>957</v>
      </c>
      <c r="MF195" s="16">
        <v>81650</v>
      </c>
      <c r="MG195" s="16">
        <v>4338</v>
      </c>
      <c r="MH195" s="16">
        <v>456744</v>
      </c>
      <c r="MI195" s="16">
        <v>204</v>
      </c>
      <c r="MJ195" s="16">
        <v>3263</v>
      </c>
      <c r="MK195" s="16">
        <v>10276</v>
      </c>
      <c r="ML195" s="16">
        <v>2659</v>
      </c>
      <c r="MM195" s="16">
        <v>40111</v>
      </c>
      <c r="MN195" s="16">
        <v>9824</v>
      </c>
      <c r="MO195" s="16">
        <v>3831</v>
      </c>
      <c r="MP195" s="16">
        <v>17872</v>
      </c>
      <c r="MQ195" s="16">
        <v>20519</v>
      </c>
      <c r="MR195" s="16">
        <v>41661</v>
      </c>
      <c r="MS195" s="16">
        <v>17414</v>
      </c>
      <c r="MT195" s="16">
        <v>18156</v>
      </c>
      <c r="MU195" s="16">
        <v>3498</v>
      </c>
      <c r="MV195" s="16">
        <v>39460</v>
      </c>
      <c r="MW195" s="16">
        <v>94113</v>
      </c>
      <c r="MX195" s="16">
        <v>721</v>
      </c>
      <c r="MY195" s="16">
        <v>1809</v>
      </c>
      <c r="MZ195" s="16">
        <v>25420</v>
      </c>
      <c r="NA195" s="16">
        <v>26430</v>
      </c>
      <c r="NB195" s="16">
        <v>51342</v>
      </c>
      <c r="NC195" s="16">
        <v>5439</v>
      </c>
      <c r="ND195" s="16">
        <v>1154</v>
      </c>
      <c r="NE195" s="16">
        <v>711</v>
      </c>
      <c r="NF195" s="16">
        <v>7338</v>
      </c>
      <c r="NG195" s="16">
        <v>1223</v>
      </c>
      <c r="NH195" s="16">
        <v>371</v>
      </c>
      <c r="NI195" s="16">
        <v>16166</v>
      </c>
      <c r="NJ195" s="16">
        <v>13662</v>
      </c>
      <c r="NK195" s="16">
        <v>475</v>
      </c>
      <c r="NL195" s="16">
        <v>81728</v>
      </c>
      <c r="NM195" s="16">
        <v>1007</v>
      </c>
      <c r="NN195" s="16">
        <v>245</v>
      </c>
      <c r="NO195" s="16">
        <v>0</v>
      </c>
      <c r="NP195" s="16">
        <v>1240</v>
      </c>
      <c r="NQ195" s="16">
        <v>652</v>
      </c>
      <c r="NR195" s="17">
        <v>4343004</v>
      </c>
    </row>
    <row r="196" spans="1:382" ht="13.5" customHeight="1" x14ac:dyDescent="0.2">
      <c r="A196" s="2" t="s">
        <v>399</v>
      </c>
      <c r="B196" s="16">
        <v>2444</v>
      </c>
      <c r="C196" s="16">
        <v>521</v>
      </c>
      <c r="D196" s="16">
        <v>624</v>
      </c>
      <c r="E196" s="16">
        <v>437</v>
      </c>
      <c r="F196" s="16">
        <v>4303</v>
      </c>
      <c r="G196" s="16">
        <v>936</v>
      </c>
      <c r="H196" s="16">
        <v>28</v>
      </c>
      <c r="I196" s="16">
        <v>1472</v>
      </c>
      <c r="J196" s="16">
        <v>62</v>
      </c>
      <c r="K196" s="16">
        <v>0</v>
      </c>
      <c r="L196" s="16">
        <v>85</v>
      </c>
      <c r="M196" s="16">
        <v>1069</v>
      </c>
      <c r="N196" s="16">
        <v>0</v>
      </c>
      <c r="O196" s="16">
        <v>11</v>
      </c>
      <c r="P196" s="16">
        <v>834</v>
      </c>
      <c r="Q196" s="16">
        <v>2105</v>
      </c>
      <c r="R196" s="16">
        <v>909</v>
      </c>
      <c r="S196" s="16">
        <v>484</v>
      </c>
      <c r="T196" s="16">
        <v>49</v>
      </c>
      <c r="U196" s="16">
        <v>12</v>
      </c>
      <c r="V196" s="16">
        <v>208</v>
      </c>
      <c r="W196" s="16">
        <v>99</v>
      </c>
      <c r="X196" s="16">
        <v>86</v>
      </c>
      <c r="Y196" s="16">
        <v>337</v>
      </c>
      <c r="Z196" s="16">
        <v>499</v>
      </c>
      <c r="AA196" s="16">
        <v>3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590</v>
      </c>
      <c r="AH196" s="16">
        <v>634</v>
      </c>
      <c r="AI196" s="16">
        <v>31</v>
      </c>
      <c r="AJ196" s="16">
        <v>113</v>
      </c>
      <c r="AK196" s="16">
        <v>265</v>
      </c>
      <c r="AL196" s="16">
        <v>1</v>
      </c>
      <c r="AM196" s="16">
        <v>223</v>
      </c>
      <c r="AN196" s="16">
        <v>22</v>
      </c>
      <c r="AO196" s="16">
        <v>11</v>
      </c>
      <c r="AP196" s="16">
        <v>6</v>
      </c>
      <c r="AQ196" s="16">
        <v>359</v>
      </c>
      <c r="AR196" s="16">
        <v>0</v>
      </c>
      <c r="AS196" s="16">
        <v>353</v>
      </c>
      <c r="AT196" s="16">
        <v>46</v>
      </c>
      <c r="AU196" s="16">
        <v>152</v>
      </c>
      <c r="AV196" s="16">
        <v>10</v>
      </c>
      <c r="AW196" s="16">
        <v>377</v>
      </c>
      <c r="AX196" s="16">
        <v>9</v>
      </c>
      <c r="AY196" s="16">
        <v>91</v>
      </c>
      <c r="AZ196" s="16">
        <v>91</v>
      </c>
      <c r="BA196" s="16">
        <v>390</v>
      </c>
      <c r="BB196" s="16">
        <v>160</v>
      </c>
      <c r="BC196" s="16">
        <v>150</v>
      </c>
      <c r="BD196" s="16">
        <v>30</v>
      </c>
      <c r="BE196" s="16">
        <v>106</v>
      </c>
      <c r="BF196" s="16">
        <v>311</v>
      </c>
      <c r="BG196" s="16">
        <v>16</v>
      </c>
      <c r="BH196" s="16">
        <v>22</v>
      </c>
      <c r="BI196" s="16">
        <v>583</v>
      </c>
      <c r="BJ196" s="16">
        <v>89</v>
      </c>
      <c r="BK196" s="16">
        <v>38</v>
      </c>
      <c r="BL196" s="16">
        <v>226</v>
      </c>
      <c r="BM196" s="16">
        <v>39</v>
      </c>
      <c r="BN196" s="16">
        <v>141</v>
      </c>
      <c r="BO196" s="16">
        <v>137</v>
      </c>
      <c r="BP196" s="16">
        <v>38</v>
      </c>
      <c r="BQ196" s="16">
        <v>64</v>
      </c>
      <c r="BR196" s="16">
        <v>19</v>
      </c>
      <c r="BS196" s="16">
        <v>104</v>
      </c>
      <c r="BT196" s="16">
        <v>6</v>
      </c>
      <c r="BU196" s="16">
        <v>4</v>
      </c>
      <c r="BV196" s="16">
        <v>2</v>
      </c>
      <c r="BW196" s="16">
        <v>169</v>
      </c>
      <c r="BX196" s="16">
        <v>13</v>
      </c>
      <c r="BY196" s="16">
        <v>0</v>
      </c>
      <c r="BZ196" s="16">
        <v>18</v>
      </c>
      <c r="CA196" s="16">
        <v>48</v>
      </c>
      <c r="CB196" s="16">
        <v>20</v>
      </c>
      <c r="CC196" s="16">
        <v>383</v>
      </c>
      <c r="CD196" s="16">
        <v>122</v>
      </c>
      <c r="CE196" s="16">
        <v>77</v>
      </c>
      <c r="CF196" s="16">
        <v>187</v>
      </c>
      <c r="CG196" s="16">
        <v>32</v>
      </c>
      <c r="CH196" s="16">
        <v>150</v>
      </c>
      <c r="CI196" s="16">
        <v>143</v>
      </c>
      <c r="CJ196" s="16">
        <v>331</v>
      </c>
      <c r="CK196" s="16">
        <v>990</v>
      </c>
      <c r="CL196" s="16">
        <v>444</v>
      </c>
      <c r="CM196" s="16">
        <v>143</v>
      </c>
      <c r="CN196" s="16">
        <v>65</v>
      </c>
      <c r="CO196" s="16">
        <v>561</v>
      </c>
      <c r="CP196" s="16">
        <v>678</v>
      </c>
      <c r="CQ196" s="16">
        <v>5510</v>
      </c>
      <c r="CR196" s="16">
        <v>54</v>
      </c>
      <c r="CS196" s="16">
        <v>670</v>
      </c>
      <c r="CT196" s="16">
        <v>1153</v>
      </c>
      <c r="CU196" s="16">
        <v>643</v>
      </c>
      <c r="CV196" s="16">
        <v>490</v>
      </c>
      <c r="CW196" s="16">
        <v>3723</v>
      </c>
      <c r="CX196" s="16">
        <v>2723</v>
      </c>
      <c r="CY196" s="16">
        <v>378</v>
      </c>
      <c r="CZ196" s="16">
        <v>853</v>
      </c>
      <c r="DA196" s="16">
        <v>54</v>
      </c>
      <c r="DB196" s="16">
        <v>387</v>
      </c>
      <c r="DC196" s="16">
        <v>295</v>
      </c>
      <c r="DD196" s="16">
        <v>954</v>
      </c>
      <c r="DE196" s="16">
        <v>86</v>
      </c>
      <c r="DF196" s="16">
        <v>1000</v>
      </c>
      <c r="DG196" s="16">
        <v>307</v>
      </c>
      <c r="DH196" s="16">
        <v>477</v>
      </c>
      <c r="DI196" s="16">
        <v>57</v>
      </c>
      <c r="DJ196" s="16">
        <v>4784</v>
      </c>
      <c r="DK196" s="16">
        <v>481</v>
      </c>
      <c r="DL196" s="16">
        <v>420</v>
      </c>
      <c r="DM196" s="16">
        <v>3068</v>
      </c>
      <c r="DN196" s="16">
        <v>259</v>
      </c>
      <c r="DO196" s="16">
        <v>191</v>
      </c>
      <c r="DP196" s="16">
        <v>627</v>
      </c>
      <c r="DQ196" s="16">
        <v>55</v>
      </c>
      <c r="DR196" s="16">
        <v>219</v>
      </c>
      <c r="DS196" s="16">
        <v>2318</v>
      </c>
      <c r="DT196" s="16">
        <v>170</v>
      </c>
      <c r="DU196" s="16">
        <v>100</v>
      </c>
      <c r="DV196" s="16">
        <v>320</v>
      </c>
      <c r="DW196" s="16">
        <v>1643</v>
      </c>
      <c r="DX196" s="16">
        <v>635</v>
      </c>
      <c r="DY196" s="16">
        <v>856</v>
      </c>
      <c r="DZ196" s="16">
        <v>2164</v>
      </c>
      <c r="EA196" s="16">
        <v>1537</v>
      </c>
      <c r="EB196" s="16">
        <v>61</v>
      </c>
      <c r="EC196" s="16">
        <v>434</v>
      </c>
      <c r="ED196" s="16">
        <v>38</v>
      </c>
      <c r="EE196" s="16">
        <v>16</v>
      </c>
      <c r="EF196" s="16">
        <v>47</v>
      </c>
      <c r="EG196" s="16">
        <v>785</v>
      </c>
      <c r="EH196" s="16">
        <v>131</v>
      </c>
      <c r="EI196" s="16">
        <v>33</v>
      </c>
      <c r="EJ196" s="16">
        <v>22</v>
      </c>
      <c r="EK196" s="16">
        <v>52</v>
      </c>
      <c r="EL196" s="16">
        <v>29</v>
      </c>
      <c r="EM196" s="16">
        <v>124</v>
      </c>
      <c r="EN196" s="16">
        <v>403</v>
      </c>
      <c r="EO196" s="16">
        <v>426</v>
      </c>
      <c r="EP196" s="16">
        <v>42</v>
      </c>
      <c r="EQ196" s="16">
        <v>58</v>
      </c>
      <c r="ER196" s="16">
        <v>25</v>
      </c>
      <c r="ES196" s="16">
        <v>31</v>
      </c>
      <c r="ET196" s="16">
        <v>593</v>
      </c>
      <c r="EU196" s="16">
        <v>55</v>
      </c>
      <c r="EV196" s="16">
        <v>0</v>
      </c>
      <c r="EW196" s="16">
        <v>20</v>
      </c>
      <c r="EX196" s="16">
        <v>3687</v>
      </c>
      <c r="EY196" s="16">
        <v>737</v>
      </c>
      <c r="EZ196" s="16">
        <v>452</v>
      </c>
      <c r="FA196" s="16">
        <v>285</v>
      </c>
      <c r="FB196" s="16">
        <v>839</v>
      </c>
      <c r="FC196" s="16">
        <v>12</v>
      </c>
      <c r="FD196" s="16">
        <v>966</v>
      </c>
      <c r="FE196" s="16">
        <v>906</v>
      </c>
      <c r="FF196" s="16">
        <v>347</v>
      </c>
      <c r="FG196" s="16">
        <v>55</v>
      </c>
      <c r="FH196" s="16">
        <v>3</v>
      </c>
      <c r="FI196" s="16">
        <v>39</v>
      </c>
      <c r="FJ196" s="16">
        <v>9</v>
      </c>
      <c r="FK196" s="16">
        <v>212</v>
      </c>
      <c r="FL196" s="16">
        <v>3</v>
      </c>
      <c r="FM196" s="16">
        <v>232</v>
      </c>
      <c r="FN196" s="16">
        <v>245</v>
      </c>
      <c r="FO196" s="16">
        <v>28</v>
      </c>
      <c r="FP196" s="16">
        <v>338</v>
      </c>
      <c r="FQ196" s="16">
        <v>618</v>
      </c>
      <c r="FR196" s="16">
        <v>746</v>
      </c>
      <c r="FS196" s="16">
        <v>292</v>
      </c>
      <c r="FT196" s="16">
        <v>363</v>
      </c>
      <c r="FU196" s="16">
        <v>479</v>
      </c>
      <c r="FV196" s="16">
        <v>1404</v>
      </c>
      <c r="FW196" s="16">
        <v>816</v>
      </c>
      <c r="FX196" s="16">
        <v>2404</v>
      </c>
      <c r="FY196" s="16">
        <v>125</v>
      </c>
      <c r="FZ196" s="16">
        <v>830</v>
      </c>
      <c r="GA196" s="16">
        <v>112</v>
      </c>
      <c r="GB196" s="16">
        <v>2614</v>
      </c>
      <c r="GC196" s="16">
        <v>239</v>
      </c>
      <c r="GD196" s="16">
        <v>2660</v>
      </c>
      <c r="GE196" s="16">
        <v>188</v>
      </c>
      <c r="GF196" s="16">
        <v>5901</v>
      </c>
      <c r="GG196" s="16">
        <v>693</v>
      </c>
      <c r="GH196" s="16">
        <v>2736</v>
      </c>
      <c r="GI196" s="16">
        <v>654</v>
      </c>
      <c r="GJ196" s="16">
        <v>1311</v>
      </c>
      <c r="GK196" s="16">
        <v>2685</v>
      </c>
      <c r="GL196" s="16">
        <v>14944</v>
      </c>
      <c r="GM196" s="16">
        <v>51244</v>
      </c>
      <c r="GN196" s="16">
        <v>579953</v>
      </c>
      <c r="GO196" s="16">
        <v>848</v>
      </c>
      <c r="GP196" s="16">
        <v>63</v>
      </c>
      <c r="GQ196" s="16">
        <v>407</v>
      </c>
      <c r="GR196" s="16">
        <v>127</v>
      </c>
      <c r="GS196" s="16">
        <v>167</v>
      </c>
      <c r="GT196" s="16">
        <v>257</v>
      </c>
      <c r="GU196" s="16">
        <v>18935</v>
      </c>
      <c r="GV196" s="16">
        <v>26001</v>
      </c>
      <c r="GW196" s="16">
        <v>10305</v>
      </c>
      <c r="GX196" s="16">
        <v>447</v>
      </c>
      <c r="GY196" s="16">
        <v>2</v>
      </c>
      <c r="GZ196" s="16">
        <v>1822</v>
      </c>
      <c r="HA196" s="16">
        <v>375</v>
      </c>
      <c r="HB196" s="16">
        <v>661</v>
      </c>
      <c r="HC196" s="16">
        <v>1887</v>
      </c>
      <c r="HD196" s="16">
        <v>2337</v>
      </c>
      <c r="HE196" s="16">
        <v>477</v>
      </c>
      <c r="HF196" s="16">
        <v>1711</v>
      </c>
      <c r="HG196" s="16">
        <v>135</v>
      </c>
      <c r="HH196" s="16">
        <v>218</v>
      </c>
      <c r="HI196" s="16">
        <v>907</v>
      </c>
      <c r="HJ196" s="16">
        <v>88</v>
      </c>
      <c r="HK196" s="16">
        <v>193</v>
      </c>
      <c r="HL196" s="16">
        <v>4264</v>
      </c>
      <c r="HM196" s="16">
        <v>237</v>
      </c>
      <c r="HN196" s="16">
        <v>601</v>
      </c>
      <c r="HO196" s="16">
        <v>335</v>
      </c>
      <c r="HP196" s="16">
        <v>650</v>
      </c>
      <c r="HQ196" s="16">
        <v>557</v>
      </c>
      <c r="HR196" s="16">
        <v>1245</v>
      </c>
      <c r="HS196" s="16">
        <v>233</v>
      </c>
      <c r="HT196" s="16">
        <v>2696</v>
      </c>
      <c r="HU196" s="16">
        <v>476</v>
      </c>
      <c r="HV196" s="16">
        <v>111</v>
      </c>
      <c r="HW196" s="16">
        <v>413</v>
      </c>
      <c r="HX196" s="16">
        <v>416</v>
      </c>
      <c r="HY196" s="16">
        <v>821</v>
      </c>
      <c r="HZ196" s="16">
        <v>10886</v>
      </c>
      <c r="IA196" s="16">
        <v>7721</v>
      </c>
      <c r="IB196" s="16">
        <v>18</v>
      </c>
      <c r="IC196" s="16">
        <v>71</v>
      </c>
      <c r="ID196" s="16">
        <v>154</v>
      </c>
      <c r="IE196" s="16">
        <v>7</v>
      </c>
      <c r="IF196" s="16">
        <v>200</v>
      </c>
      <c r="IG196" s="16">
        <v>875</v>
      </c>
      <c r="IH196" s="16">
        <v>2032</v>
      </c>
      <c r="II196" s="16">
        <v>60</v>
      </c>
      <c r="IJ196" s="16">
        <v>197</v>
      </c>
      <c r="IK196" s="16">
        <v>234</v>
      </c>
      <c r="IL196" s="16">
        <v>209</v>
      </c>
      <c r="IM196" s="16">
        <v>19</v>
      </c>
      <c r="IN196" s="16">
        <v>832</v>
      </c>
      <c r="IO196" s="16">
        <v>1322</v>
      </c>
      <c r="IP196" s="16">
        <v>1702</v>
      </c>
      <c r="IQ196" s="16">
        <v>174</v>
      </c>
      <c r="IR196" s="16">
        <v>46</v>
      </c>
      <c r="IS196" s="16">
        <v>260</v>
      </c>
      <c r="IT196" s="16">
        <v>68</v>
      </c>
      <c r="IU196" s="16">
        <v>7</v>
      </c>
      <c r="IV196" s="16">
        <v>1013</v>
      </c>
      <c r="IW196" s="16">
        <v>544</v>
      </c>
      <c r="IX196" s="16">
        <v>94</v>
      </c>
      <c r="IY196" s="16">
        <v>99</v>
      </c>
      <c r="IZ196" s="16">
        <v>401</v>
      </c>
      <c r="JA196" s="16">
        <v>79</v>
      </c>
      <c r="JB196" s="16">
        <v>42</v>
      </c>
      <c r="JC196" s="16">
        <v>36</v>
      </c>
      <c r="JD196" s="16">
        <v>20</v>
      </c>
      <c r="JE196" s="16">
        <v>738</v>
      </c>
      <c r="JF196" s="16">
        <v>116</v>
      </c>
      <c r="JG196" s="16">
        <v>42287</v>
      </c>
      <c r="JH196" s="16">
        <v>7417</v>
      </c>
      <c r="JI196" s="16">
        <v>1812</v>
      </c>
      <c r="JJ196" s="16">
        <v>2744</v>
      </c>
      <c r="JK196" s="16">
        <v>563</v>
      </c>
      <c r="JL196" s="16">
        <v>117</v>
      </c>
      <c r="JM196" s="16">
        <v>80</v>
      </c>
      <c r="JN196" s="16">
        <v>1501</v>
      </c>
      <c r="JO196" s="16">
        <v>1721</v>
      </c>
      <c r="JP196" s="16">
        <v>11721</v>
      </c>
      <c r="JQ196" s="16">
        <v>263</v>
      </c>
      <c r="JR196" s="16">
        <v>1484</v>
      </c>
      <c r="JS196" s="16">
        <v>544</v>
      </c>
      <c r="JT196" s="16">
        <v>0</v>
      </c>
      <c r="JU196" s="16">
        <v>3573</v>
      </c>
      <c r="JV196" s="16">
        <v>4959</v>
      </c>
      <c r="JW196" s="16">
        <v>1812</v>
      </c>
      <c r="JX196" s="16">
        <v>3435</v>
      </c>
      <c r="JY196" s="16">
        <v>1089</v>
      </c>
      <c r="JZ196" s="16">
        <v>167</v>
      </c>
      <c r="KA196" s="16">
        <v>383</v>
      </c>
      <c r="KB196" s="16">
        <v>7</v>
      </c>
      <c r="KC196" s="16">
        <v>18</v>
      </c>
      <c r="KD196" s="16">
        <v>61</v>
      </c>
      <c r="KE196" s="16">
        <v>12</v>
      </c>
      <c r="KF196" s="16">
        <v>246</v>
      </c>
      <c r="KG196" s="16">
        <v>296</v>
      </c>
      <c r="KH196" s="16">
        <v>60</v>
      </c>
      <c r="KI196" s="16">
        <v>292</v>
      </c>
      <c r="KJ196" s="16">
        <v>40</v>
      </c>
      <c r="KK196" s="16">
        <v>65646</v>
      </c>
      <c r="KL196" s="16">
        <v>62</v>
      </c>
      <c r="KM196" s="16">
        <v>420</v>
      </c>
      <c r="KN196" s="16">
        <v>1568</v>
      </c>
      <c r="KO196" s="16">
        <v>652</v>
      </c>
      <c r="KP196" s="16">
        <v>261</v>
      </c>
      <c r="KQ196" s="16">
        <v>797</v>
      </c>
      <c r="KR196" s="16">
        <v>2428</v>
      </c>
      <c r="KS196" s="16">
        <v>168</v>
      </c>
      <c r="KT196" s="16">
        <v>636</v>
      </c>
      <c r="KU196" s="16">
        <v>1126</v>
      </c>
      <c r="KV196" s="16">
        <v>11031</v>
      </c>
      <c r="KW196" s="16">
        <v>4159</v>
      </c>
      <c r="KX196" s="16">
        <v>2280</v>
      </c>
      <c r="KY196" s="16">
        <v>9288</v>
      </c>
      <c r="KZ196" s="16">
        <v>17052</v>
      </c>
      <c r="LA196" s="16">
        <v>3730</v>
      </c>
      <c r="LB196" s="16">
        <v>1112</v>
      </c>
      <c r="LC196" s="16">
        <v>5593</v>
      </c>
      <c r="LD196" s="16">
        <v>2648</v>
      </c>
      <c r="LE196" s="16">
        <v>6599</v>
      </c>
      <c r="LF196" s="16">
        <v>13690</v>
      </c>
      <c r="LG196" s="16">
        <v>15407</v>
      </c>
      <c r="LH196" s="16">
        <v>52013</v>
      </c>
      <c r="LI196" s="16">
        <v>403</v>
      </c>
      <c r="LJ196" s="16">
        <v>15111</v>
      </c>
      <c r="LK196" s="16">
        <v>90539</v>
      </c>
      <c r="LL196" s="16">
        <v>198213</v>
      </c>
      <c r="LM196" s="16">
        <v>709538</v>
      </c>
      <c r="LN196" s="16">
        <v>1754173</v>
      </c>
      <c r="LO196" s="16">
        <v>1739</v>
      </c>
      <c r="LP196" s="16">
        <v>3125</v>
      </c>
      <c r="LQ196" s="16">
        <v>424</v>
      </c>
      <c r="LR196" s="16">
        <v>20248</v>
      </c>
      <c r="LS196" s="16">
        <v>3689</v>
      </c>
      <c r="LT196" s="16">
        <v>48505</v>
      </c>
      <c r="LU196" s="16">
        <v>14584</v>
      </c>
      <c r="LV196" s="16">
        <v>124</v>
      </c>
      <c r="LW196" s="16">
        <v>26671</v>
      </c>
      <c r="LX196" s="16">
        <v>25286</v>
      </c>
      <c r="LY196" s="16">
        <v>0</v>
      </c>
      <c r="LZ196" s="16">
        <v>7746</v>
      </c>
      <c r="MA196" s="16">
        <v>13427</v>
      </c>
      <c r="MB196" s="16">
        <v>62644</v>
      </c>
      <c r="MC196" s="16">
        <v>4252</v>
      </c>
      <c r="MD196" s="16">
        <v>24535</v>
      </c>
      <c r="ME196" s="16">
        <v>1494</v>
      </c>
      <c r="MF196" s="16">
        <v>140658</v>
      </c>
      <c r="MG196" s="16">
        <v>8410</v>
      </c>
      <c r="MH196" s="16">
        <v>152721</v>
      </c>
      <c r="MI196" s="16">
        <v>239</v>
      </c>
      <c r="MJ196" s="16">
        <v>12262</v>
      </c>
      <c r="MK196" s="16">
        <v>18872</v>
      </c>
      <c r="ML196" s="16">
        <v>9319</v>
      </c>
      <c r="MM196" s="16">
        <v>41811</v>
      </c>
      <c r="MN196" s="16">
        <v>16687</v>
      </c>
      <c r="MO196" s="16">
        <v>6591</v>
      </c>
      <c r="MP196" s="16">
        <v>12213</v>
      </c>
      <c r="MQ196" s="16">
        <v>52913</v>
      </c>
      <c r="MR196" s="16">
        <v>80310</v>
      </c>
      <c r="MS196" s="16">
        <v>34188</v>
      </c>
      <c r="MT196" s="16">
        <v>4176</v>
      </c>
      <c r="MU196" s="16">
        <v>125543</v>
      </c>
      <c r="MV196" s="16">
        <v>39816</v>
      </c>
      <c r="MW196" s="16">
        <v>17455</v>
      </c>
      <c r="MX196" s="16">
        <v>3886</v>
      </c>
      <c r="MY196" s="16">
        <v>3648</v>
      </c>
      <c r="MZ196" s="16">
        <v>13415</v>
      </c>
      <c r="NA196" s="16">
        <v>7815</v>
      </c>
      <c r="NB196" s="16">
        <v>24158</v>
      </c>
      <c r="NC196" s="16">
        <v>12460</v>
      </c>
      <c r="ND196" s="16">
        <v>1750</v>
      </c>
      <c r="NE196" s="16">
        <v>1201</v>
      </c>
      <c r="NF196" s="16">
        <v>16422</v>
      </c>
      <c r="NG196" s="16">
        <v>2788</v>
      </c>
      <c r="NH196" s="16">
        <v>1680</v>
      </c>
      <c r="NI196" s="16">
        <v>24110</v>
      </c>
      <c r="NJ196" s="16">
        <v>44759</v>
      </c>
      <c r="NK196" s="16">
        <v>893</v>
      </c>
      <c r="NL196" s="16">
        <v>159233</v>
      </c>
      <c r="NM196" s="16">
        <v>1823</v>
      </c>
      <c r="NN196" s="16">
        <v>850</v>
      </c>
      <c r="NO196" s="16">
        <v>0</v>
      </c>
      <c r="NP196" s="16">
        <v>2257</v>
      </c>
      <c r="NQ196" s="16">
        <v>2811</v>
      </c>
      <c r="NR196" s="17">
        <v>5300126</v>
      </c>
    </row>
    <row r="197" spans="1:382" ht="13.5" customHeight="1" x14ac:dyDescent="0.2">
      <c r="A197" s="2" t="s">
        <v>401</v>
      </c>
      <c r="B197" s="16">
        <v>0</v>
      </c>
      <c r="C197" s="16">
        <v>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2</v>
      </c>
      <c r="Y197" s="16">
        <v>0</v>
      </c>
      <c r="Z197" s="16">
        <v>62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6">
        <v>2</v>
      </c>
      <c r="AN197" s="16">
        <v>0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>
        <v>0</v>
      </c>
      <c r="AU197" s="16">
        <v>179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1</v>
      </c>
      <c r="BD197" s="16">
        <v>0</v>
      </c>
      <c r="BE197" s="16">
        <v>0</v>
      </c>
      <c r="BF197" s="16">
        <v>0</v>
      </c>
      <c r="BG197" s="16">
        <v>0</v>
      </c>
      <c r="BH197" s="16">
        <v>0</v>
      </c>
      <c r="BI197" s="16">
        <v>0</v>
      </c>
      <c r="BJ197" s="16">
        <v>0</v>
      </c>
      <c r="BK197" s="16">
        <v>0</v>
      </c>
      <c r="BL197" s="16">
        <v>0</v>
      </c>
      <c r="BM197" s="16">
        <v>0</v>
      </c>
      <c r="BN197" s="16">
        <v>0</v>
      </c>
      <c r="BO197" s="16">
        <v>2</v>
      </c>
      <c r="BP197" s="16">
        <v>0</v>
      </c>
      <c r="BQ197" s="16">
        <v>0</v>
      </c>
      <c r="BR197" s="16">
        <v>0</v>
      </c>
      <c r="BS197" s="16">
        <v>7</v>
      </c>
      <c r="BT197" s="16">
        <v>0</v>
      </c>
      <c r="BU197" s="16">
        <v>0</v>
      </c>
      <c r="BV197" s="16">
        <v>0</v>
      </c>
      <c r="BW197" s="16">
        <v>0</v>
      </c>
      <c r="BX197" s="16">
        <v>0</v>
      </c>
      <c r="BY197" s="16">
        <v>0</v>
      </c>
      <c r="BZ197" s="16">
        <v>0</v>
      </c>
      <c r="CA197" s="16">
        <v>0</v>
      </c>
      <c r="CB197" s="16">
        <v>0</v>
      </c>
      <c r="CC197" s="16">
        <v>0</v>
      </c>
      <c r="CD197" s="16">
        <v>0</v>
      </c>
      <c r="CE197" s="16">
        <v>0</v>
      </c>
      <c r="CF197" s="16">
        <v>0</v>
      </c>
      <c r="CG197" s="16">
        <v>0</v>
      </c>
      <c r="CH197" s="16">
        <v>0</v>
      </c>
      <c r="CI197" s="16">
        <v>0</v>
      </c>
      <c r="CJ197" s="16">
        <v>2</v>
      </c>
      <c r="CK197" s="16">
        <v>64</v>
      </c>
      <c r="CL197" s="16">
        <v>7</v>
      </c>
      <c r="CM197" s="16">
        <v>2</v>
      </c>
      <c r="CN197" s="16">
        <v>0</v>
      </c>
      <c r="CO197" s="16">
        <v>0</v>
      </c>
      <c r="CP197" s="16">
        <v>6</v>
      </c>
      <c r="CQ197" s="16">
        <v>60</v>
      </c>
      <c r="CR197" s="16">
        <v>6</v>
      </c>
      <c r="CS197" s="16">
        <v>16</v>
      </c>
      <c r="CT197" s="16">
        <v>48</v>
      </c>
      <c r="CU197" s="16">
        <v>26</v>
      </c>
      <c r="CV197" s="16">
        <v>0</v>
      </c>
      <c r="CW197" s="16">
        <v>77</v>
      </c>
      <c r="CX197" s="16">
        <v>60</v>
      </c>
      <c r="CY197" s="16">
        <v>36</v>
      </c>
      <c r="CZ197" s="16">
        <v>0</v>
      </c>
      <c r="DA197" s="16">
        <v>0</v>
      </c>
      <c r="DB197" s="16">
        <v>0</v>
      </c>
      <c r="DC197" s="16">
        <v>0</v>
      </c>
      <c r="DD197" s="16">
        <v>0</v>
      </c>
      <c r="DE197" s="16">
        <v>33</v>
      </c>
      <c r="DF197" s="16">
        <v>2</v>
      </c>
      <c r="DG197" s="16">
        <v>0</v>
      </c>
      <c r="DH197" s="16">
        <v>0</v>
      </c>
      <c r="DI197" s="16">
        <v>10</v>
      </c>
      <c r="DJ197" s="16">
        <v>10</v>
      </c>
      <c r="DK197" s="16">
        <v>0</v>
      </c>
      <c r="DL197" s="16">
        <v>0</v>
      </c>
      <c r="DM197" s="16">
        <v>8</v>
      </c>
      <c r="DN197" s="16">
        <v>0</v>
      </c>
      <c r="DO197" s="16">
        <v>1</v>
      </c>
      <c r="DP197" s="16">
        <v>20</v>
      </c>
      <c r="DQ197" s="16">
        <v>0</v>
      </c>
      <c r="DR197" s="16">
        <v>4</v>
      </c>
      <c r="DS197" s="16">
        <v>0</v>
      </c>
      <c r="DT197" s="16">
        <v>1</v>
      </c>
      <c r="DU197" s="16">
        <v>0</v>
      </c>
      <c r="DV197" s="16">
        <v>1</v>
      </c>
      <c r="DW197" s="16">
        <v>121</v>
      </c>
      <c r="DX197" s="16">
        <v>45</v>
      </c>
      <c r="DY197" s="16">
        <v>63</v>
      </c>
      <c r="DZ197" s="16">
        <v>160</v>
      </c>
      <c r="EA197" s="16">
        <v>65</v>
      </c>
      <c r="EB197" s="16">
        <v>2</v>
      </c>
      <c r="EC197" s="16">
        <v>6</v>
      </c>
      <c r="ED197" s="16">
        <v>0</v>
      </c>
      <c r="EE197" s="16">
        <v>0</v>
      </c>
      <c r="EF197" s="16">
        <v>0</v>
      </c>
      <c r="EG197" s="16">
        <v>6</v>
      </c>
      <c r="EH197" s="16">
        <v>0</v>
      </c>
      <c r="EI197" s="16">
        <v>0</v>
      </c>
      <c r="EJ197" s="16">
        <v>1</v>
      </c>
      <c r="EK197" s="16">
        <v>0</v>
      </c>
      <c r="EL197" s="16">
        <v>0</v>
      </c>
      <c r="EM197" s="16">
        <v>8</v>
      </c>
      <c r="EN197" s="16">
        <v>65</v>
      </c>
      <c r="EO197" s="16">
        <v>59</v>
      </c>
      <c r="EP197" s="16">
        <v>0</v>
      </c>
      <c r="EQ197" s="16">
        <v>11</v>
      </c>
      <c r="ER197" s="16">
        <v>0</v>
      </c>
      <c r="ES197" s="16">
        <v>1</v>
      </c>
      <c r="ET197" s="16">
        <v>4</v>
      </c>
      <c r="EU197" s="16">
        <v>2</v>
      </c>
      <c r="EV197" s="16">
        <v>0</v>
      </c>
      <c r="EW197" s="16">
        <v>2</v>
      </c>
      <c r="EX197" s="16">
        <v>0</v>
      </c>
      <c r="EY197" s="16">
        <v>14</v>
      </c>
      <c r="EZ197" s="16">
        <v>0</v>
      </c>
      <c r="FA197" s="16">
        <v>0</v>
      </c>
      <c r="FB197" s="16">
        <v>0</v>
      </c>
      <c r="FC197" s="16">
        <v>0</v>
      </c>
      <c r="FD197" s="16">
        <v>1</v>
      </c>
      <c r="FE197" s="16">
        <v>7</v>
      </c>
      <c r="FF197" s="16">
        <v>2</v>
      </c>
      <c r="FG197" s="16">
        <v>0</v>
      </c>
      <c r="FH197" s="16">
        <v>7</v>
      </c>
      <c r="FI197" s="16">
        <v>0</v>
      </c>
      <c r="FJ197" s="16">
        <v>0</v>
      </c>
      <c r="FK197" s="16">
        <v>0</v>
      </c>
      <c r="FL197" s="16">
        <v>0</v>
      </c>
      <c r="FM197" s="16">
        <v>0</v>
      </c>
      <c r="FN197" s="16">
        <v>0</v>
      </c>
      <c r="FO197" s="16">
        <v>0</v>
      </c>
      <c r="FP197" s="16">
        <v>0</v>
      </c>
      <c r="FQ197" s="16">
        <v>94</v>
      </c>
      <c r="FR197" s="16">
        <v>1</v>
      </c>
      <c r="FS197" s="16">
        <v>47</v>
      </c>
      <c r="FT197" s="16">
        <v>0</v>
      </c>
      <c r="FU197" s="16">
        <v>1</v>
      </c>
      <c r="FV197" s="16">
        <v>1</v>
      </c>
      <c r="FW197" s="16">
        <v>0</v>
      </c>
      <c r="FX197" s="16">
        <v>0</v>
      </c>
      <c r="FY197" s="16">
        <v>0</v>
      </c>
      <c r="FZ197" s="16">
        <v>0</v>
      </c>
      <c r="GA197" s="16">
        <v>1</v>
      </c>
      <c r="GB197" s="16">
        <v>0</v>
      </c>
      <c r="GC197" s="16">
        <v>0</v>
      </c>
      <c r="GD197" s="16">
        <v>10</v>
      </c>
      <c r="GE197" s="16">
        <v>243</v>
      </c>
      <c r="GF197" s="16">
        <v>1488</v>
      </c>
      <c r="GG197" s="16">
        <v>4788</v>
      </c>
      <c r="GH197" s="16">
        <v>29</v>
      </c>
      <c r="GI197" s="16">
        <v>5362</v>
      </c>
      <c r="GJ197" s="16">
        <v>905</v>
      </c>
      <c r="GK197" s="16">
        <v>19653</v>
      </c>
      <c r="GL197" s="16">
        <v>0</v>
      </c>
      <c r="GM197" s="16">
        <v>12083</v>
      </c>
      <c r="GN197" s="16">
        <v>618</v>
      </c>
      <c r="GO197" s="16">
        <v>497536</v>
      </c>
      <c r="GP197" s="16">
        <v>213</v>
      </c>
      <c r="GQ197" s="16">
        <v>272</v>
      </c>
      <c r="GR197" s="16">
        <v>0</v>
      </c>
      <c r="GS197" s="16">
        <v>5</v>
      </c>
      <c r="GT197" s="16">
        <v>9</v>
      </c>
      <c r="GU197" s="16">
        <v>0</v>
      </c>
      <c r="GV197" s="16">
        <v>11</v>
      </c>
      <c r="GW197" s="16">
        <v>156</v>
      </c>
      <c r="GX197" s="16">
        <v>46</v>
      </c>
      <c r="GY197" s="16">
        <v>0</v>
      </c>
      <c r="GZ197" s="16">
        <v>55</v>
      </c>
      <c r="HA197" s="16">
        <v>157</v>
      </c>
      <c r="HB197" s="16">
        <v>1280</v>
      </c>
      <c r="HC197" s="16">
        <v>252</v>
      </c>
      <c r="HD197" s="16">
        <v>1273</v>
      </c>
      <c r="HE197" s="16">
        <v>7</v>
      </c>
      <c r="HF197" s="16">
        <v>831</v>
      </c>
      <c r="HG197" s="16">
        <v>17</v>
      </c>
      <c r="HH197" s="16">
        <v>0</v>
      </c>
      <c r="HI197" s="16">
        <v>0</v>
      </c>
      <c r="HJ197" s="16">
        <v>0</v>
      </c>
      <c r="HK197" s="16">
        <v>1</v>
      </c>
      <c r="HL197" s="16">
        <v>1998</v>
      </c>
      <c r="HM197" s="16">
        <v>0</v>
      </c>
      <c r="HN197" s="16">
        <v>0</v>
      </c>
      <c r="HO197" s="16">
        <v>10</v>
      </c>
      <c r="HP197" s="16">
        <v>0</v>
      </c>
      <c r="HQ197" s="16">
        <v>22</v>
      </c>
      <c r="HR197" s="16">
        <v>212</v>
      </c>
      <c r="HS197" s="16">
        <v>0</v>
      </c>
      <c r="HT197" s="16">
        <v>2361</v>
      </c>
      <c r="HU197" s="16">
        <v>59</v>
      </c>
      <c r="HV197" s="16">
        <v>0</v>
      </c>
      <c r="HW197" s="16">
        <v>7</v>
      </c>
      <c r="HX197" s="16">
        <v>58</v>
      </c>
      <c r="HY197" s="16">
        <v>0</v>
      </c>
      <c r="HZ197" s="16">
        <v>12</v>
      </c>
      <c r="IA197" s="16">
        <v>1</v>
      </c>
      <c r="IB197" s="16">
        <v>0</v>
      </c>
      <c r="IC197" s="16">
        <v>3</v>
      </c>
      <c r="ID197" s="16">
        <v>2</v>
      </c>
      <c r="IE197" s="16">
        <v>0</v>
      </c>
      <c r="IF197" s="16">
        <v>3</v>
      </c>
      <c r="IG197" s="16">
        <v>0</v>
      </c>
      <c r="IH197" s="16">
        <v>165</v>
      </c>
      <c r="II197" s="16">
        <v>24</v>
      </c>
      <c r="IJ197" s="16">
        <v>12</v>
      </c>
      <c r="IK197" s="16">
        <v>66</v>
      </c>
      <c r="IL197" s="16">
        <v>62</v>
      </c>
      <c r="IM197" s="16">
        <v>0</v>
      </c>
      <c r="IN197" s="16">
        <v>375</v>
      </c>
      <c r="IO197" s="16">
        <v>4367</v>
      </c>
      <c r="IP197" s="16">
        <v>0</v>
      </c>
      <c r="IQ197" s="16">
        <v>0</v>
      </c>
      <c r="IR197" s="16">
        <v>0</v>
      </c>
      <c r="IS197" s="16">
        <v>3</v>
      </c>
      <c r="IT197" s="16">
        <v>0</v>
      </c>
      <c r="IU197" s="16">
        <v>1</v>
      </c>
      <c r="IV197" s="16">
        <v>36</v>
      </c>
      <c r="IW197" s="16">
        <v>10</v>
      </c>
      <c r="IX197" s="16">
        <v>0</v>
      </c>
      <c r="IY197" s="16">
        <v>1</v>
      </c>
      <c r="IZ197" s="16">
        <v>0</v>
      </c>
      <c r="JA197" s="16">
        <v>0</v>
      </c>
      <c r="JB197" s="16">
        <v>0</v>
      </c>
      <c r="JC197" s="16">
        <v>0</v>
      </c>
      <c r="JD197" s="16">
        <v>0</v>
      </c>
      <c r="JE197" s="16">
        <v>0</v>
      </c>
      <c r="JF197" s="16">
        <v>0</v>
      </c>
      <c r="JG197" s="16">
        <v>8163</v>
      </c>
      <c r="JH197" s="16">
        <v>2517</v>
      </c>
      <c r="JI197" s="16">
        <v>97</v>
      </c>
      <c r="JJ197" s="16">
        <v>445</v>
      </c>
      <c r="JK197" s="16">
        <v>0</v>
      </c>
      <c r="JL197" s="16">
        <v>1</v>
      </c>
      <c r="JM197" s="16">
        <v>1</v>
      </c>
      <c r="JN197" s="16">
        <v>15</v>
      </c>
      <c r="JO197" s="16">
        <v>243</v>
      </c>
      <c r="JP197" s="16">
        <v>18</v>
      </c>
      <c r="JQ197" s="16">
        <v>64</v>
      </c>
      <c r="JR197" s="16">
        <v>1134</v>
      </c>
      <c r="JS197" s="16">
        <v>212</v>
      </c>
      <c r="JT197" s="16">
        <v>0</v>
      </c>
      <c r="JU197" s="16">
        <v>2564</v>
      </c>
      <c r="JV197" s="16">
        <v>866</v>
      </c>
      <c r="JW197" s="16">
        <v>5342</v>
      </c>
      <c r="JX197" s="16">
        <v>3061</v>
      </c>
      <c r="JY197" s="16">
        <v>567</v>
      </c>
      <c r="JZ197" s="16">
        <v>212</v>
      </c>
      <c r="KA197" s="16">
        <v>52</v>
      </c>
      <c r="KB197" s="16">
        <v>27</v>
      </c>
      <c r="KC197" s="16">
        <v>20</v>
      </c>
      <c r="KD197" s="16">
        <v>142</v>
      </c>
      <c r="KE197" s="16">
        <v>49</v>
      </c>
      <c r="KF197" s="16">
        <v>400</v>
      </c>
      <c r="KG197" s="16">
        <v>322</v>
      </c>
      <c r="KH197" s="16">
        <v>81</v>
      </c>
      <c r="KI197" s="16">
        <v>273</v>
      </c>
      <c r="KJ197" s="16">
        <v>110747</v>
      </c>
      <c r="KK197" s="16">
        <v>59100</v>
      </c>
      <c r="KL197" s="16">
        <v>8</v>
      </c>
      <c r="KM197" s="16">
        <v>0</v>
      </c>
      <c r="KN197" s="16">
        <v>0</v>
      </c>
      <c r="KO197" s="16">
        <v>2</v>
      </c>
      <c r="KP197" s="16">
        <v>0</v>
      </c>
      <c r="KQ197" s="16">
        <v>8670</v>
      </c>
      <c r="KR197" s="16">
        <v>1089</v>
      </c>
      <c r="KS197" s="16">
        <v>67</v>
      </c>
      <c r="KT197" s="16">
        <v>130</v>
      </c>
      <c r="KU197" s="16">
        <v>1492</v>
      </c>
      <c r="KV197" s="16">
        <v>2616</v>
      </c>
      <c r="KW197" s="16">
        <v>6176</v>
      </c>
      <c r="KX197" s="16">
        <v>12</v>
      </c>
      <c r="KY197" s="16">
        <v>0</v>
      </c>
      <c r="KZ197" s="16">
        <v>8625</v>
      </c>
      <c r="LA197" s="16">
        <v>4780</v>
      </c>
      <c r="LB197" s="16">
        <v>204</v>
      </c>
      <c r="LC197" s="16">
        <v>0</v>
      </c>
      <c r="LD197" s="16">
        <v>121</v>
      </c>
      <c r="LE197" s="16">
        <v>270969</v>
      </c>
      <c r="LF197" s="16">
        <v>256751</v>
      </c>
      <c r="LG197" s="16">
        <v>17499</v>
      </c>
      <c r="LH197" s="16">
        <v>32389</v>
      </c>
      <c r="LI197" s="16">
        <v>0</v>
      </c>
      <c r="LJ197" s="16">
        <v>0</v>
      </c>
      <c r="LK197" s="16">
        <v>0</v>
      </c>
      <c r="LL197" s="16">
        <v>3992</v>
      </c>
      <c r="LM197" s="16">
        <v>6382</v>
      </c>
      <c r="LN197" s="16">
        <v>50875</v>
      </c>
      <c r="LO197" s="16">
        <v>26</v>
      </c>
      <c r="LP197" s="16">
        <v>325</v>
      </c>
      <c r="LQ197" s="16">
        <v>86</v>
      </c>
      <c r="LR197" s="16">
        <v>4114</v>
      </c>
      <c r="LS197" s="16">
        <v>2256</v>
      </c>
      <c r="LT197" s="16">
        <v>3475</v>
      </c>
      <c r="LU197" s="16">
        <v>1061</v>
      </c>
      <c r="LV197" s="16">
        <v>0</v>
      </c>
      <c r="LW197" s="16">
        <v>588</v>
      </c>
      <c r="LX197" s="16">
        <v>3628</v>
      </c>
      <c r="LY197" s="16">
        <v>8360</v>
      </c>
      <c r="LZ197" s="16">
        <v>1014</v>
      </c>
      <c r="MA197" s="16">
        <v>52</v>
      </c>
      <c r="MB197" s="16">
        <v>30861</v>
      </c>
      <c r="MC197" s="16">
        <v>1779</v>
      </c>
      <c r="MD197" s="16">
        <v>479</v>
      </c>
      <c r="ME197" s="16">
        <v>558</v>
      </c>
      <c r="MF197" s="16">
        <v>69490</v>
      </c>
      <c r="MG197" s="16">
        <v>1849</v>
      </c>
      <c r="MH197" s="16">
        <v>170258</v>
      </c>
      <c r="MI197" s="16">
        <v>3</v>
      </c>
      <c r="MJ197" s="16">
        <v>7095</v>
      </c>
      <c r="MK197" s="16">
        <v>6483</v>
      </c>
      <c r="ML197" s="16">
        <v>758</v>
      </c>
      <c r="MM197" s="16">
        <v>3052</v>
      </c>
      <c r="MN197" s="16">
        <v>25404</v>
      </c>
      <c r="MO197" s="16">
        <v>1314</v>
      </c>
      <c r="MP197" s="16">
        <v>10045</v>
      </c>
      <c r="MQ197" s="16">
        <v>22456</v>
      </c>
      <c r="MR197" s="16">
        <v>19937</v>
      </c>
      <c r="MS197" s="16">
        <v>11234</v>
      </c>
      <c r="MT197" s="16">
        <v>519</v>
      </c>
      <c r="MU197" s="16">
        <v>1379</v>
      </c>
      <c r="MV197" s="16">
        <v>8012</v>
      </c>
      <c r="MW197" s="16">
        <v>92341</v>
      </c>
      <c r="MX197" s="16">
        <v>293</v>
      </c>
      <c r="MY197" s="16">
        <v>209</v>
      </c>
      <c r="MZ197" s="16">
        <v>3974</v>
      </c>
      <c r="NA197" s="16">
        <v>1780</v>
      </c>
      <c r="NB197" s="16">
        <v>5219</v>
      </c>
      <c r="NC197" s="16">
        <v>3569</v>
      </c>
      <c r="ND197" s="16">
        <v>483</v>
      </c>
      <c r="NE197" s="16">
        <v>135</v>
      </c>
      <c r="NF197" s="16">
        <v>2427</v>
      </c>
      <c r="NG197" s="16">
        <v>1399</v>
      </c>
      <c r="NH197" s="16">
        <v>2005</v>
      </c>
      <c r="NI197" s="16">
        <v>2974</v>
      </c>
      <c r="NJ197" s="16">
        <v>13883</v>
      </c>
      <c r="NK197" s="16">
        <v>84</v>
      </c>
      <c r="NL197" s="16">
        <v>199112</v>
      </c>
      <c r="NM197" s="16">
        <v>2099</v>
      </c>
      <c r="NN197" s="16">
        <v>139</v>
      </c>
      <c r="NO197" s="16">
        <v>0</v>
      </c>
      <c r="NP197" s="16">
        <v>632</v>
      </c>
      <c r="NQ197" s="16">
        <v>113</v>
      </c>
      <c r="NR197" s="17">
        <v>2179126</v>
      </c>
    </row>
    <row r="198" spans="1:382" ht="13.5" customHeight="1" x14ac:dyDescent="0.2">
      <c r="A198" s="2" t="s">
        <v>403</v>
      </c>
      <c r="B198" s="16">
        <v>4061</v>
      </c>
      <c r="C198" s="16">
        <v>1701</v>
      </c>
      <c r="D198" s="16">
        <v>1970</v>
      </c>
      <c r="E198" s="16">
        <v>1552</v>
      </c>
      <c r="F198" s="16">
        <v>6414</v>
      </c>
      <c r="G198" s="16">
        <v>2180</v>
      </c>
      <c r="H198" s="16">
        <v>179</v>
      </c>
      <c r="I198" s="16">
        <v>5432</v>
      </c>
      <c r="J198" s="16">
        <v>238</v>
      </c>
      <c r="K198" s="16">
        <v>0</v>
      </c>
      <c r="L198" s="16">
        <v>671</v>
      </c>
      <c r="M198" s="16">
        <v>3635</v>
      </c>
      <c r="N198" s="16">
        <v>1</v>
      </c>
      <c r="O198" s="16">
        <v>48</v>
      </c>
      <c r="P198" s="16">
        <v>4064</v>
      </c>
      <c r="Q198" s="16">
        <v>6614</v>
      </c>
      <c r="R198" s="16">
        <v>2306</v>
      </c>
      <c r="S198" s="16">
        <v>2648</v>
      </c>
      <c r="T198" s="16">
        <v>261</v>
      </c>
      <c r="U198" s="16">
        <v>647</v>
      </c>
      <c r="V198" s="16">
        <v>921</v>
      </c>
      <c r="W198" s="16">
        <v>391</v>
      </c>
      <c r="X198" s="16">
        <v>457</v>
      </c>
      <c r="Y198" s="16">
        <v>3914</v>
      </c>
      <c r="Z198" s="16">
        <v>2620</v>
      </c>
      <c r="AA198" s="16">
        <v>61</v>
      </c>
      <c r="AB198" s="16">
        <v>0</v>
      </c>
      <c r="AC198" s="16">
        <v>0</v>
      </c>
      <c r="AD198" s="16">
        <v>0</v>
      </c>
      <c r="AE198" s="16">
        <v>15</v>
      </c>
      <c r="AF198" s="16">
        <v>18</v>
      </c>
      <c r="AG198" s="16">
        <v>5291</v>
      </c>
      <c r="AH198" s="16">
        <v>3018</v>
      </c>
      <c r="AI198" s="16">
        <v>491</v>
      </c>
      <c r="AJ198" s="16">
        <v>15322</v>
      </c>
      <c r="AK198" s="16">
        <v>7849</v>
      </c>
      <c r="AL198" s="16">
        <v>1812</v>
      </c>
      <c r="AM198" s="16">
        <v>10238</v>
      </c>
      <c r="AN198" s="16">
        <v>2961</v>
      </c>
      <c r="AO198" s="16">
        <v>5451</v>
      </c>
      <c r="AP198" s="16">
        <v>1493</v>
      </c>
      <c r="AQ198" s="16">
        <v>6209</v>
      </c>
      <c r="AR198" s="16">
        <v>0</v>
      </c>
      <c r="AS198" s="16">
        <v>2553</v>
      </c>
      <c r="AT198" s="16">
        <v>1265</v>
      </c>
      <c r="AU198" s="16">
        <v>8762</v>
      </c>
      <c r="AV198" s="16">
        <v>1580</v>
      </c>
      <c r="AW198" s="16">
        <v>8984</v>
      </c>
      <c r="AX198" s="16">
        <v>721</v>
      </c>
      <c r="AY198" s="16">
        <v>13931</v>
      </c>
      <c r="AZ198" s="16">
        <v>3108</v>
      </c>
      <c r="BA198" s="16">
        <v>5951</v>
      </c>
      <c r="BB198" s="16">
        <v>4667</v>
      </c>
      <c r="BC198" s="16">
        <v>5853</v>
      </c>
      <c r="BD198" s="16">
        <v>287</v>
      </c>
      <c r="BE198" s="16">
        <v>1198</v>
      </c>
      <c r="BF198" s="16">
        <v>3554</v>
      </c>
      <c r="BG198" s="16">
        <v>707</v>
      </c>
      <c r="BH198" s="16">
        <v>5388</v>
      </c>
      <c r="BI198" s="16">
        <v>4259</v>
      </c>
      <c r="BJ198" s="16">
        <v>1133</v>
      </c>
      <c r="BK198" s="16">
        <v>899</v>
      </c>
      <c r="BL198" s="16">
        <v>5228</v>
      </c>
      <c r="BM198" s="16">
        <v>776</v>
      </c>
      <c r="BN198" s="16">
        <v>3235</v>
      </c>
      <c r="BO198" s="16">
        <v>2309</v>
      </c>
      <c r="BP198" s="16">
        <v>1161</v>
      </c>
      <c r="BQ198" s="16">
        <v>1222</v>
      </c>
      <c r="BR198" s="16">
        <v>310</v>
      </c>
      <c r="BS198" s="16">
        <v>5373</v>
      </c>
      <c r="BT198" s="16">
        <v>177</v>
      </c>
      <c r="BU198" s="16">
        <v>5</v>
      </c>
      <c r="BV198" s="16">
        <v>0</v>
      </c>
      <c r="BW198" s="16">
        <v>2085</v>
      </c>
      <c r="BX198" s="16">
        <v>277</v>
      </c>
      <c r="BY198" s="16">
        <v>6</v>
      </c>
      <c r="BZ198" s="16">
        <v>1761</v>
      </c>
      <c r="CA198" s="16">
        <v>935</v>
      </c>
      <c r="CB198" s="16">
        <v>405</v>
      </c>
      <c r="CC198" s="16">
        <v>6562</v>
      </c>
      <c r="CD198" s="16">
        <v>1705</v>
      </c>
      <c r="CE198" s="16">
        <v>1044</v>
      </c>
      <c r="CF198" s="16">
        <v>1746</v>
      </c>
      <c r="CG198" s="16">
        <v>1017</v>
      </c>
      <c r="CH198" s="16">
        <v>957</v>
      </c>
      <c r="CI198" s="16">
        <v>710</v>
      </c>
      <c r="CJ198" s="16">
        <v>4021</v>
      </c>
      <c r="CK198" s="16">
        <v>9130</v>
      </c>
      <c r="CL198" s="16">
        <v>6804</v>
      </c>
      <c r="CM198" s="16">
        <v>2093</v>
      </c>
      <c r="CN198" s="16">
        <v>851</v>
      </c>
      <c r="CO198" s="16">
        <v>3696</v>
      </c>
      <c r="CP198" s="16">
        <v>4276</v>
      </c>
      <c r="CQ198" s="16">
        <v>15704</v>
      </c>
      <c r="CR198" s="16">
        <v>1317</v>
      </c>
      <c r="CS198" s="16">
        <v>10543</v>
      </c>
      <c r="CT198" s="16">
        <v>8082</v>
      </c>
      <c r="CU198" s="16">
        <v>13926</v>
      </c>
      <c r="CV198" s="16">
        <v>11665</v>
      </c>
      <c r="CW198" s="16">
        <v>66672</v>
      </c>
      <c r="CX198" s="16">
        <v>39255</v>
      </c>
      <c r="CY198" s="16">
        <v>3758</v>
      </c>
      <c r="CZ198" s="16">
        <v>14217</v>
      </c>
      <c r="DA198" s="16">
        <v>531</v>
      </c>
      <c r="DB198" s="16">
        <v>11930</v>
      </c>
      <c r="DC198" s="16">
        <v>6181</v>
      </c>
      <c r="DD198" s="16">
        <v>23222</v>
      </c>
      <c r="DE198" s="16">
        <v>4433</v>
      </c>
      <c r="DF198" s="16">
        <v>10497</v>
      </c>
      <c r="DG198" s="16">
        <v>3276</v>
      </c>
      <c r="DH198" s="16">
        <v>5360</v>
      </c>
      <c r="DI198" s="16">
        <v>1927</v>
      </c>
      <c r="DJ198" s="16">
        <v>53498</v>
      </c>
      <c r="DK198" s="16">
        <v>3478</v>
      </c>
      <c r="DL198" s="16">
        <v>5341</v>
      </c>
      <c r="DM198" s="16">
        <v>27501</v>
      </c>
      <c r="DN198" s="16">
        <v>2923</v>
      </c>
      <c r="DO198" s="16">
        <v>1964</v>
      </c>
      <c r="DP198" s="16">
        <v>6520</v>
      </c>
      <c r="DQ198" s="16">
        <v>690</v>
      </c>
      <c r="DR198" s="16">
        <v>1925</v>
      </c>
      <c r="DS198" s="16">
        <v>14170</v>
      </c>
      <c r="DT198" s="16">
        <v>1911</v>
      </c>
      <c r="DU198" s="16">
        <v>1407</v>
      </c>
      <c r="DV198" s="16">
        <v>2393</v>
      </c>
      <c r="DW198" s="16">
        <v>13808</v>
      </c>
      <c r="DX198" s="16">
        <v>7554</v>
      </c>
      <c r="DY198" s="16">
        <v>8875</v>
      </c>
      <c r="DZ198" s="16">
        <v>25156</v>
      </c>
      <c r="EA198" s="16">
        <v>12655</v>
      </c>
      <c r="EB198" s="16">
        <v>723</v>
      </c>
      <c r="EC198" s="16">
        <v>6484</v>
      </c>
      <c r="ED198" s="16">
        <v>940</v>
      </c>
      <c r="EE198" s="16">
        <v>33</v>
      </c>
      <c r="EF198" s="16">
        <v>164</v>
      </c>
      <c r="EG198" s="16">
        <v>4184</v>
      </c>
      <c r="EH198" s="16">
        <v>832</v>
      </c>
      <c r="EI198" s="16">
        <v>256</v>
      </c>
      <c r="EJ198" s="16">
        <v>506</v>
      </c>
      <c r="EK198" s="16">
        <v>495</v>
      </c>
      <c r="EL198" s="16">
        <v>188</v>
      </c>
      <c r="EM198" s="16">
        <v>1262</v>
      </c>
      <c r="EN198" s="16">
        <v>14810</v>
      </c>
      <c r="EO198" s="16">
        <v>4480</v>
      </c>
      <c r="EP198" s="16">
        <v>803</v>
      </c>
      <c r="EQ198" s="16">
        <v>1274</v>
      </c>
      <c r="ER198" s="16">
        <v>383</v>
      </c>
      <c r="ES198" s="16">
        <v>705</v>
      </c>
      <c r="ET198" s="16">
        <v>5078</v>
      </c>
      <c r="EU198" s="16">
        <v>735</v>
      </c>
      <c r="EV198" s="16">
        <v>45</v>
      </c>
      <c r="EW198" s="16">
        <v>458</v>
      </c>
      <c r="EX198" s="16">
        <v>59965</v>
      </c>
      <c r="EY198" s="16">
        <v>6860</v>
      </c>
      <c r="EZ198" s="16">
        <v>330</v>
      </c>
      <c r="FA198" s="16">
        <v>810</v>
      </c>
      <c r="FB198" s="16">
        <v>3372</v>
      </c>
      <c r="FC198" s="16">
        <v>277</v>
      </c>
      <c r="FD198" s="16">
        <v>14247</v>
      </c>
      <c r="FE198" s="16">
        <v>2234</v>
      </c>
      <c r="FF198" s="16">
        <v>2241</v>
      </c>
      <c r="FG198" s="16">
        <v>7551</v>
      </c>
      <c r="FH198" s="16">
        <v>1464</v>
      </c>
      <c r="FI198" s="16">
        <v>1811</v>
      </c>
      <c r="FJ198" s="16">
        <v>2003</v>
      </c>
      <c r="FK198" s="16">
        <v>6862</v>
      </c>
      <c r="FL198" s="16">
        <v>501</v>
      </c>
      <c r="FM198" s="16">
        <v>3333</v>
      </c>
      <c r="FN198" s="16">
        <v>14964</v>
      </c>
      <c r="FO198" s="16">
        <v>3392</v>
      </c>
      <c r="FP198" s="16">
        <v>6148</v>
      </c>
      <c r="FQ198" s="16">
        <v>13439</v>
      </c>
      <c r="FR198" s="16">
        <v>13129</v>
      </c>
      <c r="FS198" s="16">
        <v>3472</v>
      </c>
      <c r="FT198" s="16">
        <v>3565</v>
      </c>
      <c r="FU198" s="16">
        <v>9099</v>
      </c>
      <c r="FV198" s="16">
        <v>14309</v>
      </c>
      <c r="FW198" s="16">
        <v>8728</v>
      </c>
      <c r="FX198" s="16">
        <v>19341</v>
      </c>
      <c r="FY198" s="16">
        <v>2033</v>
      </c>
      <c r="FZ198" s="16">
        <v>7922</v>
      </c>
      <c r="GA198" s="16">
        <v>962</v>
      </c>
      <c r="GB198" s="16">
        <v>22333</v>
      </c>
      <c r="GC198" s="16">
        <v>3362</v>
      </c>
      <c r="GD198" s="16">
        <v>27240</v>
      </c>
      <c r="GE198" s="16">
        <v>1827</v>
      </c>
      <c r="GF198" s="16">
        <v>25873</v>
      </c>
      <c r="GG198" s="16">
        <v>779</v>
      </c>
      <c r="GH198" s="16">
        <v>9881</v>
      </c>
      <c r="GI198" s="16">
        <v>1130</v>
      </c>
      <c r="GJ198" s="16">
        <v>4061</v>
      </c>
      <c r="GK198" s="16">
        <v>1804</v>
      </c>
      <c r="GL198" s="16">
        <v>7</v>
      </c>
      <c r="GM198" s="16">
        <v>566</v>
      </c>
      <c r="GN198" s="16">
        <v>2383</v>
      </c>
      <c r="GO198" s="16">
        <v>1407</v>
      </c>
      <c r="GP198" s="16">
        <v>4521500</v>
      </c>
      <c r="GQ198" s="16">
        <v>32338</v>
      </c>
      <c r="GR198" s="16">
        <v>2299</v>
      </c>
      <c r="GS198" s="16">
        <v>436</v>
      </c>
      <c r="GT198" s="16">
        <v>1929</v>
      </c>
      <c r="GU198" s="16">
        <v>4026</v>
      </c>
      <c r="GV198" s="16">
        <v>9391</v>
      </c>
      <c r="GW198" s="16">
        <v>3442</v>
      </c>
      <c r="GX198" s="16">
        <v>576</v>
      </c>
      <c r="GY198" s="16">
        <v>59</v>
      </c>
      <c r="GZ198" s="16">
        <v>4551</v>
      </c>
      <c r="HA198" s="16">
        <v>2674</v>
      </c>
      <c r="HB198" s="16">
        <v>1750</v>
      </c>
      <c r="HC198" s="16">
        <v>9603</v>
      </c>
      <c r="HD198" s="16">
        <v>9440</v>
      </c>
      <c r="HE198" s="16">
        <v>1171</v>
      </c>
      <c r="HF198" s="16">
        <v>8221</v>
      </c>
      <c r="HG198" s="16">
        <v>3841</v>
      </c>
      <c r="HH198" s="16">
        <v>2589</v>
      </c>
      <c r="HI198" s="16">
        <v>5840</v>
      </c>
      <c r="HJ198" s="16">
        <v>918</v>
      </c>
      <c r="HK198" s="16">
        <v>2333</v>
      </c>
      <c r="HL198" s="16">
        <v>15038</v>
      </c>
      <c r="HM198" s="16">
        <v>6046</v>
      </c>
      <c r="HN198" s="16">
        <v>8693</v>
      </c>
      <c r="HO198" s="16">
        <v>4856</v>
      </c>
      <c r="HP198" s="16">
        <v>3443</v>
      </c>
      <c r="HQ198" s="16">
        <v>6020</v>
      </c>
      <c r="HR198" s="16">
        <v>5600</v>
      </c>
      <c r="HS198" s="16">
        <v>3953</v>
      </c>
      <c r="HT198" s="16">
        <v>471</v>
      </c>
      <c r="HU198" s="16">
        <v>5352</v>
      </c>
      <c r="HV198" s="16">
        <v>2542</v>
      </c>
      <c r="HW198" s="16">
        <v>3685</v>
      </c>
      <c r="HX198" s="16">
        <v>4476</v>
      </c>
      <c r="HY198" s="16">
        <v>8344</v>
      </c>
      <c r="HZ198" s="16">
        <v>10580</v>
      </c>
      <c r="IA198" s="16">
        <v>2489</v>
      </c>
      <c r="IB198" s="16">
        <v>573</v>
      </c>
      <c r="IC198" s="16">
        <v>302</v>
      </c>
      <c r="ID198" s="16">
        <v>2152</v>
      </c>
      <c r="IE198" s="16">
        <v>168</v>
      </c>
      <c r="IF198" s="16">
        <v>1697</v>
      </c>
      <c r="IG198" s="16">
        <v>17188</v>
      </c>
      <c r="IH198" s="16">
        <v>10593</v>
      </c>
      <c r="II198" s="16">
        <v>1204</v>
      </c>
      <c r="IJ198" s="16">
        <v>734</v>
      </c>
      <c r="IK198" s="16">
        <v>5211</v>
      </c>
      <c r="IL198" s="16">
        <v>1351</v>
      </c>
      <c r="IM198" s="16">
        <v>7</v>
      </c>
      <c r="IN198" s="16">
        <v>4816</v>
      </c>
      <c r="IO198" s="16">
        <v>9815</v>
      </c>
      <c r="IP198" s="16">
        <v>114</v>
      </c>
      <c r="IQ198" s="16">
        <v>101</v>
      </c>
      <c r="IR198" s="16">
        <v>413</v>
      </c>
      <c r="IS198" s="16">
        <v>309</v>
      </c>
      <c r="IT198" s="16">
        <v>713</v>
      </c>
      <c r="IU198" s="16">
        <v>23</v>
      </c>
      <c r="IV198" s="16">
        <v>5119</v>
      </c>
      <c r="IW198" s="16">
        <v>6216</v>
      </c>
      <c r="IX198" s="16">
        <v>1714</v>
      </c>
      <c r="IY198" s="16">
        <v>1550</v>
      </c>
      <c r="IZ198" s="16">
        <v>76</v>
      </c>
      <c r="JA198" s="16">
        <v>1132</v>
      </c>
      <c r="JB198" s="16">
        <v>103</v>
      </c>
      <c r="JC198" s="16">
        <v>316</v>
      </c>
      <c r="JD198" s="16">
        <v>295</v>
      </c>
      <c r="JE198" s="16">
        <v>3234</v>
      </c>
      <c r="JF198" s="16">
        <v>2090</v>
      </c>
      <c r="JG198" s="16">
        <v>137511</v>
      </c>
      <c r="JH198" s="16">
        <v>7007</v>
      </c>
      <c r="JI198" s="16">
        <v>1528</v>
      </c>
      <c r="JJ198" s="16">
        <v>19012</v>
      </c>
      <c r="JK198" s="16">
        <v>7385</v>
      </c>
      <c r="JL198" s="16">
        <v>1656</v>
      </c>
      <c r="JM198" s="16">
        <v>467</v>
      </c>
      <c r="JN198" s="16">
        <v>6570</v>
      </c>
      <c r="JO198" s="16">
        <v>33130</v>
      </c>
      <c r="JP198" s="16">
        <v>85941</v>
      </c>
      <c r="JQ198" s="16">
        <v>6645</v>
      </c>
      <c r="JR198" s="16">
        <v>25761</v>
      </c>
      <c r="JS198" s="16">
        <v>10932</v>
      </c>
      <c r="JT198" s="16">
        <v>0</v>
      </c>
      <c r="JU198" s="16">
        <v>34043</v>
      </c>
      <c r="JV198" s="16">
        <v>10105</v>
      </c>
      <c r="JW198" s="16">
        <v>12638</v>
      </c>
      <c r="JX198" s="16">
        <v>18199</v>
      </c>
      <c r="JY198" s="16">
        <v>11067</v>
      </c>
      <c r="JZ198" s="16">
        <v>6981</v>
      </c>
      <c r="KA198" s="16">
        <v>2043</v>
      </c>
      <c r="KB198" s="16">
        <v>155</v>
      </c>
      <c r="KC198" s="16">
        <v>846</v>
      </c>
      <c r="KD198" s="16">
        <v>2334</v>
      </c>
      <c r="KE198" s="16">
        <v>358</v>
      </c>
      <c r="KF198" s="16">
        <v>3799</v>
      </c>
      <c r="KG198" s="16">
        <v>2663</v>
      </c>
      <c r="KH198" s="16">
        <v>858</v>
      </c>
      <c r="KI198" s="16">
        <v>2028</v>
      </c>
      <c r="KJ198" s="16">
        <v>1214</v>
      </c>
      <c r="KK198" s="16">
        <v>1593831</v>
      </c>
      <c r="KL198" s="16">
        <v>527</v>
      </c>
      <c r="KM198" s="16">
        <v>8222</v>
      </c>
      <c r="KN198" s="16">
        <v>2481</v>
      </c>
      <c r="KO198" s="16">
        <v>5908</v>
      </c>
      <c r="KP198" s="16">
        <v>1239</v>
      </c>
      <c r="KQ198" s="16">
        <v>7067</v>
      </c>
      <c r="KR198" s="16">
        <v>37438</v>
      </c>
      <c r="KS198" s="16">
        <v>6287</v>
      </c>
      <c r="KT198" s="16">
        <v>8896</v>
      </c>
      <c r="KU198" s="16">
        <v>17531</v>
      </c>
      <c r="KV198" s="16">
        <v>40297</v>
      </c>
      <c r="KW198" s="16">
        <v>36724</v>
      </c>
      <c r="KX198" s="16">
        <v>691</v>
      </c>
      <c r="KY198" s="16">
        <v>57118</v>
      </c>
      <c r="KZ198" s="16">
        <v>595863</v>
      </c>
      <c r="LA198" s="16">
        <v>141671</v>
      </c>
      <c r="LB198" s="16">
        <v>19388</v>
      </c>
      <c r="LC198" s="16">
        <v>87311</v>
      </c>
      <c r="LD198" s="16">
        <v>46576</v>
      </c>
      <c r="LE198" s="16">
        <v>14404</v>
      </c>
      <c r="LF198" s="16">
        <v>10473</v>
      </c>
      <c r="LG198" s="16">
        <v>945</v>
      </c>
      <c r="LH198" s="16">
        <v>11343</v>
      </c>
      <c r="LI198" s="16">
        <v>114</v>
      </c>
      <c r="LJ198" s="16">
        <v>4555</v>
      </c>
      <c r="LK198" s="16">
        <v>20537</v>
      </c>
      <c r="LL198" s="16">
        <v>11444</v>
      </c>
      <c r="LM198" s="16">
        <v>78461</v>
      </c>
      <c r="LN198" s="16">
        <v>49844</v>
      </c>
      <c r="LO198" s="16">
        <v>836</v>
      </c>
      <c r="LP198" s="16">
        <v>15077</v>
      </c>
      <c r="LQ198" s="16">
        <v>7994</v>
      </c>
      <c r="LR198" s="16">
        <v>48125</v>
      </c>
      <c r="LS198" s="16">
        <v>10370</v>
      </c>
      <c r="LT198" s="16">
        <v>45230</v>
      </c>
      <c r="LU198" s="16">
        <v>12806</v>
      </c>
      <c r="LV198" s="16">
        <v>402</v>
      </c>
      <c r="LW198" s="16">
        <v>7851</v>
      </c>
      <c r="LX198" s="16">
        <v>30766</v>
      </c>
      <c r="LY198" s="16">
        <v>0</v>
      </c>
      <c r="LZ198" s="16">
        <v>44616</v>
      </c>
      <c r="MA198" s="16">
        <v>64738</v>
      </c>
      <c r="MB198" s="16">
        <v>163223</v>
      </c>
      <c r="MC198" s="16">
        <v>2512</v>
      </c>
      <c r="MD198" s="16">
        <v>10041</v>
      </c>
      <c r="ME198" s="16">
        <v>3639</v>
      </c>
      <c r="MF198" s="16">
        <v>727628</v>
      </c>
      <c r="MG198" s="16">
        <v>117850</v>
      </c>
      <c r="MH198" s="16">
        <v>1432193</v>
      </c>
      <c r="MI198" s="16">
        <v>33205</v>
      </c>
      <c r="MJ198" s="16">
        <v>12439</v>
      </c>
      <c r="MK198" s="16">
        <v>28747</v>
      </c>
      <c r="ML198" s="16">
        <v>5406</v>
      </c>
      <c r="MM198" s="16">
        <v>50157</v>
      </c>
      <c r="MN198" s="16">
        <v>80803</v>
      </c>
      <c r="MO198" s="16">
        <v>33883</v>
      </c>
      <c r="MP198" s="16">
        <v>59419</v>
      </c>
      <c r="MQ198" s="16">
        <v>148144</v>
      </c>
      <c r="MR198" s="16">
        <v>3249</v>
      </c>
      <c r="MS198" s="16">
        <v>2512</v>
      </c>
      <c r="MT198" s="16">
        <v>376</v>
      </c>
      <c r="MU198" s="16">
        <v>72449</v>
      </c>
      <c r="MV198" s="16">
        <v>9751</v>
      </c>
      <c r="MW198" s="16">
        <v>83731</v>
      </c>
      <c r="MX198" s="16">
        <v>0</v>
      </c>
      <c r="MY198" s="16">
        <v>999</v>
      </c>
      <c r="MZ198" s="16">
        <v>94607</v>
      </c>
      <c r="NA198" s="16">
        <v>14</v>
      </c>
      <c r="NB198" s="16">
        <v>29011</v>
      </c>
      <c r="NC198" s="16">
        <v>655</v>
      </c>
      <c r="ND198" s="16">
        <v>5857</v>
      </c>
      <c r="NE198" s="16">
        <v>2256</v>
      </c>
      <c r="NF198" s="16">
        <v>94699</v>
      </c>
      <c r="NG198" s="16">
        <v>35430</v>
      </c>
      <c r="NH198" s="16">
        <v>9489</v>
      </c>
      <c r="NI198" s="16">
        <v>75643</v>
      </c>
      <c r="NJ198" s="16">
        <v>37685</v>
      </c>
      <c r="NK198" s="16">
        <v>5487</v>
      </c>
      <c r="NL198" s="16">
        <v>164535</v>
      </c>
      <c r="NM198" s="16">
        <v>10517</v>
      </c>
      <c r="NN198" s="16">
        <v>4321</v>
      </c>
      <c r="NO198" s="16">
        <v>0</v>
      </c>
      <c r="NP198" s="16">
        <v>170</v>
      </c>
      <c r="NQ198" s="16">
        <v>507</v>
      </c>
      <c r="NR198" s="17">
        <v>13195907</v>
      </c>
    </row>
    <row r="199" spans="1:382" ht="13.5" customHeight="1" x14ac:dyDescent="0.2">
      <c r="A199" s="2" t="s">
        <v>405</v>
      </c>
      <c r="B199" s="16">
        <v>13</v>
      </c>
      <c r="C199" s="16">
        <v>0</v>
      </c>
      <c r="D199" s="16">
        <v>11</v>
      </c>
      <c r="E199" s="16">
        <v>0</v>
      </c>
      <c r="F199" s="16">
        <v>18</v>
      </c>
      <c r="G199" s="16">
        <v>7</v>
      </c>
      <c r="H199" s="16">
        <v>0</v>
      </c>
      <c r="I199" s="16">
        <v>7</v>
      </c>
      <c r="J199" s="16">
        <v>0</v>
      </c>
      <c r="K199" s="16">
        <v>0</v>
      </c>
      <c r="L199" s="16">
        <v>0</v>
      </c>
      <c r="M199" s="16">
        <v>15</v>
      </c>
      <c r="N199" s="16">
        <v>0</v>
      </c>
      <c r="O199" s="16">
        <v>0</v>
      </c>
      <c r="P199" s="16">
        <v>23</v>
      </c>
      <c r="Q199" s="16">
        <v>97</v>
      </c>
      <c r="R199" s="16">
        <v>39</v>
      </c>
      <c r="S199" s="16">
        <v>0</v>
      </c>
      <c r="T199" s="16">
        <v>0</v>
      </c>
      <c r="U199" s="16">
        <v>0</v>
      </c>
      <c r="V199" s="16">
        <v>43</v>
      </c>
      <c r="W199" s="16">
        <v>0</v>
      </c>
      <c r="X199" s="16">
        <v>322</v>
      </c>
      <c r="Y199" s="16">
        <v>18</v>
      </c>
      <c r="Z199" s="16">
        <v>35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53</v>
      </c>
      <c r="AH199" s="16">
        <v>35</v>
      </c>
      <c r="AI199" s="16">
        <v>0</v>
      </c>
      <c r="AJ199" s="16">
        <v>131</v>
      </c>
      <c r="AK199" s="16">
        <v>101</v>
      </c>
      <c r="AL199" s="16">
        <v>4</v>
      </c>
      <c r="AM199" s="16">
        <v>43</v>
      </c>
      <c r="AN199" s="16">
        <v>25</v>
      </c>
      <c r="AO199" s="16">
        <v>0</v>
      </c>
      <c r="AP199" s="16">
        <v>0</v>
      </c>
      <c r="AQ199" s="16">
        <v>0</v>
      </c>
      <c r="AR199" s="16">
        <v>0</v>
      </c>
      <c r="AS199" s="16">
        <v>0</v>
      </c>
      <c r="AT199" s="16">
        <v>0</v>
      </c>
      <c r="AU199" s="16">
        <v>15</v>
      </c>
      <c r="AV199" s="16">
        <v>7</v>
      </c>
      <c r="AW199" s="16">
        <v>105</v>
      </c>
      <c r="AX199" s="16">
        <v>7</v>
      </c>
      <c r="AY199" s="16">
        <v>0</v>
      </c>
      <c r="AZ199" s="16">
        <v>22</v>
      </c>
      <c r="BA199" s="16">
        <v>114</v>
      </c>
      <c r="BB199" s="16">
        <v>19</v>
      </c>
      <c r="BC199" s="16">
        <v>57</v>
      </c>
      <c r="BD199" s="16">
        <v>3</v>
      </c>
      <c r="BE199" s="16">
        <v>7</v>
      </c>
      <c r="BF199" s="16">
        <v>12</v>
      </c>
      <c r="BG199" s="16">
        <v>7</v>
      </c>
      <c r="BH199" s="16">
        <v>37</v>
      </c>
      <c r="BI199" s="16">
        <v>0</v>
      </c>
      <c r="BJ199" s="16">
        <v>1</v>
      </c>
      <c r="BK199" s="16">
        <v>7</v>
      </c>
      <c r="BL199" s="16">
        <v>33</v>
      </c>
      <c r="BM199" s="16">
        <v>10</v>
      </c>
      <c r="BN199" s="16">
        <v>43</v>
      </c>
      <c r="BO199" s="16">
        <v>21</v>
      </c>
      <c r="BP199" s="16">
        <v>8</v>
      </c>
      <c r="BQ199" s="16">
        <v>10</v>
      </c>
      <c r="BR199" s="16">
        <v>2</v>
      </c>
      <c r="BS199" s="16">
        <v>145</v>
      </c>
      <c r="BT199" s="16">
        <v>1</v>
      </c>
      <c r="BU199" s="16">
        <v>0</v>
      </c>
      <c r="BV199" s="16">
        <v>0</v>
      </c>
      <c r="BW199" s="16">
        <v>22</v>
      </c>
      <c r="BX199" s="16">
        <v>2</v>
      </c>
      <c r="BY199" s="16">
        <v>0</v>
      </c>
      <c r="BZ199" s="16">
        <v>4</v>
      </c>
      <c r="CA199" s="16">
        <v>3</v>
      </c>
      <c r="CB199" s="16">
        <v>0</v>
      </c>
      <c r="CC199" s="16">
        <v>122</v>
      </c>
      <c r="CD199" s="16">
        <v>30</v>
      </c>
      <c r="CE199" s="16">
        <v>9</v>
      </c>
      <c r="CF199" s="16">
        <v>38</v>
      </c>
      <c r="CG199" s="16">
        <v>6</v>
      </c>
      <c r="CH199" s="16">
        <v>0</v>
      </c>
      <c r="CI199" s="16">
        <v>11</v>
      </c>
      <c r="CJ199" s="16">
        <v>30</v>
      </c>
      <c r="CK199" s="16">
        <v>58</v>
      </c>
      <c r="CL199" s="16">
        <v>42</v>
      </c>
      <c r="CM199" s="16">
        <v>10</v>
      </c>
      <c r="CN199" s="16">
        <v>3</v>
      </c>
      <c r="CO199" s="16">
        <v>14</v>
      </c>
      <c r="CP199" s="16">
        <v>42</v>
      </c>
      <c r="CQ199" s="16">
        <v>214</v>
      </c>
      <c r="CR199" s="16">
        <v>0</v>
      </c>
      <c r="CS199" s="16">
        <v>103</v>
      </c>
      <c r="CT199" s="16">
        <v>42</v>
      </c>
      <c r="CU199" s="16">
        <v>203</v>
      </c>
      <c r="CV199" s="16">
        <v>158</v>
      </c>
      <c r="CW199" s="16">
        <v>610</v>
      </c>
      <c r="CX199" s="16">
        <v>950</v>
      </c>
      <c r="CY199" s="16">
        <v>21</v>
      </c>
      <c r="CZ199" s="16">
        <v>64</v>
      </c>
      <c r="DA199" s="16">
        <v>1</v>
      </c>
      <c r="DB199" s="16">
        <v>27</v>
      </c>
      <c r="DC199" s="16">
        <v>6</v>
      </c>
      <c r="DD199" s="16">
        <v>56</v>
      </c>
      <c r="DE199" s="16">
        <v>3</v>
      </c>
      <c r="DF199" s="16">
        <v>30</v>
      </c>
      <c r="DG199" s="16">
        <v>12</v>
      </c>
      <c r="DH199" s="16">
        <v>14</v>
      </c>
      <c r="DI199" s="16">
        <v>8</v>
      </c>
      <c r="DJ199" s="16">
        <v>314</v>
      </c>
      <c r="DK199" s="16">
        <v>14</v>
      </c>
      <c r="DL199" s="16">
        <v>36</v>
      </c>
      <c r="DM199" s="16">
        <v>161</v>
      </c>
      <c r="DN199" s="16">
        <v>14</v>
      </c>
      <c r="DO199" s="16">
        <v>16</v>
      </c>
      <c r="DP199" s="16">
        <v>37</v>
      </c>
      <c r="DQ199" s="16">
        <v>4</v>
      </c>
      <c r="DR199" s="16">
        <v>10</v>
      </c>
      <c r="DS199" s="16">
        <v>106</v>
      </c>
      <c r="DT199" s="16">
        <v>9</v>
      </c>
      <c r="DU199" s="16">
        <v>8</v>
      </c>
      <c r="DV199" s="16">
        <v>15</v>
      </c>
      <c r="DW199" s="16">
        <v>121</v>
      </c>
      <c r="DX199" s="16">
        <v>101</v>
      </c>
      <c r="DY199" s="16">
        <v>71</v>
      </c>
      <c r="DZ199" s="16">
        <v>198</v>
      </c>
      <c r="EA199" s="16">
        <v>109</v>
      </c>
      <c r="EB199" s="16">
        <v>4</v>
      </c>
      <c r="EC199" s="16">
        <v>56</v>
      </c>
      <c r="ED199" s="16">
        <v>7</v>
      </c>
      <c r="EE199" s="16">
        <v>0</v>
      </c>
      <c r="EF199" s="16">
        <v>185</v>
      </c>
      <c r="EG199" s="16">
        <v>2959</v>
      </c>
      <c r="EH199" s="16">
        <v>6</v>
      </c>
      <c r="EI199" s="16">
        <v>3</v>
      </c>
      <c r="EJ199" s="16">
        <v>0</v>
      </c>
      <c r="EK199" s="16">
        <v>7</v>
      </c>
      <c r="EL199" s="16">
        <v>1</v>
      </c>
      <c r="EM199" s="16">
        <v>4</v>
      </c>
      <c r="EN199" s="16">
        <v>107</v>
      </c>
      <c r="EO199" s="16">
        <v>19</v>
      </c>
      <c r="EP199" s="16">
        <v>3</v>
      </c>
      <c r="EQ199" s="16">
        <v>17</v>
      </c>
      <c r="ER199" s="16">
        <v>3</v>
      </c>
      <c r="ES199" s="16">
        <v>3</v>
      </c>
      <c r="ET199" s="16">
        <v>10</v>
      </c>
      <c r="EU199" s="16">
        <v>0</v>
      </c>
      <c r="EV199" s="16">
        <v>0</v>
      </c>
      <c r="EW199" s="16">
        <v>2</v>
      </c>
      <c r="EX199" s="16">
        <v>961</v>
      </c>
      <c r="EY199" s="16">
        <v>83</v>
      </c>
      <c r="EZ199" s="16">
        <v>37</v>
      </c>
      <c r="FA199" s="16">
        <v>44</v>
      </c>
      <c r="FB199" s="16">
        <v>132</v>
      </c>
      <c r="FC199" s="16">
        <v>1</v>
      </c>
      <c r="FD199" s="16">
        <v>55</v>
      </c>
      <c r="FE199" s="16">
        <v>202</v>
      </c>
      <c r="FF199" s="16">
        <v>0</v>
      </c>
      <c r="FG199" s="16">
        <v>33</v>
      </c>
      <c r="FH199" s="16">
        <v>0</v>
      </c>
      <c r="FI199" s="16">
        <v>20</v>
      </c>
      <c r="FJ199" s="16">
        <v>4</v>
      </c>
      <c r="FK199" s="16">
        <v>97</v>
      </c>
      <c r="FL199" s="16">
        <v>3</v>
      </c>
      <c r="FM199" s="16">
        <v>13</v>
      </c>
      <c r="FN199" s="16">
        <v>94</v>
      </c>
      <c r="FO199" s="16">
        <v>0</v>
      </c>
      <c r="FP199" s="16">
        <v>31</v>
      </c>
      <c r="FQ199" s="16">
        <v>78</v>
      </c>
      <c r="FR199" s="16">
        <v>105</v>
      </c>
      <c r="FS199" s="16">
        <v>31</v>
      </c>
      <c r="FT199" s="16">
        <v>313</v>
      </c>
      <c r="FU199" s="16">
        <v>95</v>
      </c>
      <c r="FV199" s="16">
        <v>27</v>
      </c>
      <c r="FW199" s="16">
        <v>81</v>
      </c>
      <c r="FX199" s="16">
        <v>164</v>
      </c>
      <c r="FY199" s="16">
        <v>16</v>
      </c>
      <c r="FZ199" s="16">
        <v>68</v>
      </c>
      <c r="GA199" s="16">
        <v>6</v>
      </c>
      <c r="GB199" s="16">
        <v>224</v>
      </c>
      <c r="GC199" s="16">
        <v>24</v>
      </c>
      <c r="GD199" s="16">
        <v>7621</v>
      </c>
      <c r="GE199" s="16">
        <v>189</v>
      </c>
      <c r="GF199" s="16">
        <v>13207</v>
      </c>
      <c r="GG199" s="16">
        <v>3301</v>
      </c>
      <c r="GH199" s="16">
        <v>39866</v>
      </c>
      <c r="GI199" s="16">
        <v>170</v>
      </c>
      <c r="GJ199" s="16">
        <v>14676</v>
      </c>
      <c r="GK199" s="16">
        <v>12110</v>
      </c>
      <c r="GL199" s="16">
        <v>905</v>
      </c>
      <c r="GM199" s="16">
        <v>35267</v>
      </c>
      <c r="GN199" s="16">
        <v>16807</v>
      </c>
      <c r="GO199" s="16">
        <v>1243</v>
      </c>
      <c r="GP199" s="16">
        <v>134560</v>
      </c>
      <c r="GQ199" s="16">
        <v>2042201</v>
      </c>
      <c r="GR199" s="16">
        <v>9209</v>
      </c>
      <c r="GS199" s="16">
        <v>4027</v>
      </c>
      <c r="GT199" s="16">
        <v>18562</v>
      </c>
      <c r="GU199" s="16">
        <v>3567</v>
      </c>
      <c r="GV199" s="16">
        <v>27796</v>
      </c>
      <c r="GW199" s="16">
        <v>14200</v>
      </c>
      <c r="GX199" s="16">
        <v>6008</v>
      </c>
      <c r="GY199" s="16">
        <v>1</v>
      </c>
      <c r="GZ199" s="16">
        <v>1253</v>
      </c>
      <c r="HA199" s="16">
        <v>188</v>
      </c>
      <c r="HB199" s="16">
        <v>4282</v>
      </c>
      <c r="HC199" s="16">
        <v>579</v>
      </c>
      <c r="HD199" s="16">
        <v>856</v>
      </c>
      <c r="HE199" s="16">
        <v>7</v>
      </c>
      <c r="HF199" s="16">
        <v>1175</v>
      </c>
      <c r="HG199" s="16">
        <v>2419</v>
      </c>
      <c r="HH199" s="16">
        <v>2864</v>
      </c>
      <c r="HI199" s="16">
        <v>3089</v>
      </c>
      <c r="HJ199" s="16">
        <v>38</v>
      </c>
      <c r="HK199" s="16">
        <v>2701</v>
      </c>
      <c r="HL199" s="16">
        <v>16349</v>
      </c>
      <c r="HM199" s="16">
        <v>50</v>
      </c>
      <c r="HN199" s="16">
        <v>273</v>
      </c>
      <c r="HO199" s="16">
        <v>50</v>
      </c>
      <c r="HP199" s="16">
        <v>29</v>
      </c>
      <c r="HQ199" s="16">
        <v>7138</v>
      </c>
      <c r="HR199" s="16">
        <v>8471</v>
      </c>
      <c r="HS199" s="16">
        <v>1131</v>
      </c>
      <c r="HT199" s="16">
        <v>8377</v>
      </c>
      <c r="HU199" s="16">
        <v>1450</v>
      </c>
      <c r="HV199" s="16">
        <v>901</v>
      </c>
      <c r="HW199" s="16">
        <v>5794</v>
      </c>
      <c r="HX199" s="16">
        <v>359</v>
      </c>
      <c r="HY199" s="16">
        <v>7258</v>
      </c>
      <c r="HZ199" s="16">
        <v>10182</v>
      </c>
      <c r="IA199" s="16">
        <v>6013</v>
      </c>
      <c r="IB199" s="16">
        <v>159</v>
      </c>
      <c r="IC199" s="16">
        <v>49</v>
      </c>
      <c r="ID199" s="16">
        <v>2674</v>
      </c>
      <c r="IE199" s="16">
        <v>121</v>
      </c>
      <c r="IF199" s="16">
        <v>962</v>
      </c>
      <c r="IG199" s="16">
        <v>112977</v>
      </c>
      <c r="IH199" s="16">
        <v>33530</v>
      </c>
      <c r="II199" s="16">
        <v>815</v>
      </c>
      <c r="IJ199" s="16">
        <v>443</v>
      </c>
      <c r="IK199" s="16">
        <v>839</v>
      </c>
      <c r="IL199" s="16">
        <v>3172</v>
      </c>
      <c r="IM199" s="16">
        <v>5</v>
      </c>
      <c r="IN199" s="16">
        <v>4569</v>
      </c>
      <c r="IO199" s="16">
        <v>4196</v>
      </c>
      <c r="IP199" s="16">
        <v>49861</v>
      </c>
      <c r="IQ199" s="16">
        <v>2678</v>
      </c>
      <c r="IR199" s="16">
        <v>2795</v>
      </c>
      <c r="IS199" s="16">
        <v>6596</v>
      </c>
      <c r="IT199" s="16">
        <v>27365</v>
      </c>
      <c r="IU199" s="16">
        <v>2</v>
      </c>
      <c r="IV199" s="16">
        <v>2880</v>
      </c>
      <c r="IW199" s="16">
        <v>82</v>
      </c>
      <c r="IX199" s="16">
        <v>15</v>
      </c>
      <c r="IY199" s="16">
        <v>26</v>
      </c>
      <c r="IZ199" s="16">
        <v>85</v>
      </c>
      <c r="JA199" s="16">
        <v>65</v>
      </c>
      <c r="JB199" s="16">
        <v>517</v>
      </c>
      <c r="JC199" s="16">
        <v>4</v>
      </c>
      <c r="JD199" s="16">
        <v>1</v>
      </c>
      <c r="JE199" s="16">
        <v>180</v>
      </c>
      <c r="JF199" s="16">
        <v>22</v>
      </c>
      <c r="JG199" s="16">
        <v>237604</v>
      </c>
      <c r="JH199" s="16">
        <v>21747</v>
      </c>
      <c r="JI199" s="16">
        <v>2457</v>
      </c>
      <c r="JJ199" s="16">
        <v>1805</v>
      </c>
      <c r="JK199" s="16">
        <v>39491</v>
      </c>
      <c r="JL199" s="16">
        <v>15</v>
      </c>
      <c r="JM199" s="16">
        <v>0</v>
      </c>
      <c r="JN199" s="16">
        <v>0</v>
      </c>
      <c r="JO199" s="16">
        <v>19</v>
      </c>
      <c r="JP199" s="16">
        <v>18575</v>
      </c>
      <c r="JQ199" s="16">
        <v>381</v>
      </c>
      <c r="JR199" s="16">
        <v>254</v>
      </c>
      <c r="JS199" s="16">
        <v>54</v>
      </c>
      <c r="JT199" s="16">
        <v>0</v>
      </c>
      <c r="JU199" s="16">
        <v>669</v>
      </c>
      <c r="JV199" s="16">
        <v>45</v>
      </c>
      <c r="JW199" s="16">
        <v>27992</v>
      </c>
      <c r="JX199" s="16">
        <v>26007</v>
      </c>
      <c r="JY199" s="16">
        <v>384</v>
      </c>
      <c r="JZ199" s="16">
        <v>211</v>
      </c>
      <c r="KA199" s="16">
        <v>819</v>
      </c>
      <c r="KB199" s="16">
        <v>4</v>
      </c>
      <c r="KC199" s="16">
        <v>14</v>
      </c>
      <c r="KD199" s="16">
        <v>0</v>
      </c>
      <c r="KE199" s="16">
        <v>11</v>
      </c>
      <c r="KF199" s="16">
        <v>1305</v>
      </c>
      <c r="KG199" s="16">
        <v>2231</v>
      </c>
      <c r="KH199" s="16">
        <v>106</v>
      </c>
      <c r="KI199" s="16">
        <v>718</v>
      </c>
      <c r="KJ199" s="16">
        <v>87940</v>
      </c>
      <c r="KK199" s="16">
        <v>318339</v>
      </c>
      <c r="KL199" s="16">
        <v>129</v>
      </c>
      <c r="KM199" s="16">
        <v>2787</v>
      </c>
      <c r="KN199" s="16">
        <v>1416</v>
      </c>
      <c r="KO199" s="16">
        <v>14732</v>
      </c>
      <c r="KP199" s="16">
        <v>386</v>
      </c>
      <c r="KQ199" s="16">
        <v>2742</v>
      </c>
      <c r="KR199" s="16">
        <v>20141</v>
      </c>
      <c r="KS199" s="16">
        <v>251</v>
      </c>
      <c r="KT199" s="16">
        <v>1987</v>
      </c>
      <c r="KU199" s="16">
        <v>81</v>
      </c>
      <c r="KV199" s="16">
        <v>37</v>
      </c>
      <c r="KW199" s="16">
        <v>15135</v>
      </c>
      <c r="KX199" s="16">
        <v>186</v>
      </c>
      <c r="KY199" s="16">
        <v>17559</v>
      </c>
      <c r="KZ199" s="16">
        <v>17171</v>
      </c>
      <c r="LA199" s="16">
        <v>657</v>
      </c>
      <c r="LB199" s="16">
        <v>346</v>
      </c>
      <c r="LC199" s="16">
        <v>678</v>
      </c>
      <c r="LD199" s="16">
        <v>976</v>
      </c>
      <c r="LE199" s="16">
        <v>81118</v>
      </c>
      <c r="LF199" s="16">
        <v>142099</v>
      </c>
      <c r="LG199" s="16">
        <v>28231</v>
      </c>
      <c r="LH199" s="16">
        <v>210239</v>
      </c>
      <c r="LI199" s="16">
        <v>166400</v>
      </c>
      <c r="LJ199" s="16">
        <v>152646</v>
      </c>
      <c r="LK199" s="16">
        <v>45623</v>
      </c>
      <c r="LL199" s="16">
        <v>10641</v>
      </c>
      <c r="LM199" s="16">
        <v>7477</v>
      </c>
      <c r="LN199" s="16">
        <v>93608</v>
      </c>
      <c r="LO199" s="16">
        <v>6</v>
      </c>
      <c r="LP199" s="16">
        <v>2741</v>
      </c>
      <c r="LQ199" s="16">
        <v>2518</v>
      </c>
      <c r="LR199" s="16">
        <v>3086</v>
      </c>
      <c r="LS199" s="16">
        <v>5669</v>
      </c>
      <c r="LT199" s="16">
        <v>18860</v>
      </c>
      <c r="LU199" s="16">
        <v>45</v>
      </c>
      <c r="LV199" s="16">
        <v>0</v>
      </c>
      <c r="LW199" s="16">
        <v>50</v>
      </c>
      <c r="LX199" s="16">
        <v>100</v>
      </c>
      <c r="LY199" s="16">
        <v>0</v>
      </c>
      <c r="LZ199" s="16">
        <v>1239</v>
      </c>
      <c r="MA199" s="16">
        <v>3596</v>
      </c>
      <c r="MB199" s="16">
        <v>8433</v>
      </c>
      <c r="MC199" s="16">
        <v>3907</v>
      </c>
      <c r="MD199" s="16">
        <v>83</v>
      </c>
      <c r="ME199" s="16">
        <v>32</v>
      </c>
      <c r="MF199" s="16">
        <v>181745</v>
      </c>
      <c r="MG199" s="16">
        <v>334</v>
      </c>
      <c r="MH199" s="16">
        <v>200468</v>
      </c>
      <c r="MI199" s="16">
        <v>1862</v>
      </c>
      <c r="MJ199" s="16">
        <v>49</v>
      </c>
      <c r="MK199" s="16">
        <v>28731</v>
      </c>
      <c r="ML199" s="16">
        <v>4585</v>
      </c>
      <c r="MM199" s="16">
        <v>20663</v>
      </c>
      <c r="MN199" s="16">
        <v>75937</v>
      </c>
      <c r="MO199" s="16">
        <v>225</v>
      </c>
      <c r="MP199" s="16">
        <v>105</v>
      </c>
      <c r="MQ199" s="16">
        <v>47638</v>
      </c>
      <c r="MR199" s="16">
        <v>146788</v>
      </c>
      <c r="MS199" s="16">
        <v>42495</v>
      </c>
      <c r="MT199" s="16">
        <v>830</v>
      </c>
      <c r="MU199" s="16">
        <v>3454</v>
      </c>
      <c r="MV199" s="16">
        <v>3670</v>
      </c>
      <c r="MW199" s="16">
        <v>4130</v>
      </c>
      <c r="MX199" s="16">
        <v>659</v>
      </c>
      <c r="MY199" s="16">
        <v>0</v>
      </c>
      <c r="MZ199" s="16">
        <v>1019</v>
      </c>
      <c r="NA199" s="16">
        <v>3218</v>
      </c>
      <c r="NB199" s="16">
        <v>119</v>
      </c>
      <c r="NC199" s="16">
        <v>14464</v>
      </c>
      <c r="ND199" s="16">
        <v>1747</v>
      </c>
      <c r="NE199" s="16">
        <v>3673</v>
      </c>
      <c r="NF199" s="16">
        <v>8090</v>
      </c>
      <c r="NG199" s="16">
        <v>3088</v>
      </c>
      <c r="NH199" s="16">
        <v>2689</v>
      </c>
      <c r="NI199" s="16">
        <v>113</v>
      </c>
      <c r="NJ199" s="16">
        <v>723</v>
      </c>
      <c r="NK199" s="16">
        <v>4681</v>
      </c>
      <c r="NL199" s="16">
        <v>49295</v>
      </c>
      <c r="NM199" s="16">
        <v>4179</v>
      </c>
      <c r="NN199" s="16">
        <v>36</v>
      </c>
      <c r="NO199" s="16">
        <v>0</v>
      </c>
      <c r="NP199" s="16">
        <v>51129</v>
      </c>
      <c r="NQ199" s="16">
        <v>800</v>
      </c>
      <c r="NR199" s="17">
        <v>5557409</v>
      </c>
    </row>
    <row r="200" spans="1:382" ht="13.5" customHeight="1" x14ac:dyDescent="0.2">
      <c r="A200" s="2" t="s">
        <v>407</v>
      </c>
      <c r="B200" s="16">
        <v>0</v>
      </c>
      <c r="C200" s="16">
        <v>0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0</v>
      </c>
      <c r="AW200" s="16">
        <v>0</v>
      </c>
      <c r="AX200" s="16">
        <v>0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0</v>
      </c>
      <c r="BE200" s="16">
        <v>0</v>
      </c>
      <c r="BF200" s="16">
        <v>0</v>
      </c>
      <c r="BG200" s="16">
        <v>0</v>
      </c>
      <c r="BH200" s="16">
        <v>0</v>
      </c>
      <c r="BI200" s="16">
        <v>0</v>
      </c>
      <c r="BJ200" s="16">
        <v>0</v>
      </c>
      <c r="BK200" s="16">
        <v>0</v>
      </c>
      <c r="BL200" s="16">
        <v>0</v>
      </c>
      <c r="BM200" s="16">
        <v>0</v>
      </c>
      <c r="BN200" s="16">
        <v>0</v>
      </c>
      <c r="BO200" s="16">
        <v>0</v>
      </c>
      <c r="BP200" s="16">
        <v>0</v>
      </c>
      <c r="BQ200" s="16">
        <v>0</v>
      </c>
      <c r="BR200" s="16">
        <v>0</v>
      </c>
      <c r="BS200" s="16">
        <v>0</v>
      </c>
      <c r="BT200" s="16">
        <v>0</v>
      </c>
      <c r="BU200" s="16">
        <v>0</v>
      </c>
      <c r="BV200" s="16">
        <v>0</v>
      </c>
      <c r="BW200" s="16">
        <v>0</v>
      </c>
      <c r="BX200" s="16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0</v>
      </c>
      <c r="CE200" s="16">
        <v>0</v>
      </c>
      <c r="CF200" s="16">
        <v>0</v>
      </c>
      <c r="CG200" s="16">
        <v>0</v>
      </c>
      <c r="CH200" s="16">
        <v>0</v>
      </c>
      <c r="CI200" s="16">
        <v>0</v>
      </c>
      <c r="CJ200" s="16">
        <v>0</v>
      </c>
      <c r="CK200" s="16">
        <v>0</v>
      </c>
      <c r="CL200" s="16">
        <v>0</v>
      </c>
      <c r="CM200" s="16">
        <v>0</v>
      </c>
      <c r="CN200" s="16">
        <v>0</v>
      </c>
      <c r="CO200" s="16">
        <v>0</v>
      </c>
      <c r="CP200" s="16">
        <v>0</v>
      </c>
      <c r="CQ200" s="16">
        <v>0</v>
      </c>
      <c r="CR200" s="16">
        <v>0</v>
      </c>
      <c r="CS200" s="16">
        <v>0</v>
      </c>
      <c r="CT200" s="16">
        <v>0</v>
      </c>
      <c r="CU200" s="16">
        <v>0</v>
      </c>
      <c r="CV200" s="16">
        <v>0</v>
      </c>
      <c r="CW200" s="16">
        <v>0</v>
      </c>
      <c r="CX200" s="16">
        <v>0</v>
      </c>
      <c r="CY200" s="16">
        <v>0</v>
      </c>
      <c r="CZ200" s="16">
        <v>0</v>
      </c>
      <c r="DA200" s="16">
        <v>0</v>
      </c>
      <c r="DB200" s="16">
        <v>0</v>
      </c>
      <c r="DC200" s="16">
        <v>0</v>
      </c>
      <c r="DD200" s="16">
        <v>0</v>
      </c>
      <c r="DE200" s="16">
        <v>0</v>
      </c>
      <c r="DF200" s="16">
        <v>0</v>
      </c>
      <c r="DG200" s="16">
        <v>0</v>
      </c>
      <c r="DH200" s="16">
        <v>0</v>
      </c>
      <c r="DI200" s="16">
        <v>0</v>
      </c>
      <c r="DJ200" s="16">
        <v>0</v>
      </c>
      <c r="DK200" s="16">
        <v>0</v>
      </c>
      <c r="DL200" s="16">
        <v>0</v>
      </c>
      <c r="DM200" s="16">
        <v>0</v>
      </c>
      <c r="DN200" s="16">
        <v>0</v>
      </c>
      <c r="DO200" s="16">
        <v>0</v>
      </c>
      <c r="DP200" s="16">
        <v>0</v>
      </c>
      <c r="DQ200" s="16">
        <v>0</v>
      </c>
      <c r="DR200" s="16">
        <v>0</v>
      </c>
      <c r="DS200" s="16">
        <v>0</v>
      </c>
      <c r="DT200" s="16">
        <v>1</v>
      </c>
      <c r="DU200" s="16">
        <v>0</v>
      </c>
      <c r="DV200" s="16">
        <v>0</v>
      </c>
      <c r="DW200" s="16">
        <v>0</v>
      </c>
      <c r="DX200" s="16">
        <v>0</v>
      </c>
      <c r="DY200" s="16">
        <v>0</v>
      </c>
      <c r="DZ200" s="16">
        <v>0</v>
      </c>
      <c r="EA200" s="16">
        <v>0</v>
      </c>
      <c r="EB200" s="16">
        <v>0</v>
      </c>
      <c r="EC200" s="16">
        <v>0</v>
      </c>
      <c r="ED200" s="16">
        <v>0</v>
      </c>
      <c r="EE200" s="16">
        <v>0</v>
      </c>
      <c r="EF200" s="16">
        <v>0</v>
      </c>
      <c r="EG200" s="16">
        <v>0</v>
      </c>
      <c r="EH200" s="16">
        <v>0</v>
      </c>
      <c r="EI200" s="16">
        <v>0</v>
      </c>
      <c r="EJ200" s="16">
        <v>0</v>
      </c>
      <c r="EK200" s="16">
        <v>0</v>
      </c>
      <c r="EL200" s="16">
        <v>0</v>
      </c>
      <c r="EM200" s="16">
        <v>0</v>
      </c>
      <c r="EN200" s="16">
        <v>0</v>
      </c>
      <c r="EO200" s="16">
        <v>0</v>
      </c>
      <c r="EP200" s="16">
        <v>0</v>
      </c>
      <c r="EQ200" s="16">
        <v>0</v>
      </c>
      <c r="ER200" s="16">
        <v>0</v>
      </c>
      <c r="ES200" s="16">
        <v>0</v>
      </c>
      <c r="ET200" s="16">
        <v>0</v>
      </c>
      <c r="EU200" s="16">
        <v>0</v>
      </c>
      <c r="EV200" s="16">
        <v>0</v>
      </c>
      <c r="EW200" s="16">
        <v>0</v>
      </c>
      <c r="EX200" s="16">
        <v>0</v>
      </c>
      <c r="EY200" s="16">
        <v>0</v>
      </c>
      <c r="EZ200" s="16">
        <v>0</v>
      </c>
      <c r="FA200" s="16">
        <v>0</v>
      </c>
      <c r="FB200" s="16">
        <v>0</v>
      </c>
      <c r="FC200" s="16">
        <v>0</v>
      </c>
      <c r="FD200" s="16">
        <v>0</v>
      </c>
      <c r="FE200" s="16">
        <v>0</v>
      </c>
      <c r="FF200" s="16">
        <v>0</v>
      </c>
      <c r="FG200" s="16">
        <v>0</v>
      </c>
      <c r="FH200" s="16">
        <v>0</v>
      </c>
      <c r="FI200" s="16">
        <v>0</v>
      </c>
      <c r="FJ200" s="16">
        <v>0</v>
      </c>
      <c r="FK200" s="16">
        <v>0</v>
      </c>
      <c r="FL200" s="16">
        <v>0</v>
      </c>
      <c r="FM200" s="16">
        <v>0</v>
      </c>
      <c r="FN200" s="16">
        <v>0</v>
      </c>
      <c r="FO200" s="16">
        <v>0</v>
      </c>
      <c r="FP200" s="16">
        <v>0</v>
      </c>
      <c r="FQ200" s="16">
        <v>0</v>
      </c>
      <c r="FR200" s="16">
        <v>0</v>
      </c>
      <c r="FS200" s="16">
        <v>0</v>
      </c>
      <c r="FT200" s="16">
        <v>0</v>
      </c>
      <c r="FU200" s="16">
        <v>0</v>
      </c>
      <c r="FV200" s="16">
        <v>0</v>
      </c>
      <c r="FW200" s="16">
        <v>0</v>
      </c>
      <c r="FX200" s="16">
        <v>0</v>
      </c>
      <c r="FY200" s="16">
        <v>0</v>
      </c>
      <c r="FZ200" s="16">
        <v>0</v>
      </c>
      <c r="GA200" s="16">
        <v>0</v>
      </c>
      <c r="GB200" s="16">
        <v>0</v>
      </c>
      <c r="GC200" s="16">
        <v>0</v>
      </c>
      <c r="GD200" s="16">
        <v>0</v>
      </c>
      <c r="GE200" s="16">
        <v>0</v>
      </c>
      <c r="GF200" s="16">
        <v>0</v>
      </c>
      <c r="GG200" s="16">
        <v>0</v>
      </c>
      <c r="GH200" s="16">
        <v>6798</v>
      </c>
      <c r="GI200" s="16">
        <v>0</v>
      </c>
      <c r="GJ200" s="16">
        <v>0</v>
      </c>
      <c r="GK200" s="16">
        <v>188</v>
      </c>
      <c r="GL200" s="16">
        <v>1</v>
      </c>
      <c r="GM200" s="16">
        <v>0</v>
      </c>
      <c r="GN200" s="16">
        <v>1</v>
      </c>
      <c r="GO200" s="16">
        <v>1</v>
      </c>
      <c r="GP200" s="16">
        <v>1</v>
      </c>
      <c r="GQ200" s="16">
        <v>446</v>
      </c>
      <c r="GR200" s="16">
        <v>45682</v>
      </c>
      <c r="GS200" s="16">
        <v>25008</v>
      </c>
      <c r="GT200" s="16">
        <v>400</v>
      </c>
      <c r="GU200" s="16">
        <v>0</v>
      </c>
      <c r="GV200" s="16">
        <v>0</v>
      </c>
      <c r="GW200" s="16">
        <v>0</v>
      </c>
      <c r="GX200" s="16">
        <v>964</v>
      </c>
      <c r="GY200" s="16">
        <v>0</v>
      </c>
      <c r="GZ200" s="16">
        <v>0</v>
      </c>
      <c r="HA200" s="16">
        <v>0</v>
      </c>
      <c r="HB200" s="16">
        <v>0</v>
      </c>
      <c r="HC200" s="16">
        <v>0</v>
      </c>
      <c r="HD200" s="16">
        <v>0</v>
      </c>
      <c r="HE200" s="16">
        <v>0</v>
      </c>
      <c r="HF200" s="16">
        <v>0</v>
      </c>
      <c r="HG200" s="16">
        <v>0</v>
      </c>
      <c r="HH200" s="16">
        <v>0</v>
      </c>
      <c r="HI200" s="16">
        <v>0</v>
      </c>
      <c r="HJ200" s="16">
        <v>0</v>
      </c>
      <c r="HK200" s="16">
        <v>0</v>
      </c>
      <c r="HL200" s="16">
        <v>0</v>
      </c>
      <c r="HM200" s="16">
        <v>0</v>
      </c>
      <c r="HN200" s="16">
        <v>0</v>
      </c>
      <c r="HO200" s="16">
        <v>0</v>
      </c>
      <c r="HP200" s="16">
        <v>0</v>
      </c>
      <c r="HQ200" s="16">
        <v>0</v>
      </c>
      <c r="HR200" s="16">
        <v>0</v>
      </c>
      <c r="HS200" s="16">
        <v>0</v>
      </c>
      <c r="HT200" s="16">
        <v>1</v>
      </c>
      <c r="HU200" s="16">
        <v>0</v>
      </c>
      <c r="HV200" s="16">
        <v>0</v>
      </c>
      <c r="HW200" s="16">
        <v>0</v>
      </c>
      <c r="HX200" s="16">
        <v>0</v>
      </c>
      <c r="HY200" s="16">
        <v>0</v>
      </c>
      <c r="HZ200" s="16">
        <v>0</v>
      </c>
      <c r="IA200" s="16">
        <v>0</v>
      </c>
      <c r="IB200" s="16">
        <v>0</v>
      </c>
      <c r="IC200" s="16">
        <v>0</v>
      </c>
      <c r="ID200" s="16">
        <v>0</v>
      </c>
      <c r="IE200" s="16">
        <v>0</v>
      </c>
      <c r="IF200" s="16">
        <v>0</v>
      </c>
      <c r="IG200" s="16">
        <v>0</v>
      </c>
      <c r="IH200" s="16">
        <v>150</v>
      </c>
      <c r="II200" s="16">
        <v>20</v>
      </c>
      <c r="IJ200" s="16">
        <v>0</v>
      </c>
      <c r="IK200" s="16">
        <v>0</v>
      </c>
      <c r="IL200" s="16">
        <v>0</v>
      </c>
      <c r="IM200" s="16">
        <v>0</v>
      </c>
      <c r="IN200" s="16">
        <v>5</v>
      </c>
      <c r="IO200" s="16">
        <v>6</v>
      </c>
      <c r="IP200" s="16">
        <v>1</v>
      </c>
      <c r="IQ200" s="16">
        <v>0</v>
      </c>
      <c r="IR200" s="16">
        <v>1</v>
      </c>
      <c r="IS200" s="16">
        <v>25</v>
      </c>
      <c r="IT200" s="16">
        <v>1</v>
      </c>
      <c r="IU200" s="16">
        <v>0</v>
      </c>
      <c r="IV200" s="16">
        <v>1</v>
      </c>
      <c r="IW200" s="16">
        <v>0</v>
      </c>
      <c r="IX200" s="16">
        <v>0</v>
      </c>
      <c r="IY200" s="16">
        <v>0</v>
      </c>
      <c r="IZ200" s="16">
        <v>0</v>
      </c>
      <c r="JA200" s="16">
        <v>0</v>
      </c>
      <c r="JB200" s="16">
        <v>0</v>
      </c>
      <c r="JC200" s="16">
        <v>0</v>
      </c>
      <c r="JD200" s="16">
        <v>0</v>
      </c>
      <c r="JE200" s="16">
        <v>0</v>
      </c>
      <c r="JF200" s="16">
        <v>0</v>
      </c>
      <c r="JG200" s="16">
        <v>163</v>
      </c>
      <c r="JH200" s="16">
        <v>861</v>
      </c>
      <c r="JI200" s="16">
        <v>0</v>
      </c>
      <c r="JJ200" s="16">
        <v>0</v>
      </c>
      <c r="JK200" s="16">
        <v>0</v>
      </c>
      <c r="JL200" s="16">
        <v>0</v>
      </c>
      <c r="JM200" s="16">
        <v>0</v>
      </c>
      <c r="JN200" s="16">
        <v>0</v>
      </c>
      <c r="JO200" s="16">
        <v>0</v>
      </c>
      <c r="JP200" s="16">
        <v>0</v>
      </c>
      <c r="JQ200" s="16">
        <v>0</v>
      </c>
      <c r="JR200" s="16">
        <v>0</v>
      </c>
      <c r="JS200" s="16">
        <v>0</v>
      </c>
      <c r="JT200" s="16">
        <v>0</v>
      </c>
      <c r="JU200" s="16">
        <v>0</v>
      </c>
      <c r="JV200" s="16">
        <v>2</v>
      </c>
      <c r="JW200" s="16">
        <v>39</v>
      </c>
      <c r="JX200" s="16">
        <v>43</v>
      </c>
      <c r="JY200" s="16">
        <v>0</v>
      </c>
      <c r="JZ200" s="16">
        <v>0</v>
      </c>
      <c r="KA200" s="16">
        <v>0</v>
      </c>
      <c r="KB200" s="16">
        <v>0</v>
      </c>
      <c r="KC200" s="16">
        <v>0</v>
      </c>
      <c r="KD200" s="16">
        <v>0</v>
      </c>
      <c r="KE200" s="16">
        <v>0</v>
      </c>
      <c r="KF200" s="16">
        <v>0</v>
      </c>
      <c r="KG200" s="16">
        <v>1</v>
      </c>
      <c r="KH200" s="16">
        <v>0</v>
      </c>
      <c r="KI200" s="16">
        <v>1</v>
      </c>
      <c r="KJ200" s="16">
        <v>0</v>
      </c>
      <c r="KK200" s="16">
        <v>575</v>
      </c>
      <c r="KL200" s="16">
        <v>0</v>
      </c>
      <c r="KM200" s="16">
        <v>9</v>
      </c>
      <c r="KN200" s="16">
        <v>0</v>
      </c>
      <c r="KO200" s="16">
        <v>0</v>
      </c>
      <c r="KP200" s="16">
        <v>0</v>
      </c>
      <c r="KQ200" s="16">
        <v>0</v>
      </c>
      <c r="KR200" s="16">
        <v>0</v>
      </c>
      <c r="KS200" s="16">
        <v>0</v>
      </c>
      <c r="KT200" s="16">
        <v>0</v>
      </c>
      <c r="KU200" s="16">
        <v>0</v>
      </c>
      <c r="KV200" s="16">
        <v>0</v>
      </c>
      <c r="KW200" s="16">
        <v>2</v>
      </c>
      <c r="KX200" s="16">
        <v>0</v>
      </c>
      <c r="KY200" s="16">
        <v>64</v>
      </c>
      <c r="KZ200" s="16">
        <v>147</v>
      </c>
      <c r="LA200" s="16">
        <v>201</v>
      </c>
      <c r="LB200" s="16">
        <v>3</v>
      </c>
      <c r="LC200" s="16">
        <v>204</v>
      </c>
      <c r="LD200" s="16">
        <v>62</v>
      </c>
      <c r="LE200" s="16">
        <v>53</v>
      </c>
      <c r="LF200" s="16">
        <v>15</v>
      </c>
      <c r="LG200" s="16">
        <v>1</v>
      </c>
      <c r="LH200" s="16">
        <v>12</v>
      </c>
      <c r="LI200" s="16">
        <v>4</v>
      </c>
      <c r="LJ200" s="16">
        <v>77</v>
      </c>
      <c r="LK200" s="16">
        <v>0</v>
      </c>
      <c r="LL200" s="16">
        <v>1</v>
      </c>
      <c r="LM200" s="16">
        <v>8</v>
      </c>
      <c r="LN200" s="16">
        <v>1</v>
      </c>
      <c r="LO200" s="16">
        <v>0</v>
      </c>
      <c r="LP200" s="16">
        <v>2</v>
      </c>
      <c r="LQ200" s="16">
        <v>0</v>
      </c>
      <c r="LR200" s="16">
        <v>2</v>
      </c>
      <c r="LS200" s="16">
        <v>1</v>
      </c>
      <c r="LT200" s="16">
        <v>56</v>
      </c>
      <c r="LU200" s="16">
        <v>0</v>
      </c>
      <c r="LV200" s="16">
        <v>0</v>
      </c>
      <c r="LW200" s="16">
        <v>0</v>
      </c>
      <c r="LX200" s="16">
        <v>1</v>
      </c>
      <c r="LY200" s="16">
        <v>931</v>
      </c>
      <c r="LZ200" s="16">
        <v>5</v>
      </c>
      <c r="MA200" s="16">
        <v>11</v>
      </c>
      <c r="MB200" s="16">
        <v>78</v>
      </c>
      <c r="MC200" s="16">
        <v>19</v>
      </c>
      <c r="MD200" s="16">
        <v>0</v>
      </c>
      <c r="ME200" s="16">
        <v>0</v>
      </c>
      <c r="MF200" s="16">
        <v>60981</v>
      </c>
      <c r="MG200" s="16">
        <v>31</v>
      </c>
      <c r="MH200" s="16">
        <v>234</v>
      </c>
      <c r="MI200" s="16">
        <v>2</v>
      </c>
      <c r="MJ200" s="16">
        <v>0</v>
      </c>
      <c r="MK200" s="16">
        <v>0</v>
      </c>
      <c r="ML200" s="16">
        <v>0</v>
      </c>
      <c r="MM200" s="16">
        <v>12</v>
      </c>
      <c r="MN200" s="16">
        <v>115</v>
      </c>
      <c r="MO200" s="16">
        <v>0</v>
      </c>
      <c r="MP200" s="16">
        <v>51</v>
      </c>
      <c r="MQ200" s="16">
        <v>66</v>
      </c>
      <c r="MR200" s="16">
        <v>3442</v>
      </c>
      <c r="MS200" s="16">
        <v>18</v>
      </c>
      <c r="MT200" s="16">
        <v>20</v>
      </c>
      <c r="MU200" s="16">
        <v>32</v>
      </c>
      <c r="MV200" s="16">
        <v>84</v>
      </c>
      <c r="MW200" s="16">
        <v>46</v>
      </c>
      <c r="MX200" s="16">
        <v>24</v>
      </c>
      <c r="MY200" s="16">
        <v>3</v>
      </c>
      <c r="MZ200" s="16">
        <v>65</v>
      </c>
      <c r="NA200" s="16">
        <v>121</v>
      </c>
      <c r="NB200" s="16">
        <v>188</v>
      </c>
      <c r="NC200" s="16">
        <v>69</v>
      </c>
      <c r="ND200" s="16">
        <v>16</v>
      </c>
      <c r="NE200" s="16">
        <v>0</v>
      </c>
      <c r="NF200" s="16">
        <v>11</v>
      </c>
      <c r="NG200" s="16">
        <v>83</v>
      </c>
      <c r="NH200" s="16">
        <v>9</v>
      </c>
      <c r="NI200" s="16">
        <v>1</v>
      </c>
      <c r="NJ200" s="16">
        <v>210</v>
      </c>
      <c r="NK200" s="16">
        <v>3</v>
      </c>
      <c r="NL200" s="16">
        <v>65289</v>
      </c>
      <c r="NM200" s="16">
        <v>13</v>
      </c>
      <c r="NN200" s="16">
        <v>0</v>
      </c>
      <c r="NO200" s="16">
        <v>0</v>
      </c>
      <c r="NP200" s="16">
        <v>1</v>
      </c>
      <c r="NQ200" s="16">
        <v>0</v>
      </c>
      <c r="NR200" s="17">
        <v>214597</v>
      </c>
    </row>
    <row r="201" spans="1:382" ht="13.5" customHeight="1" x14ac:dyDescent="0.2">
      <c r="A201" s="2" t="s">
        <v>409</v>
      </c>
      <c r="B201" s="16">
        <v>0</v>
      </c>
      <c r="C201" s="16">
        <v>0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7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>
        <v>0</v>
      </c>
      <c r="AZ201" s="16">
        <v>0</v>
      </c>
      <c r="BA201" s="16">
        <v>0</v>
      </c>
      <c r="BB201" s="16">
        <v>0</v>
      </c>
      <c r="BC201" s="16">
        <v>0</v>
      </c>
      <c r="BD201" s="16">
        <v>0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0</v>
      </c>
      <c r="BO201" s="16">
        <v>0</v>
      </c>
      <c r="BP201" s="16">
        <v>0</v>
      </c>
      <c r="BQ201" s="16">
        <v>0</v>
      </c>
      <c r="BR201" s="16">
        <v>0</v>
      </c>
      <c r="BS201" s="16">
        <v>0</v>
      </c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>
        <v>0</v>
      </c>
      <c r="CA201" s="16">
        <v>0</v>
      </c>
      <c r="CB201" s="16">
        <v>0</v>
      </c>
      <c r="CC201" s="16">
        <v>0</v>
      </c>
      <c r="CD201" s="16">
        <v>0</v>
      </c>
      <c r="CE201" s="16">
        <v>0</v>
      </c>
      <c r="CF201" s="16">
        <v>0</v>
      </c>
      <c r="CG201" s="16">
        <v>0</v>
      </c>
      <c r="CH201" s="16">
        <v>0</v>
      </c>
      <c r="CI201" s="16">
        <v>0</v>
      </c>
      <c r="CJ201" s="16">
        <v>0</v>
      </c>
      <c r="CK201" s="16">
        <v>10</v>
      </c>
      <c r="CL201" s="16">
        <v>0</v>
      </c>
      <c r="CM201" s="16">
        <v>0</v>
      </c>
      <c r="CN201" s="16">
        <v>0</v>
      </c>
      <c r="CO201" s="16">
        <v>0</v>
      </c>
      <c r="CP201" s="16">
        <v>0</v>
      </c>
      <c r="CQ201" s="16">
        <v>0</v>
      </c>
      <c r="CR201" s="16">
        <v>0</v>
      </c>
      <c r="CS201" s="16">
        <v>0</v>
      </c>
      <c r="CT201" s="16">
        <v>0</v>
      </c>
      <c r="CU201" s="16">
        <v>0</v>
      </c>
      <c r="CV201" s="16">
        <v>0</v>
      </c>
      <c r="CW201" s="16">
        <v>0</v>
      </c>
      <c r="CX201" s="16">
        <v>0</v>
      </c>
      <c r="CY201" s="16">
        <v>0</v>
      </c>
      <c r="CZ201" s="16">
        <v>0</v>
      </c>
      <c r="DA201" s="16">
        <v>0</v>
      </c>
      <c r="DB201" s="16">
        <v>0</v>
      </c>
      <c r="DC201" s="16">
        <v>0</v>
      </c>
      <c r="DD201" s="16">
        <v>0</v>
      </c>
      <c r="DE201" s="16">
        <v>7</v>
      </c>
      <c r="DF201" s="16">
        <v>0</v>
      </c>
      <c r="DG201" s="16">
        <v>0</v>
      </c>
      <c r="DH201" s="16">
        <v>0</v>
      </c>
      <c r="DI201" s="16">
        <v>0</v>
      </c>
      <c r="DJ201" s="16">
        <v>0</v>
      </c>
      <c r="DK201" s="16">
        <v>0</v>
      </c>
      <c r="DL201" s="16">
        <v>0</v>
      </c>
      <c r="DM201" s="16">
        <v>0</v>
      </c>
      <c r="DN201" s="16">
        <v>0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7</v>
      </c>
      <c r="DU201" s="16">
        <v>0</v>
      </c>
      <c r="DV201" s="16">
        <v>0</v>
      </c>
      <c r="DW201" s="16">
        <v>0</v>
      </c>
      <c r="DX201" s="16">
        <v>0</v>
      </c>
      <c r="DY201" s="16">
        <v>3</v>
      </c>
      <c r="DZ201" s="16">
        <v>0</v>
      </c>
      <c r="EA201" s="16">
        <v>0</v>
      </c>
      <c r="EB201" s="16">
        <v>0</v>
      </c>
      <c r="EC201" s="16">
        <v>4</v>
      </c>
      <c r="ED201" s="16">
        <v>0</v>
      </c>
      <c r="EE201" s="16">
        <v>0</v>
      </c>
      <c r="EF201" s="16">
        <v>0</v>
      </c>
      <c r="EG201" s="16">
        <v>0</v>
      </c>
      <c r="EH201" s="16">
        <v>0</v>
      </c>
      <c r="EI201" s="16">
        <v>0</v>
      </c>
      <c r="EJ201" s="16">
        <v>0</v>
      </c>
      <c r="EK201" s="16">
        <v>0</v>
      </c>
      <c r="EL201" s="16">
        <v>0</v>
      </c>
      <c r="EM201" s="16">
        <v>0</v>
      </c>
      <c r="EN201" s="16">
        <v>0</v>
      </c>
      <c r="EO201" s="16">
        <v>0</v>
      </c>
      <c r="EP201" s="16">
        <v>0</v>
      </c>
      <c r="EQ201" s="16">
        <v>0</v>
      </c>
      <c r="ER201" s="16">
        <v>0</v>
      </c>
      <c r="ES201" s="16">
        <v>0</v>
      </c>
      <c r="ET201" s="16">
        <v>0</v>
      </c>
      <c r="EU201" s="16">
        <v>0</v>
      </c>
      <c r="EV201" s="16">
        <v>0</v>
      </c>
      <c r="EW201" s="16">
        <v>0</v>
      </c>
      <c r="EX201" s="16">
        <v>0</v>
      </c>
      <c r="EY201" s="16">
        <v>0</v>
      </c>
      <c r="EZ201" s="16">
        <v>0</v>
      </c>
      <c r="FA201" s="16">
        <v>0</v>
      </c>
      <c r="FB201" s="16">
        <v>0</v>
      </c>
      <c r="FC201" s="16">
        <v>0</v>
      </c>
      <c r="FD201" s="16">
        <v>0</v>
      </c>
      <c r="FE201" s="16">
        <v>0</v>
      </c>
      <c r="FF201" s="16">
        <v>0</v>
      </c>
      <c r="FG201" s="16">
        <v>0</v>
      </c>
      <c r="FH201" s="16">
        <v>0</v>
      </c>
      <c r="FI201" s="16">
        <v>0</v>
      </c>
      <c r="FJ201" s="16">
        <v>0</v>
      </c>
      <c r="FK201" s="16">
        <v>0</v>
      </c>
      <c r="FL201" s="16">
        <v>0</v>
      </c>
      <c r="FM201" s="16">
        <v>0</v>
      </c>
      <c r="FN201" s="16">
        <v>0</v>
      </c>
      <c r="FO201" s="16">
        <v>20</v>
      </c>
      <c r="FP201" s="16">
        <v>0</v>
      </c>
      <c r="FQ201" s="16">
        <v>0</v>
      </c>
      <c r="FR201" s="16">
        <v>0</v>
      </c>
      <c r="FS201" s="16">
        <v>0</v>
      </c>
      <c r="FT201" s="16">
        <v>14</v>
      </c>
      <c r="FU201" s="16">
        <v>3</v>
      </c>
      <c r="FV201" s="16">
        <v>0</v>
      </c>
      <c r="FW201" s="16">
        <v>0</v>
      </c>
      <c r="FX201" s="16">
        <v>0</v>
      </c>
      <c r="FY201" s="16">
        <v>0</v>
      </c>
      <c r="FZ201" s="16">
        <v>0</v>
      </c>
      <c r="GA201" s="16">
        <v>0</v>
      </c>
      <c r="GB201" s="16">
        <v>0</v>
      </c>
      <c r="GC201" s="16">
        <v>0</v>
      </c>
      <c r="GD201" s="16">
        <v>170</v>
      </c>
      <c r="GE201" s="16">
        <v>20</v>
      </c>
      <c r="GF201" s="16">
        <v>638</v>
      </c>
      <c r="GG201" s="16">
        <v>2103</v>
      </c>
      <c r="GH201" s="16">
        <v>2691</v>
      </c>
      <c r="GI201" s="16">
        <v>23</v>
      </c>
      <c r="GJ201" s="16">
        <v>5406</v>
      </c>
      <c r="GK201" s="16">
        <v>3981</v>
      </c>
      <c r="GL201" s="16">
        <v>0</v>
      </c>
      <c r="GM201" s="16">
        <v>2455</v>
      </c>
      <c r="GN201" s="16">
        <v>891</v>
      </c>
      <c r="GO201" s="16">
        <v>0</v>
      </c>
      <c r="GP201" s="16">
        <v>5</v>
      </c>
      <c r="GQ201" s="16">
        <v>0</v>
      </c>
      <c r="GR201" s="16">
        <v>0</v>
      </c>
      <c r="GS201" s="16">
        <v>264843</v>
      </c>
      <c r="GT201" s="16">
        <v>982</v>
      </c>
      <c r="GU201" s="16">
        <v>9050</v>
      </c>
      <c r="GV201" s="16">
        <v>2149</v>
      </c>
      <c r="GW201" s="16">
        <v>1950</v>
      </c>
      <c r="GX201" s="16">
        <v>57</v>
      </c>
      <c r="GY201" s="16">
        <v>0</v>
      </c>
      <c r="GZ201" s="16">
        <v>311</v>
      </c>
      <c r="HA201" s="16">
        <v>5</v>
      </c>
      <c r="HB201" s="16">
        <v>27</v>
      </c>
      <c r="HC201" s="16">
        <v>49</v>
      </c>
      <c r="HD201" s="16">
        <v>203</v>
      </c>
      <c r="HE201" s="16">
        <v>27</v>
      </c>
      <c r="HF201" s="16">
        <v>53</v>
      </c>
      <c r="HG201" s="16">
        <v>4588</v>
      </c>
      <c r="HH201" s="16">
        <v>2416</v>
      </c>
      <c r="HI201" s="16">
        <v>382</v>
      </c>
      <c r="HJ201" s="16">
        <v>9</v>
      </c>
      <c r="HK201" s="16">
        <v>7</v>
      </c>
      <c r="HL201" s="16">
        <v>267</v>
      </c>
      <c r="HM201" s="16">
        <v>83</v>
      </c>
      <c r="HN201" s="16">
        <v>197</v>
      </c>
      <c r="HO201" s="16">
        <v>0</v>
      </c>
      <c r="HP201" s="16">
        <v>0</v>
      </c>
      <c r="HQ201" s="16">
        <v>130</v>
      </c>
      <c r="HR201" s="16">
        <v>285</v>
      </c>
      <c r="HS201" s="16">
        <v>271</v>
      </c>
      <c r="HT201" s="16">
        <v>241</v>
      </c>
      <c r="HU201" s="16">
        <v>114</v>
      </c>
      <c r="HV201" s="16">
        <v>18</v>
      </c>
      <c r="HW201" s="16">
        <v>8</v>
      </c>
      <c r="HX201" s="16">
        <v>151</v>
      </c>
      <c r="HY201" s="16">
        <v>0</v>
      </c>
      <c r="HZ201" s="16">
        <v>1403</v>
      </c>
      <c r="IA201" s="16">
        <v>481</v>
      </c>
      <c r="IB201" s="16">
        <v>7</v>
      </c>
      <c r="IC201" s="16">
        <v>4</v>
      </c>
      <c r="ID201" s="16">
        <v>8</v>
      </c>
      <c r="IE201" s="16">
        <v>11</v>
      </c>
      <c r="IF201" s="16">
        <v>14</v>
      </c>
      <c r="IG201" s="16">
        <v>210</v>
      </c>
      <c r="IH201" s="16">
        <v>369178</v>
      </c>
      <c r="II201" s="16">
        <v>60292</v>
      </c>
      <c r="IJ201" s="16">
        <v>635</v>
      </c>
      <c r="IK201" s="16">
        <v>3935</v>
      </c>
      <c r="IL201" s="16">
        <v>278</v>
      </c>
      <c r="IM201" s="16">
        <v>0</v>
      </c>
      <c r="IN201" s="16">
        <v>0</v>
      </c>
      <c r="IO201" s="16">
        <v>0</v>
      </c>
      <c r="IP201" s="16">
        <v>262</v>
      </c>
      <c r="IQ201" s="16">
        <v>49</v>
      </c>
      <c r="IR201" s="16">
        <v>9</v>
      </c>
      <c r="IS201" s="16">
        <v>125</v>
      </c>
      <c r="IT201" s="16">
        <v>6140</v>
      </c>
      <c r="IU201" s="16">
        <v>0</v>
      </c>
      <c r="IV201" s="16">
        <v>771</v>
      </c>
      <c r="IW201" s="16">
        <v>0</v>
      </c>
      <c r="IX201" s="16">
        <v>0</v>
      </c>
      <c r="IY201" s="16">
        <v>6</v>
      </c>
      <c r="IZ201" s="16">
        <v>183</v>
      </c>
      <c r="JA201" s="16">
        <v>0</v>
      </c>
      <c r="JB201" s="16">
        <v>155</v>
      </c>
      <c r="JC201" s="16">
        <v>0</v>
      </c>
      <c r="JD201" s="16">
        <v>0</v>
      </c>
      <c r="JE201" s="16">
        <v>7</v>
      </c>
      <c r="JF201" s="16">
        <v>0</v>
      </c>
      <c r="JG201" s="16">
        <v>3043</v>
      </c>
      <c r="JH201" s="16">
        <v>290</v>
      </c>
      <c r="JI201" s="16">
        <v>0</v>
      </c>
      <c r="JJ201" s="16">
        <v>11</v>
      </c>
      <c r="JK201" s="16">
        <v>57</v>
      </c>
      <c r="JL201" s="16">
        <v>0</v>
      </c>
      <c r="JM201" s="16">
        <v>0</v>
      </c>
      <c r="JN201" s="16">
        <v>0</v>
      </c>
      <c r="JO201" s="16">
        <v>0</v>
      </c>
      <c r="JP201" s="16">
        <v>0</v>
      </c>
      <c r="JQ201" s="16">
        <v>0</v>
      </c>
      <c r="JR201" s="16">
        <v>43</v>
      </c>
      <c r="JS201" s="16">
        <v>0</v>
      </c>
      <c r="JT201" s="16">
        <v>0</v>
      </c>
      <c r="JU201" s="16">
        <v>0</v>
      </c>
      <c r="JV201" s="16">
        <v>50</v>
      </c>
      <c r="JW201" s="16">
        <v>1210</v>
      </c>
      <c r="JX201" s="16">
        <v>4471</v>
      </c>
      <c r="JY201" s="16">
        <v>19</v>
      </c>
      <c r="JZ201" s="16">
        <v>77</v>
      </c>
      <c r="KA201" s="16">
        <v>63</v>
      </c>
      <c r="KB201" s="16">
        <v>5</v>
      </c>
      <c r="KC201" s="16">
        <v>12</v>
      </c>
      <c r="KD201" s="16">
        <v>9</v>
      </c>
      <c r="KE201" s="16">
        <v>3</v>
      </c>
      <c r="KF201" s="16">
        <v>47</v>
      </c>
      <c r="KG201" s="16">
        <v>66</v>
      </c>
      <c r="KH201" s="16">
        <v>4</v>
      </c>
      <c r="KI201" s="16">
        <v>42</v>
      </c>
      <c r="KJ201" s="16">
        <v>470</v>
      </c>
      <c r="KK201" s="16">
        <v>9251</v>
      </c>
      <c r="KL201" s="16">
        <v>4</v>
      </c>
      <c r="KM201" s="16">
        <v>14</v>
      </c>
      <c r="KN201" s="16">
        <v>0</v>
      </c>
      <c r="KO201" s="16">
        <v>3</v>
      </c>
      <c r="KP201" s="16">
        <v>1</v>
      </c>
      <c r="KQ201" s="16">
        <v>2325</v>
      </c>
      <c r="KR201" s="16">
        <v>3868</v>
      </c>
      <c r="KS201" s="16">
        <v>13</v>
      </c>
      <c r="KT201" s="16">
        <v>0</v>
      </c>
      <c r="KU201" s="16">
        <v>14</v>
      </c>
      <c r="KV201" s="16">
        <v>3530</v>
      </c>
      <c r="KW201" s="16">
        <v>1828</v>
      </c>
      <c r="KX201" s="16">
        <v>29</v>
      </c>
      <c r="KY201" s="16">
        <v>4104</v>
      </c>
      <c r="KZ201" s="16">
        <v>631</v>
      </c>
      <c r="LA201" s="16">
        <v>354</v>
      </c>
      <c r="LB201" s="16">
        <v>111</v>
      </c>
      <c r="LC201" s="16">
        <v>0</v>
      </c>
      <c r="LD201" s="16">
        <v>48</v>
      </c>
      <c r="LE201" s="16">
        <v>2174</v>
      </c>
      <c r="LF201" s="16">
        <v>518</v>
      </c>
      <c r="LG201" s="16">
        <v>82</v>
      </c>
      <c r="LH201" s="16">
        <v>0</v>
      </c>
      <c r="LI201" s="16">
        <v>50</v>
      </c>
      <c r="LJ201" s="16">
        <v>234</v>
      </c>
      <c r="LK201" s="16">
        <v>1606</v>
      </c>
      <c r="LL201" s="16">
        <v>1260</v>
      </c>
      <c r="LM201" s="16">
        <v>0</v>
      </c>
      <c r="LN201" s="16">
        <v>385</v>
      </c>
      <c r="LO201" s="16">
        <v>0</v>
      </c>
      <c r="LP201" s="16">
        <v>1495</v>
      </c>
      <c r="LQ201" s="16">
        <v>1042</v>
      </c>
      <c r="LR201" s="16">
        <v>521</v>
      </c>
      <c r="LS201" s="16">
        <v>283</v>
      </c>
      <c r="LT201" s="16">
        <v>4901</v>
      </c>
      <c r="LU201" s="16">
        <v>3</v>
      </c>
      <c r="LV201" s="16">
        <v>0</v>
      </c>
      <c r="LW201" s="16">
        <v>117</v>
      </c>
      <c r="LX201" s="16">
        <v>36</v>
      </c>
      <c r="LY201" s="16">
        <v>0</v>
      </c>
      <c r="LZ201" s="16">
        <v>82</v>
      </c>
      <c r="MA201" s="16">
        <v>0</v>
      </c>
      <c r="MB201" s="16">
        <v>34</v>
      </c>
      <c r="MC201" s="16">
        <v>1218</v>
      </c>
      <c r="MD201" s="16">
        <v>480</v>
      </c>
      <c r="ME201" s="16">
        <v>119</v>
      </c>
      <c r="MF201" s="16">
        <v>11714</v>
      </c>
      <c r="MG201" s="16">
        <v>289</v>
      </c>
      <c r="MH201" s="16">
        <v>15626</v>
      </c>
      <c r="MI201" s="16">
        <v>0</v>
      </c>
      <c r="MJ201" s="16">
        <v>224</v>
      </c>
      <c r="MK201" s="16">
        <v>441</v>
      </c>
      <c r="ML201" s="16">
        <v>160</v>
      </c>
      <c r="MM201" s="16">
        <v>665</v>
      </c>
      <c r="MN201" s="16">
        <v>1620</v>
      </c>
      <c r="MO201" s="16">
        <v>0</v>
      </c>
      <c r="MP201" s="16">
        <v>1637</v>
      </c>
      <c r="MQ201" s="16">
        <v>3050</v>
      </c>
      <c r="MR201" s="16">
        <v>4097</v>
      </c>
      <c r="MS201" s="16">
        <v>4259</v>
      </c>
      <c r="MT201" s="16">
        <v>428</v>
      </c>
      <c r="MU201" s="16">
        <v>533</v>
      </c>
      <c r="MV201" s="16">
        <v>4725</v>
      </c>
      <c r="MW201" s="16">
        <v>13424</v>
      </c>
      <c r="MX201" s="16">
        <v>381</v>
      </c>
      <c r="MY201" s="16">
        <v>32</v>
      </c>
      <c r="MZ201" s="16">
        <v>527</v>
      </c>
      <c r="NA201" s="16">
        <v>693</v>
      </c>
      <c r="NB201" s="16">
        <v>8906</v>
      </c>
      <c r="NC201" s="16">
        <v>2265</v>
      </c>
      <c r="ND201" s="16">
        <v>619</v>
      </c>
      <c r="NE201" s="16">
        <v>253</v>
      </c>
      <c r="NF201" s="16">
        <v>0</v>
      </c>
      <c r="NG201" s="16">
        <v>1290</v>
      </c>
      <c r="NH201" s="16">
        <v>964</v>
      </c>
      <c r="NI201" s="16">
        <v>17</v>
      </c>
      <c r="NJ201" s="16">
        <v>7422</v>
      </c>
      <c r="NK201" s="16">
        <v>1279</v>
      </c>
      <c r="NL201" s="16">
        <v>1403</v>
      </c>
      <c r="NM201" s="16">
        <v>18</v>
      </c>
      <c r="NN201" s="16">
        <v>0</v>
      </c>
      <c r="NO201" s="16">
        <v>0</v>
      </c>
      <c r="NP201" s="16">
        <v>0</v>
      </c>
      <c r="NQ201" s="16">
        <v>66</v>
      </c>
      <c r="NR201" s="17">
        <v>893281</v>
      </c>
    </row>
    <row r="202" spans="1:382" ht="13.5" customHeight="1" x14ac:dyDescent="0.2">
      <c r="A202" s="2" t="s">
        <v>411</v>
      </c>
      <c r="B202" s="16">
        <v>0</v>
      </c>
      <c r="C202" s="16">
        <v>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5</v>
      </c>
      <c r="Q202" s="16">
        <v>4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6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>
        <v>0</v>
      </c>
      <c r="AU202" s="16">
        <v>6</v>
      </c>
      <c r="AV202" s="16">
        <v>0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0</v>
      </c>
      <c r="BM202" s="16">
        <v>0</v>
      </c>
      <c r="BN202" s="16">
        <v>0</v>
      </c>
      <c r="BO202" s="16">
        <v>10</v>
      </c>
      <c r="BP202" s="16">
        <v>15</v>
      </c>
      <c r="BQ202" s="16">
        <v>0</v>
      </c>
      <c r="BR202" s="16">
        <v>0</v>
      </c>
      <c r="BS202" s="16">
        <v>1</v>
      </c>
      <c r="BT202" s="16">
        <v>0</v>
      </c>
      <c r="BU202" s="16">
        <v>0</v>
      </c>
      <c r="BV202" s="16">
        <v>0</v>
      </c>
      <c r="BW202" s="16">
        <v>0</v>
      </c>
      <c r="BX202" s="16">
        <v>0</v>
      </c>
      <c r="BY202" s="16">
        <v>0</v>
      </c>
      <c r="BZ202" s="16">
        <v>17</v>
      </c>
      <c r="CA202" s="16">
        <v>6</v>
      </c>
      <c r="CB202" s="16">
        <v>0</v>
      </c>
      <c r="CC202" s="16">
        <v>0</v>
      </c>
      <c r="CD202" s="16">
        <v>0</v>
      </c>
      <c r="CE202" s="16">
        <v>0</v>
      </c>
      <c r="CF202" s="16">
        <v>0</v>
      </c>
      <c r="CG202" s="16">
        <v>0</v>
      </c>
      <c r="CH202" s="16">
        <v>0</v>
      </c>
      <c r="CI202" s="16">
        <v>0</v>
      </c>
      <c r="CJ202" s="16">
        <v>11</v>
      </c>
      <c r="CK202" s="16">
        <v>1</v>
      </c>
      <c r="CL202" s="16">
        <v>0</v>
      </c>
      <c r="CM202" s="16">
        <v>9</v>
      </c>
      <c r="CN202" s="16">
        <v>0</v>
      </c>
      <c r="CO202" s="16">
        <v>0</v>
      </c>
      <c r="CP202" s="16">
        <v>1</v>
      </c>
      <c r="CQ202" s="16">
        <v>2</v>
      </c>
      <c r="CR202" s="16">
        <v>0</v>
      </c>
      <c r="CS202" s="16">
        <v>0</v>
      </c>
      <c r="CT202" s="16">
        <v>3</v>
      </c>
      <c r="CU202" s="16">
        <v>0</v>
      </c>
      <c r="CV202" s="16">
        <v>0</v>
      </c>
      <c r="CW202" s="16">
        <v>2</v>
      </c>
      <c r="CX202" s="16">
        <v>0</v>
      </c>
      <c r="CY202" s="16">
        <v>2</v>
      </c>
      <c r="CZ202" s="16">
        <v>0</v>
      </c>
      <c r="DA202" s="16">
        <v>0</v>
      </c>
      <c r="DB202" s="16">
        <v>0</v>
      </c>
      <c r="DC202" s="16">
        <v>0</v>
      </c>
      <c r="DD202" s="16">
        <v>0</v>
      </c>
      <c r="DE202" s="16">
        <v>5</v>
      </c>
      <c r="DF202" s="16">
        <v>6</v>
      </c>
      <c r="DG202" s="16">
        <v>0</v>
      </c>
      <c r="DH202" s="16">
        <v>15</v>
      </c>
      <c r="DI202" s="16">
        <v>0</v>
      </c>
      <c r="DJ202" s="16">
        <v>1</v>
      </c>
      <c r="DK202" s="16">
        <v>3</v>
      </c>
      <c r="DL202" s="16">
        <v>3</v>
      </c>
      <c r="DM202" s="16">
        <v>15</v>
      </c>
      <c r="DN202" s="16">
        <v>0</v>
      </c>
      <c r="DO202" s="16">
        <v>0</v>
      </c>
      <c r="DP202" s="16">
        <v>5</v>
      </c>
      <c r="DQ202" s="16">
        <v>0</v>
      </c>
      <c r="DR202" s="16">
        <v>0</v>
      </c>
      <c r="DS202" s="16">
        <v>8</v>
      </c>
      <c r="DT202" s="16">
        <v>0</v>
      </c>
      <c r="DU202" s="16">
        <v>0</v>
      </c>
      <c r="DV202" s="16">
        <v>4</v>
      </c>
      <c r="DW202" s="16">
        <v>0</v>
      </c>
      <c r="DX202" s="16">
        <v>1</v>
      </c>
      <c r="DY202" s="16">
        <v>1</v>
      </c>
      <c r="DZ202" s="16">
        <v>25</v>
      </c>
      <c r="EA202" s="16">
        <v>0</v>
      </c>
      <c r="EB202" s="16">
        <v>3</v>
      </c>
      <c r="EC202" s="16">
        <v>0</v>
      </c>
      <c r="ED202" s="16">
        <v>0</v>
      </c>
      <c r="EE202" s="16">
        <v>0</v>
      </c>
      <c r="EF202" s="16">
        <v>1</v>
      </c>
      <c r="EG202" s="16">
        <v>0</v>
      </c>
      <c r="EH202" s="16">
        <v>0</v>
      </c>
      <c r="EI202" s="16">
        <v>0</v>
      </c>
      <c r="EJ202" s="16">
        <v>0</v>
      </c>
      <c r="EK202" s="16">
        <v>0</v>
      </c>
      <c r="EL202" s="16">
        <v>0</v>
      </c>
      <c r="EM202" s="16">
        <v>0</v>
      </c>
      <c r="EN202" s="16">
        <v>10</v>
      </c>
      <c r="EO202" s="16">
        <v>10</v>
      </c>
      <c r="EP202" s="16">
        <v>0</v>
      </c>
      <c r="EQ202" s="16">
        <v>0</v>
      </c>
      <c r="ER202" s="16">
        <v>0</v>
      </c>
      <c r="ES202" s="16">
        <v>0</v>
      </c>
      <c r="ET202" s="16">
        <v>0</v>
      </c>
      <c r="EU202" s="16">
        <v>0</v>
      </c>
      <c r="EV202" s="16">
        <v>0</v>
      </c>
      <c r="EW202" s="16">
        <v>0</v>
      </c>
      <c r="EX202" s="16">
        <v>0</v>
      </c>
      <c r="EY202" s="16">
        <v>0</v>
      </c>
      <c r="EZ202" s="16">
        <v>0</v>
      </c>
      <c r="FA202" s="16">
        <v>1</v>
      </c>
      <c r="FB202" s="16">
        <v>0</v>
      </c>
      <c r="FC202" s="16">
        <v>3</v>
      </c>
      <c r="FD202" s="16">
        <v>6</v>
      </c>
      <c r="FE202" s="16">
        <v>3</v>
      </c>
      <c r="FF202" s="16">
        <v>4</v>
      </c>
      <c r="FG202" s="16">
        <v>7</v>
      </c>
      <c r="FH202" s="16">
        <v>0</v>
      </c>
      <c r="FI202" s="16">
        <v>0</v>
      </c>
      <c r="FJ202" s="16">
        <v>0</v>
      </c>
      <c r="FK202" s="16">
        <v>0</v>
      </c>
      <c r="FL202" s="16">
        <v>0</v>
      </c>
      <c r="FM202" s="16">
        <v>6</v>
      </c>
      <c r="FN202" s="16">
        <v>5</v>
      </c>
      <c r="FO202" s="16">
        <v>9</v>
      </c>
      <c r="FP202" s="16">
        <v>7</v>
      </c>
      <c r="FQ202" s="16">
        <v>1</v>
      </c>
      <c r="FR202" s="16">
        <v>3</v>
      </c>
      <c r="FS202" s="16">
        <v>7</v>
      </c>
      <c r="FT202" s="16">
        <v>4</v>
      </c>
      <c r="FU202" s="16">
        <v>7</v>
      </c>
      <c r="FV202" s="16">
        <v>75</v>
      </c>
      <c r="FW202" s="16">
        <v>15</v>
      </c>
      <c r="FX202" s="16">
        <v>15</v>
      </c>
      <c r="FY202" s="16">
        <v>0</v>
      </c>
      <c r="FZ202" s="16">
        <v>6</v>
      </c>
      <c r="GA202" s="16">
        <v>6</v>
      </c>
      <c r="GB202" s="16">
        <v>6</v>
      </c>
      <c r="GC202" s="16">
        <v>11</v>
      </c>
      <c r="GD202" s="16">
        <v>43</v>
      </c>
      <c r="GE202" s="16">
        <v>14</v>
      </c>
      <c r="GF202" s="16">
        <v>1125</v>
      </c>
      <c r="GG202" s="16">
        <v>2975</v>
      </c>
      <c r="GH202" s="16">
        <v>3784</v>
      </c>
      <c r="GI202" s="16">
        <v>1</v>
      </c>
      <c r="GJ202" s="16">
        <v>7114</v>
      </c>
      <c r="GK202" s="16">
        <v>1085</v>
      </c>
      <c r="GL202" s="16">
        <v>7834</v>
      </c>
      <c r="GM202" s="16">
        <v>5829</v>
      </c>
      <c r="GN202" s="16">
        <v>2443</v>
      </c>
      <c r="GO202" s="16">
        <v>7575</v>
      </c>
      <c r="GP202" s="16">
        <v>43450</v>
      </c>
      <c r="GQ202" s="16">
        <v>7369</v>
      </c>
      <c r="GR202" s="16">
        <v>715</v>
      </c>
      <c r="GS202" s="16">
        <v>67057</v>
      </c>
      <c r="GT202" s="16">
        <v>240509</v>
      </c>
      <c r="GU202" s="16">
        <v>639</v>
      </c>
      <c r="GV202" s="16">
        <v>7948</v>
      </c>
      <c r="GW202" s="16">
        <v>182</v>
      </c>
      <c r="GX202" s="16">
        <v>592</v>
      </c>
      <c r="GY202" s="16">
        <v>0</v>
      </c>
      <c r="GZ202" s="16">
        <v>44</v>
      </c>
      <c r="HA202" s="16">
        <v>11</v>
      </c>
      <c r="HB202" s="16">
        <v>41</v>
      </c>
      <c r="HC202" s="16">
        <v>23</v>
      </c>
      <c r="HD202" s="16">
        <v>27</v>
      </c>
      <c r="HE202" s="16">
        <v>129</v>
      </c>
      <c r="HF202" s="16">
        <v>15</v>
      </c>
      <c r="HG202" s="16">
        <v>2882</v>
      </c>
      <c r="HH202" s="16">
        <v>896</v>
      </c>
      <c r="HI202" s="16">
        <v>2554</v>
      </c>
      <c r="HJ202" s="16">
        <v>10</v>
      </c>
      <c r="HK202" s="16">
        <v>63</v>
      </c>
      <c r="HL202" s="16">
        <v>2930</v>
      </c>
      <c r="HM202" s="16">
        <v>7</v>
      </c>
      <c r="HN202" s="16">
        <v>1106</v>
      </c>
      <c r="HO202" s="16">
        <v>9</v>
      </c>
      <c r="HP202" s="16">
        <v>0</v>
      </c>
      <c r="HQ202" s="16">
        <v>38</v>
      </c>
      <c r="HR202" s="16">
        <v>909</v>
      </c>
      <c r="HS202" s="16">
        <v>55</v>
      </c>
      <c r="HT202" s="16">
        <v>337</v>
      </c>
      <c r="HU202" s="16">
        <v>17</v>
      </c>
      <c r="HV202" s="16">
        <v>6</v>
      </c>
      <c r="HW202" s="16">
        <v>14</v>
      </c>
      <c r="HX202" s="16">
        <v>17</v>
      </c>
      <c r="HY202" s="16">
        <v>15</v>
      </c>
      <c r="HZ202" s="16">
        <v>496</v>
      </c>
      <c r="IA202" s="16">
        <v>103</v>
      </c>
      <c r="IB202" s="16">
        <v>2</v>
      </c>
      <c r="IC202" s="16">
        <v>2</v>
      </c>
      <c r="ID202" s="16">
        <v>75</v>
      </c>
      <c r="IE202" s="16">
        <v>1</v>
      </c>
      <c r="IF202" s="16">
        <v>3</v>
      </c>
      <c r="IG202" s="16">
        <v>29</v>
      </c>
      <c r="IH202" s="16">
        <v>833847</v>
      </c>
      <c r="II202" s="16">
        <v>105597</v>
      </c>
      <c r="IJ202" s="16">
        <v>10947</v>
      </c>
      <c r="IK202" s="16">
        <v>13822</v>
      </c>
      <c r="IL202" s="16">
        <v>1404</v>
      </c>
      <c r="IM202" s="16">
        <v>5</v>
      </c>
      <c r="IN202" s="16">
        <v>87</v>
      </c>
      <c r="IO202" s="16">
        <v>2179</v>
      </c>
      <c r="IP202" s="16">
        <v>1605</v>
      </c>
      <c r="IQ202" s="16">
        <v>7</v>
      </c>
      <c r="IR202" s="16">
        <v>3</v>
      </c>
      <c r="IS202" s="16">
        <v>124</v>
      </c>
      <c r="IT202" s="16">
        <v>264</v>
      </c>
      <c r="IU202" s="16">
        <v>6</v>
      </c>
      <c r="IV202" s="16">
        <v>276</v>
      </c>
      <c r="IW202" s="16">
        <v>11</v>
      </c>
      <c r="IX202" s="16">
        <v>0</v>
      </c>
      <c r="IY202" s="16">
        <v>12</v>
      </c>
      <c r="IZ202" s="16">
        <v>182</v>
      </c>
      <c r="JA202" s="16">
        <v>1</v>
      </c>
      <c r="JB202" s="16">
        <v>421</v>
      </c>
      <c r="JC202" s="16">
        <v>0</v>
      </c>
      <c r="JD202" s="16">
        <v>0</v>
      </c>
      <c r="JE202" s="16">
        <v>13</v>
      </c>
      <c r="JF202" s="16">
        <v>0</v>
      </c>
      <c r="JG202" s="16">
        <v>7760</v>
      </c>
      <c r="JH202" s="16">
        <v>176</v>
      </c>
      <c r="JI202" s="16">
        <v>30</v>
      </c>
      <c r="JJ202" s="16">
        <v>6</v>
      </c>
      <c r="JK202" s="16">
        <v>2</v>
      </c>
      <c r="JL202" s="16">
        <v>9</v>
      </c>
      <c r="JM202" s="16">
        <v>0</v>
      </c>
      <c r="JN202" s="16">
        <v>0</v>
      </c>
      <c r="JO202" s="16">
        <v>0</v>
      </c>
      <c r="JP202" s="16">
        <v>0</v>
      </c>
      <c r="JQ202" s="16">
        <v>7</v>
      </c>
      <c r="JR202" s="16">
        <v>3</v>
      </c>
      <c r="JS202" s="16">
        <v>1</v>
      </c>
      <c r="JT202" s="16">
        <v>0</v>
      </c>
      <c r="JU202" s="16">
        <v>1</v>
      </c>
      <c r="JV202" s="16">
        <v>2</v>
      </c>
      <c r="JW202" s="16">
        <v>930</v>
      </c>
      <c r="JX202" s="16">
        <v>1690</v>
      </c>
      <c r="JY202" s="16">
        <v>1</v>
      </c>
      <c r="JZ202" s="16">
        <v>2</v>
      </c>
      <c r="KA202" s="16">
        <v>1</v>
      </c>
      <c r="KB202" s="16">
        <v>7</v>
      </c>
      <c r="KC202" s="16">
        <v>24</v>
      </c>
      <c r="KD202" s="16">
        <v>1</v>
      </c>
      <c r="KE202" s="16">
        <v>4</v>
      </c>
      <c r="KF202" s="16">
        <v>2</v>
      </c>
      <c r="KG202" s="16">
        <v>4</v>
      </c>
      <c r="KH202" s="16">
        <v>0</v>
      </c>
      <c r="KI202" s="16">
        <v>1</v>
      </c>
      <c r="KJ202" s="16">
        <v>3991</v>
      </c>
      <c r="KK202" s="16">
        <v>11756</v>
      </c>
      <c r="KL202" s="16">
        <v>68</v>
      </c>
      <c r="KM202" s="16">
        <v>44</v>
      </c>
      <c r="KN202" s="16">
        <v>4</v>
      </c>
      <c r="KO202" s="16">
        <v>1</v>
      </c>
      <c r="KP202" s="16">
        <v>0</v>
      </c>
      <c r="KQ202" s="16">
        <v>2162</v>
      </c>
      <c r="KR202" s="16">
        <v>306</v>
      </c>
      <c r="KS202" s="16">
        <v>1</v>
      </c>
      <c r="KT202" s="16">
        <v>5</v>
      </c>
      <c r="KU202" s="16">
        <v>1</v>
      </c>
      <c r="KV202" s="16">
        <v>153</v>
      </c>
      <c r="KW202" s="16">
        <v>66</v>
      </c>
      <c r="KX202" s="16">
        <v>3</v>
      </c>
      <c r="KY202" s="16">
        <v>371</v>
      </c>
      <c r="KZ202" s="16">
        <v>1162</v>
      </c>
      <c r="LA202" s="16">
        <v>547</v>
      </c>
      <c r="LB202" s="16">
        <v>141</v>
      </c>
      <c r="LC202" s="16">
        <v>1625</v>
      </c>
      <c r="LD202" s="16">
        <v>469</v>
      </c>
      <c r="LE202" s="16">
        <v>158</v>
      </c>
      <c r="LF202" s="16">
        <v>88</v>
      </c>
      <c r="LG202" s="16">
        <v>2</v>
      </c>
      <c r="LH202" s="16">
        <v>0</v>
      </c>
      <c r="LI202" s="16">
        <v>23</v>
      </c>
      <c r="LJ202" s="16">
        <v>25</v>
      </c>
      <c r="LK202" s="16">
        <v>123</v>
      </c>
      <c r="LL202" s="16">
        <v>1686</v>
      </c>
      <c r="LM202" s="16">
        <v>0</v>
      </c>
      <c r="LN202" s="16">
        <v>26</v>
      </c>
      <c r="LO202" s="16">
        <v>26</v>
      </c>
      <c r="LP202" s="16">
        <v>212</v>
      </c>
      <c r="LQ202" s="16">
        <v>407</v>
      </c>
      <c r="LR202" s="16">
        <v>83</v>
      </c>
      <c r="LS202" s="16">
        <v>35</v>
      </c>
      <c r="LT202" s="16">
        <v>5970</v>
      </c>
      <c r="LU202" s="16">
        <v>11</v>
      </c>
      <c r="LV202" s="16">
        <v>0</v>
      </c>
      <c r="LW202" s="16">
        <v>29</v>
      </c>
      <c r="LX202" s="16">
        <v>33</v>
      </c>
      <c r="LY202" s="16">
        <v>0</v>
      </c>
      <c r="LZ202" s="16">
        <v>5</v>
      </c>
      <c r="MA202" s="16">
        <v>0</v>
      </c>
      <c r="MB202" s="16">
        <v>45</v>
      </c>
      <c r="MC202" s="16">
        <v>69</v>
      </c>
      <c r="MD202" s="16">
        <v>4</v>
      </c>
      <c r="ME202" s="16">
        <v>17</v>
      </c>
      <c r="MF202" s="16">
        <v>38571</v>
      </c>
      <c r="MG202" s="16">
        <v>19</v>
      </c>
      <c r="MH202" s="16">
        <v>10607</v>
      </c>
      <c r="MI202" s="16">
        <v>1</v>
      </c>
      <c r="MJ202" s="16">
        <v>42</v>
      </c>
      <c r="MK202" s="16">
        <v>401</v>
      </c>
      <c r="ML202" s="16">
        <v>14</v>
      </c>
      <c r="MM202" s="16">
        <v>6797</v>
      </c>
      <c r="MN202" s="16">
        <v>110</v>
      </c>
      <c r="MO202" s="16">
        <v>1</v>
      </c>
      <c r="MP202" s="16">
        <v>149</v>
      </c>
      <c r="MQ202" s="16">
        <v>12579</v>
      </c>
      <c r="MR202" s="16">
        <v>2940</v>
      </c>
      <c r="MS202" s="16">
        <v>104</v>
      </c>
      <c r="MT202" s="16">
        <v>1</v>
      </c>
      <c r="MU202" s="16">
        <v>194</v>
      </c>
      <c r="MV202" s="16">
        <v>126</v>
      </c>
      <c r="MW202" s="16">
        <v>3446</v>
      </c>
      <c r="MX202" s="16">
        <v>7</v>
      </c>
      <c r="MY202" s="16">
        <v>1</v>
      </c>
      <c r="MZ202" s="16">
        <v>33</v>
      </c>
      <c r="NA202" s="16">
        <v>14</v>
      </c>
      <c r="NB202" s="16">
        <v>653</v>
      </c>
      <c r="NC202" s="16">
        <v>32</v>
      </c>
      <c r="ND202" s="16">
        <v>191</v>
      </c>
      <c r="NE202" s="16">
        <v>6</v>
      </c>
      <c r="NF202" s="16">
        <v>499</v>
      </c>
      <c r="NG202" s="16">
        <v>163</v>
      </c>
      <c r="NH202" s="16">
        <v>44</v>
      </c>
      <c r="NI202" s="16">
        <v>44</v>
      </c>
      <c r="NJ202" s="16">
        <v>441</v>
      </c>
      <c r="NK202" s="16">
        <v>145475</v>
      </c>
      <c r="NL202" s="16">
        <v>29005</v>
      </c>
      <c r="NM202" s="16">
        <v>8</v>
      </c>
      <c r="NN202" s="16">
        <v>0</v>
      </c>
      <c r="NO202" s="16">
        <v>0</v>
      </c>
      <c r="NP202" s="16">
        <v>1</v>
      </c>
      <c r="NQ202" s="16">
        <v>5</v>
      </c>
      <c r="NR202" s="17">
        <v>1687727</v>
      </c>
    </row>
    <row r="203" spans="1:382" ht="13.5" customHeight="1" x14ac:dyDescent="0.2">
      <c r="A203" s="2" t="s">
        <v>413</v>
      </c>
      <c r="B203" s="16">
        <v>0</v>
      </c>
      <c r="C203" s="16">
        <v>0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83</v>
      </c>
      <c r="P203" s="16">
        <v>565</v>
      </c>
      <c r="Q203" s="16">
        <v>1581</v>
      </c>
      <c r="R203" s="16">
        <v>66</v>
      </c>
      <c r="S203" s="16">
        <v>70</v>
      </c>
      <c r="T203" s="16">
        <v>0</v>
      </c>
      <c r="U203" s="16">
        <v>0</v>
      </c>
      <c r="V203" s="16">
        <v>20</v>
      </c>
      <c r="W203" s="16">
        <v>0</v>
      </c>
      <c r="X203" s="16">
        <v>56</v>
      </c>
      <c r="Y203" s="16">
        <v>13</v>
      </c>
      <c r="Z203" s="16">
        <v>740</v>
      </c>
      <c r="AA203" s="16">
        <v>22</v>
      </c>
      <c r="AB203" s="16">
        <v>0</v>
      </c>
      <c r="AC203" s="16">
        <v>0</v>
      </c>
      <c r="AD203" s="16">
        <v>0</v>
      </c>
      <c r="AE203" s="16">
        <v>148</v>
      </c>
      <c r="AF203" s="16">
        <v>0</v>
      </c>
      <c r="AG203" s="16">
        <v>32</v>
      </c>
      <c r="AH203" s="16">
        <v>68</v>
      </c>
      <c r="AI203" s="16">
        <v>25</v>
      </c>
      <c r="AJ203" s="16">
        <v>36</v>
      </c>
      <c r="AK203" s="16">
        <v>0</v>
      </c>
      <c r="AL203" s="16">
        <v>5</v>
      </c>
      <c r="AM203" s="16">
        <v>341</v>
      </c>
      <c r="AN203" s="16">
        <v>765</v>
      </c>
      <c r="AO203" s="16">
        <v>0</v>
      </c>
      <c r="AP203" s="16">
        <v>0</v>
      </c>
      <c r="AQ203" s="16">
        <v>0</v>
      </c>
      <c r="AR203" s="16">
        <v>0</v>
      </c>
      <c r="AS203" s="16">
        <v>0</v>
      </c>
      <c r="AT203" s="16">
        <v>311</v>
      </c>
      <c r="AU203" s="16">
        <v>280</v>
      </c>
      <c r="AV203" s="16">
        <v>0</v>
      </c>
      <c r="AW203" s="16">
        <v>65</v>
      </c>
      <c r="AX203" s="16">
        <v>283</v>
      </c>
      <c r="AY203" s="16">
        <v>281</v>
      </c>
      <c r="AZ203" s="16">
        <v>0</v>
      </c>
      <c r="BA203" s="16">
        <v>120</v>
      </c>
      <c r="BB203" s="16">
        <v>37</v>
      </c>
      <c r="BC203" s="16">
        <v>621</v>
      </c>
      <c r="BD203" s="16">
        <v>0</v>
      </c>
      <c r="BE203" s="16">
        <v>483</v>
      </c>
      <c r="BF203" s="16">
        <v>0</v>
      </c>
      <c r="BG203" s="16">
        <v>0</v>
      </c>
      <c r="BH203" s="16">
        <v>19</v>
      </c>
      <c r="BI203" s="16">
        <v>0</v>
      </c>
      <c r="BJ203" s="16">
        <v>1</v>
      </c>
      <c r="BK203" s="16">
        <v>0</v>
      </c>
      <c r="BL203" s="16">
        <v>72</v>
      </c>
      <c r="BM203" s="16">
        <v>0</v>
      </c>
      <c r="BN203" s="16">
        <v>0</v>
      </c>
      <c r="BO203" s="16">
        <v>0</v>
      </c>
      <c r="BP203" s="16">
        <v>4</v>
      </c>
      <c r="BQ203" s="16">
        <v>99</v>
      </c>
      <c r="BR203" s="16">
        <v>5</v>
      </c>
      <c r="BS203" s="16">
        <v>87</v>
      </c>
      <c r="BT203" s="16">
        <v>0</v>
      </c>
      <c r="BU203" s="16">
        <v>0</v>
      </c>
      <c r="BV203" s="16">
        <v>0</v>
      </c>
      <c r="BW203" s="16">
        <v>0</v>
      </c>
      <c r="BX203" s="16">
        <v>14</v>
      </c>
      <c r="BY203" s="16">
        <v>0</v>
      </c>
      <c r="BZ203" s="16">
        <v>0</v>
      </c>
      <c r="CA203" s="16">
        <v>2</v>
      </c>
      <c r="CB203" s="16">
        <v>0</v>
      </c>
      <c r="CC203" s="16">
        <v>56</v>
      </c>
      <c r="CD203" s="16">
        <v>138</v>
      </c>
      <c r="CE203" s="16">
        <v>0</v>
      </c>
      <c r="CF203" s="16">
        <v>0</v>
      </c>
      <c r="CG203" s="16">
        <v>0</v>
      </c>
      <c r="CH203" s="16">
        <v>29</v>
      </c>
      <c r="CI203" s="16">
        <v>69</v>
      </c>
      <c r="CJ203" s="16">
        <v>3</v>
      </c>
      <c r="CK203" s="16">
        <v>73</v>
      </c>
      <c r="CL203" s="16">
        <v>187</v>
      </c>
      <c r="CM203" s="16">
        <v>0</v>
      </c>
      <c r="CN203" s="16">
        <v>0</v>
      </c>
      <c r="CO203" s="16">
        <v>35</v>
      </c>
      <c r="CP203" s="16">
        <v>52</v>
      </c>
      <c r="CQ203" s="16">
        <v>118</v>
      </c>
      <c r="CR203" s="16">
        <v>342</v>
      </c>
      <c r="CS203" s="16">
        <v>122</v>
      </c>
      <c r="CT203" s="16">
        <v>22</v>
      </c>
      <c r="CU203" s="16">
        <v>327</v>
      </c>
      <c r="CV203" s="16">
        <v>99</v>
      </c>
      <c r="CW203" s="16">
        <v>2095</v>
      </c>
      <c r="CX203" s="16">
        <v>3988</v>
      </c>
      <c r="CY203" s="16">
        <v>60</v>
      </c>
      <c r="CZ203" s="16">
        <v>94</v>
      </c>
      <c r="DA203" s="16">
        <v>2</v>
      </c>
      <c r="DB203" s="16">
        <v>31</v>
      </c>
      <c r="DC203" s="16">
        <v>4</v>
      </c>
      <c r="DD203" s="16">
        <v>32</v>
      </c>
      <c r="DE203" s="16">
        <v>80</v>
      </c>
      <c r="DF203" s="16">
        <v>1758</v>
      </c>
      <c r="DG203" s="16">
        <v>33</v>
      </c>
      <c r="DH203" s="16">
        <v>91</v>
      </c>
      <c r="DI203" s="16">
        <v>0</v>
      </c>
      <c r="DJ203" s="16">
        <v>5904</v>
      </c>
      <c r="DK203" s="16">
        <v>11</v>
      </c>
      <c r="DL203" s="16">
        <v>497</v>
      </c>
      <c r="DM203" s="16">
        <v>6507</v>
      </c>
      <c r="DN203" s="16">
        <v>2165</v>
      </c>
      <c r="DO203" s="16">
        <v>120</v>
      </c>
      <c r="DP203" s="16">
        <v>251</v>
      </c>
      <c r="DQ203" s="16">
        <v>8</v>
      </c>
      <c r="DR203" s="16">
        <v>59</v>
      </c>
      <c r="DS203" s="16">
        <v>1420</v>
      </c>
      <c r="DT203" s="16">
        <v>4</v>
      </c>
      <c r="DU203" s="16">
        <v>13</v>
      </c>
      <c r="DV203" s="16">
        <v>46</v>
      </c>
      <c r="DW203" s="16">
        <v>354</v>
      </c>
      <c r="DX203" s="16">
        <v>199</v>
      </c>
      <c r="DY203" s="16">
        <v>376</v>
      </c>
      <c r="DZ203" s="16">
        <v>1839</v>
      </c>
      <c r="EA203" s="16">
        <v>804</v>
      </c>
      <c r="EB203" s="16">
        <v>9</v>
      </c>
      <c r="EC203" s="16">
        <v>85</v>
      </c>
      <c r="ED203" s="16">
        <v>4</v>
      </c>
      <c r="EE203" s="16">
        <v>0</v>
      </c>
      <c r="EF203" s="16">
        <v>8</v>
      </c>
      <c r="EG203" s="16">
        <v>356</v>
      </c>
      <c r="EH203" s="16">
        <v>26</v>
      </c>
      <c r="EI203" s="16">
        <v>10</v>
      </c>
      <c r="EJ203" s="16">
        <v>0</v>
      </c>
      <c r="EK203" s="16">
        <v>16</v>
      </c>
      <c r="EL203" s="16">
        <v>5</v>
      </c>
      <c r="EM203" s="16">
        <v>21</v>
      </c>
      <c r="EN203" s="16">
        <v>155</v>
      </c>
      <c r="EO203" s="16">
        <v>2427</v>
      </c>
      <c r="EP203" s="16">
        <v>12</v>
      </c>
      <c r="EQ203" s="16">
        <v>57</v>
      </c>
      <c r="ER203" s="16">
        <v>21</v>
      </c>
      <c r="ES203" s="16">
        <v>127</v>
      </c>
      <c r="ET203" s="16">
        <v>18</v>
      </c>
      <c r="EU203" s="16">
        <v>7</v>
      </c>
      <c r="EV203" s="16">
        <v>950</v>
      </c>
      <c r="EW203" s="16">
        <v>15</v>
      </c>
      <c r="EX203" s="16">
        <v>12793</v>
      </c>
      <c r="EY203" s="16">
        <v>129</v>
      </c>
      <c r="EZ203" s="16">
        <v>11</v>
      </c>
      <c r="FA203" s="16">
        <v>21</v>
      </c>
      <c r="FB203" s="16">
        <v>121</v>
      </c>
      <c r="FC203" s="16">
        <v>2</v>
      </c>
      <c r="FD203" s="16">
        <v>5950</v>
      </c>
      <c r="FE203" s="16">
        <v>990</v>
      </c>
      <c r="FF203" s="16">
        <v>219</v>
      </c>
      <c r="FG203" s="16">
        <v>1132</v>
      </c>
      <c r="FH203" s="16">
        <v>9</v>
      </c>
      <c r="FI203" s="16">
        <v>61</v>
      </c>
      <c r="FJ203" s="16">
        <v>15</v>
      </c>
      <c r="FK203" s="16">
        <v>167</v>
      </c>
      <c r="FL203" s="16">
        <v>0</v>
      </c>
      <c r="FM203" s="16">
        <v>506</v>
      </c>
      <c r="FN203" s="16">
        <v>3278</v>
      </c>
      <c r="FO203" s="16">
        <v>709</v>
      </c>
      <c r="FP203" s="16">
        <v>557</v>
      </c>
      <c r="FQ203" s="16">
        <v>99</v>
      </c>
      <c r="FR203" s="16">
        <v>130</v>
      </c>
      <c r="FS203" s="16">
        <v>691</v>
      </c>
      <c r="FT203" s="16">
        <v>21</v>
      </c>
      <c r="FU203" s="16">
        <v>3572</v>
      </c>
      <c r="FV203" s="16">
        <v>1570</v>
      </c>
      <c r="FW203" s="16">
        <v>64</v>
      </c>
      <c r="FX203" s="16">
        <v>947</v>
      </c>
      <c r="FY203" s="16">
        <v>15</v>
      </c>
      <c r="FZ203" s="16">
        <v>34</v>
      </c>
      <c r="GA203" s="16">
        <v>47</v>
      </c>
      <c r="GB203" s="16">
        <v>397</v>
      </c>
      <c r="GC203" s="16">
        <v>64</v>
      </c>
      <c r="GD203" s="16">
        <v>1406</v>
      </c>
      <c r="GE203" s="16">
        <v>47</v>
      </c>
      <c r="GF203" s="16">
        <v>2593</v>
      </c>
      <c r="GG203" s="16">
        <v>139</v>
      </c>
      <c r="GH203" s="16">
        <v>12</v>
      </c>
      <c r="GI203" s="16">
        <v>178</v>
      </c>
      <c r="GJ203" s="16">
        <v>138</v>
      </c>
      <c r="GK203" s="16">
        <v>42</v>
      </c>
      <c r="GL203" s="16">
        <v>1</v>
      </c>
      <c r="GM203" s="16">
        <v>8</v>
      </c>
      <c r="GN203" s="16">
        <v>4</v>
      </c>
      <c r="GO203" s="16">
        <v>109</v>
      </c>
      <c r="GP203" s="16">
        <v>9</v>
      </c>
      <c r="GQ203" s="16">
        <v>12</v>
      </c>
      <c r="GR203" s="16">
        <v>241</v>
      </c>
      <c r="GS203" s="16">
        <v>3</v>
      </c>
      <c r="GT203" s="16">
        <v>5</v>
      </c>
      <c r="GU203" s="16">
        <v>1344555</v>
      </c>
      <c r="GV203" s="16">
        <v>204</v>
      </c>
      <c r="GW203" s="16">
        <v>11</v>
      </c>
      <c r="GX203" s="16">
        <v>80</v>
      </c>
      <c r="GY203" s="16">
        <v>2</v>
      </c>
      <c r="GZ203" s="16">
        <v>525</v>
      </c>
      <c r="HA203" s="16">
        <v>22</v>
      </c>
      <c r="HB203" s="16">
        <v>313</v>
      </c>
      <c r="HC203" s="16">
        <v>1045</v>
      </c>
      <c r="HD203" s="16">
        <v>1787</v>
      </c>
      <c r="HE203" s="16">
        <v>155</v>
      </c>
      <c r="HF203" s="16">
        <v>949</v>
      </c>
      <c r="HG203" s="16">
        <v>328</v>
      </c>
      <c r="HH203" s="16">
        <v>26</v>
      </c>
      <c r="HI203" s="16">
        <v>296</v>
      </c>
      <c r="HJ203" s="16">
        <v>1</v>
      </c>
      <c r="HK203" s="16">
        <v>1</v>
      </c>
      <c r="HL203" s="16">
        <v>1630</v>
      </c>
      <c r="HM203" s="16">
        <v>253</v>
      </c>
      <c r="HN203" s="16">
        <v>18</v>
      </c>
      <c r="HO203" s="16">
        <v>39</v>
      </c>
      <c r="HP203" s="16">
        <v>12</v>
      </c>
      <c r="HQ203" s="16">
        <v>318</v>
      </c>
      <c r="HR203" s="16">
        <v>542</v>
      </c>
      <c r="HS203" s="16">
        <v>18</v>
      </c>
      <c r="HT203" s="16">
        <v>1</v>
      </c>
      <c r="HU203" s="16">
        <v>8</v>
      </c>
      <c r="HV203" s="16">
        <v>793</v>
      </c>
      <c r="HW203" s="16">
        <v>81</v>
      </c>
      <c r="HX203" s="16">
        <v>47</v>
      </c>
      <c r="HY203" s="16">
        <v>55</v>
      </c>
      <c r="HZ203" s="16">
        <v>73</v>
      </c>
      <c r="IA203" s="16">
        <v>15</v>
      </c>
      <c r="IB203" s="16">
        <v>6</v>
      </c>
      <c r="IC203" s="16">
        <v>7</v>
      </c>
      <c r="ID203" s="16">
        <v>128</v>
      </c>
      <c r="IE203" s="16">
        <v>1</v>
      </c>
      <c r="IF203" s="16">
        <v>138</v>
      </c>
      <c r="IG203" s="16">
        <v>856</v>
      </c>
      <c r="IH203" s="16">
        <v>771</v>
      </c>
      <c r="II203" s="16">
        <v>81</v>
      </c>
      <c r="IJ203" s="16">
        <v>2</v>
      </c>
      <c r="IK203" s="16">
        <v>6</v>
      </c>
      <c r="IL203" s="16">
        <v>1761</v>
      </c>
      <c r="IM203" s="16">
        <v>1</v>
      </c>
      <c r="IN203" s="16">
        <v>1364</v>
      </c>
      <c r="IO203" s="16">
        <v>2922</v>
      </c>
      <c r="IP203" s="16">
        <v>224</v>
      </c>
      <c r="IQ203" s="16">
        <v>97</v>
      </c>
      <c r="IR203" s="16">
        <v>47</v>
      </c>
      <c r="IS203" s="16">
        <v>42</v>
      </c>
      <c r="IT203" s="16">
        <v>43</v>
      </c>
      <c r="IU203" s="16">
        <v>0</v>
      </c>
      <c r="IV203" s="16">
        <v>882</v>
      </c>
      <c r="IW203" s="16">
        <v>3160</v>
      </c>
      <c r="IX203" s="16">
        <v>208</v>
      </c>
      <c r="IY203" s="16">
        <v>2512</v>
      </c>
      <c r="IZ203" s="16">
        <v>2</v>
      </c>
      <c r="JA203" s="16">
        <v>96</v>
      </c>
      <c r="JB203" s="16">
        <v>4</v>
      </c>
      <c r="JC203" s="16">
        <v>6</v>
      </c>
      <c r="JD203" s="16">
        <v>1</v>
      </c>
      <c r="JE203" s="16">
        <v>0</v>
      </c>
      <c r="JF203" s="16">
        <v>127</v>
      </c>
      <c r="JG203" s="16">
        <v>78249</v>
      </c>
      <c r="JH203" s="16">
        <v>4396</v>
      </c>
      <c r="JI203" s="16">
        <v>5</v>
      </c>
      <c r="JJ203" s="16">
        <v>289</v>
      </c>
      <c r="JK203" s="16">
        <v>91</v>
      </c>
      <c r="JL203" s="16">
        <v>4</v>
      </c>
      <c r="JM203" s="16">
        <v>0</v>
      </c>
      <c r="JN203" s="16">
        <v>0</v>
      </c>
      <c r="JO203" s="16">
        <v>12</v>
      </c>
      <c r="JP203" s="16">
        <v>531</v>
      </c>
      <c r="JQ203" s="16">
        <v>20</v>
      </c>
      <c r="JR203" s="16">
        <v>22620</v>
      </c>
      <c r="JS203" s="16">
        <v>8710</v>
      </c>
      <c r="JT203" s="16">
        <v>0</v>
      </c>
      <c r="JU203" s="16">
        <v>40723</v>
      </c>
      <c r="JV203" s="16">
        <v>2768</v>
      </c>
      <c r="JW203" s="16">
        <v>7704</v>
      </c>
      <c r="JX203" s="16">
        <v>6322</v>
      </c>
      <c r="JY203" s="16">
        <v>1258</v>
      </c>
      <c r="JZ203" s="16">
        <v>86</v>
      </c>
      <c r="KA203" s="16">
        <v>189</v>
      </c>
      <c r="KB203" s="16">
        <v>8</v>
      </c>
      <c r="KC203" s="16">
        <v>88</v>
      </c>
      <c r="KD203" s="16">
        <v>1</v>
      </c>
      <c r="KE203" s="16">
        <v>6</v>
      </c>
      <c r="KF203" s="16">
        <v>129</v>
      </c>
      <c r="KG203" s="16">
        <v>23</v>
      </c>
      <c r="KH203" s="16">
        <v>37</v>
      </c>
      <c r="KI203" s="16">
        <v>741</v>
      </c>
      <c r="KJ203" s="16">
        <v>82</v>
      </c>
      <c r="KK203" s="16">
        <v>155292</v>
      </c>
      <c r="KL203" s="16">
        <v>1</v>
      </c>
      <c r="KM203" s="16">
        <v>1286</v>
      </c>
      <c r="KN203" s="16">
        <v>270</v>
      </c>
      <c r="KO203" s="16">
        <v>3568</v>
      </c>
      <c r="KP203" s="16">
        <v>62</v>
      </c>
      <c r="KQ203" s="16">
        <v>427</v>
      </c>
      <c r="KR203" s="16">
        <v>15798</v>
      </c>
      <c r="KS203" s="16">
        <v>41</v>
      </c>
      <c r="KT203" s="16">
        <v>1075</v>
      </c>
      <c r="KU203" s="16">
        <v>5977</v>
      </c>
      <c r="KV203" s="16">
        <v>10913</v>
      </c>
      <c r="KW203" s="16">
        <v>10393</v>
      </c>
      <c r="KX203" s="16">
        <v>132</v>
      </c>
      <c r="KY203" s="16">
        <v>25048</v>
      </c>
      <c r="KZ203" s="16">
        <v>200823</v>
      </c>
      <c r="LA203" s="16">
        <v>96318</v>
      </c>
      <c r="LB203" s="16">
        <v>3895</v>
      </c>
      <c r="LC203" s="16">
        <v>22851</v>
      </c>
      <c r="LD203" s="16">
        <v>5499</v>
      </c>
      <c r="LE203" s="16">
        <v>1977</v>
      </c>
      <c r="LF203" s="16">
        <v>476</v>
      </c>
      <c r="LG203" s="16">
        <v>271</v>
      </c>
      <c r="LH203" s="16">
        <v>2321</v>
      </c>
      <c r="LI203" s="16">
        <v>1</v>
      </c>
      <c r="LJ203" s="16">
        <v>32</v>
      </c>
      <c r="LK203" s="16">
        <v>5022</v>
      </c>
      <c r="LL203" s="16">
        <v>921</v>
      </c>
      <c r="LM203" s="16">
        <v>4177</v>
      </c>
      <c r="LN203" s="16">
        <v>24592</v>
      </c>
      <c r="LO203" s="16">
        <v>103</v>
      </c>
      <c r="LP203" s="16">
        <v>4914</v>
      </c>
      <c r="LQ203" s="16">
        <v>794</v>
      </c>
      <c r="LR203" s="16">
        <v>4086</v>
      </c>
      <c r="LS203" s="16">
        <v>2025</v>
      </c>
      <c r="LT203" s="16">
        <v>10929</v>
      </c>
      <c r="LU203" s="16">
        <v>5183</v>
      </c>
      <c r="LV203" s="16">
        <v>93</v>
      </c>
      <c r="LW203" s="16">
        <v>2564</v>
      </c>
      <c r="LX203" s="16">
        <v>8254</v>
      </c>
      <c r="LY203" s="16">
        <v>0</v>
      </c>
      <c r="LZ203" s="16">
        <v>13101</v>
      </c>
      <c r="MA203" s="16">
        <v>27230</v>
      </c>
      <c r="MB203" s="16">
        <v>35259</v>
      </c>
      <c r="MC203" s="16">
        <v>21743</v>
      </c>
      <c r="MD203" s="16">
        <v>26103</v>
      </c>
      <c r="ME203" s="16">
        <v>666</v>
      </c>
      <c r="MF203" s="16">
        <v>162953</v>
      </c>
      <c r="MG203" s="16">
        <v>1710</v>
      </c>
      <c r="MH203" s="16">
        <v>28742</v>
      </c>
      <c r="MI203" s="16">
        <v>767</v>
      </c>
      <c r="MJ203" s="16">
        <v>2711</v>
      </c>
      <c r="MK203" s="16">
        <v>4363</v>
      </c>
      <c r="ML203" s="16">
        <v>1325</v>
      </c>
      <c r="MM203" s="16">
        <v>45762</v>
      </c>
      <c r="MN203" s="16">
        <v>192481</v>
      </c>
      <c r="MO203" s="16">
        <v>14855</v>
      </c>
      <c r="MP203" s="16">
        <v>45</v>
      </c>
      <c r="MQ203" s="16">
        <v>12796</v>
      </c>
      <c r="MR203" s="16">
        <v>82127</v>
      </c>
      <c r="MS203" s="16">
        <v>30080</v>
      </c>
      <c r="MT203" s="16">
        <v>11292</v>
      </c>
      <c r="MU203" s="16">
        <v>30502</v>
      </c>
      <c r="MV203" s="16">
        <v>50189</v>
      </c>
      <c r="MW203" s="16">
        <v>88848</v>
      </c>
      <c r="MX203" s="16">
        <v>96161</v>
      </c>
      <c r="MY203" s="16">
        <v>1919829</v>
      </c>
      <c r="MZ203" s="16">
        <v>1414120</v>
      </c>
      <c r="NA203" s="16">
        <v>36422</v>
      </c>
      <c r="NB203" s="16">
        <v>151028</v>
      </c>
      <c r="NC203" s="16">
        <v>2472</v>
      </c>
      <c r="ND203" s="16">
        <v>7505</v>
      </c>
      <c r="NE203" s="16">
        <v>1626</v>
      </c>
      <c r="NF203" s="16">
        <v>2036</v>
      </c>
      <c r="NG203" s="16">
        <v>13781</v>
      </c>
      <c r="NH203" s="16">
        <v>2277</v>
      </c>
      <c r="NI203" s="16">
        <v>9670</v>
      </c>
      <c r="NJ203" s="16">
        <v>81681</v>
      </c>
      <c r="NK203" s="16">
        <v>433</v>
      </c>
      <c r="NL203" s="16">
        <v>7892</v>
      </c>
      <c r="NM203" s="16">
        <v>15450</v>
      </c>
      <c r="NN203" s="16">
        <v>13</v>
      </c>
      <c r="NO203" s="16">
        <v>0</v>
      </c>
      <c r="NP203" s="16">
        <v>1444</v>
      </c>
      <c r="NQ203" s="16">
        <v>11607</v>
      </c>
      <c r="NR203" s="17">
        <v>6925825</v>
      </c>
    </row>
    <row r="204" spans="1:382" ht="13.5" customHeight="1" x14ac:dyDescent="0.2">
      <c r="A204" s="2" t="s">
        <v>415</v>
      </c>
      <c r="B204" s="16">
        <v>5012</v>
      </c>
      <c r="C204" s="16">
        <v>3364</v>
      </c>
      <c r="D204" s="16">
        <v>1571</v>
      </c>
      <c r="E204" s="16">
        <v>595</v>
      </c>
      <c r="F204" s="16">
        <v>5016</v>
      </c>
      <c r="G204" s="16">
        <v>3171</v>
      </c>
      <c r="H204" s="16">
        <v>187</v>
      </c>
      <c r="I204" s="16">
        <v>1871</v>
      </c>
      <c r="J204" s="16">
        <v>5</v>
      </c>
      <c r="K204" s="16">
        <v>0</v>
      </c>
      <c r="L204" s="16">
        <v>13235</v>
      </c>
      <c r="M204" s="16">
        <v>0</v>
      </c>
      <c r="N204" s="16">
        <v>0</v>
      </c>
      <c r="O204" s="16">
        <v>43</v>
      </c>
      <c r="P204" s="16">
        <v>3496</v>
      </c>
      <c r="Q204" s="16">
        <v>304</v>
      </c>
      <c r="R204" s="16">
        <v>512</v>
      </c>
      <c r="S204" s="16">
        <v>24</v>
      </c>
      <c r="T204" s="16">
        <v>1149</v>
      </c>
      <c r="U204" s="16">
        <v>28</v>
      </c>
      <c r="V204" s="16">
        <v>0</v>
      </c>
      <c r="W204" s="16">
        <v>0</v>
      </c>
      <c r="X204" s="16">
        <v>782</v>
      </c>
      <c r="Y204" s="16">
        <v>1431</v>
      </c>
      <c r="Z204" s="16">
        <v>5244</v>
      </c>
      <c r="AA204" s="16">
        <v>7</v>
      </c>
      <c r="AB204" s="16">
        <v>0</v>
      </c>
      <c r="AC204" s="16">
        <v>0</v>
      </c>
      <c r="AD204" s="16">
        <v>0</v>
      </c>
      <c r="AE204" s="16">
        <v>107</v>
      </c>
      <c r="AF204" s="16">
        <v>0</v>
      </c>
      <c r="AG204" s="16">
        <v>315</v>
      </c>
      <c r="AH204" s="16">
        <v>269</v>
      </c>
      <c r="AI204" s="16">
        <v>110</v>
      </c>
      <c r="AJ204" s="16">
        <v>1519</v>
      </c>
      <c r="AK204" s="16">
        <v>1020</v>
      </c>
      <c r="AL204" s="16">
        <v>88</v>
      </c>
      <c r="AM204" s="16">
        <v>1169</v>
      </c>
      <c r="AN204" s="16">
        <v>1673</v>
      </c>
      <c r="AO204" s="16">
        <v>3074</v>
      </c>
      <c r="AP204" s="16">
        <v>22</v>
      </c>
      <c r="AQ204" s="16">
        <v>924</v>
      </c>
      <c r="AR204" s="16">
        <v>0</v>
      </c>
      <c r="AS204" s="16">
        <v>199</v>
      </c>
      <c r="AT204" s="16">
        <v>0</v>
      </c>
      <c r="AU204" s="16">
        <v>579</v>
      </c>
      <c r="AV204" s="16">
        <v>429</v>
      </c>
      <c r="AW204" s="16">
        <v>3066</v>
      </c>
      <c r="AX204" s="16">
        <v>163</v>
      </c>
      <c r="AY204" s="16">
        <v>72</v>
      </c>
      <c r="AZ204" s="16">
        <v>1685</v>
      </c>
      <c r="BA204" s="16">
        <v>1227</v>
      </c>
      <c r="BB204" s="16">
        <v>297</v>
      </c>
      <c r="BC204" s="16">
        <v>8244</v>
      </c>
      <c r="BD204" s="16">
        <v>55</v>
      </c>
      <c r="BE204" s="16">
        <v>53</v>
      </c>
      <c r="BF204" s="16">
        <v>272</v>
      </c>
      <c r="BG204" s="16">
        <v>55</v>
      </c>
      <c r="BH204" s="16">
        <v>1053</v>
      </c>
      <c r="BI204" s="16">
        <v>301</v>
      </c>
      <c r="BJ204" s="16">
        <v>93</v>
      </c>
      <c r="BK204" s="16">
        <v>41</v>
      </c>
      <c r="BL204" s="16">
        <v>1911</v>
      </c>
      <c r="BM204" s="16">
        <v>138</v>
      </c>
      <c r="BN204" s="16">
        <v>724</v>
      </c>
      <c r="BO204" s="16">
        <v>479</v>
      </c>
      <c r="BP204" s="16">
        <v>429</v>
      </c>
      <c r="BQ204" s="16">
        <v>131</v>
      </c>
      <c r="BR204" s="16">
        <v>42</v>
      </c>
      <c r="BS204" s="16">
        <v>1390</v>
      </c>
      <c r="BT204" s="16">
        <v>11</v>
      </c>
      <c r="BU204" s="16">
        <v>3</v>
      </c>
      <c r="BV204" s="16">
        <v>0</v>
      </c>
      <c r="BW204" s="16">
        <v>299</v>
      </c>
      <c r="BX204" s="16">
        <v>169</v>
      </c>
      <c r="BY204" s="16">
        <v>0</v>
      </c>
      <c r="BZ204" s="16">
        <v>410</v>
      </c>
      <c r="CA204" s="16">
        <v>43</v>
      </c>
      <c r="CB204" s="16">
        <v>23</v>
      </c>
      <c r="CC204" s="16">
        <v>1435</v>
      </c>
      <c r="CD204" s="16">
        <v>197</v>
      </c>
      <c r="CE204" s="16">
        <v>120</v>
      </c>
      <c r="CF204" s="16">
        <v>333</v>
      </c>
      <c r="CG204" s="16">
        <v>365</v>
      </c>
      <c r="CH204" s="16">
        <v>221</v>
      </c>
      <c r="CI204" s="16">
        <v>2830</v>
      </c>
      <c r="CJ204" s="16">
        <v>2655</v>
      </c>
      <c r="CK204" s="16">
        <v>5394</v>
      </c>
      <c r="CL204" s="16">
        <v>548</v>
      </c>
      <c r="CM204" s="16">
        <v>444</v>
      </c>
      <c r="CN204" s="16">
        <v>240</v>
      </c>
      <c r="CO204" s="16">
        <v>2690</v>
      </c>
      <c r="CP204" s="16">
        <v>2883</v>
      </c>
      <c r="CQ204" s="16">
        <v>5211</v>
      </c>
      <c r="CR204" s="16">
        <v>320</v>
      </c>
      <c r="CS204" s="16">
        <v>19314</v>
      </c>
      <c r="CT204" s="16">
        <v>14401</v>
      </c>
      <c r="CU204" s="16">
        <v>50761</v>
      </c>
      <c r="CV204" s="16">
        <v>20945</v>
      </c>
      <c r="CW204" s="16">
        <v>66953</v>
      </c>
      <c r="CX204" s="16">
        <v>84956</v>
      </c>
      <c r="CY204" s="16">
        <v>11471</v>
      </c>
      <c r="CZ204" s="16">
        <v>12632</v>
      </c>
      <c r="DA204" s="16">
        <v>374</v>
      </c>
      <c r="DB204" s="16">
        <v>14241</v>
      </c>
      <c r="DC204" s="16">
        <v>699</v>
      </c>
      <c r="DD204" s="16">
        <v>4442</v>
      </c>
      <c r="DE204" s="16">
        <v>239</v>
      </c>
      <c r="DF204" s="16">
        <v>3329</v>
      </c>
      <c r="DG204" s="16">
        <v>2533</v>
      </c>
      <c r="DH204" s="16">
        <v>33229</v>
      </c>
      <c r="DI204" s="16">
        <v>1944</v>
      </c>
      <c r="DJ204" s="16">
        <v>39127</v>
      </c>
      <c r="DK204" s="16">
        <v>2234</v>
      </c>
      <c r="DL204" s="16">
        <v>4613</v>
      </c>
      <c r="DM204" s="16">
        <v>9790</v>
      </c>
      <c r="DN204" s="16">
        <v>1349</v>
      </c>
      <c r="DO204" s="16">
        <v>3350</v>
      </c>
      <c r="DP204" s="16">
        <v>2151</v>
      </c>
      <c r="DQ204" s="16">
        <v>234</v>
      </c>
      <c r="DR204" s="16">
        <v>1513</v>
      </c>
      <c r="DS204" s="16">
        <v>12492</v>
      </c>
      <c r="DT204" s="16">
        <v>862</v>
      </c>
      <c r="DU204" s="16">
        <v>2367</v>
      </c>
      <c r="DV204" s="16">
        <v>13376</v>
      </c>
      <c r="DW204" s="16">
        <v>3954</v>
      </c>
      <c r="DX204" s="16">
        <v>3716</v>
      </c>
      <c r="DY204" s="16">
        <v>2326</v>
      </c>
      <c r="DZ204" s="16">
        <v>10773</v>
      </c>
      <c r="EA204" s="16">
        <v>4026</v>
      </c>
      <c r="EB204" s="16">
        <v>161</v>
      </c>
      <c r="EC204" s="16">
        <v>6860</v>
      </c>
      <c r="ED204" s="16">
        <v>316</v>
      </c>
      <c r="EE204" s="16">
        <v>25</v>
      </c>
      <c r="EF204" s="16">
        <v>796</v>
      </c>
      <c r="EG204" s="16">
        <v>6110</v>
      </c>
      <c r="EH204" s="16">
        <v>587</v>
      </c>
      <c r="EI204" s="16">
        <v>216</v>
      </c>
      <c r="EJ204" s="16">
        <v>442</v>
      </c>
      <c r="EK204" s="16">
        <v>226</v>
      </c>
      <c r="EL204" s="16">
        <v>65</v>
      </c>
      <c r="EM204" s="16">
        <v>511</v>
      </c>
      <c r="EN204" s="16">
        <v>5291</v>
      </c>
      <c r="EO204" s="16">
        <v>413</v>
      </c>
      <c r="EP204" s="16">
        <v>502</v>
      </c>
      <c r="EQ204" s="16">
        <v>2179</v>
      </c>
      <c r="ER204" s="16">
        <v>249</v>
      </c>
      <c r="ES204" s="16">
        <v>327</v>
      </c>
      <c r="ET204" s="16">
        <v>5229</v>
      </c>
      <c r="EU204" s="16">
        <v>15</v>
      </c>
      <c r="EV204" s="16">
        <v>551</v>
      </c>
      <c r="EW204" s="16">
        <v>170</v>
      </c>
      <c r="EX204" s="16">
        <v>48919</v>
      </c>
      <c r="EY204" s="16">
        <v>5933</v>
      </c>
      <c r="EZ204" s="16">
        <v>190</v>
      </c>
      <c r="FA204" s="16">
        <v>1310</v>
      </c>
      <c r="FB204" s="16">
        <v>2356</v>
      </c>
      <c r="FC204" s="16">
        <v>32</v>
      </c>
      <c r="FD204" s="16">
        <v>11647</v>
      </c>
      <c r="FE204" s="16">
        <v>2992</v>
      </c>
      <c r="FF204" s="16">
        <v>1765</v>
      </c>
      <c r="FG204" s="16">
        <v>15820</v>
      </c>
      <c r="FH204" s="16">
        <v>37</v>
      </c>
      <c r="FI204" s="16">
        <v>1122</v>
      </c>
      <c r="FJ204" s="16">
        <v>259</v>
      </c>
      <c r="FK204" s="16">
        <v>145</v>
      </c>
      <c r="FL204" s="16">
        <v>10</v>
      </c>
      <c r="FM204" s="16">
        <v>4519</v>
      </c>
      <c r="FN204" s="16">
        <v>23751</v>
      </c>
      <c r="FO204" s="16">
        <v>3233</v>
      </c>
      <c r="FP204" s="16">
        <v>8592</v>
      </c>
      <c r="FQ204" s="16">
        <v>23653</v>
      </c>
      <c r="FR204" s="16">
        <v>8813</v>
      </c>
      <c r="FS204" s="16">
        <v>19761</v>
      </c>
      <c r="FT204" s="16">
        <v>28056</v>
      </c>
      <c r="FU204" s="16">
        <v>13928</v>
      </c>
      <c r="FV204" s="16">
        <v>72577</v>
      </c>
      <c r="FW204" s="16">
        <v>1569</v>
      </c>
      <c r="FX204" s="16">
        <v>56161</v>
      </c>
      <c r="FY204" s="16">
        <v>3549</v>
      </c>
      <c r="FZ204" s="16">
        <v>9313</v>
      </c>
      <c r="GA204" s="16">
        <v>10778</v>
      </c>
      <c r="GB204" s="16">
        <v>29077</v>
      </c>
      <c r="GC204" s="16">
        <v>7877</v>
      </c>
      <c r="GD204" s="16">
        <v>31897</v>
      </c>
      <c r="GE204" s="16">
        <v>2993</v>
      </c>
      <c r="GF204" s="16">
        <v>89263</v>
      </c>
      <c r="GG204" s="16">
        <v>2432</v>
      </c>
      <c r="GH204" s="16">
        <v>65271</v>
      </c>
      <c r="GI204" s="16">
        <v>5495</v>
      </c>
      <c r="GJ204" s="16">
        <v>10660</v>
      </c>
      <c r="GK204" s="16">
        <v>4957</v>
      </c>
      <c r="GL204" s="16">
        <v>1</v>
      </c>
      <c r="GM204" s="16">
        <v>3176</v>
      </c>
      <c r="GN204" s="16">
        <v>510</v>
      </c>
      <c r="GO204" s="16">
        <v>2158</v>
      </c>
      <c r="GP204" s="16">
        <v>142417</v>
      </c>
      <c r="GQ204" s="16">
        <v>43899</v>
      </c>
      <c r="GR204" s="16">
        <v>4656</v>
      </c>
      <c r="GS204" s="16">
        <v>1212</v>
      </c>
      <c r="GT204" s="16">
        <v>7049</v>
      </c>
      <c r="GU204" s="16">
        <v>47029</v>
      </c>
      <c r="GV204" s="16">
        <v>3675106</v>
      </c>
      <c r="GW204" s="16">
        <v>486210</v>
      </c>
      <c r="GX204" s="16">
        <v>7139</v>
      </c>
      <c r="GY204" s="16">
        <v>14</v>
      </c>
      <c r="GZ204" s="16">
        <v>52957</v>
      </c>
      <c r="HA204" s="16">
        <v>32323</v>
      </c>
      <c r="HB204" s="16">
        <v>17721</v>
      </c>
      <c r="HC204" s="16">
        <v>76781</v>
      </c>
      <c r="HD204" s="16">
        <v>93451</v>
      </c>
      <c r="HE204" s="16">
        <v>2218</v>
      </c>
      <c r="HF204" s="16">
        <v>10830</v>
      </c>
      <c r="HG204" s="16">
        <v>16869</v>
      </c>
      <c r="HH204" s="16">
        <v>8008</v>
      </c>
      <c r="HI204" s="16">
        <v>36814</v>
      </c>
      <c r="HJ204" s="16">
        <v>5017</v>
      </c>
      <c r="HK204" s="16">
        <v>5543</v>
      </c>
      <c r="HL204" s="16">
        <v>139405</v>
      </c>
      <c r="HM204" s="16">
        <v>49815</v>
      </c>
      <c r="HN204" s="16">
        <v>44570</v>
      </c>
      <c r="HO204" s="16">
        <v>8651</v>
      </c>
      <c r="HP204" s="16">
        <v>43738</v>
      </c>
      <c r="HQ204" s="16">
        <v>33994</v>
      </c>
      <c r="HR204" s="16">
        <v>27798</v>
      </c>
      <c r="HS204" s="16">
        <v>18899</v>
      </c>
      <c r="HT204" s="16">
        <v>3168</v>
      </c>
      <c r="HU204" s="16">
        <v>29158</v>
      </c>
      <c r="HV204" s="16">
        <v>6325</v>
      </c>
      <c r="HW204" s="16">
        <v>33854</v>
      </c>
      <c r="HX204" s="16">
        <v>153897</v>
      </c>
      <c r="HY204" s="16">
        <v>3934</v>
      </c>
      <c r="HZ204" s="16">
        <v>722231</v>
      </c>
      <c r="IA204" s="16">
        <v>176278</v>
      </c>
      <c r="IB204" s="16">
        <v>16181</v>
      </c>
      <c r="IC204" s="16">
        <v>6234</v>
      </c>
      <c r="ID204" s="16">
        <v>58513</v>
      </c>
      <c r="IE204" s="16">
        <v>5088</v>
      </c>
      <c r="IF204" s="16">
        <v>51314</v>
      </c>
      <c r="IG204" s="16">
        <v>195118</v>
      </c>
      <c r="IH204" s="16">
        <v>1606589</v>
      </c>
      <c r="II204" s="16">
        <v>225496</v>
      </c>
      <c r="IJ204" s="16">
        <v>13110</v>
      </c>
      <c r="IK204" s="16">
        <v>65588</v>
      </c>
      <c r="IL204" s="16">
        <v>14971</v>
      </c>
      <c r="IM204" s="16">
        <v>33</v>
      </c>
      <c r="IN204" s="16">
        <v>5009</v>
      </c>
      <c r="IO204" s="16">
        <v>11328</v>
      </c>
      <c r="IP204" s="16">
        <v>1409169</v>
      </c>
      <c r="IQ204" s="16">
        <v>70193</v>
      </c>
      <c r="IR204" s="16">
        <v>25195</v>
      </c>
      <c r="IS204" s="16">
        <v>21252</v>
      </c>
      <c r="IT204" s="16">
        <v>98528</v>
      </c>
      <c r="IU204" s="16">
        <v>158</v>
      </c>
      <c r="IV204" s="16">
        <v>68449</v>
      </c>
      <c r="IW204" s="16">
        <v>4541</v>
      </c>
      <c r="IX204" s="16">
        <v>628</v>
      </c>
      <c r="IY204" s="16">
        <v>293</v>
      </c>
      <c r="IZ204" s="16">
        <v>8</v>
      </c>
      <c r="JA204" s="16">
        <v>66</v>
      </c>
      <c r="JB204" s="16">
        <v>263</v>
      </c>
      <c r="JC204" s="16">
        <v>58</v>
      </c>
      <c r="JD204" s="16">
        <v>5870</v>
      </c>
      <c r="JE204" s="16">
        <v>3272</v>
      </c>
      <c r="JF204" s="16">
        <v>8315</v>
      </c>
      <c r="JG204" s="16">
        <v>189941</v>
      </c>
      <c r="JH204" s="16">
        <v>21360</v>
      </c>
      <c r="JI204" s="16">
        <v>2986</v>
      </c>
      <c r="JJ204" s="16">
        <v>192329</v>
      </c>
      <c r="JK204" s="16">
        <v>21102</v>
      </c>
      <c r="JL204" s="16">
        <v>251</v>
      </c>
      <c r="JM204" s="16">
        <v>2248</v>
      </c>
      <c r="JN204" s="16">
        <v>53842</v>
      </c>
      <c r="JO204" s="16">
        <v>540</v>
      </c>
      <c r="JP204" s="16">
        <v>187404</v>
      </c>
      <c r="JQ204" s="16">
        <v>69085</v>
      </c>
      <c r="JR204" s="16">
        <v>18442</v>
      </c>
      <c r="JS204" s="16">
        <v>2999</v>
      </c>
      <c r="JT204" s="16">
        <v>0</v>
      </c>
      <c r="JU204" s="16">
        <v>16599</v>
      </c>
      <c r="JV204" s="16">
        <v>24971</v>
      </c>
      <c r="JW204" s="16">
        <v>105860</v>
      </c>
      <c r="JX204" s="16">
        <v>120861</v>
      </c>
      <c r="JY204" s="16">
        <v>4119</v>
      </c>
      <c r="JZ204" s="16">
        <v>2286</v>
      </c>
      <c r="KA204" s="16">
        <v>4288</v>
      </c>
      <c r="KB204" s="16">
        <v>111</v>
      </c>
      <c r="KC204" s="16">
        <v>7077</v>
      </c>
      <c r="KD204" s="16">
        <v>9123</v>
      </c>
      <c r="KE204" s="16">
        <v>154</v>
      </c>
      <c r="KF204" s="16">
        <v>5459</v>
      </c>
      <c r="KG204" s="16">
        <v>1435</v>
      </c>
      <c r="KH204" s="16">
        <v>4521</v>
      </c>
      <c r="KI204" s="16">
        <v>19090</v>
      </c>
      <c r="KJ204" s="16">
        <v>12496</v>
      </c>
      <c r="KK204" s="16">
        <v>385315</v>
      </c>
      <c r="KL204" s="16">
        <v>325</v>
      </c>
      <c r="KM204" s="16">
        <v>462</v>
      </c>
      <c r="KN204" s="16">
        <v>136</v>
      </c>
      <c r="KO204" s="16">
        <v>2751</v>
      </c>
      <c r="KP204" s="16">
        <v>121</v>
      </c>
      <c r="KQ204" s="16">
        <v>6910</v>
      </c>
      <c r="KR204" s="16">
        <v>11739</v>
      </c>
      <c r="KS204" s="16">
        <v>61</v>
      </c>
      <c r="KT204" s="16">
        <v>4493</v>
      </c>
      <c r="KU204" s="16">
        <v>1990</v>
      </c>
      <c r="KV204" s="16">
        <v>13723</v>
      </c>
      <c r="KW204" s="16">
        <v>18370</v>
      </c>
      <c r="KX204" s="16">
        <v>136</v>
      </c>
      <c r="KY204" s="16">
        <v>15111</v>
      </c>
      <c r="KZ204" s="16">
        <v>24468</v>
      </c>
      <c r="LA204" s="16">
        <v>5130</v>
      </c>
      <c r="LB204" s="16">
        <v>206</v>
      </c>
      <c r="LC204" s="16">
        <v>5226</v>
      </c>
      <c r="LD204" s="16">
        <v>3022</v>
      </c>
      <c r="LE204" s="16">
        <v>23453</v>
      </c>
      <c r="LF204" s="16">
        <v>7665</v>
      </c>
      <c r="LG204" s="16">
        <v>3300</v>
      </c>
      <c r="LH204" s="16">
        <v>29255</v>
      </c>
      <c r="LI204" s="16">
        <v>44</v>
      </c>
      <c r="LJ204" s="16">
        <v>2981</v>
      </c>
      <c r="LK204" s="16">
        <v>22702</v>
      </c>
      <c r="LL204" s="16">
        <v>5117</v>
      </c>
      <c r="LM204" s="16">
        <v>33877</v>
      </c>
      <c r="LN204" s="16">
        <v>117198</v>
      </c>
      <c r="LO204" s="16">
        <v>132</v>
      </c>
      <c r="LP204" s="16">
        <v>1863</v>
      </c>
      <c r="LQ204" s="16">
        <v>31</v>
      </c>
      <c r="LR204" s="16">
        <v>891</v>
      </c>
      <c r="LS204" s="16">
        <v>80</v>
      </c>
      <c r="LT204" s="16">
        <v>3547</v>
      </c>
      <c r="LU204" s="16">
        <v>1281</v>
      </c>
      <c r="LV204" s="16">
        <v>14</v>
      </c>
      <c r="LW204" s="16">
        <v>1173</v>
      </c>
      <c r="LX204" s="16">
        <v>3145</v>
      </c>
      <c r="LY204" s="16">
        <v>0</v>
      </c>
      <c r="LZ204" s="16">
        <v>1379</v>
      </c>
      <c r="MA204" s="16">
        <v>3906</v>
      </c>
      <c r="MB204" s="16">
        <v>23228</v>
      </c>
      <c r="MC204" s="16">
        <v>304465</v>
      </c>
      <c r="MD204" s="16">
        <v>323096</v>
      </c>
      <c r="ME204" s="16">
        <v>16041</v>
      </c>
      <c r="MF204" s="16">
        <v>704664</v>
      </c>
      <c r="MG204" s="16">
        <v>8907</v>
      </c>
      <c r="MH204" s="16">
        <v>280522</v>
      </c>
      <c r="MI204" s="16">
        <v>78</v>
      </c>
      <c r="MJ204" s="16">
        <v>215366</v>
      </c>
      <c r="MK204" s="16">
        <v>730285</v>
      </c>
      <c r="ML204" s="16">
        <v>351923</v>
      </c>
      <c r="MM204" s="16">
        <v>23861</v>
      </c>
      <c r="MN204" s="16">
        <v>262827</v>
      </c>
      <c r="MO204" s="16">
        <v>28386</v>
      </c>
      <c r="MP204" s="16">
        <v>7064</v>
      </c>
      <c r="MQ204" s="16">
        <v>65774</v>
      </c>
      <c r="MR204" s="16">
        <v>155553</v>
      </c>
      <c r="MS204" s="16">
        <v>36614</v>
      </c>
      <c r="MT204" s="16">
        <v>4647</v>
      </c>
      <c r="MU204" s="16">
        <v>109544</v>
      </c>
      <c r="MV204" s="16">
        <v>281761</v>
      </c>
      <c r="MW204" s="16">
        <v>215831</v>
      </c>
      <c r="MX204" s="16">
        <v>15616</v>
      </c>
      <c r="MY204" s="16">
        <v>10198</v>
      </c>
      <c r="MZ204" s="16">
        <v>84470</v>
      </c>
      <c r="NA204" s="16">
        <v>2274</v>
      </c>
      <c r="NB204" s="16">
        <v>22373</v>
      </c>
      <c r="NC204" s="16">
        <v>9891</v>
      </c>
      <c r="ND204" s="16">
        <v>60</v>
      </c>
      <c r="NE204" s="16">
        <v>28</v>
      </c>
      <c r="NF204" s="16">
        <v>11236</v>
      </c>
      <c r="NG204" s="16">
        <v>8471</v>
      </c>
      <c r="NH204" s="16">
        <v>485</v>
      </c>
      <c r="NI204" s="16">
        <v>6128</v>
      </c>
      <c r="NJ204" s="16">
        <v>27830</v>
      </c>
      <c r="NK204" s="16">
        <v>6007</v>
      </c>
      <c r="NL204" s="16">
        <v>6183</v>
      </c>
      <c r="NM204" s="16">
        <v>772</v>
      </c>
      <c r="NN204" s="16">
        <v>60</v>
      </c>
      <c r="NO204" s="16">
        <v>0</v>
      </c>
      <c r="NP204" s="16">
        <v>1100</v>
      </c>
      <c r="NQ204" s="16">
        <v>3763</v>
      </c>
      <c r="NR204" s="17">
        <v>17726721</v>
      </c>
    </row>
    <row r="205" spans="1:382" ht="13.5" customHeight="1" x14ac:dyDescent="0.2">
      <c r="A205" s="2" t="s">
        <v>417</v>
      </c>
      <c r="B205" s="16">
        <v>0</v>
      </c>
      <c r="C205" s="16">
        <v>0</v>
      </c>
      <c r="D205" s="16">
        <v>0</v>
      </c>
      <c r="E205" s="16">
        <v>0</v>
      </c>
      <c r="F205" s="16">
        <v>12</v>
      </c>
      <c r="G205" s="16">
        <v>6</v>
      </c>
      <c r="H205" s="16">
        <v>120</v>
      </c>
      <c r="I205" s="16">
        <v>0</v>
      </c>
      <c r="J205" s="16">
        <v>5</v>
      </c>
      <c r="K205" s="16">
        <v>0</v>
      </c>
      <c r="L205" s="16">
        <v>35783</v>
      </c>
      <c r="M205" s="16">
        <v>0</v>
      </c>
      <c r="N205" s="16">
        <v>0</v>
      </c>
      <c r="O205" s="16">
        <v>26</v>
      </c>
      <c r="P205" s="16">
        <v>14456</v>
      </c>
      <c r="Q205" s="16">
        <v>2304</v>
      </c>
      <c r="R205" s="16">
        <v>411</v>
      </c>
      <c r="S205" s="16">
        <v>0</v>
      </c>
      <c r="T205" s="16">
        <v>298</v>
      </c>
      <c r="U205" s="16">
        <v>0</v>
      </c>
      <c r="V205" s="16">
        <v>0</v>
      </c>
      <c r="W205" s="16">
        <v>0</v>
      </c>
      <c r="X205" s="16">
        <v>1074</v>
      </c>
      <c r="Y205" s="16">
        <v>1539</v>
      </c>
      <c r="Z205" s="16">
        <v>0</v>
      </c>
      <c r="AA205" s="16">
        <v>7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151</v>
      </c>
      <c r="AH205" s="16">
        <v>151</v>
      </c>
      <c r="AI205" s="16">
        <v>64</v>
      </c>
      <c r="AJ205" s="16">
        <v>51</v>
      </c>
      <c r="AK205" s="16">
        <v>133</v>
      </c>
      <c r="AL205" s="16">
        <v>4</v>
      </c>
      <c r="AM205" s="16">
        <v>350</v>
      </c>
      <c r="AN205" s="16">
        <v>220</v>
      </c>
      <c r="AO205" s="16">
        <v>0</v>
      </c>
      <c r="AP205" s="16">
        <v>0</v>
      </c>
      <c r="AQ205" s="16">
        <v>0</v>
      </c>
      <c r="AR205" s="16">
        <v>0</v>
      </c>
      <c r="AS205" s="16">
        <v>199</v>
      </c>
      <c r="AT205" s="16">
        <v>21</v>
      </c>
      <c r="AU205" s="16">
        <v>18</v>
      </c>
      <c r="AV205" s="16">
        <v>385</v>
      </c>
      <c r="AW205" s="16">
        <v>970</v>
      </c>
      <c r="AX205" s="16">
        <v>101</v>
      </c>
      <c r="AY205" s="16">
        <v>0</v>
      </c>
      <c r="AZ205" s="16">
        <v>290</v>
      </c>
      <c r="BA205" s="16">
        <v>1027</v>
      </c>
      <c r="BB205" s="16">
        <v>176</v>
      </c>
      <c r="BC205" s="16">
        <v>1627</v>
      </c>
      <c r="BD205" s="16">
        <v>20</v>
      </c>
      <c r="BE205" s="16">
        <v>49</v>
      </c>
      <c r="BF205" s="16">
        <v>184</v>
      </c>
      <c r="BG205" s="16">
        <v>25</v>
      </c>
      <c r="BH205" s="16">
        <v>392</v>
      </c>
      <c r="BI205" s="16">
        <v>655</v>
      </c>
      <c r="BJ205" s="16">
        <v>19</v>
      </c>
      <c r="BK205" s="16">
        <v>20</v>
      </c>
      <c r="BL205" s="16">
        <v>122</v>
      </c>
      <c r="BM205" s="16">
        <v>23</v>
      </c>
      <c r="BN205" s="16">
        <v>19</v>
      </c>
      <c r="BO205" s="16">
        <v>35</v>
      </c>
      <c r="BP205" s="16">
        <v>4</v>
      </c>
      <c r="BQ205" s="16">
        <v>15</v>
      </c>
      <c r="BR205" s="16">
        <v>5</v>
      </c>
      <c r="BS205" s="16">
        <v>217</v>
      </c>
      <c r="BT205" s="16">
        <v>0</v>
      </c>
      <c r="BU205" s="16">
        <v>2</v>
      </c>
      <c r="BV205" s="16">
        <v>0</v>
      </c>
      <c r="BW205" s="16">
        <v>68</v>
      </c>
      <c r="BX205" s="16">
        <v>2</v>
      </c>
      <c r="BY205" s="16">
        <v>0</v>
      </c>
      <c r="BZ205" s="16">
        <v>17</v>
      </c>
      <c r="CA205" s="16">
        <v>3</v>
      </c>
      <c r="CB205" s="16">
        <v>4</v>
      </c>
      <c r="CC205" s="16">
        <v>291</v>
      </c>
      <c r="CD205" s="16">
        <v>84</v>
      </c>
      <c r="CE205" s="16">
        <v>41</v>
      </c>
      <c r="CF205" s="16">
        <v>76</v>
      </c>
      <c r="CG205" s="16">
        <v>55</v>
      </c>
      <c r="CH205" s="16">
        <v>92</v>
      </c>
      <c r="CI205" s="16">
        <v>588</v>
      </c>
      <c r="CJ205" s="16">
        <v>2034</v>
      </c>
      <c r="CK205" s="16">
        <v>2093</v>
      </c>
      <c r="CL205" s="16">
        <v>268</v>
      </c>
      <c r="CM205" s="16">
        <v>23</v>
      </c>
      <c r="CN205" s="16">
        <v>306</v>
      </c>
      <c r="CO205" s="16">
        <v>179</v>
      </c>
      <c r="CP205" s="16">
        <v>930</v>
      </c>
      <c r="CQ205" s="16">
        <v>6277</v>
      </c>
      <c r="CR205" s="16">
        <v>934</v>
      </c>
      <c r="CS205" s="16">
        <v>14539</v>
      </c>
      <c r="CT205" s="16">
        <v>17138</v>
      </c>
      <c r="CU205" s="16">
        <v>17686</v>
      </c>
      <c r="CV205" s="16">
        <v>28968</v>
      </c>
      <c r="CW205" s="16">
        <v>70223</v>
      </c>
      <c r="CX205" s="16">
        <v>61456</v>
      </c>
      <c r="CY205" s="16">
        <v>9986</v>
      </c>
      <c r="CZ205" s="16">
        <v>10282</v>
      </c>
      <c r="DA205" s="16">
        <v>352</v>
      </c>
      <c r="DB205" s="16">
        <v>9713</v>
      </c>
      <c r="DC205" s="16">
        <v>497</v>
      </c>
      <c r="DD205" s="16">
        <v>15153</v>
      </c>
      <c r="DE205" s="16">
        <v>1298</v>
      </c>
      <c r="DF205" s="16">
        <v>8219</v>
      </c>
      <c r="DG205" s="16">
        <v>2809</v>
      </c>
      <c r="DH205" s="16">
        <v>3970</v>
      </c>
      <c r="DI205" s="16">
        <v>919</v>
      </c>
      <c r="DJ205" s="16">
        <v>79020</v>
      </c>
      <c r="DK205" s="16">
        <v>858</v>
      </c>
      <c r="DL205" s="16">
        <v>1800</v>
      </c>
      <c r="DM205" s="16">
        <v>5648</v>
      </c>
      <c r="DN205" s="16">
        <v>67</v>
      </c>
      <c r="DO205" s="16">
        <v>1831</v>
      </c>
      <c r="DP205" s="16">
        <v>648</v>
      </c>
      <c r="DQ205" s="16">
        <v>127</v>
      </c>
      <c r="DR205" s="16">
        <v>502</v>
      </c>
      <c r="DS205" s="16">
        <v>2919</v>
      </c>
      <c r="DT205" s="16">
        <v>303</v>
      </c>
      <c r="DU205" s="16">
        <v>151</v>
      </c>
      <c r="DV205" s="16">
        <v>1180</v>
      </c>
      <c r="DW205" s="16">
        <v>773</v>
      </c>
      <c r="DX205" s="16">
        <v>1829</v>
      </c>
      <c r="DY205" s="16">
        <v>1281</v>
      </c>
      <c r="DZ205" s="16">
        <v>4251</v>
      </c>
      <c r="EA205" s="16">
        <v>2617</v>
      </c>
      <c r="EB205" s="16">
        <v>79</v>
      </c>
      <c r="EC205" s="16">
        <v>1241</v>
      </c>
      <c r="ED205" s="16">
        <v>68</v>
      </c>
      <c r="EE205" s="16">
        <v>22</v>
      </c>
      <c r="EF205" s="16">
        <v>54</v>
      </c>
      <c r="EG205" s="16">
        <v>2292</v>
      </c>
      <c r="EH205" s="16">
        <v>232</v>
      </c>
      <c r="EI205" s="16">
        <v>9</v>
      </c>
      <c r="EJ205" s="16">
        <v>6</v>
      </c>
      <c r="EK205" s="16">
        <v>168</v>
      </c>
      <c r="EL205" s="16">
        <v>5</v>
      </c>
      <c r="EM205" s="16">
        <v>261</v>
      </c>
      <c r="EN205" s="16">
        <v>990</v>
      </c>
      <c r="EO205" s="16">
        <v>60</v>
      </c>
      <c r="EP205" s="16">
        <v>33</v>
      </c>
      <c r="EQ205" s="16">
        <v>90</v>
      </c>
      <c r="ER205" s="16">
        <v>36</v>
      </c>
      <c r="ES205" s="16">
        <v>24</v>
      </c>
      <c r="ET205" s="16">
        <v>2984</v>
      </c>
      <c r="EU205" s="16">
        <v>39</v>
      </c>
      <c r="EV205" s="16">
        <v>16</v>
      </c>
      <c r="EW205" s="16">
        <v>252</v>
      </c>
      <c r="EX205" s="16">
        <v>83658</v>
      </c>
      <c r="EY205" s="16">
        <v>154</v>
      </c>
      <c r="EZ205" s="16">
        <v>114</v>
      </c>
      <c r="FA205" s="16">
        <v>358</v>
      </c>
      <c r="FB205" s="16">
        <v>2002</v>
      </c>
      <c r="FC205" s="16">
        <v>26</v>
      </c>
      <c r="FD205" s="16">
        <v>7249</v>
      </c>
      <c r="FE205" s="16">
        <v>2790</v>
      </c>
      <c r="FF205" s="16">
        <v>313</v>
      </c>
      <c r="FG205" s="16">
        <v>27</v>
      </c>
      <c r="FH205" s="16">
        <v>2</v>
      </c>
      <c r="FI205" s="16">
        <v>104</v>
      </c>
      <c r="FJ205" s="16">
        <v>66</v>
      </c>
      <c r="FK205" s="16">
        <v>322</v>
      </c>
      <c r="FL205" s="16">
        <v>5</v>
      </c>
      <c r="FM205" s="16">
        <v>2539</v>
      </c>
      <c r="FN205" s="16">
        <v>7475</v>
      </c>
      <c r="FO205" s="16">
        <v>2222</v>
      </c>
      <c r="FP205" s="16">
        <v>2532</v>
      </c>
      <c r="FQ205" s="16">
        <v>17717</v>
      </c>
      <c r="FR205" s="16">
        <v>5205</v>
      </c>
      <c r="FS205" s="16">
        <v>5648</v>
      </c>
      <c r="FT205" s="16">
        <v>107374</v>
      </c>
      <c r="FU205" s="16">
        <v>7402</v>
      </c>
      <c r="FV205" s="16">
        <v>26982</v>
      </c>
      <c r="FW205" s="16">
        <v>722</v>
      </c>
      <c r="FX205" s="16">
        <v>37347</v>
      </c>
      <c r="FY205" s="16">
        <v>2362</v>
      </c>
      <c r="FZ205" s="16">
        <v>2104</v>
      </c>
      <c r="GA205" s="16">
        <v>5141</v>
      </c>
      <c r="GB205" s="16">
        <v>12914</v>
      </c>
      <c r="GC205" s="16">
        <v>2907</v>
      </c>
      <c r="GD205" s="16">
        <v>43236</v>
      </c>
      <c r="GE205" s="16">
        <v>313</v>
      </c>
      <c r="GF205" s="16">
        <v>10096</v>
      </c>
      <c r="GG205" s="16">
        <v>2690</v>
      </c>
      <c r="GH205" s="16">
        <v>10051</v>
      </c>
      <c r="GI205" s="16">
        <v>851</v>
      </c>
      <c r="GJ205" s="16">
        <v>12940</v>
      </c>
      <c r="GK205" s="16">
        <v>1029</v>
      </c>
      <c r="GL205" s="16">
        <v>58</v>
      </c>
      <c r="GM205" s="16">
        <v>324</v>
      </c>
      <c r="GN205" s="16">
        <v>322</v>
      </c>
      <c r="GO205" s="16">
        <v>2561</v>
      </c>
      <c r="GP205" s="16">
        <v>482</v>
      </c>
      <c r="GQ205" s="16">
        <v>4249</v>
      </c>
      <c r="GR205" s="16">
        <v>1413</v>
      </c>
      <c r="GS205" s="16">
        <v>76</v>
      </c>
      <c r="GT205" s="16">
        <v>221</v>
      </c>
      <c r="GU205" s="16">
        <v>15321</v>
      </c>
      <c r="GV205" s="16">
        <v>261175</v>
      </c>
      <c r="GW205" s="16">
        <v>977091</v>
      </c>
      <c r="GX205" s="16">
        <v>2246</v>
      </c>
      <c r="GY205" s="16">
        <v>18</v>
      </c>
      <c r="GZ205" s="16">
        <v>38546</v>
      </c>
      <c r="HA205" s="16">
        <v>26524</v>
      </c>
      <c r="HB205" s="16">
        <v>12206</v>
      </c>
      <c r="HC205" s="16">
        <v>69095</v>
      </c>
      <c r="HD205" s="16">
        <v>160126</v>
      </c>
      <c r="HE205" s="16">
        <v>1382</v>
      </c>
      <c r="HF205" s="16">
        <v>12240</v>
      </c>
      <c r="HG205" s="16">
        <v>57846</v>
      </c>
      <c r="HH205" s="16">
        <v>19165</v>
      </c>
      <c r="HI205" s="16">
        <v>67523</v>
      </c>
      <c r="HJ205" s="16">
        <v>1284</v>
      </c>
      <c r="HK205" s="16">
        <v>1956</v>
      </c>
      <c r="HL205" s="16">
        <v>216549</v>
      </c>
      <c r="HM205" s="16">
        <v>20857</v>
      </c>
      <c r="HN205" s="16">
        <v>48975</v>
      </c>
      <c r="HO205" s="16">
        <v>61495</v>
      </c>
      <c r="HP205" s="16">
        <v>2835</v>
      </c>
      <c r="HQ205" s="16">
        <v>85979</v>
      </c>
      <c r="HR205" s="16">
        <v>48314</v>
      </c>
      <c r="HS205" s="16">
        <v>55978</v>
      </c>
      <c r="HT205" s="16">
        <v>1865</v>
      </c>
      <c r="HU205" s="16">
        <v>84088</v>
      </c>
      <c r="HV205" s="16">
        <v>4694</v>
      </c>
      <c r="HW205" s="16">
        <v>12987</v>
      </c>
      <c r="HX205" s="16">
        <v>319244</v>
      </c>
      <c r="HY205" s="16">
        <v>3255</v>
      </c>
      <c r="HZ205" s="16">
        <v>241837</v>
      </c>
      <c r="IA205" s="16">
        <v>52272</v>
      </c>
      <c r="IB205" s="16">
        <v>4696</v>
      </c>
      <c r="IC205" s="16">
        <v>9194</v>
      </c>
      <c r="ID205" s="16">
        <v>7716</v>
      </c>
      <c r="IE205" s="16">
        <v>830</v>
      </c>
      <c r="IF205" s="16">
        <v>12967</v>
      </c>
      <c r="IG205" s="16">
        <v>122300</v>
      </c>
      <c r="IH205" s="16">
        <v>166506</v>
      </c>
      <c r="II205" s="16">
        <v>32743</v>
      </c>
      <c r="IJ205" s="16">
        <v>2421</v>
      </c>
      <c r="IK205" s="16">
        <v>4654</v>
      </c>
      <c r="IL205" s="16">
        <v>8364</v>
      </c>
      <c r="IM205" s="16">
        <v>15</v>
      </c>
      <c r="IN205" s="16">
        <v>44318</v>
      </c>
      <c r="IO205" s="16">
        <v>54832</v>
      </c>
      <c r="IP205" s="16">
        <v>23014</v>
      </c>
      <c r="IQ205" s="16">
        <v>3757</v>
      </c>
      <c r="IR205" s="16">
        <v>416</v>
      </c>
      <c r="IS205" s="16">
        <v>15404</v>
      </c>
      <c r="IT205" s="16">
        <v>5673</v>
      </c>
      <c r="IU205" s="16">
        <v>52</v>
      </c>
      <c r="IV205" s="16">
        <v>53895</v>
      </c>
      <c r="IW205" s="16">
        <v>686</v>
      </c>
      <c r="IX205" s="16">
        <v>529</v>
      </c>
      <c r="IY205" s="16">
        <v>192</v>
      </c>
      <c r="IZ205" s="16">
        <v>7</v>
      </c>
      <c r="JA205" s="16">
        <v>1139</v>
      </c>
      <c r="JB205" s="16">
        <v>139</v>
      </c>
      <c r="JC205" s="16">
        <v>11</v>
      </c>
      <c r="JD205" s="16">
        <v>223</v>
      </c>
      <c r="JE205" s="16">
        <v>393</v>
      </c>
      <c r="JF205" s="16">
        <v>1498</v>
      </c>
      <c r="JG205" s="16">
        <v>31943</v>
      </c>
      <c r="JH205" s="16">
        <v>21434</v>
      </c>
      <c r="JI205" s="16">
        <v>2296</v>
      </c>
      <c r="JJ205" s="16">
        <v>66971</v>
      </c>
      <c r="JK205" s="16">
        <v>56797</v>
      </c>
      <c r="JL205" s="16">
        <v>3189</v>
      </c>
      <c r="JM205" s="16">
        <v>8500</v>
      </c>
      <c r="JN205" s="16">
        <v>94990</v>
      </c>
      <c r="JO205" s="16">
        <v>8475</v>
      </c>
      <c r="JP205" s="16">
        <v>115751</v>
      </c>
      <c r="JQ205" s="16">
        <v>75754</v>
      </c>
      <c r="JR205" s="16">
        <v>735</v>
      </c>
      <c r="JS205" s="16">
        <v>861</v>
      </c>
      <c r="JT205" s="16">
        <v>0</v>
      </c>
      <c r="JU205" s="16">
        <v>3595</v>
      </c>
      <c r="JV205" s="16">
        <v>12099</v>
      </c>
      <c r="JW205" s="16">
        <v>127254</v>
      </c>
      <c r="JX205" s="16">
        <v>105941</v>
      </c>
      <c r="JY205" s="16">
        <v>5802</v>
      </c>
      <c r="JZ205" s="16">
        <v>3456</v>
      </c>
      <c r="KA205" s="16">
        <v>1331</v>
      </c>
      <c r="KB205" s="16">
        <v>213</v>
      </c>
      <c r="KC205" s="16">
        <v>1105</v>
      </c>
      <c r="KD205" s="16">
        <v>2572</v>
      </c>
      <c r="KE205" s="16">
        <v>310</v>
      </c>
      <c r="KF205" s="16">
        <v>2421</v>
      </c>
      <c r="KG205" s="16">
        <v>2147</v>
      </c>
      <c r="KH205" s="16">
        <v>6022</v>
      </c>
      <c r="KI205" s="16">
        <v>140293</v>
      </c>
      <c r="KJ205" s="16">
        <v>8983</v>
      </c>
      <c r="KK205" s="16">
        <v>211728</v>
      </c>
      <c r="KL205" s="16">
        <v>302</v>
      </c>
      <c r="KM205" s="16">
        <v>441</v>
      </c>
      <c r="KN205" s="16">
        <v>178</v>
      </c>
      <c r="KO205" s="16">
        <v>3039</v>
      </c>
      <c r="KP205" s="16">
        <v>14</v>
      </c>
      <c r="KQ205" s="16">
        <v>67377</v>
      </c>
      <c r="KR205" s="16">
        <v>3552</v>
      </c>
      <c r="KS205" s="16">
        <v>27</v>
      </c>
      <c r="KT205" s="16">
        <v>3230</v>
      </c>
      <c r="KU205" s="16">
        <v>0</v>
      </c>
      <c r="KV205" s="16">
        <v>37765</v>
      </c>
      <c r="KW205" s="16">
        <v>10508</v>
      </c>
      <c r="KX205" s="16">
        <v>153</v>
      </c>
      <c r="KY205" s="16">
        <v>23625</v>
      </c>
      <c r="KZ205" s="16">
        <v>6388</v>
      </c>
      <c r="LA205" s="16">
        <v>0</v>
      </c>
      <c r="LB205" s="16">
        <v>34</v>
      </c>
      <c r="LC205" s="16">
        <v>0</v>
      </c>
      <c r="LD205" s="16">
        <v>0</v>
      </c>
      <c r="LE205" s="16">
        <v>17153</v>
      </c>
      <c r="LF205" s="16">
        <v>5029</v>
      </c>
      <c r="LG205" s="16">
        <v>2012</v>
      </c>
      <c r="LH205" s="16">
        <v>18258</v>
      </c>
      <c r="LI205" s="16">
        <v>15</v>
      </c>
      <c r="LJ205" s="16">
        <v>1636</v>
      </c>
      <c r="LK205" s="16">
        <v>16253</v>
      </c>
      <c r="LL205" s="16">
        <v>1300</v>
      </c>
      <c r="LM205" s="16">
        <v>7342</v>
      </c>
      <c r="LN205" s="16">
        <v>58044</v>
      </c>
      <c r="LO205" s="16">
        <v>49</v>
      </c>
      <c r="LP205" s="16">
        <v>1148</v>
      </c>
      <c r="LQ205" s="16">
        <v>15</v>
      </c>
      <c r="LR205" s="16">
        <v>55</v>
      </c>
      <c r="LS205" s="16">
        <v>0</v>
      </c>
      <c r="LT205" s="16">
        <v>16</v>
      </c>
      <c r="LU205" s="16">
        <v>0</v>
      </c>
      <c r="LV205" s="16">
        <v>0</v>
      </c>
      <c r="LW205" s="16">
        <v>0</v>
      </c>
      <c r="LX205" s="16">
        <v>0</v>
      </c>
      <c r="LY205" s="16">
        <v>0</v>
      </c>
      <c r="LZ205" s="16">
        <v>2367</v>
      </c>
      <c r="MA205" s="16">
        <v>5904</v>
      </c>
      <c r="MB205" s="16">
        <v>0</v>
      </c>
      <c r="MC205" s="16">
        <v>92120</v>
      </c>
      <c r="MD205" s="16">
        <v>22551</v>
      </c>
      <c r="ME205" s="16">
        <v>0</v>
      </c>
      <c r="MF205" s="16">
        <v>238839</v>
      </c>
      <c r="MG205" s="16">
        <v>0</v>
      </c>
      <c r="MH205" s="16">
        <v>0</v>
      </c>
      <c r="MI205" s="16">
        <v>0</v>
      </c>
      <c r="MJ205" s="16">
        <v>0</v>
      </c>
      <c r="MK205" s="16">
        <v>302276</v>
      </c>
      <c r="ML205" s="16">
        <v>37244</v>
      </c>
      <c r="MM205" s="16">
        <v>7061</v>
      </c>
      <c r="MN205" s="16">
        <v>37446</v>
      </c>
      <c r="MO205" s="16">
        <v>0</v>
      </c>
      <c r="MP205" s="16">
        <v>0</v>
      </c>
      <c r="MQ205" s="16">
        <v>13398</v>
      </c>
      <c r="MR205" s="16">
        <v>6589</v>
      </c>
      <c r="MS205" s="16">
        <v>592</v>
      </c>
      <c r="MT205" s="16">
        <v>0</v>
      </c>
      <c r="MU205" s="16">
        <v>1405</v>
      </c>
      <c r="MV205" s="16">
        <v>59665</v>
      </c>
      <c r="MW205" s="16">
        <v>96529</v>
      </c>
      <c r="MX205" s="16">
        <v>65</v>
      </c>
      <c r="MY205" s="16">
        <v>2249</v>
      </c>
      <c r="MZ205" s="16">
        <v>36532</v>
      </c>
      <c r="NA205" s="16">
        <v>0</v>
      </c>
      <c r="NB205" s="16">
        <v>0</v>
      </c>
      <c r="NC205" s="16">
        <v>352</v>
      </c>
      <c r="ND205" s="16">
        <v>0</v>
      </c>
      <c r="NE205" s="16">
        <v>40</v>
      </c>
      <c r="NF205" s="16">
        <v>2282</v>
      </c>
      <c r="NG205" s="16">
        <v>1062</v>
      </c>
      <c r="NH205" s="16">
        <v>104</v>
      </c>
      <c r="NI205" s="16">
        <v>0</v>
      </c>
      <c r="NJ205" s="16">
        <v>0</v>
      </c>
      <c r="NK205" s="16">
        <v>849</v>
      </c>
      <c r="NL205" s="16">
        <v>2569</v>
      </c>
      <c r="NM205" s="16">
        <v>0</v>
      </c>
      <c r="NN205" s="16">
        <v>12912</v>
      </c>
      <c r="NO205" s="16">
        <v>0</v>
      </c>
      <c r="NP205" s="16">
        <v>0</v>
      </c>
      <c r="NQ205" s="16">
        <v>598</v>
      </c>
      <c r="NR205" s="17">
        <v>6857897</v>
      </c>
    </row>
    <row r="206" spans="1:382" ht="13.5" customHeight="1" x14ac:dyDescent="0.2">
      <c r="A206" s="2" t="s">
        <v>419</v>
      </c>
      <c r="B206" s="16">
        <v>0</v>
      </c>
      <c r="C206" s="16">
        <v>0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50</v>
      </c>
      <c r="Q206" s="16">
        <v>315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149</v>
      </c>
      <c r="Y206" s="16">
        <v>371</v>
      </c>
      <c r="Z206" s="16">
        <v>349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336</v>
      </c>
      <c r="AH206" s="16">
        <v>0</v>
      </c>
      <c r="AI206" s="16">
        <v>0</v>
      </c>
      <c r="AJ206" s="16">
        <v>472</v>
      </c>
      <c r="AK206" s="16">
        <v>1371</v>
      </c>
      <c r="AL206" s="16">
        <v>0</v>
      </c>
      <c r="AM206" s="16">
        <v>239</v>
      </c>
      <c r="AN206" s="16">
        <v>105</v>
      </c>
      <c r="AO206" s="16">
        <v>982</v>
      </c>
      <c r="AP206" s="16">
        <v>0</v>
      </c>
      <c r="AQ206" s="16">
        <v>0</v>
      </c>
      <c r="AR206" s="16">
        <v>0</v>
      </c>
      <c r="AS206" s="16">
        <v>0</v>
      </c>
      <c r="AT206" s="16">
        <v>0</v>
      </c>
      <c r="AU206" s="16">
        <v>47</v>
      </c>
      <c r="AV206" s="16">
        <v>0</v>
      </c>
      <c r="AW206" s="16">
        <v>555</v>
      </c>
      <c r="AX206" s="16">
        <v>36</v>
      </c>
      <c r="AY206" s="16">
        <v>0</v>
      </c>
      <c r="AZ206" s="16">
        <v>426</v>
      </c>
      <c r="BA206" s="16">
        <v>0</v>
      </c>
      <c r="BB206" s="16">
        <v>0</v>
      </c>
      <c r="BC206" s="16">
        <v>904</v>
      </c>
      <c r="BD206" s="16">
        <v>0</v>
      </c>
      <c r="BE206" s="16">
        <v>60</v>
      </c>
      <c r="BF206" s="16">
        <v>286</v>
      </c>
      <c r="BG206" s="16">
        <v>0</v>
      </c>
      <c r="BH206" s="16">
        <v>241</v>
      </c>
      <c r="BI206" s="16">
        <v>147</v>
      </c>
      <c r="BJ206" s="16">
        <v>0</v>
      </c>
      <c r="BK206" s="16">
        <v>0</v>
      </c>
      <c r="BL206" s="16">
        <v>177</v>
      </c>
      <c r="BM206" s="16">
        <v>0</v>
      </c>
      <c r="BN206" s="16">
        <v>110</v>
      </c>
      <c r="BO206" s="16">
        <v>343</v>
      </c>
      <c r="BP206" s="16">
        <v>91</v>
      </c>
      <c r="BQ206" s="16">
        <v>0</v>
      </c>
      <c r="BR206" s="16">
        <v>0</v>
      </c>
      <c r="BS206" s="16">
        <v>1035</v>
      </c>
      <c r="BT206" s="16">
        <v>0</v>
      </c>
      <c r="BU206" s="16">
        <v>0</v>
      </c>
      <c r="BV206" s="16">
        <v>0</v>
      </c>
      <c r="BW206" s="16">
        <v>0</v>
      </c>
      <c r="BX206" s="16">
        <v>0</v>
      </c>
      <c r="BY206" s="16">
        <v>0</v>
      </c>
      <c r="BZ206" s="16">
        <v>252</v>
      </c>
      <c r="CA206" s="16">
        <v>26</v>
      </c>
      <c r="CB206" s="16">
        <v>0</v>
      </c>
      <c r="CC206" s="16">
        <v>0</v>
      </c>
      <c r="CD206" s="16">
        <v>0</v>
      </c>
      <c r="CE206" s="16">
        <v>0</v>
      </c>
      <c r="CF206" s="16">
        <v>0</v>
      </c>
      <c r="CG206" s="16">
        <v>0</v>
      </c>
      <c r="CH206" s="16">
        <v>0</v>
      </c>
      <c r="CI206" s="16">
        <v>6</v>
      </c>
      <c r="CJ206" s="16">
        <v>217</v>
      </c>
      <c r="CK206" s="16">
        <v>686</v>
      </c>
      <c r="CL206" s="16">
        <v>0</v>
      </c>
      <c r="CM206" s="16">
        <v>125</v>
      </c>
      <c r="CN206" s="16">
        <v>0</v>
      </c>
      <c r="CO206" s="16">
        <v>125</v>
      </c>
      <c r="CP206" s="16">
        <v>196</v>
      </c>
      <c r="CQ206" s="16">
        <v>2351</v>
      </c>
      <c r="CR206" s="16">
        <v>0</v>
      </c>
      <c r="CS206" s="16">
        <v>805</v>
      </c>
      <c r="CT206" s="16">
        <v>905</v>
      </c>
      <c r="CU206" s="16">
        <v>1190</v>
      </c>
      <c r="CV206" s="16">
        <v>1029</v>
      </c>
      <c r="CW206" s="16">
        <v>4292</v>
      </c>
      <c r="CX206" s="16">
        <v>4735</v>
      </c>
      <c r="CY206" s="16">
        <v>352</v>
      </c>
      <c r="CZ206" s="16">
        <v>962</v>
      </c>
      <c r="DA206" s="16">
        <v>12</v>
      </c>
      <c r="DB206" s="16">
        <v>732</v>
      </c>
      <c r="DC206" s="16">
        <v>0</v>
      </c>
      <c r="DD206" s="16">
        <v>1078</v>
      </c>
      <c r="DE206" s="16">
        <v>126</v>
      </c>
      <c r="DF206" s="16">
        <v>976</v>
      </c>
      <c r="DG206" s="16">
        <v>1</v>
      </c>
      <c r="DH206" s="16">
        <v>106</v>
      </c>
      <c r="DI206" s="16">
        <v>126</v>
      </c>
      <c r="DJ206" s="16">
        <v>3967</v>
      </c>
      <c r="DK206" s="16">
        <v>214</v>
      </c>
      <c r="DL206" s="16">
        <v>275</v>
      </c>
      <c r="DM206" s="16">
        <v>289</v>
      </c>
      <c r="DN206" s="16">
        <v>0</v>
      </c>
      <c r="DO206" s="16">
        <v>0</v>
      </c>
      <c r="DP206" s="16">
        <v>216</v>
      </c>
      <c r="DQ206" s="16">
        <v>0</v>
      </c>
      <c r="DR206" s="16">
        <v>101</v>
      </c>
      <c r="DS206" s="16">
        <v>1158</v>
      </c>
      <c r="DT206" s="16">
        <v>0</v>
      </c>
      <c r="DU206" s="16">
        <v>0</v>
      </c>
      <c r="DV206" s="16">
        <v>28</v>
      </c>
      <c r="DW206" s="16">
        <v>26366</v>
      </c>
      <c r="DX206" s="16">
        <v>713</v>
      </c>
      <c r="DY206" s="16">
        <v>451</v>
      </c>
      <c r="DZ206" s="16">
        <v>1651</v>
      </c>
      <c r="EA206" s="16">
        <v>44346</v>
      </c>
      <c r="EB206" s="16">
        <v>8</v>
      </c>
      <c r="EC206" s="16">
        <v>0</v>
      </c>
      <c r="ED206" s="16">
        <v>0</v>
      </c>
      <c r="EE206" s="16">
        <v>3</v>
      </c>
      <c r="EF206" s="16">
        <v>4447</v>
      </c>
      <c r="EG206" s="16">
        <v>1057</v>
      </c>
      <c r="EH206" s="16">
        <v>3</v>
      </c>
      <c r="EI206" s="16">
        <v>0</v>
      </c>
      <c r="EJ206" s="16">
        <v>0</v>
      </c>
      <c r="EK206" s="16">
        <v>0</v>
      </c>
      <c r="EL206" s="16">
        <v>0</v>
      </c>
      <c r="EM206" s="16">
        <v>51</v>
      </c>
      <c r="EN206" s="16">
        <v>926</v>
      </c>
      <c r="EO206" s="16">
        <v>541</v>
      </c>
      <c r="EP206" s="16">
        <v>0</v>
      </c>
      <c r="EQ206" s="16">
        <v>317</v>
      </c>
      <c r="ER206" s="16">
        <v>0</v>
      </c>
      <c r="ES206" s="16">
        <v>68</v>
      </c>
      <c r="ET206" s="16">
        <v>366</v>
      </c>
      <c r="EU206" s="16">
        <v>14</v>
      </c>
      <c r="EV206" s="16">
        <v>0</v>
      </c>
      <c r="EW206" s="16">
        <v>2</v>
      </c>
      <c r="EX206" s="16">
        <v>3015</v>
      </c>
      <c r="EY206" s="16">
        <v>559</v>
      </c>
      <c r="EZ206" s="16">
        <v>3</v>
      </c>
      <c r="FA206" s="16">
        <v>4</v>
      </c>
      <c r="FB206" s="16">
        <v>25</v>
      </c>
      <c r="FC206" s="16">
        <v>2</v>
      </c>
      <c r="FD206" s="16">
        <v>2069</v>
      </c>
      <c r="FE206" s="16">
        <v>32</v>
      </c>
      <c r="FF206" s="16">
        <v>150</v>
      </c>
      <c r="FG206" s="16">
        <v>1279</v>
      </c>
      <c r="FH206" s="16">
        <v>2</v>
      </c>
      <c r="FI206" s="16">
        <v>0</v>
      </c>
      <c r="FJ206" s="16">
        <v>0</v>
      </c>
      <c r="FK206" s="16">
        <v>1665</v>
      </c>
      <c r="FL206" s="16">
        <v>0</v>
      </c>
      <c r="FM206" s="16">
        <v>305</v>
      </c>
      <c r="FN206" s="16">
        <v>1297</v>
      </c>
      <c r="FO206" s="16">
        <v>377</v>
      </c>
      <c r="FP206" s="16">
        <v>984</v>
      </c>
      <c r="FQ206" s="16">
        <v>1612</v>
      </c>
      <c r="FR206" s="16">
        <v>333</v>
      </c>
      <c r="FS206" s="16">
        <v>459</v>
      </c>
      <c r="FT206" s="16">
        <v>141</v>
      </c>
      <c r="FU206" s="16">
        <v>7434</v>
      </c>
      <c r="FV206" s="16">
        <v>1812</v>
      </c>
      <c r="FW206" s="16">
        <v>1008</v>
      </c>
      <c r="FX206" s="16">
        <v>864</v>
      </c>
      <c r="FY206" s="16">
        <v>0</v>
      </c>
      <c r="FZ206" s="16">
        <v>916</v>
      </c>
      <c r="GA206" s="16">
        <v>77</v>
      </c>
      <c r="GB206" s="16">
        <v>596</v>
      </c>
      <c r="GC206" s="16">
        <v>3329</v>
      </c>
      <c r="GD206" s="16">
        <v>23006</v>
      </c>
      <c r="GE206" s="16">
        <v>189</v>
      </c>
      <c r="GF206" s="16">
        <v>105154</v>
      </c>
      <c r="GG206" s="16">
        <v>226053</v>
      </c>
      <c r="GH206" s="16">
        <v>911449</v>
      </c>
      <c r="GI206" s="16">
        <v>7324</v>
      </c>
      <c r="GJ206" s="16">
        <v>1307</v>
      </c>
      <c r="GK206" s="16">
        <v>2668</v>
      </c>
      <c r="GL206" s="16">
        <v>1440</v>
      </c>
      <c r="GM206" s="16">
        <v>2793</v>
      </c>
      <c r="GN206" s="16">
        <v>2046</v>
      </c>
      <c r="GO206" s="16">
        <v>3244</v>
      </c>
      <c r="GP206" s="16">
        <v>198261</v>
      </c>
      <c r="GQ206" s="16">
        <v>13799</v>
      </c>
      <c r="GR206" s="16">
        <v>4171</v>
      </c>
      <c r="GS206" s="16">
        <v>1460</v>
      </c>
      <c r="GT206" s="16">
        <v>1909</v>
      </c>
      <c r="GU206" s="16">
        <v>59280</v>
      </c>
      <c r="GV206" s="16">
        <v>14782</v>
      </c>
      <c r="GW206" s="16">
        <v>19472</v>
      </c>
      <c r="GX206" s="16">
        <v>1694645</v>
      </c>
      <c r="GY206" s="16">
        <v>12</v>
      </c>
      <c r="GZ206" s="16">
        <v>1986</v>
      </c>
      <c r="HA206" s="16">
        <v>202</v>
      </c>
      <c r="HB206" s="16">
        <v>699</v>
      </c>
      <c r="HC206" s="16">
        <v>696</v>
      </c>
      <c r="HD206" s="16">
        <v>883</v>
      </c>
      <c r="HE206" s="16">
        <v>39</v>
      </c>
      <c r="HF206" s="16">
        <v>90732</v>
      </c>
      <c r="HG206" s="16">
        <v>139</v>
      </c>
      <c r="HH206" s="16">
        <v>299</v>
      </c>
      <c r="HI206" s="16">
        <v>360</v>
      </c>
      <c r="HJ206" s="16">
        <v>245</v>
      </c>
      <c r="HK206" s="16">
        <v>677</v>
      </c>
      <c r="HL206" s="16">
        <v>36374</v>
      </c>
      <c r="HM206" s="16">
        <v>260</v>
      </c>
      <c r="HN206" s="16">
        <v>1439</v>
      </c>
      <c r="HO206" s="16">
        <v>0</v>
      </c>
      <c r="HP206" s="16">
        <v>0</v>
      </c>
      <c r="HQ206" s="16">
        <v>935</v>
      </c>
      <c r="HR206" s="16">
        <v>6502</v>
      </c>
      <c r="HS206" s="16">
        <v>4593</v>
      </c>
      <c r="HT206" s="16">
        <v>1354</v>
      </c>
      <c r="HU206" s="16">
        <v>138098</v>
      </c>
      <c r="HV206" s="16">
        <v>179</v>
      </c>
      <c r="HW206" s="16">
        <v>207</v>
      </c>
      <c r="HX206" s="16">
        <v>9791</v>
      </c>
      <c r="HY206" s="16">
        <v>1094</v>
      </c>
      <c r="HZ206" s="16">
        <v>382598</v>
      </c>
      <c r="IA206" s="16">
        <v>21909</v>
      </c>
      <c r="IB206" s="16">
        <v>0</v>
      </c>
      <c r="IC206" s="16">
        <v>3</v>
      </c>
      <c r="ID206" s="16">
        <v>2094</v>
      </c>
      <c r="IE206" s="16">
        <v>0</v>
      </c>
      <c r="IF206" s="16">
        <v>2541</v>
      </c>
      <c r="IG206" s="16">
        <v>11905</v>
      </c>
      <c r="IH206" s="16">
        <v>7539</v>
      </c>
      <c r="II206" s="16">
        <v>881</v>
      </c>
      <c r="IJ206" s="16">
        <v>84</v>
      </c>
      <c r="IK206" s="16">
        <v>322</v>
      </c>
      <c r="IL206" s="16">
        <v>208</v>
      </c>
      <c r="IM206" s="16">
        <v>34</v>
      </c>
      <c r="IN206" s="16">
        <v>549</v>
      </c>
      <c r="IO206" s="16">
        <v>295811</v>
      </c>
      <c r="IP206" s="16">
        <v>975</v>
      </c>
      <c r="IQ206" s="16">
        <v>108</v>
      </c>
      <c r="IR206" s="16">
        <v>81</v>
      </c>
      <c r="IS206" s="16">
        <v>838</v>
      </c>
      <c r="IT206" s="16">
        <v>1031</v>
      </c>
      <c r="IU206" s="16">
        <v>0</v>
      </c>
      <c r="IV206" s="16">
        <v>5709</v>
      </c>
      <c r="IW206" s="16">
        <v>212</v>
      </c>
      <c r="IX206" s="16">
        <v>211</v>
      </c>
      <c r="IY206" s="16">
        <v>0</v>
      </c>
      <c r="IZ206" s="16">
        <v>20</v>
      </c>
      <c r="JA206" s="16">
        <v>0</v>
      </c>
      <c r="JB206" s="16">
        <v>4</v>
      </c>
      <c r="JC206" s="16">
        <v>248</v>
      </c>
      <c r="JD206" s="16">
        <v>37</v>
      </c>
      <c r="JE206" s="16">
        <v>281</v>
      </c>
      <c r="JF206" s="16">
        <v>135</v>
      </c>
      <c r="JG206" s="16">
        <v>34025</v>
      </c>
      <c r="JH206" s="16">
        <v>35763</v>
      </c>
      <c r="JI206" s="16">
        <v>450</v>
      </c>
      <c r="JJ206" s="16">
        <v>1067</v>
      </c>
      <c r="JK206" s="16">
        <v>1780</v>
      </c>
      <c r="JL206" s="16">
        <v>38</v>
      </c>
      <c r="JM206" s="16">
        <v>209</v>
      </c>
      <c r="JN206" s="16">
        <v>3340</v>
      </c>
      <c r="JO206" s="16">
        <v>109</v>
      </c>
      <c r="JP206" s="16">
        <v>15084</v>
      </c>
      <c r="JQ206" s="16">
        <v>104</v>
      </c>
      <c r="JR206" s="16">
        <v>1016</v>
      </c>
      <c r="JS206" s="16">
        <v>1373</v>
      </c>
      <c r="JT206" s="16">
        <v>0</v>
      </c>
      <c r="JU206" s="16">
        <v>4428</v>
      </c>
      <c r="JV206" s="16">
        <v>1641</v>
      </c>
      <c r="JW206" s="16">
        <v>5877</v>
      </c>
      <c r="JX206" s="16">
        <v>18399</v>
      </c>
      <c r="JY206" s="16">
        <v>1404</v>
      </c>
      <c r="JZ206" s="16">
        <v>3399</v>
      </c>
      <c r="KA206" s="16">
        <v>257</v>
      </c>
      <c r="KB206" s="16">
        <v>19</v>
      </c>
      <c r="KC206" s="16">
        <v>958</v>
      </c>
      <c r="KD206" s="16">
        <v>408</v>
      </c>
      <c r="KE206" s="16">
        <v>57</v>
      </c>
      <c r="KF206" s="16">
        <v>410</v>
      </c>
      <c r="KG206" s="16">
        <v>435</v>
      </c>
      <c r="KH206" s="16">
        <v>543</v>
      </c>
      <c r="KI206" s="16">
        <v>1312</v>
      </c>
      <c r="KJ206" s="16">
        <v>208</v>
      </c>
      <c r="KK206" s="16">
        <v>121456</v>
      </c>
      <c r="KL206" s="16">
        <v>9</v>
      </c>
      <c r="KM206" s="16">
        <v>551</v>
      </c>
      <c r="KN206" s="16">
        <v>109</v>
      </c>
      <c r="KO206" s="16">
        <v>565</v>
      </c>
      <c r="KP206" s="16">
        <v>101</v>
      </c>
      <c r="KQ206" s="16">
        <v>168</v>
      </c>
      <c r="KR206" s="16">
        <v>4599</v>
      </c>
      <c r="KS206" s="16">
        <v>382</v>
      </c>
      <c r="KT206" s="16">
        <v>1871</v>
      </c>
      <c r="KU206" s="16">
        <v>4815</v>
      </c>
      <c r="KV206" s="16">
        <v>8633</v>
      </c>
      <c r="KW206" s="16">
        <v>13050</v>
      </c>
      <c r="KX206" s="16">
        <v>17</v>
      </c>
      <c r="KY206" s="16">
        <v>7317</v>
      </c>
      <c r="KZ206" s="16">
        <v>63918</v>
      </c>
      <c r="LA206" s="16">
        <v>13149</v>
      </c>
      <c r="LB206" s="16">
        <v>1820</v>
      </c>
      <c r="LC206" s="16">
        <v>13398</v>
      </c>
      <c r="LD206" s="16">
        <v>433</v>
      </c>
      <c r="LE206" s="16">
        <v>2770</v>
      </c>
      <c r="LF206" s="16">
        <v>900</v>
      </c>
      <c r="LG206" s="16">
        <v>210</v>
      </c>
      <c r="LH206" s="16">
        <v>1747</v>
      </c>
      <c r="LI206" s="16">
        <v>16</v>
      </c>
      <c r="LJ206" s="16">
        <v>1145</v>
      </c>
      <c r="LK206" s="16">
        <v>6345</v>
      </c>
      <c r="LL206" s="16">
        <v>2586</v>
      </c>
      <c r="LM206" s="16">
        <v>14933</v>
      </c>
      <c r="LN206" s="16">
        <v>46775</v>
      </c>
      <c r="LO206" s="16">
        <v>241</v>
      </c>
      <c r="LP206" s="16">
        <v>71355</v>
      </c>
      <c r="LQ206" s="16">
        <v>23100</v>
      </c>
      <c r="LR206" s="16">
        <v>4587</v>
      </c>
      <c r="LS206" s="16">
        <v>894</v>
      </c>
      <c r="LT206" s="16">
        <v>13738</v>
      </c>
      <c r="LU206" s="16">
        <v>3060</v>
      </c>
      <c r="LV206" s="16">
        <v>267</v>
      </c>
      <c r="LW206" s="16">
        <v>2337</v>
      </c>
      <c r="LX206" s="16">
        <v>6047</v>
      </c>
      <c r="LY206" s="16">
        <v>0</v>
      </c>
      <c r="LZ206" s="16">
        <v>2598</v>
      </c>
      <c r="MA206" s="16">
        <v>199</v>
      </c>
      <c r="MB206" s="16">
        <v>14748</v>
      </c>
      <c r="MC206" s="16">
        <v>7045</v>
      </c>
      <c r="MD206" s="16">
        <v>9095</v>
      </c>
      <c r="ME206" s="16">
        <v>713</v>
      </c>
      <c r="MF206" s="16">
        <v>150027</v>
      </c>
      <c r="MG206" s="16">
        <v>5141</v>
      </c>
      <c r="MH206" s="16">
        <v>36741</v>
      </c>
      <c r="MI206" s="16">
        <v>12634</v>
      </c>
      <c r="MJ206" s="16">
        <v>30914</v>
      </c>
      <c r="MK206" s="16">
        <v>38071</v>
      </c>
      <c r="ML206" s="16">
        <v>14806</v>
      </c>
      <c r="MM206" s="16">
        <v>73316</v>
      </c>
      <c r="MN206" s="16">
        <v>44463</v>
      </c>
      <c r="MO206" s="16">
        <v>3585</v>
      </c>
      <c r="MP206" s="16">
        <v>8095</v>
      </c>
      <c r="MQ206" s="16">
        <v>25843</v>
      </c>
      <c r="MR206" s="16">
        <v>29279</v>
      </c>
      <c r="MS206" s="16">
        <v>26990</v>
      </c>
      <c r="MT206" s="16">
        <v>154</v>
      </c>
      <c r="MU206" s="16">
        <v>9939</v>
      </c>
      <c r="MV206" s="16">
        <v>23623</v>
      </c>
      <c r="MW206" s="16">
        <v>71367</v>
      </c>
      <c r="MX206" s="16">
        <v>144</v>
      </c>
      <c r="MY206" s="16">
        <v>4757</v>
      </c>
      <c r="MZ206" s="16">
        <v>54194</v>
      </c>
      <c r="NA206" s="16">
        <v>1174</v>
      </c>
      <c r="NB206" s="16">
        <v>34206</v>
      </c>
      <c r="NC206" s="16">
        <v>5516</v>
      </c>
      <c r="ND206" s="16">
        <v>16576</v>
      </c>
      <c r="NE206" s="16">
        <v>275</v>
      </c>
      <c r="NF206" s="16">
        <v>21467</v>
      </c>
      <c r="NG206" s="16">
        <v>3819</v>
      </c>
      <c r="NH206" s="16">
        <v>683</v>
      </c>
      <c r="NI206" s="16">
        <v>4787</v>
      </c>
      <c r="NJ206" s="16">
        <v>5507</v>
      </c>
      <c r="NK206" s="16">
        <v>207</v>
      </c>
      <c r="NL206" s="16">
        <v>6996</v>
      </c>
      <c r="NM206" s="16">
        <v>1395</v>
      </c>
      <c r="NN206" s="16">
        <v>0</v>
      </c>
      <c r="NO206" s="16">
        <v>0</v>
      </c>
      <c r="NP206" s="16">
        <v>482</v>
      </c>
      <c r="NQ206" s="16">
        <v>723</v>
      </c>
      <c r="NR206" s="17">
        <v>5872971</v>
      </c>
    </row>
    <row r="207" spans="1:382" ht="13.5" customHeight="1" x14ac:dyDescent="0.2">
      <c r="A207" s="2" t="s">
        <v>421</v>
      </c>
      <c r="B207" s="16">
        <v>0</v>
      </c>
      <c r="C207" s="16">
        <v>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1</v>
      </c>
      <c r="Q207" s="16">
        <v>1</v>
      </c>
      <c r="R207" s="16">
        <v>2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181</v>
      </c>
      <c r="Y207" s="16">
        <v>1</v>
      </c>
      <c r="Z207" s="16">
        <v>1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1</v>
      </c>
      <c r="AH207" s="16">
        <v>0</v>
      </c>
      <c r="AI207" s="16">
        <v>1</v>
      </c>
      <c r="AJ207" s="16">
        <v>7</v>
      </c>
      <c r="AK207" s="16">
        <v>26</v>
      </c>
      <c r="AL207" s="16">
        <v>1</v>
      </c>
      <c r="AM207" s="16">
        <v>1</v>
      </c>
      <c r="AN207" s="16">
        <v>4</v>
      </c>
      <c r="AO207" s="16">
        <v>0</v>
      </c>
      <c r="AP207" s="16">
        <v>0</v>
      </c>
      <c r="AQ207" s="16">
        <v>0</v>
      </c>
      <c r="AR207" s="16">
        <v>0</v>
      </c>
      <c r="AS207" s="16">
        <v>0</v>
      </c>
      <c r="AT207" s="16">
        <v>0</v>
      </c>
      <c r="AU207" s="16">
        <v>2</v>
      </c>
      <c r="AV207" s="16">
        <v>1</v>
      </c>
      <c r="AW207" s="16">
        <v>2</v>
      </c>
      <c r="AX207" s="16">
        <v>1</v>
      </c>
      <c r="AY207" s="16">
        <v>0</v>
      </c>
      <c r="AZ207" s="16">
        <v>1</v>
      </c>
      <c r="BA207" s="16">
        <v>3</v>
      </c>
      <c r="BB207" s="16">
        <v>3</v>
      </c>
      <c r="BC207" s="16">
        <v>1</v>
      </c>
      <c r="BD207" s="16">
        <v>0</v>
      </c>
      <c r="BE207" s="16">
        <v>1</v>
      </c>
      <c r="BF207" s="16">
        <v>6</v>
      </c>
      <c r="BG207" s="16">
        <v>1</v>
      </c>
      <c r="BH207" s="16">
        <v>1</v>
      </c>
      <c r="BI207" s="16">
        <v>0</v>
      </c>
      <c r="BJ207" s="16">
        <v>0</v>
      </c>
      <c r="BK207" s="16">
        <v>1</v>
      </c>
      <c r="BL207" s="16">
        <v>2</v>
      </c>
      <c r="BM207" s="16">
        <v>2</v>
      </c>
      <c r="BN207" s="16">
        <v>4</v>
      </c>
      <c r="BO207" s="16">
        <v>1</v>
      </c>
      <c r="BP207" s="16">
        <v>6</v>
      </c>
      <c r="BQ207" s="16">
        <v>1</v>
      </c>
      <c r="BR207" s="16">
        <v>0</v>
      </c>
      <c r="BS207" s="16">
        <v>2</v>
      </c>
      <c r="BT207" s="16">
        <v>0</v>
      </c>
      <c r="BU207" s="16">
        <v>0</v>
      </c>
      <c r="BV207" s="16">
        <v>0</v>
      </c>
      <c r="BW207" s="16">
        <v>2</v>
      </c>
      <c r="BX207" s="16">
        <v>0</v>
      </c>
      <c r="BY207" s="16">
        <v>0</v>
      </c>
      <c r="BZ207" s="16">
        <v>3</v>
      </c>
      <c r="CA207" s="16">
        <v>1</v>
      </c>
      <c r="CB207" s="16">
        <v>0</v>
      </c>
      <c r="CC207" s="16">
        <v>5</v>
      </c>
      <c r="CD207" s="16">
        <v>1</v>
      </c>
      <c r="CE207" s="16">
        <v>0</v>
      </c>
      <c r="CF207" s="16">
        <v>2</v>
      </c>
      <c r="CG207" s="16">
        <v>2</v>
      </c>
      <c r="CH207" s="16">
        <v>1</v>
      </c>
      <c r="CI207" s="16">
        <v>0</v>
      </c>
      <c r="CJ207" s="16">
        <v>2</v>
      </c>
      <c r="CK207" s="16">
        <v>2</v>
      </c>
      <c r="CL207" s="16">
        <v>1</v>
      </c>
      <c r="CM207" s="16">
        <v>2</v>
      </c>
      <c r="CN207" s="16">
        <v>1</v>
      </c>
      <c r="CO207" s="16">
        <v>1</v>
      </c>
      <c r="CP207" s="16">
        <v>2</v>
      </c>
      <c r="CQ207" s="16">
        <v>384</v>
      </c>
      <c r="CR207" s="16">
        <v>0</v>
      </c>
      <c r="CS207" s="16">
        <v>1</v>
      </c>
      <c r="CT207" s="16">
        <v>1</v>
      </c>
      <c r="CU207" s="16">
        <v>1</v>
      </c>
      <c r="CV207" s="16">
        <v>2</v>
      </c>
      <c r="CW207" s="16">
        <v>1</v>
      </c>
      <c r="CX207" s="16">
        <v>7</v>
      </c>
      <c r="CY207" s="16">
        <v>2</v>
      </c>
      <c r="CZ207" s="16">
        <v>1</v>
      </c>
      <c r="DA207" s="16">
        <v>0</v>
      </c>
      <c r="DB207" s="16">
        <v>0</v>
      </c>
      <c r="DC207" s="16">
        <v>1</v>
      </c>
      <c r="DD207" s="16">
        <v>3</v>
      </c>
      <c r="DE207" s="16">
        <v>1</v>
      </c>
      <c r="DF207" s="16">
        <v>1</v>
      </c>
      <c r="DG207" s="16">
        <v>3</v>
      </c>
      <c r="DH207" s="16">
        <v>3</v>
      </c>
      <c r="DI207" s="16">
        <v>1</v>
      </c>
      <c r="DJ207" s="16">
        <v>2</v>
      </c>
      <c r="DK207" s="16">
        <v>1</v>
      </c>
      <c r="DL207" s="16">
        <v>1</v>
      </c>
      <c r="DM207" s="16">
        <v>6</v>
      </c>
      <c r="DN207" s="16">
        <v>1</v>
      </c>
      <c r="DO207" s="16">
        <v>1</v>
      </c>
      <c r="DP207" s="16">
        <v>1</v>
      </c>
      <c r="DQ207" s="16">
        <v>1</v>
      </c>
      <c r="DR207" s="16">
        <v>2</v>
      </c>
      <c r="DS207" s="16">
        <v>1</v>
      </c>
      <c r="DT207" s="16">
        <v>1</v>
      </c>
      <c r="DU207" s="16">
        <v>1</v>
      </c>
      <c r="DV207" s="16">
        <v>1</v>
      </c>
      <c r="DW207" s="16">
        <v>1</v>
      </c>
      <c r="DX207" s="16">
        <v>96</v>
      </c>
      <c r="DY207" s="16">
        <v>351</v>
      </c>
      <c r="DZ207" s="16">
        <v>732</v>
      </c>
      <c r="EA207" s="16">
        <v>825</v>
      </c>
      <c r="EB207" s="16">
        <v>6</v>
      </c>
      <c r="EC207" s="16">
        <v>1</v>
      </c>
      <c r="ED207" s="16">
        <v>1</v>
      </c>
      <c r="EE207" s="16">
        <v>0</v>
      </c>
      <c r="EF207" s="16">
        <v>1</v>
      </c>
      <c r="EG207" s="16">
        <v>2</v>
      </c>
      <c r="EH207" s="16">
        <v>1</v>
      </c>
      <c r="EI207" s="16">
        <v>7</v>
      </c>
      <c r="EJ207" s="16">
        <v>0</v>
      </c>
      <c r="EK207" s="16">
        <v>1</v>
      </c>
      <c r="EL207" s="16">
        <v>1</v>
      </c>
      <c r="EM207" s="16">
        <v>0</v>
      </c>
      <c r="EN207" s="16">
        <v>2</v>
      </c>
      <c r="EO207" s="16">
        <v>2</v>
      </c>
      <c r="EP207" s="16">
        <v>1</v>
      </c>
      <c r="EQ207" s="16">
        <v>1</v>
      </c>
      <c r="ER207" s="16">
        <v>1</v>
      </c>
      <c r="ES207" s="16">
        <v>1</v>
      </c>
      <c r="ET207" s="16">
        <v>1</v>
      </c>
      <c r="EU207" s="16">
        <v>0</v>
      </c>
      <c r="EV207" s="16">
        <v>0</v>
      </c>
      <c r="EW207" s="16">
        <v>0</v>
      </c>
      <c r="EX207" s="16">
        <v>8</v>
      </c>
      <c r="EY207" s="16">
        <v>1</v>
      </c>
      <c r="EZ207" s="16">
        <v>2</v>
      </c>
      <c r="FA207" s="16">
        <v>2</v>
      </c>
      <c r="FB207" s="16">
        <v>1</v>
      </c>
      <c r="FC207" s="16">
        <v>0</v>
      </c>
      <c r="FD207" s="16">
        <v>3</v>
      </c>
      <c r="FE207" s="16">
        <v>1</v>
      </c>
      <c r="FF207" s="16">
        <v>0</v>
      </c>
      <c r="FG207" s="16">
        <v>4</v>
      </c>
      <c r="FH207" s="16">
        <v>0</v>
      </c>
      <c r="FI207" s="16">
        <v>1</v>
      </c>
      <c r="FJ207" s="16">
        <v>0</v>
      </c>
      <c r="FK207" s="16">
        <v>2</v>
      </c>
      <c r="FL207" s="16">
        <v>0</v>
      </c>
      <c r="FM207" s="16">
        <v>1</v>
      </c>
      <c r="FN207" s="16">
        <v>1</v>
      </c>
      <c r="FO207" s="16">
        <v>0</v>
      </c>
      <c r="FP207" s="16">
        <v>1</v>
      </c>
      <c r="FQ207" s="16">
        <v>1</v>
      </c>
      <c r="FR207" s="16">
        <v>3</v>
      </c>
      <c r="FS207" s="16">
        <v>1</v>
      </c>
      <c r="FT207" s="16">
        <v>20</v>
      </c>
      <c r="FU207" s="16">
        <v>2</v>
      </c>
      <c r="FV207" s="16">
        <v>1</v>
      </c>
      <c r="FW207" s="16">
        <v>2</v>
      </c>
      <c r="FX207" s="16">
        <v>2</v>
      </c>
      <c r="FY207" s="16">
        <v>2</v>
      </c>
      <c r="FZ207" s="16">
        <v>2</v>
      </c>
      <c r="GA207" s="16">
        <v>0</v>
      </c>
      <c r="GB207" s="16">
        <v>8</v>
      </c>
      <c r="GC207" s="16">
        <v>1</v>
      </c>
      <c r="GD207" s="16">
        <v>579</v>
      </c>
      <c r="GE207" s="16">
        <v>1</v>
      </c>
      <c r="GF207" s="16">
        <v>9</v>
      </c>
      <c r="GG207" s="16">
        <v>110</v>
      </c>
      <c r="GH207" s="16">
        <v>5</v>
      </c>
      <c r="GI207" s="16">
        <v>3</v>
      </c>
      <c r="GJ207" s="16">
        <v>6</v>
      </c>
      <c r="GK207" s="16">
        <v>2581</v>
      </c>
      <c r="GL207" s="16">
        <v>0</v>
      </c>
      <c r="GM207" s="16">
        <v>943</v>
      </c>
      <c r="GN207" s="16">
        <v>0</v>
      </c>
      <c r="GO207" s="16">
        <v>926</v>
      </c>
      <c r="GP207" s="16">
        <v>85</v>
      </c>
      <c r="GQ207" s="16">
        <v>405</v>
      </c>
      <c r="GR207" s="16">
        <v>59</v>
      </c>
      <c r="GS207" s="16">
        <v>172</v>
      </c>
      <c r="GT207" s="16">
        <v>292</v>
      </c>
      <c r="GU207" s="16">
        <v>9</v>
      </c>
      <c r="GV207" s="16">
        <v>5293</v>
      </c>
      <c r="GW207" s="16">
        <v>6400</v>
      </c>
      <c r="GX207" s="16">
        <v>2256</v>
      </c>
      <c r="GY207" s="16">
        <v>17786</v>
      </c>
      <c r="GZ207" s="16">
        <v>3836</v>
      </c>
      <c r="HA207" s="16">
        <v>0</v>
      </c>
      <c r="HB207" s="16">
        <v>2</v>
      </c>
      <c r="HC207" s="16">
        <v>3963</v>
      </c>
      <c r="HD207" s="16">
        <v>6305</v>
      </c>
      <c r="HE207" s="16">
        <v>1</v>
      </c>
      <c r="HF207" s="16">
        <v>2</v>
      </c>
      <c r="HG207" s="16">
        <v>3</v>
      </c>
      <c r="HH207" s="16">
        <v>3771</v>
      </c>
      <c r="HI207" s="16">
        <v>4892</v>
      </c>
      <c r="HJ207" s="16">
        <v>7</v>
      </c>
      <c r="HK207" s="16">
        <v>208</v>
      </c>
      <c r="HL207" s="16">
        <v>3</v>
      </c>
      <c r="HM207" s="16">
        <v>2</v>
      </c>
      <c r="HN207" s="16">
        <v>332</v>
      </c>
      <c r="HO207" s="16">
        <v>1</v>
      </c>
      <c r="HP207" s="16">
        <v>3</v>
      </c>
      <c r="HQ207" s="16">
        <v>229</v>
      </c>
      <c r="HR207" s="16">
        <v>7254</v>
      </c>
      <c r="HS207" s="16">
        <v>263</v>
      </c>
      <c r="HT207" s="16">
        <v>6</v>
      </c>
      <c r="HU207" s="16">
        <v>412</v>
      </c>
      <c r="HV207" s="16">
        <v>3</v>
      </c>
      <c r="HW207" s="16">
        <v>431</v>
      </c>
      <c r="HX207" s="16">
        <v>4</v>
      </c>
      <c r="HY207" s="16">
        <v>1</v>
      </c>
      <c r="HZ207" s="16">
        <v>3703</v>
      </c>
      <c r="IA207" s="16">
        <v>4816</v>
      </c>
      <c r="IB207" s="16">
        <v>931</v>
      </c>
      <c r="IC207" s="16">
        <v>1</v>
      </c>
      <c r="ID207" s="16">
        <v>11</v>
      </c>
      <c r="IE207" s="16">
        <v>3</v>
      </c>
      <c r="IF207" s="16">
        <v>136</v>
      </c>
      <c r="IG207" s="16">
        <v>359</v>
      </c>
      <c r="IH207" s="16">
        <v>45683</v>
      </c>
      <c r="II207" s="16">
        <v>7278</v>
      </c>
      <c r="IJ207" s="16">
        <v>440</v>
      </c>
      <c r="IK207" s="16">
        <v>296</v>
      </c>
      <c r="IL207" s="16">
        <v>1047</v>
      </c>
      <c r="IM207" s="16">
        <v>0</v>
      </c>
      <c r="IN207" s="16">
        <v>561</v>
      </c>
      <c r="IO207" s="16">
        <v>1773</v>
      </c>
      <c r="IP207" s="16">
        <v>1595</v>
      </c>
      <c r="IQ207" s="16">
        <v>90</v>
      </c>
      <c r="IR207" s="16">
        <v>0</v>
      </c>
      <c r="IS207" s="16">
        <v>420</v>
      </c>
      <c r="IT207" s="16">
        <v>367</v>
      </c>
      <c r="IU207" s="16">
        <v>4</v>
      </c>
      <c r="IV207" s="16">
        <v>563</v>
      </c>
      <c r="IW207" s="16">
        <v>1031</v>
      </c>
      <c r="IX207" s="16">
        <v>6</v>
      </c>
      <c r="IY207" s="16">
        <v>5</v>
      </c>
      <c r="IZ207" s="16">
        <v>1</v>
      </c>
      <c r="JA207" s="16">
        <v>2</v>
      </c>
      <c r="JB207" s="16">
        <v>1</v>
      </c>
      <c r="JC207" s="16">
        <v>1</v>
      </c>
      <c r="JD207" s="16">
        <v>0</v>
      </c>
      <c r="JE207" s="16">
        <v>7</v>
      </c>
      <c r="JF207" s="16">
        <v>6</v>
      </c>
      <c r="JG207" s="16">
        <v>33640</v>
      </c>
      <c r="JH207" s="16">
        <v>13067</v>
      </c>
      <c r="JI207" s="16">
        <v>10</v>
      </c>
      <c r="JJ207" s="16">
        <v>0</v>
      </c>
      <c r="JK207" s="16">
        <v>1</v>
      </c>
      <c r="JL207" s="16">
        <v>0</v>
      </c>
      <c r="JM207" s="16">
        <v>0</v>
      </c>
      <c r="JN207" s="16">
        <v>0</v>
      </c>
      <c r="JO207" s="16">
        <v>277</v>
      </c>
      <c r="JP207" s="16">
        <v>3</v>
      </c>
      <c r="JQ207" s="16">
        <v>1</v>
      </c>
      <c r="JR207" s="16">
        <v>0</v>
      </c>
      <c r="JS207" s="16">
        <v>0</v>
      </c>
      <c r="JT207" s="16">
        <v>0</v>
      </c>
      <c r="JU207" s="16">
        <v>2</v>
      </c>
      <c r="JV207" s="16">
        <v>2</v>
      </c>
      <c r="JW207" s="16">
        <v>597</v>
      </c>
      <c r="JX207" s="16">
        <v>3627</v>
      </c>
      <c r="JY207" s="16">
        <v>304</v>
      </c>
      <c r="JZ207" s="16">
        <v>1</v>
      </c>
      <c r="KA207" s="16">
        <v>3</v>
      </c>
      <c r="KB207" s="16">
        <v>6</v>
      </c>
      <c r="KC207" s="16">
        <v>1</v>
      </c>
      <c r="KD207" s="16">
        <v>0</v>
      </c>
      <c r="KE207" s="16">
        <v>0</v>
      </c>
      <c r="KF207" s="16">
        <v>1</v>
      </c>
      <c r="KG207" s="16">
        <v>2</v>
      </c>
      <c r="KH207" s="16">
        <v>2</v>
      </c>
      <c r="KI207" s="16">
        <v>150</v>
      </c>
      <c r="KJ207" s="16">
        <v>1</v>
      </c>
      <c r="KK207" s="16">
        <v>30142</v>
      </c>
      <c r="KL207" s="16">
        <v>4</v>
      </c>
      <c r="KM207" s="16">
        <v>2664</v>
      </c>
      <c r="KN207" s="16">
        <v>159</v>
      </c>
      <c r="KO207" s="16">
        <v>3</v>
      </c>
      <c r="KP207" s="16">
        <v>0</v>
      </c>
      <c r="KQ207" s="16">
        <v>158</v>
      </c>
      <c r="KR207" s="16">
        <v>1</v>
      </c>
      <c r="KS207" s="16">
        <v>0</v>
      </c>
      <c r="KT207" s="16">
        <v>1</v>
      </c>
      <c r="KU207" s="16">
        <v>10</v>
      </c>
      <c r="KV207" s="16">
        <v>12424</v>
      </c>
      <c r="KW207" s="16">
        <v>2290</v>
      </c>
      <c r="KX207" s="16">
        <v>0</v>
      </c>
      <c r="KY207" s="16">
        <v>0</v>
      </c>
      <c r="KZ207" s="16">
        <v>6219</v>
      </c>
      <c r="LA207" s="16">
        <v>2395</v>
      </c>
      <c r="LB207" s="16">
        <v>18</v>
      </c>
      <c r="LC207" s="16">
        <v>1437</v>
      </c>
      <c r="LD207" s="16">
        <v>750</v>
      </c>
      <c r="LE207" s="16">
        <v>2</v>
      </c>
      <c r="LF207" s="16">
        <v>0</v>
      </c>
      <c r="LG207" s="16">
        <v>5</v>
      </c>
      <c r="LH207" s="16">
        <v>3</v>
      </c>
      <c r="LI207" s="16">
        <v>811</v>
      </c>
      <c r="LJ207" s="16">
        <v>740</v>
      </c>
      <c r="LK207" s="16">
        <v>1581</v>
      </c>
      <c r="LL207" s="16">
        <v>4</v>
      </c>
      <c r="LM207" s="16">
        <v>25</v>
      </c>
      <c r="LN207" s="16">
        <v>2352</v>
      </c>
      <c r="LO207" s="16">
        <v>1</v>
      </c>
      <c r="LP207" s="16">
        <v>6</v>
      </c>
      <c r="LQ207" s="16">
        <v>0</v>
      </c>
      <c r="LR207" s="16">
        <v>428</v>
      </c>
      <c r="LS207" s="16">
        <v>0</v>
      </c>
      <c r="LT207" s="16">
        <v>2</v>
      </c>
      <c r="LU207" s="16">
        <v>1</v>
      </c>
      <c r="LV207" s="16">
        <v>0</v>
      </c>
      <c r="LW207" s="16">
        <v>9422</v>
      </c>
      <c r="LX207" s="16">
        <v>2</v>
      </c>
      <c r="LY207" s="16">
        <v>0</v>
      </c>
      <c r="LZ207" s="16">
        <v>15</v>
      </c>
      <c r="MA207" s="16">
        <v>47</v>
      </c>
      <c r="MB207" s="16">
        <v>8577</v>
      </c>
      <c r="MC207" s="16">
        <v>255</v>
      </c>
      <c r="MD207" s="16">
        <v>2</v>
      </c>
      <c r="ME207" s="16">
        <v>2</v>
      </c>
      <c r="MF207" s="16">
        <v>1270</v>
      </c>
      <c r="MG207" s="16">
        <v>1210</v>
      </c>
      <c r="MH207" s="16">
        <v>22942</v>
      </c>
      <c r="MI207" s="16">
        <v>4</v>
      </c>
      <c r="MJ207" s="16">
        <v>3835</v>
      </c>
      <c r="MK207" s="16">
        <v>808</v>
      </c>
      <c r="ML207" s="16">
        <v>4</v>
      </c>
      <c r="MM207" s="16">
        <v>57</v>
      </c>
      <c r="MN207" s="16">
        <v>4038</v>
      </c>
      <c r="MO207" s="16">
        <v>5</v>
      </c>
      <c r="MP207" s="16">
        <v>14</v>
      </c>
      <c r="MQ207" s="16">
        <v>2135</v>
      </c>
      <c r="MR207" s="16">
        <v>38401</v>
      </c>
      <c r="MS207" s="16">
        <v>6573</v>
      </c>
      <c r="MT207" s="16">
        <v>800</v>
      </c>
      <c r="MU207" s="16">
        <v>20471</v>
      </c>
      <c r="MV207" s="16">
        <v>6663</v>
      </c>
      <c r="MW207" s="16">
        <v>3080</v>
      </c>
      <c r="MX207" s="16">
        <v>642</v>
      </c>
      <c r="MY207" s="16">
        <v>2</v>
      </c>
      <c r="MZ207" s="16">
        <v>638</v>
      </c>
      <c r="NA207" s="16">
        <v>1929</v>
      </c>
      <c r="NB207" s="16">
        <v>768</v>
      </c>
      <c r="NC207" s="16">
        <v>2070</v>
      </c>
      <c r="ND207" s="16">
        <v>149</v>
      </c>
      <c r="NE207" s="16">
        <v>1</v>
      </c>
      <c r="NF207" s="16">
        <v>288</v>
      </c>
      <c r="NG207" s="16">
        <v>1016</v>
      </c>
      <c r="NH207" s="16">
        <v>1</v>
      </c>
      <c r="NI207" s="16">
        <v>848</v>
      </c>
      <c r="NJ207" s="16">
        <v>792</v>
      </c>
      <c r="NK207" s="16">
        <v>3</v>
      </c>
      <c r="NL207" s="16">
        <v>2384</v>
      </c>
      <c r="NM207" s="16">
        <v>97</v>
      </c>
      <c r="NN207" s="16">
        <v>1</v>
      </c>
      <c r="NO207" s="16">
        <v>0</v>
      </c>
      <c r="NP207" s="16">
        <v>0</v>
      </c>
      <c r="NQ207" s="16">
        <v>21</v>
      </c>
      <c r="NR207" s="17">
        <v>402446</v>
      </c>
    </row>
    <row r="208" spans="1:382" ht="13.5" customHeight="1" x14ac:dyDescent="0.2">
      <c r="A208" s="2" t="s">
        <v>423</v>
      </c>
      <c r="B208" s="16">
        <v>0</v>
      </c>
      <c r="C208" s="16">
        <v>0</v>
      </c>
      <c r="D208" s="16">
        <v>0</v>
      </c>
      <c r="E208" s="16">
        <v>0</v>
      </c>
      <c r="F208" s="16">
        <v>745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3527</v>
      </c>
      <c r="R208" s="16">
        <v>170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15014</v>
      </c>
      <c r="Y208" s="16">
        <v>3886</v>
      </c>
      <c r="Z208" s="16">
        <v>3970</v>
      </c>
      <c r="AA208" s="16">
        <v>24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18202</v>
      </c>
      <c r="AH208" s="16">
        <v>0</v>
      </c>
      <c r="AI208" s="16">
        <v>124</v>
      </c>
      <c r="AJ208" s="16">
        <v>2915</v>
      </c>
      <c r="AK208" s="16">
        <v>457</v>
      </c>
      <c r="AL208" s="16">
        <v>304</v>
      </c>
      <c r="AM208" s="16">
        <v>1840</v>
      </c>
      <c r="AN208" s="16">
        <v>150</v>
      </c>
      <c r="AO208" s="16">
        <v>3694</v>
      </c>
      <c r="AP208" s="16">
        <v>46</v>
      </c>
      <c r="AQ208" s="16">
        <v>3812</v>
      </c>
      <c r="AR208" s="16">
        <v>0</v>
      </c>
      <c r="AS208" s="16">
        <v>307</v>
      </c>
      <c r="AT208" s="16">
        <v>471</v>
      </c>
      <c r="AU208" s="16">
        <v>161</v>
      </c>
      <c r="AV208" s="16">
        <v>53</v>
      </c>
      <c r="AW208" s="16">
        <v>3</v>
      </c>
      <c r="AX208" s="16">
        <v>8</v>
      </c>
      <c r="AY208" s="16">
        <v>0</v>
      </c>
      <c r="AZ208" s="16">
        <v>0</v>
      </c>
      <c r="BA208" s="16">
        <v>668</v>
      </c>
      <c r="BB208" s="16">
        <v>3</v>
      </c>
      <c r="BC208" s="16">
        <v>563</v>
      </c>
      <c r="BD208" s="16">
        <v>50</v>
      </c>
      <c r="BE208" s="16">
        <v>375</v>
      </c>
      <c r="BF208" s="16">
        <v>807</v>
      </c>
      <c r="BG208" s="16">
        <v>110</v>
      </c>
      <c r="BH208" s="16">
        <v>1703</v>
      </c>
      <c r="BI208" s="16">
        <v>0</v>
      </c>
      <c r="BJ208" s="16">
        <v>520</v>
      </c>
      <c r="BK208" s="16">
        <v>820</v>
      </c>
      <c r="BL208" s="16">
        <v>1857</v>
      </c>
      <c r="BM208" s="16">
        <v>1857</v>
      </c>
      <c r="BN208" s="16">
        <v>2364</v>
      </c>
      <c r="BO208" s="16">
        <v>3308</v>
      </c>
      <c r="BP208" s="16">
        <v>182</v>
      </c>
      <c r="BQ208" s="16">
        <v>72</v>
      </c>
      <c r="BR208" s="16">
        <v>44</v>
      </c>
      <c r="BS208" s="16">
        <v>442</v>
      </c>
      <c r="BT208" s="16">
        <v>90</v>
      </c>
      <c r="BU208" s="16">
        <v>0</v>
      </c>
      <c r="BV208" s="16">
        <v>0</v>
      </c>
      <c r="BW208" s="16">
        <v>0</v>
      </c>
      <c r="BX208" s="16">
        <v>0</v>
      </c>
      <c r="BY208" s="16">
        <v>0</v>
      </c>
      <c r="BZ208" s="16">
        <v>0</v>
      </c>
      <c r="CA208" s="16">
        <v>1214</v>
      </c>
      <c r="CB208" s="16">
        <v>0</v>
      </c>
      <c r="CC208" s="16">
        <v>32752</v>
      </c>
      <c r="CD208" s="16">
        <v>1876</v>
      </c>
      <c r="CE208" s="16">
        <v>7872</v>
      </c>
      <c r="CF208" s="16">
        <v>547</v>
      </c>
      <c r="CG208" s="16">
        <v>0</v>
      </c>
      <c r="CH208" s="16">
        <v>197</v>
      </c>
      <c r="CI208" s="16">
        <v>0</v>
      </c>
      <c r="CJ208" s="16">
        <v>3354</v>
      </c>
      <c r="CK208" s="16">
        <v>4057</v>
      </c>
      <c r="CL208" s="16">
        <v>1407</v>
      </c>
      <c r="CM208" s="16">
        <v>565</v>
      </c>
      <c r="CN208" s="16">
        <v>0</v>
      </c>
      <c r="CO208" s="16">
        <v>2120</v>
      </c>
      <c r="CP208" s="16">
        <v>806</v>
      </c>
      <c r="CQ208" s="16">
        <v>5412</v>
      </c>
      <c r="CR208" s="16">
        <v>147</v>
      </c>
      <c r="CS208" s="16">
        <v>1174</v>
      </c>
      <c r="CT208" s="16">
        <v>9571</v>
      </c>
      <c r="CU208" s="16">
        <v>4450</v>
      </c>
      <c r="CV208" s="16">
        <v>7204</v>
      </c>
      <c r="CW208" s="16">
        <v>70753</v>
      </c>
      <c r="CX208" s="16">
        <v>29442</v>
      </c>
      <c r="CY208" s="16">
        <v>6468</v>
      </c>
      <c r="CZ208" s="16">
        <v>1231</v>
      </c>
      <c r="DA208" s="16">
        <v>147</v>
      </c>
      <c r="DB208" s="16">
        <v>10817</v>
      </c>
      <c r="DC208" s="16">
        <v>0</v>
      </c>
      <c r="DD208" s="16">
        <v>1992</v>
      </c>
      <c r="DE208" s="16">
        <v>8418</v>
      </c>
      <c r="DF208" s="16">
        <v>4249</v>
      </c>
      <c r="DG208" s="16">
        <v>841</v>
      </c>
      <c r="DH208" s="16">
        <v>597</v>
      </c>
      <c r="DI208" s="16">
        <v>0</v>
      </c>
      <c r="DJ208" s="16">
        <v>10845</v>
      </c>
      <c r="DK208" s="16">
        <v>0</v>
      </c>
      <c r="DL208" s="16">
        <v>5556</v>
      </c>
      <c r="DM208" s="16">
        <v>36499</v>
      </c>
      <c r="DN208" s="16">
        <v>208</v>
      </c>
      <c r="DO208" s="16">
        <v>0</v>
      </c>
      <c r="DP208" s="16">
        <v>0</v>
      </c>
      <c r="DQ208" s="16">
        <v>124</v>
      </c>
      <c r="DR208" s="16">
        <v>119</v>
      </c>
      <c r="DS208" s="16">
        <v>1764</v>
      </c>
      <c r="DT208" s="16">
        <v>236</v>
      </c>
      <c r="DU208" s="16">
        <v>1421</v>
      </c>
      <c r="DV208" s="16">
        <v>25507</v>
      </c>
      <c r="DW208" s="16">
        <v>18319</v>
      </c>
      <c r="DX208" s="16">
        <v>2779</v>
      </c>
      <c r="DY208" s="16">
        <v>7561</v>
      </c>
      <c r="DZ208" s="16">
        <v>14295</v>
      </c>
      <c r="EA208" s="16">
        <v>15334</v>
      </c>
      <c r="EB208" s="16">
        <v>44</v>
      </c>
      <c r="EC208" s="16">
        <v>1152</v>
      </c>
      <c r="ED208" s="16">
        <v>1856</v>
      </c>
      <c r="EE208" s="16">
        <v>148</v>
      </c>
      <c r="EF208" s="16">
        <v>790</v>
      </c>
      <c r="EG208" s="16">
        <v>2135</v>
      </c>
      <c r="EH208" s="16">
        <v>388</v>
      </c>
      <c r="EI208" s="16">
        <v>103</v>
      </c>
      <c r="EJ208" s="16">
        <v>550</v>
      </c>
      <c r="EK208" s="16">
        <v>60</v>
      </c>
      <c r="EL208" s="16">
        <v>107</v>
      </c>
      <c r="EM208" s="16">
        <v>2476</v>
      </c>
      <c r="EN208" s="16">
        <v>20811</v>
      </c>
      <c r="EO208" s="16">
        <v>12434</v>
      </c>
      <c r="EP208" s="16">
        <v>1030</v>
      </c>
      <c r="EQ208" s="16">
        <v>1610</v>
      </c>
      <c r="ER208" s="16">
        <v>1214</v>
      </c>
      <c r="ES208" s="16">
        <v>118</v>
      </c>
      <c r="ET208" s="16">
        <v>14668</v>
      </c>
      <c r="EU208" s="16">
        <v>129</v>
      </c>
      <c r="EV208" s="16">
        <v>368</v>
      </c>
      <c r="EW208" s="16">
        <v>576</v>
      </c>
      <c r="EX208" s="16">
        <v>17958</v>
      </c>
      <c r="EY208" s="16">
        <v>2079</v>
      </c>
      <c r="EZ208" s="16">
        <v>87</v>
      </c>
      <c r="FA208" s="16">
        <v>106</v>
      </c>
      <c r="FB208" s="16">
        <v>0</v>
      </c>
      <c r="FC208" s="16">
        <v>598</v>
      </c>
      <c r="FD208" s="16">
        <v>4930</v>
      </c>
      <c r="FE208" s="16">
        <v>283</v>
      </c>
      <c r="FF208" s="16">
        <v>779</v>
      </c>
      <c r="FG208" s="16">
        <v>0</v>
      </c>
      <c r="FH208" s="16">
        <v>0</v>
      </c>
      <c r="FI208" s="16">
        <v>84</v>
      </c>
      <c r="FJ208" s="16">
        <v>220</v>
      </c>
      <c r="FK208" s="16">
        <v>286</v>
      </c>
      <c r="FL208" s="16">
        <v>0</v>
      </c>
      <c r="FM208" s="16">
        <v>538</v>
      </c>
      <c r="FN208" s="16">
        <v>887</v>
      </c>
      <c r="FO208" s="16">
        <v>5680</v>
      </c>
      <c r="FP208" s="16">
        <v>3464</v>
      </c>
      <c r="FQ208" s="16">
        <v>11870</v>
      </c>
      <c r="FR208" s="16">
        <v>14431</v>
      </c>
      <c r="FS208" s="16">
        <v>9233</v>
      </c>
      <c r="FT208" s="16">
        <v>47371</v>
      </c>
      <c r="FU208" s="16">
        <v>2422</v>
      </c>
      <c r="FV208" s="16">
        <v>18877</v>
      </c>
      <c r="FW208" s="16">
        <v>252</v>
      </c>
      <c r="FX208" s="16">
        <v>62870</v>
      </c>
      <c r="FY208" s="16">
        <v>1017</v>
      </c>
      <c r="FZ208" s="16">
        <v>490</v>
      </c>
      <c r="GA208" s="16">
        <v>1245</v>
      </c>
      <c r="GB208" s="16">
        <v>14447</v>
      </c>
      <c r="GC208" s="16">
        <v>2457</v>
      </c>
      <c r="GD208" s="16">
        <v>47092</v>
      </c>
      <c r="GE208" s="16">
        <v>6521</v>
      </c>
      <c r="GF208" s="16">
        <v>21850</v>
      </c>
      <c r="GG208" s="16">
        <v>11271</v>
      </c>
      <c r="GH208" s="16">
        <v>21821</v>
      </c>
      <c r="GI208" s="16">
        <v>11482</v>
      </c>
      <c r="GJ208" s="16">
        <v>4807</v>
      </c>
      <c r="GK208" s="16">
        <v>54165</v>
      </c>
      <c r="GL208" s="16">
        <v>534</v>
      </c>
      <c r="GM208" s="16">
        <v>65417</v>
      </c>
      <c r="GN208" s="16">
        <v>29490</v>
      </c>
      <c r="GO208" s="16">
        <v>1310</v>
      </c>
      <c r="GP208" s="16">
        <v>37974</v>
      </c>
      <c r="GQ208" s="16">
        <v>6787</v>
      </c>
      <c r="GR208" s="16">
        <v>1787</v>
      </c>
      <c r="GS208" s="16">
        <v>21596</v>
      </c>
      <c r="GT208" s="16">
        <v>8087</v>
      </c>
      <c r="GU208" s="16">
        <v>103065</v>
      </c>
      <c r="GV208" s="16">
        <v>68094</v>
      </c>
      <c r="GW208" s="16">
        <v>34619</v>
      </c>
      <c r="GX208" s="16">
        <v>8758</v>
      </c>
      <c r="GY208" s="16">
        <v>353</v>
      </c>
      <c r="GZ208" s="16">
        <v>2499267</v>
      </c>
      <c r="HA208" s="16">
        <v>1308</v>
      </c>
      <c r="HB208" s="16">
        <v>17588</v>
      </c>
      <c r="HC208" s="16">
        <v>43941</v>
      </c>
      <c r="HD208" s="16">
        <v>37504</v>
      </c>
      <c r="HE208" s="16">
        <v>289</v>
      </c>
      <c r="HF208" s="16">
        <v>3046</v>
      </c>
      <c r="HG208" s="16">
        <v>134366</v>
      </c>
      <c r="HH208" s="16">
        <v>84035</v>
      </c>
      <c r="HI208" s="16">
        <v>156796</v>
      </c>
      <c r="HJ208" s="16">
        <v>1091</v>
      </c>
      <c r="HK208" s="16">
        <v>7004</v>
      </c>
      <c r="HL208" s="16">
        <v>483828</v>
      </c>
      <c r="HM208" s="16">
        <v>46099</v>
      </c>
      <c r="HN208" s="16">
        <v>551931</v>
      </c>
      <c r="HO208" s="16">
        <v>1680</v>
      </c>
      <c r="HP208" s="16">
        <v>41699</v>
      </c>
      <c r="HQ208" s="16">
        <v>358681</v>
      </c>
      <c r="HR208" s="16">
        <v>260821</v>
      </c>
      <c r="HS208" s="16">
        <v>151246</v>
      </c>
      <c r="HT208" s="16">
        <v>8352</v>
      </c>
      <c r="HU208" s="16">
        <v>158088</v>
      </c>
      <c r="HV208" s="16">
        <v>15925</v>
      </c>
      <c r="HW208" s="16">
        <v>18188</v>
      </c>
      <c r="HX208" s="16">
        <v>294006</v>
      </c>
      <c r="HY208" s="16">
        <v>3437</v>
      </c>
      <c r="HZ208" s="16">
        <v>212926</v>
      </c>
      <c r="IA208" s="16">
        <v>89672</v>
      </c>
      <c r="IB208" s="16">
        <v>36218</v>
      </c>
      <c r="IC208" s="16">
        <v>18341</v>
      </c>
      <c r="ID208" s="16">
        <v>103511</v>
      </c>
      <c r="IE208" s="16">
        <v>3725</v>
      </c>
      <c r="IF208" s="16">
        <v>35132</v>
      </c>
      <c r="IG208" s="16">
        <v>223743</v>
      </c>
      <c r="IH208" s="16">
        <v>283862</v>
      </c>
      <c r="II208" s="16">
        <v>863186</v>
      </c>
      <c r="IJ208" s="16">
        <v>8203</v>
      </c>
      <c r="IK208" s="16">
        <v>47104</v>
      </c>
      <c r="IL208" s="16">
        <v>13581</v>
      </c>
      <c r="IM208" s="16">
        <v>378</v>
      </c>
      <c r="IN208" s="16">
        <v>19288</v>
      </c>
      <c r="IO208" s="16">
        <v>446461</v>
      </c>
      <c r="IP208" s="16">
        <v>468720</v>
      </c>
      <c r="IQ208" s="16">
        <v>55860</v>
      </c>
      <c r="IR208" s="16">
        <v>16249</v>
      </c>
      <c r="IS208" s="16">
        <v>59864</v>
      </c>
      <c r="IT208" s="16">
        <v>24758</v>
      </c>
      <c r="IU208" s="16">
        <v>148</v>
      </c>
      <c r="IV208" s="16">
        <v>64502</v>
      </c>
      <c r="IW208" s="16">
        <v>402</v>
      </c>
      <c r="IX208" s="16">
        <v>461</v>
      </c>
      <c r="IY208" s="16">
        <v>225</v>
      </c>
      <c r="IZ208" s="16">
        <v>443</v>
      </c>
      <c r="JA208" s="16">
        <v>13770</v>
      </c>
      <c r="JB208" s="16">
        <v>305</v>
      </c>
      <c r="JC208" s="16">
        <v>0</v>
      </c>
      <c r="JD208" s="16">
        <v>316</v>
      </c>
      <c r="JE208" s="16">
        <v>8571</v>
      </c>
      <c r="JF208" s="16">
        <v>1218</v>
      </c>
      <c r="JG208" s="16">
        <v>44842</v>
      </c>
      <c r="JH208" s="16">
        <v>12274</v>
      </c>
      <c r="JI208" s="16">
        <v>34430</v>
      </c>
      <c r="JJ208" s="16">
        <v>250297</v>
      </c>
      <c r="JK208" s="16">
        <v>101678</v>
      </c>
      <c r="JL208" s="16">
        <v>38581</v>
      </c>
      <c r="JM208" s="16">
        <v>23479</v>
      </c>
      <c r="JN208" s="16">
        <v>128404</v>
      </c>
      <c r="JO208" s="16">
        <v>21811</v>
      </c>
      <c r="JP208" s="16">
        <v>17160</v>
      </c>
      <c r="JQ208" s="16">
        <v>56960</v>
      </c>
      <c r="JR208" s="16">
        <v>73280</v>
      </c>
      <c r="JS208" s="16">
        <v>22526</v>
      </c>
      <c r="JT208" s="16">
        <v>1</v>
      </c>
      <c r="JU208" s="16">
        <v>7184</v>
      </c>
      <c r="JV208" s="16">
        <v>3803</v>
      </c>
      <c r="JW208" s="16">
        <v>280415</v>
      </c>
      <c r="JX208" s="16">
        <v>428595</v>
      </c>
      <c r="JY208" s="16">
        <v>56054</v>
      </c>
      <c r="JZ208" s="16">
        <v>3374</v>
      </c>
      <c r="KA208" s="16">
        <v>2143</v>
      </c>
      <c r="KB208" s="16">
        <v>363</v>
      </c>
      <c r="KC208" s="16">
        <v>1231</v>
      </c>
      <c r="KD208" s="16">
        <v>1422</v>
      </c>
      <c r="KE208" s="16">
        <v>499</v>
      </c>
      <c r="KF208" s="16">
        <v>402</v>
      </c>
      <c r="KG208" s="16">
        <v>2799</v>
      </c>
      <c r="KH208" s="16">
        <v>526132</v>
      </c>
      <c r="KI208" s="16">
        <v>223862</v>
      </c>
      <c r="KJ208" s="16">
        <v>7685</v>
      </c>
      <c r="KK208" s="16">
        <v>31584</v>
      </c>
      <c r="KL208" s="16">
        <v>64</v>
      </c>
      <c r="KM208" s="16">
        <v>615</v>
      </c>
      <c r="KN208" s="16">
        <v>25</v>
      </c>
      <c r="KO208" s="16">
        <v>7885</v>
      </c>
      <c r="KP208" s="16">
        <v>297</v>
      </c>
      <c r="KQ208" s="16">
        <v>2362</v>
      </c>
      <c r="KR208" s="16">
        <v>3792</v>
      </c>
      <c r="KS208" s="16">
        <v>32327</v>
      </c>
      <c r="KT208" s="16">
        <v>1467</v>
      </c>
      <c r="KU208" s="16">
        <v>8354</v>
      </c>
      <c r="KV208" s="16">
        <v>115159</v>
      </c>
      <c r="KW208" s="16">
        <v>23509</v>
      </c>
      <c r="KX208" s="16">
        <v>12</v>
      </c>
      <c r="KY208" s="16">
        <v>4550</v>
      </c>
      <c r="KZ208" s="16">
        <v>66315</v>
      </c>
      <c r="LA208" s="16">
        <v>14394</v>
      </c>
      <c r="LB208" s="16">
        <v>3847</v>
      </c>
      <c r="LC208" s="16">
        <v>19459</v>
      </c>
      <c r="LD208" s="16">
        <v>7657</v>
      </c>
      <c r="LE208" s="16">
        <v>7309</v>
      </c>
      <c r="LF208" s="16">
        <v>2664</v>
      </c>
      <c r="LG208" s="16">
        <v>886</v>
      </c>
      <c r="LH208" s="16">
        <v>8261</v>
      </c>
      <c r="LI208" s="16">
        <v>3</v>
      </c>
      <c r="LJ208" s="16">
        <v>294</v>
      </c>
      <c r="LK208" s="16">
        <v>4614</v>
      </c>
      <c r="LL208" s="16">
        <v>1198</v>
      </c>
      <c r="LM208" s="16">
        <v>6370</v>
      </c>
      <c r="LN208" s="16">
        <v>77547</v>
      </c>
      <c r="LO208" s="16">
        <v>2091</v>
      </c>
      <c r="LP208" s="16">
        <v>4913</v>
      </c>
      <c r="LQ208" s="16">
        <v>5273</v>
      </c>
      <c r="LR208" s="16">
        <v>1794</v>
      </c>
      <c r="LS208" s="16">
        <v>1787</v>
      </c>
      <c r="LT208" s="16">
        <v>3308</v>
      </c>
      <c r="LU208" s="16">
        <v>418</v>
      </c>
      <c r="LV208" s="16">
        <v>56</v>
      </c>
      <c r="LW208" s="16">
        <v>336</v>
      </c>
      <c r="LX208" s="16">
        <v>2630</v>
      </c>
      <c r="LY208" s="16">
        <v>0</v>
      </c>
      <c r="LZ208" s="16">
        <v>6247</v>
      </c>
      <c r="MA208" s="16">
        <v>10627</v>
      </c>
      <c r="MB208" s="16">
        <v>15896</v>
      </c>
      <c r="MC208" s="16">
        <v>896</v>
      </c>
      <c r="MD208" s="16">
        <v>1796</v>
      </c>
      <c r="ME208" s="16">
        <v>2083</v>
      </c>
      <c r="MF208" s="16">
        <v>39908</v>
      </c>
      <c r="MG208" s="16">
        <v>591</v>
      </c>
      <c r="MH208" s="16">
        <v>2856</v>
      </c>
      <c r="MI208" s="16">
        <v>1178</v>
      </c>
      <c r="MJ208" s="16">
        <v>6117</v>
      </c>
      <c r="MK208" s="16">
        <v>27254</v>
      </c>
      <c r="ML208" s="16">
        <v>6050</v>
      </c>
      <c r="MM208" s="16">
        <v>5624</v>
      </c>
      <c r="MN208" s="16">
        <v>14953</v>
      </c>
      <c r="MO208" s="16">
        <v>10468</v>
      </c>
      <c r="MP208" s="16">
        <v>17495</v>
      </c>
      <c r="MQ208" s="16">
        <v>465</v>
      </c>
      <c r="MR208" s="16">
        <v>302799</v>
      </c>
      <c r="MS208" s="16">
        <v>3743</v>
      </c>
      <c r="MT208" s="16">
        <v>694</v>
      </c>
      <c r="MU208" s="16">
        <v>8937</v>
      </c>
      <c r="MV208" s="16">
        <v>0</v>
      </c>
      <c r="MW208" s="16">
        <v>0</v>
      </c>
      <c r="MX208" s="16">
        <v>282</v>
      </c>
      <c r="MY208" s="16">
        <v>46</v>
      </c>
      <c r="MZ208" s="16">
        <v>4502</v>
      </c>
      <c r="NA208" s="16">
        <v>841</v>
      </c>
      <c r="NB208" s="16">
        <v>0</v>
      </c>
      <c r="NC208" s="16">
        <v>18727</v>
      </c>
      <c r="ND208" s="16">
        <v>1772</v>
      </c>
      <c r="NE208" s="16">
        <v>440</v>
      </c>
      <c r="NF208" s="16">
        <v>4350</v>
      </c>
      <c r="NG208" s="16">
        <v>20786</v>
      </c>
      <c r="NH208" s="16">
        <v>9121</v>
      </c>
      <c r="NI208" s="16">
        <v>5256</v>
      </c>
      <c r="NJ208" s="16">
        <v>10260</v>
      </c>
      <c r="NK208" s="16">
        <v>2657</v>
      </c>
      <c r="NL208" s="16">
        <v>411</v>
      </c>
      <c r="NM208" s="16">
        <v>544</v>
      </c>
      <c r="NN208" s="16">
        <v>2009</v>
      </c>
      <c r="NO208" s="16">
        <v>0</v>
      </c>
      <c r="NP208" s="16">
        <v>3623</v>
      </c>
      <c r="NQ208" s="16">
        <v>164</v>
      </c>
      <c r="NR208" s="17">
        <v>13211512</v>
      </c>
    </row>
    <row r="209" spans="1:382" ht="13.5" customHeight="1" x14ac:dyDescent="0.2">
      <c r="A209" s="2" t="s">
        <v>425</v>
      </c>
      <c r="B209" s="16">
        <v>0</v>
      </c>
      <c r="C209" s="16">
        <v>0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949</v>
      </c>
      <c r="Y209" s="16">
        <v>2183</v>
      </c>
      <c r="Z209" s="16">
        <v>7720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3445</v>
      </c>
      <c r="AH209" s="16">
        <v>0</v>
      </c>
      <c r="AI209" s="16">
        <v>0</v>
      </c>
      <c r="AJ209" s="16">
        <v>0</v>
      </c>
      <c r="AK209" s="16">
        <v>0</v>
      </c>
      <c r="AL209" s="16">
        <v>0</v>
      </c>
      <c r="AM209" s="16">
        <v>0</v>
      </c>
      <c r="AN209" s="16">
        <v>0</v>
      </c>
      <c r="AO209" s="16">
        <v>0</v>
      </c>
      <c r="AP209" s="16">
        <v>0</v>
      </c>
      <c r="AQ209" s="16">
        <v>0</v>
      </c>
      <c r="AR209" s="16">
        <v>0</v>
      </c>
      <c r="AS209" s="16">
        <v>0</v>
      </c>
      <c r="AT209" s="16">
        <v>0</v>
      </c>
      <c r="AU209" s="16">
        <v>0</v>
      </c>
      <c r="AV209" s="16">
        <v>0</v>
      </c>
      <c r="AW209" s="16">
        <v>0</v>
      </c>
      <c r="AX209" s="16">
        <v>0</v>
      </c>
      <c r="AY209" s="16">
        <v>0</v>
      </c>
      <c r="AZ209" s="16">
        <v>0</v>
      </c>
      <c r="BA209" s="16">
        <v>0</v>
      </c>
      <c r="BB209" s="16">
        <v>0</v>
      </c>
      <c r="BC209" s="16">
        <v>0</v>
      </c>
      <c r="BD209" s="16">
        <v>0</v>
      </c>
      <c r="BE209" s="16">
        <v>0</v>
      </c>
      <c r="BF209" s="16">
        <v>0</v>
      </c>
      <c r="BG209" s="16">
        <v>0</v>
      </c>
      <c r="BH209" s="16">
        <v>0</v>
      </c>
      <c r="BI209" s="16">
        <v>0</v>
      </c>
      <c r="BJ209" s="16">
        <v>0</v>
      </c>
      <c r="BK209" s="16">
        <v>445</v>
      </c>
      <c r="BL209" s="16">
        <v>0</v>
      </c>
      <c r="BM209" s="16">
        <v>0</v>
      </c>
      <c r="BN209" s="16">
        <v>2408</v>
      </c>
      <c r="BO209" s="16">
        <v>888</v>
      </c>
      <c r="BP209" s="16">
        <v>0</v>
      </c>
      <c r="BQ209" s="16">
        <v>44</v>
      </c>
      <c r="BR209" s="16">
        <v>25</v>
      </c>
      <c r="BS209" s="16">
        <v>1497</v>
      </c>
      <c r="BT209" s="16">
        <v>157</v>
      </c>
      <c r="BU209" s="16">
        <v>0</v>
      </c>
      <c r="BV209" s="16">
        <v>0</v>
      </c>
      <c r="BW209" s="16">
        <v>165</v>
      </c>
      <c r="BX209" s="16">
        <v>0</v>
      </c>
      <c r="BY209" s="16">
        <v>0</v>
      </c>
      <c r="BZ209" s="16">
        <v>0</v>
      </c>
      <c r="CA209" s="16">
        <v>0</v>
      </c>
      <c r="CB209" s="16">
        <v>0</v>
      </c>
      <c r="CC209" s="16">
        <v>0</v>
      </c>
      <c r="CD209" s="16">
        <v>0</v>
      </c>
      <c r="CE209" s="16">
        <v>1926</v>
      </c>
      <c r="CF209" s="16">
        <v>0</v>
      </c>
      <c r="CG209" s="16">
        <v>0</v>
      </c>
      <c r="CH209" s="16">
        <v>0</v>
      </c>
      <c r="CI209" s="16">
        <v>0</v>
      </c>
      <c r="CJ209" s="16">
        <v>2172</v>
      </c>
      <c r="CK209" s="16">
        <v>0</v>
      </c>
      <c r="CL209" s="16">
        <v>4133</v>
      </c>
      <c r="CM209" s="16">
        <v>957</v>
      </c>
      <c r="CN209" s="16">
        <v>0</v>
      </c>
      <c r="CO209" s="16">
        <v>1604</v>
      </c>
      <c r="CP209" s="16">
        <v>0</v>
      </c>
      <c r="CQ209" s="16">
        <v>7215</v>
      </c>
      <c r="CR209" s="16">
        <v>805</v>
      </c>
      <c r="CS209" s="16">
        <v>7749</v>
      </c>
      <c r="CT209" s="16">
        <v>6225</v>
      </c>
      <c r="CU209" s="16">
        <v>2533</v>
      </c>
      <c r="CV209" s="16">
        <v>6223</v>
      </c>
      <c r="CW209" s="16">
        <v>9149</v>
      </c>
      <c r="CX209" s="16">
        <v>0</v>
      </c>
      <c r="CY209" s="16">
        <v>7153</v>
      </c>
      <c r="CZ209" s="16">
        <v>0</v>
      </c>
      <c r="DA209" s="16">
        <v>0</v>
      </c>
      <c r="DB209" s="16">
        <v>14441</v>
      </c>
      <c r="DC209" s="16">
        <v>0</v>
      </c>
      <c r="DD209" s="16">
        <v>0</v>
      </c>
      <c r="DE209" s="16">
        <v>3645</v>
      </c>
      <c r="DF209" s="16">
        <v>1456</v>
      </c>
      <c r="DG209" s="16">
        <v>0</v>
      </c>
      <c r="DH209" s="16">
        <v>0</v>
      </c>
      <c r="DI209" s="16">
        <v>0</v>
      </c>
      <c r="DJ209" s="16">
        <v>14723</v>
      </c>
      <c r="DK209" s="16">
        <v>0</v>
      </c>
      <c r="DL209" s="16">
        <v>0</v>
      </c>
      <c r="DM209" s="16">
        <v>0</v>
      </c>
      <c r="DN209" s="16">
        <v>0</v>
      </c>
      <c r="DO209" s="16">
        <v>0</v>
      </c>
      <c r="DP209" s="16">
        <v>0</v>
      </c>
      <c r="DQ209" s="16">
        <v>0</v>
      </c>
      <c r="DR209" s="16">
        <v>0</v>
      </c>
      <c r="DS209" s="16">
        <v>0</v>
      </c>
      <c r="DT209" s="16">
        <v>0</v>
      </c>
      <c r="DU209" s="16">
        <v>0</v>
      </c>
      <c r="DV209" s="16">
        <v>0</v>
      </c>
      <c r="DW209" s="16">
        <v>1990</v>
      </c>
      <c r="DX209" s="16">
        <v>0</v>
      </c>
      <c r="DY209" s="16">
        <v>754</v>
      </c>
      <c r="DZ209" s="16">
        <v>2518</v>
      </c>
      <c r="EA209" s="16">
        <v>1742</v>
      </c>
      <c r="EB209" s="16">
        <v>0</v>
      </c>
      <c r="EC209" s="16">
        <v>0</v>
      </c>
      <c r="ED209" s="16">
        <v>0</v>
      </c>
      <c r="EE209" s="16">
        <v>128</v>
      </c>
      <c r="EF209" s="16">
        <v>592</v>
      </c>
      <c r="EG209" s="16">
        <v>4549</v>
      </c>
      <c r="EH209" s="16">
        <v>2034</v>
      </c>
      <c r="EI209" s="16">
        <v>0</v>
      </c>
      <c r="EJ209" s="16">
        <v>0</v>
      </c>
      <c r="EK209" s="16">
        <v>326</v>
      </c>
      <c r="EL209" s="16">
        <v>248</v>
      </c>
      <c r="EM209" s="16">
        <v>853</v>
      </c>
      <c r="EN209" s="16">
        <v>6688</v>
      </c>
      <c r="EO209" s="16">
        <v>3423</v>
      </c>
      <c r="EP209" s="16">
        <v>0</v>
      </c>
      <c r="EQ209" s="16">
        <v>0</v>
      </c>
      <c r="ER209" s="16">
        <v>0</v>
      </c>
      <c r="ES209" s="16">
        <v>680</v>
      </c>
      <c r="ET209" s="16">
        <v>0</v>
      </c>
      <c r="EU209" s="16">
        <v>546</v>
      </c>
      <c r="EV209" s="16">
        <v>0</v>
      </c>
      <c r="EW209" s="16">
        <v>394</v>
      </c>
      <c r="EX209" s="16">
        <v>33156</v>
      </c>
      <c r="EY209" s="16">
        <v>2481</v>
      </c>
      <c r="EZ209" s="16">
        <v>547</v>
      </c>
      <c r="FA209" s="16">
        <v>37</v>
      </c>
      <c r="FB209" s="16">
        <v>0</v>
      </c>
      <c r="FC209" s="16">
        <v>169</v>
      </c>
      <c r="FD209" s="16">
        <v>2795</v>
      </c>
      <c r="FE209" s="16">
        <v>300</v>
      </c>
      <c r="FF209" s="16">
        <v>713</v>
      </c>
      <c r="FG209" s="16">
        <v>2281</v>
      </c>
      <c r="FH209" s="16">
        <v>0</v>
      </c>
      <c r="FI209" s="16">
        <v>674</v>
      </c>
      <c r="FJ209" s="16">
        <v>0</v>
      </c>
      <c r="FK209" s="16">
        <v>0</v>
      </c>
      <c r="FL209" s="16">
        <v>0</v>
      </c>
      <c r="FM209" s="16">
        <v>0</v>
      </c>
      <c r="FN209" s="16">
        <v>2364</v>
      </c>
      <c r="FO209" s="16">
        <v>4716</v>
      </c>
      <c r="FP209" s="16">
        <v>2367</v>
      </c>
      <c r="FQ209" s="16">
        <v>4478</v>
      </c>
      <c r="FR209" s="16">
        <v>4367</v>
      </c>
      <c r="FS209" s="16">
        <v>0</v>
      </c>
      <c r="FT209" s="16">
        <v>11288</v>
      </c>
      <c r="FU209" s="16">
        <v>19398</v>
      </c>
      <c r="FV209" s="16">
        <v>7250</v>
      </c>
      <c r="FW209" s="16">
        <v>0</v>
      </c>
      <c r="FX209" s="16">
        <v>9682</v>
      </c>
      <c r="FY209" s="16">
        <v>1892</v>
      </c>
      <c r="FZ209" s="16">
        <v>2833</v>
      </c>
      <c r="GA209" s="16">
        <v>2337</v>
      </c>
      <c r="GB209" s="16">
        <v>7712</v>
      </c>
      <c r="GC209" s="16">
        <v>2804</v>
      </c>
      <c r="GD209" s="16">
        <v>6312</v>
      </c>
      <c r="GE209" s="16">
        <v>4498</v>
      </c>
      <c r="GF209" s="16">
        <v>16710</v>
      </c>
      <c r="GG209" s="16">
        <v>543</v>
      </c>
      <c r="GH209" s="16">
        <v>7560</v>
      </c>
      <c r="GI209" s="16">
        <v>1301</v>
      </c>
      <c r="GJ209" s="16">
        <v>5427</v>
      </c>
      <c r="GK209" s="16">
        <v>1761</v>
      </c>
      <c r="GL209" s="16">
        <v>18</v>
      </c>
      <c r="GM209" s="16">
        <v>2460</v>
      </c>
      <c r="GN209" s="16">
        <v>1537</v>
      </c>
      <c r="GO209" s="16">
        <v>2216</v>
      </c>
      <c r="GP209" s="16">
        <v>224</v>
      </c>
      <c r="GQ209" s="16">
        <v>1229</v>
      </c>
      <c r="GR209" s="16">
        <v>454</v>
      </c>
      <c r="GS209" s="16">
        <v>2424</v>
      </c>
      <c r="GT209" s="16">
        <v>197</v>
      </c>
      <c r="GU209" s="16">
        <v>5920</v>
      </c>
      <c r="GV209" s="16">
        <v>2661</v>
      </c>
      <c r="GW209" s="16">
        <v>4540</v>
      </c>
      <c r="GX209" s="16">
        <v>88</v>
      </c>
      <c r="GY209" s="16">
        <v>0</v>
      </c>
      <c r="GZ209" s="16">
        <v>5970</v>
      </c>
      <c r="HA209" s="16">
        <v>487242</v>
      </c>
      <c r="HB209" s="16">
        <v>4376</v>
      </c>
      <c r="HC209" s="16">
        <v>6721</v>
      </c>
      <c r="HD209" s="16">
        <v>10256</v>
      </c>
      <c r="HE209" s="16">
        <v>4171</v>
      </c>
      <c r="HF209" s="16">
        <v>2084</v>
      </c>
      <c r="HG209" s="16">
        <v>17750</v>
      </c>
      <c r="HH209" s="16">
        <v>3123</v>
      </c>
      <c r="HI209" s="16">
        <v>20313</v>
      </c>
      <c r="HJ209" s="16">
        <v>591</v>
      </c>
      <c r="HK209" s="16">
        <v>1508</v>
      </c>
      <c r="HL209" s="16">
        <v>140690</v>
      </c>
      <c r="HM209" s="16">
        <v>6127</v>
      </c>
      <c r="HN209" s="16">
        <v>4803</v>
      </c>
      <c r="HO209" s="16">
        <v>5907</v>
      </c>
      <c r="HP209" s="16">
        <v>7985</v>
      </c>
      <c r="HQ209" s="16">
        <v>4422</v>
      </c>
      <c r="HR209" s="16">
        <v>13391</v>
      </c>
      <c r="HS209" s="16">
        <v>4510</v>
      </c>
      <c r="HT209" s="16">
        <v>3548</v>
      </c>
      <c r="HU209" s="16">
        <v>3432</v>
      </c>
      <c r="HV209" s="16">
        <v>1308</v>
      </c>
      <c r="HW209" s="16">
        <v>612</v>
      </c>
      <c r="HX209" s="16">
        <v>7263</v>
      </c>
      <c r="HY209" s="16">
        <v>8723</v>
      </c>
      <c r="HZ209" s="16">
        <v>26456</v>
      </c>
      <c r="IA209" s="16">
        <v>9531</v>
      </c>
      <c r="IB209" s="16">
        <v>2890</v>
      </c>
      <c r="IC209" s="16">
        <v>549</v>
      </c>
      <c r="ID209" s="16">
        <v>1212</v>
      </c>
      <c r="IE209" s="16">
        <v>507</v>
      </c>
      <c r="IF209" s="16">
        <v>1453</v>
      </c>
      <c r="IG209" s="16">
        <v>34278</v>
      </c>
      <c r="IH209" s="16">
        <v>8535</v>
      </c>
      <c r="II209" s="16">
        <v>1133</v>
      </c>
      <c r="IJ209" s="16">
        <v>149</v>
      </c>
      <c r="IK209" s="16">
        <v>659</v>
      </c>
      <c r="IL209" s="16">
        <v>1078</v>
      </c>
      <c r="IM209" s="16">
        <v>87</v>
      </c>
      <c r="IN209" s="16">
        <v>3173</v>
      </c>
      <c r="IO209" s="16">
        <v>6037</v>
      </c>
      <c r="IP209" s="16">
        <v>6842</v>
      </c>
      <c r="IQ209" s="16">
        <v>411</v>
      </c>
      <c r="IR209" s="16">
        <v>26</v>
      </c>
      <c r="IS209" s="16">
        <v>908</v>
      </c>
      <c r="IT209" s="16">
        <v>1643</v>
      </c>
      <c r="IU209" s="16">
        <v>26</v>
      </c>
      <c r="IV209" s="16">
        <v>1753</v>
      </c>
      <c r="IW209" s="16">
        <v>471</v>
      </c>
      <c r="IX209" s="16">
        <v>0</v>
      </c>
      <c r="IY209" s="16">
        <v>0</v>
      </c>
      <c r="IZ209" s="16">
        <v>0</v>
      </c>
      <c r="JA209" s="16">
        <v>0</v>
      </c>
      <c r="JB209" s="16">
        <v>0</v>
      </c>
      <c r="JC209" s="16">
        <v>0</v>
      </c>
      <c r="JD209" s="16">
        <v>0</v>
      </c>
      <c r="JE209" s="16">
        <v>97</v>
      </c>
      <c r="JF209" s="16">
        <v>0</v>
      </c>
      <c r="JG209" s="16">
        <v>17138</v>
      </c>
      <c r="JH209" s="16">
        <v>1883</v>
      </c>
      <c r="JI209" s="16">
        <v>0</v>
      </c>
      <c r="JJ209" s="16">
        <v>141628</v>
      </c>
      <c r="JK209" s="16">
        <v>26462</v>
      </c>
      <c r="JL209" s="16">
        <v>0</v>
      </c>
      <c r="JM209" s="16">
        <v>3347</v>
      </c>
      <c r="JN209" s="16">
        <v>42009</v>
      </c>
      <c r="JO209" s="16">
        <v>0</v>
      </c>
      <c r="JP209" s="16">
        <v>0</v>
      </c>
      <c r="JQ209" s="16">
        <v>29711</v>
      </c>
      <c r="JR209" s="16">
        <v>0</v>
      </c>
      <c r="JS209" s="16">
        <v>0</v>
      </c>
      <c r="JT209" s="16">
        <v>0</v>
      </c>
      <c r="JU209" s="16">
        <v>0</v>
      </c>
      <c r="JV209" s="16">
        <v>0</v>
      </c>
      <c r="JW209" s="16">
        <v>155672</v>
      </c>
      <c r="JX209" s="16">
        <v>168778</v>
      </c>
      <c r="JY209" s="16">
        <v>55318</v>
      </c>
      <c r="JZ209" s="16">
        <v>10843</v>
      </c>
      <c r="KA209" s="16">
        <v>5550</v>
      </c>
      <c r="KB209" s="16">
        <v>2431</v>
      </c>
      <c r="KC209" s="16">
        <v>627</v>
      </c>
      <c r="KD209" s="16">
        <v>1067</v>
      </c>
      <c r="KE209" s="16">
        <v>1993</v>
      </c>
      <c r="KF209" s="16">
        <v>3050</v>
      </c>
      <c r="KG209" s="16">
        <v>3200</v>
      </c>
      <c r="KH209" s="16">
        <v>462982</v>
      </c>
      <c r="KI209" s="16">
        <v>192641</v>
      </c>
      <c r="KJ209" s="16">
        <v>106608</v>
      </c>
      <c r="KK209" s="16">
        <v>39021</v>
      </c>
      <c r="KL209" s="16">
        <v>813</v>
      </c>
      <c r="KM209" s="16">
        <v>0</v>
      </c>
      <c r="KN209" s="16">
        <v>47</v>
      </c>
      <c r="KO209" s="16">
        <v>0</v>
      </c>
      <c r="KP209" s="16">
        <v>20</v>
      </c>
      <c r="KQ209" s="16">
        <v>766</v>
      </c>
      <c r="KR209" s="16">
        <v>25914</v>
      </c>
      <c r="KS209" s="16">
        <v>0</v>
      </c>
      <c r="KT209" s="16">
        <v>0</v>
      </c>
      <c r="KU209" s="16">
        <v>0</v>
      </c>
      <c r="KV209" s="16">
        <v>108267</v>
      </c>
      <c r="KW209" s="16">
        <v>39460</v>
      </c>
      <c r="KX209" s="16">
        <v>0</v>
      </c>
      <c r="KY209" s="16">
        <v>0</v>
      </c>
      <c r="KZ209" s="16">
        <v>0</v>
      </c>
      <c r="LA209" s="16">
        <v>0</v>
      </c>
      <c r="LB209" s="16">
        <v>0</v>
      </c>
      <c r="LC209" s="16">
        <v>0</v>
      </c>
      <c r="LD209" s="16">
        <v>0</v>
      </c>
      <c r="LE209" s="16">
        <v>0</v>
      </c>
      <c r="LF209" s="16">
        <v>0</v>
      </c>
      <c r="LG209" s="16">
        <v>4473</v>
      </c>
      <c r="LH209" s="16">
        <v>0</v>
      </c>
      <c r="LI209" s="16">
        <v>0</v>
      </c>
      <c r="LJ209" s="16">
        <v>0</v>
      </c>
      <c r="LK209" s="16">
        <v>0</v>
      </c>
      <c r="LL209" s="16">
        <v>0</v>
      </c>
      <c r="LM209" s="16">
        <v>344</v>
      </c>
      <c r="LN209" s="16">
        <v>0</v>
      </c>
      <c r="LO209" s="16">
        <v>0</v>
      </c>
      <c r="LP209" s="16">
        <v>0</v>
      </c>
      <c r="LQ209" s="16">
        <v>0</v>
      </c>
      <c r="LR209" s="16">
        <v>0</v>
      </c>
      <c r="LS209" s="16">
        <v>0</v>
      </c>
      <c r="LT209" s="16">
        <v>0</v>
      </c>
      <c r="LU209" s="16">
        <v>0</v>
      </c>
      <c r="LV209" s="16">
        <v>0</v>
      </c>
      <c r="LW209" s="16">
        <v>0</v>
      </c>
      <c r="LX209" s="16">
        <v>0</v>
      </c>
      <c r="LY209" s="16">
        <v>0</v>
      </c>
      <c r="LZ209" s="16">
        <v>18030</v>
      </c>
      <c r="MA209" s="16">
        <v>2413</v>
      </c>
      <c r="MB209" s="16">
        <v>11265</v>
      </c>
      <c r="MC209" s="16">
        <v>4309</v>
      </c>
      <c r="MD209" s="16">
        <v>3078</v>
      </c>
      <c r="ME209" s="16">
        <v>0</v>
      </c>
      <c r="MF209" s="16">
        <v>64210</v>
      </c>
      <c r="MG209" s="16">
        <v>0</v>
      </c>
      <c r="MH209" s="16">
        <v>0</v>
      </c>
      <c r="MI209" s="16">
        <v>0</v>
      </c>
      <c r="MJ209" s="16">
        <v>0</v>
      </c>
      <c r="MK209" s="16">
        <v>0</v>
      </c>
      <c r="ML209" s="16">
        <v>0</v>
      </c>
      <c r="MM209" s="16">
        <v>0</v>
      </c>
      <c r="MN209" s="16">
        <v>0</v>
      </c>
      <c r="MO209" s="16">
        <v>0</v>
      </c>
      <c r="MP209" s="16">
        <v>0</v>
      </c>
      <c r="MQ209" s="16">
        <v>0</v>
      </c>
      <c r="MR209" s="16">
        <v>2697</v>
      </c>
      <c r="MS209" s="16">
        <v>29</v>
      </c>
      <c r="MT209" s="16">
        <v>0</v>
      </c>
      <c r="MU209" s="16">
        <v>7</v>
      </c>
      <c r="MV209" s="16">
        <v>4287</v>
      </c>
      <c r="MW209" s="16">
        <v>0</v>
      </c>
      <c r="MX209" s="16">
        <v>22</v>
      </c>
      <c r="MY209" s="16">
        <v>133</v>
      </c>
      <c r="MZ209" s="16">
        <v>115</v>
      </c>
      <c r="NA209" s="16">
        <v>0</v>
      </c>
      <c r="NB209" s="16">
        <v>0</v>
      </c>
      <c r="NC209" s="16">
        <v>28</v>
      </c>
      <c r="ND209" s="16">
        <v>0</v>
      </c>
      <c r="NE209" s="16">
        <v>0</v>
      </c>
      <c r="NF209" s="16">
        <v>0</v>
      </c>
      <c r="NG209" s="16">
        <v>0</v>
      </c>
      <c r="NH209" s="16">
        <v>860</v>
      </c>
      <c r="NI209" s="16">
        <v>0</v>
      </c>
      <c r="NJ209" s="16">
        <v>0</v>
      </c>
      <c r="NK209" s="16">
        <v>604</v>
      </c>
      <c r="NL209" s="16">
        <v>153</v>
      </c>
      <c r="NM209" s="16">
        <v>0</v>
      </c>
      <c r="NN209" s="16">
        <v>0</v>
      </c>
      <c r="NO209" s="16">
        <v>0</v>
      </c>
      <c r="NP209" s="16">
        <v>0</v>
      </c>
      <c r="NQ209" s="16">
        <v>2</v>
      </c>
      <c r="NR209" s="17">
        <v>2985256</v>
      </c>
    </row>
    <row r="210" spans="1:382" ht="13.5" customHeight="1" x14ac:dyDescent="0.2">
      <c r="A210" s="2" t="s">
        <v>427</v>
      </c>
      <c r="B210" s="16">
        <v>0</v>
      </c>
      <c r="C210" s="16">
        <v>0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17</v>
      </c>
      <c r="Q210" s="16">
        <v>80</v>
      </c>
      <c r="R210" s="16">
        <v>28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62</v>
      </c>
      <c r="Y210" s="16">
        <v>113</v>
      </c>
      <c r="Z210" s="16">
        <v>108</v>
      </c>
      <c r="AA210" s="16">
        <v>14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232</v>
      </c>
      <c r="AH210" s="16">
        <v>220</v>
      </c>
      <c r="AI210" s="16">
        <v>78</v>
      </c>
      <c r="AJ210" s="16">
        <v>0</v>
      </c>
      <c r="AK210" s="16">
        <v>0</v>
      </c>
      <c r="AL210" s="16">
        <v>5</v>
      </c>
      <c r="AM210" s="16">
        <v>1924</v>
      </c>
      <c r="AN210" s="16">
        <v>51</v>
      </c>
      <c r="AO210" s="16">
        <v>0</v>
      </c>
      <c r="AP210" s="16">
        <v>0</v>
      </c>
      <c r="AQ210" s="16">
        <v>0</v>
      </c>
      <c r="AR210" s="16">
        <v>0</v>
      </c>
      <c r="AS210" s="16">
        <v>0</v>
      </c>
      <c r="AT210" s="16">
        <v>0</v>
      </c>
      <c r="AU210" s="16">
        <v>22</v>
      </c>
      <c r="AV210" s="16">
        <v>18</v>
      </c>
      <c r="AW210" s="16">
        <v>339</v>
      </c>
      <c r="AX210" s="16">
        <v>212</v>
      </c>
      <c r="AY210" s="16">
        <v>0</v>
      </c>
      <c r="AZ210" s="16">
        <v>87</v>
      </c>
      <c r="BA210" s="16">
        <v>431</v>
      </c>
      <c r="BB210" s="16">
        <v>117</v>
      </c>
      <c r="BC210" s="16">
        <v>19</v>
      </c>
      <c r="BD210" s="16">
        <v>8</v>
      </c>
      <c r="BE210" s="16">
        <v>10</v>
      </c>
      <c r="BF210" s="16">
        <v>56</v>
      </c>
      <c r="BG210" s="16">
        <v>10</v>
      </c>
      <c r="BH210" s="16">
        <v>68</v>
      </c>
      <c r="BI210" s="16">
        <v>278</v>
      </c>
      <c r="BJ210" s="16">
        <v>9</v>
      </c>
      <c r="BK210" s="16">
        <v>22</v>
      </c>
      <c r="BL210" s="16">
        <v>51</v>
      </c>
      <c r="BM210" s="16">
        <v>41</v>
      </c>
      <c r="BN210" s="16">
        <v>44</v>
      </c>
      <c r="BO210" s="16">
        <v>216</v>
      </c>
      <c r="BP210" s="16">
        <v>8</v>
      </c>
      <c r="BQ210" s="16">
        <v>13</v>
      </c>
      <c r="BR210" s="16">
        <v>8</v>
      </c>
      <c r="BS210" s="16">
        <v>27</v>
      </c>
      <c r="BT210" s="16">
        <v>3</v>
      </c>
      <c r="BU210" s="16">
        <v>9</v>
      </c>
      <c r="BV210" s="16">
        <v>0</v>
      </c>
      <c r="BW210" s="16">
        <v>127</v>
      </c>
      <c r="BX210" s="16">
        <v>2</v>
      </c>
      <c r="BY210" s="16">
        <v>0</v>
      </c>
      <c r="BZ210" s="16">
        <v>28</v>
      </c>
      <c r="CA210" s="16">
        <v>5</v>
      </c>
      <c r="CB210" s="16">
        <v>0</v>
      </c>
      <c r="CC210" s="16">
        <v>434</v>
      </c>
      <c r="CD210" s="16">
        <v>197</v>
      </c>
      <c r="CE210" s="16">
        <v>751</v>
      </c>
      <c r="CF210" s="16">
        <v>127</v>
      </c>
      <c r="CG210" s="16">
        <v>12</v>
      </c>
      <c r="CH210" s="16">
        <v>158</v>
      </c>
      <c r="CI210" s="16">
        <v>91</v>
      </c>
      <c r="CJ210" s="16">
        <v>982</v>
      </c>
      <c r="CK210" s="16">
        <v>856</v>
      </c>
      <c r="CL210" s="16">
        <v>48</v>
      </c>
      <c r="CM210" s="16">
        <v>805</v>
      </c>
      <c r="CN210" s="16">
        <v>19</v>
      </c>
      <c r="CO210" s="16">
        <v>1621</v>
      </c>
      <c r="CP210" s="16">
        <v>545</v>
      </c>
      <c r="CQ210" s="16">
        <v>1949</v>
      </c>
      <c r="CR210" s="16">
        <v>42</v>
      </c>
      <c r="CS210" s="16">
        <v>747</v>
      </c>
      <c r="CT210" s="16">
        <v>685</v>
      </c>
      <c r="CU210" s="16">
        <v>923</v>
      </c>
      <c r="CV210" s="16">
        <v>2471</v>
      </c>
      <c r="CW210" s="16">
        <v>5081</v>
      </c>
      <c r="CX210" s="16">
        <v>14380</v>
      </c>
      <c r="CY210" s="16">
        <v>839</v>
      </c>
      <c r="CZ210" s="16">
        <v>57</v>
      </c>
      <c r="DA210" s="16">
        <v>1</v>
      </c>
      <c r="DB210" s="16">
        <v>802</v>
      </c>
      <c r="DC210" s="16">
        <v>4</v>
      </c>
      <c r="DD210" s="16">
        <v>35</v>
      </c>
      <c r="DE210" s="16">
        <v>167</v>
      </c>
      <c r="DF210" s="16">
        <v>795</v>
      </c>
      <c r="DG210" s="16">
        <v>84</v>
      </c>
      <c r="DH210" s="16">
        <v>1411</v>
      </c>
      <c r="DI210" s="16">
        <v>0</v>
      </c>
      <c r="DJ210" s="16">
        <v>6847</v>
      </c>
      <c r="DK210" s="16">
        <v>23</v>
      </c>
      <c r="DL210" s="16">
        <v>538</v>
      </c>
      <c r="DM210" s="16">
        <v>276</v>
      </c>
      <c r="DN210" s="16">
        <v>102</v>
      </c>
      <c r="DO210" s="16">
        <v>46</v>
      </c>
      <c r="DP210" s="16">
        <v>22</v>
      </c>
      <c r="DQ210" s="16">
        <v>25</v>
      </c>
      <c r="DR210" s="16">
        <v>25</v>
      </c>
      <c r="DS210" s="16">
        <v>786</v>
      </c>
      <c r="DT210" s="16">
        <v>18</v>
      </c>
      <c r="DU210" s="16">
        <v>44</v>
      </c>
      <c r="DV210" s="16">
        <v>227</v>
      </c>
      <c r="DW210" s="16">
        <v>6735</v>
      </c>
      <c r="DX210" s="16">
        <v>1538</v>
      </c>
      <c r="DY210" s="16">
        <v>1211</v>
      </c>
      <c r="DZ210" s="16">
        <v>5491</v>
      </c>
      <c r="EA210" s="16">
        <v>2168</v>
      </c>
      <c r="EB210" s="16">
        <v>3</v>
      </c>
      <c r="EC210" s="16">
        <v>591</v>
      </c>
      <c r="ED210" s="16">
        <v>288</v>
      </c>
      <c r="EE210" s="16">
        <v>0</v>
      </c>
      <c r="EF210" s="16">
        <v>56</v>
      </c>
      <c r="EG210" s="16">
        <v>3240</v>
      </c>
      <c r="EH210" s="16">
        <v>324</v>
      </c>
      <c r="EI210" s="16">
        <v>29</v>
      </c>
      <c r="EJ210" s="16">
        <v>27</v>
      </c>
      <c r="EK210" s="16">
        <v>387</v>
      </c>
      <c r="EL210" s="16">
        <v>1</v>
      </c>
      <c r="EM210" s="16">
        <v>229</v>
      </c>
      <c r="EN210" s="16">
        <v>6981</v>
      </c>
      <c r="EO210" s="16">
        <v>5726</v>
      </c>
      <c r="EP210" s="16">
        <v>626</v>
      </c>
      <c r="EQ210" s="16">
        <v>57</v>
      </c>
      <c r="ER210" s="16">
        <v>0</v>
      </c>
      <c r="ES210" s="16">
        <v>26</v>
      </c>
      <c r="ET210" s="16">
        <v>979</v>
      </c>
      <c r="EU210" s="16">
        <v>9</v>
      </c>
      <c r="EV210" s="16">
        <v>25</v>
      </c>
      <c r="EW210" s="16">
        <v>121</v>
      </c>
      <c r="EX210" s="16">
        <v>67230</v>
      </c>
      <c r="EY210" s="16">
        <v>5201</v>
      </c>
      <c r="EZ210" s="16">
        <v>32</v>
      </c>
      <c r="FA210" s="16">
        <v>106</v>
      </c>
      <c r="FB210" s="16">
        <v>602</v>
      </c>
      <c r="FC210" s="16">
        <v>20</v>
      </c>
      <c r="FD210" s="16">
        <v>9552</v>
      </c>
      <c r="FE210" s="16">
        <v>1305</v>
      </c>
      <c r="FF210" s="16">
        <v>891</v>
      </c>
      <c r="FG210" s="16">
        <v>15</v>
      </c>
      <c r="FH210" s="16">
        <v>5</v>
      </c>
      <c r="FI210" s="16">
        <v>229</v>
      </c>
      <c r="FJ210" s="16">
        <v>30</v>
      </c>
      <c r="FK210" s="16">
        <v>604</v>
      </c>
      <c r="FL210" s="16">
        <v>4</v>
      </c>
      <c r="FM210" s="16">
        <v>1797</v>
      </c>
      <c r="FN210" s="16">
        <v>2442</v>
      </c>
      <c r="FO210" s="16">
        <v>700</v>
      </c>
      <c r="FP210" s="16">
        <v>2147</v>
      </c>
      <c r="FQ210" s="16">
        <v>4982</v>
      </c>
      <c r="FR210" s="16">
        <v>3744</v>
      </c>
      <c r="FS210" s="16">
        <v>4659</v>
      </c>
      <c r="FT210" s="16">
        <v>3512</v>
      </c>
      <c r="FU210" s="16">
        <v>2459</v>
      </c>
      <c r="FV210" s="16">
        <v>16568</v>
      </c>
      <c r="FW210" s="16">
        <v>1872</v>
      </c>
      <c r="FX210" s="16">
        <v>11601</v>
      </c>
      <c r="FY210" s="16">
        <v>700</v>
      </c>
      <c r="FZ210" s="16">
        <v>4955</v>
      </c>
      <c r="GA210" s="16">
        <v>383</v>
      </c>
      <c r="GB210" s="16">
        <v>5491</v>
      </c>
      <c r="GC210" s="16">
        <v>1186</v>
      </c>
      <c r="GD210" s="16">
        <v>27341</v>
      </c>
      <c r="GE210" s="16">
        <v>1318</v>
      </c>
      <c r="GF210" s="16">
        <v>128139</v>
      </c>
      <c r="GG210" s="16">
        <v>75833</v>
      </c>
      <c r="GH210" s="16">
        <v>91204</v>
      </c>
      <c r="GI210" s="16">
        <v>27307</v>
      </c>
      <c r="GJ210" s="16">
        <v>119560</v>
      </c>
      <c r="GK210" s="16">
        <v>29188</v>
      </c>
      <c r="GL210" s="16">
        <v>26940</v>
      </c>
      <c r="GM210" s="16">
        <v>28010</v>
      </c>
      <c r="GN210" s="16">
        <v>25032</v>
      </c>
      <c r="GO210" s="16">
        <v>102701</v>
      </c>
      <c r="GP210" s="16">
        <v>273932</v>
      </c>
      <c r="GQ210" s="16">
        <v>365426</v>
      </c>
      <c r="GR210" s="16">
        <v>16922</v>
      </c>
      <c r="GS210" s="16">
        <v>8898</v>
      </c>
      <c r="GT210" s="16">
        <v>7584</v>
      </c>
      <c r="GU210" s="16">
        <v>6887</v>
      </c>
      <c r="GV210" s="16">
        <v>56735</v>
      </c>
      <c r="GW210" s="16">
        <v>25208</v>
      </c>
      <c r="GX210" s="16">
        <v>6041</v>
      </c>
      <c r="GY210" s="16">
        <v>22</v>
      </c>
      <c r="GZ210" s="16">
        <v>34126</v>
      </c>
      <c r="HA210" s="16">
        <v>112190</v>
      </c>
      <c r="HB210" s="16">
        <v>695877</v>
      </c>
      <c r="HC210" s="16">
        <v>61372</v>
      </c>
      <c r="HD210" s="16">
        <v>173136</v>
      </c>
      <c r="HE210" s="16">
        <v>2958</v>
      </c>
      <c r="HF210" s="16">
        <v>4421</v>
      </c>
      <c r="HG210" s="16">
        <v>9088</v>
      </c>
      <c r="HH210" s="16">
        <v>10301</v>
      </c>
      <c r="HI210" s="16">
        <v>28257</v>
      </c>
      <c r="HJ210" s="16">
        <v>49909</v>
      </c>
      <c r="HK210" s="16">
        <v>128451</v>
      </c>
      <c r="HL210" s="16">
        <v>192252</v>
      </c>
      <c r="HM210" s="16">
        <v>9383</v>
      </c>
      <c r="HN210" s="16">
        <v>15936</v>
      </c>
      <c r="HO210" s="16">
        <v>295</v>
      </c>
      <c r="HP210" s="16">
        <v>1243</v>
      </c>
      <c r="HQ210" s="16">
        <v>56908</v>
      </c>
      <c r="HR210" s="16">
        <v>49665</v>
      </c>
      <c r="HS210" s="16">
        <v>14512</v>
      </c>
      <c r="HT210" s="16">
        <v>11435</v>
      </c>
      <c r="HU210" s="16">
        <v>12616</v>
      </c>
      <c r="HV210" s="16">
        <v>1333</v>
      </c>
      <c r="HW210" s="16">
        <v>3323</v>
      </c>
      <c r="HX210" s="16">
        <v>11101</v>
      </c>
      <c r="HY210" s="16">
        <v>964</v>
      </c>
      <c r="HZ210" s="16">
        <v>94823</v>
      </c>
      <c r="IA210" s="16">
        <v>13868</v>
      </c>
      <c r="IB210" s="16">
        <v>4688</v>
      </c>
      <c r="IC210" s="16">
        <v>1441</v>
      </c>
      <c r="ID210" s="16">
        <v>19549</v>
      </c>
      <c r="IE210" s="16">
        <v>583</v>
      </c>
      <c r="IF210" s="16">
        <v>1924</v>
      </c>
      <c r="IG210" s="16">
        <v>19994</v>
      </c>
      <c r="IH210" s="16">
        <v>23855</v>
      </c>
      <c r="II210" s="16">
        <v>238751</v>
      </c>
      <c r="IJ210" s="16">
        <v>165</v>
      </c>
      <c r="IK210" s="16">
        <v>324</v>
      </c>
      <c r="IL210" s="16">
        <v>457</v>
      </c>
      <c r="IM210" s="16">
        <v>9</v>
      </c>
      <c r="IN210" s="16">
        <v>5871</v>
      </c>
      <c r="IO210" s="16">
        <v>88468</v>
      </c>
      <c r="IP210" s="16">
        <v>16877</v>
      </c>
      <c r="IQ210" s="16">
        <v>2523</v>
      </c>
      <c r="IR210" s="16">
        <v>423</v>
      </c>
      <c r="IS210" s="16">
        <v>15205</v>
      </c>
      <c r="IT210" s="16">
        <v>1108</v>
      </c>
      <c r="IU210" s="16">
        <v>23</v>
      </c>
      <c r="IV210" s="16">
        <v>8232</v>
      </c>
      <c r="IW210" s="16">
        <v>3075</v>
      </c>
      <c r="IX210" s="16">
        <v>97</v>
      </c>
      <c r="IY210" s="16">
        <v>239</v>
      </c>
      <c r="IZ210" s="16">
        <v>296</v>
      </c>
      <c r="JA210" s="16">
        <v>8531</v>
      </c>
      <c r="JB210" s="16">
        <v>334</v>
      </c>
      <c r="JC210" s="16">
        <v>8</v>
      </c>
      <c r="JD210" s="16">
        <v>9</v>
      </c>
      <c r="JE210" s="16">
        <v>741</v>
      </c>
      <c r="JF210" s="16">
        <v>355</v>
      </c>
      <c r="JG210" s="16">
        <v>37608</v>
      </c>
      <c r="JH210" s="16">
        <v>62870</v>
      </c>
      <c r="JI210" s="16">
        <v>1618</v>
      </c>
      <c r="JJ210" s="16">
        <v>58914</v>
      </c>
      <c r="JK210" s="16">
        <v>25641</v>
      </c>
      <c r="JL210" s="16">
        <v>301</v>
      </c>
      <c r="JM210" s="16">
        <v>1543</v>
      </c>
      <c r="JN210" s="16">
        <v>12406</v>
      </c>
      <c r="JO210" s="16">
        <v>0</v>
      </c>
      <c r="JP210" s="16">
        <v>0</v>
      </c>
      <c r="JQ210" s="16">
        <v>167</v>
      </c>
      <c r="JR210" s="16">
        <v>4050</v>
      </c>
      <c r="JS210" s="16">
        <v>158</v>
      </c>
      <c r="JT210" s="16">
        <v>0</v>
      </c>
      <c r="JU210" s="16">
        <v>3646</v>
      </c>
      <c r="JV210" s="16">
        <v>2258</v>
      </c>
      <c r="JW210" s="16">
        <v>114414</v>
      </c>
      <c r="JX210" s="16">
        <v>150296</v>
      </c>
      <c r="JY210" s="16">
        <v>42782</v>
      </c>
      <c r="JZ210" s="16">
        <v>1049</v>
      </c>
      <c r="KA210" s="16">
        <v>568</v>
      </c>
      <c r="KB210" s="16">
        <v>291</v>
      </c>
      <c r="KC210" s="16">
        <v>161</v>
      </c>
      <c r="KD210" s="16">
        <v>27</v>
      </c>
      <c r="KE210" s="16">
        <v>5</v>
      </c>
      <c r="KF210" s="16">
        <v>975</v>
      </c>
      <c r="KG210" s="16">
        <v>4117</v>
      </c>
      <c r="KH210" s="16">
        <v>67295</v>
      </c>
      <c r="KI210" s="16">
        <v>22005</v>
      </c>
      <c r="KJ210" s="16">
        <v>61108</v>
      </c>
      <c r="KK210" s="16">
        <v>27519</v>
      </c>
      <c r="KL210" s="16">
        <v>14</v>
      </c>
      <c r="KM210" s="16">
        <v>162</v>
      </c>
      <c r="KN210" s="16">
        <v>9</v>
      </c>
      <c r="KO210" s="16">
        <v>70</v>
      </c>
      <c r="KP210" s="16">
        <v>17</v>
      </c>
      <c r="KQ210" s="16">
        <v>524</v>
      </c>
      <c r="KR210" s="16">
        <v>4614</v>
      </c>
      <c r="KS210" s="16">
        <v>0</v>
      </c>
      <c r="KT210" s="16">
        <v>724</v>
      </c>
      <c r="KU210" s="16">
        <v>169</v>
      </c>
      <c r="KV210" s="16">
        <v>7852</v>
      </c>
      <c r="KW210" s="16">
        <v>7436</v>
      </c>
      <c r="KX210" s="16">
        <v>207</v>
      </c>
      <c r="KY210" s="16">
        <v>38315</v>
      </c>
      <c r="KZ210" s="16">
        <v>39304</v>
      </c>
      <c r="LA210" s="16">
        <v>5776</v>
      </c>
      <c r="LB210" s="16">
        <v>59</v>
      </c>
      <c r="LC210" s="16">
        <v>223</v>
      </c>
      <c r="LD210" s="16">
        <v>345</v>
      </c>
      <c r="LE210" s="16">
        <v>2123</v>
      </c>
      <c r="LF210" s="16">
        <v>729</v>
      </c>
      <c r="LG210" s="16">
        <v>473</v>
      </c>
      <c r="LH210" s="16">
        <v>4250</v>
      </c>
      <c r="LI210" s="16">
        <v>55</v>
      </c>
      <c r="LJ210" s="16">
        <v>762</v>
      </c>
      <c r="LK210" s="16">
        <v>6335</v>
      </c>
      <c r="LL210" s="16">
        <v>2041</v>
      </c>
      <c r="LM210" s="16">
        <v>12749</v>
      </c>
      <c r="LN210" s="16">
        <v>45338</v>
      </c>
      <c r="LO210" s="16">
        <v>38</v>
      </c>
      <c r="LP210" s="16">
        <v>1759</v>
      </c>
      <c r="LQ210" s="16">
        <v>112</v>
      </c>
      <c r="LR210" s="16">
        <v>1727</v>
      </c>
      <c r="LS210" s="16">
        <v>176</v>
      </c>
      <c r="LT210" s="16">
        <v>4197</v>
      </c>
      <c r="LU210" s="16">
        <v>437</v>
      </c>
      <c r="LV210" s="16">
        <v>4</v>
      </c>
      <c r="LW210" s="16">
        <v>933</v>
      </c>
      <c r="LX210" s="16">
        <v>1090</v>
      </c>
      <c r="LY210" s="16">
        <v>0</v>
      </c>
      <c r="LZ210" s="16">
        <v>18027</v>
      </c>
      <c r="MA210" s="16">
        <v>11763</v>
      </c>
      <c r="MB210" s="16">
        <v>112862</v>
      </c>
      <c r="MC210" s="16">
        <v>4838</v>
      </c>
      <c r="MD210" s="16">
        <v>25510</v>
      </c>
      <c r="ME210" s="16">
        <v>981</v>
      </c>
      <c r="MF210" s="16">
        <v>85051</v>
      </c>
      <c r="MG210" s="16">
        <v>3793</v>
      </c>
      <c r="MH210" s="16">
        <v>56543</v>
      </c>
      <c r="MI210" s="16">
        <v>1136</v>
      </c>
      <c r="MJ210" s="16">
        <v>2116</v>
      </c>
      <c r="MK210" s="16">
        <v>9567</v>
      </c>
      <c r="ML210" s="16">
        <v>1577</v>
      </c>
      <c r="MM210" s="16">
        <v>3932</v>
      </c>
      <c r="MN210" s="16">
        <v>30119</v>
      </c>
      <c r="MO210" s="16">
        <v>9816</v>
      </c>
      <c r="MP210" s="16">
        <v>0</v>
      </c>
      <c r="MQ210" s="16">
        <v>9087</v>
      </c>
      <c r="MR210" s="16">
        <v>18923</v>
      </c>
      <c r="MS210" s="16">
        <v>5587</v>
      </c>
      <c r="MT210" s="16">
        <v>30</v>
      </c>
      <c r="MU210" s="16">
        <v>4022</v>
      </c>
      <c r="MV210" s="16">
        <v>1595</v>
      </c>
      <c r="MW210" s="16">
        <v>1283</v>
      </c>
      <c r="MX210" s="16">
        <v>96</v>
      </c>
      <c r="MY210" s="16">
        <v>135</v>
      </c>
      <c r="MZ210" s="16">
        <v>2554</v>
      </c>
      <c r="NA210" s="16">
        <v>1603</v>
      </c>
      <c r="NB210" s="16">
        <v>0</v>
      </c>
      <c r="NC210" s="16">
        <v>6259</v>
      </c>
      <c r="ND210" s="16">
        <v>876</v>
      </c>
      <c r="NE210" s="16">
        <v>56</v>
      </c>
      <c r="NF210" s="16">
        <v>1548</v>
      </c>
      <c r="NG210" s="16">
        <v>850</v>
      </c>
      <c r="NH210" s="16">
        <v>316</v>
      </c>
      <c r="NI210" s="16">
        <v>214</v>
      </c>
      <c r="NJ210" s="16">
        <v>1753</v>
      </c>
      <c r="NK210" s="16">
        <v>989</v>
      </c>
      <c r="NL210" s="16">
        <v>2145</v>
      </c>
      <c r="NM210" s="16">
        <v>1657</v>
      </c>
      <c r="NN210" s="16">
        <v>113</v>
      </c>
      <c r="NO210" s="16">
        <v>0</v>
      </c>
      <c r="NP210" s="16">
        <v>128</v>
      </c>
      <c r="NQ210" s="16">
        <v>1032</v>
      </c>
      <c r="NR210" s="17">
        <v>5292758</v>
      </c>
    </row>
    <row r="211" spans="1:382" ht="13.5" customHeight="1" x14ac:dyDescent="0.2">
      <c r="A211" s="2" t="s">
        <v>429</v>
      </c>
      <c r="B211" s="16">
        <v>0</v>
      </c>
      <c r="C211" s="16">
        <v>0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662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142</v>
      </c>
      <c r="Y211" s="16">
        <v>0</v>
      </c>
      <c r="Z211" s="16">
        <v>8</v>
      </c>
      <c r="AA211" s="16">
        <v>24</v>
      </c>
      <c r="AB211" s="16">
        <v>0</v>
      </c>
      <c r="AC211" s="16">
        <v>0</v>
      </c>
      <c r="AD211" s="16">
        <v>0</v>
      </c>
      <c r="AE211" s="16">
        <v>68</v>
      </c>
      <c r="AF211" s="16">
        <v>0</v>
      </c>
      <c r="AG211" s="16">
        <v>0</v>
      </c>
      <c r="AH211" s="16">
        <v>769</v>
      </c>
      <c r="AI211" s="16">
        <v>206</v>
      </c>
      <c r="AJ211" s="16">
        <v>0</v>
      </c>
      <c r="AK211" s="16">
        <v>120</v>
      </c>
      <c r="AL211" s="16">
        <v>8</v>
      </c>
      <c r="AM211" s="16">
        <v>0</v>
      </c>
      <c r="AN211" s="16">
        <v>500</v>
      </c>
      <c r="AO211" s="16">
        <v>0</v>
      </c>
      <c r="AP211" s="16">
        <v>0</v>
      </c>
      <c r="AQ211" s="16">
        <v>0</v>
      </c>
      <c r="AR211" s="16">
        <v>0</v>
      </c>
      <c r="AS211" s="16">
        <v>0</v>
      </c>
      <c r="AT211" s="16">
        <v>0</v>
      </c>
      <c r="AU211" s="16">
        <v>98</v>
      </c>
      <c r="AV211" s="16">
        <v>0</v>
      </c>
      <c r="AW211" s="16">
        <v>1846</v>
      </c>
      <c r="AX211" s="16">
        <v>0</v>
      </c>
      <c r="AY211" s="16">
        <v>55</v>
      </c>
      <c r="AZ211" s="16">
        <v>334</v>
      </c>
      <c r="BA211" s="16">
        <v>1084</v>
      </c>
      <c r="BB211" s="16">
        <v>1682</v>
      </c>
      <c r="BC211" s="16">
        <v>8</v>
      </c>
      <c r="BD211" s="16">
        <v>0</v>
      </c>
      <c r="BE211" s="16">
        <v>0</v>
      </c>
      <c r="BF211" s="16">
        <v>0</v>
      </c>
      <c r="BG211" s="16">
        <v>11</v>
      </c>
      <c r="BH211" s="16">
        <v>975</v>
      </c>
      <c r="BI211" s="16">
        <v>0</v>
      </c>
      <c r="BJ211" s="16">
        <v>140</v>
      </c>
      <c r="BK211" s="16">
        <v>0</v>
      </c>
      <c r="BL211" s="16">
        <v>936</v>
      </c>
      <c r="BM211" s="16">
        <v>13</v>
      </c>
      <c r="BN211" s="16">
        <v>197</v>
      </c>
      <c r="BO211" s="16">
        <v>2604</v>
      </c>
      <c r="BP211" s="16">
        <v>64</v>
      </c>
      <c r="BQ211" s="16">
        <v>55</v>
      </c>
      <c r="BR211" s="16">
        <v>9</v>
      </c>
      <c r="BS211" s="16">
        <v>596</v>
      </c>
      <c r="BT211" s="16">
        <v>135</v>
      </c>
      <c r="BU211" s="16">
        <v>0</v>
      </c>
      <c r="BV211" s="16">
        <v>0</v>
      </c>
      <c r="BW211" s="16">
        <v>0</v>
      </c>
      <c r="BX211" s="16">
        <v>0</v>
      </c>
      <c r="BY211" s="16">
        <v>0</v>
      </c>
      <c r="BZ211" s="16">
        <v>0</v>
      </c>
      <c r="CA211" s="16">
        <v>147</v>
      </c>
      <c r="CB211" s="16">
        <v>0</v>
      </c>
      <c r="CC211" s="16">
        <v>0</v>
      </c>
      <c r="CD211" s="16">
        <v>0</v>
      </c>
      <c r="CE211" s="16">
        <v>142</v>
      </c>
      <c r="CF211" s="16">
        <v>1694</v>
      </c>
      <c r="CG211" s="16">
        <v>0</v>
      </c>
      <c r="CH211" s="16">
        <v>0</v>
      </c>
      <c r="CI211" s="16">
        <v>66</v>
      </c>
      <c r="CJ211" s="16">
        <v>2454</v>
      </c>
      <c r="CK211" s="16">
        <v>964</v>
      </c>
      <c r="CL211" s="16">
        <v>28</v>
      </c>
      <c r="CM211" s="16">
        <v>113</v>
      </c>
      <c r="CN211" s="16">
        <v>21</v>
      </c>
      <c r="CO211" s="16">
        <v>9</v>
      </c>
      <c r="CP211" s="16">
        <v>313</v>
      </c>
      <c r="CQ211" s="16">
        <v>3954</v>
      </c>
      <c r="CR211" s="16">
        <v>1257</v>
      </c>
      <c r="CS211" s="16">
        <v>388</v>
      </c>
      <c r="CT211" s="16">
        <v>2075</v>
      </c>
      <c r="CU211" s="16">
        <v>942</v>
      </c>
      <c r="CV211" s="16">
        <v>3442</v>
      </c>
      <c r="CW211" s="16">
        <v>12098</v>
      </c>
      <c r="CX211" s="16">
        <v>6467</v>
      </c>
      <c r="CY211" s="16">
        <v>1395</v>
      </c>
      <c r="CZ211" s="16">
        <v>0</v>
      </c>
      <c r="DA211" s="16">
        <v>0</v>
      </c>
      <c r="DB211" s="16">
        <v>6392</v>
      </c>
      <c r="DC211" s="16">
        <v>0</v>
      </c>
      <c r="DD211" s="16">
        <v>0</v>
      </c>
      <c r="DE211" s="16">
        <v>4024</v>
      </c>
      <c r="DF211" s="16">
        <v>1185</v>
      </c>
      <c r="DG211" s="16">
        <v>796</v>
      </c>
      <c r="DH211" s="16">
        <v>1805</v>
      </c>
      <c r="DI211" s="16">
        <v>208</v>
      </c>
      <c r="DJ211" s="16">
        <v>5850</v>
      </c>
      <c r="DK211" s="16">
        <v>313</v>
      </c>
      <c r="DL211" s="16">
        <v>2837</v>
      </c>
      <c r="DM211" s="16">
        <v>205</v>
      </c>
      <c r="DN211" s="16">
        <v>1132</v>
      </c>
      <c r="DO211" s="16">
        <v>187</v>
      </c>
      <c r="DP211" s="16">
        <v>506</v>
      </c>
      <c r="DQ211" s="16">
        <v>103</v>
      </c>
      <c r="DR211" s="16">
        <v>0</v>
      </c>
      <c r="DS211" s="16">
        <v>2344</v>
      </c>
      <c r="DT211" s="16">
        <v>201</v>
      </c>
      <c r="DU211" s="16">
        <v>144</v>
      </c>
      <c r="DV211" s="16">
        <v>21</v>
      </c>
      <c r="DW211" s="16">
        <v>2042</v>
      </c>
      <c r="DX211" s="16">
        <v>1671</v>
      </c>
      <c r="DY211" s="16">
        <v>3763</v>
      </c>
      <c r="DZ211" s="16">
        <v>5706</v>
      </c>
      <c r="EA211" s="16">
        <v>4094</v>
      </c>
      <c r="EB211" s="16">
        <v>134</v>
      </c>
      <c r="EC211" s="16">
        <v>506</v>
      </c>
      <c r="ED211" s="16">
        <v>208</v>
      </c>
      <c r="EE211" s="16">
        <v>15</v>
      </c>
      <c r="EF211" s="16">
        <v>254</v>
      </c>
      <c r="EG211" s="16">
        <v>882</v>
      </c>
      <c r="EH211" s="16">
        <v>141</v>
      </c>
      <c r="EI211" s="16">
        <v>0</v>
      </c>
      <c r="EJ211" s="16">
        <v>1785</v>
      </c>
      <c r="EK211" s="16">
        <v>93</v>
      </c>
      <c r="EL211" s="16">
        <v>29</v>
      </c>
      <c r="EM211" s="16">
        <v>1102</v>
      </c>
      <c r="EN211" s="16">
        <v>6249</v>
      </c>
      <c r="EO211" s="16">
        <v>2361</v>
      </c>
      <c r="EP211" s="16">
        <v>196</v>
      </c>
      <c r="EQ211" s="16">
        <v>824</v>
      </c>
      <c r="ER211" s="16">
        <v>10</v>
      </c>
      <c r="ES211" s="16">
        <v>51</v>
      </c>
      <c r="ET211" s="16">
        <v>969</v>
      </c>
      <c r="EU211" s="16">
        <v>799</v>
      </c>
      <c r="EV211" s="16">
        <v>38</v>
      </c>
      <c r="EW211" s="16">
        <v>392</v>
      </c>
      <c r="EX211" s="16">
        <v>15667</v>
      </c>
      <c r="EY211" s="16">
        <v>2048</v>
      </c>
      <c r="EZ211" s="16">
        <v>15</v>
      </c>
      <c r="FA211" s="16">
        <v>549</v>
      </c>
      <c r="FB211" s="16">
        <v>9</v>
      </c>
      <c r="FC211" s="16">
        <v>71</v>
      </c>
      <c r="FD211" s="16">
        <v>5188</v>
      </c>
      <c r="FE211" s="16">
        <v>1102</v>
      </c>
      <c r="FF211" s="16">
        <v>586</v>
      </c>
      <c r="FG211" s="16">
        <v>2342</v>
      </c>
      <c r="FH211" s="16">
        <v>361</v>
      </c>
      <c r="FI211" s="16">
        <v>30</v>
      </c>
      <c r="FJ211" s="16">
        <v>203</v>
      </c>
      <c r="FK211" s="16">
        <v>201</v>
      </c>
      <c r="FL211" s="16">
        <v>121</v>
      </c>
      <c r="FM211" s="16">
        <v>1692</v>
      </c>
      <c r="FN211" s="16">
        <v>547</v>
      </c>
      <c r="FO211" s="16">
        <v>2785</v>
      </c>
      <c r="FP211" s="16">
        <v>579</v>
      </c>
      <c r="FQ211" s="16">
        <v>12140</v>
      </c>
      <c r="FR211" s="16">
        <v>18494</v>
      </c>
      <c r="FS211" s="16">
        <v>8812</v>
      </c>
      <c r="FT211" s="16">
        <v>78613</v>
      </c>
      <c r="FU211" s="16">
        <v>2501</v>
      </c>
      <c r="FV211" s="16">
        <v>27768</v>
      </c>
      <c r="FW211" s="16">
        <v>236</v>
      </c>
      <c r="FX211" s="16">
        <v>29835</v>
      </c>
      <c r="FY211" s="16">
        <v>541</v>
      </c>
      <c r="FZ211" s="16">
        <v>1686</v>
      </c>
      <c r="GA211" s="16">
        <v>350</v>
      </c>
      <c r="GB211" s="16">
        <v>1199</v>
      </c>
      <c r="GC211" s="16">
        <v>1847</v>
      </c>
      <c r="GD211" s="16">
        <v>16973</v>
      </c>
      <c r="GE211" s="16">
        <v>11042</v>
      </c>
      <c r="GF211" s="16">
        <v>243378</v>
      </c>
      <c r="GG211" s="16">
        <v>44731</v>
      </c>
      <c r="GH211" s="16">
        <v>87915</v>
      </c>
      <c r="GI211" s="16">
        <v>32210</v>
      </c>
      <c r="GJ211" s="16">
        <v>113203</v>
      </c>
      <c r="GK211" s="16">
        <v>34242</v>
      </c>
      <c r="GL211" s="16">
        <v>6066</v>
      </c>
      <c r="GM211" s="16">
        <v>27663</v>
      </c>
      <c r="GN211" s="16">
        <v>33563</v>
      </c>
      <c r="GO211" s="16">
        <v>17515</v>
      </c>
      <c r="GP211" s="16">
        <v>196590</v>
      </c>
      <c r="GQ211" s="16">
        <v>45395</v>
      </c>
      <c r="GR211" s="16">
        <v>8314</v>
      </c>
      <c r="GS211" s="16">
        <v>6392</v>
      </c>
      <c r="GT211" s="16">
        <v>11465</v>
      </c>
      <c r="GU211" s="16">
        <v>39462</v>
      </c>
      <c r="GV211" s="16">
        <v>140454</v>
      </c>
      <c r="GW211" s="16">
        <v>77853</v>
      </c>
      <c r="GX211" s="16">
        <v>2822</v>
      </c>
      <c r="GY211" s="16">
        <v>42</v>
      </c>
      <c r="GZ211" s="16">
        <v>107016</v>
      </c>
      <c r="HA211" s="16">
        <v>38852</v>
      </c>
      <c r="HB211" s="16">
        <v>470939</v>
      </c>
      <c r="HC211" s="16">
        <v>1962034</v>
      </c>
      <c r="HD211" s="16">
        <v>587239</v>
      </c>
      <c r="HE211" s="16">
        <v>62622</v>
      </c>
      <c r="HF211" s="16">
        <v>43279</v>
      </c>
      <c r="HG211" s="16">
        <v>62622</v>
      </c>
      <c r="HH211" s="16">
        <v>61230</v>
      </c>
      <c r="HI211" s="16">
        <v>134706</v>
      </c>
      <c r="HJ211" s="16">
        <v>29906</v>
      </c>
      <c r="HK211" s="16">
        <v>135127</v>
      </c>
      <c r="HL211" s="16">
        <v>1025249</v>
      </c>
      <c r="HM211" s="16">
        <v>8748</v>
      </c>
      <c r="HN211" s="16">
        <v>53254</v>
      </c>
      <c r="HO211" s="16">
        <v>11075</v>
      </c>
      <c r="HP211" s="16">
        <v>199</v>
      </c>
      <c r="HQ211" s="16">
        <v>250739</v>
      </c>
      <c r="HR211" s="16">
        <v>116623</v>
      </c>
      <c r="HS211" s="16">
        <v>42363</v>
      </c>
      <c r="HT211" s="16">
        <v>22240</v>
      </c>
      <c r="HU211" s="16">
        <v>13990</v>
      </c>
      <c r="HV211" s="16">
        <v>6847</v>
      </c>
      <c r="HW211" s="16">
        <v>13029</v>
      </c>
      <c r="HX211" s="16">
        <v>133514</v>
      </c>
      <c r="HY211" s="16">
        <v>7971</v>
      </c>
      <c r="HZ211" s="16">
        <v>223345</v>
      </c>
      <c r="IA211" s="16">
        <v>70513</v>
      </c>
      <c r="IB211" s="16">
        <v>33507</v>
      </c>
      <c r="IC211" s="16">
        <v>4520</v>
      </c>
      <c r="ID211" s="16">
        <v>19157</v>
      </c>
      <c r="IE211" s="16">
        <v>1248</v>
      </c>
      <c r="IF211" s="16">
        <v>6999</v>
      </c>
      <c r="IG211" s="16">
        <v>199913</v>
      </c>
      <c r="IH211" s="16">
        <v>74987</v>
      </c>
      <c r="II211" s="16">
        <v>7582</v>
      </c>
      <c r="IJ211" s="16">
        <v>3138</v>
      </c>
      <c r="IK211" s="16">
        <v>13804</v>
      </c>
      <c r="IL211" s="16">
        <v>3722</v>
      </c>
      <c r="IM211" s="16">
        <v>132</v>
      </c>
      <c r="IN211" s="16">
        <v>5317</v>
      </c>
      <c r="IO211" s="16">
        <v>351376</v>
      </c>
      <c r="IP211" s="16">
        <v>122064</v>
      </c>
      <c r="IQ211" s="16">
        <v>9320</v>
      </c>
      <c r="IR211" s="16">
        <v>3634</v>
      </c>
      <c r="IS211" s="16">
        <v>20323</v>
      </c>
      <c r="IT211" s="16">
        <v>14985</v>
      </c>
      <c r="IU211" s="16">
        <v>29</v>
      </c>
      <c r="IV211" s="16">
        <v>25186</v>
      </c>
      <c r="IW211" s="16">
        <v>8316</v>
      </c>
      <c r="IX211" s="16">
        <v>384</v>
      </c>
      <c r="IY211" s="16">
        <v>67</v>
      </c>
      <c r="IZ211" s="16">
        <v>194</v>
      </c>
      <c r="JA211" s="16">
        <v>707</v>
      </c>
      <c r="JB211" s="16">
        <v>257</v>
      </c>
      <c r="JC211" s="16">
        <v>188</v>
      </c>
      <c r="JD211" s="16">
        <v>143</v>
      </c>
      <c r="JE211" s="16">
        <v>4717</v>
      </c>
      <c r="JF211" s="16">
        <v>5310</v>
      </c>
      <c r="JG211" s="16">
        <v>51314</v>
      </c>
      <c r="JH211" s="16">
        <v>8198</v>
      </c>
      <c r="JI211" s="16">
        <v>0</v>
      </c>
      <c r="JJ211" s="16">
        <v>66129</v>
      </c>
      <c r="JK211" s="16">
        <v>23883</v>
      </c>
      <c r="JL211" s="16">
        <v>1474</v>
      </c>
      <c r="JM211" s="16">
        <v>22422</v>
      </c>
      <c r="JN211" s="16">
        <v>170112</v>
      </c>
      <c r="JO211" s="16">
        <v>0</v>
      </c>
      <c r="JP211" s="16">
        <v>0</v>
      </c>
      <c r="JQ211" s="16">
        <v>2312</v>
      </c>
      <c r="JR211" s="16">
        <v>143135</v>
      </c>
      <c r="JS211" s="16">
        <v>6175</v>
      </c>
      <c r="JT211" s="16">
        <v>0</v>
      </c>
      <c r="JU211" s="16">
        <v>0</v>
      </c>
      <c r="JV211" s="16">
        <v>34745</v>
      </c>
      <c r="JW211" s="16">
        <v>691307</v>
      </c>
      <c r="JX211" s="16">
        <v>576923</v>
      </c>
      <c r="JY211" s="16">
        <v>167076</v>
      </c>
      <c r="JZ211" s="16">
        <v>16145</v>
      </c>
      <c r="KA211" s="16">
        <v>3773</v>
      </c>
      <c r="KB211" s="16">
        <v>905</v>
      </c>
      <c r="KC211" s="16">
        <v>2709</v>
      </c>
      <c r="KD211" s="16">
        <v>7792</v>
      </c>
      <c r="KE211" s="16">
        <v>1104</v>
      </c>
      <c r="KF211" s="16">
        <v>32289</v>
      </c>
      <c r="KG211" s="16">
        <v>7979</v>
      </c>
      <c r="KH211" s="16">
        <v>182262</v>
      </c>
      <c r="KI211" s="16">
        <v>127310</v>
      </c>
      <c r="KJ211" s="16">
        <v>141757</v>
      </c>
      <c r="KK211" s="16">
        <v>43240</v>
      </c>
      <c r="KL211" s="16">
        <v>155</v>
      </c>
      <c r="KM211" s="16">
        <v>186</v>
      </c>
      <c r="KN211" s="16">
        <v>22</v>
      </c>
      <c r="KO211" s="16">
        <v>1078</v>
      </c>
      <c r="KP211" s="16">
        <v>4</v>
      </c>
      <c r="KQ211" s="16">
        <v>1914</v>
      </c>
      <c r="KR211" s="16">
        <v>5420</v>
      </c>
      <c r="KS211" s="16">
        <v>4166</v>
      </c>
      <c r="KT211" s="16">
        <v>512</v>
      </c>
      <c r="KU211" s="16">
        <v>2244</v>
      </c>
      <c r="KV211" s="16">
        <v>6011</v>
      </c>
      <c r="KW211" s="16">
        <v>2677</v>
      </c>
      <c r="KX211" s="16">
        <v>9</v>
      </c>
      <c r="KY211" s="16">
        <v>4964</v>
      </c>
      <c r="KZ211" s="16">
        <v>19534</v>
      </c>
      <c r="LA211" s="16">
        <v>6203</v>
      </c>
      <c r="LB211" s="16">
        <v>2313</v>
      </c>
      <c r="LC211" s="16">
        <v>4319</v>
      </c>
      <c r="LD211" s="16">
        <v>12397</v>
      </c>
      <c r="LE211" s="16">
        <v>31839</v>
      </c>
      <c r="LF211" s="16">
        <v>10263</v>
      </c>
      <c r="LG211" s="16">
        <v>2550</v>
      </c>
      <c r="LH211" s="16">
        <v>7477</v>
      </c>
      <c r="LI211" s="16">
        <v>17</v>
      </c>
      <c r="LJ211" s="16">
        <v>1709</v>
      </c>
      <c r="LK211" s="16">
        <v>5485</v>
      </c>
      <c r="LL211" s="16">
        <v>2720</v>
      </c>
      <c r="LM211" s="16">
        <v>30919</v>
      </c>
      <c r="LN211" s="16">
        <v>4350</v>
      </c>
      <c r="LO211" s="16">
        <v>140</v>
      </c>
      <c r="LP211" s="16">
        <v>4327</v>
      </c>
      <c r="LQ211" s="16">
        <v>7940</v>
      </c>
      <c r="LR211" s="16">
        <v>3249</v>
      </c>
      <c r="LS211" s="16">
        <v>2044</v>
      </c>
      <c r="LT211" s="16">
        <v>1882</v>
      </c>
      <c r="LU211" s="16">
        <v>925</v>
      </c>
      <c r="LV211" s="16">
        <v>48</v>
      </c>
      <c r="LW211" s="16">
        <v>566</v>
      </c>
      <c r="LX211" s="16">
        <v>2337</v>
      </c>
      <c r="LY211" s="16">
        <v>0</v>
      </c>
      <c r="LZ211" s="16">
        <v>2379</v>
      </c>
      <c r="MA211" s="16">
        <v>10048</v>
      </c>
      <c r="MB211" s="16">
        <v>3611</v>
      </c>
      <c r="MC211" s="16">
        <v>3235</v>
      </c>
      <c r="MD211" s="16">
        <v>2054</v>
      </c>
      <c r="ME211" s="16">
        <v>3179</v>
      </c>
      <c r="MF211" s="16">
        <v>36681</v>
      </c>
      <c r="MG211" s="16">
        <v>3498</v>
      </c>
      <c r="MH211" s="16">
        <v>41609</v>
      </c>
      <c r="MI211" s="16">
        <v>4647</v>
      </c>
      <c r="MJ211" s="16">
        <v>1310</v>
      </c>
      <c r="MK211" s="16">
        <v>7800</v>
      </c>
      <c r="ML211" s="16">
        <v>1992</v>
      </c>
      <c r="MM211" s="16">
        <v>36678</v>
      </c>
      <c r="MN211" s="16">
        <v>20957</v>
      </c>
      <c r="MO211" s="16">
        <v>55077</v>
      </c>
      <c r="MP211" s="16">
        <v>2674</v>
      </c>
      <c r="MQ211" s="16">
        <v>41268</v>
      </c>
      <c r="MR211" s="16">
        <v>1889</v>
      </c>
      <c r="MS211" s="16">
        <v>4408</v>
      </c>
      <c r="MT211" s="16">
        <v>36</v>
      </c>
      <c r="MU211" s="16">
        <v>2959</v>
      </c>
      <c r="MV211" s="16">
        <v>6739</v>
      </c>
      <c r="MW211" s="16">
        <v>9381</v>
      </c>
      <c r="MX211" s="16">
        <v>127</v>
      </c>
      <c r="MY211" s="16">
        <v>22</v>
      </c>
      <c r="MZ211" s="16">
        <v>1423</v>
      </c>
      <c r="NA211" s="16">
        <v>267</v>
      </c>
      <c r="NB211" s="16">
        <v>8455</v>
      </c>
      <c r="NC211" s="16">
        <v>279</v>
      </c>
      <c r="ND211" s="16">
        <v>1414</v>
      </c>
      <c r="NE211" s="16">
        <v>812</v>
      </c>
      <c r="NF211" s="16">
        <v>1885</v>
      </c>
      <c r="NG211" s="16">
        <v>4178</v>
      </c>
      <c r="NH211" s="16">
        <v>753</v>
      </c>
      <c r="NI211" s="16">
        <v>1992</v>
      </c>
      <c r="NJ211" s="16">
        <v>2148</v>
      </c>
      <c r="NK211" s="16">
        <v>3132</v>
      </c>
      <c r="NL211" s="16">
        <v>4551</v>
      </c>
      <c r="NM211" s="16">
        <v>1622</v>
      </c>
      <c r="NN211" s="16">
        <v>2038</v>
      </c>
      <c r="NO211" s="16">
        <v>0</v>
      </c>
      <c r="NP211" s="16">
        <v>1517</v>
      </c>
      <c r="NQ211" s="16">
        <v>348</v>
      </c>
      <c r="NR211" s="17">
        <v>11234247</v>
      </c>
    </row>
    <row r="212" spans="1:382" ht="13.5" customHeight="1" x14ac:dyDescent="0.2">
      <c r="A212" s="2" t="s">
        <v>431</v>
      </c>
      <c r="B212" s="16">
        <v>0</v>
      </c>
      <c r="C212" s="16">
        <v>0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1703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483</v>
      </c>
      <c r="Y212" s="16">
        <v>0</v>
      </c>
      <c r="Z212" s="16">
        <v>28</v>
      </c>
      <c r="AA212" s="16">
        <v>82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777</v>
      </c>
      <c r="BK212" s="16">
        <v>0</v>
      </c>
      <c r="BL212" s="16">
        <v>1095</v>
      </c>
      <c r="BM212" s="16">
        <v>0</v>
      </c>
      <c r="BN212" s="16">
        <v>766</v>
      </c>
      <c r="BO212" s="16">
        <v>1269</v>
      </c>
      <c r="BP212" s="16">
        <v>98</v>
      </c>
      <c r="BQ212" s="16">
        <v>0</v>
      </c>
      <c r="BR212" s="16">
        <v>0</v>
      </c>
      <c r="BS212" s="16">
        <v>1117</v>
      </c>
      <c r="BT212" s="16">
        <v>326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289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6535</v>
      </c>
      <c r="CK212" s="16">
        <v>3366</v>
      </c>
      <c r="CL212" s="16">
        <v>279</v>
      </c>
      <c r="CM212" s="16">
        <v>0</v>
      </c>
      <c r="CN212" s="16">
        <v>0</v>
      </c>
      <c r="CO212" s="16">
        <v>0</v>
      </c>
      <c r="CP212" s="16">
        <v>778</v>
      </c>
      <c r="CQ212" s="16">
        <v>8507</v>
      </c>
      <c r="CR212" s="16">
        <v>2139</v>
      </c>
      <c r="CS212" s="16">
        <v>2974</v>
      </c>
      <c r="CT212" s="16">
        <v>3784</v>
      </c>
      <c r="CU212" s="16">
        <v>6409</v>
      </c>
      <c r="CV212" s="16">
        <v>7318</v>
      </c>
      <c r="CW212" s="16">
        <v>25178</v>
      </c>
      <c r="CX212" s="16">
        <v>20135</v>
      </c>
      <c r="CY212" s="16">
        <v>1504</v>
      </c>
      <c r="CZ212" s="16">
        <v>3590</v>
      </c>
      <c r="DA212" s="16">
        <v>0</v>
      </c>
      <c r="DB212" s="16">
        <v>5084</v>
      </c>
      <c r="DC212" s="16">
        <v>0</v>
      </c>
      <c r="DD212" s="16">
        <v>0</v>
      </c>
      <c r="DE212" s="16">
        <v>3079</v>
      </c>
      <c r="DF212" s="16">
        <v>3822</v>
      </c>
      <c r="DG212" s="16">
        <v>7893</v>
      </c>
      <c r="DH212" s="16">
        <v>0</v>
      </c>
      <c r="DI212" s="16">
        <v>737</v>
      </c>
      <c r="DJ212" s="16">
        <v>5037</v>
      </c>
      <c r="DK212" s="16">
        <v>951</v>
      </c>
      <c r="DL212" s="16">
        <v>6478</v>
      </c>
      <c r="DM212" s="16">
        <v>0</v>
      </c>
      <c r="DN212" s="16">
        <v>510</v>
      </c>
      <c r="DO212" s="16">
        <v>0</v>
      </c>
      <c r="DP212" s="16">
        <v>1113</v>
      </c>
      <c r="DQ212" s="16">
        <v>261</v>
      </c>
      <c r="DR212" s="16">
        <v>0</v>
      </c>
      <c r="DS212" s="16">
        <v>4794</v>
      </c>
      <c r="DT212" s="16">
        <v>480</v>
      </c>
      <c r="DU212" s="16">
        <v>0</v>
      </c>
      <c r="DV212" s="16">
        <v>53</v>
      </c>
      <c r="DW212" s="16">
        <v>5204</v>
      </c>
      <c r="DX212" s="16">
        <v>2283</v>
      </c>
      <c r="DY212" s="16">
        <v>7175</v>
      </c>
      <c r="DZ212" s="16">
        <v>12168</v>
      </c>
      <c r="EA212" s="16">
        <v>4892</v>
      </c>
      <c r="EB212" s="16">
        <v>25</v>
      </c>
      <c r="EC212" s="16">
        <v>539</v>
      </c>
      <c r="ED212" s="16">
        <v>421</v>
      </c>
      <c r="EE212" s="16">
        <v>59</v>
      </c>
      <c r="EF212" s="16">
        <v>192</v>
      </c>
      <c r="EG212" s="16">
        <v>3548</v>
      </c>
      <c r="EH212" s="16">
        <v>481</v>
      </c>
      <c r="EI212" s="16">
        <v>0</v>
      </c>
      <c r="EJ212" s="16">
        <v>0</v>
      </c>
      <c r="EK212" s="16">
        <v>157</v>
      </c>
      <c r="EL212" s="16">
        <v>0</v>
      </c>
      <c r="EM212" s="16">
        <v>3787</v>
      </c>
      <c r="EN212" s="16">
        <v>22406</v>
      </c>
      <c r="EO212" s="16">
        <v>5748</v>
      </c>
      <c r="EP212" s="16">
        <v>731</v>
      </c>
      <c r="EQ212" s="16">
        <v>4001</v>
      </c>
      <c r="ER212" s="16">
        <v>0</v>
      </c>
      <c r="ES212" s="16">
        <v>0</v>
      </c>
      <c r="ET212" s="16">
        <v>5388</v>
      </c>
      <c r="EU212" s="16">
        <v>1788</v>
      </c>
      <c r="EV212" s="16">
        <v>4760</v>
      </c>
      <c r="EW212" s="16">
        <v>506</v>
      </c>
      <c r="EX212" s="16">
        <v>10425</v>
      </c>
      <c r="EY212" s="16">
        <v>2039</v>
      </c>
      <c r="EZ212" s="16">
        <v>211</v>
      </c>
      <c r="FA212" s="16">
        <v>670</v>
      </c>
      <c r="FB212" s="16">
        <v>8423</v>
      </c>
      <c r="FC212" s="16">
        <v>815</v>
      </c>
      <c r="FD212" s="16">
        <v>303</v>
      </c>
      <c r="FE212" s="16">
        <v>2038</v>
      </c>
      <c r="FF212" s="16">
        <v>5162</v>
      </c>
      <c r="FG212" s="16">
        <v>13642</v>
      </c>
      <c r="FH212" s="16">
        <v>791</v>
      </c>
      <c r="FI212" s="16">
        <v>0</v>
      </c>
      <c r="FJ212" s="16">
        <v>295</v>
      </c>
      <c r="FK212" s="16">
        <v>270</v>
      </c>
      <c r="FL212" s="16">
        <v>0</v>
      </c>
      <c r="FM212" s="16">
        <v>5690</v>
      </c>
      <c r="FN212" s="16">
        <v>2561</v>
      </c>
      <c r="FO212" s="16">
        <v>7298</v>
      </c>
      <c r="FP212" s="16">
        <v>2267</v>
      </c>
      <c r="FQ212" s="16">
        <v>92673</v>
      </c>
      <c r="FR212" s="16">
        <v>43215</v>
      </c>
      <c r="FS212" s="16">
        <v>11318</v>
      </c>
      <c r="FT212" s="16">
        <v>59668</v>
      </c>
      <c r="FU212" s="16">
        <v>8718</v>
      </c>
      <c r="FV212" s="16">
        <v>18802</v>
      </c>
      <c r="FW212" s="16">
        <v>340</v>
      </c>
      <c r="FX212" s="16">
        <v>21869</v>
      </c>
      <c r="FY212" s="16">
        <v>2060</v>
      </c>
      <c r="FZ212" s="16">
        <v>3060</v>
      </c>
      <c r="GA212" s="16">
        <v>389</v>
      </c>
      <c r="GB212" s="16">
        <v>3409</v>
      </c>
      <c r="GC212" s="16">
        <v>3650</v>
      </c>
      <c r="GD212" s="16">
        <v>22368</v>
      </c>
      <c r="GE212" s="16">
        <v>11289</v>
      </c>
      <c r="GF212" s="16">
        <v>161611</v>
      </c>
      <c r="GG212" s="16">
        <v>5355</v>
      </c>
      <c r="GH212" s="16">
        <v>41058</v>
      </c>
      <c r="GI212" s="16">
        <v>4993</v>
      </c>
      <c r="GJ212" s="16">
        <v>46609</v>
      </c>
      <c r="GK212" s="16">
        <v>25486</v>
      </c>
      <c r="GL212" s="16">
        <v>102</v>
      </c>
      <c r="GM212" s="16">
        <v>3739</v>
      </c>
      <c r="GN212" s="16">
        <v>3912</v>
      </c>
      <c r="GO212" s="16">
        <v>5457</v>
      </c>
      <c r="GP212" s="16">
        <v>1715</v>
      </c>
      <c r="GQ212" s="16">
        <v>345</v>
      </c>
      <c r="GR212" s="16">
        <v>1472</v>
      </c>
      <c r="GS212" s="16">
        <v>1958</v>
      </c>
      <c r="GT212" s="16">
        <v>2100</v>
      </c>
      <c r="GU212" s="16">
        <v>17624</v>
      </c>
      <c r="GV212" s="16">
        <v>43596</v>
      </c>
      <c r="GW212" s="16">
        <v>168625</v>
      </c>
      <c r="GX212" s="16">
        <v>490</v>
      </c>
      <c r="GY212" s="16">
        <v>0</v>
      </c>
      <c r="GZ212" s="16">
        <v>59892</v>
      </c>
      <c r="HA212" s="16">
        <v>76364</v>
      </c>
      <c r="HB212" s="16">
        <v>68619</v>
      </c>
      <c r="HC212" s="16">
        <v>240291</v>
      </c>
      <c r="HD212" s="16">
        <v>2063151</v>
      </c>
      <c r="HE212" s="16">
        <v>88591</v>
      </c>
      <c r="HF212" s="16">
        <v>54637</v>
      </c>
      <c r="HG212" s="16">
        <v>23039</v>
      </c>
      <c r="HH212" s="16">
        <v>18005</v>
      </c>
      <c r="HI212" s="16">
        <v>25495</v>
      </c>
      <c r="HJ212" s="16">
        <v>32381</v>
      </c>
      <c r="HK212" s="16">
        <v>32591</v>
      </c>
      <c r="HL212" s="16">
        <v>164767</v>
      </c>
      <c r="HM212" s="16">
        <v>14150</v>
      </c>
      <c r="HN212" s="16">
        <v>56462</v>
      </c>
      <c r="HO212" s="16">
        <v>685</v>
      </c>
      <c r="HP212" s="16">
        <v>0</v>
      </c>
      <c r="HQ212" s="16">
        <v>188650</v>
      </c>
      <c r="HR212" s="16">
        <v>36921</v>
      </c>
      <c r="HS212" s="16">
        <v>72790</v>
      </c>
      <c r="HT212" s="16">
        <v>4470</v>
      </c>
      <c r="HU212" s="16">
        <v>6651</v>
      </c>
      <c r="HV212" s="16">
        <v>28061</v>
      </c>
      <c r="HW212" s="16">
        <v>10181</v>
      </c>
      <c r="HX212" s="16">
        <v>78295</v>
      </c>
      <c r="HY212" s="16">
        <v>9726</v>
      </c>
      <c r="HZ212" s="16">
        <v>134149</v>
      </c>
      <c r="IA212" s="16">
        <v>32716</v>
      </c>
      <c r="IB212" s="16">
        <v>7128</v>
      </c>
      <c r="IC212" s="16">
        <v>3472</v>
      </c>
      <c r="ID212" s="16">
        <v>6042</v>
      </c>
      <c r="IE212" s="16">
        <v>1603</v>
      </c>
      <c r="IF212" s="16">
        <v>4095</v>
      </c>
      <c r="IG212" s="16">
        <v>93634</v>
      </c>
      <c r="IH212" s="16">
        <v>27455</v>
      </c>
      <c r="II212" s="16">
        <v>16519</v>
      </c>
      <c r="IJ212" s="16">
        <v>4834</v>
      </c>
      <c r="IK212" s="16">
        <v>23981</v>
      </c>
      <c r="IL212" s="16">
        <v>13025</v>
      </c>
      <c r="IM212" s="16">
        <v>407</v>
      </c>
      <c r="IN212" s="16">
        <v>6631</v>
      </c>
      <c r="IO212" s="16">
        <v>52564</v>
      </c>
      <c r="IP212" s="16">
        <v>147005</v>
      </c>
      <c r="IQ212" s="16">
        <v>5976</v>
      </c>
      <c r="IR212" s="16">
        <v>8530</v>
      </c>
      <c r="IS212" s="16">
        <v>21254</v>
      </c>
      <c r="IT212" s="16">
        <v>13661</v>
      </c>
      <c r="IU212" s="16">
        <v>88</v>
      </c>
      <c r="IV212" s="16">
        <v>24704</v>
      </c>
      <c r="IW212" s="16">
        <v>0</v>
      </c>
      <c r="IX212" s="16">
        <v>407</v>
      </c>
      <c r="IY212" s="16">
        <v>91</v>
      </c>
      <c r="IZ212" s="16">
        <v>38</v>
      </c>
      <c r="JA212" s="16">
        <v>1786</v>
      </c>
      <c r="JB212" s="16">
        <v>906</v>
      </c>
      <c r="JC212" s="16">
        <v>0</v>
      </c>
      <c r="JD212" s="16">
        <v>0</v>
      </c>
      <c r="JE212" s="16">
        <v>2025</v>
      </c>
      <c r="JF212" s="16">
        <v>9644</v>
      </c>
      <c r="JG212" s="16">
        <v>56615</v>
      </c>
      <c r="JH212" s="16">
        <v>57267</v>
      </c>
      <c r="JI212" s="16">
        <v>743</v>
      </c>
      <c r="JJ212" s="16">
        <v>93353</v>
      </c>
      <c r="JK212" s="16">
        <v>20604</v>
      </c>
      <c r="JL212" s="16">
        <v>5228</v>
      </c>
      <c r="JM212" s="16">
        <v>6559</v>
      </c>
      <c r="JN212" s="16">
        <v>94719</v>
      </c>
      <c r="JO212" s="16">
        <v>0</v>
      </c>
      <c r="JP212" s="16">
        <v>0</v>
      </c>
      <c r="JQ212" s="16">
        <v>7458</v>
      </c>
      <c r="JR212" s="16">
        <v>0</v>
      </c>
      <c r="JS212" s="16">
        <v>0</v>
      </c>
      <c r="JT212" s="16">
        <v>0</v>
      </c>
      <c r="JU212" s="16">
        <v>0</v>
      </c>
      <c r="JV212" s="16">
        <v>0</v>
      </c>
      <c r="JW212" s="16">
        <v>248546</v>
      </c>
      <c r="JX212" s="16">
        <v>546623</v>
      </c>
      <c r="JY212" s="16">
        <v>175136</v>
      </c>
      <c r="JZ212" s="16">
        <v>7810</v>
      </c>
      <c r="KA212" s="16">
        <v>18347</v>
      </c>
      <c r="KB212" s="16">
        <v>628</v>
      </c>
      <c r="KC212" s="16">
        <v>2909</v>
      </c>
      <c r="KD212" s="16">
        <v>8245</v>
      </c>
      <c r="KE212" s="16">
        <v>927</v>
      </c>
      <c r="KF212" s="16">
        <v>7733</v>
      </c>
      <c r="KG212" s="16">
        <v>5116</v>
      </c>
      <c r="KH212" s="16">
        <v>121988</v>
      </c>
      <c r="KI212" s="16">
        <v>126052</v>
      </c>
      <c r="KJ212" s="16">
        <v>50033</v>
      </c>
      <c r="KK212" s="16">
        <v>175313</v>
      </c>
      <c r="KL212" s="16">
        <v>1110</v>
      </c>
      <c r="KM212" s="16">
        <v>570</v>
      </c>
      <c r="KN212" s="16">
        <v>69</v>
      </c>
      <c r="KO212" s="16">
        <v>0</v>
      </c>
      <c r="KP212" s="16">
        <v>14</v>
      </c>
      <c r="KQ212" s="16">
        <v>7876</v>
      </c>
      <c r="KR212" s="16">
        <v>21421</v>
      </c>
      <c r="KS212" s="16">
        <v>14090</v>
      </c>
      <c r="KT212" s="16">
        <v>1824</v>
      </c>
      <c r="KU212" s="16">
        <v>7194</v>
      </c>
      <c r="KV212" s="16">
        <v>18084</v>
      </c>
      <c r="KW212" s="16">
        <v>0</v>
      </c>
      <c r="KX212" s="16">
        <v>20</v>
      </c>
      <c r="KY212" s="16">
        <v>10763</v>
      </c>
      <c r="KZ212" s="16">
        <v>24430</v>
      </c>
      <c r="LA212" s="16">
        <v>4780</v>
      </c>
      <c r="LB212" s="16">
        <v>2314</v>
      </c>
      <c r="LC212" s="16">
        <v>3909</v>
      </c>
      <c r="LD212" s="16">
        <v>14052</v>
      </c>
      <c r="LE212" s="16">
        <v>9885</v>
      </c>
      <c r="LF212" s="16">
        <v>14563</v>
      </c>
      <c r="LG212" s="16">
        <v>2979</v>
      </c>
      <c r="LH212" s="16">
        <v>2396</v>
      </c>
      <c r="LI212" s="16">
        <v>149</v>
      </c>
      <c r="LJ212" s="16">
        <v>6884</v>
      </c>
      <c r="LK212" s="16">
        <v>9072</v>
      </c>
      <c r="LL212" s="16">
        <v>3858</v>
      </c>
      <c r="LM212" s="16">
        <v>4985</v>
      </c>
      <c r="LN212" s="16">
        <v>4589</v>
      </c>
      <c r="LO212" s="16">
        <v>215</v>
      </c>
      <c r="LP212" s="16">
        <v>7669</v>
      </c>
      <c r="LQ212" s="16">
        <v>5552</v>
      </c>
      <c r="LR212" s="16">
        <v>5549</v>
      </c>
      <c r="LS212" s="16">
        <v>3193</v>
      </c>
      <c r="LT212" s="16">
        <v>2985</v>
      </c>
      <c r="LU212" s="16">
        <v>1392</v>
      </c>
      <c r="LV212" s="16">
        <v>39</v>
      </c>
      <c r="LW212" s="16">
        <v>1419</v>
      </c>
      <c r="LX212" s="16">
        <v>4005</v>
      </c>
      <c r="LY212" s="16">
        <v>0</v>
      </c>
      <c r="LZ212" s="16">
        <v>2415</v>
      </c>
      <c r="MA212" s="16">
        <v>460</v>
      </c>
      <c r="MB212" s="16">
        <v>6303</v>
      </c>
      <c r="MC212" s="16">
        <v>2767</v>
      </c>
      <c r="MD212" s="16">
        <v>2610</v>
      </c>
      <c r="ME212" s="16">
        <v>3258</v>
      </c>
      <c r="MF212" s="16">
        <v>27616</v>
      </c>
      <c r="MG212" s="16">
        <v>6671</v>
      </c>
      <c r="MH212" s="16">
        <v>18742</v>
      </c>
      <c r="MI212" s="16">
        <v>1885</v>
      </c>
      <c r="MJ212" s="16">
        <v>1877</v>
      </c>
      <c r="MK212" s="16">
        <v>4044</v>
      </c>
      <c r="ML212" s="16">
        <v>1438</v>
      </c>
      <c r="MM212" s="16">
        <v>6283</v>
      </c>
      <c r="MN212" s="16">
        <v>6831</v>
      </c>
      <c r="MO212" s="16">
        <v>13492</v>
      </c>
      <c r="MP212" s="16">
        <v>4813</v>
      </c>
      <c r="MQ212" s="16">
        <v>37405</v>
      </c>
      <c r="MR212" s="16">
        <v>6871</v>
      </c>
      <c r="MS212" s="16">
        <v>8414</v>
      </c>
      <c r="MT212" s="16">
        <v>727</v>
      </c>
      <c r="MU212" s="16">
        <v>2920</v>
      </c>
      <c r="MV212" s="16">
        <v>23586</v>
      </c>
      <c r="MW212" s="16">
        <v>7890</v>
      </c>
      <c r="MX212" s="16">
        <v>503</v>
      </c>
      <c r="MY212" s="16">
        <v>1632</v>
      </c>
      <c r="MZ212" s="16">
        <v>4880</v>
      </c>
      <c r="NA212" s="16">
        <v>8616</v>
      </c>
      <c r="NB212" s="16">
        <v>29157</v>
      </c>
      <c r="NC212" s="16">
        <v>3101</v>
      </c>
      <c r="ND212" s="16">
        <v>7241</v>
      </c>
      <c r="NE212" s="16">
        <v>0</v>
      </c>
      <c r="NF212" s="16">
        <v>0</v>
      </c>
      <c r="NG212" s="16">
        <v>6314</v>
      </c>
      <c r="NH212" s="16">
        <v>6916</v>
      </c>
      <c r="NI212" s="16">
        <v>34564</v>
      </c>
      <c r="NJ212" s="16">
        <v>0</v>
      </c>
      <c r="NK212" s="16">
        <v>2941</v>
      </c>
      <c r="NL212" s="16">
        <v>12343</v>
      </c>
      <c r="NM212" s="16">
        <v>652</v>
      </c>
      <c r="NN212" s="16">
        <v>1861</v>
      </c>
      <c r="NO212" s="16">
        <v>0</v>
      </c>
      <c r="NP212" s="16">
        <v>1337</v>
      </c>
      <c r="NQ212" s="16">
        <v>1175</v>
      </c>
      <c r="NR212" s="17">
        <v>7632691</v>
      </c>
    </row>
    <row r="213" spans="1:382" ht="13.5" customHeight="1" x14ac:dyDescent="0.2">
      <c r="A213" s="2" t="s">
        <v>433</v>
      </c>
      <c r="B213" s="16">
        <v>28</v>
      </c>
      <c r="C213" s="16">
        <v>0</v>
      </c>
      <c r="D213" s="16">
        <v>28</v>
      </c>
      <c r="E213" s="16">
        <v>24</v>
      </c>
      <c r="F213" s="16">
        <v>2155</v>
      </c>
      <c r="G213" s="16">
        <v>1440</v>
      </c>
      <c r="H213" s="16">
        <v>2</v>
      </c>
      <c r="I213" s="16">
        <v>0</v>
      </c>
      <c r="J213" s="16">
        <v>0</v>
      </c>
      <c r="K213" s="16">
        <v>0</v>
      </c>
      <c r="L213" s="16">
        <v>662</v>
      </c>
      <c r="M213" s="16">
        <v>0</v>
      </c>
      <c r="N213" s="16">
        <v>0</v>
      </c>
      <c r="O213" s="16">
        <v>15</v>
      </c>
      <c r="P213" s="16">
        <v>5728</v>
      </c>
      <c r="Q213" s="16">
        <v>5012</v>
      </c>
      <c r="R213" s="16">
        <v>922</v>
      </c>
      <c r="S213" s="16">
        <v>42</v>
      </c>
      <c r="T213" s="16">
        <v>36</v>
      </c>
      <c r="U213" s="16">
        <v>248</v>
      </c>
      <c r="V213" s="16">
        <v>80</v>
      </c>
      <c r="W213" s="16">
        <v>0</v>
      </c>
      <c r="X213" s="16">
        <v>4207</v>
      </c>
      <c r="Y213" s="16">
        <v>13578</v>
      </c>
      <c r="Z213" s="16">
        <v>6893</v>
      </c>
      <c r="AA213" s="16">
        <v>7313</v>
      </c>
      <c r="AB213" s="16">
        <v>0</v>
      </c>
      <c r="AC213" s="16">
        <v>0</v>
      </c>
      <c r="AD213" s="16">
        <v>0</v>
      </c>
      <c r="AE213" s="16">
        <v>0</v>
      </c>
      <c r="AF213" s="16">
        <v>996</v>
      </c>
      <c r="AG213" s="16">
        <v>15170</v>
      </c>
      <c r="AH213" s="16">
        <v>16236</v>
      </c>
      <c r="AI213" s="16">
        <v>22093</v>
      </c>
      <c r="AJ213" s="16">
        <v>506</v>
      </c>
      <c r="AK213" s="16">
        <v>3018</v>
      </c>
      <c r="AL213" s="16">
        <v>258</v>
      </c>
      <c r="AM213" s="16">
        <v>3447</v>
      </c>
      <c r="AN213" s="16">
        <v>1709</v>
      </c>
      <c r="AO213" s="16">
        <v>37472</v>
      </c>
      <c r="AP213" s="16">
        <v>0</v>
      </c>
      <c r="AQ213" s="16">
        <v>0</v>
      </c>
      <c r="AR213" s="16">
        <v>0</v>
      </c>
      <c r="AS213" s="16">
        <v>0</v>
      </c>
      <c r="AT213" s="16">
        <v>0</v>
      </c>
      <c r="AU213" s="16">
        <v>639</v>
      </c>
      <c r="AV213" s="16">
        <v>133</v>
      </c>
      <c r="AW213" s="16">
        <v>5707</v>
      </c>
      <c r="AX213" s="16">
        <v>325</v>
      </c>
      <c r="AY213" s="16">
        <v>157</v>
      </c>
      <c r="AZ213" s="16">
        <v>2540</v>
      </c>
      <c r="BA213" s="16">
        <v>5168</v>
      </c>
      <c r="BB213" s="16">
        <v>1312</v>
      </c>
      <c r="BC213" s="16">
        <v>752</v>
      </c>
      <c r="BD213" s="16">
        <v>67</v>
      </c>
      <c r="BE213" s="16">
        <v>245</v>
      </c>
      <c r="BF213" s="16">
        <v>694</v>
      </c>
      <c r="BG213" s="16">
        <v>534</v>
      </c>
      <c r="BH213" s="16">
        <v>1605</v>
      </c>
      <c r="BI213" s="16">
        <v>1468</v>
      </c>
      <c r="BJ213" s="16">
        <v>164</v>
      </c>
      <c r="BK213" s="16">
        <v>239</v>
      </c>
      <c r="BL213" s="16">
        <v>695</v>
      </c>
      <c r="BM213" s="16">
        <v>1050</v>
      </c>
      <c r="BN213" s="16">
        <v>2212</v>
      </c>
      <c r="BO213" s="16">
        <v>4263</v>
      </c>
      <c r="BP213" s="16">
        <v>931</v>
      </c>
      <c r="BQ213" s="16">
        <v>456</v>
      </c>
      <c r="BR213" s="16">
        <v>18</v>
      </c>
      <c r="BS213" s="16">
        <v>4363</v>
      </c>
      <c r="BT213" s="16">
        <v>153</v>
      </c>
      <c r="BU213" s="16">
        <v>6</v>
      </c>
      <c r="BV213" s="16">
        <v>0</v>
      </c>
      <c r="BW213" s="16">
        <v>2687</v>
      </c>
      <c r="BX213" s="16">
        <v>34</v>
      </c>
      <c r="BY213" s="16">
        <v>0</v>
      </c>
      <c r="BZ213" s="16">
        <v>2722</v>
      </c>
      <c r="CA213" s="16">
        <v>318</v>
      </c>
      <c r="CB213" s="16">
        <v>114</v>
      </c>
      <c r="CC213" s="16">
        <v>12007</v>
      </c>
      <c r="CD213" s="16">
        <v>2105</v>
      </c>
      <c r="CE213" s="16">
        <v>701</v>
      </c>
      <c r="CF213" s="16">
        <v>1264</v>
      </c>
      <c r="CG213" s="16">
        <v>315</v>
      </c>
      <c r="CH213" s="16">
        <v>1451</v>
      </c>
      <c r="CI213" s="16">
        <v>2053</v>
      </c>
      <c r="CJ213" s="16">
        <v>1650</v>
      </c>
      <c r="CK213" s="16">
        <v>8348</v>
      </c>
      <c r="CL213" s="16">
        <v>3311</v>
      </c>
      <c r="CM213" s="16">
        <v>1820</v>
      </c>
      <c r="CN213" s="16">
        <v>196</v>
      </c>
      <c r="CO213" s="16">
        <v>1158</v>
      </c>
      <c r="CP213" s="16">
        <v>2545</v>
      </c>
      <c r="CQ213" s="16">
        <v>26058</v>
      </c>
      <c r="CR213" s="16">
        <v>241</v>
      </c>
      <c r="CS213" s="16">
        <v>4311</v>
      </c>
      <c r="CT213" s="16">
        <v>3271</v>
      </c>
      <c r="CU213" s="16">
        <v>1961</v>
      </c>
      <c r="CV213" s="16">
        <v>2164</v>
      </c>
      <c r="CW213" s="16">
        <v>36824</v>
      </c>
      <c r="CX213" s="16">
        <v>31115</v>
      </c>
      <c r="CY213" s="16">
        <v>293</v>
      </c>
      <c r="CZ213" s="16">
        <v>753</v>
      </c>
      <c r="DA213" s="16">
        <v>13</v>
      </c>
      <c r="DB213" s="16">
        <v>248</v>
      </c>
      <c r="DC213" s="16">
        <v>14</v>
      </c>
      <c r="DD213" s="16">
        <v>122</v>
      </c>
      <c r="DE213" s="16">
        <v>248</v>
      </c>
      <c r="DF213" s="16">
        <v>2330</v>
      </c>
      <c r="DG213" s="16">
        <v>392</v>
      </c>
      <c r="DH213" s="16">
        <v>740</v>
      </c>
      <c r="DI213" s="16">
        <v>567</v>
      </c>
      <c r="DJ213" s="16">
        <v>11218</v>
      </c>
      <c r="DK213" s="16">
        <v>494</v>
      </c>
      <c r="DL213" s="16">
        <v>557</v>
      </c>
      <c r="DM213" s="16">
        <v>4802</v>
      </c>
      <c r="DN213" s="16">
        <v>247</v>
      </c>
      <c r="DO213" s="16">
        <v>331</v>
      </c>
      <c r="DP213" s="16">
        <v>1416</v>
      </c>
      <c r="DQ213" s="16">
        <v>334</v>
      </c>
      <c r="DR213" s="16">
        <v>389</v>
      </c>
      <c r="DS213" s="16">
        <v>5494</v>
      </c>
      <c r="DT213" s="16">
        <v>311</v>
      </c>
      <c r="DU213" s="16">
        <v>663</v>
      </c>
      <c r="DV213" s="16">
        <v>626</v>
      </c>
      <c r="DW213" s="16">
        <v>33208</v>
      </c>
      <c r="DX213" s="16">
        <v>4381</v>
      </c>
      <c r="DY213" s="16">
        <v>4371</v>
      </c>
      <c r="DZ213" s="16">
        <v>18311</v>
      </c>
      <c r="EA213" s="16">
        <v>7914</v>
      </c>
      <c r="EB213" s="16">
        <v>279</v>
      </c>
      <c r="EC213" s="16">
        <v>1624</v>
      </c>
      <c r="ED213" s="16">
        <v>3734</v>
      </c>
      <c r="EE213" s="16">
        <v>3</v>
      </c>
      <c r="EF213" s="16">
        <v>58</v>
      </c>
      <c r="EG213" s="16">
        <v>3249</v>
      </c>
      <c r="EH213" s="16">
        <v>319</v>
      </c>
      <c r="EI213" s="16">
        <v>184</v>
      </c>
      <c r="EJ213" s="16">
        <v>122</v>
      </c>
      <c r="EK213" s="16">
        <v>768</v>
      </c>
      <c r="EL213" s="16">
        <v>53</v>
      </c>
      <c r="EM213" s="16">
        <v>420</v>
      </c>
      <c r="EN213" s="16">
        <v>81624</v>
      </c>
      <c r="EO213" s="16">
        <v>17428</v>
      </c>
      <c r="EP213" s="16">
        <v>327</v>
      </c>
      <c r="EQ213" s="16">
        <v>1074</v>
      </c>
      <c r="ER213" s="16">
        <v>223</v>
      </c>
      <c r="ES213" s="16">
        <v>143</v>
      </c>
      <c r="ET213" s="16">
        <v>12942</v>
      </c>
      <c r="EU213" s="16">
        <v>31</v>
      </c>
      <c r="EV213" s="16">
        <v>104</v>
      </c>
      <c r="EW213" s="16">
        <v>45</v>
      </c>
      <c r="EX213" s="16">
        <v>60814</v>
      </c>
      <c r="EY213" s="16">
        <v>5383</v>
      </c>
      <c r="EZ213" s="16">
        <v>209</v>
      </c>
      <c r="FA213" s="16">
        <v>390</v>
      </c>
      <c r="FB213" s="16">
        <v>2277</v>
      </c>
      <c r="FC213" s="16">
        <v>9</v>
      </c>
      <c r="FD213" s="16">
        <v>9788</v>
      </c>
      <c r="FE213" s="16">
        <v>1712</v>
      </c>
      <c r="FF213" s="16">
        <v>302</v>
      </c>
      <c r="FG213" s="16">
        <v>14904</v>
      </c>
      <c r="FH213" s="16">
        <v>3</v>
      </c>
      <c r="FI213" s="16">
        <v>1879</v>
      </c>
      <c r="FJ213" s="16">
        <v>989</v>
      </c>
      <c r="FK213" s="16">
        <v>2215</v>
      </c>
      <c r="FL213" s="16">
        <v>38</v>
      </c>
      <c r="FM213" s="16">
        <v>2153</v>
      </c>
      <c r="FN213" s="16">
        <v>5428</v>
      </c>
      <c r="FO213" s="16">
        <v>1866</v>
      </c>
      <c r="FP213" s="16">
        <v>3951</v>
      </c>
      <c r="FQ213" s="16">
        <v>22497</v>
      </c>
      <c r="FR213" s="16">
        <v>17826</v>
      </c>
      <c r="FS213" s="16">
        <v>3018</v>
      </c>
      <c r="FT213" s="16">
        <v>4080</v>
      </c>
      <c r="FU213" s="16">
        <v>12753</v>
      </c>
      <c r="FV213" s="16">
        <v>23155</v>
      </c>
      <c r="FW213" s="16">
        <v>5854</v>
      </c>
      <c r="FX213" s="16">
        <v>20188</v>
      </c>
      <c r="FY213" s="16">
        <v>554</v>
      </c>
      <c r="FZ213" s="16">
        <v>7856</v>
      </c>
      <c r="GA213" s="16">
        <v>911</v>
      </c>
      <c r="GB213" s="16">
        <v>18758</v>
      </c>
      <c r="GC213" s="16">
        <v>2774</v>
      </c>
      <c r="GD213" s="16">
        <v>29618</v>
      </c>
      <c r="GE213" s="16">
        <v>1259</v>
      </c>
      <c r="GF213" s="16">
        <v>19010</v>
      </c>
      <c r="GG213" s="16">
        <v>1658</v>
      </c>
      <c r="GH213" s="16">
        <v>213458</v>
      </c>
      <c r="GI213" s="16">
        <v>530</v>
      </c>
      <c r="GJ213" s="16">
        <v>6567</v>
      </c>
      <c r="GK213" s="16">
        <v>11128</v>
      </c>
      <c r="GL213" s="16">
        <v>58270</v>
      </c>
      <c r="GM213" s="16">
        <v>114519</v>
      </c>
      <c r="GN213" s="16">
        <v>38306</v>
      </c>
      <c r="GO213" s="16">
        <v>44692</v>
      </c>
      <c r="GP213" s="16">
        <v>666805</v>
      </c>
      <c r="GQ213" s="16">
        <v>45815</v>
      </c>
      <c r="GR213" s="16">
        <v>11040</v>
      </c>
      <c r="GS213" s="16">
        <v>7645</v>
      </c>
      <c r="GT213" s="16">
        <v>2586</v>
      </c>
      <c r="GU213" s="16">
        <v>194074</v>
      </c>
      <c r="GV213" s="16">
        <v>338166</v>
      </c>
      <c r="GW213" s="16">
        <v>144905</v>
      </c>
      <c r="GX213" s="16">
        <v>58986</v>
      </c>
      <c r="GY213" s="16">
        <v>2950</v>
      </c>
      <c r="GZ213" s="16">
        <v>185515</v>
      </c>
      <c r="HA213" s="16">
        <v>45938</v>
      </c>
      <c r="HB213" s="16">
        <v>494850</v>
      </c>
      <c r="HC213" s="16">
        <v>328045</v>
      </c>
      <c r="HD213" s="16">
        <v>313320</v>
      </c>
      <c r="HE213" s="16">
        <v>14622005</v>
      </c>
      <c r="HF213" s="16">
        <v>33661</v>
      </c>
      <c r="HG213" s="16">
        <v>22018</v>
      </c>
      <c r="HH213" s="16">
        <v>115938</v>
      </c>
      <c r="HI213" s="16">
        <v>197569</v>
      </c>
      <c r="HJ213" s="16">
        <v>2069</v>
      </c>
      <c r="HK213" s="16">
        <v>8366</v>
      </c>
      <c r="HL213" s="16">
        <v>276837</v>
      </c>
      <c r="HM213" s="16">
        <v>11042</v>
      </c>
      <c r="HN213" s="16">
        <v>42035</v>
      </c>
      <c r="HO213" s="16">
        <v>3176</v>
      </c>
      <c r="HP213" s="16">
        <v>1033</v>
      </c>
      <c r="HQ213" s="16">
        <v>166209</v>
      </c>
      <c r="HR213" s="16">
        <v>16108</v>
      </c>
      <c r="HS213" s="16">
        <v>5250</v>
      </c>
      <c r="HT213" s="16">
        <v>10631</v>
      </c>
      <c r="HU213" s="16">
        <v>54080</v>
      </c>
      <c r="HV213" s="16">
        <v>53057</v>
      </c>
      <c r="HW213" s="16">
        <v>140136</v>
      </c>
      <c r="HX213" s="16">
        <v>4434</v>
      </c>
      <c r="HY213" s="16">
        <v>5475</v>
      </c>
      <c r="HZ213" s="16">
        <v>177344</v>
      </c>
      <c r="IA213" s="16">
        <v>28212</v>
      </c>
      <c r="IB213" s="16">
        <v>551</v>
      </c>
      <c r="IC213" s="16">
        <v>223</v>
      </c>
      <c r="ID213" s="16">
        <v>2359</v>
      </c>
      <c r="IE213" s="16">
        <v>92</v>
      </c>
      <c r="IF213" s="16">
        <v>3303</v>
      </c>
      <c r="IG213" s="16">
        <v>119796</v>
      </c>
      <c r="IH213" s="16">
        <v>2003971</v>
      </c>
      <c r="II213" s="16">
        <v>6563970</v>
      </c>
      <c r="IJ213" s="16">
        <v>88736</v>
      </c>
      <c r="IK213" s="16">
        <v>107051</v>
      </c>
      <c r="IL213" s="16">
        <v>30892</v>
      </c>
      <c r="IM213" s="16">
        <v>655</v>
      </c>
      <c r="IN213" s="16">
        <v>111827</v>
      </c>
      <c r="IO213" s="16">
        <v>40952</v>
      </c>
      <c r="IP213" s="16">
        <v>1303</v>
      </c>
      <c r="IQ213" s="16">
        <v>8668</v>
      </c>
      <c r="IR213" s="16">
        <v>3186</v>
      </c>
      <c r="IS213" s="16">
        <v>82758</v>
      </c>
      <c r="IT213" s="16">
        <v>1784</v>
      </c>
      <c r="IU213" s="16">
        <v>6618</v>
      </c>
      <c r="IV213" s="16">
        <v>27530</v>
      </c>
      <c r="IW213" s="16">
        <v>51242</v>
      </c>
      <c r="IX213" s="16">
        <v>4249</v>
      </c>
      <c r="IY213" s="16">
        <v>4309</v>
      </c>
      <c r="IZ213" s="16">
        <v>8950</v>
      </c>
      <c r="JA213" s="16">
        <v>2282</v>
      </c>
      <c r="JB213" s="16">
        <v>345</v>
      </c>
      <c r="JC213" s="16">
        <v>247</v>
      </c>
      <c r="JD213" s="16">
        <v>33</v>
      </c>
      <c r="JE213" s="16">
        <v>11348</v>
      </c>
      <c r="JF213" s="16">
        <v>461</v>
      </c>
      <c r="JG213" s="16">
        <v>1187310</v>
      </c>
      <c r="JH213" s="16">
        <v>85188</v>
      </c>
      <c r="JI213" s="16">
        <v>1588</v>
      </c>
      <c r="JJ213" s="16">
        <v>5362</v>
      </c>
      <c r="JK213" s="16">
        <v>1316</v>
      </c>
      <c r="JL213" s="16">
        <v>62</v>
      </c>
      <c r="JM213" s="16">
        <v>7</v>
      </c>
      <c r="JN213" s="16">
        <v>93</v>
      </c>
      <c r="JO213" s="16">
        <v>1985</v>
      </c>
      <c r="JP213" s="16">
        <v>4793</v>
      </c>
      <c r="JQ213" s="16">
        <v>1606</v>
      </c>
      <c r="JR213" s="16">
        <v>116809</v>
      </c>
      <c r="JS213" s="16">
        <v>10019</v>
      </c>
      <c r="JT213" s="16">
        <v>0</v>
      </c>
      <c r="JU213" s="16">
        <v>77453</v>
      </c>
      <c r="JV213" s="16">
        <v>50445</v>
      </c>
      <c r="JW213" s="16">
        <v>31041</v>
      </c>
      <c r="JX213" s="16">
        <v>77939</v>
      </c>
      <c r="JY213" s="16">
        <v>10082</v>
      </c>
      <c r="JZ213" s="16">
        <v>181</v>
      </c>
      <c r="KA213" s="16">
        <v>3074</v>
      </c>
      <c r="KB213" s="16">
        <v>374</v>
      </c>
      <c r="KC213" s="16">
        <v>359</v>
      </c>
      <c r="KD213" s="16">
        <v>15</v>
      </c>
      <c r="KE213" s="16">
        <v>133</v>
      </c>
      <c r="KF213" s="16">
        <v>838</v>
      </c>
      <c r="KG213" s="16">
        <v>1788</v>
      </c>
      <c r="KH213" s="16">
        <v>404</v>
      </c>
      <c r="KI213" s="16">
        <v>3584</v>
      </c>
      <c r="KJ213" s="16">
        <v>185</v>
      </c>
      <c r="KK213" s="16">
        <v>625605</v>
      </c>
      <c r="KL213" s="16">
        <v>519</v>
      </c>
      <c r="KM213" s="16">
        <v>360084</v>
      </c>
      <c r="KN213" s="16">
        <v>265114</v>
      </c>
      <c r="KO213" s="16">
        <v>50162</v>
      </c>
      <c r="KP213" s="16">
        <v>3274</v>
      </c>
      <c r="KQ213" s="16">
        <v>15903</v>
      </c>
      <c r="KR213" s="16">
        <v>93799</v>
      </c>
      <c r="KS213" s="16">
        <v>360</v>
      </c>
      <c r="KT213" s="16">
        <v>1821</v>
      </c>
      <c r="KU213" s="16">
        <v>48258</v>
      </c>
      <c r="KV213" s="16">
        <v>696774</v>
      </c>
      <c r="KW213" s="16">
        <v>97380</v>
      </c>
      <c r="KX213" s="16">
        <v>1627</v>
      </c>
      <c r="KY213" s="16">
        <v>665518</v>
      </c>
      <c r="KZ213" s="16">
        <v>682648</v>
      </c>
      <c r="LA213" s="16">
        <v>45846</v>
      </c>
      <c r="LB213" s="16">
        <v>10297</v>
      </c>
      <c r="LC213" s="16">
        <v>45915</v>
      </c>
      <c r="LD213" s="16">
        <v>34740</v>
      </c>
      <c r="LE213" s="16">
        <v>37322</v>
      </c>
      <c r="LF213" s="16">
        <v>25943</v>
      </c>
      <c r="LG213" s="16">
        <v>17187</v>
      </c>
      <c r="LH213" s="16">
        <v>158829</v>
      </c>
      <c r="LI213" s="16">
        <v>1268</v>
      </c>
      <c r="LJ213" s="16">
        <v>65753</v>
      </c>
      <c r="LK213" s="16">
        <v>115953</v>
      </c>
      <c r="LL213" s="16">
        <v>15887</v>
      </c>
      <c r="LM213" s="16">
        <v>110584</v>
      </c>
      <c r="LN213" s="16">
        <v>513772</v>
      </c>
      <c r="LO213" s="16">
        <v>1051</v>
      </c>
      <c r="LP213" s="16">
        <v>166189</v>
      </c>
      <c r="LQ213" s="16">
        <v>33331</v>
      </c>
      <c r="LR213" s="16">
        <v>17074</v>
      </c>
      <c r="LS213" s="16">
        <v>2060</v>
      </c>
      <c r="LT213" s="16">
        <v>61794</v>
      </c>
      <c r="LU213" s="16">
        <v>15480</v>
      </c>
      <c r="LV213" s="16">
        <v>153</v>
      </c>
      <c r="LW213" s="16">
        <v>14879</v>
      </c>
      <c r="LX213" s="16">
        <v>71217</v>
      </c>
      <c r="LY213" s="16">
        <v>0</v>
      </c>
      <c r="LZ213" s="16">
        <v>42509</v>
      </c>
      <c r="MA213" s="16">
        <v>113819</v>
      </c>
      <c r="MB213" s="16">
        <v>246669</v>
      </c>
      <c r="MC213" s="16">
        <v>109370</v>
      </c>
      <c r="MD213" s="16">
        <v>71898</v>
      </c>
      <c r="ME213" s="16">
        <v>3343</v>
      </c>
      <c r="MF213" s="16">
        <v>1837944</v>
      </c>
      <c r="MG213" s="16">
        <v>93683</v>
      </c>
      <c r="MH213" s="16">
        <v>1701221</v>
      </c>
      <c r="MI213" s="16">
        <v>11195</v>
      </c>
      <c r="MJ213" s="16">
        <v>56751</v>
      </c>
      <c r="MK213" s="16">
        <v>82972</v>
      </c>
      <c r="ML213" s="16">
        <v>16924</v>
      </c>
      <c r="MM213" s="16">
        <v>117206</v>
      </c>
      <c r="MN213" s="16">
        <v>57034</v>
      </c>
      <c r="MO213" s="16">
        <v>28268</v>
      </c>
      <c r="MP213" s="16">
        <v>135745</v>
      </c>
      <c r="MQ213" s="16">
        <v>263258</v>
      </c>
      <c r="MR213" s="16">
        <v>455343</v>
      </c>
      <c r="MS213" s="16">
        <v>40683</v>
      </c>
      <c r="MT213" s="16">
        <v>11937</v>
      </c>
      <c r="MU213" s="16">
        <v>90646</v>
      </c>
      <c r="MV213" s="16">
        <v>110761</v>
      </c>
      <c r="MW213" s="16">
        <v>210526</v>
      </c>
      <c r="MX213" s="16">
        <v>2275</v>
      </c>
      <c r="MY213" s="16">
        <v>4041</v>
      </c>
      <c r="MZ213" s="16">
        <v>60140</v>
      </c>
      <c r="NA213" s="16">
        <v>2902</v>
      </c>
      <c r="NB213" s="16">
        <v>97791</v>
      </c>
      <c r="NC213" s="16">
        <v>3211</v>
      </c>
      <c r="ND213" s="16">
        <v>11846</v>
      </c>
      <c r="NE213" s="16">
        <v>555</v>
      </c>
      <c r="NF213" s="16">
        <v>53310</v>
      </c>
      <c r="NG213" s="16">
        <v>44282</v>
      </c>
      <c r="NH213" s="16">
        <v>8571</v>
      </c>
      <c r="NI213" s="16">
        <v>137289</v>
      </c>
      <c r="NJ213" s="16">
        <v>140395</v>
      </c>
      <c r="NK213" s="16">
        <v>754518</v>
      </c>
      <c r="NL213" s="16">
        <v>160399</v>
      </c>
      <c r="NM213" s="16">
        <v>6806</v>
      </c>
      <c r="NN213" s="16">
        <v>1372</v>
      </c>
      <c r="NO213" s="16">
        <v>0</v>
      </c>
      <c r="NP213" s="16">
        <v>567</v>
      </c>
      <c r="NQ213" s="16">
        <v>3615</v>
      </c>
      <c r="NR213" s="17">
        <v>43751057</v>
      </c>
    </row>
    <row r="214" spans="1:382" ht="13.5" customHeight="1" x14ac:dyDescent="0.2">
      <c r="A214" s="2" t="s">
        <v>435</v>
      </c>
      <c r="B214" s="16">
        <v>0</v>
      </c>
      <c r="C214" s="16">
        <v>0</v>
      </c>
      <c r="D214" s="16">
        <v>0</v>
      </c>
      <c r="E214" s="16">
        <v>0</v>
      </c>
      <c r="F214" s="16">
        <v>0</v>
      </c>
      <c r="G214" s="16">
        <v>28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46</v>
      </c>
      <c r="P214" s="16">
        <v>6369</v>
      </c>
      <c r="Q214" s="16">
        <v>4129</v>
      </c>
      <c r="R214" s="16">
        <v>959</v>
      </c>
      <c r="S214" s="16">
        <v>0</v>
      </c>
      <c r="T214" s="16">
        <v>1</v>
      </c>
      <c r="U214" s="16">
        <v>0</v>
      </c>
      <c r="V214" s="16">
        <v>0</v>
      </c>
      <c r="W214" s="16">
        <v>0</v>
      </c>
      <c r="X214" s="16">
        <v>38</v>
      </c>
      <c r="Y214" s="16">
        <v>107</v>
      </c>
      <c r="Z214" s="16">
        <v>1047</v>
      </c>
      <c r="AA214" s="16">
        <v>126</v>
      </c>
      <c r="AB214" s="16">
        <v>0</v>
      </c>
      <c r="AC214" s="16">
        <v>0</v>
      </c>
      <c r="AD214" s="16">
        <v>0</v>
      </c>
      <c r="AE214" s="16">
        <v>0</v>
      </c>
      <c r="AF214" s="16">
        <v>59</v>
      </c>
      <c r="AG214" s="16">
        <v>1707</v>
      </c>
      <c r="AH214" s="16">
        <v>12</v>
      </c>
      <c r="AI214" s="16">
        <v>429</v>
      </c>
      <c r="AJ214" s="16">
        <v>333</v>
      </c>
      <c r="AK214" s="16">
        <v>2638</v>
      </c>
      <c r="AL214" s="16">
        <v>118</v>
      </c>
      <c r="AM214" s="16">
        <v>617</v>
      </c>
      <c r="AN214" s="16">
        <v>301</v>
      </c>
      <c r="AO214" s="16">
        <v>660</v>
      </c>
      <c r="AP214" s="16">
        <v>0</v>
      </c>
      <c r="AQ214" s="16">
        <v>0</v>
      </c>
      <c r="AR214" s="16">
        <v>0</v>
      </c>
      <c r="AS214" s="16">
        <v>0</v>
      </c>
      <c r="AT214" s="16">
        <v>176</v>
      </c>
      <c r="AU214" s="16">
        <v>1306</v>
      </c>
      <c r="AV214" s="16">
        <v>115</v>
      </c>
      <c r="AW214" s="16">
        <v>486</v>
      </c>
      <c r="AX214" s="16">
        <v>0</v>
      </c>
      <c r="AY214" s="16">
        <v>9277</v>
      </c>
      <c r="AZ214" s="16">
        <v>90</v>
      </c>
      <c r="BA214" s="16">
        <v>522</v>
      </c>
      <c r="BB214" s="16">
        <v>1547</v>
      </c>
      <c r="BC214" s="16">
        <v>120</v>
      </c>
      <c r="BD214" s="16">
        <v>0</v>
      </c>
      <c r="BE214" s="16">
        <v>0</v>
      </c>
      <c r="BF214" s="16">
        <v>0</v>
      </c>
      <c r="BG214" s="16">
        <v>0</v>
      </c>
      <c r="BH214" s="16">
        <v>869</v>
      </c>
      <c r="BI214" s="16">
        <v>0</v>
      </c>
      <c r="BJ214" s="16">
        <v>173</v>
      </c>
      <c r="BK214" s="16">
        <v>0</v>
      </c>
      <c r="BL214" s="16">
        <v>851</v>
      </c>
      <c r="BM214" s="16">
        <v>53</v>
      </c>
      <c r="BN214" s="16">
        <v>0</v>
      </c>
      <c r="BO214" s="16">
        <v>511</v>
      </c>
      <c r="BP214" s="16">
        <v>11</v>
      </c>
      <c r="BQ214" s="16">
        <v>237</v>
      </c>
      <c r="BR214" s="16">
        <v>106</v>
      </c>
      <c r="BS214" s="16">
        <v>163</v>
      </c>
      <c r="BT214" s="16">
        <v>90</v>
      </c>
      <c r="BU214" s="16">
        <v>0</v>
      </c>
      <c r="BV214" s="16">
        <v>0</v>
      </c>
      <c r="BW214" s="16">
        <v>490</v>
      </c>
      <c r="BX214" s="16">
        <v>6</v>
      </c>
      <c r="BY214" s="16">
        <v>0</v>
      </c>
      <c r="BZ214" s="16">
        <v>180</v>
      </c>
      <c r="CA214" s="16">
        <v>71</v>
      </c>
      <c r="CB214" s="16">
        <v>0</v>
      </c>
      <c r="CC214" s="16">
        <v>51</v>
      </c>
      <c r="CD214" s="16">
        <v>180</v>
      </c>
      <c r="CE214" s="16">
        <v>718</v>
      </c>
      <c r="CF214" s="16">
        <v>93</v>
      </c>
      <c r="CG214" s="16">
        <v>99</v>
      </c>
      <c r="CH214" s="16">
        <v>2732</v>
      </c>
      <c r="CI214" s="16">
        <v>49</v>
      </c>
      <c r="CJ214" s="16">
        <v>604</v>
      </c>
      <c r="CK214" s="16">
        <v>925</v>
      </c>
      <c r="CL214" s="16">
        <v>1429</v>
      </c>
      <c r="CM214" s="16">
        <v>105</v>
      </c>
      <c r="CN214" s="16">
        <v>18</v>
      </c>
      <c r="CO214" s="16">
        <v>782</v>
      </c>
      <c r="CP214" s="16">
        <v>268</v>
      </c>
      <c r="CQ214" s="16">
        <v>1249</v>
      </c>
      <c r="CR214" s="16">
        <v>18</v>
      </c>
      <c r="CS214" s="16">
        <v>878</v>
      </c>
      <c r="CT214" s="16">
        <v>1256</v>
      </c>
      <c r="CU214" s="16">
        <v>115</v>
      </c>
      <c r="CV214" s="16">
        <v>1191</v>
      </c>
      <c r="CW214" s="16">
        <v>2535</v>
      </c>
      <c r="CX214" s="16">
        <v>2482</v>
      </c>
      <c r="CY214" s="16">
        <v>1615</v>
      </c>
      <c r="CZ214" s="16">
        <v>152</v>
      </c>
      <c r="DA214" s="16">
        <v>8</v>
      </c>
      <c r="DB214" s="16">
        <v>3629</v>
      </c>
      <c r="DC214" s="16">
        <v>0</v>
      </c>
      <c r="DD214" s="16">
        <v>33</v>
      </c>
      <c r="DE214" s="16">
        <v>220</v>
      </c>
      <c r="DF214" s="16">
        <v>382</v>
      </c>
      <c r="DG214" s="16">
        <v>0</v>
      </c>
      <c r="DH214" s="16">
        <v>420</v>
      </c>
      <c r="DI214" s="16">
        <v>533</v>
      </c>
      <c r="DJ214" s="16">
        <v>6375</v>
      </c>
      <c r="DK214" s="16">
        <v>4</v>
      </c>
      <c r="DL214" s="16">
        <v>1013</v>
      </c>
      <c r="DM214" s="16">
        <v>373</v>
      </c>
      <c r="DN214" s="16">
        <v>386</v>
      </c>
      <c r="DO214" s="16">
        <v>97</v>
      </c>
      <c r="DP214" s="16">
        <v>560</v>
      </c>
      <c r="DQ214" s="16">
        <v>13</v>
      </c>
      <c r="DR214" s="16">
        <v>42</v>
      </c>
      <c r="DS214" s="16">
        <v>3228</v>
      </c>
      <c r="DT214" s="16">
        <v>135</v>
      </c>
      <c r="DU214" s="16">
        <v>69</v>
      </c>
      <c r="DV214" s="16">
        <v>317</v>
      </c>
      <c r="DW214" s="16">
        <v>3979</v>
      </c>
      <c r="DX214" s="16">
        <v>2500</v>
      </c>
      <c r="DY214" s="16">
        <v>7074</v>
      </c>
      <c r="DZ214" s="16">
        <v>9302</v>
      </c>
      <c r="EA214" s="16">
        <v>3934</v>
      </c>
      <c r="EB214" s="16">
        <v>81</v>
      </c>
      <c r="EC214" s="16">
        <v>1069</v>
      </c>
      <c r="ED214" s="16">
        <v>917</v>
      </c>
      <c r="EE214" s="16">
        <v>115</v>
      </c>
      <c r="EF214" s="16">
        <v>48</v>
      </c>
      <c r="EG214" s="16">
        <v>2449</v>
      </c>
      <c r="EH214" s="16">
        <v>392</v>
      </c>
      <c r="EI214" s="16">
        <v>105</v>
      </c>
      <c r="EJ214" s="16">
        <v>1605</v>
      </c>
      <c r="EK214" s="16">
        <v>45</v>
      </c>
      <c r="EL214" s="16">
        <v>92</v>
      </c>
      <c r="EM214" s="16">
        <v>122</v>
      </c>
      <c r="EN214" s="16">
        <v>1387</v>
      </c>
      <c r="EO214" s="16">
        <v>1200</v>
      </c>
      <c r="EP214" s="16">
        <v>151</v>
      </c>
      <c r="EQ214" s="16">
        <v>3569</v>
      </c>
      <c r="ER214" s="16">
        <v>41</v>
      </c>
      <c r="ES214" s="16">
        <v>125</v>
      </c>
      <c r="ET214" s="16">
        <v>12745</v>
      </c>
      <c r="EU214" s="16">
        <v>132</v>
      </c>
      <c r="EV214" s="16">
        <v>104</v>
      </c>
      <c r="EW214" s="16">
        <v>129</v>
      </c>
      <c r="EX214" s="16">
        <v>5194</v>
      </c>
      <c r="EY214" s="16">
        <v>481</v>
      </c>
      <c r="EZ214" s="16">
        <v>55</v>
      </c>
      <c r="FA214" s="16">
        <v>46</v>
      </c>
      <c r="FB214" s="16">
        <v>1</v>
      </c>
      <c r="FC214" s="16">
        <v>402</v>
      </c>
      <c r="FD214" s="16">
        <v>7002</v>
      </c>
      <c r="FE214" s="16">
        <v>1163</v>
      </c>
      <c r="FF214" s="16">
        <v>1073</v>
      </c>
      <c r="FG214" s="16">
        <v>3994</v>
      </c>
      <c r="FH214" s="16">
        <v>1238</v>
      </c>
      <c r="FI214" s="16">
        <v>1123</v>
      </c>
      <c r="FJ214" s="16">
        <v>93</v>
      </c>
      <c r="FK214" s="16">
        <v>136</v>
      </c>
      <c r="FL214" s="16">
        <v>107</v>
      </c>
      <c r="FM214" s="16">
        <v>1260</v>
      </c>
      <c r="FN214" s="16">
        <v>2843</v>
      </c>
      <c r="FO214" s="16">
        <v>4449</v>
      </c>
      <c r="FP214" s="16">
        <v>2033</v>
      </c>
      <c r="FQ214" s="16">
        <v>27711</v>
      </c>
      <c r="FR214" s="16">
        <v>22350</v>
      </c>
      <c r="FS214" s="16">
        <v>962</v>
      </c>
      <c r="FT214" s="16">
        <v>6891</v>
      </c>
      <c r="FU214" s="16">
        <v>2098</v>
      </c>
      <c r="FV214" s="16">
        <v>15838</v>
      </c>
      <c r="FW214" s="16">
        <v>498</v>
      </c>
      <c r="FX214" s="16">
        <v>23673</v>
      </c>
      <c r="FY214" s="16">
        <v>2640</v>
      </c>
      <c r="FZ214" s="16">
        <v>1829</v>
      </c>
      <c r="GA214" s="16">
        <v>269</v>
      </c>
      <c r="GB214" s="16">
        <v>3687</v>
      </c>
      <c r="GC214" s="16">
        <v>1404</v>
      </c>
      <c r="GD214" s="16">
        <v>32052</v>
      </c>
      <c r="GE214" s="16">
        <v>15718</v>
      </c>
      <c r="GF214" s="16">
        <v>87504</v>
      </c>
      <c r="GG214" s="16">
        <v>12315</v>
      </c>
      <c r="GH214" s="16">
        <v>55814</v>
      </c>
      <c r="GI214" s="16">
        <v>7138</v>
      </c>
      <c r="GJ214" s="16">
        <v>694741</v>
      </c>
      <c r="GK214" s="16">
        <v>45051</v>
      </c>
      <c r="GL214" s="16">
        <v>6590</v>
      </c>
      <c r="GM214" s="16">
        <v>19852</v>
      </c>
      <c r="GN214" s="16">
        <v>20607</v>
      </c>
      <c r="GO214" s="16">
        <v>27269</v>
      </c>
      <c r="GP214" s="16">
        <v>22065</v>
      </c>
      <c r="GQ214" s="16">
        <v>10566</v>
      </c>
      <c r="GR214" s="16">
        <v>23326</v>
      </c>
      <c r="GS214" s="16">
        <v>14479</v>
      </c>
      <c r="GT214" s="16">
        <v>17380</v>
      </c>
      <c r="GU214" s="16">
        <v>11780</v>
      </c>
      <c r="GV214" s="16">
        <v>103052</v>
      </c>
      <c r="GW214" s="16">
        <v>20882</v>
      </c>
      <c r="GX214" s="16">
        <v>1493</v>
      </c>
      <c r="GY214" s="16">
        <v>7</v>
      </c>
      <c r="GZ214" s="16">
        <v>99752</v>
      </c>
      <c r="HA214" s="16">
        <v>114499</v>
      </c>
      <c r="HB214" s="16">
        <v>88734</v>
      </c>
      <c r="HC214" s="16">
        <v>155397</v>
      </c>
      <c r="HD214" s="16">
        <v>343925</v>
      </c>
      <c r="HE214" s="16">
        <v>9598</v>
      </c>
      <c r="HF214" s="16">
        <v>468715</v>
      </c>
      <c r="HG214" s="16">
        <v>82010</v>
      </c>
      <c r="HH214" s="16">
        <v>62612</v>
      </c>
      <c r="HI214" s="16">
        <v>73844</v>
      </c>
      <c r="HJ214" s="16">
        <v>27884</v>
      </c>
      <c r="HK214" s="16">
        <v>117639</v>
      </c>
      <c r="HL214" s="16">
        <v>2123485</v>
      </c>
      <c r="HM214" s="16">
        <v>30698</v>
      </c>
      <c r="HN214" s="16">
        <v>89472</v>
      </c>
      <c r="HO214" s="16">
        <v>1740</v>
      </c>
      <c r="HP214" s="16">
        <v>2185</v>
      </c>
      <c r="HQ214" s="16">
        <v>124546</v>
      </c>
      <c r="HR214" s="16">
        <v>44672</v>
      </c>
      <c r="HS214" s="16">
        <v>54875</v>
      </c>
      <c r="HT214" s="16">
        <v>11693</v>
      </c>
      <c r="HU214" s="16">
        <v>25174</v>
      </c>
      <c r="HV214" s="16">
        <v>5083</v>
      </c>
      <c r="HW214" s="16">
        <v>6463</v>
      </c>
      <c r="HX214" s="16">
        <v>59298</v>
      </c>
      <c r="HY214" s="16">
        <v>1380</v>
      </c>
      <c r="HZ214" s="16">
        <v>269052</v>
      </c>
      <c r="IA214" s="16">
        <v>84347</v>
      </c>
      <c r="IB214" s="16">
        <v>2699</v>
      </c>
      <c r="IC214" s="16">
        <v>2435</v>
      </c>
      <c r="ID214" s="16">
        <v>44956</v>
      </c>
      <c r="IE214" s="16">
        <v>1017</v>
      </c>
      <c r="IF214" s="16">
        <v>6656</v>
      </c>
      <c r="IG214" s="16">
        <v>217097</v>
      </c>
      <c r="IH214" s="16">
        <v>219494</v>
      </c>
      <c r="II214" s="16">
        <v>29768</v>
      </c>
      <c r="IJ214" s="16">
        <v>11660</v>
      </c>
      <c r="IK214" s="16">
        <v>31900</v>
      </c>
      <c r="IL214" s="16">
        <v>24208</v>
      </c>
      <c r="IM214" s="16">
        <v>2556</v>
      </c>
      <c r="IN214" s="16">
        <v>5004</v>
      </c>
      <c r="IO214" s="16">
        <v>192382</v>
      </c>
      <c r="IP214" s="16">
        <v>46749</v>
      </c>
      <c r="IQ214" s="16">
        <v>3187</v>
      </c>
      <c r="IR214" s="16">
        <v>12905</v>
      </c>
      <c r="IS214" s="16">
        <v>7066</v>
      </c>
      <c r="IT214" s="16">
        <v>13215</v>
      </c>
      <c r="IU214" s="16">
        <v>33</v>
      </c>
      <c r="IV214" s="16">
        <v>18518</v>
      </c>
      <c r="IW214" s="16">
        <v>2790</v>
      </c>
      <c r="IX214" s="16">
        <v>1702</v>
      </c>
      <c r="IY214" s="16">
        <v>6004</v>
      </c>
      <c r="IZ214" s="16">
        <v>568</v>
      </c>
      <c r="JA214" s="16">
        <v>740</v>
      </c>
      <c r="JB214" s="16">
        <v>208</v>
      </c>
      <c r="JC214" s="16">
        <v>0</v>
      </c>
      <c r="JD214" s="16">
        <v>42</v>
      </c>
      <c r="JE214" s="16">
        <v>30061</v>
      </c>
      <c r="JF214" s="16">
        <v>2122</v>
      </c>
      <c r="JG214" s="16">
        <v>24775</v>
      </c>
      <c r="JH214" s="16">
        <v>74799</v>
      </c>
      <c r="JI214" s="16">
        <v>11092</v>
      </c>
      <c r="JJ214" s="16">
        <v>298891</v>
      </c>
      <c r="JK214" s="16">
        <v>50168</v>
      </c>
      <c r="JL214" s="16">
        <v>2094</v>
      </c>
      <c r="JM214" s="16">
        <v>13266</v>
      </c>
      <c r="JN214" s="16">
        <v>157238</v>
      </c>
      <c r="JO214" s="16">
        <v>3977</v>
      </c>
      <c r="JP214" s="16">
        <v>73</v>
      </c>
      <c r="JQ214" s="16">
        <v>999</v>
      </c>
      <c r="JR214" s="16">
        <v>86073</v>
      </c>
      <c r="JS214" s="16">
        <v>43318</v>
      </c>
      <c r="JT214" s="16">
        <v>0</v>
      </c>
      <c r="JU214" s="16">
        <v>36798</v>
      </c>
      <c r="JV214" s="16">
        <v>1771</v>
      </c>
      <c r="JW214" s="16">
        <v>709152</v>
      </c>
      <c r="JX214" s="16">
        <v>1191199</v>
      </c>
      <c r="JY214" s="16">
        <v>279467</v>
      </c>
      <c r="JZ214" s="16">
        <v>19258</v>
      </c>
      <c r="KA214" s="16">
        <v>43528</v>
      </c>
      <c r="KB214" s="16">
        <v>6353</v>
      </c>
      <c r="KC214" s="16">
        <v>6710</v>
      </c>
      <c r="KD214" s="16">
        <v>8758</v>
      </c>
      <c r="KE214" s="16">
        <v>866</v>
      </c>
      <c r="KF214" s="16">
        <v>14097</v>
      </c>
      <c r="KG214" s="16">
        <v>8531</v>
      </c>
      <c r="KH214" s="16">
        <v>1613604</v>
      </c>
      <c r="KI214" s="16">
        <v>137563</v>
      </c>
      <c r="KJ214" s="16">
        <v>1007315</v>
      </c>
      <c r="KK214" s="16">
        <v>84592</v>
      </c>
      <c r="KL214" s="16">
        <v>122</v>
      </c>
      <c r="KM214" s="16">
        <v>70</v>
      </c>
      <c r="KN214" s="16">
        <v>7</v>
      </c>
      <c r="KO214" s="16">
        <v>1779</v>
      </c>
      <c r="KP214" s="16">
        <v>18</v>
      </c>
      <c r="KQ214" s="16">
        <v>788</v>
      </c>
      <c r="KR214" s="16">
        <v>6650</v>
      </c>
      <c r="KS214" s="16">
        <v>4680</v>
      </c>
      <c r="KT214" s="16">
        <v>721</v>
      </c>
      <c r="KU214" s="16">
        <v>2667</v>
      </c>
      <c r="KV214" s="16">
        <v>5613</v>
      </c>
      <c r="KW214" s="16">
        <v>9875</v>
      </c>
      <c r="KX214" s="16">
        <v>0</v>
      </c>
      <c r="KY214" s="16">
        <v>9401</v>
      </c>
      <c r="KZ214" s="16">
        <v>10612</v>
      </c>
      <c r="LA214" s="16">
        <v>2571</v>
      </c>
      <c r="LB214" s="16">
        <v>2929</v>
      </c>
      <c r="LC214" s="16">
        <v>2977</v>
      </c>
      <c r="LD214" s="16">
        <v>10146</v>
      </c>
      <c r="LE214" s="16">
        <v>150973</v>
      </c>
      <c r="LF214" s="16">
        <v>582436</v>
      </c>
      <c r="LG214" s="16">
        <v>120045</v>
      </c>
      <c r="LH214" s="16">
        <v>59519</v>
      </c>
      <c r="LI214" s="16">
        <v>3073</v>
      </c>
      <c r="LJ214" s="16">
        <v>5261</v>
      </c>
      <c r="LK214" s="16">
        <v>10677</v>
      </c>
      <c r="LL214" s="16">
        <v>4103</v>
      </c>
      <c r="LM214" s="16">
        <v>10439</v>
      </c>
      <c r="LN214" s="16">
        <v>24219</v>
      </c>
      <c r="LO214" s="16">
        <v>273</v>
      </c>
      <c r="LP214" s="16">
        <v>10922</v>
      </c>
      <c r="LQ214" s="16">
        <v>1322</v>
      </c>
      <c r="LR214" s="16">
        <v>1826</v>
      </c>
      <c r="LS214" s="16">
        <v>408</v>
      </c>
      <c r="LT214" s="16">
        <v>266</v>
      </c>
      <c r="LU214" s="16">
        <v>139</v>
      </c>
      <c r="LV214" s="16">
        <v>37</v>
      </c>
      <c r="LW214" s="16">
        <v>128</v>
      </c>
      <c r="LX214" s="16">
        <v>1870</v>
      </c>
      <c r="LY214" s="16">
        <v>0</v>
      </c>
      <c r="LZ214" s="16">
        <v>7073</v>
      </c>
      <c r="MA214" s="16">
        <v>1509</v>
      </c>
      <c r="MB214" s="16">
        <v>39927</v>
      </c>
      <c r="MC214" s="16">
        <v>15148</v>
      </c>
      <c r="MD214" s="16">
        <v>1634</v>
      </c>
      <c r="ME214" s="16">
        <v>1648</v>
      </c>
      <c r="MF214" s="16">
        <v>41867</v>
      </c>
      <c r="MG214" s="16">
        <v>2465</v>
      </c>
      <c r="MH214" s="16">
        <v>398917</v>
      </c>
      <c r="MI214" s="16">
        <v>2380</v>
      </c>
      <c r="MJ214" s="16">
        <v>4436</v>
      </c>
      <c r="MK214" s="16">
        <v>8498</v>
      </c>
      <c r="ML214" s="16">
        <v>2018</v>
      </c>
      <c r="MM214" s="16">
        <v>11662</v>
      </c>
      <c r="MN214" s="16">
        <v>16803</v>
      </c>
      <c r="MO214" s="16">
        <v>15683</v>
      </c>
      <c r="MP214" s="16">
        <v>12278</v>
      </c>
      <c r="MQ214" s="16">
        <v>16438</v>
      </c>
      <c r="MR214" s="16">
        <v>14221</v>
      </c>
      <c r="MS214" s="16">
        <v>9461</v>
      </c>
      <c r="MT214" s="16">
        <v>1196</v>
      </c>
      <c r="MU214" s="16">
        <v>1826</v>
      </c>
      <c r="MV214" s="16">
        <v>16775</v>
      </c>
      <c r="MW214" s="16">
        <v>8094</v>
      </c>
      <c r="MX214" s="16">
        <v>774</v>
      </c>
      <c r="MY214" s="16">
        <v>178</v>
      </c>
      <c r="MZ214" s="16">
        <v>3571</v>
      </c>
      <c r="NA214" s="16">
        <v>1411</v>
      </c>
      <c r="NB214" s="16">
        <v>13094</v>
      </c>
      <c r="NC214" s="16">
        <v>7529</v>
      </c>
      <c r="ND214" s="16">
        <v>8985</v>
      </c>
      <c r="NE214" s="16">
        <v>0</v>
      </c>
      <c r="NF214" s="16">
        <v>1354</v>
      </c>
      <c r="NG214" s="16">
        <v>0</v>
      </c>
      <c r="NH214" s="16">
        <v>7</v>
      </c>
      <c r="NI214" s="16">
        <v>0</v>
      </c>
      <c r="NJ214" s="16">
        <v>0</v>
      </c>
      <c r="NK214" s="16">
        <v>1414</v>
      </c>
      <c r="NL214" s="16">
        <v>27556</v>
      </c>
      <c r="NM214" s="16">
        <v>1042</v>
      </c>
      <c r="NN214" s="16">
        <v>0</v>
      </c>
      <c r="NO214" s="16">
        <v>0</v>
      </c>
      <c r="NP214" s="16">
        <v>0</v>
      </c>
      <c r="NQ214" s="16">
        <v>906</v>
      </c>
      <c r="NR214" s="17">
        <v>14752370</v>
      </c>
    </row>
    <row r="215" spans="1:382" ht="13.5" customHeight="1" x14ac:dyDescent="0.2">
      <c r="A215" s="2" t="s">
        <v>437</v>
      </c>
      <c r="B215" s="16">
        <v>0</v>
      </c>
      <c r="C215" s="16">
        <v>0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11</v>
      </c>
      <c r="P215" s="16">
        <v>987</v>
      </c>
      <c r="Q215" s="16">
        <v>1390</v>
      </c>
      <c r="R215" s="16">
        <v>264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68</v>
      </c>
      <c r="Y215" s="16">
        <v>1331</v>
      </c>
      <c r="Z215" s="16">
        <v>485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927</v>
      </c>
      <c r="AK215" s="16">
        <v>1458</v>
      </c>
      <c r="AL215" s="16">
        <v>633</v>
      </c>
      <c r="AM215" s="16">
        <v>602</v>
      </c>
      <c r="AN215" s="16">
        <v>537</v>
      </c>
      <c r="AO215" s="16">
        <v>236</v>
      </c>
      <c r="AP215" s="16">
        <v>0</v>
      </c>
      <c r="AQ215" s="16">
        <v>0</v>
      </c>
      <c r="AR215" s="16">
        <v>0</v>
      </c>
      <c r="AS215" s="16">
        <v>0</v>
      </c>
      <c r="AT215" s="16">
        <v>0</v>
      </c>
      <c r="AU215" s="16">
        <v>22</v>
      </c>
      <c r="AV215" s="16">
        <v>0</v>
      </c>
      <c r="AW215" s="16">
        <v>0</v>
      </c>
      <c r="AX215" s="16">
        <v>33</v>
      </c>
      <c r="AY215" s="16">
        <v>3523</v>
      </c>
      <c r="AZ215" s="16">
        <v>0</v>
      </c>
      <c r="BA215" s="16">
        <v>88</v>
      </c>
      <c r="BB215" s="16">
        <v>25</v>
      </c>
      <c r="BC215" s="16">
        <v>0</v>
      </c>
      <c r="BD215" s="16">
        <v>0</v>
      </c>
      <c r="BE215" s="16">
        <v>157</v>
      </c>
      <c r="BF215" s="16">
        <v>1710</v>
      </c>
      <c r="BG215" s="16">
        <v>566</v>
      </c>
      <c r="BH215" s="16">
        <v>0</v>
      </c>
      <c r="BI215" s="16">
        <v>0</v>
      </c>
      <c r="BJ215" s="16">
        <v>0</v>
      </c>
      <c r="BK215" s="16">
        <v>0</v>
      </c>
      <c r="BL215" s="16">
        <v>0</v>
      </c>
      <c r="BM215" s="16">
        <v>0</v>
      </c>
      <c r="BN215" s="16">
        <v>0</v>
      </c>
      <c r="BO215" s="16">
        <v>0</v>
      </c>
      <c r="BP215" s="16">
        <v>0</v>
      </c>
      <c r="BQ215" s="16">
        <v>0</v>
      </c>
      <c r="BR215" s="16">
        <v>0</v>
      </c>
      <c r="BS215" s="16">
        <v>0</v>
      </c>
      <c r="BT215" s="16">
        <v>0</v>
      </c>
      <c r="BU215" s="16">
        <v>0</v>
      </c>
      <c r="BV215" s="16">
        <v>0</v>
      </c>
      <c r="BW215" s="16">
        <v>0</v>
      </c>
      <c r="BX215" s="16">
        <v>0</v>
      </c>
      <c r="BY215" s="16">
        <v>0</v>
      </c>
      <c r="BZ215" s="16">
        <v>193</v>
      </c>
      <c r="CA215" s="16">
        <v>0</v>
      </c>
      <c r="CB215" s="16">
        <v>0</v>
      </c>
      <c r="CC215" s="16">
        <v>0</v>
      </c>
      <c r="CD215" s="16">
        <v>0</v>
      </c>
      <c r="CE215" s="16">
        <v>0</v>
      </c>
      <c r="CF215" s="16">
        <v>0</v>
      </c>
      <c r="CG215" s="16">
        <v>0</v>
      </c>
      <c r="CH215" s="16">
        <v>0</v>
      </c>
      <c r="CI215" s="16">
        <v>0</v>
      </c>
      <c r="CJ215" s="16">
        <v>0</v>
      </c>
      <c r="CK215" s="16">
        <v>0</v>
      </c>
      <c r="CL215" s="16">
        <v>0</v>
      </c>
      <c r="CM215" s="16">
        <v>0</v>
      </c>
      <c r="CN215" s="16">
        <v>0</v>
      </c>
      <c r="CO215" s="16">
        <v>0</v>
      </c>
      <c r="CP215" s="16">
        <v>0</v>
      </c>
      <c r="CQ215" s="16">
        <v>0</v>
      </c>
      <c r="CR215" s="16">
        <v>0</v>
      </c>
      <c r="CS215" s="16">
        <v>0</v>
      </c>
      <c r="CT215" s="16">
        <v>0</v>
      </c>
      <c r="CU215" s="16">
        <v>0</v>
      </c>
      <c r="CV215" s="16">
        <v>0</v>
      </c>
      <c r="CW215" s="16">
        <v>0</v>
      </c>
      <c r="CX215" s="16">
        <v>0</v>
      </c>
      <c r="CY215" s="16">
        <v>0</v>
      </c>
      <c r="CZ215" s="16">
        <v>0</v>
      </c>
      <c r="DA215" s="16">
        <v>0</v>
      </c>
      <c r="DB215" s="16">
        <v>0</v>
      </c>
      <c r="DC215" s="16">
        <v>0</v>
      </c>
      <c r="DD215" s="16">
        <v>0</v>
      </c>
      <c r="DE215" s="16">
        <v>0</v>
      </c>
      <c r="DF215" s="16">
        <v>0</v>
      </c>
      <c r="DG215" s="16">
        <v>0</v>
      </c>
      <c r="DH215" s="16">
        <v>0</v>
      </c>
      <c r="DI215" s="16">
        <v>0</v>
      </c>
      <c r="DJ215" s="16">
        <v>0</v>
      </c>
      <c r="DK215" s="16">
        <v>0</v>
      </c>
      <c r="DL215" s="16">
        <v>0</v>
      </c>
      <c r="DM215" s="16">
        <v>0</v>
      </c>
      <c r="DN215" s="16">
        <v>0</v>
      </c>
      <c r="DO215" s="16">
        <v>0</v>
      </c>
      <c r="DP215" s="16">
        <v>0</v>
      </c>
      <c r="DQ215" s="16">
        <v>0</v>
      </c>
      <c r="DR215" s="16">
        <v>0</v>
      </c>
      <c r="DS215" s="16">
        <v>0</v>
      </c>
      <c r="DT215" s="16">
        <v>0</v>
      </c>
      <c r="DU215" s="16">
        <v>0</v>
      </c>
      <c r="DV215" s="16">
        <v>0</v>
      </c>
      <c r="DW215" s="16">
        <v>0</v>
      </c>
      <c r="DX215" s="16">
        <v>0</v>
      </c>
      <c r="DY215" s="16">
        <v>0</v>
      </c>
      <c r="DZ215" s="16">
        <v>0</v>
      </c>
      <c r="EA215" s="16">
        <v>0</v>
      </c>
      <c r="EB215" s="16">
        <v>0</v>
      </c>
      <c r="EC215" s="16">
        <v>0</v>
      </c>
      <c r="ED215" s="16">
        <v>0</v>
      </c>
      <c r="EE215" s="16">
        <v>0</v>
      </c>
      <c r="EF215" s="16">
        <v>0</v>
      </c>
      <c r="EG215" s="16">
        <v>0</v>
      </c>
      <c r="EH215" s="16">
        <v>0</v>
      </c>
      <c r="EI215" s="16">
        <v>0</v>
      </c>
      <c r="EJ215" s="16">
        <v>0</v>
      </c>
      <c r="EK215" s="16">
        <v>0</v>
      </c>
      <c r="EL215" s="16">
        <v>0</v>
      </c>
      <c r="EM215" s="16">
        <v>0</v>
      </c>
      <c r="EN215" s="16">
        <v>0</v>
      </c>
      <c r="EO215" s="16">
        <v>0</v>
      </c>
      <c r="EP215" s="16">
        <v>0</v>
      </c>
      <c r="EQ215" s="16">
        <v>0</v>
      </c>
      <c r="ER215" s="16">
        <v>0</v>
      </c>
      <c r="ES215" s="16">
        <v>0</v>
      </c>
      <c r="ET215" s="16">
        <v>0</v>
      </c>
      <c r="EU215" s="16">
        <v>0</v>
      </c>
      <c r="EV215" s="16">
        <v>0</v>
      </c>
      <c r="EW215" s="16">
        <v>0</v>
      </c>
      <c r="EX215" s="16">
        <v>0</v>
      </c>
      <c r="EY215" s="16">
        <v>0</v>
      </c>
      <c r="EZ215" s="16">
        <v>0</v>
      </c>
      <c r="FA215" s="16">
        <v>0</v>
      </c>
      <c r="FB215" s="16">
        <v>0</v>
      </c>
      <c r="FC215" s="16">
        <v>0</v>
      </c>
      <c r="FD215" s="16">
        <v>0</v>
      </c>
      <c r="FE215" s="16">
        <v>0</v>
      </c>
      <c r="FF215" s="16">
        <v>0</v>
      </c>
      <c r="FG215" s="16">
        <v>0</v>
      </c>
      <c r="FH215" s="16">
        <v>0</v>
      </c>
      <c r="FI215" s="16">
        <v>0</v>
      </c>
      <c r="FJ215" s="16">
        <v>0</v>
      </c>
      <c r="FK215" s="16">
        <v>0</v>
      </c>
      <c r="FL215" s="16">
        <v>0</v>
      </c>
      <c r="FM215" s="16">
        <v>0</v>
      </c>
      <c r="FN215" s="16">
        <v>0</v>
      </c>
      <c r="FO215" s="16">
        <v>0</v>
      </c>
      <c r="FP215" s="16">
        <v>0</v>
      </c>
      <c r="FQ215" s="16">
        <v>0</v>
      </c>
      <c r="FR215" s="16">
        <v>0</v>
      </c>
      <c r="FS215" s="16">
        <v>0</v>
      </c>
      <c r="FT215" s="16">
        <v>0</v>
      </c>
      <c r="FU215" s="16">
        <v>0</v>
      </c>
      <c r="FV215" s="16">
        <v>0</v>
      </c>
      <c r="FW215" s="16">
        <v>0</v>
      </c>
      <c r="FX215" s="16">
        <v>0</v>
      </c>
      <c r="FY215" s="16">
        <v>0</v>
      </c>
      <c r="FZ215" s="16">
        <v>0</v>
      </c>
      <c r="GA215" s="16">
        <v>0</v>
      </c>
      <c r="GB215" s="16">
        <v>0</v>
      </c>
      <c r="GC215" s="16">
        <v>0</v>
      </c>
      <c r="GD215" s="16">
        <v>0</v>
      </c>
      <c r="GE215" s="16">
        <v>0</v>
      </c>
      <c r="GF215" s="16">
        <v>0</v>
      </c>
      <c r="GG215" s="16">
        <v>0</v>
      </c>
      <c r="GH215" s="16">
        <v>0</v>
      </c>
      <c r="GI215" s="16">
        <v>0</v>
      </c>
      <c r="GJ215" s="16">
        <v>0</v>
      </c>
      <c r="GK215" s="16">
        <v>0</v>
      </c>
      <c r="GL215" s="16">
        <v>0</v>
      </c>
      <c r="GM215" s="16">
        <v>0</v>
      </c>
      <c r="GN215" s="16">
        <v>0</v>
      </c>
      <c r="GO215" s="16">
        <v>0</v>
      </c>
      <c r="GP215" s="16">
        <v>0</v>
      </c>
      <c r="GQ215" s="16">
        <v>0</v>
      </c>
      <c r="GR215" s="16">
        <v>0</v>
      </c>
      <c r="GS215" s="16">
        <v>0</v>
      </c>
      <c r="GT215" s="16">
        <v>0</v>
      </c>
      <c r="GU215" s="16">
        <v>0</v>
      </c>
      <c r="GV215" s="16">
        <v>0</v>
      </c>
      <c r="GW215" s="16">
        <v>0</v>
      </c>
      <c r="GX215" s="16">
        <v>0</v>
      </c>
      <c r="GY215" s="16">
        <v>0</v>
      </c>
      <c r="GZ215" s="16">
        <v>0</v>
      </c>
      <c r="HA215" s="16">
        <v>0</v>
      </c>
      <c r="HB215" s="16">
        <v>0</v>
      </c>
      <c r="HC215" s="16">
        <v>0</v>
      </c>
      <c r="HD215" s="16">
        <v>0</v>
      </c>
      <c r="HE215" s="16">
        <v>0</v>
      </c>
      <c r="HF215" s="16">
        <v>0</v>
      </c>
      <c r="HG215" s="16">
        <v>35842</v>
      </c>
      <c r="HH215" s="16">
        <v>114</v>
      </c>
      <c r="HI215" s="16">
        <v>8</v>
      </c>
      <c r="HJ215" s="16">
        <v>0</v>
      </c>
      <c r="HK215" s="16">
        <v>0</v>
      </c>
      <c r="HL215" s="16">
        <v>0</v>
      </c>
      <c r="HM215" s="16">
        <v>0</v>
      </c>
      <c r="HN215" s="16">
        <v>188</v>
      </c>
      <c r="HO215" s="16">
        <v>0</v>
      </c>
      <c r="HP215" s="16">
        <v>0</v>
      </c>
      <c r="HQ215" s="16">
        <v>0</v>
      </c>
      <c r="HR215" s="16">
        <v>50</v>
      </c>
      <c r="HS215" s="16">
        <v>0</v>
      </c>
      <c r="HT215" s="16">
        <v>0</v>
      </c>
      <c r="HU215" s="16">
        <v>0</v>
      </c>
      <c r="HV215" s="16">
        <v>0</v>
      </c>
      <c r="HW215" s="16">
        <v>0</v>
      </c>
      <c r="HX215" s="16">
        <v>0</v>
      </c>
      <c r="HY215" s="16">
        <v>0</v>
      </c>
      <c r="HZ215" s="16">
        <v>0</v>
      </c>
      <c r="IA215" s="16">
        <v>0</v>
      </c>
      <c r="IB215" s="16">
        <v>0</v>
      </c>
      <c r="IC215" s="16">
        <v>0</v>
      </c>
      <c r="ID215" s="16">
        <v>0</v>
      </c>
      <c r="IE215" s="16">
        <v>0</v>
      </c>
      <c r="IF215" s="16">
        <v>0</v>
      </c>
      <c r="IG215" s="16">
        <v>0</v>
      </c>
      <c r="IH215" s="16">
        <v>0</v>
      </c>
      <c r="II215" s="16">
        <v>0</v>
      </c>
      <c r="IJ215" s="16">
        <v>0</v>
      </c>
      <c r="IK215" s="16">
        <v>0</v>
      </c>
      <c r="IL215" s="16">
        <v>0</v>
      </c>
      <c r="IM215" s="16">
        <v>0</v>
      </c>
      <c r="IN215" s="16">
        <v>0</v>
      </c>
      <c r="IO215" s="16">
        <v>4</v>
      </c>
      <c r="IP215" s="16">
        <v>419</v>
      </c>
      <c r="IQ215" s="16">
        <v>792</v>
      </c>
      <c r="IR215" s="16">
        <v>0</v>
      </c>
      <c r="IS215" s="16">
        <v>0</v>
      </c>
      <c r="IT215" s="16">
        <v>0</v>
      </c>
      <c r="IU215" s="16">
        <v>0</v>
      </c>
      <c r="IV215" s="16">
        <v>0</v>
      </c>
      <c r="IW215" s="16">
        <v>66</v>
      </c>
      <c r="IX215" s="16">
        <v>0</v>
      </c>
      <c r="IY215" s="16">
        <v>0</v>
      </c>
      <c r="IZ215" s="16">
        <v>0</v>
      </c>
      <c r="JA215" s="16">
        <v>0</v>
      </c>
      <c r="JB215" s="16">
        <v>0</v>
      </c>
      <c r="JC215" s="16">
        <v>0</v>
      </c>
      <c r="JD215" s="16">
        <v>0</v>
      </c>
      <c r="JE215" s="16">
        <v>0</v>
      </c>
      <c r="JF215" s="16">
        <v>34</v>
      </c>
      <c r="JG215" s="16">
        <v>9905</v>
      </c>
      <c r="JH215" s="16">
        <v>451</v>
      </c>
      <c r="JI215" s="16">
        <v>0</v>
      </c>
      <c r="JJ215" s="16">
        <v>0</v>
      </c>
      <c r="JK215" s="16">
        <v>0</v>
      </c>
      <c r="JL215" s="16">
        <v>0</v>
      </c>
      <c r="JM215" s="16">
        <v>0</v>
      </c>
      <c r="JN215" s="16">
        <v>0</v>
      </c>
      <c r="JO215" s="16">
        <v>0</v>
      </c>
      <c r="JP215" s="16">
        <v>0</v>
      </c>
      <c r="JQ215" s="16">
        <v>0</v>
      </c>
      <c r="JR215" s="16">
        <v>0</v>
      </c>
      <c r="JS215" s="16">
        <v>0</v>
      </c>
      <c r="JT215" s="16">
        <v>0</v>
      </c>
      <c r="JU215" s="16">
        <v>0</v>
      </c>
      <c r="JV215" s="16">
        <v>51</v>
      </c>
      <c r="JW215" s="16">
        <v>11273</v>
      </c>
      <c r="JX215" s="16">
        <v>2067</v>
      </c>
      <c r="JY215" s="16">
        <v>83</v>
      </c>
      <c r="JZ215" s="16">
        <v>0</v>
      </c>
      <c r="KA215" s="16">
        <v>0</v>
      </c>
      <c r="KB215" s="16">
        <v>0</v>
      </c>
      <c r="KC215" s="16">
        <v>0</v>
      </c>
      <c r="KD215" s="16">
        <v>0</v>
      </c>
      <c r="KE215" s="16">
        <v>0</v>
      </c>
      <c r="KF215" s="16">
        <v>15</v>
      </c>
      <c r="KG215" s="16">
        <v>37</v>
      </c>
      <c r="KH215" s="16">
        <v>0</v>
      </c>
      <c r="KI215" s="16">
        <v>2018</v>
      </c>
      <c r="KJ215" s="16">
        <v>0</v>
      </c>
      <c r="KK215" s="16">
        <v>45383</v>
      </c>
      <c r="KL215" s="16">
        <v>0</v>
      </c>
      <c r="KM215" s="16">
        <v>0</v>
      </c>
      <c r="KN215" s="16">
        <v>0</v>
      </c>
      <c r="KO215" s="16">
        <v>0</v>
      </c>
      <c r="KP215" s="16">
        <v>0</v>
      </c>
      <c r="KQ215" s="16">
        <v>0</v>
      </c>
      <c r="KR215" s="16">
        <v>0</v>
      </c>
      <c r="KS215" s="16">
        <v>0</v>
      </c>
      <c r="KT215" s="16">
        <v>0</v>
      </c>
      <c r="KU215" s="16">
        <v>0</v>
      </c>
      <c r="KV215" s="16">
        <v>2806</v>
      </c>
      <c r="KW215" s="16">
        <v>0</v>
      </c>
      <c r="KX215" s="16">
        <v>26</v>
      </c>
      <c r="KY215" s="16">
        <v>587</v>
      </c>
      <c r="KZ215" s="16">
        <v>22207</v>
      </c>
      <c r="LA215" s="16">
        <v>11259</v>
      </c>
      <c r="LB215" s="16">
        <v>13123</v>
      </c>
      <c r="LC215" s="16">
        <v>27731</v>
      </c>
      <c r="LD215" s="16">
        <v>4386</v>
      </c>
      <c r="LE215" s="16">
        <v>0</v>
      </c>
      <c r="LF215" s="16">
        <v>0</v>
      </c>
      <c r="LG215" s="16">
        <v>0</v>
      </c>
      <c r="LH215" s="16">
        <v>0</v>
      </c>
      <c r="LI215" s="16">
        <v>0</v>
      </c>
      <c r="LJ215" s="16">
        <v>0</v>
      </c>
      <c r="LK215" s="16">
        <v>0</v>
      </c>
      <c r="LL215" s="16">
        <v>39</v>
      </c>
      <c r="LM215" s="16">
        <v>236</v>
      </c>
      <c r="LN215" s="16">
        <v>0</v>
      </c>
      <c r="LO215" s="16">
        <v>0</v>
      </c>
      <c r="LP215" s="16">
        <v>358</v>
      </c>
      <c r="LQ215" s="16">
        <v>72</v>
      </c>
      <c r="LR215" s="16">
        <v>36</v>
      </c>
      <c r="LS215" s="16">
        <v>0</v>
      </c>
      <c r="LT215" s="16">
        <v>9</v>
      </c>
      <c r="LU215" s="16">
        <v>0</v>
      </c>
      <c r="LV215" s="16">
        <v>0</v>
      </c>
      <c r="LW215" s="16">
        <v>0</v>
      </c>
      <c r="LX215" s="16">
        <v>0</v>
      </c>
      <c r="LY215" s="16">
        <v>16463</v>
      </c>
      <c r="LZ215" s="16">
        <v>152</v>
      </c>
      <c r="MA215" s="16">
        <v>656</v>
      </c>
      <c r="MB215" s="16">
        <v>0</v>
      </c>
      <c r="MC215" s="16">
        <v>1262</v>
      </c>
      <c r="MD215" s="16">
        <v>876</v>
      </c>
      <c r="ME215" s="16">
        <v>1731</v>
      </c>
      <c r="MF215" s="16">
        <v>26934</v>
      </c>
      <c r="MG215" s="16">
        <v>1400</v>
      </c>
      <c r="MH215" s="16">
        <v>1785</v>
      </c>
      <c r="MI215" s="16">
        <v>1699</v>
      </c>
      <c r="MJ215" s="16">
        <v>516</v>
      </c>
      <c r="MK215" s="16">
        <v>727</v>
      </c>
      <c r="ML215" s="16">
        <v>37</v>
      </c>
      <c r="MM215" s="16">
        <v>1125</v>
      </c>
      <c r="MN215" s="16">
        <v>0</v>
      </c>
      <c r="MO215" s="16">
        <v>4431</v>
      </c>
      <c r="MP215" s="16">
        <v>1910</v>
      </c>
      <c r="MQ215" s="16">
        <v>10820</v>
      </c>
      <c r="MR215" s="16">
        <v>3660</v>
      </c>
      <c r="MS215" s="16">
        <v>1626</v>
      </c>
      <c r="MT215" s="16">
        <v>1781</v>
      </c>
      <c r="MU215" s="16">
        <v>2932</v>
      </c>
      <c r="MV215" s="16">
        <v>215</v>
      </c>
      <c r="MW215" s="16">
        <v>6072</v>
      </c>
      <c r="MX215" s="16">
        <v>220</v>
      </c>
      <c r="MY215" s="16">
        <v>1545</v>
      </c>
      <c r="MZ215" s="16">
        <v>6121</v>
      </c>
      <c r="NA215" s="16">
        <v>89</v>
      </c>
      <c r="NB215" s="16">
        <v>8308</v>
      </c>
      <c r="NC215" s="16">
        <v>409</v>
      </c>
      <c r="ND215" s="16">
        <v>0</v>
      </c>
      <c r="NE215" s="16">
        <v>2904</v>
      </c>
      <c r="NF215" s="16">
        <v>0</v>
      </c>
      <c r="NG215" s="16">
        <v>885</v>
      </c>
      <c r="NH215" s="16">
        <v>491</v>
      </c>
      <c r="NI215" s="16">
        <v>0</v>
      </c>
      <c r="NJ215" s="16">
        <v>177</v>
      </c>
      <c r="NK215" s="16">
        <v>241</v>
      </c>
      <c r="NL215" s="16">
        <v>1063</v>
      </c>
      <c r="NM215" s="16">
        <v>2806</v>
      </c>
      <c r="NN215" s="16">
        <v>5309</v>
      </c>
      <c r="NO215" s="16">
        <v>0</v>
      </c>
      <c r="NP215" s="16">
        <v>11124</v>
      </c>
      <c r="NQ215" s="16">
        <v>29</v>
      </c>
      <c r="NR215" s="17">
        <v>337452</v>
      </c>
    </row>
    <row r="216" spans="1:382" ht="13.5" customHeight="1" x14ac:dyDescent="0.2">
      <c r="A216" s="2" t="s">
        <v>439</v>
      </c>
      <c r="B216" s="16">
        <v>2</v>
      </c>
      <c r="C216" s="16">
        <v>0</v>
      </c>
      <c r="D216" s="16">
        <v>0</v>
      </c>
      <c r="E216" s="16">
        <v>0</v>
      </c>
      <c r="F216" s="16">
        <v>8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3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98</v>
      </c>
      <c r="Y216" s="16">
        <v>0</v>
      </c>
      <c r="Z216" s="16">
        <v>69</v>
      </c>
      <c r="AA216" s="16">
        <v>1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113</v>
      </c>
      <c r="AN216" s="16">
        <v>10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>
        <v>0</v>
      </c>
      <c r="AU216" s="16">
        <v>25</v>
      </c>
      <c r="AV216" s="16">
        <v>15</v>
      </c>
      <c r="AW216" s="16">
        <v>355</v>
      </c>
      <c r="AX216" s="16">
        <v>0</v>
      </c>
      <c r="AY216" s="16">
        <v>0</v>
      </c>
      <c r="AZ216" s="16">
        <v>61</v>
      </c>
      <c r="BA216" s="16">
        <v>0</v>
      </c>
      <c r="BB216" s="16">
        <v>0</v>
      </c>
      <c r="BC216" s="16">
        <v>0</v>
      </c>
      <c r="BD216" s="16">
        <v>0</v>
      </c>
      <c r="BE216" s="16">
        <v>0</v>
      </c>
      <c r="BF216" s="16">
        <v>0</v>
      </c>
      <c r="BG216" s="16">
        <v>0</v>
      </c>
      <c r="BH216" s="16">
        <v>63</v>
      </c>
      <c r="BI216" s="16">
        <v>0</v>
      </c>
      <c r="BJ216" s="16">
        <v>1</v>
      </c>
      <c r="BK216" s="16">
        <v>0</v>
      </c>
      <c r="BL216" s="16">
        <v>9</v>
      </c>
      <c r="BM216" s="16">
        <v>0</v>
      </c>
      <c r="BN216" s="16">
        <v>0</v>
      </c>
      <c r="BO216" s="16">
        <v>0</v>
      </c>
      <c r="BP216" s="16">
        <v>4</v>
      </c>
      <c r="BQ216" s="16">
        <v>0</v>
      </c>
      <c r="BR216" s="16">
        <v>0</v>
      </c>
      <c r="BS216" s="16">
        <v>905</v>
      </c>
      <c r="BT216" s="16">
        <v>0</v>
      </c>
      <c r="BU216" s="16">
        <v>0</v>
      </c>
      <c r="BV216" s="16">
        <v>0</v>
      </c>
      <c r="BW216" s="16">
        <v>0</v>
      </c>
      <c r="BX216" s="16">
        <v>0</v>
      </c>
      <c r="BY216" s="16">
        <v>0</v>
      </c>
      <c r="BZ216" s="16">
        <v>0</v>
      </c>
      <c r="CA216" s="16">
        <v>0</v>
      </c>
      <c r="CB216" s="16">
        <v>0</v>
      </c>
      <c r="CC216" s="16">
        <v>19</v>
      </c>
      <c r="CD216" s="16">
        <v>0</v>
      </c>
      <c r="CE216" s="16">
        <v>0</v>
      </c>
      <c r="CF216" s="16">
        <v>0</v>
      </c>
      <c r="CG216" s="16">
        <v>3</v>
      </c>
      <c r="CH216" s="16">
        <v>0</v>
      </c>
      <c r="CI216" s="16">
        <v>0</v>
      </c>
      <c r="CJ216" s="16">
        <v>1</v>
      </c>
      <c r="CK216" s="16">
        <v>3</v>
      </c>
      <c r="CL216" s="16">
        <v>0</v>
      </c>
      <c r="CM216" s="16">
        <v>0</v>
      </c>
      <c r="CN216" s="16">
        <v>0</v>
      </c>
      <c r="CO216" s="16">
        <v>16</v>
      </c>
      <c r="CP216" s="16">
        <v>1</v>
      </c>
      <c r="CQ216" s="16">
        <v>147</v>
      </c>
      <c r="CR216" s="16">
        <v>0</v>
      </c>
      <c r="CS216" s="16">
        <v>0</v>
      </c>
      <c r="CT216" s="16">
        <v>0</v>
      </c>
      <c r="CU216" s="16">
        <v>0</v>
      </c>
      <c r="CV216" s="16">
        <v>0</v>
      </c>
      <c r="CW216" s="16">
        <v>0</v>
      </c>
      <c r="CX216" s="16">
        <v>0</v>
      </c>
      <c r="CY216" s="16">
        <v>0</v>
      </c>
      <c r="CZ216" s="16">
        <v>0</v>
      </c>
      <c r="DA216" s="16">
        <v>0</v>
      </c>
      <c r="DB216" s="16">
        <v>0</v>
      </c>
      <c r="DC216" s="16">
        <v>0</v>
      </c>
      <c r="DD216" s="16">
        <v>0</v>
      </c>
      <c r="DE216" s="16">
        <v>2</v>
      </c>
      <c r="DF216" s="16">
        <v>16</v>
      </c>
      <c r="DG216" s="16">
        <v>0</v>
      </c>
      <c r="DH216" s="16">
        <v>30</v>
      </c>
      <c r="DI216" s="16">
        <v>0</v>
      </c>
      <c r="DJ216" s="16">
        <v>0</v>
      </c>
      <c r="DK216" s="16">
        <v>0</v>
      </c>
      <c r="DL216" s="16">
        <v>0</v>
      </c>
      <c r="DM216" s="16">
        <v>917</v>
      </c>
      <c r="DN216" s="16">
        <v>0</v>
      </c>
      <c r="DO216" s="16">
        <v>68</v>
      </c>
      <c r="DP216" s="16">
        <v>76</v>
      </c>
      <c r="DQ216" s="16">
        <v>0</v>
      </c>
      <c r="DR216" s="16">
        <v>9</v>
      </c>
      <c r="DS216" s="16">
        <v>54</v>
      </c>
      <c r="DT216" s="16">
        <v>86</v>
      </c>
      <c r="DU216" s="16">
        <v>0</v>
      </c>
      <c r="DV216" s="16">
        <v>27</v>
      </c>
      <c r="DW216" s="16">
        <v>0</v>
      </c>
      <c r="DX216" s="16">
        <v>104</v>
      </c>
      <c r="DY216" s="16">
        <v>111</v>
      </c>
      <c r="DZ216" s="16">
        <v>343</v>
      </c>
      <c r="EA216" s="16">
        <v>109</v>
      </c>
      <c r="EB216" s="16">
        <v>9</v>
      </c>
      <c r="EC216" s="16">
        <v>54</v>
      </c>
      <c r="ED216" s="16">
        <v>5</v>
      </c>
      <c r="EE216" s="16">
        <v>0</v>
      </c>
      <c r="EF216" s="16">
        <v>163</v>
      </c>
      <c r="EG216" s="16">
        <v>528</v>
      </c>
      <c r="EH216" s="16">
        <v>80</v>
      </c>
      <c r="EI216" s="16">
        <v>76</v>
      </c>
      <c r="EJ216" s="16">
        <v>0</v>
      </c>
      <c r="EK216" s="16">
        <v>14</v>
      </c>
      <c r="EL216" s="16">
        <v>1</v>
      </c>
      <c r="EM216" s="16">
        <v>0</v>
      </c>
      <c r="EN216" s="16">
        <v>0</v>
      </c>
      <c r="EO216" s="16">
        <v>0</v>
      </c>
      <c r="EP216" s="16">
        <v>0</v>
      </c>
      <c r="EQ216" s="16">
        <v>153</v>
      </c>
      <c r="ER216" s="16">
        <v>0</v>
      </c>
      <c r="ES216" s="16">
        <v>0</v>
      </c>
      <c r="ET216" s="16">
        <v>0</v>
      </c>
      <c r="EU216" s="16">
        <v>0</v>
      </c>
      <c r="EV216" s="16">
        <v>0</v>
      </c>
      <c r="EW216" s="16">
        <v>0</v>
      </c>
      <c r="EX216" s="16">
        <v>0</v>
      </c>
      <c r="EY216" s="16">
        <v>0</v>
      </c>
      <c r="EZ216" s="16">
        <v>0</v>
      </c>
      <c r="FA216" s="16">
        <v>0</v>
      </c>
      <c r="FB216" s="16">
        <v>0</v>
      </c>
      <c r="FC216" s="16">
        <v>0</v>
      </c>
      <c r="FD216" s="16">
        <v>0</v>
      </c>
      <c r="FE216" s="16">
        <v>0</v>
      </c>
      <c r="FF216" s="16">
        <v>0</v>
      </c>
      <c r="FG216" s="16">
        <v>0</v>
      </c>
      <c r="FH216" s="16">
        <v>0</v>
      </c>
      <c r="FI216" s="16">
        <v>0</v>
      </c>
      <c r="FJ216" s="16">
        <v>36</v>
      </c>
      <c r="FK216" s="16">
        <v>355</v>
      </c>
      <c r="FL216" s="16">
        <v>0</v>
      </c>
      <c r="FM216" s="16">
        <v>0</v>
      </c>
      <c r="FN216" s="16">
        <v>0</v>
      </c>
      <c r="FO216" s="16">
        <v>99</v>
      </c>
      <c r="FP216" s="16">
        <v>3</v>
      </c>
      <c r="FQ216" s="16">
        <v>46</v>
      </c>
      <c r="FR216" s="16">
        <v>87</v>
      </c>
      <c r="FS216" s="16">
        <v>0</v>
      </c>
      <c r="FT216" s="16">
        <v>54</v>
      </c>
      <c r="FU216" s="16">
        <v>17</v>
      </c>
      <c r="FV216" s="16">
        <v>160</v>
      </c>
      <c r="FW216" s="16">
        <v>0</v>
      </c>
      <c r="FX216" s="16">
        <v>427</v>
      </c>
      <c r="FY216" s="16">
        <v>34</v>
      </c>
      <c r="FZ216" s="16">
        <v>44</v>
      </c>
      <c r="GA216" s="16">
        <v>389</v>
      </c>
      <c r="GB216" s="16">
        <v>30</v>
      </c>
      <c r="GC216" s="16">
        <v>5</v>
      </c>
      <c r="GD216" s="16">
        <v>48</v>
      </c>
      <c r="GE216" s="16">
        <v>0</v>
      </c>
      <c r="GF216" s="16">
        <v>0</v>
      </c>
      <c r="GG216" s="16">
        <v>0</v>
      </c>
      <c r="GH216" s="16">
        <v>0</v>
      </c>
      <c r="GI216" s="16">
        <v>11</v>
      </c>
      <c r="GJ216" s="16">
        <v>127</v>
      </c>
      <c r="GK216" s="16">
        <v>88</v>
      </c>
      <c r="GL216" s="16">
        <v>4</v>
      </c>
      <c r="GM216" s="16">
        <v>246</v>
      </c>
      <c r="GN216" s="16">
        <v>21</v>
      </c>
      <c r="GO216" s="16">
        <v>1347</v>
      </c>
      <c r="GP216" s="16">
        <v>0</v>
      </c>
      <c r="GQ216" s="16">
        <v>17</v>
      </c>
      <c r="GR216" s="16">
        <v>47</v>
      </c>
      <c r="GS216" s="16">
        <v>76</v>
      </c>
      <c r="GT216" s="16">
        <v>302</v>
      </c>
      <c r="GU216" s="16">
        <v>430</v>
      </c>
      <c r="GV216" s="16">
        <v>0</v>
      </c>
      <c r="GW216" s="16">
        <v>2583</v>
      </c>
      <c r="GX216" s="16">
        <v>65</v>
      </c>
      <c r="GY216" s="16">
        <v>0</v>
      </c>
      <c r="GZ216" s="16">
        <v>304</v>
      </c>
      <c r="HA216" s="16">
        <v>0</v>
      </c>
      <c r="HB216" s="16">
        <v>0</v>
      </c>
      <c r="HC216" s="16">
        <v>210</v>
      </c>
      <c r="HD216" s="16">
        <v>271</v>
      </c>
      <c r="HE216" s="16">
        <v>0</v>
      </c>
      <c r="HF216" s="16">
        <v>1720</v>
      </c>
      <c r="HG216" s="16">
        <v>0</v>
      </c>
      <c r="HH216" s="16">
        <v>550921</v>
      </c>
      <c r="HI216" s="16">
        <v>102763</v>
      </c>
      <c r="HJ216" s="16">
        <v>3</v>
      </c>
      <c r="HK216" s="16">
        <v>6</v>
      </c>
      <c r="HL216" s="16">
        <v>1208</v>
      </c>
      <c r="HM216" s="16">
        <v>80</v>
      </c>
      <c r="HN216" s="16">
        <v>2738</v>
      </c>
      <c r="HO216" s="16">
        <v>118</v>
      </c>
      <c r="HP216" s="16">
        <v>0</v>
      </c>
      <c r="HQ216" s="16">
        <v>398</v>
      </c>
      <c r="HR216" s="16">
        <v>8510</v>
      </c>
      <c r="HS216" s="16">
        <v>5960</v>
      </c>
      <c r="HT216" s="16">
        <v>0</v>
      </c>
      <c r="HU216" s="16">
        <v>746</v>
      </c>
      <c r="HV216" s="16">
        <v>0</v>
      </c>
      <c r="HW216" s="16">
        <v>0</v>
      </c>
      <c r="HX216" s="16">
        <v>0</v>
      </c>
      <c r="HY216" s="16">
        <v>0</v>
      </c>
      <c r="HZ216" s="16">
        <v>44506</v>
      </c>
      <c r="IA216" s="16">
        <v>0</v>
      </c>
      <c r="IB216" s="16">
        <v>0</v>
      </c>
      <c r="IC216" s="16">
        <v>0</v>
      </c>
      <c r="ID216" s="16">
        <v>2</v>
      </c>
      <c r="IE216" s="16">
        <v>0</v>
      </c>
      <c r="IF216" s="16">
        <v>2</v>
      </c>
      <c r="IG216" s="16">
        <v>32</v>
      </c>
      <c r="IH216" s="16">
        <v>0</v>
      </c>
      <c r="II216" s="16">
        <v>0</v>
      </c>
      <c r="IJ216" s="16">
        <v>0</v>
      </c>
      <c r="IK216" s="16">
        <v>0</v>
      </c>
      <c r="IL216" s="16">
        <v>0</v>
      </c>
      <c r="IM216" s="16">
        <v>0</v>
      </c>
      <c r="IN216" s="16">
        <v>0</v>
      </c>
      <c r="IO216" s="16">
        <v>937</v>
      </c>
      <c r="IP216" s="16">
        <v>21682</v>
      </c>
      <c r="IQ216" s="16">
        <v>887</v>
      </c>
      <c r="IR216" s="16">
        <v>0</v>
      </c>
      <c r="IS216" s="16">
        <v>0</v>
      </c>
      <c r="IT216" s="16">
        <v>0</v>
      </c>
      <c r="IU216" s="16">
        <v>0</v>
      </c>
      <c r="IV216" s="16">
        <v>4</v>
      </c>
      <c r="IW216" s="16">
        <v>68</v>
      </c>
      <c r="IX216" s="16">
        <v>0</v>
      </c>
      <c r="IY216" s="16">
        <v>14</v>
      </c>
      <c r="IZ216" s="16">
        <v>0</v>
      </c>
      <c r="JA216" s="16">
        <v>0</v>
      </c>
      <c r="JB216" s="16">
        <v>2</v>
      </c>
      <c r="JC216" s="16">
        <v>0</v>
      </c>
      <c r="JD216" s="16">
        <v>2</v>
      </c>
      <c r="JE216" s="16">
        <v>1451</v>
      </c>
      <c r="JF216" s="16">
        <v>1499</v>
      </c>
      <c r="JG216" s="16">
        <v>5477</v>
      </c>
      <c r="JH216" s="16">
        <v>7560</v>
      </c>
      <c r="JI216" s="16">
        <v>0</v>
      </c>
      <c r="JJ216" s="16">
        <v>0</v>
      </c>
      <c r="JK216" s="16">
        <v>0</v>
      </c>
      <c r="JL216" s="16">
        <v>0</v>
      </c>
      <c r="JM216" s="16">
        <v>0</v>
      </c>
      <c r="JN216" s="16">
        <v>0</v>
      </c>
      <c r="JO216" s="16">
        <v>0</v>
      </c>
      <c r="JP216" s="16">
        <v>0</v>
      </c>
      <c r="JQ216" s="16">
        <v>0</v>
      </c>
      <c r="JR216" s="16">
        <v>586</v>
      </c>
      <c r="JS216" s="16">
        <v>335</v>
      </c>
      <c r="JT216" s="16">
        <v>0</v>
      </c>
      <c r="JU216" s="16">
        <v>1866</v>
      </c>
      <c r="JV216" s="16">
        <v>1381</v>
      </c>
      <c r="JW216" s="16">
        <v>91378</v>
      </c>
      <c r="JX216" s="16">
        <v>122210</v>
      </c>
      <c r="JY216" s="16">
        <v>8365</v>
      </c>
      <c r="JZ216" s="16">
        <v>2</v>
      </c>
      <c r="KA216" s="16">
        <v>13</v>
      </c>
      <c r="KB216" s="16">
        <v>0</v>
      </c>
      <c r="KC216" s="16">
        <v>93</v>
      </c>
      <c r="KD216" s="16">
        <v>0</v>
      </c>
      <c r="KE216" s="16">
        <v>1</v>
      </c>
      <c r="KF216" s="16">
        <v>48</v>
      </c>
      <c r="KG216" s="16">
        <v>854</v>
      </c>
      <c r="KH216" s="16">
        <v>78</v>
      </c>
      <c r="KI216" s="16">
        <v>3568</v>
      </c>
      <c r="KJ216" s="16">
        <v>697</v>
      </c>
      <c r="KK216" s="16">
        <v>15677</v>
      </c>
      <c r="KL216" s="16">
        <v>1</v>
      </c>
      <c r="KM216" s="16">
        <v>733</v>
      </c>
      <c r="KN216" s="16">
        <v>11</v>
      </c>
      <c r="KO216" s="16">
        <v>1521</v>
      </c>
      <c r="KP216" s="16">
        <v>1</v>
      </c>
      <c r="KQ216" s="16">
        <v>535</v>
      </c>
      <c r="KR216" s="16">
        <v>0</v>
      </c>
      <c r="KS216" s="16">
        <v>0</v>
      </c>
      <c r="KT216" s="16">
        <v>0</v>
      </c>
      <c r="KU216" s="16">
        <v>73</v>
      </c>
      <c r="KV216" s="16">
        <v>6843</v>
      </c>
      <c r="KW216" s="16">
        <v>313</v>
      </c>
      <c r="KX216" s="16">
        <v>8</v>
      </c>
      <c r="KY216" s="16">
        <v>1254</v>
      </c>
      <c r="KZ216" s="16">
        <v>287924</v>
      </c>
      <c r="LA216" s="16">
        <v>67047</v>
      </c>
      <c r="LB216" s="16">
        <v>15395</v>
      </c>
      <c r="LC216" s="16">
        <v>41805</v>
      </c>
      <c r="LD216" s="16">
        <v>54227</v>
      </c>
      <c r="LE216" s="16">
        <v>160</v>
      </c>
      <c r="LF216" s="16">
        <v>50</v>
      </c>
      <c r="LG216" s="16">
        <v>3</v>
      </c>
      <c r="LH216" s="16">
        <v>41</v>
      </c>
      <c r="LI216" s="16">
        <v>18</v>
      </c>
      <c r="LJ216" s="16">
        <v>0</v>
      </c>
      <c r="LK216" s="16">
        <v>0</v>
      </c>
      <c r="LL216" s="16">
        <v>723</v>
      </c>
      <c r="LM216" s="16">
        <v>3321</v>
      </c>
      <c r="LN216" s="16">
        <v>33</v>
      </c>
      <c r="LO216" s="16">
        <v>0</v>
      </c>
      <c r="LP216" s="16">
        <v>89</v>
      </c>
      <c r="LQ216" s="16">
        <v>24</v>
      </c>
      <c r="LR216" s="16">
        <v>484</v>
      </c>
      <c r="LS216" s="16">
        <v>3</v>
      </c>
      <c r="LT216" s="16">
        <v>198</v>
      </c>
      <c r="LU216" s="16">
        <v>0</v>
      </c>
      <c r="LV216" s="16">
        <v>0</v>
      </c>
      <c r="LW216" s="16">
        <v>8</v>
      </c>
      <c r="LX216" s="16">
        <v>6</v>
      </c>
      <c r="LY216" s="16">
        <v>12938</v>
      </c>
      <c r="LZ216" s="16">
        <v>2525</v>
      </c>
      <c r="MA216" s="16">
        <v>4821</v>
      </c>
      <c r="MB216" s="16">
        <v>10931</v>
      </c>
      <c r="MC216" s="16">
        <v>471</v>
      </c>
      <c r="MD216" s="16">
        <v>53</v>
      </c>
      <c r="ME216" s="16">
        <v>0</v>
      </c>
      <c r="MF216" s="16">
        <v>85276</v>
      </c>
      <c r="MG216" s="16">
        <v>41</v>
      </c>
      <c r="MH216" s="16">
        <v>0</v>
      </c>
      <c r="MI216" s="16">
        <v>3</v>
      </c>
      <c r="MJ216" s="16">
        <v>0</v>
      </c>
      <c r="MK216" s="16">
        <v>0</v>
      </c>
      <c r="ML216" s="16">
        <v>0</v>
      </c>
      <c r="MM216" s="16">
        <v>730</v>
      </c>
      <c r="MN216" s="16">
        <v>219</v>
      </c>
      <c r="MO216" s="16">
        <v>1552</v>
      </c>
      <c r="MP216" s="16">
        <v>9044</v>
      </c>
      <c r="MQ216" s="16">
        <v>1504</v>
      </c>
      <c r="MR216" s="16">
        <v>1116</v>
      </c>
      <c r="MS216" s="16">
        <v>20</v>
      </c>
      <c r="MT216" s="16">
        <v>136</v>
      </c>
      <c r="MU216" s="16">
        <v>35052</v>
      </c>
      <c r="MV216" s="16">
        <v>12136</v>
      </c>
      <c r="MW216" s="16">
        <v>2021</v>
      </c>
      <c r="MX216" s="16">
        <v>8</v>
      </c>
      <c r="MY216" s="16">
        <v>88</v>
      </c>
      <c r="MZ216" s="16">
        <v>1005</v>
      </c>
      <c r="NA216" s="16">
        <v>4</v>
      </c>
      <c r="NB216" s="16">
        <v>54898</v>
      </c>
      <c r="NC216" s="16">
        <v>1</v>
      </c>
      <c r="ND216" s="16">
        <v>39</v>
      </c>
      <c r="NE216" s="16">
        <v>8</v>
      </c>
      <c r="NF216" s="16">
        <v>255</v>
      </c>
      <c r="NG216" s="16">
        <v>206</v>
      </c>
      <c r="NH216" s="16">
        <v>219</v>
      </c>
      <c r="NI216" s="16">
        <v>10516</v>
      </c>
      <c r="NJ216" s="16">
        <v>16922</v>
      </c>
      <c r="NK216" s="16">
        <v>565</v>
      </c>
      <c r="NL216" s="16">
        <v>54273</v>
      </c>
      <c r="NM216" s="16">
        <v>14614</v>
      </c>
      <c r="NN216" s="16">
        <v>114</v>
      </c>
      <c r="NO216" s="16">
        <v>0</v>
      </c>
      <c r="NP216" s="16">
        <v>2420</v>
      </c>
      <c r="NQ216" s="16">
        <v>96</v>
      </c>
      <c r="NR216" s="17">
        <v>1839090</v>
      </c>
    </row>
    <row r="217" spans="1:382" ht="13.5" customHeight="1" x14ac:dyDescent="0.2">
      <c r="A217" s="2" t="s">
        <v>441</v>
      </c>
      <c r="B217" s="16">
        <v>8</v>
      </c>
      <c r="C217" s="16">
        <v>0</v>
      </c>
      <c r="D217" s="16">
        <v>0</v>
      </c>
      <c r="E217" s="16">
        <v>0</v>
      </c>
      <c r="F217" s="16">
        <v>64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627</v>
      </c>
      <c r="Q217" s="16">
        <v>513</v>
      </c>
      <c r="R217" s="16">
        <v>332</v>
      </c>
      <c r="S217" s="16">
        <v>9</v>
      </c>
      <c r="T217" s="16">
        <v>0</v>
      </c>
      <c r="U217" s="16">
        <v>0</v>
      </c>
      <c r="V217" s="16">
        <v>0</v>
      </c>
      <c r="W217" s="16">
        <v>0</v>
      </c>
      <c r="X217" s="16">
        <v>61</v>
      </c>
      <c r="Y217" s="16">
        <v>462</v>
      </c>
      <c r="Z217" s="16">
        <v>261</v>
      </c>
      <c r="AA217" s="16">
        <v>2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45</v>
      </c>
      <c r="AH217" s="16">
        <v>38</v>
      </c>
      <c r="AI217" s="16">
        <v>3</v>
      </c>
      <c r="AJ217" s="16">
        <v>169</v>
      </c>
      <c r="AK217" s="16">
        <v>198</v>
      </c>
      <c r="AL217" s="16">
        <v>0</v>
      </c>
      <c r="AM217" s="16">
        <v>186</v>
      </c>
      <c r="AN217" s="16">
        <v>27</v>
      </c>
      <c r="AO217" s="16">
        <v>408</v>
      </c>
      <c r="AP217" s="16">
        <v>0</v>
      </c>
      <c r="AQ217" s="16">
        <v>0</v>
      </c>
      <c r="AR217" s="16">
        <v>0</v>
      </c>
      <c r="AS217" s="16">
        <v>0</v>
      </c>
      <c r="AT217" s="16">
        <v>6</v>
      </c>
      <c r="AU217" s="16">
        <v>53</v>
      </c>
      <c r="AV217" s="16">
        <v>1</v>
      </c>
      <c r="AW217" s="16">
        <v>69</v>
      </c>
      <c r="AX217" s="16">
        <v>1</v>
      </c>
      <c r="AY217" s="16">
        <v>0</v>
      </c>
      <c r="AZ217" s="16">
        <v>0</v>
      </c>
      <c r="BA217" s="16">
        <v>4</v>
      </c>
      <c r="BB217" s="16">
        <v>0</v>
      </c>
      <c r="BC217" s="16">
        <v>5</v>
      </c>
      <c r="BD217" s="16">
        <v>1</v>
      </c>
      <c r="BE217" s="16">
        <v>4</v>
      </c>
      <c r="BF217" s="16">
        <v>0</v>
      </c>
      <c r="BG217" s="16">
        <v>1</v>
      </c>
      <c r="BH217" s="16">
        <v>11</v>
      </c>
      <c r="BI217" s="16">
        <v>0</v>
      </c>
      <c r="BJ217" s="16">
        <v>3</v>
      </c>
      <c r="BK217" s="16">
        <v>9</v>
      </c>
      <c r="BL217" s="16">
        <v>21</v>
      </c>
      <c r="BM217" s="16">
        <v>0</v>
      </c>
      <c r="BN217" s="16">
        <v>11</v>
      </c>
      <c r="BO217" s="16">
        <v>485</v>
      </c>
      <c r="BP217" s="16">
        <v>721</v>
      </c>
      <c r="BQ217" s="16">
        <v>1</v>
      </c>
      <c r="BR217" s="16">
        <v>0</v>
      </c>
      <c r="BS217" s="16">
        <v>258</v>
      </c>
      <c r="BT217" s="16">
        <v>0</v>
      </c>
      <c r="BU217" s="16">
        <v>0</v>
      </c>
      <c r="BV217" s="16">
        <v>0</v>
      </c>
      <c r="BW217" s="16">
        <v>0</v>
      </c>
      <c r="BX217" s="16">
        <v>134</v>
      </c>
      <c r="BY217" s="16">
        <v>0</v>
      </c>
      <c r="BZ217" s="16">
        <v>4</v>
      </c>
      <c r="CA217" s="16">
        <v>546</v>
      </c>
      <c r="CB217" s="16">
        <v>0</v>
      </c>
      <c r="CC217" s="16">
        <v>123</v>
      </c>
      <c r="CD217" s="16">
        <v>0</v>
      </c>
      <c r="CE217" s="16">
        <v>0</v>
      </c>
      <c r="CF217" s="16">
        <v>0</v>
      </c>
      <c r="CG217" s="16">
        <v>168</v>
      </c>
      <c r="CH217" s="16">
        <v>29</v>
      </c>
      <c r="CI217" s="16">
        <v>37</v>
      </c>
      <c r="CJ217" s="16">
        <v>10</v>
      </c>
      <c r="CK217" s="16">
        <v>230</v>
      </c>
      <c r="CL217" s="16">
        <v>4</v>
      </c>
      <c r="CM217" s="16">
        <v>6</v>
      </c>
      <c r="CN217" s="16">
        <v>4</v>
      </c>
      <c r="CO217" s="16">
        <v>181</v>
      </c>
      <c r="CP217" s="16">
        <v>27</v>
      </c>
      <c r="CQ217" s="16">
        <v>19</v>
      </c>
      <c r="CR217" s="16">
        <v>0</v>
      </c>
      <c r="CS217" s="16">
        <v>26</v>
      </c>
      <c r="CT217" s="16">
        <v>601</v>
      </c>
      <c r="CU217" s="16">
        <v>734</v>
      </c>
      <c r="CV217" s="16">
        <v>85</v>
      </c>
      <c r="CW217" s="16">
        <v>1803</v>
      </c>
      <c r="CX217" s="16">
        <v>1291</v>
      </c>
      <c r="CY217" s="16">
        <v>9</v>
      </c>
      <c r="CZ217" s="16">
        <v>19</v>
      </c>
      <c r="DA217" s="16">
        <v>0</v>
      </c>
      <c r="DB217" s="16">
        <v>16</v>
      </c>
      <c r="DC217" s="16">
        <v>0</v>
      </c>
      <c r="DD217" s="16">
        <v>1</v>
      </c>
      <c r="DE217" s="16">
        <v>52</v>
      </c>
      <c r="DF217" s="16">
        <v>15</v>
      </c>
      <c r="DG217" s="16">
        <v>765</v>
      </c>
      <c r="DH217" s="16">
        <v>49</v>
      </c>
      <c r="DI217" s="16">
        <v>14</v>
      </c>
      <c r="DJ217" s="16">
        <v>53</v>
      </c>
      <c r="DK217" s="16">
        <v>0</v>
      </c>
      <c r="DL217" s="16">
        <v>1</v>
      </c>
      <c r="DM217" s="16">
        <v>173</v>
      </c>
      <c r="DN217" s="16">
        <v>19</v>
      </c>
      <c r="DO217" s="16">
        <v>13</v>
      </c>
      <c r="DP217" s="16">
        <v>20</v>
      </c>
      <c r="DQ217" s="16">
        <v>9</v>
      </c>
      <c r="DR217" s="16">
        <v>18</v>
      </c>
      <c r="DS217" s="16">
        <v>1313</v>
      </c>
      <c r="DT217" s="16">
        <v>79</v>
      </c>
      <c r="DU217" s="16">
        <v>16</v>
      </c>
      <c r="DV217" s="16">
        <v>17</v>
      </c>
      <c r="DW217" s="16">
        <v>6</v>
      </c>
      <c r="DX217" s="16">
        <v>1313</v>
      </c>
      <c r="DY217" s="16">
        <v>941</v>
      </c>
      <c r="DZ217" s="16">
        <v>4599</v>
      </c>
      <c r="EA217" s="16">
        <v>5045</v>
      </c>
      <c r="EB217" s="16">
        <v>76</v>
      </c>
      <c r="EC217" s="16">
        <v>198</v>
      </c>
      <c r="ED217" s="16">
        <v>72</v>
      </c>
      <c r="EE217" s="16">
        <v>0</v>
      </c>
      <c r="EF217" s="16">
        <v>49</v>
      </c>
      <c r="EG217" s="16">
        <v>845</v>
      </c>
      <c r="EH217" s="16">
        <v>88</v>
      </c>
      <c r="EI217" s="16">
        <v>74</v>
      </c>
      <c r="EJ217" s="16">
        <v>1</v>
      </c>
      <c r="EK217" s="16">
        <v>11</v>
      </c>
      <c r="EL217" s="16">
        <v>2</v>
      </c>
      <c r="EM217" s="16">
        <v>8</v>
      </c>
      <c r="EN217" s="16">
        <v>32</v>
      </c>
      <c r="EO217" s="16">
        <v>459</v>
      </c>
      <c r="EP217" s="16">
        <v>8</v>
      </c>
      <c r="EQ217" s="16">
        <v>13</v>
      </c>
      <c r="ER217" s="16">
        <v>3</v>
      </c>
      <c r="ES217" s="16">
        <v>3</v>
      </c>
      <c r="ET217" s="16">
        <v>688</v>
      </c>
      <c r="EU217" s="16">
        <v>0</v>
      </c>
      <c r="EV217" s="16">
        <v>0</v>
      </c>
      <c r="EW217" s="16">
        <v>4</v>
      </c>
      <c r="EX217" s="16">
        <v>0</v>
      </c>
      <c r="EY217" s="16">
        <v>0</v>
      </c>
      <c r="EZ217" s="16">
        <v>5</v>
      </c>
      <c r="FA217" s="16">
        <v>0</v>
      </c>
      <c r="FB217" s="16">
        <v>4</v>
      </c>
      <c r="FC217" s="16">
        <v>5</v>
      </c>
      <c r="FD217" s="16">
        <v>2226</v>
      </c>
      <c r="FE217" s="16">
        <v>111</v>
      </c>
      <c r="FF217" s="16">
        <v>0</v>
      </c>
      <c r="FG217" s="16">
        <v>0</v>
      </c>
      <c r="FH217" s="16">
        <v>0</v>
      </c>
      <c r="FI217" s="16">
        <v>483</v>
      </c>
      <c r="FJ217" s="16">
        <v>6</v>
      </c>
      <c r="FK217" s="16">
        <v>9</v>
      </c>
      <c r="FL217" s="16">
        <v>0</v>
      </c>
      <c r="FM217" s="16">
        <v>0</v>
      </c>
      <c r="FN217" s="16">
        <v>14</v>
      </c>
      <c r="FO217" s="16">
        <v>0</v>
      </c>
      <c r="FP217" s="16">
        <v>30</v>
      </c>
      <c r="FQ217" s="16">
        <v>1451</v>
      </c>
      <c r="FR217" s="16">
        <v>698</v>
      </c>
      <c r="FS217" s="16">
        <v>2</v>
      </c>
      <c r="FT217" s="16">
        <v>9517</v>
      </c>
      <c r="FU217" s="16">
        <v>21</v>
      </c>
      <c r="FV217" s="16">
        <v>1032</v>
      </c>
      <c r="FW217" s="16">
        <v>432</v>
      </c>
      <c r="FX217" s="16">
        <v>471</v>
      </c>
      <c r="FY217" s="16">
        <v>18</v>
      </c>
      <c r="FZ217" s="16">
        <v>8922</v>
      </c>
      <c r="GA217" s="16">
        <v>4</v>
      </c>
      <c r="GB217" s="16">
        <v>980</v>
      </c>
      <c r="GC217" s="16">
        <v>2</v>
      </c>
      <c r="GD217" s="16">
        <v>503</v>
      </c>
      <c r="GE217" s="16">
        <v>16</v>
      </c>
      <c r="GF217" s="16">
        <v>148</v>
      </c>
      <c r="GG217" s="16">
        <v>61</v>
      </c>
      <c r="GH217" s="16">
        <v>194</v>
      </c>
      <c r="GI217" s="16">
        <v>1</v>
      </c>
      <c r="GJ217" s="16">
        <v>37</v>
      </c>
      <c r="GK217" s="16">
        <v>83</v>
      </c>
      <c r="GL217" s="16">
        <v>1</v>
      </c>
      <c r="GM217" s="16">
        <v>202</v>
      </c>
      <c r="GN217" s="16">
        <v>2</v>
      </c>
      <c r="GO217" s="16">
        <v>396</v>
      </c>
      <c r="GP217" s="16">
        <v>18</v>
      </c>
      <c r="GQ217" s="16">
        <v>57</v>
      </c>
      <c r="GR217" s="16">
        <v>2</v>
      </c>
      <c r="GS217" s="16">
        <v>3</v>
      </c>
      <c r="GT217" s="16">
        <v>2</v>
      </c>
      <c r="GU217" s="16">
        <v>82</v>
      </c>
      <c r="GV217" s="16">
        <v>2103</v>
      </c>
      <c r="GW217" s="16">
        <v>19</v>
      </c>
      <c r="GX217" s="16">
        <v>8</v>
      </c>
      <c r="GY217" s="16">
        <v>0</v>
      </c>
      <c r="GZ217" s="16">
        <v>1293</v>
      </c>
      <c r="HA217" s="16">
        <v>145</v>
      </c>
      <c r="HB217" s="16">
        <v>262</v>
      </c>
      <c r="HC217" s="16">
        <v>70</v>
      </c>
      <c r="HD217" s="16">
        <v>36</v>
      </c>
      <c r="HE217" s="16">
        <v>18</v>
      </c>
      <c r="HF217" s="16">
        <v>278</v>
      </c>
      <c r="HG217" s="16">
        <v>6</v>
      </c>
      <c r="HH217" s="16">
        <v>13710</v>
      </c>
      <c r="HI217" s="16">
        <v>922575</v>
      </c>
      <c r="HJ217" s="16">
        <v>10</v>
      </c>
      <c r="HK217" s="16">
        <v>21</v>
      </c>
      <c r="HL217" s="16">
        <v>801</v>
      </c>
      <c r="HM217" s="16">
        <v>97</v>
      </c>
      <c r="HN217" s="16">
        <v>3490</v>
      </c>
      <c r="HO217" s="16">
        <v>1</v>
      </c>
      <c r="HP217" s="16">
        <v>2</v>
      </c>
      <c r="HQ217" s="16">
        <v>994</v>
      </c>
      <c r="HR217" s="16">
        <v>2346</v>
      </c>
      <c r="HS217" s="16">
        <v>261</v>
      </c>
      <c r="HT217" s="16">
        <v>1</v>
      </c>
      <c r="HU217" s="16">
        <v>763</v>
      </c>
      <c r="HV217" s="16">
        <v>0</v>
      </c>
      <c r="HW217" s="16">
        <v>75</v>
      </c>
      <c r="HX217" s="16">
        <v>3</v>
      </c>
      <c r="HY217" s="16">
        <v>936</v>
      </c>
      <c r="HZ217" s="16">
        <v>327</v>
      </c>
      <c r="IA217" s="16">
        <v>237</v>
      </c>
      <c r="IB217" s="16">
        <v>1286</v>
      </c>
      <c r="IC217" s="16">
        <v>4</v>
      </c>
      <c r="ID217" s="16">
        <v>48</v>
      </c>
      <c r="IE217" s="16">
        <v>83</v>
      </c>
      <c r="IF217" s="16">
        <v>59</v>
      </c>
      <c r="IG217" s="16">
        <v>411</v>
      </c>
      <c r="IH217" s="16">
        <v>168</v>
      </c>
      <c r="II217" s="16">
        <v>21</v>
      </c>
      <c r="IJ217" s="16">
        <v>3</v>
      </c>
      <c r="IK217" s="16">
        <v>3</v>
      </c>
      <c r="IL217" s="16">
        <v>1</v>
      </c>
      <c r="IM217" s="16">
        <v>8</v>
      </c>
      <c r="IN217" s="16">
        <v>372</v>
      </c>
      <c r="IO217" s="16">
        <v>1914</v>
      </c>
      <c r="IP217" s="16">
        <v>9581</v>
      </c>
      <c r="IQ217" s="16">
        <v>1097</v>
      </c>
      <c r="IR217" s="16">
        <v>231</v>
      </c>
      <c r="IS217" s="16">
        <v>434</v>
      </c>
      <c r="IT217" s="16">
        <v>2</v>
      </c>
      <c r="IU217" s="16">
        <v>2</v>
      </c>
      <c r="IV217" s="16">
        <v>388</v>
      </c>
      <c r="IW217" s="16">
        <v>838</v>
      </c>
      <c r="IX217" s="16">
        <v>1219</v>
      </c>
      <c r="IY217" s="16">
        <v>525</v>
      </c>
      <c r="IZ217" s="16">
        <v>1</v>
      </c>
      <c r="JA217" s="16">
        <v>12</v>
      </c>
      <c r="JB217" s="16">
        <v>3</v>
      </c>
      <c r="JC217" s="16">
        <v>532</v>
      </c>
      <c r="JD217" s="16">
        <v>1</v>
      </c>
      <c r="JE217" s="16">
        <v>136</v>
      </c>
      <c r="JF217" s="16">
        <v>36</v>
      </c>
      <c r="JG217" s="16">
        <v>9766</v>
      </c>
      <c r="JH217" s="16">
        <v>772</v>
      </c>
      <c r="JI217" s="16">
        <v>1</v>
      </c>
      <c r="JJ217" s="16">
        <v>1972</v>
      </c>
      <c r="JK217" s="16">
        <v>144</v>
      </c>
      <c r="JL217" s="16">
        <v>186</v>
      </c>
      <c r="JM217" s="16">
        <v>1</v>
      </c>
      <c r="JN217" s="16">
        <v>17</v>
      </c>
      <c r="JO217" s="16">
        <v>86</v>
      </c>
      <c r="JP217" s="16">
        <v>15361</v>
      </c>
      <c r="JQ217" s="16">
        <v>4</v>
      </c>
      <c r="JR217" s="16">
        <v>7312</v>
      </c>
      <c r="JS217" s="16">
        <v>1405</v>
      </c>
      <c r="JT217" s="16">
        <v>0</v>
      </c>
      <c r="JU217" s="16">
        <v>8142</v>
      </c>
      <c r="JV217" s="16">
        <v>302</v>
      </c>
      <c r="JW217" s="16">
        <v>485122</v>
      </c>
      <c r="JX217" s="16">
        <v>318852</v>
      </c>
      <c r="JY217" s="16">
        <v>14766</v>
      </c>
      <c r="JZ217" s="16">
        <v>124</v>
      </c>
      <c r="KA217" s="16">
        <v>867</v>
      </c>
      <c r="KB217" s="16">
        <v>240</v>
      </c>
      <c r="KC217" s="16">
        <v>284</v>
      </c>
      <c r="KD217" s="16">
        <v>10</v>
      </c>
      <c r="KE217" s="16">
        <v>41</v>
      </c>
      <c r="KF217" s="16">
        <v>256</v>
      </c>
      <c r="KG217" s="16">
        <v>1087</v>
      </c>
      <c r="KH217" s="16">
        <v>613</v>
      </c>
      <c r="KI217" s="16">
        <v>2959</v>
      </c>
      <c r="KJ217" s="16">
        <v>3111</v>
      </c>
      <c r="KK217" s="16">
        <v>106534</v>
      </c>
      <c r="KL217" s="16">
        <v>7</v>
      </c>
      <c r="KM217" s="16">
        <v>545</v>
      </c>
      <c r="KN217" s="16">
        <v>35</v>
      </c>
      <c r="KO217" s="16">
        <v>840</v>
      </c>
      <c r="KP217" s="16">
        <v>57</v>
      </c>
      <c r="KQ217" s="16">
        <v>320</v>
      </c>
      <c r="KR217" s="16">
        <v>3780</v>
      </c>
      <c r="KS217" s="16">
        <v>0</v>
      </c>
      <c r="KT217" s="16">
        <v>0</v>
      </c>
      <c r="KU217" s="16">
        <v>762</v>
      </c>
      <c r="KV217" s="16">
        <v>2635</v>
      </c>
      <c r="KW217" s="16">
        <v>2216</v>
      </c>
      <c r="KX217" s="16">
        <v>9</v>
      </c>
      <c r="KY217" s="16">
        <v>2702</v>
      </c>
      <c r="KZ217" s="16">
        <v>174787</v>
      </c>
      <c r="LA217" s="16">
        <v>62639</v>
      </c>
      <c r="LB217" s="16">
        <v>8611</v>
      </c>
      <c r="LC217" s="16">
        <v>73878</v>
      </c>
      <c r="LD217" s="16">
        <v>48051</v>
      </c>
      <c r="LE217" s="16">
        <v>21</v>
      </c>
      <c r="LF217" s="16">
        <v>0</v>
      </c>
      <c r="LG217" s="16">
        <v>69</v>
      </c>
      <c r="LH217" s="16">
        <v>612</v>
      </c>
      <c r="LI217" s="16">
        <v>0</v>
      </c>
      <c r="LJ217" s="16">
        <v>2</v>
      </c>
      <c r="LK217" s="16">
        <v>1055</v>
      </c>
      <c r="LL217" s="16">
        <v>114</v>
      </c>
      <c r="LM217" s="16">
        <v>831</v>
      </c>
      <c r="LN217" s="16">
        <v>2846</v>
      </c>
      <c r="LO217" s="16">
        <v>1</v>
      </c>
      <c r="LP217" s="16">
        <v>2717</v>
      </c>
      <c r="LQ217" s="16">
        <v>425</v>
      </c>
      <c r="LR217" s="16">
        <v>371</v>
      </c>
      <c r="LS217" s="16">
        <v>19</v>
      </c>
      <c r="LT217" s="16">
        <v>2073</v>
      </c>
      <c r="LU217" s="16">
        <v>1</v>
      </c>
      <c r="LV217" s="16">
        <v>0</v>
      </c>
      <c r="LW217" s="16">
        <v>8</v>
      </c>
      <c r="LX217" s="16">
        <v>8</v>
      </c>
      <c r="LY217" s="16">
        <v>24033</v>
      </c>
      <c r="LZ217" s="16">
        <v>12302</v>
      </c>
      <c r="MA217" s="16">
        <v>7998</v>
      </c>
      <c r="MB217" s="16">
        <v>7141</v>
      </c>
      <c r="MC217" s="16">
        <v>2219</v>
      </c>
      <c r="MD217" s="16">
        <v>1142</v>
      </c>
      <c r="ME217" s="16">
        <v>54</v>
      </c>
      <c r="MF217" s="16">
        <v>49440</v>
      </c>
      <c r="MG217" s="16">
        <v>1098</v>
      </c>
      <c r="MH217" s="16">
        <v>59928</v>
      </c>
      <c r="MI217" s="16">
        <v>16</v>
      </c>
      <c r="MJ217" s="16">
        <v>5</v>
      </c>
      <c r="MK217" s="16">
        <v>29</v>
      </c>
      <c r="ML217" s="16">
        <v>0</v>
      </c>
      <c r="MM217" s="16">
        <v>18589</v>
      </c>
      <c r="MN217" s="16">
        <v>11159</v>
      </c>
      <c r="MO217" s="16">
        <v>24032</v>
      </c>
      <c r="MP217" s="16">
        <v>35179</v>
      </c>
      <c r="MQ217" s="16">
        <v>70380</v>
      </c>
      <c r="MR217" s="16">
        <v>8719</v>
      </c>
      <c r="MS217" s="16">
        <v>1798</v>
      </c>
      <c r="MT217" s="16">
        <v>511</v>
      </c>
      <c r="MU217" s="16">
        <v>16288</v>
      </c>
      <c r="MV217" s="16">
        <v>47405</v>
      </c>
      <c r="MW217" s="16">
        <v>44479</v>
      </c>
      <c r="MX217" s="16">
        <v>200</v>
      </c>
      <c r="MY217" s="16">
        <v>237</v>
      </c>
      <c r="MZ217" s="16">
        <v>8287</v>
      </c>
      <c r="NA217" s="16">
        <v>506</v>
      </c>
      <c r="NB217" s="16">
        <v>93426</v>
      </c>
      <c r="NC217" s="16">
        <v>2609</v>
      </c>
      <c r="ND217" s="16">
        <v>1773</v>
      </c>
      <c r="NE217" s="16">
        <v>4730</v>
      </c>
      <c r="NF217" s="16">
        <v>7299</v>
      </c>
      <c r="NG217" s="16">
        <v>7390</v>
      </c>
      <c r="NH217" s="16">
        <v>1103</v>
      </c>
      <c r="NI217" s="16">
        <v>37</v>
      </c>
      <c r="NJ217" s="16">
        <v>24376</v>
      </c>
      <c r="NK217" s="16">
        <v>398</v>
      </c>
      <c r="NL217" s="16">
        <v>96567</v>
      </c>
      <c r="NM217" s="16">
        <v>242767</v>
      </c>
      <c r="NN217" s="16">
        <v>5320</v>
      </c>
      <c r="NO217" s="16">
        <v>0</v>
      </c>
      <c r="NP217" s="16">
        <v>36984</v>
      </c>
      <c r="NQ217" s="16">
        <v>1102</v>
      </c>
      <c r="NR217" s="17">
        <v>3379346</v>
      </c>
    </row>
    <row r="218" spans="1:382" ht="13.5" customHeight="1" x14ac:dyDescent="0.2">
      <c r="A218" s="2" t="s">
        <v>443</v>
      </c>
      <c r="B218" s="16">
        <v>0</v>
      </c>
      <c r="C218" s="16">
        <v>0</v>
      </c>
      <c r="D218" s="16">
        <v>0</v>
      </c>
      <c r="E218" s="16">
        <v>0</v>
      </c>
      <c r="F218" s="16">
        <v>0</v>
      </c>
      <c r="G218" s="16">
        <v>38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5</v>
      </c>
      <c r="P218" s="16">
        <v>532</v>
      </c>
      <c r="Q218" s="16">
        <v>503</v>
      </c>
      <c r="R218" s="16">
        <v>55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324</v>
      </c>
      <c r="Y218" s="16">
        <v>0</v>
      </c>
      <c r="Z218" s="16">
        <v>97</v>
      </c>
      <c r="AA218" s="16">
        <v>34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73</v>
      </c>
      <c r="AH218" s="16">
        <v>45</v>
      </c>
      <c r="AI218" s="16">
        <v>0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>
        <v>0</v>
      </c>
      <c r="AP218" s="16">
        <v>0</v>
      </c>
      <c r="AQ218" s="16">
        <v>0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16">
        <v>0</v>
      </c>
      <c r="BF218" s="16">
        <v>0</v>
      </c>
      <c r="BG218" s="16">
        <v>0</v>
      </c>
      <c r="BH218" s="16">
        <v>0</v>
      </c>
      <c r="BI218" s="16">
        <v>0</v>
      </c>
      <c r="BJ218" s="16">
        <v>0</v>
      </c>
      <c r="BK218" s="16">
        <v>0</v>
      </c>
      <c r="BL218" s="16">
        <v>89</v>
      </c>
      <c r="BM218" s="16">
        <v>0</v>
      </c>
      <c r="BN218" s="16">
        <v>70</v>
      </c>
      <c r="BO218" s="16">
        <v>369</v>
      </c>
      <c r="BP218" s="16">
        <v>18</v>
      </c>
      <c r="BQ218" s="16">
        <v>10</v>
      </c>
      <c r="BR218" s="16">
        <v>2</v>
      </c>
      <c r="BS218" s="16">
        <v>180</v>
      </c>
      <c r="BT218" s="16">
        <v>2</v>
      </c>
      <c r="BU218" s="16">
        <v>0</v>
      </c>
      <c r="BV218" s="16">
        <v>0</v>
      </c>
      <c r="BW218" s="16">
        <v>5</v>
      </c>
      <c r="BX218" s="16">
        <v>0</v>
      </c>
      <c r="BY218" s="16">
        <v>0</v>
      </c>
      <c r="BZ218" s="16">
        <v>0</v>
      </c>
      <c r="CA218" s="16">
        <v>10</v>
      </c>
      <c r="CB218" s="16">
        <v>0</v>
      </c>
      <c r="CC218" s="16">
        <v>0</v>
      </c>
      <c r="CD218" s="16">
        <v>0</v>
      </c>
      <c r="CE218" s="16">
        <v>0</v>
      </c>
      <c r="CF218" s="16">
        <v>0</v>
      </c>
      <c r="CG218" s="16">
        <v>0</v>
      </c>
      <c r="CH218" s="16">
        <v>0</v>
      </c>
      <c r="CI218" s="16">
        <v>0</v>
      </c>
      <c r="CJ218" s="16">
        <v>58</v>
      </c>
      <c r="CK218" s="16">
        <v>131</v>
      </c>
      <c r="CL218" s="16">
        <v>0</v>
      </c>
      <c r="CM218" s="16">
        <v>0</v>
      </c>
      <c r="CN218" s="16">
        <v>0</v>
      </c>
      <c r="CO218" s="16">
        <v>0</v>
      </c>
      <c r="CP218" s="16">
        <v>0</v>
      </c>
      <c r="CQ218" s="16">
        <v>810</v>
      </c>
      <c r="CR218" s="16">
        <v>1</v>
      </c>
      <c r="CS218" s="16">
        <v>0</v>
      </c>
      <c r="CT218" s="16">
        <v>198</v>
      </c>
      <c r="CU218" s="16">
        <v>68</v>
      </c>
      <c r="CV218" s="16">
        <v>134</v>
      </c>
      <c r="CW218" s="16">
        <v>704</v>
      </c>
      <c r="CX218" s="16">
        <v>0</v>
      </c>
      <c r="CY218" s="16">
        <v>0</v>
      </c>
      <c r="CZ218" s="16">
        <v>0</v>
      </c>
      <c r="DA218" s="16">
        <v>0</v>
      </c>
      <c r="DB218" s="16">
        <v>0</v>
      </c>
      <c r="DC218" s="16">
        <v>0</v>
      </c>
      <c r="DD218" s="16">
        <v>0</v>
      </c>
      <c r="DE218" s="16">
        <v>42</v>
      </c>
      <c r="DF218" s="16">
        <v>100</v>
      </c>
      <c r="DG218" s="16">
        <v>0</v>
      </c>
      <c r="DH218" s="16">
        <v>0</v>
      </c>
      <c r="DI218" s="16">
        <v>0</v>
      </c>
      <c r="DJ218" s="16">
        <v>167</v>
      </c>
      <c r="DK218" s="16">
        <v>0</v>
      </c>
      <c r="DL218" s="16">
        <v>0</v>
      </c>
      <c r="DM218" s="16">
        <v>38</v>
      </c>
      <c r="DN218" s="16">
        <v>0</v>
      </c>
      <c r="DO218" s="16">
        <v>0</v>
      </c>
      <c r="DP218" s="16">
        <v>0</v>
      </c>
      <c r="DQ218" s="16">
        <v>0</v>
      </c>
      <c r="DR218" s="16">
        <v>0</v>
      </c>
      <c r="DS218" s="16">
        <v>70</v>
      </c>
      <c r="DT218" s="16">
        <v>0</v>
      </c>
      <c r="DU218" s="16">
        <v>0</v>
      </c>
      <c r="DV218" s="16">
        <v>1</v>
      </c>
      <c r="DW218" s="16">
        <v>372</v>
      </c>
      <c r="DX218" s="16">
        <v>100</v>
      </c>
      <c r="DY218" s="16">
        <v>156</v>
      </c>
      <c r="DZ218" s="16">
        <v>1620</v>
      </c>
      <c r="EA218" s="16">
        <v>178</v>
      </c>
      <c r="EB218" s="16">
        <v>1</v>
      </c>
      <c r="EC218" s="16">
        <v>37</v>
      </c>
      <c r="ED218" s="16">
        <v>35</v>
      </c>
      <c r="EE218" s="16">
        <v>3</v>
      </c>
      <c r="EF218" s="16">
        <v>2</v>
      </c>
      <c r="EG218" s="16">
        <v>18</v>
      </c>
      <c r="EH218" s="16">
        <v>0</v>
      </c>
      <c r="EI218" s="16">
        <v>0</v>
      </c>
      <c r="EJ218" s="16">
        <v>102</v>
      </c>
      <c r="EK218" s="16">
        <v>0</v>
      </c>
      <c r="EL218" s="16">
        <v>28</v>
      </c>
      <c r="EM218" s="16">
        <v>19</v>
      </c>
      <c r="EN218" s="16">
        <v>918</v>
      </c>
      <c r="EO218" s="16">
        <v>152</v>
      </c>
      <c r="EP218" s="16">
        <v>0</v>
      </c>
      <c r="EQ218" s="16">
        <v>275</v>
      </c>
      <c r="ER218" s="16">
        <v>0</v>
      </c>
      <c r="ES218" s="16">
        <v>0</v>
      </c>
      <c r="ET218" s="16">
        <v>419</v>
      </c>
      <c r="EU218" s="16">
        <v>3</v>
      </c>
      <c r="EV218" s="16">
        <v>0</v>
      </c>
      <c r="EW218" s="16">
        <v>4</v>
      </c>
      <c r="EX218" s="16">
        <v>149</v>
      </c>
      <c r="EY218" s="16">
        <v>0</v>
      </c>
      <c r="EZ218" s="16">
        <v>1</v>
      </c>
      <c r="FA218" s="16">
        <v>1</v>
      </c>
      <c r="FB218" s="16">
        <v>0</v>
      </c>
      <c r="FC218" s="16">
        <v>8</v>
      </c>
      <c r="FD218" s="16">
        <v>986</v>
      </c>
      <c r="FE218" s="16">
        <v>19</v>
      </c>
      <c r="FF218" s="16">
        <v>21</v>
      </c>
      <c r="FG218" s="16">
        <v>0</v>
      </c>
      <c r="FH218" s="16">
        <v>0</v>
      </c>
      <c r="FI218" s="16">
        <v>0</v>
      </c>
      <c r="FJ218" s="16">
        <v>16</v>
      </c>
      <c r="FK218" s="16">
        <v>9</v>
      </c>
      <c r="FL218" s="16">
        <v>0</v>
      </c>
      <c r="FM218" s="16">
        <v>52</v>
      </c>
      <c r="FN218" s="16">
        <v>273</v>
      </c>
      <c r="FO218" s="16">
        <v>275</v>
      </c>
      <c r="FP218" s="16">
        <v>95</v>
      </c>
      <c r="FQ218" s="16">
        <v>719</v>
      </c>
      <c r="FR218" s="16">
        <v>501</v>
      </c>
      <c r="FS218" s="16">
        <v>0</v>
      </c>
      <c r="FT218" s="16">
        <v>149</v>
      </c>
      <c r="FU218" s="16">
        <v>427</v>
      </c>
      <c r="FV218" s="16">
        <v>360</v>
      </c>
      <c r="FW218" s="16">
        <v>816</v>
      </c>
      <c r="FX218" s="16">
        <v>206</v>
      </c>
      <c r="FY218" s="16">
        <v>0</v>
      </c>
      <c r="FZ218" s="16">
        <v>122</v>
      </c>
      <c r="GA218" s="16">
        <v>0</v>
      </c>
      <c r="GB218" s="16">
        <v>118</v>
      </c>
      <c r="GC218" s="16">
        <v>0</v>
      </c>
      <c r="GD218" s="16">
        <v>753</v>
      </c>
      <c r="GE218" s="16">
        <v>362</v>
      </c>
      <c r="GF218" s="16">
        <v>10126</v>
      </c>
      <c r="GG218" s="16">
        <v>1612</v>
      </c>
      <c r="GH218" s="16">
        <v>177727</v>
      </c>
      <c r="GI218" s="16">
        <v>123</v>
      </c>
      <c r="GJ218" s="16">
        <v>496</v>
      </c>
      <c r="GK218" s="16">
        <v>28</v>
      </c>
      <c r="GL218" s="16">
        <v>2</v>
      </c>
      <c r="GM218" s="16">
        <v>606</v>
      </c>
      <c r="GN218" s="16">
        <v>378</v>
      </c>
      <c r="GO218" s="16">
        <v>495</v>
      </c>
      <c r="GP218" s="16">
        <v>1710</v>
      </c>
      <c r="GQ218" s="16">
        <v>918</v>
      </c>
      <c r="GR218" s="16">
        <v>814</v>
      </c>
      <c r="GS218" s="16">
        <v>80</v>
      </c>
      <c r="GT218" s="16">
        <v>13</v>
      </c>
      <c r="GU218" s="16">
        <v>931</v>
      </c>
      <c r="GV218" s="16">
        <v>2875</v>
      </c>
      <c r="GW218" s="16">
        <v>359</v>
      </c>
      <c r="GX218" s="16">
        <v>407</v>
      </c>
      <c r="GY218" s="16">
        <v>0</v>
      </c>
      <c r="GZ218" s="16">
        <v>1414</v>
      </c>
      <c r="HA218" s="16">
        <v>20</v>
      </c>
      <c r="HB218" s="16">
        <v>3484</v>
      </c>
      <c r="HC218" s="16">
        <v>5025</v>
      </c>
      <c r="HD218" s="16">
        <v>6960</v>
      </c>
      <c r="HE218" s="16">
        <v>5</v>
      </c>
      <c r="HF218" s="16">
        <v>21</v>
      </c>
      <c r="HG218" s="16">
        <v>241</v>
      </c>
      <c r="HH218" s="16">
        <v>509</v>
      </c>
      <c r="HI218" s="16">
        <v>354</v>
      </c>
      <c r="HJ218" s="16">
        <v>115762</v>
      </c>
      <c r="HK218" s="16">
        <v>529754</v>
      </c>
      <c r="HL218" s="16">
        <v>2009</v>
      </c>
      <c r="HM218" s="16">
        <v>140</v>
      </c>
      <c r="HN218" s="16">
        <v>485</v>
      </c>
      <c r="HO218" s="16">
        <v>0</v>
      </c>
      <c r="HP218" s="16">
        <v>0</v>
      </c>
      <c r="HQ218" s="16">
        <v>1211</v>
      </c>
      <c r="HR218" s="16">
        <v>319</v>
      </c>
      <c r="HS218" s="16">
        <v>175</v>
      </c>
      <c r="HT218" s="16">
        <v>134</v>
      </c>
      <c r="HU218" s="16">
        <v>217</v>
      </c>
      <c r="HV218" s="16">
        <v>1472</v>
      </c>
      <c r="HW218" s="16">
        <v>1775</v>
      </c>
      <c r="HX218" s="16">
        <v>72</v>
      </c>
      <c r="HY218" s="16">
        <v>105</v>
      </c>
      <c r="HZ218" s="16">
        <v>4768</v>
      </c>
      <c r="IA218" s="16">
        <v>645</v>
      </c>
      <c r="IB218" s="16">
        <v>34</v>
      </c>
      <c r="IC218" s="16">
        <v>5</v>
      </c>
      <c r="ID218" s="16">
        <v>6</v>
      </c>
      <c r="IE218" s="16">
        <v>0</v>
      </c>
      <c r="IF218" s="16">
        <v>7</v>
      </c>
      <c r="IG218" s="16">
        <v>781</v>
      </c>
      <c r="IH218" s="16">
        <v>9050</v>
      </c>
      <c r="II218" s="16">
        <v>953</v>
      </c>
      <c r="IJ218" s="16">
        <v>514</v>
      </c>
      <c r="IK218" s="16">
        <v>1512</v>
      </c>
      <c r="IL218" s="16">
        <v>1480</v>
      </c>
      <c r="IM218" s="16">
        <v>0</v>
      </c>
      <c r="IN218" s="16">
        <v>39</v>
      </c>
      <c r="IO218" s="16">
        <v>12676</v>
      </c>
      <c r="IP218" s="16">
        <v>9336</v>
      </c>
      <c r="IQ218" s="16">
        <v>151</v>
      </c>
      <c r="IR218" s="16">
        <v>79</v>
      </c>
      <c r="IS218" s="16">
        <v>259</v>
      </c>
      <c r="IT218" s="16">
        <v>113</v>
      </c>
      <c r="IU218" s="16">
        <v>6</v>
      </c>
      <c r="IV218" s="16">
        <v>117</v>
      </c>
      <c r="IW218" s="16">
        <v>25</v>
      </c>
      <c r="IX218" s="16">
        <v>0</v>
      </c>
      <c r="IY218" s="16">
        <v>6</v>
      </c>
      <c r="IZ218" s="16">
        <v>2</v>
      </c>
      <c r="JA218" s="16">
        <v>68</v>
      </c>
      <c r="JB218" s="16">
        <v>0</v>
      </c>
      <c r="JC218" s="16">
        <v>0</v>
      </c>
      <c r="JD218" s="16">
        <v>0</v>
      </c>
      <c r="JE218" s="16">
        <v>5616</v>
      </c>
      <c r="JF218" s="16">
        <v>393</v>
      </c>
      <c r="JG218" s="16">
        <v>5319</v>
      </c>
      <c r="JH218" s="16">
        <v>3607</v>
      </c>
      <c r="JI218" s="16">
        <v>70</v>
      </c>
      <c r="JJ218" s="16">
        <v>1117</v>
      </c>
      <c r="JK218" s="16">
        <v>163</v>
      </c>
      <c r="JL218" s="16">
        <v>0</v>
      </c>
      <c r="JM218" s="16">
        <v>0</v>
      </c>
      <c r="JN218" s="16">
        <v>0</v>
      </c>
      <c r="JO218" s="16">
        <v>0</v>
      </c>
      <c r="JP218" s="16">
        <v>0</v>
      </c>
      <c r="JQ218" s="16">
        <v>0</v>
      </c>
      <c r="JR218" s="16">
        <v>3040</v>
      </c>
      <c r="JS218" s="16">
        <v>166</v>
      </c>
      <c r="JT218" s="16">
        <v>0</v>
      </c>
      <c r="JU218" s="16">
        <v>770</v>
      </c>
      <c r="JV218" s="16">
        <v>191</v>
      </c>
      <c r="JW218" s="16">
        <v>152529</v>
      </c>
      <c r="JX218" s="16">
        <v>146414</v>
      </c>
      <c r="JY218" s="16">
        <v>21033</v>
      </c>
      <c r="JZ218" s="16">
        <v>140</v>
      </c>
      <c r="KA218" s="16">
        <v>489</v>
      </c>
      <c r="KB218" s="16">
        <v>88</v>
      </c>
      <c r="KC218" s="16">
        <v>749</v>
      </c>
      <c r="KD218" s="16">
        <v>12</v>
      </c>
      <c r="KE218" s="16">
        <v>159</v>
      </c>
      <c r="KF218" s="16">
        <v>459</v>
      </c>
      <c r="KG218" s="16">
        <v>1116</v>
      </c>
      <c r="KH218" s="16">
        <v>607</v>
      </c>
      <c r="KI218" s="16">
        <v>10098</v>
      </c>
      <c r="KJ218" s="16">
        <v>3905</v>
      </c>
      <c r="KK218" s="16">
        <v>63731</v>
      </c>
      <c r="KL218" s="16">
        <v>7</v>
      </c>
      <c r="KM218" s="16">
        <v>386</v>
      </c>
      <c r="KN218" s="16">
        <v>14</v>
      </c>
      <c r="KO218" s="16">
        <v>273</v>
      </c>
      <c r="KP218" s="16">
        <v>11</v>
      </c>
      <c r="KQ218" s="16">
        <v>1179</v>
      </c>
      <c r="KR218" s="16">
        <v>8614</v>
      </c>
      <c r="KS218" s="16">
        <v>133</v>
      </c>
      <c r="KT218" s="16">
        <v>1285</v>
      </c>
      <c r="KU218" s="16">
        <v>171</v>
      </c>
      <c r="KV218" s="16">
        <v>1075</v>
      </c>
      <c r="KW218" s="16">
        <v>202</v>
      </c>
      <c r="KX218" s="16">
        <v>0</v>
      </c>
      <c r="KY218" s="16">
        <v>0</v>
      </c>
      <c r="KZ218" s="16">
        <v>599</v>
      </c>
      <c r="LA218" s="16">
        <v>23746</v>
      </c>
      <c r="LB218" s="16">
        <v>3912</v>
      </c>
      <c r="LC218" s="16">
        <v>0</v>
      </c>
      <c r="LD218" s="16">
        <v>18703</v>
      </c>
      <c r="LE218" s="16">
        <v>652</v>
      </c>
      <c r="LF218" s="16">
        <v>177</v>
      </c>
      <c r="LG218" s="16">
        <v>28</v>
      </c>
      <c r="LH218" s="16">
        <v>0</v>
      </c>
      <c r="LI218" s="16">
        <v>5</v>
      </c>
      <c r="LJ218" s="16">
        <v>191</v>
      </c>
      <c r="LK218" s="16">
        <v>413</v>
      </c>
      <c r="LL218" s="16">
        <v>43</v>
      </c>
      <c r="LM218" s="16">
        <v>0</v>
      </c>
      <c r="LN218" s="16">
        <v>191</v>
      </c>
      <c r="LO218" s="16">
        <v>32</v>
      </c>
      <c r="LP218" s="16">
        <v>2615</v>
      </c>
      <c r="LQ218" s="16">
        <v>601</v>
      </c>
      <c r="LR218" s="16">
        <v>2239</v>
      </c>
      <c r="LS218" s="16">
        <v>220</v>
      </c>
      <c r="LT218" s="16">
        <v>6037</v>
      </c>
      <c r="LU218" s="16">
        <v>1007</v>
      </c>
      <c r="LV218" s="16">
        <v>0</v>
      </c>
      <c r="LW218" s="16">
        <v>267</v>
      </c>
      <c r="LX218" s="16">
        <v>1751</v>
      </c>
      <c r="LY218" s="16">
        <v>0</v>
      </c>
      <c r="LZ218" s="16">
        <v>1891</v>
      </c>
      <c r="MA218" s="16">
        <v>109</v>
      </c>
      <c r="MB218" s="16">
        <v>4898</v>
      </c>
      <c r="MC218" s="16">
        <v>1877</v>
      </c>
      <c r="MD218" s="16">
        <v>675</v>
      </c>
      <c r="ME218" s="16">
        <v>24</v>
      </c>
      <c r="MF218" s="16">
        <v>4557</v>
      </c>
      <c r="MG218" s="16">
        <v>330</v>
      </c>
      <c r="MH218" s="16">
        <v>162923</v>
      </c>
      <c r="MI218" s="16">
        <v>212</v>
      </c>
      <c r="MJ218" s="16">
        <v>1047</v>
      </c>
      <c r="MK218" s="16">
        <v>792</v>
      </c>
      <c r="ML218" s="16">
        <v>60</v>
      </c>
      <c r="MM218" s="16">
        <v>483</v>
      </c>
      <c r="MN218" s="16">
        <v>391</v>
      </c>
      <c r="MO218" s="16">
        <v>891</v>
      </c>
      <c r="MP218" s="16">
        <v>2362</v>
      </c>
      <c r="MQ218" s="16">
        <v>1471</v>
      </c>
      <c r="MR218" s="16">
        <v>1093</v>
      </c>
      <c r="MS218" s="16">
        <v>6354</v>
      </c>
      <c r="MT218" s="16">
        <v>469</v>
      </c>
      <c r="MU218" s="16">
        <v>140</v>
      </c>
      <c r="MV218" s="16">
        <v>3830</v>
      </c>
      <c r="MW218" s="16">
        <v>5073</v>
      </c>
      <c r="MX218" s="16">
        <v>84</v>
      </c>
      <c r="MY218" s="16">
        <v>368</v>
      </c>
      <c r="MZ218" s="16">
        <v>4906</v>
      </c>
      <c r="NA218" s="16">
        <v>494</v>
      </c>
      <c r="NB218" s="16">
        <v>7382</v>
      </c>
      <c r="NC218" s="16">
        <v>13231</v>
      </c>
      <c r="ND218" s="16">
        <v>1063</v>
      </c>
      <c r="NE218" s="16">
        <v>745</v>
      </c>
      <c r="NF218" s="16">
        <v>0</v>
      </c>
      <c r="NG218" s="16">
        <v>12850</v>
      </c>
      <c r="NH218" s="16">
        <v>4243</v>
      </c>
      <c r="NI218" s="16">
        <v>375</v>
      </c>
      <c r="NJ218" s="16">
        <v>13154</v>
      </c>
      <c r="NK218" s="16">
        <v>15607</v>
      </c>
      <c r="NL218" s="16">
        <v>372</v>
      </c>
      <c r="NM218" s="16">
        <v>642</v>
      </c>
      <c r="NN218" s="16">
        <v>0</v>
      </c>
      <c r="NO218" s="16">
        <v>0</v>
      </c>
      <c r="NP218" s="16">
        <v>264</v>
      </c>
      <c r="NQ218" s="16">
        <v>9</v>
      </c>
      <c r="NR218" s="17">
        <v>1706359</v>
      </c>
    </row>
    <row r="219" spans="1:382" ht="13.5" customHeight="1" x14ac:dyDescent="0.2">
      <c r="A219" s="2" t="s">
        <v>445</v>
      </c>
      <c r="B219" s="16">
        <v>0</v>
      </c>
      <c r="C219" s="16">
        <v>0</v>
      </c>
      <c r="D219" s="16">
        <v>0</v>
      </c>
      <c r="E219" s="16">
        <v>0</v>
      </c>
      <c r="F219" s="16">
        <v>0</v>
      </c>
      <c r="G219" s="16">
        <v>331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58</v>
      </c>
      <c r="P219" s="16">
        <v>5861</v>
      </c>
      <c r="Q219" s="16">
        <v>6912</v>
      </c>
      <c r="R219" s="16">
        <v>533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4573</v>
      </c>
      <c r="Y219" s="16">
        <v>107</v>
      </c>
      <c r="Z219" s="16">
        <v>15</v>
      </c>
      <c r="AA219" s="16">
        <v>18</v>
      </c>
      <c r="AB219" s="16">
        <v>0</v>
      </c>
      <c r="AC219" s="16">
        <v>0</v>
      </c>
      <c r="AD219" s="16">
        <v>0</v>
      </c>
      <c r="AE219" s="16">
        <v>0</v>
      </c>
      <c r="AF219" s="16">
        <v>14</v>
      </c>
      <c r="AG219" s="16">
        <v>1814</v>
      </c>
      <c r="AH219" s="16">
        <v>71</v>
      </c>
      <c r="AI219" s="16">
        <v>217</v>
      </c>
      <c r="AJ219" s="16">
        <v>0</v>
      </c>
      <c r="AK219" s="16">
        <v>0</v>
      </c>
      <c r="AL219" s="16">
        <v>5</v>
      </c>
      <c r="AM219" s="16">
        <v>0</v>
      </c>
      <c r="AN219" s="16">
        <v>100</v>
      </c>
      <c r="AO219" s="16">
        <v>0</v>
      </c>
      <c r="AP219" s="16">
        <v>0</v>
      </c>
      <c r="AQ219" s="16">
        <v>0</v>
      </c>
      <c r="AR219" s="16">
        <v>0</v>
      </c>
      <c r="AS219" s="16">
        <v>0</v>
      </c>
      <c r="AT219" s="16">
        <v>0</v>
      </c>
      <c r="AU219" s="16">
        <v>11</v>
      </c>
      <c r="AV219" s="16">
        <v>0</v>
      </c>
      <c r="AW219" s="16">
        <v>19</v>
      </c>
      <c r="AX219" s="16">
        <v>0</v>
      </c>
      <c r="AY219" s="16">
        <v>0</v>
      </c>
      <c r="AZ219" s="16">
        <v>65</v>
      </c>
      <c r="BA219" s="16">
        <v>5063</v>
      </c>
      <c r="BB219" s="16">
        <v>158</v>
      </c>
      <c r="BC219" s="16">
        <v>0</v>
      </c>
      <c r="BD219" s="16">
        <v>0</v>
      </c>
      <c r="BE219" s="16">
        <v>0</v>
      </c>
      <c r="BF219" s="16">
        <v>0</v>
      </c>
      <c r="BG219" s="16">
        <v>0</v>
      </c>
      <c r="BH219" s="16">
        <v>173</v>
      </c>
      <c r="BI219" s="16">
        <v>0</v>
      </c>
      <c r="BJ219" s="16">
        <v>136</v>
      </c>
      <c r="BK219" s="16">
        <v>22</v>
      </c>
      <c r="BL219" s="16">
        <v>1176</v>
      </c>
      <c r="BM219" s="16">
        <v>927</v>
      </c>
      <c r="BN219" s="16">
        <v>452</v>
      </c>
      <c r="BO219" s="16">
        <v>1294</v>
      </c>
      <c r="BP219" s="16">
        <v>127</v>
      </c>
      <c r="BQ219" s="16">
        <v>130</v>
      </c>
      <c r="BR219" s="16">
        <v>36</v>
      </c>
      <c r="BS219" s="16">
        <v>3055</v>
      </c>
      <c r="BT219" s="16">
        <v>183</v>
      </c>
      <c r="BU219" s="16">
        <v>0</v>
      </c>
      <c r="BV219" s="16">
        <v>37</v>
      </c>
      <c r="BW219" s="16">
        <v>81</v>
      </c>
      <c r="BX219" s="16">
        <v>0</v>
      </c>
      <c r="BY219" s="16">
        <v>0</v>
      </c>
      <c r="BZ219" s="16">
        <v>33</v>
      </c>
      <c r="CA219" s="16">
        <v>249</v>
      </c>
      <c r="CB219" s="16">
        <v>0</v>
      </c>
      <c r="CC219" s="16">
        <v>60</v>
      </c>
      <c r="CD219" s="16">
        <v>13</v>
      </c>
      <c r="CE219" s="16">
        <v>91</v>
      </c>
      <c r="CF219" s="16">
        <v>103</v>
      </c>
      <c r="CG219" s="16">
        <v>74</v>
      </c>
      <c r="CH219" s="16">
        <v>1642</v>
      </c>
      <c r="CI219" s="16">
        <v>0</v>
      </c>
      <c r="CJ219" s="16">
        <v>480</v>
      </c>
      <c r="CK219" s="16">
        <v>589</v>
      </c>
      <c r="CL219" s="16">
        <v>76</v>
      </c>
      <c r="CM219" s="16">
        <v>69</v>
      </c>
      <c r="CN219" s="16">
        <v>17</v>
      </c>
      <c r="CO219" s="16">
        <v>140</v>
      </c>
      <c r="CP219" s="16">
        <v>258</v>
      </c>
      <c r="CQ219" s="16">
        <v>6070</v>
      </c>
      <c r="CR219" s="16">
        <v>2229</v>
      </c>
      <c r="CS219" s="16">
        <v>243</v>
      </c>
      <c r="CT219" s="16">
        <v>3116</v>
      </c>
      <c r="CU219" s="16">
        <v>4658</v>
      </c>
      <c r="CV219" s="16">
        <v>4541</v>
      </c>
      <c r="CW219" s="16">
        <v>10937</v>
      </c>
      <c r="CX219" s="16">
        <v>1350</v>
      </c>
      <c r="CY219" s="16">
        <v>39</v>
      </c>
      <c r="CZ219" s="16">
        <v>0</v>
      </c>
      <c r="DA219" s="16">
        <v>0</v>
      </c>
      <c r="DB219" s="16">
        <v>3398</v>
      </c>
      <c r="DC219" s="16">
        <v>0</v>
      </c>
      <c r="DD219" s="16">
        <v>0</v>
      </c>
      <c r="DE219" s="16">
        <v>699</v>
      </c>
      <c r="DF219" s="16">
        <v>276</v>
      </c>
      <c r="DG219" s="16">
        <v>424</v>
      </c>
      <c r="DH219" s="16">
        <v>662</v>
      </c>
      <c r="DI219" s="16">
        <v>180</v>
      </c>
      <c r="DJ219" s="16">
        <v>3060</v>
      </c>
      <c r="DK219" s="16">
        <v>4</v>
      </c>
      <c r="DL219" s="16">
        <v>49</v>
      </c>
      <c r="DM219" s="16">
        <v>1156</v>
      </c>
      <c r="DN219" s="16">
        <v>0</v>
      </c>
      <c r="DO219" s="16">
        <v>20</v>
      </c>
      <c r="DP219" s="16">
        <v>317</v>
      </c>
      <c r="DQ219" s="16">
        <v>0</v>
      </c>
      <c r="DR219" s="16">
        <v>16</v>
      </c>
      <c r="DS219" s="16">
        <v>1306</v>
      </c>
      <c r="DT219" s="16">
        <v>37</v>
      </c>
      <c r="DU219" s="16">
        <v>22</v>
      </c>
      <c r="DV219" s="16">
        <v>23</v>
      </c>
      <c r="DW219" s="16">
        <v>2448</v>
      </c>
      <c r="DX219" s="16">
        <v>911</v>
      </c>
      <c r="DY219" s="16">
        <v>3367</v>
      </c>
      <c r="DZ219" s="16">
        <v>833</v>
      </c>
      <c r="EA219" s="16">
        <v>3811</v>
      </c>
      <c r="EB219" s="16">
        <v>101</v>
      </c>
      <c r="EC219" s="16">
        <v>289</v>
      </c>
      <c r="ED219" s="16">
        <v>477</v>
      </c>
      <c r="EE219" s="16">
        <v>25</v>
      </c>
      <c r="EF219" s="16">
        <v>13</v>
      </c>
      <c r="EG219" s="16">
        <v>95</v>
      </c>
      <c r="EH219" s="16">
        <v>471</v>
      </c>
      <c r="EI219" s="16">
        <v>31</v>
      </c>
      <c r="EJ219" s="16">
        <v>383</v>
      </c>
      <c r="EK219" s="16">
        <v>15</v>
      </c>
      <c r="EL219" s="16">
        <v>232</v>
      </c>
      <c r="EM219" s="16">
        <v>147</v>
      </c>
      <c r="EN219" s="16">
        <v>4548</v>
      </c>
      <c r="EO219" s="16">
        <v>693</v>
      </c>
      <c r="EP219" s="16">
        <v>12</v>
      </c>
      <c r="EQ219" s="16">
        <v>2926</v>
      </c>
      <c r="ER219" s="16">
        <v>26</v>
      </c>
      <c r="ES219" s="16">
        <v>20</v>
      </c>
      <c r="ET219" s="16">
        <v>3500</v>
      </c>
      <c r="EU219" s="16">
        <v>86</v>
      </c>
      <c r="EV219" s="16">
        <v>444</v>
      </c>
      <c r="EW219" s="16">
        <v>30</v>
      </c>
      <c r="EX219" s="16">
        <v>908</v>
      </c>
      <c r="EY219" s="16">
        <v>22</v>
      </c>
      <c r="EZ219" s="16">
        <v>20</v>
      </c>
      <c r="FA219" s="16">
        <v>11</v>
      </c>
      <c r="FB219" s="16">
        <v>37</v>
      </c>
      <c r="FC219" s="16">
        <v>69</v>
      </c>
      <c r="FD219" s="16">
        <v>7385</v>
      </c>
      <c r="FE219" s="16">
        <v>235</v>
      </c>
      <c r="FF219" s="16">
        <v>118</v>
      </c>
      <c r="FG219" s="16">
        <v>4</v>
      </c>
      <c r="FH219" s="16">
        <v>9</v>
      </c>
      <c r="FI219" s="16">
        <v>93</v>
      </c>
      <c r="FJ219" s="16">
        <v>271</v>
      </c>
      <c r="FK219" s="16">
        <v>327</v>
      </c>
      <c r="FL219" s="16">
        <v>0</v>
      </c>
      <c r="FM219" s="16">
        <v>455</v>
      </c>
      <c r="FN219" s="16">
        <v>1329</v>
      </c>
      <c r="FO219" s="16">
        <v>4125</v>
      </c>
      <c r="FP219" s="16">
        <v>727</v>
      </c>
      <c r="FQ219" s="16">
        <v>3267</v>
      </c>
      <c r="FR219" s="16">
        <v>606</v>
      </c>
      <c r="FS219" s="16">
        <v>19</v>
      </c>
      <c r="FT219" s="16">
        <v>2840</v>
      </c>
      <c r="FU219" s="16">
        <v>5909</v>
      </c>
      <c r="FV219" s="16">
        <v>2951</v>
      </c>
      <c r="FW219" s="16">
        <v>3444</v>
      </c>
      <c r="FX219" s="16">
        <v>1774</v>
      </c>
      <c r="FY219" s="16">
        <v>259</v>
      </c>
      <c r="FZ219" s="16">
        <v>514</v>
      </c>
      <c r="GA219" s="16">
        <v>61</v>
      </c>
      <c r="GB219" s="16">
        <v>888</v>
      </c>
      <c r="GC219" s="16">
        <v>38</v>
      </c>
      <c r="GD219" s="16">
        <v>1351</v>
      </c>
      <c r="GE219" s="16">
        <v>5120</v>
      </c>
      <c r="GF219" s="16">
        <v>10976</v>
      </c>
      <c r="GG219" s="16">
        <v>2327</v>
      </c>
      <c r="GH219" s="16">
        <v>12472</v>
      </c>
      <c r="GI219" s="16">
        <v>239</v>
      </c>
      <c r="GJ219" s="16">
        <v>1831</v>
      </c>
      <c r="GK219" s="16">
        <v>2946</v>
      </c>
      <c r="GL219" s="16">
        <v>6</v>
      </c>
      <c r="GM219" s="16">
        <v>84</v>
      </c>
      <c r="GN219" s="16">
        <v>638</v>
      </c>
      <c r="GO219" s="16">
        <v>131</v>
      </c>
      <c r="GP219" s="16">
        <v>149</v>
      </c>
      <c r="GQ219" s="16">
        <v>1654</v>
      </c>
      <c r="GR219" s="16">
        <v>1560</v>
      </c>
      <c r="GS219" s="16">
        <v>636</v>
      </c>
      <c r="GT219" s="16">
        <v>154</v>
      </c>
      <c r="GU219" s="16">
        <v>3680</v>
      </c>
      <c r="GV219" s="16">
        <v>2403</v>
      </c>
      <c r="GW219" s="16">
        <v>2835</v>
      </c>
      <c r="GX219" s="16">
        <v>290</v>
      </c>
      <c r="GY219" s="16">
        <v>0</v>
      </c>
      <c r="GZ219" s="16">
        <v>137</v>
      </c>
      <c r="HA219" s="16">
        <v>143</v>
      </c>
      <c r="HB219" s="16">
        <v>2433</v>
      </c>
      <c r="HC219" s="16">
        <v>15449</v>
      </c>
      <c r="HD219" s="16">
        <v>17992</v>
      </c>
      <c r="HE219" s="16">
        <v>115</v>
      </c>
      <c r="HF219" s="16">
        <v>1847</v>
      </c>
      <c r="HG219" s="16">
        <v>2700</v>
      </c>
      <c r="HH219" s="16">
        <v>1814</v>
      </c>
      <c r="HI219" s="16">
        <v>4080</v>
      </c>
      <c r="HJ219" s="16">
        <v>7211</v>
      </c>
      <c r="HK219" s="16">
        <v>2376667</v>
      </c>
      <c r="HL219" s="16">
        <v>25969</v>
      </c>
      <c r="HM219" s="16">
        <v>429</v>
      </c>
      <c r="HN219" s="16">
        <v>2643</v>
      </c>
      <c r="HO219" s="16">
        <v>2016</v>
      </c>
      <c r="HP219" s="16">
        <v>80</v>
      </c>
      <c r="HQ219" s="16">
        <v>8177</v>
      </c>
      <c r="HR219" s="16">
        <v>220</v>
      </c>
      <c r="HS219" s="16">
        <v>242</v>
      </c>
      <c r="HT219" s="16">
        <v>168</v>
      </c>
      <c r="HU219" s="16">
        <v>843</v>
      </c>
      <c r="HV219" s="16">
        <v>3892</v>
      </c>
      <c r="HW219" s="16">
        <v>1236</v>
      </c>
      <c r="HX219" s="16">
        <v>1190</v>
      </c>
      <c r="HY219" s="16">
        <v>2169</v>
      </c>
      <c r="HZ219" s="16">
        <v>4749</v>
      </c>
      <c r="IA219" s="16">
        <v>6774</v>
      </c>
      <c r="IB219" s="16">
        <v>218</v>
      </c>
      <c r="IC219" s="16">
        <v>82</v>
      </c>
      <c r="ID219" s="16">
        <v>370</v>
      </c>
      <c r="IE219" s="16">
        <v>4</v>
      </c>
      <c r="IF219" s="16">
        <v>56</v>
      </c>
      <c r="IG219" s="16">
        <v>5340</v>
      </c>
      <c r="IH219" s="16">
        <v>1756346</v>
      </c>
      <c r="II219" s="16">
        <v>56135</v>
      </c>
      <c r="IJ219" s="16">
        <v>126691</v>
      </c>
      <c r="IK219" s="16">
        <v>103923</v>
      </c>
      <c r="IL219" s="16">
        <v>33986</v>
      </c>
      <c r="IM219" s="16">
        <v>5172</v>
      </c>
      <c r="IN219" s="16">
        <v>3714</v>
      </c>
      <c r="IO219" s="16">
        <v>33871</v>
      </c>
      <c r="IP219" s="16">
        <v>10911</v>
      </c>
      <c r="IQ219" s="16">
        <v>912</v>
      </c>
      <c r="IR219" s="16">
        <v>1460</v>
      </c>
      <c r="IS219" s="16">
        <v>2237</v>
      </c>
      <c r="IT219" s="16">
        <v>2854</v>
      </c>
      <c r="IU219" s="16">
        <v>138</v>
      </c>
      <c r="IV219" s="16">
        <v>17199</v>
      </c>
      <c r="IW219" s="16">
        <v>719</v>
      </c>
      <c r="IX219" s="16">
        <v>2184</v>
      </c>
      <c r="IY219" s="16">
        <v>74</v>
      </c>
      <c r="IZ219" s="16">
        <v>46</v>
      </c>
      <c r="JA219" s="16">
        <v>359</v>
      </c>
      <c r="JB219" s="16">
        <v>23</v>
      </c>
      <c r="JC219" s="16">
        <v>18</v>
      </c>
      <c r="JD219" s="16">
        <v>0</v>
      </c>
      <c r="JE219" s="16">
        <v>70462</v>
      </c>
      <c r="JF219" s="16">
        <v>5005</v>
      </c>
      <c r="JG219" s="16">
        <v>30104</v>
      </c>
      <c r="JH219" s="16">
        <v>1932</v>
      </c>
      <c r="JI219" s="16">
        <v>0</v>
      </c>
      <c r="JJ219" s="16">
        <v>16464</v>
      </c>
      <c r="JK219" s="16">
        <v>992</v>
      </c>
      <c r="JL219" s="16">
        <v>756</v>
      </c>
      <c r="JM219" s="16">
        <v>222</v>
      </c>
      <c r="JN219" s="16">
        <v>2536</v>
      </c>
      <c r="JO219" s="16">
        <v>1765</v>
      </c>
      <c r="JP219" s="16">
        <v>2146</v>
      </c>
      <c r="JQ219" s="16">
        <v>214</v>
      </c>
      <c r="JR219" s="16">
        <v>71968</v>
      </c>
      <c r="JS219" s="16">
        <v>3862</v>
      </c>
      <c r="JT219" s="16">
        <v>0</v>
      </c>
      <c r="JU219" s="16">
        <v>3371</v>
      </c>
      <c r="JV219" s="16">
        <v>2883</v>
      </c>
      <c r="JW219" s="16">
        <v>540915</v>
      </c>
      <c r="JX219" s="16">
        <v>674010</v>
      </c>
      <c r="JY219" s="16">
        <v>182879</v>
      </c>
      <c r="JZ219" s="16">
        <v>18695</v>
      </c>
      <c r="KA219" s="16">
        <v>7313</v>
      </c>
      <c r="KB219" s="16">
        <v>966</v>
      </c>
      <c r="KC219" s="16">
        <v>7843</v>
      </c>
      <c r="KD219" s="16">
        <v>1711</v>
      </c>
      <c r="KE219" s="16">
        <v>9690</v>
      </c>
      <c r="KF219" s="16">
        <v>39718</v>
      </c>
      <c r="KG219" s="16">
        <v>3861</v>
      </c>
      <c r="KH219" s="16">
        <v>15264</v>
      </c>
      <c r="KI219" s="16">
        <v>31007</v>
      </c>
      <c r="KJ219" s="16">
        <v>24846</v>
      </c>
      <c r="KK219" s="16">
        <v>457319</v>
      </c>
      <c r="KL219" s="16">
        <v>91</v>
      </c>
      <c r="KM219" s="16">
        <v>6129</v>
      </c>
      <c r="KN219" s="16">
        <v>530</v>
      </c>
      <c r="KO219" s="16">
        <v>2385</v>
      </c>
      <c r="KP219" s="16">
        <v>150</v>
      </c>
      <c r="KQ219" s="16">
        <v>285</v>
      </c>
      <c r="KR219" s="16">
        <v>37069</v>
      </c>
      <c r="KS219" s="16">
        <v>2516</v>
      </c>
      <c r="KT219" s="16">
        <v>10637</v>
      </c>
      <c r="KU219" s="16">
        <v>1321</v>
      </c>
      <c r="KV219" s="16">
        <v>15271</v>
      </c>
      <c r="KW219" s="16">
        <v>3511</v>
      </c>
      <c r="KX219" s="16">
        <v>7</v>
      </c>
      <c r="KY219" s="16">
        <v>35</v>
      </c>
      <c r="KZ219" s="16">
        <v>128904</v>
      </c>
      <c r="LA219" s="16">
        <v>54162</v>
      </c>
      <c r="LB219" s="16">
        <v>28215</v>
      </c>
      <c r="LC219" s="16">
        <v>71583</v>
      </c>
      <c r="LD219" s="16">
        <v>125629</v>
      </c>
      <c r="LE219" s="16">
        <v>3114</v>
      </c>
      <c r="LF219" s="16">
        <v>1644</v>
      </c>
      <c r="LG219" s="16">
        <v>419</v>
      </c>
      <c r="LH219" s="16">
        <v>5916</v>
      </c>
      <c r="LI219" s="16">
        <v>277</v>
      </c>
      <c r="LJ219" s="16">
        <v>758</v>
      </c>
      <c r="LK219" s="16">
        <v>2373</v>
      </c>
      <c r="LL219" s="16">
        <v>692</v>
      </c>
      <c r="LM219" s="16">
        <v>18352</v>
      </c>
      <c r="LN219" s="16">
        <v>11976</v>
      </c>
      <c r="LO219" s="16">
        <v>568</v>
      </c>
      <c r="LP219" s="16">
        <v>17380</v>
      </c>
      <c r="LQ219" s="16">
        <v>8184</v>
      </c>
      <c r="LR219" s="16">
        <v>12961</v>
      </c>
      <c r="LS219" s="16">
        <v>11844</v>
      </c>
      <c r="LT219" s="16">
        <v>16861</v>
      </c>
      <c r="LU219" s="16">
        <v>6478</v>
      </c>
      <c r="LV219" s="16">
        <v>61</v>
      </c>
      <c r="LW219" s="16">
        <v>3905</v>
      </c>
      <c r="LX219" s="16">
        <v>13762</v>
      </c>
      <c r="LY219" s="16">
        <v>0</v>
      </c>
      <c r="LZ219" s="16">
        <v>18303</v>
      </c>
      <c r="MA219" s="16">
        <v>1371</v>
      </c>
      <c r="MB219" s="16">
        <v>27427</v>
      </c>
      <c r="MC219" s="16">
        <v>8073</v>
      </c>
      <c r="MD219" s="16">
        <v>5376</v>
      </c>
      <c r="ME219" s="16">
        <v>3151</v>
      </c>
      <c r="MF219" s="16">
        <v>13484</v>
      </c>
      <c r="MG219" s="16">
        <v>2040</v>
      </c>
      <c r="MH219" s="16">
        <v>192832</v>
      </c>
      <c r="MI219" s="16">
        <v>3480</v>
      </c>
      <c r="MJ219" s="16">
        <v>3836</v>
      </c>
      <c r="MK219" s="16">
        <v>5614</v>
      </c>
      <c r="ML219" s="16">
        <v>1043</v>
      </c>
      <c r="MM219" s="16">
        <v>23642</v>
      </c>
      <c r="MN219" s="16">
        <v>27637</v>
      </c>
      <c r="MO219" s="16">
        <v>13526</v>
      </c>
      <c r="MP219" s="16">
        <v>6487</v>
      </c>
      <c r="MQ219" s="16">
        <v>38105</v>
      </c>
      <c r="MR219" s="16">
        <v>9726</v>
      </c>
      <c r="MS219" s="16">
        <v>27080</v>
      </c>
      <c r="MT219" s="16">
        <v>2157</v>
      </c>
      <c r="MU219" s="16">
        <v>16152</v>
      </c>
      <c r="MV219" s="16">
        <v>17088</v>
      </c>
      <c r="MW219" s="16">
        <v>22180</v>
      </c>
      <c r="MX219" s="16">
        <v>234</v>
      </c>
      <c r="MY219" s="16">
        <v>1255</v>
      </c>
      <c r="MZ219" s="16">
        <v>9278</v>
      </c>
      <c r="NA219" s="16">
        <v>1294</v>
      </c>
      <c r="NB219" s="16">
        <v>75953</v>
      </c>
      <c r="NC219" s="16">
        <v>29272</v>
      </c>
      <c r="ND219" s="16">
        <v>4374</v>
      </c>
      <c r="NE219" s="16">
        <v>6458</v>
      </c>
      <c r="NF219" s="16">
        <v>4763</v>
      </c>
      <c r="NG219" s="16">
        <v>17887</v>
      </c>
      <c r="NH219" s="16">
        <v>24510</v>
      </c>
      <c r="NI219" s="16">
        <v>7946</v>
      </c>
      <c r="NJ219" s="16">
        <v>133665</v>
      </c>
      <c r="NK219" s="16">
        <v>202031</v>
      </c>
      <c r="NL219" s="16">
        <v>3121</v>
      </c>
      <c r="NM219" s="16">
        <v>6889</v>
      </c>
      <c r="NN219" s="16">
        <v>818</v>
      </c>
      <c r="NO219" s="16">
        <v>0</v>
      </c>
      <c r="NP219" s="16">
        <v>24437</v>
      </c>
      <c r="NQ219" s="16">
        <v>698</v>
      </c>
      <c r="NR219" s="17">
        <v>8756425</v>
      </c>
    </row>
    <row r="220" spans="1:382" ht="13.5" customHeight="1" x14ac:dyDescent="0.2">
      <c r="A220" s="2" t="s">
        <v>447</v>
      </c>
      <c r="B220" s="16">
        <v>0</v>
      </c>
      <c r="C220" s="16">
        <v>0</v>
      </c>
      <c r="D220" s="16">
        <v>0</v>
      </c>
      <c r="E220" s="16">
        <v>0</v>
      </c>
      <c r="F220" s="16">
        <v>0</v>
      </c>
      <c r="G220" s="16">
        <v>50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14</v>
      </c>
      <c r="P220" s="16">
        <v>1231</v>
      </c>
      <c r="Q220" s="16">
        <v>1307</v>
      </c>
      <c r="R220" s="16">
        <v>262</v>
      </c>
      <c r="S220" s="16">
        <v>0</v>
      </c>
      <c r="T220" s="16">
        <v>0</v>
      </c>
      <c r="U220" s="16">
        <v>978</v>
      </c>
      <c r="V220" s="16">
        <v>0</v>
      </c>
      <c r="W220" s="16">
        <v>0</v>
      </c>
      <c r="X220" s="16">
        <v>509</v>
      </c>
      <c r="Y220" s="16">
        <v>0</v>
      </c>
      <c r="Z220" s="16">
        <v>360</v>
      </c>
      <c r="AA220" s="16">
        <v>131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4158</v>
      </c>
      <c r="AH220" s="16">
        <v>57</v>
      </c>
      <c r="AI220" s="16">
        <v>0</v>
      </c>
      <c r="AJ220" s="16">
        <v>0</v>
      </c>
      <c r="AK220" s="16">
        <v>0</v>
      </c>
      <c r="AL220" s="16">
        <v>0</v>
      </c>
      <c r="AM220" s="16">
        <v>143</v>
      </c>
      <c r="AN220" s="16">
        <v>0</v>
      </c>
      <c r="AO220" s="16">
        <v>0</v>
      </c>
      <c r="AP220" s="16">
        <v>0</v>
      </c>
      <c r="AQ220" s="16">
        <v>0</v>
      </c>
      <c r="AR220" s="16">
        <v>0</v>
      </c>
      <c r="AS220" s="16">
        <v>0</v>
      </c>
      <c r="AT220" s="16">
        <v>0</v>
      </c>
      <c r="AU220" s="16">
        <v>33</v>
      </c>
      <c r="AV220" s="16">
        <v>0</v>
      </c>
      <c r="AW220" s="16">
        <v>0</v>
      </c>
      <c r="AX220" s="16">
        <v>0</v>
      </c>
      <c r="AY220" s="16">
        <v>0</v>
      </c>
      <c r="AZ220" s="16">
        <v>124</v>
      </c>
      <c r="BA220" s="16">
        <v>0</v>
      </c>
      <c r="BB220" s="16">
        <v>0</v>
      </c>
      <c r="BC220" s="16">
        <v>0</v>
      </c>
      <c r="BD220" s="16">
        <v>0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6">
        <v>0</v>
      </c>
      <c r="BK220" s="16">
        <v>0</v>
      </c>
      <c r="BL220" s="16">
        <v>118</v>
      </c>
      <c r="BM220" s="16">
        <v>0</v>
      </c>
      <c r="BN220" s="16">
        <v>253</v>
      </c>
      <c r="BO220" s="16">
        <v>257</v>
      </c>
      <c r="BP220" s="16">
        <v>799</v>
      </c>
      <c r="BQ220" s="16">
        <v>15</v>
      </c>
      <c r="BR220" s="16">
        <v>3</v>
      </c>
      <c r="BS220" s="16">
        <v>297</v>
      </c>
      <c r="BT220" s="16">
        <v>5</v>
      </c>
      <c r="BU220" s="16">
        <v>0</v>
      </c>
      <c r="BV220" s="16">
        <v>0</v>
      </c>
      <c r="BW220" s="16">
        <v>7</v>
      </c>
      <c r="BX220" s="16">
        <v>0</v>
      </c>
      <c r="BY220" s="16">
        <v>0</v>
      </c>
      <c r="BZ220" s="16">
        <v>0</v>
      </c>
      <c r="CA220" s="16">
        <v>14</v>
      </c>
      <c r="CB220" s="16">
        <v>0</v>
      </c>
      <c r="CC220" s="16">
        <v>0</v>
      </c>
      <c r="CD220" s="16">
        <v>83</v>
      </c>
      <c r="CE220" s="16">
        <v>162</v>
      </c>
      <c r="CF220" s="16">
        <v>0</v>
      </c>
      <c r="CG220" s="16">
        <v>0</v>
      </c>
      <c r="CH220" s="16">
        <v>0</v>
      </c>
      <c r="CI220" s="16">
        <v>0</v>
      </c>
      <c r="CJ220" s="16">
        <v>219</v>
      </c>
      <c r="CK220" s="16">
        <v>600</v>
      </c>
      <c r="CL220" s="16">
        <v>109</v>
      </c>
      <c r="CM220" s="16">
        <v>0</v>
      </c>
      <c r="CN220" s="16">
        <v>158</v>
      </c>
      <c r="CO220" s="16">
        <v>69</v>
      </c>
      <c r="CP220" s="16">
        <v>0</v>
      </c>
      <c r="CQ220" s="16">
        <v>2033</v>
      </c>
      <c r="CR220" s="16">
        <v>1408</v>
      </c>
      <c r="CS220" s="16">
        <v>130</v>
      </c>
      <c r="CT220" s="16">
        <v>388</v>
      </c>
      <c r="CU220" s="16">
        <v>91</v>
      </c>
      <c r="CV220" s="16">
        <v>283</v>
      </c>
      <c r="CW220" s="16">
        <v>1612</v>
      </c>
      <c r="CX220" s="16">
        <v>238</v>
      </c>
      <c r="CY220" s="16">
        <v>241</v>
      </c>
      <c r="CZ220" s="16">
        <v>0</v>
      </c>
      <c r="DA220" s="16">
        <v>0</v>
      </c>
      <c r="DB220" s="16">
        <v>0</v>
      </c>
      <c r="DC220" s="16">
        <v>0</v>
      </c>
      <c r="DD220" s="16">
        <v>0</v>
      </c>
      <c r="DE220" s="16">
        <v>718</v>
      </c>
      <c r="DF220" s="16">
        <v>3045</v>
      </c>
      <c r="DG220" s="16">
        <v>71</v>
      </c>
      <c r="DH220" s="16">
        <v>36</v>
      </c>
      <c r="DI220" s="16">
        <v>70</v>
      </c>
      <c r="DJ220" s="16">
        <v>1784</v>
      </c>
      <c r="DK220" s="16">
        <v>0</v>
      </c>
      <c r="DL220" s="16">
        <v>168</v>
      </c>
      <c r="DM220" s="16">
        <v>105</v>
      </c>
      <c r="DN220" s="16">
        <v>135</v>
      </c>
      <c r="DO220" s="16">
        <v>0</v>
      </c>
      <c r="DP220" s="16">
        <v>147</v>
      </c>
      <c r="DQ220" s="16">
        <v>0</v>
      </c>
      <c r="DR220" s="16">
        <v>0</v>
      </c>
      <c r="DS220" s="16">
        <v>189</v>
      </c>
      <c r="DT220" s="16">
        <v>0</v>
      </c>
      <c r="DU220" s="16">
        <v>0</v>
      </c>
      <c r="DV220" s="16">
        <v>13</v>
      </c>
      <c r="DW220" s="16">
        <v>1519</v>
      </c>
      <c r="DX220" s="16">
        <v>601</v>
      </c>
      <c r="DY220" s="16">
        <v>1392</v>
      </c>
      <c r="DZ220" s="16">
        <v>4135</v>
      </c>
      <c r="EA220" s="16">
        <v>1113</v>
      </c>
      <c r="EB220" s="16">
        <v>5</v>
      </c>
      <c r="EC220" s="16">
        <v>247</v>
      </c>
      <c r="ED220" s="16">
        <v>6587</v>
      </c>
      <c r="EE220" s="16">
        <v>24</v>
      </c>
      <c r="EF220" s="16">
        <v>17</v>
      </c>
      <c r="EG220" s="16">
        <v>188</v>
      </c>
      <c r="EH220" s="16">
        <v>202</v>
      </c>
      <c r="EI220" s="16">
        <v>36</v>
      </c>
      <c r="EJ220" s="16">
        <v>1326</v>
      </c>
      <c r="EK220" s="16">
        <v>21</v>
      </c>
      <c r="EL220" s="16">
        <v>38</v>
      </c>
      <c r="EM220" s="16">
        <v>390</v>
      </c>
      <c r="EN220" s="16">
        <v>5034</v>
      </c>
      <c r="EO220" s="16">
        <v>1758</v>
      </c>
      <c r="EP220" s="16">
        <v>114</v>
      </c>
      <c r="EQ220" s="16">
        <v>1870</v>
      </c>
      <c r="ER220" s="16">
        <v>0</v>
      </c>
      <c r="ES220" s="16">
        <v>0</v>
      </c>
      <c r="ET220" s="16">
        <v>1478</v>
      </c>
      <c r="EU220" s="16">
        <v>605</v>
      </c>
      <c r="EV220" s="16">
        <v>215</v>
      </c>
      <c r="EW220" s="16">
        <v>1900</v>
      </c>
      <c r="EX220" s="16">
        <v>41731</v>
      </c>
      <c r="EY220" s="16">
        <v>4889</v>
      </c>
      <c r="EZ220" s="16">
        <v>1162</v>
      </c>
      <c r="FA220" s="16">
        <v>889</v>
      </c>
      <c r="FB220" s="16">
        <v>0</v>
      </c>
      <c r="FC220" s="16">
        <v>629</v>
      </c>
      <c r="FD220" s="16">
        <v>2929</v>
      </c>
      <c r="FE220" s="16">
        <v>6163</v>
      </c>
      <c r="FF220" s="16">
        <v>10096</v>
      </c>
      <c r="FG220" s="16">
        <v>3078</v>
      </c>
      <c r="FH220" s="16">
        <v>287</v>
      </c>
      <c r="FI220" s="16">
        <v>179</v>
      </c>
      <c r="FJ220" s="16">
        <v>64</v>
      </c>
      <c r="FK220" s="16">
        <v>186</v>
      </c>
      <c r="FL220" s="16">
        <v>127</v>
      </c>
      <c r="FM220" s="16">
        <v>1367</v>
      </c>
      <c r="FN220" s="16">
        <v>4763</v>
      </c>
      <c r="FO220" s="16">
        <v>3759</v>
      </c>
      <c r="FP220" s="16">
        <v>2935</v>
      </c>
      <c r="FQ220" s="16">
        <v>37498</v>
      </c>
      <c r="FR220" s="16">
        <v>26992</v>
      </c>
      <c r="FS220" s="16">
        <v>3020</v>
      </c>
      <c r="FT220" s="16">
        <v>4167</v>
      </c>
      <c r="FU220" s="16">
        <v>694</v>
      </c>
      <c r="FV220" s="16">
        <v>25300</v>
      </c>
      <c r="FW220" s="16">
        <v>1552</v>
      </c>
      <c r="FX220" s="16">
        <v>3865</v>
      </c>
      <c r="FY220" s="16">
        <v>307</v>
      </c>
      <c r="FZ220" s="16">
        <v>2348</v>
      </c>
      <c r="GA220" s="16">
        <v>384</v>
      </c>
      <c r="GB220" s="16">
        <v>9148</v>
      </c>
      <c r="GC220" s="16">
        <v>2047</v>
      </c>
      <c r="GD220" s="16">
        <v>16620</v>
      </c>
      <c r="GE220" s="16">
        <v>27464</v>
      </c>
      <c r="GF220" s="16">
        <v>416098</v>
      </c>
      <c r="GG220" s="16">
        <v>1490</v>
      </c>
      <c r="GH220" s="16">
        <v>72049</v>
      </c>
      <c r="GI220" s="16">
        <v>4845</v>
      </c>
      <c r="GJ220" s="16">
        <v>40807</v>
      </c>
      <c r="GK220" s="16">
        <v>6957</v>
      </c>
      <c r="GL220" s="16">
        <v>268</v>
      </c>
      <c r="GM220" s="16">
        <v>1664</v>
      </c>
      <c r="GN220" s="16">
        <v>11337</v>
      </c>
      <c r="GO220" s="16">
        <v>1537</v>
      </c>
      <c r="GP220" s="16">
        <v>18437</v>
      </c>
      <c r="GQ220" s="16">
        <v>37428</v>
      </c>
      <c r="GR220" s="16">
        <v>3994</v>
      </c>
      <c r="GS220" s="16">
        <v>7679</v>
      </c>
      <c r="GT220" s="16">
        <v>9873</v>
      </c>
      <c r="GU220" s="16">
        <v>58425</v>
      </c>
      <c r="GV220" s="16">
        <v>167200</v>
      </c>
      <c r="GW220" s="16">
        <v>54233</v>
      </c>
      <c r="GX220" s="16">
        <v>8694</v>
      </c>
      <c r="GY220" s="16">
        <v>51</v>
      </c>
      <c r="GZ220" s="16">
        <v>98777</v>
      </c>
      <c r="HA220" s="16">
        <v>23300</v>
      </c>
      <c r="HB220" s="16">
        <v>41273</v>
      </c>
      <c r="HC220" s="16">
        <v>91049</v>
      </c>
      <c r="HD220" s="16">
        <v>110986</v>
      </c>
      <c r="HE220" s="16">
        <v>50944</v>
      </c>
      <c r="HF220" s="16">
        <v>28655</v>
      </c>
      <c r="HG220" s="16">
        <v>28178</v>
      </c>
      <c r="HH220" s="16">
        <v>5927</v>
      </c>
      <c r="HI220" s="16">
        <v>48291</v>
      </c>
      <c r="HJ220" s="16">
        <v>22101</v>
      </c>
      <c r="HK220" s="16">
        <v>60537</v>
      </c>
      <c r="HL220" s="16">
        <v>4779596</v>
      </c>
      <c r="HM220" s="16">
        <v>217317</v>
      </c>
      <c r="HN220" s="16">
        <v>70674</v>
      </c>
      <c r="HO220" s="16">
        <v>183</v>
      </c>
      <c r="HP220" s="16">
        <v>0</v>
      </c>
      <c r="HQ220" s="16">
        <v>88488</v>
      </c>
      <c r="HR220" s="16">
        <v>73037</v>
      </c>
      <c r="HS220" s="16">
        <v>18651</v>
      </c>
      <c r="HT220" s="16">
        <v>12771</v>
      </c>
      <c r="HU220" s="16">
        <v>25033</v>
      </c>
      <c r="HV220" s="16">
        <v>5682</v>
      </c>
      <c r="HW220" s="16">
        <v>9109</v>
      </c>
      <c r="HX220" s="16">
        <v>149958</v>
      </c>
      <c r="HY220" s="16">
        <v>3201</v>
      </c>
      <c r="HZ220" s="16">
        <v>186539</v>
      </c>
      <c r="IA220" s="16">
        <v>96205</v>
      </c>
      <c r="IB220" s="16">
        <v>15483</v>
      </c>
      <c r="IC220" s="16">
        <v>1084</v>
      </c>
      <c r="ID220" s="16">
        <v>34844</v>
      </c>
      <c r="IE220" s="16">
        <v>1514</v>
      </c>
      <c r="IF220" s="16">
        <v>6310</v>
      </c>
      <c r="IG220" s="16">
        <v>222714</v>
      </c>
      <c r="IH220" s="16">
        <v>5275253</v>
      </c>
      <c r="II220" s="16">
        <v>444740</v>
      </c>
      <c r="IJ220" s="16">
        <v>154134</v>
      </c>
      <c r="IK220" s="16">
        <v>579027</v>
      </c>
      <c r="IL220" s="16">
        <v>66361</v>
      </c>
      <c r="IM220" s="16">
        <v>0</v>
      </c>
      <c r="IN220" s="16">
        <v>2809182</v>
      </c>
      <c r="IO220" s="16">
        <v>559413</v>
      </c>
      <c r="IP220" s="16">
        <v>24240</v>
      </c>
      <c r="IQ220" s="16">
        <v>1927</v>
      </c>
      <c r="IR220" s="16">
        <v>2799</v>
      </c>
      <c r="IS220" s="16">
        <v>89949</v>
      </c>
      <c r="IT220" s="16">
        <v>82790</v>
      </c>
      <c r="IU220" s="16">
        <v>1121</v>
      </c>
      <c r="IV220" s="16">
        <v>18108</v>
      </c>
      <c r="IW220" s="16">
        <v>678</v>
      </c>
      <c r="IX220" s="16">
        <v>802</v>
      </c>
      <c r="IY220" s="16">
        <v>3264</v>
      </c>
      <c r="IZ220" s="16">
        <v>6</v>
      </c>
      <c r="JA220" s="16">
        <v>429</v>
      </c>
      <c r="JB220" s="16">
        <v>132</v>
      </c>
      <c r="JC220" s="16">
        <v>1050</v>
      </c>
      <c r="JD220" s="16">
        <v>209</v>
      </c>
      <c r="JE220" s="16">
        <v>10211</v>
      </c>
      <c r="JF220" s="16">
        <v>798</v>
      </c>
      <c r="JG220" s="16">
        <v>130514</v>
      </c>
      <c r="JH220" s="16">
        <v>109717</v>
      </c>
      <c r="JI220" s="16">
        <v>595</v>
      </c>
      <c r="JJ220" s="16">
        <v>8789</v>
      </c>
      <c r="JK220" s="16">
        <v>1163</v>
      </c>
      <c r="JL220" s="16">
        <v>453</v>
      </c>
      <c r="JM220" s="16">
        <v>7051</v>
      </c>
      <c r="JN220" s="16">
        <v>91095</v>
      </c>
      <c r="JO220" s="16">
        <v>2021</v>
      </c>
      <c r="JP220" s="16">
        <v>3954</v>
      </c>
      <c r="JQ220" s="16">
        <v>649</v>
      </c>
      <c r="JR220" s="16">
        <v>31354</v>
      </c>
      <c r="JS220" s="16">
        <v>1469</v>
      </c>
      <c r="JT220" s="16">
        <v>0</v>
      </c>
      <c r="JU220" s="16">
        <v>6131</v>
      </c>
      <c r="JV220" s="16">
        <v>2631</v>
      </c>
      <c r="JW220" s="16">
        <v>201531</v>
      </c>
      <c r="JX220" s="16">
        <v>384962</v>
      </c>
      <c r="JY220" s="16">
        <v>56475</v>
      </c>
      <c r="JZ220" s="16">
        <v>11142</v>
      </c>
      <c r="KA220" s="16">
        <v>28785</v>
      </c>
      <c r="KB220" s="16">
        <v>411</v>
      </c>
      <c r="KC220" s="16">
        <v>3674</v>
      </c>
      <c r="KD220" s="16">
        <v>4673</v>
      </c>
      <c r="KE220" s="16">
        <v>745</v>
      </c>
      <c r="KF220" s="16">
        <v>20281</v>
      </c>
      <c r="KG220" s="16">
        <v>9907</v>
      </c>
      <c r="KH220" s="16">
        <v>33290</v>
      </c>
      <c r="KI220" s="16">
        <v>93608</v>
      </c>
      <c r="KJ220" s="16">
        <v>41375</v>
      </c>
      <c r="KK220" s="16">
        <v>173391</v>
      </c>
      <c r="KL220" s="16">
        <v>426</v>
      </c>
      <c r="KM220" s="16">
        <v>19462</v>
      </c>
      <c r="KN220" s="16">
        <v>4537</v>
      </c>
      <c r="KO220" s="16">
        <v>5441</v>
      </c>
      <c r="KP220" s="16">
        <v>86</v>
      </c>
      <c r="KQ220" s="16">
        <v>14019</v>
      </c>
      <c r="KR220" s="16">
        <v>24640</v>
      </c>
      <c r="KS220" s="16">
        <v>1432</v>
      </c>
      <c r="KT220" s="16">
        <v>2071</v>
      </c>
      <c r="KU220" s="16">
        <v>6638</v>
      </c>
      <c r="KV220" s="16">
        <v>10418</v>
      </c>
      <c r="KW220" s="16">
        <v>7938</v>
      </c>
      <c r="KX220" s="16">
        <v>170</v>
      </c>
      <c r="KY220" s="16">
        <v>143150</v>
      </c>
      <c r="KZ220" s="16">
        <v>8999</v>
      </c>
      <c r="LA220" s="16">
        <v>24169</v>
      </c>
      <c r="LB220" s="16">
        <v>5698</v>
      </c>
      <c r="LC220" s="16">
        <v>8374</v>
      </c>
      <c r="LD220" s="16">
        <v>32334</v>
      </c>
      <c r="LE220" s="16">
        <v>166725</v>
      </c>
      <c r="LF220" s="16">
        <v>45244</v>
      </c>
      <c r="LG220" s="16">
        <v>14392</v>
      </c>
      <c r="LH220" s="16">
        <v>0</v>
      </c>
      <c r="LI220" s="16">
        <v>29</v>
      </c>
      <c r="LJ220" s="16">
        <v>7316</v>
      </c>
      <c r="LK220" s="16">
        <v>72632</v>
      </c>
      <c r="LL220" s="16">
        <v>8252</v>
      </c>
      <c r="LM220" s="16">
        <v>36226</v>
      </c>
      <c r="LN220" s="16">
        <v>91031</v>
      </c>
      <c r="LO220" s="16">
        <v>94</v>
      </c>
      <c r="LP220" s="16">
        <v>7643</v>
      </c>
      <c r="LQ220" s="16">
        <v>1344</v>
      </c>
      <c r="LR220" s="16">
        <v>3827</v>
      </c>
      <c r="LS220" s="16">
        <v>295</v>
      </c>
      <c r="LT220" s="16">
        <v>10633</v>
      </c>
      <c r="LU220" s="16">
        <v>2017</v>
      </c>
      <c r="LV220" s="16">
        <v>0</v>
      </c>
      <c r="LW220" s="16">
        <v>5690</v>
      </c>
      <c r="LX220" s="16">
        <v>29833</v>
      </c>
      <c r="LY220" s="16">
        <v>0</v>
      </c>
      <c r="LZ220" s="16">
        <v>5567</v>
      </c>
      <c r="MA220" s="16">
        <v>221</v>
      </c>
      <c r="MB220" s="16">
        <v>6639</v>
      </c>
      <c r="MC220" s="16">
        <v>9523</v>
      </c>
      <c r="MD220" s="16">
        <v>222988</v>
      </c>
      <c r="ME220" s="16">
        <v>2240</v>
      </c>
      <c r="MF220" s="16">
        <v>211674</v>
      </c>
      <c r="MG220" s="16">
        <v>451</v>
      </c>
      <c r="MH220" s="16">
        <v>1056523</v>
      </c>
      <c r="MI220" s="16">
        <v>608</v>
      </c>
      <c r="MJ220" s="16">
        <v>3688</v>
      </c>
      <c r="MK220" s="16">
        <v>6598</v>
      </c>
      <c r="ML220" s="16">
        <v>1470</v>
      </c>
      <c r="MM220" s="16">
        <v>952866</v>
      </c>
      <c r="MN220" s="16">
        <v>2345</v>
      </c>
      <c r="MO220" s="16">
        <v>3178</v>
      </c>
      <c r="MP220" s="16">
        <v>3197</v>
      </c>
      <c r="MQ220" s="16">
        <v>1393191</v>
      </c>
      <c r="MR220" s="16">
        <v>11395</v>
      </c>
      <c r="MS220" s="16">
        <v>13672</v>
      </c>
      <c r="MT220" s="16">
        <v>1152</v>
      </c>
      <c r="MU220" s="16">
        <v>1426</v>
      </c>
      <c r="MV220" s="16">
        <v>23340</v>
      </c>
      <c r="MW220" s="16">
        <v>17929</v>
      </c>
      <c r="MX220" s="16">
        <v>15</v>
      </c>
      <c r="MY220" s="16">
        <v>191</v>
      </c>
      <c r="MZ220" s="16">
        <v>1076</v>
      </c>
      <c r="NA220" s="16">
        <v>157</v>
      </c>
      <c r="NB220" s="16">
        <v>68596</v>
      </c>
      <c r="NC220" s="16">
        <v>42462</v>
      </c>
      <c r="ND220" s="16">
        <v>15961</v>
      </c>
      <c r="NE220" s="16">
        <v>1553</v>
      </c>
      <c r="NF220" s="16">
        <v>0</v>
      </c>
      <c r="NG220" s="16">
        <v>6406</v>
      </c>
      <c r="NH220" s="16">
        <v>3052</v>
      </c>
      <c r="NI220" s="16">
        <v>510</v>
      </c>
      <c r="NJ220" s="16">
        <v>25266</v>
      </c>
      <c r="NK220" s="16">
        <v>851099</v>
      </c>
      <c r="NL220" s="16">
        <v>44706</v>
      </c>
      <c r="NM220" s="16">
        <v>3167</v>
      </c>
      <c r="NN220" s="16">
        <v>0</v>
      </c>
      <c r="NO220" s="16">
        <v>0</v>
      </c>
      <c r="NP220" s="16">
        <v>359</v>
      </c>
      <c r="NQ220" s="16">
        <v>2609</v>
      </c>
      <c r="NR220" s="17">
        <v>25285111</v>
      </c>
    </row>
    <row r="221" spans="1:382" ht="13.5" customHeight="1" x14ac:dyDescent="0.2">
      <c r="A221" s="2" t="s">
        <v>449</v>
      </c>
      <c r="B221" s="16">
        <v>3</v>
      </c>
      <c r="C221" s="16">
        <v>0</v>
      </c>
      <c r="D221" s="16">
        <v>0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11174</v>
      </c>
      <c r="Y221" s="16">
        <v>3224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20</v>
      </c>
      <c r="AH221" s="16">
        <v>372</v>
      </c>
      <c r="AI221" s="16">
        <v>28</v>
      </c>
      <c r="AJ221" s="16">
        <v>0</v>
      </c>
      <c r="AK221" s="16">
        <v>0</v>
      </c>
      <c r="AL221" s="16">
        <v>0</v>
      </c>
      <c r="AM221" s="16">
        <v>0</v>
      </c>
      <c r="AN221" s="16">
        <v>1488</v>
      </c>
      <c r="AO221" s="16">
        <v>14</v>
      </c>
      <c r="AP221" s="16">
        <v>0</v>
      </c>
      <c r="AQ221" s="16">
        <v>0</v>
      </c>
      <c r="AR221" s="16">
        <v>0</v>
      </c>
      <c r="AS221" s="16">
        <v>0</v>
      </c>
      <c r="AT221" s="16">
        <v>0</v>
      </c>
      <c r="AU221" s="16">
        <v>2</v>
      </c>
      <c r="AV221" s="16">
        <v>0</v>
      </c>
      <c r="AW221" s="16">
        <v>0</v>
      </c>
      <c r="AX221" s="16">
        <v>0</v>
      </c>
      <c r="AY221" s="16">
        <v>0</v>
      </c>
      <c r="AZ221" s="16">
        <v>0</v>
      </c>
      <c r="BA221" s="16">
        <v>0</v>
      </c>
      <c r="BB221" s="16">
        <v>0</v>
      </c>
      <c r="BC221" s="16">
        <v>17</v>
      </c>
      <c r="BD221" s="16">
        <v>0</v>
      </c>
      <c r="BE221" s="16">
        <v>0</v>
      </c>
      <c r="BF221" s="16">
        <v>0</v>
      </c>
      <c r="BG221" s="16">
        <v>0</v>
      </c>
      <c r="BH221" s="16">
        <v>33</v>
      </c>
      <c r="BI221" s="16">
        <v>0</v>
      </c>
      <c r="BJ221" s="16">
        <v>1</v>
      </c>
      <c r="BK221" s="16">
        <v>0</v>
      </c>
      <c r="BL221" s="16">
        <v>2</v>
      </c>
      <c r="BM221" s="16">
        <v>4</v>
      </c>
      <c r="BN221" s="16">
        <v>71</v>
      </c>
      <c r="BO221" s="16">
        <v>0</v>
      </c>
      <c r="BP221" s="16">
        <v>0</v>
      </c>
      <c r="BQ221" s="16">
        <v>1</v>
      </c>
      <c r="BR221" s="16">
        <v>0</v>
      </c>
      <c r="BS221" s="16">
        <v>34</v>
      </c>
      <c r="BT221" s="16">
        <v>0</v>
      </c>
      <c r="BU221" s="16">
        <v>0</v>
      </c>
      <c r="BV221" s="16">
        <v>0</v>
      </c>
      <c r="BW221" s="16">
        <v>0</v>
      </c>
      <c r="BX221" s="16">
        <v>0</v>
      </c>
      <c r="BY221" s="16">
        <v>0</v>
      </c>
      <c r="BZ221" s="16">
        <v>0</v>
      </c>
      <c r="CA221" s="16">
        <v>0</v>
      </c>
      <c r="CB221" s="16">
        <v>0</v>
      </c>
      <c r="CC221" s="16">
        <v>28</v>
      </c>
      <c r="CD221" s="16">
        <v>32</v>
      </c>
      <c r="CE221" s="16">
        <v>74</v>
      </c>
      <c r="CF221" s="16">
        <v>0</v>
      </c>
      <c r="CG221" s="16">
        <v>0</v>
      </c>
      <c r="CH221" s="16">
        <v>14</v>
      </c>
      <c r="CI221" s="16">
        <v>40</v>
      </c>
      <c r="CJ221" s="16">
        <v>132</v>
      </c>
      <c r="CK221" s="16">
        <v>54</v>
      </c>
      <c r="CL221" s="16">
        <v>0</v>
      </c>
      <c r="CM221" s="16">
        <v>4</v>
      </c>
      <c r="CN221" s="16">
        <v>0</v>
      </c>
      <c r="CO221" s="16">
        <v>34</v>
      </c>
      <c r="CP221" s="16">
        <v>13</v>
      </c>
      <c r="CQ221" s="16">
        <v>18</v>
      </c>
      <c r="CR221" s="16">
        <v>132</v>
      </c>
      <c r="CS221" s="16">
        <v>492</v>
      </c>
      <c r="CT221" s="16">
        <v>337</v>
      </c>
      <c r="CU221" s="16">
        <v>187</v>
      </c>
      <c r="CV221" s="16">
        <v>627</v>
      </c>
      <c r="CW221" s="16">
        <v>1023</v>
      </c>
      <c r="CX221" s="16">
        <v>2204</v>
      </c>
      <c r="CY221" s="16">
        <v>288</v>
      </c>
      <c r="CZ221" s="16">
        <v>31</v>
      </c>
      <c r="DA221" s="16">
        <v>1</v>
      </c>
      <c r="DB221" s="16">
        <v>1045</v>
      </c>
      <c r="DC221" s="16">
        <v>85</v>
      </c>
      <c r="DD221" s="16">
        <v>1236</v>
      </c>
      <c r="DE221" s="16">
        <v>77</v>
      </c>
      <c r="DF221" s="16">
        <v>451</v>
      </c>
      <c r="DG221" s="16">
        <v>56</v>
      </c>
      <c r="DH221" s="16">
        <v>41</v>
      </c>
      <c r="DI221" s="16">
        <v>416</v>
      </c>
      <c r="DJ221" s="16">
        <v>6684</v>
      </c>
      <c r="DK221" s="16">
        <v>9</v>
      </c>
      <c r="DL221" s="16">
        <v>87</v>
      </c>
      <c r="DM221" s="16">
        <v>92</v>
      </c>
      <c r="DN221" s="16">
        <v>21</v>
      </c>
      <c r="DO221" s="16">
        <v>8</v>
      </c>
      <c r="DP221" s="16">
        <v>101</v>
      </c>
      <c r="DQ221" s="16">
        <v>3</v>
      </c>
      <c r="DR221" s="16">
        <v>6</v>
      </c>
      <c r="DS221" s="16">
        <v>228</v>
      </c>
      <c r="DT221" s="16">
        <v>55</v>
      </c>
      <c r="DU221" s="16">
        <v>4</v>
      </c>
      <c r="DV221" s="16">
        <v>84</v>
      </c>
      <c r="DW221" s="16">
        <v>140</v>
      </c>
      <c r="DX221" s="16">
        <v>107</v>
      </c>
      <c r="DY221" s="16">
        <v>75</v>
      </c>
      <c r="DZ221" s="16">
        <v>348</v>
      </c>
      <c r="EA221" s="16">
        <v>109</v>
      </c>
      <c r="EB221" s="16">
        <v>1</v>
      </c>
      <c r="EC221" s="16">
        <v>301</v>
      </c>
      <c r="ED221" s="16">
        <v>23</v>
      </c>
      <c r="EE221" s="16">
        <v>2</v>
      </c>
      <c r="EF221" s="16">
        <v>2</v>
      </c>
      <c r="EG221" s="16">
        <v>78</v>
      </c>
      <c r="EH221" s="16">
        <v>36</v>
      </c>
      <c r="EI221" s="16">
        <v>0</v>
      </c>
      <c r="EJ221" s="16">
        <v>2</v>
      </c>
      <c r="EK221" s="16">
        <v>7</v>
      </c>
      <c r="EL221" s="16">
        <v>1</v>
      </c>
      <c r="EM221" s="16">
        <v>31</v>
      </c>
      <c r="EN221" s="16">
        <v>290</v>
      </c>
      <c r="EO221" s="16">
        <v>474</v>
      </c>
      <c r="EP221" s="16">
        <v>75</v>
      </c>
      <c r="EQ221" s="16">
        <v>17</v>
      </c>
      <c r="ER221" s="16">
        <v>5</v>
      </c>
      <c r="ES221" s="16">
        <v>15</v>
      </c>
      <c r="ET221" s="16">
        <v>1509</v>
      </c>
      <c r="EU221" s="16">
        <v>4</v>
      </c>
      <c r="EV221" s="16">
        <v>13</v>
      </c>
      <c r="EW221" s="16">
        <v>65</v>
      </c>
      <c r="EX221" s="16">
        <v>14602</v>
      </c>
      <c r="EY221" s="16">
        <v>1416</v>
      </c>
      <c r="EZ221" s="16">
        <v>36</v>
      </c>
      <c r="FA221" s="16">
        <v>237</v>
      </c>
      <c r="FB221" s="16">
        <v>818</v>
      </c>
      <c r="FC221" s="16">
        <v>8</v>
      </c>
      <c r="FD221" s="16">
        <v>5182</v>
      </c>
      <c r="FE221" s="16">
        <v>1064</v>
      </c>
      <c r="FF221" s="16">
        <v>509</v>
      </c>
      <c r="FG221" s="16">
        <v>10297</v>
      </c>
      <c r="FH221" s="16">
        <v>2</v>
      </c>
      <c r="FI221" s="16">
        <v>99</v>
      </c>
      <c r="FJ221" s="16">
        <v>73</v>
      </c>
      <c r="FK221" s="16">
        <v>0</v>
      </c>
      <c r="FL221" s="16">
        <v>0</v>
      </c>
      <c r="FM221" s="16">
        <v>35</v>
      </c>
      <c r="FN221" s="16">
        <v>34</v>
      </c>
      <c r="FO221" s="16">
        <v>177</v>
      </c>
      <c r="FP221" s="16">
        <v>214</v>
      </c>
      <c r="FQ221" s="16">
        <v>5230</v>
      </c>
      <c r="FR221" s="16">
        <v>36715</v>
      </c>
      <c r="FS221" s="16">
        <v>112</v>
      </c>
      <c r="FT221" s="16">
        <v>97838</v>
      </c>
      <c r="FU221" s="16">
        <v>14</v>
      </c>
      <c r="FV221" s="16">
        <v>138</v>
      </c>
      <c r="FW221" s="16">
        <v>93</v>
      </c>
      <c r="FX221" s="16">
        <v>11</v>
      </c>
      <c r="FY221" s="16">
        <v>33</v>
      </c>
      <c r="FZ221" s="16">
        <v>20</v>
      </c>
      <c r="GA221" s="16">
        <v>18</v>
      </c>
      <c r="GB221" s="16">
        <v>437</v>
      </c>
      <c r="GC221" s="16">
        <v>19</v>
      </c>
      <c r="GD221" s="16">
        <v>32402</v>
      </c>
      <c r="GE221" s="16">
        <v>30</v>
      </c>
      <c r="GF221" s="16">
        <v>156</v>
      </c>
      <c r="GG221" s="16">
        <v>2</v>
      </c>
      <c r="GH221" s="16">
        <v>40</v>
      </c>
      <c r="GI221" s="16">
        <v>30</v>
      </c>
      <c r="GJ221" s="16">
        <v>104</v>
      </c>
      <c r="GK221" s="16">
        <v>18</v>
      </c>
      <c r="GL221" s="16">
        <v>0</v>
      </c>
      <c r="GM221" s="16">
        <v>39</v>
      </c>
      <c r="GN221" s="16">
        <v>0</v>
      </c>
      <c r="GO221" s="16">
        <v>0</v>
      </c>
      <c r="GP221" s="16">
        <v>1</v>
      </c>
      <c r="GQ221" s="16">
        <v>0</v>
      </c>
      <c r="GR221" s="16">
        <v>2</v>
      </c>
      <c r="GS221" s="16">
        <v>2</v>
      </c>
      <c r="GT221" s="16">
        <v>1</v>
      </c>
      <c r="GU221" s="16">
        <v>18</v>
      </c>
      <c r="GV221" s="16">
        <v>298</v>
      </c>
      <c r="GW221" s="16">
        <v>62</v>
      </c>
      <c r="GX221" s="16">
        <v>2</v>
      </c>
      <c r="GY221" s="16">
        <v>0</v>
      </c>
      <c r="GZ221" s="16">
        <v>58755</v>
      </c>
      <c r="HA221" s="16">
        <v>0</v>
      </c>
      <c r="HB221" s="16">
        <v>26</v>
      </c>
      <c r="HC221" s="16">
        <v>32</v>
      </c>
      <c r="HD221" s="16">
        <v>62</v>
      </c>
      <c r="HE221" s="16">
        <v>9</v>
      </c>
      <c r="HF221" s="16">
        <v>210</v>
      </c>
      <c r="HG221" s="16">
        <v>18</v>
      </c>
      <c r="HH221" s="16">
        <v>25</v>
      </c>
      <c r="HI221" s="16">
        <v>132</v>
      </c>
      <c r="HJ221" s="16">
        <v>8</v>
      </c>
      <c r="HK221" s="16">
        <v>14</v>
      </c>
      <c r="HL221" s="16">
        <v>1322</v>
      </c>
      <c r="HM221" s="16">
        <v>1244154</v>
      </c>
      <c r="HN221" s="16">
        <v>68995</v>
      </c>
      <c r="HO221" s="16">
        <v>6725</v>
      </c>
      <c r="HP221" s="16">
        <v>141</v>
      </c>
      <c r="HQ221" s="16">
        <v>51371</v>
      </c>
      <c r="HR221" s="16">
        <v>1821</v>
      </c>
      <c r="HS221" s="16">
        <v>1369</v>
      </c>
      <c r="HT221" s="16">
        <v>0</v>
      </c>
      <c r="HU221" s="16">
        <v>11761</v>
      </c>
      <c r="HV221" s="16">
        <v>152394</v>
      </c>
      <c r="HW221" s="16">
        <v>493125</v>
      </c>
      <c r="HX221" s="16">
        <v>582</v>
      </c>
      <c r="HY221" s="16">
        <v>318</v>
      </c>
      <c r="HZ221" s="16">
        <v>627</v>
      </c>
      <c r="IA221" s="16">
        <v>309</v>
      </c>
      <c r="IB221" s="16">
        <v>100</v>
      </c>
      <c r="IC221" s="16">
        <v>59</v>
      </c>
      <c r="ID221" s="16">
        <v>8868</v>
      </c>
      <c r="IE221" s="16">
        <v>703</v>
      </c>
      <c r="IF221" s="16">
        <v>4599</v>
      </c>
      <c r="IG221" s="16">
        <v>74384</v>
      </c>
      <c r="IH221" s="16">
        <v>117</v>
      </c>
      <c r="II221" s="16">
        <v>0</v>
      </c>
      <c r="IJ221" s="16">
        <v>2</v>
      </c>
      <c r="IK221" s="16">
        <v>86</v>
      </c>
      <c r="IL221" s="16">
        <v>88</v>
      </c>
      <c r="IM221" s="16">
        <v>0</v>
      </c>
      <c r="IN221" s="16">
        <v>1947</v>
      </c>
      <c r="IO221" s="16">
        <v>22</v>
      </c>
      <c r="IP221" s="16">
        <v>2221235</v>
      </c>
      <c r="IQ221" s="16">
        <v>115047</v>
      </c>
      <c r="IR221" s="16">
        <v>14335</v>
      </c>
      <c r="IS221" s="16">
        <v>29384</v>
      </c>
      <c r="IT221" s="16">
        <v>109298</v>
      </c>
      <c r="IU221" s="16">
        <v>7</v>
      </c>
      <c r="IV221" s="16">
        <v>14883</v>
      </c>
      <c r="IW221" s="16">
        <v>7</v>
      </c>
      <c r="IX221" s="16">
        <v>10</v>
      </c>
      <c r="IY221" s="16">
        <v>6</v>
      </c>
      <c r="IZ221" s="16">
        <v>0</v>
      </c>
      <c r="JA221" s="16">
        <v>0</v>
      </c>
      <c r="JB221" s="16">
        <v>0</v>
      </c>
      <c r="JC221" s="16">
        <v>0</v>
      </c>
      <c r="JD221" s="16">
        <v>0</v>
      </c>
      <c r="JE221" s="16">
        <v>0</v>
      </c>
      <c r="JF221" s="16">
        <v>0</v>
      </c>
      <c r="JG221" s="16">
        <v>26861</v>
      </c>
      <c r="JH221" s="16">
        <v>593</v>
      </c>
      <c r="JI221" s="16">
        <v>5864</v>
      </c>
      <c r="JJ221" s="16">
        <v>95220</v>
      </c>
      <c r="JK221" s="16">
        <v>25523</v>
      </c>
      <c r="JL221" s="16">
        <v>171</v>
      </c>
      <c r="JM221" s="16">
        <v>1826</v>
      </c>
      <c r="JN221" s="16">
        <v>6525</v>
      </c>
      <c r="JO221" s="16">
        <v>194</v>
      </c>
      <c r="JP221" s="16">
        <v>112579</v>
      </c>
      <c r="JQ221" s="16">
        <v>257</v>
      </c>
      <c r="JR221" s="16">
        <v>15</v>
      </c>
      <c r="JS221" s="16">
        <v>0</v>
      </c>
      <c r="JT221" s="16">
        <v>0</v>
      </c>
      <c r="JU221" s="16">
        <v>0</v>
      </c>
      <c r="JV221" s="16">
        <v>1452</v>
      </c>
      <c r="JW221" s="16">
        <v>350</v>
      </c>
      <c r="JX221" s="16">
        <v>3612</v>
      </c>
      <c r="JY221" s="16">
        <v>221</v>
      </c>
      <c r="JZ221" s="16">
        <v>1</v>
      </c>
      <c r="KA221" s="16">
        <v>0</v>
      </c>
      <c r="KB221" s="16">
        <v>0</v>
      </c>
      <c r="KC221" s="16">
        <v>0</v>
      </c>
      <c r="KD221" s="16">
        <v>0</v>
      </c>
      <c r="KE221" s="16">
        <v>0</v>
      </c>
      <c r="KF221" s="16">
        <v>101</v>
      </c>
      <c r="KG221" s="16">
        <v>274</v>
      </c>
      <c r="KH221" s="16">
        <v>181782</v>
      </c>
      <c r="KI221" s="16">
        <v>82</v>
      </c>
      <c r="KJ221" s="16">
        <v>0</v>
      </c>
      <c r="KK221" s="16">
        <v>10188</v>
      </c>
      <c r="KL221" s="16">
        <v>413</v>
      </c>
      <c r="KM221" s="16">
        <v>755</v>
      </c>
      <c r="KN221" s="16">
        <v>6</v>
      </c>
      <c r="KO221" s="16">
        <v>11310</v>
      </c>
      <c r="KP221" s="16">
        <v>360</v>
      </c>
      <c r="KQ221" s="16">
        <v>49</v>
      </c>
      <c r="KR221" s="16">
        <v>7276</v>
      </c>
      <c r="KS221" s="16">
        <v>49062</v>
      </c>
      <c r="KT221" s="16">
        <v>0</v>
      </c>
      <c r="KU221" s="16">
        <v>0</v>
      </c>
      <c r="KV221" s="16">
        <v>0</v>
      </c>
      <c r="KW221" s="16">
        <v>4772</v>
      </c>
      <c r="KX221" s="16">
        <v>0</v>
      </c>
      <c r="KY221" s="16">
        <v>0</v>
      </c>
      <c r="KZ221" s="16">
        <v>0</v>
      </c>
      <c r="LA221" s="16">
        <v>0</v>
      </c>
      <c r="LB221" s="16">
        <v>0</v>
      </c>
      <c r="LC221" s="16">
        <v>0</v>
      </c>
      <c r="LD221" s="16">
        <v>0</v>
      </c>
      <c r="LE221" s="16">
        <v>0</v>
      </c>
      <c r="LF221" s="16">
        <v>0</v>
      </c>
      <c r="LG221" s="16">
        <v>0</v>
      </c>
      <c r="LH221" s="16">
        <v>0</v>
      </c>
      <c r="LI221" s="16">
        <v>0</v>
      </c>
      <c r="LJ221" s="16">
        <v>0</v>
      </c>
      <c r="LK221" s="16">
        <v>0</v>
      </c>
      <c r="LL221" s="16">
        <v>0</v>
      </c>
      <c r="LM221" s="16">
        <v>0</v>
      </c>
      <c r="LN221" s="16">
        <v>0</v>
      </c>
      <c r="LO221" s="16">
        <v>0</v>
      </c>
      <c r="LP221" s="16">
        <v>13</v>
      </c>
      <c r="LQ221" s="16">
        <v>0</v>
      </c>
      <c r="LR221" s="16">
        <v>0</v>
      </c>
      <c r="LS221" s="16">
        <v>0</v>
      </c>
      <c r="LT221" s="16">
        <v>0</v>
      </c>
      <c r="LU221" s="16">
        <v>0</v>
      </c>
      <c r="LV221" s="16">
        <v>0</v>
      </c>
      <c r="LW221" s="16">
        <v>0</v>
      </c>
      <c r="LX221" s="16">
        <v>0</v>
      </c>
      <c r="LY221" s="16">
        <v>0</v>
      </c>
      <c r="LZ221" s="16">
        <v>0</v>
      </c>
      <c r="MA221" s="16">
        <v>0</v>
      </c>
      <c r="MB221" s="16">
        <v>0</v>
      </c>
      <c r="MC221" s="16">
        <v>182</v>
      </c>
      <c r="MD221" s="16">
        <v>0</v>
      </c>
      <c r="ME221" s="16">
        <v>0</v>
      </c>
      <c r="MF221" s="16">
        <v>36324</v>
      </c>
      <c r="MG221" s="16">
        <v>0</v>
      </c>
      <c r="MH221" s="16">
        <v>0</v>
      </c>
      <c r="MI221" s="16">
        <v>0</v>
      </c>
      <c r="MJ221" s="16">
        <v>0</v>
      </c>
      <c r="MK221" s="16">
        <v>1622</v>
      </c>
      <c r="ML221" s="16">
        <v>89</v>
      </c>
      <c r="MM221" s="16">
        <v>1048</v>
      </c>
      <c r="MN221" s="16">
        <v>26430</v>
      </c>
      <c r="MO221" s="16">
        <v>1386</v>
      </c>
      <c r="MP221" s="16">
        <v>0</v>
      </c>
      <c r="MQ221" s="16">
        <v>694</v>
      </c>
      <c r="MR221" s="16">
        <v>4381</v>
      </c>
      <c r="MS221" s="16">
        <v>1145</v>
      </c>
      <c r="MT221" s="16">
        <v>0</v>
      </c>
      <c r="MU221" s="16">
        <v>0</v>
      </c>
      <c r="MV221" s="16">
        <v>0</v>
      </c>
      <c r="MW221" s="16">
        <v>0</v>
      </c>
      <c r="MX221" s="16">
        <v>0</v>
      </c>
      <c r="MY221" s="16">
        <v>0</v>
      </c>
      <c r="MZ221" s="16">
        <v>0</v>
      </c>
      <c r="NA221" s="16">
        <v>0</v>
      </c>
      <c r="NB221" s="16">
        <v>0</v>
      </c>
      <c r="NC221" s="16">
        <v>0</v>
      </c>
      <c r="ND221" s="16">
        <v>0</v>
      </c>
      <c r="NE221" s="16">
        <v>0</v>
      </c>
      <c r="NF221" s="16">
        <v>7</v>
      </c>
      <c r="NG221" s="16">
        <v>361</v>
      </c>
      <c r="NH221" s="16">
        <v>0</v>
      </c>
      <c r="NI221" s="16">
        <v>0</v>
      </c>
      <c r="NJ221" s="16">
        <v>0</v>
      </c>
      <c r="NK221" s="16">
        <v>10</v>
      </c>
      <c r="NL221" s="16">
        <v>304</v>
      </c>
      <c r="NM221" s="16">
        <v>0</v>
      </c>
      <c r="NN221" s="16">
        <v>0</v>
      </c>
      <c r="NO221" s="16">
        <v>0</v>
      </c>
      <c r="NP221" s="16">
        <v>0</v>
      </c>
      <c r="NQ221" s="16">
        <v>4</v>
      </c>
      <c r="NR221" s="17">
        <v>5556646</v>
      </c>
    </row>
    <row r="222" spans="1:382" ht="13.5" customHeight="1" x14ac:dyDescent="0.2">
      <c r="A222" s="2" t="s">
        <v>451</v>
      </c>
      <c r="B222" s="16">
        <v>41</v>
      </c>
      <c r="C222" s="16">
        <v>0</v>
      </c>
      <c r="D222" s="16">
        <v>0</v>
      </c>
      <c r="E222" s="16">
        <v>0</v>
      </c>
      <c r="F222" s="16">
        <v>8</v>
      </c>
      <c r="G222" s="16">
        <v>4</v>
      </c>
      <c r="H222" s="16">
        <v>0</v>
      </c>
      <c r="I222" s="16">
        <v>0</v>
      </c>
      <c r="J222" s="16">
        <v>0</v>
      </c>
      <c r="K222" s="16">
        <v>0</v>
      </c>
      <c r="L222" s="16">
        <v>23</v>
      </c>
      <c r="M222" s="16">
        <v>0</v>
      </c>
      <c r="N222" s="16">
        <v>0</v>
      </c>
      <c r="O222" s="16">
        <v>14</v>
      </c>
      <c r="P222" s="16">
        <v>6658</v>
      </c>
      <c r="Q222" s="16">
        <v>2224</v>
      </c>
      <c r="R222" s="16">
        <v>636</v>
      </c>
      <c r="S222" s="16">
        <v>0</v>
      </c>
      <c r="T222" s="16">
        <v>26</v>
      </c>
      <c r="U222" s="16">
        <v>0</v>
      </c>
      <c r="V222" s="16">
        <v>0</v>
      </c>
      <c r="W222" s="16">
        <v>0</v>
      </c>
      <c r="X222" s="16">
        <v>780</v>
      </c>
      <c r="Y222" s="16">
        <v>2197</v>
      </c>
      <c r="Z222" s="16">
        <v>1679</v>
      </c>
      <c r="AA222" s="16">
        <v>559</v>
      </c>
      <c r="AB222" s="16">
        <v>0</v>
      </c>
      <c r="AC222" s="16">
        <v>0</v>
      </c>
      <c r="AD222" s="16">
        <v>0</v>
      </c>
      <c r="AE222" s="16">
        <v>231</v>
      </c>
      <c r="AF222" s="16">
        <v>179</v>
      </c>
      <c r="AG222" s="16">
        <v>24977</v>
      </c>
      <c r="AH222" s="16">
        <v>21943</v>
      </c>
      <c r="AI222" s="16">
        <v>2392</v>
      </c>
      <c r="AJ222" s="16">
        <v>6</v>
      </c>
      <c r="AK222" s="16">
        <v>0</v>
      </c>
      <c r="AL222" s="16">
        <v>29</v>
      </c>
      <c r="AM222" s="16">
        <v>212</v>
      </c>
      <c r="AN222" s="16">
        <v>575</v>
      </c>
      <c r="AO222" s="16">
        <v>0</v>
      </c>
      <c r="AP222" s="16">
        <v>49</v>
      </c>
      <c r="AQ222" s="16">
        <v>6390</v>
      </c>
      <c r="AR222" s="16">
        <v>0</v>
      </c>
      <c r="AS222" s="16">
        <v>0</v>
      </c>
      <c r="AT222" s="16">
        <v>0</v>
      </c>
      <c r="AU222" s="16">
        <v>10</v>
      </c>
      <c r="AV222" s="16">
        <v>11</v>
      </c>
      <c r="AW222" s="16">
        <v>1950</v>
      </c>
      <c r="AX222" s="16">
        <v>152</v>
      </c>
      <c r="AY222" s="16">
        <v>0</v>
      </c>
      <c r="AZ222" s="16">
        <v>74</v>
      </c>
      <c r="BA222" s="16">
        <v>539</v>
      </c>
      <c r="BB222" s="16">
        <v>228</v>
      </c>
      <c r="BC222" s="16">
        <v>0</v>
      </c>
      <c r="BD222" s="16">
        <v>2</v>
      </c>
      <c r="BE222" s="16">
        <v>32</v>
      </c>
      <c r="BF222" s="16">
        <v>478</v>
      </c>
      <c r="BG222" s="16">
        <v>476</v>
      </c>
      <c r="BH222" s="16">
        <v>357</v>
      </c>
      <c r="BI222" s="16">
        <v>0</v>
      </c>
      <c r="BJ222" s="16">
        <v>48</v>
      </c>
      <c r="BK222" s="16">
        <v>112</v>
      </c>
      <c r="BL222" s="16">
        <v>1901</v>
      </c>
      <c r="BM222" s="16">
        <v>251</v>
      </c>
      <c r="BN222" s="16">
        <v>24</v>
      </c>
      <c r="BO222" s="16">
        <v>962</v>
      </c>
      <c r="BP222" s="16">
        <v>803</v>
      </c>
      <c r="BQ222" s="16">
        <v>2</v>
      </c>
      <c r="BR222" s="16">
        <v>18</v>
      </c>
      <c r="BS222" s="16">
        <v>198</v>
      </c>
      <c r="BT222" s="16">
        <v>3</v>
      </c>
      <c r="BU222" s="16">
        <v>0</v>
      </c>
      <c r="BV222" s="16">
        <v>0</v>
      </c>
      <c r="BW222" s="16">
        <v>50</v>
      </c>
      <c r="BX222" s="16">
        <v>2</v>
      </c>
      <c r="BY222" s="16">
        <v>0</v>
      </c>
      <c r="BZ222" s="16">
        <v>3</v>
      </c>
      <c r="CA222" s="16">
        <v>60</v>
      </c>
      <c r="CB222" s="16">
        <v>0</v>
      </c>
      <c r="CC222" s="16">
        <v>20</v>
      </c>
      <c r="CD222" s="16">
        <v>28</v>
      </c>
      <c r="CE222" s="16">
        <v>21</v>
      </c>
      <c r="CF222" s="16">
        <v>102</v>
      </c>
      <c r="CG222" s="16">
        <v>197</v>
      </c>
      <c r="CH222" s="16">
        <v>1371</v>
      </c>
      <c r="CI222" s="16">
        <v>592</v>
      </c>
      <c r="CJ222" s="16">
        <v>1329</v>
      </c>
      <c r="CK222" s="16">
        <v>4406</v>
      </c>
      <c r="CL222" s="16">
        <v>428</v>
      </c>
      <c r="CM222" s="16">
        <v>22</v>
      </c>
      <c r="CN222" s="16">
        <v>24</v>
      </c>
      <c r="CO222" s="16">
        <v>1646</v>
      </c>
      <c r="CP222" s="16">
        <v>1663</v>
      </c>
      <c r="CQ222" s="16">
        <v>3270</v>
      </c>
      <c r="CR222" s="16">
        <v>132</v>
      </c>
      <c r="CS222" s="16">
        <v>13094</v>
      </c>
      <c r="CT222" s="16">
        <v>13564</v>
      </c>
      <c r="CU222" s="16">
        <v>25382</v>
      </c>
      <c r="CV222" s="16">
        <v>15463</v>
      </c>
      <c r="CW222" s="16">
        <v>49975</v>
      </c>
      <c r="CX222" s="16">
        <v>103296</v>
      </c>
      <c r="CY222" s="16">
        <v>15562</v>
      </c>
      <c r="CZ222" s="16">
        <v>988</v>
      </c>
      <c r="DA222" s="16">
        <v>40</v>
      </c>
      <c r="DB222" s="16">
        <v>1708</v>
      </c>
      <c r="DC222" s="16">
        <v>363</v>
      </c>
      <c r="DD222" s="16">
        <v>23475</v>
      </c>
      <c r="DE222" s="16">
        <v>5443</v>
      </c>
      <c r="DF222" s="16">
        <v>3731</v>
      </c>
      <c r="DG222" s="16">
        <v>8455</v>
      </c>
      <c r="DH222" s="16">
        <v>1680</v>
      </c>
      <c r="DI222" s="16">
        <v>1233</v>
      </c>
      <c r="DJ222" s="16">
        <v>37622</v>
      </c>
      <c r="DK222" s="16">
        <v>33</v>
      </c>
      <c r="DL222" s="16">
        <v>1310</v>
      </c>
      <c r="DM222" s="16">
        <v>439</v>
      </c>
      <c r="DN222" s="16">
        <v>615</v>
      </c>
      <c r="DO222" s="16">
        <v>397</v>
      </c>
      <c r="DP222" s="16">
        <v>1989</v>
      </c>
      <c r="DQ222" s="16">
        <v>683</v>
      </c>
      <c r="DR222" s="16">
        <v>185</v>
      </c>
      <c r="DS222" s="16">
        <v>2160</v>
      </c>
      <c r="DT222" s="16">
        <v>336</v>
      </c>
      <c r="DU222" s="16">
        <v>1660</v>
      </c>
      <c r="DV222" s="16">
        <v>452</v>
      </c>
      <c r="DW222" s="16">
        <v>5813</v>
      </c>
      <c r="DX222" s="16">
        <v>2952</v>
      </c>
      <c r="DY222" s="16">
        <v>2898</v>
      </c>
      <c r="DZ222" s="16">
        <v>7795</v>
      </c>
      <c r="EA222" s="16">
        <v>4827</v>
      </c>
      <c r="EB222" s="16">
        <v>22</v>
      </c>
      <c r="EC222" s="16">
        <v>2065</v>
      </c>
      <c r="ED222" s="16">
        <v>396</v>
      </c>
      <c r="EE222" s="16">
        <v>15</v>
      </c>
      <c r="EF222" s="16">
        <v>238</v>
      </c>
      <c r="EG222" s="16">
        <v>1162</v>
      </c>
      <c r="EH222" s="16">
        <v>145</v>
      </c>
      <c r="EI222" s="16">
        <v>15</v>
      </c>
      <c r="EJ222" s="16">
        <v>12</v>
      </c>
      <c r="EK222" s="16">
        <v>19</v>
      </c>
      <c r="EL222" s="16">
        <v>140</v>
      </c>
      <c r="EM222" s="16">
        <v>1129</v>
      </c>
      <c r="EN222" s="16">
        <v>7758</v>
      </c>
      <c r="EO222" s="16">
        <v>3328</v>
      </c>
      <c r="EP222" s="16">
        <v>295</v>
      </c>
      <c r="EQ222" s="16">
        <v>8748</v>
      </c>
      <c r="ER222" s="16">
        <v>10</v>
      </c>
      <c r="ES222" s="16">
        <v>16</v>
      </c>
      <c r="ET222" s="16">
        <v>90</v>
      </c>
      <c r="EU222" s="16">
        <v>15</v>
      </c>
      <c r="EV222" s="16">
        <v>0</v>
      </c>
      <c r="EW222" s="16">
        <v>36</v>
      </c>
      <c r="EX222" s="16">
        <v>35686</v>
      </c>
      <c r="EY222" s="16">
        <v>1495</v>
      </c>
      <c r="EZ222" s="16">
        <v>580</v>
      </c>
      <c r="FA222" s="16">
        <v>286</v>
      </c>
      <c r="FB222" s="16">
        <v>1204</v>
      </c>
      <c r="FC222" s="16">
        <v>18</v>
      </c>
      <c r="FD222" s="16">
        <v>312</v>
      </c>
      <c r="FE222" s="16">
        <v>2100</v>
      </c>
      <c r="FF222" s="16">
        <v>462</v>
      </c>
      <c r="FG222" s="16">
        <v>7094</v>
      </c>
      <c r="FH222" s="16">
        <v>2</v>
      </c>
      <c r="FI222" s="16">
        <v>637</v>
      </c>
      <c r="FJ222" s="16">
        <v>307</v>
      </c>
      <c r="FK222" s="16">
        <v>0</v>
      </c>
      <c r="FL222" s="16">
        <v>2</v>
      </c>
      <c r="FM222" s="16">
        <v>379</v>
      </c>
      <c r="FN222" s="16">
        <v>417</v>
      </c>
      <c r="FO222" s="16">
        <v>0</v>
      </c>
      <c r="FP222" s="16">
        <v>556</v>
      </c>
      <c r="FQ222" s="16">
        <v>17881</v>
      </c>
      <c r="FR222" s="16">
        <v>27893</v>
      </c>
      <c r="FS222" s="16">
        <v>18981</v>
      </c>
      <c r="FT222" s="16">
        <v>58457</v>
      </c>
      <c r="FU222" s="16">
        <v>3208</v>
      </c>
      <c r="FV222" s="16">
        <v>12863</v>
      </c>
      <c r="FW222" s="16">
        <v>1282</v>
      </c>
      <c r="FX222" s="16">
        <v>610</v>
      </c>
      <c r="FY222" s="16">
        <v>102</v>
      </c>
      <c r="FZ222" s="16">
        <v>14230</v>
      </c>
      <c r="GA222" s="16">
        <v>1594</v>
      </c>
      <c r="GB222" s="16">
        <v>1491</v>
      </c>
      <c r="GC222" s="16">
        <v>2762</v>
      </c>
      <c r="GD222" s="16">
        <v>87628</v>
      </c>
      <c r="GE222" s="16">
        <v>261</v>
      </c>
      <c r="GF222" s="16">
        <v>41601</v>
      </c>
      <c r="GG222" s="16">
        <v>8425</v>
      </c>
      <c r="GH222" s="16">
        <v>369</v>
      </c>
      <c r="GI222" s="16">
        <v>169</v>
      </c>
      <c r="GJ222" s="16">
        <v>667</v>
      </c>
      <c r="GK222" s="16">
        <v>11166</v>
      </c>
      <c r="GL222" s="16">
        <v>1</v>
      </c>
      <c r="GM222" s="16">
        <v>5</v>
      </c>
      <c r="GN222" s="16">
        <v>3</v>
      </c>
      <c r="GO222" s="16">
        <v>561</v>
      </c>
      <c r="GP222" s="16">
        <v>48</v>
      </c>
      <c r="GQ222" s="16">
        <v>414</v>
      </c>
      <c r="GR222" s="16">
        <v>41</v>
      </c>
      <c r="GS222" s="16">
        <v>10</v>
      </c>
      <c r="GT222" s="16">
        <v>24</v>
      </c>
      <c r="GU222" s="16">
        <v>225</v>
      </c>
      <c r="GV222" s="16">
        <v>24011</v>
      </c>
      <c r="GW222" s="16">
        <v>1359</v>
      </c>
      <c r="GX222" s="16">
        <v>37</v>
      </c>
      <c r="GY222" s="16">
        <v>1</v>
      </c>
      <c r="GZ222" s="16">
        <v>18477</v>
      </c>
      <c r="HA222" s="16">
        <v>986</v>
      </c>
      <c r="HB222" s="16">
        <v>1282</v>
      </c>
      <c r="HC222" s="16">
        <v>2142</v>
      </c>
      <c r="HD222" s="16">
        <v>3378</v>
      </c>
      <c r="HE222" s="16">
        <v>801</v>
      </c>
      <c r="HF222" s="16">
        <v>753</v>
      </c>
      <c r="HG222" s="16">
        <v>83356</v>
      </c>
      <c r="HH222" s="16">
        <v>9434</v>
      </c>
      <c r="HI222" s="16">
        <v>11550</v>
      </c>
      <c r="HJ222" s="16">
        <v>76</v>
      </c>
      <c r="HK222" s="16">
        <v>252</v>
      </c>
      <c r="HL222" s="16">
        <v>90816</v>
      </c>
      <c r="HM222" s="16">
        <v>178099</v>
      </c>
      <c r="HN222" s="16">
        <v>1733891</v>
      </c>
      <c r="HO222" s="16">
        <v>4237</v>
      </c>
      <c r="HP222" s="16">
        <v>6</v>
      </c>
      <c r="HQ222" s="16">
        <v>174413</v>
      </c>
      <c r="HR222" s="16">
        <v>1014210</v>
      </c>
      <c r="HS222" s="16">
        <v>116928</v>
      </c>
      <c r="HT222" s="16">
        <v>19</v>
      </c>
      <c r="HU222" s="16">
        <v>60781</v>
      </c>
      <c r="HV222" s="16">
        <v>176843</v>
      </c>
      <c r="HW222" s="16">
        <v>1130212</v>
      </c>
      <c r="HX222" s="16">
        <v>5120</v>
      </c>
      <c r="HY222" s="16">
        <v>1276</v>
      </c>
      <c r="HZ222" s="16">
        <v>152282</v>
      </c>
      <c r="IA222" s="16">
        <v>43172</v>
      </c>
      <c r="IB222" s="16">
        <v>6059</v>
      </c>
      <c r="IC222" s="16">
        <v>1242</v>
      </c>
      <c r="ID222" s="16">
        <v>11225</v>
      </c>
      <c r="IE222" s="16">
        <v>1257</v>
      </c>
      <c r="IF222" s="16">
        <v>11516</v>
      </c>
      <c r="IG222" s="16">
        <v>40729</v>
      </c>
      <c r="IH222" s="16">
        <v>418150</v>
      </c>
      <c r="II222" s="16">
        <v>59561</v>
      </c>
      <c r="IJ222" s="16">
        <v>6394</v>
      </c>
      <c r="IK222" s="16">
        <v>24476</v>
      </c>
      <c r="IL222" s="16">
        <v>31450</v>
      </c>
      <c r="IM222" s="16">
        <v>100</v>
      </c>
      <c r="IN222" s="16">
        <v>331896</v>
      </c>
      <c r="IO222" s="16">
        <v>85453</v>
      </c>
      <c r="IP222" s="16">
        <v>470309</v>
      </c>
      <c r="IQ222" s="16">
        <v>36346</v>
      </c>
      <c r="IR222" s="16">
        <v>36588</v>
      </c>
      <c r="IS222" s="16">
        <v>12510</v>
      </c>
      <c r="IT222" s="16">
        <v>4562</v>
      </c>
      <c r="IU222" s="16">
        <v>108</v>
      </c>
      <c r="IV222" s="16">
        <v>12590</v>
      </c>
      <c r="IW222" s="16">
        <v>7865</v>
      </c>
      <c r="IX222" s="16">
        <v>1220</v>
      </c>
      <c r="IY222" s="16">
        <v>4034</v>
      </c>
      <c r="IZ222" s="16">
        <v>22</v>
      </c>
      <c r="JA222" s="16">
        <v>561</v>
      </c>
      <c r="JB222" s="16">
        <v>5</v>
      </c>
      <c r="JC222" s="16">
        <v>6</v>
      </c>
      <c r="JD222" s="16">
        <v>2</v>
      </c>
      <c r="JE222" s="16">
        <v>166</v>
      </c>
      <c r="JF222" s="16">
        <v>111</v>
      </c>
      <c r="JG222" s="16">
        <v>87423</v>
      </c>
      <c r="JH222" s="16">
        <v>447462</v>
      </c>
      <c r="JI222" s="16">
        <v>703</v>
      </c>
      <c r="JJ222" s="16">
        <v>5053</v>
      </c>
      <c r="JK222" s="16">
        <v>65486</v>
      </c>
      <c r="JL222" s="16">
        <v>477</v>
      </c>
      <c r="JM222" s="16">
        <v>4556</v>
      </c>
      <c r="JN222" s="16">
        <v>55538</v>
      </c>
      <c r="JO222" s="16">
        <v>5058</v>
      </c>
      <c r="JP222" s="16">
        <v>285964</v>
      </c>
      <c r="JQ222" s="16">
        <v>287188</v>
      </c>
      <c r="JR222" s="16">
        <v>91515</v>
      </c>
      <c r="JS222" s="16">
        <v>65096</v>
      </c>
      <c r="JT222" s="16">
        <v>0</v>
      </c>
      <c r="JU222" s="16">
        <v>292023</v>
      </c>
      <c r="JV222" s="16">
        <v>9287</v>
      </c>
      <c r="JW222" s="16">
        <v>202386</v>
      </c>
      <c r="JX222" s="16">
        <v>379354</v>
      </c>
      <c r="JY222" s="16">
        <v>203565</v>
      </c>
      <c r="JZ222" s="16">
        <v>6843</v>
      </c>
      <c r="KA222" s="16">
        <v>11266</v>
      </c>
      <c r="KB222" s="16">
        <v>1538</v>
      </c>
      <c r="KC222" s="16">
        <v>9987</v>
      </c>
      <c r="KD222" s="16">
        <v>615</v>
      </c>
      <c r="KE222" s="16">
        <v>1743</v>
      </c>
      <c r="KF222" s="16">
        <v>19848</v>
      </c>
      <c r="KG222" s="16">
        <v>7639</v>
      </c>
      <c r="KH222" s="16">
        <v>38754</v>
      </c>
      <c r="KI222" s="16">
        <v>116249</v>
      </c>
      <c r="KJ222" s="16">
        <v>14683</v>
      </c>
      <c r="KK222" s="16">
        <v>75941</v>
      </c>
      <c r="KL222" s="16">
        <v>21</v>
      </c>
      <c r="KM222" s="16">
        <v>199</v>
      </c>
      <c r="KN222" s="16">
        <v>20</v>
      </c>
      <c r="KO222" s="16">
        <v>6870</v>
      </c>
      <c r="KP222" s="16">
        <v>336</v>
      </c>
      <c r="KQ222" s="16">
        <v>168258</v>
      </c>
      <c r="KR222" s="16">
        <v>932</v>
      </c>
      <c r="KS222" s="16">
        <v>683</v>
      </c>
      <c r="KT222" s="16">
        <v>364</v>
      </c>
      <c r="KU222" s="16">
        <v>8945</v>
      </c>
      <c r="KV222" s="16">
        <v>8325</v>
      </c>
      <c r="KW222" s="16">
        <v>13331</v>
      </c>
      <c r="KX222" s="16">
        <v>1</v>
      </c>
      <c r="KY222" s="16">
        <v>12</v>
      </c>
      <c r="KZ222" s="16">
        <v>28817</v>
      </c>
      <c r="LA222" s="16">
        <v>86</v>
      </c>
      <c r="LB222" s="16">
        <v>44</v>
      </c>
      <c r="LC222" s="16">
        <v>91</v>
      </c>
      <c r="LD222" s="16">
        <v>871</v>
      </c>
      <c r="LE222" s="16">
        <v>0</v>
      </c>
      <c r="LF222" s="16">
        <v>0</v>
      </c>
      <c r="LG222" s="16">
        <v>0</v>
      </c>
      <c r="LH222" s="16">
        <v>0</v>
      </c>
      <c r="LI222" s="16">
        <v>1</v>
      </c>
      <c r="LJ222" s="16">
        <v>0</v>
      </c>
      <c r="LK222" s="16">
        <v>0</v>
      </c>
      <c r="LL222" s="16">
        <v>0</v>
      </c>
      <c r="LM222" s="16">
        <v>0</v>
      </c>
      <c r="LN222" s="16">
        <v>0</v>
      </c>
      <c r="LO222" s="16">
        <v>2</v>
      </c>
      <c r="LP222" s="16">
        <v>1381</v>
      </c>
      <c r="LQ222" s="16">
        <v>66</v>
      </c>
      <c r="LR222" s="16">
        <v>17</v>
      </c>
      <c r="LS222" s="16">
        <v>3</v>
      </c>
      <c r="LT222" s="16">
        <v>9</v>
      </c>
      <c r="LU222" s="16">
        <v>0</v>
      </c>
      <c r="LV222" s="16">
        <v>0</v>
      </c>
      <c r="LW222" s="16">
        <v>0</v>
      </c>
      <c r="LX222" s="16">
        <v>14</v>
      </c>
      <c r="LY222" s="16">
        <v>0</v>
      </c>
      <c r="LZ222" s="16">
        <v>11909</v>
      </c>
      <c r="MA222" s="16">
        <v>796</v>
      </c>
      <c r="MB222" s="16">
        <v>37351</v>
      </c>
      <c r="MC222" s="16">
        <v>5638</v>
      </c>
      <c r="MD222" s="16">
        <v>2351</v>
      </c>
      <c r="ME222" s="16">
        <v>120</v>
      </c>
      <c r="MF222" s="16">
        <v>43595</v>
      </c>
      <c r="MG222" s="16">
        <v>0</v>
      </c>
      <c r="MH222" s="16">
        <v>0</v>
      </c>
      <c r="MI222" s="16">
        <v>0</v>
      </c>
      <c r="MJ222" s="16">
        <v>0</v>
      </c>
      <c r="MK222" s="16">
        <v>1928</v>
      </c>
      <c r="ML222" s="16">
        <v>428</v>
      </c>
      <c r="MM222" s="16">
        <v>171</v>
      </c>
      <c r="MN222" s="16">
        <v>30540</v>
      </c>
      <c r="MO222" s="16">
        <v>0</v>
      </c>
      <c r="MP222" s="16">
        <v>0</v>
      </c>
      <c r="MQ222" s="16">
        <v>70</v>
      </c>
      <c r="MR222" s="16">
        <v>15393</v>
      </c>
      <c r="MS222" s="16">
        <v>3516</v>
      </c>
      <c r="MT222" s="16">
        <v>0</v>
      </c>
      <c r="MU222" s="16">
        <v>3782</v>
      </c>
      <c r="MV222" s="16">
        <v>767</v>
      </c>
      <c r="MW222" s="16">
        <v>0</v>
      </c>
      <c r="MX222" s="16">
        <v>15</v>
      </c>
      <c r="MY222" s="16">
        <v>235</v>
      </c>
      <c r="MZ222" s="16">
        <v>4104</v>
      </c>
      <c r="NA222" s="16">
        <v>101</v>
      </c>
      <c r="NB222" s="16">
        <v>0</v>
      </c>
      <c r="NC222" s="16">
        <v>4985</v>
      </c>
      <c r="ND222" s="16">
        <v>1</v>
      </c>
      <c r="NE222" s="16">
        <v>24</v>
      </c>
      <c r="NF222" s="16">
        <v>10</v>
      </c>
      <c r="NG222" s="16">
        <v>7733</v>
      </c>
      <c r="NH222" s="16">
        <v>97</v>
      </c>
      <c r="NI222" s="16">
        <v>0</v>
      </c>
      <c r="NJ222" s="16">
        <v>2030</v>
      </c>
      <c r="NK222" s="16">
        <v>6950</v>
      </c>
      <c r="NL222" s="16">
        <v>4003</v>
      </c>
      <c r="NM222" s="16">
        <v>26</v>
      </c>
      <c r="NN222" s="16">
        <v>0</v>
      </c>
      <c r="NO222" s="16">
        <v>0</v>
      </c>
      <c r="NP222" s="16">
        <v>0</v>
      </c>
      <c r="NQ222" s="16">
        <v>53</v>
      </c>
      <c r="NR222" s="17">
        <v>10719984</v>
      </c>
    </row>
    <row r="223" spans="1:382" ht="13.5" customHeight="1" x14ac:dyDescent="0.2">
      <c r="A223" s="2" t="s">
        <v>453</v>
      </c>
      <c r="B223" s="16">
        <v>0</v>
      </c>
      <c r="C223" s="16">
        <v>0</v>
      </c>
      <c r="D223" s="16">
        <v>0</v>
      </c>
      <c r="E223" s="16">
        <v>0</v>
      </c>
      <c r="F223" s="16">
        <v>5</v>
      </c>
      <c r="G223" s="16">
        <v>0</v>
      </c>
      <c r="H223" s="16">
        <v>1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1</v>
      </c>
      <c r="P223" s="16">
        <v>91</v>
      </c>
      <c r="Q223" s="16">
        <v>297</v>
      </c>
      <c r="R223" s="16">
        <v>243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1155</v>
      </c>
      <c r="Y223" s="16">
        <v>6027</v>
      </c>
      <c r="Z223" s="16">
        <v>177</v>
      </c>
      <c r="AA223" s="16">
        <v>11</v>
      </c>
      <c r="AB223" s="16">
        <v>0</v>
      </c>
      <c r="AC223" s="16">
        <v>0</v>
      </c>
      <c r="AD223" s="16">
        <v>0</v>
      </c>
      <c r="AE223" s="16">
        <v>40</v>
      </c>
      <c r="AF223" s="16">
        <v>0</v>
      </c>
      <c r="AG223" s="16">
        <v>4746</v>
      </c>
      <c r="AH223" s="16">
        <v>3189</v>
      </c>
      <c r="AI223" s="16">
        <v>927</v>
      </c>
      <c r="AJ223" s="16">
        <v>23</v>
      </c>
      <c r="AK223" s="16">
        <v>302</v>
      </c>
      <c r="AL223" s="16">
        <v>18</v>
      </c>
      <c r="AM223" s="16">
        <v>522</v>
      </c>
      <c r="AN223" s="16">
        <v>83</v>
      </c>
      <c r="AO223" s="16">
        <v>0</v>
      </c>
      <c r="AP223" s="16">
        <v>0</v>
      </c>
      <c r="AQ223" s="16">
        <v>1718</v>
      </c>
      <c r="AR223" s="16">
        <v>0</v>
      </c>
      <c r="AS223" s="16">
        <v>380</v>
      </c>
      <c r="AT223" s="16">
        <v>0</v>
      </c>
      <c r="AU223" s="16">
        <v>11</v>
      </c>
      <c r="AV223" s="16">
        <v>39</v>
      </c>
      <c r="AW223" s="16">
        <v>2302</v>
      </c>
      <c r="AX223" s="16">
        <v>126</v>
      </c>
      <c r="AY223" s="16">
        <v>329</v>
      </c>
      <c r="AZ223" s="16">
        <v>2033</v>
      </c>
      <c r="BA223" s="16">
        <v>332</v>
      </c>
      <c r="BB223" s="16">
        <v>347</v>
      </c>
      <c r="BC223" s="16">
        <v>388</v>
      </c>
      <c r="BD223" s="16">
        <v>86</v>
      </c>
      <c r="BE223" s="16">
        <v>674</v>
      </c>
      <c r="BF223" s="16">
        <v>21074</v>
      </c>
      <c r="BG223" s="16">
        <v>327</v>
      </c>
      <c r="BH223" s="16">
        <v>1369</v>
      </c>
      <c r="BI223" s="16">
        <v>19</v>
      </c>
      <c r="BJ223" s="16">
        <v>114</v>
      </c>
      <c r="BK223" s="16">
        <v>140</v>
      </c>
      <c r="BL223" s="16">
        <v>259</v>
      </c>
      <c r="BM223" s="16">
        <v>3</v>
      </c>
      <c r="BN223" s="16">
        <v>815</v>
      </c>
      <c r="BO223" s="16">
        <v>0</v>
      </c>
      <c r="BP223" s="16">
        <v>60</v>
      </c>
      <c r="BQ223" s="16">
        <v>8</v>
      </c>
      <c r="BR223" s="16">
        <v>0</v>
      </c>
      <c r="BS223" s="16">
        <v>156</v>
      </c>
      <c r="BT223" s="16">
        <v>7</v>
      </c>
      <c r="BU223" s="16">
        <v>0</v>
      </c>
      <c r="BV223" s="16">
        <v>0</v>
      </c>
      <c r="BW223" s="16">
        <v>0</v>
      </c>
      <c r="BX223" s="16">
        <v>1</v>
      </c>
      <c r="BY223" s="16">
        <v>0</v>
      </c>
      <c r="BZ223" s="16">
        <v>0</v>
      </c>
      <c r="CA223" s="16">
        <v>0</v>
      </c>
      <c r="CB223" s="16">
        <v>0</v>
      </c>
      <c r="CC223" s="16">
        <v>43</v>
      </c>
      <c r="CD223" s="16">
        <v>763</v>
      </c>
      <c r="CE223" s="16">
        <v>161</v>
      </c>
      <c r="CF223" s="16">
        <v>4720</v>
      </c>
      <c r="CG223" s="16">
        <v>111</v>
      </c>
      <c r="CH223" s="16">
        <v>1218</v>
      </c>
      <c r="CI223" s="16">
        <v>3031</v>
      </c>
      <c r="CJ223" s="16">
        <v>2718</v>
      </c>
      <c r="CK223" s="16">
        <v>2749</v>
      </c>
      <c r="CL223" s="16">
        <v>2205</v>
      </c>
      <c r="CM223" s="16">
        <v>92</v>
      </c>
      <c r="CN223" s="16">
        <v>466</v>
      </c>
      <c r="CO223" s="16">
        <v>1174</v>
      </c>
      <c r="CP223" s="16">
        <v>750</v>
      </c>
      <c r="CQ223" s="16">
        <v>774</v>
      </c>
      <c r="CR223" s="16">
        <v>76</v>
      </c>
      <c r="CS223" s="16">
        <v>30576</v>
      </c>
      <c r="CT223" s="16">
        <v>26381</v>
      </c>
      <c r="CU223" s="16">
        <v>62096</v>
      </c>
      <c r="CV223" s="16">
        <v>124799</v>
      </c>
      <c r="CW223" s="16">
        <v>90033</v>
      </c>
      <c r="CX223" s="16">
        <v>198423</v>
      </c>
      <c r="CY223" s="16">
        <v>17773</v>
      </c>
      <c r="CZ223" s="16">
        <v>10543</v>
      </c>
      <c r="DA223" s="16">
        <v>868</v>
      </c>
      <c r="DB223" s="16">
        <v>12482</v>
      </c>
      <c r="DC223" s="16">
        <v>1683</v>
      </c>
      <c r="DD223" s="16">
        <v>4002</v>
      </c>
      <c r="DE223" s="16">
        <v>383</v>
      </c>
      <c r="DF223" s="16">
        <v>2777</v>
      </c>
      <c r="DG223" s="16">
        <v>34635</v>
      </c>
      <c r="DH223" s="16">
        <v>24704</v>
      </c>
      <c r="DI223" s="16">
        <v>935</v>
      </c>
      <c r="DJ223" s="16">
        <v>20531</v>
      </c>
      <c r="DK223" s="16">
        <v>633</v>
      </c>
      <c r="DL223" s="16">
        <v>3175</v>
      </c>
      <c r="DM223" s="16">
        <v>1500</v>
      </c>
      <c r="DN223" s="16">
        <v>2099</v>
      </c>
      <c r="DO223" s="16">
        <v>621</v>
      </c>
      <c r="DP223" s="16">
        <v>426</v>
      </c>
      <c r="DQ223" s="16">
        <v>48</v>
      </c>
      <c r="DR223" s="16">
        <v>188</v>
      </c>
      <c r="DS223" s="16">
        <v>300</v>
      </c>
      <c r="DT223" s="16">
        <v>171</v>
      </c>
      <c r="DU223" s="16">
        <v>17</v>
      </c>
      <c r="DV223" s="16">
        <v>12589</v>
      </c>
      <c r="DW223" s="16">
        <v>18864</v>
      </c>
      <c r="DX223" s="16">
        <v>2085</v>
      </c>
      <c r="DY223" s="16">
        <v>1687</v>
      </c>
      <c r="DZ223" s="16">
        <v>8058</v>
      </c>
      <c r="EA223" s="16">
        <v>10912</v>
      </c>
      <c r="EB223" s="16">
        <v>36083</v>
      </c>
      <c r="EC223" s="16">
        <v>82553</v>
      </c>
      <c r="ED223" s="16">
        <v>2601</v>
      </c>
      <c r="EE223" s="16">
        <v>7</v>
      </c>
      <c r="EF223" s="16">
        <v>594</v>
      </c>
      <c r="EG223" s="16">
        <v>8225</v>
      </c>
      <c r="EH223" s="16">
        <v>711</v>
      </c>
      <c r="EI223" s="16">
        <v>403</v>
      </c>
      <c r="EJ223" s="16">
        <v>195</v>
      </c>
      <c r="EK223" s="16">
        <v>402</v>
      </c>
      <c r="EL223" s="16">
        <v>3</v>
      </c>
      <c r="EM223" s="16">
        <v>1259</v>
      </c>
      <c r="EN223" s="16">
        <v>5144</v>
      </c>
      <c r="EO223" s="16">
        <v>613</v>
      </c>
      <c r="EP223" s="16">
        <v>97</v>
      </c>
      <c r="EQ223" s="16">
        <v>3224</v>
      </c>
      <c r="ER223" s="16">
        <v>316</v>
      </c>
      <c r="ES223" s="16">
        <v>957</v>
      </c>
      <c r="ET223" s="16">
        <v>2271</v>
      </c>
      <c r="EU223" s="16">
        <v>31</v>
      </c>
      <c r="EV223" s="16">
        <v>411</v>
      </c>
      <c r="EW223" s="16">
        <v>128</v>
      </c>
      <c r="EX223" s="16">
        <v>60542</v>
      </c>
      <c r="EY223" s="16">
        <v>6808</v>
      </c>
      <c r="EZ223" s="16">
        <v>2449</v>
      </c>
      <c r="FA223" s="16">
        <v>2136</v>
      </c>
      <c r="FB223" s="16">
        <v>7222</v>
      </c>
      <c r="FC223" s="16">
        <v>60</v>
      </c>
      <c r="FD223" s="16">
        <v>43444</v>
      </c>
      <c r="FE223" s="16">
        <v>2964</v>
      </c>
      <c r="FF223" s="16">
        <v>2885</v>
      </c>
      <c r="FG223" s="16">
        <v>4301</v>
      </c>
      <c r="FH223" s="16">
        <v>13</v>
      </c>
      <c r="FI223" s="16">
        <v>1540</v>
      </c>
      <c r="FJ223" s="16">
        <v>335</v>
      </c>
      <c r="FK223" s="16">
        <v>11410</v>
      </c>
      <c r="FL223" s="16">
        <v>133</v>
      </c>
      <c r="FM223" s="16">
        <v>1615</v>
      </c>
      <c r="FN223" s="16">
        <v>2849</v>
      </c>
      <c r="FO223" s="16">
        <v>3821</v>
      </c>
      <c r="FP223" s="16">
        <v>6583</v>
      </c>
      <c r="FQ223" s="16">
        <v>37210</v>
      </c>
      <c r="FR223" s="16">
        <v>164394</v>
      </c>
      <c r="FS223" s="16">
        <v>107185</v>
      </c>
      <c r="FT223" s="16">
        <v>68571</v>
      </c>
      <c r="FU223" s="16">
        <v>7989</v>
      </c>
      <c r="FV223" s="16">
        <v>111832</v>
      </c>
      <c r="FW223" s="16">
        <v>1512</v>
      </c>
      <c r="FX223" s="16">
        <v>468687</v>
      </c>
      <c r="FY223" s="16">
        <v>3706</v>
      </c>
      <c r="FZ223" s="16">
        <v>60421</v>
      </c>
      <c r="GA223" s="16">
        <v>5011</v>
      </c>
      <c r="GB223" s="16">
        <v>65210</v>
      </c>
      <c r="GC223" s="16">
        <v>4917</v>
      </c>
      <c r="GD223" s="16">
        <v>177207</v>
      </c>
      <c r="GE223" s="16">
        <v>1246</v>
      </c>
      <c r="GF223" s="16">
        <v>12828</v>
      </c>
      <c r="GG223" s="16">
        <v>533</v>
      </c>
      <c r="GH223" s="16">
        <v>1907</v>
      </c>
      <c r="GI223" s="16">
        <v>1675</v>
      </c>
      <c r="GJ223" s="16">
        <v>1324</v>
      </c>
      <c r="GK223" s="16">
        <v>3955</v>
      </c>
      <c r="GL223" s="16">
        <v>23</v>
      </c>
      <c r="GM223" s="16">
        <v>101</v>
      </c>
      <c r="GN223" s="16">
        <v>160</v>
      </c>
      <c r="GO223" s="16">
        <v>142</v>
      </c>
      <c r="GP223" s="16">
        <v>274</v>
      </c>
      <c r="GQ223" s="16">
        <v>2300</v>
      </c>
      <c r="GR223" s="16">
        <v>200</v>
      </c>
      <c r="GS223" s="16">
        <v>25</v>
      </c>
      <c r="GT223" s="16">
        <v>68</v>
      </c>
      <c r="GU223" s="16">
        <v>5749</v>
      </c>
      <c r="GV223" s="16">
        <v>21520</v>
      </c>
      <c r="GW223" s="16">
        <v>65125</v>
      </c>
      <c r="GX223" s="16">
        <v>430</v>
      </c>
      <c r="GY223" s="16">
        <v>0</v>
      </c>
      <c r="GZ223" s="16">
        <v>36695</v>
      </c>
      <c r="HA223" s="16">
        <v>9433</v>
      </c>
      <c r="HB223" s="16">
        <v>2769</v>
      </c>
      <c r="HC223" s="16">
        <v>7845</v>
      </c>
      <c r="HD223" s="16">
        <v>19356</v>
      </c>
      <c r="HE223" s="16">
        <v>1825</v>
      </c>
      <c r="HF223" s="16">
        <v>9722</v>
      </c>
      <c r="HG223" s="16">
        <v>5757</v>
      </c>
      <c r="HH223" s="16">
        <v>749</v>
      </c>
      <c r="HI223" s="16">
        <v>53051</v>
      </c>
      <c r="HJ223" s="16">
        <v>1828</v>
      </c>
      <c r="HK223" s="16">
        <v>3849</v>
      </c>
      <c r="HL223" s="16">
        <v>46013</v>
      </c>
      <c r="HM223" s="16">
        <v>13252</v>
      </c>
      <c r="HN223" s="16">
        <v>260015</v>
      </c>
      <c r="HO223" s="16">
        <v>1393055</v>
      </c>
      <c r="HP223" s="16">
        <v>25893</v>
      </c>
      <c r="HQ223" s="16">
        <v>177104</v>
      </c>
      <c r="HR223" s="16">
        <v>224316</v>
      </c>
      <c r="HS223" s="16">
        <v>63721</v>
      </c>
      <c r="HT223" s="16">
        <v>298</v>
      </c>
      <c r="HU223" s="16">
        <v>131139</v>
      </c>
      <c r="HV223" s="16">
        <v>36607</v>
      </c>
      <c r="HW223" s="16">
        <v>315889</v>
      </c>
      <c r="HX223" s="16">
        <v>96987</v>
      </c>
      <c r="HY223" s="16">
        <v>29762</v>
      </c>
      <c r="HZ223" s="16">
        <v>39830</v>
      </c>
      <c r="IA223" s="16">
        <v>17153</v>
      </c>
      <c r="IB223" s="16">
        <v>10944</v>
      </c>
      <c r="IC223" s="16">
        <v>4213</v>
      </c>
      <c r="ID223" s="16">
        <v>29341</v>
      </c>
      <c r="IE223" s="16">
        <v>1482</v>
      </c>
      <c r="IF223" s="16">
        <v>17228</v>
      </c>
      <c r="IG223" s="16">
        <v>145649</v>
      </c>
      <c r="IH223" s="16">
        <v>170938</v>
      </c>
      <c r="II223" s="16">
        <v>21282</v>
      </c>
      <c r="IJ223" s="16">
        <v>4485</v>
      </c>
      <c r="IK223" s="16">
        <v>16152</v>
      </c>
      <c r="IL223" s="16">
        <v>11619</v>
      </c>
      <c r="IM223" s="16">
        <v>283</v>
      </c>
      <c r="IN223" s="16">
        <v>36898</v>
      </c>
      <c r="IO223" s="16">
        <v>254169</v>
      </c>
      <c r="IP223" s="16">
        <v>375640</v>
      </c>
      <c r="IQ223" s="16">
        <v>7929</v>
      </c>
      <c r="IR223" s="16">
        <v>14912</v>
      </c>
      <c r="IS223" s="16">
        <v>26411</v>
      </c>
      <c r="IT223" s="16">
        <v>5432</v>
      </c>
      <c r="IU223" s="16">
        <v>139</v>
      </c>
      <c r="IV223" s="16">
        <v>29206</v>
      </c>
      <c r="IW223" s="16">
        <v>3729</v>
      </c>
      <c r="IX223" s="16">
        <v>2056</v>
      </c>
      <c r="IY223" s="16">
        <v>27</v>
      </c>
      <c r="IZ223" s="16">
        <v>2</v>
      </c>
      <c r="JA223" s="16">
        <v>384</v>
      </c>
      <c r="JB223" s="16">
        <v>3</v>
      </c>
      <c r="JC223" s="16">
        <v>0</v>
      </c>
      <c r="JD223" s="16">
        <v>294</v>
      </c>
      <c r="JE223" s="16">
        <v>0</v>
      </c>
      <c r="JF223" s="16">
        <v>3773</v>
      </c>
      <c r="JG223" s="16">
        <v>94814</v>
      </c>
      <c r="JH223" s="16">
        <v>37513</v>
      </c>
      <c r="JI223" s="16">
        <v>1137</v>
      </c>
      <c r="JJ223" s="16">
        <v>6034</v>
      </c>
      <c r="JK223" s="16">
        <v>47551</v>
      </c>
      <c r="JL223" s="16">
        <v>0</v>
      </c>
      <c r="JM223" s="16">
        <v>949</v>
      </c>
      <c r="JN223" s="16">
        <v>6810</v>
      </c>
      <c r="JO223" s="16">
        <v>3119</v>
      </c>
      <c r="JP223" s="16">
        <v>167925</v>
      </c>
      <c r="JQ223" s="16">
        <v>23187</v>
      </c>
      <c r="JR223" s="16">
        <v>7268</v>
      </c>
      <c r="JS223" s="16">
        <v>970</v>
      </c>
      <c r="JT223" s="16">
        <v>0</v>
      </c>
      <c r="JU223" s="16">
        <v>4311</v>
      </c>
      <c r="JV223" s="16">
        <v>10367</v>
      </c>
      <c r="JW223" s="16">
        <v>233661</v>
      </c>
      <c r="JX223" s="16">
        <v>381901</v>
      </c>
      <c r="JY223" s="16">
        <v>85307</v>
      </c>
      <c r="JZ223" s="16">
        <v>308</v>
      </c>
      <c r="KA223" s="16">
        <v>3706</v>
      </c>
      <c r="KB223" s="16">
        <v>25</v>
      </c>
      <c r="KC223" s="16">
        <v>887</v>
      </c>
      <c r="KD223" s="16">
        <v>236</v>
      </c>
      <c r="KE223" s="16">
        <v>308</v>
      </c>
      <c r="KF223" s="16">
        <v>7728</v>
      </c>
      <c r="KG223" s="16">
        <v>5807</v>
      </c>
      <c r="KH223" s="16">
        <v>15954</v>
      </c>
      <c r="KI223" s="16">
        <v>40949</v>
      </c>
      <c r="KJ223" s="16">
        <v>668</v>
      </c>
      <c r="KK223" s="16">
        <v>1561</v>
      </c>
      <c r="KL223" s="16">
        <v>65</v>
      </c>
      <c r="KM223" s="16">
        <v>656</v>
      </c>
      <c r="KN223" s="16">
        <v>8049</v>
      </c>
      <c r="KO223" s="16">
        <v>1452</v>
      </c>
      <c r="KP223" s="16">
        <v>150</v>
      </c>
      <c r="KQ223" s="16">
        <v>24162</v>
      </c>
      <c r="KR223" s="16">
        <v>0</v>
      </c>
      <c r="KS223" s="16">
        <v>9</v>
      </c>
      <c r="KT223" s="16">
        <v>146</v>
      </c>
      <c r="KU223" s="16">
        <v>2314</v>
      </c>
      <c r="KV223" s="16">
        <v>3156</v>
      </c>
      <c r="KW223" s="16">
        <v>35</v>
      </c>
      <c r="KX223" s="16">
        <v>0</v>
      </c>
      <c r="KY223" s="16">
        <v>0</v>
      </c>
      <c r="KZ223" s="16">
        <v>4165</v>
      </c>
      <c r="LA223" s="16">
        <v>38</v>
      </c>
      <c r="LB223" s="16">
        <v>18</v>
      </c>
      <c r="LC223" s="16">
        <v>42</v>
      </c>
      <c r="LD223" s="16">
        <v>857</v>
      </c>
      <c r="LE223" s="16">
        <v>0</v>
      </c>
      <c r="LF223" s="16">
        <v>0</v>
      </c>
      <c r="LG223" s="16">
        <v>0</v>
      </c>
      <c r="LH223" s="16">
        <v>0</v>
      </c>
      <c r="LI223" s="16">
        <v>0</v>
      </c>
      <c r="LJ223" s="16">
        <v>0</v>
      </c>
      <c r="LK223" s="16">
        <v>0</v>
      </c>
      <c r="LL223" s="16">
        <v>0</v>
      </c>
      <c r="LM223" s="16">
        <v>0</v>
      </c>
      <c r="LN223" s="16">
        <v>0</v>
      </c>
      <c r="LO223" s="16">
        <v>7</v>
      </c>
      <c r="LP223" s="16">
        <v>114</v>
      </c>
      <c r="LQ223" s="16">
        <v>0</v>
      </c>
      <c r="LR223" s="16">
        <v>0</v>
      </c>
      <c r="LS223" s="16">
        <v>0</v>
      </c>
      <c r="LT223" s="16">
        <v>0</v>
      </c>
      <c r="LU223" s="16">
        <v>0</v>
      </c>
      <c r="LV223" s="16">
        <v>0</v>
      </c>
      <c r="LW223" s="16">
        <v>0</v>
      </c>
      <c r="LX223" s="16">
        <v>0</v>
      </c>
      <c r="LY223" s="16">
        <v>0</v>
      </c>
      <c r="LZ223" s="16">
        <v>701</v>
      </c>
      <c r="MA223" s="16">
        <v>1999</v>
      </c>
      <c r="MB223" s="16">
        <v>0</v>
      </c>
      <c r="MC223" s="16">
        <v>1321</v>
      </c>
      <c r="MD223" s="16">
        <v>1256</v>
      </c>
      <c r="ME223" s="16">
        <v>19</v>
      </c>
      <c r="MF223" s="16">
        <v>35494</v>
      </c>
      <c r="MG223" s="16">
        <v>0</v>
      </c>
      <c r="MH223" s="16">
        <v>0</v>
      </c>
      <c r="MI223" s="16">
        <v>0</v>
      </c>
      <c r="MJ223" s="16">
        <v>0</v>
      </c>
      <c r="MK223" s="16">
        <v>6260</v>
      </c>
      <c r="ML223" s="16">
        <v>2174</v>
      </c>
      <c r="MM223" s="16">
        <v>64</v>
      </c>
      <c r="MN223" s="16">
        <v>10862</v>
      </c>
      <c r="MO223" s="16">
        <v>0</v>
      </c>
      <c r="MP223" s="16">
        <v>0</v>
      </c>
      <c r="MQ223" s="16">
        <v>21</v>
      </c>
      <c r="MR223" s="16">
        <v>253</v>
      </c>
      <c r="MS223" s="16">
        <v>438</v>
      </c>
      <c r="MT223" s="16">
        <v>3</v>
      </c>
      <c r="MU223" s="16">
        <v>598</v>
      </c>
      <c r="MV223" s="16">
        <v>1661</v>
      </c>
      <c r="MW223" s="16">
        <v>0</v>
      </c>
      <c r="MX223" s="16">
        <v>23</v>
      </c>
      <c r="MY223" s="16">
        <v>27</v>
      </c>
      <c r="MZ223" s="16">
        <v>1363</v>
      </c>
      <c r="NA223" s="16">
        <v>120</v>
      </c>
      <c r="NB223" s="16">
        <v>0</v>
      </c>
      <c r="NC223" s="16">
        <v>32</v>
      </c>
      <c r="ND223" s="16">
        <v>0</v>
      </c>
      <c r="NE223" s="16">
        <v>13</v>
      </c>
      <c r="NF223" s="16">
        <v>3</v>
      </c>
      <c r="NG223" s="16">
        <v>3357</v>
      </c>
      <c r="NH223" s="16">
        <v>0</v>
      </c>
      <c r="NI223" s="16">
        <v>0</v>
      </c>
      <c r="NJ223" s="16">
        <v>0</v>
      </c>
      <c r="NK223" s="16">
        <v>3966</v>
      </c>
      <c r="NL223" s="16">
        <v>1831</v>
      </c>
      <c r="NM223" s="16">
        <v>258</v>
      </c>
      <c r="NN223" s="16">
        <v>75</v>
      </c>
      <c r="NO223" s="16">
        <v>0</v>
      </c>
      <c r="NP223" s="16">
        <v>0</v>
      </c>
      <c r="NQ223" s="16">
        <v>12</v>
      </c>
      <c r="NR223" s="17">
        <v>8038931</v>
      </c>
    </row>
    <row r="224" spans="1:382" ht="13.5" customHeight="1" x14ac:dyDescent="0.2">
      <c r="A224" s="2" t="s">
        <v>455</v>
      </c>
      <c r="B224" s="16">
        <v>0</v>
      </c>
      <c r="C224" s="16">
        <v>0</v>
      </c>
      <c r="D224" s="16">
        <v>0</v>
      </c>
      <c r="E224" s="16">
        <v>0</v>
      </c>
      <c r="F224" s="16">
        <v>14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10</v>
      </c>
      <c r="P224" s="16">
        <v>2776</v>
      </c>
      <c r="Q224" s="16">
        <v>240</v>
      </c>
      <c r="R224" s="16">
        <v>228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2127</v>
      </c>
      <c r="Y224" s="16">
        <v>2856</v>
      </c>
      <c r="Z224" s="16">
        <v>357</v>
      </c>
      <c r="AA224" s="16">
        <v>58</v>
      </c>
      <c r="AB224" s="16">
        <v>0</v>
      </c>
      <c r="AC224" s="16">
        <v>0</v>
      </c>
      <c r="AD224" s="16">
        <v>0</v>
      </c>
      <c r="AE224" s="16">
        <v>91</v>
      </c>
      <c r="AF224" s="16">
        <v>52</v>
      </c>
      <c r="AG224" s="16">
        <v>7157</v>
      </c>
      <c r="AH224" s="16">
        <v>10205</v>
      </c>
      <c r="AI224" s="16">
        <v>2349</v>
      </c>
      <c r="AJ224" s="16">
        <v>1871</v>
      </c>
      <c r="AK224" s="16">
        <v>2802</v>
      </c>
      <c r="AL224" s="16">
        <v>161</v>
      </c>
      <c r="AM224" s="16">
        <v>1009</v>
      </c>
      <c r="AN224" s="16">
        <v>427</v>
      </c>
      <c r="AO224" s="16">
        <v>83</v>
      </c>
      <c r="AP224" s="16">
        <v>26</v>
      </c>
      <c r="AQ224" s="16">
        <v>718</v>
      </c>
      <c r="AR224" s="16">
        <v>0</v>
      </c>
      <c r="AS224" s="16">
        <v>827</v>
      </c>
      <c r="AT224" s="16">
        <v>799</v>
      </c>
      <c r="AU224" s="16">
        <v>663</v>
      </c>
      <c r="AV224" s="16">
        <v>350</v>
      </c>
      <c r="AW224" s="16">
        <v>2837</v>
      </c>
      <c r="AX224" s="16">
        <v>551</v>
      </c>
      <c r="AY224" s="16">
        <v>7255</v>
      </c>
      <c r="AZ224" s="16">
        <v>2687</v>
      </c>
      <c r="BA224" s="16">
        <v>1784</v>
      </c>
      <c r="BB224" s="16">
        <v>490</v>
      </c>
      <c r="BC224" s="16">
        <v>2440</v>
      </c>
      <c r="BD224" s="16">
        <v>32</v>
      </c>
      <c r="BE224" s="16">
        <v>287</v>
      </c>
      <c r="BF224" s="16">
        <v>2134</v>
      </c>
      <c r="BG224" s="16">
        <v>903</v>
      </c>
      <c r="BH224" s="16">
        <v>2196</v>
      </c>
      <c r="BI224" s="16">
        <v>682</v>
      </c>
      <c r="BJ224" s="16">
        <v>242</v>
      </c>
      <c r="BK224" s="16">
        <v>230</v>
      </c>
      <c r="BL224" s="16">
        <v>1147</v>
      </c>
      <c r="BM224" s="16">
        <v>61</v>
      </c>
      <c r="BN224" s="16">
        <v>2638</v>
      </c>
      <c r="BO224" s="16">
        <v>3026</v>
      </c>
      <c r="BP224" s="16">
        <v>258</v>
      </c>
      <c r="BQ224" s="16">
        <v>200</v>
      </c>
      <c r="BR224" s="16">
        <v>363</v>
      </c>
      <c r="BS224" s="16">
        <v>251</v>
      </c>
      <c r="BT224" s="16">
        <v>12</v>
      </c>
      <c r="BU224" s="16">
        <v>5</v>
      </c>
      <c r="BV224" s="16">
        <v>0</v>
      </c>
      <c r="BW224" s="16">
        <v>258</v>
      </c>
      <c r="BX224" s="16">
        <v>6</v>
      </c>
      <c r="BY224" s="16">
        <v>13</v>
      </c>
      <c r="BZ224" s="16">
        <v>167</v>
      </c>
      <c r="CA224" s="16">
        <v>2</v>
      </c>
      <c r="CB224" s="16">
        <v>0</v>
      </c>
      <c r="CC224" s="16">
        <v>2305</v>
      </c>
      <c r="CD224" s="16">
        <v>3463</v>
      </c>
      <c r="CE224" s="16">
        <v>1128</v>
      </c>
      <c r="CF224" s="16">
        <v>4387</v>
      </c>
      <c r="CG224" s="16">
        <v>0</v>
      </c>
      <c r="CH224" s="16">
        <v>3144</v>
      </c>
      <c r="CI224" s="16">
        <v>2578</v>
      </c>
      <c r="CJ224" s="16">
        <v>2272</v>
      </c>
      <c r="CK224" s="16">
        <v>7085</v>
      </c>
      <c r="CL224" s="16">
        <v>1781</v>
      </c>
      <c r="CM224" s="16">
        <v>698</v>
      </c>
      <c r="CN224" s="16">
        <v>181</v>
      </c>
      <c r="CO224" s="16">
        <v>1083</v>
      </c>
      <c r="CP224" s="16">
        <v>1833</v>
      </c>
      <c r="CQ224" s="16">
        <v>2599</v>
      </c>
      <c r="CR224" s="16">
        <v>263</v>
      </c>
      <c r="CS224" s="16">
        <v>8964</v>
      </c>
      <c r="CT224" s="16">
        <v>3239</v>
      </c>
      <c r="CU224" s="16">
        <v>27739</v>
      </c>
      <c r="CV224" s="16">
        <v>22514</v>
      </c>
      <c r="CW224" s="16">
        <v>92746</v>
      </c>
      <c r="CX224" s="16">
        <v>58875</v>
      </c>
      <c r="CY224" s="16">
        <v>2502</v>
      </c>
      <c r="CZ224" s="16">
        <v>3075</v>
      </c>
      <c r="DA224" s="16">
        <v>217</v>
      </c>
      <c r="DB224" s="16">
        <v>4195</v>
      </c>
      <c r="DC224" s="16">
        <v>505</v>
      </c>
      <c r="DD224" s="16">
        <v>2994</v>
      </c>
      <c r="DE224" s="16">
        <v>417</v>
      </c>
      <c r="DF224" s="16">
        <v>4370</v>
      </c>
      <c r="DG224" s="16">
        <v>2734</v>
      </c>
      <c r="DH224" s="16">
        <v>5437</v>
      </c>
      <c r="DI224" s="16">
        <v>1607</v>
      </c>
      <c r="DJ224" s="16">
        <v>15788</v>
      </c>
      <c r="DK224" s="16">
        <v>449</v>
      </c>
      <c r="DL224" s="16">
        <v>4381</v>
      </c>
      <c r="DM224" s="16">
        <v>723</v>
      </c>
      <c r="DN224" s="16">
        <v>3275</v>
      </c>
      <c r="DO224" s="16">
        <v>435</v>
      </c>
      <c r="DP224" s="16">
        <v>899</v>
      </c>
      <c r="DQ224" s="16">
        <v>532</v>
      </c>
      <c r="DR224" s="16">
        <v>1295</v>
      </c>
      <c r="DS224" s="16">
        <v>1920</v>
      </c>
      <c r="DT224" s="16">
        <v>601</v>
      </c>
      <c r="DU224" s="16">
        <v>507</v>
      </c>
      <c r="DV224" s="16">
        <v>2194</v>
      </c>
      <c r="DW224" s="16">
        <v>14264</v>
      </c>
      <c r="DX224" s="16">
        <v>2428</v>
      </c>
      <c r="DY224" s="16">
        <v>2026</v>
      </c>
      <c r="DZ224" s="16">
        <v>9281</v>
      </c>
      <c r="EA224" s="16">
        <v>3308</v>
      </c>
      <c r="EB224" s="16">
        <v>425</v>
      </c>
      <c r="EC224" s="16">
        <v>5440</v>
      </c>
      <c r="ED224" s="16">
        <v>220</v>
      </c>
      <c r="EE224" s="16">
        <v>249</v>
      </c>
      <c r="EF224" s="16">
        <v>164</v>
      </c>
      <c r="EG224" s="16">
        <v>5039</v>
      </c>
      <c r="EH224" s="16">
        <v>265</v>
      </c>
      <c r="EI224" s="16">
        <v>463</v>
      </c>
      <c r="EJ224" s="16">
        <v>107</v>
      </c>
      <c r="EK224" s="16">
        <v>1396</v>
      </c>
      <c r="EL224" s="16">
        <v>520</v>
      </c>
      <c r="EM224" s="16">
        <v>3402</v>
      </c>
      <c r="EN224" s="16">
        <v>4623</v>
      </c>
      <c r="EO224" s="16">
        <v>5496</v>
      </c>
      <c r="EP224" s="16">
        <v>578</v>
      </c>
      <c r="EQ224" s="16">
        <v>6659</v>
      </c>
      <c r="ER224" s="16">
        <v>318</v>
      </c>
      <c r="ES224" s="16">
        <v>1549</v>
      </c>
      <c r="ET224" s="16">
        <v>6154</v>
      </c>
      <c r="EU224" s="16">
        <v>69</v>
      </c>
      <c r="EV224" s="16">
        <v>3679</v>
      </c>
      <c r="EW224" s="16">
        <v>969</v>
      </c>
      <c r="EX224" s="16">
        <v>115065</v>
      </c>
      <c r="EY224" s="16">
        <v>20850</v>
      </c>
      <c r="EZ224" s="16">
        <v>40026</v>
      </c>
      <c r="FA224" s="16">
        <v>8475</v>
      </c>
      <c r="FB224" s="16">
        <v>31580</v>
      </c>
      <c r="FC224" s="16">
        <v>334</v>
      </c>
      <c r="FD224" s="16">
        <v>40842</v>
      </c>
      <c r="FE224" s="16">
        <v>10441</v>
      </c>
      <c r="FF224" s="16">
        <v>17814</v>
      </c>
      <c r="FG224" s="16">
        <v>11533</v>
      </c>
      <c r="FH224" s="16">
        <v>34</v>
      </c>
      <c r="FI224" s="16">
        <v>12221</v>
      </c>
      <c r="FJ224" s="16">
        <v>1273</v>
      </c>
      <c r="FK224" s="16">
        <v>13367</v>
      </c>
      <c r="FL224" s="16">
        <v>1</v>
      </c>
      <c r="FM224" s="16">
        <v>3529</v>
      </c>
      <c r="FN224" s="16">
        <v>28024</v>
      </c>
      <c r="FO224" s="16">
        <v>411</v>
      </c>
      <c r="FP224" s="16">
        <v>25150</v>
      </c>
      <c r="FQ224" s="16">
        <v>28982</v>
      </c>
      <c r="FR224" s="16">
        <v>93139</v>
      </c>
      <c r="FS224" s="16">
        <v>9990</v>
      </c>
      <c r="FT224" s="16">
        <v>31631</v>
      </c>
      <c r="FU224" s="16">
        <v>13665</v>
      </c>
      <c r="FV224" s="16">
        <v>59702</v>
      </c>
      <c r="FW224" s="16">
        <v>414</v>
      </c>
      <c r="FX224" s="16">
        <v>75523</v>
      </c>
      <c r="FY224" s="16">
        <v>4721</v>
      </c>
      <c r="FZ224" s="16">
        <v>36262</v>
      </c>
      <c r="GA224" s="16">
        <v>3658</v>
      </c>
      <c r="GB224" s="16">
        <v>35405</v>
      </c>
      <c r="GC224" s="16">
        <v>1864</v>
      </c>
      <c r="GD224" s="16">
        <v>206638</v>
      </c>
      <c r="GE224" s="16">
        <v>5153</v>
      </c>
      <c r="GF224" s="16">
        <v>18533</v>
      </c>
      <c r="GG224" s="16">
        <v>582</v>
      </c>
      <c r="GH224" s="16">
        <v>4356</v>
      </c>
      <c r="GI224" s="16">
        <v>2797</v>
      </c>
      <c r="GJ224" s="16">
        <v>6172</v>
      </c>
      <c r="GK224" s="16">
        <v>8503</v>
      </c>
      <c r="GL224" s="16">
        <v>25</v>
      </c>
      <c r="GM224" s="16">
        <v>60</v>
      </c>
      <c r="GN224" s="16">
        <v>208</v>
      </c>
      <c r="GO224" s="16">
        <v>779</v>
      </c>
      <c r="GP224" s="16">
        <v>311</v>
      </c>
      <c r="GQ224" s="16">
        <v>677</v>
      </c>
      <c r="GR224" s="16">
        <v>517</v>
      </c>
      <c r="GS224" s="16">
        <v>88</v>
      </c>
      <c r="GT224" s="16">
        <v>281</v>
      </c>
      <c r="GU224" s="16">
        <v>3565</v>
      </c>
      <c r="GV224" s="16">
        <v>15760</v>
      </c>
      <c r="GW224" s="16">
        <v>9027</v>
      </c>
      <c r="GX224" s="16">
        <v>1662</v>
      </c>
      <c r="GY224" s="16">
        <v>29</v>
      </c>
      <c r="GZ224" s="16">
        <v>223194</v>
      </c>
      <c r="HA224" s="16">
        <v>15835</v>
      </c>
      <c r="HB224" s="16">
        <v>8946</v>
      </c>
      <c r="HC224" s="16">
        <v>35480</v>
      </c>
      <c r="HD224" s="16">
        <v>27865</v>
      </c>
      <c r="HE224" s="16">
        <v>543</v>
      </c>
      <c r="HF224" s="16">
        <v>7284</v>
      </c>
      <c r="HG224" s="16">
        <v>5777</v>
      </c>
      <c r="HH224" s="16">
        <v>1696</v>
      </c>
      <c r="HI224" s="16">
        <v>15249</v>
      </c>
      <c r="HJ224" s="16">
        <v>2123</v>
      </c>
      <c r="HK224" s="16">
        <v>1919</v>
      </c>
      <c r="HL224" s="16">
        <v>140946</v>
      </c>
      <c r="HM224" s="16">
        <v>87998</v>
      </c>
      <c r="HN224" s="16">
        <v>169868</v>
      </c>
      <c r="HO224" s="16">
        <v>53568</v>
      </c>
      <c r="HP224" s="16">
        <v>704129</v>
      </c>
      <c r="HQ224" s="16">
        <v>167476</v>
      </c>
      <c r="HR224" s="16">
        <v>35141</v>
      </c>
      <c r="HS224" s="16">
        <v>53878</v>
      </c>
      <c r="HT224" s="16">
        <v>2768</v>
      </c>
      <c r="HU224" s="16">
        <v>72779</v>
      </c>
      <c r="HV224" s="16">
        <v>67420</v>
      </c>
      <c r="HW224" s="16">
        <v>297612</v>
      </c>
      <c r="HX224" s="16">
        <v>167208</v>
      </c>
      <c r="HY224" s="16">
        <v>23282</v>
      </c>
      <c r="HZ224" s="16">
        <v>26987</v>
      </c>
      <c r="IA224" s="16">
        <v>5041</v>
      </c>
      <c r="IB224" s="16">
        <v>13437</v>
      </c>
      <c r="IC224" s="16">
        <v>9360</v>
      </c>
      <c r="ID224" s="16">
        <v>15578</v>
      </c>
      <c r="IE224" s="16">
        <v>2771</v>
      </c>
      <c r="IF224" s="16">
        <v>15505</v>
      </c>
      <c r="IG224" s="16">
        <v>143842</v>
      </c>
      <c r="IH224" s="16">
        <v>272784</v>
      </c>
      <c r="II224" s="16">
        <v>45058</v>
      </c>
      <c r="IJ224" s="16">
        <v>7876</v>
      </c>
      <c r="IK224" s="16">
        <v>53955</v>
      </c>
      <c r="IL224" s="16">
        <v>7447</v>
      </c>
      <c r="IM224" s="16">
        <v>1318</v>
      </c>
      <c r="IN224" s="16">
        <v>41031</v>
      </c>
      <c r="IO224" s="16">
        <v>424656</v>
      </c>
      <c r="IP224" s="16">
        <v>157129</v>
      </c>
      <c r="IQ224" s="16">
        <v>7077</v>
      </c>
      <c r="IR224" s="16">
        <v>22349</v>
      </c>
      <c r="IS224" s="16">
        <v>114277</v>
      </c>
      <c r="IT224" s="16">
        <v>5594</v>
      </c>
      <c r="IU224" s="16">
        <v>64</v>
      </c>
      <c r="IV224" s="16">
        <v>81472</v>
      </c>
      <c r="IW224" s="16">
        <v>5428</v>
      </c>
      <c r="IX224" s="16">
        <v>7041</v>
      </c>
      <c r="IY224" s="16">
        <v>976</v>
      </c>
      <c r="IZ224" s="16">
        <v>26</v>
      </c>
      <c r="JA224" s="16">
        <v>3794</v>
      </c>
      <c r="JB224" s="16">
        <v>213</v>
      </c>
      <c r="JC224" s="16">
        <v>457</v>
      </c>
      <c r="JD224" s="16">
        <v>83</v>
      </c>
      <c r="JE224" s="16">
        <v>2056</v>
      </c>
      <c r="JF224" s="16">
        <v>1722</v>
      </c>
      <c r="JG224" s="16">
        <v>188305</v>
      </c>
      <c r="JH224" s="16">
        <v>19600</v>
      </c>
      <c r="JI224" s="16">
        <v>53</v>
      </c>
      <c r="JJ224" s="16">
        <v>1770</v>
      </c>
      <c r="JK224" s="16">
        <v>10585</v>
      </c>
      <c r="JL224" s="16">
        <v>435</v>
      </c>
      <c r="JM224" s="16">
        <v>7627</v>
      </c>
      <c r="JN224" s="16">
        <v>54763</v>
      </c>
      <c r="JO224" s="16">
        <v>296</v>
      </c>
      <c r="JP224" s="16">
        <v>35520</v>
      </c>
      <c r="JQ224" s="16">
        <v>9458</v>
      </c>
      <c r="JR224" s="16">
        <v>10552</v>
      </c>
      <c r="JS224" s="16">
        <v>2862</v>
      </c>
      <c r="JT224" s="16">
        <v>0</v>
      </c>
      <c r="JU224" s="16">
        <v>31811</v>
      </c>
      <c r="JV224" s="16">
        <v>44881</v>
      </c>
      <c r="JW224" s="16">
        <v>40667</v>
      </c>
      <c r="JX224" s="16">
        <v>14778</v>
      </c>
      <c r="JY224" s="16">
        <v>2105</v>
      </c>
      <c r="JZ224" s="16">
        <v>273</v>
      </c>
      <c r="KA224" s="16">
        <v>1019</v>
      </c>
      <c r="KB224" s="16">
        <v>161</v>
      </c>
      <c r="KC224" s="16">
        <v>230</v>
      </c>
      <c r="KD224" s="16">
        <v>47</v>
      </c>
      <c r="KE224" s="16">
        <v>17</v>
      </c>
      <c r="KF224" s="16">
        <v>1032</v>
      </c>
      <c r="KG224" s="16">
        <v>926</v>
      </c>
      <c r="KH224" s="16">
        <v>4787</v>
      </c>
      <c r="KI224" s="16">
        <v>9583</v>
      </c>
      <c r="KJ224" s="16">
        <v>13</v>
      </c>
      <c r="KK224" s="16">
        <v>8222</v>
      </c>
      <c r="KL224" s="16">
        <v>1049</v>
      </c>
      <c r="KM224" s="16">
        <v>82</v>
      </c>
      <c r="KN224" s="16">
        <v>17758</v>
      </c>
      <c r="KO224" s="16">
        <v>853</v>
      </c>
      <c r="KP224" s="16">
        <v>280</v>
      </c>
      <c r="KQ224" s="16">
        <v>4333</v>
      </c>
      <c r="KR224" s="16">
        <v>2561</v>
      </c>
      <c r="KS224" s="16">
        <v>9</v>
      </c>
      <c r="KT224" s="16">
        <v>13</v>
      </c>
      <c r="KU224" s="16">
        <v>83892</v>
      </c>
      <c r="KV224" s="16">
        <v>33723</v>
      </c>
      <c r="KW224" s="16">
        <v>10768</v>
      </c>
      <c r="KX224" s="16">
        <v>0</v>
      </c>
      <c r="KY224" s="16">
        <v>0</v>
      </c>
      <c r="KZ224" s="16">
        <v>2562</v>
      </c>
      <c r="LA224" s="16">
        <v>103</v>
      </c>
      <c r="LB224" s="16">
        <v>20</v>
      </c>
      <c r="LC224" s="16">
        <v>107</v>
      </c>
      <c r="LD224" s="16">
        <v>0</v>
      </c>
      <c r="LE224" s="16">
        <v>0</v>
      </c>
      <c r="LF224" s="16">
        <v>0</v>
      </c>
      <c r="LG224" s="16">
        <v>0</v>
      </c>
      <c r="LH224" s="16">
        <v>0</v>
      </c>
      <c r="LI224" s="16">
        <v>0</v>
      </c>
      <c r="LJ224" s="16">
        <v>0</v>
      </c>
      <c r="LK224" s="16">
        <v>0</v>
      </c>
      <c r="LL224" s="16">
        <v>0</v>
      </c>
      <c r="LM224" s="16">
        <v>0</v>
      </c>
      <c r="LN224" s="16">
        <v>0</v>
      </c>
      <c r="LO224" s="16">
        <v>59</v>
      </c>
      <c r="LP224" s="16">
        <v>1139</v>
      </c>
      <c r="LQ224" s="16">
        <v>23</v>
      </c>
      <c r="LR224" s="16">
        <v>0</v>
      </c>
      <c r="LS224" s="16">
        <v>0</v>
      </c>
      <c r="LT224" s="16">
        <v>0</v>
      </c>
      <c r="LU224" s="16">
        <v>0</v>
      </c>
      <c r="LV224" s="16">
        <v>0</v>
      </c>
      <c r="LW224" s="16">
        <v>0</v>
      </c>
      <c r="LX224" s="16">
        <v>0</v>
      </c>
      <c r="LY224" s="16">
        <v>0</v>
      </c>
      <c r="LZ224" s="16">
        <v>0</v>
      </c>
      <c r="MA224" s="16">
        <v>0</v>
      </c>
      <c r="MB224" s="16">
        <v>0</v>
      </c>
      <c r="MC224" s="16">
        <v>1158</v>
      </c>
      <c r="MD224" s="16">
        <v>39</v>
      </c>
      <c r="ME224" s="16">
        <v>13</v>
      </c>
      <c r="MF224" s="16">
        <v>122309</v>
      </c>
      <c r="MG224" s="16">
        <v>0</v>
      </c>
      <c r="MH224" s="16">
        <v>0</v>
      </c>
      <c r="MI224" s="16">
        <v>0</v>
      </c>
      <c r="MJ224" s="16">
        <v>0</v>
      </c>
      <c r="MK224" s="16">
        <v>512</v>
      </c>
      <c r="ML224" s="16">
        <v>0</v>
      </c>
      <c r="MM224" s="16">
        <v>421</v>
      </c>
      <c r="MN224" s="16">
        <v>3684</v>
      </c>
      <c r="MO224" s="16">
        <v>0</v>
      </c>
      <c r="MP224" s="16">
        <v>0</v>
      </c>
      <c r="MQ224" s="16">
        <v>1043</v>
      </c>
      <c r="MR224" s="16">
        <v>11236</v>
      </c>
      <c r="MS224" s="16">
        <v>30</v>
      </c>
      <c r="MT224" s="16">
        <v>0</v>
      </c>
      <c r="MU224" s="16">
        <v>335</v>
      </c>
      <c r="MV224" s="16">
        <v>0</v>
      </c>
      <c r="MW224" s="16">
        <v>0</v>
      </c>
      <c r="MX224" s="16">
        <v>0</v>
      </c>
      <c r="MY224" s="16">
        <v>22</v>
      </c>
      <c r="MZ224" s="16">
        <v>476</v>
      </c>
      <c r="NA224" s="16">
        <v>0</v>
      </c>
      <c r="NB224" s="16">
        <v>0</v>
      </c>
      <c r="NC224" s="16">
        <v>5</v>
      </c>
      <c r="ND224" s="16">
        <v>0</v>
      </c>
      <c r="NE224" s="16">
        <v>23</v>
      </c>
      <c r="NF224" s="16">
        <v>177</v>
      </c>
      <c r="NG224" s="16">
        <v>53</v>
      </c>
      <c r="NH224" s="16">
        <v>5</v>
      </c>
      <c r="NI224" s="16">
        <v>0</v>
      </c>
      <c r="NJ224" s="16">
        <v>0</v>
      </c>
      <c r="NK224" s="16">
        <v>10304</v>
      </c>
      <c r="NL224" s="16">
        <v>1078</v>
      </c>
      <c r="NM224" s="16">
        <v>0</v>
      </c>
      <c r="NN224" s="16">
        <v>0</v>
      </c>
      <c r="NO224" s="16">
        <v>0</v>
      </c>
      <c r="NP224" s="16">
        <v>0</v>
      </c>
      <c r="NQ224" s="16">
        <v>40</v>
      </c>
      <c r="NR224" s="17">
        <v>6223145</v>
      </c>
    </row>
    <row r="225" spans="1:382" ht="13.5" customHeight="1" x14ac:dyDescent="0.2">
      <c r="A225" s="2" t="s">
        <v>457</v>
      </c>
      <c r="B225" s="16">
        <v>64</v>
      </c>
      <c r="C225" s="16">
        <v>0</v>
      </c>
      <c r="D225" s="16">
        <v>0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58</v>
      </c>
      <c r="Y225" s="16">
        <v>0</v>
      </c>
      <c r="Z225" s="16">
        <v>178</v>
      </c>
      <c r="AA225" s="16">
        <v>92</v>
      </c>
      <c r="AB225" s="16">
        <v>0</v>
      </c>
      <c r="AC225" s="16">
        <v>0</v>
      </c>
      <c r="AD225" s="16">
        <v>0</v>
      </c>
      <c r="AE225" s="16">
        <v>17</v>
      </c>
      <c r="AF225" s="16">
        <v>0</v>
      </c>
      <c r="AG225" s="16">
        <v>2875</v>
      </c>
      <c r="AH225" s="16">
        <v>337</v>
      </c>
      <c r="AI225" s="16">
        <v>0</v>
      </c>
      <c r="AJ225" s="16">
        <v>0</v>
      </c>
      <c r="AK225" s="16">
        <v>0</v>
      </c>
      <c r="AL225" s="16">
        <v>74</v>
      </c>
      <c r="AM225" s="16">
        <v>342</v>
      </c>
      <c r="AN225" s="16">
        <v>118</v>
      </c>
      <c r="AO225" s="16">
        <v>2562</v>
      </c>
      <c r="AP225" s="16">
        <v>0</v>
      </c>
      <c r="AQ225" s="16">
        <v>0</v>
      </c>
      <c r="AR225" s="16">
        <v>0</v>
      </c>
      <c r="AS225" s="16">
        <v>0</v>
      </c>
      <c r="AT225" s="16">
        <v>0</v>
      </c>
      <c r="AU225" s="16">
        <v>225</v>
      </c>
      <c r="AV225" s="16">
        <v>0</v>
      </c>
      <c r="AW225" s="16">
        <v>23</v>
      </c>
      <c r="AX225" s="16">
        <v>0</v>
      </c>
      <c r="AY225" s="16">
        <v>0</v>
      </c>
      <c r="AZ225" s="16">
        <v>55</v>
      </c>
      <c r="BA225" s="16">
        <v>2407</v>
      </c>
      <c r="BB225" s="16">
        <v>505</v>
      </c>
      <c r="BC225" s="16">
        <v>103</v>
      </c>
      <c r="BD225" s="16">
        <v>0</v>
      </c>
      <c r="BE225" s="16">
        <v>43</v>
      </c>
      <c r="BF225" s="16">
        <v>0</v>
      </c>
      <c r="BG225" s="16">
        <v>0</v>
      </c>
      <c r="BH225" s="16">
        <v>25</v>
      </c>
      <c r="BI225" s="16">
        <v>0</v>
      </c>
      <c r="BJ225" s="16">
        <v>19</v>
      </c>
      <c r="BK225" s="16">
        <v>0</v>
      </c>
      <c r="BL225" s="16">
        <v>0</v>
      </c>
      <c r="BM225" s="16">
        <v>0</v>
      </c>
      <c r="BN225" s="16">
        <v>0</v>
      </c>
      <c r="BO225" s="16">
        <v>277</v>
      </c>
      <c r="BP225" s="16">
        <v>1</v>
      </c>
      <c r="BQ225" s="16">
        <v>7</v>
      </c>
      <c r="BR225" s="16">
        <v>3</v>
      </c>
      <c r="BS225" s="16">
        <v>104</v>
      </c>
      <c r="BT225" s="16">
        <v>0</v>
      </c>
      <c r="BU225" s="16">
        <v>0</v>
      </c>
      <c r="BV225" s="16">
        <v>0</v>
      </c>
      <c r="BW225" s="16">
        <v>0</v>
      </c>
      <c r="BX225" s="16">
        <v>0</v>
      </c>
      <c r="BY225" s="16">
        <v>0</v>
      </c>
      <c r="BZ225" s="16">
        <v>0</v>
      </c>
      <c r="CA225" s="16">
        <v>0</v>
      </c>
      <c r="CB225" s="16">
        <v>0</v>
      </c>
      <c r="CC225" s="16">
        <v>180</v>
      </c>
      <c r="CD225" s="16">
        <v>142</v>
      </c>
      <c r="CE225" s="16">
        <v>736</v>
      </c>
      <c r="CF225" s="16">
        <v>549</v>
      </c>
      <c r="CG225" s="16">
        <v>0</v>
      </c>
      <c r="CH225" s="16">
        <v>0</v>
      </c>
      <c r="CI225" s="16">
        <v>0</v>
      </c>
      <c r="CJ225" s="16">
        <v>158</v>
      </c>
      <c r="CK225" s="16">
        <v>240</v>
      </c>
      <c r="CL225" s="16">
        <v>54</v>
      </c>
      <c r="CM225" s="16">
        <v>0</v>
      </c>
      <c r="CN225" s="16">
        <v>0</v>
      </c>
      <c r="CO225" s="16">
        <v>176</v>
      </c>
      <c r="CP225" s="16">
        <v>0</v>
      </c>
      <c r="CQ225" s="16">
        <v>11</v>
      </c>
      <c r="CR225" s="16">
        <v>131</v>
      </c>
      <c r="CS225" s="16">
        <v>250</v>
      </c>
      <c r="CT225" s="16">
        <v>289</v>
      </c>
      <c r="CU225" s="16">
        <v>489</v>
      </c>
      <c r="CV225" s="16">
        <v>445</v>
      </c>
      <c r="CW225" s="16">
        <v>1058</v>
      </c>
      <c r="CX225" s="16">
        <v>1008</v>
      </c>
      <c r="CY225" s="16">
        <v>449</v>
      </c>
      <c r="CZ225" s="16">
        <v>63</v>
      </c>
      <c r="DA225" s="16">
        <v>0</v>
      </c>
      <c r="DB225" s="16">
        <v>0</v>
      </c>
      <c r="DC225" s="16">
        <v>0</v>
      </c>
      <c r="DD225" s="16">
        <v>0</v>
      </c>
      <c r="DE225" s="16">
        <v>1816</v>
      </c>
      <c r="DF225" s="16">
        <v>1495</v>
      </c>
      <c r="DG225" s="16">
        <v>0</v>
      </c>
      <c r="DH225" s="16">
        <v>23</v>
      </c>
      <c r="DI225" s="16">
        <v>0</v>
      </c>
      <c r="DJ225" s="16">
        <v>1665</v>
      </c>
      <c r="DK225" s="16">
        <v>0</v>
      </c>
      <c r="DL225" s="16">
        <v>545</v>
      </c>
      <c r="DM225" s="16">
        <v>178</v>
      </c>
      <c r="DN225" s="16">
        <v>117</v>
      </c>
      <c r="DO225" s="16">
        <v>0</v>
      </c>
      <c r="DP225" s="16">
        <v>550</v>
      </c>
      <c r="DQ225" s="16">
        <v>0</v>
      </c>
      <c r="DR225" s="16">
        <v>16</v>
      </c>
      <c r="DS225" s="16">
        <v>64</v>
      </c>
      <c r="DT225" s="16">
        <v>153</v>
      </c>
      <c r="DU225" s="16">
        <v>0</v>
      </c>
      <c r="DV225" s="16">
        <v>4</v>
      </c>
      <c r="DW225" s="16">
        <v>248</v>
      </c>
      <c r="DX225" s="16">
        <v>59</v>
      </c>
      <c r="DY225" s="16">
        <v>1411</v>
      </c>
      <c r="DZ225" s="16">
        <v>516</v>
      </c>
      <c r="EA225" s="16">
        <v>192</v>
      </c>
      <c r="EB225" s="16">
        <v>1</v>
      </c>
      <c r="EC225" s="16">
        <v>9</v>
      </c>
      <c r="ED225" s="16">
        <v>0</v>
      </c>
      <c r="EE225" s="16">
        <v>7</v>
      </c>
      <c r="EF225" s="16">
        <v>20</v>
      </c>
      <c r="EG225" s="16">
        <v>219</v>
      </c>
      <c r="EH225" s="16">
        <v>95</v>
      </c>
      <c r="EI225" s="16">
        <v>37</v>
      </c>
      <c r="EJ225" s="16">
        <v>97</v>
      </c>
      <c r="EK225" s="16">
        <v>5</v>
      </c>
      <c r="EL225" s="16">
        <v>33</v>
      </c>
      <c r="EM225" s="16">
        <v>403</v>
      </c>
      <c r="EN225" s="16">
        <v>9300</v>
      </c>
      <c r="EO225" s="16">
        <v>2500</v>
      </c>
      <c r="EP225" s="16">
        <v>88</v>
      </c>
      <c r="EQ225" s="16">
        <v>1094</v>
      </c>
      <c r="ER225" s="16">
        <v>0</v>
      </c>
      <c r="ES225" s="16">
        <v>0</v>
      </c>
      <c r="ET225" s="16">
        <v>574</v>
      </c>
      <c r="EU225" s="16">
        <v>93</v>
      </c>
      <c r="EV225" s="16">
        <v>0</v>
      </c>
      <c r="EW225" s="16">
        <v>27</v>
      </c>
      <c r="EX225" s="16">
        <v>3252</v>
      </c>
      <c r="EY225" s="16">
        <v>153</v>
      </c>
      <c r="EZ225" s="16">
        <v>16</v>
      </c>
      <c r="FA225" s="16">
        <v>22</v>
      </c>
      <c r="FB225" s="16">
        <v>5</v>
      </c>
      <c r="FC225" s="16">
        <v>15</v>
      </c>
      <c r="FD225" s="16">
        <v>1145</v>
      </c>
      <c r="FE225" s="16">
        <v>35</v>
      </c>
      <c r="FF225" s="16">
        <v>41</v>
      </c>
      <c r="FG225" s="16">
        <v>6</v>
      </c>
      <c r="FH225" s="16">
        <v>37</v>
      </c>
      <c r="FI225" s="16">
        <v>121</v>
      </c>
      <c r="FJ225" s="16">
        <v>30</v>
      </c>
      <c r="FK225" s="16">
        <v>0</v>
      </c>
      <c r="FL225" s="16">
        <v>0</v>
      </c>
      <c r="FM225" s="16">
        <v>575</v>
      </c>
      <c r="FN225" s="16">
        <v>285</v>
      </c>
      <c r="FO225" s="16">
        <v>117</v>
      </c>
      <c r="FP225" s="16">
        <v>679</v>
      </c>
      <c r="FQ225" s="16">
        <v>2099</v>
      </c>
      <c r="FR225" s="16">
        <v>4602</v>
      </c>
      <c r="FS225" s="16">
        <v>1084</v>
      </c>
      <c r="FT225" s="16">
        <v>63</v>
      </c>
      <c r="FU225" s="16">
        <v>960</v>
      </c>
      <c r="FV225" s="16">
        <v>4737</v>
      </c>
      <c r="FW225" s="16">
        <v>123</v>
      </c>
      <c r="FX225" s="16">
        <v>3047</v>
      </c>
      <c r="FY225" s="16">
        <v>197</v>
      </c>
      <c r="FZ225" s="16">
        <v>1529</v>
      </c>
      <c r="GA225" s="16">
        <v>333</v>
      </c>
      <c r="GB225" s="16">
        <v>285</v>
      </c>
      <c r="GC225" s="16">
        <v>183</v>
      </c>
      <c r="GD225" s="16">
        <v>374</v>
      </c>
      <c r="GE225" s="16">
        <v>6</v>
      </c>
      <c r="GF225" s="16">
        <v>542</v>
      </c>
      <c r="GG225" s="16">
        <v>399</v>
      </c>
      <c r="GH225" s="16">
        <v>39</v>
      </c>
      <c r="GI225" s="16">
        <v>13</v>
      </c>
      <c r="GJ225" s="16">
        <v>103</v>
      </c>
      <c r="GK225" s="16">
        <v>7</v>
      </c>
      <c r="GL225" s="16">
        <v>0</v>
      </c>
      <c r="GM225" s="16">
        <v>3</v>
      </c>
      <c r="GN225" s="16">
        <v>10</v>
      </c>
      <c r="GO225" s="16">
        <v>9</v>
      </c>
      <c r="GP225" s="16">
        <v>7</v>
      </c>
      <c r="GQ225" s="16">
        <v>16</v>
      </c>
      <c r="GR225" s="16">
        <v>0</v>
      </c>
      <c r="GS225" s="16">
        <v>10</v>
      </c>
      <c r="GT225" s="16">
        <v>1</v>
      </c>
      <c r="GU225" s="16">
        <v>19</v>
      </c>
      <c r="GV225" s="16">
        <v>7</v>
      </c>
      <c r="GW225" s="16">
        <v>165</v>
      </c>
      <c r="GX225" s="16">
        <v>6</v>
      </c>
      <c r="GY225" s="16">
        <v>0</v>
      </c>
      <c r="GZ225" s="16">
        <v>147</v>
      </c>
      <c r="HA225" s="16">
        <v>66</v>
      </c>
      <c r="HB225" s="16">
        <v>58</v>
      </c>
      <c r="HC225" s="16">
        <v>60</v>
      </c>
      <c r="HD225" s="16">
        <v>124</v>
      </c>
      <c r="HE225" s="16">
        <v>52</v>
      </c>
      <c r="HF225" s="16">
        <v>36</v>
      </c>
      <c r="HG225" s="16">
        <v>198</v>
      </c>
      <c r="HH225" s="16">
        <v>13</v>
      </c>
      <c r="HI225" s="16">
        <v>16</v>
      </c>
      <c r="HJ225" s="16">
        <v>12</v>
      </c>
      <c r="HK225" s="16">
        <v>50</v>
      </c>
      <c r="HL225" s="16">
        <v>42</v>
      </c>
      <c r="HM225" s="16">
        <v>350</v>
      </c>
      <c r="HN225" s="16">
        <v>473</v>
      </c>
      <c r="HO225" s="16">
        <v>864</v>
      </c>
      <c r="HP225" s="16">
        <v>13</v>
      </c>
      <c r="HQ225" s="16">
        <v>3304129</v>
      </c>
      <c r="HR225" s="16">
        <v>170</v>
      </c>
      <c r="HS225" s="16">
        <v>229</v>
      </c>
      <c r="HT225" s="16">
        <v>0</v>
      </c>
      <c r="HU225" s="16">
        <v>668</v>
      </c>
      <c r="HV225" s="16">
        <v>338</v>
      </c>
      <c r="HW225" s="16">
        <v>218</v>
      </c>
      <c r="HX225" s="16">
        <v>496</v>
      </c>
      <c r="HY225" s="16">
        <v>1043</v>
      </c>
      <c r="HZ225" s="16">
        <v>18070</v>
      </c>
      <c r="IA225" s="16">
        <v>21335</v>
      </c>
      <c r="IB225" s="16">
        <v>7</v>
      </c>
      <c r="IC225" s="16">
        <v>6</v>
      </c>
      <c r="ID225" s="16">
        <v>2004</v>
      </c>
      <c r="IE225" s="16">
        <v>7</v>
      </c>
      <c r="IF225" s="16">
        <v>145</v>
      </c>
      <c r="IG225" s="16">
        <v>4111</v>
      </c>
      <c r="IH225" s="16">
        <v>1350</v>
      </c>
      <c r="II225" s="16">
        <v>177</v>
      </c>
      <c r="IJ225" s="16">
        <v>103</v>
      </c>
      <c r="IK225" s="16">
        <v>825</v>
      </c>
      <c r="IL225" s="16">
        <v>542</v>
      </c>
      <c r="IM225" s="16">
        <v>56</v>
      </c>
      <c r="IN225" s="16">
        <v>154</v>
      </c>
      <c r="IO225" s="16">
        <v>1087</v>
      </c>
      <c r="IP225" s="16">
        <v>218236</v>
      </c>
      <c r="IQ225" s="16">
        <v>17868</v>
      </c>
      <c r="IR225" s="16">
        <v>9966</v>
      </c>
      <c r="IS225" s="16">
        <v>45</v>
      </c>
      <c r="IT225" s="16">
        <v>75</v>
      </c>
      <c r="IU225" s="16">
        <v>0</v>
      </c>
      <c r="IV225" s="16">
        <v>306</v>
      </c>
      <c r="IW225" s="16">
        <v>127</v>
      </c>
      <c r="IX225" s="16">
        <v>214</v>
      </c>
      <c r="IY225" s="16">
        <v>125</v>
      </c>
      <c r="IZ225" s="16">
        <v>0</v>
      </c>
      <c r="JA225" s="16">
        <v>0</v>
      </c>
      <c r="JB225" s="16">
        <v>0</v>
      </c>
      <c r="JC225" s="16">
        <v>0</v>
      </c>
      <c r="JD225" s="16">
        <v>0</v>
      </c>
      <c r="JE225" s="16">
        <v>0</v>
      </c>
      <c r="JF225" s="16">
        <v>0</v>
      </c>
      <c r="JG225" s="16">
        <v>32811</v>
      </c>
      <c r="JH225" s="16">
        <v>187979</v>
      </c>
      <c r="JI225" s="16">
        <v>131</v>
      </c>
      <c r="JJ225" s="16">
        <v>5542</v>
      </c>
      <c r="JK225" s="16">
        <v>132</v>
      </c>
      <c r="JL225" s="16">
        <v>0</v>
      </c>
      <c r="JM225" s="16">
        <v>0</v>
      </c>
      <c r="JN225" s="16">
        <v>0</v>
      </c>
      <c r="JO225" s="16">
        <v>226</v>
      </c>
      <c r="JP225" s="16">
        <v>5922</v>
      </c>
      <c r="JQ225" s="16">
        <v>0</v>
      </c>
      <c r="JR225" s="16">
        <v>9711</v>
      </c>
      <c r="JS225" s="16">
        <v>1714</v>
      </c>
      <c r="JT225" s="16">
        <v>0</v>
      </c>
      <c r="JU225" s="16">
        <v>6230</v>
      </c>
      <c r="JV225" s="16">
        <v>889</v>
      </c>
      <c r="JW225" s="16">
        <v>2319446</v>
      </c>
      <c r="JX225" s="16">
        <v>1579734</v>
      </c>
      <c r="JY225" s="16">
        <v>199127</v>
      </c>
      <c r="JZ225" s="16">
        <v>43649</v>
      </c>
      <c r="KA225" s="16">
        <v>56936</v>
      </c>
      <c r="KB225" s="16">
        <v>3614</v>
      </c>
      <c r="KC225" s="16">
        <v>5494</v>
      </c>
      <c r="KD225" s="16">
        <v>1777</v>
      </c>
      <c r="KE225" s="16">
        <v>316</v>
      </c>
      <c r="KF225" s="16">
        <v>4726</v>
      </c>
      <c r="KG225" s="16">
        <v>15528</v>
      </c>
      <c r="KH225" s="16">
        <v>4836</v>
      </c>
      <c r="KI225" s="16">
        <v>112924</v>
      </c>
      <c r="KJ225" s="16">
        <v>16350</v>
      </c>
      <c r="KK225" s="16">
        <v>109330</v>
      </c>
      <c r="KL225" s="16">
        <v>0</v>
      </c>
      <c r="KM225" s="16">
        <v>233</v>
      </c>
      <c r="KN225" s="16">
        <v>33</v>
      </c>
      <c r="KO225" s="16">
        <v>1159</v>
      </c>
      <c r="KP225" s="16">
        <v>109752</v>
      </c>
      <c r="KQ225" s="16">
        <v>28939</v>
      </c>
      <c r="KR225" s="16">
        <v>1660</v>
      </c>
      <c r="KS225" s="16">
        <v>7290</v>
      </c>
      <c r="KT225" s="16">
        <v>2862</v>
      </c>
      <c r="KU225" s="16">
        <v>132211</v>
      </c>
      <c r="KV225" s="16">
        <v>106901</v>
      </c>
      <c r="KW225" s="16">
        <v>414</v>
      </c>
      <c r="KX225" s="16">
        <v>5</v>
      </c>
      <c r="KY225" s="16">
        <v>11671</v>
      </c>
      <c r="KZ225" s="16">
        <v>3487</v>
      </c>
      <c r="LA225" s="16">
        <v>0</v>
      </c>
      <c r="LB225" s="16">
        <v>0</v>
      </c>
      <c r="LC225" s="16">
        <v>0</v>
      </c>
      <c r="LD225" s="16">
        <v>2921</v>
      </c>
      <c r="LE225" s="16">
        <v>78</v>
      </c>
      <c r="LF225" s="16">
        <v>27</v>
      </c>
      <c r="LG225" s="16">
        <v>8</v>
      </c>
      <c r="LH225" s="16">
        <v>0</v>
      </c>
      <c r="LI225" s="16">
        <v>0</v>
      </c>
      <c r="LJ225" s="16">
        <v>0</v>
      </c>
      <c r="LK225" s="16">
        <v>0</v>
      </c>
      <c r="LL225" s="16">
        <v>0</v>
      </c>
      <c r="LM225" s="16">
        <v>0</v>
      </c>
      <c r="LN225" s="16">
        <v>0</v>
      </c>
      <c r="LO225" s="16">
        <v>111</v>
      </c>
      <c r="LP225" s="16">
        <v>568</v>
      </c>
      <c r="LQ225" s="16">
        <v>123</v>
      </c>
      <c r="LR225" s="16">
        <v>254</v>
      </c>
      <c r="LS225" s="16">
        <v>0</v>
      </c>
      <c r="LT225" s="16">
        <v>1412</v>
      </c>
      <c r="LU225" s="16">
        <v>0</v>
      </c>
      <c r="LV225" s="16">
        <v>0</v>
      </c>
      <c r="LW225" s="16">
        <v>102</v>
      </c>
      <c r="LX225" s="16">
        <v>1902</v>
      </c>
      <c r="LY225" s="16">
        <v>0</v>
      </c>
      <c r="LZ225" s="16">
        <v>15585</v>
      </c>
      <c r="MA225" s="16">
        <v>2894</v>
      </c>
      <c r="MB225" s="16">
        <v>14021</v>
      </c>
      <c r="MC225" s="16">
        <v>531</v>
      </c>
      <c r="MD225" s="16">
        <v>0</v>
      </c>
      <c r="ME225" s="16">
        <v>0</v>
      </c>
      <c r="MF225" s="16">
        <v>31883</v>
      </c>
      <c r="MG225" s="16">
        <v>0</v>
      </c>
      <c r="MH225" s="16">
        <v>7711</v>
      </c>
      <c r="MI225" s="16">
        <v>0</v>
      </c>
      <c r="MJ225" s="16">
        <v>0</v>
      </c>
      <c r="MK225" s="16">
        <v>72</v>
      </c>
      <c r="ML225" s="16">
        <v>56</v>
      </c>
      <c r="MM225" s="16">
        <v>2354</v>
      </c>
      <c r="MN225" s="16">
        <v>5934</v>
      </c>
      <c r="MO225" s="16">
        <v>1634</v>
      </c>
      <c r="MP225" s="16">
        <v>967</v>
      </c>
      <c r="MQ225" s="16">
        <v>3811</v>
      </c>
      <c r="MR225" s="16">
        <v>137997</v>
      </c>
      <c r="MS225" s="16">
        <v>133140</v>
      </c>
      <c r="MT225" s="16">
        <v>4489</v>
      </c>
      <c r="MU225" s="16">
        <v>12125</v>
      </c>
      <c r="MV225" s="16">
        <v>8415</v>
      </c>
      <c r="MW225" s="16">
        <v>89919</v>
      </c>
      <c r="MX225" s="16">
        <v>6966</v>
      </c>
      <c r="MY225" s="16">
        <v>2380</v>
      </c>
      <c r="MZ225" s="16">
        <v>55957</v>
      </c>
      <c r="NA225" s="16">
        <v>32767</v>
      </c>
      <c r="NB225" s="16">
        <v>0</v>
      </c>
      <c r="NC225" s="16">
        <v>65800</v>
      </c>
      <c r="ND225" s="16">
        <v>278</v>
      </c>
      <c r="NE225" s="16">
        <v>0</v>
      </c>
      <c r="NF225" s="16">
        <v>0</v>
      </c>
      <c r="NG225" s="16">
        <v>931</v>
      </c>
      <c r="NH225" s="16">
        <v>245</v>
      </c>
      <c r="NI225" s="16">
        <v>0</v>
      </c>
      <c r="NJ225" s="16">
        <v>0</v>
      </c>
      <c r="NK225" s="16">
        <v>479</v>
      </c>
      <c r="NL225" s="16">
        <v>118</v>
      </c>
      <c r="NM225" s="16">
        <v>0</v>
      </c>
      <c r="NN225" s="16">
        <v>0</v>
      </c>
      <c r="NO225" s="16">
        <v>0</v>
      </c>
      <c r="NP225" s="16">
        <v>0</v>
      </c>
      <c r="NQ225" s="16">
        <v>56</v>
      </c>
      <c r="NR225" s="17">
        <v>9453626</v>
      </c>
    </row>
    <row r="226" spans="1:382" ht="13.5" customHeight="1" x14ac:dyDescent="0.2">
      <c r="A226" s="2" t="s">
        <v>459</v>
      </c>
      <c r="B226" s="16">
        <v>0</v>
      </c>
      <c r="C226" s="16">
        <v>0</v>
      </c>
      <c r="D226" s="1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1744</v>
      </c>
      <c r="R226" s="16">
        <v>109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1504</v>
      </c>
      <c r="Y226" s="16">
        <v>4531</v>
      </c>
      <c r="Z226" s="16">
        <v>13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938</v>
      </c>
      <c r="AH226" s="16">
        <v>0</v>
      </c>
      <c r="AI226" s="16">
        <v>0</v>
      </c>
      <c r="AJ226" s="16">
        <v>0</v>
      </c>
      <c r="AK226" s="16">
        <v>28759</v>
      </c>
      <c r="AL226" s="16">
        <v>8200</v>
      </c>
      <c r="AM226" s="16">
        <v>80</v>
      </c>
      <c r="AN226" s="16">
        <v>2662</v>
      </c>
      <c r="AO226" s="16">
        <v>36</v>
      </c>
      <c r="AP226" s="16">
        <v>0</v>
      </c>
      <c r="AQ226" s="16">
        <v>0</v>
      </c>
      <c r="AR226" s="16">
        <v>0</v>
      </c>
      <c r="AS226" s="16">
        <v>0</v>
      </c>
      <c r="AT226" s="16">
        <v>419</v>
      </c>
      <c r="AU226" s="16">
        <v>10984</v>
      </c>
      <c r="AV226" s="16">
        <v>79</v>
      </c>
      <c r="AW226" s="16">
        <v>5142</v>
      </c>
      <c r="AX226" s="16">
        <v>0</v>
      </c>
      <c r="AY226" s="16">
        <v>38819</v>
      </c>
      <c r="AZ226" s="16">
        <v>7221</v>
      </c>
      <c r="BA226" s="16">
        <v>13676</v>
      </c>
      <c r="BB226" s="16">
        <v>1741</v>
      </c>
      <c r="BC226" s="16">
        <v>31</v>
      </c>
      <c r="BD226" s="16">
        <v>0</v>
      </c>
      <c r="BE226" s="16">
        <v>0</v>
      </c>
      <c r="BF226" s="16">
        <v>0</v>
      </c>
      <c r="BG226" s="16">
        <v>0</v>
      </c>
      <c r="BH226" s="16">
        <v>15864</v>
      </c>
      <c r="BI226" s="16">
        <v>0</v>
      </c>
      <c r="BJ226" s="16">
        <v>92</v>
      </c>
      <c r="BK226" s="16">
        <v>0</v>
      </c>
      <c r="BL226" s="16">
        <v>362</v>
      </c>
      <c r="BM226" s="16">
        <v>0</v>
      </c>
      <c r="BN226" s="16">
        <v>0</v>
      </c>
      <c r="BO226" s="16">
        <v>550</v>
      </c>
      <c r="BP226" s="16">
        <v>36</v>
      </c>
      <c r="BQ226" s="16">
        <v>997</v>
      </c>
      <c r="BR226" s="16">
        <v>20</v>
      </c>
      <c r="BS226" s="16">
        <v>422</v>
      </c>
      <c r="BT226" s="16">
        <v>0</v>
      </c>
      <c r="BU226" s="16">
        <v>0</v>
      </c>
      <c r="BV226" s="16">
        <v>0</v>
      </c>
      <c r="BW226" s="16">
        <v>144</v>
      </c>
      <c r="BX226" s="16">
        <v>0</v>
      </c>
      <c r="BY226" s="16">
        <v>0</v>
      </c>
      <c r="BZ226" s="16">
        <v>0</v>
      </c>
      <c r="CA226" s="16">
        <v>101</v>
      </c>
      <c r="CB226" s="16">
        <v>0</v>
      </c>
      <c r="CC226" s="16">
        <v>0</v>
      </c>
      <c r="CD226" s="16">
        <v>0</v>
      </c>
      <c r="CE226" s="16">
        <v>3</v>
      </c>
      <c r="CF226" s="16">
        <v>821</v>
      </c>
      <c r="CG226" s="16">
        <v>27</v>
      </c>
      <c r="CH226" s="16">
        <v>0</v>
      </c>
      <c r="CI226" s="16">
        <v>0</v>
      </c>
      <c r="CJ226" s="16">
        <v>0</v>
      </c>
      <c r="CK226" s="16">
        <v>169</v>
      </c>
      <c r="CL226" s="16">
        <v>2214</v>
      </c>
      <c r="CM226" s="16">
        <v>0</v>
      </c>
      <c r="CN226" s="16">
        <v>0</v>
      </c>
      <c r="CO226" s="16">
        <v>267</v>
      </c>
      <c r="CP226" s="16">
        <v>0</v>
      </c>
      <c r="CQ226" s="16">
        <v>706</v>
      </c>
      <c r="CR226" s="16">
        <v>82</v>
      </c>
      <c r="CS226" s="16">
        <v>1967</v>
      </c>
      <c r="CT226" s="16">
        <v>4787</v>
      </c>
      <c r="CU226" s="16">
        <v>2487</v>
      </c>
      <c r="CV226" s="16">
        <v>4756</v>
      </c>
      <c r="CW226" s="16">
        <v>17214</v>
      </c>
      <c r="CX226" s="16">
        <v>34461</v>
      </c>
      <c r="CY226" s="16">
        <v>1804</v>
      </c>
      <c r="CZ226" s="16">
        <v>198</v>
      </c>
      <c r="DA226" s="16">
        <v>38</v>
      </c>
      <c r="DB226" s="16">
        <v>24688</v>
      </c>
      <c r="DC226" s="16">
        <v>1050</v>
      </c>
      <c r="DD226" s="16">
        <v>29857</v>
      </c>
      <c r="DE226" s="16">
        <v>9775</v>
      </c>
      <c r="DF226" s="16">
        <v>1267</v>
      </c>
      <c r="DG226" s="16">
        <v>1153</v>
      </c>
      <c r="DH226" s="16">
        <v>436</v>
      </c>
      <c r="DI226" s="16">
        <v>126</v>
      </c>
      <c r="DJ226" s="16">
        <v>16647</v>
      </c>
      <c r="DK226" s="16">
        <v>0</v>
      </c>
      <c r="DL226" s="16">
        <v>1657</v>
      </c>
      <c r="DM226" s="16">
        <v>2451</v>
      </c>
      <c r="DN226" s="16">
        <v>0</v>
      </c>
      <c r="DO226" s="16">
        <v>0</v>
      </c>
      <c r="DP226" s="16">
        <v>0</v>
      </c>
      <c r="DQ226" s="16">
        <v>0</v>
      </c>
      <c r="DR226" s="16">
        <v>0</v>
      </c>
      <c r="DS226" s="16">
        <v>6214</v>
      </c>
      <c r="DT226" s="16">
        <v>142</v>
      </c>
      <c r="DU226" s="16">
        <v>0</v>
      </c>
      <c r="DV226" s="16">
        <v>164</v>
      </c>
      <c r="DW226" s="16">
        <v>215</v>
      </c>
      <c r="DX226" s="16">
        <v>1268</v>
      </c>
      <c r="DY226" s="16">
        <v>3038</v>
      </c>
      <c r="DZ226" s="16">
        <v>2968</v>
      </c>
      <c r="EA226" s="16">
        <v>1355</v>
      </c>
      <c r="EB226" s="16">
        <v>1</v>
      </c>
      <c r="EC226" s="16">
        <v>14</v>
      </c>
      <c r="ED226" s="16">
        <v>0</v>
      </c>
      <c r="EE226" s="16">
        <v>23</v>
      </c>
      <c r="EF226" s="16">
        <v>17</v>
      </c>
      <c r="EG226" s="16">
        <v>545</v>
      </c>
      <c r="EH226" s="16">
        <v>151</v>
      </c>
      <c r="EI226" s="16">
        <v>0</v>
      </c>
      <c r="EJ226" s="16">
        <v>828</v>
      </c>
      <c r="EK226" s="16">
        <v>25</v>
      </c>
      <c r="EL226" s="16">
        <v>147</v>
      </c>
      <c r="EM226" s="16">
        <v>209</v>
      </c>
      <c r="EN226" s="16">
        <v>2319</v>
      </c>
      <c r="EO226" s="16">
        <v>1773</v>
      </c>
      <c r="EP226" s="16">
        <v>231</v>
      </c>
      <c r="EQ226" s="16">
        <v>949</v>
      </c>
      <c r="ER226" s="16">
        <v>76</v>
      </c>
      <c r="ES226" s="16">
        <v>280</v>
      </c>
      <c r="ET226" s="16">
        <v>669</v>
      </c>
      <c r="EU226" s="16">
        <v>117</v>
      </c>
      <c r="EV226" s="16">
        <v>244</v>
      </c>
      <c r="EW226" s="16">
        <v>28</v>
      </c>
      <c r="EX226" s="16">
        <v>999</v>
      </c>
      <c r="EY226" s="16">
        <v>95</v>
      </c>
      <c r="EZ226" s="16">
        <v>6</v>
      </c>
      <c r="FA226" s="16">
        <v>30</v>
      </c>
      <c r="FB226" s="16">
        <v>0</v>
      </c>
      <c r="FC226" s="16">
        <v>50</v>
      </c>
      <c r="FD226" s="16">
        <v>1451</v>
      </c>
      <c r="FE226" s="16">
        <v>96</v>
      </c>
      <c r="FF226" s="16">
        <v>25</v>
      </c>
      <c r="FG226" s="16">
        <v>679</v>
      </c>
      <c r="FH226" s="16">
        <v>0</v>
      </c>
      <c r="FI226" s="16">
        <v>122</v>
      </c>
      <c r="FJ226" s="16">
        <v>24</v>
      </c>
      <c r="FK226" s="16">
        <v>0</v>
      </c>
      <c r="FL226" s="16">
        <v>31</v>
      </c>
      <c r="FM226" s="16">
        <v>119</v>
      </c>
      <c r="FN226" s="16">
        <v>1648</v>
      </c>
      <c r="FO226" s="16">
        <v>446</v>
      </c>
      <c r="FP226" s="16">
        <v>2236</v>
      </c>
      <c r="FQ226" s="16">
        <v>757</v>
      </c>
      <c r="FR226" s="16">
        <v>2598</v>
      </c>
      <c r="FS226" s="16">
        <v>6981</v>
      </c>
      <c r="FT226" s="16">
        <v>20796</v>
      </c>
      <c r="FU226" s="16">
        <v>1323</v>
      </c>
      <c r="FV226" s="16">
        <v>8065</v>
      </c>
      <c r="FW226" s="16">
        <v>945</v>
      </c>
      <c r="FX226" s="16">
        <v>576</v>
      </c>
      <c r="FY226" s="16">
        <v>521</v>
      </c>
      <c r="FZ226" s="16">
        <v>3606</v>
      </c>
      <c r="GA226" s="16">
        <v>213</v>
      </c>
      <c r="GB226" s="16">
        <v>2942</v>
      </c>
      <c r="GC226" s="16">
        <v>1935</v>
      </c>
      <c r="GD226" s="16">
        <v>1815</v>
      </c>
      <c r="GE226" s="16">
        <v>0</v>
      </c>
      <c r="GF226" s="16">
        <v>8060</v>
      </c>
      <c r="GG226" s="16">
        <v>78</v>
      </c>
      <c r="GH226" s="16">
        <v>0</v>
      </c>
      <c r="GI226" s="16">
        <v>9</v>
      </c>
      <c r="GJ226" s="16">
        <v>1731</v>
      </c>
      <c r="GK226" s="16">
        <v>0</v>
      </c>
      <c r="GL226" s="16">
        <v>0</v>
      </c>
      <c r="GM226" s="16">
        <v>0</v>
      </c>
      <c r="GN226" s="16">
        <v>17</v>
      </c>
      <c r="GO226" s="16">
        <v>0</v>
      </c>
      <c r="GP226" s="16">
        <v>0</v>
      </c>
      <c r="GQ226" s="16">
        <v>0</v>
      </c>
      <c r="GR226" s="16">
        <v>0</v>
      </c>
      <c r="GS226" s="16">
        <v>0</v>
      </c>
      <c r="GT226" s="16">
        <v>0</v>
      </c>
      <c r="GU226" s="16">
        <v>0</v>
      </c>
      <c r="GV226" s="16">
        <v>1044</v>
      </c>
      <c r="GW226" s="16">
        <v>67</v>
      </c>
      <c r="GX226" s="16">
        <v>0</v>
      </c>
      <c r="GY226" s="16">
        <v>0</v>
      </c>
      <c r="GZ226" s="16">
        <v>131</v>
      </c>
      <c r="HA226" s="16">
        <v>0</v>
      </c>
      <c r="HB226" s="16">
        <v>0</v>
      </c>
      <c r="HC226" s="16">
        <v>8</v>
      </c>
      <c r="HD226" s="16">
        <v>0</v>
      </c>
      <c r="HE226" s="16">
        <v>0</v>
      </c>
      <c r="HF226" s="16">
        <v>537</v>
      </c>
      <c r="HG226" s="16">
        <v>485691</v>
      </c>
      <c r="HH226" s="16">
        <v>0</v>
      </c>
      <c r="HI226" s="16">
        <v>0</v>
      </c>
      <c r="HJ226" s="16">
        <v>0</v>
      </c>
      <c r="HK226" s="16">
        <v>0</v>
      </c>
      <c r="HL226" s="16">
        <v>6773</v>
      </c>
      <c r="HM226" s="16">
        <v>682</v>
      </c>
      <c r="HN226" s="16">
        <v>5572</v>
      </c>
      <c r="HO226" s="16">
        <v>772</v>
      </c>
      <c r="HP226" s="16">
        <v>1709</v>
      </c>
      <c r="HQ226" s="16">
        <v>69565</v>
      </c>
      <c r="HR226" s="16">
        <v>4093168</v>
      </c>
      <c r="HS226" s="16">
        <v>31871</v>
      </c>
      <c r="HT226" s="16">
        <v>51</v>
      </c>
      <c r="HU226" s="16">
        <v>25167</v>
      </c>
      <c r="HV226" s="16">
        <v>3375</v>
      </c>
      <c r="HW226" s="16">
        <v>4817</v>
      </c>
      <c r="HX226" s="16">
        <v>7789</v>
      </c>
      <c r="HY226" s="16">
        <v>1001</v>
      </c>
      <c r="HZ226" s="16">
        <v>7855</v>
      </c>
      <c r="IA226" s="16">
        <v>8862</v>
      </c>
      <c r="IB226" s="16">
        <v>231</v>
      </c>
      <c r="IC226" s="16">
        <v>2704</v>
      </c>
      <c r="ID226" s="16">
        <v>1793</v>
      </c>
      <c r="IE226" s="16">
        <v>15</v>
      </c>
      <c r="IF226" s="16">
        <v>1133</v>
      </c>
      <c r="IG226" s="16">
        <v>11119</v>
      </c>
      <c r="IH226" s="16">
        <v>2198791</v>
      </c>
      <c r="II226" s="16">
        <v>320499</v>
      </c>
      <c r="IJ226" s="16">
        <v>179585</v>
      </c>
      <c r="IK226" s="16">
        <v>205199</v>
      </c>
      <c r="IL226" s="16">
        <v>116360</v>
      </c>
      <c r="IM226" s="16">
        <v>18198</v>
      </c>
      <c r="IN226" s="16">
        <v>516</v>
      </c>
      <c r="IO226" s="16">
        <v>15636</v>
      </c>
      <c r="IP226" s="16">
        <v>3824</v>
      </c>
      <c r="IQ226" s="16">
        <v>326</v>
      </c>
      <c r="IR226" s="16">
        <v>869</v>
      </c>
      <c r="IS226" s="16">
        <v>8100</v>
      </c>
      <c r="IT226" s="16">
        <v>4417</v>
      </c>
      <c r="IU226" s="16">
        <v>17</v>
      </c>
      <c r="IV226" s="16">
        <v>597</v>
      </c>
      <c r="IW226" s="16">
        <v>1228</v>
      </c>
      <c r="IX226" s="16">
        <v>229</v>
      </c>
      <c r="IY226" s="16">
        <v>1217</v>
      </c>
      <c r="IZ226" s="16">
        <v>0</v>
      </c>
      <c r="JA226" s="16">
        <v>324</v>
      </c>
      <c r="JB226" s="16">
        <v>0</v>
      </c>
      <c r="JC226" s="16">
        <v>0</v>
      </c>
      <c r="JD226" s="16">
        <v>134</v>
      </c>
      <c r="JE226" s="16">
        <v>13</v>
      </c>
      <c r="JF226" s="16">
        <v>565</v>
      </c>
      <c r="JG226" s="16">
        <v>32227</v>
      </c>
      <c r="JH226" s="16">
        <v>81514</v>
      </c>
      <c r="JI226" s="16">
        <v>0</v>
      </c>
      <c r="JJ226" s="16">
        <v>2413</v>
      </c>
      <c r="JK226" s="16">
        <v>396</v>
      </c>
      <c r="JL226" s="16">
        <v>0</v>
      </c>
      <c r="JM226" s="16">
        <v>0</v>
      </c>
      <c r="JN226" s="16">
        <v>0</v>
      </c>
      <c r="JO226" s="16">
        <v>0</v>
      </c>
      <c r="JP226" s="16">
        <v>8176</v>
      </c>
      <c r="JQ226" s="16">
        <v>0</v>
      </c>
      <c r="JR226" s="16">
        <v>9680</v>
      </c>
      <c r="JS226" s="16">
        <v>2174</v>
      </c>
      <c r="JT226" s="16">
        <v>0</v>
      </c>
      <c r="JU226" s="16">
        <v>933</v>
      </c>
      <c r="JV226" s="16">
        <v>2516</v>
      </c>
      <c r="JW226" s="16">
        <v>557833</v>
      </c>
      <c r="JX226" s="16">
        <v>1751402</v>
      </c>
      <c r="JY226" s="16">
        <v>139333</v>
      </c>
      <c r="JZ226" s="16">
        <v>29178</v>
      </c>
      <c r="KA226" s="16">
        <v>52971</v>
      </c>
      <c r="KB226" s="16">
        <v>6652</v>
      </c>
      <c r="KC226" s="16">
        <v>7741</v>
      </c>
      <c r="KD226" s="16">
        <v>17982</v>
      </c>
      <c r="KE226" s="16">
        <v>2286</v>
      </c>
      <c r="KF226" s="16">
        <v>10256</v>
      </c>
      <c r="KG226" s="16">
        <v>16309</v>
      </c>
      <c r="KH226" s="16">
        <v>21227</v>
      </c>
      <c r="KI226" s="16">
        <v>277540</v>
      </c>
      <c r="KJ226" s="16">
        <v>84929</v>
      </c>
      <c r="KK226" s="16">
        <v>291356</v>
      </c>
      <c r="KL226" s="16">
        <v>30</v>
      </c>
      <c r="KM226" s="16">
        <v>1663</v>
      </c>
      <c r="KN226" s="16">
        <v>744</v>
      </c>
      <c r="KO226" s="16">
        <v>1250</v>
      </c>
      <c r="KP226" s="16">
        <v>17</v>
      </c>
      <c r="KQ226" s="16">
        <v>15</v>
      </c>
      <c r="KR226" s="16">
        <v>3459</v>
      </c>
      <c r="KS226" s="16">
        <v>926</v>
      </c>
      <c r="KT226" s="16">
        <v>404</v>
      </c>
      <c r="KU226" s="16">
        <v>587</v>
      </c>
      <c r="KV226" s="16">
        <v>15618</v>
      </c>
      <c r="KW226" s="16">
        <v>5751</v>
      </c>
      <c r="KX226" s="16">
        <v>15</v>
      </c>
      <c r="KY226" s="16">
        <v>20264</v>
      </c>
      <c r="KZ226" s="16">
        <v>60922</v>
      </c>
      <c r="LA226" s="16">
        <v>25158</v>
      </c>
      <c r="LB226" s="16">
        <v>7313</v>
      </c>
      <c r="LC226" s="16">
        <v>27932</v>
      </c>
      <c r="LD226" s="16">
        <v>25836</v>
      </c>
      <c r="LE226" s="16">
        <v>1237</v>
      </c>
      <c r="LF226" s="16">
        <v>934</v>
      </c>
      <c r="LG226" s="16">
        <v>359</v>
      </c>
      <c r="LH226" s="16">
        <v>842</v>
      </c>
      <c r="LI226" s="16">
        <v>3</v>
      </c>
      <c r="LJ226" s="16">
        <v>128</v>
      </c>
      <c r="LK226" s="16">
        <v>3466</v>
      </c>
      <c r="LL226" s="16">
        <v>152</v>
      </c>
      <c r="LM226" s="16">
        <v>2479</v>
      </c>
      <c r="LN226" s="16">
        <v>20158</v>
      </c>
      <c r="LO226" s="16">
        <v>86</v>
      </c>
      <c r="LP226" s="16">
        <v>2136</v>
      </c>
      <c r="LQ226" s="16">
        <v>7070</v>
      </c>
      <c r="LR226" s="16">
        <v>1822</v>
      </c>
      <c r="LS226" s="16">
        <v>1199</v>
      </c>
      <c r="LT226" s="16">
        <v>2383</v>
      </c>
      <c r="LU226" s="16">
        <v>1320</v>
      </c>
      <c r="LV226" s="16">
        <v>27</v>
      </c>
      <c r="LW226" s="16">
        <v>916</v>
      </c>
      <c r="LX226" s="16">
        <v>1160</v>
      </c>
      <c r="LY226" s="16">
        <v>96858</v>
      </c>
      <c r="LZ226" s="16">
        <v>80677</v>
      </c>
      <c r="MA226" s="16">
        <v>323</v>
      </c>
      <c r="MB226" s="16">
        <v>22286</v>
      </c>
      <c r="MC226" s="16">
        <v>1282</v>
      </c>
      <c r="MD226" s="16">
        <v>1356</v>
      </c>
      <c r="ME226" s="16">
        <v>1826</v>
      </c>
      <c r="MF226" s="16">
        <v>6153</v>
      </c>
      <c r="MG226" s="16">
        <v>3275</v>
      </c>
      <c r="MH226" s="16">
        <v>6246</v>
      </c>
      <c r="MI226" s="16">
        <v>218</v>
      </c>
      <c r="MJ226" s="16">
        <v>291</v>
      </c>
      <c r="MK226" s="16">
        <v>10927</v>
      </c>
      <c r="ML226" s="16">
        <v>1491</v>
      </c>
      <c r="MM226" s="16">
        <v>46102</v>
      </c>
      <c r="MN226" s="16">
        <v>25312</v>
      </c>
      <c r="MO226" s="16">
        <v>14687</v>
      </c>
      <c r="MP226" s="16">
        <v>21774</v>
      </c>
      <c r="MQ226" s="16">
        <v>65109</v>
      </c>
      <c r="MR226" s="16">
        <v>44664</v>
      </c>
      <c r="MS226" s="16">
        <v>30907</v>
      </c>
      <c r="MT226" s="16">
        <v>1458</v>
      </c>
      <c r="MU226" s="16">
        <v>9085</v>
      </c>
      <c r="MV226" s="16">
        <v>19925</v>
      </c>
      <c r="MW226" s="16">
        <v>126391</v>
      </c>
      <c r="MX226" s="16">
        <v>2438</v>
      </c>
      <c r="MY226" s="16">
        <v>4426</v>
      </c>
      <c r="MZ226" s="16">
        <v>10317</v>
      </c>
      <c r="NA226" s="16">
        <v>6769</v>
      </c>
      <c r="NB226" s="16">
        <v>28012</v>
      </c>
      <c r="NC226" s="16">
        <v>14446</v>
      </c>
      <c r="ND226" s="16">
        <v>4232</v>
      </c>
      <c r="NE226" s="16">
        <v>1427</v>
      </c>
      <c r="NF226" s="16">
        <v>1510</v>
      </c>
      <c r="NG226" s="16">
        <v>6376</v>
      </c>
      <c r="NH226" s="16">
        <v>749</v>
      </c>
      <c r="NI226" s="16">
        <v>3630</v>
      </c>
      <c r="NJ226" s="16">
        <v>13385</v>
      </c>
      <c r="NK226" s="16">
        <v>39871</v>
      </c>
      <c r="NL226" s="16">
        <v>13517</v>
      </c>
      <c r="NM226" s="16">
        <v>1509</v>
      </c>
      <c r="NN226" s="16">
        <v>3218</v>
      </c>
      <c r="NO226" s="16">
        <v>0</v>
      </c>
      <c r="NP226" s="16">
        <v>1472</v>
      </c>
      <c r="NQ226" s="16">
        <v>4431</v>
      </c>
      <c r="NR226" s="17">
        <v>12704728</v>
      </c>
    </row>
    <row r="227" spans="1:382" ht="13.5" customHeight="1" x14ac:dyDescent="0.2">
      <c r="A227" s="2" t="s">
        <v>461</v>
      </c>
      <c r="B227" s="16">
        <v>0</v>
      </c>
      <c r="C227" s="16">
        <v>0</v>
      </c>
      <c r="D227" s="16">
        <v>0</v>
      </c>
      <c r="E227" s="16">
        <v>0</v>
      </c>
      <c r="F227" s="16">
        <v>1</v>
      </c>
      <c r="G227" s="16">
        <v>1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1</v>
      </c>
      <c r="P227" s="16">
        <v>217</v>
      </c>
      <c r="Q227" s="16">
        <v>447</v>
      </c>
      <c r="R227" s="16">
        <v>491</v>
      </c>
      <c r="S227" s="16">
        <v>0</v>
      </c>
      <c r="T227" s="16">
        <v>1</v>
      </c>
      <c r="U227" s="16">
        <v>57</v>
      </c>
      <c r="V227" s="16">
        <v>2</v>
      </c>
      <c r="W227" s="16">
        <v>0</v>
      </c>
      <c r="X227" s="16">
        <v>11</v>
      </c>
      <c r="Y227" s="16">
        <v>42</v>
      </c>
      <c r="Z227" s="16">
        <v>109</v>
      </c>
      <c r="AA227" s="16">
        <v>18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56</v>
      </c>
      <c r="AH227" s="16">
        <v>11</v>
      </c>
      <c r="AI227" s="16">
        <v>6</v>
      </c>
      <c r="AJ227" s="16">
        <v>541</v>
      </c>
      <c r="AK227" s="16">
        <v>65</v>
      </c>
      <c r="AL227" s="16">
        <v>3</v>
      </c>
      <c r="AM227" s="16">
        <v>34</v>
      </c>
      <c r="AN227" s="16">
        <v>15</v>
      </c>
      <c r="AO227" s="16">
        <v>0</v>
      </c>
      <c r="AP227" s="16">
        <v>0</v>
      </c>
      <c r="AQ227" s="16">
        <v>0</v>
      </c>
      <c r="AR227" s="16">
        <v>0</v>
      </c>
      <c r="AS227" s="16">
        <v>34</v>
      </c>
      <c r="AT227" s="16">
        <v>61</v>
      </c>
      <c r="AU227" s="16">
        <v>5</v>
      </c>
      <c r="AV227" s="16">
        <v>4</v>
      </c>
      <c r="AW227" s="16">
        <v>270</v>
      </c>
      <c r="AX227" s="16">
        <v>49</v>
      </c>
      <c r="AY227" s="16">
        <v>8</v>
      </c>
      <c r="AZ227" s="16">
        <v>24</v>
      </c>
      <c r="BA227" s="16">
        <v>149</v>
      </c>
      <c r="BB227" s="16">
        <v>14</v>
      </c>
      <c r="BC227" s="16">
        <v>115</v>
      </c>
      <c r="BD227" s="16">
        <v>1</v>
      </c>
      <c r="BE227" s="16">
        <v>144</v>
      </c>
      <c r="BF227" s="16">
        <v>810</v>
      </c>
      <c r="BG227" s="16">
        <v>6</v>
      </c>
      <c r="BH227" s="16">
        <v>181</v>
      </c>
      <c r="BI227" s="16">
        <v>72</v>
      </c>
      <c r="BJ227" s="16">
        <v>7</v>
      </c>
      <c r="BK227" s="16">
        <v>3</v>
      </c>
      <c r="BL227" s="16">
        <v>4</v>
      </c>
      <c r="BM227" s="16">
        <v>0</v>
      </c>
      <c r="BN227" s="16">
        <v>0</v>
      </c>
      <c r="BO227" s="16">
        <v>39</v>
      </c>
      <c r="BP227" s="16">
        <v>1</v>
      </c>
      <c r="BQ227" s="16">
        <v>17</v>
      </c>
      <c r="BR227" s="16">
        <v>20</v>
      </c>
      <c r="BS227" s="16">
        <v>22</v>
      </c>
      <c r="BT227" s="16">
        <v>0</v>
      </c>
      <c r="BU227" s="16">
        <v>0</v>
      </c>
      <c r="BV227" s="16">
        <v>0</v>
      </c>
      <c r="BW227" s="16">
        <v>0</v>
      </c>
      <c r="BX227" s="16">
        <v>1</v>
      </c>
      <c r="BY227" s="16">
        <v>0</v>
      </c>
      <c r="BZ227" s="16">
        <v>2</v>
      </c>
      <c r="CA227" s="16">
        <v>10</v>
      </c>
      <c r="CB227" s="16">
        <v>0</v>
      </c>
      <c r="CC227" s="16">
        <v>16</v>
      </c>
      <c r="CD227" s="16">
        <v>11</v>
      </c>
      <c r="CE227" s="16">
        <v>32</v>
      </c>
      <c r="CF227" s="16">
        <v>269</v>
      </c>
      <c r="CG227" s="16">
        <v>0</v>
      </c>
      <c r="CH227" s="16">
        <v>14</v>
      </c>
      <c r="CI227" s="16">
        <v>102</v>
      </c>
      <c r="CJ227" s="16">
        <v>321</v>
      </c>
      <c r="CK227" s="16">
        <v>257</v>
      </c>
      <c r="CL227" s="16">
        <v>70</v>
      </c>
      <c r="CM227" s="16">
        <v>490</v>
      </c>
      <c r="CN227" s="16">
        <v>1</v>
      </c>
      <c r="CO227" s="16">
        <v>129</v>
      </c>
      <c r="CP227" s="16">
        <v>280</v>
      </c>
      <c r="CQ227" s="16">
        <v>140</v>
      </c>
      <c r="CR227" s="16">
        <v>754</v>
      </c>
      <c r="CS227" s="16">
        <v>8534</v>
      </c>
      <c r="CT227" s="16">
        <v>10247</v>
      </c>
      <c r="CU227" s="16">
        <v>11195</v>
      </c>
      <c r="CV227" s="16">
        <v>20989</v>
      </c>
      <c r="CW227" s="16">
        <v>55857</v>
      </c>
      <c r="CX227" s="16">
        <v>21733</v>
      </c>
      <c r="CY227" s="16">
        <v>1641</v>
      </c>
      <c r="CZ227" s="16">
        <v>227</v>
      </c>
      <c r="DA227" s="16">
        <v>8</v>
      </c>
      <c r="DB227" s="16">
        <v>133</v>
      </c>
      <c r="DC227" s="16">
        <v>41</v>
      </c>
      <c r="DD227" s="16">
        <v>890</v>
      </c>
      <c r="DE227" s="16">
        <v>6500</v>
      </c>
      <c r="DF227" s="16">
        <v>3613</v>
      </c>
      <c r="DG227" s="16">
        <v>1171</v>
      </c>
      <c r="DH227" s="16">
        <v>899</v>
      </c>
      <c r="DI227" s="16">
        <v>159</v>
      </c>
      <c r="DJ227" s="16">
        <v>31301</v>
      </c>
      <c r="DK227" s="16">
        <v>175</v>
      </c>
      <c r="DL227" s="16">
        <v>684</v>
      </c>
      <c r="DM227" s="16">
        <v>15183</v>
      </c>
      <c r="DN227" s="16">
        <v>217</v>
      </c>
      <c r="DO227" s="16">
        <v>226</v>
      </c>
      <c r="DP227" s="16">
        <v>87</v>
      </c>
      <c r="DQ227" s="16">
        <v>34</v>
      </c>
      <c r="DR227" s="16">
        <v>58</v>
      </c>
      <c r="DS227" s="16">
        <v>375</v>
      </c>
      <c r="DT227" s="16">
        <v>36</v>
      </c>
      <c r="DU227" s="16">
        <v>75</v>
      </c>
      <c r="DV227" s="16">
        <v>1393</v>
      </c>
      <c r="DW227" s="16">
        <v>3273</v>
      </c>
      <c r="DX227" s="16">
        <v>513</v>
      </c>
      <c r="DY227" s="16">
        <v>1064</v>
      </c>
      <c r="DZ227" s="16">
        <v>2961</v>
      </c>
      <c r="EA227" s="16">
        <v>1565</v>
      </c>
      <c r="EB227" s="16">
        <v>2</v>
      </c>
      <c r="EC227" s="16">
        <v>96</v>
      </c>
      <c r="ED227" s="16">
        <v>5</v>
      </c>
      <c r="EE227" s="16">
        <v>1</v>
      </c>
      <c r="EF227" s="16">
        <v>14</v>
      </c>
      <c r="EG227" s="16">
        <v>395</v>
      </c>
      <c r="EH227" s="16">
        <v>42</v>
      </c>
      <c r="EI227" s="16">
        <v>24</v>
      </c>
      <c r="EJ227" s="16">
        <v>2</v>
      </c>
      <c r="EK227" s="16">
        <v>56</v>
      </c>
      <c r="EL227" s="16">
        <v>1</v>
      </c>
      <c r="EM227" s="16">
        <v>306</v>
      </c>
      <c r="EN227" s="16">
        <v>337</v>
      </c>
      <c r="EO227" s="16">
        <v>76</v>
      </c>
      <c r="EP227" s="16">
        <v>9</v>
      </c>
      <c r="EQ227" s="16">
        <v>365</v>
      </c>
      <c r="ER227" s="16">
        <v>4</v>
      </c>
      <c r="ES227" s="16">
        <v>14</v>
      </c>
      <c r="ET227" s="16">
        <v>844</v>
      </c>
      <c r="EU227" s="16">
        <v>4</v>
      </c>
      <c r="EV227" s="16">
        <v>0</v>
      </c>
      <c r="EW227" s="16">
        <v>73</v>
      </c>
      <c r="EX227" s="16">
        <v>10182</v>
      </c>
      <c r="EY227" s="16">
        <v>505</v>
      </c>
      <c r="EZ227" s="16">
        <v>93</v>
      </c>
      <c r="FA227" s="16">
        <v>150</v>
      </c>
      <c r="FB227" s="16">
        <v>428</v>
      </c>
      <c r="FC227" s="16">
        <v>1</v>
      </c>
      <c r="FD227" s="16">
        <v>1139</v>
      </c>
      <c r="FE227" s="16">
        <v>262</v>
      </c>
      <c r="FF227" s="16">
        <v>150</v>
      </c>
      <c r="FG227" s="16">
        <v>766</v>
      </c>
      <c r="FH227" s="16">
        <v>1</v>
      </c>
      <c r="FI227" s="16">
        <v>23</v>
      </c>
      <c r="FJ227" s="16">
        <v>52</v>
      </c>
      <c r="FK227" s="16">
        <v>86</v>
      </c>
      <c r="FL227" s="16">
        <v>1</v>
      </c>
      <c r="FM227" s="16">
        <v>635</v>
      </c>
      <c r="FN227" s="16">
        <v>307</v>
      </c>
      <c r="FO227" s="16">
        <v>140</v>
      </c>
      <c r="FP227" s="16">
        <v>917</v>
      </c>
      <c r="FQ227" s="16">
        <v>2792</v>
      </c>
      <c r="FR227" s="16">
        <v>3894</v>
      </c>
      <c r="FS227" s="16">
        <v>1484</v>
      </c>
      <c r="FT227" s="16">
        <v>5095</v>
      </c>
      <c r="FU227" s="16">
        <v>516</v>
      </c>
      <c r="FV227" s="16">
        <v>480</v>
      </c>
      <c r="FW227" s="16">
        <v>187</v>
      </c>
      <c r="FX227" s="16">
        <v>362</v>
      </c>
      <c r="FY227" s="16">
        <v>34</v>
      </c>
      <c r="FZ227" s="16">
        <v>359</v>
      </c>
      <c r="GA227" s="16">
        <v>2</v>
      </c>
      <c r="GB227" s="16">
        <v>71</v>
      </c>
      <c r="GC227" s="16">
        <v>13</v>
      </c>
      <c r="GD227" s="16">
        <v>4367</v>
      </c>
      <c r="GE227" s="16">
        <v>1394</v>
      </c>
      <c r="GF227" s="16">
        <v>6521</v>
      </c>
      <c r="GG227" s="16">
        <v>2810</v>
      </c>
      <c r="GH227" s="16">
        <v>682</v>
      </c>
      <c r="GI227" s="16">
        <v>665</v>
      </c>
      <c r="GJ227" s="16">
        <v>241</v>
      </c>
      <c r="GK227" s="16">
        <v>137</v>
      </c>
      <c r="GL227" s="16">
        <v>134</v>
      </c>
      <c r="GM227" s="16">
        <v>76</v>
      </c>
      <c r="GN227" s="16">
        <v>67</v>
      </c>
      <c r="GO227" s="16">
        <v>26</v>
      </c>
      <c r="GP227" s="16">
        <v>109</v>
      </c>
      <c r="GQ227" s="16">
        <v>1</v>
      </c>
      <c r="GR227" s="16">
        <v>34</v>
      </c>
      <c r="GS227" s="16">
        <v>4</v>
      </c>
      <c r="GT227" s="16">
        <v>25</v>
      </c>
      <c r="GU227" s="16">
        <v>73</v>
      </c>
      <c r="GV227" s="16">
        <v>1860</v>
      </c>
      <c r="GW227" s="16">
        <v>1604</v>
      </c>
      <c r="GX227" s="16">
        <v>51</v>
      </c>
      <c r="GY227" s="16">
        <v>0</v>
      </c>
      <c r="GZ227" s="16">
        <v>2198</v>
      </c>
      <c r="HA227" s="16">
        <v>228</v>
      </c>
      <c r="HB227" s="16">
        <v>654</v>
      </c>
      <c r="HC227" s="16">
        <v>617</v>
      </c>
      <c r="HD227" s="16">
        <v>1547</v>
      </c>
      <c r="HE227" s="16">
        <v>670</v>
      </c>
      <c r="HF227" s="16">
        <v>92</v>
      </c>
      <c r="HG227" s="16">
        <v>346</v>
      </c>
      <c r="HH227" s="16">
        <v>680</v>
      </c>
      <c r="HI227" s="16">
        <v>1405</v>
      </c>
      <c r="HJ227" s="16">
        <v>5</v>
      </c>
      <c r="HK227" s="16">
        <v>35</v>
      </c>
      <c r="HL227" s="16">
        <v>334</v>
      </c>
      <c r="HM227" s="16">
        <v>19460</v>
      </c>
      <c r="HN227" s="16">
        <v>2704</v>
      </c>
      <c r="HO227" s="16">
        <v>665</v>
      </c>
      <c r="HP227" s="16">
        <v>26</v>
      </c>
      <c r="HQ227" s="16">
        <v>2679</v>
      </c>
      <c r="HR227" s="16">
        <v>43619</v>
      </c>
      <c r="HS227" s="16">
        <v>3113317</v>
      </c>
      <c r="HT227" s="16">
        <v>20</v>
      </c>
      <c r="HU227" s="16">
        <v>10426</v>
      </c>
      <c r="HV227" s="16">
        <v>314</v>
      </c>
      <c r="HW227" s="16">
        <v>1365</v>
      </c>
      <c r="HX227" s="16">
        <v>522</v>
      </c>
      <c r="HY227" s="16">
        <v>225</v>
      </c>
      <c r="HZ227" s="16">
        <v>9463</v>
      </c>
      <c r="IA227" s="16">
        <v>3697</v>
      </c>
      <c r="IB227" s="16">
        <v>166</v>
      </c>
      <c r="IC227" s="16">
        <v>229</v>
      </c>
      <c r="ID227" s="16">
        <v>780</v>
      </c>
      <c r="IE227" s="16">
        <v>32</v>
      </c>
      <c r="IF227" s="16">
        <v>622</v>
      </c>
      <c r="IG227" s="16">
        <v>9987</v>
      </c>
      <c r="IH227" s="16">
        <v>22040</v>
      </c>
      <c r="II227" s="16">
        <v>1716</v>
      </c>
      <c r="IJ227" s="16">
        <v>462</v>
      </c>
      <c r="IK227" s="16">
        <v>1826</v>
      </c>
      <c r="IL227" s="16">
        <v>1161</v>
      </c>
      <c r="IM227" s="16">
        <v>170</v>
      </c>
      <c r="IN227" s="16">
        <v>432</v>
      </c>
      <c r="IO227" s="16">
        <v>13532</v>
      </c>
      <c r="IP227" s="16">
        <v>30168</v>
      </c>
      <c r="IQ227" s="16">
        <v>1941</v>
      </c>
      <c r="IR227" s="16">
        <v>3487</v>
      </c>
      <c r="IS227" s="16">
        <v>1407</v>
      </c>
      <c r="IT227" s="16">
        <v>1429</v>
      </c>
      <c r="IU227" s="16">
        <v>13</v>
      </c>
      <c r="IV227" s="16">
        <v>1331</v>
      </c>
      <c r="IW227" s="16">
        <v>102</v>
      </c>
      <c r="IX227" s="16">
        <v>8</v>
      </c>
      <c r="IY227" s="16">
        <v>63</v>
      </c>
      <c r="IZ227" s="16">
        <v>2</v>
      </c>
      <c r="JA227" s="16">
        <v>3</v>
      </c>
      <c r="JB227" s="16">
        <v>0</v>
      </c>
      <c r="JC227" s="16">
        <v>13</v>
      </c>
      <c r="JD227" s="16">
        <v>6</v>
      </c>
      <c r="JE227" s="16">
        <v>110</v>
      </c>
      <c r="JF227" s="16">
        <v>20</v>
      </c>
      <c r="JG227" s="16">
        <v>11389</v>
      </c>
      <c r="JH227" s="16">
        <v>4197</v>
      </c>
      <c r="JI227" s="16">
        <v>0</v>
      </c>
      <c r="JJ227" s="16">
        <v>70</v>
      </c>
      <c r="JK227" s="16">
        <v>58</v>
      </c>
      <c r="JL227" s="16">
        <v>0</v>
      </c>
      <c r="JM227" s="16">
        <v>0</v>
      </c>
      <c r="JN227" s="16">
        <v>0</v>
      </c>
      <c r="JO227" s="16">
        <v>4314</v>
      </c>
      <c r="JP227" s="16">
        <v>3165</v>
      </c>
      <c r="JQ227" s="16">
        <v>43572</v>
      </c>
      <c r="JR227" s="16">
        <v>66453</v>
      </c>
      <c r="JS227" s="16">
        <v>20662</v>
      </c>
      <c r="JT227" s="16">
        <v>2</v>
      </c>
      <c r="JU227" s="16">
        <v>40341</v>
      </c>
      <c r="JV227" s="16">
        <v>1179</v>
      </c>
      <c r="JW227" s="16">
        <v>239478</v>
      </c>
      <c r="JX227" s="16">
        <v>327093</v>
      </c>
      <c r="JY227" s="16">
        <v>39166</v>
      </c>
      <c r="JZ227" s="16">
        <v>1473</v>
      </c>
      <c r="KA227" s="16">
        <v>3183</v>
      </c>
      <c r="KB227" s="16">
        <v>97</v>
      </c>
      <c r="KC227" s="16">
        <v>125</v>
      </c>
      <c r="KD227" s="16">
        <v>255642</v>
      </c>
      <c r="KE227" s="16">
        <v>672</v>
      </c>
      <c r="KF227" s="16">
        <v>4800</v>
      </c>
      <c r="KG227" s="16">
        <v>57924</v>
      </c>
      <c r="KH227" s="16">
        <v>12550</v>
      </c>
      <c r="KI227" s="16">
        <v>7352</v>
      </c>
      <c r="KJ227" s="16">
        <v>26817</v>
      </c>
      <c r="KK227" s="16">
        <v>58365</v>
      </c>
      <c r="KL227" s="16">
        <v>15</v>
      </c>
      <c r="KM227" s="16">
        <v>128</v>
      </c>
      <c r="KN227" s="16">
        <v>12</v>
      </c>
      <c r="KO227" s="16">
        <v>2</v>
      </c>
      <c r="KP227" s="16">
        <v>1</v>
      </c>
      <c r="KQ227" s="16">
        <v>78</v>
      </c>
      <c r="KR227" s="16">
        <v>621</v>
      </c>
      <c r="KS227" s="16">
        <v>3</v>
      </c>
      <c r="KT227" s="16">
        <v>88</v>
      </c>
      <c r="KU227" s="16">
        <v>110</v>
      </c>
      <c r="KV227" s="16">
        <v>2673</v>
      </c>
      <c r="KW227" s="16">
        <v>213</v>
      </c>
      <c r="KX227" s="16">
        <v>10</v>
      </c>
      <c r="KY227" s="16">
        <v>1544</v>
      </c>
      <c r="KZ227" s="16">
        <v>37551</v>
      </c>
      <c r="LA227" s="16">
        <v>11611</v>
      </c>
      <c r="LB227" s="16">
        <v>662</v>
      </c>
      <c r="LC227" s="16">
        <v>4105</v>
      </c>
      <c r="LD227" s="16">
        <v>5356</v>
      </c>
      <c r="LE227" s="16">
        <v>166</v>
      </c>
      <c r="LF227" s="16">
        <v>16</v>
      </c>
      <c r="LG227" s="16">
        <v>3</v>
      </c>
      <c r="LH227" s="16">
        <v>26</v>
      </c>
      <c r="LI227" s="16">
        <v>1</v>
      </c>
      <c r="LJ227" s="16">
        <v>2</v>
      </c>
      <c r="LK227" s="16">
        <v>215</v>
      </c>
      <c r="LL227" s="16">
        <v>170</v>
      </c>
      <c r="LM227" s="16">
        <v>848</v>
      </c>
      <c r="LN227" s="16">
        <v>1359</v>
      </c>
      <c r="LO227" s="16">
        <v>1</v>
      </c>
      <c r="LP227" s="16">
        <v>159</v>
      </c>
      <c r="LQ227" s="16">
        <v>14</v>
      </c>
      <c r="LR227" s="16">
        <v>791</v>
      </c>
      <c r="LS227" s="16">
        <v>8</v>
      </c>
      <c r="LT227" s="16">
        <v>343</v>
      </c>
      <c r="LU227" s="16">
        <v>2</v>
      </c>
      <c r="LV227" s="16">
        <v>0</v>
      </c>
      <c r="LW227" s="16">
        <v>93</v>
      </c>
      <c r="LX227" s="16">
        <v>7</v>
      </c>
      <c r="LY227" s="16">
        <v>10546</v>
      </c>
      <c r="LZ227" s="16">
        <v>867</v>
      </c>
      <c r="MA227" s="16">
        <v>2048</v>
      </c>
      <c r="MB227" s="16">
        <v>9249</v>
      </c>
      <c r="MC227" s="16">
        <v>49</v>
      </c>
      <c r="MD227" s="16">
        <v>198</v>
      </c>
      <c r="ME227" s="16">
        <v>32</v>
      </c>
      <c r="MF227" s="16">
        <v>11007</v>
      </c>
      <c r="MG227" s="16">
        <v>322</v>
      </c>
      <c r="MH227" s="16">
        <v>1368</v>
      </c>
      <c r="MI227" s="16">
        <v>274</v>
      </c>
      <c r="MJ227" s="16">
        <v>144</v>
      </c>
      <c r="MK227" s="16">
        <v>245</v>
      </c>
      <c r="ML227" s="16">
        <v>52</v>
      </c>
      <c r="MM227" s="16">
        <v>338</v>
      </c>
      <c r="MN227" s="16">
        <v>1228</v>
      </c>
      <c r="MO227" s="16">
        <v>798</v>
      </c>
      <c r="MP227" s="16">
        <v>796</v>
      </c>
      <c r="MQ227" s="16">
        <v>1192</v>
      </c>
      <c r="MR227" s="16">
        <v>8932</v>
      </c>
      <c r="MS227" s="16">
        <v>6069</v>
      </c>
      <c r="MT227" s="16">
        <v>103</v>
      </c>
      <c r="MU227" s="16">
        <v>5207</v>
      </c>
      <c r="MV227" s="16">
        <v>2770</v>
      </c>
      <c r="MW227" s="16">
        <v>273</v>
      </c>
      <c r="MX227" s="16">
        <v>626</v>
      </c>
      <c r="MY227" s="16">
        <v>30</v>
      </c>
      <c r="MZ227" s="16">
        <v>7107</v>
      </c>
      <c r="NA227" s="16">
        <v>2032</v>
      </c>
      <c r="NB227" s="16">
        <v>7862</v>
      </c>
      <c r="NC227" s="16">
        <v>1698</v>
      </c>
      <c r="ND227" s="16">
        <v>6</v>
      </c>
      <c r="NE227" s="16">
        <v>3</v>
      </c>
      <c r="NF227" s="16">
        <v>158</v>
      </c>
      <c r="NG227" s="16">
        <v>1325</v>
      </c>
      <c r="NH227" s="16">
        <v>6</v>
      </c>
      <c r="NI227" s="16">
        <v>388</v>
      </c>
      <c r="NJ227" s="16">
        <v>346</v>
      </c>
      <c r="NK227" s="16">
        <v>4112</v>
      </c>
      <c r="NL227" s="16">
        <v>1182</v>
      </c>
      <c r="NM227" s="16">
        <v>1212</v>
      </c>
      <c r="NN227" s="16">
        <v>190</v>
      </c>
      <c r="NO227" s="16">
        <v>0</v>
      </c>
      <c r="NP227" s="16">
        <v>3628</v>
      </c>
      <c r="NQ227" s="16">
        <v>3</v>
      </c>
      <c r="NR227" s="17">
        <v>4970561</v>
      </c>
    </row>
    <row r="228" spans="1:382" ht="13.5" customHeight="1" x14ac:dyDescent="0.2">
      <c r="A228" s="2" t="s">
        <v>463</v>
      </c>
      <c r="B228" s="16">
        <v>0</v>
      </c>
      <c r="C228" s="16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3</v>
      </c>
      <c r="M228" s="16">
        <v>0</v>
      </c>
      <c r="N228" s="16">
        <v>0</v>
      </c>
      <c r="O228" s="16">
        <v>0</v>
      </c>
      <c r="P228" s="16">
        <v>2</v>
      </c>
      <c r="Q228" s="16">
        <v>7</v>
      </c>
      <c r="R228" s="16">
        <v>4</v>
      </c>
      <c r="S228" s="16">
        <v>0</v>
      </c>
      <c r="T228" s="16">
        <v>0</v>
      </c>
      <c r="U228" s="16">
        <v>0</v>
      </c>
      <c r="V228" s="16">
        <v>2</v>
      </c>
      <c r="W228" s="16">
        <v>0</v>
      </c>
      <c r="X228" s="16">
        <v>1</v>
      </c>
      <c r="Y228" s="16">
        <v>12</v>
      </c>
      <c r="Z228" s="16">
        <v>7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12</v>
      </c>
      <c r="AH228" s="16">
        <v>11</v>
      </c>
      <c r="AI228" s="16">
        <v>8</v>
      </c>
      <c r="AJ228" s="16">
        <v>6</v>
      </c>
      <c r="AK228" s="16">
        <v>21</v>
      </c>
      <c r="AL228" s="16">
        <v>1</v>
      </c>
      <c r="AM228" s="16">
        <v>4</v>
      </c>
      <c r="AN228" s="16">
        <v>3</v>
      </c>
      <c r="AO228" s="16">
        <v>2</v>
      </c>
      <c r="AP228" s="16">
        <v>0</v>
      </c>
      <c r="AQ228" s="16">
        <v>0</v>
      </c>
      <c r="AR228" s="16">
        <v>0</v>
      </c>
      <c r="AS228" s="16">
        <v>0</v>
      </c>
      <c r="AT228" s="16">
        <v>0</v>
      </c>
      <c r="AU228" s="16">
        <v>3</v>
      </c>
      <c r="AV228" s="16">
        <v>2</v>
      </c>
      <c r="AW228" s="16">
        <v>17</v>
      </c>
      <c r="AX228" s="16">
        <v>2</v>
      </c>
      <c r="AY228" s="16">
        <v>0</v>
      </c>
      <c r="AZ228" s="16">
        <v>12</v>
      </c>
      <c r="BA228" s="16">
        <v>30</v>
      </c>
      <c r="BB228" s="16">
        <v>4</v>
      </c>
      <c r="BC228" s="16">
        <v>3</v>
      </c>
      <c r="BD228" s="16">
        <v>0</v>
      </c>
      <c r="BE228" s="16">
        <v>1</v>
      </c>
      <c r="BF228" s="16">
        <v>2</v>
      </c>
      <c r="BG228" s="16">
        <v>3</v>
      </c>
      <c r="BH228" s="16">
        <v>5</v>
      </c>
      <c r="BI228" s="16">
        <v>0</v>
      </c>
      <c r="BJ228" s="16">
        <v>1</v>
      </c>
      <c r="BK228" s="16">
        <v>2</v>
      </c>
      <c r="BL228" s="16">
        <v>2</v>
      </c>
      <c r="BM228" s="16">
        <v>7</v>
      </c>
      <c r="BN228" s="16">
        <v>7</v>
      </c>
      <c r="BO228" s="16">
        <v>5</v>
      </c>
      <c r="BP228" s="16">
        <v>13</v>
      </c>
      <c r="BQ228" s="16">
        <v>2</v>
      </c>
      <c r="BR228" s="16">
        <v>2</v>
      </c>
      <c r="BS228" s="16">
        <v>49</v>
      </c>
      <c r="BT228" s="16">
        <v>0</v>
      </c>
      <c r="BU228" s="16">
        <v>0</v>
      </c>
      <c r="BV228" s="16">
        <v>0</v>
      </c>
      <c r="BW228" s="16">
        <v>3</v>
      </c>
      <c r="BX228" s="16">
        <v>1</v>
      </c>
      <c r="BY228" s="16">
        <v>0</v>
      </c>
      <c r="BZ228" s="16">
        <v>2</v>
      </c>
      <c r="CA228" s="16">
        <v>2</v>
      </c>
      <c r="CB228" s="16">
        <v>0</v>
      </c>
      <c r="CC228" s="16">
        <v>39</v>
      </c>
      <c r="CD228" s="16">
        <v>9</v>
      </c>
      <c r="CE228" s="16">
        <v>1</v>
      </c>
      <c r="CF228" s="16">
        <v>6</v>
      </c>
      <c r="CG228" s="16">
        <v>2</v>
      </c>
      <c r="CH228" s="16">
        <v>5</v>
      </c>
      <c r="CI228" s="16">
        <v>4</v>
      </c>
      <c r="CJ228" s="16">
        <v>2</v>
      </c>
      <c r="CK228" s="16">
        <v>25</v>
      </c>
      <c r="CL228" s="16">
        <v>8</v>
      </c>
      <c r="CM228" s="16">
        <v>1</v>
      </c>
      <c r="CN228" s="16">
        <v>1</v>
      </c>
      <c r="CO228" s="16">
        <v>4</v>
      </c>
      <c r="CP228" s="16">
        <v>8</v>
      </c>
      <c r="CQ228" s="16">
        <v>156</v>
      </c>
      <c r="CR228" s="16">
        <v>38</v>
      </c>
      <c r="CS228" s="16">
        <v>6</v>
      </c>
      <c r="CT228" s="16">
        <v>27</v>
      </c>
      <c r="CU228" s="16">
        <v>9</v>
      </c>
      <c r="CV228" s="16">
        <v>3</v>
      </c>
      <c r="CW228" s="16">
        <v>144</v>
      </c>
      <c r="CX228" s="16">
        <v>58</v>
      </c>
      <c r="CY228" s="16">
        <v>3</v>
      </c>
      <c r="CZ228" s="16">
        <v>5</v>
      </c>
      <c r="DA228" s="16">
        <v>0</v>
      </c>
      <c r="DB228" s="16">
        <v>0</v>
      </c>
      <c r="DC228" s="16">
        <v>0</v>
      </c>
      <c r="DD228" s="16">
        <v>0</v>
      </c>
      <c r="DE228" s="16">
        <v>5</v>
      </c>
      <c r="DF228" s="16">
        <v>16</v>
      </c>
      <c r="DG228" s="16">
        <v>2</v>
      </c>
      <c r="DH228" s="16">
        <v>6</v>
      </c>
      <c r="DI228" s="16">
        <v>1</v>
      </c>
      <c r="DJ228" s="16">
        <v>48</v>
      </c>
      <c r="DK228" s="16">
        <v>4</v>
      </c>
      <c r="DL228" s="16">
        <v>2</v>
      </c>
      <c r="DM228" s="16">
        <v>35</v>
      </c>
      <c r="DN228" s="16">
        <v>2</v>
      </c>
      <c r="DO228" s="16">
        <v>3</v>
      </c>
      <c r="DP228" s="16">
        <v>5</v>
      </c>
      <c r="DQ228" s="16">
        <v>2</v>
      </c>
      <c r="DR228" s="16">
        <v>2</v>
      </c>
      <c r="DS228" s="16">
        <v>43</v>
      </c>
      <c r="DT228" s="16">
        <v>1</v>
      </c>
      <c r="DU228" s="16">
        <v>2</v>
      </c>
      <c r="DV228" s="16">
        <v>3</v>
      </c>
      <c r="DW228" s="16">
        <v>23</v>
      </c>
      <c r="DX228" s="16">
        <v>8</v>
      </c>
      <c r="DY228" s="16">
        <v>8</v>
      </c>
      <c r="DZ228" s="16">
        <v>61</v>
      </c>
      <c r="EA228" s="16">
        <v>39</v>
      </c>
      <c r="EB228" s="16">
        <v>1</v>
      </c>
      <c r="EC228" s="16">
        <v>8</v>
      </c>
      <c r="ED228" s="16">
        <v>2</v>
      </c>
      <c r="EE228" s="16">
        <v>0</v>
      </c>
      <c r="EF228" s="16">
        <v>0</v>
      </c>
      <c r="EG228" s="16">
        <v>13</v>
      </c>
      <c r="EH228" s="16">
        <v>2</v>
      </c>
      <c r="EI228" s="16">
        <v>6</v>
      </c>
      <c r="EJ228" s="16">
        <v>2</v>
      </c>
      <c r="EK228" s="16">
        <v>1</v>
      </c>
      <c r="EL228" s="16">
        <v>1</v>
      </c>
      <c r="EM228" s="16">
        <v>2</v>
      </c>
      <c r="EN228" s="16">
        <v>5</v>
      </c>
      <c r="EO228" s="16">
        <v>3</v>
      </c>
      <c r="EP228" s="16">
        <v>2</v>
      </c>
      <c r="EQ228" s="16">
        <v>3</v>
      </c>
      <c r="ER228" s="16">
        <v>1</v>
      </c>
      <c r="ES228" s="16">
        <v>1</v>
      </c>
      <c r="ET228" s="16">
        <v>3</v>
      </c>
      <c r="EU228" s="16">
        <v>0</v>
      </c>
      <c r="EV228" s="16">
        <v>3</v>
      </c>
      <c r="EW228" s="16">
        <v>3</v>
      </c>
      <c r="EX228" s="16">
        <v>781</v>
      </c>
      <c r="EY228" s="16">
        <v>54</v>
      </c>
      <c r="EZ228" s="16">
        <v>3</v>
      </c>
      <c r="FA228" s="16">
        <v>2</v>
      </c>
      <c r="FB228" s="16">
        <v>14</v>
      </c>
      <c r="FC228" s="16">
        <v>0</v>
      </c>
      <c r="FD228" s="16">
        <v>266</v>
      </c>
      <c r="FE228" s="16">
        <v>14</v>
      </c>
      <c r="FF228" s="16">
        <v>52</v>
      </c>
      <c r="FG228" s="16">
        <v>2</v>
      </c>
      <c r="FH228" s="16">
        <v>0</v>
      </c>
      <c r="FI228" s="16">
        <v>24</v>
      </c>
      <c r="FJ228" s="16">
        <v>4</v>
      </c>
      <c r="FK228" s="16">
        <v>132</v>
      </c>
      <c r="FL228" s="16">
        <v>0</v>
      </c>
      <c r="FM228" s="16">
        <v>14</v>
      </c>
      <c r="FN228" s="16">
        <v>7</v>
      </c>
      <c r="FO228" s="16">
        <v>130</v>
      </c>
      <c r="FP228" s="16">
        <v>26</v>
      </c>
      <c r="FQ228" s="16">
        <v>46</v>
      </c>
      <c r="FR228" s="16">
        <v>20</v>
      </c>
      <c r="FS228" s="16">
        <v>4</v>
      </c>
      <c r="FT228" s="16">
        <v>4</v>
      </c>
      <c r="FU228" s="16">
        <v>179</v>
      </c>
      <c r="FV228" s="16">
        <v>56</v>
      </c>
      <c r="FW228" s="16">
        <v>21</v>
      </c>
      <c r="FX228" s="16">
        <v>41</v>
      </c>
      <c r="FY228" s="16">
        <v>3</v>
      </c>
      <c r="FZ228" s="16">
        <v>13</v>
      </c>
      <c r="GA228" s="16">
        <v>2</v>
      </c>
      <c r="GB228" s="16">
        <v>102</v>
      </c>
      <c r="GC228" s="16">
        <v>5</v>
      </c>
      <c r="GD228" s="16">
        <v>35</v>
      </c>
      <c r="GE228" s="16">
        <v>6</v>
      </c>
      <c r="GF228" s="16">
        <v>208</v>
      </c>
      <c r="GG228" s="16">
        <v>408</v>
      </c>
      <c r="GH228" s="16">
        <v>132</v>
      </c>
      <c r="GI228" s="16">
        <v>14</v>
      </c>
      <c r="GJ228" s="16">
        <v>41</v>
      </c>
      <c r="GK228" s="16">
        <v>41</v>
      </c>
      <c r="GL228" s="16">
        <v>41</v>
      </c>
      <c r="GM228" s="16">
        <v>418</v>
      </c>
      <c r="GN228" s="16">
        <v>177</v>
      </c>
      <c r="GO228" s="16">
        <v>59</v>
      </c>
      <c r="GP228" s="16">
        <v>12</v>
      </c>
      <c r="GQ228" s="16">
        <v>14</v>
      </c>
      <c r="GR228" s="16">
        <v>7</v>
      </c>
      <c r="GS228" s="16">
        <v>11</v>
      </c>
      <c r="GT228" s="16">
        <v>17</v>
      </c>
      <c r="GU228" s="16">
        <v>199</v>
      </c>
      <c r="GV228" s="16">
        <v>90</v>
      </c>
      <c r="GW228" s="16">
        <v>158</v>
      </c>
      <c r="GX228" s="16">
        <v>5</v>
      </c>
      <c r="GY228" s="16">
        <v>0</v>
      </c>
      <c r="GZ228" s="16">
        <v>44</v>
      </c>
      <c r="HA228" s="16">
        <v>2</v>
      </c>
      <c r="HB228" s="16">
        <v>35</v>
      </c>
      <c r="HC228" s="16">
        <v>33</v>
      </c>
      <c r="HD228" s="16">
        <v>51</v>
      </c>
      <c r="HE228" s="16">
        <v>1</v>
      </c>
      <c r="HF228" s="16">
        <v>45</v>
      </c>
      <c r="HG228" s="16">
        <v>1</v>
      </c>
      <c r="HH228" s="16">
        <v>4</v>
      </c>
      <c r="HI228" s="16">
        <v>12</v>
      </c>
      <c r="HJ228" s="16">
        <v>5</v>
      </c>
      <c r="HK228" s="16">
        <v>7</v>
      </c>
      <c r="HL228" s="16">
        <v>223</v>
      </c>
      <c r="HM228" s="16">
        <v>8</v>
      </c>
      <c r="HN228" s="16">
        <v>14</v>
      </c>
      <c r="HO228" s="16">
        <v>5</v>
      </c>
      <c r="HP228" s="16">
        <v>5</v>
      </c>
      <c r="HQ228" s="16">
        <v>51</v>
      </c>
      <c r="HR228" s="16">
        <v>30</v>
      </c>
      <c r="HS228" s="16">
        <v>18</v>
      </c>
      <c r="HT228" s="16">
        <v>111477</v>
      </c>
      <c r="HU228" s="16">
        <v>22</v>
      </c>
      <c r="HV228" s="16">
        <v>1</v>
      </c>
      <c r="HW228" s="16">
        <v>15</v>
      </c>
      <c r="HX228" s="16">
        <v>4</v>
      </c>
      <c r="HY228" s="16">
        <v>26</v>
      </c>
      <c r="HZ228" s="16">
        <v>289</v>
      </c>
      <c r="IA228" s="16">
        <v>111</v>
      </c>
      <c r="IB228" s="16">
        <v>1</v>
      </c>
      <c r="IC228" s="16">
        <v>2</v>
      </c>
      <c r="ID228" s="16">
        <v>2</v>
      </c>
      <c r="IE228" s="16">
        <v>1</v>
      </c>
      <c r="IF228" s="16">
        <v>2</v>
      </c>
      <c r="IG228" s="16">
        <v>16</v>
      </c>
      <c r="IH228" s="16">
        <v>17</v>
      </c>
      <c r="II228" s="16">
        <v>0</v>
      </c>
      <c r="IJ228" s="16">
        <v>0</v>
      </c>
      <c r="IK228" s="16">
        <v>2</v>
      </c>
      <c r="IL228" s="16">
        <v>2</v>
      </c>
      <c r="IM228" s="16">
        <v>0</v>
      </c>
      <c r="IN228" s="16">
        <v>20</v>
      </c>
      <c r="IO228" s="16">
        <v>23</v>
      </c>
      <c r="IP228" s="16">
        <v>2</v>
      </c>
      <c r="IQ228" s="16">
        <v>7</v>
      </c>
      <c r="IR228" s="16">
        <v>0</v>
      </c>
      <c r="IS228" s="16">
        <v>1</v>
      </c>
      <c r="IT228" s="16">
        <v>1</v>
      </c>
      <c r="IU228" s="16">
        <v>0</v>
      </c>
      <c r="IV228" s="16">
        <v>22</v>
      </c>
      <c r="IW228" s="16">
        <v>10</v>
      </c>
      <c r="IX228" s="16">
        <v>2</v>
      </c>
      <c r="IY228" s="16">
        <v>3</v>
      </c>
      <c r="IZ228" s="16">
        <v>2</v>
      </c>
      <c r="JA228" s="16">
        <v>2</v>
      </c>
      <c r="JB228" s="16">
        <v>2</v>
      </c>
      <c r="JC228" s="16">
        <v>0</v>
      </c>
      <c r="JD228" s="16">
        <v>0</v>
      </c>
      <c r="JE228" s="16">
        <v>24</v>
      </c>
      <c r="JF228" s="16">
        <v>17</v>
      </c>
      <c r="JG228" s="16">
        <v>7050</v>
      </c>
      <c r="JH228" s="16">
        <v>7659</v>
      </c>
      <c r="JI228" s="16">
        <v>36</v>
      </c>
      <c r="JJ228" s="16">
        <v>32</v>
      </c>
      <c r="JK228" s="16">
        <v>4</v>
      </c>
      <c r="JL228" s="16">
        <v>11</v>
      </c>
      <c r="JM228" s="16">
        <v>0</v>
      </c>
      <c r="JN228" s="16">
        <v>6</v>
      </c>
      <c r="JO228" s="16">
        <v>0</v>
      </c>
      <c r="JP228" s="16">
        <v>37</v>
      </c>
      <c r="JQ228" s="16">
        <v>3</v>
      </c>
      <c r="JR228" s="16">
        <v>211</v>
      </c>
      <c r="JS228" s="16">
        <v>81</v>
      </c>
      <c r="JT228" s="16">
        <v>0</v>
      </c>
      <c r="JU228" s="16">
        <v>430</v>
      </c>
      <c r="JV228" s="16">
        <v>971</v>
      </c>
      <c r="JW228" s="16">
        <v>237</v>
      </c>
      <c r="JX228" s="16">
        <v>332</v>
      </c>
      <c r="JY228" s="16">
        <v>46</v>
      </c>
      <c r="JZ228" s="16">
        <v>4</v>
      </c>
      <c r="KA228" s="16">
        <v>28</v>
      </c>
      <c r="KB228" s="16">
        <v>2</v>
      </c>
      <c r="KC228" s="16">
        <v>5</v>
      </c>
      <c r="KD228" s="16">
        <v>0</v>
      </c>
      <c r="KE228" s="16">
        <v>1</v>
      </c>
      <c r="KF228" s="16">
        <v>23</v>
      </c>
      <c r="KG228" s="16">
        <v>1</v>
      </c>
      <c r="KH228" s="16">
        <v>8</v>
      </c>
      <c r="KI228" s="16">
        <v>107</v>
      </c>
      <c r="KJ228" s="16">
        <v>116</v>
      </c>
      <c r="KK228" s="16">
        <v>39828</v>
      </c>
      <c r="KL228" s="16">
        <v>2</v>
      </c>
      <c r="KM228" s="16">
        <v>317</v>
      </c>
      <c r="KN228" s="16">
        <v>8</v>
      </c>
      <c r="KO228" s="16">
        <v>78</v>
      </c>
      <c r="KP228" s="16">
        <v>2</v>
      </c>
      <c r="KQ228" s="16">
        <v>7</v>
      </c>
      <c r="KR228" s="16">
        <v>403</v>
      </c>
      <c r="KS228" s="16">
        <v>0</v>
      </c>
      <c r="KT228" s="16">
        <v>3</v>
      </c>
      <c r="KU228" s="16">
        <v>116</v>
      </c>
      <c r="KV228" s="16">
        <v>549</v>
      </c>
      <c r="KW228" s="16">
        <v>1991</v>
      </c>
      <c r="KX228" s="16">
        <v>26</v>
      </c>
      <c r="KY228" s="16">
        <v>183</v>
      </c>
      <c r="KZ228" s="16">
        <v>27219</v>
      </c>
      <c r="LA228" s="16">
        <v>5696</v>
      </c>
      <c r="LB228" s="16">
        <v>2157</v>
      </c>
      <c r="LC228" s="16">
        <v>16793</v>
      </c>
      <c r="LD228" s="16">
        <v>614</v>
      </c>
      <c r="LE228" s="16">
        <v>497</v>
      </c>
      <c r="LF228" s="16">
        <v>1435</v>
      </c>
      <c r="LG228" s="16">
        <v>116</v>
      </c>
      <c r="LH228" s="16">
        <v>1027</v>
      </c>
      <c r="LI228" s="16">
        <v>5</v>
      </c>
      <c r="LJ228" s="16">
        <v>127</v>
      </c>
      <c r="LK228" s="16">
        <v>7214</v>
      </c>
      <c r="LL228" s="16">
        <v>3480</v>
      </c>
      <c r="LM228" s="16">
        <v>21519</v>
      </c>
      <c r="LN228" s="16">
        <v>34468</v>
      </c>
      <c r="LO228" s="16">
        <v>12</v>
      </c>
      <c r="LP228" s="16">
        <v>179</v>
      </c>
      <c r="LQ228" s="16">
        <v>14</v>
      </c>
      <c r="LR228" s="16">
        <v>4189</v>
      </c>
      <c r="LS228" s="16">
        <v>1119</v>
      </c>
      <c r="LT228" s="16">
        <v>14401</v>
      </c>
      <c r="LU228" s="16">
        <v>5959</v>
      </c>
      <c r="LV228" s="16">
        <v>38</v>
      </c>
      <c r="LW228" s="16">
        <v>3711</v>
      </c>
      <c r="LX228" s="16">
        <v>6919</v>
      </c>
      <c r="LY228" s="16">
        <v>0</v>
      </c>
      <c r="LZ228" s="16">
        <v>98</v>
      </c>
      <c r="MA228" s="16">
        <v>242</v>
      </c>
      <c r="MB228" s="16">
        <v>29274</v>
      </c>
      <c r="MC228" s="16">
        <v>503</v>
      </c>
      <c r="MD228" s="16">
        <v>284</v>
      </c>
      <c r="ME228" s="16">
        <v>73</v>
      </c>
      <c r="MF228" s="16">
        <v>11922</v>
      </c>
      <c r="MG228" s="16">
        <v>780</v>
      </c>
      <c r="MH228" s="16">
        <v>155491</v>
      </c>
      <c r="MI228" s="16">
        <v>18</v>
      </c>
      <c r="MJ228" s="16">
        <v>438</v>
      </c>
      <c r="MK228" s="16">
        <v>881</v>
      </c>
      <c r="ML228" s="16">
        <v>689</v>
      </c>
      <c r="MM228" s="16">
        <v>19714</v>
      </c>
      <c r="MN228" s="16">
        <v>1262</v>
      </c>
      <c r="MO228" s="16">
        <v>315</v>
      </c>
      <c r="MP228" s="16">
        <v>1487</v>
      </c>
      <c r="MQ228" s="16">
        <v>47641</v>
      </c>
      <c r="MR228" s="16">
        <v>17880</v>
      </c>
      <c r="MS228" s="16">
        <v>42614</v>
      </c>
      <c r="MT228" s="16">
        <v>1732</v>
      </c>
      <c r="MU228" s="16">
        <v>7184</v>
      </c>
      <c r="MV228" s="16">
        <v>9440</v>
      </c>
      <c r="MW228" s="16">
        <v>50031</v>
      </c>
      <c r="MX228" s="16">
        <v>1460</v>
      </c>
      <c r="MY228" s="16">
        <v>210</v>
      </c>
      <c r="MZ228" s="16">
        <v>3127</v>
      </c>
      <c r="NA228" s="16">
        <v>3792</v>
      </c>
      <c r="NB228" s="16">
        <v>6849</v>
      </c>
      <c r="NC228" s="16">
        <v>6170</v>
      </c>
      <c r="ND228" s="16">
        <v>70</v>
      </c>
      <c r="NE228" s="16">
        <v>35</v>
      </c>
      <c r="NF228" s="16">
        <v>9391</v>
      </c>
      <c r="NG228" s="16">
        <v>315</v>
      </c>
      <c r="NH228" s="16">
        <v>80</v>
      </c>
      <c r="NI228" s="16">
        <v>1306</v>
      </c>
      <c r="NJ228" s="16">
        <v>1393</v>
      </c>
      <c r="NK228" s="16">
        <v>22</v>
      </c>
      <c r="NL228" s="16">
        <v>605</v>
      </c>
      <c r="NM228" s="16">
        <v>116</v>
      </c>
      <c r="NN228" s="16">
        <v>7</v>
      </c>
      <c r="NO228" s="16">
        <v>0</v>
      </c>
      <c r="NP228" s="16">
        <v>0</v>
      </c>
      <c r="NQ228" s="16">
        <v>265</v>
      </c>
      <c r="NR228" s="17">
        <v>773139</v>
      </c>
    </row>
    <row r="229" spans="1:382" ht="13.5" customHeight="1" x14ac:dyDescent="0.2">
      <c r="A229" s="2" t="s">
        <v>465</v>
      </c>
      <c r="B229" s="16">
        <v>0</v>
      </c>
      <c r="C229" s="16">
        <v>0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48</v>
      </c>
      <c r="R229" s="16">
        <v>0</v>
      </c>
      <c r="S229" s="16">
        <v>0</v>
      </c>
      <c r="T229" s="16">
        <v>0</v>
      </c>
      <c r="U229" s="16">
        <v>212</v>
      </c>
      <c r="V229" s="16">
        <v>0</v>
      </c>
      <c r="W229" s="16">
        <v>0</v>
      </c>
      <c r="X229" s="16">
        <v>14</v>
      </c>
      <c r="Y229" s="16">
        <v>70</v>
      </c>
      <c r="Z229" s="16">
        <v>360</v>
      </c>
      <c r="AA229" s="16">
        <v>13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209</v>
      </c>
      <c r="AH229" s="16">
        <v>0</v>
      </c>
      <c r="AI229" s="16">
        <v>87</v>
      </c>
      <c r="AJ229" s="16">
        <v>12</v>
      </c>
      <c r="AK229" s="16">
        <v>58</v>
      </c>
      <c r="AL229" s="16">
        <v>81</v>
      </c>
      <c r="AM229" s="16">
        <v>616</v>
      </c>
      <c r="AN229" s="16">
        <v>432</v>
      </c>
      <c r="AO229" s="16">
        <v>1514</v>
      </c>
      <c r="AP229" s="16">
        <v>0</v>
      </c>
      <c r="AQ229" s="16">
        <v>291</v>
      </c>
      <c r="AR229" s="16">
        <v>0</v>
      </c>
      <c r="AS229" s="16">
        <v>0</v>
      </c>
      <c r="AT229" s="16">
        <v>28</v>
      </c>
      <c r="AU229" s="16">
        <v>637</v>
      </c>
      <c r="AV229" s="16">
        <v>28</v>
      </c>
      <c r="AW229" s="16">
        <v>77</v>
      </c>
      <c r="AX229" s="16">
        <v>1</v>
      </c>
      <c r="AY229" s="16">
        <v>133</v>
      </c>
      <c r="AZ229" s="16">
        <v>96</v>
      </c>
      <c r="BA229" s="16">
        <v>3585</v>
      </c>
      <c r="BB229" s="16">
        <v>896</v>
      </c>
      <c r="BC229" s="16">
        <v>16</v>
      </c>
      <c r="BD229" s="16">
        <v>0</v>
      </c>
      <c r="BE229" s="16">
        <v>0</v>
      </c>
      <c r="BF229" s="16">
        <v>0</v>
      </c>
      <c r="BG229" s="16">
        <v>7</v>
      </c>
      <c r="BH229" s="16">
        <v>1369</v>
      </c>
      <c r="BI229" s="16">
        <v>755</v>
      </c>
      <c r="BJ229" s="16">
        <v>100</v>
      </c>
      <c r="BK229" s="16">
        <v>0</v>
      </c>
      <c r="BL229" s="16">
        <v>1039</v>
      </c>
      <c r="BM229" s="16">
        <v>0</v>
      </c>
      <c r="BN229" s="16">
        <v>0</v>
      </c>
      <c r="BO229" s="16">
        <v>135</v>
      </c>
      <c r="BP229" s="16">
        <v>63</v>
      </c>
      <c r="BQ229" s="16">
        <v>23</v>
      </c>
      <c r="BR229" s="16">
        <v>1</v>
      </c>
      <c r="BS229" s="16">
        <v>23</v>
      </c>
      <c r="BT229" s="16">
        <v>4</v>
      </c>
      <c r="BU229" s="16">
        <v>0</v>
      </c>
      <c r="BV229" s="16">
        <v>0</v>
      </c>
      <c r="BW229" s="16">
        <v>4</v>
      </c>
      <c r="BX229" s="16">
        <v>0</v>
      </c>
      <c r="BY229" s="16">
        <v>0</v>
      </c>
      <c r="BZ229" s="16">
        <v>0</v>
      </c>
      <c r="CA229" s="16">
        <v>1</v>
      </c>
      <c r="CB229" s="16">
        <v>0</v>
      </c>
      <c r="CC229" s="16">
        <v>85</v>
      </c>
      <c r="CD229" s="16">
        <v>0</v>
      </c>
      <c r="CE229" s="16">
        <v>48</v>
      </c>
      <c r="CF229" s="16">
        <v>0</v>
      </c>
      <c r="CG229" s="16">
        <v>17</v>
      </c>
      <c r="CH229" s="16">
        <v>155</v>
      </c>
      <c r="CI229" s="16">
        <v>0</v>
      </c>
      <c r="CJ229" s="16">
        <v>187</v>
      </c>
      <c r="CK229" s="16">
        <v>415</v>
      </c>
      <c r="CL229" s="16">
        <v>231</v>
      </c>
      <c r="CM229" s="16">
        <v>1062</v>
      </c>
      <c r="CN229" s="16">
        <v>6</v>
      </c>
      <c r="CO229" s="16">
        <v>572</v>
      </c>
      <c r="CP229" s="16">
        <v>154</v>
      </c>
      <c r="CQ229" s="16">
        <v>296</v>
      </c>
      <c r="CR229" s="16">
        <v>440</v>
      </c>
      <c r="CS229" s="16">
        <v>7723</v>
      </c>
      <c r="CT229" s="16">
        <v>4207</v>
      </c>
      <c r="CU229" s="16">
        <v>9391</v>
      </c>
      <c r="CV229" s="16">
        <v>9473</v>
      </c>
      <c r="CW229" s="16">
        <v>40975</v>
      </c>
      <c r="CX229" s="16">
        <v>18498</v>
      </c>
      <c r="CY229" s="16">
        <v>2627</v>
      </c>
      <c r="CZ229" s="16">
        <v>298</v>
      </c>
      <c r="DA229" s="16">
        <v>78</v>
      </c>
      <c r="DB229" s="16">
        <v>3444</v>
      </c>
      <c r="DC229" s="16">
        <v>0</v>
      </c>
      <c r="DD229" s="16">
        <v>0</v>
      </c>
      <c r="DE229" s="16">
        <v>1088</v>
      </c>
      <c r="DF229" s="16">
        <v>1192</v>
      </c>
      <c r="DG229" s="16">
        <v>11348</v>
      </c>
      <c r="DH229" s="16">
        <v>8620</v>
      </c>
      <c r="DI229" s="16">
        <v>369</v>
      </c>
      <c r="DJ229" s="16">
        <v>5663</v>
      </c>
      <c r="DK229" s="16">
        <v>109</v>
      </c>
      <c r="DL229" s="16">
        <v>646</v>
      </c>
      <c r="DM229" s="16">
        <v>855</v>
      </c>
      <c r="DN229" s="16">
        <v>71</v>
      </c>
      <c r="DO229" s="16">
        <v>95</v>
      </c>
      <c r="DP229" s="16">
        <v>1213</v>
      </c>
      <c r="DQ229" s="16">
        <v>25</v>
      </c>
      <c r="DR229" s="16">
        <v>105</v>
      </c>
      <c r="DS229" s="16">
        <v>4344</v>
      </c>
      <c r="DT229" s="16">
        <v>15</v>
      </c>
      <c r="DU229" s="16">
        <v>245</v>
      </c>
      <c r="DV229" s="16">
        <v>8187</v>
      </c>
      <c r="DW229" s="16">
        <v>7411</v>
      </c>
      <c r="DX229" s="16">
        <v>683</v>
      </c>
      <c r="DY229" s="16">
        <v>4961</v>
      </c>
      <c r="DZ229" s="16">
        <v>3566</v>
      </c>
      <c r="EA229" s="16">
        <v>793</v>
      </c>
      <c r="EB229" s="16">
        <v>5</v>
      </c>
      <c r="EC229" s="16">
        <v>400</v>
      </c>
      <c r="ED229" s="16">
        <v>45</v>
      </c>
      <c r="EE229" s="16">
        <v>33</v>
      </c>
      <c r="EF229" s="16">
        <v>1076</v>
      </c>
      <c r="EG229" s="16">
        <v>1236</v>
      </c>
      <c r="EH229" s="16">
        <v>84</v>
      </c>
      <c r="EI229" s="16">
        <v>14</v>
      </c>
      <c r="EJ229" s="16">
        <v>2551</v>
      </c>
      <c r="EK229" s="16">
        <v>277</v>
      </c>
      <c r="EL229" s="16">
        <v>20</v>
      </c>
      <c r="EM229" s="16">
        <v>105</v>
      </c>
      <c r="EN229" s="16">
        <v>369</v>
      </c>
      <c r="EO229" s="16">
        <v>204</v>
      </c>
      <c r="EP229" s="16">
        <v>61</v>
      </c>
      <c r="EQ229" s="16">
        <v>267</v>
      </c>
      <c r="ER229" s="16">
        <v>114</v>
      </c>
      <c r="ES229" s="16">
        <v>63</v>
      </c>
      <c r="ET229" s="16">
        <v>786</v>
      </c>
      <c r="EU229" s="16">
        <v>269</v>
      </c>
      <c r="EV229" s="16">
        <v>138</v>
      </c>
      <c r="EW229" s="16">
        <v>1558</v>
      </c>
      <c r="EX229" s="16">
        <v>3156</v>
      </c>
      <c r="EY229" s="16">
        <v>303</v>
      </c>
      <c r="EZ229" s="16">
        <v>187</v>
      </c>
      <c r="FA229" s="16">
        <v>7854</v>
      </c>
      <c r="FB229" s="16">
        <v>6</v>
      </c>
      <c r="FC229" s="16">
        <v>1026</v>
      </c>
      <c r="FD229" s="16">
        <v>6708</v>
      </c>
      <c r="FE229" s="16">
        <v>7057</v>
      </c>
      <c r="FF229" s="16">
        <v>1624</v>
      </c>
      <c r="FG229" s="16">
        <v>3624</v>
      </c>
      <c r="FH229" s="16">
        <v>35</v>
      </c>
      <c r="FI229" s="16">
        <v>60</v>
      </c>
      <c r="FJ229" s="16">
        <v>60</v>
      </c>
      <c r="FK229" s="16">
        <v>30</v>
      </c>
      <c r="FL229" s="16">
        <v>0</v>
      </c>
      <c r="FM229" s="16">
        <v>460</v>
      </c>
      <c r="FN229" s="16">
        <v>2145</v>
      </c>
      <c r="FO229" s="16">
        <v>278</v>
      </c>
      <c r="FP229" s="16">
        <v>1439</v>
      </c>
      <c r="FQ229" s="16">
        <v>4567</v>
      </c>
      <c r="FR229" s="16">
        <v>16563</v>
      </c>
      <c r="FS229" s="16">
        <v>7190</v>
      </c>
      <c r="FT229" s="16">
        <v>21787</v>
      </c>
      <c r="FU229" s="16">
        <v>5389</v>
      </c>
      <c r="FV229" s="16">
        <v>1684</v>
      </c>
      <c r="FW229" s="16">
        <v>4213</v>
      </c>
      <c r="FX229" s="16">
        <v>14486</v>
      </c>
      <c r="FY229" s="16">
        <v>500</v>
      </c>
      <c r="FZ229" s="16">
        <v>1222</v>
      </c>
      <c r="GA229" s="16">
        <v>1420</v>
      </c>
      <c r="GB229" s="16">
        <v>587</v>
      </c>
      <c r="GC229" s="16">
        <v>269</v>
      </c>
      <c r="GD229" s="16">
        <v>36084</v>
      </c>
      <c r="GE229" s="16">
        <v>0</v>
      </c>
      <c r="GF229" s="16">
        <v>50334</v>
      </c>
      <c r="GG229" s="16">
        <v>7247</v>
      </c>
      <c r="GH229" s="16">
        <v>0</v>
      </c>
      <c r="GI229" s="16">
        <v>650</v>
      </c>
      <c r="GJ229" s="16">
        <v>0</v>
      </c>
      <c r="GK229" s="16">
        <v>0</v>
      </c>
      <c r="GL229" s="16">
        <v>0</v>
      </c>
      <c r="GM229" s="16">
        <v>0</v>
      </c>
      <c r="GN229" s="16">
        <v>0</v>
      </c>
      <c r="GO229" s="16">
        <v>0</v>
      </c>
      <c r="GP229" s="16">
        <v>0</v>
      </c>
      <c r="GQ229" s="16">
        <v>0</v>
      </c>
      <c r="GR229" s="16">
        <v>0</v>
      </c>
      <c r="GS229" s="16">
        <v>0</v>
      </c>
      <c r="GT229" s="16">
        <v>0</v>
      </c>
      <c r="GU229" s="16">
        <v>0</v>
      </c>
      <c r="GV229" s="16">
        <v>2001</v>
      </c>
      <c r="GW229" s="16">
        <v>5307</v>
      </c>
      <c r="GX229" s="16">
        <v>0</v>
      </c>
      <c r="GY229" s="16">
        <v>0</v>
      </c>
      <c r="GZ229" s="16">
        <v>0</v>
      </c>
      <c r="HA229" s="16">
        <v>0</v>
      </c>
      <c r="HB229" s="16">
        <v>4823</v>
      </c>
      <c r="HC229" s="16">
        <v>0</v>
      </c>
      <c r="HD229" s="16">
        <v>0</v>
      </c>
      <c r="HE229" s="16">
        <v>30</v>
      </c>
      <c r="HF229" s="16">
        <v>100</v>
      </c>
      <c r="HG229" s="16">
        <v>0</v>
      </c>
      <c r="HH229" s="16">
        <v>0</v>
      </c>
      <c r="HI229" s="16">
        <v>0</v>
      </c>
      <c r="HJ229" s="16">
        <v>0</v>
      </c>
      <c r="HK229" s="16">
        <v>0</v>
      </c>
      <c r="HL229" s="16">
        <v>7</v>
      </c>
      <c r="HM229" s="16">
        <v>7150</v>
      </c>
      <c r="HN229" s="16">
        <v>15823</v>
      </c>
      <c r="HO229" s="16">
        <v>686</v>
      </c>
      <c r="HP229" s="16">
        <v>474</v>
      </c>
      <c r="HQ229" s="16">
        <v>4226</v>
      </c>
      <c r="HR229" s="16">
        <v>22698</v>
      </c>
      <c r="HS229" s="16">
        <v>27898</v>
      </c>
      <c r="HT229" s="16">
        <v>32</v>
      </c>
      <c r="HU229" s="16">
        <v>1693055</v>
      </c>
      <c r="HV229" s="16">
        <v>385</v>
      </c>
      <c r="HW229" s="16">
        <v>2962</v>
      </c>
      <c r="HX229" s="16">
        <v>4000</v>
      </c>
      <c r="HY229" s="16">
        <v>3341</v>
      </c>
      <c r="HZ229" s="16">
        <v>13510</v>
      </c>
      <c r="IA229" s="16">
        <v>3718</v>
      </c>
      <c r="IB229" s="16">
        <v>83</v>
      </c>
      <c r="IC229" s="16">
        <v>2024</v>
      </c>
      <c r="ID229" s="16">
        <v>8152</v>
      </c>
      <c r="IE229" s="16">
        <v>21</v>
      </c>
      <c r="IF229" s="16">
        <v>1837</v>
      </c>
      <c r="IG229" s="16">
        <v>10064</v>
      </c>
      <c r="IH229" s="16">
        <v>0</v>
      </c>
      <c r="II229" s="16">
        <v>8315</v>
      </c>
      <c r="IJ229" s="16">
        <v>0</v>
      </c>
      <c r="IK229" s="16">
        <v>0</v>
      </c>
      <c r="IL229" s="16">
        <v>0</v>
      </c>
      <c r="IM229" s="16">
        <v>0</v>
      </c>
      <c r="IN229" s="16">
        <v>0</v>
      </c>
      <c r="IO229" s="16">
        <v>15722</v>
      </c>
      <c r="IP229" s="16">
        <v>0</v>
      </c>
      <c r="IQ229" s="16">
        <v>0</v>
      </c>
      <c r="IR229" s="16">
        <v>42</v>
      </c>
      <c r="IS229" s="16">
        <v>0</v>
      </c>
      <c r="IT229" s="16">
        <v>5</v>
      </c>
      <c r="IU229" s="16">
        <v>0</v>
      </c>
      <c r="IV229" s="16">
        <v>0</v>
      </c>
      <c r="IW229" s="16">
        <v>529</v>
      </c>
      <c r="IX229" s="16">
        <v>804</v>
      </c>
      <c r="IY229" s="16">
        <v>124</v>
      </c>
      <c r="IZ229" s="16">
        <v>0</v>
      </c>
      <c r="JA229" s="16">
        <v>147</v>
      </c>
      <c r="JB229" s="16">
        <v>0</v>
      </c>
      <c r="JC229" s="16">
        <v>5</v>
      </c>
      <c r="JD229" s="16">
        <v>10</v>
      </c>
      <c r="JE229" s="16">
        <v>156</v>
      </c>
      <c r="JF229" s="16">
        <v>107</v>
      </c>
      <c r="JG229" s="16">
        <v>38627</v>
      </c>
      <c r="JH229" s="16">
        <v>68600</v>
      </c>
      <c r="JI229" s="16">
        <v>0</v>
      </c>
      <c r="JJ229" s="16">
        <v>7981</v>
      </c>
      <c r="JK229" s="16">
        <v>7625</v>
      </c>
      <c r="JL229" s="16">
        <v>649</v>
      </c>
      <c r="JM229" s="16">
        <v>867</v>
      </c>
      <c r="JN229" s="16">
        <v>14062</v>
      </c>
      <c r="JO229" s="16">
        <v>49729</v>
      </c>
      <c r="JP229" s="16">
        <v>0</v>
      </c>
      <c r="JQ229" s="16">
        <v>40334</v>
      </c>
      <c r="JR229" s="16">
        <v>14760</v>
      </c>
      <c r="JS229" s="16">
        <v>2540</v>
      </c>
      <c r="JT229" s="16">
        <v>0</v>
      </c>
      <c r="JU229" s="16">
        <v>6345</v>
      </c>
      <c r="JV229" s="16">
        <v>572</v>
      </c>
      <c r="JW229" s="16">
        <v>273516</v>
      </c>
      <c r="JX229" s="16">
        <v>283103</v>
      </c>
      <c r="JY229" s="16">
        <v>60903</v>
      </c>
      <c r="JZ229" s="16">
        <v>5265</v>
      </c>
      <c r="KA229" s="16">
        <v>1535</v>
      </c>
      <c r="KB229" s="16">
        <v>450</v>
      </c>
      <c r="KC229" s="16">
        <v>442</v>
      </c>
      <c r="KD229" s="16">
        <v>2612</v>
      </c>
      <c r="KE229" s="16">
        <v>381</v>
      </c>
      <c r="KF229" s="16">
        <v>1054</v>
      </c>
      <c r="KG229" s="16">
        <v>1614</v>
      </c>
      <c r="KH229" s="16">
        <v>12109</v>
      </c>
      <c r="KI229" s="16">
        <v>78815</v>
      </c>
      <c r="KJ229" s="16">
        <v>17871</v>
      </c>
      <c r="KK229" s="16">
        <v>42107</v>
      </c>
      <c r="KL229" s="16">
        <v>843</v>
      </c>
      <c r="KM229" s="16">
        <v>111</v>
      </c>
      <c r="KN229" s="16">
        <v>3</v>
      </c>
      <c r="KO229" s="16">
        <v>4200</v>
      </c>
      <c r="KP229" s="16">
        <v>160</v>
      </c>
      <c r="KQ229" s="16">
        <v>359</v>
      </c>
      <c r="KR229" s="16">
        <v>677</v>
      </c>
      <c r="KS229" s="16">
        <v>2121</v>
      </c>
      <c r="KT229" s="16">
        <v>1280</v>
      </c>
      <c r="KU229" s="16">
        <v>568</v>
      </c>
      <c r="KV229" s="16">
        <v>23313</v>
      </c>
      <c r="KW229" s="16">
        <v>11398</v>
      </c>
      <c r="KX229" s="16">
        <v>0</v>
      </c>
      <c r="KY229" s="16">
        <v>0</v>
      </c>
      <c r="KZ229" s="16">
        <v>0</v>
      </c>
      <c r="LA229" s="16">
        <v>48</v>
      </c>
      <c r="LB229" s="16">
        <v>0</v>
      </c>
      <c r="LC229" s="16">
        <v>18</v>
      </c>
      <c r="LD229" s="16">
        <v>8562</v>
      </c>
      <c r="LE229" s="16">
        <v>0</v>
      </c>
      <c r="LF229" s="16">
        <v>4</v>
      </c>
      <c r="LG229" s="16">
        <v>0</v>
      </c>
      <c r="LH229" s="16">
        <v>0</v>
      </c>
      <c r="LI229" s="16">
        <v>36</v>
      </c>
      <c r="LJ229" s="16">
        <v>0</v>
      </c>
      <c r="LK229" s="16">
        <v>1066</v>
      </c>
      <c r="LL229" s="16">
        <v>441</v>
      </c>
      <c r="LM229" s="16">
        <v>1117</v>
      </c>
      <c r="LN229" s="16">
        <v>926</v>
      </c>
      <c r="LO229" s="16">
        <v>0</v>
      </c>
      <c r="LP229" s="16">
        <v>416</v>
      </c>
      <c r="LQ229" s="16">
        <v>417</v>
      </c>
      <c r="LR229" s="16">
        <v>0</v>
      </c>
      <c r="LS229" s="16">
        <v>0</v>
      </c>
      <c r="LT229" s="16">
        <v>0</v>
      </c>
      <c r="LU229" s="16">
        <v>0</v>
      </c>
      <c r="LV229" s="16">
        <v>0</v>
      </c>
      <c r="LW229" s="16">
        <v>0</v>
      </c>
      <c r="LX229" s="16">
        <v>0</v>
      </c>
      <c r="LY229" s="16">
        <v>0</v>
      </c>
      <c r="LZ229" s="16">
        <v>0</v>
      </c>
      <c r="MA229" s="16">
        <v>0</v>
      </c>
      <c r="MB229" s="16">
        <v>0</v>
      </c>
      <c r="MC229" s="16">
        <v>0</v>
      </c>
      <c r="MD229" s="16">
        <v>1</v>
      </c>
      <c r="ME229" s="16">
        <v>0</v>
      </c>
      <c r="MF229" s="16">
        <v>52345</v>
      </c>
      <c r="MG229" s="16">
        <v>753</v>
      </c>
      <c r="MH229" s="16">
        <v>95</v>
      </c>
      <c r="MI229" s="16">
        <v>244</v>
      </c>
      <c r="MJ229" s="16">
        <v>508</v>
      </c>
      <c r="MK229" s="16">
        <v>62614</v>
      </c>
      <c r="ML229" s="16">
        <v>2015</v>
      </c>
      <c r="MM229" s="16">
        <v>20</v>
      </c>
      <c r="MN229" s="16">
        <v>4243</v>
      </c>
      <c r="MO229" s="16">
        <v>21460</v>
      </c>
      <c r="MP229" s="16">
        <v>16996</v>
      </c>
      <c r="MQ229" s="16">
        <v>898</v>
      </c>
      <c r="MR229" s="16">
        <v>31009</v>
      </c>
      <c r="MS229" s="16">
        <v>8570</v>
      </c>
      <c r="MT229" s="16">
        <v>167</v>
      </c>
      <c r="MU229" s="16">
        <v>695</v>
      </c>
      <c r="MV229" s="16">
        <v>4695</v>
      </c>
      <c r="MW229" s="16">
        <v>1561</v>
      </c>
      <c r="MX229" s="16">
        <v>360</v>
      </c>
      <c r="MY229" s="16">
        <v>77</v>
      </c>
      <c r="MZ229" s="16">
        <v>13663</v>
      </c>
      <c r="NA229" s="16">
        <v>488</v>
      </c>
      <c r="NB229" s="16">
        <v>33751</v>
      </c>
      <c r="NC229" s="16">
        <v>2110</v>
      </c>
      <c r="ND229" s="16">
        <v>189</v>
      </c>
      <c r="NE229" s="16">
        <v>0</v>
      </c>
      <c r="NF229" s="16">
        <v>0</v>
      </c>
      <c r="NG229" s="16">
        <v>146</v>
      </c>
      <c r="NH229" s="16">
        <v>1114</v>
      </c>
      <c r="NI229" s="16">
        <v>0</v>
      </c>
      <c r="NJ229" s="16">
        <v>0</v>
      </c>
      <c r="NK229" s="16">
        <v>8400</v>
      </c>
      <c r="NL229" s="16">
        <v>3207</v>
      </c>
      <c r="NM229" s="16">
        <v>176</v>
      </c>
      <c r="NN229" s="16">
        <v>0</v>
      </c>
      <c r="NO229" s="16">
        <v>0</v>
      </c>
      <c r="NP229" s="16">
        <v>0</v>
      </c>
      <c r="NQ229" s="16">
        <v>1539</v>
      </c>
      <c r="NR229" s="17">
        <v>3621977</v>
      </c>
    </row>
    <row r="230" spans="1:382" ht="13.5" customHeight="1" x14ac:dyDescent="0.2">
      <c r="A230" s="2" t="s">
        <v>467</v>
      </c>
      <c r="B230" s="16">
        <v>16974</v>
      </c>
      <c r="C230" s="16">
        <v>16</v>
      </c>
      <c r="D230" s="16">
        <v>1772</v>
      </c>
      <c r="E230" s="16">
        <v>1835</v>
      </c>
      <c r="F230" s="16">
        <v>8886</v>
      </c>
      <c r="G230" s="16">
        <v>2513</v>
      </c>
      <c r="H230" s="16">
        <v>22</v>
      </c>
      <c r="I230" s="16">
        <v>1099</v>
      </c>
      <c r="J230" s="16">
        <v>64</v>
      </c>
      <c r="K230" s="16">
        <v>0</v>
      </c>
      <c r="L230" s="16">
        <v>1117</v>
      </c>
      <c r="M230" s="16">
        <v>1849</v>
      </c>
      <c r="N230" s="16">
        <v>9</v>
      </c>
      <c r="O230" s="16">
        <v>741</v>
      </c>
      <c r="P230" s="16">
        <v>2252</v>
      </c>
      <c r="Q230" s="16">
        <v>17002</v>
      </c>
      <c r="R230" s="16">
        <v>8755</v>
      </c>
      <c r="S230" s="16">
        <v>1511</v>
      </c>
      <c r="T230" s="16">
        <v>496</v>
      </c>
      <c r="U230" s="16">
        <v>698</v>
      </c>
      <c r="V230" s="16">
        <v>1178</v>
      </c>
      <c r="W230" s="16">
        <v>77</v>
      </c>
      <c r="X230" s="16">
        <v>0</v>
      </c>
      <c r="Y230" s="16">
        <v>0</v>
      </c>
      <c r="Z230" s="16">
        <v>5071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46</v>
      </c>
      <c r="AP230" s="16">
        <v>0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  <c r="AW230" s="16">
        <v>0</v>
      </c>
      <c r="AX230" s="16">
        <v>2</v>
      </c>
      <c r="AY230" s="16">
        <v>130</v>
      </c>
      <c r="AZ230" s="16">
        <v>0</v>
      </c>
      <c r="BA230" s="16">
        <v>856</v>
      </c>
      <c r="BB230" s="16">
        <v>1</v>
      </c>
      <c r="BC230" s="16">
        <v>6221</v>
      </c>
      <c r="BD230" s="16">
        <v>0</v>
      </c>
      <c r="BE230" s="16">
        <v>0</v>
      </c>
      <c r="BF230" s="16">
        <v>0</v>
      </c>
      <c r="BG230" s="16">
        <v>0</v>
      </c>
      <c r="BH230" s="16">
        <v>118</v>
      </c>
      <c r="BI230" s="16">
        <v>0</v>
      </c>
      <c r="BJ230" s="16">
        <v>0</v>
      </c>
      <c r="BK230" s="16">
        <v>0</v>
      </c>
      <c r="BL230" s="16">
        <v>0</v>
      </c>
      <c r="BM230" s="16">
        <v>0</v>
      </c>
      <c r="BN230" s="16">
        <v>0</v>
      </c>
      <c r="BO230" s="16">
        <v>0</v>
      </c>
      <c r="BP230" s="16">
        <v>0</v>
      </c>
      <c r="BQ230" s="16">
        <v>0</v>
      </c>
      <c r="BR230" s="16">
        <v>0</v>
      </c>
      <c r="BS230" s="16">
        <v>0</v>
      </c>
      <c r="BT230" s="16">
        <v>0</v>
      </c>
      <c r="BU230" s="16">
        <v>0</v>
      </c>
      <c r="BV230" s="16">
        <v>0</v>
      </c>
      <c r="BW230" s="16">
        <v>0</v>
      </c>
      <c r="BX230" s="16">
        <v>0</v>
      </c>
      <c r="BY230" s="16">
        <v>0</v>
      </c>
      <c r="BZ230" s="16">
        <v>0</v>
      </c>
      <c r="CA230" s="16">
        <v>0</v>
      </c>
      <c r="CB230" s="16">
        <v>0</v>
      </c>
      <c r="CC230" s="16">
        <v>0</v>
      </c>
      <c r="CD230" s="16">
        <v>0</v>
      </c>
      <c r="CE230" s="16">
        <v>0</v>
      </c>
      <c r="CF230" s="16">
        <v>0</v>
      </c>
      <c r="CG230" s="16">
        <v>0</v>
      </c>
      <c r="CH230" s="16">
        <v>0</v>
      </c>
      <c r="CI230" s="16">
        <v>0</v>
      </c>
      <c r="CJ230" s="16">
        <v>0</v>
      </c>
      <c r="CK230" s="16">
        <v>0</v>
      </c>
      <c r="CL230" s="16">
        <v>0</v>
      </c>
      <c r="CM230" s="16">
        <v>0</v>
      </c>
      <c r="CN230" s="16">
        <v>0</v>
      </c>
      <c r="CO230" s="16">
        <v>0</v>
      </c>
      <c r="CP230" s="16">
        <v>0</v>
      </c>
      <c r="CQ230" s="16">
        <v>0</v>
      </c>
      <c r="CR230" s="16">
        <v>0</v>
      </c>
      <c r="CS230" s="16">
        <v>0</v>
      </c>
      <c r="CT230" s="16">
        <v>0</v>
      </c>
      <c r="CU230" s="16">
        <v>0</v>
      </c>
      <c r="CV230" s="16">
        <v>0</v>
      </c>
      <c r="CW230" s="16">
        <v>0</v>
      </c>
      <c r="CX230" s="16">
        <v>0</v>
      </c>
      <c r="CY230" s="16">
        <v>0</v>
      </c>
      <c r="CZ230" s="16">
        <v>0</v>
      </c>
      <c r="DA230" s="16">
        <v>0</v>
      </c>
      <c r="DB230" s="16">
        <v>0</v>
      </c>
      <c r="DC230" s="16">
        <v>0</v>
      </c>
      <c r="DD230" s="16">
        <v>0</v>
      </c>
      <c r="DE230" s="16">
        <v>0</v>
      </c>
      <c r="DF230" s="16">
        <v>0</v>
      </c>
      <c r="DG230" s="16">
        <v>0</v>
      </c>
      <c r="DH230" s="16">
        <v>0</v>
      </c>
      <c r="DI230" s="16">
        <v>0</v>
      </c>
      <c r="DJ230" s="16">
        <v>0</v>
      </c>
      <c r="DK230" s="16">
        <v>0</v>
      </c>
      <c r="DL230" s="16">
        <v>0</v>
      </c>
      <c r="DM230" s="16">
        <v>0</v>
      </c>
      <c r="DN230" s="16">
        <v>203</v>
      </c>
      <c r="DO230" s="16">
        <v>0</v>
      </c>
      <c r="DP230" s="16">
        <v>0</v>
      </c>
      <c r="DQ230" s="16">
        <v>0</v>
      </c>
      <c r="DR230" s="16">
        <v>0</v>
      </c>
      <c r="DS230" s="16">
        <v>0</v>
      </c>
      <c r="DT230" s="16">
        <v>0</v>
      </c>
      <c r="DU230" s="16">
        <v>0</v>
      </c>
      <c r="DV230" s="16">
        <v>0</v>
      </c>
      <c r="DW230" s="16">
        <v>0</v>
      </c>
      <c r="DX230" s="16">
        <v>0</v>
      </c>
      <c r="DY230" s="16">
        <v>12</v>
      </c>
      <c r="DZ230" s="16">
        <v>0</v>
      </c>
      <c r="EA230" s="16">
        <v>0</v>
      </c>
      <c r="EB230" s="16">
        <v>0</v>
      </c>
      <c r="EC230" s="16">
        <v>0</v>
      </c>
      <c r="ED230" s="16">
        <v>0</v>
      </c>
      <c r="EE230" s="16">
        <v>0</v>
      </c>
      <c r="EF230" s="16">
        <v>0</v>
      </c>
      <c r="EG230" s="16">
        <v>0</v>
      </c>
      <c r="EH230" s="16">
        <v>0</v>
      </c>
      <c r="EI230" s="16">
        <v>0</v>
      </c>
      <c r="EJ230" s="16">
        <v>0</v>
      </c>
      <c r="EK230" s="16">
        <v>0</v>
      </c>
      <c r="EL230" s="16">
        <v>0</v>
      </c>
      <c r="EM230" s="16">
        <v>0</v>
      </c>
      <c r="EN230" s="16">
        <v>0</v>
      </c>
      <c r="EO230" s="16">
        <v>0</v>
      </c>
      <c r="EP230" s="16">
        <v>0</v>
      </c>
      <c r="EQ230" s="16">
        <v>0</v>
      </c>
      <c r="ER230" s="16">
        <v>0</v>
      </c>
      <c r="ES230" s="16">
        <v>0</v>
      </c>
      <c r="ET230" s="16">
        <v>0</v>
      </c>
      <c r="EU230" s="16">
        <v>0</v>
      </c>
      <c r="EV230" s="16">
        <v>0</v>
      </c>
      <c r="EW230" s="16">
        <v>0</v>
      </c>
      <c r="EX230" s="16">
        <v>0</v>
      </c>
      <c r="EY230" s="16">
        <v>0</v>
      </c>
      <c r="EZ230" s="16">
        <v>0</v>
      </c>
      <c r="FA230" s="16">
        <v>0</v>
      </c>
      <c r="FB230" s="16">
        <v>0</v>
      </c>
      <c r="FC230" s="16">
        <v>0</v>
      </c>
      <c r="FD230" s="16">
        <v>0</v>
      </c>
      <c r="FE230" s="16">
        <v>0</v>
      </c>
      <c r="FF230" s="16">
        <v>0</v>
      </c>
      <c r="FG230" s="16">
        <v>43</v>
      </c>
      <c r="FH230" s="16">
        <v>0</v>
      </c>
      <c r="FI230" s="16">
        <v>0</v>
      </c>
      <c r="FJ230" s="16">
        <v>0</v>
      </c>
      <c r="FK230" s="16">
        <v>0</v>
      </c>
      <c r="FL230" s="16">
        <v>0</v>
      </c>
      <c r="FM230" s="16">
        <v>0</v>
      </c>
      <c r="FN230" s="16">
        <v>0</v>
      </c>
      <c r="FO230" s="16">
        <v>0</v>
      </c>
      <c r="FP230" s="16">
        <v>0</v>
      </c>
      <c r="FQ230" s="16">
        <v>76</v>
      </c>
      <c r="FR230" s="16">
        <v>50</v>
      </c>
      <c r="FS230" s="16">
        <v>0</v>
      </c>
      <c r="FT230" s="16">
        <v>0</v>
      </c>
      <c r="FU230" s="16">
        <v>0</v>
      </c>
      <c r="FV230" s="16">
        <v>105</v>
      </c>
      <c r="FW230" s="16">
        <v>0</v>
      </c>
      <c r="FX230" s="16">
        <v>0</v>
      </c>
      <c r="FY230" s="16">
        <v>0</v>
      </c>
      <c r="FZ230" s="16">
        <v>86</v>
      </c>
      <c r="GA230" s="16">
        <v>0</v>
      </c>
      <c r="GB230" s="16">
        <v>0</v>
      </c>
      <c r="GC230" s="16">
        <v>0</v>
      </c>
      <c r="GD230" s="16">
        <v>202</v>
      </c>
      <c r="GE230" s="16">
        <v>0</v>
      </c>
      <c r="GF230" s="16">
        <v>0</v>
      </c>
      <c r="GG230" s="16">
        <v>0</v>
      </c>
      <c r="GH230" s="16">
        <v>0</v>
      </c>
      <c r="GI230" s="16">
        <v>0</v>
      </c>
      <c r="GJ230" s="16">
        <v>0</v>
      </c>
      <c r="GK230" s="16">
        <v>0</v>
      </c>
      <c r="GL230" s="16">
        <v>0</v>
      </c>
      <c r="GM230" s="16">
        <v>0</v>
      </c>
      <c r="GN230" s="16">
        <v>0</v>
      </c>
      <c r="GO230" s="16">
        <v>0</v>
      </c>
      <c r="GP230" s="16">
        <v>0</v>
      </c>
      <c r="GQ230" s="16">
        <v>0</v>
      </c>
      <c r="GR230" s="16">
        <v>0</v>
      </c>
      <c r="GS230" s="16">
        <v>0</v>
      </c>
      <c r="GT230" s="16">
        <v>0</v>
      </c>
      <c r="GU230" s="16">
        <v>0</v>
      </c>
      <c r="GV230" s="16">
        <v>0</v>
      </c>
      <c r="GW230" s="16">
        <v>0</v>
      </c>
      <c r="GX230" s="16">
        <v>0</v>
      </c>
      <c r="GY230" s="16">
        <v>0</v>
      </c>
      <c r="GZ230" s="16">
        <v>0</v>
      </c>
      <c r="HA230" s="16">
        <v>0</v>
      </c>
      <c r="HB230" s="16">
        <v>0</v>
      </c>
      <c r="HC230" s="16">
        <v>0</v>
      </c>
      <c r="HD230" s="16">
        <v>0</v>
      </c>
      <c r="HE230" s="16">
        <v>0</v>
      </c>
      <c r="HF230" s="16">
        <v>0</v>
      </c>
      <c r="HG230" s="16">
        <v>0</v>
      </c>
      <c r="HH230" s="16">
        <v>0</v>
      </c>
      <c r="HI230" s="16">
        <v>0</v>
      </c>
      <c r="HJ230" s="16">
        <v>0</v>
      </c>
      <c r="HK230" s="16">
        <v>0</v>
      </c>
      <c r="HL230" s="16">
        <v>0</v>
      </c>
      <c r="HM230" s="16">
        <v>246</v>
      </c>
      <c r="HN230" s="16">
        <v>283</v>
      </c>
      <c r="HO230" s="16">
        <v>1</v>
      </c>
      <c r="HP230" s="16">
        <v>96</v>
      </c>
      <c r="HQ230" s="16">
        <v>55</v>
      </c>
      <c r="HR230" s="16">
        <v>10</v>
      </c>
      <c r="HS230" s="16">
        <v>0</v>
      </c>
      <c r="HT230" s="16">
        <v>0</v>
      </c>
      <c r="HU230" s="16">
        <v>15</v>
      </c>
      <c r="HV230" s="16">
        <v>947839</v>
      </c>
      <c r="HW230" s="16">
        <v>136</v>
      </c>
      <c r="HX230" s="16">
        <v>0</v>
      </c>
      <c r="HY230" s="16">
        <v>78</v>
      </c>
      <c r="HZ230" s="16">
        <v>0</v>
      </c>
      <c r="IA230" s="16">
        <v>0</v>
      </c>
      <c r="IB230" s="16">
        <v>0</v>
      </c>
      <c r="IC230" s="16">
        <v>0</v>
      </c>
      <c r="ID230" s="16">
        <v>98</v>
      </c>
      <c r="IE230" s="16">
        <v>0</v>
      </c>
      <c r="IF230" s="16">
        <v>0</v>
      </c>
      <c r="IG230" s="16">
        <v>0</v>
      </c>
      <c r="IH230" s="16">
        <v>0</v>
      </c>
      <c r="II230" s="16">
        <v>0</v>
      </c>
      <c r="IJ230" s="16">
        <v>0</v>
      </c>
      <c r="IK230" s="16">
        <v>0</v>
      </c>
      <c r="IL230" s="16">
        <v>0</v>
      </c>
      <c r="IM230" s="16">
        <v>0</v>
      </c>
      <c r="IN230" s="16">
        <v>0</v>
      </c>
      <c r="IO230" s="16">
        <v>0</v>
      </c>
      <c r="IP230" s="16">
        <v>46</v>
      </c>
      <c r="IQ230" s="16">
        <v>2</v>
      </c>
      <c r="IR230" s="16">
        <v>0</v>
      </c>
      <c r="IS230" s="16">
        <v>0</v>
      </c>
      <c r="IT230" s="16">
        <v>0</v>
      </c>
      <c r="IU230" s="16">
        <v>0</v>
      </c>
      <c r="IV230" s="16">
        <v>0</v>
      </c>
      <c r="IW230" s="16">
        <v>0</v>
      </c>
      <c r="IX230" s="16">
        <v>0</v>
      </c>
      <c r="IY230" s="16">
        <v>0</v>
      </c>
      <c r="IZ230" s="16">
        <v>0</v>
      </c>
      <c r="JA230" s="16">
        <v>0</v>
      </c>
      <c r="JB230" s="16">
        <v>0</v>
      </c>
      <c r="JC230" s="16">
        <v>0</v>
      </c>
      <c r="JD230" s="16">
        <v>0</v>
      </c>
      <c r="JE230" s="16">
        <v>0</v>
      </c>
      <c r="JF230" s="16">
        <v>2</v>
      </c>
      <c r="JG230" s="16">
        <v>2691</v>
      </c>
      <c r="JH230" s="16">
        <v>4205</v>
      </c>
      <c r="JI230" s="16">
        <v>0</v>
      </c>
      <c r="JJ230" s="16">
        <v>0</v>
      </c>
      <c r="JK230" s="16">
        <v>0</v>
      </c>
      <c r="JL230" s="16">
        <v>0</v>
      </c>
      <c r="JM230" s="16">
        <v>0</v>
      </c>
      <c r="JN230" s="16">
        <v>0</v>
      </c>
      <c r="JO230" s="16">
        <v>0</v>
      </c>
      <c r="JP230" s="16">
        <v>0</v>
      </c>
      <c r="JQ230" s="16">
        <v>0</v>
      </c>
      <c r="JR230" s="16">
        <v>5</v>
      </c>
      <c r="JS230" s="16">
        <v>0</v>
      </c>
      <c r="JT230" s="16">
        <v>0</v>
      </c>
      <c r="JU230" s="16">
        <v>0</v>
      </c>
      <c r="JV230" s="16">
        <v>0</v>
      </c>
      <c r="JW230" s="16">
        <v>135</v>
      </c>
      <c r="JX230" s="16">
        <v>228</v>
      </c>
      <c r="JY230" s="16">
        <v>8</v>
      </c>
      <c r="JZ230" s="16">
        <v>1</v>
      </c>
      <c r="KA230" s="16">
        <v>1</v>
      </c>
      <c r="KB230" s="16">
        <v>0</v>
      </c>
      <c r="KC230" s="16">
        <v>0</v>
      </c>
      <c r="KD230" s="16">
        <v>0</v>
      </c>
      <c r="KE230" s="16">
        <v>1</v>
      </c>
      <c r="KF230" s="16">
        <v>8</v>
      </c>
      <c r="KG230" s="16">
        <v>1</v>
      </c>
      <c r="KH230" s="16">
        <v>14</v>
      </c>
      <c r="KI230" s="16">
        <v>39</v>
      </c>
      <c r="KJ230" s="16">
        <v>0</v>
      </c>
      <c r="KK230" s="16">
        <v>2387</v>
      </c>
      <c r="KL230" s="16">
        <v>0</v>
      </c>
      <c r="KM230" s="16">
        <v>0</v>
      </c>
      <c r="KN230" s="16">
        <v>0</v>
      </c>
      <c r="KO230" s="16">
        <v>0</v>
      </c>
      <c r="KP230" s="16">
        <v>0</v>
      </c>
      <c r="KQ230" s="16">
        <v>0</v>
      </c>
      <c r="KR230" s="16">
        <v>0</v>
      </c>
      <c r="KS230" s="16">
        <v>0</v>
      </c>
      <c r="KT230" s="16">
        <v>0</v>
      </c>
      <c r="KU230" s="16">
        <v>0</v>
      </c>
      <c r="KV230" s="16">
        <v>0</v>
      </c>
      <c r="KW230" s="16">
        <v>0</v>
      </c>
      <c r="KX230" s="16">
        <v>0</v>
      </c>
      <c r="KY230" s="16">
        <v>0</v>
      </c>
      <c r="KZ230" s="16">
        <v>0</v>
      </c>
      <c r="LA230" s="16">
        <v>0</v>
      </c>
      <c r="LB230" s="16">
        <v>0</v>
      </c>
      <c r="LC230" s="16">
        <v>0</v>
      </c>
      <c r="LD230" s="16">
        <v>0</v>
      </c>
      <c r="LE230" s="16">
        <v>0</v>
      </c>
      <c r="LF230" s="16">
        <v>0</v>
      </c>
      <c r="LG230" s="16">
        <v>0</v>
      </c>
      <c r="LH230" s="16">
        <v>0</v>
      </c>
      <c r="LI230" s="16">
        <v>0</v>
      </c>
      <c r="LJ230" s="16">
        <v>0</v>
      </c>
      <c r="LK230" s="16">
        <v>0</v>
      </c>
      <c r="LL230" s="16">
        <v>0</v>
      </c>
      <c r="LM230" s="16">
        <v>0</v>
      </c>
      <c r="LN230" s="16">
        <v>0</v>
      </c>
      <c r="LO230" s="16">
        <v>0</v>
      </c>
      <c r="LP230" s="16">
        <v>0</v>
      </c>
      <c r="LQ230" s="16">
        <v>0</v>
      </c>
      <c r="LR230" s="16">
        <v>0</v>
      </c>
      <c r="LS230" s="16">
        <v>0</v>
      </c>
      <c r="LT230" s="16">
        <v>0</v>
      </c>
      <c r="LU230" s="16">
        <v>0</v>
      </c>
      <c r="LV230" s="16">
        <v>0</v>
      </c>
      <c r="LW230" s="16">
        <v>0</v>
      </c>
      <c r="LX230" s="16">
        <v>0</v>
      </c>
      <c r="LY230" s="16">
        <v>0</v>
      </c>
      <c r="LZ230" s="16">
        <v>0</v>
      </c>
      <c r="MA230" s="16">
        <v>0</v>
      </c>
      <c r="MB230" s="16">
        <v>0</v>
      </c>
      <c r="MC230" s="16">
        <v>259</v>
      </c>
      <c r="MD230" s="16">
        <v>0</v>
      </c>
      <c r="ME230" s="16">
        <v>0</v>
      </c>
      <c r="MF230" s="16">
        <v>13492</v>
      </c>
      <c r="MG230" s="16">
        <v>0</v>
      </c>
      <c r="MH230" s="16">
        <v>0</v>
      </c>
      <c r="MI230" s="16">
        <v>0</v>
      </c>
      <c r="MJ230" s="16">
        <v>0</v>
      </c>
      <c r="MK230" s="16">
        <v>14</v>
      </c>
      <c r="ML230" s="16">
        <v>12</v>
      </c>
      <c r="MM230" s="16">
        <v>0</v>
      </c>
      <c r="MN230" s="16">
        <v>0</v>
      </c>
      <c r="MO230" s="16">
        <v>407</v>
      </c>
      <c r="MP230" s="16">
        <v>0</v>
      </c>
      <c r="MQ230" s="16">
        <v>0</v>
      </c>
      <c r="MR230" s="16">
        <v>1243</v>
      </c>
      <c r="MS230" s="16">
        <v>6534</v>
      </c>
      <c r="MT230" s="16">
        <v>1</v>
      </c>
      <c r="MU230" s="16">
        <v>13</v>
      </c>
      <c r="MV230" s="16">
        <v>0</v>
      </c>
      <c r="MW230" s="16">
        <v>0</v>
      </c>
      <c r="MX230" s="16">
        <v>12</v>
      </c>
      <c r="MY230" s="16">
        <v>0</v>
      </c>
      <c r="MZ230" s="16">
        <v>1</v>
      </c>
      <c r="NA230" s="16">
        <v>42</v>
      </c>
      <c r="NB230" s="16">
        <v>0</v>
      </c>
      <c r="NC230" s="16">
        <v>571</v>
      </c>
      <c r="ND230" s="16">
        <v>0</v>
      </c>
      <c r="NE230" s="16">
        <v>3</v>
      </c>
      <c r="NF230" s="16">
        <v>0</v>
      </c>
      <c r="NG230" s="16">
        <v>10952</v>
      </c>
      <c r="NH230" s="16">
        <v>224</v>
      </c>
      <c r="NI230" s="16">
        <v>0</v>
      </c>
      <c r="NJ230" s="16">
        <v>0</v>
      </c>
      <c r="NK230" s="16">
        <v>0</v>
      </c>
      <c r="NL230" s="16">
        <v>102</v>
      </c>
      <c r="NM230" s="16">
        <v>222</v>
      </c>
      <c r="NN230" s="16">
        <v>0</v>
      </c>
      <c r="NO230" s="16">
        <v>0</v>
      </c>
      <c r="NP230" s="16">
        <v>170</v>
      </c>
      <c r="NQ230" s="16">
        <v>44</v>
      </c>
      <c r="NR230" s="17">
        <v>1075037</v>
      </c>
    </row>
    <row r="231" spans="1:382" ht="13.5" customHeight="1" x14ac:dyDescent="0.2">
      <c r="A231" s="2" t="s">
        <v>469</v>
      </c>
      <c r="B231" s="16">
        <v>0</v>
      </c>
      <c r="C231" s="16">
        <v>0</v>
      </c>
      <c r="D231" s="16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7</v>
      </c>
      <c r="Y231" s="16">
        <v>0</v>
      </c>
      <c r="Z231" s="16">
        <v>0</v>
      </c>
      <c r="AA231" s="16">
        <v>54</v>
      </c>
      <c r="AB231" s="16">
        <v>0</v>
      </c>
      <c r="AC231" s="16">
        <v>0</v>
      </c>
      <c r="AD231" s="16">
        <v>0</v>
      </c>
      <c r="AE231" s="16">
        <v>352</v>
      </c>
      <c r="AF231" s="16">
        <v>188</v>
      </c>
      <c r="AG231" s="16">
        <v>18399</v>
      </c>
      <c r="AH231" s="16">
        <v>14118</v>
      </c>
      <c r="AI231" s="16">
        <v>3320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0</v>
      </c>
      <c r="AX231" s="16">
        <v>0</v>
      </c>
      <c r="AY231" s="16">
        <v>0</v>
      </c>
      <c r="AZ231" s="16">
        <v>0</v>
      </c>
      <c r="BA231" s="16">
        <v>0</v>
      </c>
      <c r="BB231" s="16">
        <v>0</v>
      </c>
      <c r="BC231" s="16">
        <v>0</v>
      </c>
      <c r="BD231" s="16">
        <v>0</v>
      </c>
      <c r="BE231" s="16">
        <v>0</v>
      </c>
      <c r="BF231" s="16">
        <v>0</v>
      </c>
      <c r="BG231" s="16">
        <v>0</v>
      </c>
      <c r="BH231" s="16">
        <v>0</v>
      </c>
      <c r="BI231" s="16">
        <v>0</v>
      </c>
      <c r="BJ231" s="16">
        <v>0</v>
      </c>
      <c r="BK231" s="16">
        <v>0</v>
      </c>
      <c r="BL231" s="16">
        <v>0</v>
      </c>
      <c r="BM231" s="16">
        <v>0</v>
      </c>
      <c r="BN231" s="16">
        <v>0</v>
      </c>
      <c r="BO231" s="16">
        <v>0</v>
      </c>
      <c r="BP231" s="16">
        <v>0</v>
      </c>
      <c r="BQ231" s="16">
        <v>0</v>
      </c>
      <c r="BR231" s="16">
        <v>0</v>
      </c>
      <c r="BS231" s="16">
        <v>0</v>
      </c>
      <c r="BT231" s="16">
        <v>0</v>
      </c>
      <c r="BU231" s="16">
        <v>0</v>
      </c>
      <c r="BV231" s="16">
        <v>0</v>
      </c>
      <c r="BW231" s="16">
        <v>0</v>
      </c>
      <c r="BX231" s="16">
        <v>0</v>
      </c>
      <c r="BY231" s="16">
        <v>0</v>
      </c>
      <c r="BZ231" s="16">
        <v>0</v>
      </c>
      <c r="CA231" s="16">
        <v>0</v>
      </c>
      <c r="CB231" s="16">
        <v>0</v>
      </c>
      <c r="CC231" s="16">
        <v>0</v>
      </c>
      <c r="CD231" s="16">
        <v>0</v>
      </c>
      <c r="CE231" s="16">
        <v>0</v>
      </c>
      <c r="CF231" s="16">
        <v>0</v>
      </c>
      <c r="CG231" s="16">
        <v>0</v>
      </c>
      <c r="CH231" s="16">
        <v>0</v>
      </c>
      <c r="CI231" s="16">
        <v>0</v>
      </c>
      <c r="CJ231" s="16">
        <v>0</v>
      </c>
      <c r="CK231" s="16">
        <v>0</v>
      </c>
      <c r="CL231" s="16">
        <v>0</v>
      </c>
      <c r="CM231" s="16">
        <v>22</v>
      </c>
      <c r="CN231" s="16">
        <v>0</v>
      </c>
      <c r="CO231" s="16">
        <v>0</v>
      </c>
      <c r="CP231" s="16">
        <v>0</v>
      </c>
      <c r="CQ231" s="16">
        <v>0</v>
      </c>
      <c r="CR231" s="16">
        <v>1313</v>
      </c>
      <c r="CS231" s="16">
        <v>0</v>
      </c>
      <c r="CT231" s="16">
        <v>0</v>
      </c>
      <c r="CU231" s="16">
        <v>0</v>
      </c>
      <c r="CV231" s="16">
        <v>0</v>
      </c>
      <c r="CW231" s="16">
        <v>0</v>
      </c>
      <c r="CX231" s="16">
        <v>0</v>
      </c>
      <c r="CY231" s="16">
        <v>0</v>
      </c>
      <c r="CZ231" s="16">
        <v>0</v>
      </c>
      <c r="DA231" s="16">
        <v>0</v>
      </c>
      <c r="DB231" s="16">
        <v>0</v>
      </c>
      <c r="DC231" s="16">
        <v>0</v>
      </c>
      <c r="DD231" s="16">
        <v>0</v>
      </c>
      <c r="DE231" s="16">
        <v>0</v>
      </c>
      <c r="DF231" s="16">
        <v>0</v>
      </c>
      <c r="DG231" s="16">
        <v>0</v>
      </c>
      <c r="DH231" s="16">
        <v>97</v>
      </c>
      <c r="DI231" s="16">
        <v>0</v>
      </c>
      <c r="DJ231" s="16">
        <v>0</v>
      </c>
      <c r="DK231" s="16">
        <v>0</v>
      </c>
      <c r="DL231" s="16">
        <v>0</v>
      </c>
      <c r="DM231" s="16">
        <v>0</v>
      </c>
      <c r="DN231" s="16">
        <v>8</v>
      </c>
      <c r="DO231" s="16">
        <v>0</v>
      </c>
      <c r="DP231" s="16">
        <v>0</v>
      </c>
      <c r="DQ231" s="16">
        <v>0</v>
      </c>
      <c r="DR231" s="16">
        <v>0</v>
      </c>
      <c r="DS231" s="16">
        <v>0</v>
      </c>
      <c r="DT231" s="16">
        <v>0</v>
      </c>
      <c r="DU231" s="16">
        <v>0</v>
      </c>
      <c r="DV231" s="16">
        <v>25</v>
      </c>
      <c r="DW231" s="16">
        <v>0</v>
      </c>
      <c r="DX231" s="16">
        <v>61</v>
      </c>
      <c r="DY231" s="16">
        <v>49</v>
      </c>
      <c r="DZ231" s="16">
        <v>236</v>
      </c>
      <c r="EA231" s="16">
        <v>105</v>
      </c>
      <c r="EB231" s="16">
        <v>0</v>
      </c>
      <c r="EC231" s="16">
        <v>0</v>
      </c>
      <c r="ED231" s="16">
        <v>0</v>
      </c>
      <c r="EE231" s="16">
        <v>0</v>
      </c>
      <c r="EF231" s="16">
        <v>22</v>
      </c>
      <c r="EG231" s="16">
        <v>169</v>
      </c>
      <c r="EH231" s="16">
        <v>33</v>
      </c>
      <c r="EI231" s="16">
        <v>23</v>
      </c>
      <c r="EJ231" s="16">
        <v>1017</v>
      </c>
      <c r="EK231" s="16">
        <v>726</v>
      </c>
      <c r="EL231" s="16">
        <v>743</v>
      </c>
      <c r="EM231" s="16">
        <v>2521</v>
      </c>
      <c r="EN231" s="16">
        <v>6850</v>
      </c>
      <c r="EO231" s="16">
        <v>7517</v>
      </c>
      <c r="EP231" s="16">
        <v>260</v>
      </c>
      <c r="EQ231" s="16">
        <v>538</v>
      </c>
      <c r="ER231" s="16">
        <v>0</v>
      </c>
      <c r="ES231" s="16">
        <v>731</v>
      </c>
      <c r="ET231" s="16">
        <v>7503</v>
      </c>
      <c r="EU231" s="16">
        <v>10</v>
      </c>
      <c r="EV231" s="16">
        <v>756</v>
      </c>
      <c r="EW231" s="16">
        <v>6</v>
      </c>
      <c r="EX231" s="16">
        <v>3493</v>
      </c>
      <c r="EY231" s="16">
        <v>1146</v>
      </c>
      <c r="EZ231" s="16">
        <v>0</v>
      </c>
      <c r="FA231" s="16">
        <v>32</v>
      </c>
      <c r="FB231" s="16">
        <v>186</v>
      </c>
      <c r="FC231" s="16">
        <v>0</v>
      </c>
      <c r="FD231" s="16">
        <v>15</v>
      </c>
      <c r="FE231" s="16">
        <v>77</v>
      </c>
      <c r="FF231" s="16">
        <v>163</v>
      </c>
      <c r="FG231" s="16">
        <v>0</v>
      </c>
      <c r="FH231" s="16">
        <v>2</v>
      </c>
      <c r="FI231" s="16">
        <v>0</v>
      </c>
      <c r="FJ231" s="16">
        <v>83</v>
      </c>
      <c r="FK231" s="16">
        <v>0</v>
      </c>
      <c r="FL231" s="16">
        <v>9</v>
      </c>
      <c r="FM231" s="16">
        <v>0</v>
      </c>
      <c r="FN231" s="16">
        <v>112</v>
      </c>
      <c r="FO231" s="16">
        <v>0</v>
      </c>
      <c r="FP231" s="16">
        <v>82</v>
      </c>
      <c r="FQ231" s="16">
        <v>653</v>
      </c>
      <c r="FR231" s="16">
        <v>156</v>
      </c>
      <c r="FS231" s="16">
        <v>26</v>
      </c>
      <c r="FT231" s="16">
        <v>63</v>
      </c>
      <c r="FU231" s="16">
        <v>0</v>
      </c>
      <c r="FV231" s="16">
        <v>36</v>
      </c>
      <c r="FW231" s="16">
        <v>63</v>
      </c>
      <c r="FX231" s="16">
        <v>66</v>
      </c>
      <c r="FY231" s="16">
        <v>0</v>
      </c>
      <c r="FZ231" s="16">
        <v>68</v>
      </c>
      <c r="GA231" s="16">
        <v>20</v>
      </c>
      <c r="GB231" s="16">
        <v>0</v>
      </c>
      <c r="GC231" s="16">
        <v>0</v>
      </c>
      <c r="GD231" s="16">
        <v>31</v>
      </c>
      <c r="GE231" s="16">
        <v>0</v>
      </c>
      <c r="GF231" s="16">
        <v>0</v>
      </c>
      <c r="GG231" s="16">
        <v>0</v>
      </c>
      <c r="GH231" s="16">
        <v>0</v>
      </c>
      <c r="GI231" s="16">
        <v>0</v>
      </c>
      <c r="GJ231" s="16">
        <v>9</v>
      </c>
      <c r="GK231" s="16">
        <v>0</v>
      </c>
      <c r="GL231" s="16">
        <v>0</v>
      </c>
      <c r="GM231" s="16">
        <v>0</v>
      </c>
      <c r="GN231" s="16">
        <v>0</v>
      </c>
      <c r="GO231" s="16">
        <v>0</v>
      </c>
      <c r="GP231" s="16">
        <v>0</v>
      </c>
      <c r="GQ231" s="16">
        <v>0</v>
      </c>
      <c r="GR231" s="16">
        <v>0</v>
      </c>
      <c r="GS231" s="16">
        <v>0</v>
      </c>
      <c r="GT231" s="16">
        <v>0</v>
      </c>
      <c r="GU231" s="16">
        <v>0</v>
      </c>
      <c r="GV231" s="16">
        <v>0</v>
      </c>
      <c r="GW231" s="16">
        <v>0</v>
      </c>
      <c r="GX231" s="16">
        <v>0</v>
      </c>
      <c r="GY231" s="16">
        <v>0</v>
      </c>
      <c r="GZ231" s="16">
        <v>0</v>
      </c>
      <c r="HA231" s="16">
        <v>0</v>
      </c>
      <c r="HB231" s="16">
        <v>0</v>
      </c>
      <c r="HC231" s="16">
        <v>0</v>
      </c>
      <c r="HD231" s="16">
        <v>0</v>
      </c>
      <c r="HE231" s="16">
        <v>0</v>
      </c>
      <c r="HF231" s="16">
        <v>0</v>
      </c>
      <c r="HG231" s="16">
        <v>0</v>
      </c>
      <c r="HH231" s="16">
        <v>0</v>
      </c>
      <c r="HI231" s="16">
        <v>0</v>
      </c>
      <c r="HJ231" s="16">
        <v>0</v>
      </c>
      <c r="HK231" s="16">
        <v>0</v>
      </c>
      <c r="HL231" s="16">
        <v>0</v>
      </c>
      <c r="HM231" s="16">
        <v>82</v>
      </c>
      <c r="HN231" s="16">
        <v>318</v>
      </c>
      <c r="HO231" s="16">
        <v>117</v>
      </c>
      <c r="HP231" s="16">
        <v>0</v>
      </c>
      <c r="HQ231" s="16">
        <v>4403</v>
      </c>
      <c r="HR231" s="16">
        <v>46</v>
      </c>
      <c r="HS231" s="16">
        <v>576</v>
      </c>
      <c r="HT231" s="16">
        <v>0</v>
      </c>
      <c r="HU231" s="16">
        <v>42</v>
      </c>
      <c r="HV231" s="16">
        <v>13</v>
      </c>
      <c r="HW231" s="16">
        <v>1546678</v>
      </c>
      <c r="HX231" s="16">
        <v>9</v>
      </c>
      <c r="HY231" s="16">
        <v>42</v>
      </c>
      <c r="HZ231" s="16">
        <v>44</v>
      </c>
      <c r="IA231" s="16">
        <v>76</v>
      </c>
      <c r="IB231" s="16">
        <v>0</v>
      </c>
      <c r="IC231" s="16">
        <v>30</v>
      </c>
      <c r="ID231" s="16">
        <v>18</v>
      </c>
      <c r="IE231" s="16">
        <v>0</v>
      </c>
      <c r="IF231" s="16">
        <v>38</v>
      </c>
      <c r="IG231" s="16">
        <v>137</v>
      </c>
      <c r="IH231" s="16">
        <v>0</v>
      </c>
      <c r="II231" s="16">
        <v>0</v>
      </c>
      <c r="IJ231" s="16">
        <v>0</v>
      </c>
      <c r="IK231" s="16">
        <v>0</v>
      </c>
      <c r="IL231" s="16">
        <v>787</v>
      </c>
      <c r="IM231" s="16">
        <v>0</v>
      </c>
      <c r="IN231" s="16">
        <v>0</v>
      </c>
      <c r="IO231" s="16">
        <v>0</v>
      </c>
      <c r="IP231" s="16">
        <v>170</v>
      </c>
      <c r="IQ231" s="16">
        <v>15</v>
      </c>
      <c r="IR231" s="16">
        <v>98</v>
      </c>
      <c r="IS231" s="16">
        <v>0</v>
      </c>
      <c r="IT231" s="16">
        <v>0</v>
      </c>
      <c r="IU231" s="16">
        <v>0</v>
      </c>
      <c r="IV231" s="16">
        <v>257</v>
      </c>
      <c r="IW231" s="16">
        <v>27</v>
      </c>
      <c r="IX231" s="16">
        <v>75</v>
      </c>
      <c r="IY231" s="16">
        <v>0</v>
      </c>
      <c r="IZ231" s="16">
        <v>0</v>
      </c>
      <c r="JA231" s="16">
        <v>0</v>
      </c>
      <c r="JB231" s="16">
        <v>0</v>
      </c>
      <c r="JC231" s="16">
        <v>0</v>
      </c>
      <c r="JD231" s="16">
        <v>0</v>
      </c>
      <c r="JE231" s="16">
        <v>0</v>
      </c>
      <c r="JF231" s="16">
        <v>0</v>
      </c>
      <c r="JG231" s="16">
        <v>5584</v>
      </c>
      <c r="JH231" s="16">
        <v>5937</v>
      </c>
      <c r="JI231" s="16">
        <v>0</v>
      </c>
      <c r="JJ231" s="16">
        <v>0</v>
      </c>
      <c r="JK231" s="16">
        <v>0</v>
      </c>
      <c r="JL231" s="16">
        <v>0</v>
      </c>
      <c r="JM231" s="16">
        <v>0</v>
      </c>
      <c r="JN231" s="16">
        <v>0</v>
      </c>
      <c r="JO231" s="16">
        <v>0</v>
      </c>
      <c r="JP231" s="16">
        <v>0</v>
      </c>
      <c r="JQ231" s="16">
        <v>231</v>
      </c>
      <c r="JR231" s="16">
        <v>7908</v>
      </c>
      <c r="JS231" s="16">
        <v>1561</v>
      </c>
      <c r="JT231" s="16">
        <v>0</v>
      </c>
      <c r="JU231" s="16">
        <v>1772</v>
      </c>
      <c r="JV231" s="16">
        <v>432</v>
      </c>
      <c r="JW231" s="16">
        <v>25729</v>
      </c>
      <c r="JX231" s="16">
        <v>39696</v>
      </c>
      <c r="JY231" s="16">
        <v>1453</v>
      </c>
      <c r="JZ231" s="16">
        <v>14902</v>
      </c>
      <c r="KA231" s="16">
        <v>4513</v>
      </c>
      <c r="KB231" s="16">
        <v>371</v>
      </c>
      <c r="KC231" s="16">
        <v>637</v>
      </c>
      <c r="KD231" s="16">
        <v>3092</v>
      </c>
      <c r="KE231" s="16">
        <v>690</v>
      </c>
      <c r="KF231" s="16">
        <v>2959</v>
      </c>
      <c r="KG231" s="16">
        <v>2140</v>
      </c>
      <c r="KH231" s="16">
        <v>79</v>
      </c>
      <c r="KI231" s="16">
        <v>1061</v>
      </c>
      <c r="KJ231" s="16">
        <v>10475</v>
      </c>
      <c r="KK231" s="16">
        <v>2395</v>
      </c>
      <c r="KL231" s="16">
        <v>0</v>
      </c>
      <c r="KM231" s="16">
        <v>0</v>
      </c>
      <c r="KN231" s="16">
        <v>0</v>
      </c>
      <c r="KO231" s="16">
        <v>0</v>
      </c>
      <c r="KP231" s="16">
        <v>0</v>
      </c>
      <c r="KQ231" s="16">
        <v>0</v>
      </c>
      <c r="KR231" s="16">
        <v>0</v>
      </c>
      <c r="KS231" s="16">
        <v>0</v>
      </c>
      <c r="KT231" s="16">
        <v>0</v>
      </c>
      <c r="KU231" s="16">
        <v>1214</v>
      </c>
      <c r="KV231" s="16">
        <v>0</v>
      </c>
      <c r="KW231" s="16">
        <v>0</v>
      </c>
      <c r="KX231" s="16">
        <v>0</v>
      </c>
      <c r="KY231" s="16">
        <v>0</v>
      </c>
      <c r="KZ231" s="16">
        <v>0</v>
      </c>
      <c r="LA231" s="16">
        <v>0</v>
      </c>
      <c r="LB231" s="16">
        <v>0</v>
      </c>
      <c r="LC231" s="16">
        <v>0</v>
      </c>
      <c r="LD231" s="16">
        <v>188</v>
      </c>
      <c r="LE231" s="16">
        <v>0</v>
      </c>
      <c r="LF231" s="16">
        <v>0</v>
      </c>
      <c r="LG231" s="16">
        <v>0</v>
      </c>
      <c r="LH231" s="16">
        <v>0</v>
      </c>
      <c r="LI231" s="16">
        <v>0</v>
      </c>
      <c r="LJ231" s="16">
        <v>0</v>
      </c>
      <c r="LK231" s="16">
        <v>0</v>
      </c>
      <c r="LL231" s="16">
        <v>0</v>
      </c>
      <c r="LM231" s="16">
        <v>0</v>
      </c>
      <c r="LN231" s="16">
        <v>0</v>
      </c>
      <c r="LO231" s="16">
        <v>0</v>
      </c>
      <c r="LP231" s="16">
        <v>0</v>
      </c>
      <c r="LQ231" s="16">
        <v>0</v>
      </c>
      <c r="LR231" s="16">
        <v>0</v>
      </c>
      <c r="LS231" s="16">
        <v>0</v>
      </c>
      <c r="LT231" s="16">
        <v>0</v>
      </c>
      <c r="LU231" s="16">
        <v>0</v>
      </c>
      <c r="LV231" s="16">
        <v>0</v>
      </c>
      <c r="LW231" s="16">
        <v>0</v>
      </c>
      <c r="LX231" s="16">
        <v>0</v>
      </c>
      <c r="LY231" s="16">
        <v>0</v>
      </c>
      <c r="LZ231" s="16">
        <v>0</v>
      </c>
      <c r="MA231" s="16">
        <v>0</v>
      </c>
      <c r="MB231" s="16">
        <v>0</v>
      </c>
      <c r="MC231" s="16">
        <v>326</v>
      </c>
      <c r="MD231" s="16">
        <v>0</v>
      </c>
      <c r="ME231" s="16">
        <v>0</v>
      </c>
      <c r="MF231" s="16">
        <v>14212</v>
      </c>
      <c r="MG231" s="16">
        <v>0</v>
      </c>
      <c r="MH231" s="16">
        <v>0</v>
      </c>
      <c r="MI231" s="16">
        <v>0</v>
      </c>
      <c r="MJ231" s="16">
        <v>0</v>
      </c>
      <c r="MK231" s="16">
        <v>3460</v>
      </c>
      <c r="ML231" s="16">
        <v>281</v>
      </c>
      <c r="MM231" s="16">
        <v>0</v>
      </c>
      <c r="MN231" s="16">
        <v>45575</v>
      </c>
      <c r="MO231" s="16">
        <v>626</v>
      </c>
      <c r="MP231" s="16">
        <v>82</v>
      </c>
      <c r="MQ231" s="16">
        <v>378</v>
      </c>
      <c r="MR231" s="16">
        <v>4630</v>
      </c>
      <c r="MS231" s="16">
        <v>467</v>
      </c>
      <c r="MT231" s="16">
        <v>0</v>
      </c>
      <c r="MU231" s="16">
        <v>9</v>
      </c>
      <c r="MV231" s="16">
        <v>0</v>
      </c>
      <c r="MW231" s="16">
        <v>0</v>
      </c>
      <c r="MX231" s="16">
        <v>0</v>
      </c>
      <c r="MY231" s="16">
        <v>0</v>
      </c>
      <c r="MZ231" s="16">
        <v>0</v>
      </c>
      <c r="NA231" s="16">
        <v>0</v>
      </c>
      <c r="NB231" s="16">
        <v>0</v>
      </c>
      <c r="NC231" s="16">
        <v>7</v>
      </c>
      <c r="ND231" s="16">
        <v>122</v>
      </c>
      <c r="NE231" s="16">
        <v>0</v>
      </c>
      <c r="NF231" s="16">
        <v>0</v>
      </c>
      <c r="NG231" s="16">
        <v>233</v>
      </c>
      <c r="NH231" s="16">
        <v>24</v>
      </c>
      <c r="NI231" s="16">
        <v>0</v>
      </c>
      <c r="NJ231" s="16">
        <v>0</v>
      </c>
      <c r="NK231" s="16">
        <v>0</v>
      </c>
      <c r="NL231" s="16">
        <v>0</v>
      </c>
      <c r="NM231" s="16">
        <v>0</v>
      </c>
      <c r="NN231" s="16">
        <v>0</v>
      </c>
      <c r="NO231" s="16">
        <v>0</v>
      </c>
      <c r="NP231" s="16">
        <v>0</v>
      </c>
      <c r="NQ231" s="16">
        <v>7</v>
      </c>
      <c r="NR231" s="17">
        <v>1833926</v>
      </c>
    </row>
    <row r="232" spans="1:382" ht="13.5" customHeight="1" x14ac:dyDescent="0.2">
      <c r="A232" s="2" t="s">
        <v>471</v>
      </c>
      <c r="B232" s="16">
        <v>0</v>
      </c>
      <c r="C232" s="16">
        <v>0</v>
      </c>
      <c r="D232" s="16">
        <v>0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1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  <c r="AG232" s="16">
        <v>0</v>
      </c>
      <c r="AH232" s="16">
        <v>16</v>
      </c>
      <c r="AI232" s="16">
        <v>0</v>
      </c>
      <c r="AJ232" s="16">
        <v>0</v>
      </c>
      <c r="AK232" s="16">
        <v>0</v>
      </c>
      <c r="AL232" s="16">
        <v>0</v>
      </c>
      <c r="AM232" s="16">
        <v>0</v>
      </c>
      <c r="AN232" s="16">
        <v>0</v>
      </c>
      <c r="AO232" s="16">
        <v>0</v>
      </c>
      <c r="AP232" s="16">
        <v>0</v>
      </c>
      <c r="AQ232" s="16">
        <v>0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  <c r="AW232" s="16">
        <v>0</v>
      </c>
      <c r="AX232" s="16">
        <v>2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0</v>
      </c>
      <c r="BE232" s="16">
        <v>0</v>
      </c>
      <c r="BF232" s="16">
        <v>0</v>
      </c>
      <c r="BG232" s="16">
        <v>0</v>
      </c>
      <c r="BH232" s="16">
        <v>0</v>
      </c>
      <c r="BI232" s="16">
        <v>0</v>
      </c>
      <c r="BJ232" s="16">
        <v>0</v>
      </c>
      <c r="BK232" s="16">
        <v>0</v>
      </c>
      <c r="BL232" s="16">
        <v>0</v>
      </c>
      <c r="BM232" s="16">
        <v>1</v>
      </c>
      <c r="BN232" s="16">
        <v>0</v>
      </c>
      <c r="BO232" s="16">
        <v>0</v>
      </c>
      <c r="BP232" s="16">
        <v>0</v>
      </c>
      <c r="BQ232" s="16">
        <v>0</v>
      </c>
      <c r="BR232" s="16">
        <v>0</v>
      </c>
      <c r="BS232" s="16">
        <v>0</v>
      </c>
      <c r="BT232" s="16">
        <v>0</v>
      </c>
      <c r="BU232" s="16">
        <v>0</v>
      </c>
      <c r="BV232" s="16">
        <v>0</v>
      </c>
      <c r="BW232" s="16">
        <v>0</v>
      </c>
      <c r="BX232" s="16">
        <v>0</v>
      </c>
      <c r="BY232" s="16">
        <v>0</v>
      </c>
      <c r="BZ232" s="16">
        <v>0</v>
      </c>
      <c r="CA232" s="16">
        <v>0</v>
      </c>
      <c r="CB232" s="16">
        <v>0</v>
      </c>
      <c r="CC232" s="16">
        <v>4</v>
      </c>
      <c r="CD232" s="16">
        <v>64</v>
      </c>
      <c r="CE232" s="16">
        <v>11</v>
      </c>
      <c r="CF232" s="16">
        <v>0</v>
      </c>
      <c r="CG232" s="16">
        <v>0</v>
      </c>
      <c r="CH232" s="16">
        <v>41</v>
      </c>
      <c r="CI232" s="16">
        <v>0</v>
      </c>
      <c r="CJ232" s="16">
        <v>0</v>
      </c>
      <c r="CK232" s="16">
        <v>2</v>
      </c>
      <c r="CL232" s="16">
        <v>0</v>
      </c>
      <c r="CM232" s="16">
        <v>0</v>
      </c>
      <c r="CN232" s="16">
        <v>0</v>
      </c>
      <c r="CO232" s="16">
        <v>0</v>
      </c>
      <c r="CP232" s="16">
        <v>0</v>
      </c>
      <c r="CQ232" s="16">
        <v>10</v>
      </c>
      <c r="CR232" s="16">
        <v>11</v>
      </c>
      <c r="CS232" s="16">
        <v>36</v>
      </c>
      <c r="CT232" s="16">
        <v>1</v>
      </c>
      <c r="CU232" s="16">
        <v>1</v>
      </c>
      <c r="CV232" s="16">
        <v>0</v>
      </c>
      <c r="CW232" s="16">
        <v>3</v>
      </c>
      <c r="CX232" s="16">
        <v>8</v>
      </c>
      <c r="CY232" s="16">
        <v>0</v>
      </c>
      <c r="CZ232" s="16">
        <v>0</v>
      </c>
      <c r="DA232" s="16">
        <v>0</v>
      </c>
      <c r="DB232" s="16">
        <v>0</v>
      </c>
      <c r="DC232" s="16">
        <v>0</v>
      </c>
      <c r="DD232" s="16">
        <v>2</v>
      </c>
      <c r="DE232" s="16">
        <v>28</v>
      </c>
      <c r="DF232" s="16">
        <v>0</v>
      </c>
      <c r="DG232" s="16">
        <v>1</v>
      </c>
      <c r="DH232" s="16">
        <v>3</v>
      </c>
      <c r="DI232" s="16">
        <v>0</v>
      </c>
      <c r="DJ232" s="16">
        <v>106</v>
      </c>
      <c r="DK232" s="16">
        <v>0</v>
      </c>
      <c r="DL232" s="16">
        <v>5</v>
      </c>
      <c r="DM232" s="16">
        <v>0</v>
      </c>
      <c r="DN232" s="16">
        <v>22</v>
      </c>
      <c r="DO232" s="16">
        <v>0</v>
      </c>
      <c r="DP232" s="16">
        <v>1</v>
      </c>
      <c r="DQ232" s="16">
        <v>0</v>
      </c>
      <c r="DR232" s="16">
        <v>0</v>
      </c>
      <c r="DS232" s="16">
        <v>0</v>
      </c>
      <c r="DT232" s="16">
        <v>0</v>
      </c>
      <c r="DU232" s="16">
        <v>0</v>
      </c>
      <c r="DV232" s="16">
        <v>17</v>
      </c>
      <c r="DW232" s="16">
        <v>95</v>
      </c>
      <c r="DX232" s="16">
        <v>44</v>
      </c>
      <c r="DY232" s="16">
        <v>105</v>
      </c>
      <c r="DZ232" s="16">
        <v>227</v>
      </c>
      <c r="EA232" s="16">
        <v>168</v>
      </c>
      <c r="EB232" s="16">
        <v>1</v>
      </c>
      <c r="EC232" s="16">
        <v>205</v>
      </c>
      <c r="ED232" s="16">
        <v>4</v>
      </c>
      <c r="EE232" s="16">
        <v>0</v>
      </c>
      <c r="EF232" s="16">
        <v>1</v>
      </c>
      <c r="EG232" s="16">
        <v>62</v>
      </c>
      <c r="EH232" s="16">
        <v>5</v>
      </c>
      <c r="EI232" s="16">
        <v>0</v>
      </c>
      <c r="EJ232" s="16">
        <v>0</v>
      </c>
      <c r="EK232" s="16">
        <v>8</v>
      </c>
      <c r="EL232" s="16">
        <v>0</v>
      </c>
      <c r="EM232" s="16">
        <v>2</v>
      </c>
      <c r="EN232" s="16">
        <v>0</v>
      </c>
      <c r="EO232" s="16">
        <v>106</v>
      </c>
      <c r="EP232" s="16">
        <v>0</v>
      </c>
      <c r="EQ232" s="16">
        <v>1293</v>
      </c>
      <c r="ER232" s="16">
        <v>0</v>
      </c>
      <c r="ES232" s="16">
        <v>0</v>
      </c>
      <c r="ET232" s="16">
        <v>147</v>
      </c>
      <c r="EU232" s="16">
        <v>164</v>
      </c>
      <c r="EV232" s="16">
        <v>319</v>
      </c>
      <c r="EW232" s="16">
        <v>48</v>
      </c>
      <c r="EX232" s="16">
        <v>1675</v>
      </c>
      <c r="EY232" s="16">
        <v>211</v>
      </c>
      <c r="EZ232" s="16">
        <v>42</v>
      </c>
      <c r="FA232" s="16">
        <v>20</v>
      </c>
      <c r="FB232" s="16">
        <v>43</v>
      </c>
      <c r="FC232" s="16">
        <v>8</v>
      </c>
      <c r="FD232" s="16">
        <v>882</v>
      </c>
      <c r="FE232" s="16">
        <v>141</v>
      </c>
      <c r="FF232" s="16">
        <v>134</v>
      </c>
      <c r="FG232" s="16">
        <v>6219</v>
      </c>
      <c r="FH232" s="16">
        <v>0</v>
      </c>
      <c r="FI232" s="16">
        <v>553</v>
      </c>
      <c r="FJ232" s="16">
        <v>155</v>
      </c>
      <c r="FK232" s="16">
        <v>2350</v>
      </c>
      <c r="FL232" s="16">
        <v>12</v>
      </c>
      <c r="FM232" s="16">
        <v>303</v>
      </c>
      <c r="FN232" s="16">
        <v>2079</v>
      </c>
      <c r="FO232" s="16">
        <v>502</v>
      </c>
      <c r="FP232" s="16">
        <v>826</v>
      </c>
      <c r="FQ232" s="16">
        <v>354</v>
      </c>
      <c r="FR232" s="16">
        <v>464</v>
      </c>
      <c r="FS232" s="16">
        <v>441</v>
      </c>
      <c r="FT232" s="16">
        <v>129</v>
      </c>
      <c r="FU232" s="16">
        <v>3814</v>
      </c>
      <c r="FV232" s="16">
        <v>1129</v>
      </c>
      <c r="FW232" s="16">
        <v>5827</v>
      </c>
      <c r="FX232" s="16">
        <v>3405</v>
      </c>
      <c r="FY232" s="16">
        <v>217</v>
      </c>
      <c r="FZ232" s="16">
        <v>1996</v>
      </c>
      <c r="GA232" s="16">
        <v>2772</v>
      </c>
      <c r="GB232" s="16">
        <v>11501</v>
      </c>
      <c r="GC232" s="16">
        <v>259</v>
      </c>
      <c r="GD232" s="16">
        <v>2359</v>
      </c>
      <c r="GE232" s="16">
        <v>120</v>
      </c>
      <c r="GF232" s="16">
        <v>551</v>
      </c>
      <c r="GG232" s="16">
        <v>4</v>
      </c>
      <c r="GH232" s="16">
        <v>53</v>
      </c>
      <c r="GI232" s="16">
        <v>29</v>
      </c>
      <c r="GJ232" s="16">
        <v>564</v>
      </c>
      <c r="GK232" s="16">
        <v>38</v>
      </c>
      <c r="GL232" s="16">
        <v>41</v>
      </c>
      <c r="GM232" s="16">
        <v>8</v>
      </c>
      <c r="GN232" s="16">
        <v>52</v>
      </c>
      <c r="GO232" s="16">
        <v>295</v>
      </c>
      <c r="GP232" s="16">
        <v>28</v>
      </c>
      <c r="GQ232" s="16">
        <v>38</v>
      </c>
      <c r="GR232" s="16">
        <v>55</v>
      </c>
      <c r="GS232" s="16">
        <v>4</v>
      </c>
      <c r="GT232" s="16">
        <v>4</v>
      </c>
      <c r="GU232" s="16">
        <v>208</v>
      </c>
      <c r="GV232" s="16">
        <v>30</v>
      </c>
      <c r="GW232" s="16">
        <v>60</v>
      </c>
      <c r="GX232" s="16">
        <v>24</v>
      </c>
      <c r="GY232" s="16">
        <v>5</v>
      </c>
      <c r="GZ232" s="16">
        <v>558</v>
      </c>
      <c r="HA232" s="16">
        <v>415</v>
      </c>
      <c r="HB232" s="16">
        <v>157</v>
      </c>
      <c r="HC232" s="16">
        <v>286</v>
      </c>
      <c r="HD232" s="16">
        <v>2014</v>
      </c>
      <c r="HE232" s="16">
        <v>90</v>
      </c>
      <c r="HF232" s="16">
        <v>815</v>
      </c>
      <c r="HG232" s="16">
        <v>171</v>
      </c>
      <c r="HH232" s="16">
        <v>64</v>
      </c>
      <c r="HI232" s="16">
        <v>285</v>
      </c>
      <c r="HJ232" s="16">
        <v>23</v>
      </c>
      <c r="HK232" s="16">
        <v>12</v>
      </c>
      <c r="HL232" s="16">
        <v>923</v>
      </c>
      <c r="HM232" s="16">
        <v>1455</v>
      </c>
      <c r="HN232" s="16">
        <v>485</v>
      </c>
      <c r="HO232" s="16">
        <v>2429</v>
      </c>
      <c r="HP232" s="16">
        <v>1799</v>
      </c>
      <c r="HQ232" s="16">
        <v>1002</v>
      </c>
      <c r="HR232" s="16">
        <v>280</v>
      </c>
      <c r="HS232" s="16">
        <v>986</v>
      </c>
      <c r="HT232" s="16">
        <v>3</v>
      </c>
      <c r="HU232" s="16">
        <v>956</v>
      </c>
      <c r="HV232" s="16">
        <v>635</v>
      </c>
      <c r="HW232" s="16">
        <v>398</v>
      </c>
      <c r="HX232" s="16">
        <v>1197130</v>
      </c>
      <c r="HY232" s="16">
        <v>5624</v>
      </c>
      <c r="HZ232" s="16">
        <v>2249</v>
      </c>
      <c r="IA232" s="16">
        <v>608</v>
      </c>
      <c r="IB232" s="16">
        <v>23</v>
      </c>
      <c r="IC232" s="16">
        <v>34</v>
      </c>
      <c r="ID232" s="16">
        <v>229</v>
      </c>
      <c r="IE232" s="16">
        <v>143</v>
      </c>
      <c r="IF232" s="16">
        <v>111</v>
      </c>
      <c r="IG232" s="16">
        <v>4192</v>
      </c>
      <c r="IH232" s="16">
        <v>196</v>
      </c>
      <c r="II232" s="16">
        <v>25</v>
      </c>
      <c r="IJ232" s="16">
        <v>19</v>
      </c>
      <c r="IK232" s="16">
        <v>456</v>
      </c>
      <c r="IL232" s="16">
        <v>145</v>
      </c>
      <c r="IM232" s="16">
        <v>43</v>
      </c>
      <c r="IN232" s="16">
        <v>266</v>
      </c>
      <c r="IO232" s="16">
        <v>1018</v>
      </c>
      <c r="IP232" s="16">
        <v>24</v>
      </c>
      <c r="IQ232" s="16">
        <v>11</v>
      </c>
      <c r="IR232" s="16">
        <v>52</v>
      </c>
      <c r="IS232" s="16">
        <v>150</v>
      </c>
      <c r="IT232" s="16">
        <v>75</v>
      </c>
      <c r="IU232" s="16">
        <v>2</v>
      </c>
      <c r="IV232" s="16">
        <v>216</v>
      </c>
      <c r="IW232" s="16">
        <v>60</v>
      </c>
      <c r="IX232" s="16">
        <v>237</v>
      </c>
      <c r="IY232" s="16">
        <v>170</v>
      </c>
      <c r="IZ232" s="16">
        <v>0</v>
      </c>
      <c r="JA232" s="16">
        <v>4</v>
      </c>
      <c r="JB232" s="16">
        <v>2</v>
      </c>
      <c r="JC232" s="16">
        <v>4</v>
      </c>
      <c r="JD232" s="16">
        <v>20</v>
      </c>
      <c r="JE232" s="16">
        <v>132</v>
      </c>
      <c r="JF232" s="16">
        <v>142</v>
      </c>
      <c r="JG232" s="16">
        <v>33434</v>
      </c>
      <c r="JH232" s="16">
        <v>627</v>
      </c>
      <c r="JI232" s="16">
        <v>24</v>
      </c>
      <c r="JJ232" s="16">
        <v>421</v>
      </c>
      <c r="JK232" s="16">
        <v>4</v>
      </c>
      <c r="JL232" s="16">
        <v>0</v>
      </c>
      <c r="JM232" s="16">
        <v>0</v>
      </c>
      <c r="JN232" s="16">
        <v>0</v>
      </c>
      <c r="JO232" s="16">
        <v>0</v>
      </c>
      <c r="JP232" s="16">
        <v>0</v>
      </c>
      <c r="JQ232" s="16">
        <v>0</v>
      </c>
      <c r="JR232" s="16">
        <v>118</v>
      </c>
      <c r="JS232" s="16">
        <v>69</v>
      </c>
      <c r="JT232" s="16">
        <v>0</v>
      </c>
      <c r="JU232" s="16">
        <v>750</v>
      </c>
      <c r="JV232" s="16">
        <v>1124</v>
      </c>
      <c r="JW232" s="16">
        <v>564</v>
      </c>
      <c r="JX232" s="16">
        <v>239</v>
      </c>
      <c r="JY232" s="16">
        <v>80</v>
      </c>
      <c r="JZ232" s="16">
        <v>209</v>
      </c>
      <c r="KA232" s="16">
        <v>69</v>
      </c>
      <c r="KB232" s="16">
        <v>2</v>
      </c>
      <c r="KC232" s="16">
        <v>188</v>
      </c>
      <c r="KD232" s="16">
        <v>65</v>
      </c>
      <c r="KE232" s="16">
        <v>0</v>
      </c>
      <c r="KF232" s="16">
        <v>53</v>
      </c>
      <c r="KG232" s="16">
        <v>140</v>
      </c>
      <c r="KH232" s="16">
        <v>3</v>
      </c>
      <c r="KI232" s="16">
        <v>69</v>
      </c>
      <c r="KJ232" s="16">
        <v>50</v>
      </c>
      <c r="KK232" s="16">
        <v>0</v>
      </c>
      <c r="KL232" s="16">
        <v>3</v>
      </c>
      <c r="KM232" s="16">
        <v>0</v>
      </c>
      <c r="KN232" s="16">
        <v>0</v>
      </c>
      <c r="KO232" s="16">
        <v>206</v>
      </c>
      <c r="KP232" s="16">
        <v>0</v>
      </c>
      <c r="KQ232" s="16">
        <v>2</v>
      </c>
      <c r="KR232" s="16">
        <v>0</v>
      </c>
      <c r="KS232" s="16">
        <v>692</v>
      </c>
      <c r="KT232" s="16">
        <v>0</v>
      </c>
      <c r="KU232" s="16">
        <v>1136</v>
      </c>
      <c r="KV232" s="16">
        <v>0</v>
      </c>
      <c r="KW232" s="16">
        <v>0</v>
      </c>
      <c r="KX232" s="16">
        <v>0</v>
      </c>
      <c r="KY232" s="16">
        <v>0</v>
      </c>
      <c r="KZ232" s="16">
        <v>0</v>
      </c>
      <c r="LA232" s="16">
        <v>0</v>
      </c>
      <c r="LB232" s="16">
        <v>0</v>
      </c>
      <c r="LC232" s="16">
        <v>0</v>
      </c>
      <c r="LD232" s="16">
        <v>0</v>
      </c>
      <c r="LE232" s="16">
        <v>0</v>
      </c>
      <c r="LF232" s="16">
        <v>0</v>
      </c>
      <c r="LG232" s="16">
        <v>0</v>
      </c>
      <c r="LH232" s="16">
        <v>0</v>
      </c>
      <c r="LI232" s="16">
        <v>0</v>
      </c>
      <c r="LJ232" s="16">
        <v>0</v>
      </c>
      <c r="LK232" s="16">
        <v>0</v>
      </c>
      <c r="LL232" s="16">
        <v>0</v>
      </c>
      <c r="LM232" s="16">
        <v>0</v>
      </c>
      <c r="LN232" s="16">
        <v>0</v>
      </c>
      <c r="LO232" s="16">
        <v>0</v>
      </c>
      <c r="LP232" s="16">
        <v>3</v>
      </c>
      <c r="LQ232" s="16">
        <v>0</v>
      </c>
      <c r="LR232" s="16">
        <v>0</v>
      </c>
      <c r="LS232" s="16">
        <v>0</v>
      </c>
      <c r="LT232" s="16">
        <v>0</v>
      </c>
      <c r="LU232" s="16">
        <v>0</v>
      </c>
      <c r="LV232" s="16">
        <v>0</v>
      </c>
      <c r="LW232" s="16">
        <v>0</v>
      </c>
      <c r="LX232" s="16">
        <v>0</v>
      </c>
      <c r="LY232" s="16">
        <v>0</v>
      </c>
      <c r="LZ232" s="16">
        <v>0</v>
      </c>
      <c r="MA232" s="16">
        <v>0</v>
      </c>
      <c r="MB232" s="16">
        <v>0</v>
      </c>
      <c r="MC232" s="16">
        <v>9</v>
      </c>
      <c r="MD232" s="16">
        <v>195</v>
      </c>
      <c r="ME232" s="16">
        <v>0</v>
      </c>
      <c r="MF232" s="16">
        <v>2278</v>
      </c>
      <c r="MG232" s="16">
        <v>0</v>
      </c>
      <c r="MH232" s="16">
        <v>0</v>
      </c>
      <c r="MI232" s="16">
        <v>0</v>
      </c>
      <c r="MJ232" s="16">
        <v>0</v>
      </c>
      <c r="MK232" s="16">
        <v>58</v>
      </c>
      <c r="ML232" s="16">
        <v>0</v>
      </c>
      <c r="MM232" s="16">
        <v>0</v>
      </c>
      <c r="MN232" s="16">
        <v>719</v>
      </c>
      <c r="MO232" s="16">
        <v>0</v>
      </c>
      <c r="MP232" s="16">
        <v>0</v>
      </c>
      <c r="MQ232" s="16">
        <v>0</v>
      </c>
      <c r="MR232" s="16">
        <v>28</v>
      </c>
      <c r="MS232" s="16">
        <v>44</v>
      </c>
      <c r="MT232" s="16">
        <v>0</v>
      </c>
      <c r="MU232" s="16">
        <v>0</v>
      </c>
      <c r="MV232" s="16">
        <v>214</v>
      </c>
      <c r="MW232" s="16">
        <v>0</v>
      </c>
      <c r="MX232" s="16">
        <v>0</v>
      </c>
      <c r="MY232" s="16">
        <v>7</v>
      </c>
      <c r="MZ232" s="16">
        <v>0</v>
      </c>
      <c r="NA232" s="16">
        <v>0</v>
      </c>
      <c r="NB232" s="16">
        <v>0</v>
      </c>
      <c r="NC232" s="16">
        <v>0</v>
      </c>
      <c r="ND232" s="16">
        <v>0</v>
      </c>
      <c r="NE232" s="16">
        <v>0</v>
      </c>
      <c r="NF232" s="16">
        <v>0</v>
      </c>
      <c r="NG232" s="16">
        <v>0</v>
      </c>
      <c r="NH232" s="16">
        <v>0</v>
      </c>
      <c r="NI232" s="16">
        <v>0</v>
      </c>
      <c r="NJ232" s="16">
        <v>0</v>
      </c>
      <c r="NK232" s="16">
        <v>0</v>
      </c>
      <c r="NL232" s="16">
        <v>0</v>
      </c>
      <c r="NM232" s="16">
        <v>0</v>
      </c>
      <c r="NN232" s="16">
        <v>0</v>
      </c>
      <c r="NO232" s="16">
        <v>0</v>
      </c>
      <c r="NP232" s="16">
        <v>0</v>
      </c>
      <c r="NQ232" s="16">
        <v>1</v>
      </c>
      <c r="NR232" s="17">
        <v>1330384</v>
      </c>
    </row>
    <row r="233" spans="1:382" ht="13.5" customHeight="1" x14ac:dyDescent="0.2">
      <c r="A233" s="2" t="s">
        <v>473</v>
      </c>
      <c r="B233" s="16">
        <v>0</v>
      </c>
      <c r="C233" s="16">
        <v>0</v>
      </c>
      <c r="D233" s="16">
        <v>0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6">
        <v>0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5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0</v>
      </c>
      <c r="AH233" s="16">
        <v>0</v>
      </c>
      <c r="AI233" s="16">
        <v>0</v>
      </c>
      <c r="AJ233" s="16">
        <v>0</v>
      </c>
      <c r="AK233" s="16">
        <v>0</v>
      </c>
      <c r="AL233" s="16">
        <v>0</v>
      </c>
      <c r="AM233" s="16">
        <v>0</v>
      </c>
      <c r="AN233" s="16">
        <v>9</v>
      </c>
      <c r="AO233" s="16">
        <v>0</v>
      </c>
      <c r="AP233" s="16">
        <v>0</v>
      </c>
      <c r="AQ233" s="16">
        <v>0</v>
      </c>
      <c r="AR233" s="16">
        <v>0</v>
      </c>
      <c r="AS233" s="16">
        <v>0</v>
      </c>
      <c r="AT233" s="16">
        <v>8</v>
      </c>
      <c r="AU233" s="16">
        <v>15</v>
      </c>
      <c r="AV233" s="16">
        <v>6</v>
      </c>
      <c r="AW233" s="16">
        <v>3</v>
      </c>
      <c r="AX233" s="16">
        <v>3</v>
      </c>
      <c r="AY233" s="16">
        <v>65</v>
      </c>
      <c r="AZ233" s="16">
        <v>0</v>
      </c>
      <c r="BA233" s="16">
        <v>1</v>
      </c>
      <c r="BB233" s="16">
        <v>7</v>
      </c>
      <c r="BC233" s="16">
        <v>0</v>
      </c>
      <c r="BD233" s="16">
        <v>2</v>
      </c>
      <c r="BE233" s="16">
        <v>0</v>
      </c>
      <c r="BF233" s="16">
        <v>0</v>
      </c>
      <c r="BG233" s="16">
        <v>0</v>
      </c>
      <c r="BH233" s="16">
        <v>11</v>
      </c>
      <c r="BI233" s="16">
        <v>0</v>
      </c>
      <c r="BJ233" s="16">
        <v>1</v>
      </c>
      <c r="BK233" s="16">
        <v>0</v>
      </c>
      <c r="BL233" s="16">
        <v>0</v>
      </c>
      <c r="BM233" s="16">
        <v>0</v>
      </c>
      <c r="BN233" s="16">
        <v>0</v>
      </c>
      <c r="BO233" s="16">
        <v>0</v>
      </c>
      <c r="BP233" s="16">
        <v>0</v>
      </c>
      <c r="BQ233" s="16">
        <v>0</v>
      </c>
      <c r="BR233" s="16">
        <v>0</v>
      </c>
      <c r="BS233" s="16">
        <v>1</v>
      </c>
      <c r="BT233" s="16">
        <v>0</v>
      </c>
      <c r="BU233" s="16">
        <v>0</v>
      </c>
      <c r="BV233" s="16">
        <v>0</v>
      </c>
      <c r="BW233" s="16">
        <v>0</v>
      </c>
      <c r="BX233" s="16">
        <v>0</v>
      </c>
      <c r="BY233" s="16">
        <v>0</v>
      </c>
      <c r="BZ233" s="16">
        <v>8</v>
      </c>
      <c r="CA233" s="16">
        <v>64</v>
      </c>
      <c r="CB233" s="16">
        <v>0</v>
      </c>
      <c r="CC233" s="16">
        <v>0</v>
      </c>
      <c r="CD233" s="16">
        <v>0</v>
      </c>
      <c r="CE233" s="16">
        <v>0</v>
      </c>
      <c r="CF233" s="16">
        <v>0</v>
      </c>
      <c r="CG233" s="16">
        <v>0</v>
      </c>
      <c r="CH233" s="16">
        <v>0</v>
      </c>
      <c r="CI233" s="16">
        <v>0</v>
      </c>
      <c r="CJ233" s="16">
        <v>0</v>
      </c>
      <c r="CK233" s="16">
        <v>0</v>
      </c>
      <c r="CL233" s="16">
        <v>0</v>
      </c>
      <c r="CM233" s="16">
        <v>0</v>
      </c>
      <c r="CN233" s="16">
        <v>0</v>
      </c>
      <c r="CO233" s="16">
        <v>0</v>
      </c>
      <c r="CP233" s="16">
        <v>2</v>
      </c>
      <c r="CQ233" s="16">
        <v>79</v>
      </c>
      <c r="CR233" s="16">
        <v>0</v>
      </c>
      <c r="CS233" s="16">
        <v>0</v>
      </c>
      <c r="CT233" s="16">
        <v>0</v>
      </c>
      <c r="CU233" s="16">
        <v>0</v>
      </c>
      <c r="CV233" s="16">
        <v>0</v>
      </c>
      <c r="CW233" s="16">
        <v>0</v>
      </c>
      <c r="CX233" s="16">
        <v>0</v>
      </c>
      <c r="CY233" s="16">
        <v>0</v>
      </c>
      <c r="CZ233" s="16">
        <v>0</v>
      </c>
      <c r="DA233" s="16">
        <v>0</v>
      </c>
      <c r="DB233" s="16">
        <v>0</v>
      </c>
      <c r="DC233" s="16">
        <v>0</v>
      </c>
      <c r="DD233" s="16">
        <v>0</v>
      </c>
      <c r="DE233" s="16">
        <v>0</v>
      </c>
      <c r="DF233" s="16">
        <v>3</v>
      </c>
      <c r="DG233" s="16">
        <v>0</v>
      </c>
      <c r="DH233" s="16">
        <v>0</v>
      </c>
      <c r="DI233" s="16">
        <v>0</v>
      </c>
      <c r="DJ233" s="16">
        <v>0</v>
      </c>
      <c r="DK233" s="16">
        <v>0</v>
      </c>
      <c r="DL233" s="16">
        <v>0</v>
      </c>
      <c r="DM233" s="16">
        <v>9</v>
      </c>
      <c r="DN233" s="16">
        <v>0</v>
      </c>
      <c r="DO233" s="16">
        <v>3</v>
      </c>
      <c r="DP233" s="16">
        <v>0</v>
      </c>
      <c r="DQ233" s="16">
        <v>4</v>
      </c>
      <c r="DR233" s="16">
        <v>8</v>
      </c>
      <c r="DS233" s="16">
        <v>202</v>
      </c>
      <c r="DT233" s="16">
        <v>0</v>
      </c>
      <c r="DU233" s="16">
        <v>5</v>
      </c>
      <c r="DV233" s="16">
        <v>1</v>
      </c>
      <c r="DW233" s="16">
        <v>893</v>
      </c>
      <c r="DX233" s="16">
        <v>3341</v>
      </c>
      <c r="DY233" s="16">
        <v>5229</v>
      </c>
      <c r="DZ233" s="16">
        <v>12626</v>
      </c>
      <c r="EA233" s="16">
        <v>5773</v>
      </c>
      <c r="EB233" s="16">
        <v>165</v>
      </c>
      <c r="EC233" s="16">
        <v>3697</v>
      </c>
      <c r="ED233" s="16">
        <v>325</v>
      </c>
      <c r="EE233" s="16">
        <v>0</v>
      </c>
      <c r="EF233" s="16">
        <v>14</v>
      </c>
      <c r="EG233" s="16">
        <v>362</v>
      </c>
      <c r="EH233" s="16">
        <v>270</v>
      </c>
      <c r="EI233" s="16">
        <v>8</v>
      </c>
      <c r="EJ233" s="16">
        <v>108</v>
      </c>
      <c r="EK233" s="16">
        <v>139</v>
      </c>
      <c r="EL233" s="16">
        <v>37</v>
      </c>
      <c r="EM233" s="16">
        <v>2</v>
      </c>
      <c r="EN233" s="16">
        <v>0</v>
      </c>
      <c r="EO233" s="16">
        <v>484</v>
      </c>
      <c r="EP233" s="16">
        <v>0</v>
      </c>
      <c r="EQ233" s="16">
        <v>9</v>
      </c>
      <c r="ER233" s="16">
        <v>6</v>
      </c>
      <c r="ES233" s="16">
        <v>0</v>
      </c>
      <c r="ET233" s="16">
        <v>17</v>
      </c>
      <c r="EU233" s="16">
        <v>2</v>
      </c>
      <c r="EV233" s="16">
        <v>24</v>
      </c>
      <c r="EW233" s="16">
        <v>7</v>
      </c>
      <c r="EX233" s="16">
        <v>465</v>
      </c>
      <c r="EY233" s="16">
        <v>26</v>
      </c>
      <c r="EZ233" s="16">
        <v>14</v>
      </c>
      <c r="FA233" s="16">
        <v>21</v>
      </c>
      <c r="FB233" s="16">
        <v>3</v>
      </c>
      <c r="FC233" s="16">
        <v>1</v>
      </c>
      <c r="FD233" s="16">
        <v>440</v>
      </c>
      <c r="FE233" s="16">
        <v>48</v>
      </c>
      <c r="FF233" s="16">
        <v>2</v>
      </c>
      <c r="FG233" s="16">
        <v>0</v>
      </c>
      <c r="FH233" s="16">
        <v>1</v>
      </c>
      <c r="FI233" s="16">
        <v>31</v>
      </c>
      <c r="FJ233" s="16">
        <v>1</v>
      </c>
      <c r="FK233" s="16">
        <v>19</v>
      </c>
      <c r="FL233" s="16">
        <v>2</v>
      </c>
      <c r="FM233" s="16">
        <v>87</v>
      </c>
      <c r="FN233" s="16">
        <v>646</v>
      </c>
      <c r="FO233" s="16">
        <v>141</v>
      </c>
      <c r="FP233" s="16">
        <v>1371</v>
      </c>
      <c r="FQ233" s="16">
        <v>1122</v>
      </c>
      <c r="FR233" s="16">
        <v>835</v>
      </c>
      <c r="FS233" s="16">
        <v>88</v>
      </c>
      <c r="FT233" s="16">
        <v>789</v>
      </c>
      <c r="FU233" s="16">
        <v>50</v>
      </c>
      <c r="FV233" s="16">
        <v>2191</v>
      </c>
      <c r="FW233" s="16">
        <v>53</v>
      </c>
      <c r="FX233" s="16">
        <v>2377</v>
      </c>
      <c r="FY233" s="16">
        <v>166</v>
      </c>
      <c r="FZ233" s="16">
        <v>1261</v>
      </c>
      <c r="GA233" s="16">
        <v>201</v>
      </c>
      <c r="GB233" s="16">
        <v>14042</v>
      </c>
      <c r="GC233" s="16">
        <v>57</v>
      </c>
      <c r="GD233" s="16">
        <v>4426</v>
      </c>
      <c r="GE233" s="16">
        <v>31</v>
      </c>
      <c r="GF233" s="16">
        <v>522</v>
      </c>
      <c r="GG233" s="16">
        <v>3</v>
      </c>
      <c r="GH233" s="16">
        <v>114</v>
      </c>
      <c r="GI233" s="16">
        <v>33</v>
      </c>
      <c r="GJ233" s="16">
        <v>77</v>
      </c>
      <c r="GK233" s="16">
        <v>50</v>
      </c>
      <c r="GL233" s="16">
        <v>160</v>
      </c>
      <c r="GM233" s="16">
        <v>1</v>
      </c>
      <c r="GN233" s="16">
        <v>7</v>
      </c>
      <c r="GO233" s="16">
        <v>4258</v>
      </c>
      <c r="GP233" s="16">
        <v>18</v>
      </c>
      <c r="GQ233" s="16">
        <v>11</v>
      </c>
      <c r="GR233" s="16">
        <v>19</v>
      </c>
      <c r="GS233" s="16">
        <v>7</v>
      </c>
      <c r="GT233" s="16">
        <v>8</v>
      </c>
      <c r="GU233" s="16">
        <v>134</v>
      </c>
      <c r="GV233" s="16">
        <v>126</v>
      </c>
      <c r="GW233" s="16">
        <v>69</v>
      </c>
      <c r="GX233" s="16">
        <v>23</v>
      </c>
      <c r="GY233" s="16">
        <v>1</v>
      </c>
      <c r="GZ233" s="16">
        <v>376</v>
      </c>
      <c r="HA233" s="16">
        <v>18</v>
      </c>
      <c r="HB233" s="16">
        <v>61</v>
      </c>
      <c r="HC233" s="16">
        <v>850</v>
      </c>
      <c r="HD233" s="16">
        <v>1427</v>
      </c>
      <c r="HE233" s="16">
        <v>57</v>
      </c>
      <c r="HF233" s="16">
        <v>128</v>
      </c>
      <c r="HG233" s="16">
        <v>137</v>
      </c>
      <c r="HH233" s="16">
        <v>71</v>
      </c>
      <c r="HI233" s="16">
        <v>391</v>
      </c>
      <c r="HJ233" s="16">
        <v>239</v>
      </c>
      <c r="HK233" s="16">
        <v>453</v>
      </c>
      <c r="HL233" s="16">
        <v>719</v>
      </c>
      <c r="HM233" s="16">
        <v>3919</v>
      </c>
      <c r="HN233" s="16">
        <v>2156</v>
      </c>
      <c r="HO233" s="16">
        <v>3663</v>
      </c>
      <c r="HP233" s="16">
        <v>2689</v>
      </c>
      <c r="HQ233" s="16">
        <v>1108</v>
      </c>
      <c r="HR233" s="16">
        <v>1078</v>
      </c>
      <c r="HS233" s="16">
        <v>1135</v>
      </c>
      <c r="HT233" s="16">
        <v>3</v>
      </c>
      <c r="HU233" s="16">
        <v>1106</v>
      </c>
      <c r="HV233" s="16">
        <v>261</v>
      </c>
      <c r="HW233" s="16">
        <v>515</v>
      </c>
      <c r="HX233" s="16">
        <v>2120</v>
      </c>
      <c r="HY233" s="16">
        <v>502965</v>
      </c>
      <c r="HZ233" s="16">
        <v>1397</v>
      </c>
      <c r="IA233" s="16">
        <v>315</v>
      </c>
      <c r="IB233" s="16">
        <v>155</v>
      </c>
      <c r="IC233" s="16">
        <v>78</v>
      </c>
      <c r="ID233" s="16">
        <v>852</v>
      </c>
      <c r="IE233" s="16">
        <v>38</v>
      </c>
      <c r="IF233" s="16">
        <v>416</v>
      </c>
      <c r="IG233" s="16">
        <v>4013</v>
      </c>
      <c r="IH233" s="16">
        <v>429</v>
      </c>
      <c r="II233" s="16">
        <v>58</v>
      </c>
      <c r="IJ233" s="16">
        <v>23</v>
      </c>
      <c r="IK233" s="16">
        <v>104</v>
      </c>
      <c r="IL233" s="16">
        <v>60</v>
      </c>
      <c r="IM233" s="16">
        <v>2</v>
      </c>
      <c r="IN233" s="16">
        <v>484</v>
      </c>
      <c r="IO233" s="16">
        <v>1315</v>
      </c>
      <c r="IP233" s="16">
        <v>19</v>
      </c>
      <c r="IQ233" s="16">
        <v>5</v>
      </c>
      <c r="IR233" s="16">
        <v>24</v>
      </c>
      <c r="IS233" s="16">
        <v>55</v>
      </c>
      <c r="IT233" s="16">
        <v>17</v>
      </c>
      <c r="IU233" s="16">
        <v>1</v>
      </c>
      <c r="IV233" s="16">
        <v>373</v>
      </c>
      <c r="IW233" s="16">
        <v>8</v>
      </c>
      <c r="IX233" s="16">
        <v>48</v>
      </c>
      <c r="IY233" s="16">
        <v>83</v>
      </c>
      <c r="IZ233" s="16">
        <v>2</v>
      </c>
      <c r="JA233" s="16">
        <v>29</v>
      </c>
      <c r="JB233" s="16">
        <v>8</v>
      </c>
      <c r="JC233" s="16">
        <v>10</v>
      </c>
      <c r="JD233" s="16">
        <v>9</v>
      </c>
      <c r="JE233" s="16">
        <v>86</v>
      </c>
      <c r="JF233" s="16">
        <v>70</v>
      </c>
      <c r="JG233" s="16">
        <v>1169</v>
      </c>
      <c r="JH233" s="16">
        <v>1</v>
      </c>
      <c r="JI233" s="16">
        <v>0</v>
      </c>
      <c r="JJ233" s="16">
        <v>0</v>
      </c>
      <c r="JK233" s="16">
        <v>0</v>
      </c>
      <c r="JL233" s="16">
        <v>0</v>
      </c>
      <c r="JM233" s="16">
        <v>0</v>
      </c>
      <c r="JN233" s="16">
        <v>0</v>
      </c>
      <c r="JO233" s="16">
        <v>0</v>
      </c>
      <c r="JP233" s="16">
        <v>0</v>
      </c>
      <c r="JQ233" s="16">
        <v>0</v>
      </c>
      <c r="JR233" s="16">
        <v>0</v>
      </c>
      <c r="JS233" s="16">
        <v>0</v>
      </c>
      <c r="JT233" s="16">
        <v>0</v>
      </c>
      <c r="JU233" s="16">
        <v>0</v>
      </c>
      <c r="JV233" s="16">
        <v>26</v>
      </c>
      <c r="JW233" s="16">
        <v>3</v>
      </c>
      <c r="JX233" s="16">
        <v>17</v>
      </c>
      <c r="JY233" s="16">
        <v>0</v>
      </c>
      <c r="JZ233" s="16">
        <v>30</v>
      </c>
      <c r="KA233" s="16">
        <v>3</v>
      </c>
      <c r="KB233" s="16">
        <v>0</v>
      </c>
      <c r="KC233" s="16">
        <v>2</v>
      </c>
      <c r="KD233" s="16">
        <v>5</v>
      </c>
      <c r="KE233" s="16">
        <v>3</v>
      </c>
      <c r="KF233" s="16">
        <v>1</v>
      </c>
      <c r="KG233" s="16">
        <v>1</v>
      </c>
      <c r="KH233" s="16">
        <v>1</v>
      </c>
      <c r="KI233" s="16">
        <v>3</v>
      </c>
      <c r="KJ233" s="16">
        <v>6</v>
      </c>
      <c r="KK233" s="16">
        <v>0</v>
      </c>
      <c r="KL233" s="16">
        <v>0</v>
      </c>
      <c r="KM233" s="16">
        <v>0</v>
      </c>
      <c r="KN233" s="16">
        <v>0</v>
      </c>
      <c r="KO233" s="16">
        <v>0</v>
      </c>
      <c r="KP233" s="16">
        <v>0</v>
      </c>
      <c r="KQ233" s="16">
        <v>0</v>
      </c>
      <c r="KR233" s="16">
        <v>0</v>
      </c>
      <c r="KS233" s="16">
        <v>0</v>
      </c>
      <c r="KT233" s="16">
        <v>0</v>
      </c>
      <c r="KU233" s="16">
        <v>0</v>
      </c>
      <c r="KV233" s="16">
        <v>0</v>
      </c>
      <c r="KW233" s="16">
        <v>0</v>
      </c>
      <c r="KX233" s="16">
        <v>0</v>
      </c>
      <c r="KY233" s="16">
        <v>0</v>
      </c>
      <c r="KZ233" s="16">
        <v>0</v>
      </c>
      <c r="LA233" s="16">
        <v>0</v>
      </c>
      <c r="LB233" s="16">
        <v>0</v>
      </c>
      <c r="LC233" s="16">
        <v>0</v>
      </c>
      <c r="LD233" s="16">
        <v>0</v>
      </c>
      <c r="LE233" s="16">
        <v>0</v>
      </c>
      <c r="LF233" s="16">
        <v>0</v>
      </c>
      <c r="LG233" s="16">
        <v>0</v>
      </c>
      <c r="LH233" s="16">
        <v>0</v>
      </c>
      <c r="LI233" s="16">
        <v>0</v>
      </c>
      <c r="LJ233" s="16">
        <v>0</v>
      </c>
      <c r="LK233" s="16">
        <v>0</v>
      </c>
      <c r="LL233" s="16">
        <v>0</v>
      </c>
      <c r="LM233" s="16">
        <v>0</v>
      </c>
      <c r="LN233" s="16">
        <v>0</v>
      </c>
      <c r="LO233" s="16">
        <v>0</v>
      </c>
      <c r="LP233" s="16">
        <v>0</v>
      </c>
      <c r="LQ233" s="16">
        <v>0</v>
      </c>
      <c r="LR233" s="16">
        <v>0</v>
      </c>
      <c r="LS233" s="16">
        <v>0</v>
      </c>
      <c r="LT233" s="16">
        <v>0</v>
      </c>
      <c r="LU233" s="16">
        <v>0</v>
      </c>
      <c r="LV233" s="16">
        <v>0</v>
      </c>
      <c r="LW233" s="16">
        <v>0</v>
      </c>
      <c r="LX233" s="16">
        <v>0</v>
      </c>
      <c r="LY233" s="16">
        <v>0</v>
      </c>
      <c r="LZ233" s="16">
        <v>0</v>
      </c>
      <c r="MA233" s="16">
        <v>0</v>
      </c>
      <c r="MB233" s="16">
        <v>0</v>
      </c>
      <c r="MC233" s="16">
        <v>101</v>
      </c>
      <c r="MD233" s="16">
        <v>15</v>
      </c>
      <c r="ME233" s="16">
        <v>0</v>
      </c>
      <c r="MF233" s="16">
        <v>37</v>
      </c>
      <c r="MG233" s="16">
        <v>0</v>
      </c>
      <c r="MH233" s="16">
        <v>0</v>
      </c>
      <c r="MI233" s="16">
        <v>0</v>
      </c>
      <c r="MJ233" s="16">
        <v>0</v>
      </c>
      <c r="MK233" s="16">
        <v>0</v>
      </c>
      <c r="ML233" s="16">
        <v>0</v>
      </c>
      <c r="MM233" s="16">
        <v>0</v>
      </c>
      <c r="MN233" s="16">
        <v>0</v>
      </c>
      <c r="MO233" s="16">
        <v>0</v>
      </c>
      <c r="MP233" s="16">
        <v>0</v>
      </c>
      <c r="MQ233" s="16">
        <v>0</v>
      </c>
      <c r="MR233" s="16">
        <v>3</v>
      </c>
      <c r="MS233" s="16">
        <v>0</v>
      </c>
      <c r="MT233" s="16">
        <v>0</v>
      </c>
      <c r="MU233" s="16">
        <v>0</v>
      </c>
      <c r="MV233" s="16">
        <v>0</v>
      </c>
      <c r="MW233" s="16">
        <v>0</v>
      </c>
      <c r="MX233" s="16">
        <v>0</v>
      </c>
      <c r="MY233" s="16">
        <v>0</v>
      </c>
      <c r="MZ233" s="16">
        <v>0</v>
      </c>
      <c r="NA233" s="16">
        <v>0</v>
      </c>
      <c r="NB233" s="16">
        <v>0</v>
      </c>
      <c r="NC233" s="16">
        <v>0</v>
      </c>
      <c r="ND233" s="16">
        <v>0</v>
      </c>
      <c r="NE233" s="16">
        <v>0</v>
      </c>
      <c r="NF233" s="16">
        <v>0</v>
      </c>
      <c r="NG233" s="16">
        <v>0</v>
      </c>
      <c r="NH233" s="16">
        <v>0</v>
      </c>
      <c r="NI233" s="16">
        <v>0</v>
      </c>
      <c r="NJ233" s="16">
        <v>0</v>
      </c>
      <c r="NK233" s="16">
        <v>40</v>
      </c>
      <c r="NL233" s="16">
        <v>0</v>
      </c>
      <c r="NM233" s="16">
        <v>0</v>
      </c>
      <c r="NN233" s="16">
        <v>0</v>
      </c>
      <c r="NO233" s="16">
        <v>0</v>
      </c>
      <c r="NP233" s="16">
        <v>0</v>
      </c>
      <c r="NQ233" s="16">
        <v>0</v>
      </c>
      <c r="NR233" s="17">
        <v>610410</v>
      </c>
    </row>
    <row r="234" spans="1:382" ht="13.5" customHeight="1" x14ac:dyDescent="0.2">
      <c r="A234" s="2" t="s">
        <v>475</v>
      </c>
      <c r="B234" s="16">
        <v>0</v>
      </c>
      <c r="C234" s="16">
        <v>0</v>
      </c>
      <c r="D234" s="16">
        <v>0</v>
      </c>
      <c r="E234" s="16">
        <v>0</v>
      </c>
      <c r="F234" s="16">
        <v>0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  <c r="AR234" s="16">
        <v>0</v>
      </c>
      <c r="AS234" s="16">
        <v>0</v>
      </c>
      <c r="AT234" s="16">
        <v>0</v>
      </c>
      <c r="AU234" s="16">
        <v>0</v>
      </c>
      <c r="AV234" s="16">
        <v>0</v>
      </c>
      <c r="AW234" s="16">
        <v>0</v>
      </c>
      <c r="AX234" s="16">
        <v>0</v>
      </c>
      <c r="AY234" s="16">
        <v>0</v>
      </c>
      <c r="AZ234" s="16">
        <v>0</v>
      </c>
      <c r="BA234" s="16">
        <v>0</v>
      </c>
      <c r="BB234" s="16">
        <v>0</v>
      </c>
      <c r="BC234" s="16">
        <v>0</v>
      </c>
      <c r="BD234" s="16">
        <v>0</v>
      </c>
      <c r="BE234" s="16">
        <v>0</v>
      </c>
      <c r="BF234" s="16">
        <v>0</v>
      </c>
      <c r="BG234" s="16">
        <v>0</v>
      </c>
      <c r="BH234" s="16">
        <v>0</v>
      </c>
      <c r="BI234" s="16">
        <v>0</v>
      </c>
      <c r="BJ234" s="16">
        <v>0</v>
      </c>
      <c r="BK234" s="16">
        <v>0</v>
      </c>
      <c r="BL234" s="16">
        <v>0</v>
      </c>
      <c r="BM234" s="16">
        <v>0</v>
      </c>
      <c r="BN234" s="16">
        <v>0</v>
      </c>
      <c r="BO234" s="16">
        <v>0</v>
      </c>
      <c r="BP234" s="16">
        <v>0</v>
      </c>
      <c r="BQ234" s="16">
        <v>0</v>
      </c>
      <c r="BR234" s="16">
        <v>0</v>
      </c>
      <c r="BS234" s="16">
        <v>0</v>
      </c>
      <c r="BT234" s="16">
        <v>0</v>
      </c>
      <c r="BU234" s="16">
        <v>0</v>
      </c>
      <c r="BV234" s="16">
        <v>0</v>
      </c>
      <c r="BW234" s="16">
        <v>0</v>
      </c>
      <c r="BX234" s="16">
        <v>0</v>
      </c>
      <c r="BY234" s="16">
        <v>0</v>
      </c>
      <c r="BZ234" s="16">
        <v>0</v>
      </c>
      <c r="CA234" s="16">
        <v>0</v>
      </c>
      <c r="CB234" s="16">
        <v>0</v>
      </c>
      <c r="CC234" s="16">
        <v>0</v>
      </c>
      <c r="CD234" s="16">
        <v>0</v>
      </c>
      <c r="CE234" s="16">
        <v>0</v>
      </c>
      <c r="CF234" s="16">
        <v>0</v>
      </c>
      <c r="CG234" s="16">
        <v>0</v>
      </c>
      <c r="CH234" s="16">
        <v>0</v>
      </c>
      <c r="CI234" s="16">
        <v>0</v>
      </c>
      <c r="CJ234" s="16">
        <v>0</v>
      </c>
      <c r="CK234" s="16">
        <v>0</v>
      </c>
      <c r="CL234" s="16">
        <v>0</v>
      </c>
      <c r="CM234" s="16">
        <v>0</v>
      </c>
      <c r="CN234" s="16">
        <v>0</v>
      </c>
      <c r="CO234" s="16">
        <v>0</v>
      </c>
      <c r="CP234" s="16">
        <v>0</v>
      </c>
      <c r="CQ234" s="16">
        <v>0</v>
      </c>
      <c r="CR234" s="16">
        <v>0</v>
      </c>
      <c r="CS234" s="16">
        <v>0</v>
      </c>
      <c r="CT234" s="16">
        <v>0</v>
      </c>
      <c r="CU234" s="16">
        <v>0</v>
      </c>
      <c r="CV234" s="16">
        <v>0</v>
      </c>
      <c r="CW234" s="16">
        <v>0</v>
      </c>
      <c r="CX234" s="16">
        <v>0</v>
      </c>
      <c r="CY234" s="16">
        <v>0</v>
      </c>
      <c r="CZ234" s="16">
        <v>0</v>
      </c>
      <c r="DA234" s="16">
        <v>0</v>
      </c>
      <c r="DB234" s="16">
        <v>0</v>
      </c>
      <c r="DC234" s="16">
        <v>0</v>
      </c>
      <c r="DD234" s="16">
        <v>0</v>
      </c>
      <c r="DE234" s="16">
        <v>0</v>
      </c>
      <c r="DF234" s="16">
        <v>0</v>
      </c>
      <c r="DG234" s="16">
        <v>0</v>
      </c>
      <c r="DH234" s="16">
        <v>0</v>
      </c>
      <c r="DI234" s="16">
        <v>0</v>
      </c>
      <c r="DJ234" s="16">
        <v>0</v>
      </c>
      <c r="DK234" s="16">
        <v>0</v>
      </c>
      <c r="DL234" s="16">
        <v>0</v>
      </c>
      <c r="DM234" s="16">
        <v>0</v>
      </c>
      <c r="DN234" s="16">
        <v>0</v>
      </c>
      <c r="DO234" s="16">
        <v>0</v>
      </c>
      <c r="DP234" s="16">
        <v>0</v>
      </c>
      <c r="DQ234" s="16">
        <v>0</v>
      </c>
      <c r="DR234" s="16">
        <v>0</v>
      </c>
      <c r="DS234" s="16">
        <v>0</v>
      </c>
      <c r="DT234" s="16">
        <v>0</v>
      </c>
      <c r="DU234" s="16">
        <v>0</v>
      </c>
      <c r="DV234" s="16">
        <v>0</v>
      </c>
      <c r="DW234" s="16">
        <v>0</v>
      </c>
      <c r="DX234" s="16">
        <v>0</v>
      </c>
      <c r="DY234" s="16">
        <v>0</v>
      </c>
      <c r="DZ234" s="16">
        <v>0</v>
      </c>
      <c r="EA234" s="16">
        <v>0</v>
      </c>
      <c r="EB234" s="16">
        <v>0</v>
      </c>
      <c r="EC234" s="16">
        <v>0</v>
      </c>
      <c r="ED234" s="16">
        <v>0</v>
      </c>
      <c r="EE234" s="16">
        <v>0</v>
      </c>
      <c r="EF234" s="16">
        <v>0</v>
      </c>
      <c r="EG234" s="16">
        <v>0</v>
      </c>
      <c r="EH234" s="16">
        <v>0</v>
      </c>
      <c r="EI234" s="16">
        <v>0</v>
      </c>
      <c r="EJ234" s="16">
        <v>0</v>
      </c>
      <c r="EK234" s="16">
        <v>0</v>
      </c>
      <c r="EL234" s="16">
        <v>0</v>
      </c>
      <c r="EM234" s="16">
        <v>0</v>
      </c>
      <c r="EN234" s="16">
        <v>0</v>
      </c>
      <c r="EO234" s="16">
        <v>0</v>
      </c>
      <c r="EP234" s="16">
        <v>0</v>
      </c>
      <c r="EQ234" s="16">
        <v>0</v>
      </c>
      <c r="ER234" s="16">
        <v>0</v>
      </c>
      <c r="ES234" s="16">
        <v>0</v>
      </c>
      <c r="ET234" s="16">
        <v>0</v>
      </c>
      <c r="EU234" s="16">
        <v>0</v>
      </c>
      <c r="EV234" s="16">
        <v>0</v>
      </c>
      <c r="EW234" s="16">
        <v>0</v>
      </c>
      <c r="EX234" s="16">
        <v>0</v>
      </c>
      <c r="EY234" s="16">
        <v>0</v>
      </c>
      <c r="EZ234" s="16">
        <v>0</v>
      </c>
      <c r="FA234" s="16">
        <v>0</v>
      </c>
      <c r="FB234" s="16">
        <v>0</v>
      </c>
      <c r="FC234" s="16">
        <v>0</v>
      </c>
      <c r="FD234" s="16">
        <v>0</v>
      </c>
      <c r="FE234" s="16">
        <v>0</v>
      </c>
      <c r="FF234" s="16">
        <v>0</v>
      </c>
      <c r="FG234" s="16">
        <v>0</v>
      </c>
      <c r="FH234" s="16">
        <v>0</v>
      </c>
      <c r="FI234" s="16">
        <v>0</v>
      </c>
      <c r="FJ234" s="16">
        <v>0</v>
      </c>
      <c r="FK234" s="16">
        <v>0</v>
      </c>
      <c r="FL234" s="16">
        <v>0</v>
      </c>
      <c r="FM234" s="16">
        <v>0</v>
      </c>
      <c r="FN234" s="16">
        <v>0</v>
      </c>
      <c r="FO234" s="16">
        <v>0</v>
      </c>
      <c r="FP234" s="16">
        <v>0</v>
      </c>
      <c r="FQ234" s="16">
        <v>0</v>
      </c>
      <c r="FR234" s="16">
        <v>0</v>
      </c>
      <c r="FS234" s="16">
        <v>0</v>
      </c>
      <c r="FT234" s="16">
        <v>0</v>
      </c>
      <c r="FU234" s="16">
        <v>0</v>
      </c>
      <c r="FV234" s="16">
        <v>0</v>
      </c>
      <c r="FW234" s="16">
        <v>0</v>
      </c>
      <c r="FX234" s="16">
        <v>0</v>
      </c>
      <c r="FY234" s="16">
        <v>0</v>
      </c>
      <c r="FZ234" s="16">
        <v>0</v>
      </c>
      <c r="GA234" s="16">
        <v>0</v>
      </c>
      <c r="GB234" s="16">
        <v>0</v>
      </c>
      <c r="GC234" s="16">
        <v>0</v>
      </c>
      <c r="GD234" s="16">
        <v>0</v>
      </c>
      <c r="GE234" s="16">
        <v>36179</v>
      </c>
      <c r="GF234" s="16">
        <v>1059986</v>
      </c>
      <c r="GG234" s="16">
        <v>0</v>
      </c>
      <c r="GH234" s="16">
        <v>0</v>
      </c>
      <c r="GI234" s="16">
        <v>0</v>
      </c>
      <c r="GJ234" s="16">
        <v>0</v>
      </c>
      <c r="GK234" s="16">
        <v>0</v>
      </c>
      <c r="GL234" s="16">
        <v>0</v>
      </c>
      <c r="GM234" s="16">
        <v>0</v>
      </c>
      <c r="GN234" s="16">
        <v>0</v>
      </c>
      <c r="GO234" s="16">
        <v>0</v>
      </c>
      <c r="GP234" s="16">
        <v>0</v>
      </c>
      <c r="GQ234" s="16">
        <v>0</v>
      </c>
      <c r="GR234" s="16">
        <v>0</v>
      </c>
      <c r="GS234" s="16">
        <v>0</v>
      </c>
      <c r="GT234" s="16">
        <v>0</v>
      </c>
      <c r="GU234" s="16">
        <v>0</v>
      </c>
      <c r="GV234" s="16">
        <v>0</v>
      </c>
      <c r="GW234" s="16">
        <v>0</v>
      </c>
      <c r="GX234" s="16">
        <v>0</v>
      </c>
      <c r="GY234" s="16">
        <v>0</v>
      </c>
      <c r="GZ234" s="16">
        <v>0</v>
      </c>
      <c r="HA234" s="16">
        <v>0</v>
      </c>
      <c r="HB234" s="16">
        <v>0</v>
      </c>
      <c r="HC234" s="16">
        <v>0</v>
      </c>
      <c r="HD234" s="16">
        <v>0</v>
      </c>
      <c r="HE234" s="16">
        <v>0</v>
      </c>
      <c r="HF234" s="16">
        <v>0</v>
      </c>
      <c r="HG234" s="16">
        <v>0</v>
      </c>
      <c r="HH234" s="16">
        <v>0</v>
      </c>
      <c r="HI234" s="16">
        <v>0</v>
      </c>
      <c r="HJ234" s="16">
        <v>0</v>
      </c>
      <c r="HK234" s="16">
        <v>0</v>
      </c>
      <c r="HL234" s="16">
        <v>0</v>
      </c>
      <c r="HM234" s="16">
        <v>0</v>
      </c>
      <c r="HN234" s="16">
        <v>0</v>
      </c>
      <c r="HO234" s="16">
        <v>0</v>
      </c>
      <c r="HP234" s="16">
        <v>0</v>
      </c>
      <c r="HQ234" s="16">
        <v>0</v>
      </c>
      <c r="HR234" s="16">
        <v>0</v>
      </c>
      <c r="HS234" s="16">
        <v>0</v>
      </c>
      <c r="HT234" s="16">
        <v>0</v>
      </c>
      <c r="HU234" s="16">
        <v>0</v>
      </c>
      <c r="HV234" s="16">
        <v>0</v>
      </c>
      <c r="HW234" s="16">
        <v>0</v>
      </c>
      <c r="HX234" s="16">
        <v>0</v>
      </c>
      <c r="HY234" s="16">
        <v>0</v>
      </c>
      <c r="HZ234" s="16">
        <v>6466757</v>
      </c>
      <c r="IA234" s="16">
        <v>0</v>
      </c>
      <c r="IB234" s="16">
        <v>0</v>
      </c>
      <c r="IC234" s="16">
        <v>0</v>
      </c>
      <c r="ID234" s="16">
        <v>0</v>
      </c>
      <c r="IE234" s="16">
        <v>0</v>
      </c>
      <c r="IF234" s="16">
        <v>0</v>
      </c>
      <c r="IG234" s="16">
        <v>0</v>
      </c>
      <c r="IH234" s="16">
        <v>0</v>
      </c>
      <c r="II234" s="16">
        <v>0</v>
      </c>
      <c r="IJ234" s="16">
        <v>0</v>
      </c>
      <c r="IK234" s="16">
        <v>0</v>
      </c>
      <c r="IL234" s="16">
        <v>0</v>
      </c>
      <c r="IM234" s="16">
        <v>0</v>
      </c>
      <c r="IN234" s="16">
        <v>0</v>
      </c>
      <c r="IO234" s="16">
        <v>0</v>
      </c>
      <c r="IP234" s="16">
        <v>0</v>
      </c>
      <c r="IQ234" s="16">
        <v>0</v>
      </c>
      <c r="IR234" s="16">
        <v>0</v>
      </c>
      <c r="IS234" s="16">
        <v>0</v>
      </c>
      <c r="IT234" s="16">
        <v>0</v>
      </c>
      <c r="IU234" s="16">
        <v>0</v>
      </c>
      <c r="IV234" s="16">
        <v>0</v>
      </c>
      <c r="IW234" s="16">
        <v>0</v>
      </c>
      <c r="IX234" s="16">
        <v>0</v>
      </c>
      <c r="IY234" s="16">
        <v>0</v>
      </c>
      <c r="IZ234" s="16">
        <v>0</v>
      </c>
      <c r="JA234" s="16">
        <v>0</v>
      </c>
      <c r="JB234" s="16">
        <v>0</v>
      </c>
      <c r="JC234" s="16">
        <v>0</v>
      </c>
      <c r="JD234" s="16">
        <v>0</v>
      </c>
      <c r="JE234" s="16">
        <v>0</v>
      </c>
      <c r="JF234" s="16">
        <v>0</v>
      </c>
      <c r="JG234" s="16">
        <v>7489</v>
      </c>
      <c r="JH234" s="16">
        <v>0</v>
      </c>
      <c r="JI234" s="16">
        <v>0</v>
      </c>
      <c r="JJ234" s="16">
        <v>0</v>
      </c>
      <c r="JK234" s="16">
        <v>0</v>
      </c>
      <c r="JL234" s="16">
        <v>0</v>
      </c>
      <c r="JM234" s="16">
        <v>0</v>
      </c>
      <c r="JN234" s="16">
        <v>0</v>
      </c>
      <c r="JO234" s="16">
        <v>0</v>
      </c>
      <c r="JP234" s="16">
        <v>0</v>
      </c>
      <c r="JQ234" s="16">
        <v>0</v>
      </c>
      <c r="JR234" s="16">
        <v>0</v>
      </c>
      <c r="JS234" s="16">
        <v>0</v>
      </c>
      <c r="JT234" s="16">
        <v>0</v>
      </c>
      <c r="JU234" s="16">
        <v>0</v>
      </c>
      <c r="JV234" s="16">
        <v>0</v>
      </c>
      <c r="JW234" s="16">
        <v>0</v>
      </c>
      <c r="JX234" s="16">
        <v>0</v>
      </c>
      <c r="JY234" s="16">
        <v>0</v>
      </c>
      <c r="JZ234" s="16">
        <v>0</v>
      </c>
      <c r="KA234" s="16">
        <v>0</v>
      </c>
      <c r="KB234" s="16">
        <v>0</v>
      </c>
      <c r="KC234" s="16">
        <v>0</v>
      </c>
      <c r="KD234" s="16">
        <v>0</v>
      </c>
      <c r="KE234" s="16">
        <v>0</v>
      </c>
      <c r="KF234" s="16">
        <v>0</v>
      </c>
      <c r="KG234" s="16">
        <v>0</v>
      </c>
      <c r="KH234" s="16">
        <v>0</v>
      </c>
      <c r="KI234" s="16">
        <v>0</v>
      </c>
      <c r="KJ234" s="16">
        <v>0</v>
      </c>
      <c r="KK234" s="16">
        <v>0</v>
      </c>
      <c r="KL234" s="16">
        <v>0</v>
      </c>
      <c r="KM234" s="16">
        <v>0</v>
      </c>
      <c r="KN234" s="16">
        <v>0</v>
      </c>
      <c r="KO234" s="16">
        <v>0</v>
      </c>
      <c r="KP234" s="16">
        <v>0</v>
      </c>
      <c r="KQ234" s="16">
        <v>0</v>
      </c>
      <c r="KR234" s="16">
        <v>0</v>
      </c>
      <c r="KS234" s="16">
        <v>0</v>
      </c>
      <c r="KT234" s="16">
        <v>0</v>
      </c>
      <c r="KU234" s="16">
        <v>0</v>
      </c>
      <c r="KV234" s="16">
        <v>0</v>
      </c>
      <c r="KW234" s="16">
        <v>0</v>
      </c>
      <c r="KX234" s="16">
        <v>0</v>
      </c>
      <c r="KY234" s="16">
        <v>0</v>
      </c>
      <c r="KZ234" s="16">
        <v>0</v>
      </c>
      <c r="LA234" s="16">
        <v>0</v>
      </c>
      <c r="LB234" s="16">
        <v>0</v>
      </c>
      <c r="LC234" s="16">
        <v>0</v>
      </c>
      <c r="LD234" s="16">
        <v>0</v>
      </c>
      <c r="LE234" s="16">
        <v>0</v>
      </c>
      <c r="LF234" s="16">
        <v>0</v>
      </c>
      <c r="LG234" s="16">
        <v>0</v>
      </c>
      <c r="LH234" s="16">
        <v>0</v>
      </c>
      <c r="LI234" s="16">
        <v>0</v>
      </c>
      <c r="LJ234" s="16">
        <v>0</v>
      </c>
      <c r="LK234" s="16">
        <v>0</v>
      </c>
      <c r="LL234" s="16">
        <v>0</v>
      </c>
      <c r="LM234" s="16">
        <v>0</v>
      </c>
      <c r="LN234" s="16">
        <v>0</v>
      </c>
      <c r="LO234" s="16">
        <v>0</v>
      </c>
      <c r="LP234" s="16">
        <v>0</v>
      </c>
      <c r="LQ234" s="16">
        <v>0</v>
      </c>
      <c r="LR234" s="16">
        <v>0</v>
      </c>
      <c r="LS234" s="16">
        <v>0</v>
      </c>
      <c r="LT234" s="16">
        <v>0</v>
      </c>
      <c r="LU234" s="16">
        <v>0</v>
      </c>
      <c r="LV234" s="16">
        <v>0</v>
      </c>
      <c r="LW234" s="16">
        <v>0</v>
      </c>
      <c r="LX234" s="16">
        <v>0</v>
      </c>
      <c r="LY234" s="16">
        <v>0</v>
      </c>
      <c r="LZ234" s="16">
        <v>0</v>
      </c>
      <c r="MA234" s="16">
        <v>0</v>
      </c>
      <c r="MB234" s="16">
        <v>0</v>
      </c>
      <c r="MC234" s="16">
        <v>570</v>
      </c>
      <c r="MD234" s="16">
        <v>0</v>
      </c>
      <c r="ME234" s="16">
        <v>15913</v>
      </c>
      <c r="MF234" s="16">
        <v>494418</v>
      </c>
      <c r="MG234" s="16">
        <v>0</v>
      </c>
      <c r="MH234" s="16">
        <v>0</v>
      </c>
      <c r="MI234" s="16">
        <v>0</v>
      </c>
      <c r="MJ234" s="16">
        <v>0</v>
      </c>
      <c r="MK234" s="16">
        <v>0</v>
      </c>
      <c r="ML234" s="16">
        <v>0</v>
      </c>
      <c r="MM234" s="16">
        <v>0</v>
      </c>
      <c r="MN234" s="16">
        <v>0</v>
      </c>
      <c r="MO234" s="16">
        <v>0</v>
      </c>
      <c r="MP234" s="16">
        <v>0</v>
      </c>
      <c r="MQ234" s="16">
        <v>0</v>
      </c>
      <c r="MR234" s="16">
        <v>0</v>
      </c>
      <c r="MS234" s="16">
        <v>0</v>
      </c>
      <c r="MT234" s="16">
        <v>0</v>
      </c>
      <c r="MU234" s="16">
        <v>0</v>
      </c>
      <c r="MV234" s="16">
        <v>0</v>
      </c>
      <c r="MW234" s="16">
        <v>0</v>
      </c>
      <c r="MX234" s="16">
        <v>0</v>
      </c>
      <c r="MY234" s="16">
        <v>0</v>
      </c>
      <c r="MZ234" s="16">
        <v>0</v>
      </c>
      <c r="NA234" s="16">
        <v>0</v>
      </c>
      <c r="NB234" s="16">
        <v>0</v>
      </c>
      <c r="NC234" s="16">
        <v>0</v>
      </c>
      <c r="ND234" s="16">
        <v>0</v>
      </c>
      <c r="NE234" s="16">
        <v>0</v>
      </c>
      <c r="NF234" s="16">
        <v>0</v>
      </c>
      <c r="NG234" s="16">
        <v>0</v>
      </c>
      <c r="NH234" s="16">
        <v>0</v>
      </c>
      <c r="NI234" s="16">
        <v>0</v>
      </c>
      <c r="NJ234" s="16">
        <v>0</v>
      </c>
      <c r="NK234" s="16">
        <v>0</v>
      </c>
      <c r="NL234" s="16">
        <v>0</v>
      </c>
      <c r="NM234" s="16">
        <v>0</v>
      </c>
      <c r="NN234" s="16">
        <v>0</v>
      </c>
      <c r="NO234" s="16">
        <v>0</v>
      </c>
      <c r="NP234" s="16">
        <v>0</v>
      </c>
      <c r="NQ234" s="16">
        <v>1</v>
      </c>
      <c r="NR234" s="17">
        <v>8081313</v>
      </c>
    </row>
    <row r="235" spans="1:382" ht="13.5" customHeight="1" x14ac:dyDescent="0.2">
      <c r="A235" s="2" t="s">
        <v>477</v>
      </c>
      <c r="B235" s="16">
        <v>0</v>
      </c>
      <c r="C235" s="16">
        <v>0</v>
      </c>
      <c r="D235" s="16">
        <v>0</v>
      </c>
      <c r="E235" s="16">
        <v>0</v>
      </c>
      <c r="F235" s="16">
        <v>0</v>
      </c>
      <c r="G235" s="16">
        <v>0</v>
      </c>
      <c r="H235" s="16">
        <v>0</v>
      </c>
      <c r="I235" s="16">
        <v>0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  <c r="AG235" s="16">
        <v>0</v>
      </c>
      <c r="AH235" s="16">
        <v>0</v>
      </c>
      <c r="AI235" s="16">
        <v>0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6">
        <v>0</v>
      </c>
      <c r="AS235" s="16">
        <v>0</v>
      </c>
      <c r="AT235" s="16">
        <v>0</v>
      </c>
      <c r="AU235" s="16">
        <v>0</v>
      </c>
      <c r="AV235" s="16">
        <v>0</v>
      </c>
      <c r="AW235" s="16">
        <v>0</v>
      </c>
      <c r="AX235" s="16">
        <v>0</v>
      </c>
      <c r="AY235" s="16">
        <v>0</v>
      </c>
      <c r="AZ235" s="16">
        <v>0</v>
      </c>
      <c r="BA235" s="16">
        <v>0</v>
      </c>
      <c r="BB235" s="16">
        <v>0</v>
      </c>
      <c r="BC235" s="16">
        <v>0</v>
      </c>
      <c r="BD235" s="16">
        <v>0</v>
      </c>
      <c r="BE235" s="16">
        <v>0</v>
      </c>
      <c r="BF235" s="16">
        <v>0</v>
      </c>
      <c r="BG235" s="16">
        <v>0</v>
      </c>
      <c r="BH235" s="16">
        <v>0</v>
      </c>
      <c r="BI235" s="16">
        <v>0</v>
      </c>
      <c r="BJ235" s="16">
        <v>0</v>
      </c>
      <c r="BK235" s="16">
        <v>0</v>
      </c>
      <c r="BL235" s="16">
        <v>0</v>
      </c>
      <c r="BM235" s="16">
        <v>0</v>
      </c>
      <c r="BN235" s="16">
        <v>0</v>
      </c>
      <c r="BO235" s="16">
        <v>0</v>
      </c>
      <c r="BP235" s="16">
        <v>0</v>
      </c>
      <c r="BQ235" s="16">
        <v>0</v>
      </c>
      <c r="BR235" s="16">
        <v>0</v>
      </c>
      <c r="BS235" s="16">
        <v>0</v>
      </c>
      <c r="BT235" s="16">
        <v>0</v>
      </c>
      <c r="BU235" s="16">
        <v>0</v>
      </c>
      <c r="BV235" s="16">
        <v>0</v>
      </c>
      <c r="BW235" s="16">
        <v>0</v>
      </c>
      <c r="BX235" s="16">
        <v>0</v>
      </c>
      <c r="BY235" s="16">
        <v>0</v>
      </c>
      <c r="BZ235" s="16">
        <v>0</v>
      </c>
      <c r="CA235" s="16">
        <v>0</v>
      </c>
      <c r="CB235" s="16">
        <v>0</v>
      </c>
      <c r="CC235" s="16">
        <v>0</v>
      </c>
      <c r="CD235" s="16">
        <v>0</v>
      </c>
      <c r="CE235" s="16">
        <v>0</v>
      </c>
      <c r="CF235" s="16">
        <v>0</v>
      </c>
      <c r="CG235" s="16">
        <v>0</v>
      </c>
      <c r="CH235" s="16">
        <v>0</v>
      </c>
      <c r="CI235" s="16">
        <v>0</v>
      </c>
      <c r="CJ235" s="16">
        <v>0</v>
      </c>
      <c r="CK235" s="16">
        <v>0</v>
      </c>
      <c r="CL235" s="16">
        <v>0</v>
      </c>
      <c r="CM235" s="16">
        <v>0</v>
      </c>
      <c r="CN235" s="16">
        <v>0</v>
      </c>
      <c r="CO235" s="16">
        <v>0</v>
      </c>
      <c r="CP235" s="16">
        <v>0</v>
      </c>
      <c r="CQ235" s="16">
        <v>0</v>
      </c>
      <c r="CR235" s="16">
        <v>0</v>
      </c>
      <c r="CS235" s="16">
        <v>0</v>
      </c>
      <c r="CT235" s="16">
        <v>0</v>
      </c>
      <c r="CU235" s="16">
        <v>0</v>
      </c>
      <c r="CV235" s="16">
        <v>0</v>
      </c>
      <c r="CW235" s="16">
        <v>0</v>
      </c>
      <c r="CX235" s="16">
        <v>0</v>
      </c>
      <c r="CY235" s="16">
        <v>0</v>
      </c>
      <c r="CZ235" s="16">
        <v>0</v>
      </c>
      <c r="DA235" s="16">
        <v>0</v>
      </c>
      <c r="DB235" s="16">
        <v>0</v>
      </c>
      <c r="DC235" s="16">
        <v>0</v>
      </c>
      <c r="DD235" s="16">
        <v>0</v>
      </c>
      <c r="DE235" s="16">
        <v>0</v>
      </c>
      <c r="DF235" s="16">
        <v>0</v>
      </c>
      <c r="DG235" s="16">
        <v>0</v>
      </c>
      <c r="DH235" s="16">
        <v>0</v>
      </c>
      <c r="DI235" s="16">
        <v>0</v>
      </c>
      <c r="DJ235" s="16">
        <v>0</v>
      </c>
      <c r="DK235" s="16">
        <v>0</v>
      </c>
      <c r="DL235" s="16">
        <v>0</v>
      </c>
      <c r="DM235" s="16">
        <v>0</v>
      </c>
      <c r="DN235" s="16">
        <v>0</v>
      </c>
      <c r="DO235" s="16">
        <v>0</v>
      </c>
      <c r="DP235" s="16">
        <v>0</v>
      </c>
      <c r="DQ235" s="16">
        <v>0</v>
      </c>
      <c r="DR235" s="16">
        <v>0</v>
      </c>
      <c r="DS235" s="16">
        <v>0</v>
      </c>
      <c r="DT235" s="16">
        <v>0</v>
      </c>
      <c r="DU235" s="16">
        <v>0</v>
      </c>
      <c r="DV235" s="16">
        <v>0</v>
      </c>
      <c r="DW235" s="16">
        <v>0</v>
      </c>
      <c r="DX235" s="16">
        <v>0</v>
      </c>
      <c r="DY235" s="16">
        <v>0</v>
      </c>
      <c r="DZ235" s="16">
        <v>0</v>
      </c>
      <c r="EA235" s="16">
        <v>0</v>
      </c>
      <c r="EB235" s="16">
        <v>0</v>
      </c>
      <c r="EC235" s="16">
        <v>0</v>
      </c>
      <c r="ED235" s="16">
        <v>0</v>
      </c>
      <c r="EE235" s="16">
        <v>0</v>
      </c>
      <c r="EF235" s="16">
        <v>0</v>
      </c>
      <c r="EG235" s="16">
        <v>0</v>
      </c>
      <c r="EH235" s="16">
        <v>0</v>
      </c>
      <c r="EI235" s="16">
        <v>0</v>
      </c>
      <c r="EJ235" s="16">
        <v>0</v>
      </c>
      <c r="EK235" s="16">
        <v>0</v>
      </c>
      <c r="EL235" s="16">
        <v>0</v>
      </c>
      <c r="EM235" s="16">
        <v>0</v>
      </c>
      <c r="EN235" s="16">
        <v>0</v>
      </c>
      <c r="EO235" s="16">
        <v>0</v>
      </c>
      <c r="EP235" s="16">
        <v>0</v>
      </c>
      <c r="EQ235" s="16">
        <v>0</v>
      </c>
      <c r="ER235" s="16">
        <v>0</v>
      </c>
      <c r="ES235" s="16">
        <v>0</v>
      </c>
      <c r="ET235" s="16">
        <v>0</v>
      </c>
      <c r="EU235" s="16">
        <v>0</v>
      </c>
      <c r="EV235" s="16">
        <v>0</v>
      </c>
      <c r="EW235" s="16">
        <v>0</v>
      </c>
      <c r="EX235" s="16">
        <v>0</v>
      </c>
      <c r="EY235" s="16">
        <v>0</v>
      </c>
      <c r="EZ235" s="16">
        <v>0</v>
      </c>
      <c r="FA235" s="16">
        <v>0</v>
      </c>
      <c r="FB235" s="16">
        <v>0</v>
      </c>
      <c r="FC235" s="16">
        <v>0</v>
      </c>
      <c r="FD235" s="16">
        <v>0</v>
      </c>
      <c r="FE235" s="16">
        <v>0</v>
      </c>
      <c r="FF235" s="16">
        <v>0</v>
      </c>
      <c r="FG235" s="16">
        <v>0</v>
      </c>
      <c r="FH235" s="16">
        <v>0</v>
      </c>
      <c r="FI235" s="16">
        <v>0</v>
      </c>
      <c r="FJ235" s="16">
        <v>0</v>
      </c>
      <c r="FK235" s="16">
        <v>0</v>
      </c>
      <c r="FL235" s="16">
        <v>0</v>
      </c>
      <c r="FM235" s="16">
        <v>0</v>
      </c>
      <c r="FN235" s="16">
        <v>0</v>
      </c>
      <c r="FO235" s="16">
        <v>0</v>
      </c>
      <c r="FP235" s="16">
        <v>0</v>
      </c>
      <c r="FQ235" s="16">
        <v>0</v>
      </c>
      <c r="FR235" s="16">
        <v>0</v>
      </c>
      <c r="FS235" s="16">
        <v>0</v>
      </c>
      <c r="FT235" s="16">
        <v>0</v>
      </c>
      <c r="FU235" s="16">
        <v>0</v>
      </c>
      <c r="FV235" s="16">
        <v>0</v>
      </c>
      <c r="FW235" s="16">
        <v>0</v>
      </c>
      <c r="FX235" s="16">
        <v>0</v>
      </c>
      <c r="FY235" s="16">
        <v>0</v>
      </c>
      <c r="FZ235" s="16">
        <v>0</v>
      </c>
      <c r="GA235" s="16">
        <v>0</v>
      </c>
      <c r="GB235" s="16">
        <v>0</v>
      </c>
      <c r="GC235" s="16">
        <v>0</v>
      </c>
      <c r="GD235" s="16">
        <v>0</v>
      </c>
      <c r="GE235" s="16">
        <v>98</v>
      </c>
      <c r="GF235" s="16">
        <v>0</v>
      </c>
      <c r="GG235" s="16">
        <v>627</v>
      </c>
      <c r="GH235" s="16">
        <v>10953</v>
      </c>
      <c r="GI235" s="16">
        <v>0</v>
      </c>
      <c r="GJ235" s="16">
        <v>0</v>
      </c>
      <c r="GK235" s="16">
        <v>1299</v>
      </c>
      <c r="GL235" s="16">
        <v>0</v>
      </c>
      <c r="GM235" s="16">
        <v>0</v>
      </c>
      <c r="GN235" s="16">
        <v>0</v>
      </c>
      <c r="GO235" s="16">
        <v>0</v>
      </c>
      <c r="GP235" s="16">
        <v>0</v>
      </c>
      <c r="GQ235" s="16">
        <v>0</v>
      </c>
      <c r="GR235" s="16">
        <v>0</v>
      </c>
      <c r="GS235" s="16">
        <v>0</v>
      </c>
      <c r="GT235" s="16">
        <v>0</v>
      </c>
      <c r="GU235" s="16">
        <v>0</v>
      </c>
      <c r="GV235" s="16">
        <v>0</v>
      </c>
      <c r="GW235" s="16">
        <v>0</v>
      </c>
      <c r="GX235" s="16">
        <v>0</v>
      </c>
      <c r="GY235" s="16">
        <v>0</v>
      </c>
      <c r="GZ235" s="16">
        <v>0</v>
      </c>
      <c r="HA235" s="16">
        <v>0</v>
      </c>
      <c r="HB235" s="16">
        <v>0</v>
      </c>
      <c r="HC235" s="16">
        <v>0</v>
      </c>
      <c r="HD235" s="16">
        <v>0</v>
      </c>
      <c r="HE235" s="16">
        <v>0</v>
      </c>
      <c r="HF235" s="16">
        <v>0</v>
      </c>
      <c r="HG235" s="16">
        <v>0</v>
      </c>
      <c r="HH235" s="16">
        <v>0</v>
      </c>
      <c r="HI235" s="16">
        <v>0</v>
      </c>
      <c r="HJ235" s="16">
        <v>0</v>
      </c>
      <c r="HK235" s="16">
        <v>0</v>
      </c>
      <c r="HL235" s="16">
        <v>0</v>
      </c>
      <c r="HM235" s="16">
        <v>0</v>
      </c>
      <c r="HN235" s="16">
        <v>0</v>
      </c>
      <c r="HO235" s="16">
        <v>0</v>
      </c>
      <c r="HP235" s="16">
        <v>0</v>
      </c>
      <c r="HQ235" s="16">
        <v>0</v>
      </c>
      <c r="HR235" s="16">
        <v>0</v>
      </c>
      <c r="HS235" s="16">
        <v>0</v>
      </c>
      <c r="HT235" s="16">
        <v>0</v>
      </c>
      <c r="HU235" s="16">
        <v>0</v>
      </c>
      <c r="HV235" s="16">
        <v>0</v>
      </c>
      <c r="HW235" s="16">
        <v>0</v>
      </c>
      <c r="HX235" s="16">
        <v>0</v>
      </c>
      <c r="HY235" s="16">
        <v>0</v>
      </c>
      <c r="HZ235" s="16">
        <v>0</v>
      </c>
      <c r="IA235" s="16">
        <v>512762</v>
      </c>
      <c r="IB235" s="16">
        <v>0</v>
      </c>
      <c r="IC235" s="16">
        <v>0</v>
      </c>
      <c r="ID235" s="16">
        <v>0</v>
      </c>
      <c r="IE235" s="16">
        <v>0</v>
      </c>
      <c r="IF235" s="16">
        <v>0</v>
      </c>
      <c r="IG235" s="16">
        <v>0</v>
      </c>
      <c r="IH235" s="16">
        <v>0</v>
      </c>
      <c r="II235" s="16">
        <v>0</v>
      </c>
      <c r="IJ235" s="16">
        <v>0</v>
      </c>
      <c r="IK235" s="16">
        <v>0</v>
      </c>
      <c r="IL235" s="16">
        <v>0</v>
      </c>
      <c r="IM235" s="16">
        <v>0</v>
      </c>
      <c r="IN235" s="16">
        <v>0</v>
      </c>
      <c r="IO235" s="16">
        <v>0</v>
      </c>
      <c r="IP235" s="16">
        <v>0</v>
      </c>
      <c r="IQ235" s="16">
        <v>0</v>
      </c>
      <c r="IR235" s="16">
        <v>0</v>
      </c>
      <c r="IS235" s="16">
        <v>0</v>
      </c>
      <c r="IT235" s="16">
        <v>0</v>
      </c>
      <c r="IU235" s="16">
        <v>0</v>
      </c>
      <c r="IV235" s="16">
        <v>0</v>
      </c>
      <c r="IW235" s="16">
        <v>0</v>
      </c>
      <c r="IX235" s="16">
        <v>0</v>
      </c>
      <c r="IY235" s="16">
        <v>0</v>
      </c>
      <c r="IZ235" s="16">
        <v>0</v>
      </c>
      <c r="JA235" s="16">
        <v>0</v>
      </c>
      <c r="JB235" s="16">
        <v>0</v>
      </c>
      <c r="JC235" s="16">
        <v>0</v>
      </c>
      <c r="JD235" s="16">
        <v>0</v>
      </c>
      <c r="JE235" s="16">
        <v>0</v>
      </c>
      <c r="JF235" s="16">
        <v>0</v>
      </c>
      <c r="JG235" s="16">
        <v>101</v>
      </c>
      <c r="JH235" s="16">
        <v>0</v>
      </c>
      <c r="JI235" s="16">
        <v>0</v>
      </c>
      <c r="JJ235" s="16">
        <v>0</v>
      </c>
      <c r="JK235" s="16">
        <v>0</v>
      </c>
      <c r="JL235" s="16">
        <v>0</v>
      </c>
      <c r="JM235" s="16">
        <v>0</v>
      </c>
      <c r="JN235" s="16">
        <v>0</v>
      </c>
      <c r="JO235" s="16">
        <v>0</v>
      </c>
      <c r="JP235" s="16">
        <v>0</v>
      </c>
      <c r="JQ235" s="16">
        <v>0</v>
      </c>
      <c r="JR235" s="16">
        <v>0</v>
      </c>
      <c r="JS235" s="16">
        <v>0</v>
      </c>
      <c r="JT235" s="16">
        <v>0</v>
      </c>
      <c r="JU235" s="16">
        <v>0</v>
      </c>
      <c r="JV235" s="16">
        <v>0</v>
      </c>
      <c r="JW235" s="16">
        <v>0</v>
      </c>
      <c r="JX235" s="16">
        <v>0</v>
      </c>
      <c r="JY235" s="16">
        <v>0</v>
      </c>
      <c r="JZ235" s="16">
        <v>0</v>
      </c>
      <c r="KA235" s="16">
        <v>0</v>
      </c>
      <c r="KB235" s="16">
        <v>0</v>
      </c>
      <c r="KC235" s="16">
        <v>0</v>
      </c>
      <c r="KD235" s="16">
        <v>0</v>
      </c>
      <c r="KE235" s="16">
        <v>0</v>
      </c>
      <c r="KF235" s="16">
        <v>0</v>
      </c>
      <c r="KG235" s="16">
        <v>0</v>
      </c>
      <c r="KH235" s="16">
        <v>0</v>
      </c>
      <c r="KI235" s="16">
        <v>0</v>
      </c>
      <c r="KJ235" s="16">
        <v>0</v>
      </c>
      <c r="KK235" s="16">
        <v>0</v>
      </c>
      <c r="KL235" s="16">
        <v>0</v>
      </c>
      <c r="KM235" s="16">
        <v>0</v>
      </c>
      <c r="KN235" s="16">
        <v>0</v>
      </c>
      <c r="KO235" s="16">
        <v>0</v>
      </c>
      <c r="KP235" s="16">
        <v>0</v>
      </c>
      <c r="KQ235" s="16">
        <v>0</v>
      </c>
      <c r="KR235" s="16">
        <v>0</v>
      </c>
      <c r="KS235" s="16">
        <v>0</v>
      </c>
      <c r="KT235" s="16">
        <v>0</v>
      </c>
      <c r="KU235" s="16">
        <v>0</v>
      </c>
      <c r="KV235" s="16">
        <v>0</v>
      </c>
      <c r="KW235" s="16">
        <v>0</v>
      </c>
      <c r="KX235" s="16">
        <v>0</v>
      </c>
      <c r="KY235" s="16">
        <v>0</v>
      </c>
      <c r="KZ235" s="16">
        <v>0</v>
      </c>
      <c r="LA235" s="16">
        <v>0</v>
      </c>
      <c r="LB235" s="16">
        <v>0</v>
      </c>
      <c r="LC235" s="16">
        <v>0</v>
      </c>
      <c r="LD235" s="16">
        <v>0</v>
      </c>
      <c r="LE235" s="16">
        <v>0</v>
      </c>
      <c r="LF235" s="16">
        <v>0</v>
      </c>
      <c r="LG235" s="16">
        <v>0</v>
      </c>
      <c r="LH235" s="16">
        <v>0</v>
      </c>
      <c r="LI235" s="16">
        <v>0</v>
      </c>
      <c r="LJ235" s="16">
        <v>0</v>
      </c>
      <c r="LK235" s="16">
        <v>0</v>
      </c>
      <c r="LL235" s="16">
        <v>0</v>
      </c>
      <c r="LM235" s="16">
        <v>0</v>
      </c>
      <c r="LN235" s="16">
        <v>0</v>
      </c>
      <c r="LO235" s="16">
        <v>0</v>
      </c>
      <c r="LP235" s="16">
        <v>0</v>
      </c>
      <c r="LQ235" s="16">
        <v>0</v>
      </c>
      <c r="LR235" s="16">
        <v>0</v>
      </c>
      <c r="LS235" s="16">
        <v>0</v>
      </c>
      <c r="LT235" s="16">
        <v>0</v>
      </c>
      <c r="LU235" s="16">
        <v>0</v>
      </c>
      <c r="LV235" s="16">
        <v>0</v>
      </c>
      <c r="LW235" s="16">
        <v>0</v>
      </c>
      <c r="LX235" s="16">
        <v>0</v>
      </c>
      <c r="LY235" s="16">
        <v>0</v>
      </c>
      <c r="LZ235" s="16">
        <v>0</v>
      </c>
      <c r="MA235" s="16">
        <v>0</v>
      </c>
      <c r="MB235" s="16">
        <v>0</v>
      </c>
      <c r="MC235" s="16">
        <v>5</v>
      </c>
      <c r="MD235" s="16">
        <v>0</v>
      </c>
      <c r="ME235" s="16">
        <v>1344</v>
      </c>
      <c r="MF235" s="16">
        <v>9243</v>
      </c>
      <c r="MG235" s="16">
        <v>0</v>
      </c>
      <c r="MH235" s="16">
        <v>0</v>
      </c>
      <c r="MI235" s="16">
        <v>0</v>
      </c>
      <c r="MJ235" s="16">
        <v>0</v>
      </c>
      <c r="MK235" s="16">
        <v>0</v>
      </c>
      <c r="ML235" s="16">
        <v>0</v>
      </c>
      <c r="MM235" s="16">
        <v>0</v>
      </c>
      <c r="MN235" s="16">
        <v>0</v>
      </c>
      <c r="MO235" s="16">
        <v>0</v>
      </c>
      <c r="MP235" s="16">
        <v>0</v>
      </c>
      <c r="MQ235" s="16">
        <v>0</v>
      </c>
      <c r="MR235" s="16">
        <v>0</v>
      </c>
      <c r="MS235" s="16">
        <v>0</v>
      </c>
      <c r="MT235" s="16">
        <v>0</v>
      </c>
      <c r="MU235" s="16">
        <v>0</v>
      </c>
      <c r="MV235" s="16">
        <v>0</v>
      </c>
      <c r="MW235" s="16">
        <v>0</v>
      </c>
      <c r="MX235" s="16">
        <v>0</v>
      </c>
      <c r="MY235" s="16">
        <v>0</v>
      </c>
      <c r="MZ235" s="16">
        <v>0</v>
      </c>
      <c r="NA235" s="16">
        <v>0</v>
      </c>
      <c r="NB235" s="16">
        <v>0</v>
      </c>
      <c r="NC235" s="16">
        <v>0</v>
      </c>
      <c r="ND235" s="16">
        <v>0</v>
      </c>
      <c r="NE235" s="16">
        <v>0</v>
      </c>
      <c r="NF235" s="16">
        <v>0</v>
      </c>
      <c r="NG235" s="16">
        <v>0</v>
      </c>
      <c r="NH235" s="16">
        <v>0</v>
      </c>
      <c r="NI235" s="16">
        <v>0</v>
      </c>
      <c r="NJ235" s="16">
        <v>0</v>
      </c>
      <c r="NK235" s="16">
        <v>0</v>
      </c>
      <c r="NL235" s="16">
        <v>0</v>
      </c>
      <c r="NM235" s="16">
        <v>0</v>
      </c>
      <c r="NN235" s="16">
        <v>0</v>
      </c>
      <c r="NO235" s="16">
        <v>0</v>
      </c>
      <c r="NP235" s="16">
        <v>0</v>
      </c>
      <c r="NQ235" s="16">
        <v>0</v>
      </c>
      <c r="NR235" s="17">
        <v>536432</v>
      </c>
    </row>
    <row r="236" spans="1:382" ht="13.5" customHeight="1" x14ac:dyDescent="0.2">
      <c r="A236" s="2" t="s">
        <v>479</v>
      </c>
      <c r="B236" s="16">
        <v>0</v>
      </c>
      <c r="C236" s="16">
        <v>0</v>
      </c>
      <c r="D236" s="16">
        <v>0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13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0</v>
      </c>
      <c r="AJ236" s="16">
        <v>1792</v>
      </c>
      <c r="AK236" s="16">
        <v>5253</v>
      </c>
      <c r="AL236" s="16">
        <v>1350</v>
      </c>
      <c r="AM236" s="16">
        <v>26468</v>
      </c>
      <c r="AN236" s="16">
        <v>4718</v>
      </c>
      <c r="AO236" s="16">
        <v>240</v>
      </c>
      <c r="AP236" s="16">
        <v>325</v>
      </c>
      <c r="AQ236" s="16">
        <v>4574</v>
      </c>
      <c r="AR236" s="16">
        <v>0</v>
      </c>
      <c r="AS236" s="16">
        <v>2490</v>
      </c>
      <c r="AT236" s="16">
        <v>2502</v>
      </c>
      <c r="AU236" s="16">
        <v>8507</v>
      </c>
      <c r="AV236" s="16">
        <v>2023</v>
      </c>
      <c r="AW236" s="16">
        <v>6187</v>
      </c>
      <c r="AX236" s="16">
        <v>762</v>
      </c>
      <c r="AY236" s="16">
        <v>10749</v>
      </c>
      <c r="AZ236" s="16">
        <v>8979</v>
      </c>
      <c r="BA236" s="16">
        <v>1206</v>
      </c>
      <c r="BB236" s="16">
        <v>3774</v>
      </c>
      <c r="BC236" s="16">
        <v>2133</v>
      </c>
      <c r="BD236" s="16">
        <v>217</v>
      </c>
      <c r="BE236" s="16">
        <v>823</v>
      </c>
      <c r="BF236" s="16">
        <v>2132</v>
      </c>
      <c r="BG236" s="16">
        <v>512</v>
      </c>
      <c r="BH236" s="16">
        <v>4674</v>
      </c>
      <c r="BI236" s="16">
        <v>27</v>
      </c>
      <c r="BJ236" s="16">
        <v>0</v>
      </c>
      <c r="BK236" s="16">
        <v>0</v>
      </c>
      <c r="BL236" s="16">
        <v>48</v>
      </c>
      <c r="BM236" s="16">
        <v>0</v>
      </c>
      <c r="BN236" s="16">
        <v>0</v>
      </c>
      <c r="BO236" s="16">
        <v>0</v>
      </c>
      <c r="BP236" s="16">
        <v>0</v>
      </c>
      <c r="BQ236" s="16">
        <v>0</v>
      </c>
      <c r="BR236" s="16">
        <v>0</v>
      </c>
      <c r="BS236" s="16">
        <v>0</v>
      </c>
      <c r="BT236" s="16">
        <v>0</v>
      </c>
      <c r="BU236" s="16">
        <v>0</v>
      </c>
      <c r="BV236" s="16">
        <v>0</v>
      </c>
      <c r="BW236" s="16">
        <v>0</v>
      </c>
      <c r="BX236" s="16">
        <v>0</v>
      </c>
      <c r="BY236" s="16">
        <v>0</v>
      </c>
      <c r="BZ236" s="16">
        <v>8</v>
      </c>
      <c r="CA236" s="16">
        <v>3</v>
      </c>
      <c r="CB236" s="16">
        <v>0</v>
      </c>
      <c r="CC236" s="16">
        <v>0</v>
      </c>
      <c r="CD236" s="16">
        <v>0</v>
      </c>
      <c r="CE236" s="16">
        <v>0</v>
      </c>
      <c r="CF236" s="16">
        <v>0</v>
      </c>
      <c r="CG236" s="16">
        <v>0</v>
      </c>
      <c r="CH236" s="16">
        <v>0</v>
      </c>
      <c r="CI236" s="16">
        <v>0</v>
      </c>
      <c r="CJ236" s="16">
        <v>0</v>
      </c>
      <c r="CK236" s="16">
        <v>0</v>
      </c>
      <c r="CL236" s="16">
        <v>0</v>
      </c>
      <c r="CM236" s="16">
        <v>0</v>
      </c>
      <c r="CN236" s="16">
        <v>0</v>
      </c>
      <c r="CO236" s="16">
        <v>0</v>
      </c>
      <c r="CP236" s="16">
        <v>0</v>
      </c>
      <c r="CQ236" s="16">
        <v>0</v>
      </c>
      <c r="CR236" s="16">
        <v>0</v>
      </c>
      <c r="CS236" s="16">
        <v>0</v>
      </c>
      <c r="CT236" s="16">
        <v>0</v>
      </c>
      <c r="CU236" s="16">
        <v>0</v>
      </c>
      <c r="CV236" s="16">
        <v>0</v>
      </c>
      <c r="CW236" s="16">
        <v>0</v>
      </c>
      <c r="CX236" s="16">
        <v>0</v>
      </c>
      <c r="CY236" s="16">
        <v>0</v>
      </c>
      <c r="CZ236" s="16">
        <v>0</v>
      </c>
      <c r="DA236" s="16">
        <v>0</v>
      </c>
      <c r="DB236" s="16">
        <v>0</v>
      </c>
      <c r="DC236" s="16">
        <v>0</v>
      </c>
      <c r="DD236" s="16">
        <v>0</v>
      </c>
      <c r="DE236" s="16">
        <v>0</v>
      </c>
      <c r="DF236" s="16">
        <v>26</v>
      </c>
      <c r="DG236" s="16">
        <v>0</v>
      </c>
      <c r="DH236" s="16">
        <v>0</v>
      </c>
      <c r="DI236" s="16">
        <v>0</v>
      </c>
      <c r="DJ236" s="16">
        <v>0</v>
      </c>
      <c r="DK236" s="16">
        <v>0</v>
      </c>
      <c r="DL236" s="16">
        <v>0</v>
      </c>
      <c r="DM236" s="16">
        <v>2484</v>
      </c>
      <c r="DN236" s="16">
        <v>0</v>
      </c>
      <c r="DO236" s="16">
        <v>0</v>
      </c>
      <c r="DP236" s="16">
        <v>0</v>
      </c>
      <c r="DQ236" s="16">
        <v>0</v>
      </c>
      <c r="DR236" s="16">
        <v>0</v>
      </c>
      <c r="DS236" s="16">
        <v>0</v>
      </c>
      <c r="DT236" s="16">
        <v>0</v>
      </c>
      <c r="DU236" s="16">
        <v>0</v>
      </c>
      <c r="DV236" s="16">
        <v>0</v>
      </c>
      <c r="DW236" s="16">
        <v>0</v>
      </c>
      <c r="DX236" s="16">
        <v>0</v>
      </c>
      <c r="DY236" s="16">
        <v>0</v>
      </c>
      <c r="DZ236" s="16">
        <v>0</v>
      </c>
      <c r="EA236" s="16">
        <v>0</v>
      </c>
      <c r="EB236" s="16">
        <v>0</v>
      </c>
      <c r="EC236" s="16">
        <v>0</v>
      </c>
      <c r="ED236" s="16">
        <v>0</v>
      </c>
      <c r="EE236" s="16">
        <v>0</v>
      </c>
      <c r="EF236" s="16">
        <v>0</v>
      </c>
      <c r="EG236" s="16">
        <v>0</v>
      </c>
      <c r="EH236" s="16">
        <v>0</v>
      </c>
      <c r="EI236" s="16">
        <v>0</v>
      </c>
      <c r="EJ236" s="16">
        <v>0</v>
      </c>
      <c r="EK236" s="16">
        <v>0</v>
      </c>
      <c r="EL236" s="16">
        <v>0</v>
      </c>
      <c r="EM236" s="16">
        <v>0</v>
      </c>
      <c r="EN236" s="16">
        <v>0</v>
      </c>
      <c r="EO236" s="16">
        <v>0</v>
      </c>
      <c r="EP236" s="16">
        <v>0</v>
      </c>
      <c r="EQ236" s="16">
        <v>0</v>
      </c>
      <c r="ER236" s="16">
        <v>0</v>
      </c>
      <c r="ES236" s="16">
        <v>0</v>
      </c>
      <c r="ET236" s="16">
        <v>0</v>
      </c>
      <c r="EU236" s="16">
        <v>0</v>
      </c>
      <c r="EV236" s="16">
        <v>0</v>
      </c>
      <c r="EW236" s="16">
        <v>0</v>
      </c>
      <c r="EX236" s="16">
        <v>0</v>
      </c>
      <c r="EY236" s="16">
        <v>0</v>
      </c>
      <c r="EZ236" s="16">
        <v>0</v>
      </c>
      <c r="FA236" s="16">
        <v>0</v>
      </c>
      <c r="FB236" s="16">
        <v>250</v>
      </c>
      <c r="FC236" s="16">
        <v>0</v>
      </c>
      <c r="FD236" s="16">
        <v>0</v>
      </c>
      <c r="FE236" s="16">
        <v>28</v>
      </c>
      <c r="FF236" s="16">
        <v>0</v>
      </c>
      <c r="FG236" s="16">
        <v>0</v>
      </c>
      <c r="FH236" s="16">
        <v>0</v>
      </c>
      <c r="FI236" s="16">
        <v>0</v>
      </c>
      <c r="FJ236" s="16">
        <v>0</v>
      </c>
      <c r="FK236" s="16">
        <v>0</v>
      </c>
      <c r="FL236" s="16">
        <v>0</v>
      </c>
      <c r="FM236" s="16">
        <v>0</v>
      </c>
      <c r="FN236" s="16">
        <v>0</v>
      </c>
      <c r="FO236" s="16">
        <v>0</v>
      </c>
      <c r="FP236" s="16">
        <v>0</v>
      </c>
      <c r="FQ236" s="16">
        <v>0</v>
      </c>
      <c r="FR236" s="16">
        <v>0</v>
      </c>
      <c r="FS236" s="16">
        <v>0</v>
      </c>
      <c r="FT236" s="16">
        <v>0</v>
      </c>
      <c r="FU236" s="16">
        <v>0</v>
      </c>
      <c r="FV236" s="16">
        <v>0</v>
      </c>
      <c r="FW236" s="16">
        <v>0</v>
      </c>
      <c r="FX236" s="16">
        <v>0</v>
      </c>
      <c r="FY236" s="16">
        <v>0</v>
      </c>
      <c r="FZ236" s="16">
        <v>0</v>
      </c>
      <c r="GA236" s="16">
        <v>0</v>
      </c>
      <c r="GB236" s="16">
        <v>0</v>
      </c>
      <c r="GC236" s="16">
        <v>0</v>
      </c>
      <c r="GD236" s="16">
        <v>0</v>
      </c>
      <c r="GE236" s="16">
        <v>0</v>
      </c>
      <c r="GF236" s="16">
        <v>0</v>
      </c>
      <c r="GG236" s="16">
        <v>0</v>
      </c>
      <c r="GH236" s="16">
        <v>0</v>
      </c>
      <c r="GI236" s="16">
        <v>0</v>
      </c>
      <c r="GJ236" s="16">
        <v>0</v>
      </c>
      <c r="GK236" s="16">
        <v>0</v>
      </c>
      <c r="GL236" s="16">
        <v>0</v>
      </c>
      <c r="GM236" s="16">
        <v>0</v>
      </c>
      <c r="GN236" s="16">
        <v>0</v>
      </c>
      <c r="GO236" s="16">
        <v>0</v>
      </c>
      <c r="GP236" s="16">
        <v>0</v>
      </c>
      <c r="GQ236" s="16">
        <v>0</v>
      </c>
      <c r="GR236" s="16">
        <v>0</v>
      </c>
      <c r="GS236" s="16">
        <v>0</v>
      </c>
      <c r="GT236" s="16">
        <v>0</v>
      </c>
      <c r="GU236" s="16">
        <v>0</v>
      </c>
      <c r="GV236" s="16">
        <v>0</v>
      </c>
      <c r="GW236" s="16">
        <v>0</v>
      </c>
      <c r="GX236" s="16">
        <v>0</v>
      </c>
      <c r="GY236" s="16">
        <v>0</v>
      </c>
      <c r="GZ236" s="16">
        <v>0</v>
      </c>
      <c r="HA236" s="16">
        <v>0</v>
      </c>
      <c r="HB236" s="16">
        <v>0</v>
      </c>
      <c r="HC236" s="16">
        <v>0</v>
      </c>
      <c r="HD236" s="16">
        <v>0</v>
      </c>
      <c r="HE236" s="16">
        <v>0</v>
      </c>
      <c r="HF236" s="16">
        <v>0</v>
      </c>
      <c r="HG236" s="16">
        <v>0</v>
      </c>
      <c r="HH236" s="16">
        <v>0</v>
      </c>
      <c r="HI236" s="16">
        <v>0</v>
      </c>
      <c r="HJ236" s="16">
        <v>0</v>
      </c>
      <c r="HK236" s="16">
        <v>0</v>
      </c>
      <c r="HL236" s="16">
        <v>0</v>
      </c>
      <c r="HM236" s="16">
        <v>0</v>
      </c>
      <c r="HN236" s="16">
        <v>0</v>
      </c>
      <c r="HO236" s="16">
        <v>0</v>
      </c>
      <c r="HP236" s="16">
        <v>0</v>
      </c>
      <c r="HQ236" s="16">
        <v>0</v>
      </c>
      <c r="HR236" s="16">
        <v>0</v>
      </c>
      <c r="HS236" s="16">
        <v>0</v>
      </c>
      <c r="HT236" s="16">
        <v>0</v>
      </c>
      <c r="HU236" s="16">
        <v>0</v>
      </c>
      <c r="HV236" s="16">
        <v>0</v>
      </c>
      <c r="HW236" s="16">
        <v>0</v>
      </c>
      <c r="HX236" s="16">
        <v>0</v>
      </c>
      <c r="HY236" s="16">
        <v>0</v>
      </c>
      <c r="HZ236" s="16">
        <v>0</v>
      </c>
      <c r="IA236" s="16">
        <v>0</v>
      </c>
      <c r="IB236" s="16">
        <v>212219</v>
      </c>
      <c r="IC236" s="16">
        <v>0</v>
      </c>
      <c r="ID236" s="16">
        <v>0</v>
      </c>
      <c r="IE236" s="16">
        <v>0</v>
      </c>
      <c r="IF236" s="16">
        <v>0</v>
      </c>
      <c r="IG236" s="16">
        <v>0</v>
      </c>
      <c r="IH236" s="16">
        <v>0</v>
      </c>
      <c r="II236" s="16">
        <v>0</v>
      </c>
      <c r="IJ236" s="16">
        <v>0</v>
      </c>
      <c r="IK236" s="16">
        <v>0</v>
      </c>
      <c r="IL236" s="16">
        <v>0</v>
      </c>
      <c r="IM236" s="16">
        <v>0</v>
      </c>
      <c r="IN236" s="16">
        <v>0</v>
      </c>
      <c r="IO236" s="16">
        <v>0</v>
      </c>
      <c r="IP236" s="16">
        <v>135</v>
      </c>
      <c r="IQ236" s="16">
        <v>0</v>
      </c>
      <c r="IR236" s="16">
        <v>0</v>
      </c>
      <c r="IS236" s="16">
        <v>0</v>
      </c>
      <c r="IT236" s="16">
        <v>0</v>
      </c>
      <c r="IU236" s="16">
        <v>2</v>
      </c>
      <c r="IV236" s="16">
        <v>0</v>
      </c>
      <c r="IW236" s="16">
        <v>0</v>
      </c>
      <c r="IX236" s="16">
        <v>0</v>
      </c>
      <c r="IY236" s="16">
        <v>0</v>
      </c>
      <c r="IZ236" s="16">
        <v>0</v>
      </c>
      <c r="JA236" s="16">
        <v>1</v>
      </c>
      <c r="JB236" s="16">
        <v>0</v>
      </c>
      <c r="JC236" s="16">
        <v>0</v>
      </c>
      <c r="JD236" s="16">
        <v>0</v>
      </c>
      <c r="JE236" s="16">
        <v>0</v>
      </c>
      <c r="JF236" s="16">
        <v>51</v>
      </c>
      <c r="JG236" s="16">
        <v>5411</v>
      </c>
      <c r="JH236" s="16">
        <v>48</v>
      </c>
      <c r="JI236" s="16">
        <v>0</v>
      </c>
      <c r="JJ236" s="16">
        <v>0</v>
      </c>
      <c r="JK236" s="16">
        <v>0</v>
      </c>
      <c r="JL236" s="16">
        <v>0</v>
      </c>
      <c r="JM236" s="16">
        <v>0</v>
      </c>
      <c r="JN236" s="16">
        <v>0</v>
      </c>
      <c r="JO236" s="16">
        <v>0</v>
      </c>
      <c r="JP236" s="16">
        <v>0</v>
      </c>
      <c r="JQ236" s="16">
        <v>0</v>
      </c>
      <c r="JR236" s="16">
        <v>0</v>
      </c>
      <c r="JS236" s="16">
        <v>0</v>
      </c>
      <c r="JT236" s="16">
        <v>0</v>
      </c>
      <c r="JU236" s="16">
        <v>0</v>
      </c>
      <c r="JV236" s="16">
        <v>16</v>
      </c>
      <c r="JW236" s="16">
        <v>0</v>
      </c>
      <c r="JX236" s="16">
        <v>0</v>
      </c>
      <c r="JY236" s="16">
        <v>0</v>
      </c>
      <c r="JZ236" s="16">
        <v>0</v>
      </c>
      <c r="KA236" s="16">
        <v>0</v>
      </c>
      <c r="KB236" s="16">
        <v>0</v>
      </c>
      <c r="KC236" s="16">
        <v>0</v>
      </c>
      <c r="KD236" s="16">
        <v>0</v>
      </c>
      <c r="KE236" s="16">
        <v>0</v>
      </c>
      <c r="KF236" s="16">
        <v>0</v>
      </c>
      <c r="KG236" s="16">
        <v>0</v>
      </c>
      <c r="KH236" s="16">
        <v>0</v>
      </c>
      <c r="KI236" s="16">
        <v>0</v>
      </c>
      <c r="KJ236" s="16">
        <v>0</v>
      </c>
      <c r="KK236" s="16">
        <v>7761</v>
      </c>
      <c r="KL236" s="16">
        <v>0</v>
      </c>
      <c r="KM236" s="16">
        <v>0</v>
      </c>
      <c r="KN236" s="16">
        <v>0</v>
      </c>
      <c r="KO236" s="16">
        <v>0</v>
      </c>
      <c r="KP236" s="16">
        <v>0</v>
      </c>
      <c r="KQ236" s="16">
        <v>11</v>
      </c>
      <c r="KR236" s="16">
        <v>0</v>
      </c>
      <c r="KS236" s="16">
        <v>0</v>
      </c>
      <c r="KT236" s="16">
        <v>0</v>
      </c>
      <c r="KU236" s="16">
        <v>0</v>
      </c>
      <c r="KV236" s="16">
        <v>0</v>
      </c>
      <c r="KW236" s="16">
        <v>0</v>
      </c>
      <c r="KX236" s="16">
        <v>0</v>
      </c>
      <c r="KY236" s="16">
        <v>0</v>
      </c>
      <c r="KZ236" s="16">
        <v>55280</v>
      </c>
      <c r="LA236" s="16">
        <v>231</v>
      </c>
      <c r="LB236" s="16">
        <v>540</v>
      </c>
      <c r="LC236" s="16">
        <v>2213</v>
      </c>
      <c r="LD236" s="16">
        <v>0</v>
      </c>
      <c r="LE236" s="16">
        <v>0</v>
      </c>
      <c r="LF236" s="16">
        <v>0</v>
      </c>
      <c r="LG236" s="16">
        <v>0</v>
      </c>
      <c r="LH236" s="16">
        <v>0</v>
      </c>
      <c r="LI236" s="16">
        <v>0</v>
      </c>
      <c r="LJ236" s="16">
        <v>0</v>
      </c>
      <c r="LK236" s="16">
        <v>0</v>
      </c>
      <c r="LL236" s="16">
        <v>0</v>
      </c>
      <c r="LM236" s="16">
        <v>0</v>
      </c>
      <c r="LN236" s="16">
        <v>0</v>
      </c>
      <c r="LO236" s="16">
        <v>0</v>
      </c>
      <c r="LP236" s="16">
        <v>0</v>
      </c>
      <c r="LQ236" s="16">
        <v>0</v>
      </c>
      <c r="LR236" s="16">
        <v>0</v>
      </c>
      <c r="LS236" s="16">
        <v>0</v>
      </c>
      <c r="LT236" s="16">
        <v>0</v>
      </c>
      <c r="LU236" s="16">
        <v>0</v>
      </c>
      <c r="LV236" s="16">
        <v>0</v>
      </c>
      <c r="LW236" s="16">
        <v>0</v>
      </c>
      <c r="LX236" s="16">
        <v>0</v>
      </c>
      <c r="LY236" s="16">
        <v>0</v>
      </c>
      <c r="LZ236" s="16">
        <v>0</v>
      </c>
      <c r="MA236" s="16">
        <v>0</v>
      </c>
      <c r="MB236" s="16">
        <v>0</v>
      </c>
      <c r="MC236" s="16">
        <v>549</v>
      </c>
      <c r="MD236" s="16">
        <v>13044</v>
      </c>
      <c r="ME236" s="16">
        <v>111</v>
      </c>
      <c r="MF236" s="16">
        <v>3631</v>
      </c>
      <c r="MG236" s="16">
        <v>0</v>
      </c>
      <c r="MH236" s="16">
        <v>0</v>
      </c>
      <c r="MI236" s="16">
        <v>0</v>
      </c>
      <c r="MJ236" s="16">
        <v>0</v>
      </c>
      <c r="MK236" s="16">
        <v>0</v>
      </c>
      <c r="ML236" s="16">
        <v>0</v>
      </c>
      <c r="MM236" s="16">
        <v>0</v>
      </c>
      <c r="MN236" s="16">
        <v>13933</v>
      </c>
      <c r="MO236" s="16">
        <v>0</v>
      </c>
      <c r="MP236" s="16">
        <v>0</v>
      </c>
      <c r="MQ236" s="16">
        <v>0</v>
      </c>
      <c r="MR236" s="16">
        <v>5603</v>
      </c>
      <c r="MS236" s="16">
        <v>0</v>
      </c>
      <c r="MT236" s="16">
        <v>0</v>
      </c>
      <c r="MU236" s="16">
        <v>7382</v>
      </c>
      <c r="MV236" s="16">
        <v>0</v>
      </c>
      <c r="MW236" s="16">
        <v>0</v>
      </c>
      <c r="MX236" s="16">
        <v>0</v>
      </c>
      <c r="MY236" s="16">
        <v>0</v>
      </c>
      <c r="MZ236" s="16">
        <v>0</v>
      </c>
      <c r="NA236" s="16">
        <v>0</v>
      </c>
      <c r="NB236" s="16">
        <v>0</v>
      </c>
      <c r="NC236" s="16">
        <v>0</v>
      </c>
      <c r="ND236" s="16">
        <v>0</v>
      </c>
      <c r="NE236" s="16">
        <v>302</v>
      </c>
      <c r="NF236" s="16">
        <v>0</v>
      </c>
      <c r="NG236" s="16">
        <v>2750</v>
      </c>
      <c r="NH236" s="16">
        <v>0</v>
      </c>
      <c r="NI236" s="16">
        <v>0</v>
      </c>
      <c r="NJ236" s="16">
        <v>0</v>
      </c>
      <c r="NK236" s="16">
        <v>0</v>
      </c>
      <c r="NL236" s="16">
        <v>0</v>
      </c>
      <c r="NM236" s="16">
        <v>0</v>
      </c>
      <c r="NN236" s="16">
        <v>0</v>
      </c>
      <c r="NO236" s="16">
        <v>0</v>
      </c>
      <c r="NP236" s="16">
        <v>0</v>
      </c>
      <c r="NQ236" s="16">
        <v>15</v>
      </c>
      <c r="NR236" s="17">
        <v>436516</v>
      </c>
    </row>
    <row r="237" spans="1:382" ht="13.5" customHeight="1" x14ac:dyDescent="0.2">
      <c r="A237" s="2" t="s">
        <v>481</v>
      </c>
      <c r="B237" s="16">
        <v>0</v>
      </c>
      <c r="C237" s="16">
        <v>0</v>
      </c>
      <c r="D237" s="16">
        <v>0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15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49</v>
      </c>
      <c r="AK237" s="16">
        <v>0</v>
      </c>
      <c r="AL237" s="16">
        <v>0</v>
      </c>
      <c r="AM237" s="16">
        <v>0</v>
      </c>
      <c r="AN237" s="16">
        <v>0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>
        <v>0</v>
      </c>
      <c r="AU237" s="16">
        <v>0</v>
      </c>
      <c r="AV237" s="16">
        <v>0</v>
      </c>
      <c r="AW237" s="16">
        <v>0</v>
      </c>
      <c r="AX237" s="16">
        <v>0</v>
      </c>
      <c r="AY237" s="16">
        <v>0</v>
      </c>
      <c r="AZ237" s="16">
        <v>0</v>
      </c>
      <c r="BA237" s="16">
        <v>0</v>
      </c>
      <c r="BB237" s="16">
        <v>0</v>
      </c>
      <c r="BC237" s="16">
        <v>0</v>
      </c>
      <c r="BD237" s="16">
        <v>0</v>
      </c>
      <c r="BE237" s="16">
        <v>0</v>
      </c>
      <c r="BF237" s="16">
        <v>0</v>
      </c>
      <c r="BG237" s="16">
        <v>0</v>
      </c>
      <c r="BH237" s="16">
        <v>0</v>
      </c>
      <c r="BI237" s="16">
        <v>0</v>
      </c>
      <c r="BJ237" s="16">
        <v>38</v>
      </c>
      <c r="BK237" s="16">
        <v>594</v>
      </c>
      <c r="BL237" s="16">
        <v>709</v>
      </c>
      <c r="BM237" s="16">
        <v>393</v>
      </c>
      <c r="BN237" s="16">
        <v>1930</v>
      </c>
      <c r="BO237" s="16">
        <v>1103</v>
      </c>
      <c r="BP237" s="16">
        <v>270</v>
      </c>
      <c r="BQ237" s="16">
        <v>274</v>
      </c>
      <c r="BR237" s="16">
        <v>281</v>
      </c>
      <c r="BS237" s="16">
        <v>3557</v>
      </c>
      <c r="BT237" s="16">
        <v>957</v>
      </c>
      <c r="BU237" s="16">
        <v>45</v>
      </c>
      <c r="BV237" s="16">
        <v>18</v>
      </c>
      <c r="BW237" s="16">
        <v>321</v>
      </c>
      <c r="BX237" s="16">
        <v>380</v>
      </c>
      <c r="BY237" s="16">
        <v>0</v>
      </c>
      <c r="BZ237" s="16">
        <v>299</v>
      </c>
      <c r="CA237" s="16">
        <v>539</v>
      </c>
      <c r="CB237" s="16">
        <v>2</v>
      </c>
      <c r="CC237" s="16">
        <v>0</v>
      </c>
      <c r="CD237" s="16">
        <v>0</v>
      </c>
      <c r="CE237" s="16">
        <v>0</v>
      </c>
      <c r="CF237" s="16">
        <v>0</v>
      </c>
      <c r="CG237" s="16">
        <v>0</v>
      </c>
      <c r="CH237" s="16">
        <v>0</v>
      </c>
      <c r="CI237" s="16">
        <v>0</v>
      </c>
      <c r="CJ237" s="16">
        <v>3</v>
      </c>
      <c r="CK237" s="16">
        <v>0</v>
      </c>
      <c r="CL237" s="16">
        <v>0</v>
      </c>
      <c r="CM237" s="16">
        <v>0</v>
      </c>
      <c r="CN237" s="16">
        <v>0</v>
      </c>
      <c r="CO237" s="16">
        <v>0</v>
      </c>
      <c r="CP237" s="16">
        <v>2</v>
      </c>
      <c r="CQ237" s="16">
        <v>0</v>
      </c>
      <c r="CR237" s="16">
        <v>0</v>
      </c>
      <c r="CS237" s="16">
        <v>0</v>
      </c>
      <c r="CT237" s="16">
        <v>0</v>
      </c>
      <c r="CU237" s="16">
        <v>0</v>
      </c>
      <c r="CV237" s="16">
        <v>0</v>
      </c>
      <c r="CW237" s="16">
        <v>0</v>
      </c>
      <c r="CX237" s="16">
        <v>0</v>
      </c>
      <c r="CY237" s="16">
        <v>0</v>
      </c>
      <c r="CZ237" s="16">
        <v>0</v>
      </c>
      <c r="DA237" s="16">
        <v>0</v>
      </c>
      <c r="DB237" s="16">
        <v>0</v>
      </c>
      <c r="DC237" s="16">
        <v>0</v>
      </c>
      <c r="DD237" s="16">
        <v>0</v>
      </c>
      <c r="DE237" s="16">
        <v>0</v>
      </c>
      <c r="DF237" s="16">
        <v>0</v>
      </c>
      <c r="DG237" s="16">
        <v>0</v>
      </c>
      <c r="DH237" s="16">
        <v>0</v>
      </c>
      <c r="DI237" s="16">
        <v>0</v>
      </c>
      <c r="DJ237" s="16">
        <v>0</v>
      </c>
      <c r="DK237" s="16">
        <v>0</v>
      </c>
      <c r="DL237" s="16">
        <v>23</v>
      </c>
      <c r="DM237" s="16">
        <v>1</v>
      </c>
      <c r="DN237" s="16">
        <v>0</v>
      </c>
      <c r="DO237" s="16">
        <v>0</v>
      </c>
      <c r="DP237" s="16">
        <v>3</v>
      </c>
      <c r="DQ237" s="16">
        <v>0</v>
      </c>
      <c r="DR237" s="16">
        <v>0</v>
      </c>
      <c r="DS237" s="16">
        <v>0</v>
      </c>
      <c r="DT237" s="16">
        <v>0</v>
      </c>
      <c r="DU237" s="16">
        <v>0</v>
      </c>
      <c r="DV237" s="16">
        <v>0</v>
      </c>
      <c r="DW237" s="16">
        <v>0</v>
      </c>
      <c r="DX237" s="16">
        <v>0</v>
      </c>
      <c r="DY237" s="16">
        <v>113</v>
      </c>
      <c r="DZ237" s="16">
        <v>0</v>
      </c>
      <c r="EA237" s="16">
        <v>0</v>
      </c>
      <c r="EB237" s="16">
        <v>0</v>
      </c>
      <c r="EC237" s="16">
        <v>0</v>
      </c>
      <c r="ED237" s="16">
        <v>22</v>
      </c>
      <c r="EE237" s="16">
        <v>0</v>
      </c>
      <c r="EF237" s="16">
        <v>0</v>
      </c>
      <c r="EG237" s="16">
        <v>0</v>
      </c>
      <c r="EH237" s="16">
        <v>1</v>
      </c>
      <c r="EI237" s="16">
        <v>0</v>
      </c>
      <c r="EJ237" s="16">
        <v>0</v>
      </c>
      <c r="EK237" s="16">
        <v>0</v>
      </c>
      <c r="EL237" s="16">
        <v>0</v>
      </c>
      <c r="EM237" s="16">
        <v>0</v>
      </c>
      <c r="EN237" s="16">
        <v>3</v>
      </c>
      <c r="EO237" s="16">
        <v>0</v>
      </c>
      <c r="EP237" s="16">
        <v>0</v>
      </c>
      <c r="EQ237" s="16">
        <v>0</v>
      </c>
      <c r="ER237" s="16">
        <v>0</v>
      </c>
      <c r="ES237" s="16">
        <v>0</v>
      </c>
      <c r="ET237" s="16">
        <v>0</v>
      </c>
      <c r="EU237" s="16">
        <v>0</v>
      </c>
      <c r="EV237" s="16">
        <v>0</v>
      </c>
      <c r="EW237" s="16">
        <v>0</v>
      </c>
      <c r="EX237" s="16">
        <v>0</v>
      </c>
      <c r="EY237" s="16">
        <v>0</v>
      </c>
      <c r="EZ237" s="16">
        <v>0</v>
      </c>
      <c r="FA237" s="16">
        <v>0</v>
      </c>
      <c r="FB237" s="16">
        <v>0</v>
      </c>
      <c r="FC237" s="16">
        <v>0</v>
      </c>
      <c r="FD237" s="16">
        <v>0</v>
      </c>
      <c r="FE237" s="16">
        <v>0</v>
      </c>
      <c r="FF237" s="16">
        <v>0</v>
      </c>
      <c r="FG237" s="16">
        <v>0</v>
      </c>
      <c r="FH237" s="16">
        <v>0</v>
      </c>
      <c r="FI237" s="16">
        <v>0</v>
      </c>
      <c r="FJ237" s="16">
        <v>0</v>
      </c>
      <c r="FK237" s="16">
        <v>0</v>
      </c>
      <c r="FL237" s="16">
        <v>0</v>
      </c>
      <c r="FM237" s="16">
        <v>0</v>
      </c>
      <c r="FN237" s="16">
        <v>0</v>
      </c>
      <c r="FO237" s="16">
        <v>0</v>
      </c>
      <c r="FP237" s="16">
        <v>0</v>
      </c>
      <c r="FQ237" s="16">
        <v>0</v>
      </c>
      <c r="FR237" s="16">
        <v>0</v>
      </c>
      <c r="FS237" s="16">
        <v>0</v>
      </c>
      <c r="FT237" s="16">
        <v>0</v>
      </c>
      <c r="FU237" s="16">
        <v>0</v>
      </c>
      <c r="FV237" s="16">
        <v>0</v>
      </c>
      <c r="FW237" s="16">
        <v>0</v>
      </c>
      <c r="FX237" s="16">
        <v>0</v>
      </c>
      <c r="FY237" s="16">
        <v>0</v>
      </c>
      <c r="FZ237" s="16">
        <v>0</v>
      </c>
      <c r="GA237" s="16">
        <v>0</v>
      </c>
      <c r="GB237" s="16">
        <v>0</v>
      </c>
      <c r="GC237" s="16">
        <v>0</v>
      </c>
      <c r="GD237" s="16">
        <v>0</v>
      </c>
      <c r="GE237" s="16">
        <v>0</v>
      </c>
      <c r="GF237" s="16">
        <v>0</v>
      </c>
      <c r="GG237" s="16">
        <v>0</v>
      </c>
      <c r="GH237" s="16">
        <v>0</v>
      </c>
      <c r="GI237" s="16">
        <v>0</v>
      </c>
      <c r="GJ237" s="16">
        <v>0</v>
      </c>
      <c r="GK237" s="16">
        <v>46</v>
      </c>
      <c r="GL237" s="16">
        <v>0</v>
      </c>
      <c r="GM237" s="16">
        <v>0</v>
      </c>
      <c r="GN237" s="16">
        <v>0</v>
      </c>
      <c r="GO237" s="16">
        <v>0</v>
      </c>
      <c r="GP237" s="16">
        <v>0</v>
      </c>
      <c r="GQ237" s="16">
        <v>0</v>
      </c>
      <c r="GR237" s="16">
        <v>0</v>
      </c>
      <c r="GS237" s="16">
        <v>0</v>
      </c>
      <c r="GT237" s="16">
        <v>0</v>
      </c>
      <c r="GU237" s="16">
        <v>1</v>
      </c>
      <c r="GV237" s="16">
        <v>0</v>
      </c>
      <c r="GW237" s="16">
        <v>0</v>
      </c>
      <c r="GX237" s="16">
        <v>0</v>
      </c>
      <c r="GY237" s="16">
        <v>0</v>
      </c>
      <c r="GZ237" s="16">
        <v>0</v>
      </c>
      <c r="HA237" s="16">
        <v>0</v>
      </c>
      <c r="HB237" s="16">
        <v>0</v>
      </c>
      <c r="HC237" s="16">
        <v>0</v>
      </c>
      <c r="HD237" s="16">
        <v>0</v>
      </c>
      <c r="HE237" s="16">
        <v>0</v>
      </c>
      <c r="HF237" s="16">
        <v>0</v>
      </c>
      <c r="HG237" s="16">
        <v>0</v>
      </c>
      <c r="HH237" s="16">
        <v>0</v>
      </c>
      <c r="HI237" s="16">
        <v>0</v>
      </c>
      <c r="HJ237" s="16">
        <v>0</v>
      </c>
      <c r="HK237" s="16">
        <v>0</v>
      </c>
      <c r="HL237" s="16">
        <v>0</v>
      </c>
      <c r="HM237" s="16">
        <v>0</v>
      </c>
      <c r="HN237" s="16">
        <v>0</v>
      </c>
      <c r="HO237" s="16">
        <v>0</v>
      </c>
      <c r="HP237" s="16">
        <v>0</v>
      </c>
      <c r="HQ237" s="16">
        <v>0</v>
      </c>
      <c r="HR237" s="16">
        <v>0</v>
      </c>
      <c r="HS237" s="16">
        <v>0</v>
      </c>
      <c r="HT237" s="16">
        <v>0</v>
      </c>
      <c r="HU237" s="16">
        <v>0</v>
      </c>
      <c r="HV237" s="16">
        <v>0</v>
      </c>
      <c r="HW237" s="16">
        <v>0</v>
      </c>
      <c r="HX237" s="16">
        <v>0</v>
      </c>
      <c r="HY237" s="16">
        <v>0</v>
      </c>
      <c r="HZ237" s="16">
        <v>0</v>
      </c>
      <c r="IA237" s="16">
        <v>0</v>
      </c>
      <c r="IB237" s="16">
        <v>0</v>
      </c>
      <c r="IC237" s="16">
        <v>90002</v>
      </c>
      <c r="ID237" s="16">
        <v>15</v>
      </c>
      <c r="IE237" s="16">
        <v>0</v>
      </c>
      <c r="IF237" s="16">
        <v>12</v>
      </c>
      <c r="IG237" s="16">
        <v>0</v>
      </c>
      <c r="IH237" s="16">
        <v>0</v>
      </c>
      <c r="II237" s="16">
        <v>0</v>
      </c>
      <c r="IJ237" s="16">
        <v>0</v>
      </c>
      <c r="IK237" s="16">
        <v>1</v>
      </c>
      <c r="IL237" s="16">
        <v>0</v>
      </c>
      <c r="IM237" s="16">
        <v>0</v>
      </c>
      <c r="IN237" s="16">
        <v>0</v>
      </c>
      <c r="IO237" s="16">
        <v>61</v>
      </c>
      <c r="IP237" s="16">
        <v>10</v>
      </c>
      <c r="IQ237" s="16">
        <v>2</v>
      </c>
      <c r="IR237" s="16">
        <v>0</v>
      </c>
      <c r="IS237" s="16">
        <v>0</v>
      </c>
      <c r="IT237" s="16">
        <v>12</v>
      </c>
      <c r="IU237" s="16">
        <v>3</v>
      </c>
      <c r="IV237" s="16">
        <v>8</v>
      </c>
      <c r="IW237" s="16">
        <v>5</v>
      </c>
      <c r="IX237" s="16">
        <v>0</v>
      </c>
      <c r="IY237" s="16">
        <v>10</v>
      </c>
      <c r="IZ237" s="16">
        <v>140</v>
      </c>
      <c r="JA237" s="16">
        <v>440</v>
      </c>
      <c r="JB237" s="16">
        <v>0</v>
      </c>
      <c r="JC237" s="16">
        <v>16</v>
      </c>
      <c r="JD237" s="16">
        <v>0</v>
      </c>
      <c r="JE237" s="16">
        <v>216</v>
      </c>
      <c r="JF237" s="16">
        <v>253</v>
      </c>
      <c r="JG237" s="16">
        <v>4604</v>
      </c>
      <c r="JH237" s="16">
        <v>188</v>
      </c>
      <c r="JI237" s="16">
        <v>0</v>
      </c>
      <c r="JJ237" s="16">
        <v>0</v>
      </c>
      <c r="JK237" s="16">
        <v>0</v>
      </c>
      <c r="JL237" s="16">
        <v>0</v>
      </c>
      <c r="JM237" s="16">
        <v>0</v>
      </c>
      <c r="JN237" s="16">
        <v>0</v>
      </c>
      <c r="JO237" s="16">
        <v>0</v>
      </c>
      <c r="JP237" s="16">
        <v>0</v>
      </c>
      <c r="JQ237" s="16">
        <v>0</v>
      </c>
      <c r="JR237" s="16">
        <v>182</v>
      </c>
      <c r="JS237" s="16">
        <v>94</v>
      </c>
      <c r="JT237" s="16">
        <v>0</v>
      </c>
      <c r="JU237" s="16">
        <v>263</v>
      </c>
      <c r="JV237" s="16">
        <v>1</v>
      </c>
      <c r="JW237" s="16">
        <v>1</v>
      </c>
      <c r="JX237" s="16">
        <v>293</v>
      </c>
      <c r="JY237" s="16">
        <v>2</v>
      </c>
      <c r="JZ237" s="16">
        <v>0</v>
      </c>
      <c r="KA237" s="16">
        <v>0</v>
      </c>
      <c r="KB237" s="16">
        <v>0</v>
      </c>
      <c r="KC237" s="16">
        <v>0</v>
      </c>
      <c r="KD237" s="16">
        <v>0</v>
      </c>
      <c r="KE237" s="16">
        <v>0</v>
      </c>
      <c r="KF237" s="16">
        <v>0</v>
      </c>
      <c r="KG237" s="16">
        <v>0</v>
      </c>
      <c r="KH237" s="16">
        <v>0</v>
      </c>
      <c r="KI237" s="16">
        <v>32</v>
      </c>
      <c r="KJ237" s="16">
        <v>3</v>
      </c>
      <c r="KK237" s="16">
        <v>924</v>
      </c>
      <c r="KL237" s="16">
        <v>0</v>
      </c>
      <c r="KM237" s="16">
        <v>0</v>
      </c>
      <c r="KN237" s="16">
        <v>0</v>
      </c>
      <c r="KO237" s="16">
        <v>0</v>
      </c>
      <c r="KP237" s="16">
        <v>0</v>
      </c>
      <c r="KQ237" s="16">
        <v>0</v>
      </c>
      <c r="KR237" s="16">
        <v>0</v>
      </c>
      <c r="KS237" s="16">
        <v>0</v>
      </c>
      <c r="KT237" s="16">
        <v>0</v>
      </c>
      <c r="KU237" s="16">
        <v>0</v>
      </c>
      <c r="KV237" s="16">
        <v>0</v>
      </c>
      <c r="KW237" s="16">
        <v>0</v>
      </c>
      <c r="KX237" s="16">
        <v>0</v>
      </c>
      <c r="KY237" s="16">
        <v>0</v>
      </c>
      <c r="KZ237" s="16">
        <v>0</v>
      </c>
      <c r="LA237" s="16">
        <v>0</v>
      </c>
      <c r="LB237" s="16">
        <v>0</v>
      </c>
      <c r="LC237" s="16">
        <v>0</v>
      </c>
      <c r="LD237" s="16">
        <v>0</v>
      </c>
      <c r="LE237" s="16">
        <v>0</v>
      </c>
      <c r="LF237" s="16">
        <v>0</v>
      </c>
      <c r="LG237" s="16">
        <v>0</v>
      </c>
      <c r="LH237" s="16">
        <v>0</v>
      </c>
      <c r="LI237" s="16">
        <v>0</v>
      </c>
      <c r="LJ237" s="16">
        <v>0</v>
      </c>
      <c r="LK237" s="16">
        <v>0</v>
      </c>
      <c r="LL237" s="16">
        <v>0</v>
      </c>
      <c r="LM237" s="16">
        <v>0</v>
      </c>
      <c r="LN237" s="16">
        <v>0</v>
      </c>
      <c r="LO237" s="16">
        <v>0</v>
      </c>
      <c r="LP237" s="16">
        <v>0</v>
      </c>
      <c r="LQ237" s="16">
        <v>0</v>
      </c>
      <c r="LR237" s="16">
        <v>0</v>
      </c>
      <c r="LS237" s="16">
        <v>0</v>
      </c>
      <c r="LT237" s="16">
        <v>0</v>
      </c>
      <c r="LU237" s="16">
        <v>0</v>
      </c>
      <c r="LV237" s="16">
        <v>0</v>
      </c>
      <c r="LW237" s="16">
        <v>0</v>
      </c>
      <c r="LX237" s="16">
        <v>0</v>
      </c>
      <c r="LY237" s="16">
        <v>0</v>
      </c>
      <c r="LZ237" s="16">
        <v>0</v>
      </c>
      <c r="MA237" s="16">
        <v>0</v>
      </c>
      <c r="MB237" s="16">
        <v>0</v>
      </c>
      <c r="MC237" s="16">
        <v>247</v>
      </c>
      <c r="MD237" s="16">
        <v>345</v>
      </c>
      <c r="ME237" s="16">
        <v>5</v>
      </c>
      <c r="MF237" s="16">
        <v>596</v>
      </c>
      <c r="MG237" s="16">
        <v>0</v>
      </c>
      <c r="MH237" s="16">
        <v>0</v>
      </c>
      <c r="MI237" s="16">
        <v>3</v>
      </c>
      <c r="MJ237" s="16">
        <v>0</v>
      </c>
      <c r="MK237" s="16">
        <v>0</v>
      </c>
      <c r="ML237" s="16">
        <v>0</v>
      </c>
      <c r="MM237" s="16">
        <v>268</v>
      </c>
      <c r="MN237" s="16">
        <v>7</v>
      </c>
      <c r="MO237" s="16">
        <v>100</v>
      </c>
      <c r="MP237" s="16">
        <v>0</v>
      </c>
      <c r="MQ237" s="16">
        <v>441</v>
      </c>
      <c r="MR237" s="16">
        <v>2790</v>
      </c>
      <c r="MS237" s="16">
        <v>4</v>
      </c>
      <c r="MT237" s="16">
        <v>0</v>
      </c>
      <c r="MU237" s="16">
        <v>0</v>
      </c>
      <c r="MV237" s="16">
        <v>0</v>
      </c>
      <c r="MW237" s="16">
        <v>0</v>
      </c>
      <c r="MX237" s="16">
        <v>0</v>
      </c>
      <c r="MY237" s="16">
        <v>0</v>
      </c>
      <c r="MZ237" s="16">
        <v>0</v>
      </c>
      <c r="NA237" s="16">
        <v>5</v>
      </c>
      <c r="NB237" s="16">
        <v>4983</v>
      </c>
      <c r="NC237" s="16">
        <v>0</v>
      </c>
      <c r="ND237" s="16">
        <v>0</v>
      </c>
      <c r="NE237" s="16">
        <v>0</v>
      </c>
      <c r="NF237" s="16">
        <v>0</v>
      </c>
      <c r="NG237" s="16">
        <v>13</v>
      </c>
      <c r="NH237" s="16">
        <v>0</v>
      </c>
      <c r="NI237" s="16">
        <v>2</v>
      </c>
      <c r="NJ237" s="16">
        <v>0</v>
      </c>
      <c r="NK237" s="16">
        <v>0</v>
      </c>
      <c r="NL237" s="16">
        <v>0</v>
      </c>
      <c r="NM237" s="16">
        <v>0</v>
      </c>
      <c r="NN237" s="16">
        <v>613</v>
      </c>
      <c r="NO237" s="16">
        <v>0</v>
      </c>
      <c r="NP237" s="16">
        <v>0</v>
      </c>
      <c r="NQ237" s="16">
        <v>1</v>
      </c>
      <c r="NR237" s="17">
        <v>120208</v>
      </c>
    </row>
    <row r="238" spans="1:382" ht="13.5" customHeight="1" x14ac:dyDescent="0.2">
      <c r="A238" s="2" t="s">
        <v>483</v>
      </c>
      <c r="B238" s="16">
        <v>0</v>
      </c>
      <c r="C238" s="16">
        <v>0</v>
      </c>
      <c r="D238" s="16">
        <v>0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  <c r="AW238" s="16">
        <v>0</v>
      </c>
      <c r="AX238" s="16">
        <v>0</v>
      </c>
      <c r="AY238" s="16">
        <v>0</v>
      </c>
      <c r="AZ238" s="16">
        <v>0</v>
      </c>
      <c r="BA238" s="16">
        <v>0</v>
      </c>
      <c r="BB238" s="16">
        <v>0</v>
      </c>
      <c r="BC238" s="16">
        <v>0</v>
      </c>
      <c r="BD238" s="16">
        <v>0</v>
      </c>
      <c r="BE238" s="16">
        <v>0</v>
      </c>
      <c r="BF238" s="16">
        <v>0</v>
      </c>
      <c r="BG238" s="16">
        <v>0</v>
      </c>
      <c r="BH238" s="16">
        <v>0</v>
      </c>
      <c r="BI238" s="16">
        <v>0</v>
      </c>
      <c r="BJ238" s="16">
        <v>0</v>
      </c>
      <c r="BK238" s="16">
        <v>0</v>
      </c>
      <c r="BL238" s="16">
        <v>0</v>
      </c>
      <c r="BM238" s="16">
        <v>0</v>
      </c>
      <c r="BN238" s="16">
        <v>0</v>
      </c>
      <c r="BO238" s="16">
        <v>0</v>
      </c>
      <c r="BP238" s="16">
        <v>0</v>
      </c>
      <c r="BQ238" s="16">
        <v>0</v>
      </c>
      <c r="BR238" s="16">
        <v>0</v>
      </c>
      <c r="BS238" s="16">
        <v>0</v>
      </c>
      <c r="BT238" s="16">
        <v>0</v>
      </c>
      <c r="BU238" s="16">
        <v>0</v>
      </c>
      <c r="BV238" s="16">
        <v>0</v>
      </c>
      <c r="BW238" s="16">
        <v>3</v>
      </c>
      <c r="BX238" s="16">
        <v>0</v>
      </c>
      <c r="BY238" s="16">
        <v>0</v>
      </c>
      <c r="BZ238" s="16">
        <v>0</v>
      </c>
      <c r="CA238" s="16">
        <v>0</v>
      </c>
      <c r="CB238" s="16">
        <v>10</v>
      </c>
      <c r="CC238" s="16">
        <v>263</v>
      </c>
      <c r="CD238" s="16">
        <v>202</v>
      </c>
      <c r="CE238" s="16">
        <v>114</v>
      </c>
      <c r="CF238" s="16">
        <v>0</v>
      </c>
      <c r="CG238" s="16">
        <v>36</v>
      </c>
      <c r="CH238" s="16">
        <v>0</v>
      </c>
      <c r="CI238" s="16">
        <v>9</v>
      </c>
      <c r="CJ238" s="16">
        <v>25</v>
      </c>
      <c r="CK238" s="16">
        <v>71</v>
      </c>
      <c r="CL238" s="16">
        <v>417</v>
      </c>
      <c r="CM238" s="16">
        <v>0</v>
      </c>
      <c r="CN238" s="16">
        <v>0</v>
      </c>
      <c r="CO238" s="16">
        <v>44</v>
      </c>
      <c r="CP238" s="16">
        <v>37</v>
      </c>
      <c r="CQ238" s="16">
        <v>0</v>
      </c>
      <c r="CR238" s="16">
        <v>34</v>
      </c>
      <c r="CS238" s="16">
        <v>204</v>
      </c>
      <c r="CT238" s="16">
        <v>105</v>
      </c>
      <c r="CU238" s="16">
        <v>448</v>
      </c>
      <c r="CV238" s="16">
        <v>373</v>
      </c>
      <c r="CW238" s="16">
        <v>1442</v>
      </c>
      <c r="CX238" s="16">
        <v>2495</v>
      </c>
      <c r="CY238" s="16">
        <v>60</v>
      </c>
      <c r="CZ238" s="16">
        <v>130</v>
      </c>
      <c r="DA238" s="16">
        <v>2</v>
      </c>
      <c r="DB238" s="16">
        <v>58</v>
      </c>
      <c r="DC238" s="16">
        <v>10</v>
      </c>
      <c r="DD238" s="16">
        <v>79</v>
      </c>
      <c r="DE238" s="16">
        <v>3</v>
      </c>
      <c r="DF238" s="16">
        <v>89</v>
      </c>
      <c r="DG238" s="16">
        <v>32</v>
      </c>
      <c r="DH238" s="16">
        <v>70</v>
      </c>
      <c r="DI238" s="16">
        <v>22</v>
      </c>
      <c r="DJ238" s="16">
        <v>0</v>
      </c>
      <c r="DK238" s="16">
        <v>17</v>
      </c>
      <c r="DL238" s="16">
        <v>18</v>
      </c>
      <c r="DM238" s="16">
        <v>0</v>
      </c>
      <c r="DN238" s="16">
        <v>0</v>
      </c>
      <c r="DO238" s="16">
        <v>21</v>
      </c>
      <c r="DP238" s="16">
        <v>63</v>
      </c>
      <c r="DQ238" s="16">
        <v>6</v>
      </c>
      <c r="DR238" s="16">
        <v>28</v>
      </c>
      <c r="DS238" s="16">
        <v>0</v>
      </c>
      <c r="DT238" s="16">
        <v>14</v>
      </c>
      <c r="DU238" s="16">
        <v>15</v>
      </c>
      <c r="DV238" s="16">
        <v>53</v>
      </c>
      <c r="DW238" s="16">
        <v>349</v>
      </c>
      <c r="DX238" s="16">
        <v>0</v>
      </c>
      <c r="DY238" s="16">
        <v>0</v>
      </c>
      <c r="DZ238" s="16">
        <v>0</v>
      </c>
      <c r="EA238" s="16">
        <v>0</v>
      </c>
      <c r="EB238" s="16">
        <v>24</v>
      </c>
      <c r="EC238" s="16">
        <v>197</v>
      </c>
      <c r="ED238" s="16">
        <v>34</v>
      </c>
      <c r="EE238" s="16">
        <v>0</v>
      </c>
      <c r="EF238" s="16">
        <v>0</v>
      </c>
      <c r="EG238" s="16">
        <v>0</v>
      </c>
      <c r="EH238" s="16">
        <v>0</v>
      </c>
      <c r="EI238" s="16">
        <v>0</v>
      </c>
      <c r="EJ238" s="16">
        <v>0</v>
      </c>
      <c r="EK238" s="16">
        <v>29</v>
      </c>
      <c r="EL238" s="16">
        <v>0</v>
      </c>
      <c r="EM238" s="16">
        <v>15</v>
      </c>
      <c r="EN238" s="16">
        <v>0</v>
      </c>
      <c r="EO238" s="16">
        <v>0</v>
      </c>
      <c r="EP238" s="16">
        <v>10</v>
      </c>
      <c r="EQ238" s="16">
        <v>0</v>
      </c>
      <c r="ER238" s="16">
        <v>0</v>
      </c>
      <c r="ES238" s="16">
        <v>0</v>
      </c>
      <c r="ET238" s="16">
        <v>0</v>
      </c>
      <c r="EU238" s="16">
        <v>0</v>
      </c>
      <c r="EV238" s="16">
        <v>10</v>
      </c>
      <c r="EW238" s="16">
        <v>0</v>
      </c>
      <c r="EX238" s="16">
        <v>223</v>
      </c>
      <c r="EY238" s="16">
        <v>6</v>
      </c>
      <c r="EZ238" s="16">
        <v>4</v>
      </c>
      <c r="FA238" s="16">
        <v>3</v>
      </c>
      <c r="FB238" s="16">
        <v>15</v>
      </c>
      <c r="FC238" s="16">
        <v>0</v>
      </c>
      <c r="FD238" s="16">
        <v>546</v>
      </c>
      <c r="FE238" s="16">
        <v>0</v>
      </c>
      <c r="FF238" s="16">
        <v>0</v>
      </c>
      <c r="FG238" s="16">
        <v>0</v>
      </c>
      <c r="FH238" s="16">
        <v>0</v>
      </c>
      <c r="FI238" s="16">
        <v>31</v>
      </c>
      <c r="FJ238" s="16">
        <v>16</v>
      </c>
      <c r="FK238" s="16">
        <v>121</v>
      </c>
      <c r="FL238" s="16">
        <v>0</v>
      </c>
      <c r="FM238" s="16">
        <v>13</v>
      </c>
      <c r="FN238" s="16">
        <v>0</v>
      </c>
      <c r="FO238" s="16">
        <v>0</v>
      </c>
      <c r="FP238" s="16">
        <v>0</v>
      </c>
      <c r="FQ238" s="16">
        <v>169</v>
      </c>
      <c r="FR238" s="16">
        <v>183</v>
      </c>
      <c r="FS238" s="16">
        <v>754</v>
      </c>
      <c r="FT238" s="16">
        <v>199</v>
      </c>
      <c r="FU238" s="16">
        <v>34</v>
      </c>
      <c r="FV238" s="16">
        <v>0</v>
      </c>
      <c r="FW238" s="16">
        <v>4306</v>
      </c>
      <c r="FX238" s="16">
        <v>0</v>
      </c>
      <c r="FY238" s="16">
        <v>0</v>
      </c>
      <c r="FZ238" s="16">
        <v>0</v>
      </c>
      <c r="GA238" s="16">
        <v>0</v>
      </c>
      <c r="GB238" s="16">
        <v>0</v>
      </c>
      <c r="GC238" s="16">
        <v>0</v>
      </c>
      <c r="GD238" s="16">
        <v>7290</v>
      </c>
      <c r="GE238" s="16">
        <v>242</v>
      </c>
      <c r="GF238" s="16">
        <v>6530</v>
      </c>
      <c r="GG238" s="16">
        <v>26</v>
      </c>
      <c r="GH238" s="16">
        <v>541</v>
      </c>
      <c r="GI238" s="16">
        <v>8</v>
      </c>
      <c r="GJ238" s="16">
        <v>50</v>
      </c>
      <c r="GK238" s="16">
        <v>12</v>
      </c>
      <c r="GL238" s="16">
        <v>0</v>
      </c>
      <c r="GM238" s="16">
        <v>2</v>
      </c>
      <c r="GN238" s="16">
        <v>0</v>
      </c>
      <c r="GO238" s="16">
        <v>17</v>
      </c>
      <c r="GP238" s="16">
        <v>54</v>
      </c>
      <c r="GQ238" s="16">
        <v>1</v>
      </c>
      <c r="GR238" s="16">
        <v>195</v>
      </c>
      <c r="GS238" s="16">
        <v>4</v>
      </c>
      <c r="GT238" s="16">
        <v>2</v>
      </c>
      <c r="GU238" s="16">
        <v>5</v>
      </c>
      <c r="GV238" s="16">
        <v>154</v>
      </c>
      <c r="GW238" s="16">
        <v>23</v>
      </c>
      <c r="GX238" s="16">
        <v>3</v>
      </c>
      <c r="GY238" s="16">
        <v>0</v>
      </c>
      <c r="GZ238" s="16">
        <v>37</v>
      </c>
      <c r="HA238" s="16">
        <v>13</v>
      </c>
      <c r="HB238" s="16">
        <v>20</v>
      </c>
      <c r="HC238" s="16">
        <v>120</v>
      </c>
      <c r="HD238" s="16">
        <v>140</v>
      </c>
      <c r="HE238" s="16">
        <v>6</v>
      </c>
      <c r="HF238" s="16">
        <v>173</v>
      </c>
      <c r="HG238" s="16">
        <v>15</v>
      </c>
      <c r="HH238" s="16">
        <v>11</v>
      </c>
      <c r="HI238" s="16">
        <v>23</v>
      </c>
      <c r="HJ238" s="16">
        <v>24</v>
      </c>
      <c r="HK238" s="16">
        <v>32</v>
      </c>
      <c r="HL238" s="16">
        <v>293</v>
      </c>
      <c r="HM238" s="16">
        <v>772</v>
      </c>
      <c r="HN238" s="16">
        <v>456</v>
      </c>
      <c r="HO238" s="16">
        <v>0</v>
      </c>
      <c r="HP238" s="16">
        <v>0</v>
      </c>
      <c r="HQ238" s="16">
        <v>1544</v>
      </c>
      <c r="HR238" s="16">
        <v>1391</v>
      </c>
      <c r="HS238" s="16">
        <v>1761</v>
      </c>
      <c r="HT238" s="16">
        <v>1</v>
      </c>
      <c r="HU238" s="16">
        <v>1207</v>
      </c>
      <c r="HV238" s="16">
        <v>305</v>
      </c>
      <c r="HW238" s="16">
        <v>276</v>
      </c>
      <c r="HX238" s="16">
        <v>748</v>
      </c>
      <c r="HY238" s="16">
        <v>231</v>
      </c>
      <c r="HZ238" s="16">
        <v>2715</v>
      </c>
      <c r="IA238" s="16">
        <v>1238</v>
      </c>
      <c r="IB238" s="16">
        <v>0</v>
      </c>
      <c r="IC238" s="16">
        <v>138</v>
      </c>
      <c r="ID238" s="16">
        <v>590142</v>
      </c>
      <c r="IE238" s="16">
        <v>23</v>
      </c>
      <c r="IF238" s="16">
        <v>3319</v>
      </c>
      <c r="IG238" s="16">
        <v>11441</v>
      </c>
      <c r="IH238" s="16">
        <v>7082</v>
      </c>
      <c r="II238" s="16">
        <v>951</v>
      </c>
      <c r="IJ238" s="16">
        <v>54</v>
      </c>
      <c r="IK238" s="16">
        <v>41</v>
      </c>
      <c r="IL238" s="16">
        <v>8</v>
      </c>
      <c r="IM238" s="16">
        <v>0</v>
      </c>
      <c r="IN238" s="16">
        <v>114</v>
      </c>
      <c r="IO238" s="16">
        <v>813</v>
      </c>
      <c r="IP238" s="16">
        <v>109</v>
      </c>
      <c r="IQ238" s="16">
        <v>26</v>
      </c>
      <c r="IR238" s="16">
        <v>25</v>
      </c>
      <c r="IS238" s="16">
        <v>118</v>
      </c>
      <c r="IT238" s="16">
        <v>177</v>
      </c>
      <c r="IU238" s="16">
        <v>1</v>
      </c>
      <c r="IV238" s="16">
        <v>372</v>
      </c>
      <c r="IW238" s="16">
        <v>0</v>
      </c>
      <c r="IX238" s="16">
        <v>0</v>
      </c>
      <c r="IY238" s="16">
        <v>0</v>
      </c>
      <c r="IZ238" s="16">
        <v>2</v>
      </c>
      <c r="JA238" s="16">
        <v>16</v>
      </c>
      <c r="JB238" s="16">
        <v>2</v>
      </c>
      <c r="JC238" s="16">
        <v>4</v>
      </c>
      <c r="JD238" s="16">
        <v>1</v>
      </c>
      <c r="JE238" s="16">
        <v>7</v>
      </c>
      <c r="JF238" s="16">
        <v>30</v>
      </c>
      <c r="JG238" s="16">
        <v>0</v>
      </c>
      <c r="JH238" s="16">
        <v>41</v>
      </c>
      <c r="JI238" s="16">
        <v>0</v>
      </c>
      <c r="JJ238" s="16">
        <v>0</v>
      </c>
      <c r="JK238" s="16">
        <v>0</v>
      </c>
      <c r="JL238" s="16">
        <v>0</v>
      </c>
      <c r="JM238" s="16">
        <v>0</v>
      </c>
      <c r="JN238" s="16">
        <v>0</v>
      </c>
      <c r="JO238" s="16">
        <v>0</v>
      </c>
      <c r="JP238" s="16">
        <v>0</v>
      </c>
      <c r="JQ238" s="16">
        <v>0</v>
      </c>
      <c r="JR238" s="16">
        <v>0</v>
      </c>
      <c r="JS238" s="16">
        <v>0</v>
      </c>
      <c r="JT238" s="16">
        <v>0</v>
      </c>
      <c r="JU238" s="16">
        <v>0</v>
      </c>
      <c r="JV238" s="16">
        <v>0</v>
      </c>
      <c r="JW238" s="16">
        <v>0</v>
      </c>
      <c r="JX238" s="16">
        <v>0</v>
      </c>
      <c r="JY238" s="16">
        <v>0</v>
      </c>
      <c r="JZ238" s="16">
        <v>0</v>
      </c>
      <c r="KA238" s="16">
        <v>0</v>
      </c>
      <c r="KB238" s="16">
        <v>0</v>
      </c>
      <c r="KC238" s="16">
        <v>0</v>
      </c>
      <c r="KD238" s="16">
        <v>0</v>
      </c>
      <c r="KE238" s="16">
        <v>0</v>
      </c>
      <c r="KF238" s="16">
        <v>0</v>
      </c>
      <c r="KG238" s="16">
        <v>0</v>
      </c>
      <c r="KH238" s="16">
        <v>0</v>
      </c>
      <c r="KI238" s="16">
        <v>89</v>
      </c>
      <c r="KJ238" s="16">
        <v>0</v>
      </c>
      <c r="KK238" s="16">
        <v>0</v>
      </c>
      <c r="KL238" s="16">
        <v>0</v>
      </c>
      <c r="KM238" s="16">
        <v>0</v>
      </c>
      <c r="KN238" s="16">
        <v>0</v>
      </c>
      <c r="KO238" s="16">
        <v>0</v>
      </c>
      <c r="KP238" s="16">
        <v>0</v>
      </c>
      <c r="KQ238" s="16">
        <v>13</v>
      </c>
      <c r="KR238" s="16">
        <v>0</v>
      </c>
      <c r="KS238" s="16">
        <v>0</v>
      </c>
      <c r="KT238" s="16">
        <v>0</v>
      </c>
      <c r="KU238" s="16">
        <v>0</v>
      </c>
      <c r="KV238" s="16">
        <v>0</v>
      </c>
      <c r="KW238" s="16">
        <v>0</v>
      </c>
      <c r="KX238" s="16">
        <v>0</v>
      </c>
      <c r="KY238" s="16">
        <v>0</v>
      </c>
      <c r="KZ238" s="16">
        <v>0</v>
      </c>
      <c r="LA238" s="16">
        <v>0</v>
      </c>
      <c r="LB238" s="16">
        <v>0</v>
      </c>
      <c r="LC238" s="16">
        <v>0</v>
      </c>
      <c r="LD238" s="16">
        <v>0</v>
      </c>
      <c r="LE238" s="16">
        <v>0</v>
      </c>
      <c r="LF238" s="16">
        <v>0</v>
      </c>
      <c r="LG238" s="16">
        <v>0</v>
      </c>
      <c r="LH238" s="16">
        <v>0</v>
      </c>
      <c r="LI238" s="16">
        <v>0</v>
      </c>
      <c r="LJ238" s="16">
        <v>0</v>
      </c>
      <c r="LK238" s="16">
        <v>0</v>
      </c>
      <c r="LL238" s="16">
        <v>31</v>
      </c>
      <c r="LM238" s="16">
        <v>34</v>
      </c>
      <c r="LN238" s="16">
        <v>56</v>
      </c>
      <c r="LO238" s="16">
        <v>0</v>
      </c>
      <c r="LP238" s="16">
        <v>0</v>
      </c>
      <c r="LQ238" s="16">
        <v>0</v>
      </c>
      <c r="LR238" s="16">
        <v>0</v>
      </c>
      <c r="LS238" s="16">
        <v>0</v>
      </c>
      <c r="LT238" s="16">
        <v>0</v>
      </c>
      <c r="LU238" s="16">
        <v>0</v>
      </c>
      <c r="LV238" s="16">
        <v>0</v>
      </c>
      <c r="LW238" s="16">
        <v>0</v>
      </c>
      <c r="LX238" s="16">
        <v>0</v>
      </c>
      <c r="LY238" s="16">
        <v>0</v>
      </c>
      <c r="LZ238" s="16">
        <v>0</v>
      </c>
      <c r="MA238" s="16">
        <v>0</v>
      </c>
      <c r="MB238" s="16">
        <v>0</v>
      </c>
      <c r="MC238" s="16">
        <v>90</v>
      </c>
      <c r="MD238" s="16">
        <v>2106</v>
      </c>
      <c r="ME238" s="16">
        <v>0</v>
      </c>
      <c r="MF238" s="16">
        <v>14078</v>
      </c>
      <c r="MG238" s="16">
        <v>0</v>
      </c>
      <c r="MH238" s="16">
        <v>0</v>
      </c>
      <c r="MI238" s="16">
        <v>0</v>
      </c>
      <c r="MJ238" s="16">
        <v>0</v>
      </c>
      <c r="MK238" s="16">
        <v>264</v>
      </c>
      <c r="ML238" s="16">
        <v>0</v>
      </c>
      <c r="MM238" s="16">
        <v>0</v>
      </c>
      <c r="MN238" s="16">
        <v>0</v>
      </c>
      <c r="MO238" s="16">
        <v>0</v>
      </c>
      <c r="MP238" s="16">
        <v>0</v>
      </c>
      <c r="MQ238" s="16">
        <v>72</v>
      </c>
      <c r="MR238" s="16">
        <v>5</v>
      </c>
      <c r="MS238" s="16">
        <v>0</v>
      </c>
      <c r="MT238" s="16">
        <v>0</v>
      </c>
      <c r="MU238" s="16">
        <v>0</v>
      </c>
      <c r="MV238" s="16">
        <v>1587</v>
      </c>
      <c r="MW238" s="16">
        <v>0</v>
      </c>
      <c r="MX238" s="16">
        <v>0</v>
      </c>
      <c r="MY238" s="16">
        <v>0</v>
      </c>
      <c r="MZ238" s="16">
        <v>0</v>
      </c>
      <c r="NA238" s="16">
        <v>0</v>
      </c>
      <c r="NB238" s="16">
        <v>0</v>
      </c>
      <c r="NC238" s="16">
        <v>0</v>
      </c>
      <c r="ND238" s="16">
        <v>0</v>
      </c>
      <c r="NE238" s="16">
        <v>0</v>
      </c>
      <c r="NF238" s="16">
        <v>0</v>
      </c>
      <c r="NG238" s="16">
        <v>0</v>
      </c>
      <c r="NH238" s="16">
        <v>0</v>
      </c>
      <c r="NI238" s="16">
        <v>0</v>
      </c>
      <c r="NJ238" s="16">
        <v>0</v>
      </c>
      <c r="NK238" s="16">
        <v>0</v>
      </c>
      <c r="NL238" s="16">
        <v>0</v>
      </c>
      <c r="NM238" s="16">
        <v>0</v>
      </c>
      <c r="NN238" s="16">
        <v>0</v>
      </c>
      <c r="NO238" s="16">
        <v>0</v>
      </c>
      <c r="NP238" s="16">
        <v>0</v>
      </c>
      <c r="NQ238" s="16">
        <v>5</v>
      </c>
      <c r="NR238" s="17">
        <v>676611</v>
      </c>
    </row>
    <row r="239" spans="1:382" ht="13.5" customHeight="1" x14ac:dyDescent="0.2">
      <c r="A239" s="2" t="s">
        <v>485</v>
      </c>
      <c r="B239" s="16">
        <v>0</v>
      </c>
      <c r="C239" s="16">
        <v>0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>
        <v>0</v>
      </c>
      <c r="AU239" s="16">
        <v>3</v>
      </c>
      <c r="AV239" s="16">
        <v>2</v>
      </c>
      <c r="AW239" s="16">
        <v>0</v>
      </c>
      <c r="AX239" s="16">
        <v>0</v>
      </c>
      <c r="AY239" s="16">
        <v>0</v>
      </c>
      <c r="AZ239" s="16">
        <v>9</v>
      </c>
      <c r="BA239" s="16">
        <v>0</v>
      </c>
      <c r="BB239" s="16">
        <v>0</v>
      </c>
      <c r="BC239" s="16">
        <v>53</v>
      </c>
      <c r="BD239" s="16">
        <v>0</v>
      </c>
      <c r="BE239" s="16">
        <v>14</v>
      </c>
      <c r="BF239" s="16">
        <v>0</v>
      </c>
      <c r="BG239" s="16">
        <v>0</v>
      </c>
      <c r="BH239" s="16">
        <v>0</v>
      </c>
      <c r="BI239" s="16">
        <v>20</v>
      </c>
      <c r="BJ239" s="16">
        <v>2</v>
      </c>
      <c r="BK239" s="16">
        <v>0</v>
      </c>
      <c r="BL239" s="16">
        <v>33</v>
      </c>
      <c r="BM239" s="16">
        <v>1</v>
      </c>
      <c r="BN239" s="16">
        <v>0</v>
      </c>
      <c r="BO239" s="16">
        <v>0</v>
      </c>
      <c r="BP239" s="16">
        <v>0</v>
      </c>
      <c r="BQ239" s="16">
        <v>0</v>
      </c>
      <c r="BR239" s="16">
        <v>6</v>
      </c>
      <c r="BS239" s="16">
        <v>0</v>
      </c>
      <c r="BT239" s="16">
        <v>0</v>
      </c>
      <c r="BU239" s="16">
        <v>0</v>
      </c>
      <c r="BV239" s="16">
        <v>0</v>
      </c>
      <c r="BW239" s="16">
        <v>15</v>
      </c>
      <c r="BX239" s="16">
        <v>0</v>
      </c>
      <c r="BY239" s="16">
        <v>0</v>
      </c>
      <c r="BZ239" s="16">
        <v>0</v>
      </c>
      <c r="CA239" s="16">
        <v>0</v>
      </c>
      <c r="CB239" s="16">
        <v>0</v>
      </c>
      <c r="CC239" s="16">
        <v>0</v>
      </c>
      <c r="CD239" s="16">
        <v>0</v>
      </c>
      <c r="CE239" s="16">
        <v>0</v>
      </c>
      <c r="CF239" s="16">
        <v>0</v>
      </c>
      <c r="CG239" s="16">
        <v>0</v>
      </c>
      <c r="CH239" s="16">
        <v>0</v>
      </c>
      <c r="CI239" s="16">
        <v>258</v>
      </c>
      <c r="CJ239" s="16">
        <v>1357</v>
      </c>
      <c r="CK239" s="16">
        <v>1311</v>
      </c>
      <c r="CL239" s="16">
        <v>712</v>
      </c>
      <c r="CM239" s="16">
        <v>281</v>
      </c>
      <c r="CN239" s="16">
        <v>408</v>
      </c>
      <c r="CO239" s="16">
        <v>1131</v>
      </c>
      <c r="CP239" s="16">
        <v>2292</v>
      </c>
      <c r="CQ239" s="16">
        <v>834</v>
      </c>
      <c r="CR239" s="16">
        <v>0</v>
      </c>
      <c r="CS239" s="16">
        <v>0</v>
      </c>
      <c r="CT239" s="16">
        <v>0</v>
      </c>
      <c r="CU239" s="16">
        <v>0</v>
      </c>
      <c r="CV239" s="16">
        <v>0</v>
      </c>
      <c r="CW239" s="16">
        <v>0</v>
      </c>
      <c r="CX239" s="16">
        <v>0</v>
      </c>
      <c r="CY239" s="16">
        <v>0</v>
      </c>
      <c r="CZ239" s="16">
        <v>0</v>
      </c>
      <c r="DA239" s="16">
        <v>0</v>
      </c>
      <c r="DB239" s="16">
        <v>0</v>
      </c>
      <c r="DC239" s="16">
        <v>0</v>
      </c>
      <c r="DD239" s="16">
        <v>0</v>
      </c>
      <c r="DE239" s="16">
        <v>0</v>
      </c>
      <c r="DF239" s="16">
        <v>0</v>
      </c>
      <c r="DG239" s="16">
        <v>0</v>
      </c>
      <c r="DH239" s="16">
        <v>0</v>
      </c>
      <c r="DI239" s="16">
        <v>0</v>
      </c>
      <c r="DJ239" s="16">
        <v>0</v>
      </c>
      <c r="DK239" s="16">
        <v>0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6">
        <v>0</v>
      </c>
      <c r="DV239" s="16">
        <v>0</v>
      </c>
      <c r="DW239" s="16">
        <v>0</v>
      </c>
      <c r="DX239" s="16">
        <v>0</v>
      </c>
      <c r="DY239" s="16">
        <v>46</v>
      </c>
      <c r="DZ239" s="16">
        <v>0</v>
      </c>
      <c r="EA239" s="16">
        <v>0</v>
      </c>
      <c r="EB239" s="16">
        <v>0</v>
      </c>
      <c r="EC239" s="16">
        <v>0</v>
      </c>
      <c r="ED239" s="16">
        <v>0</v>
      </c>
      <c r="EE239" s="16">
        <v>0</v>
      </c>
      <c r="EF239" s="16">
        <v>0</v>
      </c>
      <c r="EG239" s="16">
        <v>0</v>
      </c>
      <c r="EH239" s="16">
        <v>0</v>
      </c>
      <c r="EI239" s="16">
        <v>0</v>
      </c>
      <c r="EJ239" s="16">
        <v>0</v>
      </c>
      <c r="EK239" s="16">
        <v>0</v>
      </c>
      <c r="EL239" s="16">
        <v>0</v>
      </c>
      <c r="EM239" s="16">
        <v>0</v>
      </c>
      <c r="EN239" s="16">
        <v>0</v>
      </c>
      <c r="EO239" s="16">
        <v>0</v>
      </c>
      <c r="EP239" s="16">
        <v>0</v>
      </c>
      <c r="EQ239" s="16">
        <v>0</v>
      </c>
      <c r="ER239" s="16">
        <v>0</v>
      </c>
      <c r="ES239" s="16">
        <v>0</v>
      </c>
      <c r="ET239" s="16">
        <v>0</v>
      </c>
      <c r="EU239" s="16">
        <v>0</v>
      </c>
      <c r="EV239" s="16">
        <v>0</v>
      </c>
      <c r="EW239" s="16">
        <v>0</v>
      </c>
      <c r="EX239" s="16">
        <v>0</v>
      </c>
      <c r="EY239" s="16">
        <v>0</v>
      </c>
      <c r="EZ239" s="16">
        <v>0</v>
      </c>
      <c r="FA239" s="16">
        <v>0</v>
      </c>
      <c r="FB239" s="16">
        <v>0</v>
      </c>
      <c r="FC239" s="16">
        <v>0</v>
      </c>
      <c r="FD239" s="16">
        <v>0</v>
      </c>
      <c r="FE239" s="16">
        <v>0</v>
      </c>
      <c r="FF239" s="16">
        <v>0</v>
      </c>
      <c r="FG239" s="16">
        <v>0</v>
      </c>
      <c r="FH239" s="16">
        <v>0</v>
      </c>
      <c r="FI239" s="16">
        <v>0</v>
      </c>
      <c r="FJ239" s="16">
        <v>0</v>
      </c>
      <c r="FK239" s="16">
        <v>0</v>
      </c>
      <c r="FL239" s="16">
        <v>0</v>
      </c>
      <c r="FM239" s="16">
        <v>0</v>
      </c>
      <c r="FN239" s="16">
        <v>0</v>
      </c>
      <c r="FO239" s="16">
        <v>0</v>
      </c>
      <c r="FP239" s="16">
        <v>0</v>
      </c>
      <c r="FQ239" s="16">
        <v>0</v>
      </c>
      <c r="FR239" s="16">
        <v>0</v>
      </c>
      <c r="FS239" s="16">
        <v>0</v>
      </c>
      <c r="FT239" s="16">
        <v>0</v>
      </c>
      <c r="FU239" s="16">
        <v>0</v>
      </c>
      <c r="FV239" s="16">
        <v>0</v>
      </c>
      <c r="FW239" s="16">
        <v>0</v>
      </c>
      <c r="FX239" s="16">
        <v>0</v>
      </c>
      <c r="FY239" s="16">
        <v>0</v>
      </c>
      <c r="FZ239" s="16">
        <v>0</v>
      </c>
      <c r="GA239" s="16">
        <v>0</v>
      </c>
      <c r="GB239" s="16">
        <v>0</v>
      </c>
      <c r="GC239" s="16">
        <v>0</v>
      </c>
      <c r="GD239" s="16">
        <v>0</v>
      </c>
      <c r="GE239" s="16">
        <v>0</v>
      </c>
      <c r="GF239" s="16">
        <v>95</v>
      </c>
      <c r="GG239" s="16">
        <v>0</v>
      </c>
      <c r="GH239" s="16">
        <v>19</v>
      </c>
      <c r="GI239" s="16">
        <v>319</v>
      </c>
      <c r="GJ239" s="16">
        <v>0</v>
      </c>
      <c r="GK239" s="16">
        <v>104</v>
      </c>
      <c r="GL239" s="16">
        <v>0</v>
      </c>
      <c r="GM239" s="16">
        <v>2</v>
      </c>
      <c r="GN239" s="16">
        <v>0</v>
      </c>
      <c r="GO239" s="16">
        <v>0</v>
      </c>
      <c r="GP239" s="16">
        <v>1</v>
      </c>
      <c r="GQ239" s="16">
        <v>0</v>
      </c>
      <c r="GR239" s="16">
        <v>0</v>
      </c>
      <c r="GS239" s="16">
        <v>0</v>
      </c>
      <c r="GT239" s="16">
        <v>0</v>
      </c>
      <c r="GU239" s="16">
        <v>0</v>
      </c>
      <c r="GV239" s="16">
        <v>224</v>
      </c>
      <c r="GW239" s="16">
        <v>542</v>
      </c>
      <c r="GX239" s="16">
        <v>5</v>
      </c>
      <c r="GY239" s="16">
        <v>0</v>
      </c>
      <c r="GZ239" s="16">
        <v>0</v>
      </c>
      <c r="HA239" s="16">
        <v>0</v>
      </c>
      <c r="HB239" s="16">
        <v>0</v>
      </c>
      <c r="HC239" s="16">
        <v>13</v>
      </c>
      <c r="HD239" s="16">
        <v>32</v>
      </c>
      <c r="HE239" s="16">
        <v>0</v>
      </c>
      <c r="HF239" s="16">
        <v>133</v>
      </c>
      <c r="HG239" s="16">
        <v>0</v>
      </c>
      <c r="HH239" s="16">
        <v>0</v>
      </c>
      <c r="HI239" s="16">
        <v>0</v>
      </c>
      <c r="HJ239" s="16">
        <v>0</v>
      </c>
      <c r="HK239" s="16">
        <v>0</v>
      </c>
      <c r="HL239" s="16">
        <v>18</v>
      </c>
      <c r="HM239" s="16">
        <v>0</v>
      </c>
      <c r="HN239" s="16">
        <v>0</v>
      </c>
      <c r="HO239" s="16">
        <v>0</v>
      </c>
      <c r="HP239" s="16">
        <v>0</v>
      </c>
      <c r="HQ239" s="16">
        <v>0</v>
      </c>
      <c r="HR239" s="16">
        <v>0</v>
      </c>
      <c r="HS239" s="16">
        <v>0</v>
      </c>
      <c r="HT239" s="16">
        <v>0</v>
      </c>
      <c r="HU239" s="16">
        <v>0</v>
      </c>
      <c r="HV239" s="16">
        <v>0</v>
      </c>
      <c r="HW239" s="16">
        <v>0</v>
      </c>
      <c r="HX239" s="16">
        <v>0</v>
      </c>
      <c r="HY239" s="16">
        <v>0</v>
      </c>
      <c r="HZ239" s="16">
        <v>0</v>
      </c>
      <c r="IA239" s="16">
        <v>0</v>
      </c>
      <c r="IB239" s="16">
        <v>0</v>
      </c>
      <c r="IC239" s="16">
        <v>0</v>
      </c>
      <c r="ID239" s="16">
        <v>0</v>
      </c>
      <c r="IE239" s="16">
        <v>181729</v>
      </c>
      <c r="IF239" s="16">
        <v>13</v>
      </c>
      <c r="IG239" s="16">
        <v>0</v>
      </c>
      <c r="IH239" s="16">
        <v>42</v>
      </c>
      <c r="II239" s="16">
        <v>4</v>
      </c>
      <c r="IJ239" s="16">
        <v>12</v>
      </c>
      <c r="IK239" s="16">
        <v>5</v>
      </c>
      <c r="IL239" s="16">
        <v>21</v>
      </c>
      <c r="IM239" s="16">
        <v>0</v>
      </c>
      <c r="IN239" s="16">
        <v>25</v>
      </c>
      <c r="IO239" s="16">
        <v>84</v>
      </c>
      <c r="IP239" s="16">
        <v>0</v>
      </c>
      <c r="IQ239" s="16">
        <v>0</v>
      </c>
      <c r="IR239" s="16">
        <v>0</v>
      </c>
      <c r="IS239" s="16">
        <v>0</v>
      </c>
      <c r="IT239" s="16">
        <v>0</v>
      </c>
      <c r="IU239" s="16">
        <v>0</v>
      </c>
      <c r="IV239" s="16">
        <v>0</v>
      </c>
      <c r="IW239" s="16">
        <v>22</v>
      </c>
      <c r="IX239" s="16">
        <v>0</v>
      </c>
      <c r="IY239" s="16">
        <v>0</v>
      </c>
      <c r="IZ239" s="16">
        <v>2</v>
      </c>
      <c r="JA239" s="16">
        <v>11</v>
      </c>
      <c r="JB239" s="16">
        <v>2</v>
      </c>
      <c r="JC239" s="16">
        <v>29</v>
      </c>
      <c r="JD239" s="16">
        <v>3</v>
      </c>
      <c r="JE239" s="16">
        <v>31</v>
      </c>
      <c r="JF239" s="16">
        <v>20</v>
      </c>
      <c r="JG239" s="16">
        <v>154</v>
      </c>
      <c r="JH239" s="16">
        <v>7577</v>
      </c>
      <c r="JI239" s="16">
        <v>0</v>
      </c>
      <c r="JJ239" s="16">
        <v>0</v>
      </c>
      <c r="JK239" s="16">
        <v>0</v>
      </c>
      <c r="JL239" s="16">
        <v>0</v>
      </c>
      <c r="JM239" s="16">
        <v>0</v>
      </c>
      <c r="JN239" s="16">
        <v>0</v>
      </c>
      <c r="JO239" s="16">
        <v>0</v>
      </c>
      <c r="JP239" s="16">
        <v>0</v>
      </c>
      <c r="JQ239" s="16">
        <v>0</v>
      </c>
      <c r="JR239" s="16">
        <v>0</v>
      </c>
      <c r="JS239" s="16">
        <v>0</v>
      </c>
      <c r="JT239" s="16">
        <v>0</v>
      </c>
      <c r="JU239" s="16">
        <v>0</v>
      </c>
      <c r="JV239" s="16">
        <v>0</v>
      </c>
      <c r="JW239" s="16">
        <v>0</v>
      </c>
      <c r="JX239" s="16">
        <v>105</v>
      </c>
      <c r="JY239" s="16">
        <v>20</v>
      </c>
      <c r="JZ239" s="16">
        <v>0</v>
      </c>
      <c r="KA239" s="16">
        <v>0</v>
      </c>
      <c r="KB239" s="16">
        <v>0</v>
      </c>
      <c r="KC239" s="16">
        <v>0</v>
      </c>
      <c r="KD239" s="16">
        <v>0</v>
      </c>
      <c r="KE239" s="16">
        <v>0</v>
      </c>
      <c r="KF239" s="16">
        <v>0</v>
      </c>
      <c r="KG239" s="16">
        <v>1</v>
      </c>
      <c r="KH239" s="16">
        <v>0</v>
      </c>
      <c r="KI239" s="16">
        <v>1</v>
      </c>
      <c r="KJ239" s="16">
        <v>4</v>
      </c>
      <c r="KK239" s="16">
        <v>0</v>
      </c>
      <c r="KL239" s="16">
        <v>0</v>
      </c>
      <c r="KM239" s="16">
        <v>0</v>
      </c>
      <c r="KN239" s="16">
        <v>0</v>
      </c>
      <c r="KO239" s="16">
        <v>0</v>
      </c>
      <c r="KP239" s="16">
        <v>0</v>
      </c>
      <c r="KQ239" s="16">
        <v>0</v>
      </c>
      <c r="KR239" s="16">
        <v>0</v>
      </c>
      <c r="KS239" s="16">
        <v>0</v>
      </c>
      <c r="KT239" s="16">
        <v>0</v>
      </c>
      <c r="KU239" s="16">
        <v>0</v>
      </c>
      <c r="KV239" s="16">
        <v>0</v>
      </c>
      <c r="KW239" s="16">
        <v>0</v>
      </c>
      <c r="KX239" s="16">
        <v>2</v>
      </c>
      <c r="KY239" s="16">
        <v>99</v>
      </c>
      <c r="KZ239" s="16">
        <v>0</v>
      </c>
      <c r="LA239" s="16">
        <v>0</v>
      </c>
      <c r="LB239" s="16">
        <v>0</v>
      </c>
      <c r="LC239" s="16">
        <v>0</v>
      </c>
      <c r="LD239" s="16">
        <v>0</v>
      </c>
      <c r="LE239" s="16">
        <v>0</v>
      </c>
      <c r="LF239" s="16">
        <v>0</v>
      </c>
      <c r="LG239" s="16">
        <v>0</v>
      </c>
      <c r="LH239" s="16">
        <v>0</v>
      </c>
      <c r="LI239" s="16">
        <v>0</v>
      </c>
      <c r="LJ239" s="16">
        <v>0</v>
      </c>
      <c r="LK239" s="16">
        <v>0</v>
      </c>
      <c r="LL239" s="16">
        <v>0</v>
      </c>
      <c r="LM239" s="16">
        <v>0</v>
      </c>
      <c r="LN239" s="16">
        <v>0</v>
      </c>
      <c r="LO239" s="16">
        <v>8201</v>
      </c>
      <c r="LP239" s="16">
        <v>67</v>
      </c>
      <c r="LQ239" s="16">
        <v>0</v>
      </c>
      <c r="LR239" s="16">
        <v>51</v>
      </c>
      <c r="LS239" s="16">
        <v>31</v>
      </c>
      <c r="LT239" s="16">
        <v>394</v>
      </c>
      <c r="LU239" s="16">
        <v>0</v>
      </c>
      <c r="LV239" s="16">
        <v>0</v>
      </c>
      <c r="LW239" s="16">
        <v>7</v>
      </c>
      <c r="LX239" s="16">
        <v>0</v>
      </c>
      <c r="LY239" s="16">
        <v>0</v>
      </c>
      <c r="LZ239" s="16">
        <v>0</v>
      </c>
      <c r="MA239" s="16">
        <v>0</v>
      </c>
      <c r="MB239" s="16">
        <v>0</v>
      </c>
      <c r="MC239" s="16">
        <v>180</v>
      </c>
      <c r="MD239" s="16">
        <v>502</v>
      </c>
      <c r="ME239" s="16">
        <v>133</v>
      </c>
      <c r="MF239" s="16">
        <v>697</v>
      </c>
      <c r="MG239" s="16">
        <v>0</v>
      </c>
      <c r="MH239" s="16">
        <v>0</v>
      </c>
      <c r="MI239" s="16">
        <v>0</v>
      </c>
      <c r="MJ239" s="16">
        <v>0</v>
      </c>
      <c r="MK239" s="16">
        <v>0</v>
      </c>
      <c r="ML239" s="16">
        <v>0</v>
      </c>
      <c r="MM239" s="16">
        <v>104</v>
      </c>
      <c r="MN239" s="16">
        <v>318</v>
      </c>
      <c r="MO239" s="16">
        <v>0</v>
      </c>
      <c r="MP239" s="16">
        <v>0</v>
      </c>
      <c r="MQ239" s="16">
        <v>566</v>
      </c>
      <c r="MR239" s="16">
        <v>199</v>
      </c>
      <c r="MS239" s="16">
        <v>1</v>
      </c>
      <c r="MT239" s="16">
        <v>0</v>
      </c>
      <c r="MU239" s="16">
        <v>7</v>
      </c>
      <c r="MV239" s="16">
        <v>2623</v>
      </c>
      <c r="MW239" s="16">
        <v>1854</v>
      </c>
      <c r="MX239" s="16">
        <v>0</v>
      </c>
      <c r="MY239" s="16">
        <v>5</v>
      </c>
      <c r="MZ239" s="16">
        <v>0</v>
      </c>
      <c r="NA239" s="16">
        <v>0</v>
      </c>
      <c r="NB239" s="16">
        <v>3813</v>
      </c>
      <c r="NC239" s="16">
        <v>15</v>
      </c>
      <c r="ND239" s="16">
        <v>0</v>
      </c>
      <c r="NE239" s="16">
        <v>0</v>
      </c>
      <c r="NF239" s="16">
        <v>0</v>
      </c>
      <c r="NG239" s="16">
        <v>0</v>
      </c>
      <c r="NH239" s="16">
        <v>0</v>
      </c>
      <c r="NI239" s="16">
        <v>74</v>
      </c>
      <c r="NJ239" s="16">
        <v>0</v>
      </c>
      <c r="NK239" s="16">
        <v>0</v>
      </c>
      <c r="NL239" s="16">
        <v>0</v>
      </c>
      <c r="NM239" s="16">
        <v>0</v>
      </c>
      <c r="NN239" s="16">
        <v>0</v>
      </c>
      <c r="NO239" s="16">
        <v>0</v>
      </c>
      <c r="NP239" s="16">
        <v>0</v>
      </c>
      <c r="NQ239" s="16">
        <v>11</v>
      </c>
      <c r="NR239" s="17">
        <v>220166</v>
      </c>
    </row>
    <row r="240" spans="1:382" ht="13.5" customHeight="1" x14ac:dyDescent="0.2">
      <c r="A240" s="2" t="s">
        <v>487</v>
      </c>
      <c r="B240" s="16">
        <v>0</v>
      </c>
      <c r="C240" s="16">
        <v>0</v>
      </c>
      <c r="D240" s="16">
        <v>0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0</v>
      </c>
      <c r="BE240" s="16">
        <v>0</v>
      </c>
      <c r="BF240" s="16">
        <v>0</v>
      </c>
      <c r="BG240" s="16">
        <v>0</v>
      </c>
      <c r="BH240" s="16">
        <v>0</v>
      </c>
      <c r="BI240" s="16">
        <v>0</v>
      </c>
      <c r="BJ240" s="16">
        <v>10</v>
      </c>
      <c r="BK240" s="16">
        <v>0</v>
      </c>
      <c r="BL240" s="16">
        <v>4</v>
      </c>
      <c r="BM240" s="16">
        <v>6</v>
      </c>
      <c r="BN240" s="16">
        <v>0</v>
      </c>
      <c r="BO240" s="16">
        <v>15</v>
      </c>
      <c r="BP240" s="16">
        <v>89</v>
      </c>
      <c r="BQ240" s="16">
        <v>2</v>
      </c>
      <c r="BR240" s="16">
        <v>79</v>
      </c>
      <c r="BS240" s="16">
        <v>0</v>
      </c>
      <c r="BT240" s="16">
        <v>0</v>
      </c>
      <c r="BU240" s="16">
        <v>0</v>
      </c>
      <c r="BV240" s="16">
        <v>0</v>
      </c>
      <c r="BW240" s="16">
        <v>0</v>
      </c>
      <c r="BX240" s="16">
        <v>0</v>
      </c>
      <c r="BY240" s="16">
        <v>0</v>
      </c>
      <c r="BZ240" s="16">
        <v>0</v>
      </c>
      <c r="CA240" s="16">
        <v>0</v>
      </c>
      <c r="CB240" s="16">
        <v>0</v>
      </c>
      <c r="CC240" s="16">
        <v>0</v>
      </c>
      <c r="CD240" s="16">
        <v>0</v>
      </c>
      <c r="CE240" s="16">
        <v>0</v>
      </c>
      <c r="CF240" s="16">
        <v>0</v>
      </c>
      <c r="CG240" s="16">
        <v>0</v>
      </c>
      <c r="CH240" s="16">
        <v>0</v>
      </c>
      <c r="CI240" s="16">
        <v>0</v>
      </c>
      <c r="CJ240" s="16">
        <v>0</v>
      </c>
      <c r="CK240" s="16">
        <v>0</v>
      </c>
      <c r="CL240" s="16">
        <v>0</v>
      </c>
      <c r="CM240" s="16">
        <v>0</v>
      </c>
      <c r="CN240" s="16">
        <v>0</v>
      </c>
      <c r="CO240" s="16">
        <v>0</v>
      </c>
      <c r="CP240" s="16">
        <v>0</v>
      </c>
      <c r="CQ240" s="16">
        <v>0</v>
      </c>
      <c r="CR240" s="16">
        <v>0</v>
      </c>
      <c r="CS240" s="16">
        <v>0</v>
      </c>
      <c r="CT240" s="16">
        <v>0</v>
      </c>
      <c r="CU240" s="16">
        <v>0</v>
      </c>
      <c r="CV240" s="16">
        <v>0</v>
      </c>
      <c r="CW240" s="16">
        <v>0</v>
      </c>
      <c r="CX240" s="16">
        <v>0</v>
      </c>
      <c r="CY240" s="16">
        <v>0</v>
      </c>
      <c r="CZ240" s="16">
        <v>0</v>
      </c>
      <c r="DA240" s="16">
        <v>0</v>
      </c>
      <c r="DB240" s="16">
        <v>0</v>
      </c>
      <c r="DC240" s="16">
        <v>0</v>
      </c>
      <c r="DD240" s="16">
        <v>0</v>
      </c>
      <c r="DE240" s="16">
        <v>0</v>
      </c>
      <c r="DF240" s="16">
        <v>0</v>
      </c>
      <c r="DG240" s="16">
        <v>0</v>
      </c>
      <c r="DH240" s="16">
        <v>0</v>
      </c>
      <c r="DI240" s="16">
        <v>0</v>
      </c>
      <c r="DJ240" s="16">
        <v>46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6">
        <v>0</v>
      </c>
      <c r="DV240" s="16">
        <v>0</v>
      </c>
      <c r="DW240" s="16">
        <v>1364</v>
      </c>
      <c r="DX240" s="16">
        <v>814</v>
      </c>
      <c r="DY240" s="16">
        <v>807</v>
      </c>
      <c r="DZ240" s="16">
        <v>608</v>
      </c>
      <c r="EA240" s="16">
        <v>14937</v>
      </c>
      <c r="EB240" s="16">
        <v>210</v>
      </c>
      <c r="EC240" s="16">
        <v>4080</v>
      </c>
      <c r="ED240" s="16">
        <v>1568</v>
      </c>
      <c r="EE240" s="16">
        <v>0</v>
      </c>
      <c r="EF240" s="16">
        <v>0</v>
      </c>
      <c r="EG240" s="16">
        <v>0</v>
      </c>
      <c r="EH240" s="16">
        <v>0</v>
      </c>
      <c r="EI240" s="16">
        <v>0</v>
      </c>
      <c r="EJ240" s="16">
        <v>0</v>
      </c>
      <c r="EK240" s="16">
        <v>0</v>
      </c>
      <c r="EL240" s="16">
        <v>0</v>
      </c>
      <c r="EM240" s="16">
        <v>0</v>
      </c>
      <c r="EN240" s="16">
        <v>0</v>
      </c>
      <c r="EO240" s="16">
        <v>0</v>
      </c>
      <c r="EP240" s="16">
        <v>0</v>
      </c>
      <c r="EQ240" s="16">
        <v>0</v>
      </c>
      <c r="ER240" s="16">
        <v>0</v>
      </c>
      <c r="ES240" s="16">
        <v>0</v>
      </c>
      <c r="ET240" s="16">
        <v>0</v>
      </c>
      <c r="EU240" s="16">
        <v>0</v>
      </c>
      <c r="EV240" s="16">
        <v>0</v>
      </c>
      <c r="EW240" s="16">
        <v>0</v>
      </c>
      <c r="EX240" s="16">
        <v>0</v>
      </c>
      <c r="EY240" s="16">
        <v>0</v>
      </c>
      <c r="EZ240" s="16">
        <v>0</v>
      </c>
      <c r="FA240" s="16">
        <v>0</v>
      </c>
      <c r="FB240" s="16">
        <v>0</v>
      </c>
      <c r="FC240" s="16">
        <v>0</v>
      </c>
      <c r="FD240" s="16">
        <v>0</v>
      </c>
      <c r="FE240" s="16">
        <v>0</v>
      </c>
      <c r="FF240" s="16">
        <v>0</v>
      </c>
      <c r="FG240" s="16">
        <v>0</v>
      </c>
      <c r="FH240" s="16">
        <v>0</v>
      </c>
      <c r="FI240" s="16">
        <v>0</v>
      </c>
      <c r="FJ240" s="16">
        <v>0</v>
      </c>
      <c r="FK240" s="16">
        <v>0</v>
      </c>
      <c r="FL240" s="16">
        <v>0</v>
      </c>
      <c r="FM240" s="16">
        <v>0</v>
      </c>
      <c r="FN240" s="16">
        <v>0</v>
      </c>
      <c r="FO240" s="16">
        <v>0</v>
      </c>
      <c r="FP240" s="16">
        <v>0</v>
      </c>
      <c r="FQ240" s="16">
        <v>0</v>
      </c>
      <c r="FR240" s="16">
        <v>0</v>
      </c>
      <c r="FS240" s="16">
        <v>0</v>
      </c>
      <c r="FT240" s="16">
        <v>0</v>
      </c>
      <c r="FU240" s="16">
        <v>0</v>
      </c>
      <c r="FV240" s="16">
        <v>0</v>
      </c>
      <c r="FW240" s="16">
        <v>0</v>
      </c>
      <c r="FX240" s="16">
        <v>0</v>
      </c>
      <c r="FY240" s="16">
        <v>0</v>
      </c>
      <c r="FZ240" s="16">
        <v>0</v>
      </c>
      <c r="GA240" s="16">
        <v>0</v>
      </c>
      <c r="GB240" s="16">
        <v>0</v>
      </c>
      <c r="GC240" s="16">
        <v>0</v>
      </c>
      <c r="GD240" s="16">
        <v>0</v>
      </c>
      <c r="GE240" s="16">
        <v>0</v>
      </c>
      <c r="GF240" s="16">
        <v>0</v>
      </c>
      <c r="GG240" s="16">
        <v>0</v>
      </c>
      <c r="GH240" s="16">
        <v>0</v>
      </c>
      <c r="GI240" s="16">
        <v>0</v>
      </c>
      <c r="GJ240" s="16">
        <v>0</v>
      </c>
      <c r="GK240" s="16">
        <v>213</v>
      </c>
      <c r="GL240" s="16">
        <v>0</v>
      </c>
      <c r="GM240" s="16">
        <v>0</v>
      </c>
      <c r="GN240" s="16">
        <v>0</v>
      </c>
      <c r="GO240" s="16">
        <v>0</v>
      </c>
      <c r="GP240" s="16">
        <v>0</v>
      </c>
      <c r="GQ240" s="16">
        <v>0</v>
      </c>
      <c r="GR240" s="16">
        <v>0</v>
      </c>
      <c r="GS240" s="16">
        <v>0</v>
      </c>
      <c r="GT240" s="16">
        <v>0</v>
      </c>
      <c r="GU240" s="16">
        <v>0</v>
      </c>
      <c r="GV240" s="16">
        <v>0</v>
      </c>
      <c r="GW240" s="16">
        <v>0</v>
      </c>
      <c r="GX240" s="16">
        <v>0</v>
      </c>
      <c r="GY240" s="16">
        <v>0</v>
      </c>
      <c r="GZ240" s="16">
        <v>0</v>
      </c>
      <c r="HA240" s="16">
        <v>0</v>
      </c>
      <c r="HB240" s="16">
        <v>0</v>
      </c>
      <c r="HC240" s="16">
        <v>0</v>
      </c>
      <c r="HD240" s="16">
        <v>0</v>
      </c>
      <c r="HE240" s="16">
        <v>0</v>
      </c>
      <c r="HF240" s="16">
        <v>0</v>
      </c>
      <c r="HG240" s="16">
        <v>0</v>
      </c>
      <c r="HH240" s="16">
        <v>0</v>
      </c>
      <c r="HI240" s="16">
        <v>0</v>
      </c>
      <c r="HJ240" s="16">
        <v>0</v>
      </c>
      <c r="HK240" s="16">
        <v>0</v>
      </c>
      <c r="HL240" s="16">
        <v>0</v>
      </c>
      <c r="HM240" s="16">
        <v>0</v>
      </c>
      <c r="HN240" s="16">
        <v>0</v>
      </c>
      <c r="HO240" s="16">
        <v>0</v>
      </c>
      <c r="HP240" s="16">
        <v>0</v>
      </c>
      <c r="HQ240" s="16">
        <v>0</v>
      </c>
      <c r="HR240" s="16">
        <v>0</v>
      </c>
      <c r="HS240" s="16">
        <v>0</v>
      </c>
      <c r="HT240" s="16">
        <v>0</v>
      </c>
      <c r="HU240" s="16">
        <v>0</v>
      </c>
      <c r="HV240" s="16">
        <v>0</v>
      </c>
      <c r="HW240" s="16">
        <v>0</v>
      </c>
      <c r="HX240" s="16">
        <v>0</v>
      </c>
      <c r="HY240" s="16">
        <v>0</v>
      </c>
      <c r="HZ240" s="16">
        <v>0</v>
      </c>
      <c r="IA240" s="16">
        <v>0</v>
      </c>
      <c r="IB240" s="16">
        <v>0</v>
      </c>
      <c r="IC240" s="16">
        <v>0</v>
      </c>
      <c r="ID240" s="16">
        <v>0</v>
      </c>
      <c r="IE240" s="16">
        <v>0</v>
      </c>
      <c r="IF240" s="16">
        <v>265711</v>
      </c>
      <c r="IG240" s="16">
        <v>0</v>
      </c>
      <c r="IH240" s="16">
        <v>24</v>
      </c>
      <c r="II240" s="16">
        <v>0</v>
      </c>
      <c r="IJ240" s="16">
        <v>0</v>
      </c>
      <c r="IK240" s="16">
        <v>0</v>
      </c>
      <c r="IL240" s="16">
        <v>0</v>
      </c>
      <c r="IM240" s="16">
        <v>0</v>
      </c>
      <c r="IN240" s="16">
        <v>22</v>
      </c>
      <c r="IO240" s="16">
        <v>0</v>
      </c>
      <c r="IP240" s="16">
        <v>0</v>
      </c>
      <c r="IQ240" s="16">
        <v>0</v>
      </c>
      <c r="IR240" s="16">
        <v>0</v>
      </c>
      <c r="IS240" s="16">
        <v>0</v>
      </c>
      <c r="IT240" s="16">
        <v>0</v>
      </c>
      <c r="IU240" s="16">
        <v>0</v>
      </c>
      <c r="IV240" s="16">
        <v>0</v>
      </c>
      <c r="IW240" s="16">
        <v>0</v>
      </c>
      <c r="IX240" s="16">
        <v>0</v>
      </c>
      <c r="IY240" s="16">
        <v>0</v>
      </c>
      <c r="IZ240" s="16">
        <v>2</v>
      </c>
      <c r="JA240" s="16">
        <v>14</v>
      </c>
      <c r="JB240" s="16">
        <v>42</v>
      </c>
      <c r="JC240" s="16">
        <v>3</v>
      </c>
      <c r="JD240" s="16">
        <v>0</v>
      </c>
      <c r="JE240" s="16">
        <v>6</v>
      </c>
      <c r="JF240" s="16">
        <v>29</v>
      </c>
      <c r="JG240" s="16">
        <v>917</v>
      </c>
      <c r="JH240" s="16">
        <v>24</v>
      </c>
      <c r="JI240" s="16">
        <v>0</v>
      </c>
      <c r="JJ240" s="16">
        <v>0</v>
      </c>
      <c r="JK240" s="16">
        <v>0</v>
      </c>
      <c r="JL240" s="16">
        <v>0</v>
      </c>
      <c r="JM240" s="16">
        <v>0</v>
      </c>
      <c r="JN240" s="16">
        <v>0</v>
      </c>
      <c r="JO240" s="16">
        <v>0</v>
      </c>
      <c r="JP240" s="16">
        <v>0</v>
      </c>
      <c r="JQ240" s="16">
        <v>0</v>
      </c>
      <c r="JR240" s="16">
        <v>0</v>
      </c>
      <c r="JS240" s="16">
        <v>0</v>
      </c>
      <c r="JT240" s="16">
        <v>0</v>
      </c>
      <c r="JU240" s="16">
        <v>0</v>
      </c>
      <c r="JV240" s="16">
        <v>0</v>
      </c>
      <c r="JW240" s="16">
        <v>0</v>
      </c>
      <c r="JX240" s="16">
        <v>0</v>
      </c>
      <c r="JY240" s="16">
        <v>0</v>
      </c>
      <c r="JZ240" s="16">
        <v>0</v>
      </c>
      <c r="KA240" s="16">
        <v>0</v>
      </c>
      <c r="KB240" s="16">
        <v>0</v>
      </c>
      <c r="KC240" s="16">
        <v>0</v>
      </c>
      <c r="KD240" s="16">
        <v>0</v>
      </c>
      <c r="KE240" s="16">
        <v>0</v>
      </c>
      <c r="KF240" s="16">
        <v>0</v>
      </c>
      <c r="KG240" s="16">
        <v>0</v>
      </c>
      <c r="KH240" s="16">
        <v>0</v>
      </c>
      <c r="KI240" s="16">
        <v>0</v>
      </c>
      <c r="KJ240" s="16">
        <v>0</v>
      </c>
      <c r="KK240" s="16">
        <v>0</v>
      </c>
      <c r="KL240" s="16">
        <v>0</v>
      </c>
      <c r="KM240" s="16">
        <v>0</v>
      </c>
      <c r="KN240" s="16">
        <v>0</v>
      </c>
      <c r="KO240" s="16">
        <v>0</v>
      </c>
      <c r="KP240" s="16">
        <v>0</v>
      </c>
      <c r="KQ240" s="16">
        <v>0</v>
      </c>
      <c r="KR240" s="16">
        <v>0</v>
      </c>
      <c r="KS240" s="16">
        <v>0</v>
      </c>
      <c r="KT240" s="16">
        <v>0</v>
      </c>
      <c r="KU240" s="16">
        <v>0</v>
      </c>
      <c r="KV240" s="16">
        <v>0</v>
      </c>
      <c r="KW240" s="16">
        <v>0</v>
      </c>
      <c r="KX240" s="16">
        <v>0</v>
      </c>
      <c r="KY240" s="16">
        <v>0</v>
      </c>
      <c r="KZ240" s="16">
        <v>0</v>
      </c>
      <c r="LA240" s="16">
        <v>0</v>
      </c>
      <c r="LB240" s="16">
        <v>0</v>
      </c>
      <c r="LC240" s="16">
        <v>0</v>
      </c>
      <c r="LD240" s="16">
        <v>0</v>
      </c>
      <c r="LE240" s="16">
        <v>0</v>
      </c>
      <c r="LF240" s="16">
        <v>0</v>
      </c>
      <c r="LG240" s="16">
        <v>0</v>
      </c>
      <c r="LH240" s="16">
        <v>0</v>
      </c>
      <c r="LI240" s="16">
        <v>0</v>
      </c>
      <c r="LJ240" s="16">
        <v>0</v>
      </c>
      <c r="LK240" s="16">
        <v>0</v>
      </c>
      <c r="LL240" s="16">
        <v>0</v>
      </c>
      <c r="LM240" s="16">
        <v>0</v>
      </c>
      <c r="LN240" s="16">
        <v>0</v>
      </c>
      <c r="LO240" s="16">
        <v>0</v>
      </c>
      <c r="LP240" s="16">
        <v>0</v>
      </c>
      <c r="LQ240" s="16">
        <v>0</v>
      </c>
      <c r="LR240" s="16">
        <v>0</v>
      </c>
      <c r="LS240" s="16">
        <v>0</v>
      </c>
      <c r="LT240" s="16">
        <v>0</v>
      </c>
      <c r="LU240" s="16">
        <v>0</v>
      </c>
      <c r="LV240" s="16">
        <v>0</v>
      </c>
      <c r="LW240" s="16">
        <v>0</v>
      </c>
      <c r="LX240" s="16">
        <v>0</v>
      </c>
      <c r="LY240" s="16">
        <v>0</v>
      </c>
      <c r="LZ240" s="16">
        <v>0</v>
      </c>
      <c r="MA240" s="16">
        <v>0</v>
      </c>
      <c r="MB240" s="16">
        <v>0</v>
      </c>
      <c r="MC240" s="16">
        <v>7</v>
      </c>
      <c r="MD240" s="16">
        <v>29</v>
      </c>
      <c r="ME240" s="16">
        <v>79</v>
      </c>
      <c r="MF240" s="16">
        <v>156</v>
      </c>
      <c r="MG240" s="16">
        <v>0</v>
      </c>
      <c r="MH240" s="16">
        <v>0</v>
      </c>
      <c r="MI240" s="16">
        <v>0</v>
      </c>
      <c r="MJ240" s="16">
        <v>0</v>
      </c>
      <c r="MK240" s="16">
        <v>0</v>
      </c>
      <c r="ML240" s="16">
        <v>0</v>
      </c>
      <c r="MM240" s="16">
        <v>0</v>
      </c>
      <c r="MN240" s="16">
        <v>115</v>
      </c>
      <c r="MO240" s="16">
        <v>0</v>
      </c>
      <c r="MP240" s="16">
        <v>0</v>
      </c>
      <c r="MQ240" s="16">
        <v>0</v>
      </c>
      <c r="MR240" s="16">
        <v>0</v>
      </c>
      <c r="MS240" s="16">
        <v>0</v>
      </c>
      <c r="MT240" s="16">
        <v>0</v>
      </c>
      <c r="MU240" s="16">
        <v>0</v>
      </c>
      <c r="MV240" s="16">
        <v>0</v>
      </c>
      <c r="MW240" s="16">
        <v>0</v>
      </c>
      <c r="MX240" s="16">
        <v>0</v>
      </c>
      <c r="MY240" s="16">
        <v>0</v>
      </c>
      <c r="MZ240" s="16">
        <v>0</v>
      </c>
      <c r="NA240" s="16">
        <v>0</v>
      </c>
      <c r="NB240" s="16">
        <v>0</v>
      </c>
      <c r="NC240" s="16">
        <v>0</v>
      </c>
      <c r="ND240" s="16">
        <v>0</v>
      </c>
      <c r="NE240" s="16">
        <v>0</v>
      </c>
      <c r="NF240" s="16">
        <v>0</v>
      </c>
      <c r="NG240" s="16">
        <v>0</v>
      </c>
      <c r="NH240" s="16">
        <v>0</v>
      </c>
      <c r="NI240" s="16">
        <v>0</v>
      </c>
      <c r="NJ240" s="16">
        <v>0</v>
      </c>
      <c r="NK240" s="16">
        <v>0</v>
      </c>
      <c r="NL240" s="16">
        <v>0</v>
      </c>
      <c r="NM240" s="16">
        <v>0</v>
      </c>
      <c r="NN240" s="16">
        <v>0</v>
      </c>
      <c r="NO240" s="16">
        <v>0</v>
      </c>
      <c r="NP240" s="16">
        <v>0</v>
      </c>
      <c r="NQ240" s="16">
        <v>0</v>
      </c>
      <c r="NR240" s="17">
        <v>292032</v>
      </c>
    </row>
    <row r="241" spans="1:382" ht="13.5" customHeight="1" x14ac:dyDescent="0.2">
      <c r="A241" s="2" t="s">
        <v>489</v>
      </c>
      <c r="B241" s="16">
        <v>0</v>
      </c>
      <c r="C241" s="16">
        <v>0</v>
      </c>
      <c r="D241" s="16">
        <v>0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73</v>
      </c>
      <c r="V241" s="16">
        <v>0</v>
      </c>
      <c r="W241" s="16">
        <v>0</v>
      </c>
      <c r="X241" s="16">
        <v>63</v>
      </c>
      <c r="Y241" s="16">
        <v>17</v>
      </c>
      <c r="Z241" s="16">
        <v>169</v>
      </c>
      <c r="AA241" s="16">
        <v>1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66</v>
      </c>
      <c r="AH241" s="16">
        <v>66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18</v>
      </c>
      <c r="AQ241" s="16">
        <v>10</v>
      </c>
      <c r="AR241" s="16">
        <v>0</v>
      </c>
      <c r="AS241" s="16">
        <v>0</v>
      </c>
      <c r="AT241" s="16">
        <v>0</v>
      </c>
      <c r="AU241" s="16">
        <v>170</v>
      </c>
      <c r="AV241" s="16">
        <v>52</v>
      </c>
      <c r="AW241" s="16">
        <v>59</v>
      </c>
      <c r="AX241" s="16">
        <v>0</v>
      </c>
      <c r="AY241" s="16">
        <v>1095</v>
      </c>
      <c r="AZ241" s="16">
        <v>1040</v>
      </c>
      <c r="BA241" s="16">
        <v>1853</v>
      </c>
      <c r="BB241" s="16">
        <v>228</v>
      </c>
      <c r="BC241" s="16">
        <v>129</v>
      </c>
      <c r="BD241" s="16">
        <v>0</v>
      </c>
      <c r="BE241" s="16">
        <v>0</v>
      </c>
      <c r="BF241" s="16">
        <v>0</v>
      </c>
      <c r="BG241" s="16">
        <v>0</v>
      </c>
      <c r="BH241" s="16">
        <v>0</v>
      </c>
      <c r="BI241" s="16">
        <v>0</v>
      </c>
      <c r="BJ241" s="16">
        <v>0</v>
      </c>
      <c r="BK241" s="16">
        <v>0</v>
      </c>
      <c r="BL241" s="16">
        <v>0</v>
      </c>
      <c r="BM241" s="16">
        <v>0</v>
      </c>
      <c r="BN241" s="16">
        <v>0</v>
      </c>
      <c r="BO241" s="16">
        <v>0</v>
      </c>
      <c r="BP241" s="16">
        <v>0</v>
      </c>
      <c r="BQ241" s="16">
        <v>0</v>
      </c>
      <c r="BR241" s="16">
        <v>0</v>
      </c>
      <c r="BS241" s="16">
        <v>0</v>
      </c>
      <c r="BT241" s="16">
        <v>0</v>
      </c>
      <c r="BU241" s="16">
        <v>0</v>
      </c>
      <c r="BV241" s="16">
        <v>0</v>
      </c>
      <c r="BW241" s="16">
        <v>0</v>
      </c>
      <c r="BX241" s="16">
        <v>0</v>
      </c>
      <c r="BY241" s="16">
        <v>0</v>
      </c>
      <c r="BZ241" s="16">
        <v>0</v>
      </c>
      <c r="CA241" s="16">
        <v>0</v>
      </c>
      <c r="CB241" s="16">
        <v>0</v>
      </c>
      <c r="CC241" s="16">
        <v>269</v>
      </c>
      <c r="CD241" s="16">
        <v>379</v>
      </c>
      <c r="CE241" s="16">
        <v>73</v>
      </c>
      <c r="CF241" s="16">
        <v>266</v>
      </c>
      <c r="CG241" s="16">
        <v>280</v>
      </c>
      <c r="CH241" s="16">
        <v>41</v>
      </c>
      <c r="CI241" s="16">
        <v>0</v>
      </c>
      <c r="CJ241" s="16">
        <v>0</v>
      </c>
      <c r="CK241" s="16">
        <v>0</v>
      </c>
      <c r="CL241" s="16">
        <v>0</v>
      </c>
      <c r="CM241" s="16">
        <v>0</v>
      </c>
      <c r="CN241" s="16">
        <v>0</v>
      </c>
      <c r="CO241" s="16">
        <v>0</v>
      </c>
      <c r="CP241" s="16">
        <v>0</v>
      </c>
      <c r="CQ241" s="16">
        <v>0</v>
      </c>
      <c r="CR241" s="16">
        <v>0</v>
      </c>
      <c r="CS241" s="16">
        <v>859</v>
      </c>
      <c r="CT241" s="16">
        <v>350</v>
      </c>
      <c r="CU241" s="16">
        <v>523</v>
      </c>
      <c r="CV241" s="16">
        <v>281</v>
      </c>
      <c r="CW241" s="16">
        <v>1543</v>
      </c>
      <c r="CX241" s="16">
        <v>1581</v>
      </c>
      <c r="CY241" s="16">
        <v>375</v>
      </c>
      <c r="CZ241" s="16">
        <v>404</v>
      </c>
      <c r="DA241" s="16">
        <v>5</v>
      </c>
      <c r="DB241" s="16">
        <v>68</v>
      </c>
      <c r="DC241" s="16">
        <v>42</v>
      </c>
      <c r="DD241" s="16">
        <v>535</v>
      </c>
      <c r="DE241" s="16">
        <v>235</v>
      </c>
      <c r="DF241" s="16">
        <v>206</v>
      </c>
      <c r="DG241" s="16">
        <v>25</v>
      </c>
      <c r="DH241" s="16">
        <v>1953</v>
      </c>
      <c r="DI241" s="16">
        <v>161</v>
      </c>
      <c r="DJ241" s="16">
        <v>1155</v>
      </c>
      <c r="DK241" s="16">
        <v>0</v>
      </c>
      <c r="DL241" s="16">
        <v>142</v>
      </c>
      <c r="DM241" s="16">
        <v>286</v>
      </c>
      <c r="DN241" s="16">
        <v>252</v>
      </c>
      <c r="DO241" s="16">
        <v>76</v>
      </c>
      <c r="DP241" s="16">
        <v>190</v>
      </c>
      <c r="DQ241" s="16">
        <v>32</v>
      </c>
      <c r="DR241" s="16">
        <v>129</v>
      </c>
      <c r="DS241" s="16">
        <v>429</v>
      </c>
      <c r="DT241" s="16">
        <v>69</v>
      </c>
      <c r="DU241" s="16">
        <v>87</v>
      </c>
      <c r="DV241" s="16">
        <v>508</v>
      </c>
      <c r="DW241" s="16">
        <v>283</v>
      </c>
      <c r="DX241" s="16">
        <v>35</v>
      </c>
      <c r="DY241" s="16">
        <v>1360</v>
      </c>
      <c r="DZ241" s="16">
        <v>461</v>
      </c>
      <c r="EA241" s="16">
        <v>998</v>
      </c>
      <c r="EB241" s="16">
        <v>75</v>
      </c>
      <c r="EC241" s="16">
        <v>29</v>
      </c>
      <c r="ED241" s="16">
        <v>31</v>
      </c>
      <c r="EE241" s="16">
        <v>34</v>
      </c>
      <c r="EF241" s="16">
        <v>136</v>
      </c>
      <c r="EG241" s="16">
        <v>987</v>
      </c>
      <c r="EH241" s="16">
        <v>239</v>
      </c>
      <c r="EI241" s="16">
        <v>31</v>
      </c>
      <c r="EJ241" s="16">
        <v>165</v>
      </c>
      <c r="EK241" s="16">
        <v>185</v>
      </c>
      <c r="EL241" s="16">
        <v>57</v>
      </c>
      <c r="EM241" s="16">
        <v>155</v>
      </c>
      <c r="EN241" s="16">
        <v>771</v>
      </c>
      <c r="EO241" s="16">
        <v>448</v>
      </c>
      <c r="EP241" s="16">
        <v>53</v>
      </c>
      <c r="EQ241" s="16">
        <v>363</v>
      </c>
      <c r="ER241" s="16">
        <v>33</v>
      </c>
      <c r="ES241" s="16">
        <v>7</v>
      </c>
      <c r="ET241" s="16">
        <v>47</v>
      </c>
      <c r="EU241" s="16">
        <v>0</v>
      </c>
      <c r="EV241" s="16">
        <v>0</v>
      </c>
      <c r="EW241" s="16">
        <v>3</v>
      </c>
      <c r="EX241" s="16">
        <v>14</v>
      </c>
      <c r="EY241" s="16">
        <v>2</v>
      </c>
      <c r="EZ241" s="16">
        <v>8</v>
      </c>
      <c r="FA241" s="16">
        <v>3</v>
      </c>
      <c r="FB241" s="16">
        <v>0</v>
      </c>
      <c r="FC241" s="16">
        <v>451</v>
      </c>
      <c r="FD241" s="16">
        <v>137</v>
      </c>
      <c r="FE241" s="16">
        <v>42</v>
      </c>
      <c r="FF241" s="16">
        <v>157</v>
      </c>
      <c r="FG241" s="16">
        <v>87</v>
      </c>
      <c r="FH241" s="16">
        <v>20</v>
      </c>
      <c r="FI241" s="16">
        <v>121</v>
      </c>
      <c r="FJ241" s="16">
        <v>180</v>
      </c>
      <c r="FK241" s="16">
        <v>262</v>
      </c>
      <c r="FL241" s="16">
        <v>30</v>
      </c>
      <c r="FM241" s="16">
        <v>154</v>
      </c>
      <c r="FN241" s="16">
        <v>306</v>
      </c>
      <c r="FO241" s="16">
        <v>207</v>
      </c>
      <c r="FP241" s="16">
        <v>34</v>
      </c>
      <c r="FQ241" s="16">
        <v>568</v>
      </c>
      <c r="FR241" s="16">
        <v>1734</v>
      </c>
      <c r="FS241" s="16">
        <v>104</v>
      </c>
      <c r="FT241" s="16">
        <v>204</v>
      </c>
      <c r="FU241" s="16">
        <v>43</v>
      </c>
      <c r="FV241" s="16">
        <v>317</v>
      </c>
      <c r="FW241" s="16">
        <v>758</v>
      </c>
      <c r="FX241" s="16">
        <v>1397</v>
      </c>
      <c r="FY241" s="16">
        <v>37</v>
      </c>
      <c r="FZ241" s="16">
        <v>56</v>
      </c>
      <c r="GA241" s="16">
        <v>434</v>
      </c>
      <c r="GB241" s="16">
        <v>146</v>
      </c>
      <c r="GC241" s="16">
        <v>94</v>
      </c>
      <c r="GD241" s="16">
        <v>862</v>
      </c>
      <c r="GE241" s="16">
        <v>171</v>
      </c>
      <c r="GF241" s="16">
        <v>2422</v>
      </c>
      <c r="GG241" s="16">
        <v>284</v>
      </c>
      <c r="GH241" s="16">
        <v>463</v>
      </c>
      <c r="GI241" s="16">
        <v>477</v>
      </c>
      <c r="GJ241" s="16">
        <v>273</v>
      </c>
      <c r="GK241" s="16">
        <v>505</v>
      </c>
      <c r="GL241" s="16">
        <v>1</v>
      </c>
      <c r="GM241" s="16">
        <v>33</v>
      </c>
      <c r="GN241" s="16">
        <v>4</v>
      </c>
      <c r="GO241" s="16">
        <v>148</v>
      </c>
      <c r="GP241" s="16">
        <v>57</v>
      </c>
      <c r="GQ241" s="16">
        <v>44</v>
      </c>
      <c r="GR241" s="16">
        <v>27</v>
      </c>
      <c r="GS241" s="16">
        <v>10</v>
      </c>
      <c r="GT241" s="16">
        <v>31</v>
      </c>
      <c r="GU241" s="16">
        <v>1188</v>
      </c>
      <c r="GV241" s="16">
        <v>890</v>
      </c>
      <c r="GW241" s="16">
        <v>207</v>
      </c>
      <c r="GX241" s="16">
        <v>452</v>
      </c>
      <c r="GY241" s="16">
        <v>0</v>
      </c>
      <c r="GZ241" s="16">
        <v>696</v>
      </c>
      <c r="HA241" s="16">
        <v>169</v>
      </c>
      <c r="HB241" s="16">
        <v>194</v>
      </c>
      <c r="HC241" s="16">
        <v>871</v>
      </c>
      <c r="HD241" s="16">
        <v>872</v>
      </c>
      <c r="HE241" s="16">
        <v>681</v>
      </c>
      <c r="HF241" s="16">
        <v>2460</v>
      </c>
      <c r="HG241" s="16">
        <v>106</v>
      </c>
      <c r="HH241" s="16">
        <v>95</v>
      </c>
      <c r="HI241" s="16">
        <v>156</v>
      </c>
      <c r="HJ241" s="16">
        <v>133</v>
      </c>
      <c r="HK241" s="16">
        <v>435</v>
      </c>
      <c r="HL241" s="16">
        <v>1658</v>
      </c>
      <c r="HM241" s="16">
        <v>246</v>
      </c>
      <c r="HN241" s="16">
        <v>314</v>
      </c>
      <c r="HO241" s="16">
        <v>69</v>
      </c>
      <c r="HP241" s="16">
        <v>234</v>
      </c>
      <c r="HQ241" s="16">
        <v>329</v>
      </c>
      <c r="HR241" s="16">
        <v>482</v>
      </c>
      <c r="HS241" s="16">
        <v>802</v>
      </c>
      <c r="HT241" s="16">
        <v>18</v>
      </c>
      <c r="HU241" s="16">
        <v>466</v>
      </c>
      <c r="HV241" s="16">
        <v>92</v>
      </c>
      <c r="HW241" s="16">
        <v>334</v>
      </c>
      <c r="HX241" s="16">
        <v>215180</v>
      </c>
      <c r="HY241" s="16">
        <v>3060</v>
      </c>
      <c r="HZ241" s="16">
        <v>2507</v>
      </c>
      <c r="IA241" s="16">
        <v>1111</v>
      </c>
      <c r="IB241" s="16">
        <v>74</v>
      </c>
      <c r="IC241" s="16">
        <v>69</v>
      </c>
      <c r="ID241" s="16">
        <v>2641</v>
      </c>
      <c r="IE241" s="16">
        <v>115</v>
      </c>
      <c r="IF241" s="16">
        <v>2245</v>
      </c>
      <c r="IG241" s="16">
        <v>1237888</v>
      </c>
      <c r="IH241" s="16">
        <v>451</v>
      </c>
      <c r="II241" s="16">
        <v>895</v>
      </c>
      <c r="IJ241" s="16">
        <v>8</v>
      </c>
      <c r="IK241" s="16">
        <v>19</v>
      </c>
      <c r="IL241" s="16">
        <v>100</v>
      </c>
      <c r="IM241" s="16">
        <v>2</v>
      </c>
      <c r="IN241" s="16">
        <v>2382</v>
      </c>
      <c r="IO241" s="16">
        <v>1221</v>
      </c>
      <c r="IP241" s="16">
        <v>32443</v>
      </c>
      <c r="IQ241" s="16">
        <v>3509</v>
      </c>
      <c r="IR241" s="16">
        <v>259</v>
      </c>
      <c r="IS241" s="16">
        <v>687</v>
      </c>
      <c r="IT241" s="16">
        <v>261</v>
      </c>
      <c r="IU241" s="16">
        <v>4</v>
      </c>
      <c r="IV241" s="16">
        <v>3628</v>
      </c>
      <c r="IW241" s="16">
        <v>715</v>
      </c>
      <c r="IX241" s="16">
        <v>27</v>
      </c>
      <c r="IY241" s="16">
        <v>88</v>
      </c>
      <c r="IZ241" s="16">
        <v>22</v>
      </c>
      <c r="JA241" s="16">
        <v>38</v>
      </c>
      <c r="JB241" s="16">
        <v>5</v>
      </c>
      <c r="JC241" s="16">
        <v>15</v>
      </c>
      <c r="JD241" s="16">
        <v>2</v>
      </c>
      <c r="JE241" s="16">
        <v>21</v>
      </c>
      <c r="JF241" s="16">
        <v>90</v>
      </c>
      <c r="JG241" s="16">
        <v>12760</v>
      </c>
      <c r="JH241" s="16">
        <v>5251</v>
      </c>
      <c r="JI241" s="16">
        <v>0</v>
      </c>
      <c r="JJ241" s="16">
        <v>0</v>
      </c>
      <c r="JK241" s="16">
        <v>0</v>
      </c>
      <c r="JL241" s="16">
        <v>0</v>
      </c>
      <c r="JM241" s="16">
        <v>0</v>
      </c>
      <c r="JN241" s="16">
        <v>0</v>
      </c>
      <c r="JO241" s="16">
        <v>0</v>
      </c>
      <c r="JP241" s="16">
        <v>0</v>
      </c>
      <c r="JQ241" s="16">
        <v>0</v>
      </c>
      <c r="JR241" s="16">
        <v>0</v>
      </c>
      <c r="JS241" s="16">
        <v>0</v>
      </c>
      <c r="JT241" s="16">
        <v>0</v>
      </c>
      <c r="JU241" s="16">
        <v>0</v>
      </c>
      <c r="JV241" s="16">
        <v>0</v>
      </c>
      <c r="JW241" s="16">
        <v>275</v>
      </c>
      <c r="JX241" s="16">
        <v>266</v>
      </c>
      <c r="JY241" s="16">
        <v>53</v>
      </c>
      <c r="JZ241" s="16">
        <v>5</v>
      </c>
      <c r="KA241" s="16">
        <v>37</v>
      </c>
      <c r="KB241" s="16">
        <v>0</v>
      </c>
      <c r="KC241" s="16">
        <v>25</v>
      </c>
      <c r="KD241" s="16">
        <v>1</v>
      </c>
      <c r="KE241" s="16">
        <v>0</v>
      </c>
      <c r="KF241" s="16">
        <v>9</v>
      </c>
      <c r="KG241" s="16">
        <v>22</v>
      </c>
      <c r="KH241" s="16">
        <v>17</v>
      </c>
      <c r="KI241" s="16">
        <v>636</v>
      </c>
      <c r="KJ241" s="16">
        <v>129</v>
      </c>
      <c r="KK241" s="16">
        <v>0</v>
      </c>
      <c r="KL241" s="16">
        <v>0</v>
      </c>
      <c r="KM241" s="16">
        <v>0</v>
      </c>
      <c r="KN241" s="16">
        <v>0</v>
      </c>
      <c r="KO241" s="16">
        <v>0</v>
      </c>
      <c r="KP241" s="16">
        <v>0</v>
      </c>
      <c r="KQ241" s="16">
        <v>0</v>
      </c>
      <c r="KR241" s="16">
        <v>0</v>
      </c>
      <c r="KS241" s="16">
        <v>0</v>
      </c>
      <c r="KT241" s="16">
        <v>0</v>
      </c>
      <c r="KU241" s="16">
        <v>0</v>
      </c>
      <c r="KV241" s="16">
        <v>0</v>
      </c>
      <c r="KW241" s="16">
        <v>0</v>
      </c>
      <c r="KX241" s="16">
        <v>0</v>
      </c>
      <c r="KY241" s="16">
        <v>0</v>
      </c>
      <c r="KZ241" s="16">
        <v>0</v>
      </c>
      <c r="LA241" s="16">
        <v>0</v>
      </c>
      <c r="LB241" s="16">
        <v>0</v>
      </c>
      <c r="LC241" s="16">
        <v>0</v>
      </c>
      <c r="LD241" s="16">
        <v>0</v>
      </c>
      <c r="LE241" s="16">
        <v>0</v>
      </c>
      <c r="LF241" s="16">
        <v>0</v>
      </c>
      <c r="LG241" s="16">
        <v>0</v>
      </c>
      <c r="LH241" s="16">
        <v>0</v>
      </c>
      <c r="LI241" s="16">
        <v>0</v>
      </c>
      <c r="LJ241" s="16">
        <v>0</v>
      </c>
      <c r="LK241" s="16">
        <v>0</v>
      </c>
      <c r="LL241" s="16">
        <v>0</v>
      </c>
      <c r="LM241" s="16">
        <v>0</v>
      </c>
      <c r="LN241" s="16">
        <v>0</v>
      </c>
      <c r="LO241" s="16">
        <v>0</v>
      </c>
      <c r="LP241" s="16">
        <v>0</v>
      </c>
      <c r="LQ241" s="16">
        <v>0</v>
      </c>
      <c r="LR241" s="16">
        <v>0</v>
      </c>
      <c r="LS241" s="16">
        <v>0</v>
      </c>
      <c r="LT241" s="16">
        <v>0</v>
      </c>
      <c r="LU241" s="16">
        <v>0</v>
      </c>
      <c r="LV241" s="16">
        <v>0</v>
      </c>
      <c r="LW241" s="16">
        <v>0</v>
      </c>
      <c r="LX241" s="16">
        <v>0</v>
      </c>
      <c r="LY241" s="16">
        <v>0</v>
      </c>
      <c r="LZ241" s="16">
        <v>0</v>
      </c>
      <c r="MA241" s="16">
        <v>0</v>
      </c>
      <c r="MB241" s="16">
        <v>0</v>
      </c>
      <c r="MC241" s="16">
        <v>99</v>
      </c>
      <c r="MD241" s="16">
        <v>4363</v>
      </c>
      <c r="ME241" s="16">
        <v>4</v>
      </c>
      <c r="MF241" s="16">
        <v>11258</v>
      </c>
      <c r="MG241" s="16">
        <v>0</v>
      </c>
      <c r="MH241" s="16">
        <v>0</v>
      </c>
      <c r="MI241" s="16">
        <v>1</v>
      </c>
      <c r="MJ241" s="16">
        <v>0</v>
      </c>
      <c r="MK241" s="16">
        <v>4566</v>
      </c>
      <c r="ML241" s="16">
        <v>25</v>
      </c>
      <c r="MM241" s="16">
        <v>339</v>
      </c>
      <c r="MN241" s="16">
        <v>73</v>
      </c>
      <c r="MO241" s="16">
        <v>2794</v>
      </c>
      <c r="MP241" s="16">
        <v>0</v>
      </c>
      <c r="MQ241" s="16">
        <v>5199</v>
      </c>
      <c r="MR241" s="16">
        <v>10645</v>
      </c>
      <c r="MS241" s="16">
        <v>850</v>
      </c>
      <c r="MT241" s="16">
        <v>55</v>
      </c>
      <c r="MU241" s="16">
        <v>5</v>
      </c>
      <c r="MV241" s="16">
        <v>388</v>
      </c>
      <c r="MW241" s="16">
        <v>0</v>
      </c>
      <c r="MX241" s="16">
        <v>45</v>
      </c>
      <c r="MY241" s="16">
        <v>0</v>
      </c>
      <c r="MZ241" s="16">
        <v>448</v>
      </c>
      <c r="NA241" s="16">
        <v>78</v>
      </c>
      <c r="NB241" s="16">
        <v>0</v>
      </c>
      <c r="NC241" s="16">
        <v>281</v>
      </c>
      <c r="ND241" s="16">
        <v>1</v>
      </c>
      <c r="NE241" s="16">
        <v>1</v>
      </c>
      <c r="NF241" s="16">
        <v>123</v>
      </c>
      <c r="NG241" s="16">
        <v>120</v>
      </c>
      <c r="NH241" s="16">
        <v>2</v>
      </c>
      <c r="NI241" s="16">
        <v>0</v>
      </c>
      <c r="NJ241" s="16">
        <v>65</v>
      </c>
      <c r="NK241" s="16">
        <v>75</v>
      </c>
      <c r="NL241" s="16">
        <v>17</v>
      </c>
      <c r="NM241" s="16">
        <v>3</v>
      </c>
      <c r="NN241" s="16">
        <v>0</v>
      </c>
      <c r="NO241" s="16">
        <v>0</v>
      </c>
      <c r="NP241" s="16">
        <v>0</v>
      </c>
      <c r="NQ241" s="16">
        <v>18</v>
      </c>
      <c r="NR241" s="17">
        <v>1627681</v>
      </c>
    </row>
    <row r="242" spans="1:382" ht="13.5" customHeight="1" x14ac:dyDescent="0.2">
      <c r="A242" s="2" t="s">
        <v>491</v>
      </c>
      <c r="B242" s="16">
        <v>0</v>
      </c>
      <c r="C242" s="16">
        <v>0</v>
      </c>
      <c r="D242" s="16">
        <v>0</v>
      </c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  <c r="AG242" s="16">
        <v>0</v>
      </c>
      <c r="AH242" s="16">
        <v>0</v>
      </c>
      <c r="AI242" s="16">
        <v>0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>
        <v>0</v>
      </c>
      <c r="AP242" s="16">
        <v>0</v>
      </c>
      <c r="AQ242" s="16">
        <v>0</v>
      </c>
      <c r="AR242" s="16">
        <v>0</v>
      </c>
      <c r="AS242" s="16">
        <v>0</v>
      </c>
      <c r="AT242" s="16">
        <v>0</v>
      </c>
      <c r="AU242" s="16">
        <v>0</v>
      </c>
      <c r="AV242" s="16">
        <v>0</v>
      </c>
      <c r="AW242" s="16">
        <v>0</v>
      </c>
      <c r="AX242" s="16">
        <v>0</v>
      </c>
      <c r="AY242" s="16">
        <v>0</v>
      </c>
      <c r="AZ242" s="16">
        <v>0</v>
      </c>
      <c r="BA242" s="16">
        <v>0</v>
      </c>
      <c r="BB242" s="16">
        <v>0</v>
      </c>
      <c r="BC242" s="16">
        <v>0</v>
      </c>
      <c r="BD242" s="16">
        <v>0</v>
      </c>
      <c r="BE242" s="16">
        <v>0</v>
      </c>
      <c r="BF242" s="16">
        <v>0</v>
      </c>
      <c r="BG242" s="16">
        <v>0</v>
      </c>
      <c r="BH242" s="16">
        <v>0</v>
      </c>
      <c r="BI242" s="16">
        <v>0</v>
      </c>
      <c r="BJ242" s="16">
        <v>0</v>
      </c>
      <c r="BK242" s="16">
        <v>0</v>
      </c>
      <c r="BL242" s="16">
        <v>0</v>
      </c>
      <c r="BM242" s="16">
        <v>0</v>
      </c>
      <c r="BN242" s="16">
        <v>0</v>
      </c>
      <c r="BO242" s="16">
        <v>0</v>
      </c>
      <c r="BP242" s="16">
        <v>0</v>
      </c>
      <c r="BQ242" s="16">
        <v>0</v>
      </c>
      <c r="BR242" s="16">
        <v>0</v>
      </c>
      <c r="BS242" s="16">
        <v>0</v>
      </c>
      <c r="BT242" s="16">
        <v>0</v>
      </c>
      <c r="BU242" s="16">
        <v>0</v>
      </c>
      <c r="BV242" s="16">
        <v>0</v>
      </c>
      <c r="BW242" s="16">
        <v>0</v>
      </c>
      <c r="BX242" s="16">
        <v>0</v>
      </c>
      <c r="BY242" s="16">
        <v>0</v>
      </c>
      <c r="BZ242" s="16">
        <v>0</v>
      </c>
      <c r="CA242" s="16">
        <v>0</v>
      </c>
      <c r="CB242" s="16">
        <v>0</v>
      </c>
      <c r="CC242" s="16">
        <v>0</v>
      </c>
      <c r="CD242" s="16">
        <v>0</v>
      </c>
      <c r="CE242" s="16">
        <v>0</v>
      </c>
      <c r="CF242" s="16">
        <v>0</v>
      </c>
      <c r="CG242" s="16">
        <v>0</v>
      </c>
      <c r="CH242" s="16">
        <v>0</v>
      </c>
      <c r="CI242" s="16">
        <v>0</v>
      </c>
      <c r="CJ242" s="16">
        <v>0</v>
      </c>
      <c r="CK242" s="16">
        <v>0</v>
      </c>
      <c r="CL242" s="16">
        <v>0</v>
      </c>
      <c r="CM242" s="16">
        <v>0</v>
      </c>
      <c r="CN242" s="16">
        <v>0</v>
      </c>
      <c r="CO242" s="16">
        <v>0</v>
      </c>
      <c r="CP242" s="16">
        <v>0</v>
      </c>
      <c r="CQ242" s="16">
        <v>0</v>
      </c>
      <c r="CR242" s="16">
        <v>0</v>
      </c>
      <c r="CS242" s="16">
        <v>0</v>
      </c>
      <c r="CT242" s="16">
        <v>0</v>
      </c>
      <c r="CU242" s="16">
        <v>0</v>
      </c>
      <c r="CV242" s="16">
        <v>0</v>
      </c>
      <c r="CW242" s="16">
        <v>0</v>
      </c>
      <c r="CX242" s="16">
        <v>0</v>
      </c>
      <c r="CY242" s="16">
        <v>0</v>
      </c>
      <c r="CZ242" s="16">
        <v>0</v>
      </c>
      <c r="DA242" s="16">
        <v>0</v>
      </c>
      <c r="DB242" s="16">
        <v>0</v>
      </c>
      <c r="DC242" s="16">
        <v>0</v>
      </c>
      <c r="DD242" s="16">
        <v>0</v>
      </c>
      <c r="DE242" s="16">
        <v>0</v>
      </c>
      <c r="DF242" s="16">
        <v>0</v>
      </c>
      <c r="DG242" s="16">
        <v>0</v>
      </c>
      <c r="DH242" s="16">
        <v>0</v>
      </c>
      <c r="DI242" s="16">
        <v>0</v>
      </c>
      <c r="DJ242" s="16">
        <v>0</v>
      </c>
      <c r="DK242" s="16">
        <v>0</v>
      </c>
      <c r="DL242" s="16">
        <v>0</v>
      </c>
      <c r="DM242" s="16">
        <v>0</v>
      </c>
      <c r="DN242" s="16">
        <v>0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6">
        <v>0</v>
      </c>
      <c r="DV242" s="16">
        <v>0</v>
      </c>
      <c r="DW242" s="16">
        <v>0</v>
      </c>
      <c r="DX242" s="16">
        <v>0</v>
      </c>
      <c r="DY242" s="16">
        <v>0</v>
      </c>
      <c r="DZ242" s="16">
        <v>0</v>
      </c>
      <c r="EA242" s="16">
        <v>0</v>
      </c>
      <c r="EB242" s="16">
        <v>0</v>
      </c>
      <c r="EC242" s="16">
        <v>0</v>
      </c>
      <c r="ED242" s="16">
        <v>0</v>
      </c>
      <c r="EE242" s="16">
        <v>0</v>
      </c>
      <c r="EF242" s="16">
        <v>0</v>
      </c>
      <c r="EG242" s="16">
        <v>0</v>
      </c>
      <c r="EH242" s="16">
        <v>0</v>
      </c>
      <c r="EI242" s="16">
        <v>0</v>
      </c>
      <c r="EJ242" s="16">
        <v>0</v>
      </c>
      <c r="EK242" s="16">
        <v>0</v>
      </c>
      <c r="EL242" s="16">
        <v>0</v>
      </c>
      <c r="EM242" s="16">
        <v>0</v>
      </c>
      <c r="EN242" s="16">
        <v>0</v>
      </c>
      <c r="EO242" s="16">
        <v>0</v>
      </c>
      <c r="EP242" s="16">
        <v>0</v>
      </c>
      <c r="EQ242" s="16">
        <v>0</v>
      </c>
      <c r="ER242" s="16">
        <v>0</v>
      </c>
      <c r="ES242" s="16">
        <v>0</v>
      </c>
      <c r="ET242" s="16">
        <v>0</v>
      </c>
      <c r="EU242" s="16">
        <v>0</v>
      </c>
      <c r="EV242" s="16">
        <v>0</v>
      </c>
      <c r="EW242" s="16">
        <v>0</v>
      </c>
      <c r="EX242" s="16">
        <v>0</v>
      </c>
      <c r="EY242" s="16">
        <v>0</v>
      </c>
      <c r="EZ242" s="16">
        <v>0</v>
      </c>
      <c r="FA242" s="16">
        <v>0</v>
      </c>
      <c r="FB242" s="16">
        <v>0</v>
      </c>
      <c r="FC242" s="16">
        <v>0</v>
      </c>
      <c r="FD242" s="16">
        <v>0</v>
      </c>
      <c r="FE242" s="16">
        <v>0</v>
      </c>
      <c r="FF242" s="16">
        <v>0</v>
      </c>
      <c r="FG242" s="16">
        <v>0</v>
      </c>
      <c r="FH242" s="16">
        <v>0</v>
      </c>
      <c r="FI242" s="16">
        <v>0</v>
      </c>
      <c r="FJ242" s="16">
        <v>0</v>
      </c>
      <c r="FK242" s="16">
        <v>0</v>
      </c>
      <c r="FL242" s="16">
        <v>0</v>
      </c>
      <c r="FM242" s="16">
        <v>0</v>
      </c>
      <c r="FN242" s="16">
        <v>0</v>
      </c>
      <c r="FO242" s="16">
        <v>0</v>
      </c>
      <c r="FP242" s="16">
        <v>0</v>
      </c>
      <c r="FQ242" s="16">
        <v>0</v>
      </c>
      <c r="FR242" s="16">
        <v>0</v>
      </c>
      <c r="FS242" s="16">
        <v>0</v>
      </c>
      <c r="FT242" s="16">
        <v>0</v>
      </c>
      <c r="FU242" s="16">
        <v>0</v>
      </c>
      <c r="FV242" s="16">
        <v>0</v>
      </c>
      <c r="FW242" s="16">
        <v>0</v>
      </c>
      <c r="FX242" s="16">
        <v>0</v>
      </c>
      <c r="FY242" s="16">
        <v>0</v>
      </c>
      <c r="FZ242" s="16">
        <v>0</v>
      </c>
      <c r="GA242" s="16">
        <v>0</v>
      </c>
      <c r="GB242" s="16">
        <v>0</v>
      </c>
      <c r="GC242" s="16">
        <v>0</v>
      </c>
      <c r="GD242" s="16">
        <v>0</v>
      </c>
      <c r="GE242" s="16">
        <v>0</v>
      </c>
      <c r="GF242" s="16">
        <v>0</v>
      </c>
      <c r="GG242" s="16">
        <v>0</v>
      </c>
      <c r="GH242" s="16">
        <v>0</v>
      </c>
      <c r="GI242" s="16">
        <v>0</v>
      </c>
      <c r="GJ242" s="16">
        <v>0</v>
      </c>
      <c r="GK242" s="16">
        <v>0</v>
      </c>
      <c r="GL242" s="16">
        <v>0</v>
      </c>
      <c r="GM242" s="16">
        <v>0</v>
      </c>
      <c r="GN242" s="16">
        <v>0</v>
      </c>
      <c r="GO242" s="16">
        <v>0</v>
      </c>
      <c r="GP242" s="16">
        <v>0</v>
      </c>
      <c r="GQ242" s="16">
        <v>0</v>
      </c>
      <c r="GR242" s="16">
        <v>0</v>
      </c>
      <c r="GS242" s="16">
        <v>0</v>
      </c>
      <c r="GT242" s="16">
        <v>0</v>
      </c>
      <c r="GU242" s="16">
        <v>0</v>
      </c>
      <c r="GV242" s="16">
        <v>0</v>
      </c>
      <c r="GW242" s="16">
        <v>0</v>
      </c>
      <c r="GX242" s="16">
        <v>0</v>
      </c>
      <c r="GY242" s="16">
        <v>0</v>
      </c>
      <c r="GZ242" s="16">
        <v>0</v>
      </c>
      <c r="HA242" s="16">
        <v>0</v>
      </c>
      <c r="HB242" s="16">
        <v>0</v>
      </c>
      <c r="HC242" s="16">
        <v>0</v>
      </c>
      <c r="HD242" s="16">
        <v>0</v>
      </c>
      <c r="HE242" s="16">
        <v>0</v>
      </c>
      <c r="HF242" s="16">
        <v>0</v>
      </c>
      <c r="HG242" s="16">
        <v>0</v>
      </c>
      <c r="HH242" s="16">
        <v>0</v>
      </c>
      <c r="HI242" s="16">
        <v>0</v>
      </c>
      <c r="HJ242" s="16">
        <v>0</v>
      </c>
      <c r="HK242" s="16">
        <v>0</v>
      </c>
      <c r="HL242" s="16">
        <v>0</v>
      </c>
      <c r="HM242" s="16">
        <v>0</v>
      </c>
      <c r="HN242" s="16">
        <v>0</v>
      </c>
      <c r="HO242" s="16">
        <v>0</v>
      </c>
      <c r="HP242" s="16">
        <v>0</v>
      </c>
      <c r="HQ242" s="16">
        <v>0</v>
      </c>
      <c r="HR242" s="16">
        <v>0</v>
      </c>
      <c r="HS242" s="16">
        <v>0</v>
      </c>
      <c r="HT242" s="16">
        <v>0</v>
      </c>
      <c r="HU242" s="16">
        <v>0</v>
      </c>
      <c r="HV242" s="16">
        <v>0</v>
      </c>
      <c r="HW242" s="16">
        <v>0</v>
      </c>
      <c r="HX242" s="16">
        <v>0</v>
      </c>
      <c r="HY242" s="16">
        <v>0</v>
      </c>
      <c r="HZ242" s="16">
        <v>0</v>
      </c>
      <c r="IA242" s="16">
        <v>0</v>
      </c>
      <c r="IB242" s="16">
        <v>0</v>
      </c>
      <c r="IC242" s="16">
        <v>0</v>
      </c>
      <c r="ID242" s="16">
        <v>0</v>
      </c>
      <c r="IE242" s="16">
        <v>0</v>
      </c>
      <c r="IF242" s="16">
        <v>0</v>
      </c>
      <c r="IG242" s="16">
        <v>0</v>
      </c>
      <c r="IH242" s="16">
        <v>0</v>
      </c>
      <c r="II242" s="16">
        <v>0</v>
      </c>
      <c r="IJ242" s="16">
        <v>0</v>
      </c>
      <c r="IK242" s="16">
        <v>0</v>
      </c>
      <c r="IL242" s="16">
        <v>0</v>
      </c>
      <c r="IM242" s="16">
        <v>0</v>
      </c>
      <c r="IN242" s="16">
        <v>0</v>
      </c>
      <c r="IO242" s="16">
        <v>0</v>
      </c>
      <c r="IP242" s="16">
        <v>0</v>
      </c>
      <c r="IQ242" s="16">
        <v>0</v>
      </c>
      <c r="IR242" s="16">
        <v>0</v>
      </c>
      <c r="IS242" s="16">
        <v>0</v>
      </c>
      <c r="IT242" s="16">
        <v>0</v>
      </c>
      <c r="IU242" s="16">
        <v>0</v>
      </c>
      <c r="IV242" s="16">
        <v>0</v>
      </c>
      <c r="IW242" s="16">
        <v>0</v>
      </c>
      <c r="IX242" s="16">
        <v>0</v>
      </c>
      <c r="IY242" s="16">
        <v>0</v>
      </c>
      <c r="IZ242" s="16">
        <v>0</v>
      </c>
      <c r="JA242" s="16">
        <v>0</v>
      </c>
      <c r="JB242" s="16">
        <v>0</v>
      </c>
      <c r="JC242" s="16">
        <v>0</v>
      </c>
      <c r="JD242" s="16">
        <v>0</v>
      </c>
      <c r="JE242" s="16">
        <v>0</v>
      </c>
      <c r="JF242" s="16">
        <v>0</v>
      </c>
      <c r="JG242" s="16">
        <v>0</v>
      </c>
      <c r="JH242" s="16">
        <v>0</v>
      </c>
      <c r="JI242" s="16">
        <v>0</v>
      </c>
      <c r="JJ242" s="16">
        <v>0</v>
      </c>
      <c r="JK242" s="16">
        <v>0</v>
      </c>
      <c r="JL242" s="16">
        <v>0</v>
      </c>
      <c r="JM242" s="16">
        <v>0</v>
      </c>
      <c r="JN242" s="16">
        <v>0</v>
      </c>
      <c r="JO242" s="16">
        <v>0</v>
      </c>
      <c r="JP242" s="16">
        <v>0</v>
      </c>
      <c r="JQ242" s="16">
        <v>0</v>
      </c>
      <c r="JR242" s="16">
        <v>0</v>
      </c>
      <c r="JS242" s="16">
        <v>0</v>
      </c>
      <c r="JT242" s="16">
        <v>0</v>
      </c>
      <c r="JU242" s="16">
        <v>0</v>
      </c>
      <c r="JV242" s="16">
        <v>0</v>
      </c>
      <c r="JW242" s="16">
        <v>0</v>
      </c>
      <c r="JX242" s="16">
        <v>0</v>
      </c>
      <c r="JY242" s="16">
        <v>0</v>
      </c>
      <c r="JZ242" s="16">
        <v>0</v>
      </c>
      <c r="KA242" s="16">
        <v>0</v>
      </c>
      <c r="KB242" s="16">
        <v>0</v>
      </c>
      <c r="KC242" s="16">
        <v>0</v>
      </c>
      <c r="KD242" s="16">
        <v>0</v>
      </c>
      <c r="KE242" s="16">
        <v>0</v>
      </c>
      <c r="KF242" s="16">
        <v>0</v>
      </c>
      <c r="KG242" s="16">
        <v>0</v>
      </c>
      <c r="KH242" s="16">
        <v>0</v>
      </c>
      <c r="KI242" s="16">
        <v>0</v>
      </c>
      <c r="KJ242" s="16">
        <v>0</v>
      </c>
      <c r="KK242" s="16">
        <v>0</v>
      </c>
      <c r="KL242" s="16">
        <v>0</v>
      </c>
      <c r="KM242" s="16">
        <v>0</v>
      </c>
      <c r="KN242" s="16">
        <v>0</v>
      </c>
      <c r="KO242" s="16">
        <v>0</v>
      </c>
      <c r="KP242" s="16">
        <v>0</v>
      </c>
      <c r="KQ242" s="16">
        <v>0</v>
      </c>
      <c r="KR242" s="16">
        <v>0</v>
      </c>
      <c r="KS242" s="16">
        <v>0</v>
      </c>
      <c r="KT242" s="16">
        <v>0</v>
      </c>
      <c r="KU242" s="16">
        <v>0</v>
      </c>
      <c r="KV242" s="16">
        <v>0</v>
      </c>
      <c r="KW242" s="16">
        <v>0</v>
      </c>
      <c r="KX242" s="16">
        <v>0</v>
      </c>
      <c r="KY242" s="16">
        <v>0</v>
      </c>
      <c r="KZ242" s="16">
        <v>0</v>
      </c>
      <c r="LA242" s="16">
        <v>0</v>
      </c>
      <c r="LB242" s="16">
        <v>0</v>
      </c>
      <c r="LC242" s="16">
        <v>0</v>
      </c>
      <c r="LD242" s="16">
        <v>0</v>
      </c>
      <c r="LE242" s="16">
        <v>0</v>
      </c>
      <c r="LF242" s="16">
        <v>0</v>
      </c>
      <c r="LG242" s="16">
        <v>0</v>
      </c>
      <c r="LH242" s="16">
        <v>0</v>
      </c>
      <c r="LI242" s="16">
        <v>0</v>
      </c>
      <c r="LJ242" s="16">
        <v>0</v>
      </c>
      <c r="LK242" s="16">
        <v>0</v>
      </c>
      <c r="LL242" s="16">
        <v>0</v>
      </c>
      <c r="LM242" s="16">
        <v>0</v>
      </c>
      <c r="LN242" s="16">
        <v>0</v>
      </c>
      <c r="LO242" s="16">
        <v>0</v>
      </c>
      <c r="LP242" s="16">
        <v>0</v>
      </c>
      <c r="LQ242" s="16">
        <v>0</v>
      </c>
      <c r="LR242" s="16">
        <v>0</v>
      </c>
      <c r="LS242" s="16">
        <v>0</v>
      </c>
      <c r="LT242" s="16">
        <v>0</v>
      </c>
      <c r="LU242" s="16">
        <v>0</v>
      </c>
      <c r="LV242" s="16">
        <v>0</v>
      </c>
      <c r="LW242" s="16">
        <v>0</v>
      </c>
      <c r="LX242" s="16">
        <v>0</v>
      </c>
      <c r="LY242" s="16">
        <v>0</v>
      </c>
      <c r="LZ242" s="16">
        <v>0</v>
      </c>
      <c r="MA242" s="16">
        <v>0</v>
      </c>
      <c r="MB242" s="16">
        <v>0</v>
      </c>
      <c r="MC242" s="16">
        <v>0</v>
      </c>
      <c r="MD242" s="16">
        <v>0</v>
      </c>
      <c r="ME242" s="16">
        <v>0</v>
      </c>
      <c r="MF242" s="16">
        <v>449824</v>
      </c>
      <c r="MG242" s="16">
        <v>0</v>
      </c>
      <c r="MH242" s="16">
        <v>0</v>
      </c>
      <c r="MI242" s="16">
        <v>0</v>
      </c>
      <c r="MJ242" s="16">
        <v>0</v>
      </c>
      <c r="MK242" s="16">
        <v>0</v>
      </c>
      <c r="ML242" s="16">
        <v>0</v>
      </c>
      <c r="MM242" s="16">
        <v>0</v>
      </c>
      <c r="MN242" s="16">
        <v>0</v>
      </c>
      <c r="MO242" s="16">
        <v>0</v>
      </c>
      <c r="MP242" s="16">
        <v>0</v>
      </c>
      <c r="MQ242" s="16">
        <v>0</v>
      </c>
      <c r="MR242" s="16">
        <v>0</v>
      </c>
      <c r="MS242" s="16">
        <v>0</v>
      </c>
      <c r="MT242" s="16">
        <v>0</v>
      </c>
      <c r="MU242" s="16">
        <v>0</v>
      </c>
      <c r="MV242" s="16">
        <v>0</v>
      </c>
      <c r="MW242" s="16">
        <v>0</v>
      </c>
      <c r="MX242" s="16">
        <v>0</v>
      </c>
      <c r="MY242" s="16">
        <v>0</v>
      </c>
      <c r="MZ242" s="16">
        <v>0</v>
      </c>
      <c r="NA242" s="16">
        <v>0</v>
      </c>
      <c r="NB242" s="16">
        <v>0</v>
      </c>
      <c r="NC242" s="16">
        <v>0</v>
      </c>
      <c r="ND242" s="16">
        <v>0</v>
      </c>
      <c r="NE242" s="16">
        <v>0</v>
      </c>
      <c r="NF242" s="16">
        <v>0</v>
      </c>
      <c r="NG242" s="16">
        <v>0</v>
      </c>
      <c r="NH242" s="16">
        <v>0</v>
      </c>
      <c r="NI242" s="16">
        <v>0</v>
      </c>
      <c r="NJ242" s="16">
        <v>0</v>
      </c>
      <c r="NK242" s="16">
        <v>0</v>
      </c>
      <c r="NL242" s="16">
        <v>0</v>
      </c>
      <c r="NM242" s="16">
        <v>0</v>
      </c>
      <c r="NN242" s="16">
        <v>0</v>
      </c>
      <c r="NO242" s="16">
        <v>0</v>
      </c>
      <c r="NP242" s="16">
        <v>0</v>
      </c>
      <c r="NQ242" s="16">
        <v>0</v>
      </c>
      <c r="NR242" s="17">
        <v>449824</v>
      </c>
    </row>
    <row r="243" spans="1:382" ht="13.5" customHeight="1" x14ac:dyDescent="0.2">
      <c r="A243" s="2" t="s">
        <v>493</v>
      </c>
      <c r="B243" s="16">
        <v>0</v>
      </c>
      <c r="C243" s="16">
        <v>0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6">
        <v>0</v>
      </c>
      <c r="AP243" s="16">
        <v>0</v>
      </c>
      <c r="AQ243" s="16">
        <v>0</v>
      </c>
      <c r="AR243" s="16">
        <v>0</v>
      </c>
      <c r="AS243" s="16">
        <v>0</v>
      </c>
      <c r="AT243" s="16">
        <v>0</v>
      </c>
      <c r="AU243" s="16">
        <v>0</v>
      </c>
      <c r="AV243" s="16">
        <v>0</v>
      </c>
      <c r="AW243" s="16">
        <v>0</v>
      </c>
      <c r="AX243" s="16">
        <v>0</v>
      </c>
      <c r="AY243" s="16">
        <v>0</v>
      </c>
      <c r="AZ243" s="16">
        <v>0</v>
      </c>
      <c r="BA243" s="16">
        <v>0</v>
      </c>
      <c r="BB243" s="16">
        <v>0</v>
      </c>
      <c r="BC243" s="16">
        <v>0</v>
      </c>
      <c r="BD243" s="16">
        <v>0</v>
      </c>
      <c r="BE243" s="16">
        <v>0</v>
      </c>
      <c r="BF243" s="16">
        <v>0</v>
      </c>
      <c r="BG243" s="16">
        <v>0</v>
      </c>
      <c r="BH243" s="16">
        <v>0</v>
      </c>
      <c r="BI243" s="16">
        <v>0</v>
      </c>
      <c r="BJ243" s="16">
        <v>0</v>
      </c>
      <c r="BK243" s="16">
        <v>0</v>
      </c>
      <c r="BL243" s="16">
        <v>0</v>
      </c>
      <c r="BM243" s="16">
        <v>0</v>
      </c>
      <c r="BN243" s="16">
        <v>0</v>
      </c>
      <c r="BO243" s="16">
        <v>0</v>
      </c>
      <c r="BP243" s="16">
        <v>0</v>
      </c>
      <c r="BQ243" s="16">
        <v>0</v>
      </c>
      <c r="BR243" s="16">
        <v>0</v>
      </c>
      <c r="BS243" s="16">
        <v>0</v>
      </c>
      <c r="BT243" s="16">
        <v>0</v>
      </c>
      <c r="BU243" s="16">
        <v>0</v>
      </c>
      <c r="BV243" s="16">
        <v>0</v>
      </c>
      <c r="BW243" s="16">
        <v>0</v>
      </c>
      <c r="BX243" s="16">
        <v>0</v>
      </c>
      <c r="BY243" s="16">
        <v>0</v>
      </c>
      <c r="BZ243" s="16">
        <v>0</v>
      </c>
      <c r="CA243" s="16">
        <v>0</v>
      </c>
      <c r="CB243" s="16">
        <v>0</v>
      </c>
      <c r="CC243" s="16">
        <v>0</v>
      </c>
      <c r="CD243" s="16">
        <v>0</v>
      </c>
      <c r="CE243" s="16">
        <v>0</v>
      </c>
      <c r="CF243" s="16">
        <v>0</v>
      </c>
      <c r="CG243" s="16">
        <v>0</v>
      </c>
      <c r="CH243" s="16">
        <v>0</v>
      </c>
      <c r="CI243" s="16">
        <v>0</v>
      </c>
      <c r="CJ243" s="16">
        <v>0</v>
      </c>
      <c r="CK243" s="16">
        <v>0</v>
      </c>
      <c r="CL243" s="16">
        <v>0</v>
      </c>
      <c r="CM243" s="16">
        <v>0</v>
      </c>
      <c r="CN243" s="16">
        <v>0</v>
      </c>
      <c r="CO243" s="16">
        <v>0</v>
      </c>
      <c r="CP243" s="16">
        <v>0</v>
      </c>
      <c r="CQ243" s="16">
        <v>0</v>
      </c>
      <c r="CR243" s="16">
        <v>0</v>
      </c>
      <c r="CS243" s="16">
        <v>0</v>
      </c>
      <c r="CT243" s="16">
        <v>0</v>
      </c>
      <c r="CU243" s="16">
        <v>0</v>
      </c>
      <c r="CV243" s="16">
        <v>0</v>
      </c>
      <c r="CW243" s="16">
        <v>0</v>
      </c>
      <c r="CX243" s="16">
        <v>0</v>
      </c>
      <c r="CY243" s="16">
        <v>0</v>
      </c>
      <c r="CZ243" s="16">
        <v>0</v>
      </c>
      <c r="DA243" s="16">
        <v>0</v>
      </c>
      <c r="DB243" s="16">
        <v>0</v>
      </c>
      <c r="DC243" s="16">
        <v>0</v>
      </c>
      <c r="DD243" s="16">
        <v>0</v>
      </c>
      <c r="DE243" s="16">
        <v>0</v>
      </c>
      <c r="DF243" s="16">
        <v>0</v>
      </c>
      <c r="DG243" s="16">
        <v>0</v>
      </c>
      <c r="DH243" s="16">
        <v>0</v>
      </c>
      <c r="DI243" s="16">
        <v>0</v>
      </c>
      <c r="DJ243" s="16">
        <v>0</v>
      </c>
      <c r="DK243" s="16">
        <v>0</v>
      </c>
      <c r="DL243" s="16">
        <v>0</v>
      </c>
      <c r="DM243" s="16">
        <v>0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6">
        <v>0</v>
      </c>
      <c r="DV243" s="16">
        <v>0</v>
      </c>
      <c r="DW243" s="16">
        <v>0</v>
      </c>
      <c r="DX243" s="16">
        <v>0</v>
      </c>
      <c r="DY243" s="16">
        <v>0</v>
      </c>
      <c r="DZ243" s="16">
        <v>0</v>
      </c>
      <c r="EA243" s="16">
        <v>0</v>
      </c>
      <c r="EB243" s="16">
        <v>0</v>
      </c>
      <c r="EC243" s="16">
        <v>0</v>
      </c>
      <c r="ED243" s="16">
        <v>0</v>
      </c>
      <c r="EE243" s="16">
        <v>0</v>
      </c>
      <c r="EF243" s="16">
        <v>0</v>
      </c>
      <c r="EG243" s="16">
        <v>0</v>
      </c>
      <c r="EH243" s="16">
        <v>0</v>
      </c>
      <c r="EI243" s="16">
        <v>0</v>
      </c>
      <c r="EJ243" s="16">
        <v>0</v>
      </c>
      <c r="EK243" s="16">
        <v>0</v>
      </c>
      <c r="EL243" s="16">
        <v>0</v>
      </c>
      <c r="EM243" s="16">
        <v>0</v>
      </c>
      <c r="EN243" s="16">
        <v>0</v>
      </c>
      <c r="EO243" s="16">
        <v>0</v>
      </c>
      <c r="EP243" s="16">
        <v>0</v>
      </c>
      <c r="EQ243" s="16">
        <v>0</v>
      </c>
      <c r="ER243" s="16">
        <v>0</v>
      </c>
      <c r="ES243" s="16">
        <v>0</v>
      </c>
      <c r="ET243" s="16">
        <v>0</v>
      </c>
      <c r="EU243" s="16">
        <v>0</v>
      </c>
      <c r="EV243" s="16">
        <v>0</v>
      </c>
      <c r="EW243" s="16">
        <v>0</v>
      </c>
      <c r="EX243" s="16">
        <v>0</v>
      </c>
      <c r="EY243" s="16">
        <v>0</v>
      </c>
      <c r="EZ243" s="16">
        <v>0</v>
      </c>
      <c r="FA243" s="16">
        <v>0</v>
      </c>
      <c r="FB243" s="16">
        <v>0</v>
      </c>
      <c r="FC243" s="16">
        <v>0</v>
      </c>
      <c r="FD243" s="16">
        <v>0</v>
      </c>
      <c r="FE243" s="16">
        <v>0</v>
      </c>
      <c r="FF243" s="16">
        <v>0</v>
      </c>
      <c r="FG243" s="16">
        <v>0</v>
      </c>
      <c r="FH243" s="16">
        <v>0</v>
      </c>
      <c r="FI243" s="16">
        <v>0</v>
      </c>
      <c r="FJ243" s="16">
        <v>0</v>
      </c>
      <c r="FK243" s="16">
        <v>0</v>
      </c>
      <c r="FL243" s="16">
        <v>0</v>
      </c>
      <c r="FM243" s="16">
        <v>0</v>
      </c>
      <c r="FN243" s="16">
        <v>0</v>
      </c>
      <c r="FO243" s="16">
        <v>0</v>
      </c>
      <c r="FP243" s="16">
        <v>0</v>
      </c>
      <c r="FQ243" s="16">
        <v>0</v>
      </c>
      <c r="FR243" s="16">
        <v>0</v>
      </c>
      <c r="FS243" s="16">
        <v>0</v>
      </c>
      <c r="FT243" s="16">
        <v>0</v>
      </c>
      <c r="FU243" s="16">
        <v>0</v>
      </c>
      <c r="FV243" s="16">
        <v>0</v>
      </c>
      <c r="FW243" s="16">
        <v>0</v>
      </c>
      <c r="FX243" s="16">
        <v>0</v>
      </c>
      <c r="FY243" s="16">
        <v>0</v>
      </c>
      <c r="FZ243" s="16">
        <v>0</v>
      </c>
      <c r="GA243" s="16">
        <v>0</v>
      </c>
      <c r="GB243" s="16">
        <v>0</v>
      </c>
      <c r="GC243" s="16">
        <v>0</v>
      </c>
      <c r="GD243" s="16">
        <v>0</v>
      </c>
      <c r="GE243" s="16">
        <v>0</v>
      </c>
      <c r="GF243" s="16">
        <v>0</v>
      </c>
      <c r="GG243" s="16">
        <v>0</v>
      </c>
      <c r="GH243" s="16">
        <v>0</v>
      </c>
      <c r="GI243" s="16">
        <v>0</v>
      </c>
      <c r="GJ243" s="16">
        <v>0</v>
      </c>
      <c r="GK243" s="16">
        <v>0</v>
      </c>
      <c r="GL243" s="16">
        <v>0</v>
      </c>
      <c r="GM243" s="16">
        <v>0</v>
      </c>
      <c r="GN243" s="16">
        <v>0</v>
      </c>
      <c r="GO243" s="16">
        <v>0</v>
      </c>
      <c r="GP243" s="16">
        <v>0</v>
      </c>
      <c r="GQ243" s="16">
        <v>0</v>
      </c>
      <c r="GR243" s="16">
        <v>0</v>
      </c>
      <c r="GS243" s="16">
        <v>0</v>
      </c>
      <c r="GT243" s="16">
        <v>0</v>
      </c>
      <c r="GU243" s="16">
        <v>0</v>
      </c>
      <c r="GV243" s="16">
        <v>0</v>
      </c>
      <c r="GW243" s="16">
        <v>0</v>
      </c>
      <c r="GX243" s="16">
        <v>0</v>
      </c>
      <c r="GY243" s="16">
        <v>0</v>
      </c>
      <c r="GZ243" s="16">
        <v>0</v>
      </c>
      <c r="HA243" s="16">
        <v>0</v>
      </c>
      <c r="HB243" s="16">
        <v>0</v>
      </c>
      <c r="HC243" s="16">
        <v>0</v>
      </c>
      <c r="HD243" s="16">
        <v>0</v>
      </c>
      <c r="HE243" s="16">
        <v>0</v>
      </c>
      <c r="HF243" s="16">
        <v>0</v>
      </c>
      <c r="HG243" s="16">
        <v>0</v>
      </c>
      <c r="HH243" s="16">
        <v>0</v>
      </c>
      <c r="HI243" s="16">
        <v>0</v>
      </c>
      <c r="HJ243" s="16">
        <v>0</v>
      </c>
      <c r="HK243" s="16">
        <v>0</v>
      </c>
      <c r="HL243" s="16">
        <v>0</v>
      </c>
      <c r="HM243" s="16">
        <v>0</v>
      </c>
      <c r="HN243" s="16">
        <v>0</v>
      </c>
      <c r="HO243" s="16">
        <v>0</v>
      </c>
      <c r="HP243" s="16">
        <v>0</v>
      </c>
      <c r="HQ243" s="16">
        <v>0</v>
      </c>
      <c r="HR243" s="16">
        <v>0</v>
      </c>
      <c r="HS243" s="16">
        <v>0</v>
      </c>
      <c r="HT243" s="16">
        <v>0</v>
      </c>
      <c r="HU243" s="16">
        <v>0</v>
      </c>
      <c r="HV243" s="16">
        <v>0</v>
      </c>
      <c r="HW243" s="16">
        <v>0</v>
      </c>
      <c r="HX243" s="16">
        <v>0</v>
      </c>
      <c r="HY243" s="16">
        <v>0</v>
      </c>
      <c r="HZ243" s="16">
        <v>0</v>
      </c>
      <c r="IA243" s="16">
        <v>0</v>
      </c>
      <c r="IB243" s="16">
        <v>0</v>
      </c>
      <c r="IC243" s="16">
        <v>0</v>
      </c>
      <c r="ID243" s="16">
        <v>0</v>
      </c>
      <c r="IE243" s="16">
        <v>0</v>
      </c>
      <c r="IF243" s="16">
        <v>0</v>
      </c>
      <c r="IG243" s="16">
        <v>0</v>
      </c>
      <c r="IH243" s="16">
        <v>0</v>
      </c>
      <c r="II243" s="16">
        <v>0</v>
      </c>
      <c r="IJ243" s="16">
        <v>0</v>
      </c>
      <c r="IK243" s="16">
        <v>0</v>
      </c>
      <c r="IL243" s="16">
        <v>0</v>
      </c>
      <c r="IM243" s="16">
        <v>0</v>
      </c>
      <c r="IN243" s="16">
        <v>0</v>
      </c>
      <c r="IO243" s="16">
        <v>0</v>
      </c>
      <c r="IP243" s="16">
        <v>0</v>
      </c>
      <c r="IQ243" s="16">
        <v>0</v>
      </c>
      <c r="IR243" s="16">
        <v>0</v>
      </c>
      <c r="IS243" s="16">
        <v>0</v>
      </c>
      <c r="IT243" s="16">
        <v>0</v>
      </c>
      <c r="IU243" s="16">
        <v>0</v>
      </c>
      <c r="IV243" s="16">
        <v>0</v>
      </c>
      <c r="IW243" s="16">
        <v>0</v>
      </c>
      <c r="IX243" s="16">
        <v>0</v>
      </c>
      <c r="IY243" s="16">
        <v>0</v>
      </c>
      <c r="IZ243" s="16">
        <v>0</v>
      </c>
      <c r="JA243" s="16">
        <v>0</v>
      </c>
      <c r="JB243" s="16">
        <v>0</v>
      </c>
      <c r="JC243" s="16">
        <v>0</v>
      </c>
      <c r="JD243" s="16">
        <v>0</v>
      </c>
      <c r="JE243" s="16">
        <v>0</v>
      </c>
      <c r="JF243" s="16">
        <v>0</v>
      </c>
      <c r="JG243" s="16">
        <v>0</v>
      </c>
      <c r="JH243" s="16">
        <v>0</v>
      </c>
      <c r="JI243" s="16">
        <v>0</v>
      </c>
      <c r="JJ243" s="16">
        <v>0</v>
      </c>
      <c r="JK243" s="16">
        <v>0</v>
      </c>
      <c r="JL243" s="16">
        <v>0</v>
      </c>
      <c r="JM243" s="16">
        <v>0</v>
      </c>
      <c r="JN243" s="16">
        <v>0</v>
      </c>
      <c r="JO243" s="16">
        <v>0</v>
      </c>
      <c r="JP243" s="16">
        <v>0</v>
      </c>
      <c r="JQ243" s="16">
        <v>0</v>
      </c>
      <c r="JR243" s="16">
        <v>0</v>
      </c>
      <c r="JS243" s="16">
        <v>0</v>
      </c>
      <c r="JT243" s="16">
        <v>0</v>
      </c>
      <c r="JU243" s="16">
        <v>0</v>
      </c>
      <c r="JV243" s="16">
        <v>0</v>
      </c>
      <c r="JW243" s="16">
        <v>0</v>
      </c>
      <c r="JX243" s="16">
        <v>0</v>
      </c>
      <c r="JY243" s="16">
        <v>0</v>
      </c>
      <c r="JZ243" s="16">
        <v>0</v>
      </c>
      <c r="KA243" s="16">
        <v>0</v>
      </c>
      <c r="KB243" s="16">
        <v>0</v>
      </c>
      <c r="KC243" s="16">
        <v>0</v>
      </c>
      <c r="KD243" s="16">
        <v>0</v>
      </c>
      <c r="KE243" s="16">
        <v>0</v>
      </c>
      <c r="KF243" s="16">
        <v>0</v>
      </c>
      <c r="KG243" s="16">
        <v>0</v>
      </c>
      <c r="KH243" s="16">
        <v>0</v>
      </c>
      <c r="KI243" s="16">
        <v>0</v>
      </c>
      <c r="KJ243" s="16">
        <v>0</v>
      </c>
      <c r="KK243" s="16">
        <v>0</v>
      </c>
      <c r="KL243" s="16">
        <v>0</v>
      </c>
      <c r="KM243" s="16">
        <v>0</v>
      </c>
      <c r="KN243" s="16">
        <v>0</v>
      </c>
      <c r="KO243" s="16">
        <v>0</v>
      </c>
      <c r="KP243" s="16">
        <v>0</v>
      </c>
      <c r="KQ243" s="16">
        <v>0</v>
      </c>
      <c r="KR243" s="16">
        <v>0</v>
      </c>
      <c r="KS243" s="16">
        <v>0</v>
      </c>
      <c r="KT243" s="16">
        <v>0</v>
      </c>
      <c r="KU243" s="16">
        <v>0</v>
      </c>
      <c r="KV243" s="16">
        <v>0</v>
      </c>
      <c r="KW243" s="16">
        <v>0</v>
      </c>
      <c r="KX243" s="16">
        <v>0</v>
      </c>
      <c r="KY243" s="16">
        <v>0</v>
      </c>
      <c r="KZ243" s="16">
        <v>0</v>
      </c>
      <c r="LA243" s="16">
        <v>0</v>
      </c>
      <c r="LB243" s="16">
        <v>0</v>
      </c>
      <c r="LC243" s="16">
        <v>0</v>
      </c>
      <c r="LD243" s="16">
        <v>0</v>
      </c>
      <c r="LE243" s="16">
        <v>0</v>
      </c>
      <c r="LF243" s="16">
        <v>0</v>
      </c>
      <c r="LG243" s="16">
        <v>0</v>
      </c>
      <c r="LH243" s="16">
        <v>0</v>
      </c>
      <c r="LI243" s="16">
        <v>0</v>
      </c>
      <c r="LJ243" s="16">
        <v>0</v>
      </c>
      <c r="LK243" s="16">
        <v>0</v>
      </c>
      <c r="LL243" s="16">
        <v>0</v>
      </c>
      <c r="LM243" s="16">
        <v>0</v>
      </c>
      <c r="LN243" s="16">
        <v>0</v>
      </c>
      <c r="LO243" s="16">
        <v>0</v>
      </c>
      <c r="LP243" s="16">
        <v>0</v>
      </c>
      <c r="LQ243" s="16">
        <v>0</v>
      </c>
      <c r="LR243" s="16">
        <v>0</v>
      </c>
      <c r="LS243" s="16">
        <v>0</v>
      </c>
      <c r="LT243" s="16">
        <v>0</v>
      </c>
      <c r="LU243" s="16">
        <v>0</v>
      </c>
      <c r="LV243" s="16">
        <v>0</v>
      </c>
      <c r="LW243" s="16">
        <v>0</v>
      </c>
      <c r="LX243" s="16">
        <v>0</v>
      </c>
      <c r="LY243" s="16">
        <v>0</v>
      </c>
      <c r="LZ243" s="16">
        <v>0</v>
      </c>
      <c r="MA243" s="16">
        <v>0</v>
      </c>
      <c r="MB243" s="16">
        <v>0</v>
      </c>
      <c r="MC243" s="16">
        <v>0</v>
      </c>
      <c r="MD243" s="16">
        <v>0</v>
      </c>
      <c r="ME243" s="16">
        <v>0</v>
      </c>
      <c r="MF243" s="16">
        <v>6618</v>
      </c>
      <c r="MG243" s="16">
        <v>0</v>
      </c>
      <c r="MH243" s="16">
        <v>0</v>
      </c>
      <c r="MI243" s="16">
        <v>0</v>
      </c>
      <c r="MJ243" s="16">
        <v>0</v>
      </c>
      <c r="MK243" s="16">
        <v>0</v>
      </c>
      <c r="ML243" s="16">
        <v>0</v>
      </c>
      <c r="MM243" s="16">
        <v>0</v>
      </c>
      <c r="MN243" s="16">
        <v>0</v>
      </c>
      <c r="MO243" s="16">
        <v>0</v>
      </c>
      <c r="MP243" s="16">
        <v>0</v>
      </c>
      <c r="MQ243" s="16">
        <v>0</v>
      </c>
      <c r="MR243" s="16">
        <v>0</v>
      </c>
      <c r="MS243" s="16">
        <v>0</v>
      </c>
      <c r="MT243" s="16">
        <v>0</v>
      </c>
      <c r="MU243" s="16">
        <v>0</v>
      </c>
      <c r="MV243" s="16">
        <v>0</v>
      </c>
      <c r="MW243" s="16">
        <v>0</v>
      </c>
      <c r="MX243" s="16">
        <v>0</v>
      </c>
      <c r="MY243" s="16">
        <v>0</v>
      </c>
      <c r="MZ243" s="16">
        <v>0</v>
      </c>
      <c r="NA243" s="16">
        <v>0</v>
      </c>
      <c r="NB243" s="16">
        <v>0</v>
      </c>
      <c r="NC243" s="16">
        <v>0</v>
      </c>
      <c r="ND243" s="16">
        <v>0</v>
      </c>
      <c r="NE243" s="16">
        <v>0</v>
      </c>
      <c r="NF243" s="16">
        <v>0</v>
      </c>
      <c r="NG243" s="16">
        <v>0</v>
      </c>
      <c r="NH243" s="16">
        <v>0</v>
      </c>
      <c r="NI243" s="16">
        <v>0</v>
      </c>
      <c r="NJ243" s="16">
        <v>0</v>
      </c>
      <c r="NK243" s="16">
        <v>0</v>
      </c>
      <c r="NL243" s="16">
        <v>0</v>
      </c>
      <c r="NM243" s="16">
        <v>0</v>
      </c>
      <c r="NN243" s="16">
        <v>0</v>
      </c>
      <c r="NO243" s="16">
        <v>0</v>
      </c>
      <c r="NP243" s="16">
        <v>0</v>
      </c>
      <c r="NQ243" s="16">
        <v>0</v>
      </c>
      <c r="NR243" s="17">
        <v>6618</v>
      </c>
    </row>
    <row r="244" spans="1:382" ht="13.5" customHeight="1" x14ac:dyDescent="0.2">
      <c r="A244" s="2" t="s">
        <v>495</v>
      </c>
      <c r="B244" s="16">
        <v>0</v>
      </c>
      <c r="C244" s="16">
        <v>0</v>
      </c>
      <c r="D244" s="16">
        <v>0</v>
      </c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>
        <v>0</v>
      </c>
      <c r="AU244" s="16">
        <v>0</v>
      </c>
      <c r="AV244" s="16">
        <v>0</v>
      </c>
      <c r="AW244" s="16">
        <v>0</v>
      </c>
      <c r="AX244" s="16">
        <v>0</v>
      </c>
      <c r="AY244" s="16">
        <v>0</v>
      </c>
      <c r="AZ244" s="16">
        <v>0</v>
      </c>
      <c r="BA244" s="16">
        <v>0</v>
      </c>
      <c r="BB244" s="16">
        <v>0</v>
      </c>
      <c r="BC244" s="16">
        <v>0</v>
      </c>
      <c r="BD244" s="16">
        <v>0</v>
      </c>
      <c r="BE244" s="16">
        <v>0</v>
      </c>
      <c r="BF244" s="16">
        <v>0</v>
      </c>
      <c r="BG244" s="16">
        <v>0</v>
      </c>
      <c r="BH244" s="16">
        <v>0</v>
      </c>
      <c r="BI244" s="16">
        <v>0</v>
      </c>
      <c r="BJ244" s="16">
        <v>0</v>
      </c>
      <c r="BK244" s="16">
        <v>0</v>
      </c>
      <c r="BL244" s="16">
        <v>0</v>
      </c>
      <c r="BM244" s="16">
        <v>0</v>
      </c>
      <c r="BN244" s="16">
        <v>0</v>
      </c>
      <c r="BO244" s="16">
        <v>0</v>
      </c>
      <c r="BP244" s="16">
        <v>0</v>
      </c>
      <c r="BQ244" s="16">
        <v>0</v>
      </c>
      <c r="BR244" s="16">
        <v>0</v>
      </c>
      <c r="BS244" s="16">
        <v>0</v>
      </c>
      <c r="BT244" s="16">
        <v>0</v>
      </c>
      <c r="BU244" s="16">
        <v>0</v>
      </c>
      <c r="BV244" s="16">
        <v>0</v>
      </c>
      <c r="BW244" s="16">
        <v>0</v>
      </c>
      <c r="BX244" s="16">
        <v>0</v>
      </c>
      <c r="BY244" s="16">
        <v>0</v>
      </c>
      <c r="BZ244" s="16">
        <v>0</v>
      </c>
      <c r="CA244" s="16">
        <v>0</v>
      </c>
      <c r="CB244" s="16">
        <v>0</v>
      </c>
      <c r="CC244" s="16">
        <v>0</v>
      </c>
      <c r="CD244" s="16">
        <v>0</v>
      </c>
      <c r="CE244" s="16">
        <v>0</v>
      </c>
      <c r="CF244" s="16">
        <v>0</v>
      </c>
      <c r="CG244" s="16">
        <v>0</v>
      </c>
      <c r="CH244" s="16">
        <v>0</v>
      </c>
      <c r="CI244" s="16">
        <v>0</v>
      </c>
      <c r="CJ244" s="16">
        <v>0</v>
      </c>
      <c r="CK244" s="16">
        <v>0</v>
      </c>
      <c r="CL244" s="16">
        <v>0</v>
      </c>
      <c r="CM244" s="16">
        <v>0</v>
      </c>
      <c r="CN244" s="16">
        <v>0</v>
      </c>
      <c r="CO244" s="16">
        <v>0</v>
      </c>
      <c r="CP244" s="16">
        <v>0</v>
      </c>
      <c r="CQ244" s="16">
        <v>0</v>
      </c>
      <c r="CR244" s="16">
        <v>0</v>
      </c>
      <c r="CS244" s="16">
        <v>0</v>
      </c>
      <c r="CT244" s="16">
        <v>0</v>
      </c>
      <c r="CU244" s="16">
        <v>0</v>
      </c>
      <c r="CV244" s="16">
        <v>0</v>
      </c>
      <c r="CW244" s="16">
        <v>0</v>
      </c>
      <c r="CX244" s="16">
        <v>0</v>
      </c>
      <c r="CY244" s="16">
        <v>0</v>
      </c>
      <c r="CZ244" s="16">
        <v>0</v>
      </c>
      <c r="DA244" s="16">
        <v>0</v>
      </c>
      <c r="DB244" s="16">
        <v>0</v>
      </c>
      <c r="DC244" s="16">
        <v>0</v>
      </c>
      <c r="DD244" s="16">
        <v>0</v>
      </c>
      <c r="DE244" s="16">
        <v>0</v>
      </c>
      <c r="DF244" s="16">
        <v>0</v>
      </c>
      <c r="DG244" s="16">
        <v>0</v>
      </c>
      <c r="DH244" s="16">
        <v>0</v>
      </c>
      <c r="DI244" s="16">
        <v>0</v>
      </c>
      <c r="DJ244" s="16">
        <v>0</v>
      </c>
      <c r="DK244" s="16">
        <v>0</v>
      </c>
      <c r="DL244" s="16">
        <v>0</v>
      </c>
      <c r="DM244" s="16">
        <v>0</v>
      </c>
      <c r="DN244" s="16">
        <v>0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6">
        <v>0</v>
      </c>
      <c r="DV244" s="16">
        <v>0</v>
      </c>
      <c r="DW244" s="16">
        <v>0</v>
      </c>
      <c r="DX244" s="16">
        <v>0</v>
      </c>
      <c r="DY244" s="16">
        <v>0</v>
      </c>
      <c r="DZ244" s="16">
        <v>0</v>
      </c>
      <c r="EA244" s="16">
        <v>0</v>
      </c>
      <c r="EB244" s="16">
        <v>0</v>
      </c>
      <c r="EC244" s="16">
        <v>0</v>
      </c>
      <c r="ED244" s="16">
        <v>0</v>
      </c>
      <c r="EE244" s="16">
        <v>0</v>
      </c>
      <c r="EF244" s="16">
        <v>0</v>
      </c>
      <c r="EG244" s="16">
        <v>0</v>
      </c>
      <c r="EH244" s="16">
        <v>0</v>
      </c>
      <c r="EI244" s="16">
        <v>0</v>
      </c>
      <c r="EJ244" s="16">
        <v>0</v>
      </c>
      <c r="EK244" s="16">
        <v>0</v>
      </c>
      <c r="EL244" s="16">
        <v>0</v>
      </c>
      <c r="EM244" s="16">
        <v>0</v>
      </c>
      <c r="EN244" s="16">
        <v>0</v>
      </c>
      <c r="EO244" s="16">
        <v>0</v>
      </c>
      <c r="EP244" s="16">
        <v>0</v>
      </c>
      <c r="EQ244" s="16">
        <v>0</v>
      </c>
      <c r="ER244" s="16">
        <v>0</v>
      </c>
      <c r="ES244" s="16">
        <v>0</v>
      </c>
      <c r="ET244" s="16">
        <v>0</v>
      </c>
      <c r="EU244" s="16">
        <v>0</v>
      </c>
      <c r="EV244" s="16">
        <v>0</v>
      </c>
      <c r="EW244" s="16">
        <v>0</v>
      </c>
      <c r="EX244" s="16">
        <v>0</v>
      </c>
      <c r="EY244" s="16">
        <v>0</v>
      </c>
      <c r="EZ244" s="16">
        <v>0</v>
      </c>
      <c r="FA244" s="16">
        <v>0</v>
      </c>
      <c r="FB244" s="16">
        <v>0</v>
      </c>
      <c r="FC244" s="16">
        <v>0</v>
      </c>
      <c r="FD244" s="16">
        <v>0</v>
      </c>
      <c r="FE244" s="16">
        <v>0</v>
      </c>
      <c r="FF244" s="16">
        <v>0</v>
      </c>
      <c r="FG244" s="16">
        <v>0</v>
      </c>
      <c r="FH244" s="16">
        <v>0</v>
      </c>
      <c r="FI244" s="16">
        <v>0</v>
      </c>
      <c r="FJ244" s="16">
        <v>0</v>
      </c>
      <c r="FK244" s="16">
        <v>0</v>
      </c>
      <c r="FL244" s="16">
        <v>0</v>
      </c>
      <c r="FM244" s="16">
        <v>0</v>
      </c>
      <c r="FN244" s="16">
        <v>0</v>
      </c>
      <c r="FO244" s="16">
        <v>0</v>
      </c>
      <c r="FP244" s="16">
        <v>0</v>
      </c>
      <c r="FQ244" s="16">
        <v>0</v>
      </c>
      <c r="FR244" s="16">
        <v>0</v>
      </c>
      <c r="FS244" s="16">
        <v>0</v>
      </c>
      <c r="FT244" s="16">
        <v>0</v>
      </c>
      <c r="FU244" s="16">
        <v>0</v>
      </c>
      <c r="FV244" s="16">
        <v>0</v>
      </c>
      <c r="FW244" s="16">
        <v>0</v>
      </c>
      <c r="FX244" s="16">
        <v>0</v>
      </c>
      <c r="FY244" s="16">
        <v>0</v>
      </c>
      <c r="FZ244" s="16">
        <v>0</v>
      </c>
      <c r="GA244" s="16">
        <v>0</v>
      </c>
      <c r="GB244" s="16">
        <v>0</v>
      </c>
      <c r="GC244" s="16">
        <v>0</v>
      </c>
      <c r="GD244" s="16">
        <v>0</v>
      </c>
      <c r="GE244" s="16">
        <v>0</v>
      </c>
      <c r="GF244" s="16">
        <v>0</v>
      </c>
      <c r="GG244" s="16">
        <v>0</v>
      </c>
      <c r="GH244" s="16">
        <v>0</v>
      </c>
      <c r="GI244" s="16">
        <v>0</v>
      </c>
      <c r="GJ244" s="16">
        <v>0</v>
      </c>
      <c r="GK244" s="16">
        <v>0</v>
      </c>
      <c r="GL244" s="16">
        <v>0</v>
      </c>
      <c r="GM244" s="16">
        <v>0</v>
      </c>
      <c r="GN244" s="16">
        <v>0</v>
      </c>
      <c r="GO244" s="16">
        <v>0</v>
      </c>
      <c r="GP244" s="16">
        <v>0</v>
      </c>
      <c r="GQ244" s="16">
        <v>0</v>
      </c>
      <c r="GR244" s="16">
        <v>0</v>
      </c>
      <c r="GS244" s="16">
        <v>0</v>
      </c>
      <c r="GT244" s="16">
        <v>0</v>
      </c>
      <c r="GU244" s="16">
        <v>0</v>
      </c>
      <c r="GV244" s="16">
        <v>0</v>
      </c>
      <c r="GW244" s="16">
        <v>0</v>
      </c>
      <c r="GX244" s="16">
        <v>0</v>
      </c>
      <c r="GY244" s="16">
        <v>0</v>
      </c>
      <c r="GZ244" s="16">
        <v>0</v>
      </c>
      <c r="HA244" s="16">
        <v>0</v>
      </c>
      <c r="HB244" s="16">
        <v>0</v>
      </c>
      <c r="HC244" s="16">
        <v>0</v>
      </c>
      <c r="HD244" s="16">
        <v>0</v>
      </c>
      <c r="HE244" s="16">
        <v>0</v>
      </c>
      <c r="HF244" s="16">
        <v>0</v>
      </c>
      <c r="HG244" s="16">
        <v>0</v>
      </c>
      <c r="HH244" s="16">
        <v>0</v>
      </c>
      <c r="HI244" s="16">
        <v>0</v>
      </c>
      <c r="HJ244" s="16">
        <v>0</v>
      </c>
      <c r="HK244" s="16">
        <v>0</v>
      </c>
      <c r="HL244" s="16">
        <v>0</v>
      </c>
      <c r="HM244" s="16">
        <v>0</v>
      </c>
      <c r="HN244" s="16">
        <v>0</v>
      </c>
      <c r="HO244" s="16">
        <v>0</v>
      </c>
      <c r="HP244" s="16">
        <v>0</v>
      </c>
      <c r="HQ244" s="16">
        <v>0</v>
      </c>
      <c r="HR244" s="16">
        <v>0</v>
      </c>
      <c r="HS244" s="16">
        <v>0</v>
      </c>
      <c r="HT244" s="16">
        <v>0</v>
      </c>
      <c r="HU244" s="16">
        <v>0</v>
      </c>
      <c r="HV244" s="16">
        <v>0</v>
      </c>
      <c r="HW244" s="16">
        <v>0</v>
      </c>
      <c r="HX244" s="16">
        <v>0</v>
      </c>
      <c r="HY244" s="16">
        <v>0</v>
      </c>
      <c r="HZ244" s="16">
        <v>0</v>
      </c>
      <c r="IA244" s="16">
        <v>0</v>
      </c>
      <c r="IB244" s="16">
        <v>0</v>
      </c>
      <c r="IC244" s="16">
        <v>0</v>
      </c>
      <c r="ID244" s="16">
        <v>0</v>
      </c>
      <c r="IE244" s="16">
        <v>0</v>
      </c>
      <c r="IF244" s="16">
        <v>0</v>
      </c>
      <c r="IG244" s="16">
        <v>0</v>
      </c>
      <c r="IH244" s="16">
        <v>0</v>
      </c>
      <c r="II244" s="16">
        <v>0</v>
      </c>
      <c r="IJ244" s="16">
        <v>0</v>
      </c>
      <c r="IK244" s="16">
        <v>0</v>
      </c>
      <c r="IL244" s="16">
        <v>0</v>
      </c>
      <c r="IM244" s="16">
        <v>0</v>
      </c>
      <c r="IN244" s="16">
        <v>0</v>
      </c>
      <c r="IO244" s="16">
        <v>0</v>
      </c>
      <c r="IP244" s="16">
        <v>0</v>
      </c>
      <c r="IQ244" s="16">
        <v>0</v>
      </c>
      <c r="IR244" s="16">
        <v>0</v>
      </c>
      <c r="IS244" s="16">
        <v>0</v>
      </c>
      <c r="IT244" s="16">
        <v>0</v>
      </c>
      <c r="IU244" s="16">
        <v>0</v>
      </c>
      <c r="IV244" s="16">
        <v>0</v>
      </c>
      <c r="IW244" s="16">
        <v>0</v>
      </c>
      <c r="IX244" s="16">
        <v>0</v>
      </c>
      <c r="IY244" s="16">
        <v>0</v>
      </c>
      <c r="IZ244" s="16">
        <v>0</v>
      </c>
      <c r="JA244" s="16">
        <v>0</v>
      </c>
      <c r="JB244" s="16">
        <v>0</v>
      </c>
      <c r="JC244" s="16">
        <v>0</v>
      </c>
      <c r="JD244" s="16">
        <v>0</v>
      </c>
      <c r="JE244" s="16">
        <v>0</v>
      </c>
      <c r="JF244" s="16">
        <v>0</v>
      </c>
      <c r="JG244" s="16">
        <v>0</v>
      </c>
      <c r="JH244" s="16">
        <v>0</v>
      </c>
      <c r="JI244" s="16">
        <v>0</v>
      </c>
      <c r="JJ244" s="16">
        <v>0</v>
      </c>
      <c r="JK244" s="16">
        <v>0</v>
      </c>
      <c r="JL244" s="16">
        <v>0</v>
      </c>
      <c r="JM244" s="16">
        <v>0</v>
      </c>
      <c r="JN244" s="16">
        <v>0</v>
      </c>
      <c r="JO244" s="16">
        <v>0</v>
      </c>
      <c r="JP244" s="16">
        <v>0</v>
      </c>
      <c r="JQ244" s="16">
        <v>0</v>
      </c>
      <c r="JR244" s="16">
        <v>0</v>
      </c>
      <c r="JS244" s="16">
        <v>0</v>
      </c>
      <c r="JT244" s="16">
        <v>0</v>
      </c>
      <c r="JU244" s="16">
        <v>0</v>
      </c>
      <c r="JV244" s="16">
        <v>0</v>
      </c>
      <c r="JW244" s="16">
        <v>0</v>
      </c>
      <c r="JX244" s="16">
        <v>0</v>
      </c>
      <c r="JY244" s="16">
        <v>0</v>
      </c>
      <c r="JZ244" s="16">
        <v>0</v>
      </c>
      <c r="KA244" s="16">
        <v>0</v>
      </c>
      <c r="KB244" s="16">
        <v>0</v>
      </c>
      <c r="KC244" s="16">
        <v>0</v>
      </c>
      <c r="KD244" s="16">
        <v>0</v>
      </c>
      <c r="KE244" s="16">
        <v>0</v>
      </c>
      <c r="KF244" s="16">
        <v>0</v>
      </c>
      <c r="KG244" s="16">
        <v>0</v>
      </c>
      <c r="KH244" s="16">
        <v>0</v>
      </c>
      <c r="KI244" s="16">
        <v>0</v>
      </c>
      <c r="KJ244" s="16">
        <v>0</v>
      </c>
      <c r="KK244" s="16">
        <v>0</v>
      </c>
      <c r="KL244" s="16">
        <v>0</v>
      </c>
      <c r="KM244" s="16">
        <v>0</v>
      </c>
      <c r="KN244" s="16">
        <v>0</v>
      </c>
      <c r="KO244" s="16">
        <v>0</v>
      </c>
      <c r="KP244" s="16">
        <v>0</v>
      </c>
      <c r="KQ244" s="16">
        <v>0</v>
      </c>
      <c r="KR244" s="16">
        <v>0</v>
      </c>
      <c r="KS244" s="16">
        <v>0</v>
      </c>
      <c r="KT244" s="16">
        <v>0</v>
      </c>
      <c r="KU244" s="16">
        <v>0</v>
      </c>
      <c r="KV244" s="16">
        <v>0</v>
      </c>
      <c r="KW244" s="16">
        <v>0</v>
      </c>
      <c r="KX244" s="16">
        <v>0</v>
      </c>
      <c r="KY244" s="16">
        <v>0</v>
      </c>
      <c r="KZ244" s="16">
        <v>0</v>
      </c>
      <c r="LA244" s="16">
        <v>0</v>
      </c>
      <c r="LB244" s="16">
        <v>0</v>
      </c>
      <c r="LC244" s="16">
        <v>0</v>
      </c>
      <c r="LD244" s="16">
        <v>0</v>
      </c>
      <c r="LE244" s="16">
        <v>0</v>
      </c>
      <c r="LF244" s="16">
        <v>0</v>
      </c>
      <c r="LG244" s="16">
        <v>0</v>
      </c>
      <c r="LH244" s="16">
        <v>0</v>
      </c>
      <c r="LI244" s="16">
        <v>0</v>
      </c>
      <c r="LJ244" s="16">
        <v>0</v>
      </c>
      <c r="LK244" s="16">
        <v>0</v>
      </c>
      <c r="LL244" s="16">
        <v>0</v>
      </c>
      <c r="LM244" s="16">
        <v>0</v>
      </c>
      <c r="LN244" s="16">
        <v>0</v>
      </c>
      <c r="LO244" s="16">
        <v>0</v>
      </c>
      <c r="LP244" s="16">
        <v>0</v>
      </c>
      <c r="LQ244" s="16">
        <v>0</v>
      </c>
      <c r="LR244" s="16">
        <v>0</v>
      </c>
      <c r="LS244" s="16">
        <v>0</v>
      </c>
      <c r="LT244" s="16">
        <v>0</v>
      </c>
      <c r="LU244" s="16">
        <v>0</v>
      </c>
      <c r="LV244" s="16">
        <v>0</v>
      </c>
      <c r="LW244" s="16">
        <v>0</v>
      </c>
      <c r="LX244" s="16">
        <v>0</v>
      </c>
      <c r="LY244" s="16">
        <v>0</v>
      </c>
      <c r="LZ244" s="16">
        <v>0</v>
      </c>
      <c r="MA244" s="16">
        <v>0</v>
      </c>
      <c r="MB244" s="16">
        <v>0</v>
      </c>
      <c r="MC244" s="16">
        <v>0</v>
      </c>
      <c r="MD244" s="16">
        <v>0</v>
      </c>
      <c r="ME244" s="16">
        <v>0</v>
      </c>
      <c r="MF244" s="16">
        <v>584281</v>
      </c>
      <c r="MG244" s="16">
        <v>0</v>
      </c>
      <c r="MH244" s="16">
        <v>0</v>
      </c>
      <c r="MI244" s="16">
        <v>0</v>
      </c>
      <c r="MJ244" s="16">
        <v>0</v>
      </c>
      <c r="MK244" s="16">
        <v>0</v>
      </c>
      <c r="ML244" s="16">
        <v>0</v>
      </c>
      <c r="MM244" s="16">
        <v>0</v>
      </c>
      <c r="MN244" s="16">
        <v>0</v>
      </c>
      <c r="MO244" s="16">
        <v>0</v>
      </c>
      <c r="MP244" s="16">
        <v>0</v>
      </c>
      <c r="MQ244" s="16">
        <v>0</v>
      </c>
      <c r="MR244" s="16">
        <v>0</v>
      </c>
      <c r="MS244" s="16">
        <v>0</v>
      </c>
      <c r="MT244" s="16">
        <v>0</v>
      </c>
      <c r="MU244" s="16">
        <v>0</v>
      </c>
      <c r="MV244" s="16">
        <v>0</v>
      </c>
      <c r="MW244" s="16">
        <v>0</v>
      </c>
      <c r="MX244" s="16">
        <v>0</v>
      </c>
      <c r="MY244" s="16">
        <v>0</v>
      </c>
      <c r="MZ244" s="16">
        <v>0</v>
      </c>
      <c r="NA244" s="16">
        <v>0</v>
      </c>
      <c r="NB244" s="16">
        <v>0</v>
      </c>
      <c r="NC244" s="16">
        <v>0</v>
      </c>
      <c r="ND244" s="16">
        <v>0</v>
      </c>
      <c r="NE244" s="16">
        <v>0</v>
      </c>
      <c r="NF244" s="16">
        <v>0</v>
      </c>
      <c r="NG244" s="16">
        <v>0</v>
      </c>
      <c r="NH244" s="16">
        <v>0</v>
      </c>
      <c r="NI244" s="16">
        <v>0</v>
      </c>
      <c r="NJ244" s="16">
        <v>0</v>
      </c>
      <c r="NK244" s="16">
        <v>0</v>
      </c>
      <c r="NL244" s="16">
        <v>0</v>
      </c>
      <c r="NM244" s="16">
        <v>0</v>
      </c>
      <c r="NN244" s="16">
        <v>0</v>
      </c>
      <c r="NO244" s="16">
        <v>0</v>
      </c>
      <c r="NP244" s="16">
        <v>0</v>
      </c>
      <c r="NQ244" s="16">
        <v>0</v>
      </c>
      <c r="NR244" s="17">
        <v>584281</v>
      </c>
    </row>
    <row r="245" spans="1:382" ht="13.5" customHeight="1" x14ac:dyDescent="0.2">
      <c r="A245" s="2" t="s">
        <v>497</v>
      </c>
      <c r="B245" s="16">
        <v>0</v>
      </c>
      <c r="C245" s="16">
        <v>0</v>
      </c>
      <c r="D245" s="16">
        <v>0</v>
      </c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  <c r="AR245" s="16">
        <v>0</v>
      </c>
      <c r="AS245" s="16">
        <v>0</v>
      </c>
      <c r="AT245" s="16">
        <v>0</v>
      </c>
      <c r="AU245" s="16">
        <v>0</v>
      </c>
      <c r="AV245" s="16">
        <v>0</v>
      </c>
      <c r="AW245" s="16">
        <v>0</v>
      </c>
      <c r="AX245" s="16">
        <v>0</v>
      </c>
      <c r="AY245" s="16">
        <v>0</v>
      </c>
      <c r="AZ245" s="16">
        <v>0</v>
      </c>
      <c r="BA245" s="16">
        <v>0</v>
      </c>
      <c r="BB245" s="16">
        <v>0</v>
      </c>
      <c r="BC245" s="16">
        <v>0</v>
      </c>
      <c r="BD245" s="16">
        <v>0</v>
      </c>
      <c r="BE245" s="16">
        <v>0</v>
      </c>
      <c r="BF245" s="16">
        <v>0</v>
      </c>
      <c r="BG245" s="16">
        <v>0</v>
      </c>
      <c r="BH245" s="16">
        <v>0</v>
      </c>
      <c r="BI245" s="16">
        <v>0</v>
      </c>
      <c r="BJ245" s="16">
        <v>0</v>
      </c>
      <c r="BK245" s="16">
        <v>0</v>
      </c>
      <c r="BL245" s="16">
        <v>0</v>
      </c>
      <c r="BM245" s="16">
        <v>0</v>
      </c>
      <c r="BN245" s="16">
        <v>0</v>
      </c>
      <c r="BO245" s="16">
        <v>0</v>
      </c>
      <c r="BP245" s="16">
        <v>0</v>
      </c>
      <c r="BQ245" s="16">
        <v>0</v>
      </c>
      <c r="BR245" s="16">
        <v>0</v>
      </c>
      <c r="BS245" s="16">
        <v>0</v>
      </c>
      <c r="BT245" s="16">
        <v>0</v>
      </c>
      <c r="BU245" s="16">
        <v>0</v>
      </c>
      <c r="BV245" s="16">
        <v>0</v>
      </c>
      <c r="BW245" s="16">
        <v>0</v>
      </c>
      <c r="BX245" s="16">
        <v>0</v>
      </c>
      <c r="BY245" s="16">
        <v>0</v>
      </c>
      <c r="BZ245" s="16">
        <v>0</v>
      </c>
      <c r="CA245" s="16">
        <v>0</v>
      </c>
      <c r="CB245" s="16">
        <v>0</v>
      </c>
      <c r="CC245" s="16">
        <v>0</v>
      </c>
      <c r="CD245" s="16">
        <v>0</v>
      </c>
      <c r="CE245" s="16">
        <v>0</v>
      </c>
      <c r="CF245" s="16">
        <v>0</v>
      </c>
      <c r="CG245" s="16">
        <v>0</v>
      </c>
      <c r="CH245" s="16">
        <v>0</v>
      </c>
      <c r="CI245" s="16">
        <v>0</v>
      </c>
      <c r="CJ245" s="16">
        <v>0</v>
      </c>
      <c r="CK245" s="16">
        <v>0</v>
      </c>
      <c r="CL245" s="16">
        <v>0</v>
      </c>
      <c r="CM245" s="16">
        <v>0</v>
      </c>
      <c r="CN245" s="16">
        <v>0</v>
      </c>
      <c r="CO245" s="16">
        <v>0</v>
      </c>
      <c r="CP245" s="16">
        <v>0</v>
      </c>
      <c r="CQ245" s="16">
        <v>0</v>
      </c>
      <c r="CR245" s="16">
        <v>0</v>
      </c>
      <c r="CS245" s="16">
        <v>0</v>
      </c>
      <c r="CT245" s="16">
        <v>0</v>
      </c>
      <c r="CU245" s="16">
        <v>0</v>
      </c>
      <c r="CV245" s="16">
        <v>0</v>
      </c>
      <c r="CW245" s="16">
        <v>0</v>
      </c>
      <c r="CX245" s="16">
        <v>0</v>
      </c>
      <c r="CY245" s="16">
        <v>0</v>
      </c>
      <c r="CZ245" s="16">
        <v>0</v>
      </c>
      <c r="DA245" s="16">
        <v>0</v>
      </c>
      <c r="DB245" s="16">
        <v>0</v>
      </c>
      <c r="DC245" s="16">
        <v>0</v>
      </c>
      <c r="DD245" s="16">
        <v>0</v>
      </c>
      <c r="DE245" s="16">
        <v>0</v>
      </c>
      <c r="DF245" s="16">
        <v>0</v>
      </c>
      <c r="DG245" s="16">
        <v>0</v>
      </c>
      <c r="DH245" s="16">
        <v>0</v>
      </c>
      <c r="DI245" s="16">
        <v>0</v>
      </c>
      <c r="DJ245" s="16">
        <v>0</v>
      </c>
      <c r="DK245" s="16">
        <v>0</v>
      </c>
      <c r="DL245" s="16">
        <v>0</v>
      </c>
      <c r="DM245" s="16">
        <v>0</v>
      </c>
      <c r="DN245" s="16">
        <v>0</v>
      </c>
      <c r="DO245" s="16">
        <v>0</v>
      </c>
      <c r="DP245" s="16">
        <v>0</v>
      </c>
      <c r="DQ245" s="16">
        <v>0</v>
      </c>
      <c r="DR245" s="16">
        <v>0</v>
      </c>
      <c r="DS245" s="16">
        <v>0</v>
      </c>
      <c r="DT245" s="16">
        <v>0</v>
      </c>
      <c r="DU245" s="16">
        <v>0</v>
      </c>
      <c r="DV245" s="16">
        <v>0</v>
      </c>
      <c r="DW245" s="16">
        <v>0</v>
      </c>
      <c r="DX245" s="16">
        <v>0</v>
      </c>
      <c r="DY245" s="16">
        <v>0</v>
      </c>
      <c r="DZ245" s="16">
        <v>0</v>
      </c>
      <c r="EA245" s="16">
        <v>0</v>
      </c>
      <c r="EB245" s="16">
        <v>0</v>
      </c>
      <c r="EC245" s="16">
        <v>0</v>
      </c>
      <c r="ED245" s="16">
        <v>0</v>
      </c>
      <c r="EE245" s="16">
        <v>0</v>
      </c>
      <c r="EF245" s="16">
        <v>0</v>
      </c>
      <c r="EG245" s="16">
        <v>0</v>
      </c>
      <c r="EH245" s="16">
        <v>0</v>
      </c>
      <c r="EI245" s="16">
        <v>0</v>
      </c>
      <c r="EJ245" s="16">
        <v>0</v>
      </c>
      <c r="EK245" s="16">
        <v>0</v>
      </c>
      <c r="EL245" s="16">
        <v>0</v>
      </c>
      <c r="EM245" s="16">
        <v>0</v>
      </c>
      <c r="EN245" s="16">
        <v>0</v>
      </c>
      <c r="EO245" s="16">
        <v>0</v>
      </c>
      <c r="EP245" s="16">
        <v>0</v>
      </c>
      <c r="EQ245" s="16">
        <v>0</v>
      </c>
      <c r="ER245" s="16">
        <v>0</v>
      </c>
      <c r="ES245" s="16">
        <v>0</v>
      </c>
      <c r="ET245" s="16">
        <v>0</v>
      </c>
      <c r="EU245" s="16">
        <v>0</v>
      </c>
      <c r="EV245" s="16">
        <v>0</v>
      </c>
      <c r="EW245" s="16">
        <v>0</v>
      </c>
      <c r="EX245" s="16">
        <v>0</v>
      </c>
      <c r="EY245" s="16">
        <v>0</v>
      </c>
      <c r="EZ245" s="16">
        <v>0</v>
      </c>
      <c r="FA245" s="16">
        <v>0</v>
      </c>
      <c r="FB245" s="16">
        <v>0</v>
      </c>
      <c r="FC245" s="16">
        <v>0</v>
      </c>
      <c r="FD245" s="16">
        <v>0</v>
      </c>
      <c r="FE245" s="16">
        <v>0</v>
      </c>
      <c r="FF245" s="16">
        <v>0</v>
      </c>
      <c r="FG245" s="16">
        <v>0</v>
      </c>
      <c r="FH245" s="16">
        <v>0</v>
      </c>
      <c r="FI245" s="16">
        <v>0</v>
      </c>
      <c r="FJ245" s="16">
        <v>0</v>
      </c>
      <c r="FK245" s="16">
        <v>0</v>
      </c>
      <c r="FL245" s="16">
        <v>0</v>
      </c>
      <c r="FM245" s="16">
        <v>0</v>
      </c>
      <c r="FN245" s="16">
        <v>0</v>
      </c>
      <c r="FO245" s="16">
        <v>0</v>
      </c>
      <c r="FP245" s="16">
        <v>0</v>
      </c>
      <c r="FQ245" s="16">
        <v>0</v>
      </c>
      <c r="FR245" s="16">
        <v>0</v>
      </c>
      <c r="FS245" s="16">
        <v>0</v>
      </c>
      <c r="FT245" s="16">
        <v>0</v>
      </c>
      <c r="FU245" s="16">
        <v>0</v>
      </c>
      <c r="FV245" s="16">
        <v>0</v>
      </c>
      <c r="FW245" s="16">
        <v>0</v>
      </c>
      <c r="FX245" s="16">
        <v>0</v>
      </c>
      <c r="FY245" s="16">
        <v>0</v>
      </c>
      <c r="FZ245" s="16">
        <v>0</v>
      </c>
      <c r="GA245" s="16">
        <v>0</v>
      </c>
      <c r="GB245" s="16">
        <v>0</v>
      </c>
      <c r="GC245" s="16">
        <v>0</v>
      </c>
      <c r="GD245" s="16">
        <v>0</v>
      </c>
      <c r="GE245" s="16">
        <v>0</v>
      </c>
      <c r="GF245" s="16">
        <v>0</v>
      </c>
      <c r="GG245" s="16">
        <v>0</v>
      </c>
      <c r="GH245" s="16">
        <v>0</v>
      </c>
      <c r="GI245" s="16">
        <v>0</v>
      </c>
      <c r="GJ245" s="16">
        <v>0</v>
      </c>
      <c r="GK245" s="16">
        <v>0</v>
      </c>
      <c r="GL245" s="16">
        <v>0</v>
      </c>
      <c r="GM245" s="16">
        <v>0</v>
      </c>
      <c r="GN245" s="16">
        <v>0</v>
      </c>
      <c r="GO245" s="16">
        <v>0</v>
      </c>
      <c r="GP245" s="16">
        <v>0</v>
      </c>
      <c r="GQ245" s="16">
        <v>0</v>
      </c>
      <c r="GR245" s="16">
        <v>0</v>
      </c>
      <c r="GS245" s="16">
        <v>0</v>
      </c>
      <c r="GT245" s="16">
        <v>0</v>
      </c>
      <c r="GU245" s="16">
        <v>0</v>
      </c>
      <c r="GV245" s="16">
        <v>0</v>
      </c>
      <c r="GW245" s="16">
        <v>0</v>
      </c>
      <c r="GX245" s="16">
        <v>0</v>
      </c>
      <c r="GY245" s="16">
        <v>0</v>
      </c>
      <c r="GZ245" s="16">
        <v>0</v>
      </c>
      <c r="HA245" s="16">
        <v>0</v>
      </c>
      <c r="HB245" s="16">
        <v>0</v>
      </c>
      <c r="HC245" s="16">
        <v>0</v>
      </c>
      <c r="HD245" s="16">
        <v>0</v>
      </c>
      <c r="HE245" s="16">
        <v>0</v>
      </c>
      <c r="HF245" s="16">
        <v>0</v>
      </c>
      <c r="HG245" s="16">
        <v>0</v>
      </c>
      <c r="HH245" s="16">
        <v>0</v>
      </c>
      <c r="HI245" s="16">
        <v>0</v>
      </c>
      <c r="HJ245" s="16">
        <v>0</v>
      </c>
      <c r="HK245" s="16">
        <v>0</v>
      </c>
      <c r="HL245" s="16">
        <v>0</v>
      </c>
      <c r="HM245" s="16">
        <v>0</v>
      </c>
      <c r="HN245" s="16">
        <v>0</v>
      </c>
      <c r="HO245" s="16">
        <v>0</v>
      </c>
      <c r="HP245" s="16">
        <v>0</v>
      </c>
      <c r="HQ245" s="16">
        <v>0</v>
      </c>
      <c r="HR245" s="16">
        <v>0</v>
      </c>
      <c r="HS245" s="16">
        <v>0</v>
      </c>
      <c r="HT245" s="16">
        <v>0</v>
      </c>
      <c r="HU245" s="16">
        <v>0</v>
      </c>
      <c r="HV245" s="16">
        <v>0</v>
      </c>
      <c r="HW245" s="16">
        <v>0</v>
      </c>
      <c r="HX245" s="16">
        <v>0</v>
      </c>
      <c r="HY245" s="16">
        <v>0</v>
      </c>
      <c r="HZ245" s="16">
        <v>0</v>
      </c>
      <c r="IA245" s="16">
        <v>0</v>
      </c>
      <c r="IB245" s="16">
        <v>0</v>
      </c>
      <c r="IC245" s="16">
        <v>0</v>
      </c>
      <c r="ID245" s="16">
        <v>0</v>
      </c>
      <c r="IE245" s="16">
        <v>0</v>
      </c>
      <c r="IF245" s="16">
        <v>0</v>
      </c>
      <c r="IG245" s="16">
        <v>0</v>
      </c>
      <c r="IH245" s="16">
        <v>0</v>
      </c>
      <c r="II245" s="16">
        <v>0</v>
      </c>
      <c r="IJ245" s="16">
        <v>0</v>
      </c>
      <c r="IK245" s="16">
        <v>0</v>
      </c>
      <c r="IL245" s="16">
        <v>404044</v>
      </c>
      <c r="IM245" s="16">
        <v>0</v>
      </c>
      <c r="IN245" s="16">
        <v>0</v>
      </c>
      <c r="IO245" s="16">
        <v>0</v>
      </c>
      <c r="IP245" s="16">
        <v>0</v>
      </c>
      <c r="IQ245" s="16">
        <v>0</v>
      </c>
      <c r="IR245" s="16">
        <v>0</v>
      </c>
      <c r="IS245" s="16">
        <v>0</v>
      </c>
      <c r="IT245" s="16">
        <v>0</v>
      </c>
      <c r="IU245" s="16">
        <v>0</v>
      </c>
      <c r="IV245" s="16">
        <v>0</v>
      </c>
      <c r="IW245" s="16">
        <v>0</v>
      </c>
      <c r="IX245" s="16">
        <v>0</v>
      </c>
      <c r="IY245" s="16">
        <v>0</v>
      </c>
      <c r="IZ245" s="16">
        <v>0</v>
      </c>
      <c r="JA245" s="16">
        <v>0</v>
      </c>
      <c r="JB245" s="16">
        <v>0</v>
      </c>
      <c r="JC245" s="16">
        <v>0</v>
      </c>
      <c r="JD245" s="16">
        <v>0</v>
      </c>
      <c r="JE245" s="16">
        <v>0</v>
      </c>
      <c r="JF245" s="16">
        <v>0</v>
      </c>
      <c r="JG245" s="16">
        <v>0</v>
      </c>
      <c r="JH245" s="16">
        <v>0</v>
      </c>
      <c r="JI245" s="16">
        <v>0</v>
      </c>
      <c r="JJ245" s="16">
        <v>0</v>
      </c>
      <c r="JK245" s="16">
        <v>0</v>
      </c>
      <c r="JL245" s="16">
        <v>0</v>
      </c>
      <c r="JM245" s="16">
        <v>0</v>
      </c>
      <c r="JN245" s="16">
        <v>0</v>
      </c>
      <c r="JO245" s="16">
        <v>0</v>
      </c>
      <c r="JP245" s="16">
        <v>0</v>
      </c>
      <c r="JQ245" s="16">
        <v>0</v>
      </c>
      <c r="JR245" s="16">
        <v>0</v>
      </c>
      <c r="JS245" s="16">
        <v>0</v>
      </c>
      <c r="JT245" s="16">
        <v>0</v>
      </c>
      <c r="JU245" s="16">
        <v>0</v>
      </c>
      <c r="JV245" s="16">
        <v>0</v>
      </c>
      <c r="JW245" s="16">
        <v>0</v>
      </c>
      <c r="JX245" s="16">
        <v>0</v>
      </c>
      <c r="JY245" s="16">
        <v>0</v>
      </c>
      <c r="JZ245" s="16">
        <v>0</v>
      </c>
      <c r="KA245" s="16">
        <v>0</v>
      </c>
      <c r="KB245" s="16">
        <v>0</v>
      </c>
      <c r="KC245" s="16">
        <v>0</v>
      </c>
      <c r="KD245" s="16">
        <v>0</v>
      </c>
      <c r="KE245" s="16">
        <v>0</v>
      </c>
      <c r="KF245" s="16">
        <v>0</v>
      </c>
      <c r="KG245" s="16">
        <v>0</v>
      </c>
      <c r="KH245" s="16">
        <v>0</v>
      </c>
      <c r="KI245" s="16">
        <v>0</v>
      </c>
      <c r="KJ245" s="16">
        <v>0</v>
      </c>
      <c r="KK245" s="16">
        <v>0</v>
      </c>
      <c r="KL245" s="16">
        <v>0</v>
      </c>
      <c r="KM245" s="16">
        <v>0</v>
      </c>
      <c r="KN245" s="16">
        <v>0</v>
      </c>
      <c r="KO245" s="16">
        <v>0</v>
      </c>
      <c r="KP245" s="16">
        <v>0</v>
      </c>
      <c r="KQ245" s="16">
        <v>0</v>
      </c>
      <c r="KR245" s="16">
        <v>0</v>
      </c>
      <c r="KS245" s="16">
        <v>0</v>
      </c>
      <c r="KT245" s="16">
        <v>0</v>
      </c>
      <c r="KU245" s="16">
        <v>0</v>
      </c>
      <c r="KV245" s="16">
        <v>0</v>
      </c>
      <c r="KW245" s="16">
        <v>0</v>
      </c>
      <c r="KX245" s="16">
        <v>0</v>
      </c>
      <c r="KY245" s="16">
        <v>0</v>
      </c>
      <c r="KZ245" s="16">
        <v>0</v>
      </c>
      <c r="LA245" s="16">
        <v>0</v>
      </c>
      <c r="LB245" s="16">
        <v>0</v>
      </c>
      <c r="LC245" s="16">
        <v>0</v>
      </c>
      <c r="LD245" s="16">
        <v>0</v>
      </c>
      <c r="LE245" s="16">
        <v>0</v>
      </c>
      <c r="LF245" s="16">
        <v>0</v>
      </c>
      <c r="LG245" s="16">
        <v>0</v>
      </c>
      <c r="LH245" s="16">
        <v>0</v>
      </c>
      <c r="LI245" s="16">
        <v>0</v>
      </c>
      <c r="LJ245" s="16">
        <v>0</v>
      </c>
      <c r="LK245" s="16">
        <v>0</v>
      </c>
      <c r="LL245" s="16">
        <v>0</v>
      </c>
      <c r="LM245" s="16">
        <v>0</v>
      </c>
      <c r="LN245" s="16">
        <v>0</v>
      </c>
      <c r="LO245" s="16">
        <v>0</v>
      </c>
      <c r="LP245" s="16">
        <v>0</v>
      </c>
      <c r="LQ245" s="16">
        <v>0</v>
      </c>
      <c r="LR245" s="16">
        <v>0</v>
      </c>
      <c r="LS245" s="16">
        <v>0</v>
      </c>
      <c r="LT245" s="16">
        <v>0</v>
      </c>
      <c r="LU245" s="16">
        <v>0</v>
      </c>
      <c r="LV245" s="16">
        <v>0</v>
      </c>
      <c r="LW245" s="16">
        <v>0</v>
      </c>
      <c r="LX245" s="16">
        <v>0</v>
      </c>
      <c r="LY245" s="16">
        <v>0</v>
      </c>
      <c r="LZ245" s="16">
        <v>0</v>
      </c>
      <c r="MA245" s="16">
        <v>0</v>
      </c>
      <c r="MB245" s="16">
        <v>0</v>
      </c>
      <c r="MC245" s="16">
        <v>0</v>
      </c>
      <c r="MD245" s="16">
        <v>0</v>
      </c>
      <c r="ME245" s="16">
        <v>0</v>
      </c>
      <c r="MF245" s="16">
        <v>442032</v>
      </c>
      <c r="MG245" s="16">
        <v>0</v>
      </c>
      <c r="MH245" s="16">
        <v>0</v>
      </c>
      <c r="MI245" s="16">
        <v>0</v>
      </c>
      <c r="MJ245" s="16">
        <v>0</v>
      </c>
      <c r="MK245" s="16">
        <v>0</v>
      </c>
      <c r="ML245" s="16">
        <v>0</v>
      </c>
      <c r="MM245" s="16">
        <v>0</v>
      </c>
      <c r="MN245" s="16">
        <v>0</v>
      </c>
      <c r="MO245" s="16">
        <v>0</v>
      </c>
      <c r="MP245" s="16">
        <v>0</v>
      </c>
      <c r="MQ245" s="16">
        <v>0</v>
      </c>
      <c r="MR245" s="16">
        <v>0</v>
      </c>
      <c r="MS245" s="16">
        <v>0</v>
      </c>
      <c r="MT245" s="16">
        <v>0</v>
      </c>
      <c r="MU245" s="16">
        <v>0</v>
      </c>
      <c r="MV245" s="16">
        <v>0</v>
      </c>
      <c r="MW245" s="16">
        <v>0</v>
      </c>
      <c r="MX245" s="16">
        <v>0</v>
      </c>
      <c r="MY245" s="16">
        <v>0</v>
      </c>
      <c r="MZ245" s="16">
        <v>0</v>
      </c>
      <c r="NA245" s="16">
        <v>0</v>
      </c>
      <c r="NB245" s="16">
        <v>0</v>
      </c>
      <c r="NC245" s="16">
        <v>0</v>
      </c>
      <c r="ND245" s="16">
        <v>0</v>
      </c>
      <c r="NE245" s="16">
        <v>0</v>
      </c>
      <c r="NF245" s="16">
        <v>0</v>
      </c>
      <c r="NG245" s="16">
        <v>0</v>
      </c>
      <c r="NH245" s="16">
        <v>0</v>
      </c>
      <c r="NI245" s="16">
        <v>0</v>
      </c>
      <c r="NJ245" s="16">
        <v>0</v>
      </c>
      <c r="NK245" s="16">
        <v>0</v>
      </c>
      <c r="NL245" s="16">
        <v>0</v>
      </c>
      <c r="NM245" s="16">
        <v>0</v>
      </c>
      <c r="NN245" s="16">
        <v>0</v>
      </c>
      <c r="NO245" s="16">
        <v>0</v>
      </c>
      <c r="NP245" s="16">
        <v>0</v>
      </c>
      <c r="NQ245" s="16">
        <v>0</v>
      </c>
      <c r="NR245" s="17">
        <v>846076</v>
      </c>
    </row>
    <row r="246" spans="1:382" ht="13.5" customHeight="1" x14ac:dyDescent="0.2">
      <c r="A246" s="2" t="s">
        <v>499</v>
      </c>
      <c r="B246" s="16">
        <v>0</v>
      </c>
      <c r="C246" s="16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0</v>
      </c>
      <c r="BE246" s="16">
        <v>0</v>
      </c>
      <c r="BF246" s="16">
        <v>0</v>
      </c>
      <c r="BG246" s="16">
        <v>0</v>
      </c>
      <c r="BH246" s="16">
        <v>0</v>
      </c>
      <c r="BI246" s="16">
        <v>0</v>
      </c>
      <c r="BJ246" s="16">
        <v>0</v>
      </c>
      <c r="BK246" s="16">
        <v>0</v>
      </c>
      <c r="BL246" s="16">
        <v>0</v>
      </c>
      <c r="BM246" s="16">
        <v>0</v>
      </c>
      <c r="BN246" s="16">
        <v>0</v>
      </c>
      <c r="BO246" s="16">
        <v>0</v>
      </c>
      <c r="BP246" s="16">
        <v>0</v>
      </c>
      <c r="BQ246" s="16">
        <v>0</v>
      </c>
      <c r="BR246" s="16">
        <v>0</v>
      </c>
      <c r="BS246" s="16">
        <v>0</v>
      </c>
      <c r="BT246" s="16">
        <v>0</v>
      </c>
      <c r="BU246" s="16">
        <v>0</v>
      </c>
      <c r="BV246" s="16">
        <v>0</v>
      </c>
      <c r="BW246" s="16">
        <v>0</v>
      </c>
      <c r="BX246" s="16">
        <v>0</v>
      </c>
      <c r="BY246" s="16">
        <v>0</v>
      </c>
      <c r="BZ246" s="16">
        <v>0</v>
      </c>
      <c r="CA246" s="16">
        <v>0</v>
      </c>
      <c r="CB246" s="16">
        <v>0</v>
      </c>
      <c r="CC246" s="16">
        <v>0</v>
      </c>
      <c r="CD246" s="16">
        <v>0</v>
      </c>
      <c r="CE246" s="16">
        <v>0</v>
      </c>
      <c r="CF246" s="16">
        <v>0</v>
      </c>
      <c r="CG246" s="16">
        <v>0</v>
      </c>
      <c r="CH246" s="16">
        <v>0</v>
      </c>
      <c r="CI246" s="16">
        <v>0</v>
      </c>
      <c r="CJ246" s="16">
        <v>0</v>
      </c>
      <c r="CK246" s="16">
        <v>0</v>
      </c>
      <c r="CL246" s="16">
        <v>0</v>
      </c>
      <c r="CM246" s="16">
        <v>0</v>
      </c>
      <c r="CN246" s="16">
        <v>0</v>
      </c>
      <c r="CO246" s="16">
        <v>0</v>
      </c>
      <c r="CP246" s="16">
        <v>0</v>
      </c>
      <c r="CQ246" s="16">
        <v>0</v>
      </c>
      <c r="CR246" s="16">
        <v>0</v>
      </c>
      <c r="CS246" s="16">
        <v>0</v>
      </c>
      <c r="CT246" s="16">
        <v>0</v>
      </c>
      <c r="CU246" s="16">
        <v>0</v>
      </c>
      <c r="CV246" s="16">
        <v>0</v>
      </c>
      <c r="CW246" s="16">
        <v>0</v>
      </c>
      <c r="CX246" s="16">
        <v>0</v>
      </c>
      <c r="CY246" s="16">
        <v>0</v>
      </c>
      <c r="CZ246" s="16">
        <v>0</v>
      </c>
      <c r="DA246" s="16">
        <v>0</v>
      </c>
      <c r="DB246" s="16">
        <v>0</v>
      </c>
      <c r="DC246" s="16">
        <v>0</v>
      </c>
      <c r="DD246" s="16">
        <v>0</v>
      </c>
      <c r="DE246" s="16">
        <v>0</v>
      </c>
      <c r="DF246" s="16">
        <v>0</v>
      </c>
      <c r="DG246" s="16">
        <v>0</v>
      </c>
      <c r="DH246" s="16">
        <v>0</v>
      </c>
      <c r="DI246" s="16">
        <v>0</v>
      </c>
      <c r="DJ246" s="16">
        <v>0</v>
      </c>
      <c r="DK246" s="16">
        <v>0</v>
      </c>
      <c r="DL246" s="16">
        <v>0</v>
      </c>
      <c r="DM246" s="16">
        <v>0</v>
      </c>
      <c r="DN246" s="16">
        <v>0</v>
      </c>
      <c r="DO246" s="16">
        <v>0</v>
      </c>
      <c r="DP246" s="16">
        <v>0</v>
      </c>
      <c r="DQ246" s="16">
        <v>0</v>
      </c>
      <c r="DR246" s="16">
        <v>0</v>
      </c>
      <c r="DS246" s="16">
        <v>0</v>
      </c>
      <c r="DT246" s="16">
        <v>0</v>
      </c>
      <c r="DU246" s="16">
        <v>0</v>
      </c>
      <c r="DV246" s="16">
        <v>0</v>
      </c>
      <c r="DW246" s="16">
        <v>0</v>
      </c>
      <c r="DX246" s="16">
        <v>0</v>
      </c>
      <c r="DY246" s="16">
        <v>0</v>
      </c>
      <c r="DZ246" s="16">
        <v>0</v>
      </c>
      <c r="EA246" s="16">
        <v>0</v>
      </c>
      <c r="EB246" s="16">
        <v>0</v>
      </c>
      <c r="EC246" s="16">
        <v>0</v>
      </c>
      <c r="ED246" s="16">
        <v>0</v>
      </c>
      <c r="EE246" s="16">
        <v>0</v>
      </c>
      <c r="EF246" s="16">
        <v>0</v>
      </c>
      <c r="EG246" s="16">
        <v>0</v>
      </c>
      <c r="EH246" s="16">
        <v>0</v>
      </c>
      <c r="EI246" s="16">
        <v>0</v>
      </c>
      <c r="EJ246" s="16">
        <v>0</v>
      </c>
      <c r="EK246" s="16">
        <v>0</v>
      </c>
      <c r="EL246" s="16">
        <v>0</v>
      </c>
      <c r="EM246" s="16">
        <v>0</v>
      </c>
      <c r="EN246" s="16">
        <v>0</v>
      </c>
      <c r="EO246" s="16">
        <v>0</v>
      </c>
      <c r="EP246" s="16">
        <v>0</v>
      </c>
      <c r="EQ246" s="16">
        <v>0</v>
      </c>
      <c r="ER246" s="16">
        <v>0</v>
      </c>
      <c r="ES246" s="16">
        <v>0</v>
      </c>
      <c r="ET246" s="16">
        <v>0</v>
      </c>
      <c r="EU246" s="16">
        <v>0</v>
      </c>
      <c r="EV246" s="16">
        <v>0</v>
      </c>
      <c r="EW246" s="16">
        <v>0</v>
      </c>
      <c r="EX246" s="16">
        <v>0</v>
      </c>
      <c r="EY246" s="16">
        <v>0</v>
      </c>
      <c r="EZ246" s="16">
        <v>0</v>
      </c>
      <c r="FA246" s="16">
        <v>0</v>
      </c>
      <c r="FB246" s="16">
        <v>0</v>
      </c>
      <c r="FC246" s="16">
        <v>0</v>
      </c>
      <c r="FD246" s="16">
        <v>0</v>
      </c>
      <c r="FE246" s="16">
        <v>0</v>
      </c>
      <c r="FF246" s="16">
        <v>0</v>
      </c>
      <c r="FG246" s="16">
        <v>0</v>
      </c>
      <c r="FH246" s="16">
        <v>0</v>
      </c>
      <c r="FI246" s="16">
        <v>0</v>
      </c>
      <c r="FJ246" s="16">
        <v>0</v>
      </c>
      <c r="FK246" s="16">
        <v>0</v>
      </c>
      <c r="FL246" s="16">
        <v>0</v>
      </c>
      <c r="FM246" s="16">
        <v>0</v>
      </c>
      <c r="FN246" s="16">
        <v>0</v>
      </c>
      <c r="FO246" s="16">
        <v>0</v>
      </c>
      <c r="FP246" s="16">
        <v>0</v>
      </c>
      <c r="FQ246" s="16">
        <v>0</v>
      </c>
      <c r="FR246" s="16">
        <v>0</v>
      </c>
      <c r="FS246" s="16">
        <v>0</v>
      </c>
      <c r="FT246" s="16">
        <v>0</v>
      </c>
      <c r="FU246" s="16">
        <v>0</v>
      </c>
      <c r="FV246" s="16">
        <v>0</v>
      </c>
      <c r="FW246" s="16">
        <v>0</v>
      </c>
      <c r="FX246" s="16">
        <v>0</v>
      </c>
      <c r="FY246" s="16">
        <v>0</v>
      </c>
      <c r="FZ246" s="16">
        <v>0</v>
      </c>
      <c r="GA246" s="16">
        <v>0</v>
      </c>
      <c r="GB246" s="16">
        <v>0</v>
      </c>
      <c r="GC246" s="16">
        <v>0</v>
      </c>
      <c r="GD246" s="16">
        <v>0</v>
      </c>
      <c r="GE246" s="16">
        <v>0</v>
      </c>
      <c r="GF246" s="16">
        <v>0</v>
      </c>
      <c r="GG246" s="16">
        <v>0</v>
      </c>
      <c r="GH246" s="16">
        <v>0</v>
      </c>
      <c r="GI246" s="16">
        <v>0</v>
      </c>
      <c r="GJ246" s="16">
        <v>0</v>
      </c>
      <c r="GK246" s="16">
        <v>0</v>
      </c>
      <c r="GL246" s="16">
        <v>0</v>
      </c>
      <c r="GM246" s="16">
        <v>0</v>
      </c>
      <c r="GN246" s="16">
        <v>0</v>
      </c>
      <c r="GO246" s="16">
        <v>0</v>
      </c>
      <c r="GP246" s="16">
        <v>0</v>
      </c>
      <c r="GQ246" s="16">
        <v>0</v>
      </c>
      <c r="GR246" s="16">
        <v>0</v>
      </c>
      <c r="GS246" s="16">
        <v>0</v>
      </c>
      <c r="GT246" s="16">
        <v>0</v>
      </c>
      <c r="GU246" s="16">
        <v>0</v>
      </c>
      <c r="GV246" s="16">
        <v>0</v>
      </c>
      <c r="GW246" s="16">
        <v>0</v>
      </c>
      <c r="GX246" s="16">
        <v>0</v>
      </c>
      <c r="GY246" s="16">
        <v>0</v>
      </c>
      <c r="GZ246" s="16">
        <v>0</v>
      </c>
      <c r="HA246" s="16">
        <v>0</v>
      </c>
      <c r="HB246" s="16">
        <v>0</v>
      </c>
      <c r="HC246" s="16">
        <v>0</v>
      </c>
      <c r="HD246" s="16">
        <v>0</v>
      </c>
      <c r="HE246" s="16">
        <v>0</v>
      </c>
      <c r="HF246" s="16">
        <v>0</v>
      </c>
      <c r="HG246" s="16">
        <v>0</v>
      </c>
      <c r="HH246" s="16">
        <v>0</v>
      </c>
      <c r="HI246" s="16">
        <v>0</v>
      </c>
      <c r="HJ246" s="16">
        <v>0</v>
      </c>
      <c r="HK246" s="16">
        <v>0</v>
      </c>
      <c r="HL246" s="16">
        <v>0</v>
      </c>
      <c r="HM246" s="16">
        <v>0</v>
      </c>
      <c r="HN246" s="16">
        <v>0</v>
      </c>
      <c r="HO246" s="16">
        <v>0</v>
      </c>
      <c r="HP246" s="16">
        <v>0</v>
      </c>
      <c r="HQ246" s="16">
        <v>0</v>
      </c>
      <c r="HR246" s="16">
        <v>0</v>
      </c>
      <c r="HS246" s="16">
        <v>0</v>
      </c>
      <c r="HT246" s="16">
        <v>0</v>
      </c>
      <c r="HU246" s="16">
        <v>0</v>
      </c>
      <c r="HV246" s="16">
        <v>0</v>
      </c>
      <c r="HW246" s="16">
        <v>0</v>
      </c>
      <c r="HX246" s="16">
        <v>0</v>
      </c>
      <c r="HY246" s="16">
        <v>0</v>
      </c>
      <c r="HZ246" s="16">
        <v>0</v>
      </c>
      <c r="IA246" s="16">
        <v>0</v>
      </c>
      <c r="IB246" s="16">
        <v>0</v>
      </c>
      <c r="IC246" s="16">
        <v>0</v>
      </c>
      <c r="ID246" s="16">
        <v>0</v>
      </c>
      <c r="IE246" s="16">
        <v>0</v>
      </c>
      <c r="IF246" s="16">
        <v>0</v>
      </c>
      <c r="IG246" s="16">
        <v>0</v>
      </c>
      <c r="IH246" s="16">
        <v>0</v>
      </c>
      <c r="II246" s="16">
        <v>0</v>
      </c>
      <c r="IJ246" s="16">
        <v>0</v>
      </c>
      <c r="IK246" s="16">
        <v>0</v>
      </c>
      <c r="IL246" s="16">
        <v>0</v>
      </c>
      <c r="IM246" s="16">
        <v>0</v>
      </c>
      <c r="IN246" s="16">
        <v>0</v>
      </c>
      <c r="IO246" s="16">
        <v>0</v>
      </c>
      <c r="IP246" s="16">
        <v>0</v>
      </c>
      <c r="IQ246" s="16">
        <v>0</v>
      </c>
      <c r="IR246" s="16">
        <v>0</v>
      </c>
      <c r="IS246" s="16">
        <v>0</v>
      </c>
      <c r="IT246" s="16">
        <v>0</v>
      </c>
      <c r="IU246" s="16">
        <v>0</v>
      </c>
      <c r="IV246" s="16">
        <v>0</v>
      </c>
      <c r="IW246" s="16">
        <v>0</v>
      </c>
      <c r="IX246" s="16">
        <v>0</v>
      </c>
      <c r="IY246" s="16">
        <v>0</v>
      </c>
      <c r="IZ246" s="16">
        <v>0</v>
      </c>
      <c r="JA246" s="16">
        <v>0</v>
      </c>
      <c r="JB246" s="16">
        <v>0</v>
      </c>
      <c r="JC246" s="16">
        <v>0</v>
      </c>
      <c r="JD246" s="16">
        <v>0</v>
      </c>
      <c r="JE246" s="16">
        <v>0</v>
      </c>
      <c r="JF246" s="16">
        <v>0</v>
      </c>
      <c r="JG246" s="16">
        <v>0</v>
      </c>
      <c r="JH246" s="16">
        <v>0</v>
      </c>
      <c r="JI246" s="16">
        <v>0</v>
      </c>
      <c r="JJ246" s="16">
        <v>0</v>
      </c>
      <c r="JK246" s="16">
        <v>0</v>
      </c>
      <c r="JL246" s="16">
        <v>0</v>
      </c>
      <c r="JM246" s="16">
        <v>0</v>
      </c>
      <c r="JN246" s="16">
        <v>0</v>
      </c>
      <c r="JO246" s="16">
        <v>0</v>
      </c>
      <c r="JP246" s="16">
        <v>0</v>
      </c>
      <c r="JQ246" s="16">
        <v>0</v>
      </c>
      <c r="JR246" s="16">
        <v>0</v>
      </c>
      <c r="JS246" s="16">
        <v>0</v>
      </c>
      <c r="JT246" s="16">
        <v>0</v>
      </c>
      <c r="JU246" s="16">
        <v>0</v>
      </c>
      <c r="JV246" s="16">
        <v>0</v>
      </c>
      <c r="JW246" s="16">
        <v>0</v>
      </c>
      <c r="JX246" s="16">
        <v>0</v>
      </c>
      <c r="JY246" s="16">
        <v>0</v>
      </c>
      <c r="JZ246" s="16">
        <v>0</v>
      </c>
      <c r="KA246" s="16">
        <v>0</v>
      </c>
      <c r="KB246" s="16">
        <v>0</v>
      </c>
      <c r="KC246" s="16">
        <v>0</v>
      </c>
      <c r="KD246" s="16">
        <v>0</v>
      </c>
      <c r="KE246" s="16">
        <v>0</v>
      </c>
      <c r="KF246" s="16">
        <v>0</v>
      </c>
      <c r="KG246" s="16">
        <v>0</v>
      </c>
      <c r="KH246" s="16">
        <v>0</v>
      </c>
      <c r="KI246" s="16">
        <v>0</v>
      </c>
      <c r="KJ246" s="16">
        <v>0</v>
      </c>
      <c r="KK246" s="16">
        <v>0</v>
      </c>
      <c r="KL246" s="16">
        <v>0</v>
      </c>
      <c r="KM246" s="16">
        <v>0</v>
      </c>
      <c r="KN246" s="16">
        <v>0</v>
      </c>
      <c r="KO246" s="16">
        <v>0</v>
      </c>
      <c r="KP246" s="16">
        <v>0</v>
      </c>
      <c r="KQ246" s="16">
        <v>0</v>
      </c>
      <c r="KR246" s="16">
        <v>0</v>
      </c>
      <c r="KS246" s="16">
        <v>0</v>
      </c>
      <c r="KT246" s="16">
        <v>0</v>
      </c>
      <c r="KU246" s="16">
        <v>0</v>
      </c>
      <c r="KV246" s="16">
        <v>0</v>
      </c>
      <c r="KW246" s="16">
        <v>0</v>
      </c>
      <c r="KX246" s="16">
        <v>0</v>
      </c>
      <c r="KY246" s="16">
        <v>0</v>
      </c>
      <c r="KZ246" s="16">
        <v>0</v>
      </c>
      <c r="LA246" s="16">
        <v>0</v>
      </c>
      <c r="LB246" s="16">
        <v>0</v>
      </c>
      <c r="LC246" s="16">
        <v>0</v>
      </c>
      <c r="LD246" s="16">
        <v>0</v>
      </c>
      <c r="LE246" s="16">
        <v>0</v>
      </c>
      <c r="LF246" s="16">
        <v>0</v>
      </c>
      <c r="LG246" s="16">
        <v>0</v>
      </c>
      <c r="LH246" s="16">
        <v>0</v>
      </c>
      <c r="LI246" s="16">
        <v>0</v>
      </c>
      <c r="LJ246" s="16">
        <v>0</v>
      </c>
      <c r="LK246" s="16">
        <v>0</v>
      </c>
      <c r="LL246" s="16">
        <v>0</v>
      </c>
      <c r="LM246" s="16">
        <v>0</v>
      </c>
      <c r="LN246" s="16">
        <v>0</v>
      </c>
      <c r="LO246" s="16">
        <v>0</v>
      </c>
      <c r="LP246" s="16">
        <v>0</v>
      </c>
      <c r="LQ246" s="16">
        <v>0</v>
      </c>
      <c r="LR246" s="16">
        <v>0</v>
      </c>
      <c r="LS246" s="16">
        <v>0</v>
      </c>
      <c r="LT246" s="16">
        <v>0</v>
      </c>
      <c r="LU246" s="16">
        <v>0</v>
      </c>
      <c r="LV246" s="16">
        <v>0</v>
      </c>
      <c r="LW246" s="16">
        <v>0</v>
      </c>
      <c r="LX246" s="16">
        <v>0</v>
      </c>
      <c r="LY246" s="16">
        <v>0</v>
      </c>
      <c r="LZ246" s="16">
        <v>0</v>
      </c>
      <c r="MA246" s="16">
        <v>0</v>
      </c>
      <c r="MB246" s="16">
        <v>0</v>
      </c>
      <c r="MC246" s="16">
        <v>0</v>
      </c>
      <c r="MD246" s="16">
        <v>0</v>
      </c>
      <c r="ME246" s="16">
        <v>0</v>
      </c>
      <c r="MF246" s="16">
        <v>0</v>
      </c>
      <c r="MG246" s="16">
        <v>0</v>
      </c>
      <c r="MH246" s="16">
        <v>0</v>
      </c>
      <c r="MI246" s="16">
        <v>0</v>
      </c>
      <c r="MJ246" s="16">
        <v>0</v>
      </c>
      <c r="MK246" s="16">
        <v>0</v>
      </c>
      <c r="ML246" s="16">
        <v>0</v>
      </c>
      <c r="MM246" s="16">
        <v>0</v>
      </c>
      <c r="MN246" s="16">
        <v>0</v>
      </c>
      <c r="MO246" s="16">
        <v>0</v>
      </c>
      <c r="MP246" s="16">
        <v>0</v>
      </c>
      <c r="MQ246" s="16">
        <v>0</v>
      </c>
      <c r="MR246" s="16">
        <v>0</v>
      </c>
      <c r="MS246" s="16">
        <v>0</v>
      </c>
      <c r="MT246" s="16">
        <v>0</v>
      </c>
      <c r="MU246" s="16">
        <v>0</v>
      </c>
      <c r="MV246" s="16">
        <v>0</v>
      </c>
      <c r="MW246" s="16">
        <v>0</v>
      </c>
      <c r="MX246" s="16">
        <v>0</v>
      </c>
      <c r="MY246" s="16">
        <v>0</v>
      </c>
      <c r="MZ246" s="16">
        <v>0</v>
      </c>
      <c r="NA246" s="16">
        <v>0</v>
      </c>
      <c r="NB246" s="16">
        <v>0</v>
      </c>
      <c r="NC246" s="16">
        <v>0</v>
      </c>
      <c r="ND246" s="16">
        <v>0</v>
      </c>
      <c r="NE246" s="16">
        <v>0</v>
      </c>
      <c r="NF246" s="16">
        <v>0</v>
      </c>
      <c r="NG246" s="16">
        <v>0</v>
      </c>
      <c r="NH246" s="16">
        <v>0</v>
      </c>
      <c r="NI246" s="16">
        <v>0</v>
      </c>
      <c r="NJ246" s="16">
        <v>0</v>
      </c>
      <c r="NK246" s="16">
        <v>0</v>
      </c>
      <c r="NL246" s="16">
        <v>0</v>
      </c>
      <c r="NM246" s="16">
        <v>0</v>
      </c>
      <c r="NN246" s="16">
        <v>0</v>
      </c>
      <c r="NO246" s="16">
        <v>0</v>
      </c>
      <c r="NP246" s="16">
        <v>0</v>
      </c>
      <c r="NQ246" s="16">
        <v>0</v>
      </c>
      <c r="NR246" s="17">
        <v>0</v>
      </c>
    </row>
    <row r="247" spans="1:382" ht="13.5" customHeight="1" x14ac:dyDescent="0.2">
      <c r="A247" s="2" t="s">
        <v>501</v>
      </c>
      <c r="B247" s="16">
        <v>0</v>
      </c>
      <c r="C247" s="16">
        <v>0</v>
      </c>
      <c r="D247" s="16">
        <v>0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16">
        <v>0</v>
      </c>
      <c r="BF247" s="16">
        <v>0</v>
      </c>
      <c r="BG247" s="16">
        <v>0</v>
      </c>
      <c r="BH247" s="16">
        <v>0</v>
      </c>
      <c r="BI247" s="16">
        <v>0</v>
      </c>
      <c r="BJ247" s="16">
        <v>0</v>
      </c>
      <c r="BK247" s="16">
        <v>0</v>
      </c>
      <c r="BL247" s="16">
        <v>0</v>
      </c>
      <c r="BM247" s="16">
        <v>0</v>
      </c>
      <c r="BN247" s="16">
        <v>0</v>
      </c>
      <c r="BO247" s="16">
        <v>0</v>
      </c>
      <c r="BP247" s="16">
        <v>0</v>
      </c>
      <c r="BQ247" s="16">
        <v>0</v>
      </c>
      <c r="BR247" s="16">
        <v>0</v>
      </c>
      <c r="BS247" s="16">
        <v>0</v>
      </c>
      <c r="BT247" s="16">
        <v>0</v>
      </c>
      <c r="BU247" s="16">
        <v>0</v>
      </c>
      <c r="BV247" s="16">
        <v>0</v>
      </c>
      <c r="BW247" s="16">
        <v>0</v>
      </c>
      <c r="BX247" s="16">
        <v>0</v>
      </c>
      <c r="BY247" s="16">
        <v>0</v>
      </c>
      <c r="BZ247" s="16">
        <v>0</v>
      </c>
      <c r="CA247" s="16">
        <v>0</v>
      </c>
      <c r="CB247" s="16">
        <v>0</v>
      </c>
      <c r="CC247" s="16">
        <v>0</v>
      </c>
      <c r="CD247" s="16">
        <v>0</v>
      </c>
      <c r="CE247" s="16">
        <v>0</v>
      </c>
      <c r="CF247" s="16">
        <v>0</v>
      </c>
      <c r="CG247" s="16">
        <v>0</v>
      </c>
      <c r="CH247" s="16">
        <v>0</v>
      </c>
      <c r="CI247" s="16">
        <v>0</v>
      </c>
      <c r="CJ247" s="16">
        <v>0</v>
      </c>
      <c r="CK247" s="16">
        <v>0</v>
      </c>
      <c r="CL247" s="16">
        <v>0</v>
      </c>
      <c r="CM247" s="16">
        <v>0</v>
      </c>
      <c r="CN247" s="16">
        <v>0</v>
      </c>
      <c r="CO247" s="16">
        <v>0</v>
      </c>
      <c r="CP247" s="16">
        <v>0</v>
      </c>
      <c r="CQ247" s="16">
        <v>0</v>
      </c>
      <c r="CR247" s="16">
        <v>0</v>
      </c>
      <c r="CS247" s="16">
        <v>0</v>
      </c>
      <c r="CT247" s="16">
        <v>0</v>
      </c>
      <c r="CU247" s="16">
        <v>0</v>
      </c>
      <c r="CV247" s="16">
        <v>0</v>
      </c>
      <c r="CW247" s="16">
        <v>0</v>
      </c>
      <c r="CX247" s="16">
        <v>0</v>
      </c>
      <c r="CY247" s="16">
        <v>0</v>
      </c>
      <c r="CZ247" s="16">
        <v>0</v>
      </c>
      <c r="DA247" s="16">
        <v>0</v>
      </c>
      <c r="DB247" s="16">
        <v>0</v>
      </c>
      <c r="DC247" s="16">
        <v>0</v>
      </c>
      <c r="DD247" s="16">
        <v>0</v>
      </c>
      <c r="DE247" s="16">
        <v>0</v>
      </c>
      <c r="DF247" s="16">
        <v>0</v>
      </c>
      <c r="DG247" s="16">
        <v>0</v>
      </c>
      <c r="DH247" s="16">
        <v>0</v>
      </c>
      <c r="DI247" s="16">
        <v>0</v>
      </c>
      <c r="DJ247" s="16">
        <v>0</v>
      </c>
      <c r="DK247" s="16">
        <v>0</v>
      </c>
      <c r="DL247" s="16">
        <v>0</v>
      </c>
      <c r="DM247" s="16">
        <v>0</v>
      </c>
      <c r="DN247" s="16">
        <v>0</v>
      </c>
      <c r="DO247" s="16">
        <v>0</v>
      </c>
      <c r="DP247" s="16">
        <v>0</v>
      </c>
      <c r="DQ247" s="16">
        <v>0</v>
      </c>
      <c r="DR247" s="16">
        <v>0</v>
      </c>
      <c r="DS247" s="16">
        <v>0</v>
      </c>
      <c r="DT247" s="16">
        <v>0</v>
      </c>
      <c r="DU247" s="16">
        <v>0</v>
      </c>
      <c r="DV247" s="16">
        <v>0</v>
      </c>
      <c r="DW247" s="16">
        <v>0</v>
      </c>
      <c r="DX247" s="16">
        <v>0</v>
      </c>
      <c r="DY247" s="16">
        <v>0</v>
      </c>
      <c r="DZ247" s="16">
        <v>0</v>
      </c>
      <c r="EA247" s="16">
        <v>0</v>
      </c>
      <c r="EB247" s="16">
        <v>0</v>
      </c>
      <c r="EC247" s="16">
        <v>0</v>
      </c>
      <c r="ED247" s="16">
        <v>0</v>
      </c>
      <c r="EE247" s="16">
        <v>0</v>
      </c>
      <c r="EF247" s="16">
        <v>0</v>
      </c>
      <c r="EG247" s="16">
        <v>0</v>
      </c>
      <c r="EH247" s="16">
        <v>0</v>
      </c>
      <c r="EI247" s="16">
        <v>0</v>
      </c>
      <c r="EJ247" s="16">
        <v>0</v>
      </c>
      <c r="EK247" s="16">
        <v>0</v>
      </c>
      <c r="EL247" s="16">
        <v>0</v>
      </c>
      <c r="EM247" s="16">
        <v>0</v>
      </c>
      <c r="EN247" s="16">
        <v>0</v>
      </c>
      <c r="EO247" s="16">
        <v>0</v>
      </c>
      <c r="EP247" s="16">
        <v>0</v>
      </c>
      <c r="EQ247" s="16">
        <v>0</v>
      </c>
      <c r="ER247" s="16">
        <v>0</v>
      </c>
      <c r="ES247" s="16">
        <v>0</v>
      </c>
      <c r="ET247" s="16">
        <v>0</v>
      </c>
      <c r="EU247" s="16">
        <v>0</v>
      </c>
      <c r="EV247" s="16">
        <v>0</v>
      </c>
      <c r="EW247" s="16">
        <v>0</v>
      </c>
      <c r="EX247" s="16">
        <v>0</v>
      </c>
      <c r="EY247" s="16">
        <v>0</v>
      </c>
      <c r="EZ247" s="16">
        <v>0</v>
      </c>
      <c r="FA247" s="16">
        <v>0</v>
      </c>
      <c r="FB247" s="16">
        <v>0</v>
      </c>
      <c r="FC247" s="16">
        <v>0</v>
      </c>
      <c r="FD247" s="16">
        <v>0</v>
      </c>
      <c r="FE247" s="16">
        <v>0</v>
      </c>
      <c r="FF247" s="16">
        <v>0</v>
      </c>
      <c r="FG247" s="16">
        <v>0</v>
      </c>
      <c r="FH247" s="16">
        <v>0</v>
      </c>
      <c r="FI247" s="16">
        <v>0</v>
      </c>
      <c r="FJ247" s="16">
        <v>0</v>
      </c>
      <c r="FK247" s="16">
        <v>0</v>
      </c>
      <c r="FL247" s="16">
        <v>0</v>
      </c>
      <c r="FM247" s="16">
        <v>0</v>
      </c>
      <c r="FN247" s="16">
        <v>0</v>
      </c>
      <c r="FO247" s="16">
        <v>0</v>
      </c>
      <c r="FP247" s="16">
        <v>0</v>
      </c>
      <c r="FQ247" s="16">
        <v>0</v>
      </c>
      <c r="FR247" s="16">
        <v>0</v>
      </c>
      <c r="FS247" s="16">
        <v>0</v>
      </c>
      <c r="FT247" s="16">
        <v>0</v>
      </c>
      <c r="FU247" s="16">
        <v>0</v>
      </c>
      <c r="FV247" s="16">
        <v>0</v>
      </c>
      <c r="FW247" s="16">
        <v>0</v>
      </c>
      <c r="FX247" s="16">
        <v>0</v>
      </c>
      <c r="FY247" s="16">
        <v>0</v>
      </c>
      <c r="FZ247" s="16">
        <v>0</v>
      </c>
      <c r="GA247" s="16">
        <v>0</v>
      </c>
      <c r="GB247" s="16">
        <v>0</v>
      </c>
      <c r="GC247" s="16">
        <v>0</v>
      </c>
      <c r="GD247" s="16">
        <v>0</v>
      </c>
      <c r="GE247" s="16">
        <v>0</v>
      </c>
      <c r="GF247" s="16">
        <v>0</v>
      </c>
      <c r="GG247" s="16">
        <v>0</v>
      </c>
      <c r="GH247" s="16">
        <v>0</v>
      </c>
      <c r="GI247" s="16">
        <v>0</v>
      </c>
      <c r="GJ247" s="16">
        <v>0</v>
      </c>
      <c r="GK247" s="16">
        <v>0</v>
      </c>
      <c r="GL247" s="16">
        <v>0</v>
      </c>
      <c r="GM247" s="16">
        <v>0</v>
      </c>
      <c r="GN247" s="16">
        <v>0</v>
      </c>
      <c r="GO247" s="16">
        <v>0</v>
      </c>
      <c r="GP247" s="16">
        <v>0</v>
      </c>
      <c r="GQ247" s="16">
        <v>0</v>
      </c>
      <c r="GR247" s="16">
        <v>0</v>
      </c>
      <c r="GS247" s="16">
        <v>0</v>
      </c>
      <c r="GT247" s="16">
        <v>0</v>
      </c>
      <c r="GU247" s="16">
        <v>0</v>
      </c>
      <c r="GV247" s="16">
        <v>0</v>
      </c>
      <c r="GW247" s="16">
        <v>0</v>
      </c>
      <c r="GX247" s="16">
        <v>0</v>
      </c>
      <c r="GY247" s="16">
        <v>0</v>
      </c>
      <c r="GZ247" s="16">
        <v>0</v>
      </c>
      <c r="HA247" s="16">
        <v>0</v>
      </c>
      <c r="HB247" s="16">
        <v>0</v>
      </c>
      <c r="HC247" s="16">
        <v>0</v>
      </c>
      <c r="HD247" s="16">
        <v>0</v>
      </c>
      <c r="HE247" s="16">
        <v>0</v>
      </c>
      <c r="HF247" s="16">
        <v>0</v>
      </c>
      <c r="HG247" s="16">
        <v>0</v>
      </c>
      <c r="HH247" s="16">
        <v>0</v>
      </c>
      <c r="HI247" s="16">
        <v>0</v>
      </c>
      <c r="HJ247" s="16">
        <v>0</v>
      </c>
      <c r="HK247" s="16">
        <v>0</v>
      </c>
      <c r="HL247" s="16">
        <v>0</v>
      </c>
      <c r="HM247" s="16">
        <v>0</v>
      </c>
      <c r="HN247" s="16">
        <v>0</v>
      </c>
      <c r="HO247" s="16">
        <v>0</v>
      </c>
      <c r="HP247" s="16">
        <v>0</v>
      </c>
      <c r="HQ247" s="16">
        <v>0</v>
      </c>
      <c r="HR247" s="16">
        <v>0</v>
      </c>
      <c r="HS247" s="16">
        <v>0</v>
      </c>
      <c r="HT247" s="16">
        <v>0</v>
      </c>
      <c r="HU247" s="16">
        <v>0</v>
      </c>
      <c r="HV247" s="16">
        <v>0</v>
      </c>
      <c r="HW247" s="16">
        <v>0</v>
      </c>
      <c r="HX247" s="16">
        <v>0</v>
      </c>
      <c r="HY247" s="16">
        <v>0</v>
      </c>
      <c r="HZ247" s="16">
        <v>0</v>
      </c>
      <c r="IA247" s="16">
        <v>0</v>
      </c>
      <c r="IB247" s="16">
        <v>0</v>
      </c>
      <c r="IC247" s="16">
        <v>0</v>
      </c>
      <c r="ID247" s="16">
        <v>0</v>
      </c>
      <c r="IE247" s="16">
        <v>0</v>
      </c>
      <c r="IF247" s="16">
        <v>0</v>
      </c>
      <c r="IG247" s="16">
        <v>0</v>
      </c>
      <c r="IH247" s="16">
        <v>0</v>
      </c>
      <c r="II247" s="16">
        <v>0</v>
      </c>
      <c r="IJ247" s="16">
        <v>0</v>
      </c>
      <c r="IK247" s="16">
        <v>0</v>
      </c>
      <c r="IL247" s="16">
        <v>0</v>
      </c>
      <c r="IM247" s="16">
        <v>10703</v>
      </c>
      <c r="IN247" s="16">
        <v>0</v>
      </c>
      <c r="IO247" s="16">
        <v>0</v>
      </c>
      <c r="IP247" s="16">
        <v>0</v>
      </c>
      <c r="IQ247" s="16">
        <v>0</v>
      </c>
      <c r="IR247" s="16">
        <v>0</v>
      </c>
      <c r="IS247" s="16">
        <v>0</v>
      </c>
      <c r="IT247" s="16">
        <v>0</v>
      </c>
      <c r="IU247" s="16">
        <v>0</v>
      </c>
      <c r="IV247" s="16">
        <v>0</v>
      </c>
      <c r="IW247" s="16">
        <v>0</v>
      </c>
      <c r="IX247" s="16">
        <v>0</v>
      </c>
      <c r="IY247" s="16">
        <v>0</v>
      </c>
      <c r="IZ247" s="16">
        <v>0</v>
      </c>
      <c r="JA247" s="16">
        <v>0</v>
      </c>
      <c r="JB247" s="16">
        <v>0</v>
      </c>
      <c r="JC247" s="16">
        <v>0</v>
      </c>
      <c r="JD247" s="16">
        <v>0</v>
      </c>
      <c r="JE247" s="16">
        <v>0</v>
      </c>
      <c r="JF247" s="16">
        <v>0</v>
      </c>
      <c r="JG247" s="16">
        <v>0</v>
      </c>
      <c r="JH247" s="16">
        <v>0</v>
      </c>
      <c r="JI247" s="16">
        <v>0</v>
      </c>
      <c r="JJ247" s="16">
        <v>0</v>
      </c>
      <c r="JK247" s="16">
        <v>0</v>
      </c>
      <c r="JL247" s="16">
        <v>0</v>
      </c>
      <c r="JM247" s="16">
        <v>0</v>
      </c>
      <c r="JN247" s="16">
        <v>0</v>
      </c>
      <c r="JO247" s="16">
        <v>0</v>
      </c>
      <c r="JP247" s="16">
        <v>0</v>
      </c>
      <c r="JQ247" s="16">
        <v>0</v>
      </c>
      <c r="JR247" s="16">
        <v>0</v>
      </c>
      <c r="JS247" s="16">
        <v>0</v>
      </c>
      <c r="JT247" s="16">
        <v>0</v>
      </c>
      <c r="JU247" s="16">
        <v>0</v>
      </c>
      <c r="JV247" s="16">
        <v>0</v>
      </c>
      <c r="JW247" s="16">
        <v>0</v>
      </c>
      <c r="JX247" s="16">
        <v>0</v>
      </c>
      <c r="JY247" s="16">
        <v>0</v>
      </c>
      <c r="JZ247" s="16">
        <v>0</v>
      </c>
      <c r="KA247" s="16">
        <v>0</v>
      </c>
      <c r="KB247" s="16">
        <v>0</v>
      </c>
      <c r="KC247" s="16">
        <v>0</v>
      </c>
      <c r="KD247" s="16">
        <v>0</v>
      </c>
      <c r="KE247" s="16">
        <v>0</v>
      </c>
      <c r="KF247" s="16">
        <v>0</v>
      </c>
      <c r="KG247" s="16">
        <v>0</v>
      </c>
      <c r="KH247" s="16">
        <v>0</v>
      </c>
      <c r="KI247" s="16">
        <v>0</v>
      </c>
      <c r="KJ247" s="16">
        <v>0</v>
      </c>
      <c r="KK247" s="16">
        <v>0</v>
      </c>
      <c r="KL247" s="16">
        <v>0</v>
      </c>
      <c r="KM247" s="16">
        <v>0</v>
      </c>
      <c r="KN247" s="16">
        <v>8</v>
      </c>
      <c r="KO247" s="16">
        <v>0</v>
      </c>
      <c r="KP247" s="16">
        <v>0</v>
      </c>
      <c r="KQ247" s="16">
        <v>0</v>
      </c>
      <c r="KR247" s="16">
        <v>0</v>
      </c>
      <c r="KS247" s="16">
        <v>0</v>
      </c>
      <c r="KT247" s="16">
        <v>0</v>
      </c>
      <c r="KU247" s="16">
        <v>0</v>
      </c>
      <c r="KV247" s="16">
        <v>0</v>
      </c>
      <c r="KW247" s="16">
        <v>0</v>
      </c>
      <c r="KX247" s="16">
        <v>0</v>
      </c>
      <c r="KY247" s="16">
        <v>0</v>
      </c>
      <c r="KZ247" s="16">
        <v>0</v>
      </c>
      <c r="LA247" s="16">
        <v>0</v>
      </c>
      <c r="LB247" s="16">
        <v>0</v>
      </c>
      <c r="LC247" s="16">
        <v>0</v>
      </c>
      <c r="LD247" s="16">
        <v>0</v>
      </c>
      <c r="LE247" s="16">
        <v>0</v>
      </c>
      <c r="LF247" s="16">
        <v>0</v>
      </c>
      <c r="LG247" s="16">
        <v>0</v>
      </c>
      <c r="LH247" s="16">
        <v>0</v>
      </c>
      <c r="LI247" s="16">
        <v>0</v>
      </c>
      <c r="LJ247" s="16">
        <v>0</v>
      </c>
      <c r="LK247" s="16">
        <v>0</v>
      </c>
      <c r="LL247" s="16">
        <v>0</v>
      </c>
      <c r="LM247" s="16">
        <v>0</v>
      </c>
      <c r="LN247" s="16">
        <v>0</v>
      </c>
      <c r="LO247" s="16">
        <v>0</v>
      </c>
      <c r="LP247" s="16">
        <v>0</v>
      </c>
      <c r="LQ247" s="16">
        <v>0</v>
      </c>
      <c r="LR247" s="16">
        <v>0</v>
      </c>
      <c r="LS247" s="16">
        <v>0</v>
      </c>
      <c r="LT247" s="16">
        <v>0</v>
      </c>
      <c r="LU247" s="16">
        <v>0</v>
      </c>
      <c r="LV247" s="16">
        <v>0</v>
      </c>
      <c r="LW247" s="16">
        <v>0</v>
      </c>
      <c r="LX247" s="16">
        <v>0</v>
      </c>
      <c r="LY247" s="16">
        <v>0</v>
      </c>
      <c r="LZ247" s="16">
        <v>0</v>
      </c>
      <c r="MA247" s="16">
        <v>0</v>
      </c>
      <c r="MB247" s="16">
        <v>0</v>
      </c>
      <c r="MC247" s="16">
        <v>0</v>
      </c>
      <c r="MD247" s="16">
        <v>0</v>
      </c>
      <c r="ME247" s="16">
        <v>0</v>
      </c>
      <c r="MF247" s="16">
        <v>0</v>
      </c>
      <c r="MG247" s="16">
        <v>0</v>
      </c>
      <c r="MH247" s="16">
        <v>0</v>
      </c>
      <c r="MI247" s="16">
        <v>0</v>
      </c>
      <c r="MJ247" s="16">
        <v>0</v>
      </c>
      <c r="MK247" s="16">
        <v>0</v>
      </c>
      <c r="ML247" s="16">
        <v>0</v>
      </c>
      <c r="MM247" s="16">
        <v>0</v>
      </c>
      <c r="MN247" s="16">
        <v>0</v>
      </c>
      <c r="MO247" s="16">
        <v>0</v>
      </c>
      <c r="MP247" s="16">
        <v>0</v>
      </c>
      <c r="MQ247" s="16">
        <v>0</v>
      </c>
      <c r="MR247" s="16">
        <v>0</v>
      </c>
      <c r="MS247" s="16">
        <v>0</v>
      </c>
      <c r="MT247" s="16">
        <v>0</v>
      </c>
      <c r="MU247" s="16">
        <v>0</v>
      </c>
      <c r="MV247" s="16">
        <v>0</v>
      </c>
      <c r="MW247" s="16">
        <v>0</v>
      </c>
      <c r="MX247" s="16">
        <v>0</v>
      </c>
      <c r="MY247" s="16">
        <v>0</v>
      </c>
      <c r="MZ247" s="16">
        <v>0</v>
      </c>
      <c r="NA247" s="16">
        <v>0</v>
      </c>
      <c r="NB247" s="16">
        <v>0</v>
      </c>
      <c r="NC247" s="16">
        <v>0</v>
      </c>
      <c r="ND247" s="16">
        <v>0</v>
      </c>
      <c r="NE247" s="16">
        <v>0</v>
      </c>
      <c r="NF247" s="16">
        <v>0</v>
      </c>
      <c r="NG247" s="16">
        <v>0</v>
      </c>
      <c r="NH247" s="16">
        <v>0</v>
      </c>
      <c r="NI247" s="16">
        <v>0</v>
      </c>
      <c r="NJ247" s="16">
        <v>0</v>
      </c>
      <c r="NK247" s="16">
        <v>0</v>
      </c>
      <c r="NL247" s="16">
        <v>0</v>
      </c>
      <c r="NM247" s="16">
        <v>0</v>
      </c>
      <c r="NN247" s="16">
        <v>0</v>
      </c>
      <c r="NO247" s="16">
        <v>0</v>
      </c>
      <c r="NP247" s="16">
        <v>0</v>
      </c>
      <c r="NQ247" s="16">
        <v>0</v>
      </c>
      <c r="NR247" s="17">
        <v>10711</v>
      </c>
    </row>
    <row r="248" spans="1:382" ht="13.5" customHeight="1" x14ac:dyDescent="0.2">
      <c r="A248" s="2" t="s">
        <v>503</v>
      </c>
      <c r="B248" s="16">
        <v>0</v>
      </c>
      <c r="C248" s="16">
        <v>0</v>
      </c>
      <c r="D248" s="16">
        <v>0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0</v>
      </c>
      <c r="AV248" s="16">
        <v>0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  <c r="BB248" s="16">
        <v>0</v>
      </c>
      <c r="BC248" s="16">
        <v>0</v>
      </c>
      <c r="BD248" s="16">
        <v>0</v>
      </c>
      <c r="BE248" s="16">
        <v>0</v>
      </c>
      <c r="BF248" s="16">
        <v>0</v>
      </c>
      <c r="BG248" s="16">
        <v>0</v>
      </c>
      <c r="BH248" s="16">
        <v>0</v>
      </c>
      <c r="BI248" s="16">
        <v>0</v>
      </c>
      <c r="BJ248" s="16">
        <v>0</v>
      </c>
      <c r="BK248" s="16">
        <v>0</v>
      </c>
      <c r="BL248" s="16">
        <v>0</v>
      </c>
      <c r="BM248" s="16">
        <v>0</v>
      </c>
      <c r="BN248" s="16">
        <v>0</v>
      </c>
      <c r="BO248" s="16">
        <v>0</v>
      </c>
      <c r="BP248" s="16">
        <v>0</v>
      </c>
      <c r="BQ248" s="16">
        <v>0</v>
      </c>
      <c r="BR248" s="16">
        <v>0</v>
      </c>
      <c r="BS248" s="16">
        <v>0</v>
      </c>
      <c r="BT248" s="16">
        <v>0</v>
      </c>
      <c r="BU248" s="16">
        <v>0</v>
      </c>
      <c r="BV248" s="16">
        <v>0</v>
      </c>
      <c r="BW248" s="16">
        <v>0</v>
      </c>
      <c r="BX248" s="16">
        <v>0</v>
      </c>
      <c r="BY248" s="16">
        <v>0</v>
      </c>
      <c r="BZ248" s="16">
        <v>0</v>
      </c>
      <c r="CA248" s="16">
        <v>0</v>
      </c>
      <c r="CB248" s="16">
        <v>0</v>
      </c>
      <c r="CC248" s="16">
        <v>0</v>
      </c>
      <c r="CD248" s="16">
        <v>0</v>
      </c>
      <c r="CE248" s="16">
        <v>0</v>
      </c>
      <c r="CF248" s="16">
        <v>0</v>
      </c>
      <c r="CG248" s="16">
        <v>0</v>
      </c>
      <c r="CH248" s="16">
        <v>0</v>
      </c>
      <c r="CI248" s="16">
        <v>0</v>
      </c>
      <c r="CJ248" s="16">
        <v>0</v>
      </c>
      <c r="CK248" s="16">
        <v>0</v>
      </c>
      <c r="CL248" s="16">
        <v>0</v>
      </c>
      <c r="CM248" s="16">
        <v>0</v>
      </c>
      <c r="CN248" s="16">
        <v>0</v>
      </c>
      <c r="CO248" s="16">
        <v>0</v>
      </c>
      <c r="CP248" s="16">
        <v>0</v>
      </c>
      <c r="CQ248" s="16">
        <v>0</v>
      </c>
      <c r="CR248" s="16">
        <v>0</v>
      </c>
      <c r="CS248" s="16">
        <v>0</v>
      </c>
      <c r="CT248" s="16">
        <v>0</v>
      </c>
      <c r="CU248" s="16">
        <v>0</v>
      </c>
      <c r="CV248" s="16">
        <v>0</v>
      </c>
      <c r="CW248" s="16">
        <v>0</v>
      </c>
      <c r="CX248" s="16">
        <v>0</v>
      </c>
      <c r="CY248" s="16">
        <v>0</v>
      </c>
      <c r="CZ248" s="16">
        <v>0</v>
      </c>
      <c r="DA248" s="16">
        <v>0</v>
      </c>
      <c r="DB248" s="16">
        <v>0</v>
      </c>
      <c r="DC248" s="16">
        <v>0</v>
      </c>
      <c r="DD248" s="16">
        <v>0</v>
      </c>
      <c r="DE248" s="16">
        <v>0</v>
      </c>
      <c r="DF248" s="16">
        <v>0</v>
      </c>
      <c r="DG248" s="16">
        <v>0</v>
      </c>
      <c r="DH248" s="16">
        <v>0</v>
      </c>
      <c r="DI248" s="16">
        <v>0</v>
      </c>
      <c r="DJ248" s="16">
        <v>0</v>
      </c>
      <c r="DK248" s="16">
        <v>0</v>
      </c>
      <c r="DL248" s="16">
        <v>0</v>
      </c>
      <c r="DM248" s="16">
        <v>0</v>
      </c>
      <c r="DN248" s="16">
        <v>0</v>
      </c>
      <c r="DO248" s="16">
        <v>0</v>
      </c>
      <c r="DP248" s="16">
        <v>0</v>
      </c>
      <c r="DQ248" s="16">
        <v>0</v>
      </c>
      <c r="DR248" s="16">
        <v>0</v>
      </c>
      <c r="DS248" s="16">
        <v>0</v>
      </c>
      <c r="DT248" s="16">
        <v>0</v>
      </c>
      <c r="DU248" s="16">
        <v>0</v>
      </c>
      <c r="DV248" s="16">
        <v>0</v>
      </c>
      <c r="DW248" s="16">
        <v>0</v>
      </c>
      <c r="DX248" s="16">
        <v>0</v>
      </c>
      <c r="DY248" s="16">
        <v>0</v>
      </c>
      <c r="DZ248" s="16">
        <v>0</v>
      </c>
      <c r="EA248" s="16">
        <v>0</v>
      </c>
      <c r="EB248" s="16">
        <v>0</v>
      </c>
      <c r="EC248" s="16">
        <v>0</v>
      </c>
      <c r="ED248" s="16">
        <v>0</v>
      </c>
      <c r="EE248" s="16">
        <v>0</v>
      </c>
      <c r="EF248" s="16">
        <v>0</v>
      </c>
      <c r="EG248" s="16">
        <v>0</v>
      </c>
      <c r="EH248" s="16">
        <v>0</v>
      </c>
      <c r="EI248" s="16">
        <v>0</v>
      </c>
      <c r="EJ248" s="16">
        <v>0</v>
      </c>
      <c r="EK248" s="16">
        <v>0</v>
      </c>
      <c r="EL248" s="16">
        <v>0</v>
      </c>
      <c r="EM248" s="16">
        <v>0</v>
      </c>
      <c r="EN248" s="16">
        <v>0</v>
      </c>
      <c r="EO248" s="16">
        <v>0</v>
      </c>
      <c r="EP248" s="16">
        <v>0</v>
      </c>
      <c r="EQ248" s="16">
        <v>0</v>
      </c>
      <c r="ER248" s="16">
        <v>0</v>
      </c>
      <c r="ES248" s="16">
        <v>0</v>
      </c>
      <c r="ET248" s="16">
        <v>0</v>
      </c>
      <c r="EU248" s="16">
        <v>0</v>
      </c>
      <c r="EV248" s="16">
        <v>0</v>
      </c>
      <c r="EW248" s="16">
        <v>0</v>
      </c>
      <c r="EX248" s="16">
        <v>0</v>
      </c>
      <c r="EY248" s="16">
        <v>0</v>
      </c>
      <c r="EZ248" s="16">
        <v>0</v>
      </c>
      <c r="FA248" s="16">
        <v>0</v>
      </c>
      <c r="FB248" s="16">
        <v>0</v>
      </c>
      <c r="FC248" s="16">
        <v>0</v>
      </c>
      <c r="FD248" s="16">
        <v>0</v>
      </c>
      <c r="FE248" s="16">
        <v>0</v>
      </c>
      <c r="FF248" s="16">
        <v>0</v>
      </c>
      <c r="FG248" s="16">
        <v>0</v>
      </c>
      <c r="FH248" s="16">
        <v>0</v>
      </c>
      <c r="FI248" s="16">
        <v>0</v>
      </c>
      <c r="FJ248" s="16">
        <v>0</v>
      </c>
      <c r="FK248" s="16">
        <v>0</v>
      </c>
      <c r="FL248" s="16">
        <v>0</v>
      </c>
      <c r="FM248" s="16">
        <v>0</v>
      </c>
      <c r="FN248" s="16">
        <v>0</v>
      </c>
      <c r="FO248" s="16">
        <v>0</v>
      </c>
      <c r="FP248" s="16">
        <v>0</v>
      </c>
      <c r="FQ248" s="16">
        <v>0</v>
      </c>
      <c r="FR248" s="16">
        <v>0</v>
      </c>
      <c r="FS248" s="16">
        <v>0</v>
      </c>
      <c r="FT248" s="16">
        <v>0</v>
      </c>
      <c r="FU248" s="16">
        <v>0</v>
      </c>
      <c r="FV248" s="16">
        <v>0</v>
      </c>
      <c r="FW248" s="16">
        <v>0</v>
      </c>
      <c r="FX248" s="16">
        <v>0</v>
      </c>
      <c r="FY248" s="16">
        <v>0</v>
      </c>
      <c r="FZ248" s="16">
        <v>0</v>
      </c>
      <c r="GA248" s="16">
        <v>0</v>
      </c>
      <c r="GB248" s="16">
        <v>0</v>
      </c>
      <c r="GC248" s="16">
        <v>0</v>
      </c>
      <c r="GD248" s="16">
        <v>0</v>
      </c>
      <c r="GE248" s="16">
        <v>0</v>
      </c>
      <c r="GF248" s="16">
        <v>0</v>
      </c>
      <c r="GG248" s="16">
        <v>0</v>
      </c>
      <c r="GH248" s="16">
        <v>0</v>
      </c>
      <c r="GI248" s="16">
        <v>0</v>
      </c>
      <c r="GJ248" s="16">
        <v>0</v>
      </c>
      <c r="GK248" s="16">
        <v>0</v>
      </c>
      <c r="GL248" s="16">
        <v>0</v>
      </c>
      <c r="GM248" s="16">
        <v>0</v>
      </c>
      <c r="GN248" s="16">
        <v>0</v>
      </c>
      <c r="GO248" s="16">
        <v>0</v>
      </c>
      <c r="GP248" s="16">
        <v>0</v>
      </c>
      <c r="GQ248" s="16">
        <v>0</v>
      </c>
      <c r="GR248" s="16">
        <v>0</v>
      </c>
      <c r="GS248" s="16">
        <v>0</v>
      </c>
      <c r="GT248" s="16">
        <v>0</v>
      </c>
      <c r="GU248" s="16">
        <v>0</v>
      </c>
      <c r="GV248" s="16">
        <v>0</v>
      </c>
      <c r="GW248" s="16">
        <v>0</v>
      </c>
      <c r="GX248" s="16">
        <v>0</v>
      </c>
      <c r="GY248" s="16">
        <v>0</v>
      </c>
      <c r="GZ248" s="16">
        <v>0</v>
      </c>
      <c r="HA248" s="16">
        <v>0</v>
      </c>
      <c r="HB248" s="16">
        <v>0</v>
      </c>
      <c r="HC248" s="16">
        <v>0</v>
      </c>
      <c r="HD248" s="16">
        <v>0</v>
      </c>
      <c r="HE248" s="16">
        <v>0</v>
      </c>
      <c r="HF248" s="16">
        <v>0</v>
      </c>
      <c r="HG248" s="16">
        <v>0</v>
      </c>
      <c r="HH248" s="16">
        <v>0</v>
      </c>
      <c r="HI248" s="16">
        <v>0</v>
      </c>
      <c r="HJ248" s="16">
        <v>0</v>
      </c>
      <c r="HK248" s="16">
        <v>0</v>
      </c>
      <c r="HL248" s="16">
        <v>0</v>
      </c>
      <c r="HM248" s="16">
        <v>0</v>
      </c>
      <c r="HN248" s="16">
        <v>0</v>
      </c>
      <c r="HO248" s="16">
        <v>0</v>
      </c>
      <c r="HP248" s="16">
        <v>0</v>
      </c>
      <c r="HQ248" s="16">
        <v>0</v>
      </c>
      <c r="HR248" s="16">
        <v>0</v>
      </c>
      <c r="HS248" s="16">
        <v>0</v>
      </c>
      <c r="HT248" s="16">
        <v>0</v>
      </c>
      <c r="HU248" s="16">
        <v>0</v>
      </c>
      <c r="HV248" s="16">
        <v>0</v>
      </c>
      <c r="HW248" s="16">
        <v>0</v>
      </c>
      <c r="HX248" s="16">
        <v>0</v>
      </c>
      <c r="HY248" s="16">
        <v>0</v>
      </c>
      <c r="HZ248" s="16">
        <v>0</v>
      </c>
      <c r="IA248" s="16">
        <v>0</v>
      </c>
      <c r="IB248" s="16">
        <v>0</v>
      </c>
      <c r="IC248" s="16">
        <v>0</v>
      </c>
      <c r="ID248" s="16">
        <v>0</v>
      </c>
      <c r="IE248" s="16">
        <v>0</v>
      </c>
      <c r="IF248" s="16">
        <v>0</v>
      </c>
      <c r="IG248" s="16">
        <v>0</v>
      </c>
      <c r="IH248" s="16">
        <v>9534944</v>
      </c>
      <c r="II248" s="16">
        <v>0</v>
      </c>
      <c r="IJ248" s="16">
        <v>444652</v>
      </c>
      <c r="IK248" s="16">
        <v>1041710</v>
      </c>
      <c r="IL248" s="16">
        <v>146754</v>
      </c>
      <c r="IM248" s="16">
        <v>0</v>
      </c>
      <c r="IN248" s="16">
        <v>8826464</v>
      </c>
      <c r="IO248" s="16">
        <v>0</v>
      </c>
      <c r="IP248" s="16">
        <v>0</v>
      </c>
      <c r="IQ248" s="16">
        <v>0</v>
      </c>
      <c r="IR248" s="16">
        <v>0</v>
      </c>
      <c r="IS248" s="16">
        <v>0</v>
      </c>
      <c r="IT248" s="16">
        <v>0</v>
      </c>
      <c r="IU248" s="16">
        <v>0</v>
      </c>
      <c r="IV248" s="16">
        <v>0</v>
      </c>
      <c r="IW248" s="16">
        <v>0</v>
      </c>
      <c r="IX248" s="16">
        <v>0</v>
      </c>
      <c r="IY248" s="16">
        <v>0</v>
      </c>
      <c r="IZ248" s="16">
        <v>0</v>
      </c>
      <c r="JA248" s="16">
        <v>0</v>
      </c>
      <c r="JB248" s="16">
        <v>0</v>
      </c>
      <c r="JC248" s="16">
        <v>0</v>
      </c>
      <c r="JD248" s="16">
        <v>0</v>
      </c>
      <c r="JE248" s="16">
        <v>0</v>
      </c>
      <c r="JF248" s="16">
        <v>0</v>
      </c>
      <c r="JG248" s="16">
        <v>109578</v>
      </c>
      <c r="JH248" s="16">
        <v>0</v>
      </c>
      <c r="JI248" s="16">
        <v>0</v>
      </c>
      <c r="JJ248" s="16">
        <v>0</v>
      </c>
      <c r="JK248" s="16">
        <v>0</v>
      </c>
      <c r="JL248" s="16">
        <v>0</v>
      </c>
      <c r="JM248" s="16">
        <v>0</v>
      </c>
      <c r="JN248" s="16">
        <v>0</v>
      </c>
      <c r="JO248" s="16">
        <v>0</v>
      </c>
      <c r="JP248" s="16">
        <v>0</v>
      </c>
      <c r="JQ248" s="16">
        <v>0</v>
      </c>
      <c r="JR248" s="16">
        <v>0</v>
      </c>
      <c r="JS248" s="16">
        <v>0</v>
      </c>
      <c r="JT248" s="16">
        <v>0</v>
      </c>
      <c r="JU248" s="16">
        <v>0</v>
      </c>
      <c r="JV248" s="16">
        <v>0</v>
      </c>
      <c r="JW248" s="16">
        <v>0</v>
      </c>
      <c r="JX248" s="16">
        <v>0</v>
      </c>
      <c r="JY248" s="16">
        <v>0</v>
      </c>
      <c r="JZ248" s="16">
        <v>0</v>
      </c>
      <c r="KA248" s="16">
        <v>0</v>
      </c>
      <c r="KB248" s="16">
        <v>0</v>
      </c>
      <c r="KC248" s="16">
        <v>0</v>
      </c>
      <c r="KD248" s="16">
        <v>0</v>
      </c>
      <c r="KE248" s="16">
        <v>0</v>
      </c>
      <c r="KF248" s="16">
        <v>0</v>
      </c>
      <c r="KG248" s="16">
        <v>0</v>
      </c>
      <c r="KH248" s="16">
        <v>0</v>
      </c>
      <c r="KI248" s="16">
        <v>0</v>
      </c>
      <c r="KJ248" s="16">
        <v>0</v>
      </c>
      <c r="KK248" s="16">
        <v>0</v>
      </c>
      <c r="KL248" s="16">
        <v>0</v>
      </c>
      <c r="KM248" s="16">
        <v>156700</v>
      </c>
      <c r="KN248" s="16">
        <v>20061</v>
      </c>
      <c r="KO248" s="16">
        <v>0</v>
      </c>
      <c r="KP248" s="16">
        <v>0</v>
      </c>
      <c r="KQ248" s="16">
        <v>0</v>
      </c>
      <c r="KR248" s="16">
        <v>0</v>
      </c>
      <c r="KS248" s="16">
        <v>0</v>
      </c>
      <c r="KT248" s="16">
        <v>0</v>
      </c>
      <c r="KU248" s="16">
        <v>0</v>
      </c>
      <c r="KV248" s="16">
        <v>0</v>
      </c>
      <c r="KW248" s="16">
        <v>0</v>
      </c>
      <c r="KX248" s="16">
        <v>0</v>
      </c>
      <c r="KY248" s="16">
        <v>130159</v>
      </c>
      <c r="KZ248" s="16">
        <v>0</v>
      </c>
      <c r="LA248" s="16">
        <v>0</v>
      </c>
      <c r="LB248" s="16">
        <v>0</v>
      </c>
      <c r="LC248" s="16">
        <v>0</v>
      </c>
      <c r="LD248" s="16">
        <v>0</v>
      </c>
      <c r="LE248" s="16">
        <v>0</v>
      </c>
      <c r="LF248" s="16">
        <v>0</v>
      </c>
      <c r="LG248" s="16">
        <v>0</v>
      </c>
      <c r="LH248" s="16">
        <v>0</v>
      </c>
      <c r="LI248" s="16">
        <v>0</v>
      </c>
      <c r="LJ248" s="16">
        <v>0</v>
      </c>
      <c r="LK248" s="16">
        <v>0</v>
      </c>
      <c r="LL248" s="16">
        <v>0</v>
      </c>
      <c r="LM248" s="16">
        <v>0</v>
      </c>
      <c r="LN248" s="16">
        <v>0</v>
      </c>
      <c r="LO248" s="16">
        <v>0</v>
      </c>
      <c r="LP248" s="16">
        <v>0</v>
      </c>
      <c r="LQ248" s="16">
        <v>0</v>
      </c>
      <c r="LR248" s="16">
        <v>0</v>
      </c>
      <c r="LS248" s="16">
        <v>0</v>
      </c>
      <c r="LT248" s="16">
        <v>0</v>
      </c>
      <c r="LU248" s="16">
        <v>0</v>
      </c>
      <c r="LV248" s="16">
        <v>0</v>
      </c>
      <c r="LW248" s="16">
        <v>0</v>
      </c>
      <c r="LX248" s="16">
        <v>0</v>
      </c>
      <c r="LY248" s="16">
        <v>0</v>
      </c>
      <c r="LZ248" s="16">
        <v>0</v>
      </c>
      <c r="MA248" s="16">
        <v>0</v>
      </c>
      <c r="MB248" s="16">
        <v>0</v>
      </c>
      <c r="MC248" s="16">
        <v>0</v>
      </c>
      <c r="MD248" s="16">
        <v>0</v>
      </c>
      <c r="ME248" s="16">
        <v>0</v>
      </c>
      <c r="MF248" s="16">
        <v>262478</v>
      </c>
      <c r="MG248" s="16">
        <v>0</v>
      </c>
      <c r="MH248" s="16">
        <v>0</v>
      </c>
      <c r="MI248" s="16">
        <v>0</v>
      </c>
      <c r="MJ248" s="16">
        <v>0</v>
      </c>
      <c r="MK248" s="16">
        <v>0</v>
      </c>
      <c r="ML248" s="16">
        <v>0</v>
      </c>
      <c r="MM248" s="16">
        <v>0</v>
      </c>
      <c r="MN248" s="16">
        <v>0</v>
      </c>
      <c r="MO248" s="16">
        <v>0</v>
      </c>
      <c r="MP248" s="16">
        <v>0</v>
      </c>
      <c r="MQ248" s="16">
        <v>0</v>
      </c>
      <c r="MR248" s="16">
        <v>43647</v>
      </c>
      <c r="MS248" s="16">
        <v>14577</v>
      </c>
      <c r="MT248" s="16">
        <v>0</v>
      </c>
      <c r="MU248" s="16">
        <v>404</v>
      </c>
      <c r="MV248" s="16">
        <v>1884</v>
      </c>
      <c r="MW248" s="16">
        <v>17002</v>
      </c>
      <c r="MX248" s="16">
        <v>0</v>
      </c>
      <c r="MY248" s="16">
        <v>0</v>
      </c>
      <c r="MZ248" s="16">
        <v>0</v>
      </c>
      <c r="NA248" s="16">
        <v>0</v>
      </c>
      <c r="NB248" s="16">
        <v>0</v>
      </c>
      <c r="NC248" s="16">
        <v>0</v>
      </c>
      <c r="ND248" s="16">
        <v>0</v>
      </c>
      <c r="NE248" s="16">
        <v>0</v>
      </c>
      <c r="NF248" s="16">
        <v>0</v>
      </c>
      <c r="NG248" s="16">
        <v>0</v>
      </c>
      <c r="NH248" s="16">
        <v>0</v>
      </c>
      <c r="NI248" s="16">
        <v>0</v>
      </c>
      <c r="NJ248" s="16">
        <v>0</v>
      </c>
      <c r="NK248" s="16">
        <v>946906</v>
      </c>
      <c r="NL248" s="16">
        <v>0</v>
      </c>
      <c r="NM248" s="16">
        <v>0</v>
      </c>
      <c r="NN248" s="16">
        <v>0</v>
      </c>
      <c r="NO248" s="16">
        <v>0</v>
      </c>
      <c r="NP248" s="16">
        <v>0</v>
      </c>
      <c r="NQ248" s="16">
        <v>139</v>
      </c>
      <c r="NR248" s="17">
        <v>21698059</v>
      </c>
    </row>
    <row r="249" spans="1:382" ht="13.5" customHeight="1" x14ac:dyDescent="0.2">
      <c r="A249" s="2" t="s">
        <v>505</v>
      </c>
      <c r="B249" s="16">
        <v>1198</v>
      </c>
      <c r="C249" s="16">
        <v>234</v>
      </c>
      <c r="D249" s="16">
        <v>1806</v>
      </c>
      <c r="E249" s="16">
        <v>199</v>
      </c>
      <c r="F249" s="16">
        <v>2850</v>
      </c>
      <c r="G249" s="16">
        <v>1038</v>
      </c>
      <c r="H249" s="16">
        <v>17</v>
      </c>
      <c r="I249" s="16">
        <v>677</v>
      </c>
      <c r="J249" s="16">
        <v>29</v>
      </c>
      <c r="K249" s="16">
        <v>0</v>
      </c>
      <c r="L249" s="16">
        <v>868</v>
      </c>
      <c r="M249" s="16">
        <v>484</v>
      </c>
      <c r="N249" s="16">
        <v>0</v>
      </c>
      <c r="O249" s="16">
        <v>23</v>
      </c>
      <c r="P249" s="16">
        <v>1653</v>
      </c>
      <c r="Q249" s="16">
        <v>8682</v>
      </c>
      <c r="R249" s="16">
        <v>2502</v>
      </c>
      <c r="S249" s="16">
        <v>383</v>
      </c>
      <c r="T249" s="16">
        <v>558</v>
      </c>
      <c r="U249" s="16">
        <v>4595</v>
      </c>
      <c r="V249" s="16">
        <v>5972</v>
      </c>
      <c r="W249" s="16">
        <v>43</v>
      </c>
      <c r="X249" s="16">
        <v>349</v>
      </c>
      <c r="Y249" s="16">
        <v>7209</v>
      </c>
      <c r="Z249" s="16">
        <v>3139</v>
      </c>
      <c r="AA249" s="16">
        <v>227</v>
      </c>
      <c r="AB249" s="16">
        <v>0</v>
      </c>
      <c r="AC249" s="16">
        <v>0</v>
      </c>
      <c r="AD249" s="16">
        <v>0</v>
      </c>
      <c r="AE249" s="16">
        <v>16</v>
      </c>
      <c r="AF249" s="16">
        <v>100</v>
      </c>
      <c r="AG249" s="16">
        <v>16308</v>
      </c>
      <c r="AH249" s="16">
        <v>22573</v>
      </c>
      <c r="AI249" s="16">
        <v>3994</v>
      </c>
      <c r="AJ249" s="16">
        <v>2286</v>
      </c>
      <c r="AK249" s="16">
        <v>1043</v>
      </c>
      <c r="AL249" s="16">
        <v>148</v>
      </c>
      <c r="AM249" s="16">
        <v>4842</v>
      </c>
      <c r="AN249" s="16">
        <v>1773</v>
      </c>
      <c r="AO249" s="16">
        <v>2274</v>
      </c>
      <c r="AP249" s="16">
        <v>29</v>
      </c>
      <c r="AQ249" s="16">
        <v>433</v>
      </c>
      <c r="AR249" s="16">
        <v>0</v>
      </c>
      <c r="AS249" s="16">
        <v>2514</v>
      </c>
      <c r="AT249" s="16">
        <v>1441</v>
      </c>
      <c r="AU249" s="16">
        <v>1057</v>
      </c>
      <c r="AV249" s="16">
        <v>333</v>
      </c>
      <c r="AW249" s="16">
        <v>2071</v>
      </c>
      <c r="AX249" s="16">
        <v>209</v>
      </c>
      <c r="AY249" s="16">
        <v>532</v>
      </c>
      <c r="AZ249" s="16">
        <v>433</v>
      </c>
      <c r="BA249" s="16">
        <v>5252</v>
      </c>
      <c r="BB249" s="16">
        <v>260</v>
      </c>
      <c r="BC249" s="16">
        <v>959</v>
      </c>
      <c r="BD249" s="16">
        <v>70</v>
      </c>
      <c r="BE249" s="16">
        <v>662</v>
      </c>
      <c r="BF249" s="16">
        <v>596</v>
      </c>
      <c r="BG249" s="16">
        <v>72</v>
      </c>
      <c r="BH249" s="16">
        <v>1014</v>
      </c>
      <c r="BI249" s="16">
        <v>994</v>
      </c>
      <c r="BJ249" s="16">
        <v>89</v>
      </c>
      <c r="BK249" s="16">
        <v>918</v>
      </c>
      <c r="BL249" s="16">
        <v>1202</v>
      </c>
      <c r="BM249" s="16">
        <v>670</v>
      </c>
      <c r="BN249" s="16">
        <v>710</v>
      </c>
      <c r="BO249" s="16">
        <v>2618</v>
      </c>
      <c r="BP249" s="16">
        <v>318</v>
      </c>
      <c r="BQ249" s="16">
        <v>427</v>
      </c>
      <c r="BR249" s="16">
        <v>57</v>
      </c>
      <c r="BS249" s="16">
        <v>1347</v>
      </c>
      <c r="BT249" s="16">
        <v>30</v>
      </c>
      <c r="BU249" s="16">
        <v>4</v>
      </c>
      <c r="BV249" s="16">
        <v>3</v>
      </c>
      <c r="BW249" s="16">
        <v>1646</v>
      </c>
      <c r="BX249" s="16">
        <v>88</v>
      </c>
      <c r="BY249" s="16">
        <v>0</v>
      </c>
      <c r="BZ249" s="16">
        <v>1073</v>
      </c>
      <c r="CA249" s="16">
        <v>311</v>
      </c>
      <c r="CB249" s="16">
        <v>249</v>
      </c>
      <c r="CC249" s="16">
        <v>2337</v>
      </c>
      <c r="CD249" s="16">
        <v>3919</v>
      </c>
      <c r="CE249" s="16">
        <v>3143</v>
      </c>
      <c r="CF249" s="16">
        <v>4097</v>
      </c>
      <c r="CG249" s="16">
        <v>581</v>
      </c>
      <c r="CH249" s="16">
        <v>2509</v>
      </c>
      <c r="CI249" s="16">
        <v>2907</v>
      </c>
      <c r="CJ249" s="16">
        <v>2655</v>
      </c>
      <c r="CK249" s="16">
        <v>8643</v>
      </c>
      <c r="CL249" s="16">
        <v>2662</v>
      </c>
      <c r="CM249" s="16">
        <v>2425</v>
      </c>
      <c r="CN249" s="16">
        <v>858</v>
      </c>
      <c r="CO249" s="16">
        <v>2265</v>
      </c>
      <c r="CP249" s="16">
        <v>2484</v>
      </c>
      <c r="CQ249" s="16">
        <v>19021</v>
      </c>
      <c r="CR249" s="16">
        <v>652</v>
      </c>
      <c r="CS249" s="16">
        <v>1969</v>
      </c>
      <c r="CT249" s="16">
        <v>3657</v>
      </c>
      <c r="CU249" s="16">
        <v>13118</v>
      </c>
      <c r="CV249" s="16">
        <v>15267</v>
      </c>
      <c r="CW249" s="16">
        <v>64956</v>
      </c>
      <c r="CX249" s="16">
        <v>15335</v>
      </c>
      <c r="CY249" s="16">
        <v>2273</v>
      </c>
      <c r="CZ249" s="16">
        <v>1739</v>
      </c>
      <c r="DA249" s="16">
        <v>102</v>
      </c>
      <c r="DB249" s="16">
        <v>10367</v>
      </c>
      <c r="DC249" s="16">
        <v>170</v>
      </c>
      <c r="DD249" s="16">
        <v>1243</v>
      </c>
      <c r="DE249" s="16">
        <v>132</v>
      </c>
      <c r="DF249" s="16">
        <v>1847</v>
      </c>
      <c r="DG249" s="16">
        <v>3686</v>
      </c>
      <c r="DH249" s="16">
        <v>900</v>
      </c>
      <c r="DI249" s="16">
        <v>2619</v>
      </c>
      <c r="DJ249" s="16">
        <v>21954</v>
      </c>
      <c r="DK249" s="16">
        <v>1039</v>
      </c>
      <c r="DL249" s="16">
        <v>1047</v>
      </c>
      <c r="DM249" s="16">
        <v>17805</v>
      </c>
      <c r="DN249" s="16">
        <v>542</v>
      </c>
      <c r="DO249" s="16">
        <v>1624</v>
      </c>
      <c r="DP249" s="16">
        <v>4943</v>
      </c>
      <c r="DQ249" s="16">
        <v>1283</v>
      </c>
      <c r="DR249" s="16">
        <v>2379</v>
      </c>
      <c r="DS249" s="16">
        <v>47004</v>
      </c>
      <c r="DT249" s="16">
        <v>1803</v>
      </c>
      <c r="DU249" s="16">
        <v>2703</v>
      </c>
      <c r="DV249" s="16">
        <v>1221</v>
      </c>
      <c r="DW249" s="16">
        <v>11695</v>
      </c>
      <c r="DX249" s="16">
        <v>18793</v>
      </c>
      <c r="DY249" s="16">
        <v>12329</v>
      </c>
      <c r="DZ249" s="16">
        <v>65562</v>
      </c>
      <c r="EA249" s="16">
        <v>29836</v>
      </c>
      <c r="EB249" s="16">
        <v>213</v>
      </c>
      <c r="EC249" s="16">
        <v>6926</v>
      </c>
      <c r="ED249" s="16">
        <v>1363</v>
      </c>
      <c r="EE249" s="16">
        <v>12</v>
      </c>
      <c r="EF249" s="16">
        <v>639</v>
      </c>
      <c r="EG249" s="16">
        <v>4331</v>
      </c>
      <c r="EH249" s="16">
        <v>588</v>
      </c>
      <c r="EI249" s="16">
        <v>320</v>
      </c>
      <c r="EJ249" s="16">
        <v>1822</v>
      </c>
      <c r="EK249" s="16">
        <v>2165</v>
      </c>
      <c r="EL249" s="16">
        <v>831</v>
      </c>
      <c r="EM249" s="16">
        <v>3598</v>
      </c>
      <c r="EN249" s="16">
        <v>103932</v>
      </c>
      <c r="EO249" s="16">
        <v>20487</v>
      </c>
      <c r="EP249" s="16">
        <v>1965</v>
      </c>
      <c r="EQ249" s="16">
        <v>4603</v>
      </c>
      <c r="ER249" s="16">
        <v>821</v>
      </c>
      <c r="ES249" s="16">
        <v>1694</v>
      </c>
      <c r="ET249" s="16">
        <v>13703</v>
      </c>
      <c r="EU249" s="16">
        <v>25</v>
      </c>
      <c r="EV249" s="16">
        <v>187</v>
      </c>
      <c r="EW249" s="16">
        <v>38</v>
      </c>
      <c r="EX249" s="16">
        <v>89097</v>
      </c>
      <c r="EY249" s="16">
        <v>4604</v>
      </c>
      <c r="EZ249" s="16">
        <v>223</v>
      </c>
      <c r="FA249" s="16">
        <v>587</v>
      </c>
      <c r="FB249" s="16">
        <v>2924</v>
      </c>
      <c r="FC249" s="16">
        <v>50</v>
      </c>
      <c r="FD249" s="16">
        <v>8951</v>
      </c>
      <c r="FE249" s="16">
        <v>2564</v>
      </c>
      <c r="FF249" s="16">
        <v>1273</v>
      </c>
      <c r="FG249" s="16">
        <v>1808</v>
      </c>
      <c r="FH249" s="16">
        <v>21</v>
      </c>
      <c r="FI249" s="16">
        <v>2582</v>
      </c>
      <c r="FJ249" s="16">
        <v>287</v>
      </c>
      <c r="FK249" s="16">
        <v>545</v>
      </c>
      <c r="FL249" s="16">
        <v>46</v>
      </c>
      <c r="FM249" s="16">
        <v>1855</v>
      </c>
      <c r="FN249" s="16">
        <v>21154</v>
      </c>
      <c r="FO249" s="16">
        <v>1149</v>
      </c>
      <c r="FP249" s="16">
        <v>7413</v>
      </c>
      <c r="FQ249" s="16">
        <v>9994</v>
      </c>
      <c r="FR249" s="16">
        <v>21357</v>
      </c>
      <c r="FS249" s="16">
        <v>10241</v>
      </c>
      <c r="FT249" s="16">
        <v>2489</v>
      </c>
      <c r="FU249" s="16">
        <v>13489</v>
      </c>
      <c r="FV249" s="16">
        <v>25601</v>
      </c>
      <c r="FW249" s="16">
        <v>12744</v>
      </c>
      <c r="FX249" s="16">
        <v>22694</v>
      </c>
      <c r="FY249" s="16">
        <v>3273</v>
      </c>
      <c r="FZ249" s="16">
        <v>13804</v>
      </c>
      <c r="GA249" s="16">
        <v>3602</v>
      </c>
      <c r="GB249" s="16">
        <v>66324</v>
      </c>
      <c r="GC249" s="16">
        <v>9852</v>
      </c>
      <c r="GD249" s="16">
        <v>18785</v>
      </c>
      <c r="GE249" s="16">
        <v>58</v>
      </c>
      <c r="GF249" s="16">
        <v>2315</v>
      </c>
      <c r="GG249" s="16">
        <v>4</v>
      </c>
      <c r="GH249" s="16">
        <v>1136</v>
      </c>
      <c r="GI249" s="16">
        <v>184</v>
      </c>
      <c r="GJ249" s="16">
        <v>283</v>
      </c>
      <c r="GK249" s="16">
        <v>432</v>
      </c>
      <c r="GL249" s="16">
        <v>44</v>
      </c>
      <c r="GM249" s="16">
        <v>68</v>
      </c>
      <c r="GN249" s="16">
        <v>107</v>
      </c>
      <c r="GO249" s="16">
        <v>793</v>
      </c>
      <c r="GP249" s="16">
        <v>75</v>
      </c>
      <c r="GQ249" s="16">
        <v>420</v>
      </c>
      <c r="GR249" s="16">
        <v>232</v>
      </c>
      <c r="GS249" s="16">
        <v>30</v>
      </c>
      <c r="GT249" s="16">
        <v>110</v>
      </c>
      <c r="GU249" s="16">
        <v>923</v>
      </c>
      <c r="GV249" s="16">
        <v>4933</v>
      </c>
      <c r="GW249" s="16">
        <v>643</v>
      </c>
      <c r="GX249" s="16">
        <v>516</v>
      </c>
      <c r="GY249" s="16">
        <v>8</v>
      </c>
      <c r="GZ249" s="16">
        <v>14668</v>
      </c>
      <c r="HA249" s="16">
        <v>1862</v>
      </c>
      <c r="HB249" s="16">
        <v>1397</v>
      </c>
      <c r="HC249" s="16">
        <v>5017</v>
      </c>
      <c r="HD249" s="16">
        <v>7039</v>
      </c>
      <c r="HE249" s="16">
        <v>552</v>
      </c>
      <c r="HF249" s="16">
        <v>12626</v>
      </c>
      <c r="HG249" s="16">
        <v>570</v>
      </c>
      <c r="HH249" s="16">
        <v>674</v>
      </c>
      <c r="HI249" s="16">
        <v>2319</v>
      </c>
      <c r="HJ249" s="16">
        <v>121</v>
      </c>
      <c r="HK249" s="16">
        <v>239</v>
      </c>
      <c r="HL249" s="16">
        <v>22582</v>
      </c>
      <c r="HM249" s="16">
        <v>11766</v>
      </c>
      <c r="HN249" s="16">
        <v>4965</v>
      </c>
      <c r="HO249" s="16">
        <v>2218</v>
      </c>
      <c r="HP249" s="16">
        <v>3805</v>
      </c>
      <c r="HQ249" s="16">
        <v>155331</v>
      </c>
      <c r="HR249" s="16">
        <v>13062</v>
      </c>
      <c r="HS249" s="16">
        <v>3989</v>
      </c>
      <c r="HT249" s="16">
        <v>323</v>
      </c>
      <c r="HU249" s="16">
        <v>9902</v>
      </c>
      <c r="HV249" s="16">
        <v>232155</v>
      </c>
      <c r="HW249" s="16">
        <v>146435</v>
      </c>
      <c r="HX249" s="16">
        <v>4082</v>
      </c>
      <c r="HY249" s="16">
        <v>3684</v>
      </c>
      <c r="HZ249" s="16">
        <v>3594</v>
      </c>
      <c r="IA249" s="16">
        <v>1022</v>
      </c>
      <c r="IB249" s="16">
        <v>767</v>
      </c>
      <c r="IC249" s="16">
        <v>288</v>
      </c>
      <c r="ID249" s="16">
        <v>16786</v>
      </c>
      <c r="IE249" s="16">
        <v>123</v>
      </c>
      <c r="IF249" s="16">
        <v>2279</v>
      </c>
      <c r="IG249" s="16">
        <v>23382</v>
      </c>
      <c r="IH249" s="16">
        <v>31252860</v>
      </c>
      <c r="II249" s="16">
        <v>3726882</v>
      </c>
      <c r="IJ249" s="16">
        <v>1213739</v>
      </c>
      <c r="IK249" s="16">
        <v>2605819</v>
      </c>
      <c r="IL249" s="16">
        <v>358326</v>
      </c>
      <c r="IM249" s="16">
        <v>38132</v>
      </c>
      <c r="IN249" s="16">
        <v>48469</v>
      </c>
      <c r="IO249" s="16">
        <v>27146231</v>
      </c>
      <c r="IP249" s="16">
        <v>87</v>
      </c>
      <c r="IQ249" s="16">
        <v>14</v>
      </c>
      <c r="IR249" s="16">
        <v>290</v>
      </c>
      <c r="IS249" s="16">
        <v>1789</v>
      </c>
      <c r="IT249" s="16">
        <v>72</v>
      </c>
      <c r="IU249" s="16">
        <v>3</v>
      </c>
      <c r="IV249" s="16">
        <v>170700</v>
      </c>
      <c r="IW249" s="16">
        <v>3231</v>
      </c>
      <c r="IX249" s="16">
        <v>3024</v>
      </c>
      <c r="IY249" s="16">
        <v>373</v>
      </c>
      <c r="IZ249" s="16">
        <v>24</v>
      </c>
      <c r="JA249" s="16">
        <v>1361</v>
      </c>
      <c r="JB249" s="16">
        <v>90</v>
      </c>
      <c r="JC249" s="16">
        <v>392</v>
      </c>
      <c r="JD249" s="16">
        <v>134</v>
      </c>
      <c r="JE249" s="16">
        <v>2057</v>
      </c>
      <c r="JF249" s="16">
        <v>2118</v>
      </c>
      <c r="JG249" s="16">
        <v>3298583</v>
      </c>
      <c r="JH249" s="16">
        <v>2433</v>
      </c>
      <c r="JI249" s="16">
        <v>290</v>
      </c>
      <c r="JJ249" s="16">
        <v>3069</v>
      </c>
      <c r="JK249" s="16">
        <v>822</v>
      </c>
      <c r="JL249" s="16">
        <v>41</v>
      </c>
      <c r="JM249" s="16">
        <v>1150</v>
      </c>
      <c r="JN249" s="16">
        <v>20742</v>
      </c>
      <c r="JO249" s="16">
        <v>1388</v>
      </c>
      <c r="JP249" s="16">
        <v>9009</v>
      </c>
      <c r="JQ249" s="16">
        <v>8659</v>
      </c>
      <c r="JR249" s="16">
        <v>183016</v>
      </c>
      <c r="JS249" s="16">
        <v>87322</v>
      </c>
      <c r="JT249" s="16">
        <v>1</v>
      </c>
      <c r="JU249" s="16">
        <v>219033</v>
      </c>
      <c r="JV249" s="16">
        <v>12191</v>
      </c>
      <c r="JW249" s="16">
        <v>3980</v>
      </c>
      <c r="JX249" s="16">
        <v>5283</v>
      </c>
      <c r="JY249" s="16">
        <v>9507</v>
      </c>
      <c r="JZ249" s="16">
        <v>2353</v>
      </c>
      <c r="KA249" s="16">
        <v>1176</v>
      </c>
      <c r="KB249" s="16">
        <v>225</v>
      </c>
      <c r="KC249" s="16">
        <v>451</v>
      </c>
      <c r="KD249" s="16">
        <v>813</v>
      </c>
      <c r="KE249" s="16">
        <v>449</v>
      </c>
      <c r="KF249" s="16">
        <v>4314</v>
      </c>
      <c r="KG249" s="16">
        <v>793</v>
      </c>
      <c r="KH249" s="16">
        <v>106</v>
      </c>
      <c r="KI249" s="16">
        <v>470</v>
      </c>
      <c r="KJ249" s="16">
        <v>480</v>
      </c>
      <c r="KK249" s="16">
        <v>631057</v>
      </c>
      <c r="KL249" s="16">
        <v>208</v>
      </c>
      <c r="KM249" s="16">
        <v>183730</v>
      </c>
      <c r="KN249" s="16">
        <v>1912222</v>
      </c>
      <c r="KO249" s="16">
        <v>1354</v>
      </c>
      <c r="KP249" s="16">
        <v>82</v>
      </c>
      <c r="KQ249" s="16">
        <v>999</v>
      </c>
      <c r="KR249" s="16">
        <v>207325</v>
      </c>
      <c r="KS249" s="16">
        <v>86</v>
      </c>
      <c r="KT249" s="16">
        <v>1136</v>
      </c>
      <c r="KU249" s="16">
        <v>232476</v>
      </c>
      <c r="KV249" s="16">
        <v>159565</v>
      </c>
      <c r="KW249" s="16">
        <v>316019</v>
      </c>
      <c r="KX249" s="16">
        <v>798</v>
      </c>
      <c r="KY249" s="16">
        <v>812429</v>
      </c>
      <c r="KZ249" s="16">
        <v>51847</v>
      </c>
      <c r="LA249" s="16">
        <v>13906</v>
      </c>
      <c r="LB249" s="16">
        <v>2101</v>
      </c>
      <c r="LC249" s="16">
        <v>12854</v>
      </c>
      <c r="LD249" s="16">
        <v>20979</v>
      </c>
      <c r="LE249" s="16">
        <v>3288</v>
      </c>
      <c r="LF249" s="16">
        <v>404</v>
      </c>
      <c r="LG249" s="16">
        <v>288</v>
      </c>
      <c r="LH249" s="16">
        <v>2902</v>
      </c>
      <c r="LI249" s="16">
        <v>9</v>
      </c>
      <c r="LJ249" s="16">
        <v>1445</v>
      </c>
      <c r="LK249" s="16">
        <v>4146</v>
      </c>
      <c r="LL249" s="16">
        <v>4310</v>
      </c>
      <c r="LM249" s="16">
        <v>30338</v>
      </c>
      <c r="LN249" s="16">
        <v>43707</v>
      </c>
      <c r="LO249" s="16">
        <v>1753</v>
      </c>
      <c r="LP249" s="16">
        <v>37229</v>
      </c>
      <c r="LQ249" s="16">
        <v>7038</v>
      </c>
      <c r="LR249" s="16">
        <v>6241</v>
      </c>
      <c r="LS249" s="16">
        <v>1531</v>
      </c>
      <c r="LT249" s="16">
        <v>5256</v>
      </c>
      <c r="LU249" s="16">
        <v>2002</v>
      </c>
      <c r="LV249" s="16">
        <v>57</v>
      </c>
      <c r="LW249" s="16">
        <v>1522</v>
      </c>
      <c r="LX249" s="16">
        <v>5876</v>
      </c>
      <c r="LY249" s="16">
        <v>0</v>
      </c>
      <c r="LZ249" s="16">
        <v>8861</v>
      </c>
      <c r="MA249" s="16">
        <v>12230</v>
      </c>
      <c r="MB249" s="16">
        <v>21299</v>
      </c>
      <c r="MC249" s="16">
        <v>14090</v>
      </c>
      <c r="MD249" s="16">
        <v>3424</v>
      </c>
      <c r="ME249" s="16">
        <v>8</v>
      </c>
      <c r="MF249" s="16">
        <v>66847</v>
      </c>
      <c r="MG249" s="16">
        <v>50159</v>
      </c>
      <c r="MH249" s="16">
        <v>71611</v>
      </c>
      <c r="MI249" s="16">
        <v>1095</v>
      </c>
      <c r="MJ249" s="16">
        <v>1597</v>
      </c>
      <c r="MK249" s="16">
        <v>11539</v>
      </c>
      <c r="ML249" s="16">
        <v>1702</v>
      </c>
      <c r="MM249" s="16">
        <v>41445</v>
      </c>
      <c r="MN249" s="16">
        <v>510695</v>
      </c>
      <c r="MO249" s="16">
        <v>48281</v>
      </c>
      <c r="MP249" s="16">
        <v>24916</v>
      </c>
      <c r="MQ249" s="16">
        <v>32281</v>
      </c>
      <c r="MR249" s="16">
        <v>255948</v>
      </c>
      <c r="MS249" s="16">
        <v>5022</v>
      </c>
      <c r="MT249" s="16">
        <v>11361</v>
      </c>
      <c r="MU249" s="16">
        <v>7133</v>
      </c>
      <c r="MV249" s="16">
        <v>8851</v>
      </c>
      <c r="MW249" s="16">
        <v>113566</v>
      </c>
      <c r="MX249" s="16">
        <v>404</v>
      </c>
      <c r="MY249" s="16">
        <v>7495</v>
      </c>
      <c r="MZ249" s="16">
        <v>80441</v>
      </c>
      <c r="NA249" s="16">
        <v>299</v>
      </c>
      <c r="NB249" s="16">
        <v>63687</v>
      </c>
      <c r="NC249" s="16">
        <v>859</v>
      </c>
      <c r="ND249" s="16">
        <v>12391</v>
      </c>
      <c r="NE249" s="16">
        <v>2667</v>
      </c>
      <c r="NF249" s="16">
        <v>11098</v>
      </c>
      <c r="NG249" s="16">
        <v>24772</v>
      </c>
      <c r="NH249" s="16">
        <v>13610</v>
      </c>
      <c r="NI249" s="16">
        <v>9327</v>
      </c>
      <c r="NJ249" s="16">
        <v>90287</v>
      </c>
      <c r="NK249" s="16">
        <v>6814199</v>
      </c>
      <c r="NL249" s="16">
        <v>2407</v>
      </c>
      <c r="NM249" s="16">
        <v>3555</v>
      </c>
      <c r="NN249" s="16">
        <v>1592</v>
      </c>
      <c r="NO249" s="16">
        <v>0</v>
      </c>
      <c r="NP249" s="16">
        <v>22512</v>
      </c>
      <c r="NQ249" s="16">
        <v>1589</v>
      </c>
      <c r="NR249" s="17">
        <v>85511499</v>
      </c>
    </row>
    <row r="250" spans="1:382" ht="13.5" customHeight="1" x14ac:dyDescent="0.2">
      <c r="A250" s="2" t="s">
        <v>507</v>
      </c>
      <c r="B250" s="16">
        <v>0</v>
      </c>
      <c r="C250" s="16">
        <v>0</v>
      </c>
      <c r="D250" s="16">
        <v>0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  <c r="AY250" s="16">
        <v>0</v>
      </c>
      <c r="AZ250" s="16">
        <v>0</v>
      </c>
      <c r="BA250" s="16">
        <v>0</v>
      </c>
      <c r="BB250" s="16">
        <v>0</v>
      </c>
      <c r="BC250" s="16">
        <v>0</v>
      </c>
      <c r="BD250" s="16">
        <v>0</v>
      </c>
      <c r="BE250" s="16">
        <v>0</v>
      </c>
      <c r="BF250" s="16">
        <v>0</v>
      </c>
      <c r="BG250" s="16">
        <v>0</v>
      </c>
      <c r="BH250" s="16">
        <v>0</v>
      </c>
      <c r="BI250" s="16">
        <v>0</v>
      </c>
      <c r="BJ250" s="16">
        <v>0</v>
      </c>
      <c r="BK250" s="16">
        <v>0</v>
      </c>
      <c r="BL250" s="16">
        <v>0</v>
      </c>
      <c r="BM250" s="16">
        <v>0</v>
      </c>
      <c r="BN250" s="16">
        <v>0</v>
      </c>
      <c r="BO250" s="16">
        <v>0</v>
      </c>
      <c r="BP250" s="16">
        <v>0</v>
      </c>
      <c r="BQ250" s="16">
        <v>0</v>
      </c>
      <c r="BR250" s="16">
        <v>0</v>
      </c>
      <c r="BS250" s="16">
        <v>0</v>
      </c>
      <c r="BT250" s="16">
        <v>0</v>
      </c>
      <c r="BU250" s="16">
        <v>0</v>
      </c>
      <c r="BV250" s="16">
        <v>0</v>
      </c>
      <c r="BW250" s="16">
        <v>0</v>
      </c>
      <c r="BX250" s="16">
        <v>0</v>
      </c>
      <c r="BY250" s="16">
        <v>0</v>
      </c>
      <c r="BZ250" s="16">
        <v>0</v>
      </c>
      <c r="CA250" s="16">
        <v>0</v>
      </c>
      <c r="CB250" s="16">
        <v>0</v>
      </c>
      <c r="CC250" s="16">
        <v>0</v>
      </c>
      <c r="CD250" s="16">
        <v>0</v>
      </c>
      <c r="CE250" s="16">
        <v>0</v>
      </c>
      <c r="CF250" s="16">
        <v>0</v>
      </c>
      <c r="CG250" s="16">
        <v>0</v>
      </c>
      <c r="CH250" s="16">
        <v>0</v>
      </c>
      <c r="CI250" s="16">
        <v>0</v>
      </c>
      <c r="CJ250" s="16">
        <v>0</v>
      </c>
      <c r="CK250" s="16">
        <v>0</v>
      </c>
      <c r="CL250" s="16">
        <v>0</v>
      </c>
      <c r="CM250" s="16">
        <v>0</v>
      </c>
      <c r="CN250" s="16">
        <v>0</v>
      </c>
      <c r="CO250" s="16">
        <v>0</v>
      </c>
      <c r="CP250" s="16">
        <v>0</v>
      </c>
      <c r="CQ250" s="16">
        <v>0</v>
      </c>
      <c r="CR250" s="16">
        <v>0</v>
      </c>
      <c r="CS250" s="16">
        <v>0</v>
      </c>
      <c r="CT250" s="16">
        <v>0</v>
      </c>
      <c r="CU250" s="16">
        <v>0</v>
      </c>
      <c r="CV250" s="16">
        <v>0</v>
      </c>
      <c r="CW250" s="16">
        <v>0</v>
      </c>
      <c r="CX250" s="16">
        <v>0</v>
      </c>
      <c r="CY250" s="16">
        <v>0</v>
      </c>
      <c r="CZ250" s="16">
        <v>0</v>
      </c>
      <c r="DA250" s="16">
        <v>0</v>
      </c>
      <c r="DB250" s="16">
        <v>0</v>
      </c>
      <c r="DC250" s="16">
        <v>0</v>
      </c>
      <c r="DD250" s="16">
        <v>0</v>
      </c>
      <c r="DE250" s="16">
        <v>0</v>
      </c>
      <c r="DF250" s="16">
        <v>0</v>
      </c>
      <c r="DG250" s="16">
        <v>0</v>
      </c>
      <c r="DH250" s="16">
        <v>0</v>
      </c>
      <c r="DI250" s="16">
        <v>0</v>
      </c>
      <c r="DJ250" s="16">
        <v>0</v>
      </c>
      <c r="DK250" s="16">
        <v>0</v>
      </c>
      <c r="DL250" s="16">
        <v>0</v>
      </c>
      <c r="DM250" s="16">
        <v>0</v>
      </c>
      <c r="DN250" s="16">
        <v>0</v>
      </c>
      <c r="DO250" s="16">
        <v>0</v>
      </c>
      <c r="DP250" s="16">
        <v>0</v>
      </c>
      <c r="DQ250" s="16">
        <v>0</v>
      </c>
      <c r="DR250" s="16">
        <v>0</v>
      </c>
      <c r="DS250" s="16">
        <v>0</v>
      </c>
      <c r="DT250" s="16">
        <v>0</v>
      </c>
      <c r="DU250" s="16">
        <v>0</v>
      </c>
      <c r="DV250" s="16">
        <v>0</v>
      </c>
      <c r="DW250" s="16">
        <v>0</v>
      </c>
      <c r="DX250" s="16">
        <v>0</v>
      </c>
      <c r="DY250" s="16">
        <v>0</v>
      </c>
      <c r="DZ250" s="16">
        <v>0</v>
      </c>
      <c r="EA250" s="16">
        <v>0</v>
      </c>
      <c r="EB250" s="16">
        <v>0</v>
      </c>
      <c r="EC250" s="16">
        <v>0</v>
      </c>
      <c r="ED250" s="16">
        <v>0</v>
      </c>
      <c r="EE250" s="16">
        <v>0</v>
      </c>
      <c r="EF250" s="16">
        <v>0</v>
      </c>
      <c r="EG250" s="16">
        <v>0</v>
      </c>
      <c r="EH250" s="16">
        <v>0</v>
      </c>
      <c r="EI250" s="16">
        <v>0</v>
      </c>
      <c r="EJ250" s="16">
        <v>0</v>
      </c>
      <c r="EK250" s="16">
        <v>0</v>
      </c>
      <c r="EL250" s="16">
        <v>0</v>
      </c>
      <c r="EM250" s="16">
        <v>0</v>
      </c>
      <c r="EN250" s="16">
        <v>0</v>
      </c>
      <c r="EO250" s="16">
        <v>0</v>
      </c>
      <c r="EP250" s="16">
        <v>0</v>
      </c>
      <c r="EQ250" s="16">
        <v>0</v>
      </c>
      <c r="ER250" s="16">
        <v>0</v>
      </c>
      <c r="ES250" s="16">
        <v>0</v>
      </c>
      <c r="ET250" s="16">
        <v>0</v>
      </c>
      <c r="EU250" s="16">
        <v>0</v>
      </c>
      <c r="EV250" s="16">
        <v>0</v>
      </c>
      <c r="EW250" s="16">
        <v>0</v>
      </c>
      <c r="EX250" s="16">
        <v>0</v>
      </c>
      <c r="EY250" s="16">
        <v>0</v>
      </c>
      <c r="EZ250" s="16">
        <v>0</v>
      </c>
      <c r="FA250" s="16">
        <v>0</v>
      </c>
      <c r="FB250" s="16">
        <v>0</v>
      </c>
      <c r="FC250" s="16">
        <v>0</v>
      </c>
      <c r="FD250" s="16">
        <v>0</v>
      </c>
      <c r="FE250" s="16">
        <v>0</v>
      </c>
      <c r="FF250" s="16">
        <v>0</v>
      </c>
      <c r="FG250" s="16">
        <v>0</v>
      </c>
      <c r="FH250" s="16">
        <v>0</v>
      </c>
      <c r="FI250" s="16">
        <v>0</v>
      </c>
      <c r="FJ250" s="16">
        <v>0</v>
      </c>
      <c r="FK250" s="16">
        <v>0</v>
      </c>
      <c r="FL250" s="16">
        <v>0</v>
      </c>
      <c r="FM250" s="16">
        <v>0</v>
      </c>
      <c r="FN250" s="16">
        <v>0</v>
      </c>
      <c r="FO250" s="16">
        <v>0</v>
      </c>
      <c r="FP250" s="16">
        <v>0</v>
      </c>
      <c r="FQ250" s="16">
        <v>0</v>
      </c>
      <c r="FR250" s="16">
        <v>0</v>
      </c>
      <c r="FS250" s="16">
        <v>0</v>
      </c>
      <c r="FT250" s="16">
        <v>0</v>
      </c>
      <c r="FU250" s="16">
        <v>0</v>
      </c>
      <c r="FV250" s="16">
        <v>0</v>
      </c>
      <c r="FW250" s="16">
        <v>0</v>
      </c>
      <c r="FX250" s="16">
        <v>0</v>
      </c>
      <c r="FY250" s="16">
        <v>0</v>
      </c>
      <c r="FZ250" s="16">
        <v>0</v>
      </c>
      <c r="GA250" s="16">
        <v>0</v>
      </c>
      <c r="GB250" s="16">
        <v>0</v>
      </c>
      <c r="GC250" s="16">
        <v>0</v>
      </c>
      <c r="GD250" s="16">
        <v>0</v>
      </c>
      <c r="GE250" s="16">
        <v>0</v>
      </c>
      <c r="GF250" s="16">
        <v>0</v>
      </c>
      <c r="GG250" s="16">
        <v>0</v>
      </c>
      <c r="GH250" s="16">
        <v>0</v>
      </c>
      <c r="GI250" s="16">
        <v>0</v>
      </c>
      <c r="GJ250" s="16">
        <v>0</v>
      </c>
      <c r="GK250" s="16">
        <v>0</v>
      </c>
      <c r="GL250" s="16">
        <v>0</v>
      </c>
      <c r="GM250" s="16">
        <v>0</v>
      </c>
      <c r="GN250" s="16">
        <v>0</v>
      </c>
      <c r="GO250" s="16">
        <v>0</v>
      </c>
      <c r="GP250" s="16">
        <v>0</v>
      </c>
      <c r="GQ250" s="16">
        <v>0</v>
      </c>
      <c r="GR250" s="16">
        <v>0</v>
      </c>
      <c r="GS250" s="16">
        <v>0</v>
      </c>
      <c r="GT250" s="16">
        <v>0</v>
      </c>
      <c r="GU250" s="16">
        <v>0</v>
      </c>
      <c r="GV250" s="16">
        <v>0</v>
      </c>
      <c r="GW250" s="16">
        <v>0</v>
      </c>
      <c r="GX250" s="16">
        <v>0</v>
      </c>
      <c r="GY250" s="16">
        <v>0</v>
      </c>
      <c r="GZ250" s="16">
        <v>0</v>
      </c>
      <c r="HA250" s="16">
        <v>0</v>
      </c>
      <c r="HB250" s="16">
        <v>0</v>
      </c>
      <c r="HC250" s="16">
        <v>0</v>
      </c>
      <c r="HD250" s="16">
        <v>0</v>
      </c>
      <c r="HE250" s="16">
        <v>0</v>
      </c>
      <c r="HF250" s="16">
        <v>0</v>
      </c>
      <c r="HG250" s="16">
        <v>0</v>
      </c>
      <c r="HH250" s="16">
        <v>0</v>
      </c>
      <c r="HI250" s="16">
        <v>0</v>
      </c>
      <c r="HJ250" s="16">
        <v>0</v>
      </c>
      <c r="HK250" s="16">
        <v>0</v>
      </c>
      <c r="HL250" s="16">
        <v>0</v>
      </c>
      <c r="HM250" s="16">
        <v>0</v>
      </c>
      <c r="HN250" s="16">
        <v>0</v>
      </c>
      <c r="HO250" s="16">
        <v>0</v>
      </c>
      <c r="HP250" s="16">
        <v>0</v>
      </c>
      <c r="HQ250" s="16">
        <v>0</v>
      </c>
      <c r="HR250" s="16">
        <v>0</v>
      </c>
      <c r="HS250" s="16">
        <v>0</v>
      </c>
      <c r="HT250" s="16">
        <v>0</v>
      </c>
      <c r="HU250" s="16">
        <v>0</v>
      </c>
      <c r="HV250" s="16">
        <v>0</v>
      </c>
      <c r="HW250" s="16">
        <v>0</v>
      </c>
      <c r="HX250" s="16">
        <v>0</v>
      </c>
      <c r="HY250" s="16">
        <v>0</v>
      </c>
      <c r="HZ250" s="16">
        <v>0</v>
      </c>
      <c r="IA250" s="16">
        <v>0</v>
      </c>
      <c r="IB250" s="16">
        <v>0</v>
      </c>
      <c r="IC250" s="16">
        <v>0</v>
      </c>
      <c r="ID250" s="16">
        <v>0</v>
      </c>
      <c r="IE250" s="16">
        <v>0</v>
      </c>
      <c r="IF250" s="16">
        <v>0</v>
      </c>
      <c r="IG250" s="16">
        <v>0</v>
      </c>
      <c r="IH250" s="16">
        <v>0</v>
      </c>
      <c r="II250" s="16">
        <v>0</v>
      </c>
      <c r="IJ250" s="16">
        <v>0</v>
      </c>
      <c r="IK250" s="16">
        <v>0</v>
      </c>
      <c r="IL250" s="16">
        <v>0</v>
      </c>
      <c r="IM250" s="16">
        <v>0</v>
      </c>
      <c r="IN250" s="16">
        <v>0</v>
      </c>
      <c r="IO250" s="16">
        <v>0</v>
      </c>
      <c r="IP250" s="16">
        <v>0</v>
      </c>
      <c r="IQ250" s="16">
        <v>0</v>
      </c>
      <c r="IR250" s="16">
        <v>0</v>
      </c>
      <c r="IS250" s="16">
        <v>0</v>
      </c>
      <c r="IT250" s="16">
        <v>0</v>
      </c>
      <c r="IU250" s="16">
        <v>0</v>
      </c>
      <c r="IV250" s="16">
        <v>0</v>
      </c>
      <c r="IW250" s="16">
        <v>0</v>
      </c>
      <c r="IX250" s="16">
        <v>0</v>
      </c>
      <c r="IY250" s="16">
        <v>0</v>
      </c>
      <c r="IZ250" s="16">
        <v>0</v>
      </c>
      <c r="JA250" s="16">
        <v>0</v>
      </c>
      <c r="JB250" s="16">
        <v>0</v>
      </c>
      <c r="JC250" s="16">
        <v>0</v>
      </c>
      <c r="JD250" s="16">
        <v>0</v>
      </c>
      <c r="JE250" s="16">
        <v>0</v>
      </c>
      <c r="JF250" s="16">
        <v>0</v>
      </c>
      <c r="JG250" s="16">
        <v>0</v>
      </c>
      <c r="JH250" s="16">
        <v>0</v>
      </c>
      <c r="JI250" s="16">
        <v>0</v>
      </c>
      <c r="JJ250" s="16">
        <v>0</v>
      </c>
      <c r="JK250" s="16">
        <v>0</v>
      </c>
      <c r="JL250" s="16">
        <v>0</v>
      </c>
      <c r="JM250" s="16">
        <v>0</v>
      </c>
      <c r="JN250" s="16">
        <v>0</v>
      </c>
      <c r="JO250" s="16">
        <v>0</v>
      </c>
      <c r="JP250" s="16">
        <v>0</v>
      </c>
      <c r="JQ250" s="16">
        <v>0</v>
      </c>
      <c r="JR250" s="16">
        <v>0</v>
      </c>
      <c r="JS250" s="16">
        <v>0</v>
      </c>
      <c r="JT250" s="16">
        <v>0</v>
      </c>
      <c r="JU250" s="16">
        <v>0</v>
      </c>
      <c r="JV250" s="16">
        <v>0</v>
      </c>
      <c r="JW250" s="16">
        <v>0</v>
      </c>
      <c r="JX250" s="16">
        <v>0</v>
      </c>
      <c r="JY250" s="16">
        <v>0</v>
      </c>
      <c r="JZ250" s="16">
        <v>0</v>
      </c>
      <c r="KA250" s="16">
        <v>0</v>
      </c>
      <c r="KB250" s="16">
        <v>0</v>
      </c>
      <c r="KC250" s="16">
        <v>0</v>
      </c>
      <c r="KD250" s="16">
        <v>0</v>
      </c>
      <c r="KE250" s="16">
        <v>0</v>
      </c>
      <c r="KF250" s="16">
        <v>0</v>
      </c>
      <c r="KG250" s="16">
        <v>0</v>
      </c>
      <c r="KH250" s="16">
        <v>0</v>
      </c>
      <c r="KI250" s="16">
        <v>0</v>
      </c>
      <c r="KJ250" s="16">
        <v>0</v>
      </c>
      <c r="KK250" s="16">
        <v>0</v>
      </c>
      <c r="KL250" s="16">
        <v>0</v>
      </c>
      <c r="KM250" s="16">
        <v>0</v>
      </c>
      <c r="KN250" s="16">
        <v>0</v>
      </c>
      <c r="KO250" s="16">
        <v>0</v>
      </c>
      <c r="KP250" s="16">
        <v>0</v>
      </c>
      <c r="KQ250" s="16">
        <v>0</v>
      </c>
      <c r="KR250" s="16">
        <v>0</v>
      </c>
      <c r="KS250" s="16">
        <v>0</v>
      </c>
      <c r="KT250" s="16">
        <v>0</v>
      </c>
      <c r="KU250" s="16">
        <v>0</v>
      </c>
      <c r="KV250" s="16">
        <v>0</v>
      </c>
      <c r="KW250" s="16">
        <v>0</v>
      </c>
      <c r="KX250" s="16">
        <v>0</v>
      </c>
      <c r="KY250" s="16">
        <v>0</v>
      </c>
      <c r="KZ250" s="16">
        <v>0</v>
      </c>
      <c r="LA250" s="16">
        <v>0</v>
      </c>
      <c r="LB250" s="16">
        <v>0</v>
      </c>
      <c r="LC250" s="16">
        <v>0</v>
      </c>
      <c r="LD250" s="16">
        <v>0</v>
      </c>
      <c r="LE250" s="16">
        <v>0</v>
      </c>
      <c r="LF250" s="16">
        <v>0</v>
      </c>
      <c r="LG250" s="16">
        <v>0</v>
      </c>
      <c r="LH250" s="16">
        <v>0</v>
      </c>
      <c r="LI250" s="16">
        <v>0</v>
      </c>
      <c r="LJ250" s="16">
        <v>0</v>
      </c>
      <c r="LK250" s="16">
        <v>0</v>
      </c>
      <c r="LL250" s="16">
        <v>0</v>
      </c>
      <c r="LM250" s="16">
        <v>0</v>
      </c>
      <c r="LN250" s="16">
        <v>0</v>
      </c>
      <c r="LO250" s="16">
        <v>0</v>
      </c>
      <c r="LP250" s="16">
        <v>0</v>
      </c>
      <c r="LQ250" s="16">
        <v>0</v>
      </c>
      <c r="LR250" s="16">
        <v>0</v>
      </c>
      <c r="LS250" s="16">
        <v>0</v>
      </c>
      <c r="LT250" s="16">
        <v>0</v>
      </c>
      <c r="LU250" s="16">
        <v>0</v>
      </c>
      <c r="LV250" s="16">
        <v>0</v>
      </c>
      <c r="LW250" s="16">
        <v>0</v>
      </c>
      <c r="LX250" s="16">
        <v>0</v>
      </c>
      <c r="LY250" s="16">
        <v>0</v>
      </c>
      <c r="LZ250" s="16">
        <v>0</v>
      </c>
      <c r="MA250" s="16">
        <v>0</v>
      </c>
      <c r="MB250" s="16">
        <v>0</v>
      </c>
      <c r="MC250" s="16">
        <v>0</v>
      </c>
      <c r="MD250" s="16">
        <v>0</v>
      </c>
      <c r="ME250" s="16">
        <v>0</v>
      </c>
      <c r="MF250" s="16">
        <v>1248381</v>
      </c>
      <c r="MG250" s="16">
        <v>0</v>
      </c>
      <c r="MH250" s="16">
        <v>0</v>
      </c>
      <c r="MI250" s="16">
        <v>0</v>
      </c>
      <c r="MJ250" s="16">
        <v>0</v>
      </c>
      <c r="MK250" s="16">
        <v>0</v>
      </c>
      <c r="ML250" s="16">
        <v>0</v>
      </c>
      <c r="MM250" s="16">
        <v>0</v>
      </c>
      <c r="MN250" s="16">
        <v>0</v>
      </c>
      <c r="MO250" s="16">
        <v>0</v>
      </c>
      <c r="MP250" s="16">
        <v>0</v>
      </c>
      <c r="MQ250" s="16">
        <v>0</v>
      </c>
      <c r="MR250" s="16">
        <v>0</v>
      </c>
      <c r="MS250" s="16">
        <v>0</v>
      </c>
      <c r="MT250" s="16">
        <v>0</v>
      </c>
      <c r="MU250" s="16">
        <v>0</v>
      </c>
      <c r="MV250" s="16">
        <v>0</v>
      </c>
      <c r="MW250" s="16">
        <v>0</v>
      </c>
      <c r="MX250" s="16">
        <v>0</v>
      </c>
      <c r="MY250" s="16">
        <v>0</v>
      </c>
      <c r="MZ250" s="16">
        <v>0</v>
      </c>
      <c r="NA250" s="16">
        <v>0</v>
      </c>
      <c r="NB250" s="16">
        <v>0</v>
      </c>
      <c r="NC250" s="16">
        <v>0</v>
      </c>
      <c r="ND250" s="16">
        <v>0</v>
      </c>
      <c r="NE250" s="16">
        <v>0</v>
      </c>
      <c r="NF250" s="16">
        <v>0</v>
      </c>
      <c r="NG250" s="16">
        <v>0</v>
      </c>
      <c r="NH250" s="16">
        <v>0</v>
      </c>
      <c r="NI250" s="16">
        <v>0</v>
      </c>
      <c r="NJ250" s="16">
        <v>0</v>
      </c>
      <c r="NK250" s="16">
        <v>0</v>
      </c>
      <c r="NL250" s="16">
        <v>0</v>
      </c>
      <c r="NM250" s="16">
        <v>0</v>
      </c>
      <c r="NN250" s="16">
        <v>0</v>
      </c>
      <c r="NO250" s="16">
        <v>0</v>
      </c>
      <c r="NP250" s="16">
        <v>0</v>
      </c>
      <c r="NQ250" s="16">
        <v>0</v>
      </c>
      <c r="NR250" s="17">
        <v>1248381</v>
      </c>
    </row>
    <row r="251" spans="1:382" ht="13.5" customHeight="1" x14ac:dyDescent="0.2">
      <c r="A251" s="2" t="s">
        <v>509</v>
      </c>
      <c r="B251" s="16">
        <v>0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  <c r="BB251" s="16">
        <v>0</v>
      </c>
      <c r="BC251" s="16">
        <v>0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>
        <v>0</v>
      </c>
      <c r="BO251" s="16">
        <v>0</v>
      </c>
      <c r="BP251" s="16">
        <v>0</v>
      </c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>
        <v>0</v>
      </c>
      <c r="CA251" s="16">
        <v>0</v>
      </c>
      <c r="CB251" s="16">
        <v>0</v>
      </c>
      <c r="CC251" s="16">
        <v>0</v>
      </c>
      <c r="CD251" s="16">
        <v>0</v>
      </c>
      <c r="CE251" s="16">
        <v>0</v>
      </c>
      <c r="CF251" s="16">
        <v>0</v>
      </c>
      <c r="CG251" s="16">
        <v>0</v>
      </c>
      <c r="CH251" s="16">
        <v>0</v>
      </c>
      <c r="CI251" s="16">
        <v>0</v>
      </c>
      <c r="CJ251" s="16">
        <v>0</v>
      </c>
      <c r="CK251" s="16">
        <v>0</v>
      </c>
      <c r="CL251" s="16">
        <v>0</v>
      </c>
      <c r="CM251" s="16">
        <v>0</v>
      </c>
      <c r="CN251" s="16">
        <v>0</v>
      </c>
      <c r="CO251" s="16">
        <v>0</v>
      </c>
      <c r="CP251" s="16">
        <v>0</v>
      </c>
      <c r="CQ251" s="16">
        <v>0</v>
      </c>
      <c r="CR251" s="16">
        <v>0</v>
      </c>
      <c r="CS251" s="16">
        <v>0</v>
      </c>
      <c r="CT251" s="16">
        <v>0</v>
      </c>
      <c r="CU251" s="16">
        <v>0</v>
      </c>
      <c r="CV251" s="16">
        <v>0</v>
      </c>
      <c r="CW251" s="16">
        <v>0</v>
      </c>
      <c r="CX251" s="16">
        <v>0</v>
      </c>
      <c r="CY251" s="16">
        <v>0</v>
      </c>
      <c r="CZ251" s="16">
        <v>0</v>
      </c>
      <c r="DA251" s="16">
        <v>0</v>
      </c>
      <c r="DB251" s="16">
        <v>0</v>
      </c>
      <c r="DC251" s="16">
        <v>0</v>
      </c>
      <c r="DD251" s="16">
        <v>0</v>
      </c>
      <c r="DE251" s="16">
        <v>0</v>
      </c>
      <c r="DF251" s="16">
        <v>0</v>
      </c>
      <c r="DG251" s="16">
        <v>0</v>
      </c>
      <c r="DH251" s="16">
        <v>0</v>
      </c>
      <c r="DI251" s="16">
        <v>0</v>
      </c>
      <c r="DJ251" s="16">
        <v>0</v>
      </c>
      <c r="DK251" s="16">
        <v>0</v>
      </c>
      <c r="DL251" s="16">
        <v>0</v>
      </c>
      <c r="DM251" s="16">
        <v>0</v>
      </c>
      <c r="DN251" s="16">
        <v>0</v>
      </c>
      <c r="DO251" s="16">
        <v>0</v>
      </c>
      <c r="DP251" s="16">
        <v>0</v>
      </c>
      <c r="DQ251" s="16">
        <v>0</v>
      </c>
      <c r="DR251" s="16">
        <v>0</v>
      </c>
      <c r="DS251" s="16">
        <v>0</v>
      </c>
      <c r="DT251" s="16">
        <v>0</v>
      </c>
      <c r="DU251" s="16">
        <v>0</v>
      </c>
      <c r="DV251" s="16">
        <v>0</v>
      </c>
      <c r="DW251" s="16">
        <v>0</v>
      </c>
      <c r="DX251" s="16">
        <v>0</v>
      </c>
      <c r="DY251" s="16">
        <v>0</v>
      </c>
      <c r="DZ251" s="16">
        <v>0</v>
      </c>
      <c r="EA251" s="16">
        <v>0</v>
      </c>
      <c r="EB251" s="16">
        <v>0</v>
      </c>
      <c r="EC251" s="16">
        <v>0</v>
      </c>
      <c r="ED251" s="16">
        <v>0</v>
      </c>
      <c r="EE251" s="16">
        <v>0</v>
      </c>
      <c r="EF251" s="16">
        <v>0</v>
      </c>
      <c r="EG251" s="16">
        <v>0</v>
      </c>
      <c r="EH251" s="16">
        <v>0</v>
      </c>
      <c r="EI251" s="16">
        <v>0</v>
      </c>
      <c r="EJ251" s="16">
        <v>0</v>
      </c>
      <c r="EK251" s="16">
        <v>0</v>
      </c>
      <c r="EL251" s="16">
        <v>0</v>
      </c>
      <c r="EM251" s="16">
        <v>0</v>
      </c>
      <c r="EN251" s="16">
        <v>0</v>
      </c>
      <c r="EO251" s="16">
        <v>0</v>
      </c>
      <c r="EP251" s="16">
        <v>0</v>
      </c>
      <c r="EQ251" s="16">
        <v>0</v>
      </c>
      <c r="ER251" s="16">
        <v>0</v>
      </c>
      <c r="ES251" s="16">
        <v>0</v>
      </c>
      <c r="ET251" s="16">
        <v>0</v>
      </c>
      <c r="EU251" s="16">
        <v>0</v>
      </c>
      <c r="EV251" s="16">
        <v>0</v>
      </c>
      <c r="EW251" s="16">
        <v>0</v>
      </c>
      <c r="EX251" s="16">
        <v>0</v>
      </c>
      <c r="EY251" s="16">
        <v>0</v>
      </c>
      <c r="EZ251" s="16">
        <v>0</v>
      </c>
      <c r="FA251" s="16">
        <v>0</v>
      </c>
      <c r="FB251" s="16">
        <v>0</v>
      </c>
      <c r="FC251" s="16">
        <v>0</v>
      </c>
      <c r="FD251" s="16">
        <v>0</v>
      </c>
      <c r="FE251" s="16">
        <v>0</v>
      </c>
      <c r="FF251" s="16">
        <v>0</v>
      </c>
      <c r="FG251" s="16">
        <v>0</v>
      </c>
      <c r="FH251" s="16">
        <v>0</v>
      </c>
      <c r="FI251" s="16">
        <v>0</v>
      </c>
      <c r="FJ251" s="16">
        <v>0</v>
      </c>
      <c r="FK251" s="16">
        <v>0</v>
      </c>
      <c r="FL251" s="16">
        <v>0</v>
      </c>
      <c r="FM251" s="16">
        <v>0</v>
      </c>
      <c r="FN251" s="16">
        <v>0</v>
      </c>
      <c r="FO251" s="16">
        <v>0</v>
      </c>
      <c r="FP251" s="16">
        <v>0</v>
      </c>
      <c r="FQ251" s="16">
        <v>0</v>
      </c>
      <c r="FR251" s="16">
        <v>0</v>
      </c>
      <c r="FS251" s="16">
        <v>0</v>
      </c>
      <c r="FT251" s="16">
        <v>0</v>
      </c>
      <c r="FU251" s="16">
        <v>0</v>
      </c>
      <c r="FV251" s="16">
        <v>0</v>
      </c>
      <c r="FW251" s="16">
        <v>0</v>
      </c>
      <c r="FX251" s="16">
        <v>0</v>
      </c>
      <c r="FY251" s="16">
        <v>0</v>
      </c>
      <c r="FZ251" s="16">
        <v>0</v>
      </c>
      <c r="GA251" s="16">
        <v>0</v>
      </c>
      <c r="GB251" s="16">
        <v>0</v>
      </c>
      <c r="GC251" s="16">
        <v>0</v>
      </c>
      <c r="GD251" s="16">
        <v>0</v>
      </c>
      <c r="GE251" s="16">
        <v>0</v>
      </c>
      <c r="GF251" s="16">
        <v>0</v>
      </c>
      <c r="GG251" s="16">
        <v>0</v>
      </c>
      <c r="GH251" s="16">
        <v>0</v>
      </c>
      <c r="GI251" s="16">
        <v>0</v>
      </c>
      <c r="GJ251" s="16">
        <v>0</v>
      </c>
      <c r="GK251" s="16">
        <v>0</v>
      </c>
      <c r="GL251" s="16">
        <v>0</v>
      </c>
      <c r="GM251" s="16">
        <v>0</v>
      </c>
      <c r="GN251" s="16">
        <v>0</v>
      </c>
      <c r="GO251" s="16">
        <v>0</v>
      </c>
      <c r="GP251" s="16">
        <v>0</v>
      </c>
      <c r="GQ251" s="16">
        <v>0</v>
      </c>
      <c r="GR251" s="16">
        <v>0</v>
      </c>
      <c r="GS251" s="16">
        <v>0</v>
      </c>
      <c r="GT251" s="16">
        <v>0</v>
      </c>
      <c r="GU251" s="16">
        <v>0</v>
      </c>
      <c r="GV251" s="16">
        <v>0</v>
      </c>
      <c r="GW251" s="16">
        <v>0</v>
      </c>
      <c r="GX251" s="16">
        <v>0</v>
      </c>
      <c r="GY251" s="16">
        <v>0</v>
      </c>
      <c r="GZ251" s="16">
        <v>0</v>
      </c>
      <c r="HA251" s="16">
        <v>0</v>
      </c>
      <c r="HB251" s="16">
        <v>0</v>
      </c>
      <c r="HC251" s="16">
        <v>0</v>
      </c>
      <c r="HD251" s="16">
        <v>0</v>
      </c>
      <c r="HE251" s="16">
        <v>0</v>
      </c>
      <c r="HF251" s="16">
        <v>0</v>
      </c>
      <c r="HG251" s="16">
        <v>0</v>
      </c>
      <c r="HH251" s="16">
        <v>0</v>
      </c>
      <c r="HI251" s="16">
        <v>0</v>
      </c>
      <c r="HJ251" s="16">
        <v>0</v>
      </c>
      <c r="HK251" s="16">
        <v>0</v>
      </c>
      <c r="HL251" s="16">
        <v>0</v>
      </c>
      <c r="HM251" s="16">
        <v>0</v>
      </c>
      <c r="HN251" s="16">
        <v>0</v>
      </c>
      <c r="HO251" s="16">
        <v>0</v>
      </c>
      <c r="HP251" s="16">
        <v>0</v>
      </c>
      <c r="HQ251" s="16">
        <v>0</v>
      </c>
      <c r="HR251" s="16">
        <v>0</v>
      </c>
      <c r="HS251" s="16">
        <v>0</v>
      </c>
      <c r="HT251" s="16">
        <v>0</v>
      </c>
      <c r="HU251" s="16">
        <v>0</v>
      </c>
      <c r="HV251" s="16">
        <v>0</v>
      </c>
      <c r="HW251" s="16">
        <v>0</v>
      </c>
      <c r="HX251" s="16">
        <v>0</v>
      </c>
      <c r="HY251" s="16">
        <v>0</v>
      </c>
      <c r="HZ251" s="16">
        <v>0</v>
      </c>
      <c r="IA251" s="16">
        <v>0</v>
      </c>
      <c r="IB251" s="16">
        <v>0</v>
      </c>
      <c r="IC251" s="16">
        <v>0</v>
      </c>
      <c r="ID251" s="16">
        <v>0</v>
      </c>
      <c r="IE251" s="16">
        <v>0</v>
      </c>
      <c r="IF251" s="16">
        <v>0</v>
      </c>
      <c r="IG251" s="16">
        <v>0</v>
      </c>
      <c r="IH251" s="16">
        <v>0</v>
      </c>
      <c r="II251" s="16">
        <v>0</v>
      </c>
      <c r="IJ251" s="16">
        <v>0</v>
      </c>
      <c r="IK251" s="16">
        <v>0</v>
      </c>
      <c r="IL251" s="16">
        <v>0</v>
      </c>
      <c r="IM251" s="16">
        <v>0</v>
      </c>
      <c r="IN251" s="16">
        <v>0</v>
      </c>
      <c r="IO251" s="16">
        <v>0</v>
      </c>
      <c r="IP251" s="16">
        <v>41653</v>
      </c>
      <c r="IQ251" s="16">
        <v>467</v>
      </c>
      <c r="IR251" s="16">
        <v>153</v>
      </c>
      <c r="IS251" s="16">
        <v>0</v>
      </c>
      <c r="IT251" s="16">
        <v>0</v>
      </c>
      <c r="IU251" s="16">
        <v>0</v>
      </c>
      <c r="IV251" s="16">
        <v>0</v>
      </c>
      <c r="IW251" s="16">
        <v>0</v>
      </c>
      <c r="IX251" s="16">
        <v>0</v>
      </c>
      <c r="IY251" s="16">
        <v>0</v>
      </c>
      <c r="IZ251" s="16">
        <v>0</v>
      </c>
      <c r="JA251" s="16">
        <v>0</v>
      </c>
      <c r="JB251" s="16">
        <v>0</v>
      </c>
      <c r="JC251" s="16">
        <v>0</v>
      </c>
      <c r="JD251" s="16">
        <v>0</v>
      </c>
      <c r="JE251" s="16">
        <v>0</v>
      </c>
      <c r="JF251" s="16">
        <v>0</v>
      </c>
      <c r="JG251" s="16">
        <v>1043</v>
      </c>
      <c r="JH251" s="16">
        <v>0</v>
      </c>
      <c r="JI251" s="16">
        <v>0</v>
      </c>
      <c r="JJ251" s="16">
        <v>0</v>
      </c>
      <c r="JK251" s="16">
        <v>0</v>
      </c>
      <c r="JL251" s="16">
        <v>0</v>
      </c>
      <c r="JM251" s="16">
        <v>0</v>
      </c>
      <c r="JN251" s="16">
        <v>0</v>
      </c>
      <c r="JO251" s="16">
        <v>0</v>
      </c>
      <c r="JP251" s="16">
        <v>0</v>
      </c>
      <c r="JQ251" s="16">
        <v>0</v>
      </c>
      <c r="JR251" s="16">
        <v>0</v>
      </c>
      <c r="JS251" s="16">
        <v>0</v>
      </c>
      <c r="JT251" s="16">
        <v>0</v>
      </c>
      <c r="JU251" s="16">
        <v>0</v>
      </c>
      <c r="JV251" s="16">
        <v>0</v>
      </c>
      <c r="JW251" s="16">
        <v>0</v>
      </c>
      <c r="JX251" s="16">
        <v>0</v>
      </c>
      <c r="JY251" s="16">
        <v>0</v>
      </c>
      <c r="JZ251" s="16">
        <v>0</v>
      </c>
      <c r="KA251" s="16">
        <v>0</v>
      </c>
      <c r="KB251" s="16">
        <v>0</v>
      </c>
      <c r="KC251" s="16">
        <v>0</v>
      </c>
      <c r="KD251" s="16">
        <v>0</v>
      </c>
      <c r="KE251" s="16">
        <v>0</v>
      </c>
      <c r="KF251" s="16">
        <v>0</v>
      </c>
      <c r="KG251" s="16">
        <v>0</v>
      </c>
      <c r="KH251" s="16">
        <v>0</v>
      </c>
      <c r="KI251" s="16">
        <v>0</v>
      </c>
      <c r="KJ251" s="16">
        <v>0</v>
      </c>
      <c r="KK251" s="16">
        <v>0</v>
      </c>
      <c r="KL251" s="16">
        <v>0</v>
      </c>
      <c r="KM251" s="16">
        <v>0</v>
      </c>
      <c r="KN251" s="16">
        <v>0</v>
      </c>
      <c r="KO251" s="16">
        <v>0</v>
      </c>
      <c r="KP251" s="16">
        <v>0</v>
      </c>
      <c r="KQ251" s="16">
        <v>0</v>
      </c>
      <c r="KR251" s="16">
        <v>0</v>
      </c>
      <c r="KS251" s="16">
        <v>0</v>
      </c>
      <c r="KT251" s="16">
        <v>0</v>
      </c>
      <c r="KU251" s="16">
        <v>0</v>
      </c>
      <c r="KV251" s="16">
        <v>0</v>
      </c>
      <c r="KW251" s="16">
        <v>0</v>
      </c>
      <c r="KX251" s="16">
        <v>0</v>
      </c>
      <c r="KY251" s="16">
        <v>0</v>
      </c>
      <c r="KZ251" s="16">
        <v>0</v>
      </c>
      <c r="LA251" s="16">
        <v>0</v>
      </c>
      <c r="LB251" s="16">
        <v>0</v>
      </c>
      <c r="LC251" s="16">
        <v>0</v>
      </c>
      <c r="LD251" s="16">
        <v>0</v>
      </c>
      <c r="LE251" s="16">
        <v>0</v>
      </c>
      <c r="LF251" s="16">
        <v>0</v>
      </c>
      <c r="LG251" s="16">
        <v>0</v>
      </c>
      <c r="LH251" s="16">
        <v>0</v>
      </c>
      <c r="LI251" s="16">
        <v>0</v>
      </c>
      <c r="LJ251" s="16">
        <v>0</v>
      </c>
      <c r="LK251" s="16">
        <v>0</v>
      </c>
      <c r="LL251" s="16">
        <v>0</v>
      </c>
      <c r="LM251" s="16">
        <v>0</v>
      </c>
      <c r="LN251" s="16">
        <v>0</v>
      </c>
      <c r="LO251" s="16">
        <v>0</v>
      </c>
      <c r="LP251" s="16">
        <v>0</v>
      </c>
      <c r="LQ251" s="16">
        <v>0</v>
      </c>
      <c r="LR251" s="16">
        <v>0</v>
      </c>
      <c r="LS251" s="16">
        <v>0</v>
      </c>
      <c r="LT251" s="16">
        <v>0</v>
      </c>
      <c r="LU251" s="16">
        <v>0</v>
      </c>
      <c r="LV251" s="16">
        <v>0</v>
      </c>
      <c r="LW251" s="16">
        <v>0</v>
      </c>
      <c r="LX251" s="16">
        <v>0</v>
      </c>
      <c r="LY251" s="16">
        <v>0</v>
      </c>
      <c r="LZ251" s="16">
        <v>0</v>
      </c>
      <c r="MA251" s="16">
        <v>0</v>
      </c>
      <c r="MB251" s="16">
        <v>0</v>
      </c>
      <c r="MC251" s="16">
        <v>0</v>
      </c>
      <c r="MD251" s="16">
        <v>0</v>
      </c>
      <c r="ME251" s="16">
        <v>0</v>
      </c>
      <c r="MF251" s="16">
        <v>0</v>
      </c>
      <c r="MG251" s="16">
        <v>0</v>
      </c>
      <c r="MH251" s="16">
        <v>0</v>
      </c>
      <c r="MI251" s="16">
        <v>0</v>
      </c>
      <c r="MJ251" s="16">
        <v>0</v>
      </c>
      <c r="MK251" s="16">
        <v>0</v>
      </c>
      <c r="ML251" s="16">
        <v>0</v>
      </c>
      <c r="MM251" s="16">
        <v>0</v>
      </c>
      <c r="MN251" s="16">
        <v>0</v>
      </c>
      <c r="MO251" s="16">
        <v>0</v>
      </c>
      <c r="MP251" s="16">
        <v>0</v>
      </c>
      <c r="MQ251" s="16">
        <v>0</v>
      </c>
      <c r="MR251" s="16">
        <v>652108</v>
      </c>
      <c r="MS251" s="16">
        <v>7184</v>
      </c>
      <c r="MT251" s="16">
        <v>0</v>
      </c>
      <c r="MU251" s="16">
        <v>0</v>
      </c>
      <c r="MV251" s="16">
        <v>0</v>
      </c>
      <c r="MW251" s="16">
        <v>0</v>
      </c>
      <c r="MX251" s="16">
        <v>0</v>
      </c>
      <c r="MY251" s="16">
        <v>0</v>
      </c>
      <c r="MZ251" s="16">
        <v>0</v>
      </c>
      <c r="NA251" s="16">
        <v>0</v>
      </c>
      <c r="NB251" s="16">
        <v>0</v>
      </c>
      <c r="NC251" s="16">
        <v>74</v>
      </c>
      <c r="ND251" s="16">
        <v>0</v>
      </c>
      <c r="NE251" s="16">
        <v>0</v>
      </c>
      <c r="NF251" s="16">
        <v>0</v>
      </c>
      <c r="NG251" s="16">
        <v>0</v>
      </c>
      <c r="NH251" s="16">
        <v>0</v>
      </c>
      <c r="NI251" s="16">
        <v>0</v>
      </c>
      <c r="NJ251" s="16">
        <v>0</v>
      </c>
      <c r="NK251" s="16">
        <v>0</v>
      </c>
      <c r="NL251" s="16">
        <v>0</v>
      </c>
      <c r="NM251" s="16">
        <v>0</v>
      </c>
      <c r="NN251" s="16">
        <v>0</v>
      </c>
      <c r="NO251" s="16">
        <v>0</v>
      </c>
      <c r="NP251" s="16">
        <v>0</v>
      </c>
      <c r="NQ251" s="16">
        <v>1837</v>
      </c>
      <c r="NR251" s="17">
        <v>704519</v>
      </c>
    </row>
    <row r="252" spans="1:382" ht="13.5" customHeight="1" x14ac:dyDescent="0.2">
      <c r="A252" s="2" t="s">
        <v>511</v>
      </c>
      <c r="B252" s="16">
        <v>0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59654</v>
      </c>
      <c r="Y252" s="16">
        <v>75888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98000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  <c r="AY252" s="16">
        <v>0</v>
      </c>
      <c r="AZ252" s="16">
        <v>0</v>
      </c>
      <c r="BA252" s="16">
        <v>0</v>
      </c>
      <c r="BB252" s="16">
        <v>0</v>
      </c>
      <c r="BC252" s="16">
        <v>0</v>
      </c>
      <c r="BD252" s="16">
        <v>0</v>
      </c>
      <c r="BE252" s="16">
        <v>0</v>
      </c>
      <c r="BF252" s="16">
        <v>0</v>
      </c>
      <c r="BG252" s="16">
        <v>0</v>
      </c>
      <c r="BH252" s="16">
        <v>0</v>
      </c>
      <c r="BI252" s="16">
        <v>0</v>
      </c>
      <c r="BJ252" s="16">
        <v>0</v>
      </c>
      <c r="BK252" s="16">
        <v>0</v>
      </c>
      <c r="BL252" s="16">
        <v>0</v>
      </c>
      <c r="BM252" s="16">
        <v>0</v>
      </c>
      <c r="BN252" s="16">
        <v>0</v>
      </c>
      <c r="BO252" s="16">
        <v>0</v>
      </c>
      <c r="BP252" s="16">
        <v>0</v>
      </c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>
        <v>0</v>
      </c>
      <c r="CA252" s="16">
        <v>0</v>
      </c>
      <c r="CB252" s="16">
        <v>0</v>
      </c>
      <c r="CC252" s="16">
        <v>0</v>
      </c>
      <c r="CD252" s="16">
        <v>0</v>
      </c>
      <c r="CE252" s="16">
        <v>0</v>
      </c>
      <c r="CF252" s="16">
        <v>0</v>
      </c>
      <c r="CG252" s="16">
        <v>0</v>
      </c>
      <c r="CH252" s="16">
        <v>0</v>
      </c>
      <c r="CI252" s="16">
        <v>0</v>
      </c>
      <c r="CJ252" s="16">
        <v>0</v>
      </c>
      <c r="CK252" s="16">
        <v>0</v>
      </c>
      <c r="CL252" s="16">
        <v>0</v>
      </c>
      <c r="CM252" s="16">
        <v>0</v>
      </c>
      <c r="CN252" s="16">
        <v>0</v>
      </c>
      <c r="CO252" s="16">
        <v>0</v>
      </c>
      <c r="CP252" s="16">
        <v>0</v>
      </c>
      <c r="CQ252" s="16">
        <v>0</v>
      </c>
      <c r="CR252" s="16">
        <v>0</v>
      </c>
      <c r="CS252" s="16">
        <v>0</v>
      </c>
      <c r="CT252" s="16">
        <v>0</v>
      </c>
      <c r="CU252" s="16">
        <v>0</v>
      </c>
      <c r="CV252" s="16">
        <v>0</v>
      </c>
      <c r="CW252" s="16">
        <v>0</v>
      </c>
      <c r="CX252" s="16">
        <v>0</v>
      </c>
      <c r="CY252" s="16">
        <v>0</v>
      </c>
      <c r="CZ252" s="16">
        <v>0</v>
      </c>
      <c r="DA252" s="16">
        <v>0</v>
      </c>
      <c r="DB252" s="16">
        <v>0</v>
      </c>
      <c r="DC252" s="16">
        <v>0</v>
      </c>
      <c r="DD252" s="16">
        <v>0</v>
      </c>
      <c r="DE252" s="16">
        <v>0</v>
      </c>
      <c r="DF252" s="16">
        <v>0</v>
      </c>
      <c r="DG252" s="16">
        <v>0</v>
      </c>
      <c r="DH252" s="16">
        <v>0</v>
      </c>
      <c r="DI252" s="16">
        <v>0</v>
      </c>
      <c r="DJ252" s="16">
        <v>0</v>
      </c>
      <c r="DK252" s="16">
        <v>0</v>
      </c>
      <c r="DL252" s="16">
        <v>0</v>
      </c>
      <c r="DM252" s="16">
        <v>0</v>
      </c>
      <c r="DN252" s="16">
        <v>0</v>
      </c>
      <c r="DO252" s="16">
        <v>0</v>
      </c>
      <c r="DP252" s="16">
        <v>0</v>
      </c>
      <c r="DQ252" s="16">
        <v>0</v>
      </c>
      <c r="DR252" s="16">
        <v>0</v>
      </c>
      <c r="DS252" s="16">
        <v>0</v>
      </c>
      <c r="DT252" s="16">
        <v>0</v>
      </c>
      <c r="DU252" s="16">
        <v>0</v>
      </c>
      <c r="DV252" s="16">
        <v>0</v>
      </c>
      <c r="DW252" s="16">
        <v>0</v>
      </c>
      <c r="DX252" s="16">
        <v>0</v>
      </c>
      <c r="DY252" s="16">
        <v>0</v>
      </c>
      <c r="DZ252" s="16">
        <v>0</v>
      </c>
      <c r="EA252" s="16">
        <v>0</v>
      </c>
      <c r="EB252" s="16">
        <v>0</v>
      </c>
      <c r="EC252" s="16">
        <v>0</v>
      </c>
      <c r="ED252" s="16">
        <v>0</v>
      </c>
      <c r="EE252" s="16">
        <v>0</v>
      </c>
      <c r="EF252" s="16">
        <v>0</v>
      </c>
      <c r="EG252" s="16">
        <v>0</v>
      </c>
      <c r="EH252" s="16">
        <v>0</v>
      </c>
      <c r="EI252" s="16">
        <v>0</v>
      </c>
      <c r="EJ252" s="16">
        <v>0</v>
      </c>
      <c r="EK252" s="16">
        <v>0</v>
      </c>
      <c r="EL252" s="16">
        <v>0</v>
      </c>
      <c r="EM252" s="16">
        <v>0</v>
      </c>
      <c r="EN252" s="16">
        <v>0</v>
      </c>
      <c r="EO252" s="16">
        <v>0</v>
      </c>
      <c r="EP252" s="16">
        <v>0</v>
      </c>
      <c r="EQ252" s="16">
        <v>0</v>
      </c>
      <c r="ER252" s="16">
        <v>0</v>
      </c>
      <c r="ES252" s="16">
        <v>0</v>
      </c>
      <c r="ET252" s="16">
        <v>0</v>
      </c>
      <c r="EU252" s="16">
        <v>0</v>
      </c>
      <c r="EV252" s="16">
        <v>0</v>
      </c>
      <c r="EW252" s="16">
        <v>0</v>
      </c>
      <c r="EX252" s="16">
        <v>0</v>
      </c>
      <c r="EY252" s="16">
        <v>0</v>
      </c>
      <c r="EZ252" s="16">
        <v>0</v>
      </c>
      <c r="FA252" s="16">
        <v>0</v>
      </c>
      <c r="FB252" s="16">
        <v>0</v>
      </c>
      <c r="FC252" s="16">
        <v>0</v>
      </c>
      <c r="FD252" s="16">
        <v>0</v>
      </c>
      <c r="FE252" s="16">
        <v>0</v>
      </c>
      <c r="FF252" s="16">
        <v>0</v>
      </c>
      <c r="FG252" s="16">
        <v>0</v>
      </c>
      <c r="FH252" s="16">
        <v>0</v>
      </c>
      <c r="FI252" s="16">
        <v>0</v>
      </c>
      <c r="FJ252" s="16">
        <v>0</v>
      </c>
      <c r="FK252" s="16">
        <v>0</v>
      </c>
      <c r="FL252" s="16">
        <v>0</v>
      </c>
      <c r="FM252" s="16">
        <v>0</v>
      </c>
      <c r="FN252" s="16">
        <v>0</v>
      </c>
      <c r="FO252" s="16">
        <v>0</v>
      </c>
      <c r="FP252" s="16">
        <v>0</v>
      </c>
      <c r="FQ252" s="16">
        <v>0</v>
      </c>
      <c r="FR252" s="16">
        <v>0</v>
      </c>
      <c r="FS252" s="16">
        <v>0</v>
      </c>
      <c r="FT252" s="16">
        <v>0</v>
      </c>
      <c r="FU252" s="16">
        <v>0</v>
      </c>
      <c r="FV252" s="16">
        <v>0</v>
      </c>
      <c r="FW252" s="16">
        <v>0</v>
      </c>
      <c r="FX252" s="16">
        <v>0</v>
      </c>
      <c r="FY252" s="16">
        <v>0</v>
      </c>
      <c r="FZ252" s="16">
        <v>0</v>
      </c>
      <c r="GA252" s="16">
        <v>0</v>
      </c>
      <c r="GB252" s="16">
        <v>0</v>
      </c>
      <c r="GC252" s="16">
        <v>0</v>
      </c>
      <c r="GD252" s="16">
        <v>0</v>
      </c>
      <c r="GE252" s="16">
        <v>0</v>
      </c>
      <c r="GF252" s="16">
        <v>0</v>
      </c>
      <c r="GG252" s="16">
        <v>0</v>
      </c>
      <c r="GH252" s="16">
        <v>0</v>
      </c>
      <c r="GI252" s="16">
        <v>0</v>
      </c>
      <c r="GJ252" s="16">
        <v>0</v>
      </c>
      <c r="GK252" s="16">
        <v>0</v>
      </c>
      <c r="GL252" s="16">
        <v>0</v>
      </c>
      <c r="GM252" s="16">
        <v>0</v>
      </c>
      <c r="GN252" s="16">
        <v>0</v>
      </c>
      <c r="GO252" s="16">
        <v>0</v>
      </c>
      <c r="GP252" s="16">
        <v>0</v>
      </c>
      <c r="GQ252" s="16">
        <v>0</v>
      </c>
      <c r="GR252" s="16">
        <v>0</v>
      </c>
      <c r="GS252" s="16">
        <v>0</v>
      </c>
      <c r="GT252" s="16">
        <v>0</v>
      </c>
      <c r="GU252" s="16">
        <v>0</v>
      </c>
      <c r="GV252" s="16">
        <v>0</v>
      </c>
      <c r="GW252" s="16">
        <v>0</v>
      </c>
      <c r="GX252" s="16">
        <v>0</v>
      </c>
      <c r="GY252" s="16">
        <v>0</v>
      </c>
      <c r="GZ252" s="16">
        <v>0</v>
      </c>
      <c r="HA252" s="16">
        <v>0</v>
      </c>
      <c r="HB252" s="16">
        <v>0</v>
      </c>
      <c r="HC252" s="16">
        <v>0</v>
      </c>
      <c r="HD252" s="16">
        <v>0</v>
      </c>
      <c r="HE252" s="16">
        <v>0</v>
      </c>
      <c r="HF252" s="16">
        <v>0</v>
      </c>
      <c r="HG252" s="16">
        <v>0</v>
      </c>
      <c r="HH252" s="16">
        <v>0</v>
      </c>
      <c r="HI252" s="16">
        <v>0</v>
      </c>
      <c r="HJ252" s="16">
        <v>0</v>
      </c>
      <c r="HK252" s="16">
        <v>0</v>
      </c>
      <c r="HL252" s="16">
        <v>0</v>
      </c>
      <c r="HM252" s="16">
        <v>0</v>
      </c>
      <c r="HN252" s="16">
        <v>0</v>
      </c>
      <c r="HO252" s="16">
        <v>0</v>
      </c>
      <c r="HP252" s="16">
        <v>0</v>
      </c>
      <c r="HQ252" s="16">
        <v>0</v>
      </c>
      <c r="HR252" s="16">
        <v>0</v>
      </c>
      <c r="HS252" s="16">
        <v>0</v>
      </c>
      <c r="HT252" s="16">
        <v>0</v>
      </c>
      <c r="HU252" s="16">
        <v>0</v>
      </c>
      <c r="HV252" s="16">
        <v>0</v>
      </c>
      <c r="HW252" s="16">
        <v>0</v>
      </c>
      <c r="HX252" s="16">
        <v>0</v>
      </c>
      <c r="HY252" s="16">
        <v>0</v>
      </c>
      <c r="HZ252" s="16">
        <v>0</v>
      </c>
      <c r="IA252" s="16">
        <v>0</v>
      </c>
      <c r="IB252" s="16">
        <v>0</v>
      </c>
      <c r="IC252" s="16">
        <v>0</v>
      </c>
      <c r="ID252" s="16">
        <v>0</v>
      </c>
      <c r="IE252" s="16">
        <v>0</v>
      </c>
      <c r="IF252" s="16">
        <v>0</v>
      </c>
      <c r="IG252" s="16">
        <v>0</v>
      </c>
      <c r="IH252" s="16">
        <v>0</v>
      </c>
      <c r="II252" s="16">
        <v>0</v>
      </c>
      <c r="IJ252" s="16">
        <v>0</v>
      </c>
      <c r="IK252" s="16">
        <v>0</v>
      </c>
      <c r="IL252" s="16">
        <v>0</v>
      </c>
      <c r="IM252" s="16">
        <v>0</v>
      </c>
      <c r="IN252" s="16">
        <v>0</v>
      </c>
      <c r="IO252" s="16">
        <v>0</v>
      </c>
      <c r="IP252" s="16">
        <v>2846214</v>
      </c>
      <c r="IQ252" s="16">
        <v>547438</v>
      </c>
      <c r="IR252" s="16">
        <v>1979524</v>
      </c>
      <c r="IS252" s="16">
        <v>0</v>
      </c>
      <c r="IT252" s="16">
        <v>0</v>
      </c>
      <c r="IU252" s="16">
        <v>0</v>
      </c>
      <c r="IV252" s="16">
        <v>0</v>
      </c>
      <c r="IW252" s="16">
        <v>0</v>
      </c>
      <c r="IX252" s="16">
        <v>0</v>
      </c>
      <c r="IY252" s="16">
        <v>0</v>
      </c>
      <c r="IZ252" s="16">
        <v>0</v>
      </c>
      <c r="JA252" s="16">
        <v>0</v>
      </c>
      <c r="JB252" s="16">
        <v>0</v>
      </c>
      <c r="JC252" s="16">
        <v>0</v>
      </c>
      <c r="JD252" s="16">
        <v>0</v>
      </c>
      <c r="JE252" s="16">
        <v>0</v>
      </c>
      <c r="JF252" s="16">
        <v>0</v>
      </c>
      <c r="JG252" s="16">
        <v>24135</v>
      </c>
      <c r="JH252" s="16">
        <v>1369</v>
      </c>
      <c r="JI252" s="16">
        <v>18</v>
      </c>
      <c r="JJ252" s="16">
        <v>0</v>
      </c>
      <c r="JK252" s="16">
        <v>0</v>
      </c>
      <c r="JL252" s="16">
        <v>0</v>
      </c>
      <c r="JM252" s="16">
        <v>0</v>
      </c>
      <c r="JN252" s="16">
        <v>0</v>
      </c>
      <c r="JO252" s="16">
        <v>0</v>
      </c>
      <c r="JP252" s="16">
        <v>0</v>
      </c>
      <c r="JQ252" s="16">
        <v>0</v>
      </c>
      <c r="JR252" s="16">
        <v>382</v>
      </c>
      <c r="JS252" s="16">
        <v>321</v>
      </c>
      <c r="JT252" s="16">
        <v>0</v>
      </c>
      <c r="JU252" s="16">
        <v>744</v>
      </c>
      <c r="JV252" s="16">
        <v>0</v>
      </c>
      <c r="JW252" s="16">
        <v>0</v>
      </c>
      <c r="JX252" s="16">
        <v>0</v>
      </c>
      <c r="JY252" s="16">
        <v>0</v>
      </c>
      <c r="JZ252" s="16">
        <v>0</v>
      </c>
      <c r="KA252" s="16">
        <v>0</v>
      </c>
      <c r="KB252" s="16">
        <v>0</v>
      </c>
      <c r="KC252" s="16">
        <v>0</v>
      </c>
      <c r="KD252" s="16">
        <v>0</v>
      </c>
      <c r="KE252" s="16">
        <v>2</v>
      </c>
      <c r="KF252" s="16">
        <v>0</v>
      </c>
      <c r="KG252" s="16">
        <v>0</v>
      </c>
      <c r="KH252" s="16">
        <v>0</v>
      </c>
      <c r="KI252" s="16">
        <v>0</v>
      </c>
      <c r="KJ252" s="16">
        <v>0</v>
      </c>
      <c r="KK252" s="16">
        <v>0</v>
      </c>
      <c r="KL252" s="16">
        <v>0</v>
      </c>
      <c r="KM252" s="16">
        <v>0</v>
      </c>
      <c r="KN252" s="16">
        <v>0</v>
      </c>
      <c r="KO252" s="16">
        <v>286377</v>
      </c>
      <c r="KP252" s="16">
        <v>378203</v>
      </c>
      <c r="KQ252" s="16">
        <v>0</v>
      </c>
      <c r="KR252" s="16">
        <v>0</v>
      </c>
      <c r="KS252" s="16">
        <v>24295</v>
      </c>
      <c r="KT252" s="16">
        <v>0</v>
      </c>
      <c r="KU252" s="16">
        <v>4464</v>
      </c>
      <c r="KV252" s="16">
        <v>0</v>
      </c>
      <c r="KW252" s="16">
        <v>127</v>
      </c>
      <c r="KX252" s="16">
        <v>0</v>
      </c>
      <c r="KY252" s="16">
        <v>0</v>
      </c>
      <c r="KZ252" s="16">
        <v>0</v>
      </c>
      <c r="LA252" s="16">
        <v>0</v>
      </c>
      <c r="LB252" s="16">
        <v>0</v>
      </c>
      <c r="LC252" s="16">
        <v>0</v>
      </c>
      <c r="LD252" s="16">
        <v>0</v>
      </c>
      <c r="LE252" s="16">
        <v>37</v>
      </c>
      <c r="LF252" s="16">
        <v>0</v>
      </c>
      <c r="LG252" s="16">
        <v>3</v>
      </c>
      <c r="LH252" s="16">
        <v>34</v>
      </c>
      <c r="LI252" s="16">
        <v>0</v>
      </c>
      <c r="LJ252" s="16">
        <v>0</v>
      </c>
      <c r="LK252" s="16">
        <v>0</v>
      </c>
      <c r="LL252" s="16">
        <v>0</v>
      </c>
      <c r="LM252" s="16">
        <v>0</v>
      </c>
      <c r="LN252" s="16">
        <v>0</v>
      </c>
      <c r="LO252" s="16">
        <v>0</v>
      </c>
      <c r="LP252" s="16">
        <v>0</v>
      </c>
      <c r="LQ252" s="16">
        <v>0</v>
      </c>
      <c r="LR252" s="16">
        <v>0</v>
      </c>
      <c r="LS252" s="16">
        <v>0</v>
      </c>
      <c r="LT252" s="16">
        <v>0</v>
      </c>
      <c r="LU252" s="16">
        <v>0</v>
      </c>
      <c r="LV252" s="16">
        <v>0</v>
      </c>
      <c r="LW252" s="16">
        <v>0</v>
      </c>
      <c r="LX252" s="16">
        <v>0</v>
      </c>
      <c r="LY252" s="16">
        <v>0</v>
      </c>
      <c r="LZ252" s="16">
        <v>0</v>
      </c>
      <c r="MA252" s="16">
        <v>0</v>
      </c>
      <c r="MB252" s="16">
        <v>0</v>
      </c>
      <c r="MC252" s="16">
        <v>1358</v>
      </c>
      <c r="MD252" s="16">
        <v>0</v>
      </c>
      <c r="ME252" s="16">
        <v>0</v>
      </c>
      <c r="MF252" s="16">
        <v>14003</v>
      </c>
      <c r="MG252" s="16">
        <v>0</v>
      </c>
      <c r="MH252" s="16">
        <v>0</v>
      </c>
      <c r="MI252" s="16">
        <v>0</v>
      </c>
      <c r="MJ252" s="16">
        <v>0</v>
      </c>
      <c r="MK252" s="16">
        <v>0</v>
      </c>
      <c r="ML252" s="16">
        <v>0</v>
      </c>
      <c r="MM252" s="16">
        <v>138</v>
      </c>
      <c r="MN252" s="16">
        <v>159543</v>
      </c>
      <c r="MO252" s="16">
        <v>0</v>
      </c>
      <c r="MP252" s="16">
        <v>0</v>
      </c>
      <c r="MQ252" s="16">
        <v>60</v>
      </c>
      <c r="MR252" s="16">
        <v>198184</v>
      </c>
      <c r="MS252" s="16">
        <v>83002</v>
      </c>
      <c r="MT252" s="16">
        <v>0</v>
      </c>
      <c r="MU252" s="16">
        <v>1692</v>
      </c>
      <c r="MV252" s="16">
        <v>0</v>
      </c>
      <c r="MW252" s="16">
        <v>0</v>
      </c>
      <c r="MX252" s="16">
        <v>4338</v>
      </c>
      <c r="MY252" s="16">
        <v>0</v>
      </c>
      <c r="MZ252" s="16">
        <v>477</v>
      </c>
      <c r="NA252" s="16">
        <v>0</v>
      </c>
      <c r="NB252" s="16">
        <v>0</v>
      </c>
      <c r="NC252" s="16">
        <v>8867</v>
      </c>
      <c r="ND252" s="16">
        <v>0</v>
      </c>
      <c r="NE252" s="16">
        <v>0</v>
      </c>
      <c r="NF252" s="16">
        <v>12</v>
      </c>
      <c r="NG252" s="16">
        <v>52</v>
      </c>
      <c r="NH252" s="16">
        <v>37</v>
      </c>
      <c r="NI252" s="16">
        <v>0</v>
      </c>
      <c r="NJ252" s="16">
        <v>0</v>
      </c>
      <c r="NK252" s="16">
        <v>0</v>
      </c>
      <c r="NL252" s="16">
        <v>0</v>
      </c>
      <c r="NM252" s="16">
        <v>0</v>
      </c>
      <c r="NN252" s="16">
        <v>0</v>
      </c>
      <c r="NO252" s="16">
        <v>0</v>
      </c>
      <c r="NP252" s="16">
        <v>0</v>
      </c>
      <c r="NQ252" s="16">
        <v>121</v>
      </c>
      <c r="NR252" s="17">
        <v>6799113</v>
      </c>
    </row>
    <row r="253" spans="1:382" ht="13.5" customHeight="1" x14ac:dyDescent="0.2">
      <c r="A253" s="2" t="s">
        <v>513</v>
      </c>
      <c r="B253" s="16">
        <v>0</v>
      </c>
      <c r="C253" s="16">
        <v>0</v>
      </c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18570</v>
      </c>
      <c r="AB253" s="16">
        <v>0</v>
      </c>
      <c r="AC253" s="16">
        <v>0</v>
      </c>
      <c r="AD253" s="16">
        <v>0</v>
      </c>
      <c r="AE253" s="16">
        <v>8444</v>
      </c>
      <c r="AF253" s="16">
        <v>0</v>
      </c>
      <c r="AG253" s="16">
        <v>0</v>
      </c>
      <c r="AH253" s="16">
        <v>972</v>
      </c>
      <c r="AI253" s="16">
        <v>171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0</v>
      </c>
      <c r="BE253" s="16">
        <v>0</v>
      </c>
      <c r="BF253" s="16">
        <v>0</v>
      </c>
      <c r="BG253" s="16">
        <v>0</v>
      </c>
      <c r="BH253" s="16">
        <v>0</v>
      </c>
      <c r="BI253" s="16">
        <v>0</v>
      </c>
      <c r="BJ253" s="16">
        <v>0</v>
      </c>
      <c r="BK253" s="16">
        <v>0</v>
      </c>
      <c r="BL253" s="16">
        <v>0</v>
      </c>
      <c r="BM253" s="16">
        <v>0</v>
      </c>
      <c r="BN253" s="16">
        <v>0</v>
      </c>
      <c r="BO253" s="16">
        <v>0</v>
      </c>
      <c r="BP253" s="16">
        <v>0</v>
      </c>
      <c r="BQ253" s="16">
        <v>0</v>
      </c>
      <c r="BR253" s="16">
        <v>0</v>
      </c>
      <c r="BS253" s="16">
        <v>0</v>
      </c>
      <c r="BT253" s="16">
        <v>0</v>
      </c>
      <c r="BU253" s="16">
        <v>0</v>
      </c>
      <c r="BV253" s="16">
        <v>0</v>
      </c>
      <c r="BW253" s="16">
        <v>0</v>
      </c>
      <c r="BX253" s="16">
        <v>0</v>
      </c>
      <c r="BY253" s="16">
        <v>0</v>
      </c>
      <c r="BZ253" s="16">
        <v>0</v>
      </c>
      <c r="CA253" s="16">
        <v>0</v>
      </c>
      <c r="CB253" s="16">
        <v>0</v>
      </c>
      <c r="CC253" s="16">
        <v>0</v>
      </c>
      <c r="CD253" s="16">
        <v>0</v>
      </c>
      <c r="CE253" s="16">
        <v>0</v>
      </c>
      <c r="CF253" s="16">
        <v>0</v>
      </c>
      <c r="CG253" s="16">
        <v>0</v>
      </c>
      <c r="CH253" s="16">
        <v>0</v>
      </c>
      <c r="CI253" s="16">
        <v>0</v>
      </c>
      <c r="CJ253" s="16">
        <v>0</v>
      </c>
      <c r="CK253" s="16">
        <v>0</v>
      </c>
      <c r="CL253" s="16">
        <v>0</v>
      </c>
      <c r="CM253" s="16">
        <v>0</v>
      </c>
      <c r="CN253" s="16">
        <v>0</v>
      </c>
      <c r="CO253" s="16">
        <v>0</v>
      </c>
      <c r="CP253" s="16">
        <v>0</v>
      </c>
      <c r="CQ253" s="16">
        <v>0</v>
      </c>
      <c r="CR253" s="16">
        <v>0</v>
      </c>
      <c r="CS253" s="16">
        <v>0</v>
      </c>
      <c r="CT253" s="16">
        <v>0</v>
      </c>
      <c r="CU253" s="16">
        <v>0</v>
      </c>
      <c r="CV253" s="16">
        <v>0</v>
      </c>
      <c r="CW253" s="16">
        <v>0</v>
      </c>
      <c r="CX253" s="16">
        <v>0</v>
      </c>
      <c r="CY253" s="16">
        <v>0</v>
      </c>
      <c r="CZ253" s="16">
        <v>0</v>
      </c>
      <c r="DA253" s="16">
        <v>0</v>
      </c>
      <c r="DB253" s="16">
        <v>0</v>
      </c>
      <c r="DC253" s="16">
        <v>0</v>
      </c>
      <c r="DD253" s="16">
        <v>0</v>
      </c>
      <c r="DE253" s="16">
        <v>0</v>
      </c>
      <c r="DF253" s="16">
        <v>0</v>
      </c>
      <c r="DG253" s="16">
        <v>0</v>
      </c>
      <c r="DH253" s="16">
        <v>0</v>
      </c>
      <c r="DI253" s="16">
        <v>0</v>
      </c>
      <c r="DJ253" s="16">
        <v>0</v>
      </c>
      <c r="DK253" s="16">
        <v>0</v>
      </c>
      <c r="DL253" s="16">
        <v>0</v>
      </c>
      <c r="DM253" s="16">
        <v>0</v>
      </c>
      <c r="DN253" s="16">
        <v>0</v>
      </c>
      <c r="DO253" s="16">
        <v>0</v>
      </c>
      <c r="DP253" s="16">
        <v>0</v>
      </c>
      <c r="DQ253" s="16">
        <v>0</v>
      </c>
      <c r="DR253" s="16">
        <v>0</v>
      </c>
      <c r="DS253" s="16">
        <v>0</v>
      </c>
      <c r="DT253" s="16">
        <v>0</v>
      </c>
      <c r="DU253" s="16">
        <v>0</v>
      </c>
      <c r="DV253" s="16">
        <v>0</v>
      </c>
      <c r="DW253" s="16">
        <v>0</v>
      </c>
      <c r="DX253" s="16">
        <v>0</v>
      </c>
      <c r="DY253" s="16">
        <v>0</v>
      </c>
      <c r="DZ253" s="16">
        <v>0</v>
      </c>
      <c r="EA253" s="16">
        <v>0</v>
      </c>
      <c r="EB253" s="16">
        <v>0</v>
      </c>
      <c r="EC253" s="16">
        <v>0</v>
      </c>
      <c r="ED253" s="16">
        <v>0</v>
      </c>
      <c r="EE253" s="16">
        <v>0</v>
      </c>
      <c r="EF253" s="16">
        <v>0</v>
      </c>
      <c r="EG253" s="16">
        <v>0</v>
      </c>
      <c r="EH253" s="16">
        <v>0</v>
      </c>
      <c r="EI253" s="16">
        <v>0</v>
      </c>
      <c r="EJ253" s="16">
        <v>0</v>
      </c>
      <c r="EK253" s="16">
        <v>0</v>
      </c>
      <c r="EL253" s="16">
        <v>0</v>
      </c>
      <c r="EM253" s="16">
        <v>9</v>
      </c>
      <c r="EN253" s="16">
        <v>0</v>
      </c>
      <c r="EO253" s="16">
        <v>0</v>
      </c>
      <c r="EP253" s="16">
        <v>0</v>
      </c>
      <c r="EQ253" s="16">
        <v>0</v>
      </c>
      <c r="ER253" s="16">
        <v>0</v>
      </c>
      <c r="ES253" s="16">
        <v>0</v>
      </c>
      <c r="ET253" s="16">
        <v>0</v>
      </c>
      <c r="EU253" s="16">
        <v>0</v>
      </c>
      <c r="EV253" s="16">
        <v>0</v>
      </c>
      <c r="EW253" s="16">
        <v>0</v>
      </c>
      <c r="EX253" s="16">
        <v>0</v>
      </c>
      <c r="EY253" s="16">
        <v>0</v>
      </c>
      <c r="EZ253" s="16">
        <v>0</v>
      </c>
      <c r="FA253" s="16">
        <v>0</v>
      </c>
      <c r="FB253" s="16">
        <v>0</v>
      </c>
      <c r="FC253" s="16">
        <v>0</v>
      </c>
      <c r="FD253" s="16">
        <v>0</v>
      </c>
      <c r="FE253" s="16">
        <v>0</v>
      </c>
      <c r="FF253" s="16">
        <v>0</v>
      </c>
      <c r="FG253" s="16">
        <v>0</v>
      </c>
      <c r="FH253" s="16">
        <v>0</v>
      </c>
      <c r="FI253" s="16">
        <v>0</v>
      </c>
      <c r="FJ253" s="16">
        <v>0</v>
      </c>
      <c r="FK253" s="16">
        <v>0</v>
      </c>
      <c r="FL253" s="16">
        <v>0</v>
      </c>
      <c r="FM253" s="16">
        <v>0</v>
      </c>
      <c r="FN253" s="16">
        <v>0</v>
      </c>
      <c r="FO253" s="16">
        <v>0</v>
      </c>
      <c r="FP253" s="16">
        <v>0</v>
      </c>
      <c r="FQ253" s="16">
        <v>0</v>
      </c>
      <c r="FR253" s="16">
        <v>0</v>
      </c>
      <c r="FS253" s="16">
        <v>0</v>
      </c>
      <c r="FT253" s="16">
        <v>0</v>
      </c>
      <c r="FU253" s="16">
        <v>0</v>
      </c>
      <c r="FV253" s="16">
        <v>0</v>
      </c>
      <c r="FW253" s="16">
        <v>0</v>
      </c>
      <c r="FX253" s="16">
        <v>0</v>
      </c>
      <c r="FY253" s="16">
        <v>0</v>
      </c>
      <c r="FZ253" s="16">
        <v>0</v>
      </c>
      <c r="GA253" s="16">
        <v>0</v>
      </c>
      <c r="GB253" s="16">
        <v>0</v>
      </c>
      <c r="GC253" s="16">
        <v>0</v>
      </c>
      <c r="GD253" s="16">
        <v>0</v>
      </c>
      <c r="GE253" s="16">
        <v>0</v>
      </c>
      <c r="GF253" s="16">
        <v>0</v>
      </c>
      <c r="GG253" s="16">
        <v>0</v>
      </c>
      <c r="GH253" s="16">
        <v>0</v>
      </c>
      <c r="GI253" s="16">
        <v>0</v>
      </c>
      <c r="GJ253" s="16">
        <v>0</v>
      </c>
      <c r="GK253" s="16">
        <v>0</v>
      </c>
      <c r="GL253" s="16">
        <v>0</v>
      </c>
      <c r="GM253" s="16">
        <v>0</v>
      </c>
      <c r="GN253" s="16">
        <v>0</v>
      </c>
      <c r="GO253" s="16">
        <v>0</v>
      </c>
      <c r="GP253" s="16">
        <v>0</v>
      </c>
      <c r="GQ253" s="16">
        <v>0</v>
      </c>
      <c r="GR253" s="16">
        <v>0</v>
      </c>
      <c r="GS253" s="16">
        <v>0</v>
      </c>
      <c r="GT253" s="16">
        <v>0</v>
      </c>
      <c r="GU253" s="16">
        <v>0</v>
      </c>
      <c r="GV253" s="16">
        <v>0</v>
      </c>
      <c r="GW253" s="16">
        <v>0</v>
      </c>
      <c r="GX253" s="16">
        <v>0</v>
      </c>
      <c r="GY253" s="16">
        <v>0</v>
      </c>
      <c r="GZ253" s="16">
        <v>0</v>
      </c>
      <c r="HA253" s="16">
        <v>0</v>
      </c>
      <c r="HB253" s="16">
        <v>0</v>
      </c>
      <c r="HC253" s="16">
        <v>0</v>
      </c>
      <c r="HD253" s="16">
        <v>0</v>
      </c>
      <c r="HE253" s="16">
        <v>0</v>
      </c>
      <c r="HF253" s="16">
        <v>0</v>
      </c>
      <c r="HG253" s="16">
        <v>0</v>
      </c>
      <c r="HH253" s="16">
        <v>0</v>
      </c>
      <c r="HI253" s="16">
        <v>0</v>
      </c>
      <c r="HJ253" s="16">
        <v>0</v>
      </c>
      <c r="HK253" s="16">
        <v>0</v>
      </c>
      <c r="HL253" s="16">
        <v>0</v>
      </c>
      <c r="HM253" s="16">
        <v>0</v>
      </c>
      <c r="HN253" s="16">
        <v>0</v>
      </c>
      <c r="HO253" s="16">
        <v>0</v>
      </c>
      <c r="HP253" s="16">
        <v>0</v>
      </c>
      <c r="HQ253" s="16">
        <v>16334</v>
      </c>
      <c r="HR253" s="16">
        <v>0</v>
      </c>
      <c r="HS253" s="16">
        <v>0</v>
      </c>
      <c r="HT253" s="16">
        <v>0</v>
      </c>
      <c r="HU253" s="16">
        <v>0</v>
      </c>
      <c r="HV253" s="16">
        <v>0</v>
      </c>
      <c r="HW253" s="16">
        <v>0</v>
      </c>
      <c r="HX253" s="16">
        <v>0</v>
      </c>
      <c r="HY253" s="16">
        <v>0</v>
      </c>
      <c r="HZ253" s="16">
        <v>0</v>
      </c>
      <c r="IA253" s="16">
        <v>0</v>
      </c>
      <c r="IB253" s="16">
        <v>0</v>
      </c>
      <c r="IC253" s="16">
        <v>0</v>
      </c>
      <c r="ID253" s="16">
        <v>0</v>
      </c>
      <c r="IE253" s="16">
        <v>0</v>
      </c>
      <c r="IF253" s="16">
        <v>0</v>
      </c>
      <c r="IG253" s="16">
        <v>0</v>
      </c>
      <c r="IH253" s="16">
        <v>0</v>
      </c>
      <c r="II253" s="16">
        <v>0</v>
      </c>
      <c r="IJ253" s="16">
        <v>0</v>
      </c>
      <c r="IK253" s="16">
        <v>0</v>
      </c>
      <c r="IL253" s="16">
        <v>0</v>
      </c>
      <c r="IM253" s="16">
        <v>0</v>
      </c>
      <c r="IN253" s="16">
        <v>0</v>
      </c>
      <c r="IO253" s="16">
        <v>0</v>
      </c>
      <c r="IP253" s="16">
        <v>0</v>
      </c>
      <c r="IQ253" s="16">
        <v>0</v>
      </c>
      <c r="IR253" s="16">
        <v>0</v>
      </c>
      <c r="IS253" s="16">
        <v>1014335</v>
      </c>
      <c r="IT253" s="16">
        <v>0</v>
      </c>
      <c r="IU253" s="16">
        <v>0</v>
      </c>
      <c r="IV253" s="16">
        <v>0</v>
      </c>
      <c r="IW253" s="16">
        <v>0</v>
      </c>
      <c r="IX253" s="16">
        <v>0</v>
      </c>
      <c r="IY253" s="16">
        <v>0</v>
      </c>
      <c r="IZ253" s="16">
        <v>0</v>
      </c>
      <c r="JA253" s="16">
        <v>0</v>
      </c>
      <c r="JB253" s="16">
        <v>0</v>
      </c>
      <c r="JC253" s="16">
        <v>0</v>
      </c>
      <c r="JD253" s="16">
        <v>0</v>
      </c>
      <c r="JE253" s="16">
        <v>0</v>
      </c>
      <c r="JF253" s="16">
        <v>0</v>
      </c>
      <c r="JG253" s="16">
        <v>49497</v>
      </c>
      <c r="JH253" s="16">
        <v>0</v>
      </c>
      <c r="JI253" s="16">
        <v>0</v>
      </c>
      <c r="JJ253" s="16">
        <v>0</v>
      </c>
      <c r="JK253" s="16">
        <v>0</v>
      </c>
      <c r="JL253" s="16">
        <v>0</v>
      </c>
      <c r="JM253" s="16">
        <v>0</v>
      </c>
      <c r="JN253" s="16">
        <v>0</v>
      </c>
      <c r="JO253" s="16">
        <v>0</v>
      </c>
      <c r="JP253" s="16">
        <v>0</v>
      </c>
      <c r="JQ253" s="16">
        <v>0</v>
      </c>
      <c r="JR253" s="16">
        <v>0</v>
      </c>
      <c r="JS253" s="16">
        <v>0</v>
      </c>
      <c r="JT253" s="16">
        <v>0</v>
      </c>
      <c r="JU253" s="16">
        <v>0</v>
      </c>
      <c r="JV253" s="16">
        <v>0</v>
      </c>
      <c r="JW253" s="16">
        <v>0</v>
      </c>
      <c r="JX253" s="16">
        <v>0</v>
      </c>
      <c r="JY253" s="16">
        <v>0</v>
      </c>
      <c r="JZ253" s="16">
        <v>0</v>
      </c>
      <c r="KA253" s="16">
        <v>157</v>
      </c>
      <c r="KB253" s="16">
        <v>0</v>
      </c>
      <c r="KC253" s="16">
        <v>0</v>
      </c>
      <c r="KD253" s="16">
        <v>0</v>
      </c>
      <c r="KE253" s="16">
        <v>0</v>
      </c>
      <c r="KF253" s="16">
        <v>0</v>
      </c>
      <c r="KG253" s="16">
        <v>0</v>
      </c>
      <c r="KH253" s="16">
        <v>0</v>
      </c>
      <c r="KI253" s="16">
        <v>0</v>
      </c>
      <c r="KJ253" s="16">
        <v>0</v>
      </c>
      <c r="KK253" s="16">
        <v>0</v>
      </c>
      <c r="KL253" s="16">
        <v>433344</v>
      </c>
      <c r="KM253" s="16">
        <v>0</v>
      </c>
      <c r="KN253" s="16">
        <v>0</v>
      </c>
      <c r="KO253" s="16">
        <v>0</v>
      </c>
      <c r="KP253" s="16">
        <v>0</v>
      </c>
      <c r="KQ253" s="16">
        <v>0</v>
      </c>
      <c r="KR253" s="16">
        <v>0</v>
      </c>
      <c r="KS253" s="16">
        <v>0</v>
      </c>
      <c r="KT253" s="16">
        <v>0</v>
      </c>
      <c r="KU253" s="16">
        <v>0</v>
      </c>
      <c r="KV253" s="16">
        <v>0</v>
      </c>
      <c r="KW253" s="16">
        <v>0</v>
      </c>
      <c r="KX253" s="16">
        <v>0</v>
      </c>
      <c r="KY253" s="16">
        <v>0</v>
      </c>
      <c r="KZ253" s="16">
        <v>0</v>
      </c>
      <c r="LA253" s="16">
        <v>0</v>
      </c>
      <c r="LB253" s="16">
        <v>0</v>
      </c>
      <c r="LC253" s="16">
        <v>0</v>
      </c>
      <c r="LD253" s="16">
        <v>0</v>
      </c>
      <c r="LE253" s="16">
        <v>0</v>
      </c>
      <c r="LF253" s="16">
        <v>0</v>
      </c>
      <c r="LG253" s="16">
        <v>0</v>
      </c>
      <c r="LH253" s="16">
        <v>0</v>
      </c>
      <c r="LI253" s="16">
        <v>0</v>
      </c>
      <c r="LJ253" s="16">
        <v>0</v>
      </c>
      <c r="LK253" s="16">
        <v>0</v>
      </c>
      <c r="LL253" s="16">
        <v>0</v>
      </c>
      <c r="LM253" s="16">
        <v>0</v>
      </c>
      <c r="LN253" s="16">
        <v>0</v>
      </c>
      <c r="LO253" s="16">
        <v>0</v>
      </c>
      <c r="LP253" s="16">
        <v>0</v>
      </c>
      <c r="LQ253" s="16">
        <v>0</v>
      </c>
      <c r="LR253" s="16">
        <v>0</v>
      </c>
      <c r="LS253" s="16">
        <v>0</v>
      </c>
      <c r="LT253" s="16">
        <v>0</v>
      </c>
      <c r="LU253" s="16">
        <v>0</v>
      </c>
      <c r="LV253" s="16">
        <v>0</v>
      </c>
      <c r="LW253" s="16">
        <v>0</v>
      </c>
      <c r="LX253" s="16">
        <v>0</v>
      </c>
      <c r="LY253" s="16">
        <v>0</v>
      </c>
      <c r="LZ253" s="16">
        <v>0</v>
      </c>
      <c r="MA253" s="16">
        <v>0</v>
      </c>
      <c r="MB253" s="16">
        <v>0</v>
      </c>
      <c r="MC253" s="16">
        <v>0</v>
      </c>
      <c r="MD253" s="16">
        <v>0</v>
      </c>
      <c r="ME253" s="16">
        <v>0</v>
      </c>
      <c r="MF253" s="16">
        <v>32409</v>
      </c>
      <c r="MG253" s="16">
        <v>0</v>
      </c>
      <c r="MH253" s="16">
        <v>0</v>
      </c>
      <c r="MI253" s="16">
        <v>0</v>
      </c>
      <c r="MJ253" s="16">
        <v>0</v>
      </c>
      <c r="MK253" s="16">
        <v>0</v>
      </c>
      <c r="ML253" s="16">
        <v>0</v>
      </c>
      <c r="MM253" s="16">
        <v>0</v>
      </c>
      <c r="MN253" s="16">
        <v>0</v>
      </c>
      <c r="MO253" s="16">
        <v>0</v>
      </c>
      <c r="MP253" s="16">
        <v>0</v>
      </c>
      <c r="MQ253" s="16">
        <v>0</v>
      </c>
      <c r="MR253" s="16">
        <v>8263</v>
      </c>
      <c r="MS253" s="16">
        <v>2641</v>
      </c>
      <c r="MT253" s="16">
        <v>0</v>
      </c>
      <c r="MU253" s="16">
        <v>760</v>
      </c>
      <c r="MV253" s="16">
        <v>0</v>
      </c>
      <c r="MW253" s="16">
        <v>0</v>
      </c>
      <c r="MX253" s="16">
        <v>203</v>
      </c>
      <c r="MY253" s="16">
        <v>0</v>
      </c>
      <c r="MZ253" s="16">
        <v>40</v>
      </c>
      <c r="NA253" s="16">
        <v>0</v>
      </c>
      <c r="NB253" s="16">
        <v>0</v>
      </c>
      <c r="NC253" s="16">
        <v>2768</v>
      </c>
      <c r="ND253" s="16">
        <v>0</v>
      </c>
      <c r="NE253" s="16">
        <v>0</v>
      </c>
      <c r="NF253" s="16">
        <v>0</v>
      </c>
      <c r="NG253" s="16">
        <v>0</v>
      </c>
      <c r="NH253" s="16">
        <v>0</v>
      </c>
      <c r="NI253" s="16">
        <v>0</v>
      </c>
      <c r="NJ253" s="16">
        <v>0</v>
      </c>
      <c r="NK253" s="16">
        <v>0</v>
      </c>
      <c r="NL253" s="16">
        <v>0</v>
      </c>
      <c r="NM253" s="16">
        <v>0</v>
      </c>
      <c r="NN253" s="16">
        <v>0</v>
      </c>
      <c r="NO253" s="16">
        <v>0</v>
      </c>
      <c r="NP253" s="16">
        <v>0</v>
      </c>
      <c r="NQ253" s="16">
        <v>61</v>
      </c>
      <c r="NR253" s="17">
        <v>1588978</v>
      </c>
    </row>
    <row r="254" spans="1:382" ht="13.5" customHeight="1" x14ac:dyDescent="0.2">
      <c r="A254" s="2" t="s">
        <v>515</v>
      </c>
      <c r="B254" s="16">
        <v>28</v>
      </c>
      <c r="C254" s="16">
        <v>0</v>
      </c>
      <c r="D254" s="16">
        <v>0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0</v>
      </c>
      <c r="AH254" s="16">
        <v>0</v>
      </c>
      <c r="AI254" s="16">
        <v>0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>
        <v>0</v>
      </c>
      <c r="AU254" s="16">
        <v>0</v>
      </c>
      <c r="AV254" s="16">
        <v>0</v>
      </c>
      <c r="AW254" s="16">
        <v>0</v>
      </c>
      <c r="AX254" s="16">
        <v>0</v>
      </c>
      <c r="AY254" s="16">
        <v>0</v>
      </c>
      <c r="AZ254" s="16">
        <v>0</v>
      </c>
      <c r="BA254" s="16">
        <v>255</v>
      </c>
      <c r="BB254" s="16">
        <v>0</v>
      </c>
      <c r="BC254" s="16">
        <v>0</v>
      </c>
      <c r="BD254" s="16">
        <v>0</v>
      </c>
      <c r="BE254" s="16">
        <v>0</v>
      </c>
      <c r="BF254" s="16">
        <v>0</v>
      </c>
      <c r="BG254" s="16">
        <v>0</v>
      </c>
      <c r="BH254" s="16">
        <v>0</v>
      </c>
      <c r="BI254" s="16">
        <v>0</v>
      </c>
      <c r="BJ254" s="16">
        <v>0</v>
      </c>
      <c r="BK254" s="16">
        <v>0</v>
      </c>
      <c r="BL254" s="16">
        <v>0</v>
      </c>
      <c r="BM254" s="16">
        <v>0</v>
      </c>
      <c r="BN254" s="16">
        <v>0</v>
      </c>
      <c r="BO254" s="16">
        <v>0</v>
      </c>
      <c r="BP254" s="16">
        <v>0</v>
      </c>
      <c r="BQ254" s="16">
        <v>0</v>
      </c>
      <c r="BR254" s="16">
        <v>0</v>
      </c>
      <c r="BS254" s="16">
        <v>0</v>
      </c>
      <c r="BT254" s="16">
        <v>0</v>
      </c>
      <c r="BU254" s="16">
        <v>0</v>
      </c>
      <c r="BV254" s="16">
        <v>0</v>
      </c>
      <c r="BW254" s="16">
        <v>0</v>
      </c>
      <c r="BX254" s="16">
        <v>0</v>
      </c>
      <c r="BY254" s="16">
        <v>0</v>
      </c>
      <c r="BZ254" s="16">
        <v>0</v>
      </c>
      <c r="CA254" s="16">
        <v>0</v>
      </c>
      <c r="CB254" s="16">
        <v>0</v>
      </c>
      <c r="CC254" s="16">
        <v>0</v>
      </c>
      <c r="CD254" s="16">
        <v>0</v>
      </c>
      <c r="CE254" s="16">
        <v>0</v>
      </c>
      <c r="CF254" s="16">
        <v>0</v>
      </c>
      <c r="CG254" s="16">
        <v>0</v>
      </c>
      <c r="CH254" s="16">
        <v>0</v>
      </c>
      <c r="CI254" s="16">
        <v>0</v>
      </c>
      <c r="CJ254" s="16">
        <v>0</v>
      </c>
      <c r="CK254" s="16">
        <v>0</v>
      </c>
      <c r="CL254" s="16">
        <v>0</v>
      </c>
      <c r="CM254" s="16">
        <v>0</v>
      </c>
      <c r="CN254" s="16">
        <v>0</v>
      </c>
      <c r="CO254" s="16">
        <v>0</v>
      </c>
      <c r="CP254" s="16">
        <v>0</v>
      </c>
      <c r="CQ254" s="16">
        <v>0</v>
      </c>
      <c r="CR254" s="16">
        <v>0</v>
      </c>
      <c r="CS254" s="16">
        <v>1311</v>
      </c>
      <c r="CT254" s="16">
        <v>3405</v>
      </c>
      <c r="CU254" s="16">
        <v>627</v>
      </c>
      <c r="CV254" s="16">
        <v>6791</v>
      </c>
      <c r="CW254" s="16">
        <v>13450</v>
      </c>
      <c r="CX254" s="16">
        <v>22200</v>
      </c>
      <c r="CY254" s="16">
        <v>207</v>
      </c>
      <c r="CZ254" s="16">
        <v>205</v>
      </c>
      <c r="DA254" s="16">
        <v>5</v>
      </c>
      <c r="DB254" s="16">
        <v>34</v>
      </c>
      <c r="DC254" s="16">
        <v>2</v>
      </c>
      <c r="DD254" s="16">
        <v>4</v>
      </c>
      <c r="DE254" s="16">
        <v>0</v>
      </c>
      <c r="DF254" s="16">
        <v>0</v>
      </c>
      <c r="DG254" s="16">
        <v>0</v>
      </c>
      <c r="DH254" s="16">
        <v>0</v>
      </c>
      <c r="DI254" s="16">
        <v>0</v>
      </c>
      <c r="DJ254" s="16">
        <v>0</v>
      </c>
      <c r="DK254" s="16">
        <v>0</v>
      </c>
      <c r="DL254" s="16">
        <v>0</v>
      </c>
      <c r="DM254" s="16">
        <v>0</v>
      </c>
      <c r="DN254" s="16">
        <v>0</v>
      </c>
      <c r="DO254" s="16">
        <v>0</v>
      </c>
      <c r="DP254" s="16">
        <v>0</v>
      </c>
      <c r="DQ254" s="16">
        <v>0</v>
      </c>
      <c r="DR254" s="16">
        <v>0</v>
      </c>
      <c r="DS254" s="16">
        <v>0</v>
      </c>
      <c r="DT254" s="16">
        <v>0</v>
      </c>
      <c r="DU254" s="16">
        <v>0</v>
      </c>
      <c r="DV254" s="16">
        <v>5</v>
      </c>
      <c r="DW254" s="16">
        <v>0</v>
      </c>
      <c r="DX254" s="16">
        <v>0</v>
      </c>
      <c r="DY254" s="16">
        <v>0</v>
      </c>
      <c r="DZ254" s="16">
        <v>0</v>
      </c>
      <c r="EA254" s="16">
        <v>0</v>
      </c>
      <c r="EB254" s="16">
        <v>0</v>
      </c>
      <c r="EC254" s="16">
        <v>0</v>
      </c>
      <c r="ED254" s="16">
        <v>0</v>
      </c>
      <c r="EE254" s="16">
        <v>0</v>
      </c>
      <c r="EF254" s="16">
        <v>0</v>
      </c>
      <c r="EG254" s="16">
        <v>0</v>
      </c>
      <c r="EH254" s="16">
        <v>0</v>
      </c>
      <c r="EI254" s="16">
        <v>0</v>
      </c>
      <c r="EJ254" s="16">
        <v>0</v>
      </c>
      <c r="EK254" s="16">
        <v>0</v>
      </c>
      <c r="EL254" s="16">
        <v>0</v>
      </c>
      <c r="EM254" s="16">
        <v>0</v>
      </c>
      <c r="EN254" s="16">
        <v>0</v>
      </c>
      <c r="EO254" s="16">
        <v>0</v>
      </c>
      <c r="EP254" s="16">
        <v>0</v>
      </c>
      <c r="EQ254" s="16">
        <v>0</v>
      </c>
      <c r="ER254" s="16">
        <v>0</v>
      </c>
      <c r="ES254" s="16">
        <v>0</v>
      </c>
      <c r="ET254" s="16">
        <v>0</v>
      </c>
      <c r="EU254" s="16">
        <v>0</v>
      </c>
      <c r="EV254" s="16">
        <v>0</v>
      </c>
      <c r="EW254" s="16">
        <v>5</v>
      </c>
      <c r="EX254" s="16">
        <v>0</v>
      </c>
      <c r="EY254" s="16">
        <v>203</v>
      </c>
      <c r="EZ254" s="16">
        <v>0</v>
      </c>
      <c r="FA254" s="16">
        <v>12</v>
      </c>
      <c r="FB254" s="16">
        <v>75</v>
      </c>
      <c r="FC254" s="16">
        <v>0</v>
      </c>
      <c r="FD254" s="16">
        <v>0</v>
      </c>
      <c r="FE254" s="16">
        <v>0</v>
      </c>
      <c r="FF254" s="16">
        <v>0</v>
      </c>
      <c r="FG254" s="16">
        <v>0</v>
      </c>
      <c r="FH254" s="16">
        <v>0</v>
      </c>
      <c r="FI254" s="16">
        <v>0</v>
      </c>
      <c r="FJ254" s="16">
        <v>0</v>
      </c>
      <c r="FK254" s="16">
        <v>0</v>
      </c>
      <c r="FL254" s="16">
        <v>0</v>
      </c>
      <c r="FM254" s="16">
        <v>0</v>
      </c>
      <c r="FN254" s="16">
        <v>0</v>
      </c>
      <c r="FO254" s="16">
        <v>0</v>
      </c>
      <c r="FP254" s="16">
        <v>0</v>
      </c>
      <c r="FQ254" s="16">
        <v>15</v>
      </c>
      <c r="FR254" s="16">
        <v>48</v>
      </c>
      <c r="FS254" s="16">
        <v>0</v>
      </c>
      <c r="FT254" s="16">
        <v>0</v>
      </c>
      <c r="FU254" s="16">
        <v>0</v>
      </c>
      <c r="FV254" s="16">
        <v>0</v>
      </c>
      <c r="FW254" s="16">
        <v>0</v>
      </c>
      <c r="FX254" s="16">
        <v>0</v>
      </c>
      <c r="FY254" s="16">
        <v>0</v>
      </c>
      <c r="FZ254" s="16">
        <v>0</v>
      </c>
      <c r="GA254" s="16">
        <v>0</v>
      </c>
      <c r="GB254" s="16">
        <v>0</v>
      </c>
      <c r="GC254" s="16">
        <v>0</v>
      </c>
      <c r="GD254" s="16">
        <v>0</v>
      </c>
      <c r="GE254" s="16">
        <v>0</v>
      </c>
      <c r="GF254" s="16">
        <v>0</v>
      </c>
      <c r="GG254" s="16">
        <v>0</v>
      </c>
      <c r="GH254" s="16">
        <v>0</v>
      </c>
      <c r="GI254" s="16">
        <v>0</v>
      </c>
      <c r="GJ254" s="16">
        <v>0</v>
      </c>
      <c r="GK254" s="16">
        <v>0</v>
      </c>
      <c r="GL254" s="16">
        <v>0</v>
      </c>
      <c r="GM254" s="16">
        <v>0</v>
      </c>
      <c r="GN254" s="16">
        <v>0</v>
      </c>
      <c r="GO254" s="16">
        <v>0</v>
      </c>
      <c r="GP254" s="16">
        <v>0</v>
      </c>
      <c r="GQ254" s="16">
        <v>0</v>
      </c>
      <c r="GR254" s="16">
        <v>0</v>
      </c>
      <c r="GS254" s="16">
        <v>0</v>
      </c>
      <c r="GT254" s="16">
        <v>0</v>
      </c>
      <c r="GU254" s="16">
        <v>0</v>
      </c>
      <c r="GV254" s="16">
        <v>0</v>
      </c>
      <c r="GW254" s="16">
        <v>0</v>
      </c>
      <c r="GX254" s="16">
        <v>0</v>
      </c>
      <c r="GY254" s="16">
        <v>0</v>
      </c>
      <c r="GZ254" s="16">
        <v>0</v>
      </c>
      <c r="HA254" s="16">
        <v>0</v>
      </c>
      <c r="HB254" s="16">
        <v>0</v>
      </c>
      <c r="HC254" s="16">
        <v>0</v>
      </c>
      <c r="HD254" s="16">
        <v>0</v>
      </c>
      <c r="HE254" s="16">
        <v>0</v>
      </c>
      <c r="HF254" s="16">
        <v>0</v>
      </c>
      <c r="HG254" s="16">
        <v>0</v>
      </c>
      <c r="HH254" s="16">
        <v>0</v>
      </c>
      <c r="HI254" s="16">
        <v>0</v>
      </c>
      <c r="HJ254" s="16">
        <v>0</v>
      </c>
      <c r="HK254" s="16">
        <v>0</v>
      </c>
      <c r="HL254" s="16">
        <v>97</v>
      </c>
      <c r="HM254" s="16">
        <v>21</v>
      </c>
      <c r="HN254" s="16">
        <v>0</v>
      </c>
      <c r="HO254" s="16">
        <v>0</v>
      </c>
      <c r="HP254" s="16">
        <v>0</v>
      </c>
      <c r="HQ254" s="16">
        <v>58</v>
      </c>
      <c r="HR254" s="16">
        <v>0</v>
      </c>
      <c r="HS254" s="16">
        <v>0</v>
      </c>
      <c r="HT254" s="16">
        <v>0</v>
      </c>
      <c r="HU254" s="16">
        <v>0</v>
      </c>
      <c r="HV254" s="16">
        <v>0</v>
      </c>
      <c r="HW254" s="16">
        <v>41</v>
      </c>
      <c r="HX254" s="16">
        <v>0</v>
      </c>
      <c r="HY254" s="16">
        <v>0</v>
      </c>
      <c r="HZ254" s="16">
        <v>0</v>
      </c>
      <c r="IA254" s="16">
        <v>0</v>
      </c>
      <c r="IB254" s="16">
        <v>0</v>
      </c>
      <c r="IC254" s="16">
        <v>0</v>
      </c>
      <c r="ID254" s="16">
        <v>0</v>
      </c>
      <c r="IE254" s="16">
        <v>0</v>
      </c>
      <c r="IF254" s="16">
        <v>0</v>
      </c>
      <c r="IG254" s="16">
        <v>0</v>
      </c>
      <c r="IH254" s="16">
        <v>0</v>
      </c>
      <c r="II254" s="16">
        <v>0</v>
      </c>
      <c r="IJ254" s="16">
        <v>0</v>
      </c>
      <c r="IK254" s="16">
        <v>0</v>
      </c>
      <c r="IL254" s="16">
        <v>0</v>
      </c>
      <c r="IM254" s="16">
        <v>0</v>
      </c>
      <c r="IN254" s="16">
        <v>0</v>
      </c>
      <c r="IO254" s="16">
        <v>6</v>
      </c>
      <c r="IP254" s="16">
        <v>73</v>
      </c>
      <c r="IQ254" s="16">
        <v>16</v>
      </c>
      <c r="IR254" s="16">
        <v>0</v>
      </c>
      <c r="IS254" s="16">
        <v>0</v>
      </c>
      <c r="IT254" s="16">
        <v>2321238</v>
      </c>
      <c r="IU254" s="16">
        <v>0</v>
      </c>
      <c r="IV254" s="16">
        <v>0</v>
      </c>
      <c r="IW254" s="16">
        <v>0</v>
      </c>
      <c r="IX254" s="16">
        <v>0</v>
      </c>
      <c r="IY254" s="16">
        <v>0</v>
      </c>
      <c r="IZ254" s="16">
        <v>0</v>
      </c>
      <c r="JA254" s="16">
        <v>0</v>
      </c>
      <c r="JB254" s="16">
        <v>0</v>
      </c>
      <c r="JC254" s="16">
        <v>0</v>
      </c>
      <c r="JD254" s="16">
        <v>0</v>
      </c>
      <c r="JE254" s="16">
        <v>0</v>
      </c>
      <c r="JF254" s="16">
        <v>0</v>
      </c>
      <c r="JG254" s="16">
        <v>7141</v>
      </c>
      <c r="JH254" s="16">
        <v>577</v>
      </c>
      <c r="JI254" s="16">
        <v>0</v>
      </c>
      <c r="JJ254" s="16">
        <v>0</v>
      </c>
      <c r="JK254" s="16">
        <v>0</v>
      </c>
      <c r="JL254" s="16">
        <v>0</v>
      </c>
      <c r="JM254" s="16">
        <v>0</v>
      </c>
      <c r="JN254" s="16">
        <v>0</v>
      </c>
      <c r="JO254" s="16">
        <v>0</v>
      </c>
      <c r="JP254" s="16">
        <v>0</v>
      </c>
      <c r="JQ254" s="16">
        <v>0</v>
      </c>
      <c r="JR254" s="16">
        <v>0</v>
      </c>
      <c r="JS254" s="16">
        <v>0</v>
      </c>
      <c r="JT254" s="16">
        <v>0</v>
      </c>
      <c r="JU254" s="16">
        <v>0</v>
      </c>
      <c r="JV254" s="16">
        <v>0</v>
      </c>
      <c r="JW254" s="16">
        <v>0</v>
      </c>
      <c r="JX254" s="16">
        <v>0</v>
      </c>
      <c r="JY254" s="16">
        <v>0</v>
      </c>
      <c r="JZ254" s="16">
        <v>0</v>
      </c>
      <c r="KA254" s="16">
        <v>0</v>
      </c>
      <c r="KB254" s="16">
        <v>0</v>
      </c>
      <c r="KC254" s="16">
        <v>0</v>
      </c>
      <c r="KD254" s="16">
        <v>0</v>
      </c>
      <c r="KE254" s="16">
        <v>0</v>
      </c>
      <c r="KF254" s="16">
        <v>0</v>
      </c>
      <c r="KG254" s="16">
        <v>0</v>
      </c>
      <c r="KH254" s="16">
        <v>0</v>
      </c>
      <c r="KI254" s="16">
        <v>0</v>
      </c>
      <c r="KJ254" s="16">
        <v>0</v>
      </c>
      <c r="KK254" s="16">
        <v>24168</v>
      </c>
      <c r="KL254" s="16">
        <v>0</v>
      </c>
      <c r="KM254" s="16">
        <v>0</v>
      </c>
      <c r="KN254" s="16">
        <v>0</v>
      </c>
      <c r="KO254" s="16">
        <v>0</v>
      </c>
      <c r="KP254" s="16">
        <v>0</v>
      </c>
      <c r="KQ254" s="16">
        <v>4589755</v>
      </c>
      <c r="KR254" s="16">
        <v>0</v>
      </c>
      <c r="KS254" s="16">
        <v>0</v>
      </c>
      <c r="KT254" s="16">
        <v>161145</v>
      </c>
      <c r="KU254" s="16">
        <v>0</v>
      </c>
      <c r="KV254" s="16">
        <v>0</v>
      </c>
      <c r="KW254" s="16">
        <v>0</v>
      </c>
      <c r="KX254" s="16">
        <v>0</v>
      </c>
      <c r="KY254" s="16">
        <v>0</v>
      </c>
      <c r="KZ254" s="16">
        <v>0</v>
      </c>
      <c r="LA254" s="16">
        <v>0</v>
      </c>
      <c r="LB254" s="16">
        <v>0</v>
      </c>
      <c r="LC254" s="16">
        <v>0</v>
      </c>
      <c r="LD254" s="16">
        <v>0</v>
      </c>
      <c r="LE254" s="16">
        <v>0</v>
      </c>
      <c r="LF254" s="16">
        <v>0</v>
      </c>
      <c r="LG254" s="16">
        <v>0</v>
      </c>
      <c r="LH254" s="16">
        <v>0</v>
      </c>
      <c r="LI254" s="16">
        <v>0</v>
      </c>
      <c r="LJ254" s="16">
        <v>0</v>
      </c>
      <c r="LK254" s="16">
        <v>0</v>
      </c>
      <c r="LL254" s="16">
        <v>0</v>
      </c>
      <c r="LM254" s="16">
        <v>0</v>
      </c>
      <c r="LN254" s="16">
        <v>0</v>
      </c>
      <c r="LO254" s="16">
        <v>0</v>
      </c>
      <c r="LP254" s="16">
        <v>0</v>
      </c>
      <c r="LQ254" s="16">
        <v>0</v>
      </c>
      <c r="LR254" s="16">
        <v>0</v>
      </c>
      <c r="LS254" s="16">
        <v>0</v>
      </c>
      <c r="LT254" s="16">
        <v>0</v>
      </c>
      <c r="LU254" s="16">
        <v>0</v>
      </c>
      <c r="LV254" s="16">
        <v>0</v>
      </c>
      <c r="LW254" s="16">
        <v>0</v>
      </c>
      <c r="LX254" s="16">
        <v>0</v>
      </c>
      <c r="LY254" s="16">
        <v>0</v>
      </c>
      <c r="LZ254" s="16">
        <v>0</v>
      </c>
      <c r="MA254" s="16">
        <v>0</v>
      </c>
      <c r="MB254" s="16">
        <v>0</v>
      </c>
      <c r="MC254" s="16">
        <v>35214</v>
      </c>
      <c r="MD254" s="16">
        <v>28433</v>
      </c>
      <c r="ME254" s="16">
        <v>0</v>
      </c>
      <c r="MF254" s="16">
        <v>191435</v>
      </c>
      <c r="MG254" s="16">
        <v>0</v>
      </c>
      <c r="MH254" s="16">
        <v>0</v>
      </c>
      <c r="MI254" s="16">
        <v>0</v>
      </c>
      <c r="MJ254" s="16">
        <v>0</v>
      </c>
      <c r="MK254" s="16">
        <v>0</v>
      </c>
      <c r="ML254" s="16">
        <v>0</v>
      </c>
      <c r="MM254" s="16">
        <v>0</v>
      </c>
      <c r="MN254" s="16">
        <v>0</v>
      </c>
      <c r="MO254" s="16">
        <v>0</v>
      </c>
      <c r="MP254" s="16">
        <v>0</v>
      </c>
      <c r="MQ254" s="16">
        <v>0</v>
      </c>
      <c r="MR254" s="16">
        <v>2234611</v>
      </c>
      <c r="MS254" s="16">
        <v>59181</v>
      </c>
      <c r="MT254" s="16">
        <v>0</v>
      </c>
      <c r="MU254" s="16">
        <v>735</v>
      </c>
      <c r="MV254" s="16">
        <v>0</v>
      </c>
      <c r="MW254" s="16">
        <v>0</v>
      </c>
      <c r="MX254" s="16">
        <v>13821</v>
      </c>
      <c r="MY254" s="16">
        <v>0</v>
      </c>
      <c r="MZ254" s="16">
        <v>3212</v>
      </c>
      <c r="NA254" s="16">
        <v>0</v>
      </c>
      <c r="NB254" s="16">
        <v>0</v>
      </c>
      <c r="NC254" s="16">
        <v>3792</v>
      </c>
      <c r="ND254" s="16">
        <v>0</v>
      </c>
      <c r="NE254" s="16">
        <v>58</v>
      </c>
      <c r="NF254" s="16">
        <v>0</v>
      </c>
      <c r="NG254" s="16">
        <v>0</v>
      </c>
      <c r="NH254" s="16">
        <v>0</v>
      </c>
      <c r="NI254" s="16">
        <v>0</v>
      </c>
      <c r="NJ254" s="16">
        <v>0</v>
      </c>
      <c r="NK254" s="16">
        <v>0</v>
      </c>
      <c r="NL254" s="16">
        <v>0</v>
      </c>
      <c r="NM254" s="16">
        <v>0</v>
      </c>
      <c r="NN254" s="16">
        <v>0</v>
      </c>
      <c r="NO254" s="16">
        <v>0</v>
      </c>
      <c r="NP254" s="16">
        <v>0</v>
      </c>
      <c r="NQ254" s="16">
        <v>3889</v>
      </c>
      <c r="NR254" s="17">
        <v>9727604</v>
      </c>
    </row>
    <row r="255" spans="1:382" ht="13.5" customHeight="1" x14ac:dyDescent="0.2">
      <c r="A255" s="2" t="s">
        <v>517</v>
      </c>
      <c r="B255" s="16">
        <v>0</v>
      </c>
      <c r="C255" s="16">
        <v>0</v>
      </c>
      <c r="D255" s="16">
        <v>0</v>
      </c>
      <c r="E255" s="16">
        <v>0</v>
      </c>
      <c r="F255" s="16">
        <v>0</v>
      </c>
      <c r="G255" s="16">
        <v>0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1</v>
      </c>
      <c r="U255" s="16">
        <v>0</v>
      </c>
      <c r="V255" s="16">
        <v>0</v>
      </c>
      <c r="W255" s="16">
        <v>0</v>
      </c>
      <c r="X255" s="16">
        <v>1</v>
      </c>
      <c r="Y255" s="16">
        <v>2</v>
      </c>
      <c r="Z255" s="16">
        <v>40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  <c r="AG255" s="16">
        <v>1</v>
      </c>
      <c r="AH255" s="16">
        <v>7</v>
      </c>
      <c r="AI255" s="16">
        <v>1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>
        <v>0</v>
      </c>
      <c r="AP255" s="16">
        <v>0</v>
      </c>
      <c r="AQ255" s="16">
        <v>0</v>
      </c>
      <c r="AR255" s="16">
        <v>0</v>
      </c>
      <c r="AS255" s="16">
        <v>0</v>
      </c>
      <c r="AT255" s="16">
        <v>0</v>
      </c>
      <c r="AU255" s="16">
        <v>0</v>
      </c>
      <c r="AV255" s="16">
        <v>0</v>
      </c>
      <c r="AW255" s="16">
        <v>0</v>
      </c>
      <c r="AX255" s="16">
        <v>0</v>
      </c>
      <c r="AY255" s="16">
        <v>0</v>
      </c>
      <c r="AZ255" s="16">
        <v>0</v>
      </c>
      <c r="BA255" s="16">
        <v>0</v>
      </c>
      <c r="BB255" s="16">
        <v>0</v>
      </c>
      <c r="BC255" s="16">
        <v>0</v>
      </c>
      <c r="BD255" s="16">
        <v>0</v>
      </c>
      <c r="BE255" s="16">
        <v>0</v>
      </c>
      <c r="BF255" s="16">
        <v>0</v>
      </c>
      <c r="BG255" s="16">
        <v>0</v>
      </c>
      <c r="BH255" s="16">
        <v>0</v>
      </c>
      <c r="BI255" s="16">
        <v>0</v>
      </c>
      <c r="BJ255" s="16">
        <v>0</v>
      </c>
      <c r="BK255" s="16">
        <v>0</v>
      </c>
      <c r="BL255" s="16">
        <v>0</v>
      </c>
      <c r="BM255" s="16">
        <v>0</v>
      </c>
      <c r="BN255" s="16">
        <v>0</v>
      </c>
      <c r="BO255" s="16">
        <v>0</v>
      </c>
      <c r="BP255" s="16">
        <v>0</v>
      </c>
      <c r="BQ255" s="16">
        <v>0</v>
      </c>
      <c r="BR255" s="16">
        <v>0</v>
      </c>
      <c r="BS255" s="16">
        <v>0</v>
      </c>
      <c r="BT255" s="16">
        <v>0</v>
      </c>
      <c r="BU255" s="16">
        <v>0</v>
      </c>
      <c r="BV255" s="16">
        <v>0</v>
      </c>
      <c r="BW255" s="16">
        <v>0</v>
      </c>
      <c r="BX255" s="16">
        <v>0</v>
      </c>
      <c r="BY255" s="16">
        <v>0</v>
      </c>
      <c r="BZ255" s="16">
        <v>0</v>
      </c>
      <c r="CA255" s="16">
        <v>0</v>
      </c>
      <c r="CB255" s="16">
        <v>0</v>
      </c>
      <c r="CC255" s="16">
        <v>12</v>
      </c>
      <c r="CD255" s="16">
        <v>0</v>
      </c>
      <c r="CE255" s="16">
        <v>7</v>
      </c>
      <c r="CF255" s="16">
        <v>0</v>
      </c>
      <c r="CG255" s="16">
        <v>0</v>
      </c>
      <c r="CH255" s="16">
        <v>0</v>
      </c>
      <c r="CI255" s="16">
        <v>1</v>
      </c>
      <c r="CJ255" s="16">
        <v>0</v>
      </c>
      <c r="CK255" s="16">
        <v>0</v>
      </c>
      <c r="CL255" s="16">
        <v>0</v>
      </c>
      <c r="CM255" s="16">
        <v>0</v>
      </c>
      <c r="CN255" s="16">
        <v>0</v>
      </c>
      <c r="CO255" s="16">
        <v>0</v>
      </c>
      <c r="CP255" s="16">
        <v>0</v>
      </c>
      <c r="CQ255" s="16">
        <v>0</v>
      </c>
      <c r="CR255" s="16">
        <v>0</v>
      </c>
      <c r="CS255" s="16">
        <v>0</v>
      </c>
      <c r="CT255" s="16">
        <v>0</v>
      </c>
      <c r="CU255" s="16">
        <v>0</v>
      </c>
      <c r="CV255" s="16">
        <v>0</v>
      </c>
      <c r="CW255" s="16">
        <v>0</v>
      </c>
      <c r="CX255" s="16">
        <v>0</v>
      </c>
      <c r="CY255" s="16">
        <v>0</v>
      </c>
      <c r="CZ255" s="16">
        <v>0</v>
      </c>
      <c r="DA255" s="16">
        <v>0</v>
      </c>
      <c r="DB255" s="16">
        <v>0</v>
      </c>
      <c r="DC255" s="16">
        <v>0</v>
      </c>
      <c r="DD255" s="16">
        <v>0</v>
      </c>
      <c r="DE255" s="16">
        <v>0</v>
      </c>
      <c r="DF255" s="16">
        <v>33</v>
      </c>
      <c r="DG255" s="16">
        <v>0</v>
      </c>
      <c r="DH255" s="16">
        <v>2</v>
      </c>
      <c r="DI255" s="16">
        <v>0</v>
      </c>
      <c r="DJ255" s="16">
        <v>178</v>
      </c>
      <c r="DK255" s="16">
        <v>0</v>
      </c>
      <c r="DL255" s="16">
        <v>0</v>
      </c>
      <c r="DM255" s="16">
        <v>0</v>
      </c>
      <c r="DN255" s="16">
        <v>0</v>
      </c>
      <c r="DO255" s="16">
        <v>0</v>
      </c>
      <c r="DP255" s="16">
        <v>0</v>
      </c>
      <c r="DQ255" s="16">
        <v>0</v>
      </c>
      <c r="DR255" s="16">
        <v>0</v>
      </c>
      <c r="DS255" s="16">
        <v>0</v>
      </c>
      <c r="DT255" s="16">
        <v>0</v>
      </c>
      <c r="DU255" s="16">
        <v>0</v>
      </c>
      <c r="DV255" s="16">
        <v>0</v>
      </c>
      <c r="DW255" s="16">
        <v>0</v>
      </c>
      <c r="DX255" s="16">
        <v>0</v>
      </c>
      <c r="DY255" s="16">
        <v>0</v>
      </c>
      <c r="DZ255" s="16">
        <v>0</v>
      </c>
      <c r="EA255" s="16">
        <v>0</v>
      </c>
      <c r="EB255" s="16">
        <v>0</v>
      </c>
      <c r="EC255" s="16">
        <v>0</v>
      </c>
      <c r="ED255" s="16">
        <v>0</v>
      </c>
      <c r="EE255" s="16">
        <v>0</v>
      </c>
      <c r="EF255" s="16">
        <v>0</v>
      </c>
      <c r="EG255" s="16">
        <v>1</v>
      </c>
      <c r="EH255" s="16">
        <v>0</v>
      </c>
      <c r="EI255" s="16">
        <v>0</v>
      </c>
      <c r="EJ255" s="16">
        <v>0</v>
      </c>
      <c r="EK255" s="16">
        <v>0</v>
      </c>
      <c r="EL255" s="16">
        <v>0</v>
      </c>
      <c r="EM255" s="16">
        <v>0</v>
      </c>
      <c r="EN255" s="16">
        <v>2</v>
      </c>
      <c r="EO255" s="16">
        <v>2</v>
      </c>
      <c r="EP255" s="16">
        <v>1</v>
      </c>
      <c r="EQ255" s="16">
        <v>1</v>
      </c>
      <c r="ER255" s="16">
        <v>0</v>
      </c>
      <c r="ES255" s="16">
        <v>0</v>
      </c>
      <c r="ET255" s="16">
        <v>7</v>
      </c>
      <c r="EU255" s="16">
        <v>0</v>
      </c>
      <c r="EV255" s="16">
        <v>0</v>
      </c>
      <c r="EW255" s="16">
        <v>0</v>
      </c>
      <c r="EX255" s="16">
        <v>0</v>
      </c>
      <c r="EY255" s="16">
        <v>0</v>
      </c>
      <c r="EZ255" s="16">
        <v>0</v>
      </c>
      <c r="FA255" s="16">
        <v>0</v>
      </c>
      <c r="FB255" s="16">
        <v>0</v>
      </c>
      <c r="FC255" s="16">
        <v>0</v>
      </c>
      <c r="FD255" s="16">
        <v>0</v>
      </c>
      <c r="FE255" s="16">
        <v>0</v>
      </c>
      <c r="FF255" s="16">
        <v>0</v>
      </c>
      <c r="FG255" s="16">
        <v>0</v>
      </c>
      <c r="FH255" s="16">
        <v>0</v>
      </c>
      <c r="FI255" s="16">
        <v>0</v>
      </c>
      <c r="FJ255" s="16">
        <v>0</v>
      </c>
      <c r="FK255" s="16">
        <v>0</v>
      </c>
      <c r="FL255" s="16">
        <v>0</v>
      </c>
      <c r="FM255" s="16">
        <v>0</v>
      </c>
      <c r="FN255" s="16">
        <v>0</v>
      </c>
      <c r="FO255" s="16">
        <v>0</v>
      </c>
      <c r="FP255" s="16">
        <v>0</v>
      </c>
      <c r="FQ255" s="16">
        <v>0</v>
      </c>
      <c r="FR255" s="16">
        <v>0</v>
      </c>
      <c r="FS255" s="16">
        <v>0</v>
      </c>
      <c r="FT255" s="16">
        <v>0</v>
      </c>
      <c r="FU255" s="16">
        <v>0</v>
      </c>
      <c r="FV255" s="16">
        <v>1</v>
      </c>
      <c r="FW255" s="16">
        <v>0</v>
      </c>
      <c r="FX255" s="16">
        <v>0</v>
      </c>
      <c r="FY255" s="16">
        <v>1</v>
      </c>
      <c r="FZ255" s="16">
        <v>0</v>
      </c>
      <c r="GA255" s="16">
        <v>0</v>
      </c>
      <c r="GB255" s="16">
        <v>0</v>
      </c>
      <c r="GC255" s="16">
        <v>0</v>
      </c>
      <c r="GD255" s="16">
        <v>2</v>
      </c>
      <c r="GE255" s="16">
        <v>0</v>
      </c>
      <c r="GF255" s="16">
        <v>0</v>
      </c>
      <c r="GG255" s="16">
        <v>0</v>
      </c>
      <c r="GH255" s="16">
        <v>0</v>
      </c>
      <c r="GI255" s="16">
        <v>1</v>
      </c>
      <c r="GJ255" s="16">
        <v>0</v>
      </c>
      <c r="GK255" s="16">
        <v>1</v>
      </c>
      <c r="GL255" s="16">
        <v>0</v>
      </c>
      <c r="GM255" s="16">
        <v>2</v>
      </c>
      <c r="GN255" s="16">
        <v>0</v>
      </c>
      <c r="GO255" s="16">
        <v>0</v>
      </c>
      <c r="GP255" s="16">
        <v>0</v>
      </c>
      <c r="GQ255" s="16">
        <v>0</v>
      </c>
      <c r="GR255" s="16">
        <v>0</v>
      </c>
      <c r="GS255" s="16">
        <v>0</v>
      </c>
      <c r="GT255" s="16">
        <v>0</v>
      </c>
      <c r="GU255" s="16">
        <v>0</v>
      </c>
      <c r="GV255" s="16">
        <v>0</v>
      </c>
      <c r="GW255" s="16">
        <v>1</v>
      </c>
      <c r="GX255" s="16">
        <v>0</v>
      </c>
      <c r="GY255" s="16">
        <v>0</v>
      </c>
      <c r="GZ255" s="16">
        <v>2</v>
      </c>
      <c r="HA255" s="16">
        <v>0</v>
      </c>
      <c r="HB255" s="16">
        <v>0</v>
      </c>
      <c r="HC255" s="16">
        <v>0</v>
      </c>
      <c r="HD255" s="16">
        <v>0</v>
      </c>
      <c r="HE255" s="16">
        <v>0</v>
      </c>
      <c r="HF255" s="16">
        <v>2</v>
      </c>
      <c r="HG255" s="16">
        <v>0</v>
      </c>
      <c r="HH255" s="16">
        <v>0</v>
      </c>
      <c r="HI255" s="16">
        <v>0</v>
      </c>
      <c r="HJ255" s="16">
        <v>0</v>
      </c>
      <c r="HK255" s="16">
        <v>1</v>
      </c>
      <c r="HL255" s="16">
        <v>2</v>
      </c>
      <c r="HM255" s="16">
        <v>0</v>
      </c>
      <c r="HN255" s="16">
        <v>0</v>
      </c>
      <c r="HO255" s="16">
        <v>0</v>
      </c>
      <c r="HP255" s="16">
        <v>0</v>
      </c>
      <c r="HQ255" s="16">
        <v>69</v>
      </c>
      <c r="HR255" s="16">
        <v>0</v>
      </c>
      <c r="HS255" s="16">
        <v>0</v>
      </c>
      <c r="HT255" s="16">
        <v>0</v>
      </c>
      <c r="HU255" s="16">
        <v>0</v>
      </c>
      <c r="HV255" s="16">
        <v>0</v>
      </c>
      <c r="HW255" s="16">
        <v>0</v>
      </c>
      <c r="HX255" s="16">
        <v>0</v>
      </c>
      <c r="HY255" s="16">
        <v>0</v>
      </c>
      <c r="HZ255" s="16">
        <v>0</v>
      </c>
      <c r="IA255" s="16">
        <v>0</v>
      </c>
      <c r="IB255" s="16">
        <v>0</v>
      </c>
      <c r="IC255" s="16">
        <v>1</v>
      </c>
      <c r="ID255" s="16">
        <v>1</v>
      </c>
      <c r="IE255" s="16">
        <v>0</v>
      </c>
      <c r="IF255" s="16">
        <v>1</v>
      </c>
      <c r="IG255" s="16">
        <v>5</v>
      </c>
      <c r="IH255" s="16">
        <v>0</v>
      </c>
      <c r="II255" s="16">
        <v>0</v>
      </c>
      <c r="IJ255" s="16">
        <v>0</v>
      </c>
      <c r="IK255" s="16">
        <v>0</v>
      </c>
      <c r="IL255" s="16">
        <v>0</v>
      </c>
      <c r="IM255" s="16">
        <v>0</v>
      </c>
      <c r="IN255" s="16">
        <v>21</v>
      </c>
      <c r="IO255" s="16">
        <v>0</v>
      </c>
      <c r="IP255" s="16">
        <v>30</v>
      </c>
      <c r="IQ255" s="16">
        <v>0</v>
      </c>
      <c r="IR255" s="16">
        <v>44</v>
      </c>
      <c r="IS255" s="16">
        <v>0</v>
      </c>
      <c r="IT255" s="16">
        <v>0</v>
      </c>
      <c r="IU255" s="16">
        <v>57537</v>
      </c>
      <c r="IV255" s="16">
        <v>608</v>
      </c>
      <c r="IW255" s="16">
        <v>4</v>
      </c>
      <c r="IX255" s="16">
        <v>0</v>
      </c>
      <c r="IY255" s="16">
        <v>4</v>
      </c>
      <c r="IZ255" s="16">
        <v>0</v>
      </c>
      <c r="JA255" s="16">
        <v>0</v>
      </c>
      <c r="JB255" s="16">
        <v>0</v>
      </c>
      <c r="JC255" s="16">
        <v>0</v>
      </c>
      <c r="JD255" s="16">
        <v>0</v>
      </c>
      <c r="JE255" s="16">
        <v>0</v>
      </c>
      <c r="JF255" s="16">
        <v>0</v>
      </c>
      <c r="JG255" s="16">
        <v>640</v>
      </c>
      <c r="JH255" s="16">
        <v>235</v>
      </c>
      <c r="JI255" s="16">
        <v>510</v>
      </c>
      <c r="JJ255" s="16">
        <v>23</v>
      </c>
      <c r="JK255" s="16">
        <v>0</v>
      </c>
      <c r="JL255" s="16">
        <v>0</v>
      </c>
      <c r="JM255" s="16">
        <v>0</v>
      </c>
      <c r="JN255" s="16">
        <v>0</v>
      </c>
      <c r="JO255" s="16">
        <v>0</v>
      </c>
      <c r="JP255" s="16">
        <v>2</v>
      </c>
      <c r="JQ255" s="16">
        <v>10</v>
      </c>
      <c r="JR255" s="16">
        <v>428</v>
      </c>
      <c r="JS255" s="16">
        <v>7</v>
      </c>
      <c r="JT255" s="16">
        <v>0</v>
      </c>
      <c r="JU255" s="16">
        <v>185</v>
      </c>
      <c r="JV255" s="16">
        <v>0</v>
      </c>
      <c r="JW255" s="16">
        <v>0</v>
      </c>
      <c r="JX255" s="16">
        <v>85</v>
      </c>
      <c r="JY255" s="16">
        <v>3</v>
      </c>
      <c r="JZ255" s="16">
        <v>0</v>
      </c>
      <c r="KA255" s="16">
        <v>1</v>
      </c>
      <c r="KB255" s="16">
        <v>0</v>
      </c>
      <c r="KC255" s="16">
        <v>0</v>
      </c>
      <c r="KD255" s="16">
        <v>0</v>
      </c>
      <c r="KE255" s="16">
        <v>0</v>
      </c>
      <c r="KF255" s="16">
        <v>1</v>
      </c>
      <c r="KG255" s="16">
        <v>1</v>
      </c>
      <c r="KH255" s="16">
        <v>70</v>
      </c>
      <c r="KI255" s="16">
        <v>0</v>
      </c>
      <c r="KJ255" s="16">
        <v>0</v>
      </c>
      <c r="KK255" s="16">
        <v>1266</v>
      </c>
      <c r="KL255" s="16">
        <v>0</v>
      </c>
      <c r="KM255" s="16">
        <v>414</v>
      </c>
      <c r="KN255" s="16">
        <v>752</v>
      </c>
      <c r="KO255" s="16">
        <v>221</v>
      </c>
      <c r="KP255" s="16">
        <v>67</v>
      </c>
      <c r="KQ255" s="16">
        <v>0</v>
      </c>
      <c r="KR255" s="16">
        <v>1174</v>
      </c>
      <c r="KS255" s="16">
        <v>30</v>
      </c>
      <c r="KT255" s="16">
        <v>0</v>
      </c>
      <c r="KU255" s="16">
        <v>0</v>
      </c>
      <c r="KV255" s="16">
        <v>3209</v>
      </c>
      <c r="KW255" s="16">
        <v>3220</v>
      </c>
      <c r="KX255" s="16">
        <v>3825</v>
      </c>
      <c r="KY255" s="16">
        <v>1964</v>
      </c>
      <c r="KZ255" s="16">
        <v>1117</v>
      </c>
      <c r="LA255" s="16">
        <v>1451</v>
      </c>
      <c r="LB255" s="16">
        <v>2</v>
      </c>
      <c r="LC255" s="16">
        <v>850</v>
      </c>
      <c r="LD255" s="16">
        <v>2</v>
      </c>
      <c r="LE255" s="16">
        <v>432</v>
      </c>
      <c r="LF255" s="16">
        <v>682</v>
      </c>
      <c r="LG255" s="16">
        <v>65</v>
      </c>
      <c r="LH255" s="16">
        <v>171</v>
      </c>
      <c r="LI255" s="16">
        <v>0</v>
      </c>
      <c r="LJ255" s="16">
        <v>0</v>
      </c>
      <c r="LK255" s="16">
        <v>132</v>
      </c>
      <c r="LL255" s="16">
        <v>2</v>
      </c>
      <c r="LM255" s="16">
        <v>12</v>
      </c>
      <c r="LN255" s="16">
        <v>320</v>
      </c>
      <c r="LO255" s="16">
        <v>0</v>
      </c>
      <c r="LP255" s="16">
        <v>0</v>
      </c>
      <c r="LQ255" s="16">
        <v>0</v>
      </c>
      <c r="LR255" s="16">
        <v>0</v>
      </c>
      <c r="LS255" s="16">
        <v>0</v>
      </c>
      <c r="LT255" s="16">
        <v>0</v>
      </c>
      <c r="LU255" s="16">
        <v>0</v>
      </c>
      <c r="LV255" s="16">
        <v>0</v>
      </c>
      <c r="LW255" s="16">
        <v>0</v>
      </c>
      <c r="LX255" s="16">
        <v>0</v>
      </c>
      <c r="LY255" s="16">
        <v>0</v>
      </c>
      <c r="LZ255" s="16">
        <v>0</v>
      </c>
      <c r="MA255" s="16">
        <v>0</v>
      </c>
      <c r="MB255" s="16">
        <v>0</v>
      </c>
      <c r="MC255" s="16">
        <v>273</v>
      </c>
      <c r="MD255" s="16">
        <v>0</v>
      </c>
      <c r="ME255" s="16">
        <v>0</v>
      </c>
      <c r="MF255" s="16">
        <v>533</v>
      </c>
      <c r="MG255" s="16">
        <v>0</v>
      </c>
      <c r="MH255" s="16">
        <v>0</v>
      </c>
      <c r="MI255" s="16">
        <v>0</v>
      </c>
      <c r="MJ255" s="16">
        <v>0</v>
      </c>
      <c r="MK255" s="16">
        <v>3</v>
      </c>
      <c r="ML255" s="16">
        <v>0</v>
      </c>
      <c r="MM255" s="16">
        <v>277</v>
      </c>
      <c r="MN255" s="16">
        <v>4461</v>
      </c>
      <c r="MO255" s="16">
        <v>514</v>
      </c>
      <c r="MP255" s="16">
        <v>0</v>
      </c>
      <c r="MQ255" s="16">
        <v>275</v>
      </c>
      <c r="MR255" s="16">
        <v>341</v>
      </c>
      <c r="MS255" s="16">
        <v>0</v>
      </c>
      <c r="MT255" s="16">
        <v>0</v>
      </c>
      <c r="MU255" s="16">
        <v>43</v>
      </c>
      <c r="MV255" s="16">
        <v>0</v>
      </c>
      <c r="MW255" s="16">
        <v>1943</v>
      </c>
      <c r="MX255" s="16">
        <v>0</v>
      </c>
      <c r="MY255" s="16">
        <v>0</v>
      </c>
      <c r="MZ255" s="16">
        <v>0</v>
      </c>
      <c r="NA255" s="16">
        <v>0</v>
      </c>
      <c r="NB255" s="16">
        <v>0</v>
      </c>
      <c r="NC255" s="16">
        <v>0</v>
      </c>
      <c r="ND255" s="16">
        <v>0</v>
      </c>
      <c r="NE255" s="16">
        <v>2</v>
      </c>
      <c r="NF255" s="16">
        <v>15</v>
      </c>
      <c r="NG255" s="16">
        <v>0</v>
      </c>
      <c r="NH255" s="16">
        <v>0</v>
      </c>
      <c r="NI255" s="16">
        <v>0</v>
      </c>
      <c r="NJ255" s="16">
        <v>0</v>
      </c>
      <c r="NK255" s="16">
        <v>71409</v>
      </c>
      <c r="NL255" s="16">
        <v>320</v>
      </c>
      <c r="NM255" s="16">
        <v>0</v>
      </c>
      <c r="NN255" s="16">
        <v>92</v>
      </c>
      <c r="NO255" s="16">
        <v>0</v>
      </c>
      <c r="NP255" s="16">
        <v>0</v>
      </c>
      <c r="NQ255" s="16">
        <v>0</v>
      </c>
      <c r="NR255" s="17">
        <v>162723</v>
      </c>
    </row>
    <row r="256" spans="1:382" ht="13.5" customHeight="1" x14ac:dyDescent="0.2">
      <c r="A256" s="2" t="s">
        <v>519</v>
      </c>
      <c r="B256" s="16">
        <v>3339</v>
      </c>
      <c r="C256" s="16">
        <v>0</v>
      </c>
      <c r="D256" s="16">
        <v>2089</v>
      </c>
      <c r="E256" s="16">
        <v>1079</v>
      </c>
      <c r="F256" s="16">
        <v>2185</v>
      </c>
      <c r="G256" s="16">
        <v>83</v>
      </c>
      <c r="H256" s="16">
        <v>12</v>
      </c>
      <c r="I256" s="16">
        <v>117</v>
      </c>
      <c r="J256" s="16">
        <v>38</v>
      </c>
      <c r="K256" s="16">
        <v>0</v>
      </c>
      <c r="L256" s="16">
        <v>1946</v>
      </c>
      <c r="M256" s="16">
        <v>1380</v>
      </c>
      <c r="N256" s="16">
        <v>2</v>
      </c>
      <c r="O256" s="16">
        <v>14</v>
      </c>
      <c r="P256" s="16">
        <v>739</v>
      </c>
      <c r="Q256" s="16">
        <v>11687</v>
      </c>
      <c r="R256" s="16">
        <v>6175</v>
      </c>
      <c r="S256" s="16">
        <v>261</v>
      </c>
      <c r="T256" s="16">
        <v>5</v>
      </c>
      <c r="U256" s="16">
        <v>264</v>
      </c>
      <c r="V256" s="16">
        <v>582</v>
      </c>
      <c r="W256" s="16">
        <v>0</v>
      </c>
      <c r="X256" s="16">
        <v>171</v>
      </c>
      <c r="Y256" s="16">
        <v>99</v>
      </c>
      <c r="Z256" s="16">
        <v>1903</v>
      </c>
      <c r="AA256" s="16">
        <v>993</v>
      </c>
      <c r="AB256" s="16">
        <v>0</v>
      </c>
      <c r="AC256" s="16">
        <v>0</v>
      </c>
      <c r="AD256" s="16">
        <v>0</v>
      </c>
      <c r="AE256" s="16">
        <v>4</v>
      </c>
      <c r="AF256" s="16">
        <v>0</v>
      </c>
      <c r="AG256" s="16">
        <v>320</v>
      </c>
      <c r="AH256" s="16">
        <v>709</v>
      </c>
      <c r="AI256" s="16">
        <v>336</v>
      </c>
      <c r="AJ256" s="16">
        <v>1780</v>
      </c>
      <c r="AK256" s="16">
        <v>0</v>
      </c>
      <c r="AL256" s="16">
        <v>0</v>
      </c>
      <c r="AM256" s="16">
        <v>13</v>
      </c>
      <c r="AN256" s="16">
        <v>6</v>
      </c>
      <c r="AO256" s="16">
        <v>390</v>
      </c>
      <c r="AP256" s="16">
        <v>0</v>
      </c>
      <c r="AQ256" s="16">
        <v>0</v>
      </c>
      <c r="AR256" s="16">
        <v>0</v>
      </c>
      <c r="AS256" s="16">
        <v>0</v>
      </c>
      <c r="AT256" s="16">
        <v>7</v>
      </c>
      <c r="AU256" s="16">
        <v>575</v>
      </c>
      <c r="AV256" s="16">
        <v>16</v>
      </c>
      <c r="AW256" s="16">
        <v>250</v>
      </c>
      <c r="AX256" s="16">
        <v>2</v>
      </c>
      <c r="AY256" s="16">
        <v>0</v>
      </c>
      <c r="AZ256" s="16">
        <v>38</v>
      </c>
      <c r="BA256" s="16">
        <v>155</v>
      </c>
      <c r="BB256" s="16">
        <v>42</v>
      </c>
      <c r="BC256" s="16">
        <v>151</v>
      </c>
      <c r="BD256" s="16">
        <v>11</v>
      </c>
      <c r="BE256" s="16">
        <v>35</v>
      </c>
      <c r="BF256" s="16">
        <v>1130</v>
      </c>
      <c r="BG256" s="16">
        <v>16</v>
      </c>
      <c r="BH256" s="16">
        <v>17</v>
      </c>
      <c r="BI256" s="16">
        <v>0</v>
      </c>
      <c r="BJ256" s="16">
        <v>8</v>
      </c>
      <c r="BK256" s="16">
        <v>621</v>
      </c>
      <c r="BL256" s="16">
        <v>55</v>
      </c>
      <c r="BM256" s="16">
        <v>107</v>
      </c>
      <c r="BN256" s="16">
        <v>143</v>
      </c>
      <c r="BO256" s="16">
        <v>14</v>
      </c>
      <c r="BP256" s="16">
        <v>18</v>
      </c>
      <c r="BQ256" s="16">
        <v>16</v>
      </c>
      <c r="BR256" s="16">
        <v>14</v>
      </c>
      <c r="BS256" s="16">
        <v>51</v>
      </c>
      <c r="BT256" s="16">
        <v>1</v>
      </c>
      <c r="BU256" s="16">
        <v>0</v>
      </c>
      <c r="BV256" s="16">
        <v>0</v>
      </c>
      <c r="BW256" s="16">
        <v>25</v>
      </c>
      <c r="BX256" s="16">
        <v>3</v>
      </c>
      <c r="BY256" s="16">
        <v>0</v>
      </c>
      <c r="BZ256" s="16">
        <v>27</v>
      </c>
      <c r="CA256" s="16">
        <v>24</v>
      </c>
      <c r="CB256" s="16">
        <v>323</v>
      </c>
      <c r="CC256" s="16">
        <v>4111</v>
      </c>
      <c r="CD256" s="16">
        <v>5597</v>
      </c>
      <c r="CE256" s="16">
        <v>1654</v>
      </c>
      <c r="CF256" s="16">
        <v>4366</v>
      </c>
      <c r="CG256" s="16">
        <v>595</v>
      </c>
      <c r="CH256" s="16">
        <v>1306</v>
      </c>
      <c r="CI256" s="16">
        <v>188</v>
      </c>
      <c r="CJ256" s="16">
        <v>1201</v>
      </c>
      <c r="CK256" s="16">
        <v>4776</v>
      </c>
      <c r="CL256" s="16">
        <v>609</v>
      </c>
      <c r="CM256" s="16">
        <v>130</v>
      </c>
      <c r="CN256" s="16">
        <v>17</v>
      </c>
      <c r="CO256" s="16">
        <v>1589</v>
      </c>
      <c r="CP256" s="16">
        <v>603</v>
      </c>
      <c r="CQ256" s="16">
        <v>1123</v>
      </c>
      <c r="CR256" s="16">
        <v>30</v>
      </c>
      <c r="CS256" s="16">
        <v>3316</v>
      </c>
      <c r="CT256" s="16">
        <v>1634</v>
      </c>
      <c r="CU256" s="16">
        <v>7224</v>
      </c>
      <c r="CV256" s="16">
        <v>5797</v>
      </c>
      <c r="CW256" s="16">
        <v>23424</v>
      </c>
      <c r="CX256" s="16">
        <v>38348</v>
      </c>
      <c r="CY256" s="16">
        <v>893</v>
      </c>
      <c r="CZ256" s="16">
        <v>2071</v>
      </c>
      <c r="DA256" s="16">
        <v>36</v>
      </c>
      <c r="DB256" s="16">
        <v>846</v>
      </c>
      <c r="DC256" s="16">
        <v>151</v>
      </c>
      <c r="DD256" s="16">
        <v>1289</v>
      </c>
      <c r="DE256" s="16">
        <v>56</v>
      </c>
      <c r="DF256" s="16">
        <v>1409</v>
      </c>
      <c r="DG256" s="16">
        <v>497</v>
      </c>
      <c r="DH256" s="16">
        <v>1089</v>
      </c>
      <c r="DI256" s="16">
        <v>342</v>
      </c>
      <c r="DJ256" s="16">
        <v>4792</v>
      </c>
      <c r="DK256" s="16">
        <v>301</v>
      </c>
      <c r="DL256" s="16">
        <v>320</v>
      </c>
      <c r="DM256" s="16">
        <v>1603</v>
      </c>
      <c r="DN256" s="16">
        <v>1807</v>
      </c>
      <c r="DO256" s="16">
        <v>318</v>
      </c>
      <c r="DP256" s="16">
        <v>1016</v>
      </c>
      <c r="DQ256" s="16">
        <v>107</v>
      </c>
      <c r="DR256" s="16">
        <v>466</v>
      </c>
      <c r="DS256" s="16">
        <v>3041</v>
      </c>
      <c r="DT256" s="16">
        <v>248</v>
      </c>
      <c r="DU256" s="16">
        <v>260</v>
      </c>
      <c r="DV256" s="16">
        <v>844</v>
      </c>
      <c r="DW256" s="16">
        <v>5033</v>
      </c>
      <c r="DX256" s="16">
        <v>1274</v>
      </c>
      <c r="DY256" s="16">
        <v>991</v>
      </c>
      <c r="DZ256" s="16">
        <v>4748</v>
      </c>
      <c r="EA256" s="16">
        <v>2390</v>
      </c>
      <c r="EB256" s="16">
        <v>370</v>
      </c>
      <c r="EC256" s="16">
        <v>4298</v>
      </c>
      <c r="ED256" s="16">
        <v>568</v>
      </c>
      <c r="EE256" s="16">
        <v>70</v>
      </c>
      <c r="EF256" s="16">
        <v>177</v>
      </c>
      <c r="EG256" s="16">
        <v>8353</v>
      </c>
      <c r="EH256" s="16">
        <v>606</v>
      </c>
      <c r="EI256" s="16">
        <v>117</v>
      </c>
      <c r="EJ256" s="16">
        <v>109</v>
      </c>
      <c r="EK256" s="16">
        <v>547</v>
      </c>
      <c r="EL256" s="16">
        <v>241</v>
      </c>
      <c r="EM256" s="16">
        <v>816</v>
      </c>
      <c r="EN256" s="16">
        <v>5778</v>
      </c>
      <c r="EO256" s="16">
        <v>1690</v>
      </c>
      <c r="EP256" s="16">
        <v>381</v>
      </c>
      <c r="EQ256" s="16">
        <v>10800</v>
      </c>
      <c r="ER256" s="16">
        <v>147</v>
      </c>
      <c r="ES256" s="16">
        <v>22</v>
      </c>
      <c r="ET256" s="16">
        <v>8113</v>
      </c>
      <c r="EU256" s="16">
        <v>0</v>
      </c>
      <c r="EV256" s="16">
        <v>368</v>
      </c>
      <c r="EW256" s="16">
        <v>7</v>
      </c>
      <c r="EX256" s="16">
        <v>9768</v>
      </c>
      <c r="EY256" s="16">
        <v>394</v>
      </c>
      <c r="EZ256" s="16">
        <v>91</v>
      </c>
      <c r="FA256" s="16">
        <v>60</v>
      </c>
      <c r="FB256" s="16">
        <v>336</v>
      </c>
      <c r="FC256" s="16">
        <v>4</v>
      </c>
      <c r="FD256" s="16">
        <v>315</v>
      </c>
      <c r="FE256" s="16">
        <v>883</v>
      </c>
      <c r="FF256" s="16">
        <v>0</v>
      </c>
      <c r="FG256" s="16">
        <v>790</v>
      </c>
      <c r="FH256" s="16">
        <v>3</v>
      </c>
      <c r="FI256" s="16">
        <v>717</v>
      </c>
      <c r="FJ256" s="16">
        <v>434</v>
      </c>
      <c r="FK256" s="16">
        <v>3985</v>
      </c>
      <c r="FL256" s="16">
        <v>12</v>
      </c>
      <c r="FM256" s="16">
        <v>262</v>
      </c>
      <c r="FN256" s="16">
        <v>2271</v>
      </c>
      <c r="FO256" s="16">
        <v>0</v>
      </c>
      <c r="FP256" s="16">
        <v>3487</v>
      </c>
      <c r="FQ256" s="16">
        <v>2722</v>
      </c>
      <c r="FR256" s="16">
        <v>4006</v>
      </c>
      <c r="FS256" s="16">
        <v>734</v>
      </c>
      <c r="FT256" s="16">
        <v>1792</v>
      </c>
      <c r="FU256" s="16">
        <v>751</v>
      </c>
      <c r="FV256" s="16">
        <v>1290</v>
      </c>
      <c r="FW256" s="16">
        <v>15396</v>
      </c>
      <c r="FX256" s="16">
        <v>4145</v>
      </c>
      <c r="FY256" s="16">
        <v>466</v>
      </c>
      <c r="FZ256" s="16">
        <v>3276</v>
      </c>
      <c r="GA256" s="16">
        <v>427</v>
      </c>
      <c r="GB256" s="16">
        <v>4892</v>
      </c>
      <c r="GC256" s="16">
        <v>702</v>
      </c>
      <c r="GD256" s="16">
        <v>1545</v>
      </c>
      <c r="GE256" s="16">
        <v>169</v>
      </c>
      <c r="GF256" s="16">
        <v>0</v>
      </c>
      <c r="GG256" s="16">
        <v>0</v>
      </c>
      <c r="GH256" s="16">
        <v>812</v>
      </c>
      <c r="GI256" s="16">
        <v>144</v>
      </c>
      <c r="GJ256" s="16">
        <v>270</v>
      </c>
      <c r="GK256" s="16">
        <v>268</v>
      </c>
      <c r="GL256" s="16">
        <v>1</v>
      </c>
      <c r="GM256" s="16">
        <v>5</v>
      </c>
      <c r="GN256" s="16">
        <v>6</v>
      </c>
      <c r="GO256" s="16">
        <v>152</v>
      </c>
      <c r="GP256" s="16">
        <v>38</v>
      </c>
      <c r="GQ256" s="16">
        <v>141</v>
      </c>
      <c r="GR256" s="16">
        <v>58</v>
      </c>
      <c r="GS256" s="16">
        <v>18</v>
      </c>
      <c r="GT256" s="16">
        <v>51</v>
      </c>
      <c r="GU256" s="16">
        <v>248</v>
      </c>
      <c r="GV256" s="16">
        <v>215</v>
      </c>
      <c r="GW256" s="16">
        <v>452</v>
      </c>
      <c r="GX256" s="16">
        <v>69</v>
      </c>
      <c r="GY256" s="16">
        <v>3</v>
      </c>
      <c r="GZ256" s="16">
        <v>932</v>
      </c>
      <c r="HA256" s="16">
        <v>280</v>
      </c>
      <c r="HB256" s="16">
        <v>472</v>
      </c>
      <c r="HC256" s="16">
        <v>2895</v>
      </c>
      <c r="HD256" s="16">
        <v>6121</v>
      </c>
      <c r="HE256" s="16">
        <v>103</v>
      </c>
      <c r="HF256" s="16">
        <v>67</v>
      </c>
      <c r="HG256" s="16">
        <v>578</v>
      </c>
      <c r="HH256" s="16">
        <v>177</v>
      </c>
      <c r="HI256" s="16">
        <v>400</v>
      </c>
      <c r="HJ256" s="16">
        <v>764</v>
      </c>
      <c r="HK256" s="16">
        <v>1212</v>
      </c>
      <c r="HL256" s="16">
        <v>5536</v>
      </c>
      <c r="HM256" s="16">
        <v>1127</v>
      </c>
      <c r="HN256" s="16">
        <v>1739</v>
      </c>
      <c r="HO256" s="16">
        <v>2683</v>
      </c>
      <c r="HP256" s="16">
        <v>4368</v>
      </c>
      <c r="HQ256" s="16">
        <v>1305</v>
      </c>
      <c r="HR256" s="16">
        <v>522</v>
      </c>
      <c r="HS256" s="16">
        <v>4135</v>
      </c>
      <c r="HT256" s="16">
        <v>8</v>
      </c>
      <c r="HU256" s="16">
        <v>4087</v>
      </c>
      <c r="HV256" s="16">
        <v>625</v>
      </c>
      <c r="HW256" s="16">
        <v>1611</v>
      </c>
      <c r="HX256" s="16">
        <v>994</v>
      </c>
      <c r="HY256" s="16">
        <v>2697</v>
      </c>
      <c r="HZ256" s="16">
        <v>7138</v>
      </c>
      <c r="IA256" s="16">
        <v>6869</v>
      </c>
      <c r="IB256" s="16">
        <v>163</v>
      </c>
      <c r="IC256" s="16">
        <v>206</v>
      </c>
      <c r="ID256" s="16">
        <v>885</v>
      </c>
      <c r="IE256" s="16">
        <v>193</v>
      </c>
      <c r="IF256" s="16">
        <v>533</v>
      </c>
      <c r="IG256" s="16">
        <v>3409</v>
      </c>
      <c r="IH256" s="16">
        <v>335</v>
      </c>
      <c r="II256" s="16">
        <v>48</v>
      </c>
      <c r="IJ256" s="16">
        <v>59</v>
      </c>
      <c r="IK256" s="16">
        <v>360</v>
      </c>
      <c r="IL256" s="16">
        <v>1509</v>
      </c>
      <c r="IM256" s="16">
        <v>27</v>
      </c>
      <c r="IN256" s="16">
        <v>239</v>
      </c>
      <c r="IO256" s="16">
        <v>130</v>
      </c>
      <c r="IP256" s="16">
        <v>143</v>
      </c>
      <c r="IQ256" s="16">
        <v>11</v>
      </c>
      <c r="IR256" s="16">
        <v>34</v>
      </c>
      <c r="IS256" s="16">
        <v>1001</v>
      </c>
      <c r="IT256" s="16">
        <v>227</v>
      </c>
      <c r="IU256" s="16">
        <v>4</v>
      </c>
      <c r="IV256" s="16">
        <v>250883</v>
      </c>
      <c r="IW256" s="16">
        <v>2771</v>
      </c>
      <c r="IX256" s="16">
        <v>57</v>
      </c>
      <c r="IY256" s="16">
        <v>291</v>
      </c>
      <c r="IZ256" s="16">
        <v>543</v>
      </c>
      <c r="JA256" s="16">
        <v>832</v>
      </c>
      <c r="JB256" s="16">
        <v>25</v>
      </c>
      <c r="JC256" s="16">
        <v>225</v>
      </c>
      <c r="JD256" s="16">
        <v>17</v>
      </c>
      <c r="JE256" s="16">
        <v>364</v>
      </c>
      <c r="JF256" s="16">
        <v>895</v>
      </c>
      <c r="JG256" s="16">
        <v>55628</v>
      </c>
      <c r="JH256" s="16">
        <v>47729</v>
      </c>
      <c r="JI256" s="16">
        <v>7</v>
      </c>
      <c r="JJ256" s="16">
        <v>933</v>
      </c>
      <c r="JK256" s="16">
        <v>1035</v>
      </c>
      <c r="JL256" s="16">
        <v>61</v>
      </c>
      <c r="JM256" s="16">
        <v>0</v>
      </c>
      <c r="JN256" s="16">
        <v>21</v>
      </c>
      <c r="JO256" s="16">
        <v>259</v>
      </c>
      <c r="JP256" s="16">
        <v>114474</v>
      </c>
      <c r="JQ256" s="16">
        <v>1015</v>
      </c>
      <c r="JR256" s="16">
        <v>17300</v>
      </c>
      <c r="JS256" s="16">
        <v>7643</v>
      </c>
      <c r="JT256" s="16">
        <v>0</v>
      </c>
      <c r="JU256" s="16">
        <v>32954</v>
      </c>
      <c r="JV256" s="16">
        <v>4281</v>
      </c>
      <c r="JW256" s="16">
        <v>116</v>
      </c>
      <c r="JX256" s="16">
        <v>1862</v>
      </c>
      <c r="JY256" s="16">
        <v>2658</v>
      </c>
      <c r="JZ256" s="16">
        <v>79</v>
      </c>
      <c r="KA256" s="16">
        <v>623</v>
      </c>
      <c r="KB256" s="16">
        <v>19</v>
      </c>
      <c r="KC256" s="16">
        <v>126</v>
      </c>
      <c r="KD256" s="16">
        <v>5</v>
      </c>
      <c r="KE256" s="16">
        <v>1</v>
      </c>
      <c r="KF256" s="16">
        <v>137</v>
      </c>
      <c r="KG256" s="16">
        <v>43</v>
      </c>
      <c r="KH256" s="16">
        <v>27</v>
      </c>
      <c r="KI256" s="16">
        <v>658</v>
      </c>
      <c r="KJ256" s="16">
        <v>173</v>
      </c>
      <c r="KK256" s="16">
        <v>25386</v>
      </c>
      <c r="KL256" s="16">
        <v>22</v>
      </c>
      <c r="KM256" s="16">
        <v>0</v>
      </c>
      <c r="KN256" s="16">
        <v>493</v>
      </c>
      <c r="KO256" s="16">
        <v>29</v>
      </c>
      <c r="KP256" s="16">
        <v>18</v>
      </c>
      <c r="KQ256" s="16">
        <v>43</v>
      </c>
      <c r="KR256" s="16">
        <v>2701</v>
      </c>
      <c r="KS256" s="16">
        <v>16</v>
      </c>
      <c r="KT256" s="16">
        <v>619</v>
      </c>
      <c r="KU256" s="16">
        <v>3098</v>
      </c>
      <c r="KV256" s="16">
        <v>15825</v>
      </c>
      <c r="KW256" s="16">
        <v>160</v>
      </c>
      <c r="KX256" s="16">
        <v>264</v>
      </c>
      <c r="KY256" s="16">
        <v>28465</v>
      </c>
      <c r="KZ256" s="16">
        <v>49071</v>
      </c>
      <c r="LA256" s="16">
        <v>11655</v>
      </c>
      <c r="LB256" s="16">
        <v>645</v>
      </c>
      <c r="LC256" s="16">
        <v>11886</v>
      </c>
      <c r="LD256" s="16">
        <v>963</v>
      </c>
      <c r="LE256" s="16">
        <v>1260</v>
      </c>
      <c r="LF256" s="16">
        <v>546</v>
      </c>
      <c r="LG256" s="16">
        <v>47</v>
      </c>
      <c r="LH256" s="16">
        <v>437</v>
      </c>
      <c r="LI256" s="16">
        <v>1</v>
      </c>
      <c r="LJ256" s="16">
        <v>42</v>
      </c>
      <c r="LK256" s="16">
        <v>12</v>
      </c>
      <c r="LL256" s="16">
        <v>117</v>
      </c>
      <c r="LM256" s="16">
        <v>760</v>
      </c>
      <c r="LN256" s="16">
        <v>7800</v>
      </c>
      <c r="LO256" s="16">
        <v>27</v>
      </c>
      <c r="LP256" s="16">
        <v>1477</v>
      </c>
      <c r="LQ256" s="16">
        <v>164</v>
      </c>
      <c r="LR256" s="16">
        <v>17</v>
      </c>
      <c r="LS256" s="16">
        <v>0</v>
      </c>
      <c r="LT256" s="16">
        <v>4</v>
      </c>
      <c r="LU256" s="16">
        <v>0</v>
      </c>
      <c r="LV256" s="16">
        <v>0</v>
      </c>
      <c r="LW256" s="16">
        <v>3</v>
      </c>
      <c r="LX256" s="16">
        <v>5</v>
      </c>
      <c r="LY256" s="16">
        <v>0</v>
      </c>
      <c r="LZ256" s="16">
        <v>182</v>
      </c>
      <c r="MA256" s="16">
        <v>516</v>
      </c>
      <c r="MB256" s="16">
        <v>0</v>
      </c>
      <c r="MC256" s="16">
        <v>2105</v>
      </c>
      <c r="MD256" s="16">
        <v>22539</v>
      </c>
      <c r="ME256" s="16">
        <v>69</v>
      </c>
      <c r="MF256" s="16">
        <v>56827</v>
      </c>
      <c r="MG256" s="16">
        <v>0</v>
      </c>
      <c r="MH256" s="16">
        <v>0</v>
      </c>
      <c r="MI256" s="16">
        <v>0</v>
      </c>
      <c r="MJ256" s="16">
        <v>0</v>
      </c>
      <c r="MK256" s="16">
        <v>571</v>
      </c>
      <c r="ML256" s="16">
        <v>452</v>
      </c>
      <c r="MM256" s="16">
        <v>6256</v>
      </c>
      <c r="MN256" s="16">
        <v>35527</v>
      </c>
      <c r="MO256" s="16">
        <v>41664</v>
      </c>
      <c r="MP256" s="16">
        <v>0</v>
      </c>
      <c r="MQ256" s="16">
        <v>17823</v>
      </c>
      <c r="MR256" s="16">
        <v>127</v>
      </c>
      <c r="MS256" s="16">
        <v>1204</v>
      </c>
      <c r="MT256" s="16">
        <v>1326</v>
      </c>
      <c r="MU256" s="16">
        <v>6041</v>
      </c>
      <c r="MV256" s="16">
        <v>213</v>
      </c>
      <c r="MW256" s="16">
        <v>6639</v>
      </c>
      <c r="MX256" s="16">
        <v>17</v>
      </c>
      <c r="MY256" s="16">
        <v>2591</v>
      </c>
      <c r="MZ256" s="16">
        <v>19234</v>
      </c>
      <c r="NA256" s="16">
        <v>286</v>
      </c>
      <c r="NB256" s="16">
        <v>29235</v>
      </c>
      <c r="NC256" s="16">
        <v>440</v>
      </c>
      <c r="ND256" s="16">
        <v>83</v>
      </c>
      <c r="NE256" s="16">
        <v>40</v>
      </c>
      <c r="NF256" s="16">
        <v>3013</v>
      </c>
      <c r="NG256" s="16">
        <v>21481</v>
      </c>
      <c r="NH256" s="16">
        <v>2109</v>
      </c>
      <c r="NI256" s="16">
        <v>0</v>
      </c>
      <c r="NJ256" s="16">
        <v>11042</v>
      </c>
      <c r="NK256" s="16">
        <v>686</v>
      </c>
      <c r="NL256" s="16">
        <v>19217</v>
      </c>
      <c r="NM256" s="16">
        <v>17</v>
      </c>
      <c r="NN256" s="16">
        <v>0</v>
      </c>
      <c r="NO256" s="16">
        <v>0</v>
      </c>
      <c r="NP256" s="16">
        <v>89</v>
      </c>
      <c r="NQ256" s="16">
        <v>252</v>
      </c>
      <c r="NR256" s="17">
        <v>1390868</v>
      </c>
    </row>
    <row r="257" spans="1:382" ht="13.5" customHeight="1" x14ac:dyDescent="0.2">
      <c r="A257" s="2" t="s">
        <v>521</v>
      </c>
      <c r="B257" s="16">
        <v>0</v>
      </c>
      <c r="C257" s="16">
        <v>0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0</v>
      </c>
      <c r="L257" s="16">
        <v>0</v>
      </c>
      <c r="M257" s="16">
        <v>0</v>
      </c>
      <c r="N257" s="16">
        <v>0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1</v>
      </c>
      <c r="Y257" s="16">
        <v>19</v>
      </c>
      <c r="Z257" s="16">
        <v>496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2</v>
      </c>
      <c r="AM257" s="16">
        <v>4</v>
      </c>
      <c r="AN257" s="16">
        <v>0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>
        <v>0</v>
      </c>
      <c r="AU257" s="16">
        <v>13</v>
      </c>
      <c r="AV257" s="16">
        <v>10</v>
      </c>
      <c r="AW257" s="16">
        <v>35</v>
      </c>
      <c r="AX257" s="16">
        <v>0</v>
      </c>
      <c r="AY257" s="16">
        <v>0</v>
      </c>
      <c r="AZ257" s="16">
        <v>0</v>
      </c>
      <c r="BA257" s="16">
        <v>859</v>
      </c>
      <c r="BB257" s="16">
        <v>13</v>
      </c>
      <c r="BC257" s="16">
        <v>33</v>
      </c>
      <c r="BD257" s="16">
        <v>0</v>
      </c>
      <c r="BE257" s="16">
        <v>0</v>
      </c>
      <c r="BF257" s="16">
        <v>0</v>
      </c>
      <c r="BG257" s="16">
        <v>4</v>
      </c>
      <c r="BH257" s="16">
        <v>0</v>
      </c>
      <c r="BI257" s="16">
        <v>0</v>
      </c>
      <c r="BJ257" s="16">
        <v>0</v>
      </c>
      <c r="BK257" s="16">
        <v>0</v>
      </c>
      <c r="BL257" s="16">
        <v>0</v>
      </c>
      <c r="BM257" s="16">
        <v>0</v>
      </c>
      <c r="BN257" s="16">
        <v>0</v>
      </c>
      <c r="BO257" s="16">
        <v>0</v>
      </c>
      <c r="BP257" s="16">
        <v>0</v>
      </c>
      <c r="BQ257" s="16">
        <v>0</v>
      </c>
      <c r="BR257" s="16">
        <v>0</v>
      </c>
      <c r="BS257" s="16">
        <v>2</v>
      </c>
      <c r="BT257" s="16">
        <v>0</v>
      </c>
      <c r="BU257" s="16">
        <v>0</v>
      </c>
      <c r="BV257" s="16">
        <v>0</v>
      </c>
      <c r="BW257" s="16">
        <v>0</v>
      </c>
      <c r="BX257" s="16">
        <v>0</v>
      </c>
      <c r="BY257" s="16">
        <v>0</v>
      </c>
      <c r="BZ257" s="16">
        <v>0</v>
      </c>
      <c r="CA257" s="16">
        <v>0</v>
      </c>
      <c r="CB257" s="16">
        <v>0</v>
      </c>
      <c r="CC257" s="16">
        <v>0</v>
      </c>
      <c r="CD257" s="16">
        <v>4</v>
      </c>
      <c r="CE257" s="16">
        <v>0</v>
      </c>
      <c r="CF257" s="16">
        <v>0</v>
      </c>
      <c r="CG257" s="16">
        <v>0</v>
      </c>
      <c r="CH257" s="16">
        <v>0</v>
      </c>
      <c r="CI257" s="16">
        <v>0</v>
      </c>
      <c r="CJ257" s="16">
        <v>0</v>
      </c>
      <c r="CK257" s="16">
        <v>7</v>
      </c>
      <c r="CL257" s="16">
        <v>0</v>
      </c>
      <c r="CM257" s="16">
        <v>0</v>
      </c>
      <c r="CN257" s="16">
        <v>0</v>
      </c>
      <c r="CO257" s="16">
        <v>11</v>
      </c>
      <c r="CP257" s="16">
        <v>2</v>
      </c>
      <c r="CQ257" s="16">
        <v>0</v>
      </c>
      <c r="CR257" s="16">
        <v>0</v>
      </c>
      <c r="CS257" s="16">
        <v>3</v>
      </c>
      <c r="CT257" s="16">
        <v>2</v>
      </c>
      <c r="CU257" s="16">
        <v>8</v>
      </c>
      <c r="CV257" s="16">
        <v>6</v>
      </c>
      <c r="CW257" s="16">
        <v>29</v>
      </c>
      <c r="CX257" s="16">
        <v>48</v>
      </c>
      <c r="CY257" s="16">
        <v>0</v>
      </c>
      <c r="CZ257" s="16">
        <v>0</v>
      </c>
      <c r="DA257" s="16">
        <v>0</v>
      </c>
      <c r="DB257" s="16">
        <v>0</v>
      </c>
      <c r="DC257" s="16">
        <v>0</v>
      </c>
      <c r="DD257" s="16">
        <v>2</v>
      </c>
      <c r="DE257" s="16">
        <v>0</v>
      </c>
      <c r="DF257" s="16">
        <v>2</v>
      </c>
      <c r="DG257" s="16">
        <v>0</v>
      </c>
      <c r="DH257" s="16">
        <v>9</v>
      </c>
      <c r="DI257" s="16">
        <v>0</v>
      </c>
      <c r="DJ257" s="16">
        <v>24</v>
      </c>
      <c r="DK257" s="16">
        <v>0</v>
      </c>
      <c r="DL257" s="16">
        <v>0</v>
      </c>
      <c r="DM257" s="16">
        <v>0</v>
      </c>
      <c r="DN257" s="16">
        <v>0</v>
      </c>
      <c r="DO257" s="16">
        <v>0</v>
      </c>
      <c r="DP257" s="16">
        <v>0</v>
      </c>
      <c r="DQ257" s="16">
        <v>2</v>
      </c>
      <c r="DR257" s="16">
        <v>1</v>
      </c>
      <c r="DS257" s="16">
        <v>0</v>
      </c>
      <c r="DT257" s="16">
        <v>12</v>
      </c>
      <c r="DU257" s="16">
        <v>3</v>
      </c>
      <c r="DV257" s="16">
        <v>1</v>
      </c>
      <c r="DW257" s="16">
        <v>17</v>
      </c>
      <c r="DX257" s="16">
        <v>49</v>
      </c>
      <c r="DY257" s="16">
        <v>50</v>
      </c>
      <c r="DZ257" s="16">
        <v>445</v>
      </c>
      <c r="EA257" s="16">
        <v>73</v>
      </c>
      <c r="EB257" s="16">
        <v>0</v>
      </c>
      <c r="EC257" s="16">
        <v>0</v>
      </c>
      <c r="ED257" s="16">
        <v>0</v>
      </c>
      <c r="EE257" s="16">
        <v>0</v>
      </c>
      <c r="EF257" s="16">
        <v>1</v>
      </c>
      <c r="EG257" s="16">
        <v>52</v>
      </c>
      <c r="EH257" s="16">
        <v>4</v>
      </c>
      <c r="EI257" s="16">
        <v>0</v>
      </c>
      <c r="EJ257" s="16">
        <v>1</v>
      </c>
      <c r="EK257" s="16">
        <v>0</v>
      </c>
      <c r="EL257" s="16">
        <v>1</v>
      </c>
      <c r="EM257" s="16">
        <v>2</v>
      </c>
      <c r="EN257" s="16">
        <v>0</v>
      </c>
      <c r="EO257" s="16">
        <v>0</v>
      </c>
      <c r="EP257" s="16">
        <v>0</v>
      </c>
      <c r="EQ257" s="16">
        <v>0</v>
      </c>
      <c r="ER257" s="16">
        <v>0</v>
      </c>
      <c r="ES257" s="16">
        <v>0</v>
      </c>
      <c r="ET257" s="16">
        <v>0</v>
      </c>
      <c r="EU257" s="16">
        <v>0</v>
      </c>
      <c r="EV257" s="16">
        <v>0</v>
      </c>
      <c r="EW257" s="16">
        <v>0</v>
      </c>
      <c r="EX257" s="16">
        <v>0</v>
      </c>
      <c r="EY257" s="16">
        <v>0</v>
      </c>
      <c r="EZ257" s="16">
        <v>0</v>
      </c>
      <c r="FA257" s="16">
        <v>0</v>
      </c>
      <c r="FB257" s="16">
        <v>0</v>
      </c>
      <c r="FC257" s="16">
        <v>0</v>
      </c>
      <c r="FD257" s="16">
        <v>3</v>
      </c>
      <c r="FE257" s="16">
        <v>0</v>
      </c>
      <c r="FF257" s="16">
        <v>0</v>
      </c>
      <c r="FG257" s="16">
        <v>0</v>
      </c>
      <c r="FH257" s="16">
        <v>0</v>
      </c>
      <c r="FI257" s="16">
        <v>0</v>
      </c>
      <c r="FJ257" s="16">
        <v>0</v>
      </c>
      <c r="FK257" s="16">
        <v>0</v>
      </c>
      <c r="FL257" s="16">
        <v>0</v>
      </c>
      <c r="FM257" s="16">
        <v>0</v>
      </c>
      <c r="FN257" s="16">
        <v>0</v>
      </c>
      <c r="FO257" s="16">
        <v>0</v>
      </c>
      <c r="FP257" s="16">
        <v>111</v>
      </c>
      <c r="FQ257" s="16">
        <v>0</v>
      </c>
      <c r="FR257" s="16">
        <v>0</v>
      </c>
      <c r="FS257" s="16">
        <v>0</v>
      </c>
      <c r="FT257" s="16">
        <v>0</v>
      </c>
      <c r="FU257" s="16">
        <v>47</v>
      </c>
      <c r="FV257" s="16">
        <v>35</v>
      </c>
      <c r="FW257" s="16">
        <v>0</v>
      </c>
      <c r="FX257" s="16">
        <v>132</v>
      </c>
      <c r="FY257" s="16">
        <v>8</v>
      </c>
      <c r="FZ257" s="16">
        <v>0</v>
      </c>
      <c r="GA257" s="16">
        <v>0</v>
      </c>
      <c r="GB257" s="16">
        <v>49</v>
      </c>
      <c r="GC257" s="16">
        <v>3</v>
      </c>
      <c r="GD257" s="16">
        <v>687</v>
      </c>
      <c r="GE257" s="16">
        <v>40</v>
      </c>
      <c r="GF257" s="16">
        <v>3792</v>
      </c>
      <c r="GG257" s="16">
        <v>133</v>
      </c>
      <c r="GH257" s="16">
        <v>55</v>
      </c>
      <c r="GI257" s="16">
        <v>51</v>
      </c>
      <c r="GJ257" s="16">
        <v>38</v>
      </c>
      <c r="GK257" s="16">
        <v>381</v>
      </c>
      <c r="GL257" s="16">
        <v>0</v>
      </c>
      <c r="GM257" s="16">
        <v>2</v>
      </c>
      <c r="GN257" s="16">
        <v>197</v>
      </c>
      <c r="GO257" s="16">
        <v>1</v>
      </c>
      <c r="GP257" s="16">
        <v>1</v>
      </c>
      <c r="GQ257" s="16">
        <v>1</v>
      </c>
      <c r="GR257" s="16">
        <v>0</v>
      </c>
      <c r="GS257" s="16">
        <v>0</v>
      </c>
      <c r="GT257" s="16">
        <v>2</v>
      </c>
      <c r="GU257" s="16">
        <v>6631</v>
      </c>
      <c r="GV257" s="16">
        <v>427</v>
      </c>
      <c r="GW257" s="16">
        <v>0</v>
      </c>
      <c r="GX257" s="16">
        <v>5</v>
      </c>
      <c r="GY257" s="16">
        <v>0</v>
      </c>
      <c r="GZ257" s="16">
        <v>0</v>
      </c>
      <c r="HA257" s="16">
        <v>0</v>
      </c>
      <c r="HB257" s="16">
        <v>7</v>
      </c>
      <c r="HC257" s="16">
        <v>32</v>
      </c>
      <c r="HD257" s="16">
        <v>40</v>
      </c>
      <c r="HE257" s="16">
        <v>0</v>
      </c>
      <c r="HF257" s="16">
        <v>0</v>
      </c>
      <c r="HG257" s="16">
        <v>0</v>
      </c>
      <c r="HH257" s="16">
        <v>73</v>
      </c>
      <c r="HI257" s="16">
        <v>7</v>
      </c>
      <c r="HJ257" s="16">
        <v>3</v>
      </c>
      <c r="HK257" s="16">
        <v>471</v>
      </c>
      <c r="HL257" s="16">
        <v>21</v>
      </c>
      <c r="HM257" s="16">
        <v>4</v>
      </c>
      <c r="HN257" s="16">
        <v>0</v>
      </c>
      <c r="HO257" s="16">
        <v>0</v>
      </c>
      <c r="HP257" s="16">
        <v>0</v>
      </c>
      <c r="HQ257" s="16">
        <v>58</v>
      </c>
      <c r="HR257" s="16">
        <v>21</v>
      </c>
      <c r="HS257" s="16">
        <v>0</v>
      </c>
      <c r="HT257" s="16">
        <v>0</v>
      </c>
      <c r="HU257" s="16">
        <v>31</v>
      </c>
      <c r="HV257" s="16">
        <v>71</v>
      </c>
      <c r="HW257" s="16">
        <v>439</v>
      </c>
      <c r="HX257" s="16">
        <v>3</v>
      </c>
      <c r="HY257" s="16">
        <v>28</v>
      </c>
      <c r="HZ257" s="16">
        <v>34</v>
      </c>
      <c r="IA257" s="16">
        <v>7</v>
      </c>
      <c r="IB257" s="16">
        <v>0</v>
      </c>
      <c r="IC257" s="16">
        <v>0</v>
      </c>
      <c r="ID257" s="16">
        <v>5</v>
      </c>
      <c r="IE257" s="16">
        <v>0</v>
      </c>
      <c r="IF257" s="16">
        <v>5</v>
      </c>
      <c r="IG257" s="16">
        <v>14</v>
      </c>
      <c r="IH257" s="16">
        <v>287</v>
      </c>
      <c r="II257" s="16">
        <v>47</v>
      </c>
      <c r="IJ257" s="16">
        <v>194</v>
      </c>
      <c r="IK257" s="16">
        <v>1220</v>
      </c>
      <c r="IL257" s="16">
        <v>677</v>
      </c>
      <c r="IM257" s="16">
        <v>0</v>
      </c>
      <c r="IN257" s="16">
        <v>209</v>
      </c>
      <c r="IO257" s="16">
        <v>109</v>
      </c>
      <c r="IP257" s="16">
        <v>687</v>
      </c>
      <c r="IQ257" s="16">
        <v>27</v>
      </c>
      <c r="IR257" s="16">
        <v>29</v>
      </c>
      <c r="IS257" s="16">
        <v>322</v>
      </c>
      <c r="IT257" s="16">
        <v>55</v>
      </c>
      <c r="IU257" s="16">
        <v>8</v>
      </c>
      <c r="IV257" s="16">
        <v>1148</v>
      </c>
      <c r="IW257" s="16">
        <v>207384</v>
      </c>
      <c r="IX257" s="16">
        <v>9781</v>
      </c>
      <c r="IY257" s="16">
        <v>11496</v>
      </c>
      <c r="IZ257" s="16">
        <v>1</v>
      </c>
      <c r="JA257" s="16">
        <v>207</v>
      </c>
      <c r="JB257" s="16">
        <v>104</v>
      </c>
      <c r="JC257" s="16">
        <v>0</v>
      </c>
      <c r="JD257" s="16">
        <v>0</v>
      </c>
      <c r="JE257" s="16">
        <v>0</v>
      </c>
      <c r="JF257" s="16">
        <v>3</v>
      </c>
      <c r="JG257" s="16">
        <v>27880</v>
      </c>
      <c r="JH257" s="16">
        <v>2042</v>
      </c>
      <c r="JI257" s="16">
        <v>2</v>
      </c>
      <c r="JJ257" s="16">
        <v>85</v>
      </c>
      <c r="JK257" s="16">
        <v>0</v>
      </c>
      <c r="JL257" s="16">
        <v>0</v>
      </c>
      <c r="JM257" s="16">
        <v>0</v>
      </c>
      <c r="JN257" s="16">
        <v>0</v>
      </c>
      <c r="JO257" s="16">
        <v>0</v>
      </c>
      <c r="JP257" s="16">
        <v>0</v>
      </c>
      <c r="JQ257" s="16">
        <v>27</v>
      </c>
      <c r="JR257" s="16">
        <v>4304</v>
      </c>
      <c r="JS257" s="16">
        <v>1753</v>
      </c>
      <c r="JT257" s="16">
        <v>0</v>
      </c>
      <c r="JU257" s="16">
        <v>10440</v>
      </c>
      <c r="JV257" s="16">
        <v>401</v>
      </c>
      <c r="JW257" s="16">
        <v>1296404</v>
      </c>
      <c r="JX257" s="16">
        <v>188681</v>
      </c>
      <c r="JY257" s="16">
        <v>47070</v>
      </c>
      <c r="JZ257" s="16">
        <v>2492</v>
      </c>
      <c r="KA257" s="16">
        <v>239</v>
      </c>
      <c r="KB257" s="16">
        <v>4</v>
      </c>
      <c r="KC257" s="16">
        <v>810</v>
      </c>
      <c r="KD257" s="16">
        <v>888</v>
      </c>
      <c r="KE257" s="16">
        <v>6</v>
      </c>
      <c r="KF257" s="16">
        <v>485</v>
      </c>
      <c r="KG257" s="16">
        <v>304</v>
      </c>
      <c r="KH257" s="16">
        <v>336</v>
      </c>
      <c r="KI257" s="16">
        <v>1104</v>
      </c>
      <c r="KJ257" s="16">
        <v>2934</v>
      </c>
      <c r="KK257" s="16">
        <v>145785</v>
      </c>
      <c r="KL257" s="16">
        <v>39</v>
      </c>
      <c r="KM257" s="16">
        <v>521</v>
      </c>
      <c r="KN257" s="16">
        <v>387</v>
      </c>
      <c r="KO257" s="16">
        <v>4015</v>
      </c>
      <c r="KP257" s="16">
        <v>127</v>
      </c>
      <c r="KQ257" s="16">
        <v>68</v>
      </c>
      <c r="KR257" s="16">
        <v>4322</v>
      </c>
      <c r="KS257" s="16">
        <v>6</v>
      </c>
      <c r="KT257" s="16">
        <v>122</v>
      </c>
      <c r="KU257" s="16">
        <v>1717</v>
      </c>
      <c r="KV257" s="16">
        <v>6148</v>
      </c>
      <c r="KW257" s="16">
        <v>23824</v>
      </c>
      <c r="KX257" s="16">
        <v>305</v>
      </c>
      <c r="KY257" s="16">
        <v>16710</v>
      </c>
      <c r="KZ257" s="16">
        <v>196807</v>
      </c>
      <c r="LA257" s="16">
        <v>103343</v>
      </c>
      <c r="LB257" s="16">
        <v>16627</v>
      </c>
      <c r="LC257" s="16">
        <v>33312</v>
      </c>
      <c r="LD257" s="16">
        <v>170726</v>
      </c>
      <c r="LE257" s="16">
        <v>2070</v>
      </c>
      <c r="LF257" s="16">
        <v>699</v>
      </c>
      <c r="LG257" s="16">
        <v>480</v>
      </c>
      <c r="LH257" s="16">
        <v>4189</v>
      </c>
      <c r="LI257" s="16">
        <v>5</v>
      </c>
      <c r="LJ257" s="16">
        <v>486</v>
      </c>
      <c r="LK257" s="16">
        <v>6609</v>
      </c>
      <c r="LL257" s="16">
        <v>1896</v>
      </c>
      <c r="LM257" s="16">
        <v>13457</v>
      </c>
      <c r="LN257" s="16">
        <v>41004</v>
      </c>
      <c r="LO257" s="16">
        <v>556</v>
      </c>
      <c r="LP257" s="16">
        <v>59771</v>
      </c>
      <c r="LQ257" s="16">
        <v>1231</v>
      </c>
      <c r="LR257" s="16">
        <v>8710</v>
      </c>
      <c r="LS257" s="16">
        <v>8042</v>
      </c>
      <c r="LT257" s="16">
        <v>20539</v>
      </c>
      <c r="LU257" s="16">
        <v>6281</v>
      </c>
      <c r="LV257" s="16">
        <v>547</v>
      </c>
      <c r="LW257" s="16">
        <v>5158</v>
      </c>
      <c r="LX257" s="16">
        <v>33035</v>
      </c>
      <c r="LY257" s="16">
        <v>227240</v>
      </c>
      <c r="LZ257" s="16">
        <v>133543</v>
      </c>
      <c r="MA257" s="16">
        <v>77448</v>
      </c>
      <c r="MB257" s="16">
        <v>79801</v>
      </c>
      <c r="MC257" s="16">
        <v>3782</v>
      </c>
      <c r="MD257" s="16">
        <v>5914</v>
      </c>
      <c r="ME257" s="16">
        <v>130</v>
      </c>
      <c r="MF257" s="16">
        <v>45192</v>
      </c>
      <c r="MG257" s="16">
        <v>33237</v>
      </c>
      <c r="MH257" s="16">
        <v>359401</v>
      </c>
      <c r="MI257" s="16">
        <v>1991</v>
      </c>
      <c r="MJ257" s="16">
        <v>10046</v>
      </c>
      <c r="MK257" s="16">
        <v>10639</v>
      </c>
      <c r="ML257" s="16">
        <v>3097</v>
      </c>
      <c r="MM257" s="16">
        <v>13967</v>
      </c>
      <c r="MN257" s="16">
        <v>163886</v>
      </c>
      <c r="MO257" s="16">
        <v>48940</v>
      </c>
      <c r="MP257" s="16">
        <v>33807</v>
      </c>
      <c r="MQ257" s="16">
        <v>47630</v>
      </c>
      <c r="MR257" s="16">
        <v>1192</v>
      </c>
      <c r="MS257" s="16">
        <v>1525</v>
      </c>
      <c r="MT257" s="16">
        <v>1250</v>
      </c>
      <c r="MU257" s="16">
        <v>87740</v>
      </c>
      <c r="MV257" s="16">
        <v>114061</v>
      </c>
      <c r="MW257" s="16">
        <v>735729</v>
      </c>
      <c r="MX257" s="16">
        <v>127</v>
      </c>
      <c r="MY257" s="16">
        <v>791</v>
      </c>
      <c r="MZ257" s="16">
        <v>19447</v>
      </c>
      <c r="NA257" s="16">
        <v>184</v>
      </c>
      <c r="NB257" s="16">
        <v>47384</v>
      </c>
      <c r="NC257" s="16">
        <v>9658</v>
      </c>
      <c r="ND257" s="16">
        <v>8643</v>
      </c>
      <c r="NE257" s="16">
        <v>8366</v>
      </c>
      <c r="NF257" s="16">
        <v>23681</v>
      </c>
      <c r="NG257" s="16">
        <v>44558</v>
      </c>
      <c r="NH257" s="16">
        <v>9175</v>
      </c>
      <c r="NI257" s="16">
        <v>62790</v>
      </c>
      <c r="NJ257" s="16">
        <v>124282</v>
      </c>
      <c r="NK257" s="16">
        <v>1606</v>
      </c>
      <c r="NL257" s="16">
        <v>2106</v>
      </c>
      <c r="NM257" s="16">
        <v>34603</v>
      </c>
      <c r="NN257" s="16">
        <v>6981</v>
      </c>
      <c r="NO257" s="16">
        <v>0</v>
      </c>
      <c r="NP257" s="16">
        <v>4400</v>
      </c>
      <c r="NQ257" s="16">
        <v>2445</v>
      </c>
      <c r="NR257" s="17">
        <v>5431345</v>
      </c>
    </row>
    <row r="258" spans="1:382" ht="13.5" customHeight="1" x14ac:dyDescent="0.2">
      <c r="A258" s="2" t="s">
        <v>523</v>
      </c>
      <c r="B258" s="16">
        <v>0</v>
      </c>
      <c r="C258" s="16">
        <v>0</v>
      </c>
      <c r="D258" s="16">
        <v>0</v>
      </c>
      <c r="E258" s="16">
        <v>0</v>
      </c>
      <c r="F258" s="16">
        <v>0</v>
      </c>
      <c r="G258" s="16">
        <v>0</v>
      </c>
      <c r="H258" s="16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8</v>
      </c>
      <c r="W258" s="16">
        <v>0</v>
      </c>
      <c r="X258" s="16">
        <v>4</v>
      </c>
      <c r="Y258" s="16">
        <v>15</v>
      </c>
      <c r="Z258" s="16">
        <v>509</v>
      </c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  <c r="AG258" s="16">
        <v>5</v>
      </c>
      <c r="AH258" s="16">
        <v>0</v>
      </c>
      <c r="AI258" s="16">
        <v>0</v>
      </c>
      <c r="AJ258" s="16">
        <v>0</v>
      </c>
      <c r="AK258" s="16">
        <v>0</v>
      </c>
      <c r="AL258" s="16">
        <v>2</v>
      </c>
      <c r="AM258" s="16">
        <v>0</v>
      </c>
      <c r="AN258" s="16">
        <v>2</v>
      </c>
      <c r="AO258" s="16">
        <v>98</v>
      </c>
      <c r="AP258" s="16">
        <v>0</v>
      </c>
      <c r="AQ258" s="16">
        <v>0</v>
      </c>
      <c r="AR258" s="16">
        <v>0</v>
      </c>
      <c r="AS258" s="16">
        <v>0</v>
      </c>
      <c r="AT258" s="16">
        <v>0</v>
      </c>
      <c r="AU258" s="16">
        <v>1</v>
      </c>
      <c r="AV258" s="16">
        <v>0</v>
      </c>
      <c r="AW258" s="16">
        <v>3</v>
      </c>
      <c r="AX258" s="16">
        <v>85</v>
      </c>
      <c r="AY258" s="16">
        <v>0</v>
      </c>
      <c r="AZ258" s="16">
        <v>0</v>
      </c>
      <c r="BA258" s="16">
        <v>15</v>
      </c>
      <c r="BB258" s="16">
        <v>3</v>
      </c>
      <c r="BC258" s="16">
        <v>0</v>
      </c>
      <c r="BD258" s="16">
        <v>0</v>
      </c>
      <c r="BE258" s="16">
        <v>0</v>
      </c>
      <c r="BF258" s="16">
        <v>0</v>
      </c>
      <c r="BG258" s="16">
        <v>0</v>
      </c>
      <c r="BH258" s="16">
        <v>8</v>
      </c>
      <c r="BI258" s="16">
        <v>0</v>
      </c>
      <c r="BJ258" s="16">
        <v>0</v>
      </c>
      <c r="BK258" s="16">
        <v>0</v>
      </c>
      <c r="BL258" s="16">
        <v>0</v>
      </c>
      <c r="BM258" s="16">
        <v>0</v>
      </c>
      <c r="BN258" s="16">
        <v>0</v>
      </c>
      <c r="BO258" s="16">
        <v>0</v>
      </c>
      <c r="BP258" s="16">
        <v>0</v>
      </c>
      <c r="BQ258" s="16">
        <v>0</v>
      </c>
      <c r="BR258" s="16">
        <v>0</v>
      </c>
      <c r="BS258" s="16">
        <v>194</v>
      </c>
      <c r="BT258" s="16">
        <v>0</v>
      </c>
      <c r="BU258" s="16">
        <v>0</v>
      </c>
      <c r="BV258" s="16">
        <v>0</v>
      </c>
      <c r="BW258" s="16">
        <v>0</v>
      </c>
      <c r="BX258" s="16">
        <v>0</v>
      </c>
      <c r="BY258" s="16">
        <v>0</v>
      </c>
      <c r="BZ258" s="16">
        <v>0</v>
      </c>
      <c r="CA258" s="16">
        <v>0</v>
      </c>
      <c r="CB258" s="16">
        <v>0</v>
      </c>
      <c r="CC258" s="16">
        <v>0</v>
      </c>
      <c r="CD258" s="16">
        <v>0</v>
      </c>
      <c r="CE258" s="16">
        <v>0</v>
      </c>
      <c r="CF258" s="16">
        <v>0</v>
      </c>
      <c r="CG258" s="16">
        <v>0</v>
      </c>
      <c r="CH258" s="16">
        <v>404</v>
      </c>
      <c r="CI258" s="16">
        <v>0</v>
      </c>
      <c r="CJ258" s="16">
        <v>0</v>
      </c>
      <c r="CK258" s="16">
        <v>0</v>
      </c>
      <c r="CL258" s="16">
        <v>0</v>
      </c>
      <c r="CM258" s="16">
        <v>0</v>
      </c>
      <c r="CN258" s="16">
        <v>0</v>
      </c>
      <c r="CO258" s="16">
        <v>2</v>
      </c>
      <c r="CP258" s="16">
        <v>0</v>
      </c>
      <c r="CQ258" s="16">
        <v>0</v>
      </c>
      <c r="CR258" s="16">
        <v>0</v>
      </c>
      <c r="CS258" s="16">
        <v>0</v>
      </c>
      <c r="CT258" s="16">
        <v>0</v>
      </c>
      <c r="CU258" s="16">
        <v>0</v>
      </c>
      <c r="CV258" s="16">
        <v>0</v>
      </c>
      <c r="CW258" s="16">
        <v>0</v>
      </c>
      <c r="CX258" s="16">
        <v>0</v>
      </c>
      <c r="CY258" s="16">
        <v>0</v>
      </c>
      <c r="CZ258" s="16">
        <v>0</v>
      </c>
      <c r="DA258" s="16">
        <v>0</v>
      </c>
      <c r="DB258" s="16">
        <v>0</v>
      </c>
      <c r="DC258" s="16">
        <v>0</v>
      </c>
      <c r="DD258" s="16">
        <v>0</v>
      </c>
      <c r="DE258" s="16">
        <v>0</v>
      </c>
      <c r="DF258" s="16">
        <v>2</v>
      </c>
      <c r="DG258" s="16">
        <v>0</v>
      </c>
      <c r="DH258" s="16">
        <v>0</v>
      </c>
      <c r="DI258" s="16">
        <v>0</v>
      </c>
      <c r="DJ258" s="16">
        <v>0</v>
      </c>
      <c r="DK258" s="16">
        <v>0</v>
      </c>
      <c r="DL258" s="16">
        <v>0</v>
      </c>
      <c r="DM258" s="16">
        <v>0</v>
      </c>
      <c r="DN258" s="16">
        <v>0</v>
      </c>
      <c r="DO258" s="16">
        <v>0</v>
      </c>
      <c r="DP258" s="16">
        <v>7</v>
      </c>
      <c r="DQ258" s="16">
        <v>0</v>
      </c>
      <c r="DR258" s="16">
        <v>0</v>
      </c>
      <c r="DS258" s="16">
        <v>0</v>
      </c>
      <c r="DT258" s="16">
        <v>0</v>
      </c>
      <c r="DU258" s="16">
        <v>0</v>
      </c>
      <c r="DV258" s="16">
        <v>0</v>
      </c>
      <c r="DW258" s="16">
        <v>0</v>
      </c>
      <c r="DX258" s="16">
        <v>31</v>
      </c>
      <c r="DY258" s="16">
        <v>30</v>
      </c>
      <c r="DZ258" s="16">
        <v>248</v>
      </c>
      <c r="EA258" s="16">
        <v>39</v>
      </c>
      <c r="EB258" s="16">
        <v>0</v>
      </c>
      <c r="EC258" s="16">
        <v>0</v>
      </c>
      <c r="ED258" s="16">
        <v>0</v>
      </c>
      <c r="EE258" s="16">
        <v>0</v>
      </c>
      <c r="EF258" s="16">
        <v>2</v>
      </c>
      <c r="EG258" s="16">
        <v>102</v>
      </c>
      <c r="EH258" s="16">
        <v>6</v>
      </c>
      <c r="EI258" s="16">
        <v>0</v>
      </c>
      <c r="EJ258" s="16">
        <v>0</v>
      </c>
      <c r="EK258" s="16">
        <v>0</v>
      </c>
      <c r="EL258" s="16">
        <v>0</v>
      </c>
      <c r="EM258" s="16">
        <v>110</v>
      </c>
      <c r="EN258" s="16">
        <v>0</v>
      </c>
      <c r="EO258" s="16">
        <v>0</v>
      </c>
      <c r="EP258" s="16">
        <v>0</v>
      </c>
      <c r="EQ258" s="16">
        <v>0</v>
      </c>
      <c r="ER258" s="16">
        <v>0</v>
      </c>
      <c r="ES258" s="16">
        <v>0</v>
      </c>
      <c r="ET258" s="16">
        <v>0</v>
      </c>
      <c r="EU258" s="16">
        <v>0</v>
      </c>
      <c r="EV258" s="16">
        <v>0</v>
      </c>
      <c r="EW258" s="16">
        <v>0</v>
      </c>
      <c r="EX258" s="16">
        <v>0</v>
      </c>
      <c r="EY258" s="16">
        <v>0</v>
      </c>
      <c r="EZ258" s="16">
        <v>0</v>
      </c>
      <c r="FA258" s="16">
        <v>0</v>
      </c>
      <c r="FB258" s="16">
        <v>0</v>
      </c>
      <c r="FC258" s="16">
        <v>0</v>
      </c>
      <c r="FD258" s="16">
        <v>0</v>
      </c>
      <c r="FE258" s="16">
        <v>0</v>
      </c>
      <c r="FF258" s="16">
        <v>0</v>
      </c>
      <c r="FG258" s="16">
        <v>0</v>
      </c>
      <c r="FH258" s="16">
        <v>0</v>
      </c>
      <c r="FI258" s="16">
        <v>0</v>
      </c>
      <c r="FJ258" s="16">
        <v>0</v>
      </c>
      <c r="FK258" s="16">
        <v>0</v>
      </c>
      <c r="FL258" s="16">
        <v>0</v>
      </c>
      <c r="FM258" s="16">
        <v>0</v>
      </c>
      <c r="FN258" s="16">
        <v>15</v>
      </c>
      <c r="FO258" s="16">
        <v>0</v>
      </c>
      <c r="FP258" s="16">
        <v>2</v>
      </c>
      <c r="FQ258" s="16">
        <v>0</v>
      </c>
      <c r="FR258" s="16">
        <v>2</v>
      </c>
      <c r="FS258" s="16">
        <v>0</v>
      </c>
      <c r="FT258" s="16">
        <v>0</v>
      </c>
      <c r="FU258" s="16">
        <v>10</v>
      </c>
      <c r="FV258" s="16">
        <v>0</v>
      </c>
      <c r="FW258" s="16">
        <v>0</v>
      </c>
      <c r="FX258" s="16">
        <v>3</v>
      </c>
      <c r="FY258" s="16">
        <v>0</v>
      </c>
      <c r="FZ258" s="16">
        <v>0</v>
      </c>
      <c r="GA258" s="16">
        <v>0</v>
      </c>
      <c r="GB258" s="16">
        <v>0</v>
      </c>
      <c r="GC258" s="16">
        <v>0</v>
      </c>
      <c r="GD258" s="16">
        <v>2343</v>
      </c>
      <c r="GE258" s="16">
        <v>3</v>
      </c>
      <c r="GF258" s="16">
        <v>0</v>
      </c>
      <c r="GG258" s="16">
        <v>0</v>
      </c>
      <c r="GH258" s="16">
        <v>6</v>
      </c>
      <c r="GI258" s="16">
        <v>0</v>
      </c>
      <c r="GJ258" s="16">
        <v>0</v>
      </c>
      <c r="GK258" s="16">
        <v>9</v>
      </c>
      <c r="GL258" s="16">
        <v>0</v>
      </c>
      <c r="GM258" s="16">
        <v>18</v>
      </c>
      <c r="GN258" s="16">
        <v>0</v>
      </c>
      <c r="GO258" s="16">
        <v>22</v>
      </c>
      <c r="GP258" s="16">
        <v>3</v>
      </c>
      <c r="GQ258" s="16">
        <v>2</v>
      </c>
      <c r="GR258" s="16">
        <v>1</v>
      </c>
      <c r="GS258" s="16">
        <v>3</v>
      </c>
      <c r="GT258" s="16">
        <v>3</v>
      </c>
      <c r="GU258" s="16">
        <v>5120</v>
      </c>
      <c r="GV258" s="16">
        <v>378</v>
      </c>
      <c r="GW258" s="16">
        <v>342</v>
      </c>
      <c r="GX258" s="16">
        <v>121</v>
      </c>
      <c r="GY258" s="16">
        <v>0</v>
      </c>
      <c r="GZ258" s="16">
        <v>22</v>
      </c>
      <c r="HA258" s="16">
        <v>0</v>
      </c>
      <c r="HB258" s="16">
        <v>0</v>
      </c>
      <c r="HC258" s="16">
        <v>0</v>
      </c>
      <c r="HD258" s="16">
        <v>0</v>
      </c>
      <c r="HE258" s="16">
        <v>2</v>
      </c>
      <c r="HF258" s="16">
        <v>0</v>
      </c>
      <c r="HG258" s="16">
        <v>0</v>
      </c>
      <c r="HH258" s="16">
        <v>4</v>
      </c>
      <c r="HI258" s="16">
        <v>2</v>
      </c>
      <c r="HJ258" s="16">
        <v>2</v>
      </c>
      <c r="HK258" s="16">
        <v>2</v>
      </c>
      <c r="HL258" s="16">
        <v>0</v>
      </c>
      <c r="HM258" s="16">
        <v>0</v>
      </c>
      <c r="HN258" s="16">
        <v>0</v>
      </c>
      <c r="HO258" s="16">
        <v>0</v>
      </c>
      <c r="HP258" s="16">
        <v>3</v>
      </c>
      <c r="HQ258" s="16">
        <v>71</v>
      </c>
      <c r="HR258" s="16">
        <v>0</v>
      </c>
      <c r="HS258" s="16">
        <v>829</v>
      </c>
      <c r="HT258" s="16">
        <v>0</v>
      </c>
      <c r="HU258" s="16">
        <v>262</v>
      </c>
      <c r="HV258" s="16">
        <v>0</v>
      </c>
      <c r="HW258" s="16">
        <v>0</v>
      </c>
      <c r="HX258" s="16">
        <v>0</v>
      </c>
      <c r="HY258" s="16">
        <v>1</v>
      </c>
      <c r="HZ258" s="16">
        <v>0</v>
      </c>
      <c r="IA258" s="16">
        <v>849</v>
      </c>
      <c r="IB258" s="16">
        <v>0</v>
      </c>
      <c r="IC258" s="16">
        <v>4</v>
      </c>
      <c r="ID258" s="16">
        <v>0</v>
      </c>
      <c r="IE258" s="16">
        <v>0</v>
      </c>
      <c r="IF258" s="16">
        <v>0</v>
      </c>
      <c r="IG258" s="16">
        <v>0</v>
      </c>
      <c r="IH258" s="16">
        <v>102</v>
      </c>
      <c r="II258" s="16">
        <v>20</v>
      </c>
      <c r="IJ258" s="16">
        <v>1</v>
      </c>
      <c r="IK258" s="16">
        <v>3</v>
      </c>
      <c r="IL258" s="16">
        <v>0</v>
      </c>
      <c r="IM258" s="16">
        <v>2</v>
      </c>
      <c r="IN258" s="16">
        <v>62</v>
      </c>
      <c r="IO258" s="16">
        <v>4227</v>
      </c>
      <c r="IP258" s="16">
        <v>8538</v>
      </c>
      <c r="IQ258" s="16">
        <v>15</v>
      </c>
      <c r="IR258" s="16">
        <v>15</v>
      </c>
      <c r="IS258" s="16">
        <v>103</v>
      </c>
      <c r="IT258" s="16">
        <v>48</v>
      </c>
      <c r="IU258" s="16">
        <v>9</v>
      </c>
      <c r="IV258" s="16">
        <v>3637</v>
      </c>
      <c r="IW258" s="16">
        <v>13852</v>
      </c>
      <c r="IX258" s="16">
        <v>99775</v>
      </c>
      <c r="IY258" s="16">
        <v>17050</v>
      </c>
      <c r="IZ258" s="16">
        <v>0</v>
      </c>
      <c r="JA258" s="16">
        <v>0</v>
      </c>
      <c r="JB258" s="16">
        <v>3</v>
      </c>
      <c r="JC258" s="16">
        <v>0</v>
      </c>
      <c r="JD258" s="16">
        <v>0</v>
      </c>
      <c r="JE258" s="16">
        <v>0</v>
      </c>
      <c r="JF258" s="16">
        <v>0</v>
      </c>
      <c r="JG258" s="16">
        <v>11175</v>
      </c>
      <c r="JH258" s="16">
        <v>2513</v>
      </c>
      <c r="JI258" s="16">
        <v>0</v>
      </c>
      <c r="JJ258" s="16">
        <v>0</v>
      </c>
      <c r="JK258" s="16">
        <v>5</v>
      </c>
      <c r="JL258" s="16">
        <v>0</v>
      </c>
      <c r="JM258" s="16">
        <v>0</v>
      </c>
      <c r="JN258" s="16">
        <v>0</v>
      </c>
      <c r="JO258" s="16">
        <v>779</v>
      </c>
      <c r="JP258" s="16">
        <v>0</v>
      </c>
      <c r="JQ258" s="16">
        <v>2</v>
      </c>
      <c r="JR258" s="16">
        <v>2370</v>
      </c>
      <c r="JS258" s="16">
        <v>313</v>
      </c>
      <c r="JT258" s="16">
        <v>0</v>
      </c>
      <c r="JU258" s="16">
        <v>1917</v>
      </c>
      <c r="JV258" s="16">
        <v>2001</v>
      </c>
      <c r="JW258" s="16">
        <v>342102</v>
      </c>
      <c r="JX258" s="16">
        <v>116496</v>
      </c>
      <c r="JY258" s="16">
        <v>42914</v>
      </c>
      <c r="JZ258" s="16">
        <v>3343</v>
      </c>
      <c r="KA258" s="16">
        <v>374</v>
      </c>
      <c r="KB258" s="16">
        <v>8</v>
      </c>
      <c r="KC258" s="16">
        <v>1091</v>
      </c>
      <c r="KD258" s="16">
        <v>842</v>
      </c>
      <c r="KE258" s="16">
        <v>9</v>
      </c>
      <c r="KF258" s="16">
        <v>849</v>
      </c>
      <c r="KG258" s="16">
        <v>753</v>
      </c>
      <c r="KH258" s="16">
        <v>400</v>
      </c>
      <c r="KI258" s="16">
        <v>1245</v>
      </c>
      <c r="KJ258" s="16">
        <v>2858</v>
      </c>
      <c r="KK258" s="16">
        <v>83194</v>
      </c>
      <c r="KL258" s="16">
        <v>3</v>
      </c>
      <c r="KM258" s="16">
        <v>1291</v>
      </c>
      <c r="KN258" s="16">
        <v>206</v>
      </c>
      <c r="KO258" s="16">
        <v>227</v>
      </c>
      <c r="KP258" s="16">
        <v>13</v>
      </c>
      <c r="KQ258" s="16">
        <v>36</v>
      </c>
      <c r="KR258" s="16">
        <v>7838</v>
      </c>
      <c r="KS258" s="16">
        <v>12</v>
      </c>
      <c r="KT258" s="16">
        <v>13</v>
      </c>
      <c r="KU258" s="16">
        <v>4141</v>
      </c>
      <c r="KV258" s="16">
        <v>11770</v>
      </c>
      <c r="KW258" s="16">
        <v>7102</v>
      </c>
      <c r="KX258" s="16">
        <v>155</v>
      </c>
      <c r="KY258" s="16">
        <v>13193</v>
      </c>
      <c r="KZ258" s="16">
        <v>130159</v>
      </c>
      <c r="LA258" s="16">
        <v>105782</v>
      </c>
      <c r="LB258" s="16">
        <v>13347</v>
      </c>
      <c r="LC258" s="16">
        <v>23535</v>
      </c>
      <c r="LD258" s="16">
        <v>8722</v>
      </c>
      <c r="LE258" s="16">
        <v>406</v>
      </c>
      <c r="LF258" s="16">
        <v>196</v>
      </c>
      <c r="LG258" s="16">
        <v>115</v>
      </c>
      <c r="LH258" s="16">
        <v>504</v>
      </c>
      <c r="LI258" s="16">
        <v>2</v>
      </c>
      <c r="LJ258" s="16">
        <v>162</v>
      </c>
      <c r="LK258" s="16">
        <v>1507</v>
      </c>
      <c r="LL258" s="16">
        <v>794</v>
      </c>
      <c r="LM258" s="16">
        <v>5453</v>
      </c>
      <c r="LN258" s="16">
        <v>20865</v>
      </c>
      <c r="LO258" s="16">
        <v>0</v>
      </c>
      <c r="LP258" s="16">
        <v>11944</v>
      </c>
      <c r="LQ258" s="16">
        <v>800</v>
      </c>
      <c r="LR258" s="16">
        <v>5420</v>
      </c>
      <c r="LS258" s="16">
        <v>401</v>
      </c>
      <c r="LT258" s="16">
        <v>7139</v>
      </c>
      <c r="LU258" s="16">
        <v>5390</v>
      </c>
      <c r="LV258" s="16">
        <v>28</v>
      </c>
      <c r="LW258" s="16">
        <v>3623</v>
      </c>
      <c r="LX258" s="16">
        <v>14799</v>
      </c>
      <c r="LY258" s="16">
        <v>20678</v>
      </c>
      <c r="LZ258" s="16">
        <v>21999</v>
      </c>
      <c r="MA258" s="16">
        <v>43488</v>
      </c>
      <c r="MB258" s="16">
        <v>17805</v>
      </c>
      <c r="MC258" s="16">
        <v>1629</v>
      </c>
      <c r="MD258" s="16">
        <v>1289</v>
      </c>
      <c r="ME258" s="16">
        <v>1363</v>
      </c>
      <c r="MF258" s="16">
        <v>8064</v>
      </c>
      <c r="MG258" s="16">
        <v>7830</v>
      </c>
      <c r="MH258" s="16">
        <v>52376</v>
      </c>
      <c r="MI258" s="16">
        <v>333</v>
      </c>
      <c r="MJ258" s="16">
        <v>2231</v>
      </c>
      <c r="MK258" s="16">
        <v>1209</v>
      </c>
      <c r="ML258" s="16">
        <v>134</v>
      </c>
      <c r="MM258" s="16">
        <v>7125</v>
      </c>
      <c r="MN258" s="16">
        <v>3258</v>
      </c>
      <c r="MO258" s="16">
        <v>24282</v>
      </c>
      <c r="MP258" s="16">
        <v>16711</v>
      </c>
      <c r="MQ258" s="16">
        <v>15415</v>
      </c>
      <c r="MR258" s="16">
        <v>10520</v>
      </c>
      <c r="MS258" s="16">
        <v>22</v>
      </c>
      <c r="MT258" s="16">
        <v>1474</v>
      </c>
      <c r="MU258" s="16">
        <v>19421</v>
      </c>
      <c r="MV258" s="16">
        <v>20748</v>
      </c>
      <c r="MW258" s="16">
        <v>199303</v>
      </c>
      <c r="MX258" s="16">
        <v>1</v>
      </c>
      <c r="MY258" s="16">
        <v>538</v>
      </c>
      <c r="MZ258" s="16">
        <v>4701</v>
      </c>
      <c r="NA258" s="16">
        <v>755</v>
      </c>
      <c r="NB258" s="16">
        <v>10485</v>
      </c>
      <c r="NC258" s="16">
        <v>3541</v>
      </c>
      <c r="ND258" s="16">
        <v>10423</v>
      </c>
      <c r="NE258" s="16">
        <v>2462</v>
      </c>
      <c r="NF258" s="16">
        <v>1187</v>
      </c>
      <c r="NG258" s="16">
        <v>14031</v>
      </c>
      <c r="NH258" s="16">
        <v>17169</v>
      </c>
      <c r="NI258" s="16">
        <v>6147</v>
      </c>
      <c r="NJ258" s="16">
        <v>25384</v>
      </c>
      <c r="NK258" s="16">
        <v>535</v>
      </c>
      <c r="NL258" s="16">
        <v>1524</v>
      </c>
      <c r="NM258" s="16">
        <v>7417</v>
      </c>
      <c r="NN258" s="16">
        <v>3870</v>
      </c>
      <c r="NO258" s="16">
        <v>0</v>
      </c>
      <c r="NP258" s="16">
        <v>497</v>
      </c>
      <c r="NQ258" s="16">
        <v>236</v>
      </c>
      <c r="NR258" s="17">
        <v>1794112</v>
      </c>
    </row>
    <row r="259" spans="1:382" ht="13.5" customHeight="1" x14ac:dyDescent="0.2">
      <c r="A259" s="2" t="s">
        <v>525</v>
      </c>
      <c r="B259" s="16">
        <v>0</v>
      </c>
      <c r="C259" s="16">
        <v>0</v>
      </c>
      <c r="D259" s="16">
        <v>0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16">
        <v>0</v>
      </c>
      <c r="L259" s="16">
        <v>0</v>
      </c>
      <c r="M259" s="16">
        <v>0</v>
      </c>
      <c r="N259" s="16">
        <v>0</v>
      </c>
      <c r="O259" s="16">
        <v>0</v>
      </c>
      <c r="P259" s="16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2</v>
      </c>
      <c r="Y259" s="16">
        <v>128</v>
      </c>
      <c r="Z259" s="16">
        <v>366</v>
      </c>
      <c r="AA259" s="16">
        <v>0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  <c r="AG259" s="16">
        <v>7</v>
      </c>
      <c r="AH259" s="16">
        <v>0</v>
      </c>
      <c r="AI259" s="16">
        <v>0</v>
      </c>
      <c r="AJ259" s="16">
        <v>0</v>
      </c>
      <c r="AK259" s="16">
        <v>0</v>
      </c>
      <c r="AL259" s="16">
        <v>0</v>
      </c>
      <c r="AM259" s="16">
        <v>8</v>
      </c>
      <c r="AN259" s="16">
        <v>0</v>
      </c>
      <c r="AO259" s="16">
        <v>0</v>
      </c>
      <c r="AP259" s="16">
        <v>0</v>
      </c>
      <c r="AQ259" s="16">
        <v>0</v>
      </c>
      <c r="AR259" s="16">
        <v>0</v>
      </c>
      <c r="AS259" s="16">
        <v>0</v>
      </c>
      <c r="AT259" s="16">
        <v>0</v>
      </c>
      <c r="AU259" s="16">
        <v>0</v>
      </c>
      <c r="AV259" s="16">
        <v>0</v>
      </c>
      <c r="AW259" s="16">
        <v>0</v>
      </c>
      <c r="AX259" s="16">
        <v>1</v>
      </c>
      <c r="AY259" s="16">
        <v>0</v>
      </c>
      <c r="AZ259" s="16">
        <v>0</v>
      </c>
      <c r="BA259" s="16">
        <v>0</v>
      </c>
      <c r="BB259" s="16">
        <v>0</v>
      </c>
      <c r="BC259" s="16">
        <v>0</v>
      </c>
      <c r="BD259" s="16">
        <v>0</v>
      </c>
      <c r="BE259" s="16">
        <v>0</v>
      </c>
      <c r="BF259" s="16">
        <v>0</v>
      </c>
      <c r="BG259" s="16">
        <v>0</v>
      </c>
      <c r="BH259" s="16">
        <v>3</v>
      </c>
      <c r="BI259" s="16">
        <v>0</v>
      </c>
      <c r="BJ259" s="16">
        <v>0</v>
      </c>
      <c r="BK259" s="16">
        <v>0</v>
      </c>
      <c r="BL259" s="16">
        <v>189</v>
      </c>
      <c r="BM259" s="16">
        <v>0</v>
      </c>
      <c r="BN259" s="16">
        <v>512</v>
      </c>
      <c r="BO259" s="16">
        <v>0</v>
      </c>
      <c r="BP259" s="16">
        <v>2</v>
      </c>
      <c r="BQ259" s="16">
        <v>2</v>
      </c>
      <c r="BR259" s="16">
        <v>0</v>
      </c>
      <c r="BS259" s="16">
        <v>0</v>
      </c>
      <c r="BT259" s="16">
        <v>0</v>
      </c>
      <c r="BU259" s="16">
        <v>0</v>
      </c>
      <c r="BV259" s="16">
        <v>0</v>
      </c>
      <c r="BW259" s="16">
        <v>0</v>
      </c>
      <c r="BX259" s="16">
        <v>0</v>
      </c>
      <c r="BY259" s="16">
        <v>0</v>
      </c>
      <c r="BZ259" s="16">
        <v>1</v>
      </c>
      <c r="CA259" s="16">
        <v>0</v>
      </c>
      <c r="CB259" s="16">
        <v>0</v>
      </c>
      <c r="CC259" s="16">
        <v>0</v>
      </c>
      <c r="CD259" s="16">
        <v>0</v>
      </c>
      <c r="CE259" s="16">
        <v>0</v>
      </c>
      <c r="CF259" s="16">
        <v>0</v>
      </c>
      <c r="CG259" s="16">
        <v>0</v>
      </c>
      <c r="CH259" s="16">
        <v>0</v>
      </c>
      <c r="CI259" s="16">
        <v>0</v>
      </c>
      <c r="CJ259" s="16">
        <v>0</v>
      </c>
      <c r="CK259" s="16">
        <v>0</v>
      </c>
      <c r="CL259" s="16">
        <v>0</v>
      </c>
      <c r="CM259" s="16">
        <v>0</v>
      </c>
      <c r="CN259" s="16">
        <v>0</v>
      </c>
      <c r="CO259" s="16">
        <v>0</v>
      </c>
      <c r="CP259" s="16">
        <v>0</v>
      </c>
      <c r="CQ259" s="16">
        <v>0</v>
      </c>
      <c r="CR259" s="16">
        <v>0</v>
      </c>
      <c r="CS259" s="16">
        <v>0</v>
      </c>
      <c r="CT259" s="16">
        <v>0</v>
      </c>
      <c r="CU259" s="16">
        <v>0</v>
      </c>
      <c r="CV259" s="16">
        <v>0</v>
      </c>
      <c r="CW259" s="16">
        <v>0</v>
      </c>
      <c r="CX259" s="16">
        <v>0</v>
      </c>
      <c r="CY259" s="16">
        <v>0</v>
      </c>
      <c r="CZ259" s="16">
        <v>0</v>
      </c>
      <c r="DA259" s="16">
        <v>0</v>
      </c>
      <c r="DB259" s="16">
        <v>0</v>
      </c>
      <c r="DC259" s="16">
        <v>0</v>
      </c>
      <c r="DD259" s="16">
        <v>0</v>
      </c>
      <c r="DE259" s="16">
        <v>0</v>
      </c>
      <c r="DF259" s="16">
        <v>7</v>
      </c>
      <c r="DG259" s="16">
        <v>0</v>
      </c>
      <c r="DH259" s="16">
        <v>4</v>
      </c>
      <c r="DI259" s="16">
        <v>0</v>
      </c>
      <c r="DJ259" s="16">
        <v>20</v>
      </c>
      <c r="DK259" s="16">
        <v>0</v>
      </c>
      <c r="DL259" s="16">
        <v>2</v>
      </c>
      <c r="DM259" s="16">
        <v>0</v>
      </c>
      <c r="DN259" s="16">
        <v>0</v>
      </c>
      <c r="DO259" s="16">
        <v>0</v>
      </c>
      <c r="DP259" s="16">
        <v>0</v>
      </c>
      <c r="DQ259" s="16">
        <v>0</v>
      </c>
      <c r="DR259" s="16">
        <v>5</v>
      </c>
      <c r="DS259" s="16">
        <v>18</v>
      </c>
      <c r="DT259" s="16">
        <v>0</v>
      </c>
      <c r="DU259" s="16">
        <v>0</v>
      </c>
      <c r="DV259" s="16">
        <v>1</v>
      </c>
      <c r="DW259" s="16">
        <v>0</v>
      </c>
      <c r="DX259" s="16">
        <v>29</v>
      </c>
      <c r="DY259" s="16">
        <v>31</v>
      </c>
      <c r="DZ259" s="16">
        <v>142</v>
      </c>
      <c r="EA259" s="16">
        <v>338</v>
      </c>
      <c r="EB259" s="16">
        <v>0</v>
      </c>
      <c r="EC259" s="16">
        <v>0</v>
      </c>
      <c r="ED259" s="16">
        <v>0</v>
      </c>
      <c r="EE259" s="16">
        <v>0</v>
      </c>
      <c r="EF259" s="16">
        <v>0</v>
      </c>
      <c r="EG259" s="16">
        <v>0</v>
      </c>
      <c r="EH259" s="16">
        <v>0</v>
      </c>
      <c r="EI259" s="16">
        <v>0</v>
      </c>
      <c r="EJ259" s="16">
        <v>0</v>
      </c>
      <c r="EK259" s="16">
        <v>0</v>
      </c>
      <c r="EL259" s="16">
        <v>0</v>
      </c>
      <c r="EM259" s="16">
        <v>0</v>
      </c>
      <c r="EN259" s="16">
        <v>0</v>
      </c>
      <c r="EO259" s="16">
        <v>4</v>
      </c>
      <c r="EP259" s="16">
        <v>0</v>
      </c>
      <c r="EQ259" s="16">
        <v>24</v>
      </c>
      <c r="ER259" s="16">
        <v>0</v>
      </c>
      <c r="ES259" s="16">
        <v>0</v>
      </c>
      <c r="ET259" s="16">
        <v>0</v>
      </c>
      <c r="EU259" s="16">
        <v>0</v>
      </c>
      <c r="EV259" s="16">
        <v>0</v>
      </c>
      <c r="EW259" s="16">
        <v>0</v>
      </c>
      <c r="EX259" s="16">
        <v>0</v>
      </c>
      <c r="EY259" s="16">
        <v>0</v>
      </c>
      <c r="EZ259" s="16">
        <v>0</v>
      </c>
      <c r="FA259" s="16">
        <v>0</v>
      </c>
      <c r="FB259" s="16">
        <v>0</v>
      </c>
      <c r="FC259" s="16">
        <v>0</v>
      </c>
      <c r="FD259" s="16">
        <v>15</v>
      </c>
      <c r="FE259" s="16">
        <v>0</v>
      </c>
      <c r="FF259" s="16">
        <v>0</v>
      </c>
      <c r="FG259" s="16">
        <v>0</v>
      </c>
      <c r="FH259" s="16">
        <v>0</v>
      </c>
      <c r="FI259" s="16">
        <v>0</v>
      </c>
      <c r="FJ259" s="16">
        <v>0</v>
      </c>
      <c r="FK259" s="16">
        <v>0</v>
      </c>
      <c r="FL259" s="16">
        <v>0</v>
      </c>
      <c r="FM259" s="16">
        <v>0</v>
      </c>
      <c r="FN259" s="16">
        <v>0</v>
      </c>
      <c r="FO259" s="16">
        <v>0</v>
      </c>
      <c r="FP259" s="16">
        <v>0</v>
      </c>
      <c r="FQ259" s="16">
        <v>0</v>
      </c>
      <c r="FR259" s="16">
        <v>0</v>
      </c>
      <c r="FS259" s="16">
        <v>0</v>
      </c>
      <c r="FT259" s="16">
        <v>0</v>
      </c>
      <c r="FU259" s="16">
        <v>0</v>
      </c>
      <c r="FV259" s="16">
        <v>573</v>
      </c>
      <c r="FW259" s="16">
        <v>0</v>
      </c>
      <c r="FX259" s="16">
        <v>0</v>
      </c>
      <c r="FY259" s="16">
        <v>0</v>
      </c>
      <c r="FZ259" s="16">
        <v>0</v>
      </c>
      <c r="GA259" s="16">
        <v>0</v>
      </c>
      <c r="GB259" s="16">
        <v>0</v>
      </c>
      <c r="GC259" s="16">
        <v>0</v>
      </c>
      <c r="GD259" s="16">
        <v>416</v>
      </c>
      <c r="GE259" s="16">
        <v>7</v>
      </c>
      <c r="GF259" s="16">
        <v>1863</v>
      </c>
      <c r="GG259" s="16">
        <v>0</v>
      </c>
      <c r="GH259" s="16">
        <v>6</v>
      </c>
      <c r="GI259" s="16">
        <v>0</v>
      </c>
      <c r="GJ259" s="16">
        <v>0</v>
      </c>
      <c r="GK259" s="16">
        <v>1</v>
      </c>
      <c r="GL259" s="16">
        <v>0</v>
      </c>
      <c r="GM259" s="16">
        <v>2</v>
      </c>
      <c r="GN259" s="16">
        <v>1</v>
      </c>
      <c r="GO259" s="16">
        <v>58</v>
      </c>
      <c r="GP259" s="16">
        <v>1</v>
      </c>
      <c r="GQ259" s="16">
        <v>0</v>
      </c>
      <c r="GR259" s="16">
        <v>0</v>
      </c>
      <c r="GS259" s="16">
        <v>0</v>
      </c>
      <c r="GT259" s="16">
        <v>2</v>
      </c>
      <c r="GU259" s="16">
        <v>530</v>
      </c>
      <c r="GV259" s="16">
        <v>193</v>
      </c>
      <c r="GW259" s="16">
        <v>0</v>
      </c>
      <c r="GX259" s="16">
        <v>68</v>
      </c>
      <c r="GY259" s="16">
        <v>0</v>
      </c>
      <c r="GZ259" s="16">
        <v>2</v>
      </c>
      <c r="HA259" s="16">
        <v>0</v>
      </c>
      <c r="HB259" s="16">
        <v>6</v>
      </c>
      <c r="HC259" s="16">
        <v>0</v>
      </c>
      <c r="HD259" s="16">
        <v>0</v>
      </c>
      <c r="HE259" s="16">
        <v>0</v>
      </c>
      <c r="HF259" s="16">
        <v>10</v>
      </c>
      <c r="HG259" s="16">
        <v>0</v>
      </c>
      <c r="HH259" s="16">
        <v>3</v>
      </c>
      <c r="HI259" s="16">
        <v>0</v>
      </c>
      <c r="HJ259" s="16">
        <v>0</v>
      </c>
      <c r="HK259" s="16">
        <v>0</v>
      </c>
      <c r="HL259" s="16">
        <v>9</v>
      </c>
      <c r="HM259" s="16">
        <v>19</v>
      </c>
      <c r="HN259" s="16">
        <v>0</v>
      </c>
      <c r="HO259" s="16">
        <v>0</v>
      </c>
      <c r="HP259" s="16">
        <v>0</v>
      </c>
      <c r="HQ259" s="16">
        <v>1887</v>
      </c>
      <c r="HR259" s="16">
        <v>743</v>
      </c>
      <c r="HS259" s="16">
        <v>0</v>
      </c>
      <c r="HT259" s="16">
        <v>0</v>
      </c>
      <c r="HU259" s="16">
        <v>0</v>
      </c>
      <c r="HV259" s="16">
        <v>1160</v>
      </c>
      <c r="HW259" s="16">
        <v>588</v>
      </c>
      <c r="HX259" s="16">
        <v>0</v>
      </c>
      <c r="HY259" s="16">
        <v>1</v>
      </c>
      <c r="HZ259" s="16">
        <v>93</v>
      </c>
      <c r="IA259" s="16">
        <v>15</v>
      </c>
      <c r="IB259" s="16">
        <v>0</v>
      </c>
      <c r="IC259" s="16">
        <v>0</v>
      </c>
      <c r="ID259" s="16">
        <v>29</v>
      </c>
      <c r="IE259" s="16">
        <v>0</v>
      </c>
      <c r="IF259" s="16">
        <v>30</v>
      </c>
      <c r="IG259" s="16">
        <v>213</v>
      </c>
      <c r="IH259" s="16">
        <v>229</v>
      </c>
      <c r="II259" s="16">
        <v>26</v>
      </c>
      <c r="IJ259" s="16">
        <v>144</v>
      </c>
      <c r="IK259" s="16">
        <v>535</v>
      </c>
      <c r="IL259" s="16">
        <v>106</v>
      </c>
      <c r="IM259" s="16">
        <v>0</v>
      </c>
      <c r="IN259" s="16">
        <v>510</v>
      </c>
      <c r="IO259" s="16">
        <v>302</v>
      </c>
      <c r="IP259" s="16">
        <v>198</v>
      </c>
      <c r="IQ259" s="16">
        <v>21</v>
      </c>
      <c r="IR259" s="16">
        <v>40</v>
      </c>
      <c r="IS259" s="16">
        <v>259</v>
      </c>
      <c r="IT259" s="16">
        <v>97</v>
      </c>
      <c r="IU259" s="16">
        <v>5</v>
      </c>
      <c r="IV259" s="16">
        <v>86</v>
      </c>
      <c r="IW259" s="16">
        <v>13969</v>
      </c>
      <c r="IX259" s="16">
        <v>14862</v>
      </c>
      <c r="IY259" s="16">
        <v>739811</v>
      </c>
      <c r="IZ259" s="16">
        <v>0</v>
      </c>
      <c r="JA259" s="16">
        <v>0</v>
      </c>
      <c r="JB259" s="16">
        <v>11</v>
      </c>
      <c r="JC259" s="16">
        <v>0</v>
      </c>
      <c r="JD259" s="16">
        <v>0</v>
      </c>
      <c r="JE259" s="16">
        <v>1395</v>
      </c>
      <c r="JF259" s="16">
        <v>0</v>
      </c>
      <c r="JG259" s="16">
        <v>59182</v>
      </c>
      <c r="JH259" s="16">
        <v>164</v>
      </c>
      <c r="JI259" s="16">
        <v>0</v>
      </c>
      <c r="JJ259" s="16">
        <v>0</v>
      </c>
      <c r="JK259" s="16">
        <v>0</v>
      </c>
      <c r="JL259" s="16">
        <v>0</v>
      </c>
      <c r="JM259" s="16">
        <v>0</v>
      </c>
      <c r="JN259" s="16">
        <v>0</v>
      </c>
      <c r="JO259" s="16">
        <v>0</v>
      </c>
      <c r="JP259" s="16">
        <v>0</v>
      </c>
      <c r="JQ259" s="16">
        <v>0</v>
      </c>
      <c r="JR259" s="16">
        <v>906</v>
      </c>
      <c r="JS259" s="16">
        <v>402</v>
      </c>
      <c r="JT259" s="16">
        <v>0</v>
      </c>
      <c r="JU259" s="16">
        <v>2421</v>
      </c>
      <c r="JV259" s="16">
        <v>227</v>
      </c>
      <c r="JW259" s="16">
        <v>191125</v>
      </c>
      <c r="JX259" s="16">
        <v>90810</v>
      </c>
      <c r="JY259" s="16">
        <v>5136</v>
      </c>
      <c r="JZ259" s="16">
        <v>5234</v>
      </c>
      <c r="KA259" s="16">
        <v>166</v>
      </c>
      <c r="KB259" s="16">
        <v>36</v>
      </c>
      <c r="KC259" s="16">
        <v>1549</v>
      </c>
      <c r="KD259" s="16">
        <v>0</v>
      </c>
      <c r="KE259" s="16">
        <v>0</v>
      </c>
      <c r="KF259" s="16">
        <v>589</v>
      </c>
      <c r="KG259" s="16">
        <v>2622</v>
      </c>
      <c r="KH259" s="16">
        <v>741</v>
      </c>
      <c r="KI259" s="16">
        <v>5336</v>
      </c>
      <c r="KJ259" s="16">
        <v>4483</v>
      </c>
      <c r="KK259" s="16">
        <v>155680</v>
      </c>
      <c r="KL259" s="16">
        <v>1</v>
      </c>
      <c r="KM259" s="16">
        <v>143</v>
      </c>
      <c r="KN259" s="16">
        <v>110</v>
      </c>
      <c r="KO259" s="16">
        <v>24</v>
      </c>
      <c r="KP259" s="16">
        <v>14</v>
      </c>
      <c r="KQ259" s="16">
        <v>287</v>
      </c>
      <c r="KR259" s="16">
        <v>0</v>
      </c>
      <c r="KS259" s="16">
        <v>45</v>
      </c>
      <c r="KT259" s="16">
        <v>3</v>
      </c>
      <c r="KU259" s="16">
        <v>825</v>
      </c>
      <c r="KV259" s="16">
        <v>3667</v>
      </c>
      <c r="KW259" s="16">
        <v>783</v>
      </c>
      <c r="KX259" s="16">
        <v>163</v>
      </c>
      <c r="KY259" s="16">
        <v>1315</v>
      </c>
      <c r="KZ259" s="16">
        <v>97516</v>
      </c>
      <c r="LA259" s="16">
        <v>97469</v>
      </c>
      <c r="LB259" s="16">
        <v>33298</v>
      </c>
      <c r="LC259" s="16">
        <v>116098</v>
      </c>
      <c r="LD259" s="16">
        <v>136999</v>
      </c>
      <c r="LE259" s="16">
        <v>1580</v>
      </c>
      <c r="LF259" s="16">
        <v>245</v>
      </c>
      <c r="LG259" s="16">
        <v>128</v>
      </c>
      <c r="LH259" s="16">
        <v>1187</v>
      </c>
      <c r="LI259" s="16">
        <v>17</v>
      </c>
      <c r="LJ259" s="16">
        <v>208</v>
      </c>
      <c r="LK259" s="16">
        <v>1350</v>
      </c>
      <c r="LL259" s="16">
        <v>259</v>
      </c>
      <c r="LM259" s="16">
        <v>3891</v>
      </c>
      <c r="LN259" s="16">
        <v>6029</v>
      </c>
      <c r="LO259" s="16">
        <v>0</v>
      </c>
      <c r="LP259" s="16">
        <v>4878</v>
      </c>
      <c r="LQ259" s="16">
        <v>1534</v>
      </c>
      <c r="LR259" s="16">
        <v>370</v>
      </c>
      <c r="LS259" s="16">
        <v>8509</v>
      </c>
      <c r="LT259" s="16">
        <v>1324</v>
      </c>
      <c r="LU259" s="16">
        <v>390</v>
      </c>
      <c r="LV259" s="16">
        <v>28</v>
      </c>
      <c r="LW259" s="16">
        <v>395</v>
      </c>
      <c r="LX259" s="16">
        <v>3106</v>
      </c>
      <c r="LY259" s="16">
        <v>60465</v>
      </c>
      <c r="LZ259" s="16">
        <v>34194</v>
      </c>
      <c r="MA259" s="16">
        <v>2696</v>
      </c>
      <c r="MB259" s="16">
        <v>75342</v>
      </c>
      <c r="MC259" s="16">
        <v>3189</v>
      </c>
      <c r="MD259" s="16">
        <v>4338</v>
      </c>
      <c r="ME259" s="16">
        <v>455</v>
      </c>
      <c r="MF259" s="16">
        <v>1839</v>
      </c>
      <c r="MG259" s="16">
        <v>5732</v>
      </c>
      <c r="MH259" s="16">
        <v>130441</v>
      </c>
      <c r="MI259" s="16">
        <v>2309</v>
      </c>
      <c r="MJ259" s="16">
        <v>3076</v>
      </c>
      <c r="MK259" s="16">
        <v>2051</v>
      </c>
      <c r="ML259" s="16">
        <v>504</v>
      </c>
      <c r="MM259" s="16">
        <v>3740</v>
      </c>
      <c r="MN259" s="16">
        <v>42009</v>
      </c>
      <c r="MO259" s="16">
        <v>15870</v>
      </c>
      <c r="MP259" s="16">
        <v>25300</v>
      </c>
      <c r="MQ259" s="16">
        <v>11844</v>
      </c>
      <c r="MR259" s="16">
        <v>11741</v>
      </c>
      <c r="MS259" s="16">
        <v>1259</v>
      </c>
      <c r="MT259" s="16">
        <v>528</v>
      </c>
      <c r="MU259" s="16">
        <v>16400</v>
      </c>
      <c r="MV259" s="16">
        <v>26541</v>
      </c>
      <c r="MW259" s="16">
        <v>202922</v>
      </c>
      <c r="MX259" s="16">
        <v>11</v>
      </c>
      <c r="MY259" s="16">
        <v>582</v>
      </c>
      <c r="MZ259" s="16">
        <v>13720</v>
      </c>
      <c r="NA259" s="16">
        <v>1280</v>
      </c>
      <c r="NB259" s="16">
        <v>44582</v>
      </c>
      <c r="NC259" s="16">
        <v>2158</v>
      </c>
      <c r="ND259" s="16">
        <v>940</v>
      </c>
      <c r="NE259" s="16">
        <v>6768</v>
      </c>
      <c r="NF259" s="16">
        <v>3557</v>
      </c>
      <c r="NG259" s="16">
        <v>4879</v>
      </c>
      <c r="NH259" s="16">
        <v>481</v>
      </c>
      <c r="NI259" s="16">
        <v>6584</v>
      </c>
      <c r="NJ259" s="16">
        <v>13728</v>
      </c>
      <c r="NK259" s="16">
        <v>745</v>
      </c>
      <c r="NL259" s="16">
        <v>1339</v>
      </c>
      <c r="NM259" s="16">
        <v>9110</v>
      </c>
      <c r="NN259" s="16">
        <v>5466</v>
      </c>
      <c r="NO259" s="16">
        <v>0</v>
      </c>
      <c r="NP259" s="16">
        <v>2515</v>
      </c>
      <c r="NQ259" s="16">
        <v>570</v>
      </c>
      <c r="NR259" s="17">
        <v>2637793</v>
      </c>
    </row>
    <row r="260" spans="1:382" ht="13.5" customHeight="1" x14ac:dyDescent="0.2">
      <c r="A260" s="2" t="s">
        <v>527</v>
      </c>
      <c r="B260" s="16">
        <v>0</v>
      </c>
      <c r="C260" s="16">
        <v>0</v>
      </c>
      <c r="D260" s="16">
        <v>0</v>
      </c>
      <c r="E260" s="16">
        <v>0</v>
      </c>
      <c r="F260" s="16">
        <v>0</v>
      </c>
      <c r="G260" s="16">
        <v>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  <c r="AG260" s="16">
        <v>0</v>
      </c>
      <c r="AH260" s="16">
        <v>0</v>
      </c>
      <c r="AI260" s="16">
        <v>0</v>
      </c>
      <c r="AJ260" s="16">
        <v>0</v>
      </c>
      <c r="AK260" s="16">
        <v>0</v>
      </c>
      <c r="AL260" s="16">
        <v>0</v>
      </c>
      <c r="AM260" s="16">
        <v>0</v>
      </c>
      <c r="AN260" s="16">
        <v>0</v>
      </c>
      <c r="AO260" s="16">
        <v>0</v>
      </c>
      <c r="AP260" s="16">
        <v>0</v>
      </c>
      <c r="AQ260" s="16">
        <v>0</v>
      </c>
      <c r="AR260" s="16">
        <v>0</v>
      </c>
      <c r="AS260" s="16">
        <v>0</v>
      </c>
      <c r="AT260" s="16">
        <v>0</v>
      </c>
      <c r="AU260" s="16">
        <v>175</v>
      </c>
      <c r="AV260" s="16">
        <v>0</v>
      </c>
      <c r="AW260" s="16">
        <v>0</v>
      </c>
      <c r="AX260" s="16">
        <v>0</v>
      </c>
      <c r="AY260" s="16">
        <v>0</v>
      </c>
      <c r="AZ260" s="16">
        <v>0</v>
      </c>
      <c r="BA260" s="16">
        <v>197</v>
      </c>
      <c r="BB260" s="16">
        <v>0</v>
      </c>
      <c r="BC260" s="16">
        <v>0</v>
      </c>
      <c r="BD260" s="16">
        <v>0</v>
      </c>
      <c r="BE260" s="16">
        <v>0</v>
      </c>
      <c r="BF260" s="16">
        <v>0</v>
      </c>
      <c r="BG260" s="16">
        <v>0</v>
      </c>
      <c r="BH260" s="16">
        <v>0</v>
      </c>
      <c r="BI260" s="16">
        <v>0</v>
      </c>
      <c r="BJ260" s="16">
        <v>0</v>
      </c>
      <c r="BK260" s="16">
        <v>0</v>
      </c>
      <c r="BL260" s="16">
        <v>0</v>
      </c>
      <c r="BM260" s="16">
        <v>0</v>
      </c>
      <c r="BN260" s="16">
        <v>0</v>
      </c>
      <c r="BO260" s="16">
        <v>0</v>
      </c>
      <c r="BP260" s="16">
        <v>0</v>
      </c>
      <c r="BQ260" s="16">
        <v>0</v>
      </c>
      <c r="BR260" s="16">
        <v>0</v>
      </c>
      <c r="BS260" s="16">
        <v>0</v>
      </c>
      <c r="BT260" s="16">
        <v>0</v>
      </c>
      <c r="BU260" s="16">
        <v>0</v>
      </c>
      <c r="BV260" s="16">
        <v>0</v>
      </c>
      <c r="BW260" s="16">
        <v>0</v>
      </c>
      <c r="BX260" s="16">
        <v>0</v>
      </c>
      <c r="BY260" s="16">
        <v>0</v>
      </c>
      <c r="BZ260" s="16">
        <v>0</v>
      </c>
      <c r="CA260" s="16">
        <v>0</v>
      </c>
      <c r="CB260" s="16">
        <v>0</v>
      </c>
      <c r="CC260" s="16">
        <v>0</v>
      </c>
      <c r="CD260" s="16">
        <v>0</v>
      </c>
      <c r="CE260" s="16">
        <v>0</v>
      </c>
      <c r="CF260" s="16">
        <v>0</v>
      </c>
      <c r="CG260" s="16">
        <v>0</v>
      </c>
      <c r="CH260" s="16">
        <v>0</v>
      </c>
      <c r="CI260" s="16">
        <v>0</v>
      </c>
      <c r="CJ260" s="16">
        <v>0</v>
      </c>
      <c r="CK260" s="16">
        <v>0</v>
      </c>
      <c r="CL260" s="16">
        <v>0</v>
      </c>
      <c r="CM260" s="16">
        <v>0</v>
      </c>
      <c r="CN260" s="16">
        <v>0</v>
      </c>
      <c r="CO260" s="16">
        <v>0</v>
      </c>
      <c r="CP260" s="16">
        <v>0</v>
      </c>
      <c r="CQ260" s="16">
        <v>0</v>
      </c>
      <c r="CR260" s="16">
        <v>0</v>
      </c>
      <c r="CS260" s="16">
        <v>0</v>
      </c>
      <c r="CT260" s="16">
        <v>0</v>
      </c>
      <c r="CU260" s="16">
        <v>0</v>
      </c>
      <c r="CV260" s="16">
        <v>0</v>
      </c>
      <c r="CW260" s="16">
        <v>0</v>
      </c>
      <c r="CX260" s="16">
        <v>0</v>
      </c>
      <c r="CY260" s="16">
        <v>0</v>
      </c>
      <c r="CZ260" s="16">
        <v>0</v>
      </c>
      <c r="DA260" s="16">
        <v>0</v>
      </c>
      <c r="DB260" s="16">
        <v>0</v>
      </c>
      <c r="DC260" s="16">
        <v>0</v>
      </c>
      <c r="DD260" s="16">
        <v>0</v>
      </c>
      <c r="DE260" s="16">
        <v>0</v>
      </c>
      <c r="DF260" s="16">
        <v>0</v>
      </c>
      <c r="DG260" s="16">
        <v>0</v>
      </c>
      <c r="DH260" s="16">
        <v>0</v>
      </c>
      <c r="DI260" s="16">
        <v>0</v>
      </c>
      <c r="DJ260" s="16">
        <v>0</v>
      </c>
      <c r="DK260" s="16">
        <v>0</v>
      </c>
      <c r="DL260" s="16">
        <v>0</v>
      </c>
      <c r="DM260" s="16">
        <v>0</v>
      </c>
      <c r="DN260" s="16">
        <v>0</v>
      </c>
      <c r="DO260" s="16">
        <v>0</v>
      </c>
      <c r="DP260" s="16">
        <v>0</v>
      </c>
      <c r="DQ260" s="16">
        <v>0</v>
      </c>
      <c r="DR260" s="16">
        <v>0</v>
      </c>
      <c r="DS260" s="16">
        <v>0</v>
      </c>
      <c r="DT260" s="16">
        <v>0</v>
      </c>
      <c r="DU260" s="16">
        <v>0</v>
      </c>
      <c r="DV260" s="16">
        <v>0</v>
      </c>
      <c r="DW260" s="16">
        <v>0</v>
      </c>
      <c r="DX260" s="16">
        <v>0</v>
      </c>
      <c r="DY260" s="16">
        <v>0</v>
      </c>
      <c r="DZ260" s="16">
        <v>0</v>
      </c>
      <c r="EA260" s="16">
        <v>0</v>
      </c>
      <c r="EB260" s="16">
        <v>0</v>
      </c>
      <c r="EC260" s="16">
        <v>0</v>
      </c>
      <c r="ED260" s="16">
        <v>0</v>
      </c>
      <c r="EE260" s="16">
        <v>0</v>
      </c>
      <c r="EF260" s="16">
        <v>0</v>
      </c>
      <c r="EG260" s="16">
        <v>0</v>
      </c>
      <c r="EH260" s="16">
        <v>0</v>
      </c>
      <c r="EI260" s="16">
        <v>0</v>
      </c>
      <c r="EJ260" s="16">
        <v>0</v>
      </c>
      <c r="EK260" s="16">
        <v>0</v>
      </c>
      <c r="EL260" s="16">
        <v>0</v>
      </c>
      <c r="EM260" s="16">
        <v>0</v>
      </c>
      <c r="EN260" s="16">
        <v>0</v>
      </c>
      <c r="EO260" s="16">
        <v>0</v>
      </c>
      <c r="EP260" s="16">
        <v>0</v>
      </c>
      <c r="EQ260" s="16">
        <v>0</v>
      </c>
      <c r="ER260" s="16">
        <v>0</v>
      </c>
      <c r="ES260" s="16">
        <v>0</v>
      </c>
      <c r="ET260" s="16">
        <v>0</v>
      </c>
      <c r="EU260" s="16">
        <v>0</v>
      </c>
      <c r="EV260" s="16">
        <v>0</v>
      </c>
      <c r="EW260" s="16">
        <v>0</v>
      </c>
      <c r="EX260" s="16">
        <v>0</v>
      </c>
      <c r="EY260" s="16">
        <v>0</v>
      </c>
      <c r="EZ260" s="16">
        <v>0</v>
      </c>
      <c r="FA260" s="16">
        <v>0</v>
      </c>
      <c r="FB260" s="16">
        <v>0</v>
      </c>
      <c r="FC260" s="16">
        <v>0</v>
      </c>
      <c r="FD260" s="16">
        <v>0</v>
      </c>
      <c r="FE260" s="16">
        <v>0</v>
      </c>
      <c r="FF260" s="16">
        <v>0</v>
      </c>
      <c r="FG260" s="16">
        <v>0</v>
      </c>
      <c r="FH260" s="16">
        <v>0</v>
      </c>
      <c r="FI260" s="16">
        <v>0</v>
      </c>
      <c r="FJ260" s="16">
        <v>0</v>
      </c>
      <c r="FK260" s="16">
        <v>0</v>
      </c>
      <c r="FL260" s="16">
        <v>0</v>
      </c>
      <c r="FM260" s="16">
        <v>0</v>
      </c>
      <c r="FN260" s="16">
        <v>0</v>
      </c>
      <c r="FO260" s="16">
        <v>0</v>
      </c>
      <c r="FP260" s="16">
        <v>0</v>
      </c>
      <c r="FQ260" s="16">
        <v>0</v>
      </c>
      <c r="FR260" s="16">
        <v>0</v>
      </c>
      <c r="FS260" s="16">
        <v>0</v>
      </c>
      <c r="FT260" s="16">
        <v>0</v>
      </c>
      <c r="FU260" s="16">
        <v>0</v>
      </c>
      <c r="FV260" s="16">
        <v>0</v>
      </c>
      <c r="FW260" s="16">
        <v>0</v>
      </c>
      <c r="FX260" s="16">
        <v>0</v>
      </c>
      <c r="FY260" s="16">
        <v>0</v>
      </c>
      <c r="FZ260" s="16">
        <v>0</v>
      </c>
      <c r="GA260" s="16">
        <v>0</v>
      </c>
      <c r="GB260" s="16">
        <v>0</v>
      </c>
      <c r="GC260" s="16">
        <v>0</v>
      </c>
      <c r="GD260" s="16">
        <v>0</v>
      </c>
      <c r="GE260" s="16">
        <v>0</v>
      </c>
      <c r="GF260" s="16">
        <v>0</v>
      </c>
      <c r="GG260" s="16">
        <v>0</v>
      </c>
      <c r="GH260" s="16">
        <v>0</v>
      </c>
      <c r="GI260" s="16">
        <v>0</v>
      </c>
      <c r="GJ260" s="16">
        <v>0</v>
      </c>
      <c r="GK260" s="16">
        <v>0</v>
      </c>
      <c r="GL260" s="16">
        <v>0</v>
      </c>
      <c r="GM260" s="16">
        <v>0</v>
      </c>
      <c r="GN260" s="16">
        <v>0</v>
      </c>
      <c r="GO260" s="16">
        <v>0</v>
      </c>
      <c r="GP260" s="16">
        <v>0</v>
      </c>
      <c r="GQ260" s="16">
        <v>0</v>
      </c>
      <c r="GR260" s="16">
        <v>0</v>
      </c>
      <c r="GS260" s="16">
        <v>0</v>
      </c>
      <c r="GT260" s="16">
        <v>0</v>
      </c>
      <c r="GU260" s="16">
        <v>0</v>
      </c>
      <c r="GV260" s="16">
        <v>0</v>
      </c>
      <c r="GW260" s="16">
        <v>0</v>
      </c>
      <c r="GX260" s="16">
        <v>0</v>
      </c>
      <c r="GY260" s="16">
        <v>0</v>
      </c>
      <c r="GZ260" s="16">
        <v>0</v>
      </c>
      <c r="HA260" s="16">
        <v>0</v>
      </c>
      <c r="HB260" s="16">
        <v>0</v>
      </c>
      <c r="HC260" s="16">
        <v>0</v>
      </c>
      <c r="HD260" s="16">
        <v>0</v>
      </c>
      <c r="HE260" s="16">
        <v>0</v>
      </c>
      <c r="HF260" s="16">
        <v>0</v>
      </c>
      <c r="HG260" s="16">
        <v>0</v>
      </c>
      <c r="HH260" s="16">
        <v>0</v>
      </c>
      <c r="HI260" s="16">
        <v>0</v>
      </c>
      <c r="HJ260" s="16">
        <v>0</v>
      </c>
      <c r="HK260" s="16">
        <v>0</v>
      </c>
      <c r="HL260" s="16">
        <v>0</v>
      </c>
      <c r="HM260" s="16">
        <v>0</v>
      </c>
      <c r="HN260" s="16">
        <v>0</v>
      </c>
      <c r="HO260" s="16">
        <v>0</v>
      </c>
      <c r="HP260" s="16">
        <v>0</v>
      </c>
      <c r="HQ260" s="16">
        <v>0</v>
      </c>
      <c r="HR260" s="16">
        <v>0</v>
      </c>
      <c r="HS260" s="16">
        <v>0</v>
      </c>
      <c r="HT260" s="16">
        <v>0</v>
      </c>
      <c r="HU260" s="16">
        <v>0</v>
      </c>
      <c r="HV260" s="16">
        <v>0</v>
      </c>
      <c r="HW260" s="16">
        <v>0</v>
      </c>
      <c r="HX260" s="16">
        <v>0</v>
      </c>
      <c r="HY260" s="16">
        <v>0</v>
      </c>
      <c r="HZ260" s="16">
        <v>0</v>
      </c>
      <c r="IA260" s="16">
        <v>0</v>
      </c>
      <c r="IB260" s="16">
        <v>0</v>
      </c>
      <c r="IC260" s="16">
        <v>0</v>
      </c>
      <c r="ID260" s="16">
        <v>0</v>
      </c>
      <c r="IE260" s="16">
        <v>0</v>
      </c>
      <c r="IF260" s="16">
        <v>0</v>
      </c>
      <c r="IG260" s="16">
        <v>0</v>
      </c>
      <c r="IH260" s="16">
        <v>0</v>
      </c>
      <c r="II260" s="16">
        <v>0</v>
      </c>
      <c r="IJ260" s="16">
        <v>0</v>
      </c>
      <c r="IK260" s="16">
        <v>0</v>
      </c>
      <c r="IL260" s="16">
        <v>0</v>
      </c>
      <c r="IM260" s="16">
        <v>0</v>
      </c>
      <c r="IN260" s="16">
        <v>0</v>
      </c>
      <c r="IO260" s="16">
        <v>0</v>
      </c>
      <c r="IP260" s="16">
        <v>0</v>
      </c>
      <c r="IQ260" s="16">
        <v>2</v>
      </c>
      <c r="IR260" s="16">
        <v>0</v>
      </c>
      <c r="IS260" s="16">
        <v>0</v>
      </c>
      <c r="IT260" s="16">
        <v>0</v>
      </c>
      <c r="IU260" s="16">
        <v>0</v>
      </c>
      <c r="IV260" s="16">
        <v>817</v>
      </c>
      <c r="IW260" s="16">
        <v>0</v>
      </c>
      <c r="IX260" s="16">
        <v>0</v>
      </c>
      <c r="IY260" s="16">
        <v>0</v>
      </c>
      <c r="IZ260" s="16">
        <v>94267</v>
      </c>
      <c r="JA260" s="16">
        <v>239</v>
      </c>
      <c r="JB260" s="16">
        <v>0</v>
      </c>
      <c r="JC260" s="16">
        <v>0</v>
      </c>
      <c r="JD260" s="16">
        <v>0</v>
      </c>
      <c r="JE260" s="16">
        <v>0</v>
      </c>
      <c r="JF260" s="16">
        <v>0</v>
      </c>
      <c r="JG260" s="16">
        <v>4813</v>
      </c>
      <c r="JH260" s="16">
        <v>178</v>
      </c>
      <c r="JI260" s="16">
        <v>0</v>
      </c>
      <c r="JJ260" s="16">
        <v>0</v>
      </c>
      <c r="JK260" s="16">
        <v>0</v>
      </c>
      <c r="JL260" s="16">
        <v>0</v>
      </c>
      <c r="JM260" s="16">
        <v>0</v>
      </c>
      <c r="JN260" s="16">
        <v>0</v>
      </c>
      <c r="JO260" s="16">
        <v>0</v>
      </c>
      <c r="JP260" s="16">
        <v>0</v>
      </c>
      <c r="JQ260" s="16">
        <v>0</v>
      </c>
      <c r="JR260" s="16">
        <v>0</v>
      </c>
      <c r="JS260" s="16">
        <v>0</v>
      </c>
      <c r="JT260" s="16">
        <v>0</v>
      </c>
      <c r="JU260" s="16">
        <v>0</v>
      </c>
      <c r="JV260" s="16">
        <v>0</v>
      </c>
      <c r="JW260" s="16">
        <v>2215</v>
      </c>
      <c r="JX260" s="16">
        <v>0</v>
      </c>
      <c r="JY260" s="16">
        <v>4</v>
      </c>
      <c r="JZ260" s="16">
        <v>0</v>
      </c>
      <c r="KA260" s="16">
        <v>0</v>
      </c>
      <c r="KB260" s="16">
        <v>0</v>
      </c>
      <c r="KC260" s="16">
        <v>0</v>
      </c>
      <c r="KD260" s="16">
        <v>0</v>
      </c>
      <c r="KE260" s="16">
        <v>0</v>
      </c>
      <c r="KF260" s="16">
        <v>0</v>
      </c>
      <c r="KG260" s="16">
        <v>0</v>
      </c>
      <c r="KH260" s="16">
        <v>0</v>
      </c>
      <c r="KI260" s="16">
        <v>0</v>
      </c>
      <c r="KJ260" s="16">
        <v>0</v>
      </c>
      <c r="KK260" s="16">
        <v>35952</v>
      </c>
      <c r="KL260" s="16">
        <v>0</v>
      </c>
      <c r="KM260" s="16">
        <v>0</v>
      </c>
      <c r="KN260" s="16">
        <v>0</v>
      </c>
      <c r="KO260" s="16">
        <v>0</v>
      </c>
      <c r="KP260" s="16">
        <v>0</v>
      </c>
      <c r="KQ260" s="16">
        <v>3</v>
      </c>
      <c r="KR260" s="16">
        <v>0</v>
      </c>
      <c r="KS260" s="16">
        <v>0</v>
      </c>
      <c r="KT260" s="16">
        <v>0</v>
      </c>
      <c r="KU260" s="16">
        <v>0</v>
      </c>
      <c r="KV260" s="16">
        <v>0</v>
      </c>
      <c r="KW260" s="16">
        <v>0</v>
      </c>
      <c r="KX260" s="16">
        <v>0</v>
      </c>
      <c r="KY260" s="16">
        <v>0</v>
      </c>
      <c r="KZ260" s="16">
        <v>46076</v>
      </c>
      <c r="LA260" s="16">
        <v>71976</v>
      </c>
      <c r="LB260" s="16">
        <v>2687</v>
      </c>
      <c r="LC260" s="16">
        <v>47292</v>
      </c>
      <c r="LD260" s="16">
        <v>532</v>
      </c>
      <c r="LE260" s="16">
        <v>0</v>
      </c>
      <c r="LF260" s="16">
        <v>0</v>
      </c>
      <c r="LG260" s="16">
        <v>0</v>
      </c>
      <c r="LH260" s="16">
        <v>0</v>
      </c>
      <c r="LI260" s="16">
        <v>2</v>
      </c>
      <c r="LJ260" s="16">
        <v>272</v>
      </c>
      <c r="LK260" s="16">
        <v>0</v>
      </c>
      <c r="LL260" s="16">
        <v>820</v>
      </c>
      <c r="LM260" s="16">
        <v>4615</v>
      </c>
      <c r="LN260" s="16">
        <v>0</v>
      </c>
      <c r="LO260" s="16">
        <v>0</v>
      </c>
      <c r="LP260" s="16">
        <v>521</v>
      </c>
      <c r="LQ260" s="16">
        <v>35</v>
      </c>
      <c r="LR260" s="16">
        <v>0</v>
      </c>
      <c r="LS260" s="16">
        <v>0</v>
      </c>
      <c r="LT260" s="16">
        <v>0</v>
      </c>
      <c r="LU260" s="16">
        <v>0</v>
      </c>
      <c r="LV260" s="16">
        <v>0</v>
      </c>
      <c r="LW260" s="16">
        <v>0</v>
      </c>
      <c r="LX260" s="16">
        <v>0</v>
      </c>
      <c r="LY260" s="16">
        <v>0</v>
      </c>
      <c r="LZ260" s="16">
        <v>0</v>
      </c>
      <c r="MA260" s="16">
        <v>0</v>
      </c>
      <c r="MB260" s="16">
        <v>0</v>
      </c>
      <c r="MC260" s="16">
        <v>170</v>
      </c>
      <c r="MD260" s="16">
        <v>0</v>
      </c>
      <c r="ME260" s="16">
        <v>0</v>
      </c>
      <c r="MF260" s="16">
        <v>3658</v>
      </c>
      <c r="MG260" s="16">
        <v>0</v>
      </c>
      <c r="MH260" s="16">
        <v>17197</v>
      </c>
      <c r="MI260" s="16">
        <v>0</v>
      </c>
      <c r="MJ260" s="16">
        <v>0</v>
      </c>
      <c r="MK260" s="16">
        <v>0</v>
      </c>
      <c r="ML260" s="16">
        <v>0</v>
      </c>
      <c r="MM260" s="16">
        <v>46</v>
      </c>
      <c r="MN260" s="16">
        <v>77021</v>
      </c>
      <c r="MO260" s="16">
        <v>0</v>
      </c>
      <c r="MP260" s="16">
        <v>0</v>
      </c>
      <c r="MQ260" s="16">
        <v>2456</v>
      </c>
      <c r="MR260" s="16">
        <v>12</v>
      </c>
      <c r="MS260" s="16">
        <v>56</v>
      </c>
      <c r="MT260" s="16">
        <v>327</v>
      </c>
      <c r="MU260" s="16">
        <v>6641</v>
      </c>
      <c r="MV260" s="16">
        <v>29638</v>
      </c>
      <c r="MW260" s="16">
        <v>22941</v>
      </c>
      <c r="MX260" s="16">
        <v>11</v>
      </c>
      <c r="MY260" s="16">
        <v>710</v>
      </c>
      <c r="MZ260" s="16">
        <v>8600</v>
      </c>
      <c r="NA260" s="16">
        <v>132</v>
      </c>
      <c r="NB260" s="16">
        <v>71968</v>
      </c>
      <c r="NC260" s="16">
        <v>7071</v>
      </c>
      <c r="ND260" s="16">
        <v>0</v>
      </c>
      <c r="NE260" s="16">
        <v>320</v>
      </c>
      <c r="NF260" s="16">
        <v>6945</v>
      </c>
      <c r="NG260" s="16">
        <v>2658</v>
      </c>
      <c r="NH260" s="16">
        <v>13096</v>
      </c>
      <c r="NI260" s="16">
        <v>2</v>
      </c>
      <c r="NJ260" s="16">
        <v>3170</v>
      </c>
      <c r="NK260" s="16">
        <v>0</v>
      </c>
      <c r="NL260" s="16">
        <v>51</v>
      </c>
      <c r="NM260" s="16">
        <v>0</v>
      </c>
      <c r="NN260" s="16">
        <v>0</v>
      </c>
      <c r="NO260" s="16">
        <v>0</v>
      </c>
      <c r="NP260" s="16">
        <v>0</v>
      </c>
      <c r="NQ260" s="16">
        <v>1318</v>
      </c>
      <c r="NR260" s="17">
        <v>589905</v>
      </c>
    </row>
    <row r="261" spans="1:382" ht="13.5" customHeight="1" x14ac:dyDescent="0.2">
      <c r="A261" s="2" t="s">
        <v>529</v>
      </c>
      <c r="B261" s="16">
        <v>0</v>
      </c>
      <c r="C261" s="16">
        <v>0</v>
      </c>
      <c r="D261" s="16">
        <v>0</v>
      </c>
      <c r="E261" s="16">
        <v>0</v>
      </c>
      <c r="F261" s="16">
        <v>0</v>
      </c>
      <c r="G261" s="16">
        <v>0</v>
      </c>
      <c r="H261" s="16">
        <v>0</v>
      </c>
      <c r="I261" s="16">
        <v>0</v>
      </c>
      <c r="J261" s="16">
        <v>0</v>
      </c>
      <c r="K261" s="16">
        <v>0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646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  <c r="AG261" s="16">
        <v>0</v>
      </c>
      <c r="AH261" s="16">
        <v>0</v>
      </c>
      <c r="AI261" s="16">
        <v>0</v>
      </c>
      <c r="AJ261" s="16">
        <v>0</v>
      </c>
      <c r="AK261" s="16">
        <v>0</v>
      </c>
      <c r="AL261" s="16">
        <v>0</v>
      </c>
      <c r="AM261" s="16">
        <v>0</v>
      </c>
      <c r="AN261" s="16">
        <v>0</v>
      </c>
      <c r="AO261" s="16">
        <v>0</v>
      </c>
      <c r="AP261" s="16">
        <v>0</v>
      </c>
      <c r="AQ261" s="16">
        <v>0</v>
      </c>
      <c r="AR261" s="16">
        <v>0</v>
      </c>
      <c r="AS261" s="16">
        <v>0</v>
      </c>
      <c r="AT261" s="16">
        <v>0</v>
      </c>
      <c r="AU261" s="16">
        <v>0</v>
      </c>
      <c r="AV261" s="16">
        <v>0</v>
      </c>
      <c r="AW261" s="16">
        <v>0</v>
      </c>
      <c r="AX261" s="16">
        <v>0</v>
      </c>
      <c r="AY261" s="16">
        <v>0</v>
      </c>
      <c r="AZ261" s="16">
        <v>0</v>
      </c>
      <c r="BA261" s="16">
        <v>1635</v>
      </c>
      <c r="BB261" s="16">
        <v>608</v>
      </c>
      <c r="BC261" s="16">
        <v>0</v>
      </c>
      <c r="BD261" s="16">
        <v>0</v>
      </c>
      <c r="BE261" s="16">
        <v>0</v>
      </c>
      <c r="BF261" s="16">
        <v>0</v>
      </c>
      <c r="BG261" s="16">
        <v>0</v>
      </c>
      <c r="BH261" s="16">
        <v>0</v>
      </c>
      <c r="BI261" s="16">
        <v>0</v>
      </c>
      <c r="BJ261" s="16">
        <v>0</v>
      </c>
      <c r="BK261" s="16">
        <v>0</v>
      </c>
      <c r="BL261" s="16">
        <v>0</v>
      </c>
      <c r="BM261" s="16">
        <v>0</v>
      </c>
      <c r="BN261" s="16">
        <v>0</v>
      </c>
      <c r="BO261" s="16">
        <v>0</v>
      </c>
      <c r="BP261" s="16">
        <v>0</v>
      </c>
      <c r="BQ261" s="16">
        <v>0</v>
      </c>
      <c r="BR261" s="16">
        <v>0</v>
      </c>
      <c r="BS261" s="16">
        <v>0</v>
      </c>
      <c r="BT261" s="16">
        <v>0</v>
      </c>
      <c r="BU261" s="16">
        <v>0</v>
      </c>
      <c r="BV261" s="16">
        <v>0</v>
      </c>
      <c r="BW261" s="16">
        <v>0</v>
      </c>
      <c r="BX261" s="16">
        <v>0</v>
      </c>
      <c r="BY261" s="16">
        <v>0</v>
      </c>
      <c r="BZ261" s="16">
        <v>0</v>
      </c>
      <c r="CA261" s="16">
        <v>0</v>
      </c>
      <c r="CB261" s="16">
        <v>0</v>
      </c>
      <c r="CC261" s="16">
        <v>0</v>
      </c>
      <c r="CD261" s="16">
        <v>0</v>
      </c>
      <c r="CE261" s="16">
        <v>0</v>
      </c>
      <c r="CF261" s="16">
        <v>0</v>
      </c>
      <c r="CG261" s="16">
        <v>0</v>
      </c>
      <c r="CH261" s="16">
        <v>0</v>
      </c>
      <c r="CI261" s="16">
        <v>0</v>
      </c>
      <c r="CJ261" s="16">
        <v>0</v>
      </c>
      <c r="CK261" s="16">
        <v>0</v>
      </c>
      <c r="CL261" s="16">
        <v>0</v>
      </c>
      <c r="CM261" s="16">
        <v>0</v>
      </c>
      <c r="CN261" s="16">
        <v>0</v>
      </c>
      <c r="CO261" s="16">
        <v>0</v>
      </c>
      <c r="CP261" s="16">
        <v>0</v>
      </c>
      <c r="CQ261" s="16">
        <v>0</v>
      </c>
      <c r="CR261" s="16">
        <v>0</v>
      </c>
      <c r="CS261" s="16">
        <v>0</v>
      </c>
      <c r="CT261" s="16">
        <v>0</v>
      </c>
      <c r="CU261" s="16">
        <v>0</v>
      </c>
      <c r="CV261" s="16">
        <v>0</v>
      </c>
      <c r="CW261" s="16">
        <v>0</v>
      </c>
      <c r="CX261" s="16">
        <v>0</v>
      </c>
      <c r="CY261" s="16">
        <v>0</v>
      </c>
      <c r="CZ261" s="16">
        <v>0</v>
      </c>
      <c r="DA261" s="16">
        <v>0</v>
      </c>
      <c r="DB261" s="16">
        <v>0</v>
      </c>
      <c r="DC261" s="16">
        <v>0</v>
      </c>
      <c r="DD261" s="16">
        <v>0</v>
      </c>
      <c r="DE261" s="16">
        <v>0</v>
      </c>
      <c r="DF261" s="16">
        <v>0</v>
      </c>
      <c r="DG261" s="16">
        <v>0</v>
      </c>
      <c r="DH261" s="16">
        <v>0</v>
      </c>
      <c r="DI261" s="16">
        <v>0</v>
      </c>
      <c r="DJ261" s="16">
        <v>0</v>
      </c>
      <c r="DK261" s="16">
        <v>0</v>
      </c>
      <c r="DL261" s="16">
        <v>0</v>
      </c>
      <c r="DM261" s="16">
        <v>0</v>
      </c>
      <c r="DN261" s="16">
        <v>0</v>
      </c>
      <c r="DO261" s="16">
        <v>0</v>
      </c>
      <c r="DP261" s="16">
        <v>0</v>
      </c>
      <c r="DQ261" s="16">
        <v>0</v>
      </c>
      <c r="DR261" s="16">
        <v>0</v>
      </c>
      <c r="DS261" s="16">
        <v>0</v>
      </c>
      <c r="DT261" s="16">
        <v>0</v>
      </c>
      <c r="DU261" s="16">
        <v>0</v>
      </c>
      <c r="DV261" s="16">
        <v>0</v>
      </c>
      <c r="DW261" s="16">
        <v>0</v>
      </c>
      <c r="DX261" s="16">
        <v>0</v>
      </c>
      <c r="DY261" s="16">
        <v>0</v>
      </c>
      <c r="DZ261" s="16">
        <v>0</v>
      </c>
      <c r="EA261" s="16">
        <v>0</v>
      </c>
      <c r="EB261" s="16">
        <v>0</v>
      </c>
      <c r="EC261" s="16">
        <v>0</v>
      </c>
      <c r="ED261" s="16">
        <v>0</v>
      </c>
      <c r="EE261" s="16">
        <v>0</v>
      </c>
      <c r="EF261" s="16">
        <v>0</v>
      </c>
      <c r="EG261" s="16">
        <v>0</v>
      </c>
      <c r="EH261" s="16">
        <v>0</v>
      </c>
      <c r="EI261" s="16">
        <v>0</v>
      </c>
      <c r="EJ261" s="16">
        <v>0</v>
      </c>
      <c r="EK261" s="16">
        <v>0</v>
      </c>
      <c r="EL261" s="16">
        <v>0</v>
      </c>
      <c r="EM261" s="16">
        <v>0</v>
      </c>
      <c r="EN261" s="16">
        <v>0</v>
      </c>
      <c r="EO261" s="16">
        <v>0</v>
      </c>
      <c r="EP261" s="16">
        <v>0</v>
      </c>
      <c r="EQ261" s="16">
        <v>0</v>
      </c>
      <c r="ER261" s="16">
        <v>0</v>
      </c>
      <c r="ES261" s="16">
        <v>0</v>
      </c>
      <c r="ET261" s="16">
        <v>0</v>
      </c>
      <c r="EU261" s="16">
        <v>0</v>
      </c>
      <c r="EV261" s="16">
        <v>0</v>
      </c>
      <c r="EW261" s="16">
        <v>0</v>
      </c>
      <c r="EX261" s="16">
        <v>0</v>
      </c>
      <c r="EY261" s="16">
        <v>0</v>
      </c>
      <c r="EZ261" s="16">
        <v>0</v>
      </c>
      <c r="FA261" s="16">
        <v>0</v>
      </c>
      <c r="FB261" s="16">
        <v>0</v>
      </c>
      <c r="FC261" s="16">
        <v>0</v>
      </c>
      <c r="FD261" s="16">
        <v>0</v>
      </c>
      <c r="FE261" s="16">
        <v>0</v>
      </c>
      <c r="FF261" s="16">
        <v>0</v>
      </c>
      <c r="FG261" s="16">
        <v>0</v>
      </c>
      <c r="FH261" s="16">
        <v>0</v>
      </c>
      <c r="FI261" s="16">
        <v>0</v>
      </c>
      <c r="FJ261" s="16">
        <v>0</v>
      </c>
      <c r="FK261" s="16">
        <v>0</v>
      </c>
      <c r="FL261" s="16">
        <v>0</v>
      </c>
      <c r="FM261" s="16">
        <v>0</v>
      </c>
      <c r="FN261" s="16">
        <v>0</v>
      </c>
      <c r="FO261" s="16">
        <v>0</v>
      </c>
      <c r="FP261" s="16">
        <v>0</v>
      </c>
      <c r="FQ261" s="16">
        <v>0</v>
      </c>
      <c r="FR261" s="16">
        <v>0</v>
      </c>
      <c r="FS261" s="16">
        <v>0</v>
      </c>
      <c r="FT261" s="16">
        <v>0</v>
      </c>
      <c r="FU261" s="16">
        <v>0</v>
      </c>
      <c r="FV261" s="16">
        <v>0</v>
      </c>
      <c r="FW261" s="16">
        <v>0</v>
      </c>
      <c r="FX261" s="16">
        <v>0</v>
      </c>
      <c r="FY261" s="16">
        <v>0</v>
      </c>
      <c r="FZ261" s="16">
        <v>0</v>
      </c>
      <c r="GA261" s="16">
        <v>0</v>
      </c>
      <c r="GB261" s="16">
        <v>0</v>
      </c>
      <c r="GC261" s="16">
        <v>0</v>
      </c>
      <c r="GD261" s="16">
        <v>0</v>
      </c>
      <c r="GE261" s="16">
        <v>0</v>
      </c>
      <c r="GF261" s="16">
        <v>0</v>
      </c>
      <c r="GG261" s="16">
        <v>0</v>
      </c>
      <c r="GH261" s="16">
        <v>0</v>
      </c>
      <c r="GI261" s="16">
        <v>0</v>
      </c>
      <c r="GJ261" s="16">
        <v>0</v>
      </c>
      <c r="GK261" s="16">
        <v>0</v>
      </c>
      <c r="GL261" s="16">
        <v>0</v>
      </c>
      <c r="GM261" s="16">
        <v>0</v>
      </c>
      <c r="GN261" s="16">
        <v>0</v>
      </c>
      <c r="GO261" s="16">
        <v>0</v>
      </c>
      <c r="GP261" s="16">
        <v>0</v>
      </c>
      <c r="GQ261" s="16">
        <v>0</v>
      </c>
      <c r="GR261" s="16">
        <v>0</v>
      </c>
      <c r="GS261" s="16">
        <v>0</v>
      </c>
      <c r="GT261" s="16">
        <v>0</v>
      </c>
      <c r="GU261" s="16">
        <v>0</v>
      </c>
      <c r="GV261" s="16">
        <v>0</v>
      </c>
      <c r="GW261" s="16">
        <v>0</v>
      </c>
      <c r="GX261" s="16">
        <v>0</v>
      </c>
      <c r="GY261" s="16">
        <v>0</v>
      </c>
      <c r="GZ261" s="16">
        <v>0</v>
      </c>
      <c r="HA261" s="16">
        <v>0</v>
      </c>
      <c r="HB261" s="16">
        <v>0</v>
      </c>
      <c r="HC261" s="16">
        <v>0</v>
      </c>
      <c r="HD261" s="16">
        <v>0</v>
      </c>
      <c r="HE261" s="16">
        <v>0</v>
      </c>
      <c r="HF261" s="16">
        <v>0</v>
      </c>
      <c r="HG261" s="16">
        <v>0</v>
      </c>
      <c r="HH261" s="16">
        <v>0</v>
      </c>
      <c r="HI261" s="16">
        <v>0</v>
      </c>
      <c r="HJ261" s="16">
        <v>0</v>
      </c>
      <c r="HK261" s="16">
        <v>0</v>
      </c>
      <c r="HL261" s="16">
        <v>0</v>
      </c>
      <c r="HM261" s="16">
        <v>0</v>
      </c>
      <c r="HN261" s="16">
        <v>0</v>
      </c>
      <c r="HO261" s="16">
        <v>0</v>
      </c>
      <c r="HP261" s="16">
        <v>0</v>
      </c>
      <c r="HQ261" s="16">
        <v>0</v>
      </c>
      <c r="HR261" s="16">
        <v>0</v>
      </c>
      <c r="HS261" s="16">
        <v>0</v>
      </c>
      <c r="HT261" s="16">
        <v>0</v>
      </c>
      <c r="HU261" s="16">
        <v>0</v>
      </c>
      <c r="HV261" s="16">
        <v>0</v>
      </c>
      <c r="HW261" s="16">
        <v>0</v>
      </c>
      <c r="HX261" s="16">
        <v>0</v>
      </c>
      <c r="HY261" s="16">
        <v>0</v>
      </c>
      <c r="HZ261" s="16">
        <v>0</v>
      </c>
      <c r="IA261" s="16">
        <v>0</v>
      </c>
      <c r="IB261" s="16">
        <v>0</v>
      </c>
      <c r="IC261" s="16">
        <v>0</v>
      </c>
      <c r="ID261" s="16">
        <v>0</v>
      </c>
      <c r="IE261" s="16">
        <v>0</v>
      </c>
      <c r="IF261" s="16">
        <v>0</v>
      </c>
      <c r="IG261" s="16">
        <v>0</v>
      </c>
      <c r="IH261" s="16">
        <v>0</v>
      </c>
      <c r="II261" s="16">
        <v>0</v>
      </c>
      <c r="IJ261" s="16">
        <v>0</v>
      </c>
      <c r="IK261" s="16">
        <v>0</v>
      </c>
      <c r="IL261" s="16">
        <v>0</v>
      </c>
      <c r="IM261" s="16">
        <v>0</v>
      </c>
      <c r="IN261" s="16">
        <v>0</v>
      </c>
      <c r="IO261" s="16">
        <v>0</v>
      </c>
      <c r="IP261" s="16">
        <v>26</v>
      </c>
      <c r="IQ261" s="16">
        <v>9</v>
      </c>
      <c r="IR261" s="16">
        <v>0</v>
      </c>
      <c r="IS261" s="16">
        <v>0</v>
      </c>
      <c r="IT261" s="16">
        <v>0</v>
      </c>
      <c r="IU261" s="16">
        <v>0</v>
      </c>
      <c r="IV261" s="16">
        <v>0</v>
      </c>
      <c r="IW261" s="16">
        <v>0</v>
      </c>
      <c r="IX261" s="16">
        <v>0</v>
      </c>
      <c r="IY261" s="16">
        <v>0</v>
      </c>
      <c r="IZ261" s="16">
        <v>0</v>
      </c>
      <c r="JA261" s="16">
        <v>71460</v>
      </c>
      <c r="JB261" s="16">
        <v>0</v>
      </c>
      <c r="JC261" s="16">
        <v>0</v>
      </c>
      <c r="JD261" s="16">
        <v>0</v>
      </c>
      <c r="JE261" s="16">
        <v>0</v>
      </c>
      <c r="JF261" s="16">
        <v>0</v>
      </c>
      <c r="JG261" s="16">
        <v>21006</v>
      </c>
      <c r="JH261" s="16">
        <v>554</v>
      </c>
      <c r="JI261" s="16">
        <v>0</v>
      </c>
      <c r="JJ261" s="16">
        <v>0</v>
      </c>
      <c r="JK261" s="16">
        <v>0</v>
      </c>
      <c r="JL261" s="16">
        <v>0</v>
      </c>
      <c r="JM261" s="16">
        <v>0</v>
      </c>
      <c r="JN261" s="16">
        <v>0</v>
      </c>
      <c r="JO261" s="16">
        <v>0</v>
      </c>
      <c r="JP261" s="16">
        <v>0</v>
      </c>
      <c r="JQ261" s="16">
        <v>0</v>
      </c>
      <c r="JR261" s="16">
        <v>0</v>
      </c>
      <c r="JS261" s="16">
        <v>0</v>
      </c>
      <c r="JT261" s="16">
        <v>0</v>
      </c>
      <c r="JU261" s="16">
        <v>0</v>
      </c>
      <c r="JV261" s="16">
        <v>9</v>
      </c>
      <c r="JW261" s="16">
        <v>49818</v>
      </c>
      <c r="JX261" s="16">
        <v>12917</v>
      </c>
      <c r="JY261" s="16">
        <v>103</v>
      </c>
      <c r="JZ261" s="16">
        <v>0</v>
      </c>
      <c r="KA261" s="16">
        <v>0</v>
      </c>
      <c r="KB261" s="16">
        <v>0</v>
      </c>
      <c r="KC261" s="16">
        <v>0</v>
      </c>
      <c r="KD261" s="16">
        <v>0</v>
      </c>
      <c r="KE261" s="16">
        <v>0</v>
      </c>
      <c r="KF261" s="16">
        <v>853</v>
      </c>
      <c r="KG261" s="16">
        <v>0</v>
      </c>
      <c r="KH261" s="16">
        <v>0</v>
      </c>
      <c r="KI261" s="16">
        <v>0</v>
      </c>
      <c r="KJ261" s="16">
        <v>0</v>
      </c>
      <c r="KK261" s="16">
        <v>89359</v>
      </c>
      <c r="KL261" s="16">
        <v>0</v>
      </c>
      <c r="KM261" s="16">
        <v>0</v>
      </c>
      <c r="KN261" s="16">
        <v>0</v>
      </c>
      <c r="KO261" s="16">
        <v>0</v>
      </c>
      <c r="KP261" s="16">
        <v>20</v>
      </c>
      <c r="KQ261" s="16">
        <v>0</v>
      </c>
      <c r="KR261" s="16">
        <v>0</v>
      </c>
      <c r="KS261" s="16">
        <v>0</v>
      </c>
      <c r="KT261" s="16">
        <v>0</v>
      </c>
      <c r="KU261" s="16">
        <v>0</v>
      </c>
      <c r="KV261" s="16">
        <v>0</v>
      </c>
      <c r="KW261" s="16">
        <v>0</v>
      </c>
      <c r="KX261" s="16">
        <v>0</v>
      </c>
      <c r="KY261" s="16">
        <v>0</v>
      </c>
      <c r="KZ261" s="16">
        <v>15215</v>
      </c>
      <c r="LA261" s="16">
        <v>0</v>
      </c>
      <c r="LB261" s="16">
        <v>75</v>
      </c>
      <c r="LC261" s="16">
        <v>0</v>
      </c>
      <c r="LD261" s="16">
        <v>1984</v>
      </c>
      <c r="LE261" s="16">
        <v>0</v>
      </c>
      <c r="LF261" s="16">
        <v>0</v>
      </c>
      <c r="LG261" s="16">
        <v>0</v>
      </c>
      <c r="LH261" s="16">
        <v>0</v>
      </c>
      <c r="LI261" s="16">
        <v>7</v>
      </c>
      <c r="LJ261" s="16">
        <v>494</v>
      </c>
      <c r="LK261" s="16">
        <v>0</v>
      </c>
      <c r="LL261" s="16">
        <v>0</v>
      </c>
      <c r="LM261" s="16">
        <v>0</v>
      </c>
      <c r="LN261" s="16">
        <v>0</v>
      </c>
      <c r="LO261" s="16">
        <v>0</v>
      </c>
      <c r="LP261" s="16">
        <v>1622</v>
      </c>
      <c r="LQ261" s="16">
        <v>0</v>
      </c>
      <c r="LR261" s="16">
        <v>0</v>
      </c>
      <c r="LS261" s="16">
        <v>0</v>
      </c>
      <c r="LT261" s="16">
        <v>0</v>
      </c>
      <c r="LU261" s="16">
        <v>0</v>
      </c>
      <c r="LV261" s="16">
        <v>0</v>
      </c>
      <c r="LW261" s="16">
        <v>0</v>
      </c>
      <c r="LX261" s="16">
        <v>0</v>
      </c>
      <c r="LY261" s="16">
        <v>0</v>
      </c>
      <c r="LZ261" s="16">
        <v>0</v>
      </c>
      <c r="MA261" s="16">
        <v>0</v>
      </c>
      <c r="MB261" s="16">
        <v>0</v>
      </c>
      <c r="MC261" s="16">
        <v>4753</v>
      </c>
      <c r="MD261" s="16">
        <v>0</v>
      </c>
      <c r="ME261" s="16">
        <v>0</v>
      </c>
      <c r="MF261" s="16">
        <v>9419</v>
      </c>
      <c r="MG261" s="16">
        <v>0</v>
      </c>
      <c r="MH261" s="16">
        <v>111241</v>
      </c>
      <c r="MI261" s="16">
        <v>0</v>
      </c>
      <c r="MJ261" s="16">
        <v>0</v>
      </c>
      <c r="MK261" s="16">
        <v>0</v>
      </c>
      <c r="ML261" s="16">
        <v>0</v>
      </c>
      <c r="MM261" s="16">
        <v>111</v>
      </c>
      <c r="MN261" s="16">
        <v>117061</v>
      </c>
      <c r="MO261" s="16">
        <v>0</v>
      </c>
      <c r="MP261" s="16">
        <v>0</v>
      </c>
      <c r="MQ261" s="16">
        <v>0</v>
      </c>
      <c r="MR261" s="16">
        <v>29788</v>
      </c>
      <c r="MS261" s="16">
        <v>19563</v>
      </c>
      <c r="MT261" s="16">
        <v>1247</v>
      </c>
      <c r="MU261" s="16">
        <v>5540</v>
      </c>
      <c r="MV261" s="16">
        <v>33334</v>
      </c>
      <c r="MW261" s="16">
        <v>10118</v>
      </c>
      <c r="MX261" s="16">
        <v>389</v>
      </c>
      <c r="MY261" s="16">
        <v>43</v>
      </c>
      <c r="MZ261" s="16">
        <v>917</v>
      </c>
      <c r="NA261" s="16">
        <v>1013</v>
      </c>
      <c r="NB261" s="16">
        <v>120095</v>
      </c>
      <c r="NC261" s="16">
        <v>86690</v>
      </c>
      <c r="ND261" s="16">
        <v>0</v>
      </c>
      <c r="NE261" s="16">
        <v>8237</v>
      </c>
      <c r="NF261" s="16">
        <v>0</v>
      </c>
      <c r="NG261" s="16">
        <v>555907</v>
      </c>
      <c r="NH261" s="16">
        <v>106149</v>
      </c>
      <c r="NI261" s="16">
        <v>108</v>
      </c>
      <c r="NJ261" s="16">
        <v>144896</v>
      </c>
      <c r="NK261" s="16">
        <v>0</v>
      </c>
      <c r="NL261" s="16">
        <v>1056</v>
      </c>
      <c r="NM261" s="16">
        <v>0</v>
      </c>
      <c r="NN261" s="16">
        <v>0</v>
      </c>
      <c r="NO261" s="16">
        <v>0</v>
      </c>
      <c r="NP261" s="16">
        <v>0</v>
      </c>
      <c r="NQ261" s="16">
        <v>2667</v>
      </c>
      <c r="NR261" s="17">
        <v>1638762</v>
      </c>
    </row>
    <row r="262" spans="1:382" ht="13.5" customHeight="1" x14ac:dyDescent="0.2">
      <c r="A262" s="2" t="s">
        <v>531</v>
      </c>
      <c r="B262" s="16">
        <v>0</v>
      </c>
      <c r="C262" s="16">
        <v>0</v>
      </c>
      <c r="D262" s="16">
        <v>0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  <c r="AR262" s="16">
        <v>0</v>
      </c>
      <c r="AS262" s="16">
        <v>0</v>
      </c>
      <c r="AT262" s="16">
        <v>1</v>
      </c>
      <c r="AU262" s="16">
        <v>0</v>
      </c>
      <c r="AV262" s="16">
        <v>0</v>
      </c>
      <c r="AW262" s="16">
        <v>0</v>
      </c>
      <c r="AX262" s="16">
        <v>0</v>
      </c>
      <c r="AY262" s="16">
        <v>0</v>
      </c>
      <c r="AZ262" s="16">
        <v>0</v>
      </c>
      <c r="BA262" s="16">
        <v>0</v>
      </c>
      <c r="BB262" s="16">
        <v>0</v>
      </c>
      <c r="BC262" s="16">
        <v>0</v>
      </c>
      <c r="BD262" s="16">
        <v>0</v>
      </c>
      <c r="BE262" s="16">
        <v>0</v>
      </c>
      <c r="BF262" s="16">
        <v>0</v>
      </c>
      <c r="BG262" s="16">
        <v>0</v>
      </c>
      <c r="BH262" s="16">
        <v>0</v>
      </c>
      <c r="BI262" s="16">
        <v>0</v>
      </c>
      <c r="BJ262" s="16">
        <v>0</v>
      </c>
      <c r="BK262" s="16">
        <v>0</v>
      </c>
      <c r="BL262" s="16">
        <v>0</v>
      </c>
      <c r="BM262" s="16">
        <v>0</v>
      </c>
      <c r="BN262" s="16">
        <v>0</v>
      </c>
      <c r="BO262" s="16">
        <v>0</v>
      </c>
      <c r="BP262" s="16">
        <v>0</v>
      </c>
      <c r="BQ262" s="16">
        <v>0</v>
      </c>
      <c r="BR262" s="16">
        <v>0</v>
      </c>
      <c r="BS262" s="16">
        <v>0</v>
      </c>
      <c r="BT262" s="16">
        <v>0</v>
      </c>
      <c r="BU262" s="16">
        <v>0</v>
      </c>
      <c r="BV262" s="16">
        <v>0</v>
      </c>
      <c r="BW262" s="16">
        <v>0</v>
      </c>
      <c r="BX262" s="16">
        <v>0</v>
      </c>
      <c r="BY262" s="16">
        <v>0</v>
      </c>
      <c r="BZ262" s="16">
        <v>0</v>
      </c>
      <c r="CA262" s="16">
        <v>0</v>
      </c>
      <c r="CB262" s="16">
        <v>0</v>
      </c>
      <c r="CC262" s="16">
        <v>0</v>
      </c>
      <c r="CD262" s="16">
        <v>0</v>
      </c>
      <c r="CE262" s="16">
        <v>0</v>
      </c>
      <c r="CF262" s="16">
        <v>0</v>
      </c>
      <c r="CG262" s="16">
        <v>0</v>
      </c>
      <c r="CH262" s="16">
        <v>0</v>
      </c>
      <c r="CI262" s="16">
        <v>0</v>
      </c>
      <c r="CJ262" s="16">
        <v>0</v>
      </c>
      <c r="CK262" s="16">
        <v>0</v>
      </c>
      <c r="CL262" s="16">
        <v>0</v>
      </c>
      <c r="CM262" s="16">
        <v>0</v>
      </c>
      <c r="CN262" s="16">
        <v>0</v>
      </c>
      <c r="CO262" s="16">
        <v>0</v>
      </c>
      <c r="CP262" s="16">
        <v>0</v>
      </c>
      <c r="CQ262" s="16">
        <v>0</v>
      </c>
      <c r="CR262" s="16">
        <v>0</v>
      </c>
      <c r="CS262" s="16">
        <v>0</v>
      </c>
      <c r="CT262" s="16">
        <v>0</v>
      </c>
      <c r="CU262" s="16">
        <v>0</v>
      </c>
      <c r="CV262" s="16">
        <v>0</v>
      </c>
      <c r="CW262" s="16">
        <v>0</v>
      </c>
      <c r="CX262" s="16">
        <v>0</v>
      </c>
      <c r="CY262" s="16">
        <v>0</v>
      </c>
      <c r="CZ262" s="16">
        <v>0</v>
      </c>
      <c r="DA262" s="16">
        <v>0</v>
      </c>
      <c r="DB262" s="16">
        <v>0</v>
      </c>
      <c r="DC262" s="16">
        <v>0</v>
      </c>
      <c r="DD262" s="16">
        <v>0</v>
      </c>
      <c r="DE262" s="16">
        <v>0</v>
      </c>
      <c r="DF262" s="16">
        <v>0</v>
      </c>
      <c r="DG262" s="16">
        <v>0</v>
      </c>
      <c r="DH262" s="16">
        <v>0</v>
      </c>
      <c r="DI262" s="16">
        <v>0</v>
      </c>
      <c r="DJ262" s="16">
        <v>0</v>
      </c>
      <c r="DK262" s="16">
        <v>0</v>
      </c>
      <c r="DL262" s="16">
        <v>0</v>
      </c>
      <c r="DM262" s="16">
        <v>0</v>
      </c>
      <c r="DN262" s="16">
        <v>0</v>
      </c>
      <c r="DO262" s="16">
        <v>0</v>
      </c>
      <c r="DP262" s="16">
        <v>0</v>
      </c>
      <c r="DQ262" s="16">
        <v>0</v>
      </c>
      <c r="DR262" s="16">
        <v>0</v>
      </c>
      <c r="DS262" s="16">
        <v>0</v>
      </c>
      <c r="DT262" s="16">
        <v>0</v>
      </c>
      <c r="DU262" s="16">
        <v>0</v>
      </c>
      <c r="DV262" s="16">
        <v>0</v>
      </c>
      <c r="DW262" s="16">
        <v>0</v>
      </c>
      <c r="DX262" s="16">
        <v>0</v>
      </c>
      <c r="DY262" s="16">
        <v>0</v>
      </c>
      <c r="DZ262" s="16">
        <v>0</v>
      </c>
      <c r="EA262" s="16">
        <v>0</v>
      </c>
      <c r="EB262" s="16">
        <v>0</v>
      </c>
      <c r="EC262" s="16">
        <v>0</v>
      </c>
      <c r="ED262" s="16">
        <v>0</v>
      </c>
      <c r="EE262" s="16">
        <v>0</v>
      </c>
      <c r="EF262" s="16">
        <v>0</v>
      </c>
      <c r="EG262" s="16">
        <v>0</v>
      </c>
      <c r="EH262" s="16">
        <v>0</v>
      </c>
      <c r="EI262" s="16">
        <v>0</v>
      </c>
      <c r="EJ262" s="16">
        <v>0</v>
      </c>
      <c r="EK262" s="16">
        <v>0</v>
      </c>
      <c r="EL262" s="16">
        <v>0</v>
      </c>
      <c r="EM262" s="16">
        <v>0</v>
      </c>
      <c r="EN262" s="16">
        <v>0</v>
      </c>
      <c r="EO262" s="16">
        <v>0</v>
      </c>
      <c r="EP262" s="16">
        <v>0</v>
      </c>
      <c r="EQ262" s="16">
        <v>0</v>
      </c>
      <c r="ER262" s="16">
        <v>0</v>
      </c>
      <c r="ES262" s="16">
        <v>0</v>
      </c>
      <c r="ET262" s="16">
        <v>0</v>
      </c>
      <c r="EU262" s="16">
        <v>0</v>
      </c>
      <c r="EV262" s="16">
        <v>0</v>
      </c>
      <c r="EW262" s="16">
        <v>0</v>
      </c>
      <c r="EX262" s="16">
        <v>0</v>
      </c>
      <c r="EY262" s="16">
        <v>0</v>
      </c>
      <c r="EZ262" s="16">
        <v>0</v>
      </c>
      <c r="FA262" s="16">
        <v>0</v>
      </c>
      <c r="FB262" s="16">
        <v>0</v>
      </c>
      <c r="FC262" s="16">
        <v>0</v>
      </c>
      <c r="FD262" s="16">
        <v>0</v>
      </c>
      <c r="FE262" s="16">
        <v>0</v>
      </c>
      <c r="FF262" s="16">
        <v>0</v>
      </c>
      <c r="FG262" s="16">
        <v>0</v>
      </c>
      <c r="FH262" s="16">
        <v>0</v>
      </c>
      <c r="FI262" s="16">
        <v>0</v>
      </c>
      <c r="FJ262" s="16">
        <v>0</v>
      </c>
      <c r="FK262" s="16">
        <v>0</v>
      </c>
      <c r="FL262" s="16">
        <v>0</v>
      </c>
      <c r="FM262" s="16">
        <v>0</v>
      </c>
      <c r="FN262" s="16">
        <v>0</v>
      </c>
      <c r="FO262" s="16">
        <v>0</v>
      </c>
      <c r="FP262" s="16">
        <v>0</v>
      </c>
      <c r="FQ262" s="16">
        <v>0</v>
      </c>
      <c r="FR262" s="16">
        <v>0</v>
      </c>
      <c r="FS262" s="16">
        <v>0</v>
      </c>
      <c r="FT262" s="16">
        <v>0</v>
      </c>
      <c r="FU262" s="16">
        <v>0</v>
      </c>
      <c r="FV262" s="16">
        <v>0</v>
      </c>
      <c r="FW262" s="16">
        <v>0</v>
      </c>
      <c r="FX262" s="16">
        <v>0</v>
      </c>
      <c r="FY262" s="16">
        <v>0</v>
      </c>
      <c r="FZ262" s="16">
        <v>0</v>
      </c>
      <c r="GA262" s="16">
        <v>0</v>
      </c>
      <c r="GB262" s="16">
        <v>0</v>
      </c>
      <c r="GC262" s="16">
        <v>0</v>
      </c>
      <c r="GD262" s="16">
        <v>0</v>
      </c>
      <c r="GE262" s="16">
        <v>0</v>
      </c>
      <c r="GF262" s="16">
        <v>0</v>
      </c>
      <c r="GG262" s="16">
        <v>0</v>
      </c>
      <c r="GH262" s="16">
        <v>0</v>
      </c>
      <c r="GI262" s="16">
        <v>0</v>
      </c>
      <c r="GJ262" s="16">
        <v>0</v>
      </c>
      <c r="GK262" s="16">
        <v>0</v>
      </c>
      <c r="GL262" s="16">
        <v>0</v>
      </c>
      <c r="GM262" s="16">
        <v>0</v>
      </c>
      <c r="GN262" s="16">
        <v>0</v>
      </c>
      <c r="GO262" s="16">
        <v>0</v>
      </c>
      <c r="GP262" s="16">
        <v>0</v>
      </c>
      <c r="GQ262" s="16">
        <v>0</v>
      </c>
      <c r="GR262" s="16">
        <v>0</v>
      </c>
      <c r="GS262" s="16">
        <v>0</v>
      </c>
      <c r="GT262" s="16">
        <v>0</v>
      </c>
      <c r="GU262" s="16">
        <v>0</v>
      </c>
      <c r="GV262" s="16">
        <v>0</v>
      </c>
      <c r="GW262" s="16">
        <v>0</v>
      </c>
      <c r="GX262" s="16">
        <v>0</v>
      </c>
      <c r="GY262" s="16">
        <v>0</v>
      </c>
      <c r="GZ262" s="16">
        <v>0</v>
      </c>
      <c r="HA262" s="16">
        <v>0</v>
      </c>
      <c r="HB262" s="16">
        <v>0</v>
      </c>
      <c r="HC262" s="16">
        <v>0</v>
      </c>
      <c r="HD262" s="16">
        <v>0</v>
      </c>
      <c r="HE262" s="16">
        <v>0</v>
      </c>
      <c r="HF262" s="16">
        <v>0</v>
      </c>
      <c r="HG262" s="16">
        <v>0</v>
      </c>
      <c r="HH262" s="16">
        <v>0</v>
      </c>
      <c r="HI262" s="16">
        <v>0</v>
      </c>
      <c r="HJ262" s="16">
        <v>0</v>
      </c>
      <c r="HK262" s="16">
        <v>0</v>
      </c>
      <c r="HL262" s="16">
        <v>0</v>
      </c>
      <c r="HM262" s="16">
        <v>0</v>
      </c>
      <c r="HN262" s="16">
        <v>0</v>
      </c>
      <c r="HO262" s="16">
        <v>0</v>
      </c>
      <c r="HP262" s="16">
        <v>0</v>
      </c>
      <c r="HQ262" s="16">
        <v>0</v>
      </c>
      <c r="HR262" s="16">
        <v>0</v>
      </c>
      <c r="HS262" s="16">
        <v>0</v>
      </c>
      <c r="HT262" s="16">
        <v>0</v>
      </c>
      <c r="HU262" s="16">
        <v>0</v>
      </c>
      <c r="HV262" s="16">
        <v>0</v>
      </c>
      <c r="HW262" s="16">
        <v>0</v>
      </c>
      <c r="HX262" s="16">
        <v>0</v>
      </c>
      <c r="HY262" s="16">
        <v>0</v>
      </c>
      <c r="HZ262" s="16">
        <v>0</v>
      </c>
      <c r="IA262" s="16">
        <v>0</v>
      </c>
      <c r="IB262" s="16">
        <v>0</v>
      </c>
      <c r="IC262" s="16">
        <v>0</v>
      </c>
      <c r="ID262" s="16">
        <v>0</v>
      </c>
      <c r="IE262" s="16">
        <v>0</v>
      </c>
      <c r="IF262" s="16">
        <v>0</v>
      </c>
      <c r="IG262" s="16">
        <v>0</v>
      </c>
      <c r="IH262" s="16">
        <v>0</v>
      </c>
      <c r="II262" s="16">
        <v>0</v>
      </c>
      <c r="IJ262" s="16">
        <v>0</v>
      </c>
      <c r="IK262" s="16">
        <v>0</v>
      </c>
      <c r="IL262" s="16">
        <v>0</v>
      </c>
      <c r="IM262" s="16">
        <v>0</v>
      </c>
      <c r="IN262" s="16">
        <v>0</v>
      </c>
      <c r="IO262" s="16">
        <v>0</v>
      </c>
      <c r="IP262" s="16">
        <v>0</v>
      </c>
      <c r="IQ262" s="16">
        <v>0</v>
      </c>
      <c r="IR262" s="16">
        <v>0</v>
      </c>
      <c r="IS262" s="16">
        <v>0</v>
      </c>
      <c r="IT262" s="16">
        <v>0</v>
      </c>
      <c r="IU262" s="16">
        <v>0</v>
      </c>
      <c r="IV262" s="16">
        <v>15</v>
      </c>
      <c r="IW262" s="16">
        <v>0</v>
      </c>
      <c r="IX262" s="16">
        <v>0</v>
      </c>
      <c r="IY262" s="16">
        <v>0</v>
      </c>
      <c r="IZ262" s="16">
        <v>8</v>
      </c>
      <c r="JA262" s="16">
        <v>0</v>
      </c>
      <c r="JB262" s="16">
        <v>47999</v>
      </c>
      <c r="JC262" s="16">
        <v>0</v>
      </c>
      <c r="JD262" s="16">
        <v>0</v>
      </c>
      <c r="JE262" s="16">
        <v>0</v>
      </c>
      <c r="JF262" s="16">
        <v>0</v>
      </c>
      <c r="JG262" s="16">
        <v>609</v>
      </c>
      <c r="JH262" s="16">
        <v>0</v>
      </c>
      <c r="JI262" s="16">
        <v>0</v>
      </c>
      <c r="JJ262" s="16">
        <v>0</v>
      </c>
      <c r="JK262" s="16">
        <v>0</v>
      </c>
      <c r="JL262" s="16">
        <v>0</v>
      </c>
      <c r="JM262" s="16">
        <v>0</v>
      </c>
      <c r="JN262" s="16">
        <v>0</v>
      </c>
      <c r="JO262" s="16">
        <v>0</v>
      </c>
      <c r="JP262" s="16">
        <v>0</v>
      </c>
      <c r="JQ262" s="16">
        <v>0</v>
      </c>
      <c r="JR262" s="16">
        <v>0</v>
      </c>
      <c r="JS262" s="16">
        <v>0</v>
      </c>
      <c r="JT262" s="16">
        <v>0</v>
      </c>
      <c r="JU262" s="16">
        <v>0</v>
      </c>
      <c r="JV262" s="16">
        <v>0</v>
      </c>
      <c r="JW262" s="16">
        <v>0</v>
      </c>
      <c r="JX262" s="16">
        <v>0</v>
      </c>
      <c r="JY262" s="16">
        <v>0</v>
      </c>
      <c r="JZ262" s="16">
        <v>0</v>
      </c>
      <c r="KA262" s="16">
        <v>0</v>
      </c>
      <c r="KB262" s="16">
        <v>0</v>
      </c>
      <c r="KC262" s="16">
        <v>0</v>
      </c>
      <c r="KD262" s="16">
        <v>0</v>
      </c>
      <c r="KE262" s="16">
        <v>0</v>
      </c>
      <c r="KF262" s="16">
        <v>0</v>
      </c>
      <c r="KG262" s="16">
        <v>0</v>
      </c>
      <c r="KH262" s="16">
        <v>0</v>
      </c>
      <c r="KI262" s="16">
        <v>0</v>
      </c>
      <c r="KJ262" s="16">
        <v>0</v>
      </c>
      <c r="KK262" s="16">
        <v>0</v>
      </c>
      <c r="KL262" s="16">
        <v>0</v>
      </c>
      <c r="KM262" s="16">
        <v>0</v>
      </c>
      <c r="KN262" s="16">
        <v>0</v>
      </c>
      <c r="KO262" s="16">
        <v>0</v>
      </c>
      <c r="KP262" s="16">
        <v>0</v>
      </c>
      <c r="KQ262" s="16">
        <v>0</v>
      </c>
      <c r="KR262" s="16">
        <v>0</v>
      </c>
      <c r="KS262" s="16">
        <v>0</v>
      </c>
      <c r="KT262" s="16">
        <v>0</v>
      </c>
      <c r="KU262" s="16">
        <v>0</v>
      </c>
      <c r="KV262" s="16">
        <v>0</v>
      </c>
      <c r="KW262" s="16">
        <v>0</v>
      </c>
      <c r="KX262" s="16">
        <v>0</v>
      </c>
      <c r="KY262" s="16">
        <v>0</v>
      </c>
      <c r="KZ262" s="16">
        <v>44158</v>
      </c>
      <c r="LA262" s="16">
        <v>0</v>
      </c>
      <c r="LB262" s="16">
        <v>7800</v>
      </c>
      <c r="LC262" s="16">
        <v>0</v>
      </c>
      <c r="LD262" s="16">
        <v>0</v>
      </c>
      <c r="LE262" s="16">
        <v>0</v>
      </c>
      <c r="LF262" s="16">
        <v>0</v>
      </c>
      <c r="LG262" s="16">
        <v>0</v>
      </c>
      <c r="LH262" s="16">
        <v>0</v>
      </c>
      <c r="LI262" s="16">
        <v>1695</v>
      </c>
      <c r="LJ262" s="16">
        <v>830</v>
      </c>
      <c r="LK262" s="16">
        <v>0</v>
      </c>
      <c r="LL262" s="16">
        <v>0</v>
      </c>
      <c r="LM262" s="16">
        <v>0</v>
      </c>
      <c r="LN262" s="16">
        <v>0</v>
      </c>
      <c r="LO262" s="16">
        <v>0</v>
      </c>
      <c r="LP262" s="16">
        <v>6299</v>
      </c>
      <c r="LQ262" s="16">
        <v>76</v>
      </c>
      <c r="LR262" s="16">
        <v>0</v>
      </c>
      <c r="LS262" s="16">
        <v>0</v>
      </c>
      <c r="LT262" s="16">
        <v>0</v>
      </c>
      <c r="LU262" s="16">
        <v>0</v>
      </c>
      <c r="LV262" s="16">
        <v>0</v>
      </c>
      <c r="LW262" s="16">
        <v>0</v>
      </c>
      <c r="LX262" s="16">
        <v>0</v>
      </c>
      <c r="LY262" s="16">
        <v>0</v>
      </c>
      <c r="LZ262" s="16">
        <v>0</v>
      </c>
      <c r="MA262" s="16">
        <v>0</v>
      </c>
      <c r="MB262" s="16">
        <v>0</v>
      </c>
      <c r="MC262" s="16">
        <v>0</v>
      </c>
      <c r="MD262" s="16">
        <v>0</v>
      </c>
      <c r="ME262" s="16">
        <v>0</v>
      </c>
      <c r="MF262" s="16">
        <v>1250</v>
      </c>
      <c r="MG262" s="16">
        <v>0</v>
      </c>
      <c r="MH262" s="16">
        <v>5153</v>
      </c>
      <c r="MI262" s="16">
        <v>0</v>
      </c>
      <c r="MJ262" s="16">
        <v>0</v>
      </c>
      <c r="MK262" s="16">
        <v>0</v>
      </c>
      <c r="ML262" s="16">
        <v>0</v>
      </c>
      <c r="MM262" s="16">
        <v>0</v>
      </c>
      <c r="MN262" s="16">
        <v>21479</v>
      </c>
      <c r="MO262" s="16">
        <v>0</v>
      </c>
      <c r="MP262" s="16">
        <v>0</v>
      </c>
      <c r="MQ262" s="16">
        <v>0</v>
      </c>
      <c r="MR262" s="16">
        <v>488</v>
      </c>
      <c r="MS262" s="16">
        <v>156</v>
      </c>
      <c r="MT262" s="16">
        <v>144</v>
      </c>
      <c r="MU262" s="16">
        <v>2097</v>
      </c>
      <c r="MV262" s="16">
        <v>1075</v>
      </c>
      <c r="MW262" s="16">
        <v>2241</v>
      </c>
      <c r="MX262" s="16">
        <v>0</v>
      </c>
      <c r="MY262" s="16">
        <v>0</v>
      </c>
      <c r="MZ262" s="16">
        <v>0</v>
      </c>
      <c r="NA262" s="16">
        <v>0</v>
      </c>
      <c r="NB262" s="16">
        <v>16684</v>
      </c>
      <c r="NC262" s="16">
        <v>236</v>
      </c>
      <c r="ND262" s="16">
        <v>43847</v>
      </c>
      <c r="NE262" s="16">
        <v>687</v>
      </c>
      <c r="NF262" s="16">
        <v>0</v>
      </c>
      <c r="NG262" s="16">
        <v>5565</v>
      </c>
      <c r="NH262" s="16">
        <v>5773</v>
      </c>
      <c r="NI262" s="16">
        <v>0</v>
      </c>
      <c r="NJ262" s="16">
        <v>2124</v>
      </c>
      <c r="NK262" s="16">
        <v>0</v>
      </c>
      <c r="NL262" s="16">
        <v>1957</v>
      </c>
      <c r="NM262" s="16">
        <v>0</v>
      </c>
      <c r="NN262" s="16">
        <v>0</v>
      </c>
      <c r="NO262" s="16">
        <v>0</v>
      </c>
      <c r="NP262" s="16">
        <v>0</v>
      </c>
      <c r="NQ262" s="16">
        <v>619</v>
      </c>
      <c r="NR262" s="17">
        <v>221065</v>
      </c>
    </row>
    <row r="263" spans="1:382" ht="13.5" customHeight="1" x14ac:dyDescent="0.2">
      <c r="A263" s="2" t="s">
        <v>533</v>
      </c>
      <c r="B263" s="16">
        <v>4</v>
      </c>
      <c r="C263" s="16">
        <v>0</v>
      </c>
      <c r="D263" s="16">
        <v>0</v>
      </c>
      <c r="E263" s="16">
        <v>1</v>
      </c>
      <c r="F263" s="16">
        <v>6</v>
      </c>
      <c r="G263" s="16">
        <v>1</v>
      </c>
      <c r="H263" s="16">
        <v>1</v>
      </c>
      <c r="I263" s="16">
        <v>0</v>
      </c>
      <c r="J263" s="16">
        <v>0</v>
      </c>
      <c r="K263" s="16">
        <v>0</v>
      </c>
      <c r="L263" s="16">
        <v>41</v>
      </c>
      <c r="M263" s="16">
        <v>0</v>
      </c>
      <c r="N263" s="16">
        <v>0</v>
      </c>
      <c r="O263" s="16">
        <v>1</v>
      </c>
      <c r="P263" s="16">
        <v>33</v>
      </c>
      <c r="Q263" s="16">
        <v>197</v>
      </c>
      <c r="R263" s="16">
        <v>52</v>
      </c>
      <c r="S263" s="16">
        <v>0</v>
      </c>
      <c r="T263" s="16">
        <v>3</v>
      </c>
      <c r="U263" s="16">
        <v>34</v>
      </c>
      <c r="V263" s="16">
        <v>5</v>
      </c>
      <c r="W263" s="16">
        <v>0</v>
      </c>
      <c r="X263" s="16">
        <v>15</v>
      </c>
      <c r="Y263" s="16">
        <v>179</v>
      </c>
      <c r="Z263" s="16">
        <v>165</v>
      </c>
      <c r="AA263" s="16">
        <v>2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  <c r="AG263" s="16">
        <v>118</v>
      </c>
      <c r="AH263" s="16">
        <v>40</v>
      </c>
      <c r="AI263" s="16">
        <v>32</v>
      </c>
      <c r="AJ263" s="16">
        <v>278</v>
      </c>
      <c r="AK263" s="16">
        <v>361</v>
      </c>
      <c r="AL263" s="16">
        <v>15</v>
      </c>
      <c r="AM263" s="16">
        <v>51</v>
      </c>
      <c r="AN263" s="16">
        <v>68</v>
      </c>
      <c r="AO263" s="16">
        <v>55</v>
      </c>
      <c r="AP263" s="16">
        <v>2</v>
      </c>
      <c r="AQ263" s="16">
        <v>27</v>
      </c>
      <c r="AR263" s="16">
        <v>0</v>
      </c>
      <c r="AS263" s="16">
        <v>3</v>
      </c>
      <c r="AT263" s="16">
        <v>9</v>
      </c>
      <c r="AU263" s="16">
        <v>35</v>
      </c>
      <c r="AV263" s="16">
        <v>10</v>
      </c>
      <c r="AW263" s="16">
        <v>222</v>
      </c>
      <c r="AX263" s="16">
        <v>8</v>
      </c>
      <c r="AY263" s="16">
        <v>52</v>
      </c>
      <c r="AZ263" s="16">
        <v>260</v>
      </c>
      <c r="BA263" s="16">
        <v>259</v>
      </c>
      <c r="BB263" s="16">
        <v>58</v>
      </c>
      <c r="BC263" s="16">
        <v>133</v>
      </c>
      <c r="BD263" s="16">
        <v>2</v>
      </c>
      <c r="BE263" s="16">
        <v>14</v>
      </c>
      <c r="BF263" s="16">
        <v>40</v>
      </c>
      <c r="BG263" s="16">
        <v>18</v>
      </c>
      <c r="BH263" s="16">
        <v>106</v>
      </c>
      <c r="BI263" s="16">
        <v>10</v>
      </c>
      <c r="BJ263" s="16">
        <v>4</v>
      </c>
      <c r="BK263" s="16">
        <v>19</v>
      </c>
      <c r="BL263" s="16">
        <v>100</v>
      </c>
      <c r="BM263" s="16">
        <v>119</v>
      </c>
      <c r="BN263" s="16">
        <v>78</v>
      </c>
      <c r="BO263" s="16">
        <v>120</v>
      </c>
      <c r="BP263" s="16">
        <v>83</v>
      </c>
      <c r="BQ263" s="16">
        <v>17</v>
      </c>
      <c r="BR263" s="16">
        <v>6</v>
      </c>
      <c r="BS263" s="16">
        <v>525</v>
      </c>
      <c r="BT263" s="16">
        <v>15</v>
      </c>
      <c r="BU263" s="16">
        <v>0</v>
      </c>
      <c r="BV263" s="16">
        <v>1</v>
      </c>
      <c r="BW263" s="16">
        <v>30</v>
      </c>
      <c r="BX263" s="16">
        <v>14</v>
      </c>
      <c r="BY263" s="16">
        <v>0</v>
      </c>
      <c r="BZ263" s="16">
        <v>128</v>
      </c>
      <c r="CA263" s="16">
        <v>49</v>
      </c>
      <c r="CB263" s="16">
        <v>12</v>
      </c>
      <c r="CC263" s="16">
        <v>868</v>
      </c>
      <c r="CD263" s="16">
        <v>81</v>
      </c>
      <c r="CE263" s="16">
        <v>22</v>
      </c>
      <c r="CF263" s="16">
        <v>99</v>
      </c>
      <c r="CG263" s="16">
        <v>54</v>
      </c>
      <c r="CH263" s="16">
        <v>186</v>
      </c>
      <c r="CI263" s="16">
        <v>20</v>
      </c>
      <c r="CJ263" s="16">
        <v>44</v>
      </c>
      <c r="CK263" s="16">
        <v>317</v>
      </c>
      <c r="CL263" s="16">
        <v>164</v>
      </c>
      <c r="CM263" s="16">
        <v>86</v>
      </c>
      <c r="CN263" s="16">
        <v>17</v>
      </c>
      <c r="CO263" s="16">
        <v>81</v>
      </c>
      <c r="CP263" s="16">
        <v>163</v>
      </c>
      <c r="CQ263" s="16">
        <v>1714</v>
      </c>
      <c r="CR263" s="16">
        <v>107</v>
      </c>
      <c r="CS263" s="16">
        <v>62</v>
      </c>
      <c r="CT263" s="16">
        <v>63</v>
      </c>
      <c r="CU263" s="16">
        <v>142</v>
      </c>
      <c r="CV263" s="16">
        <v>102</v>
      </c>
      <c r="CW263" s="16">
        <v>293</v>
      </c>
      <c r="CX263" s="16">
        <v>751</v>
      </c>
      <c r="CY263" s="16">
        <v>25</v>
      </c>
      <c r="CZ263" s="16">
        <v>56</v>
      </c>
      <c r="DA263" s="16">
        <v>4</v>
      </c>
      <c r="DB263" s="16">
        <v>43</v>
      </c>
      <c r="DC263" s="16">
        <v>1</v>
      </c>
      <c r="DD263" s="16">
        <v>19</v>
      </c>
      <c r="DE263" s="16">
        <v>4</v>
      </c>
      <c r="DF263" s="16">
        <v>89</v>
      </c>
      <c r="DG263" s="16">
        <v>73</v>
      </c>
      <c r="DH263" s="16">
        <v>97</v>
      </c>
      <c r="DI263" s="16">
        <v>23</v>
      </c>
      <c r="DJ263" s="16">
        <v>668</v>
      </c>
      <c r="DK263" s="16">
        <v>70</v>
      </c>
      <c r="DL263" s="16">
        <v>34</v>
      </c>
      <c r="DM263" s="16">
        <v>187</v>
      </c>
      <c r="DN263" s="16">
        <v>24</v>
      </c>
      <c r="DO263" s="16">
        <v>21</v>
      </c>
      <c r="DP263" s="16">
        <v>381</v>
      </c>
      <c r="DQ263" s="16">
        <v>48</v>
      </c>
      <c r="DR263" s="16">
        <v>41</v>
      </c>
      <c r="DS263" s="16">
        <v>264</v>
      </c>
      <c r="DT263" s="16">
        <v>26</v>
      </c>
      <c r="DU263" s="16">
        <v>78</v>
      </c>
      <c r="DV263" s="16">
        <v>93</v>
      </c>
      <c r="DW263" s="16">
        <v>276</v>
      </c>
      <c r="DX263" s="16">
        <v>244</v>
      </c>
      <c r="DY263" s="16">
        <v>386</v>
      </c>
      <c r="DZ263" s="16">
        <v>1017</v>
      </c>
      <c r="EA263" s="16">
        <v>2252</v>
      </c>
      <c r="EB263" s="16">
        <v>38</v>
      </c>
      <c r="EC263" s="16">
        <v>120</v>
      </c>
      <c r="ED263" s="16">
        <v>18</v>
      </c>
      <c r="EE263" s="16">
        <v>2</v>
      </c>
      <c r="EF263" s="16">
        <v>4</v>
      </c>
      <c r="EG263" s="16">
        <v>124</v>
      </c>
      <c r="EH263" s="16">
        <v>14</v>
      </c>
      <c r="EI263" s="16">
        <v>20</v>
      </c>
      <c r="EJ263" s="16">
        <v>12</v>
      </c>
      <c r="EK263" s="16">
        <v>11</v>
      </c>
      <c r="EL263" s="16">
        <v>10</v>
      </c>
      <c r="EM263" s="16">
        <v>12</v>
      </c>
      <c r="EN263" s="16">
        <v>165</v>
      </c>
      <c r="EO263" s="16">
        <v>107</v>
      </c>
      <c r="EP263" s="16">
        <v>24</v>
      </c>
      <c r="EQ263" s="16">
        <v>54</v>
      </c>
      <c r="ER263" s="16">
        <v>22</v>
      </c>
      <c r="ES263" s="16">
        <v>38</v>
      </c>
      <c r="ET263" s="16">
        <v>94</v>
      </c>
      <c r="EU263" s="16">
        <v>0</v>
      </c>
      <c r="EV263" s="16">
        <v>0</v>
      </c>
      <c r="EW263" s="16">
        <v>2</v>
      </c>
      <c r="EX263" s="16">
        <v>373</v>
      </c>
      <c r="EY263" s="16">
        <v>206</v>
      </c>
      <c r="EZ263" s="16">
        <v>12</v>
      </c>
      <c r="FA263" s="16">
        <v>27</v>
      </c>
      <c r="FB263" s="16">
        <v>91</v>
      </c>
      <c r="FC263" s="16">
        <v>2</v>
      </c>
      <c r="FD263" s="16">
        <v>180</v>
      </c>
      <c r="FE263" s="16">
        <v>31</v>
      </c>
      <c r="FF263" s="16">
        <v>37</v>
      </c>
      <c r="FG263" s="16">
        <v>102</v>
      </c>
      <c r="FH263" s="16">
        <v>2</v>
      </c>
      <c r="FI263" s="16">
        <v>30</v>
      </c>
      <c r="FJ263" s="16">
        <v>22</v>
      </c>
      <c r="FK263" s="16">
        <v>294</v>
      </c>
      <c r="FL263" s="16">
        <v>6</v>
      </c>
      <c r="FM263" s="16">
        <v>81</v>
      </c>
      <c r="FN263" s="16">
        <v>260</v>
      </c>
      <c r="FO263" s="16">
        <v>82</v>
      </c>
      <c r="FP263" s="16">
        <v>93</v>
      </c>
      <c r="FQ263" s="16">
        <v>193</v>
      </c>
      <c r="FR263" s="16">
        <v>73</v>
      </c>
      <c r="FS263" s="16">
        <v>44</v>
      </c>
      <c r="FT263" s="16">
        <v>24</v>
      </c>
      <c r="FU263" s="16">
        <v>111</v>
      </c>
      <c r="FV263" s="16">
        <v>73</v>
      </c>
      <c r="FW263" s="16">
        <v>113</v>
      </c>
      <c r="FX263" s="16">
        <v>178</v>
      </c>
      <c r="FY263" s="16">
        <v>15</v>
      </c>
      <c r="FZ263" s="16">
        <v>119</v>
      </c>
      <c r="GA263" s="16">
        <v>98</v>
      </c>
      <c r="GB263" s="16">
        <v>342</v>
      </c>
      <c r="GC263" s="16">
        <v>54</v>
      </c>
      <c r="GD263" s="16">
        <v>78</v>
      </c>
      <c r="GE263" s="16">
        <v>11</v>
      </c>
      <c r="GF263" s="16">
        <v>33</v>
      </c>
      <c r="GG263" s="16">
        <v>20</v>
      </c>
      <c r="GH263" s="16">
        <v>125</v>
      </c>
      <c r="GI263" s="16">
        <v>46</v>
      </c>
      <c r="GJ263" s="16">
        <v>165</v>
      </c>
      <c r="GK263" s="16">
        <v>32</v>
      </c>
      <c r="GL263" s="16">
        <v>1</v>
      </c>
      <c r="GM263" s="16">
        <v>37</v>
      </c>
      <c r="GN263" s="16">
        <v>3</v>
      </c>
      <c r="GO263" s="16">
        <v>112</v>
      </c>
      <c r="GP263" s="16">
        <v>13</v>
      </c>
      <c r="GQ263" s="16">
        <v>183</v>
      </c>
      <c r="GR263" s="16">
        <v>9</v>
      </c>
      <c r="GS263" s="16">
        <v>4</v>
      </c>
      <c r="GT263" s="16">
        <v>8</v>
      </c>
      <c r="GU263" s="16">
        <v>113</v>
      </c>
      <c r="GV263" s="16">
        <v>140</v>
      </c>
      <c r="GW263" s="16">
        <v>116</v>
      </c>
      <c r="GX263" s="16">
        <v>61</v>
      </c>
      <c r="GY263" s="16">
        <v>1</v>
      </c>
      <c r="GZ263" s="16">
        <v>90</v>
      </c>
      <c r="HA263" s="16">
        <v>13</v>
      </c>
      <c r="HB263" s="16">
        <v>38</v>
      </c>
      <c r="HC263" s="16">
        <v>106</v>
      </c>
      <c r="HD263" s="16">
        <v>163</v>
      </c>
      <c r="HE263" s="16">
        <v>203</v>
      </c>
      <c r="HF263" s="16">
        <v>109</v>
      </c>
      <c r="HG263" s="16">
        <v>20</v>
      </c>
      <c r="HH263" s="16">
        <v>16</v>
      </c>
      <c r="HI263" s="16">
        <v>75</v>
      </c>
      <c r="HJ263" s="16">
        <v>18</v>
      </c>
      <c r="HK263" s="16">
        <v>59</v>
      </c>
      <c r="HL263" s="16">
        <v>225</v>
      </c>
      <c r="HM263" s="16">
        <v>34</v>
      </c>
      <c r="HN263" s="16">
        <v>201</v>
      </c>
      <c r="HO263" s="16">
        <v>40</v>
      </c>
      <c r="HP263" s="16">
        <v>16</v>
      </c>
      <c r="HQ263" s="16">
        <v>53</v>
      </c>
      <c r="HR263" s="16">
        <v>100</v>
      </c>
      <c r="HS263" s="16">
        <v>35</v>
      </c>
      <c r="HT263" s="16">
        <v>1</v>
      </c>
      <c r="HU263" s="16">
        <v>57</v>
      </c>
      <c r="HV263" s="16">
        <v>20</v>
      </c>
      <c r="HW263" s="16">
        <v>58</v>
      </c>
      <c r="HX263" s="16">
        <v>25</v>
      </c>
      <c r="HY263" s="16">
        <v>101</v>
      </c>
      <c r="HZ263" s="16">
        <v>199</v>
      </c>
      <c r="IA263" s="16">
        <v>61</v>
      </c>
      <c r="IB263" s="16">
        <v>14</v>
      </c>
      <c r="IC263" s="16">
        <v>20</v>
      </c>
      <c r="ID263" s="16">
        <v>18</v>
      </c>
      <c r="IE263" s="16">
        <v>7</v>
      </c>
      <c r="IF263" s="16">
        <v>19</v>
      </c>
      <c r="IG263" s="16">
        <v>106</v>
      </c>
      <c r="IH263" s="16">
        <v>103</v>
      </c>
      <c r="II263" s="16">
        <v>11</v>
      </c>
      <c r="IJ263" s="16">
        <v>1</v>
      </c>
      <c r="IK263" s="16">
        <v>6</v>
      </c>
      <c r="IL263" s="16">
        <v>8</v>
      </c>
      <c r="IM263" s="16">
        <v>1</v>
      </c>
      <c r="IN263" s="16">
        <v>37</v>
      </c>
      <c r="IO263" s="16">
        <v>285</v>
      </c>
      <c r="IP263" s="16">
        <v>52</v>
      </c>
      <c r="IQ263" s="16">
        <v>6</v>
      </c>
      <c r="IR263" s="16">
        <v>12</v>
      </c>
      <c r="IS263" s="16">
        <v>18</v>
      </c>
      <c r="IT263" s="16">
        <v>6</v>
      </c>
      <c r="IU263" s="16">
        <v>3</v>
      </c>
      <c r="IV263" s="16">
        <v>63</v>
      </c>
      <c r="IW263" s="16">
        <v>170</v>
      </c>
      <c r="IX263" s="16">
        <v>77</v>
      </c>
      <c r="IY263" s="16">
        <v>45</v>
      </c>
      <c r="IZ263" s="16">
        <v>12</v>
      </c>
      <c r="JA263" s="16">
        <v>65</v>
      </c>
      <c r="JB263" s="16">
        <v>6</v>
      </c>
      <c r="JC263" s="16">
        <v>3666</v>
      </c>
      <c r="JD263" s="16">
        <v>5</v>
      </c>
      <c r="JE263" s="16">
        <v>96</v>
      </c>
      <c r="JF263" s="16">
        <v>56</v>
      </c>
      <c r="JG263" s="16">
        <v>1469</v>
      </c>
      <c r="JH263" s="16">
        <v>34</v>
      </c>
      <c r="JI263" s="16">
        <v>11</v>
      </c>
      <c r="JJ263" s="16">
        <v>27</v>
      </c>
      <c r="JK263" s="16">
        <v>19</v>
      </c>
      <c r="JL263" s="16">
        <v>12</v>
      </c>
      <c r="JM263" s="16">
        <v>5</v>
      </c>
      <c r="JN263" s="16">
        <v>54</v>
      </c>
      <c r="JO263" s="16">
        <v>6</v>
      </c>
      <c r="JP263" s="16">
        <v>526</v>
      </c>
      <c r="JQ263" s="16">
        <v>46</v>
      </c>
      <c r="JR263" s="16">
        <v>347</v>
      </c>
      <c r="JS263" s="16">
        <v>90</v>
      </c>
      <c r="JT263" s="16">
        <v>0</v>
      </c>
      <c r="JU263" s="16">
        <v>558</v>
      </c>
      <c r="JV263" s="16">
        <v>69</v>
      </c>
      <c r="JW263" s="16">
        <v>301</v>
      </c>
      <c r="JX263" s="16">
        <v>217</v>
      </c>
      <c r="JY263" s="16">
        <v>204</v>
      </c>
      <c r="JZ263" s="16">
        <v>18</v>
      </c>
      <c r="KA263" s="16">
        <v>64</v>
      </c>
      <c r="KB263" s="16">
        <v>20</v>
      </c>
      <c r="KC263" s="16">
        <v>40</v>
      </c>
      <c r="KD263" s="16">
        <v>1</v>
      </c>
      <c r="KE263" s="16">
        <v>3</v>
      </c>
      <c r="KF263" s="16">
        <v>49</v>
      </c>
      <c r="KG263" s="16">
        <v>45</v>
      </c>
      <c r="KH263" s="16">
        <v>18</v>
      </c>
      <c r="KI263" s="16">
        <v>32</v>
      </c>
      <c r="KJ263" s="16">
        <v>3</v>
      </c>
      <c r="KK263" s="16">
        <v>11855</v>
      </c>
      <c r="KL263" s="16">
        <v>10</v>
      </c>
      <c r="KM263" s="16">
        <v>27</v>
      </c>
      <c r="KN263" s="16">
        <v>19</v>
      </c>
      <c r="KO263" s="16">
        <v>97</v>
      </c>
      <c r="KP263" s="16">
        <v>37</v>
      </c>
      <c r="KQ263" s="16">
        <v>0</v>
      </c>
      <c r="KR263" s="16">
        <v>436</v>
      </c>
      <c r="KS263" s="16">
        <v>0</v>
      </c>
      <c r="KT263" s="16">
        <v>38</v>
      </c>
      <c r="KU263" s="16">
        <v>430</v>
      </c>
      <c r="KV263" s="16">
        <v>1861</v>
      </c>
      <c r="KW263" s="16">
        <v>2681</v>
      </c>
      <c r="KX263" s="16">
        <v>5</v>
      </c>
      <c r="KY263" s="16">
        <v>128</v>
      </c>
      <c r="KZ263" s="16">
        <v>3819</v>
      </c>
      <c r="LA263" s="16">
        <v>541</v>
      </c>
      <c r="LB263" s="16">
        <v>89</v>
      </c>
      <c r="LC263" s="16">
        <v>800</v>
      </c>
      <c r="LD263" s="16">
        <v>2005</v>
      </c>
      <c r="LE263" s="16">
        <v>321</v>
      </c>
      <c r="LF263" s="16">
        <v>99</v>
      </c>
      <c r="LG263" s="16">
        <v>93</v>
      </c>
      <c r="LH263" s="16">
        <v>726</v>
      </c>
      <c r="LI263" s="16">
        <v>9</v>
      </c>
      <c r="LJ263" s="16">
        <v>301</v>
      </c>
      <c r="LK263" s="16">
        <v>2877</v>
      </c>
      <c r="LL263" s="16">
        <v>1821</v>
      </c>
      <c r="LM263" s="16">
        <v>3916</v>
      </c>
      <c r="LN263" s="16">
        <v>6362</v>
      </c>
      <c r="LO263" s="16">
        <v>199</v>
      </c>
      <c r="LP263" s="16">
        <v>812</v>
      </c>
      <c r="LQ263" s="16">
        <v>58</v>
      </c>
      <c r="LR263" s="16">
        <v>1365</v>
      </c>
      <c r="LS263" s="16">
        <v>978</v>
      </c>
      <c r="LT263" s="16">
        <v>722</v>
      </c>
      <c r="LU263" s="16">
        <v>339</v>
      </c>
      <c r="LV263" s="16">
        <v>2</v>
      </c>
      <c r="LW263" s="16">
        <v>616</v>
      </c>
      <c r="LX263" s="16">
        <v>740</v>
      </c>
      <c r="LY263" s="16">
        <v>0</v>
      </c>
      <c r="LZ263" s="16">
        <v>908</v>
      </c>
      <c r="MA263" s="16">
        <v>1980</v>
      </c>
      <c r="MB263" s="16">
        <v>4285</v>
      </c>
      <c r="MC263" s="16">
        <v>931</v>
      </c>
      <c r="MD263" s="16">
        <v>890</v>
      </c>
      <c r="ME263" s="16">
        <v>337</v>
      </c>
      <c r="MF263" s="16">
        <v>4312</v>
      </c>
      <c r="MG263" s="16">
        <v>5235</v>
      </c>
      <c r="MH263" s="16">
        <v>43282</v>
      </c>
      <c r="MI263" s="16">
        <v>2563</v>
      </c>
      <c r="MJ263" s="16">
        <v>11364</v>
      </c>
      <c r="MK263" s="16">
        <v>3177</v>
      </c>
      <c r="ML263" s="16">
        <v>597</v>
      </c>
      <c r="MM263" s="16">
        <v>2882</v>
      </c>
      <c r="MN263" s="16">
        <v>2848</v>
      </c>
      <c r="MO263" s="16">
        <v>1142</v>
      </c>
      <c r="MP263" s="16">
        <v>9836</v>
      </c>
      <c r="MQ263" s="16">
        <v>3488</v>
      </c>
      <c r="MR263" s="16">
        <v>8738</v>
      </c>
      <c r="MS263" s="16">
        <v>15122</v>
      </c>
      <c r="MT263" s="16">
        <v>3292</v>
      </c>
      <c r="MU263" s="16">
        <v>181550</v>
      </c>
      <c r="MV263" s="16">
        <v>12306</v>
      </c>
      <c r="MW263" s="16">
        <v>25103</v>
      </c>
      <c r="MX263" s="16">
        <v>8128</v>
      </c>
      <c r="MY263" s="16">
        <v>619</v>
      </c>
      <c r="MZ263" s="16">
        <v>9725</v>
      </c>
      <c r="NA263" s="16">
        <v>28638</v>
      </c>
      <c r="NB263" s="16">
        <v>2433</v>
      </c>
      <c r="NC263" s="16">
        <v>9133</v>
      </c>
      <c r="ND263" s="16">
        <v>120</v>
      </c>
      <c r="NE263" s="16">
        <v>63</v>
      </c>
      <c r="NF263" s="16">
        <v>877</v>
      </c>
      <c r="NG263" s="16">
        <v>1939</v>
      </c>
      <c r="NH263" s="16">
        <v>196</v>
      </c>
      <c r="NI263" s="16">
        <v>3241</v>
      </c>
      <c r="NJ263" s="16">
        <v>6137</v>
      </c>
      <c r="NK263" s="16">
        <v>73</v>
      </c>
      <c r="NL263" s="16">
        <v>57</v>
      </c>
      <c r="NM263" s="16">
        <v>366</v>
      </c>
      <c r="NN263" s="16">
        <v>86</v>
      </c>
      <c r="NO263" s="16">
        <v>0</v>
      </c>
      <c r="NP263" s="16">
        <v>26</v>
      </c>
      <c r="NQ263" s="16">
        <v>848</v>
      </c>
      <c r="NR263" s="17">
        <v>499421</v>
      </c>
    </row>
    <row r="264" spans="1:382" ht="13.5" customHeight="1" x14ac:dyDescent="0.2">
      <c r="A264" s="2" t="s">
        <v>535</v>
      </c>
      <c r="B264" s="16">
        <v>55</v>
      </c>
      <c r="C264" s="16">
        <v>0</v>
      </c>
      <c r="D264" s="16">
        <v>51</v>
      </c>
      <c r="E264" s="16">
        <v>0</v>
      </c>
      <c r="F264" s="16">
        <v>100</v>
      </c>
      <c r="G264" s="16">
        <v>23</v>
      </c>
      <c r="H264" s="16">
        <v>0</v>
      </c>
      <c r="I264" s="16">
        <v>0</v>
      </c>
      <c r="J264" s="16">
        <v>0</v>
      </c>
      <c r="K264" s="16">
        <v>0</v>
      </c>
      <c r="L264" s="16">
        <v>97</v>
      </c>
      <c r="M264" s="16">
        <v>0</v>
      </c>
      <c r="N264" s="16">
        <v>0</v>
      </c>
      <c r="O264" s="16">
        <v>4</v>
      </c>
      <c r="P264" s="16">
        <v>191</v>
      </c>
      <c r="Q264" s="16">
        <v>477</v>
      </c>
      <c r="R264" s="16">
        <v>147</v>
      </c>
      <c r="S264" s="16">
        <v>0</v>
      </c>
      <c r="T264" s="16">
        <v>23</v>
      </c>
      <c r="U264" s="16">
        <v>65</v>
      </c>
      <c r="V264" s="16">
        <v>20</v>
      </c>
      <c r="W264" s="16">
        <v>0</v>
      </c>
      <c r="X264" s="16">
        <v>118</v>
      </c>
      <c r="Y264" s="16">
        <v>662</v>
      </c>
      <c r="Z264" s="16">
        <v>1034</v>
      </c>
      <c r="AA264" s="16">
        <v>10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  <c r="AG264" s="16">
        <v>1102</v>
      </c>
      <c r="AH264" s="16">
        <v>284</v>
      </c>
      <c r="AI264" s="16">
        <v>87</v>
      </c>
      <c r="AJ264" s="16">
        <v>103</v>
      </c>
      <c r="AK264" s="16">
        <v>182</v>
      </c>
      <c r="AL264" s="16">
        <v>0</v>
      </c>
      <c r="AM264" s="16">
        <v>130</v>
      </c>
      <c r="AN264" s="16">
        <v>31</v>
      </c>
      <c r="AO264" s="16">
        <v>149</v>
      </c>
      <c r="AP264" s="16">
        <v>0</v>
      </c>
      <c r="AQ264" s="16">
        <v>0</v>
      </c>
      <c r="AR264" s="16">
        <v>0</v>
      </c>
      <c r="AS264" s="16">
        <v>0</v>
      </c>
      <c r="AT264" s="16">
        <v>0</v>
      </c>
      <c r="AU264" s="16">
        <v>58</v>
      </c>
      <c r="AV264" s="16">
        <v>32</v>
      </c>
      <c r="AW264" s="16">
        <v>453</v>
      </c>
      <c r="AX264" s="16">
        <v>31</v>
      </c>
      <c r="AY264" s="16">
        <v>0</v>
      </c>
      <c r="AZ264" s="16">
        <v>569</v>
      </c>
      <c r="BA264" s="16">
        <v>642</v>
      </c>
      <c r="BB264" s="16">
        <v>123</v>
      </c>
      <c r="BC264" s="16">
        <v>553</v>
      </c>
      <c r="BD264" s="16">
        <v>0</v>
      </c>
      <c r="BE264" s="16">
        <v>2198</v>
      </c>
      <c r="BF264" s="16">
        <v>3845</v>
      </c>
      <c r="BG264" s="16">
        <v>407</v>
      </c>
      <c r="BH264" s="16">
        <v>258</v>
      </c>
      <c r="BI264" s="16">
        <v>74</v>
      </c>
      <c r="BJ264" s="16">
        <v>25</v>
      </c>
      <c r="BK264" s="16">
        <v>28</v>
      </c>
      <c r="BL264" s="16">
        <v>232</v>
      </c>
      <c r="BM264" s="16">
        <v>73</v>
      </c>
      <c r="BN264" s="16">
        <v>176</v>
      </c>
      <c r="BO264" s="16">
        <v>405</v>
      </c>
      <c r="BP264" s="16">
        <v>700</v>
      </c>
      <c r="BQ264" s="16">
        <v>70</v>
      </c>
      <c r="BR264" s="16">
        <v>19</v>
      </c>
      <c r="BS264" s="16">
        <v>1188</v>
      </c>
      <c r="BT264" s="16">
        <v>9</v>
      </c>
      <c r="BU264" s="16">
        <v>20</v>
      </c>
      <c r="BV264" s="16">
        <v>0</v>
      </c>
      <c r="BW264" s="16">
        <v>564</v>
      </c>
      <c r="BX264" s="16">
        <v>14</v>
      </c>
      <c r="BY264" s="16">
        <v>0</v>
      </c>
      <c r="BZ264" s="16">
        <v>477</v>
      </c>
      <c r="CA264" s="16">
        <v>65</v>
      </c>
      <c r="CB264" s="16">
        <v>176</v>
      </c>
      <c r="CC264" s="16">
        <v>973</v>
      </c>
      <c r="CD264" s="16">
        <v>78</v>
      </c>
      <c r="CE264" s="16">
        <v>19</v>
      </c>
      <c r="CF264" s="16">
        <v>379</v>
      </c>
      <c r="CG264" s="16">
        <v>265</v>
      </c>
      <c r="CH264" s="16">
        <v>535</v>
      </c>
      <c r="CI264" s="16">
        <v>70</v>
      </c>
      <c r="CJ264" s="16">
        <v>163</v>
      </c>
      <c r="CK264" s="16">
        <v>544</v>
      </c>
      <c r="CL264" s="16">
        <v>206</v>
      </c>
      <c r="CM264" s="16">
        <v>176</v>
      </c>
      <c r="CN264" s="16">
        <v>109</v>
      </c>
      <c r="CO264" s="16">
        <v>137</v>
      </c>
      <c r="CP264" s="16">
        <v>310</v>
      </c>
      <c r="CQ264" s="16">
        <v>2822</v>
      </c>
      <c r="CR264" s="16">
        <v>0</v>
      </c>
      <c r="CS264" s="16">
        <v>76</v>
      </c>
      <c r="CT264" s="16">
        <v>252</v>
      </c>
      <c r="CU264" s="16">
        <v>639</v>
      </c>
      <c r="CV264" s="16">
        <v>410</v>
      </c>
      <c r="CW264" s="16">
        <v>1722</v>
      </c>
      <c r="CX264" s="16">
        <v>1002</v>
      </c>
      <c r="CY264" s="16">
        <v>44</v>
      </c>
      <c r="CZ264" s="16">
        <v>81</v>
      </c>
      <c r="DA264" s="16">
        <v>0</v>
      </c>
      <c r="DB264" s="16">
        <v>182</v>
      </c>
      <c r="DC264" s="16">
        <v>0</v>
      </c>
      <c r="DD264" s="16">
        <v>103</v>
      </c>
      <c r="DE264" s="16">
        <v>16</v>
      </c>
      <c r="DF264" s="16">
        <v>587</v>
      </c>
      <c r="DG264" s="16">
        <v>61</v>
      </c>
      <c r="DH264" s="16">
        <v>55</v>
      </c>
      <c r="DI264" s="16">
        <v>36</v>
      </c>
      <c r="DJ264" s="16">
        <v>1400</v>
      </c>
      <c r="DK264" s="16">
        <v>107</v>
      </c>
      <c r="DL264" s="16">
        <v>190</v>
      </c>
      <c r="DM264" s="16">
        <v>2353</v>
      </c>
      <c r="DN264" s="16">
        <v>94</v>
      </c>
      <c r="DO264" s="16">
        <v>59</v>
      </c>
      <c r="DP264" s="16">
        <v>250</v>
      </c>
      <c r="DQ264" s="16">
        <v>18</v>
      </c>
      <c r="DR264" s="16">
        <v>165</v>
      </c>
      <c r="DS264" s="16">
        <v>4043</v>
      </c>
      <c r="DT264" s="16">
        <v>101</v>
      </c>
      <c r="DU264" s="16">
        <v>38</v>
      </c>
      <c r="DV264" s="16">
        <v>90</v>
      </c>
      <c r="DW264" s="16">
        <v>682</v>
      </c>
      <c r="DX264" s="16">
        <v>773</v>
      </c>
      <c r="DY264" s="16">
        <v>852</v>
      </c>
      <c r="DZ264" s="16">
        <v>3001</v>
      </c>
      <c r="EA264" s="16">
        <v>1875</v>
      </c>
      <c r="EB264" s="16">
        <v>201</v>
      </c>
      <c r="EC264" s="16">
        <v>2262</v>
      </c>
      <c r="ED264" s="16">
        <v>171</v>
      </c>
      <c r="EE264" s="16">
        <v>5</v>
      </c>
      <c r="EF264" s="16">
        <v>21</v>
      </c>
      <c r="EG264" s="16">
        <v>1111</v>
      </c>
      <c r="EH264" s="16">
        <v>92</v>
      </c>
      <c r="EI264" s="16">
        <v>104</v>
      </c>
      <c r="EJ264" s="16">
        <v>0</v>
      </c>
      <c r="EK264" s="16">
        <v>69</v>
      </c>
      <c r="EL264" s="16">
        <v>18</v>
      </c>
      <c r="EM264" s="16">
        <v>42</v>
      </c>
      <c r="EN264" s="16">
        <v>679</v>
      </c>
      <c r="EO264" s="16">
        <v>1136</v>
      </c>
      <c r="EP264" s="16">
        <v>32</v>
      </c>
      <c r="EQ264" s="16">
        <v>99</v>
      </c>
      <c r="ER264" s="16">
        <v>22</v>
      </c>
      <c r="ES264" s="16">
        <v>120</v>
      </c>
      <c r="ET264" s="16">
        <v>391</v>
      </c>
      <c r="EU264" s="16">
        <v>0</v>
      </c>
      <c r="EV264" s="16">
        <v>0</v>
      </c>
      <c r="EW264" s="16">
        <v>0</v>
      </c>
      <c r="EX264" s="16">
        <v>10455</v>
      </c>
      <c r="EY264" s="16">
        <v>422</v>
      </c>
      <c r="EZ264" s="16">
        <v>15</v>
      </c>
      <c r="FA264" s="16">
        <v>34</v>
      </c>
      <c r="FB264" s="16">
        <v>130</v>
      </c>
      <c r="FC264" s="16">
        <v>20</v>
      </c>
      <c r="FD264" s="16">
        <v>1969</v>
      </c>
      <c r="FE264" s="16">
        <v>280</v>
      </c>
      <c r="FF264" s="16">
        <v>105</v>
      </c>
      <c r="FG264" s="16">
        <v>519</v>
      </c>
      <c r="FH264" s="16">
        <v>0</v>
      </c>
      <c r="FI264" s="16">
        <v>565</v>
      </c>
      <c r="FJ264" s="16">
        <v>41</v>
      </c>
      <c r="FK264" s="16">
        <v>656</v>
      </c>
      <c r="FL264" s="16">
        <v>0</v>
      </c>
      <c r="FM264" s="16">
        <v>201</v>
      </c>
      <c r="FN264" s="16">
        <v>1018</v>
      </c>
      <c r="FO264" s="16">
        <v>488</v>
      </c>
      <c r="FP264" s="16">
        <v>442</v>
      </c>
      <c r="FQ264" s="16">
        <v>6123</v>
      </c>
      <c r="FR264" s="16">
        <v>11602</v>
      </c>
      <c r="FS264" s="16">
        <v>1511</v>
      </c>
      <c r="FT264" s="16">
        <v>1536</v>
      </c>
      <c r="FU264" s="16">
        <v>1928</v>
      </c>
      <c r="FV264" s="16">
        <v>5699</v>
      </c>
      <c r="FW264" s="16">
        <v>9215</v>
      </c>
      <c r="FX264" s="16">
        <v>20198</v>
      </c>
      <c r="FY264" s="16">
        <v>757</v>
      </c>
      <c r="FZ264" s="16">
        <v>4839</v>
      </c>
      <c r="GA264" s="16">
        <v>4113</v>
      </c>
      <c r="GB264" s="16">
        <v>14941</v>
      </c>
      <c r="GC264" s="16">
        <v>1075</v>
      </c>
      <c r="GD264" s="16">
        <v>9966</v>
      </c>
      <c r="GE264" s="16">
        <v>25</v>
      </c>
      <c r="GF264" s="16">
        <v>167</v>
      </c>
      <c r="GG264" s="16">
        <v>5</v>
      </c>
      <c r="GH264" s="16">
        <v>498</v>
      </c>
      <c r="GI264" s="16">
        <v>238</v>
      </c>
      <c r="GJ264" s="16">
        <v>2567</v>
      </c>
      <c r="GK264" s="16">
        <v>263</v>
      </c>
      <c r="GL264" s="16">
        <v>18</v>
      </c>
      <c r="GM264" s="16">
        <v>1456</v>
      </c>
      <c r="GN264" s="16">
        <v>25</v>
      </c>
      <c r="GO264" s="16">
        <v>3047</v>
      </c>
      <c r="GP264" s="16">
        <v>48</v>
      </c>
      <c r="GQ264" s="16">
        <v>2</v>
      </c>
      <c r="GR264" s="16">
        <v>688</v>
      </c>
      <c r="GS264" s="16">
        <v>35</v>
      </c>
      <c r="GT264" s="16">
        <v>84</v>
      </c>
      <c r="GU264" s="16">
        <v>1104</v>
      </c>
      <c r="GV264" s="16">
        <v>3034</v>
      </c>
      <c r="GW264" s="16">
        <v>2687</v>
      </c>
      <c r="GX264" s="16">
        <v>168</v>
      </c>
      <c r="GY264" s="16">
        <v>1171</v>
      </c>
      <c r="GZ264" s="16">
        <v>1202</v>
      </c>
      <c r="HA264" s="16">
        <v>162</v>
      </c>
      <c r="HB264" s="16">
        <v>250</v>
      </c>
      <c r="HC264" s="16">
        <v>1206</v>
      </c>
      <c r="HD264" s="16">
        <v>1669</v>
      </c>
      <c r="HE264" s="16">
        <v>68</v>
      </c>
      <c r="HF264" s="16">
        <v>2167</v>
      </c>
      <c r="HG264" s="16">
        <v>1238</v>
      </c>
      <c r="HH264" s="16">
        <v>580</v>
      </c>
      <c r="HI264" s="16">
        <v>3534</v>
      </c>
      <c r="HJ264" s="16">
        <v>207</v>
      </c>
      <c r="HK264" s="16">
        <v>338</v>
      </c>
      <c r="HL264" s="16">
        <v>9563</v>
      </c>
      <c r="HM264" s="16">
        <v>667</v>
      </c>
      <c r="HN264" s="16">
        <v>5717</v>
      </c>
      <c r="HO264" s="16">
        <v>1660</v>
      </c>
      <c r="HP264" s="16">
        <v>2807</v>
      </c>
      <c r="HQ264" s="16">
        <v>3598</v>
      </c>
      <c r="HR264" s="16">
        <v>3938</v>
      </c>
      <c r="HS264" s="16">
        <v>1607</v>
      </c>
      <c r="HT264" s="16">
        <v>139</v>
      </c>
      <c r="HU264" s="16">
        <v>3165</v>
      </c>
      <c r="HV264" s="16">
        <v>483</v>
      </c>
      <c r="HW264" s="16">
        <v>632</v>
      </c>
      <c r="HX264" s="16">
        <v>1143</v>
      </c>
      <c r="HY264" s="16">
        <v>3470</v>
      </c>
      <c r="HZ264" s="16">
        <v>2364</v>
      </c>
      <c r="IA264" s="16">
        <v>560</v>
      </c>
      <c r="IB264" s="16">
        <v>174</v>
      </c>
      <c r="IC264" s="16">
        <v>240</v>
      </c>
      <c r="ID264" s="16">
        <v>467</v>
      </c>
      <c r="IE264" s="16">
        <v>75</v>
      </c>
      <c r="IF264" s="16">
        <v>462</v>
      </c>
      <c r="IG264" s="16">
        <v>1558</v>
      </c>
      <c r="IH264" s="16">
        <v>30</v>
      </c>
      <c r="II264" s="16">
        <v>0</v>
      </c>
      <c r="IJ264" s="16">
        <v>65</v>
      </c>
      <c r="IK264" s="16">
        <v>155</v>
      </c>
      <c r="IL264" s="16">
        <v>65</v>
      </c>
      <c r="IM264" s="16">
        <v>51</v>
      </c>
      <c r="IN264" s="16">
        <v>340</v>
      </c>
      <c r="IO264" s="16">
        <v>686</v>
      </c>
      <c r="IP264" s="16">
        <v>201</v>
      </c>
      <c r="IQ264" s="16">
        <v>32</v>
      </c>
      <c r="IR264" s="16">
        <v>31</v>
      </c>
      <c r="IS264" s="16">
        <v>224</v>
      </c>
      <c r="IT264" s="16">
        <v>66</v>
      </c>
      <c r="IU264" s="16">
        <v>115</v>
      </c>
      <c r="IV264" s="16">
        <v>1692</v>
      </c>
      <c r="IW264" s="16">
        <v>12109</v>
      </c>
      <c r="IX264" s="16">
        <v>1114</v>
      </c>
      <c r="IY264" s="16">
        <v>876</v>
      </c>
      <c r="IZ264" s="16">
        <v>45</v>
      </c>
      <c r="JA264" s="16">
        <v>476</v>
      </c>
      <c r="JB264" s="16">
        <v>40</v>
      </c>
      <c r="JC264" s="16">
        <v>123</v>
      </c>
      <c r="JD264" s="16">
        <v>106713</v>
      </c>
      <c r="JE264" s="16">
        <v>28448</v>
      </c>
      <c r="JF264" s="16">
        <v>1200</v>
      </c>
      <c r="JG264" s="16">
        <v>14948</v>
      </c>
      <c r="JH264" s="16">
        <v>162</v>
      </c>
      <c r="JI264" s="16">
        <v>55</v>
      </c>
      <c r="JJ264" s="16">
        <v>207</v>
      </c>
      <c r="JK264" s="16">
        <v>285</v>
      </c>
      <c r="JL264" s="16">
        <v>70</v>
      </c>
      <c r="JM264" s="16">
        <v>0</v>
      </c>
      <c r="JN264" s="16">
        <v>0</v>
      </c>
      <c r="JO264" s="16">
        <v>0</v>
      </c>
      <c r="JP264" s="16">
        <v>2227</v>
      </c>
      <c r="JQ264" s="16">
        <v>218</v>
      </c>
      <c r="JR264" s="16">
        <v>1274</v>
      </c>
      <c r="JS264" s="16">
        <v>715</v>
      </c>
      <c r="JT264" s="16">
        <v>0</v>
      </c>
      <c r="JU264" s="16">
        <v>5276</v>
      </c>
      <c r="JV264" s="16">
        <v>371</v>
      </c>
      <c r="JW264" s="16">
        <v>827</v>
      </c>
      <c r="JX264" s="16">
        <v>875</v>
      </c>
      <c r="JY264" s="16">
        <v>2517</v>
      </c>
      <c r="JZ264" s="16">
        <v>362</v>
      </c>
      <c r="KA264" s="16">
        <v>1864</v>
      </c>
      <c r="KB264" s="16">
        <v>35</v>
      </c>
      <c r="KC264" s="16">
        <v>132</v>
      </c>
      <c r="KD264" s="16">
        <v>0</v>
      </c>
      <c r="KE264" s="16">
        <v>21</v>
      </c>
      <c r="KF264" s="16">
        <v>720</v>
      </c>
      <c r="KG264" s="16">
        <v>223</v>
      </c>
      <c r="KH264" s="16">
        <v>69</v>
      </c>
      <c r="KI264" s="16">
        <v>263</v>
      </c>
      <c r="KJ264" s="16">
        <v>62</v>
      </c>
      <c r="KK264" s="16">
        <v>36459</v>
      </c>
      <c r="KL264" s="16">
        <v>53</v>
      </c>
      <c r="KM264" s="16">
        <v>251</v>
      </c>
      <c r="KN264" s="16">
        <v>74</v>
      </c>
      <c r="KO264" s="16">
        <v>572</v>
      </c>
      <c r="KP264" s="16">
        <v>29</v>
      </c>
      <c r="KQ264" s="16">
        <v>33</v>
      </c>
      <c r="KR264" s="16">
        <v>3511</v>
      </c>
      <c r="KS264" s="16">
        <v>0</v>
      </c>
      <c r="KT264" s="16">
        <v>56</v>
      </c>
      <c r="KU264" s="16">
        <v>3587</v>
      </c>
      <c r="KV264" s="16">
        <v>3354</v>
      </c>
      <c r="KW264" s="16">
        <v>1506</v>
      </c>
      <c r="KX264" s="16">
        <v>9</v>
      </c>
      <c r="KY264" s="16">
        <v>1443</v>
      </c>
      <c r="KZ264" s="16">
        <v>13797</v>
      </c>
      <c r="LA264" s="16">
        <v>2458</v>
      </c>
      <c r="LB264" s="16">
        <v>944</v>
      </c>
      <c r="LC264" s="16">
        <v>2428</v>
      </c>
      <c r="LD264" s="16">
        <v>2794</v>
      </c>
      <c r="LE264" s="16">
        <v>81</v>
      </c>
      <c r="LF264" s="16">
        <v>0</v>
      </c>
      <c r="LG264" s="16">
        <v>84</v>
      </c>
      <c r="LH264" s="16">
        <v>627</v>
      </c>
      <c r="LI264" s="16">
        <v>319</v>
      </c>
      <c r="LJ264" s="16">
        <v>389</v>
      </c>
      <c r="LK264" s="16">
        <v>942</v>
      </c>
      <c r="LL264" s="16">
        <v>836</v>
      </c>
      <c r="LM264" s="16">
        <v>9095</v>
      </c>
      <c r="LN264" s="16">
        <v>5768</v>
      </c>
      <c r="LO264" s="16">
        <v>179</v>
      </c>
      <c r="LP264" s="16">
        <v>1147</v>
      </c>
      <c r="LQ264" s="16">
        <v>922</v>
      </c>
      <c r="LR264" s="16">
        <v>1273</v>
      </c>
      <c r="LS264" s="16">
        <v>289</v>
      </c>
      <c r="LT264" s="16">
        <v>2816</v>
      </c>
      <c r="LU264" s="16">
        <v>335</v>
      </c>
      <c r="LV264" s="16">
        <v>19</v>
      </c>
      <c r="LW264" s="16">
        <v>484</v>
      </c>
      <c r="LX264" s="16">
        <v>2219</v>
      </c>
      <c r="LY264" s="16">
        <v>0</v>
      </c>
      <c r="LZ264" s="16">
        <v>3954</v>
      </c>
      <c r="MA264" s="16">
        <v>5705</v>
      </c>
      <c r="MB264" s="16">
        <v>15683</v>
      </c>
      <c r="MC264" s="16">
        <v>908</v>
      </c>
      <c r="MD264" s="16">
        <v>1458</v>
      </c>
      <c r="ME264" s="16">
        <v>1684</v>
      </c>
      <c r="MF264" s="16">
        <v>13594</v>
      </c>
      <c r="MG264" s="16">
        <v>4466</v>
      </c>
      <c r="MH264" s="16">
        <v>204286</v>
      </c>
      <c r="MI264" s="16">
        <v>620</v>
      </c>
      <c r="MJ264" s="16">
        <v>1463</v>
      </c>
      <c r="MK264" s="16">
        <v>7520</v>
      </c>
      <c r="ML264" s="16">
        <v>1392</v>
      </c>
      <c r="MM264" s="16">
        <v>10102</v>
      </c>
      <c r="MN264" s="16">
        <v>7197</v>
      </c>
      <c r="MO264" s="16">
        <v>2441</v>
      </c>
      <c r="MP264" s="16">
        <v>6114</v>
      </c>
      <c r="MQ264" s="16">
        <v>8981</v>
      </c>
      <c r="MR264" s="16">
        <v>0</v>
      </c>
      <c r="MS264" s="16">
        <v>266</v>
      </c>
      <c r="MT264" s="16">
        <v>0</v>
      </c>
      <c r="MU264" s="16">
        <v>1977</v>
      </c>
      <c r="MV264" s="16">
        <v>4335</v>
      </c>
      <c r="MW264" s="16">
        <v>20372</v>
      </c>
      <c r="MX264" s="16">
        <v>0</v>
      </c>
      <c r="MY264" s="16">
        <v>1063</v>
      </c>
      <c r="MZ264" s="16">
        <v>18565</v>
      </c>
      <c r="NA264" s="16">
        <v>0</v>
      </c>
      <c r="NB264" s="16">
        <v>37853</v>
      </c>
      <c r="NC264" s="16">
        <v>0</v>
      </c>
      <c r="ND264" s="16">
        <v>736</v>
      </c>
      <c r="NE264" s="16">
        <v>243</v>
      </c>
      <c r="NF264" s="16">
        <v>1853</v>
      </c>
      <c r="NG264" s="16">
        <v>3942</v>
      </c>
      <c r="NH264" s="16">
        <v>364</v>
      </c>
      <c r="NI264" s="16">
        <v>1074</v>
      </c>
      <c r="NJ264" s="16">
        <v>22457</v>
      </c>
      <c r="NK264" s="16">
        <v>866</v>
      </c>
      <c r="NL264" s="16">
        <v>421</v>
      </c>
      <c r="NM264" s="16">
        <v>1944</v>
      </c>
      <c r="NN264" s="16">
        <v>177</v>
      </c>
      <c r="NO264" s="16">
        <v>0</v>
      </c>
      <c r="NP264" s="16">
        <v>633</v>
      </c>
      <c r="NQ264" s="16">
        <v>670</v>
      </c>
      <c r="NR264" s="17">
        <v>945886</v>
      </c>
    </row>
    <row r="265" spans="1:382" ht="13.5" customHeight="1" x14ac:dyDescent="0.2">
      <c r="A265" s="2" t="s">
        <v>537</v>
      </c>
      <c r="B265" s="16">
        <v>161</v>
      </c>
      <c r="C265" s="16">
        <v>0</v>
      </c>
      <c r="D265" s="16">
        <v>64</v>
      </c>
      <c r="E265" s="16">
        <v>48</v>
      </c>
      <c r="F265" s="16">
        <v>154</v>
      </c>
      <c r="G265" s="16">
        <v>14</v>
      </c>
      <c r="H265" s="16">
        <v>1</v>
      </c>
      <c r="I265" s="16">
        <v>0</v>
      </c>
      <c r="J265" s="16">
        <v>0</v>
      </c>
      <c r="K265" s="16">
        <v>0</v>
      </c>
      <c r="L265" s="16">
        <v>220</v>
      </c>
      <c r="M265" s="16">
        <v>5</v>
      </c>
      <c r="N265" s="16">
        <v>0</v>
      </c>
      <c r="O265" s="16">
        <v>5</v>
      </c>
      <c r="P265" s="16">
        <v>703</v>
      </c>
      <c r="Q265" s="16">
        <v>1135</v>
      </c>
      <c r="R265" s="16">
        <v>397</v>
      </c>
      <c r="S265" s="16">
        <v>94</v>
      </c>
      <c r="T265" s="16">
        <v>17</v>
      </c>
      <c r="U265" s="16">
        <v>54</v>
      </c>
      <c r="V265" s="16">
        <v>8</v>
      </c>
      <c r="W265" s="16">
        <v>2</v>
      </c>
      <c r="X265" s="16">
        <v>120</v>
      </c>
      <c r="Y265" s="16">
        <v>1154</v>
      </c>
      <c r="Z265" s="16">
        <v>1095</v>
      </c>
      <c r="AA265" s="16">
        <v>3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6">
        <v>623</v>
      </c>
      <c r="AH265" s="16">
        <v>148</v>
      </c>
      <c r="AI265" s="16">
        <v>312</v>
      </c>
      <c r="AJ265" s="16">
        <v>91</v>
      </c>
      <c r="AK265" s="16">
        <v>658</v>
      </c>
      <c r="AL265" s="16">
        <v>29</v>
      </c>
      <c r="AM265" s="16">
        <v>165</v>
      </c>
      <c r="AN265" s="16">
        <v>155</v>
      </c>
      <c r="AO265" s="16">
        <v>0</v>
      </c>
      <c r="AP265" s="16">
        <v>0</v>
      </c>
      <c r="AQ265" s="16">
        <v>0</v>
      </c>
      <c r="AR265" s="16">
        <v>0</v>
      </c>
      <c r="AS265" s="16">
        <v>0</v>
      </c>
      <c r="AT265" s="16">
        <v>0</v>
      </c>
      <c r="AU265" s="16">
        <v>154</v>
      </c>
      <c r="AV265" s="16">
        <v>19</v>
      </c>
      <c r="AW265" s="16">
        <v>559</v>
      </c>
      <c r="AX265" s="16">
        <v>9</v>
      </c>
      <c r="AY265" s="16">
        <v>10</v>
      </c>
      <c r="AZ265" s="16">
        <v>657</v>
      </c>
      <c r="BA265" s="16">
        <v>392</v>
      </c>
      <c r="BB265" s="16">
        <v>125</v>
      </c>
      <c r="BC265" s="16">
        <v>480</v>
      </c>
      <c r="BD265" s="16">
        <v>5</v>
      </c>
      <c r="BE265" s="16">
        <v>28</v>
      </c>
      <c r="BF265" s="16">
        <v>77</v>
      </c>
      <c r="BG265" s="16">
        <v>47</v>
      </c>
      <c r="BH265" s="16">
        <v>196</v>
      </c>
      <c r="BI265" s="16">
        <v>0</v>
      </c>
      <c r="BJ265" s="16">
        <v>1133</v>
      </c>
      <c r="BK265" s="16">
        <v>144</v>
      </c>
      <c r="BL265" s="16">
        <v>179</v>
      </c>
      <c r="BM265" s="16">
        <v>2602</v>
      </c>
      <c r="BN265" s="16">
        <v>3065</v>
      </c>
      <c r="BO265" s="16">
        <v>347</v>
      </c>
      <c r="BP265" s="16">
        <v>166</v>
      </c>
      <c r="BQ265" s="16">
        <v>719</v>
      </c>
      <c r="BR265" s="16">
        <v>38</v>
      </c>
      <c r="BS265" s="16">
        <v>31399</v>
      </c>
      <c r="BT265" s="16">
        <v>57</v>
      </c>
      <c r="BU265" s="16">
        <v>5</v>
      </c>
      <c r="BV265" s="16">
        <v>0</v>
      </c>
      <c r="BW265" s="16">
        <v>469</v>
      </c>
      <c r="BX265" s="16">
        <v>6</v>
      </c>
      <c r="BY265" s="16">
        <v>0</v>
      </c>
      <c r="BZ265" s="16">
        <v>844</v>
      </c>
      <c r="CA265" s="16">
        <v>81</v>
      </c>
      <c r="CB265" s="16">
        <v>14</v>
      </c>
      <c r="CC265" s="16">
        <v>2261</v>
      </c>
      <c r="CD265" s="16">
        <v>162</v>
      </c>
      <c r="CE265" s="16">
        <v>28</v>
      </c>
      <c r="CF265" s="16">
        <v>184</v>
      </c>
      <c r="CG265" s="16">
        <v>117</v>
      </c>
      <c r="CH265" s="16">
        <v>11590</v>
      </c>
      <c r="CI265" s="16">
        <v>91</v>
      </c>
      <c r="CJ265" s="16">
        <v>286</v>
      </c>
      <c r="CK265" s="16">
        <v>2419</v>
      </c>
      <c r="CL265" s="16">
        <v>1611</v>
      </c>
      <c r="CM265" s="16">
        <v>1824</v>
      </c>
      <c r="CN265" s="16">
        <v>103</v>
      </c>
      <c r="CO265" s="16">
        <v>504</v>
      </c>
      <c r="CP265" s="16">
        <v>1722</v>
      </c>
      <c r="CQ265" s="16">
        <v>4316</v>
      </c>
      <c r="CR265" s="16">
        <v>34</v>
      </c>
      <c r="CS265" s="16">
        <v>68</v>
      </c>
      <c r="CT265" s="16">
        <v>41</v>
      </c>
      <c r="CU265" s="16">
        <v>103</v>
      </c>
      <c r="CV265" s="16">
        <v>163</v>
      </c>
      <c r="CW265" s="16">
        <v>947</v>
      </c>
      <c r="CX265" s="16">
        <v>3875</v>
      </c>
      <c r="CY265" s="16">
        <v>46</v>
      </c>
      <c r="CZ265" s="16">
        <v>123</v>
      </c>
      <c r="DA265" s="16">
        <v>2</v>
      </c>
      <c r="DB265" s="16">
        <v>25</v>
      </c>
      <c r="DC265" s="16">
        <v>4</v>
      </c>
      <c r="DD265" s="16">
        <v>24</v>
      </c>
      <c r="DE265" s="16">
        <v>40</v>
      </c>
      <c r="DF265" s="16">
        <v>350</v>
      </c>
      <c r="DG265" s="16">
        <v>258</v>
      </c>
      <c r="DH265" s="16">
        <v>79</v>
      </c>
      <c r="DI265" s="16">
        <v>35</v>
      </c>
      <c r="DJ265" s="16">
        <v>1329</v>
      </c>
      <c r="DK265" s="16">
        <v>196</v>
      </c>
      <c r="DL265" s="16">
        <v>49</v>
      </c>
      <c r="DM265" s="16">
        <v>1721</v>
      </c>
      <c r="DN265" s="16">
        <v>45</v>
      </c>
      <c r="DO265" s="16">
        <v>33</v>
      </c>
      <c r="DP265" s="16">
        <v>238</v>
      </c>
      <c r="DQ265" s="16">
        <v>113</v>
      </c>
      <c r="DR265" s="16">
        <v>228</v>
      </c>
      <c r="DS265" s="16">
        <v>9822</v>
      </c>
      <c r="DT265" s="16">
        <v>29</v>
      </c>
      <c r="DU265" s="16">
        <v>121</v>
      </c>
      <c r="DV265" s="16">
        <v>245</v>
      </c>
      <c r="DW265" s="16">
        <v>497</v>
      </c>
      <c r="DX265" s="16">
        <v>1133</v>
      </c>
      <c r="DY265" s="16">
        <v>1357</v>
      </c>
      <c r="DZ265" s="16">
        <v>691</v>
      </c>
      <c r="EA265" s="16">
        <v>1409</v>
      </c>
      <c r="EB265" s="16">
        <v>56</v>
      </c>
      <c r="EC265" s="16">
        <v>263</v>
      </c>
      <c r="ED265" s="16">
        <v>55</v>
      </c>
      <c r="EE265" s="16">
        <v>5</v>
      </c>
      <c r="EF265" s="16">
        <v>16</v>
      </c>
      <c r="EG265" s="16">
        <v>911</v>
      </c>
      <c r="EH265" s="16">
        <v>98</v>
      </c>
      <c r="EI265" s="16">
        <v>27</v>
      </c>
      <c r="EJ265" s="16">
        <v>11</v>
      </c>
      <c r="EK265" s="16">
        <v>88</v>
      </c>
      <c r="EL265" s="16">
        <v>12</v>
      </c>
      <c r="EM265" s="16">
        <v>61</v>
      </c>
      <c r="EN265" s="16">
        <v>1211</v>
      </c>
      <c r="EO265" s="16">
        <v>404</v>
      </c>
      <c r="EP265" s="16">
        <v>43</v>
      </c>
      <c r="EQ265" s="16">
        <v>131</v>
      </c>
      <c r="ER265" s="16">
        <v>26</v>
      </c>
      <c r="ES265" s="16">
        <v>25</v>
      </c>
      <c r="ET265" s="16">
        <v>191</v>
      </c>
      <c r="EU265" s="16">
        <v>0</v>
      </c>
      <c r="EV265" s="16">
        <v>5</v>
      </c>
      <c r="EW265" s="16">
        <v>5</v>
      </c>
      <c r="EX265" s="16">
        <v>2901</v>
      </c>
      <c r="EY265" s="16">
        <v>149</v>
      </c>
      <c r="EZ265" s="16">
        <v>10</v>
      </c>
      <c r="FA265" s="16">
        <v>40</v>
      </c>
      <c r="FB265" s="16">
        <v>227</v>
      </c>
      <c r="FC265" s="16">
        <v>5</v>
      </c>
      <c r="FD265" s="16">
        <v>1644</v>
      </c>
      <c r="FE265" s="16">
        <v>315</v>
      </c>
      <c r="FF265" s="16">
        <v>66</v>
      </c>
      <c r="FG265" s="16">
        <v>659</v>
      </c>
      <c r="FH265" s="16">
        <v>0</v>
      </c>
      <c r="FI265" s="16">
        <v>54</v>
      </c>
      <c r="FJ265" s="16">
        <v>24</v>
      </c>
      <c r="FK265" s="16">
        <v>466</v>
      </c>
      <c r="FL265" s="16">
        <v>6</v>
      </c>
      <c r="FM265" s="16">
        <v>177</v>
      </c>
      <c r="FN265" s="16">
        <v>758</v>
      </c>
      <c r="FO265" s="16">
        <v>168</v>
      </c>
      <c r="FP265" s="16">
        <v>607</v>
      </c>
      <c r="FQ265" s="16">
        <v>2042</v>
      </c>
      <c r="FR265" s="16">
        <v>781</v>
      </c>
      <c r="FS265" s="16">
        <v>609</v>
      </c>
      <c r="FT265" s="16">
        <v>231</v>
      </c>
      <c r="FU265" s="16">
        <v>1918</v>
      </c>
      <c r="FV265" s="16">
        <v>2133</v>
      </c>
      <c r="FW265" s="16">
        <v>1045</v>
      </c>
      <c r="FX265" s="16">
        <v>1588</v>
      </c>
      <c r="FY265" s="16">
        <v>71</v>
      </c>
      <c r="FZ265" s="16">
        <v>1286</v>
      </c>
      <c r="GA265" s="16">
        <v>160</v>
      </c>
      <c r="GB265" s="16">
        <v>5186</v>
      </c>
      <c r="GC265" s="16">
        <v>519</v>
      </c>
      <c r="GD265" s="16">
        <v>2989</v>
      </c>
      <c r="GE265" s="16">
        <v>12</v>
      </c>
      <c r="GF265" s="16">
        <v>131</v>
      </c>
      <c r="GG265" s="16">
        <v>52</v>
      </c>
      <c r="GH265" s="16">
        <v>239</v>
      </c>
      <c r="GI265" s="16">
        <v>233</v>
      </c>
      <c r="GJ265" s="16">
        <v>516</v>
      </c>
      <c r="GK265" s="16">
        <v>186</v>
      </c>
      <c r="GL265" s="16">
        <v>837</v>
      </c>
      <c r="GM265" s="16">
        <v>2</v>
      </c>
      <c r="GN265" s="16">
        <v>217</v>
      </c>
      <c r="GO265" s="16">
        <v>503</v>
      </c>
      <c r="GP265" s="16">
        <v>1358</v>
      </c>
      <c r="GQ265" s="16">
        <v>650</v>
      </c>
      <c r="GR265" s="16">
        <v>156</v>
      </c>
      <c r="GS265" s="16">
        <v>10</v>
      </c>
      <c r="GT265" s="16">
        <v>10</v>
      </c>
      <c r="GU265" s="16">
        <v>6641</v>
      </c>
      <c r="GV265" s="16">
        <v>539</v>
      </c>
      <c r="GW265" s="16">
        <v>212</v>
      </c>
      <c r="GX265" s="16">
        <v>28</v>
      </c>
      <c r="GY265" s="16">
        <v>42</v>
      </c>
      <c r="GZ265" s="16">
        <v>507</v>
      </c>
      <c r="HA265" s="16">
        <v>244</v>
      </c>
      <c r="HB265" s="16">
        <v>143</v>
      </c>
      <c r="HC265" s="16">
        <v>442</v>
      </c>
      <c r="HD265" s="16">
        <v>2438</v>
      </c>
      <c r="HE265" s="16">
        <v>244</v>
      </c>
      <c r="HF265" s="16">
        <v>850</v>
      </c>
      <c r="HG265" s="16">
        <v>563</v>
      </c>
      <c r="HH265" s="16">
        <v>132</v>
      </c>
      <c r="HI265" s="16">
        <v>1251</v>
      </c>
      <c r="HJ265" s="16">
        <v>2962</v>
      </c>
      <c r="HK265" s="16">
        <v>88</v>
      </c>
      <c r="HL265" s="16">
        <v>2969</v>
      </c>
      <c r="HM265" s="16">
        <v>359</v>
      </c>
      <c r="HN265" s="16">
        <v>1575</v>
      </c>
      <c r="HO265" s="16">
        <v>634</v>
      </c>
      <c r="HP265" s="16">
        <v>145</v>
      </c>
      <c r="HQ265" s="16">
        <v>470</v>
      </c>
      <c r="HR265" s="16">
        <v>1541</v>
      </c>
      <c r="HS265" s="16">
        <v>4928</v>
      </c>
      <c r="HT265" s="16">
        <v>173</v>
      </c>
      <c r="HU265" s="16">
        <v>376</v>
      </c>
      <c r="HV265" s="16">
        <v>651</v>
      </c>
      <c r="HW265" s="16">
        <v>561</v>
      </c>
      <c r="HX265" s="16">
        <v>182</v>
      </c>
      <c r="HY265" s="16">
        <v>602</v>
      </c>
      <c r="HZ265" s="16">
        <v>317</v>
      </c>
      <c r="IA265" s="16">
        <v>454</v>
      </c>
      <c r="IB265" s="16">
        <v>39</v>
      </c>
      <c r="IC265" s="16">
        <v>169</v>
      </c>
      <c r="ID265" s="16">
        <v>244</v>
      </c>
      <c r="IE265" s="16">
        <v>10</v>
      </c>
      <c r="IF265" s="16">
        <v>263</v>
      </c>
      <c r="IG265" s="16">
        <v>1255</v>
      </c>
      <c r="IH265" s="16">
        <v>1402</v>
      </c>
      <c r="II265" s="16">
        <v>227</v>
      </c>
      <c r="IJ265" s="16">
        <v>16</v>
      </c>
      <c r="IK265" s="16">
        <v>103</v>
      </c>
      <c r="IL265" s="16">
        <v>20</v>
      </c>
      <c r="IM265" s="16">
        <v>5</v>
      </c>
      <c r="IN265" s="16">
        <v>253</v>
      </c>
      <c r="IO265" s="16">
        <v>4905</v>
      </c>
      <c r="IP265" s="16">
        <v>48</v>
      </c>
      <c r="IQ265" s="16">
        <v>7</v>
      </c>
      <c r="IR265" s="16">
        <v>10</v>
      </c>
      <c r="IS265" s="16">
        <v>147</v>
      </c>
      <c r="IT265" s="16">
        <v>17736</v>
      </c>
      <c r="IU265" s="16">
        <v>1</v>
      </c>
      <c r="IV265" s="16">
        <v>1297</v>
      </c>
      <c r="IW265" s="16">
        <v>755</v>
      </c>
      <c r="IX265" s="16">
        <v>556</v>
      </c>
      <c r="IY265" s="16">
        <v>120</v>
      </c>
      <c r="IZ265" s="16">
        <v>57</v>
      </c>
      <c r="JA265" s="16">
        <v>709</v>
      </c>
      <c r="JB265" s="16">
        <v>46</v>
      </c>
      <c r="JC265" s="16">
        <v>161</v>
      </c>
      <c r="JD265" s="16">
        <v>5206</v>
      </c>
      <c r="JE265" s="16">
        <v>126125</v>
      </c>
      <c r="JF265" s="16">
        <v>15354</v>
      </c>
      <c r="JG265" s="16">
        <v>7697</v>
      </c>
      <c r="JH265" s="16">
        <v>927</v>
      </c>
      <c r="JI265" s="16">
        <v>246</v>
      </c>
      <c r="JJ265" s="16">
        <v>658</v>
      </c>
      <c r="JK265" s="16">
        <v>3717</v>
      </c>
      <c r="JL265" s="16">
        <v>30</v>
      </c>
      <c r="JM265" s="16">
        <v>0</v>
      </c>
      <c r="JN265" s="16">
        <v>5</v>
      </c>
      <c r="JO265" s="16">
        <v>62</v>
      </c>
      <c r="JP265" s="16">
        <v>7869</v>
      </c>
      <c r="JQ265" s="16">
        <v>301</v>
      </c>
      <c r="JR265" s="16">
        <v>25589</v>
      </c>
      <c r="JS265" s="16">
        <v>20503</v>
      </c>
      <c r="JT265" s="16">
        <v>0</v>
      </c>
      <c r="JU265" s="16">
        <v>2124</v>
      </c>
      <c r="JV265" s="16">
        <v>291</v>
      </c>
      <c r="JW265" s="16">
        <v>128</v>
      </c>
      <c r="JX265" s="16">
        <v>1857</v>
      </c>
      <c r="JY265" s="16">
        <v>1470</v>
      </c>
      <c r="JZ265" s="16">
        <v>199</v>
      </c>
      <c r="KA265" s="16">
        <v>340</v>
      </c>
      <c r="KB265" s="16">
        <v>40</v>
      </c>
      <c r="KC265" s="16">
        <v>99</v>
      </c>
      <c r="KD265" s="16">
        <v>9</v>
      </c>
      <c r="KE265" s="16">
        <v>28</v>
      </c>
      <c r="KF265" s="16">
        <v>1321</v>
      </c>
      <c r="KG265" s="16">
        <v>1731</v>
      </c>
      <c r="KH265" s="16">
        <v>95</v>
      </c>
      <c r="KI265" s="16">
        <v>963</v>
      </c>
      <c r="KJ265" s="16">
        <v>182</v>
      </c>
      <c r="KK265" s="16">
        <v>84066</v>
      </c>
      <c r="KL265" s="16">
        <v>137</v>
      </c>
      <c r="KM265" s="16">
        <v>186</v>
      </c>
      <c r="KN265" s="16">
        <v>215</v>
      </c>
      <c r="KO265" s="16">
        <v>528</v>
      </c>
      <c r="KP265" s="16">
        <v>125</v>
      </c>
      <c r="KQ265" s="16">
        <v>64</v>
      </c>
      <c r="KR265" s="16">
        <v>5466</v>
      </c>
      <c r="KS265" s="16">
        <v>8</v>
      </c>
      <c r="KT265" s="16">
        <v>511</v>
      </c>
      <c r="KU265" s="16">
        <v>4118</v>
      </c>
      <c r="KV265" s="16">
        <v>8944</v>
      </c>
      <c r="KW265" s="16">
        <v>11178</v>
      </c>
      <c r="KX265" s="16">
        <v>233</v>
      </c>
      <c r="KY265" s="16">
        <v>25039</v>
      </c>
      <c r="KZ265" s="16">
        <v>129643</v>
      </c>
      <c r="LA265" s="16">
        <v>49201</v>
      </c>
      <c r="LB265" s="16">
        <v>70620</v>
      </c>
      <c r="LC265" s="16">
        <v>61838</v>
      </c>
      <c r="LD265" s="16">
        <v>22100</v>
      </c>
      <c r="LE265" s="16">
        <v>2802</v>
      </c>
      <c r="LF265" s="16">
        <v>1310</v>
      </c>
      <c r="LG265" s="16">
        <v>1724</v>
      </c>
      <c r="LH265" s="16">
        <v>15906</v>
      </c>
      <c r="LI265" s="16">
        <v>1215</v>
      </c>
      <c r="LJ265" s="16">
        <v>10000</v>
      </c>
      <c r="LK265" s="16">
        <v>18987</v>
      </c>
      <c r="LL265" s="16">
        <v>1465</v>
      </c>
      <c r="LM265" s="16">
        <v>9609</v>
      </c>
      <c r="LN265" s="16">
        <v>89385</v>
      </c>
      <c r="LO265" s="16">
        <v>160</v>
      </c>
      <c r="LP265" s="16">
        <v>31808</v>
      </c>
      <c r="LQ265" s="16">
        <v>4536</v>
      </c>
      <c r="LR265" s="16">
        <v>12205</v>
      </c>
      <c r="LS265" s="16">
        <v>1116</v>
      </c>
      <c r="LT265" s="16">
        <v>16680</v>
      </c>
      <c r="LU265" s="16">
        <v>6529</v>
      </c>
      <c r="LV265" s="16">
        <v>60</v>
      </c>
      <c r="LW265" s="16">
        <v>8339</v>
      </c>
      <c r="LX265" s="16">
        <v>7592</v>
      </c>
      <c r="LY265" s="16">
        <v>0</v>
      </c>
      <c r="LZ265" s="16">
        <v>11271</v>
      </c>
      <c r="MA265" s="16">
        <v>33121</v>
      </c>
      <c r="MB265" s="16">
        <v>91779</v>
      </c>
      <c r="MC265" s="16">
        <v>19375</v>
      </c>
      <c r="MD265" s="16">
        <v>6656</v>
      </c>
      <c r="ME265" s="16">
        <v>760</v>
      </c>
      <c r="MF265" s="16">
        <v>37970</v>
      </c>
      <c r="MG265" s="16">
        <v>17841</v>
      </c>
      <c r="MH265" s="16">
        <v>310818</v>
      </c>
      <c r="MI265" s="16">
        <v>72211</v>
      </c>
      <c r="MJ265" s="16">
        <v>37914</v>
      </c>
      <c r="MK265" s="16">
        <v>32415</v>
      </c>
      <c r="ML265" s="16">
        <v>5249</v>
      </c>
      <c r="MM265" s="16">
        <v>44786</v>
      </c>
      <c r="MN265" s="16">
        <v>56204</v>
      </c>
      <c r="MO265" s="16">
        <v>5644</v>
      </c>
      <c r="MP265" s="16">
        <v>7838</v>
      </c>
      <c r="MQ265" s="16">
        <v>82264</v>
      </c>
      <c r="MR265" s="16">
        <v>102117</v>
      </c>
      <c r="MS265" s="16">
        <v>214597</v>
      </c>
      <c r="MT265" s="16">
        <v>3105</v>
      </c>
      <c r="MU265" s="16">
        <v>387932</v>
      </c>
      <c r="MV265" s="16">
        <v>51237</v>
      </c>
      <c r="MW265" s="16">
        <v>136178</v>
      </c>
      <c r="MX265" s="16">
        <v>29034</v>
      </c>
      <c r="MY265" s="16">
        <v>2602</v>
      </c>
      <c r="MZ265" s="16">
        <v>57276</v>
      </c>
      <c r="NA265" s="16">
        <v>95451</v>
      </c>
      <c r="NB265" s="16">
        <v>29479</v>
      </c>
      <c r="NC265" s="16">
        <v>74766</v>
      </c>
      <c r="ND265" s="16">
        <v>54934</v>
      </c>
      <c r="NE265" s="16">
        <v>4708</v>
      </c>
      <c r="NF265" s="16">
        <v>16693</v>
      </c>
      <c r="NG265" s="16">
        <v>41605</v>
      </c>
      <c r="NH265" s="16">
        <v>14701</v>
      </c>
      <c r="NI265" s="16">
        <v>21525</v>
      </c>
      <c r="NJ265" s="16">
        <v>172258</v>
      </c>
      <c r="NK265" s="16">
        <v>1959</v>
      </c>
      <c r="NL265" s="16">
        <v>922</v>
      </c>
      <c r="NM265" s="16">
        <v>18608</v>
      </c>
      <c r="NN265" s="16">
        <v>2335</v>
      </c>
      <c r="NO265" s="16">
        <v>0</v>
      </c>
      <c r="NP265" s="16">
        <v>14485</v>
      </c>
      <c r="NQ265" s="16">
        <v>682</v>
      </c>
      <c r="NR265" s="17">
        <v>3569885</v>
      </c>
    </row>
    <row r="266" spans="1:382" ht="13.5" customHeight="1" x14ac:dyDescent="0.2">
      <c r="A266" s="2" t="s">
        <v>539</v>
      </c>
      <c r="B266" s="16">
        <v>15</v>
      </c>
      <c r="C266" s="16">
        <v>0</v>
      </c>
      <c r="D266" s="16">
        <v>44</v>
      </c>
      <c r="E266" s="16">
        <v>18</v>
      </c>
      <c r="F266" s="16">
        <v>25</v>
      </c>
      <c r="G266" s="16">
        <v>5</v>
      </c>
      <c r="H266" s="16">
        <v>1</v>
      </c>
      <c r="I266" s="16">
        <v>0</v>
      </c>
      <c r="J266" s="16">
        <v>0</v>
      </c>
      <c r="K266" s="16">
        <v>0</v>
      </c>
      <c r="L266" s="16">
        <v>24</v>
      </c>
      <c r="M266" s="16">
        <v>0</v>
      </c>
      <c r="N266" s="16">
        <v>0</v>
      </c>
      <c r="O266" s="16">
        <v>1</v>
      </c>
      <c r="P266" s="16">
        <v>700</v>
      </c>
      <c r="Q266" s="16">
        <v>296</v>
      </c>
      <c r="R266" s="16">
        <v>46</v>
      </c>
      <c r="S266" s="16">
        <v>32</v>
      </c>
      <c r="T266" s="16">
        <v>4</v>
      </c>
      <c r="U266" s="16">
        <v>0</v>
      </c>
      <c r="V266" s="16">
        <v>0</v>
      </c>
      <c r="W266" s="16">
        <v>0</v>
      </c>
      <c r="X266" s="16">
        <v>26</v>
      </c>
      <c r="Y266" s="16">
        <v>107</v>
      </c>
      <c r="Z266" s="16">
        <v>249</v>
      </c>
      <c r="AA266" s="16">
        <v>3</v>
      </c>
      <c r="AB266" s="16">
        <v>0</v>
      </c>
      <c r="AC266" s="16">
        <v>0</v>
      </c>
      <c r="AD266" s="16">
        <v>0</v>
      </c>
      <c r="AE266" s="16">
        <v>4</v>
      </c>
      <c r="AF266" s="16">
        <v>0</v>
      </c>
      <c r="AG266" s="16">
        <v>406</v>
      </c>
      <c r="AH266" s="16">
        <v>883</v>
      </c>
      <c r="AI266" s="16">
        <v>279</v>
      </c>
      <c r="AJ266" s="16">
        <v>90</v>
      </c>
      <c r="AK266" s="16">
        <v>101</v>
      </c>
      <c r="AL266" s="16">
        <v>3</v>
      </c>
      <c r="AM266" s="16">
        <v>53</v>
      </c>
      <c r="AN266" s="16">
        <v>407</v>
      </c>
      <c r="AO266" s="16">
        <v>1762</v>
      </c>
      <c r="AP266" s="16">
        <v>0</v>
      </c>
      <c r="AQ266" s="16">
        <v>0</v>
      </c>
      <c r="AR266" s="16">
        <v>0</v>
      </c>
      <c r="AS266" s="16">
        <v>0</v>
      </c>
      <c r="AT266" s="16">
        <v>8</v>
      </c>
      <c r="AU266" s="16">
        <v>105</v>
      </c>
      <c r="AV266" s="16">
        <v>0</v>
      </c>
      <c r="AW266" s="16">
        <v>165</v>
      </c>
      <c r="AX266" s="16">
        <v>4</v>
      </c>
      <c r="AY266" s="16">
        <v>0</v>
      </c>
      <c r="AZ266" s="16">
        <v>396</v>
      </c>
      <c r="BA266" s="16">
        <v>25</v>
      </c>
      <c r="BB266" s="16">
        <v>8</v>
      </c>
      <c r="BC266" s="16">
        <v>26</v>
      </c>
      <c r="BD266" s="16">
        <v>2</v>
      </c>
      <c r="BE266" s="16">
        <v>26</v>
      </c>
      <c r="BF266" s="16">
        <v>0</v>
      </c>
      <c r="BG266" s="16">
        <v>906</v>
      </c>
      <c r="BH266" s="16">
        <v>317</v>
      </c>
      <c r="BI266" s="16">
        <v>241772</v>
      </c>
      <c r="BJ266" s="16">
        <v>19</v>
      </c>
      <c r="BK266" s="16">
        <v>24</v>
      </c>
      <c r="BL266" s="16">
        <v>110</v>
      </c>
      <c r="BM266" s="16">
        <v>580</v>
      </c>
      <c r="BN266" s="16">
        <v>650</v>
      </c>
      <c r="BO266" s="16">
        <v>383</v>
      </c>
      <c r="BP266" s="16">
        <v>4291</v>
      </c>
      <c r="BQ266" s="16">
        <v>75</v>
      </c>
      <c r="BR266" s="16">
        <v>2</v>
      </c>
      <c r="BS266" s="16">
        <v>304136</v>
      </c>
      <c r="BT266" s="16">
        <v>20193</v>
      </c>
      <c r="BU266" s="16">
        <v>361</v>
      </c>
      <c r="BV266" s="16">
        <v>0</v>
      </c>
      <c r="BW266" s="16">
        <v>15908</v>
      </c>
      <c r="BX266" s="16">
        <v>4</v>
      </c>
      <c r="BY266" s="16">
        <v>0</v>
      </c>
      <c r="BZ266" s="16">
        <v>3556</v>
      </c>
      <c r="CA266" s="16">
        <v>2586</v>
      </c>
      <c r="CB266" s="16">
        <v>10</v>
      </c>
      <c r="CC266" s="16">
        <v>60</v>
      </c>
      <c r="CD266" s="16">
        <v>23</v>
      </c>
      <c r="CE266" s="16">
        <v>1</v>
      </c>
      <c r="CF266" s="16">
        <v>220</v>
      </c>
      <c r="CG266" s="16">
        <v>12</v>
      </c>
      <c r="CH266" s="16">
        <v>4529</v>
      </c>
      <c r="CI266" s="16">
        <v>30</v>
      </c>
      <c r="CJ266" s="16">
        <v>257</v>
      </c>
      <c r="CK266" s="16">
        <v>1580</v>
      </c>
      <c r="CL266" s="16">
        <v>769</v>
      </c>
      <c r="CM266" s="16">
        <v>150</v>
      </c>
      <c r="CN266" s="16">
        <v>114</v>
      </c>
      <c r="CO266" s="16">
        <v>1203</v>
      </c>
      <c r="CP266" s="16">
        <v>750</v>
      </c>
      <c r="CQ266" s="16">
        <v>1507</v>
      </c>
      <c r="CR266" s="16">
        <v>27</v>
      </c>
      <c r="CS266" s="16">
        <v>1</v>
      </c>
      <c r="CT266" s="16">
        <v>394</v>
      </c>
      <c r="CU266" s="16">
        <v>519</v>
      </c>
      <c r="CV266" s="16">
        <v>814</v>
      </c>
      <c r="CW266" s="16">
        <v>2712</v>
      </c>
      <c r="CX266" s="16">
        <v>2627</v>
      </c>
      <c r="CY266" s="16">
        <v>265</v>
      </c>
      <c r="CZ266" s="16">
        <v>262</v>
      </c>
      <c r="DA266" s="16">
        <v>8</v>
      </c>
      <c r="DB266" s="16">
        <v>335</v>
      </c>
      <c r="DC266" s="16">
        <v>1</v>
      </c>
      <c r="DD266" s="16">
        <v>10</v>
      </c>
      <c r="DE266" s="16">
        <v>1</v>
      </c>
      <c r="DF266" s="16">
        <v>76</v>
      </c>
      <c r="DG266" s="16">
        <v>234</v>
      </c>
      <c r="DH266" s="16">
        <v>29</v>
      </c>
      <c r="DI266" s="16">
        <v>181</v>
      </c>
      <c r="DJ266" s="16">
        <v>405</v>
      </c>
      <c r="DK266" s="16">
        <v>17</v>
      </c>
      <c r="DL266" s="16">
        <v>4</v>
      </c>
      <c r="DM266" s="16">
        <v>54</v>
      </c>
      <c r="DN266" s="16">
        <v>20</v>
      </c>
      <c r="DO266" s="16">
        <v>3</v>
      </c>
      <c r="DP266" s="16">
        <v>18</v>
      </c>
      <c r="DQ266" s="16">
        <v>0</v>
      </c>
      <c r="DR266" s="16">
        <v>1179</v>
      </c>
      <c r="DS266" s="16">
        <v>7261</v>
      </c>
      <c r="DT266" s="16">
        <v>13</v>
      </c>
      <c r="DU266" s="16">
        <v>0</v>
      </c>
      <c r="DV266" s="16">
        <v>42</v>
      </c>
      <c r="DW266" s="16">
        <v>22</v>
      </c>
      <c r="DX266" s="16">
        <v>66</v>
      </c>
      <c r="DY266" s="16">
        <v>166</v>
      </c>
      <c r="DZ266" s="16">
        <v>525</v>
      </c>
      <c r="EA266" s="16">
        <v>4483</v>
      </c>
      <c r="EB266" s="16">
        <v>69</v>
      </c>
      <c r="EC266" s="16">
        <v>358</v>
      </c>
      <c r="ED266" s="16">
        <v>350</v>
      </c>
      <c r="EE266" s="16">
        <v>5</v>
      </c>
      <c r="EF266" s="16">
        <v>6</v>
      </c>
      <c r="EG266" s="16">
        <v>309</v>
      </c>
      <c r="EH266" s="16">
        <v>24</v>
      </c>
      <c r="EI266" s="16">
        <v>12</v>
      </c>
      <c r="EJ266" s="16">
        <v>314</v>
      </c>
      <c r="EK266" s="16">
        <v>56</v>
      </c>
      <c r="EL266" s="16">
        <v>2</v>
      </c>
      <c r="EM266" s="16">
        <v>73</v>
      </c>
      <c r="EN266" s="16">
        <v>30</v>
      </c>
      <c r="EO266" s="16">
        <v>377</v>
      </c>
      <c r="EP266" s="16">
        <v>47</v>
      </c>
      <c r="EQ266" s="16">
        <v>33</v>
      </c>
      <c r="ER266" s="16">
        <v>24</v>
      </c>
      <c r="ES266" s="16">
        <v>58</v>
      </c>
      <c r="ET266" s="16">
        <v>71</v>
      </c>
      <c r="EU266" s="16">
        <v>0</v>
      </c>
      <c r="EV266" s="16">
        <v>0</v>
      </c>
      <c r="EW266" s="16">
        <v>6</v>
      </c>
      <c r="EX266" s="16">
        <v>1645</v>
      </c>
      <c r="EY266" s="16">
        <v>0</v>
      </c>
      <c r="EZ266" s="16">
        <v>10</v>
      </c>
      <c r="FA266" s="16">
        <v>2</v>
      </c>
      <c r="FB266" s="16">
        <v>3</v>
      </c>
      <c r="FC266" s="16">
        <v>1</v>
      </c>
      <c r="FD266" s="16">
        <v>803</v>
      </c>
      <c r="FE266" s="16">
        <v>90</v>
      </c>
      <c r="FF266" s="16">
        <v>67</v>
      </c>
      <c r="FG266" s="16">
        <v>2</v>
      </c>
      <c r="FH266" s="16">
        <v>0</v>
      </c>
      <c r="FI266" s="16">
        <v>0</v>
      </c>
      <c r="FJ266" s="16">
        <v>0</v>
      </c>
      <c r="FK266" s="16">
        <v>0</v>
      </c>
      <c r="FL266" s="16">
        <v>0</v>
      </c>
      <c r="FM266" s="16">
        <v>0</v>
      </c>
      <c r="FN266" s="16">
        <v>1695</v>
      </c>
      <c r="FO266" s="16">
        <v>93</v>
      </c>
      <c r="FP266" s="16">
        <v>674</v>
      </c>
      <c r="FQ266" s="16">
        <v>696</v>
      </c>
      <c r="FR266" s="16">
        <v>747</v>
      </c>
      <c r="FS266" s="16">
        <v>9</v>
      </c>
      <c r="FT266" s="16">
        <v>22</v>
      </c>
      <c r="FU266" s="16">
        <v>108</v>
      </c>
      <c r="FV266" s="16">
        <v>1461</v>
      </c>
      <c r="FW266" s="16">
        <v>933</v>
      </c>
      <c r="FX266" s="16">
        <v>1906</v>
      </c>
      <c r="FY266" s="16">
        <v>540</v>
      </c>
      <c r="FZ266" s="16">
        <v>126</v>
      </c>
      <c r="GA266" s="16">
        <v>48</v>
      </c>
      <c r="GB266" s="16">
        <v>782</v>
      </c>
      <c r="GC266" s="16">
        <v>18</v>
      </c>
      <c r="GD266" s="16">
        <v>260</v>
      </c>
      <c r="GE266" s="16">
        <v>12</v>
      </c>
      <c r="GF266" s="16">
        <v>98</v>
      </c>
      <c r="GG266" s="16">
        <v>125</v>
      </c>
      <c r="GH266" s="16">
        <v>168</v>
      </c>
      <c r="GI266" s="16">
        <v>452</v>
      </c>
      <c r="GJ266" s="16">
        <v>322</v>
      </c>
      <c r="GK266" s="16">
        <v>44</v>
      </c>
      <c r="GL266" s="16">
        <v>1</v>
      </c>
      <c r="GM266" s="16">
        <v>2</v>
      </c>
      <c r="GN266" s="16">
        <v>4</v>
      </c>
      <c r="GO266" s="16">
        <v>7</v>
      </c>
      <c r="GP266" s="16">
        <v>7</v>
      </c>
      <c r="GQ266" s="16">
        <v>0</v>
      </c>
      <c r="GR266" s="16">
        <v>5</v>
      </c>
      <c r="GS266" s="16">
        <v>2</v>
      </c>
      <c r="GT266" s="16">
        <v>2</v>
      </c>
      <c r="GU266" s="16">
        <v>331</v>
      </c>
      <c r="GV266" s="16">
        <v>16</v>
      </c>
      <c r="GW266" s="16">
        <v>161</v>
      </c>
      <c r="GX266" s="16">
        <v>83</v>
      </c>
      <c r="GY266" s="16">
        <v>19</v>
      </c>
      <c r="GZ266" s="16">
        <v>292</v>
      </c>
      <c r="HA266" s="16">
        <v>145</v>
      </c>
      <c r="HB266" s="16">
        <v>17</v>
      </c>
      <c r="HC266" s="16">
        <v>279</v>
      </c>
      <c r="HD266" s="16">
        <v>414</v>
      </c>
      <c r="HE266" s="16">
        <v>3</v>
      </c>
      <c r="HF266" s="16">
        <v>631</v>
      </c>
      <c r="HG266" s="16">
        <v>37</v>
      </c>
      <c r="HH266" s="16">
        <v>5</v>
      </c>
      <c r="HI266" s="16">
        <v>171</v>
      </c>
      <c r="HJ266" s="16">
        <v>18</v>
      </c>
      <c r="HK266" s="16">
        <v>38</v>
      </c>
      <c r="HL266" s="16">
        <v>493</v>
      </c>
      <c r="HM266" s="16">
        <v>98</v>
      </c>
      <c r="HN266" s="16">
        <v>13</v>
      </c>
      <c r="HO266" s="16">
        <v>269</v>
      </c>
      <c r="HP266" s="16">
        <v>8</v>
      </c>
      <c r="HQ266" s="16">
        <v>241</v>
      </c>
      <c r="HR266" s="16">
        <v>38</v>
      </c>
      <c r="HS266" s="16">
        <v>535</v>
      </c>
      <c r="HT266" s="16">
        <v>26</v>
      </c>
      <c r="HU266" s="16">
        <v>18</v>
      </c>
      <c r="HV266" s="16">
        <v>153</v>
      </c>
      <c r="HW266" s="16">
        <v>345</v>
      </c>
      <c r="HX266" s="16">
        <v>83</v>
      </c>
      <c r="HY266" s="16">
        <v>12</v>
      </c>
      <c r="HZ266" s="16">
        <v>11</v>
      </c>
      <c r="IA266" s="16">
        <v>2</v>
      </c>
      <c r="IB266" s="16">
        <v>43</v>
      </c>
      <c r="IC266" s="16">
        <v>58</v>
      </c>
      <c r="ID266" s="16">
        <v>3</v>
      </c>
      <c r="IE266" s="16">
        <v>1</v>
      </c>
      <c r="IF266" s="16">
        <v>3</v>
      </c>
      <c r="IG266" s="16">
        <v>10</v>
      </c>
      <c r="IH266" s="16">
        <v>1476</v>
      </c>
      <c r="II266" s="16">
        <v>76</v>
      </c>
      <c r="IJ266" s="16">
        <v>27</v>
      </c>
      <c r="IK266" s="16">
        <v>21</v>
      </c>
      <c r="IL266" s="16">
        <v>9</v>
      </c>
      <c r="IM266" s="16">
        <v>3</v>
      </c>
      <c r="IN266" s="16">
        <v>89</v>
      </c>
      <c r="IO266" s="16">
        <v>491</v>
      </c>
      <c r="IP266" s="16">
        <v>14</v>
      </c>
      <c r="IQ266" s="16">
        <v>3</v>
      </c>
      <c r="IR266" s="16">
        <v>4</v>
      </c>
      <c r="IS266" s="16">
        <v>78</v>
      </c>
      <c r="IT266" s="16">
        <v>17</v>
      </c>
      <c r="IU266" s="16">
        <v>5</v>
      </c>
      <c r="IV266" s="16">
        <v>44</v>
      </c>
      <c r="IW266" s="16">
        <v>400</v>
      </c>
      <c r="IX266" s="16">
        <v>323</v>
      </c>
      <c r="IY266" s="16">
        <v>28</v>
      </c>
      <c r="IZ266" s="16">
        <v>15</v>
      </c>
      <c r="JA266" s="16">
        <v>371</v>
      </c>
      <c r="JB266" s="16">
        <v>64</v>
      </c>
      <c r="JC266" s="16">
        <v>7</v>
      </c>
      <c r="JD266" s="16">
        <v>62</v>
      </c>
      <c r="JE266" s="16">
        <v>46073</v>
      </c>
      <c r="JF266" s="16">
        <v>69575</v>
      </c>
      <c r="JG266" s="16">
        <v>55200</v>
      </c>
      <c r="JH266" s="16">
        <v>456</v>
      </c>
      <c r="JI266" s="16">
        <v>96</v>
      </c>
      <c r="JJ266" s="16">
        <v>1262</v>
      </c>
      <c r="JK266" s="16">
        <v>340</v>
      </c>
      <c r="JL266" s="16">
        <v>0</v>
      </c>
      <c r="JM266" s="16">
        <v>0</v>
      </c>
      <c r="JN266" s="16">
        <v>0</v>
      </c>
      <c r="JO266" s="16">
        <v>72</v>
      </c>
      <c r="JP266" s="16">
        <v>521</v>
      </c>
      <c r="JQ266" s="16">
        <v>19</v>
      </c>
      <c r="JR266" s="16">
        <v>73021</v>
      </c>
      <c r="JS266" s="16">
        <v>21222</v>
      </c>
      <c r="JT266" s="16">
        <v>1</v>
      </c>
      <c r="JU266" s="16">
        <v>18555</v>
      </c>
      <c r="JV266" s="16">
        <v>3522</v>
      </c>
      <c r="JW266" s="16">
        <v>1211</v>
      </c>
      <c r="JX266" s="16">
        <v>707</v>
      </c>
      <c r="JY266" s="16">
        <v>1394</v>
      </c>
      <c r="JZ266" s="16">
        <v>28</v>
      </c>
      <c r="KA266" s="16">
        <v>291</v>
      </c>
      <c r="KB266" s="16">
        <v>47</v>
      </c>
      <c r="KC266" s="16">
        <v>3</v>
      </c>
      <c r="KD266" s="16">
        <v>2</v>
      </c>
      <c r="KE266" s="16">
        <v>1</v>
      </c>
      <c r="KF266" s="16">
        <v>316</v>
      </c>
      <c r="KG266" s="16">
        <v>281</v>
      </c>
      <c r="KH266" s="16">
        <v>6</v>
      </c>
      <c r="KI266" s="16">
        <v>68</v>
      </c>
      <c r="KJ266" s="16">
        <v>31</v>
      </c>
      <c r="KK266" s="16">
        <v>315961</v>
      </c>
      <c r="KL266" s="16">
        <v>7</v>
      </c>
      <c r="KM266" s="16">
        <v>189</v>
      </c>
      <c r="KN266" s="16">
        <v>24</v>
      </c>
      <c r="KO266" s="16">
        <v>16</v>
      </c>
      <c r="KP266" s="16">
        <v>5</v>
      </c>
      <c r="KQ266" s="16">
        <v>64</v>
      </c>
      <c r="KR266" s="16">
        <v>6657</v>
      </c>
      <c r="KS266" s="16">
        <v>58</v>
      </c>
      <c r="KT266" s="16">
        <v>874</v>
      </c>
      <c r="KU266" s="16">
        <v>1574</v>
      </c>
      <c r="KV266" s="16">
        <v>17068</v>
      </c>
      <c r="KW266" s="16">
        <v>2983</v>
      </c>
      <c r="KX266" s="16">
        <v>1</v>
      </c>
      <c r="KY266" s="16">
        <v>26</v>
      </c>
      <c r="KZ266" s="16">
        <v>598789</v>
      </c>
      <c r="LA266" s="16">
        <v>195906</v>
      </c>
      <c r="LB266" s="16">
        <v>8836</v>
      </c>
      <c r="LC266" s="16">
        <v>75781</v>
      </c>
      <c r="LD266" s="16">
        <v>9838</v>
      </c>
      <c r="LE266" s="16">
        <v>340</v>
      </c>
      <c r="LF266" s="16">
        <v>147</v>
      </c>
      <c r="LG266" s="16">
        <v>48</v>
      </c>
      <c r="LH266" s="16">
        <v>437</v>
      </c>
      <c r="LI266" s="16">
        <v>426</v>
      </c>
      <c r="LJ266" s="16">
        <v>575</v>
      </c>
      <c r="LK266" s="16">
        <v>297</v>
      </c>
      <c r="LL266" s="16">
        <v>179</v>
      </c>
      <c r="LM266" s="16">
        <v>1148</v>
      </c>
      <c r="LN266" s="16">
        <v>1120</v>
      </c>
      <c r="LO266" s="16">
        <v>35</v>
      </c>
      <c r="LP266" s="16">
        <v>12499</v>
      </c>
      <c r="LQ266" s="16">
        <v>1776</v>
      </c>
      <c r="LR266" s="16">
        <v>2726</v>
      </c>
      <c r="LS266" s="16">
        <v>1508</v>
      </c>
      <c r="LT266" s="16">
        <v>18125</v>
      </c>
      <c r="LU266" s="16">
        <v>15973</v>
      </c>
      <c r="LV266" s="16">
        <v>93</v>
      </c>
      <c r="LW266" s="16">
        <v>1817</v>
      </c>
      <c r="LX266" s="16">
        <v>721</v>
      </c>
      <c r="LY266" s="16">
        <v>0</v>
      </c>
      <c r="LZ266" s="16">
        <v>2256</v>
      </c>
      <c r="MA266" s="16">
        <v>6855</v>
      </c>
      <c r="MB266" s="16">
        <v>12377</v>
      </c>
      <c r="MC266" s="16">
        <v>1012</v>
      </c>
      <c r="MD266" s="16">
        <v>1598</v>
      </c>
      <c r="ME266" s="16">
        <v>75</v>
      </c>
      <c r="MF266" s="16">
        <v>2212</v>
      </c>
      <c r="MG266" s="16">
        <v>134</v>
      </c>
      <c r="MH266" s="16">
        <v>148214</v>
      </c>
      <c r="MI266" s="16">
        <v>6833</v>
      </c>
      <c r="MJ266" s="16">
        <v>500</v>
      </c>
      <c r="MK266" s="16">
        <v>5701</v>
      </c>
      <c r="ML266" s="16">
        <v>859</v>
      </c>
      <c r="MM266" s="16">
        <v>5929</v>
      </c>
      <c r="MN266" s="16">
        <v>10590</v>
      </c>
      <c r="MO266" s="16">
        <v>32724</v>
      </c>
      <c r="MP266" s="16">
        <v>46393</v>
      </c>
      <c r="MQ266" s="16">
        <v>12267</v>
      </c>
      <c r="MR266" s="16">
        <v>94073</v>
      </c>
      <c r="MS266" s="16">
        <v>121897</v>
      </c>
      <c r="MT266" s="16">
        <v>15147</v>
      </c>
      <c r="MU266" s="16">
        <v>91005</v>
      </c>
      <c r="MV266" s="16">
        <v>15368</v>
      </c>
      <c r="MW266" s="16">
        <v>9676</v>
      </c>
      <c r="MX266" s="16">
        <v>21189</v>
      </c>
      <c r="MY266" s="16">
        <v>131</v>
      </c>
      <c r="MZ266" s="16">
        <v>7697</v>
      </c>
      <c r="NA266" s="16">
        <v>72183</v>
      </c>
      <c r="NB266" s="16">
        <v>33529</v>
      </c>
      <c r="NC266" s="16">
        <v>41692</v>
      </c>
      <c r="ND266" s="16">
        <v>14340</v>
      </c>
      <c r="NE266" s="16">
        <v>1650</v>
      </c>
      <c r="NF266" s="16">
        <v>2362</v>
      </c>
      <c r="NG266" s="16">
        <v>15506</v>
      </c>
      <c r="NH266" s="16">
        <v>5902</v>
      </c>
      <c r="NI266" s="16">
        <v>8762</v>
      </c>
      <c r="NJ266" s="16">
        <v>11472</v>
      </c>
      <c r="NK266" s="16">
        <v>212</v>
      </c>
      <c r="NL266" s="16">
        <v>505</v>
      </c>
      <c r="NM266" s="16">
        <v>21227</v>
      </c>
      <c r="NN266" s="16">
        <v>1840</v>
      </c>
      <c r="NO266" s="16">
        <v>0</v>
      </c>
      <c r="NP266" s="16">
        <v>19073</v>
      </c>
      <c r="NQ266" s="16">
        <v>1820</v>
      </c>
      <c r="NR266" s="17">
        <v>3174932</v>
      </c>
    </row>
    <row r="267" spans="1:382" ht="13.5" customHeight="1" x14ac:dyDescent="0.2">
      <c r="A267" s="2" t="s">
        <v>541</v>
      </c>
      <c r="B267" s="16">
        <v>0</v>
      </c>
      <c r="C267" s="16">
        <v>0</v>
      </c>
      <c r="D267" s="16">
        <v>0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0</v>
      </c>
      <c r="R267" s="16">
        <v>0</v>
      </c>
      <c r="S267" s="16">
        <v>0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2497</v>
      </c>
      <c r="AB267" s="16">
        <v>0</v>
      </c>
      <c r="AC267" s="16">
        <v>0</v>
      </c>
      <c r="AD267" s="16">
        <v>0</v>
      </c>
      <c r="AE267" s="16">
        <v>69</v>
      </c>
      <c r="AF267" s="16">
        <v>9659</v>
      </c>
      <c r="AG267" s="16">
        <v>38975</v>
      </c>
      <c r="AH267" s="16">
        <v>59546</v>
      </c>
      <c r="AI267" s="16">
        <v>1221</v>
      </c>
      <c r="AJ267" s="16">
        <v>139727</v>
      </c>
      <c r="AK267" s="16">
        <v>306104</v>
      </c>
      <c r="AL267" s="16">
        <v>635399</v>
      </c>
      <c r="AM267" s="16">
        <v>357887</v>
      </c>
      <c r="AN267" s="16">
        <v>496720</v>
      </c>
      <c r="AO267" s="16">
        <v>98677</v>
      </c>
      <c r="AP267" s="16">
        <v>326672</v>
      </c>
      <c r="AQ267" s="16">
        <v>33592</v>
      </c>
      <c r="AR267" s="16">
        <v>0</v>
      </c>
      <c r="AS267" s="16">
        <v>0</v>
      </c>
      <c r="AT267" s="16">
        <v>4855</v>
      </c>
      <c r="AU267" s="16">
        <v>300441</v>
      </c>
      <c r="AV267" s="16">
        <v>50627</v>
      </c>
      <c r="AW267" s="16">
        <v>409594</v>
      </c>
      <c r="AX267" s="16">
        <v>81033</v>
      </c>
      <c r="AY267" s="16">
        <v>202862</v>
      </c>
      <c r="AZ267" s="16">
        <v>114664</v>
      </c>
      <c r="BA267" s="16">
        <v>648450</v>
      </c>
      <c r="BB267" s="16">
        <v>209149</v>
      </c>
      <c r="BC267" s="16">
        <v>312715</v>
      </c>
      <c r="BD267" s="16">
        <v>0</v>
      </c>
      <c r="BE267" s="16">
        <v>64</v>
      </c>
      <c r="BF267" s="16">
        <v>2448</v>
      </c>
      <c r="BG267" s="16">
        <v>14500</v>
      </c>
      <c r="BH267" s="16">
        <v>215807</v>
      </c>
      <c r="BI267" s="16">
        <v>0</v>
      </c>
      <c r="BJ267" s="16">
        <v>182434</v>
      </c>
      <c r="BK267" s="16">
        <v>192397</v>
      </c>
      <c r="BL267" s="16">
        <v>727427</v>
      </c>
      <c r="BM267" s="16">
        <v>113378</v>
      </c>
      <c r="BN267" s="16">
        <v>575871</v>
      </c>
      <c r="BO267" s="16">
        <v>0</v>
      </c>
      <c r="BP267" s="16">
        <v>612021</v>
      </c>
      <c r="BQ267" s="16">
        <v>35543</v>
      </c>
      <c r="BR267" s="16">
        <v>194181</v>
      </c>
      <c r="BS267" s="16">
        <v>4371810</v>
      </c>
      <c r="BT267" s="16">
        <v>832742</v>
      </c>
      <c r="BU267" s="16">
        <v>37727</v>
      </c>
      <c r="BV267" s="16">
        <v>8861</v>
      </c>
      <c r="BW267" s="16">
        <v>762778</v>
      </c>
      <c r="BX267" s="16">
        <v>373794</v>
      </c>
      <c r="BY267" s="16">
        <v>1075</v>
      </c>
      <c r="BZ267" s="16">
        <v>400421</v>
      </c>
      <c r="CA267" s="16">
        <v>369463</v>
      </c>
      <c r="CB267" s="16">
        <v>64279</v>
      </c>
      <c r="CC267" s="16">
        <v>141426</v>
      </c>
      <c r="CD267" s="16">
        <v>53608</v>
      </c>
      <c r="CE267" s="16">
        <v>20975</v>
      </c>
      <c r="CF267" s="16">
        <v>75594</v>
      </c>
      <c r="CG267" s="16">
        <v>89777</v>
      </c>
      <c r="CH267" s="16">
        <v>87900</v>
      </c>
      <c r="CI267" s="16">
        <v>5997</v>
      </c>
      <c r="CJ267" s="16">
        <v>55949</v>
      </c>
      <c r="CK267" s="16">
        <v>154169</v>
      </c>
      <c r="CL267" s="16">
        <v>192723</v>
      </c>
      <c r="CM267" s="16">
        <v>369592</v>
      </c>
      <c r="CN267" s="16">
        <v>131419</v>
      </c>
      <c r="CO267" s="16">
        <v>47204</v>
      </c>
      <c r="CP267" s="16">
        <v>134066</v>
      </c>
      <c r="CQ267" s="16">
        <v>37</v>
      </c>
      <c r="CR267" s="16">
        <v>11755</v>
      </c>
      <c r="CS267" s="16">
        <v>0</v>
      </c>
      <c r="CT267" s="16">
        <v>0</v>
      </c>
      <c r="CU267" s="16">
        <v>0</v>
      </c>
      <c r="CV267" s="16">
        <v>0</v>
      </c>
      <c r="CW267" s="16">
        <v>0</v>
      </c>
      <c r="CX267" s="16">
        <v>0</v>
      </c>
      <c r="CY267" s="16">
        <v>0</v>
      </c>
      <c r="CZ267" s="16">
        <v>1128</v>
      </c>
      <c r="DA267" s="16">
        <v>27387</v>
      </c>
      <c r="DB267" s="16">
        <v>22346</v>
      </c>
      <c r="DC267" s="16">
        <v>0</v>
      </c>
      <c r="DD267" s="16">
        <v>0</v>
      </c>
      <c r="DE267" s="16">
        <v>154853</v>
      </c>
      <c r="DF267" s="16">
        <v>1541</v>
      </c>
      <c r="DG267" s="16">
        <v>7987</v>
      </c>
      <c r="DH267" s="16">
        <v>140188</v>
      </c>
      <c r="DI267" s="16">
        <v>51622</v>
      </c>
      <c r="DJ267" s="16">
        <v>714631</v>
      </c>
      <c r="DK267" s="16">
        <v>14915</v>
      </c>
      <c r="DL267" s="16">
        <v>93880</v>
      </c>
      <c r="DM267" s="16">
        <v>2546125</v>
      </c>
      <c r="DN267" s="16">
        <v>53271</v>
      </c>
      <c r="DO267" s="16">
        <v>117797</v>
      </c>
      <c r="DP267" s="16">
        <v>58812</v>
      </c>
      <c r="DQ267" s="16">
        <v>12343</v>
      </c>
      <c r="DR267" s="16">
        <v>110839</v>
      </c>
      <c r="DS267" s="16">
        <v>343607</v>
      </c>
      <c r="DT267" s="16">
        <v>14690</v>
      </c>
      <c r="DU267" s="16">
        <v>42623</v>
      </c>
      <c r="DV267" s="16">
        <v>97269</v>
      </c>
      <c r="DW267" s="16">
        <v>565721</v>
      </c>
      <c r="DX267" s="16">
        <v>196579</v>
      </c>
      <c r="DY267" s="16">
        <v>613931</v>
      </c>
      <c r="DZ267" s="16">
        <v>1395490</v>
      </c>
      <c r="EA267" s="16">
        <v>709633</v>
      </c>
      <c r="EB267" s="16">
        <v>27226</v>
      </c>
      <c r="EC267" s="16">
        <v>641848</v>
      </c>
      <c r="ED267" s="16">
        <v>12411</v>
      </c>
      <c r="EE267" s="16">
        <v>10448</v>
      </c>
      <c r="EF267" s="16">
        <v>10130</v>
      </c>
      <c r="EG267" s="16">
        <v>454925</v>
      </c>
      <c r="EH267" s="16">
        <v>21033</v>
      </c>
      <c r="EI267" s="16">
        <v>78339</v>
      </c>
      <c r="EJ267" s="16">
        <v>8997</v>
      </c>
      <c r="EK267" s="16">
        <v>39034</v>
      </c>
      <c r="EL267" s="16">
        <v>8476</v>
      </c>
      <c r="EM267" s="16">
        <v>20220</v>
      </c>
      <c r="EN267" s="16">
        <v>49514</v>
      </c>
      <c r="EO267" s="16">
        <v>227628</v>
      </c>
      <c r="EP267" s="16">
        <v>33451</v>
      </c>
      <c r="EQ267" s="16">
        <v>103175</v>
      </c>
      <c r="ER267" s="16">
        <v>47664</v>
      </c>
      <c r="ES267" s="16">
        <v>29340</v>
      </c>
      <c r="ET267" s="16">
        <v>77366</v>
      </c>
      <c r="EU267" s="16">
        <v>9448</v>
      </c>
      <c r="EV267" s="16">
        <v>60070</v>
      </c>
      <c r="EW267" s="16">
        <v>39208</v>
      </c>
      <c r="EX267" s="16">
        <v>109912</v>
      </c>
      <c r="EY267" s="16">
        <v>8679</v>
      </c>
      <c r="EZ267" s="16">
        <v>1098</v>
      </c>
      <c r="FA267" s="16">
        <v>6194</v>
      </c>
      <c r="FB267" s="16">
        <v>17922</v>
      </c>
      <c r="FC267" s="16">
        <v>54536</v>
      </c>
      <c r="FD267" s="16">
        <v>811404</v>
      </c>
      <c r="FE267" s="16">
        <v>69177</v>
      </c>
      <c r="FF267" s="16">
        <v>150152</v>
      </c>
      <c r="FG267" s="16">
        <v>1173241</v>
      </c>
      <c r="FH267" s="16">
        <v>3667</v>
      </c>
      <c r="FI267" s="16">
        <v>124282</v>
      </c>
      <c r="FJ267" s="16">
        <v>20528</v>
      </c>
      <c r="FK267" s="16">
        <v>33805</v>
      </c>
      <c r="FL267" s="16">
        <v>12848</v>
      </c>
      <c r="FM267" s="16">
        <v>126961</v>
      </c>
      <c r="FN267" s="16">
        <v>248813</v>
      </c>
      <c r="FO267" s="16">
        <v>63776</v>
      </c>
      <c r="FP267" s="16">
        <v>727417</v>
      </c>
      <c r="FQ267" s="16">
        <v>854090</v>
      </c>
      <c r="FR267" s="16">
        <v>793497</v>
      </c>
      <c r="FS267" s="16">
        <v>263034</v>
      </c>
      <c r="FT267" s="16">
        <v>123370</v>
      </c>
      <c r="FU267" s="16">
        <v>596545</v>
      </c>
      <c r="FV267" s="16">
        <v>815379</v>
      </c>
      <c r="FW267" s="16">
        <v>0</v>
      </c>
      <c r="FX267" s="16">
        <v>1243</v>
      </c>
      <c r="FY267" s="16">
        <v>165132</v>
      </c>
      <c r="FZ267" s="16">
        <v>198801</v>
      </c>
      <c r="GA267" s="16">
        <v>116597</v>
      </c>
      <c r="GB267" s="16">
        <v>663125</v>
      </c>
      <c r="GC267" s="16">
        <v>160070</v>
      </c>
      <c r="GD267" s="16">
        <v>486853</v>
      </c>
      <c r="GE267" s="16">
        <v>368748</v>
      </c>
      <c r="GF267" s="16">
        <v>7541989</v>
      </c>
      <c r="GG267" s="16">
        <v>64968</v>
      </c>
      <c r="GH267" s="16">
        <v>3300036</v>
      </c>
      <c r="GI267" s="16">
        <v>1664816</v>
      </c>
      <c r="GJ267" s="16">
        <v>367479</v>
      </c>
      <c r="GK267" s="16">
        <v>641680</v>
      </c>
      <c r="GL267" s="16">
        <v>14072</v>
      </c>
      <c r="GM267" s="16">
        <v>379850</v>
      </c>
      <c r="GN267" s="16">
        <v>568415</v>
      </c>
      <c r="GO267" s="16">
        <v>68814</v>
      </c>
      <c r="GP267" s="16">
        <v>286984</v>
      </c>
      <c r="GQ267" s="16">
        <v>345924</v>
      </c>
      <c r="GR267" s="16">
        <v>46258</v>
      </c>
      <c r="GS267" s="16">
        <v>40769</v>
      </c>
      <c r="GT267" s="16">
        <v>126471</v>
      </c>
      <c r="GU267" s="16">
        <v>727455</v>
      </c>
      <c r="GV267" s="16">
        <v>816334</v>
      </c>
      <c r="GW267" s="16">
        <v>864166</v>
      </c>
      <c r="GX267" s="16">
        <v>424281</v>
      </c>
      <c r="GY267" s="16">
        <v>15139</v>
      </c>
      <c r="GZ267" s="16">
        <v>225382</v>
      </c>
      <c r="HA267" s="16">
        <v>106766</v>
      </c>
      <c r="HB267" s="16">
        <v>106798</v>
      </c>
      <c r="HC267" s="16">
        <v>412011</v>
      </c>
      <c r="HD267" s="16">
        <v>661803</v>
      </c>
      <c r="HE267" s="16">
        <v>431921</v>
      </c>
      <c r="HF267" s="16">
        <v>661965</v>
      </c>
      <c r="HG267" s="16">
        <v>307659</v>
      </c>
      <c r="HH267" s="16">
        <v>94719</v>
      </c>
      <c r="HI267" s="16">
        <v>748718</v>
      </c>
      <c r="HJ267" s="16">
        <v>53670</v>
      </c>
      <c r="HK267" s="16">
        <v>420344</v>
      </c>
      <c r="HL267" s="16">
        <v>2491087</v>
      </c>
      <c r="HM267" s="16">
        <v>291323</v>
      </c>
      <c r="HN267" s="16">
        <v>747519</v>
      </c>
      <c r="HO267" s="16">
        <v>337988</v>
      </c>
      <c r="HP267" s="16">
        <v>536896</v>
      </c>
      <c r="HQ267" s="16">
        <v>282668</v>
      </c>
      <c r="HR267" s="16">
        <v>745306</v>
      </c>
      <c r="HS267" s="16">
        <v>303429</v>
      </c>
      <c r="HT267" s="16">
        <v>66879</v>
      </c>
      <c r="HU267" s="16">
        <v>614584</v>
      </c>
      <c r="HV267" s="16">
        <v>418185</v>
      </c>
      <c r="HW267" s="16">
        <v>936790</v>
      </c>
      <c r="HX267" s="16">
        <v>933318</v>
      </c>
      <c r="HY267" s="16">
        <v>2179032</v>
      </c>
      <c r="HZ267" s="16">
        <v>775068</v>
      </c>
      <c r="IA267" s="16">
        <v>144869</v>
      </c>
      <c r="IB267" s="16">
        <v>51644</v>
      </c>
      <c r="IC267" s="16">
        <v>66868</v>
      </c>
      <c r="ID267" s="16">
        <v>99024</v>
      </c>
      <c r="IE267" s="16">
        <v>38480</v>
      </c>
      <c r="IF267" s="16">
        <v>77111</v>
      </c>
      <c r="IG267" s="16">
        <v>2054995</v>
      </c>
      <c r="IH267" s="16">
        <v>628730</v>
      </c>
      <c r="II267" s="16">
        <v>132528</v>
      </c>
      <c r="IJ267" s="16">
        <v>115359</v>
      </c>
      <c r="IK267" s="16">
        <v>77032</v>
      </c>
      <c r="IL267" s="16">
        <v>129673</v>
      </c>
      <c r="IM267" s="16">
        <v>24422</v>
      </c>
      <c r="IN267" s="16">
        <v>385662</v>
      </c>
      <c r="IO267" s="16">
        <v>2917079</v>
      </c>
      <c r="IP267" s="16">
        <v>1741351</v>
      </c>
      <c r="IQ267" s="16">
        <v>730778</v>
      </c>
      <c r="IR267" s="16">
        <v>998728</v>
      </c>
      <c r="IS267" s="16">
        <v>103775</v>
      </c>
      <c r="IT267" s="16">
        <v>169801</v>
      </c>
      <c r="IU267" s="16">
        <v>12588</v>
      </c>
      <c r="IV267" s="16">
        <v>81637</v>
      </c>
      <c r="IW267" s="16">
        <v>361169</v>
      </c>
      <c r="IX267" s="16">
        <v>100683</v>
      </c>
      <c r="IY267" s="16">
        <v>121664</v>
      </c>
      <c r="IZ267" s="16">
        <v>25138</v>
      </c>
      <c r="JA267" s="16">
        <v>61065</v>
      </c>
      <c r="JB267" s="16">
        <v>13505</v>
      </c>
      <c r="JC267" s="16">
        <v>33979</v>
      </c>
      <c r="JD267" s="16">
        <v>62698</v>
      </c>
      <c r="JE267" s="16">
        <v>787710</v>
      </c>
      <c r="JF267" s="16">
        <v>375106</v>
      </c>
      <c r="JG267" s="16">
        <v>12239468</v>
      </c>
      <c r="JH267" s="16">
        <v>0</v>
      </c>
      <c r="JI267" s="16">
        <v>0</v>
      </c>
      <c r="JJ267" s="16">
        <v>0</v>
      </c>
      <c r="JK267" s="16">
        <v>0</v>
      </c>
      <c r="JL267" s="16">
        <v>0</v>
      </c>
      <c r="JM267" s="16">
        <v>0</v>
      </c>
      <c r="JN267" s="16">
        <v>0</v>
      </c>
      <c r="JO267" s="16">
        <v>0</v>
      </c>
      <c r="JP267" s="16">
        <v>0</v>
      </c>
      <c r="JQ267" s="16">
        <v>0</v>
      </c>
      <c r="JR267" s="16">
        <v>0</v>
      </c>
      <c r="JS267" s="16">
        <v>0</v>
      </c>
      <c r="JT267" s="16">
        <v>0</v>
      </c>
      <c r="JU267" s="16">
        <v>0</v>
      </c>
      <c r="JV267" s="16">
        <v>0</v>
      </c>
      <c r="JW267" s="16">
        <v>0</v>
      </c>
      <c r="JX267" s="16">
        <v>0</v>
      </c>
      <c r="JY267" s="16">
        <v>0</v>
      </c>
      <c r="JZ267" s="16">
        <v>0</v>
      </c>
      <c r="KA267" s="16">
        <v>0</v>
      </c>
      <c r="KB267" s="16">
        <v>0</v>
      </c>
      <c r="KC267" s="16">
        <v>0</v>
      </c>
      <c r="KD267" s="16">
        <v>0</v>
      </c>
      <c r="KE267" s="16">
        <v>0</v>
      </c>
      <c r="KF267" s="16">
        <v>0</v>
      </c>
      <c r="KG267" s="16">
        <v>0</v>
      </c>
      <c r="KH267" s="16">
        <v>0</v>
      </c>
      <c r="KI267" s="16">
        <v>0</v>
      </c>
      <c r="KJ267" s="16">
        <v>0</v>
      </c>
      <c r="KK267" s="16">
        <v>0</v>
      </c>
      <c r="KL267" s="16">
        <v>0</v>
      </c>
      <c r="KM267" s="16">
        <v>0</v>
      </c>
      <c r="KN267" s="16">
        <v>0</v>
      </c>
      <c r="KO267" s="16">
        <v>0</v>
      </c>
      <c r="KP267" s="16">
        <v>0</v>
      </c>
      <c r="KQ267" s="16">
        <v>0</v>
      </c>
      <c r="KR267" s="16">
        <v>0</v>
      </c>
      <c r="KS267" s="16">
        <v>0</v>
      </c>
      <c r="KT267" s="16">
        <v>0</v>
      </c>
      <c r="KU267" s="16">
        <v>0</v>
      </c>
      <c r="KV267" s="16">
        <v>0</v>
      </c>
      <c r="KW267" s="16">
        <v>0</v>
      </c>
      <c r="KX267" s="16">
        <v>0</v>
      </c>
      <c r="KY267" s="16">
        <v>0</v>
      </c>
      <c r="KZ267" s="16">
        <v>0</v>
      </c>
      <c r="LA267" s="16">
        <v>0</v>
      </c>
      <c r="LB267" s="16">
        <v>0</v>
      </c>
      <c r="LC267" s="16">
        <v>0</v>
      </c>
      <c r="LD267" s="16">
        <v>0</v>
      </c>
      <c r="LE267" s="16">
        <v>0</v>
      </c>
      <c r="LF267" s="16">
        <v>0</v>
      </c>
      <c r="LG267" s="16">
        <v>0</v>
      </c>
      <c r="LH267" s="16">
        <v>0</v>
      </c>
      <c r="LI267" s="16">
        <v>0</v>
      </c>
      <c r="LJ267" s="16">
        <v>0</v>
      </c>
      <c r="LK267" s="16">
        <v>0</v>
      </c>
      <c r="LL267" s="16">
        <v>0</v>
      </c>
      <c r="LM267" s="16">
        <v>0</v>
      </c>
      <c r="LN267" s="16">
        <v>0</v>
      </c>
      <c r="LO267" s="16">
        <v>61</v>
      </c>
      <c r="LP267" s="16">
        <v>0</v>
      </c>
      <c r="LQ267" s="16">
        <v>0</v>
      </c>
      <c r="LR267" s="16">
        <v>0</v>
      </c>
      <c r="LS267" s="16">
        <v>0</v>
      </c>
      <c r="LT267" s="16">
        <v>0</v>
      </c>
      <c r="LU267" s="16">
        <v>0</v>
      </c>
      <c r="LV267" s="16">
        <v>0</v>
      </c>
      <c r="LW267" s="16">
        <v>0</v>
      </c>
      <c r="LX267" s="16">
        <v>0</v>
      </c>
      <c r="LY267" s="16">
        <v>0</v>
      </c>
      <c r="LZ267" s="16">
        <v>0</v>
      </c>
      <c r="MA267" s="16">
        <v>0</v>
      </c>
      <c r="MB267" s="16">
        <v>0</v>
      </c>
      <c r="MC267" s="16">
        <v>0</v>
      </c>
      <c r="MD267" s="16">
        <v>0</v>
      </c>
      <c r="ME267" s="16">
        <v>0</v>
      </c>
      <c r="MF267" s="16">
        <v>0</v>
      </c>
      <c r="MG267" s="16">
        <v>0</v>
      </c>
      <c r="MH267" s="16">
        <v>0</v>
      </c>
      <c r="MI267" s="16">
        <v>0</v>
      </c>
      <c r="MJ267" s="16">
        <v>0</v>
      </c>
      <c r="MK267" s="16">
        <v>0</v>
      </c>
      <c r="ML267" s="16">
        <v>0</v>
      </c>
      <c r="MM267" s="16">
        <v>0</v>
      </c>
      <c r="MN267" s="16">
        <v>0</v>
      </c>
      <c r="MO267" s="16">
        <v>0</v>
      </c>
      <c r="MP267" s="16">
        <v>0</v>
      </c>
      <c r="MQ267" s="16">
        <v>0</v>
      </c>
      <c r="MR267" s="16">
        <v>0</v>
      </c>
      <c r="MS267" s="16">
        <v>0</v>
      </c>
      <c r="MT267" s="16">
        <v>0</v>
      </c>
      <c r="MU267" s="16">
        <v>0</v>
      </c>
      <c r="MV267" s="16">
        <v>0</v>
      </c>
      <c r="MW267" s="16">
        <v>0</v>
      </c>
      <c r="MX267" s="16">
        <v>0</v>
      </c>
      <c r="MY267" s="16">
        <v>0</v>
      </c>
      <c r="MZ267" s="16">
        <v>0</v>
      </c>
      <c r="NA267" s="16">
        <v>0</v>
      </c>
      <c r="NB267" s="16">
        <v>0</v>
      </c>
      <c r="NC267" s="16">
        <v>0</v>
      </c>
      <c r="ND267" s="16">
        <v>0</v>
      </c>
      <c r="NE267" s="16">
        <v>0</v>
      </c>
      <c r="NF267" s="16">
        <v>0</v>
      </c>
      <c r="NG267" s="16">
        <v>0</v>
      </c>
      <c r="NH267" s="16">
        <v>0</v>
      </c>
      <c r="NI267" s="16">
        <v>0</v>
      </c>
      <c r="NJ267" s="16">
        <v>0</v>
      </c>
      <c r="NK267" s="16">
        <v>0</v>
      </c>
      <c r="NL267" s="16">
        <v>0</v>
      </c>
      <c r="NM267" s="16">
        <v>0</v>
      </c>
      <c r="NN267" s="16">
        <v>0</v>
      </c>
      <c r="NO267" s="16">
        <v>0</v>
      </c>
      <c r="NP267" s="16">
        <v>0</v>
      </c>
      <c r="NQ267" s="16">
        <v>0</v>
      </c>
      <c r="NR267" s="17">
        <v>95154510</v>
      </c>
    </row>
    <row r="268" spans="1:382" ht="13.5" customHeight="1" x14ac:dyDescent="0.2">
      <c r="A268" s="2" t="s">
        <v>543</v>
      </c>
      <c r="B268" s="16">
        <v>5756</v>
      </c>
      <c r="C268" s="16">
        <v>858</v>
      </c>
      <c r="D268" s="16">
        <v>676</v>
      </c>
      <c r="E268" s="16">
        <v>626</v>
      </c>
      <c r="F268" s="16">
        <v>7265</v>
      </c>
      <c r="G268" s="16">
        <v>2205</v>
      </c>
      <c r="H268" s="16">
        <v>11</v>
      </c>
      <c r="I268" s="16">
        <v>963</v>
      </c>
      <c r="J268" s="16">
        <v>68</v>
      </c>
      <c r="K268" s="16">
        <v>0</v>
      </c>
      <c r="L268" s="16">
        <v>233</v>
      </c>
      <c r="M268" s="16">
        <v>657</v>
      </c>
      <c r="N268" s="16">
        <v>6</v>
      </c>
      <c r="O268" s="16">
        <v>203</v>
      </c>
      <c r="P268" s="16">
        <v>42234</v>
      </c>
      <c r="Q268" s="16">
        <v>42548</v>
      </c>
      <c r="R268" s="16">
        <v>33470</v>
      </c>
      <c r="S268" s="16">
        <v>17242</v>
      </c>
      <c r="T268" s="16">
        <v>382</v>
      </c>
      <c r="U268" s="16">
        <v>852</v>
      </c>
      <c r="V268" s="16">
        <v>855</v>
      </c>
      <c r="W268" s="16">
        <v>1267</v>
      </c>
      <c r="X268" s="16">
        <v>4600</v>
      </c>
      <c r="Y268" s="16">
        <v>76704</v>
      </c>
      <c r="Z268" s="16">
        <v>2389</v>
      </c>
      <c r="AA268" s="16">
        <v>4994</v>
      </c>
      <c r="AB268" s="16">
        <v>0</v>
      </c>
      <c r="AC268" s="16">
        <v>0</v>
      </c>
      <c r="AD268" s="16">
        <v>0</v>
      </c>
      <c r="AE268" s="16">
        <v>181</v>
      </c>
      <c r="AF268" s="16">
        <v>162</v>
      </c>
      <c r="AG268" s="16">
        <v>5252</v>
      </c>
      <c r="AH268" s="16">
        <v>25827</v>
      </c>
      <c r="AI268" s="16">
        <v>3772</v>
      </c>
      <c r="AJ268" s="16">
        <v>46949</v>
      </c>
      <c r="AK268" s="16">
        <v>43191</v>
      </c>
      <c r="AL268" s="16">
        <v>4602</v>
      </c>
      <c r="AM268" s="16">
        <v>27513</v>
      </c>
      <c r="AN268" s="16">
        <v>7572</v>
      </c>
      <c r="AO268" s="16">
        <v>6214</v>
      </c>
      <c r="AP268" s="16">
        <v>5820</v>
      </c>
      <c r="AQ268" s="16">
        <v>12659</v>
      </c>
      <c r="AR268" s="16">
        <v>0</v>
      </c>
      <c r="AS268" s="16">
        <v>3540</v>
      </c>
      <c r="AT268" s="16">
        <v>1266</v>
      </c>
      <c r="AU268" s="16">
        <v>16043</v>
      </c>
      <c r="AV268" s="16">
        <v>4243</v>
      </c>
      <c r="AW268" s="16">
        <v>33967</v>
      </c>
      <c r="AX268" s="16">
        <v>3046</v>
      </c>
      <c r="AY268" s="16">
        <v>138966</v>
      </c>
      <c r="AZ268" s="16">
        <v>17384</v>
      </c>
      <c r="BA268" s="16">
        <v>40005</v>
      </c>
      <c r="BB268" s="16">
        <v>26015</v>
      </c>
      <c r="BC268" s="16">
        <v>27738</v>
      </c>
      <c r="BD268" s="16">
        <v>743</v>
      </c>
      <c r="BE268" s="16">
        <v>3299</v>
      </c>
      <c r="BF268" s="16">
        <v>11228</v>
      </c>
      <c r="BG268" s="16">
        <v>1575</v>
      </c>
      <c r="BH268" s="16">
        <v>13280</v>
      </c>
      <c r="BI268" s="16">
        <v>27677</v>
      </c>
      <c r="BJ268" s="16">
        <v>3363</v>
      </c>
      <c r="BK268" s="16">
        <v>2096</v>
      </c>
      <c r="BL268" s="16">
        <v>27688</v>
      </c>
      <c r="BM268" s="16">
        <v>8191</v>
      </c>
      <c r="BN268" s="16">
        <v>14131</v>
      </c>
      <c r="BO268" s="16">
        <v>17252</v>
      </c>
      <c r="BP268" s="16">
        <v>8514</v>
      </c>
      <c r="BQ268" s="16">
        <v>4172</v>
      </c>
      <c r="BR268" s="16">
        <v>1675</v>
      </c>
      <c r="BS268" s="16">
        <v>16101</v>
      </c>
      <c r="BT268" s="16">
        <v>2397</v>
      </c>
      <c r="BU268" s="16">
        <v>50</v>
      </c>
      <c r="BV268" s="16">
        <v>1</v>
      </c>
      <c r="BW268" s="16">
        <v>6901</v>
      </c>
      <c r="BX268" s="16">
        <v>2159</v>
      </c>
      <c r="BY268" s="16">
        <v>82</v>
      </c>
      <c r="BZ268" s="16">
        <v>6069</v>
      </c>
      <c r="CA268" s="16">
        <v>2831</v>
      </c>
      <c r="CB268" s="16">
        <v>5220</v>
      </c>
      <c r="CC268" s="16">
        <v>29930</v>
      </c>
      <c r="CD268" s="16">
        <v>6237</v>
      </c>
      <c r="CE268" s="16">
        <v>3220</v>
      </c>
      <c r="CF268" s="16">
        <v>5735</v>
      </c>
      <c r="CG268" s="16">
        <v>4081</v>
      </c>
      <c r="CH268" s="16">
        <v>4536</v>
      </c>
      <c r="CI268" s="16">
        <v>1973</v>
      </c>
      <c r="CJ268" s="16">
        <v>9345</v>
      </c>
      <c r="CK268" s="16">
        <v>41954</v>
      </c>
      <c r="CL268" s="16">
        <v>43805</v>
      </c>
      <c r="CM268" s="16">
        <v>8514</v>
      </c>
      <c r="CN268" s="16">
        <v>5902</v>
      </c>
      <c r="CO268" s="16">
        <v>6512</v>
      </c>
      <c r="CP268" s="16">
        <v>15570</v>
      </c>
      <c r="CQ268" s="16">
        <v>53853</v>
      </c>
      <c r="CR268" s="16">
        <v>4431</v>
      </c>
      <c r="CS268" s="16">
        <v>16708</v>
      </c>
      <c r="CT268" s="16">
        <v>13480</v>
      </c>
      <c r="CU268" s="16">
        <v>20726</v>
      </c>
      <c r="CV268" s="16">
        <v>24385</v>
      </c>
      <c r="CW268" s="16">
        <v>112449</v>
      </c>
      <c r="CX268" s="16">
        <v>69337</v>
      </c>
      <c r="CY268" s="16">
        <v>22066</v>
      </c>
      <c r="CZ268" s="16">
        <v>42304</v>
      </c>
      <c r="DA268" s="16">
        <v>2074</v>
      </c>
      <c r="DB268" s="16">
        <v>44989</v>
      </c>
      <c r="DC268" s="16">
        <v>30072</v>
      </c>
      <c r="DD268" s="16">
        <v>85513</v>
      </c>
      <c r="DE268" s="16">
        <v>18996</v>
      </c>
      <c r="DF268" s="16">
        <v>49845</v>
      </c>
      <c r="DG268" s="16">
        <v>7571</v>
      </c>
      <c r="DH268" s="16">
        <v>9854</v>
      </c>
      <c r="DI268" s="16">
        <v>5668</v>
      </c>
      <c r="DJ268" s="16">
        <v>139525</v>
      </c>
      <c r="DK268" s="16">
        <v>23311</v>
      </c>
      <c r="DL268" s="16">
        <v>26066</v>
      </c>
      <c r="DM268" s="16">
        <v>32954</v>
      </c>
      <c r="DN268" s="16">
        <v>11928</v>
      </c>
      <c r="DO268" s="16">
        <v>12578</v>
      </c>
      <c r="DP268" s="16">
        <v>29493</v>
      </c>
      <c r="DQ268" s="16">
        <v>5221</v>
      </c>
      <c r="DR268" s="16">
        <v>12411</v>
      </c>
      <c r="DS268" s="16">
        <v>62648</v>
      </c>
      <c r="DT268" s="16">
        <v>8883</v>
      </c>
      <c r="DU268" s="16">
        <v>7477</v>
      </c>
      <c r="DV268" s="16">
        <v>12058</v>
      </c>
      <c r="DW268" s="16">
        <v>39192</v>
      </c>
      <c r="DX268" s="16">
        <v>17938</v>
      </c>
      <c r="DY268" s="16">
        <v>29092</v>
      </c>
      <c r="DZ268" s="16">
        <v>58700</v>
      </c>
      <c r="EA268" s="16">
        <v>27546</v>
      </c>
      <c r="EB268" s="16">
        <v>1332</v>
      </c>
      <c r="EC268" s="16">
        <v>28549</v>
      </c>
      <c r="ED268" s="16">
        <v>7416</v>
      </c>
      <c r="EE268" s="16">
        <v>133</v>
      </c>
      <c r="EF268" s="16">
        <v>459</v>
      </c>
      <c r="EG268" s="16">
        <v>9820</v>
      </c>
      <c r="EH268" s="16">
        <v>4369</v>
      </c>
      <c r="EI268" s="16">
        <v>1499</v>
      </c>
      <c r="EJ268" s="16">
        <v>2058</v>
      </c>
      <c r="EK268" s="16">
        <v>3577</v>
      </c>
      <c r="EL268" s="16">
        <v>1205</v>
      </c>
      <c r="EM268" s="16">
        <v>6644</v>
      </c>
      <c r="EN268" s="16">
        <v>50011</v>
      </c>
      <c r="EO268" s="16">
        <v>16001</v>
      </c>
      <c r="EP268" s="16">
        <v>4929</v>
      </c>
      <c r="EQ268" s="16">
        <v>11826</v>
      </c>
      <c r="ER268" s="16">
        <v>2788</v>
      </c>
      <c r="ES268" s="16">
        <v>821</v>
      </c>
      <c r="ET268" s="16">
        <v>34116</v>
      </c>
      <c r="EU268" s="16">
        <v>361</v>
      </c>
      <c r="EV268" s="16">
        <v>4800</v>
      </c>
      <c r="EW268" s="16">
        <v>1013</v>
      </c>
      <c r="EX268" s="16">
        <v>88785</v>
      </c>
      <c r="EY268" s="16">
        <v>9406</v>
      </c>
      <c r="EZ268" s="16">
        <v>1058</v>
      </c>
      <c r="FA268" s="16">
        <v>2699</v>
      </c>
      <c r="FB268" s="16">
        <v>9992</v>
      </c>
      <c r="FC268" s="16">
        <v>970</v>
      </c>
      <c r="FD268" s="16">
        <v>34241</v>
      </c>
      <c r="FE268" s="16">
        <v>4814</v>
      </c>
      <c r="FF268" s="16">
        <v>5063</v>
      </c>
      <c r="FG268" s="16">
        <v>21506</v>
      </c>
      <c r="FH268" s="16">
        <v>3276</v>
      </c>
      <c r="FI268" s="16">
        <v>12091</v>
      </c>
      <c r="FJ268" s="16">
        <v>7155</v>
      </c>
      <c r="FK268" s="16">
        <v>24967</v>
      </c>
      <c r="FL268" s="16">
        <v>4309</v>
      </c>
      <c r="FM268" s="16">
        <v>11178</v>
      </c>
      <c r="FN268" s="16">
        <v>69664</v>
      </c>
      <c r="FO268" s="16">
        <v>12239</v>
      </c>
      <c r="FP268" s="16">
        <v>21574</v>
      </c>
      <c r="FQ268" s="16">
        <v>60999</v>
      </c>
      <c r="FR268" s="16">
        <v>54258</v>
      </c>
      <c r="FS268" s="16">
        <v>15457</v>
      </c>
      <c r="FT268" s="16">
        <v>15205</v>
      </c>
      <c r="FU268" s="16">
        <v>12628</v>
      </c>
      <c r="FV268" s="16">
        <v>37333</v>
      </c>
      <c r="FW268" s="16">
        <v>26016</v>
      </c>
      <c r="FX268" s="16">
        <v>75523</v>
      </c>
      <c r="FY268" s="16">
        <v>15512</v>
      </c>
      <c r="FZ268" s="16">
        <v>44104</v>
      </c>
      <c r="GA268" s="16">
        <v>3026</v>
      </c>
      <c r="GB268" s="16">
        <v>65116</v>
      </c>
      <c r="GC268" s="16">
        <v>12595</v>
      </c>
      <c r="GD268" s="16">
        <v>50428</v>
      </c>
      <c r="GE268" s="16">
        <v>7130</v>
      </c>
      <c r="GF268" s="16">
        <v>86407</v>
      </c>
      <c r="GG268" s="16">
        <v>131</v>
      </c>
      <c r="GH268" s="16">
        <v>41653</v>
      </c>
      <c r="GI268" s="16">
        <v>5598</v>
      </c>
      <c r="GJ268" s="16">
        <v>33736</v>
      </c>
      <c r="GK268" s="16">
        <v>19798</v>
      </c>
      <c r="GL268" s="16">
        <v>11</v>
      </c>
      <c r="GM268" s="16">
        <v>1049</v>
      </c>
      <c r="GN268" s="16">
        <v>8403</v>
      </c>
      <c r="GO268" s="16">
        <v>14</v>
      </c>
      <c r="GP268" s="16">
        <v>1715</v>
      </c>
      <c r="GQ268" s="16">
        <v>67</v>
      </c>
      <c r="GR268" s="16">
        <v>10141</v>
      </c>
      <c r="GS268" s="16">
        <v>1902</v>
      </c>
      <c r="GT268" s="16">
        <v>1199</v>
      </c>
      <c r="GU268" s="16">
        <v>20215</v>
      </c>
      <c r="GV268" s="16">
        <v>26142</v>
      </c>
      <c r="GW268" s="16">
        <v>15141</v>
      </c>
      <c r="GX268" s="16">
        <v>3376</v>
      </c>
      <c r="GY268" s="16">
        <v>59</v>
      </c>
      <c r="GZ268" s="16">
        <v>18234</v>
      </c>
      <c r="HA268" s="16">
        <v>13195</v>
      </c>
      <c r="HB268" s="16">
        <v>7382</v>
      </c>
      <c r="HC268" s="16">
        <v>21668</v>
      </c>
      <c r="HD268" s="16">
        <v>46876</v>
      </c>
      <c r="HE268" s="16">
        <v>4012</v>
      </c>
      <c r="HF268" s="16">
        <v>10734</v>
      </c>
      <c r="HG268" s="16">
        <v>21705</v>
      </c>
      <c r="HH268" s="16">
        <v>6945</v>
      </c>
      <c r="HI268" s="16">
        <v>16157</v>
      </c>
      <c r="HJ268" s="16">
        <v>6786</v>
      </c>
      <c r="HK268" s="16">
        <v>12037</v>
      </c>
      <c r="HL268" s="16">
        <v>42323</v>
      </c>
      <c r="HM268" s="16">
        <v>29140</v>
      </c>
      <c r="HN268" s="16">
        <v>18807</v>
      </c>
      <c r="HO268" s="16">
        <v>11186</v>
      </c>
      <c r="HP268" s="16">
        <v>11750</v>
      </c>
      <c r="HQ268" s="16">
        <v>27041</v>
      </c>
      <c r="HR268" s="16">
        <v>26804</v>
      </c>
      <c r="HS268" s="16">
        <v>20388</v>
      </c>
      <c r="HT268" s="16">
        <v>2665</v>
      </c>
      <c r="HU268" s="16">
        <v>20806</v>
      </c>
      <c r="HV268" s="16">
        <v>13184</v>
      </c>
      <c r="HW268" s="16">
        <v>34021</v>
      </c>
      <c r="HX268" s="16">
        <v>23917</v>
      </c>
      <c r="HY268" s="16">
        <v>18728</v>
      </c>
      <c r="HZ268" s="16">
        <v>30014</v>
      </c>
      <c r="IA268" s="16">
        <v>4906</v>
      </c>
      <c r="IB268" s="16">
        <v>4237</v>
      </c>
      <c r="IC268" s="16">
        <v>4345</v>
      </c>
      <c r="ID268" s="16">
        <v>12631</v>
      </c>
      <c r="IE268" s="16">
        <v>548</v>
      </c>
      <c r="IF268" s="16">
        <v>4570</v>
      </c>
      <c r="IG268" s="16">
        <v>57620</v>
      </c>
      <c r="IH268" s="16">
        <v>21513</v>
      </c>
      <c r="II268" s="16">
        <v>2891</v>
      </c>
      <c r="IJ268" s="16">
        <v>4672</v>
      </c>
      <c r="IK268" s="16">
        <v>29876</v>
      </c>
      <c r="IL268" s="16">
        <v>10773</v>
      </c>
      <c r="IM268" s="16">
        <v>412</v>
      </c>
      <c r="IN268" s="16">
        <v>13724</v>
      </c>
      <c r="IO268" s="16">
        <v>27966</v>
      </c>
      <c r="IP268" s="16">
        <v>2233</v>
      </c>
      <c r="IQ268" s="16">
        <v>500</v>
      </c>
      <c r="IR268" s="16">
        <v>1672</v>
      </c>
      <c r="IS268" s="16">
        <v>9732</v>
      </c>
      <c r="IT268" s="16">
        <v>1622</v>
      </c>
      <c r="IU268" s="16">
        <v>133</v>
      </c>
      <c r="IV268" s="16">
        <v>27511</v>
      </c>
      <c r="IW268" s="16">
        <v>34644</v>
      </c>
      <c r="IX268" s="16">
        <v>9418</v>
      </c>
      <c r="IY268" s="16">
        <v>6995</v>
      </c>
      <c r="IZ268" s="16">
        <v>164</v>
      </c>
      <c r="JA268" s="16">
        <v>16341</v>
      </c>
      <c r="JB268" s="16">
        <v>782</v>
      </c>
      <c r="JC268" s="16">
        <v>2019</v>
      </c>
      <c r="JD268" s="16">
        <v>59</v>
      </c>
      <c r="JE268" s="16">
        <v>931</v>
      </c>
      <c r="JF268" s="16">
        <v>21882</v>
      </c>
      <c r="JG268" s="16">
        <v>91739</v>
      </c>
      <c r="JH268" s="16">
        <v>2905</v>
      </c>
      <c r="JI268" s="16">
        <v>5886</v>
      </c>
      <c r="JJ268" s="16">
        <v>26762</v>
      </c>
      <c r="JK268" s="16">
        <v>12661</v>
      </c>
      <c r="JL268" s="16">
        <v>22101</v>
      </c>
      <c r="JM268" s="16">
        <v>3693</v>
      </c>
      <c r="JN268" s="16">
        <v>33398</v>
      </c>
      <c r="JO268" s="16">
        <v>79939</v>
      </c>
      <c r="JP268" s="16">
        <v>227540</v>
      </c>
      <c r="JQ268" s="16">
        <v>44420</v>
      </c>
      <c r="JR268" s="16">
        <v>176058</v>
      </c>
      <c r="JS268" s="16">
        <v>103353</v>
      </c>
      <c r="JT268" s="16">
        <v>1</v>
      </c>
      <c r="JU268" s="16">
        <v>9025</v>
      </c>
      <c r="JV268" s="16">
        <v>70567</v>
      </c>
      <c r="JW268" s="16">
        <v>18024</v>
      </c>
      <c r="JX268" s="16">
        <v>23038</v>
      </c>
      <c r="JY268" s="16">
        <v>18827</v>
      </c>
      <c r="JZ268" s="16">
        <v>15775</v>
      </c>
      <c r="KA268" s="16">
        <v>19591</v>
      </c>
      <c r="KB268" s="16">
        <v>913</v>
      </c>
      <c r="KC268" s="16">
        <v>4611</v>
      </c>
      <c r="KD268" s="16">
        <v>9354</v>
      </c>
      <c r="KE268" s="16">
        <v>3068</v>
      </c>
      <c r="KF268" s="16">
        <v>32166</v>
      </c>
      <c r="KG268" s="16">
        <v>27886</v>
      </c>
      <c r="KH268" s="16">
        <v>2087</v>
      </c>
      <c r="KI268" s="16">
        <v>5203</v>
      </c>
      <c r="KJ268" s="16">
        <v>9572</v>
      </c>
      <c r="KK268" s="16">
        <v>524872</v>
      </c>
      <c r="KL268" s="16">
        <v>254</v>
      </c>
      <c r="KM268" s="16">
        <v>7994</v>
      </c>
      <c r="KN268" s="16">
        <v>799</v>
      </c>
      <c r="KO268" s="16">
        <v>1606</v>
      </c>
      <c r="KP268" s="16">
        <v>11</v>
      </c>
      <c r="KQ268" s="16">
        <v>23</v>
      </c>
      <c r="KR268" s="16">
        <v>12000</v>
      </c>
      <c r="KS268" s="16">
        <v>4</v>
      </c>
      <c r="KT268" s="16">
        <v>7685</v>
      </c>
      <c r="KU268" s="16">
        <v>11935</v>
      </c>
      <c r="KV268" s="16">
        <v>16521</v>
      </c>
      <c r="KW268" s="16">
        <v>20048</v>
      </c>
      <c r="KX268" s="16">
        <v>355</v>
      </c>
      <c r="KY268" s="16">
        <v>8680</v>
      </c>
      <c r="KZ268" s="16">
        <v>62743</v>
      </c>
      <c r="LA268" s="16">
        <v>26140</v>
      </c>
      <c r="LB268" s="16">
        <v>2102</v>
      </c>
      <c r="LC268" s="16">
        <v>26628</v>
      </c>
      <c r="LD268" s="16">
        <v>1764</v>
      </c>
      <c r="LE268" s="16">
        <v>26533</v>
      </c>
      <c r="LF268" s="16">
        <v>7551</v>
      </c>
      <c r="LG268" s="16">
        <v>786</v>
      </c>
      <c r="LH268" s="16">
        <v>7267</v>
      </c>
      <c r="LI268" s="16">
        <v>32</v>
      </c>
      <c r="LJ268" s="16">
        <v>1964</v>
      </c>
      <c r="LK268" s="16">
        <v>6321</v>
      </c>
      <c r="LL268" s="16">
        <v>12583</v>
      </c>
      <c r="LM268" s="16">
        <v>147131</v>
      </c>
      <c r="LN268" s="16">
        <v>35360</v>
      </c>
      <c r="LO268" s="16">
        <v>364</v>
      </c>
      <c r="LP268" s="16">
        <v>10758</v>
      </c>
      <c r="LQ268" s="16">
        <v>809</v>
      </c>
      <c r="LR268" s="16">
        <v>12992</v>
      </c>
      <c r="LS268" s="16">
        <v>6223</v>
      </c>
      <c r="LT268" s="16">
        <v>13036</v>
      </c>
      <c r="LU268" s="16">
        <v>3178</v>
      </c>
      <c r="LV268" s="16">
        <v>32</v>
      </c>
      <c r="LW268" s="16">
        <v>3326</v>
      </c>
      <c r="LX268" s="16">
        <v>13260</v>
      </c>
      <c r="LY268" s="16">
        <v>0</v>
      </c>
      <c r="LZ268" s="16">
        <v>12890</v>
      </c>
      <c r="MA268" s="16">
        <v>50254</v>
      </c>
      <c r="MB268" s="16">
        <v>12996</v>
      </c>
      <c r="MC268" s="16">
        <v>17299</v>
      </c>
      <c r="MD268" s="16">
        <v>9552</v>
      </c>
      <c r="ME268" s="16">
        <v>1033</v>
      </c>
      <c r="MF268" s="16">
        <v>62359</v>
      </c>
      <c r="MG268" s="16">
        <v>47114</v>
      </c>
      <c r="MH268" s="16">
        <v>118034</v>
      </c>
      <c r="MI268" s="16">
        <v>576</v>
      </c>
      <c r="MJ268" s="16">
        <v>7839</v>
      </c>
      <c r="MK268" s="16">
        <v>22981</v>
      </c>
      <c r="ML268" s="16">
        <v>4198</v>
      </c>
      <c r="MM268" s="16">
        <v>21279</v>
      </c>
      <c r="MN268" s="16">
        <v>802420</v>
      </c>
      <c r="MO268" s="16">
        <v>28439</v>
      </c>
      <c r="MP268" s="16">
        <v>139837</v>
      </c>
      <c r="MQ268" s="16">
        <v>46672</v>
      </c>
      <c r="MR268" s="16">
        <v>83143</v>
      </c>
      <c r="MS268" s="16">
        <v>145630</v>
      </c>
      <c r="MT268" s="16">
        <v>2223</v>
      </c>
      <c r="MU268" s="16">
        <v>22533</v>
      </c>
      <c r="MV268" s="16">
        <v>43049</v>
      </c>
      <c r="MW268" s="16">
        <v>219784</v>
      </c>
      <c r="MX268" s="16">
        <v>5160</v>
      </c>
      <c r="MY268" s="16">
        <v>291285</v>
      </c>
      <c r="MZ268" s="16">
        <v>590284</v>
      </c>
      <c r="NA268" s="16">
        <v>30144</v>
      </c>
      <c r="NB268" s="16">
        <v>199492</v>
      </c>
      <c r="NC268" s="16">
        <v>30337</v>
      </c>
      <c r="ND268" s="16">
        <v>35406</v>
      </c>
      <c r="NE268" s="16">
        <v>1822</v>
      </c>
      <c r="NF268" s="16">
        <v>33669</v>
      </c>
      <c r="NG268" s="16">
        <v>26346</v>
      </c>
      <c r="NH268" s="16">
        <v>930</v>
      </c>
      <c r="NI268" s="16">
        <v>28023</v>
      </c>
      <c r="NJ268" s="16">
        <v>13606</v>
      </c>
      <c r="NK268" s="16">
        <v>1340</v>
      </c>
      <c r="NL268" s="16">
        <v>1254</v>
      </c>
      <c r="NM268" s="16">
        <v>3853</v>
      </c>
      <c r="NN268" s="16">
        <v>4336</v>
      </c>
      <c r="NO268" s="16">
        <v>0</v>
      </c>
      <c r="NP268" s="16">
        <v>2762</v>
      </c>
      <c r="NQ268" s="16">
        <v>1492</v>
      </c>
      <c r="NR268" s="17">
        <v>9844478</v>
      </c>
    </row>
    <row r="269" spans="1:382" ht="13.5" customHeight="1" x14ac:dyDescent="0.2">
      <c r="A269" s="2" t="s">
        <v>545</v>
      </c>
      <c r="B269" s="16">
        <v>2094</v>
      </c>
      <c r="C269" s="16">
        <v>499</v>
      </c>
      <c r="D269" s="16">
        <v>257</v>
      </c>
      <c r="E269" s="16">
        <v>538</v>
      </c>
      <c r="F269" s="16">
        <v>4584</v>
      </c>
      <c r="G269" s="16">
        <v>2531</v>
      </c>
      <c r="H269" s="16">
        <v>327</v>
      </c>
      <c r="I269" s="16">
        <v>159</v>
      </c>
      <c r="J269" s="16">
        <v>44</v>
      </c>
      <c r="K269" s="16">
        <v>0</v>
      </c>
      <c r="L269" s="16">
        <v>652</v>
      </c>
      <c r="M269" s="16">
        <v>782</v>
      </c>
      <c r="N269" s="16">
        <v>51</v>
      </c>
      <c r="O269" s="16">
        <v>2014</v>
      </c>
      <c r="P269" s="16">
        <v>3084</v>
      </c>
      <c r="Q269" s="16">
        <v>3423</v>
      </c>
      <c r="R269" s="16">
        <v>2650</v>
      </c>
      <c r="S269" s="16">
        <v>298</v>
      </c>
      <c r="T269" s="16">
        <v>683</v>
      </c>
      <c r="U269" s="16">
        <v>241</v>
      </c>
      <c r="V269" s="16">
        <v>592</v>
      </c>
      <c r="W269" s="16">
        <v>79</v>
      </c>
      <c r="X269" s="16">
        <v>1107</v>
      </c>
      <c r="Y269" s="16">
        <v>3463</v>
      </c>
      <c r="Z269" s="16">
        <v>949</v>
      </c>
      <c r="AA269" s="16">
        <v>670</v>
      </c>
      <c r="AB269" s="16">
        <v>0</v>
      </c>
      <c r="AC269" s="16">
        <v>0</v>
      </c>
      <c r="AD269" s="16">
        <v>0</v>
      </c>
      <c r="AE269" s="16">
        <v>64</v>
      </c>
      <c r="AF269" s="16">
        <v>181</v>
      </c>
      <c r="AG269" s="16">
        <v>3274</v>
      </c>
      <c r="AH269" s="16">
        <v>1011</v>
      </c>
      <c r="AI269" s="16">
        <v>197</v>
      </c>
      <c r="AJ269" s="16">
        <v>2862</v>
      </c>
      <c r="AK269" s="16">
        <v>3127</v>
      </c>
      <c r="AL269" s="16">
        <v>1545</v>
      </c>
      <c r="AM269" s="16">
        <v>3030</v>
      </c>
      <c r="AN269" s="16">
        <v>1833</v>
      </c>
      <c r="AO269" s="16">
        <v>786</v>
      </c>
      <c r="AP269" s="16">
        <v>512</v>
      </c>
      <c r="AQ269" s="16">
        <v>1403</v>
      </c>
      <c r="AR269" s="16">
        <v>0</v>
      </c>
      <c r="AS269" s="16">
        <v>387</v>
      </c>
      <c r="AT269" s="16">
        <v>1901</v>
      </c>
      <c r="AU269" s="16">
        <v>4147</v>
      </c>
      <c r="AV269" s="16">
        <v>1376</v>
      </c>
      <c r="AW269" s="16">
        <v>2436</v>
      </c>
      <c r="AX269" s="16">
        <v>841</v>
      </c>
      <c r="AY269" s="16">
        <v>2208</v>
      </c>
      <c r="AZ269" s="16">
        <v>1362</v>
      </c>
      <c r="BA269" s="16">
        <v>1278</v>
      </c>
      <c r="BB269" s="16">
        <v>4913</v>
      </c>
      <c r="BC269" s="16">
        <v>3918</v>
      </c>
      <c r="BD269" s="16">
        <v>365</v>
      </c>
      <c r="BE269" s="16">
        <v>263</v>
      </c>
      <c r="BF269" s="16">
        <v>746</v>
      </c>
      <c r="BG269" s="16">
        <v>184</v>
      </c>
      <c r="BH269" s="16">
        <v>2528</v>
      </c>
      <c r="BI269" s="16">
        <v>653</v>
      </c>
      <c r="BJ269" s="16">
        <v>2234</v>
      </c>
      <c r="BK269" s="16">
        <v>901</v>
      </c>
      <c r="BL269" s="16">
        <v>5629</v>
      </c>
      <c r="BM269" s="16">
        <v>100</v>
      </c>
      <c r="BN269" s="16">
        <v>282</v>
      </c>
      <c r="BO269" s="16">
        <v>350</v>
      </c>
      <c r="BP269" s="16">
        <v>1635</v>
      </c>
      <c r="BQ269" s="16">
        <v>963</v>
      </c>
      <c r="BR269" s="16">
        <v>3308</v>
      </c>
      <c r="BS269" s="16">
        <v>1174</v>
      </c>
      <c r="BT269" s="16">
        <v>125</v>
      </c>
      <c r="BU269" s="16">
        <v>39</v>
      </c>
      <c r="BV269" s="16">
        <v>34</v>
      </c>
      <c r="BW269" s="16">
        <v>392</v>
      </c>
      <c r="BX269" s="16">
        <v>350</v>
      </c>
      <c r="BY269" s="16">
        <v>42</v>
      </c>
      <c r="BZ269" s="16">
        <v>423</v>
      </c>
      <c r="CA269" s="16">
        <v>486</v>
      </c>
      <c r="CB269" s="16">
        <v>45</v>
      </c>
      <c r="CC269" s="16">
        <v>1439</v>
      </c>
      <c r="CD269" s="16">
        <v>671</v>
      </c>
      <c r="CE269" s="16">
        <v>1814</v>
      </c>
      <c r="CF269" s="16">
        <v>621</v>
      </c>
      <c r="CG269" s="16">
        <v>459</v>
      </c>
      <c r="CH269" s="16">
        <v>145</v>
      </c>
      <c r="CI269" s="16">
        <v>8</v>
      </c>
      <c r="CJ269" s="16">
        <v>6589</v>
      </c>
      <c r="CK269" s="16">
        <v>11083</v>
      </c>
      <c r="CL269" s="16">
        <v>1876</v>
      </c>
      <c r="CM269" s="16">
        <v>1142</v>
      </c>
      <c r="CN269" s="16">
        <v>275</v>
      </c>
      <c r="CO269" s="16">
        <v>2317</v>
      </c>
      <c r="CP269" s="16">
        <v>787</v>
      </c>
      <c r="CQ269" s="16">
        <v>3581</v>
      </c>
      <c r="CR269" s="16">
        <v>863</v>
      </c>
      <c r="CS269" s="16">
        <v>6451</v>
      </c>
      <c r="CT269" s="16">
        <v>5989</v>
      </c>
      <c r="CU269" s="16">
        <v>6537</v>
      </c>
      <c r="CV269" s="16">
        <v>1217</v>
      </c>
      <c r="CW269" s="16">
        <v>12395</v>
      </c>
      <c r="CX269" s="16">
        <v>3111</v>
      </c>
      <c r="CY269" s="16">
        <v>1627</v>
      </c>
      <c r="CZ269" s="16">
        <v>1932</v>
      </c>
      <c r="DA269" s="16">
        <v>421</v>
      </c>
      <c r="DB269" s="16">
        <v>1396</v>
      </c>
      <c r="DC269" s="16">
        <v>3709</v>
      </c>
      <c r="DD269" s="16">
        <v>5598</v>
      </c>
      <c r="DE269" s="16">
        <v>14359</v>
      </c>
      <c r="DF269" s="16">
        <v>12533</v>
      </c>
      <c r="DG269" s="16">
        <v>32022</v>
      </c>
      <c r="DH269" s="16">
        <v>8749</v>
      </c>
      <c r="DI269" s="16">
        <v>1194</v>
      </c>
      <c r="DJ269" s="16">
        <v>36181</v>
      </c>
      <c r="DK269" s="16">
        <v>2886</v>
      </c>
      <c r="DL269" s="16">
        <v>6012</v>
      </c>
      <c r="DM269" s="16">
        <v>9897</v>
      </c>
      <c r="DN269" s="16">
        <v>1975</v>
      </c>
      <c r="DO269" s="16">
        <v>389</v>
      </c>
      <c r="DP269" s="16">
        <v>1562</v>
      </c>
      <c r="DQ269" s="16">
        <v>389</v>
      </c>
      <c r="DR269" s="16">
        <v>1537</v>
      </c>
      <c r="DS269" s="16">
        <v>1943</v>
      </c>
      <c r="DT269" s="16">
        <v>856</v>
      </c>
      <c r="DU269" s="16">
        <v>334</v>
      </c>
      <c r="DV269" s="16">
        <v>7557</v>
      </c>
      <c r="DW269" s="16">
        <v>8553</v>
      </c>
      <c r="DX269" s="16">
        <v>2193</v>
      </c>
      <c r="DY269" s="16">
        <v>4197</v>
      </c>
      <c r="DZ269" s="16">
        <v>4150</v>
      </c>
      <c r="EA269" s="16">
        <v>3688</v>
      </c>
      <c r="EB269" s="16">
        <v>3194</v>
      </c>
      <c r="EC269" s="16">
        <v>2139</v>
      </c>
      <c r="ED269" s="16">
        <v>43</v>
      </c>
      <c r="EE269" s="16">
        <v>2126</v>
      </c>
      <c r="EF269" s="16">
        <v>4962</v>
      </c>
      <c r="EG269" s="16">
        <v>2005</v>
      </c>
      <c r="EH269" s="16">
        <v>1261</v>
      </c>
      <c r="EI269" s="16">
        <v>766</v>
      </c>
      <c r="EJ269" s="16">
        <v>18</v>
      </c>
      <c r="EK269" s="16">
        <v>402</v>
      </c>
      <c r="EL269" s="16">
        <v>480</v>
      </c>
      <c r="EM269" s="16">
        <v>15066</v>
      </c>
      <c r="EN269" s="16">
        <v>2368</v>
      </c>
      <c r="EO269" s="16">
        <v>1453</v>
      </c>
      <c r="EP269" s="16">
        <v>1025</v>
      </c>
      <c r="EQ269" s="16">
        <v>416</v>
      </c>
      <c r="ER269" s="16">
        <v>178</v>
      </c>
      <c r="ES269" s="16">
        <v>1069</v>
      </c>
      <c r="ET269" s="16">
        <v>2139</v>
      </c>
      <c r="EU269" s="16">
        <v>446</v>
      </c>
      <c r="EV269" s="16">
        <v>9525</v>
      </c>
      <c r="EW269" s="16">
        <v>1766</v>
      </c>
      <c r="EX269" s="16">
        <v>14056</v>
      </c>
      <c r="EY269" s="16">
        <v>4751</v>
      </c>
      <c r="EZ269" s="16">
        <v>4473</v>
      </c>
      <c r="FA269" s="16">
        <v>8600</v>
      </c>
      <c r="FB269" s="16">
        <v>15872</v>
      </c>
      <c r="FC269" s="16">
        <v>2153</v>
      </c>
      <c r="FD269" s="16">
        <v>3634</v>
      </c>
      <c r="FE269" s="16">
        <v>1228</v>
      </c>
      <c r="FF269" s="16">
        <v>6132</v>
      </c>
      <c r="FG269" s="16">
        <v>1307</v>
      </c>
      <c r="FH269" s="16">
        <v>1496</v>
      </c>
      <c r="FI269" s="16">
        <v>815</v>
      </c>
      <c r="FJ269" s="16">
        <v>1996</v>
      </c>
      <c r="FK269" s="16">
        <v>3792</v>
      </c>
      <c r="FL269" s="16">
        <v>4589</v>
      </c>
      <c r="FM269" s="16">
        <v>4799</v>
      </c>
      <c r="FN269" s="16">
        <v>3781</v>
      </c>
      <c r="FO269" s="16">
        <v>732</v>
      </c>
      <c r="FP269" s="16">
        <v>6765</v>
      </c>
      <c r="FQ269" s="16">
        <v>1932</v>
      </c>
      <c r="FR269" s="16">
        <v>1529</v>
      </c>
      <c r="FS269" s="16">
        <v>386</v>
      </c>
      <c r="FT269" s="16">
        <v>821</v>
      </c>
      <c r="FU269" s="16">
        <v>2311</v>
      </c>
      <c r="FV269" s="16">
        <v>2189</v>
      </c>
      <c r="FW269" s="16">
        <v>5229</v>
      </c>
      <c r="FX269" s="16">
        <v>4619</v>
      </c>
      <c r="FY269" s="16">
        <v>461</v>
      </c>
      <c r="FZ269" s="16">
        <v>709</v>
      </c>
      <c r="GA269" s="16">
        <v>974</v>
      </c>
      <c r="GB269" s="16">
        <v>2673</v>
      </c>
      <c r="GC269" s="16">
        <v>1119</v>
      </c>
      <c r="GD269" s="16">
        <v>1510</v>
      </c>
      <c r="GE269" s="16">
        <v>16678</v>
      </c>
      <c r="GF269" s="16">
        <v>102857</v>
      </c>
      <c r="GG269" s="16">
        <v>32303</v>
      </c>
      <c r="GH269" s="16">
        <v>9961</v>
      </c>
      <c r="GI269" s="16">
        <v>11017</v>
      </c>
      <c r="GJ269" s="16">
        <v>2039</v>
      </c>
      <c r="GK269" s="16">
        <v>520</v>
      </c>
      <c r="GL269" s="16">
        <v>76</v>
      </c>
      <c r="GM269" s="16">
        <v>229</v>
      </c>
      <c r="GN269" s="16">
        <v>230</v>
      </c>
      <c r="GO269" s="16">
        <v>422</v>
      </c>
      <c r="GP269" s="16">
        <v>2704</v>
      </c>
      <c r="GQ269" s="16">
        <v>2832</v>
      </c>
      <c r="GR269" s="16">
        <v>9</v>
      </c>
      <c r="GS269" s="16">
        <v>115</v>
      </c>
      <c r="GT269" s="16">
        <v>228</v>
      </c>
      <c r="GU269" s="16">
        <v>4562</v>
      </c>
      <c r="GV269" s="16">
        <v>3849</v>
      </c>
      <c r="GW269" s="16">
        <v>1844</v>
      </c>
      <c r="GX269" s="16">
        <v>1914</v>
      </c>
      <c r="GY269" s="16">
        <v>54</v>
      </c>
      <c r="GZ269" s="16">
        <v>2428</v>
      </c>
      <c r="HA269" s="16">
        <v>580</v>
      </c>
      <c r="HB269" s="16">
        <v>686</v>
      </c>
      <c r="HC269" s="16">
        <v>1770</v>
      </c>
      <c r="HD269" s="16">
        <v>1409</v>
      </c>
      <c r="HE269" s="16">
        <v>12420</v>
      </c>
      <c r="HF269" s="16">
        <v>2251</v>
      </c>
      <c r="HG269" s="16">
        <v>786</v>
      </c>
      <c r="HH269" s="16">
        <v>223</v>
      </c>
      <c r="HI269" s="16">
        <v>1109</v>
      </c>
      <c r="HJ269" s="16">
        <v>171</v>
      </c>
      <c r="HK269" s="16">
        <v>1391</v>
      </c>
      <c r="HL269" s="16">
        <v>1963</v>
      </c>
      <c r="HM269" s="16">
        <v>1375</v>
      </c>
      <c r="HN269" s="16">
        <v>2607</v>
      </c>
      <c r="HO269" s="16">
        <v>1817</v>
      </c>
      <c r="HP269" s="16">
        <v>3282</v>
      </c>
      <c r="HQ269" s="16">
        <v>1724</v>
      </c>
      <c r="HR269" s="16">
        <v>2156</v>
      </c>
      <c r="HS269" s="16">
        <v>1715</v>
      </c>
      <c r="HT269" s="16">
        <v>171</v>
      </c>
      <c r="HU269" s="16">
        <v>2115</v>
      </c>
      <c r="HV269" s="16">
        <v>927</v>
      </c>
      <c r="HW269" s="16">
        <v>2750</v>
      </c>
      <c r="HX269" s="16">
        <v>2088</v>
      </c>
      <c r="HY269" s="16">
        <v>5085</v>
      </c>
      <c r="HZ269" s="16">
        <v>3277</v>
      </c>
      <c r="IA269" s="16">
        <v>876</v>
      </c>
      <c r="IB269" s="16">
        <v>199</v>
      </c>
      <c r="IC269" s="16">
        <v>198</v>
      </c>
      <c r="ID269" s="16">
        <v>305</v>
      </c>
      <c r="IE269" s="16">
        <v>282</v>
      </c>
      <c r="IF269" s="16">
        <v>553</v>
      </c>
      <c r="IG269" s="16">
        <v>1802</v>
      </c>
      <c r="IH269" s="16">
        <v>11367</v>
      </c>
      <c r="II269" s="16">
        <v>832</v>
      </c>
      <c r="IJ269" s="16">
        <v>655</v>
      </c>
      <c r="IK269" s="16">
        <v>977</v>
      </c>
      <c r="IL269" s="16">
        <v>1077</v>
      </c>
      <c r="IM269" s="16">
        <v>165</v>
      </c>
      <c r="IN269" s="16">
        <v>10855</v>
      </c>
      <c r="IO269" s="16">
        <v>33392</v>
      </c>
      <c r="IP269" s="16">
        <v>5756</v>
      </c>
      <c r="IQ269" s="16">
        <v>160</v>
      </c>
      <c r="IR269" s="16">
        <v>6498</v>
      </c>
      <c r="IS269" s="16">
        <v>476</v>
      </c>
      <c r="IT269" s="16">
        <v>1447</v>
      </c>
      <c r="IU269" s="16">
        <v>37</v>
      </c>
      <c r="IV269" s="16">
        <v>190</v>
      </c>
      <c r="IW269" s="16">
        <v>1315</v>
      </c>
      <c r="IX269" s="16">
        <v>451</v>
      </c>
      <c r="IY269" s="16">
        <v>333</v>
      </c>
      <c r="IZ269" s="16">
        <v>34</v>
      </c>
      <c r="JA269" s="16">
        <v>98</v>
      </c>
      <c r="JB269" s="16">
        <v>24</v>
      </c>
      <c r="JC269" s="16">
        <v>62</v>
      </c>
      <c r="JD269" s="16">
        <v>127</v>
      </c>
      <c r="JE269" s="16">
        <v>431</v>
      </c>
      <c r="JF269" s="16">
        <v>398</v>
      </c>
      <c r="JG269" s="16">
        <v>6885</v>
      </c>
      <c r="JH269" s="16">
        <v>519</v>
      </c>
      <c r="JI269" s="16">
        <v>202</v>
      </c>
      <c r="JJ269" s="16">
        <v>5275</v>
      </c>
      <c r="JK269" s="16">
        <v>1106</v>
      </c>
      <c r="JL269" s="16">
        <v>470</v>
      </c>
      <c r="JM269" s="16">
        <v>178</v>
      </c>
      <c r="JN269" s="16">
        <v>368</v>
      </c>
      <c r="JO269" s="16">
        <v>629</v>
      </c>
      <c r="JP269" s="16">
        <v>3793</v>
      </c>
      <c r="JQ269" s="16">
        <v>7174</v>
      </c>
      <c r="JR269" s="16">
        <v>2035</v>
      </c>
      <c r="JS269" s="16">
        <v>805</v>
      </c>
      <c r="JT269" s="16">
        <v>1</v>
      </c>
      <c r="JU269" s="16">
        <v>2716</v>
      </c>
      <c r="JV269" s="16">
        <v>3094</v>
      </c>
      <c r="JW269" s="16">
        <v>2595</v>
      </c>
      <c r="JX269" s="16">
        <v>2931</v>
      </c>
      <c r="JY269" s="16">
        <v>259</v>
      </c>
      <c r="JZ269" s="16">
        <v>614</v>
      </c>
      <c r="KA269" s="16">
        <v>499</v>
      </c>
      <c r="KB269" s="16">
        <v>246</v>
      </c>
      <c r="KC269" s="16">
        <v>157</v>
      </c>
      <c r="KD269" s="16">
        <v>258</v>
      </c>
      <c r="KE269" s="16">
        <v>1184</v>
      </c>
      <c r="KF269" s="16">
        <v>512</v>
      </c>
      <c r="KG269" s="16">
        <v>222</v>
      </c>
      <c r="KH269" s="16">
        <v>643</v>
      </c>
      <c r="KI269" s="16">
        <v>863</v>
      </c>
      <c r="KJ269" s="16">
        <v>673</v>
      </c>
      <c r="KK269" s="16">
        <v>59968</v>
      </c>
      <c r="KL269" s="16">
        <v>15326</v>
      </c>
      <c r="KM269" s="16">
        <v>668</v>
      </c>
      <c r="KN269" s="16">
        <v>2892</v>
      </c>
      <c r="KO269" s="16">
        <v>267</v>
      </c>
      <c r="KP269" s="16">
        <v>120</v>
      </c>
      <c r="KQ269" s="16">
        <v>351</v>
      </c>
      <c r="KR269" s="16">
        <v>1005</v>
      </c>
      <c r="KS269" s="16">
        <v>207</v>
      </c>
      <c r="KT269" s="16">
        <v>814</v>
      </c>
      <c r="KU269" s="16">
        <v>733</v>
      </c>
      <c r="KV269" s="16">
        <v>7870</v>
      </c>
      <c r="KW269" s="16">
        <v>13560</v>
      </c>
      <c r="KX269" s="16">
        <v>142</v>
      </c>
      <c r="KY269" s="16">
        <v>1343</v>
      </c>
      <c r="KZ269" s="16">
        <v>10635</v>
      </c>
      <c r="LA269" s="16">
        <v>2032</v>
      </c>
      <c r="LB269" s="16">
        <v>1459</v>
      </c>
      <c r="LC269" s="16">
        <v>696</v>
      </c>
      <c r="LD269" s="16">
        <v>4274</v>
      </c>
      <c r="LE269" s="16">
        <v>1839</v>
      </c>
      <c r="LF269" s="16">
        <v>8739</v>
      </c>
      <c r="LG269" s="16">
        <v>329</v>
      </c>
      <c r="LH269" s="16">
        <v>472</v>
      </c>
      <c r="LI269" s="16">
        <v>612</v>
      </c>
      <c r="LJ269" s="16">
        <v>1749</v>
      </c>
      <c r="LK269" s="16">
        <v>1939</v>
      </c>
      <c r="LL269" s="16">
        <v>791</v>
      </c>
      <c r="LM269" s="16">
        <v>1558</v>
      </c>
      <c r="LN269" s="16">
        <v>772</v>
      </c>
      <c r="LO269" s="16">
        <v>1029</v>
      </c>
      <c r="LP269" s="16">
        <v>621</v>
      </c>
      <c r="LQ269" s="16">
        <v>490</v>
      </c>
      <c r="LR269" s="16">
        <v>4372</v>
      </c>
      <c r="LS269" s="16">
        <v>430</v>
      </c>
      <c r="LT269" s="16">
        <v>1581</v>
      </c>
      <c r="LU269" s="16">
        <v>3961</v>
      </c>
      <c r="LV269" s="16">
        <v>1</v>
      </c>
      <c r="LW269" s="16">
        <v>4313</v>
      </c>
      <c r="LX269" s="16">
        <v>1247</v>
      </c>
      <c r="LY269" s="16">
        <v>12691</v>
      </c>
      <c r="LZ269" s="16">
        <v>16028</v>
      </c>
      <c r="MA269" s="16">
        <v>2065</v>
      </c>
      <c r="MB269" s="16">
        <v>5407</v>
      </c>
      <c r="MC269" s="16">
        <v>12885</v>
      </c>
      <c r="MD269" s="16">
        <v>5304</v>
      </c>
      <c r="ME269" s="16">
        <v>342</v>
      </c>
      <c r="MF269" s="16">
        <v>8517</v>
      </c>
      <c r="MG269" s="16">
        <v>1770</v>
      </c>
      <c r="MH269" s="16">
        <v>64583</v>
      </c>
      <c r="MI269" s="16">
        <v>536</v>
      </c>
      <c r="MJ269" s="16">
        <v>817</v>
      </c>
      <c r="MK269" s="16">
        <v>547</v>
      </c>
      <c r="ML269" s="16">
        <v>338</v>
      </c>
      <c r="MM269" s="16">
        <v>1250</v>
      </c>
      <c r="MN269" s="16">
        <v>2245</v>
      </c>
      <c r="MO269" s="16">
        <v>833</v>
      </c>
      <c r="MP269" s="16">
        <v>1193</v>
      </c>
      <c r="MQ269" s="16">
        <v>2585</v>
      </c>
      <c r="MR269" s="16">
        <v>7981</v>
      </c>
      <c r="MS269" s="16">
        <v>8506</v>
      </c>
      <c r="MT269" s="16">
        <v>481</v>
      </c>
      <c r="MU269" s="16">
        <v>11542</v>
      </c>
      <c r="MV269" s="16">
        <v>9347</v>
      </c>
      <c r="MW269" s="16">
        <v>30390</v>
      </c>
      <c r="MX269" s="16">
        <v>355</v>
      </c>
      <c r="MY269" s="16">
        <v>7685</v>
      </c>
      <c r="MZ269" s="16">
        <v>12307</v>
      </c>
      <c r="NA269" s="16">
        <v>860</v>
      </c>
      <c r="NB269" s="16">
        <v>6095</v>
      </c>
      <c r="NC269" s="16">
        <v>1749</v>
      </c>
      <c r="ND269" s="16">
        <v>1013</v>
      </c>
      <c r="NE269" s="16">
        <v>1211</v>
      </c>
      <c r="NF269" s="16">
        <v>725</v>
      </c>
      <c r="NG269" s="16">
        <v>6090</v>
      </c>
      <c r="NH269" s="16">
        <v>4105</v>
      </c>
      <c r="NI269" s="16">
        <v>614</v>
      </c>
      <c r="NJ269" s="16">
        <v>1977</v>
      </c>
      <c r="NK269" s="16">
        <v>1267</v>
      </c>
      <c r="NL269" s="16">
        <v>490</v>
      </c>
      <c r="NM269" s="16">
        <v>1630</v>
      </c>
      <c r="NN269" s="16">
        <v>1219</v>
      </c>
      <c r="NO269" s="16">
        <v>0</v>
      </c>
      <c r="NP269" s="16">
        <v>2547</v>
      </c>
      <c r="NQ269" s="16">
        <v>43</v>
      </c>
      <c r="NR269" s="17">
        <v>1319472</v>
      </c>
    </row>
    <row r="270" spans="1:382" ht="13.5" customHeight="1" x14ac:dyDescent="0.2">
      <c r="A270" s="2" t="s">
        <v>547</v>
      </c>
      <c r="B270" s="16">
        <v>89251</v>
      </c>
      <c r="C270" s="16">
        <v>21266</v>
      </c>
      <c r="D270" s="16">
        <v>10963</v>
      </c>
      <c r="E270" s="16">
        <v>22961</v>
      </c>
      <c r="F270" s="16">
        <v>195417</v>
      </c>
      <c r="G270" s="16">
        <v>107874</v>
      </c>
      <c r="H270" s="16">
        <v>13924</v>
      </c>
      <c r="I270" s="16">
        <v>6748</v>
      </c>
      <c r="J270" s="16">
        <v>1881</v>
      </c>
      <c r="K270" s="16">
        <v>0</v>
      </c>
      <c r="L270" s="16">
        <v>27800</v>
      </c>
      <c r="M270" s="16">
        <v>33326</v>
      </c>
      <c r="N270" s="16">
        <v>2154</v>
      </c>
      <c r="O270" s="16">
        <v>85834</v>
      </c>
      <c r="P270" s="16">
        <v>131455</v>
      </c>
      <c r="Q270" s="16">
        <v>145905</v>
      </c>
      <c r="R270" s="16">
        <v>112982</v>
      </c>
      <c r="S270" s="16">
        <v>12731</v>
      </c>
      <c r="T270" s="16">
        <v>29114</v>
      </c>
      <c r="U270" s="16">
        <v>10270</v>
      </c>
      <c r="V270" s="16">
        <v>25259</v>
      </c>
      <c r="W270" s="16">
        <v>3347</v>
      </c>
      <c r="X270" s="16">
        <v>47216</v>
      </c>
      <c r="Y270" s="16">
        <v>147604</v>
      </c>
      <c r="Z270" s="16">
        <v>40442</v>
      </c>
      <c r="AA270" s="16">
        <v>28563</v>
      </c>
      <c r="AB270" s="16">
        <v>0</v>
      </c>
      <c r="AC270" s="16">
        <v>0</v>
      </c>
      <c r="AD270" s="16">
        <v>0</v>
      </c>
      <c r="AE270" s="16">
        <v>2733</v>
      </c>
      <c r="AF270" s="16">
        <v>2968</v>
      </c>
      <c r="AG270" s="16">
        <v>139543</v>
      </c>
      <c r="AH270" s="16">
        <v>43102</v>
      </c>
      <c r="AI270" s="16">
        <v>13137</v>
      </c>
      <c r="AJ270" s="16">
        <v>121988</v>
      </c>
      <c r="AK270" s="16">
        <v>133281</v>
      </c>
      <c r="AL270" s="16">
        <v>65860</v>
      </c>
      <c r="AM270" s="16">
        <v>129159</v>
      </c>
      <c r="AN270" s="16">
        <v>78112</v>
      </c>
      <c r="AO270" s="16">
        <v>33523</v>
      </c>
      <c r="AP270" s="16">
        <v>21819</v>
      </c>
      <c r="AQ270" s="16">
        <v>59835</v>
      </c>
      <c r="AR270" s="16">
        <v>0</v>
      </c>
      <c r="AS270" s="16">
        <v>16504</v>
      </c>
      <c r="AT270" s="16">
        <v>81034</v>
      </c>
      <c r="AU270" s="16">
        <v>176759</v>
      </c>
      <c r="AV270" s="16">
        <v>58657</v>
      </c>
      <c r="AW270" s="16">
        <v>103842</v>
      </c>
      <c r="AX270" s="16">
        <v>35828</v>
      </c>
      <c r="AY270" s="16">
        <v>94117</v>
      </c>
      <c r="AZ270" s="16">
        <v>58053</v>
      </c>
      <c r="BA270" s="16">
        <v>54512</v>
      </c>
      <c r="BB270" s="16">
        <v>209421</v>
      </c>
      <c r="BC270" s="16">
        <v>167015</v>
      </c>
      <c r="BD270" s="16">
        <v>15569</v>
      </c>
      <c r="BE270" s="16">
        <v>11203</v>
      </c>
      <c r="BF270" s="16">
        <v>31806</v>
      </c>
      <c r="BG270" s="16">
        <v>7844</v>
      </c>
      <c r="BH270" s="16">
        <v>107766</v>
      </c>
      <c r="BI270" s="16">
        <v>27823</v>
      </c>
      <c r="BJ270" s="16">
        <v>95208</v>
      </c>
      <c r="BK270" s="16">
        <v>38396</v>
      </c>
      <c r="BL270" s="16">
        <v>239936</v>
      </c>
      <c r="BM270" s="16">
        <v>4262</v>
      </c>
      <c r="BN270" s="16">
        <v>12033</v>
      </c>
      <c r="BO270" s="16">
        <v>14921</v>
      </c>
      <c r="BP270" s="16">
        <v>69696</v>
      </c>
      <c r="BQ270" s="16">
        <v>41056</v>
      </c>
      <c r="BR270" s="16">
        <v>141006</v>
      </c>
      <c r="BS270" s="16">
        <v>50033</v>
      </c>
      <c r="BT270" s="16">
        <v>5341</v>
      </c>
      <c r="BU270" s="16">
        <v>1659</v>
      </c>
      <c r="BV270" s="16">
        <v>1470</v>
      </c>
      <c r="BW270" s="16">
        <v>16721</v>
      </c>
      <c r="BX270" s="16">
        <v>14920</v>
      </c>
      <c r="BY270" s="16">
        <v>1806</v>
      </c>
      <c r="BZ270" s="16">
        <v>18013</v>
      </c>
      <c r="CA270" s="16">
        <v>20708</v>
      </c>
      <c r="CB270" s="16">
        <v>1908</v>
      </c>
      <c r="CC270" s="16">
        <v>61317</v>
      </c>
      <c r="CD270" s="16">
        <v>28593</v>
      </c>
      <c r="CE270" s="16">
        <v>77317</v>
      </c>
      <c r="CF270" s="16">
        <v>26489</v>
      </c>
      <c r="CG270" s="16">
        <v>19578</v>
      </c>
      <c r="CH270" s="16">
        <v>6194</v>
      </c>
      <c r="CI270" s="16">
        <v>324</v>
      </c>
      <c r="CJ270" s="16">
        <v>280847</v>
      </c>
      <c r="CK270" s="16">
        <v>472418</v>
      </c>
      <c r="CL270" s="16">
        <v>79984</v>
      </c>
      <c r="CM270" s="16">
        <v>48666</v>
      </c>
      <c r="CN270" s="16">
        <v>11724</v>
      </c>
      <c r="CO270" s="16">
        <v>98750</v>
      </c>
      <c r="CP270" s="16">
        <v>33560</v>
      </c>
      <c r="CQ270" s="16">
        <v>152620</v>
      </c>
      <c r="CR270" s="16">
        <v>36779</v>
      </c>
      <c r="CS270" s="16">
        <v>275007</v>
      </c>
      <c r="CT270" s="16">
        <v>255336</v>
      </c>
      <c r="CU270" s="16">
        <v>278777</v>
      </c>
      <c r="CV270" s="16">
        <v>51889</v>
      </c>
      <c r="CW270" s="16">
        <v>528669</v>
      </c>
      <c r="CX270" s="16">
        <v>132622</v>
      </c>
      <c r="CY270" s="16">
        <v>69367</v>
      </c>
      <c r="CZ270" s="16">
        <v>82380</v>
      </c>
      <c r="DA270" s="16">
        <v>17967</v>
      </c>
      <c r="DB270" s="16">
        <v>59525</v>
      </c>
      <c r="DC270" s="16">
        <v>158093</v>
      </c>
      <c r="DD270" s="16">
        <v>238670</v>
      </c>
      <c r="DE270" s="16">
        <v>612128</v>
      </c>
      <c r="DF270" s="16">
        <v>534213</v>
      </c>
      <c r="DG270" s="16">
        <v>1364923</v>
      </c>
      <c r="DH270" s="16">
        <v>372952</v>
      </c>
      <c r="DI270" s="16">
        <v>50876</v>
      </c>
      <c r="DJ270" s="16">
        <v>1542446</v>
      </c>
      <c r="DK270" s="16">
        <v>123036</v>
      </c>
      <c r="DL270" s="16">
        <v>256251</v>
      </c>
      <c r="DM270" s="16">
        <v>421885</v>
      </c>
      <c r="DN270" s="16">
        <v>84189</v>
      </c>
      <c r="DO270" s="16">
        <v>16571</v>
      </c>
      <c r="DP270" s="16">
        <v>66588</v>
      </c>
      <c r="DQ270" s="16">
        <v>16572</v>
      </c>
      <c r="DR270" s="16">
        <v>65516</v>
      </c>
      <c r="DS270" s="16">
        <v>82801</v>
      </c>
      <c r="DT270" s="16">
        <v>36494</v>
      </c>
      <c r="DU270" s="16">
        <v>14220</v>
      </c>
      <c r="DV270" s="16">
        <v>322109</v>
      </c>
      <c r="DW270" s="16">
        <v>364596</v>
      </c>
      <c r="DX270" s="16">
        <v>93487</v>
      </c>
      <c r="DY270" s="16">
        <v>178880</v>
      </c>
      <c r="DZ270" s="16">
        <v>176916</v>
      </c>
      <c r="EA270" s="16">
        <v>157221</v>
      </c>
      <c r="EB270" s="16">
        <v>136137</v>
      </c>
      <c r="EC270" s="16">
        <v>91164</v>
      </c>
      <c r="ED270" s="16">
        <v>1851</v>
      </c>
      <c r="EE270" s="16">
        <v>90622</v>
      </c>
      <c r="EF270" s="16">
        <v>131501</v>
      </c>
      <c r="EG270" s="16">
        <v>85447</v>
      </c>
      <c r="EH270" s="16">
        <v>53768</v>
      </c>
      <c r="EI270" s="16">
        <v>32652</v>
      </c>
      <c r="EJ270" s="16">
        <v>760</v>
      </c>
      <c r="EK270" s="16">
        <v>17134</v>
      </c>
      <c r="EL270" s="16">
        <v>20470</v>
      </c>
      <c r="EM270" s="16">
        <v>642189</v>
      </c>
      <c r="EN270" s="16">
        <v>100941</v>
      </c>
      <c r="EO270" s="16">
        <v>61927</v>
      </c>
      <c r="EP270" s="16">
        <v>43691</v>
      </c>
      <c r="EQ270" s="16">
        <v>17749</v>
      </c>
      <c r="ER270" s="16">
        <v>7569</v>
      </c>
      <c r="ES270" s="16">
        <v>45576</v>
      </c>
      <c r="ET270" s="16">
        <v>91165</v>
      </c>
      <c r="EU270" s="16">
        <v>19032</v>
      </c>
      <c r="EV270" s="16">
        <v>405993</v>
      </c>
      <c r="EW270" s="16">
        <v>75268</v>
      </c>
      <c r="EX270" s="16">
        <v>599142</v>
      </c>
      <c r="EY270" s="16">
        <v>202528</v>
      </c>
      <c r="EZ270" s="16">
        <v>190679</v>
      </c>
      <c r="FA270" s="16">
        <v>366607</v>
      </c>
      <c r="FB270" s="16">
        <v>676564</v>
      </c>
      <c r="FC270" s="16">
        <v>91785</v>
      </c>
      <c r="FD270" s="16">
        <v>154920</v>
      </c>
      <c r="FE270" s="16">
        <v>52372</v>
      </c>
      <c r="FF270" s="16">
        <v>261424</v>
      </c>
      <c r="FG270" s="16">
        <v>55714</v>
      </c>
      <c r="FH270" s="16">
        <v>63770</v>
      </c>
      <c r="FI270" s="16">
        <v>34750</v>
      </c>
      <c r="FJ270" s="16">
        <v>85078</v>
      </c>
      <c r="FK270" s="16">
        <v>161636</v>
      </c>
      <c r="FL270" s="16">
        <v>175095</v>
      </c>
      <c r="FM270" s="16">
        <v>225111</v>
      </c>
      <c r="FN270" s="16">
        <v>161184</v>
      </c>
      <c r="FO270" s="16">
        <v>31216</v>
      </c>
      <c r="FP270" s="16">
        <v>288374</v>
      </c>
      <c r="FQ270" s="16">
        <v>82342</v>
      </c>
      <c r="FR270" s="16">
        <v>65174</v>
      </c>
      <c r="FS270" s="16">
        <v>16454</v>
      </c>
      <c r="FT270" s="16">
        <v>34990</v>
      </c>
      <c r="FU270" s="16">
        <v>98520</v>
      </c>
      <c r="FV270" s="16">
        <v>93297</v>
      </c>
      <c r="FW270" s="16">
        <v>222886</v>
      </c>
      <c r="FX270" s="16">
        <v>196881</v>
      </c>
      <c r="FY270" s="16">
        <v>19629</v>
      </c>
      <c r="FZ270" s="16">
        <v>30220</v>
      </c>
      <c r="GA270" s="16">
        <v>41533</v>
      </c>
      <c r="GB270" s="16">
        <v>113944</v>
      </c>
      <c r="GC270" s="16">
        <v>47690</v>
      </c>
      <c r="GD270" s="16">
        <v>64347</v>
      </c>
      <c r="GE270" s="16">
        <v>710889</v>
      </c>
      <c r="GF270" s="16">
        <v>4384667</v>
      </c>
      <c r="GG270" s="16">
        <v>377007</v>
      </c>
      <c r="GH270" s="16">
        <v>424584</v>
      </c>
      <c r="GI270" s="16">
        <v>469598</v>
      </c>
      <c r="GJ270" s="16">
        <v>86894</v>
      </c>
      <c r="GK270" s="16">
        <v>22153</v>
      </c>
      <c r="GL270" s="16">
        <v>3248</v>
      </c>
      <c r="GM270" s="16">
        <v>9779</v>
      </c>
      <c r="GN270" s="16">
        <v>9796</v>
      </c>
      <c r="GO270" s="16">
        <v>17985</v>
      </c>
      <c r="GP270" s="16">
        <v>115306</v>
      </c>
      <c r="GQ270" s="16">
        <v>120731</v>
      </c>
      <c r="GR270" s="16">
        <v>378</v>
      </c>
      <c r="GS270" s="16">
        <v>4922</v>
      </c>
      <c r="GT270" s="16">
        <v>9720</v>
      </c>
      <c r="GU270" s="16">
        <v>194441</v>
      </c>
      <c r="GV270" s="16">
        <v>164076</v>
      </c>
      <c r="GW270" s="16">
        <v>78622</v>
      </c>
      <c r="GX270" s="16">
        <v>81578</v>
      </c>
      <c r="GY270" s="16">
        <v>2291</v>
      </c>
      <c r="GZ270" s="16">
        <v>103491</v>
      </c>
      <c r="HA270" s="16">
        <v>24718</v>
      </c>
      <c r="HB270" s="16">
        <v>29255</v>
      </c>
      <c r="HC270" s="16">
        <v>75460</v>
      </c>
      <c r="HD270" s="16">
        <v>60048</v>
      </c>
      <c r="HE270" s="16">
        <v>529423</v>
      </c>
      <c r="HF270" s="16">
        <v>95937</v>
      </c>
      <c r="HG270" s="16">
        <v>33505</v>
      </c>
      <c r="HH270" s="16">
        <v>9490</v>
      </c>
      <c r="HI270" s="16">
        <v>47260</v>
      </c>
      <c r="HJ270" s="16">
        <v>7275</v>
      </c>
      <c r="HK270" s="16">
        <v>59309</v>
      </c>
      <c r="HL270" s="16">
        <v>83697</v>
      </c>
      <c r="HM270" s="16">
        <v>58614</v>
      </c>
      <c r="HN270" s="16">
        <v>111123</v>
      </c>
      <c r="HO270" s="16">
        <v>77469</v>
      </c>
      <c r="HP270" s="16">
        <v>139885</v>
      </c>
      <c r="HQ270" s="16">
        <v>73481</v>
      </c>
      <c r="HR270" s="16">
        <v>91891</v>
      </c>
      <c r="HS270" s="16">
        <v>73091</v>
      </c>
      <c r="HT270" s="16">
        <v>7309</v>
      </c>
      <c r="HU270" s="16">
        <v>90137</v>
      </c>
      <c r="HV270" s="16">
        <v>39495</v>
      </c>
      <c r="HW270" s="16">
        <v>117240</v>
      </c>
      <c r="HX270" s="16">
        <v>88987</v>
      </c>
      <c r="HY270" s="16">
        <v>216750</v>
      </c>
      <c r="HZ270" s="16">
        <v>139668</v>
      </c>
      <c r="IA270" s="16">
        <v>37342</v>
      </c>
      <c r="IB270" s="16">
        <v>8483</v>
      </c>
      <c r="IC270" s="16">
        <v>8440</v>
      </c>
      <c r="ID270" s="16">
        <v>13001</v>
      </c>
      <c r="IE270" s="16">
        <v>12040</v>
      </c>
      <c r="IF270" s="16">
        <v>23561</v>
      </c>
      <c r="IG270" s="16">
        <v>76838</v>
      </c>
      <c r="IH270" s="16">
        <v>484755</v>
      </c>
      <c r="II270" s="16">
        <v>35499</v>
      </c>
      <c r="IJ270" s="16">
        <v>27931</v>
      </c>
      <c r="IK270" s="16">
        <v>41633</v>
      </c>
      <c r="IL270" s="16">
        <v>45915</v>
      </c>
      <c r="IM270" s="16">
        <v>7061</v>
      </c>
      <c r="IN270" s="16">
        <v>462715</v>
      </c>
      <c r="IO270" s="16">
        <v>1503704</v>
      </c>
      <c r="IP270" s="16">
        <v>245408</v>
      </c>
      <c r="IQ270" s="16">
        <v>6819</v>
      </c>
      <c r="IR270" s="16">
        <v>276969</v>
      </c>
      <c r="IS270" s="16">
        <v>20298</v>
      </c>
      <c r="IT270" s="16">
        <v>61668</v>
      </c>
      <c r="IU270" s="16">
        <v>1573</v>
      </c>
      <c r="IV270" s="16">
        <v>8110</v>
      </c>
      <c r="IW270" s="16">
        <v>56053</v>
      </c>
      <c r="IX270" s="16">
        <v>19206</v>
      </c>
      <c r="IY270" s="16">
        <v>14206</v>
      </c>
      <c r="IZ270" s="16">
        <v>1467</v>
      </c>
      <c r="JA270" s="16">
        <v>4191</v>
      </c>
      <c r="JB270" s="16">
        <v>1044</v>
      </c>
      <c r="JC270" s="16">
        <v>2662</v>
      </c>
      <c r="JD270" s="16">
        <v>5433</v>
      </c>
      <c r="JE270" s="16">
        <v>18367</v>
      </c>
      <c r="JF270" s="16">
        <v>16946</v>
      </c>
      <c r="JG270" s="16">
        <v>293458</v>
      </c>
      <c r="JH270" s="16">
        <v>22104</v>
      </c>
      <c r="JI270" s="16">
        <v>8629</v>
      </c>
      <c r="JJ270" s="16">
        <v>224865</v>
      </c>
      <c r="JK270" s="16">
        <v>47146</v>
      </c>
      <c r="JL270" s="16">
        <v>20057</v>
      </c>
      <c r="JM270" s="16">
        <v>7569</v>
      </c>
      <c r="JN270" s="16">
        <v>15670</v>
      </c>
      <c r="JO270" s="16">
        <v>26803</v>
      </c>
      <c r="JP270" s="16">
        <v>161666</v>
      </c>
      <c r="JQ270" s="16">
        <v>305816</v>
      </c>
      <c r="JR270" s="16">
        <v>86777</v>
      </c>
      <c r="JS270" s="16">
        <v>34336</v>
      </c>
      <c r="JT270" s="16">
        <v>29</v>
      </c>
      <c r="JU270" s="16">
        <v>115764</v>
      </c>
      <c r="JV270" s="16">
        <v>131866</v>
      </c>
      <c r="JW270" s="16">
        <v>110612</v>
      </c>
      <c r="JX270" s="16">
        <v>124930</v>
      </c>
      <c r="JY270" s="16">
        <v>11013</v>
      </c>
      <c r="JZ270" s="16">
        <v>26153</v>
      </c>
      <c r="KA270" s="16">
        <v>21283</v>
      </c>
      <c r="KB270" s="16">
        <v>10505</v>
      </c>
      <c r="KC270" s="16">
        <v>6670</v>
      </c>
      <c r="KD270" s="16">
        <v>11032</v>
      </c>
      <c r="KE270" s="16">
        <v>50468</v>
      </c>
      <c r="KF270" s="16">
        <v>21812</v>
      </c>
      <c r="KG270" s="16">
        <v>9469</v>
      </c>
      <c r="KH270" s="16">
        <v>27408</v>
      </c>
      <c r="KI270" s="16">
        <v>36790</v>
      </c>
      <c r="KJ270" s="16">
        <v>28700</v>
      </c>
      <c r="KK270" s="16">
        <v>2556194</v>
      </c>
      <c r="KL270" s="16">
        <v>653273</v>
      </c>
      <c r="KM270" s="16">
        <v>28459</v>
      </c>
      <c r="KN270" s="16">
        <v>123287</v>
      </c>
      <c r="KO270" s="16">
        <v>11374</v>
      </c>
      <c r="KP270" s="16">
        <v>5111</v>
      </c>
      <c r="KQ270" s="16">
        <v>14963</v>
      </c>
      <c r="KR270" s="16">
        <v>42839</v>
      </c>
      <c r="KS270" s="16">
        <v>8839</v>
      </c>
      <c r="KT270" s="16">
        <v>34698</v>
      </c>
      <c r="KU270" s="16">
        <v>31263</v>
      </c>
      <c r="KV270" s="16">
        <v>335446</v>
      </c>
      <c r="KW270" s="16">
        <v>578031</v>
      </c>
      <c r="KX270" s="16">
        <v>6045</v>
      </c>
      <c r="KY270" s="16">
        <v>57237</v>
      </c>
      <c r="KZ270" s="16">
        <v>453343</v>
      </c>
      <c r="LA270" s="16">
        <v>86620</v>
      </c>
      <c r="LB270" s="16">
        <v>62210</v>
      </c>
      <c r="LC270" s="16">
        <v>29677</v>
      </c>
      <c r="LD270" s="16">
        <v>182200</v>
      </c>
      <c r="LE270" s="16">
        <v>78378</v>
      </c>
      <c r="LF270" s="16">
        <v>372518</v>
      </c>
      <c r="LG270" s="16">
        <v>14016</v>
      </c>
      <c r="LH270" s="16">
        <v>20119</v>
      </c>
      <c r="LI270" s="16">
        <v>26087</v>
      </c>
      <c r="LJ270" s="16">
        <v>74530</v>
      </c>
      <c r="LK270" s="16">
        <v>82657</v>
      </c>
      <c r="LL270" s="16">
        <v>33733</v>
      </c>
      <c r="LM270" s="16">
        <v>66397</v>
      </c>
      <c r="LN270" s="16">
        <v>32897</v>
      </c>
      <c r="LO270" s="16">
        <v>43902</v>
      </c>
      <c r="LP270" s="16">
        <v>26475</v>
      </c>
      <c r="LQ270" s="16">
        <v>20907</v>
      </c>
      <c r="LR270" s="16">
        <v>186372</v>
      </c>
      <c r="LS270" s="16">
        <v>18333</v>
      </c>
      <c r="LT270" s="16">
        <v>67410</v>
      </c>
      <c r="LU270" s="16">
        <v>168834</v>
      </c>
      <c r="LV270" s="16">
        <v>38</v>
      </c>
      <c r="LW270" s="16">
        <v>183853</v>
      </c>
      <c r="LX270" s="16">
        <v>53161</v>
      </c>
      <c r="LY270" s="16">
        <v>540969</v>
      </c>
      <c r="LZ270" s="16">
        <v>683220</v>
      </c>
      <c r="MA270" s="16">
        <v>88015</v>
      </c>
      <c r="MB270" s="16">
        <v>230469</v>
      </c>
      <c r="MC270" s="16">
        <v>666488</v>
      </c>
      <c r="MD270" s="16">
        <v>274359</v>
      </c>
      <c r="ME270" s="16">
        <v>17667</v>
      </c>
      <c r="MF270" s="16">
        <v>440637</v>
      </c>
      <c r="MG270" s="16">
        <v>92357</v>
      </c>
      <c r="MH270" s="16">
        <v>3388396</v>
      </c>
      <c r="MI270" s="16">
        <v>28096</v>
      </c>
      <c r="MJ270" s="16">
        <v>42678</v>
      </c>
      <c r="MK270" s="16">
        <v>28696</v>
      </c>
      <c r="ML270" s="16">
        <v>17729</v>
      </c>
      <c r="MM270" s="16">
        <v>65508</v>
      </c>
      <c r="MN270" s="16">
        <v>117828</v>
      </c>
      <c r="MO270" s="16">
        <v>43599</v>
      </c>
      <c r="MP270" s="16">
        <v>62618</v>
      </c>
      <c r="MQ270" s="16">
        <v>135532</v>
      </c>
      <c r="MR270" s="16">
        <v>401280</v>
      </c>
      <c r="MS270" s="16">
        <v>362547</v>
      </c>
      <c r="MT270" s="16">
        <v>20506</v>
      </c>
      <c r="MU270" s="16">
        <v>491994</v>
      </c>
      <c r="MV270" s="16">
        <v>398416</v>
      </c>
      <c r="MW270" s="16">
        <v>1295373</v>
      </c>
      <c r="MX270" s="16">
        <v>15121</v>
      </c>
      <c r="MY270" s="16">
        <v>327598</v>
      </c>
      <c r="MZ270" s="16">
        <v>524582</v>
      </c>
      <c r="NA270" s="16">
        <v>36680</v>
      </c>
      <c r="NB270" s="16">
        <v>259815</v>
      </c>
      <c r="NC270" s="16">
        <v>74519</v>
      </c>
      <c r="ND270" s="16">
        <v>43187</v>
      </c>
      <c r="NE270" s="16">
        <v>51585</v>
      </c>
      <c r="NF270" s="16">
        <v>30931</v>
      </c>
      <c r="NG270" s="16">
        <v>259571</v>
      </c>
      <c r="NH270" s="16">
        <v>174971</v>
      </c>
      <c r="NI270" s="16">
        <v>26169</v>
      </c>
      <c r="NJ270" s="16">
        <v>84277</v>
      </c>
      <c r="NK270" s="16">
        <v>54022</v>
      </c>
      <c r="NL270" s="16">
        <v>20880</v>
      </c>
      <c r="NM270" s="16">
        <v>69473</v>
      </c>
      <c r="NN270" s="16">
        <v>51944</v>
      </c>
      <c r="NO270" s="16">
        <v>0</v>
      </c>
      <c r="NP270" s="16">
        <v>108537</v>
      </c>
      <c r="NQ270" s="16">
        <v>1847</v>
      </c>
      <c r="NR270" s="17">
        <v>56306810</v>
      </c>
    </row>
    <row r="271" spans="1:382" ht="13.5" customHeight="1" x14ac:dyDescent="0.2">
      <c r="A271" s="2" t="s">
        <v>549</v>
      </c>
      <c r="B271" s="16">
        <v>14312</v>
      </c>
      <c r="C271" s="16">
        <v>3411</v>
      </c>
      <c r="D271" s="16">
        <v>1758</v>
      </c>
      <c r="E271" s="16">
        <v>3682</v>
      </c>
      <c r="F271" s="16">
        <v>31337</v>
      </c>
      <c r="G271" s="16">
        <v>17299</v>
      </c>
      <c r="H271" s="16">
        <v>2233</v>
      </c>
      <c r="I271" s="16">
        <v>1082</v>
      </c>
      <c r="J271" s="16">
        <v>302</v>
      </c>
      <c r="K271" s="16">
        <v>0</v>
      </c>
      <c r="L271" s="16">
        <v>4458</v>
      </c>
      <c r="M271" s="16">
        <v>5345</v>
      </c>
      <c r="N271" s="16">
        <v>346</v>
      </c>
      <c r="O271" s="16">
        <v>13764</v>
      </c>
      <c r="P271" s="16">
        <v>21079</v>
      </c>
      <c r="Q271" s="16">
        <v>23397</v>
      </c>
      <c r="R271" s="16">
        <v>18117</v>
      </c>
      <c r="S271" s="16">
        <v>2042</v>
      </c>
      <c r="T271" s="16">
        <v>4669</v>
      </c>
      <c r="U271" s="16">
        <v>1647</v>
      </c>
      <c r="V271" s="16">
        <v>4051</v>
      </c>
      <c r="W271" s="16">
        <v>537</v>
      </c>
      <c r="X271" s="16">
        <v>7571</v>
      </c>
      <c r="Y271" s="16">
        <v>23669</v>
      </c>
      <c r="Z271" s="16">
        <v>6486</v>
      </c>
      <c r="AA271" s="16">
        <v>4580</v>
      </c>
      <c r="AB271" s="16">
        <v>0</v>
      </c>
      <c r="AC271" s="16">
        <v>0</v>
      </c>
      <c r="AD271" s="16">
        <v>0</v>
      </c>
      <c r="AE271" s="16">
        <v>438</v>
      </c>
      <c r="AF271" s="16">
        <v>1239</v>
      </c>
      <c r="AG271" s="16">
        <v>22377</v>
      </c>
      <c r="AH271" s="16">
        <v>6912</v>
      </c>
      <c r="AI271" s="16">
        <v>1344</v>
      </c>
      <c r="AJ271" s="16">
        <v>19561</v>
      </c>
      <c r="AK271" s="16">
        <v>21372</v>
      </c>
      <c r="AL271" s="16">
        <v>10562</v>
      </c>
      <c r="AM271" s="16">
        <v>20711</v>
      </c>
      <c r="AN271" s="16">
        <v>12527</v>
      </c>
      <c r="AO271" s="16">
        <v>5375</v>
      </c>
      <c r="AP271" s="16">
        <v>3499</v>
      </c>
      <c r="AQ271" s="16">
        <v>9595</v>
      </c>
      <c r="AR271" s="16">
        <v>0</v>
      </c>
      <c r="AS271" s="16">
        <v>2647</v>
      </c>
      <c r="AT271" s="16">
        <v>12994</v>
      </c>
      <c r="AU271" s="16">
        <v>28345</v>
      </c>
      <c r="AV271" s="16">
        <v>9406</v>
      </c>
      <c r="AW271" s="16">
        <v>16651</v>
      </c>
      <c r="AX271" s="16">
        <v>5746</v>
      </c>
      <c r="AY271" s="16">
        <v>15092</v>
      </c>
      <c r="AZ271" s="16">
        <v>9310</v>
      </c>
      <c r="BA271" s="16">
        <v>8741</v>
      </c>
      <c r="BB271" s="16">
        <v>33583</v>
      </c>
      <c r="BC271" s="16">
        <v>26782</v>
      </c>
      <c r="BD271" s="16">
        <v>2497</v>
      </c>
      <c r="BE271" s="16">
        <v>1797</v>
      </c>
      <c r="BF271" s="16">
        <v>5101</v>
      </c>
      <c r="BG271" s="16">
        <v>1258</v>
      </c>
      <c r="BH271" s="16">
        <v>17281</v>
      </c>
      <c r="BI271" s="16">
        <v>4462</v>
      </c>
      <c r="BJ271" s="16">
        <v>15267</v>
      </c>
      <c r="BK271" s="16">
        <v>6157</v>
      </c>
      <c r="BL271" s="16">
        <v>38474</v>
      </c>
      <c r="BM271" s="16">
        <v>683</v>
      </c>
      <c r="BN271" s="16">
        <v>1928</v>
      </c>
      <c r="BO271" s="16">
        <v>2393</v>
      </c>
      <c r="BP271" s="16">
        <v>11177</v>
      </c>
      <c r="BQ271" s="16">
        <v>6584</v>
      </c>
      <c r="BR271" s="16">
        <v>22610</v>
      </c>
      <c r="BS271" s="16">
        <v>8024</v>
      </c>
      <c r="BT271" s="16">
        <v>857</v>
      </c>
      <c r="BU271" s="16">
        <v>266</v>
      </c>
      <c r="BV271" s="16">
        <v>236</v>
      </c>
      <c r="BW271" s="16">
        <v>2681</v>
      </c>
      <c r="BX271" s="16">
        <v>2393</v>
      </c>
      <c r="BY271" s="16">
        <v>289</v>
      </c>
      <c r="BZ271" s="16">
        <v>2889</v>
      </c>
      <c r="CA271" s="16">
        <v>3321</v>
      </c>
      <c r="CB271" s="16">
        <v>306</v>
      </c>
      <c r="CC271" s="16">
        <v>9833</v>
      </c>
      <c r="CD271" s="16">
        <v>4585</v>
      </c>
      <c r="CE271" s="16">
        <v>12398</v>
      </c>
      <c r="CF271" s="16">
        <v>4248</v>
      </c>
      <c r="CG271" s="16">
        <v>3140</v>
      </c>
      <c r="CH271" s="16">
        <v>993</v>
      </c>
      <c r="CI271" s="16">
        <v>52</v>
      </c>
      <c r="CJ271" s="16">
        <v>45036</v>
      </c>
      <c r="CK271" s="16">
        <v>75757</v>
      </c>
      <c r="CL271" s="16">
        <v>12826</v>
      </c>
      <c r="CM271" s="16">
        <v>7804</v>
      </c>
      <c r="CN271" s="16">
        <v>1880</v>
      </c>
      <c r="CO271" s="16">
        <v>15835</v>
      </c>
      <c r="CP271" s="16">
        <v>5382</v>
      </c>
      <c r="CQ271" s="16">
        <v>24474</v>
      </c>
      <c r="CR271" s="16">
        <v>5898</v>
      </c>
      <c r="CS271" s="16">
        <v>44097</v>
      </c>
      <c r="CT271" s="16">
        <v>40938</v>
      </c>
      <c r="CU271" s="16">
        <v>44684</v>
      </c>
      <c r="CV271" s="16">
        <v>8321</v>
      </c>
      <c r="CW271" s="16">
        <v>84722</v>
      </c>
      <c r="CX271" s="16">
        <v>21263</v>
      </c>
      <c r="CY271" s="16">
        <v>11124</v>
      </c>
      <c r="CZ271" s="16">
        <v>13208</v>
      </c>
      <c r="DA271" s="16">
        <v>2881</v>
      </c>
      <c r="DB271" s="16">
        <v>9545</v>
      </c>
      <c r="DC271" s="16">
        <v>25350</v>
      </c>
      <c r="DD271" s="16">
        <v>38265</v>
      </c>
      <c r="DE271" s="16">
        <v>98149</v>
      </c>
      <c r="DF271" s="16">
        <v>85665</v>
      </c>
      <c r="DG271" s="16">
        <v>218879</v>
      </c>
      <c r="DH271" s="16">
        <v>59801</v>
      </c>
      <c r="DI271" s="16">
        <v>8158</v>
      </c>
      <c r="DJ271" s="16">
        <v>247308</v>
      </c>
      <c r="DK271" s="16">
        <v>19728</v>
      </c>
      <c r="DL271" s="16">
        <v>41091</v>
      </c>
      <c r="DM271" s="16">
        <v>67653</v>
      </c>
      <c r="DN271" s="16">
        <v>13500</v>
      </c>
      <c r="DO271" s="16">
        <v>2657</v>
      </c>
      <c r="DP271" s="16">
        <v>10678</v>
      </c>
      <c r="DQ271" s="16">
        <v>2658</v>
      </c>
      <c r="DR271" s="16">
        <v>10506</v>
      </c>
      <c r="DS271" s="16">
        <v>13277</v>
      </c>
      <c r="DT271" s="16">
        <v>5852</v>
      </c>
      <c r="DU271" s="16">
        <v>2280</v>
      </c>
      <c r="DV271" s="16">
        <v>51652</v>
      </c>
      <c r="DW271" s="16">
        <v>58463</v>
      </c>
      <c r="DX271" s="16">
        <v>14991</v>
      </c>
      <c r="DY271" s="16">
        <v>28685</v>
      </c>
      <c r="DZ271" s="16">
        <v>28370</v>
      </c>
      <c r="EA271" s="16">
        <v>25211</v>
      </c>
      <c r="EB271" s="16">
        <v>21830</v>
      </c>
      <c r="EC271" s="16">
        <v>14618</v>
      </c>
      <c r="ED271" s="16">
        <v>297</v>
      </c>
      <c r="EE271" s="16">
        <v>14532</v>
      </c>
      <c r="EF271" s="16">
        <v>33916</v>
      </c>
      <c r="EG271" s="16">
        <v>13702</v>
      </c>
      <c r="EH271" s="16">
        <v>8623</v>
      </c>
      <c r="EI271" s="16">
        <v>5236</v>
      </c>
      <c r="EJ271" s="16">
        <v>122</v>
      </c>
      <c r="EK271" s="16">
        <v>2748</v>
      </c>
      <c r="EL271" s="16">
        <v>3283</v>
      </c>
      <c r="EM271" s="16">
        <v>102981</v>
      </c>
      <c r="EN271" s="16">
        <v>16186</v>
      </c>
      <c r="EO271" s="16">
        <v>9931</v>
      </c>
      <c r="EP271" s="16">
        <v>7006</v>
      </c>
      <c r="EQ271" s="16">
        <v>2846</v>
      </c>
      <c r="ER271" s="16">
        <v>1214</v>
      </c>
      <c r="ES271" s="16">
        <v>7309</v>
      </c>
      <c r="ET271" s="16">
        <v>14619</v>
      </c>
      <c r="EU271" s="16">
        <v>3052</v>
      </c>
      <c r="EV271" s="16">
        <v>65103</v>
      </c>
      <c r="EW271" s="16">
        <v>12070</v>
      </c>
      <c r="EX271" s="16">
        <v>96077</v>
      </c>
      <c r="EY271" s="16">
        <v>32477</v>
      </c>
      <c r="EZ271" s="16">
        <v>30577</v>
      </c>
      <c r="FA271" s="16">
        <v>58788</v>
      </c>
      <c r="FB271" s="16">
        <v>108490</v>
      </c>
      <c r="FC271" s="16">
        <v>14718</v>
      </c>
      <c r="FD271" s="16">
        <v>24841</v>
      </c>
      <c r="FE271" s="16">
        <v>8394</v>
      </c>
      <c r="FF271" s="16">
        <v>41915</v>
      </c>
      <c r="FG271" s="16">
        <v>8935</v>
      </c>
      <c r="FH271" s="16">
        <v>10225</v>
      </c>
      <c r="FI271" s="16">
        <v>5572</v>
      </c>
      <c r="FJ271" s="16">
        <v>13641</v>
      </c>
      <c r="FK271" s="16">
        <v>25918</v>
      </c>
      <c r="FL271" s="16">
        <v>34024</v>
      </c>
      <c r="FM271" s="16">
        <v>30153</v>
      </c>
      <c r="FN271" s="16">
        <v>25846</v>
      </c>
      <c r="FO271" s="16">
        <v>5006</v>
      </c>
      <c r="FP271" s="16">
        <v>46244</v>
      </c>
      <c r="FQ271" s="16">
        <v>13204</v>
      </c>
      <c r="FR271" s="16">
        <v>10450</v>
      </c>
      <c r="FS271" s="16">
        <v>2638</v>
      </c>
      <c r="FT271" s="16">
        <v>5611</v>
      </c>
      <c r="FU271" s="16">
        <v>15798</v>
      </c>
      <c r="FV271" s="16">
        <v>14961</v>
      </c>
      <c r="FW271" s="16">
        <v>35742</v>
      </c>
      <c r="FX271" s="16">
        <v>31572</v>
      </c>
      <c r="FY271" s="16">
        <v>3148</v>
      </c>
      <c r="FZ271" s="16">
        <v>4846</v>
      </c>
      <c r="GA271" s="16">
        <v>6660</v>
      </c>
      <c r="GB271" s="16">
        <v>18270</v>
      </c>
      <c r="GC271" s="16">
        <v>7648</v>
      </c>
      <c r="GD271" s="16">
        <v>10318</v>
      </c>
      <c r="GE271" s="16">
        <v>113997</v>
      </c>
      <c r="GF271" s="16">
        <v>703063</v>
      </c>
      <c r="GG271" s="16">
        <v>220801</v>
      </c>
      <c r="GH271" s="16">
        <v>68086</v>
      </c>
      <c r="GI271" s="16">
        <v>75302</v>
      </c>
      <c r="GJ271" s="16">
        <v>13934</v>
      </c>
      <c r="GK271" s="16">
        <v>3552</v>
      </c>
      <c r="GL271" s="16">
        <v>521</v>
      </c>
      <c r="GM271" s="16">
        <v>1568</v>
      </c>
      <c r="GN271" s="16">
        <v>1571</v>
      </c>
      <c r="GO271" s="16">
        <v>2884</v>
      </c>
      <c r="GP271" s="16">
        <v>18484</v>
      </c>
      <c r="GQ271" s="16">
        <v>19359</v>
      </c>
      <c r="GR271" s="16">
        <v>60</v>
      </c>
      <c r="GS271" s="16">
        <v>789</v>
      </c>
      <c r="GT271" s="16">
        <v>1559</v>
      </c>
      <c r="GU271" s="16">
        <v>31180</v>
      </c>
      <c r="GV271" s="16">
        <v>26311</v>
      </c>
      <c r="GW271" s="16">
        <v>12607</v>
      </c>
      <c r="GX271" s="16">
        <v>13081</v>
      </c>
      <c r="GY271" s="16">
        <v>367</v>
      </c>
      <c r="GZ271" s="16">
        <v>16595</v>
      </c>
      <c r="HA271" s="16">
        <v>3964</v>
      </c>
      <c r="HB271" s="16">
        <v>4691</v>
      </c>
      <c r="HC271" s="16">
        <v>12100</v>
      </c>
      <c r="HD271" s="16">
        <v>9629</v>
      </c>
      <c r="HE271" s="16">
        <v>84894</v>
      </c>
      <c r="HF271" s="16">
        <v>15383</v>
      </c>
      <c r="HG271" s="16">
        <v>5373</v>
      </c>
      <c r="HH271" s="16">
        <v>1522</v>
      </c>
      <c r="HI271" s="16">
        <v>7579</v>
      </c>
      <c r="HJ271" s="16">
        <v>1167</v>
      </c>
      <c r="HK271" s="16">
        <v>9511</v>
      </c>
      <c r="HL271" s="16">
        <v>13415</v>
      </c>
      <c r="HM271" s="16">
        <v>9399</v>
      </c>
      <c r="HN271" s="16">
        <v>17819</v>
      </c>
      <c r="HO271" s="16">
        <v>12422</v>
      </c>
      <c r="HP271" s="16">
        <v>22431</v>
      </c>
      <c r="HQ271" s="16">
        <v>11783</v>
      </c>
      <c r="HR271" s="16">
        <v>14734</v>
      </c>
      <c r="HS271" s="16">
        <v>11721</v>
      </c>
      <c r="HT271" s="16">
        <v>1172</v>
      </c>
      <c r="HU271" s="16">
        <v>14453</v>
      </c>
      <c r="HV271" s="16">
        <v>6334</v>
      </c>
      <c r="HW271" s="16">
        <v>18800</v>
      </c>
      <c r="HX271" s="16">
        <v>14269</v>
      </c>
      <c r="HY271" s="16">
        <v>34756</v>
      </c>
      <c r="HZ271" s="16">
        <v>22397</v>
      </c>
      <c r="IA271" s="16">
        <v>5988</v>
      </c>
      <c r="IB271" s="16">
        <v>1360</v>
      </c>
      <c r="IC271" s="16">
        <v>1353</v>
      </c>
      <c r="ID271" s="16">
        <v>2085</v>
      </c>
      <c r="IE271" s="16">
        <v>1931</v>
      </c>
      <c r="IF271" s="16">
        <v>3778</v>
      </c>
      <c r="IG271" s="16">
        <v>12321</v>
      </c>
      <c r="IH271" s="16">
        <v>77697</v>
      </c>
      <c r="II271" s="16">
        <v>5686</v>
      </c>
      <c r="IJ271" s="16">
        <v>4479</v>
      </c>
      <c r="IK271" s="16">
        <v>6676</v>
      </c>
      <c r="IL271" s="16">
        <v>7363</v>
      </c>
      <c r="IM271" s="16">
        <v>1133</v>
      </c>
      <c r="IN271" s="16">
        <v>74201</v>
      </c>
      <c r="IO271" s="16">
        <v>228249</v>
      </c>
      <c r="IP271" s="16">
        <v>39342</v>
      </c>
      <c r="IQ271" s="16">
        <v>1093</v>
      </c>
      <c r="IR271" s="16">
        <v>44415</v>
      </c>
      <c r="IS271" s="16">
        <v>3255</v>
      </c>
      <c r="IT271" s="16">
        <v>9889</v>
      </c>
      <c r="IU271" s="16">
        <v>252</v>
      </c>
      <c r="IV271" s="16">
        <v>1301</v>
      </c>
      <c r="IW271" s="16">
        <v>8989</v>
      </c>
      <c r="IX271" s="16">
        <v>3080</v>
      </c>
      <c r="IY271" s="16">
        <v>2278</v>
      </c>
      <c r="IZ271" s="16">
        <v>235</v>
      </c>
      <c r="JA271" s="16">
        <v>672</v>
      </c>
      <c r="JB271" s="16">
        <v>167</v>
      </c>
      <c r="JC271" s="16">
        <v>427</v>
      </c>
      <c r="JD271" s="16">
        <v>871</v>
      </c>
      <c r="JE271" s="16">
        <v>2945</v>
      </c>
      <c r="JF271" s="16">
        <v>2717</v>
      </c>
      <c r="JG271" s="16">
        <v>47059</v>
      </c>
      <c r="JH271" s="16">
        <v>3545</v>
      </c>
      <c r="JI271" s="16">
        <v>1384</v>
      </c>
      <c r="JJ271" s="16">
        <v>36059</v>
      </c>
      <c r="JK271" s="16">
        <v>7561</v>
      </c>
      <c r="JL271" s="16">
        <v>3217</v>
      </c>
      <c r="JM271" s="16">
        <v>1214</v>
      </c>
      <c r="JN271" s="16">
        <v>2513</v>
      </c>
      <c r="JO271" s="16">
        <v>4298</v>
      </c>
      <c r="JP271" s="16">
        <v>25925</v>
      </c>
      <c r="JQ271" s="16">
        <v>49041</v>
      </c>
      <c r="JR271" s="16">
        <v>13916</v>
      </c>
      <c r="JS271" s="16">
        <v>5506</v>
      </c>
      <c r="JT271" s="16">
        <v>4</v>
      </c>
      <c r="JU271" s="16">
        <v>18564</v>
      </c>
      <c r="JV271" s="16">
        <v>21145</v>
      </c>
      <c r="JW271" s="16">
        <v>17737</v>
      </c>
      <c r="JX271" s="16">
        <v>20034</v>
      </c>
      <c r="JY271" s="16">
        <v>1766</v>
      </c>
      <c r="JZ271" s="16">
        <v>4194</v>
      </c>
      <c r="KA271" s="16">
        <v>3413</v>
      </c>
      <c r="KB271" s="16">
        <v>1685</v>
      </c>
      <c r="KC271" s="16">
        <v>1070</v>
      </c>
      <c r="KD271" s="16">
        <v>1769</v>
      </c>
      <c r="KE271" s="16">
        <v>8093</v>
      </c>
      <c r="KF271" s="16">
        <v>3498</v>
      </c>
      <c r="KG271" s="16">
        <v>1518</v>
      </c>
      <c r="KH271" s="16">
        <v>4395</v>
      </c>
      <c r="KI271" s="16">
        <v>5900</v>
      </c>
      <c r="KJ271" s="16">
        <v>4602</v>
      </c>
      <c r="KK271" s="16">
        <v>409897</v>
      </c>
      <c r="KL271" s="16">
        <v>104759</v>
      </c>
      <c r="KM271" s="16">
        <v>4564</v>
      </c>
      <c r="KN271" s="16">
        <v>19770</v>
      </c>
      <c r="KO271" s="16">
        <v>1824</v>
      </c>
      <c r="KP271" s="16">
        <v>820</v>
      </c>
      <c r="KQ271" s="16">
        <v>2399</v>
      </c>
      <c r="KR271" s="16">
        <v>6870</v>
      </c>
      <c r="KS271" s="16">
        <v>1417</v>
      </c>
      <c r="KT271" s="16">
        <v>5564</v>
      </c>
      <c r="KU271" s="16">
        <v>5013</v>
      </c>
      <c r="KV271" s="16">
        <v>53792</v>
      </c>
      <c r="KW271" s="16">
        <v>92692</v>
      </c>
      <c r="KX271" s="16">
        <v>969</v>
      </c>
      <c r="KY271" s="16">
        <v>9179</v>
      </c>
      <c r="KZ271" s="16">
        <v>72697</v>
      </c>
      <c r="LA271" s="16">
        <v>13890</v>
      </c>
      <c r="LB271" s="16">
        <v>9976</v>
      </c>
      <c r="LC271" s="16">
        <v>4759</v>
      </c>
      <c r="LD271" s="16">
        <v>29215</v>
      </c>
      <c r="LE271" s="16">
        <v>12568</v>
      </c>
      <c r="LF271" s="16">
        <v>59737</v>
      </c>
      <c r="LG271" s="16">
        <v>2248</v>
      </c>
      <c r="LH271" s="16">
        <v>3226</v>
      </c>
      <c r="LI271" s="16">
        <v>4183</v>
      </c>
      <c r="LJ271" s="16">
        <v>11952</v>
      </c>
      <c r="LK271" s="16">
        <v>13254</v>
      </c>
      <c r="LL271" s="16">
        <v>5409</v>
      </c>
      <c r="LM271" s="16">
        <v>10647</v>
      </c>
      <c r="LN271" s="16">
        <v>5275</v>
      </c>
      <c r="LO271" s="16">
        <v>7040</v>
      </c>
      <c r="LP271" s="16">
        <v>4246</v>
      </c>
      <c r="LQ271" s="16">
        <v>3353</v>
      </c>
      <c r="LR271" s="16">
        <v>29886</v>
      </c>
      <c r="LS271" s="16">
        <v>2940</v>
      </c>
      <c r="LT271" s="16">
        <v>10810</v>
      </c>
      <c r="LU271" s="16">
        <v>27074</v>
      </c>
      <c r="LV271" s="16">
        <v>6</v>
      </c>
      <c r="LW271" s="16">
        <v>29481</v>
      </c>
      <c r="LX271" s="16">
        <v>8524</v>
      </c>
      <c r="LY271" s="16">
        <v>86750</v>
      </c>
      <c r="LZ271" s="16">
        <v>109558</v>
      </c>
      <c r="MA271" s="16">
        <v>14114</v>
      </c>
      <c r="MB271" s="16">
        <v>36959</v>
      </c>
      <c r="MC271" s="16">
        <v>88071</v>
      </c>
      <c r="MD271" s="16">
        <v>36254</v>
      </c>
      <c r="ME271" s="16">
        <v>2335</v>
      </c>
      <c r="MF271" s="16">
        <v>58217</v>
      </c>
      <c r="MG271" s="16">
        <v>12103</v>
      </c>
      <c r="MH271" s="16">
        <v>441444</v>
      </c>
      <c r="MI271" s="16">
        <v>3661</v>
      </c>
      <c r="MJ271" s="16">
        <v>5586</v>
      </c>
      <c r="MK271" s="16">
        <v>3738</v>
      </c>
      <c r="ML271" s="16">
        <v>2310</v>
      </c>
      <c r="MM271" s="16">
        <v>8538</v>
      </c>
      <c r="MN271" s="16">
        <v>15349</v>
      </c>
      <c r="MO271" s="16">
        <v>5691</v>
      </c>
      <c r="MP271" s="16">
        <v>8158</v>
      </c>
      <c r="MQ271" s="16">
        <v>17673</v>
      </c>
      <c r="MR271" s="16">
        <v>59809</v>
      </c>
      <c r="MS271" s="16">
        <v>58140</v>
      </c>
      <c r="MT271" s="16">
        <v>3288</v>
      </c>
      <c r="MU271" s="16">
        <v>78899</v>
      </c>
      <c r="MV271" s="16">
        <v>63893</v>
      </c>
      <c r="MW271" s="16">
        <v>207725</v>
      </c>
      <c r="MX271" s="16">
        <v>2425</v>
      </c>
      <c r="MY271" s="16">
        <v>52535</v>
      </c>
      <c r="MZ271" s="16">
        <v>84122</v>
      </c>
      <c r="NA271" s="16">
        <v>5882</v>
      </c>
      <c r="NB271" s="16">
        <v>41666</v>
      </c>
      <c r="NC271" s="16">
        <v>11950</v>
      </c>
      <c r="ND271" s="16">
        <v>6925</v>
      </c>
      <c r="NE271" s="16">
        <v>8272</v>
      </c>
      <c r="NF271" s="16">
        <v>4958</v>
      </c>
      <c r="NG271" s="16">
        <v>41625</v>
      </c>
      <c r="NH271" s="16">
        <v>28058</v>
      </c>
      <c r="NI271" s="16">
        <v>4196</v>
      </c>
      <c r="NJ271" s="16">
        <v>13514</v>
      </c>
      <c r="NK271" s="16">
        <v>8663</v>
      </c>
      <c r="NL271" s="16">
        <v>3349</v>
      </c>
      <c r="NM271" s="16">
        <v>11141</v>
      </c>
      <c r="NN271" s="16">
        <v>8330</v>
      </c>
      <c r="NO271" s="16">
        <v>0</v>
      </c>
      <c r="NP271" s="16">
        <v>17405</v>
      </c>
      <c r="NQ271" s="16">
        <v>296</v>
      </c>
      <c r="NR271" s="17">
        <v>9024338</v>
      </c>
    </row>
    <row r="272" spans="1:382" ht="13.5" customHeight="1" x14ac:dyDescent="0.2">
      <c r="A272" s="2" t="s">
        <v>551</v>
      </c>
      <c r="B272" s="16">
        <v>0</v>
      </c>
      <c r="C272" s="16">
        <v>0</v>
      </c>
      <c r="D272" s="16">
        <v>0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16">
        <v>0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  <c r="AR272" s="16">
        <v>0</v>
      </c>
      <c r="AS272" s="16">
        <v>12353</v>
      </c>
      <c r="AT272" s="16">
        <v>1722</v>
      </c>
      <c r="AU272" s="16">
        <v>0</v>
      </c>
      <c r="AV272" s="16">
        <v>0</v>
      </c>
      <c r="AW272" s="16">
        <v>0</v>
      </c>
      <c r="AX272" s="16">
        <v>0</v>
      </c>
      <c r="AY272" s="16">
        <v>0</v>
      </c>
      <c r="AZ272" s="16">
        <v>0</v>
      </c>
      <c r="BA272" s="16">
        <v>0</v>
      </c>
      <c r="BB272" s="16">
        <v>0</v>
      </c>
      <c r="BC272" s="16">
        <v>0</v>
      </c>
      <c r="BD272" s="16">
        <v>0</v>
      </c>
      <c r="BE272" s="16">
        <v>0</v>
      </c>
      <c r="BF272" s="16">
        <v>0</v>
      </c>
      <c r="BG272" s="16">
        <v>0</v>
      </c>
      <c r="BH272" s="16">
        <v>0</v>
      </c>
      <c r="BI272" s="16">
        <v>0</v>
      </c>
      <c r="BJ272" s="16">
        <v>0</v>
      </c>
      <c r="BK272" s="16">
        <v>0</v>
      </c>
      <c r="BL272" s="16">
        <v>0</v>
      </c>
      <c r="BM272" s="16">
        <v>0</v>
      </c>
      <c r="BN272" s="16">
        <v>0</v>
      </c>
      <c r="BO272" s="16">
        <v>0</v>
      </c>
      <c r="BP272" s="16">
        <v>0</v>
      </c>
      <c r="BQ272" s="16">
        <v>0</v>
      </c>
      <c r="BR272" s="16">
        <v>0</v>
      </c>
      <c r="BS272" s="16">
        <v>0</v>
      </c>
      <c r="BT272" s="16">
        <v>0</v>
      </c>
      <c r="BU272" s="16">
        <v>0</v>
      </c>
      <c r="BV272" s="16">
        <v>0</v>
      </c>
      <c r="BW272" s="16">
        <v>0</v>
      </c>
      <c r="BX272" s="16">
        <v>0</v>
      </c>
      <c r="BY272" s="16">
        <v>0</v>
      </c>
      <c r="BZ272" s="16">
        <v>0</v>
      </c>
      <c r="CA272" s="16">
        <v>0</v>
      </c>
      <c r="CB272" s="16">
        <v>0</v>
      </c>
      <c r="CC272" s="16">
        <v>0</v>
      </c>
      <c r="CD272" s="16">
        <v>1</v>
      </c>
      <c r="CE272" s="16">
        <v>1</v>
      </c>
      <c r="CF272" s="16">
        <v>0</v>
      </c>
      <c r="CG272" s="16">
        <v>0</v>
      </c>
      <c r="CH272" s="16">
        <v>0</v>
      </c>
      <c r="CI272" s="16">
        <v>14486</v>
      </c>
      <c r="CJ272" s="16">
        <v>38254</v>
      </c>
      <c r="CK272" s="16">
        <v>0</v>
      </c>
      <c r="CL272" s="16">
        <v>0</v>
      </c>
      <c r="CM272" s="16">
        <v>0</v>
      </c>
      <c r="CN272" s="16">
        <v>5</v>
      </c>
      <c r="CO272" s="16">
        <v>0</v>
      </c>
      <c r="CP272" s="16">
        <v>0</v>
      </c>
      <c r="CQ272" s="16">
        <v>0</v>
      </c>
      <c r="CR272" s="16">
        <v>20343</v>
      </c>
      <c r="CS272" s="16">
        <v>14272</v>
      </c>
      <c r="CT272" s="16">
        <v>17392</v>
      </c>
      <c r="CU272" s="16">
        <v>9566</v>
      </c>
      <c r="CV272" s="16">
        <v>2544</v>
      </c>
      <c r="CW272" s="16">
        <v>86080</v>
      </c>
      <c r="CX272" s="16">
        <v>10353</v>
      </c>
      <c r="CY272" s="16">
        <v>2230</v>
      </c>
      <c r="CZ272" s="16">
        <v>541</v>
      </c>
      <c r="DA272" s="16">
        <v>277</v>
      </c>
      <c r="DB272" s="16">
        <v>1453</v>
      </c>
      <c r="DC272" s="16">
        <v>4912</v>
      </c>
      <c r="DD272" s="16">
        <v>91831</v>
      </c>
      <c r="DE272" s="16">
        <v>16715</v>
      </c>
      <c r="DF272" s="16">
        <v>8774</v>
      </c>
      <c r="DG272" s="16">
        <v>51830</v>
      </c>
      <c r="DH272" s="16">
        <v>5950</v>
      </c>
      <c r="DI272" s="16">
        <v>5362</v>
      </c>
      <c r="DJ272" s="16">
        <v>91071</v>
      </c>
      <c r="DK272" s="16">
        <v>14074</v>
      </c>
      <c r="DL272" s="16">
        <v>6754</v>
      </c>
      <c r="DM272" s="16">
        <v>0</v>
      </c>
      <c r="DN272" s="16">
        <v>18035</v>
      </c>
      <c r="DO272" s="16">
        <v>0</v>
      </c>
      <c r="DP272" s="16">
        <v>0</v>
      </c>
      <c r="DQ272" s="16">
        <v>0</v>
      </c>
      <c r="DR272" s="16">
        <v>0</v>
      </c>
      <c r="DS272" s="16">
        <v>0</v>
      </c>
      <c r="DT272" s="16">
        <v>0</v>
      </c>
      <c r="DU272" s="16">
        <v>0</v>
      </c>
      <c r="DV272" s="16">
        <v>0</v>
      </c>
      <c r="DW272" s="16">
        <v>0</v>
      </c>
      <c r="DX272" s="16">
        <v>0</v>
      </c>
      <c r="DY272" s="16">
        <v>0</v>
      </c>
      <c r="DZ272" s="16">
        <v>0</v>
      </c>
      <c r="EA272" s="16">
        <v>0</v>
      </c>
      <c r="EB272" s="16">
        <v>0</v>
      </c>
      <c r="EC272" s="16">
        <v>0</v>
      </c>
      <c r="ED272" s="16">
        <v>0</v>
      </c>
      <c r="EE272" s="16">
        <v>1189</v>
      </c>
      <c r="EF272" s="16">
        <v>0</v>
      </c>
      <c r="EG272" s="16">
        <v>0</v>
      </c>
      <c r="EH272" s="16">
        <v>0</v>
      </c>
      <c r="EI272" s="16">
        <v>0</v>
      </c>
      <c r="EJ272" s="16">
        <v>0</v>
      </c>
      <c r="EK272" s="16">
        <v>0</v>
      </c>
      <c r="EL272" s="16">
        <v>0</v>
      </c>
      <c r="EM272" s="16">
        <v>84933</v>
      </c>
      <c r="EN272" s="16">
        <v>1324</v>
      </c>
      <c r="EO272" s="16">
        <v>0</v>
      </c>
      <c r="EP272" s="16">
        <v>0</v>
      </c>
      <c r="EQ272" s="16">
        <v>0</v>
      </c>
      <c r="ER272" s="16">
        <v>0</v>
      </c>
      <c r="ES272" s="16">
        <v>0</v>
      </c>
      <c r="ET272" s="16">
        <v>7201</v>
      </c>
      <c r="EU272" s="16">
        <v>24706</v>
      </c>
      <c r="EV272" s="16">
        <v>0</v>
      </c>
      <c r="EW272" s="16">
        <v>78683</v>
      </c>
      <c r="EX272" s="16">
        <v>10414</v>
      </c>
      <c r="EY272" s="16">
        <v>0</v>
      </c>
      <c r="EZ272" s="16">
        <v>313739</v>
      </c>
      <c r="FA272" s="16">
        <v>665785</v>
      </c>
      <c r="FB272" s="16">
        <v>1841854</v>
      </c>
      <c r="FC272" s="16">
        <v>36208</v>
      </c>
      <c r="FD272" s="16">
        <v>9947</v>
      </c>
      <c r="FE272" s="16">
        <v>1635800</v>
      </c>
      <c r="FF272" s="16">
        <v>793740</v>
      </c>
      <c r="FG272" s="16">
        <v>832</v>
      </c>
      <c r="FH272" s="16">
        <v>0</v>
      </c>
      <c r="FI272" s="16">
        <v>0</v>
      </c>
      <c r="FJ272" s="16">
        <v>27520</v>
      </c>
      <c r="FK272" s="16">
        <v>0</v>
      </c>
      <c r="FL272" s="16">
        <v>4565</v>
      </c>
      <c r="FM272" s="16">
        <v>0</v>
      </c>
      <c r="FN272" s="16">
        <v>0</v>
      </c>
      <c r="FO272" s="16">
        <v>111214</v>
      </c>
      <c r="FP272" s="16">
        <v>0</v>
      </c>
      <c r="FQ272" s="16">
        <v>0</v>
      </c>
      <c r="FR272" s="16">
        <v>0</v>
      </c>
      <c r="FS272" s="16">
        <v>0</v>
      </c>
      <c r="FT272" s="16">
        <v>0</v>
      </c>
      <c r="FU272" s="16">
        <v>0</v>
      </c>
      <c r="FV272" s="16">
        <v>3327</v>
      </c>
      <c r="FW272" s="16">
        <v>0</v>
      </c>
      <c r="FX272" s="16">
        <v>0</v>
      </c>
      <c r="FY272" s="16">
        <v>0</v>
      </c>
      <c r="FZ272" s="16">
        <v>0</v>
      </c>
      <c r="GA272" s="16">
        <v>0</v>
      </c>
      <c r="GB272" s="16">
        <v>0</v>
      </c>
      <c r="GC272" s="16">
        <v>0</v>
      </c>
      <c r="GD272" s="16">
        <v>0</v>
      </c>
      <c r="GE272" s="16">
        <v>0</v>
      </c>
      <c r="GF272" s="16">
        <v>0</v>
      </c>
      <c r="GG272" s="16">
        <v>0</v>
      </c>
      <c r="GH272" s="16">
        <v>0</v>
      </c>
      <c r="GI272" s="16">
        <v>0</v>
      </c>
      <c r="GJ272" s="16">
        <v>0</v>
      </c>
      <c r="GK272" s="16">
        <v>0</v>
      </c>
      <c r="GL272" s="16">
        <v>0</v>
      </c>
      <c r="GM272" s="16">
        <v>0</v>
      </c>
      <c r="GN272" s="16">
        <v>0</v>
      </c>
      <c r="GO272" s="16">
        <v>0</v>
      </c>
      <c r="GP272" s="16">
        <v>0</v>
      </c>
      <c r="GQ272" s="16">
        <v>0</v>
      </c>
      <c r="GR272" s="16">
        <v>0</v>
      </c>
      <c r="GS272" s="16">
        <v>0</v>
      </c>
      <c r="GT272" s="16">
        <v>0</v>
      </c>
      <c r="GU272" s="16">
        <v>0</v>
      </c>
      <c r="GV272" s="16">
        <v>0</v>
      </c>
      <c r="GW272" s="16">
        <v>0</v>
      </c>
      <c r="GX272" s="16">
        <v>0</v>
      </c>
      <c r="GY272" s="16">
        <v>0</v>
      </c>
      <c r="GZ272" s="16">
        <v>0</v>
      </c>
      <c r="HA272" s="16">
        <v>0</v>
      </c>
      <c r="HB272" s="16">
        <v>0</v>
      </c>
      <c r="HC272" s="16">
        <v>0</v>
      </c>
      <c r="HD272" s="16">
        <v>0</v>
      </c>
      <c r="HE272" s="16">
        <v>0</v>
      </c>
      <c r="HF272" s="16">
        <v>0</v>
      </c>
      <c r="HG272" s="16">
        <v>0</v>
      </c>
      <c r="HH272" s="16">
        <v>0</v>
      </c>
      <c r="HI272" s="16">
        <v>0</v>
      </c>
      <c r="HJ272" s="16">
        <v>0</v>
      </c>
      <c r="HK272" s="16">
        <v>0</v>
      </c>
      <c r="HL272" s="16">
        <v>0</v>
      </c>
      <c r="HM272" s="16">
        <v>0</v>
      </c>
      <c r="HN272" s="16">
        <v>0</v>
      </c>
      <c r="HO272" s="16">
        <v>0</v>
      </c>
      <c r="HP272" s="16">
        <v>0</v>
      </c>
      <c r="HQ272" s="16">
        <v>0</v>
      </c>
      <c r="HR272" s="16">
        <v>0</v>
      </c>
      <c r="HS272" s="16">
        <v>0</v>
      </c>
      <c r="HT272" s="16">
        <v>0</v>
      </c>
      <c r="HU272" s="16">
        <v>0</v>
      </c>
      <c r="HV272" s="16">
        <v>0</v>
      </c>
      <c r="HW272" s="16">
        <v>0</v>
      </c>
      <c r="HX272" s="16">
        <v>0</v>
      </c>
      <c r="HY272" s="16">
        <v>0</v>
      </c>
      <c r="HZ272" s="16">
        <v>0</v>
      </c>
      <c r="IA272" s="16">
        <v>0</v>
      </c>
      <c r="IB272" s="16">
        <v>0</v>
      </c>
      <c r="IC272" s="16">
        <v>0</v>
      </c>
      <c r="ID272" s="16">
        <v>0</v>
      </c>
      <c r="IE272" s="16">
        <v>0</v>
      </c>
      <c r="IF272" s="16">
        <v>0</v>
      </c>
      <c r="IG272" s="16">
        <v>0</v>
      </c>
      <c r="IH272" s="16">
        <v>0</v>
      </c>
      <c r="II272" s="16">
        <v>0</v>
      </c>
      <c r="IJ272" s="16">
        <v>0</v>
      </c>
      <c r="IK272" s="16">
        <v>0</v>
      </c>
      <c r="IL272" s="16">
        <v>0</v>
      </c>
      <c r="IM272" s="16">
        <v>0</v>
      </c>
      <c r="IN272" s="16">
        <v>0</v>
      </c>
      <c r="IO272" s="16">
        <v>0</v>
      </c>
      <c r="IP272" s="16">
        <v>0</v>
      </c>
      <c r="IQ272" s="16">
        <v>0</v>
      </c>
      <c r="IR272" s="16">
        <v>0</v>
      </c>
      <c r="IS272" s="16">
        <v>0</v>
      </c>
      <c r="IT272" s="16">
        <v>0</v>
      </c>
      <c r="IU272" s="16">
        <v>0</v>
      </c>
      <c r="IV272" s="16">
        <v>0</v>
      </c>
      <c r="IW272" s="16">
        <v>0</v>
      </c>
      <c r="IX272" s="16">
        <v>0</v>
      </c>
      <c r="IY272" s="16">
        <v>0</v>
      </c>
      <c r="IZ272" s="16">
        <v>0</v>
      </c>
      <c r="JA272" s="16">
        <v>0</v>
      </c>
      <c r="JB272" s="16">
        <v>0</v>
      </c>
      <c r="JC272" s="16">
        <v>0</v>
      </c>
      <c r="JD272" s="16">
        <v>0</v>
      </c>
      <c r="JE272" s="16">
        <v>0</v>
      </c>
      <c r="JF272" s="16">
        <v>0</v>
      </c>
      <c r="JG272" s="16">
        <v>0</v>
      </c>
      <c r="JH272" s="16">
        <v>0</v>
      </c>
      <c r="JI272" s="16">
        <v>0</v>
      </c>
      <c r="JJ272" s="16">
        <v>0</v>
      </c>
      <c r="JK272" s="16">
        <v>0</v>
      </c>
      <c r="JL272" s="16">
        <v>0</v>
      </c>
      <c r="JM272" s="16">
        <v>0</v>
      </c>
      <c r="JN272" s="16">
        <v>0</v>
      </c>
      <c r="JO272" s="16">
        <v>0</v>
      </c>
      <c r="JP272" s="16">
        <v>0</v>
      </c>
      <c r="JQ272" s="16">
        <v>0</v>
      </c>
      <c r="JR272" s="16">
        <v>21</v>
      </c>
      <c r="JS272" s="16">
        <v>1</v>
      </c>
      <c r="JT272" s="16">
        <v>0</v>
      </c>
      <c r="JU272" s="16">
        <v>17</v>
      </c>
      <c r="JV272" s="16">
        <v>1</v>
      </c>
      <c r="JW272" s="16">
        <v>0</v>
      </c>
      <c r="JX272" s="16">
        <v>0</v>
      </c>
      <c r="JY272" s="16">
        <v>0</v>
      </c>
      <c r="JZ272" s="16">
        <v>0</v>
      </c>
      <c r="KA272" s="16">
        <v>0</v>
      </c>
      <c r="KB272" s="16">
        <v>0</v>
      </c>
      <c r="KC272" s="16">
        <v>0</v>
      </c>
      <c r="KD272" s="16">
        <v>0</v>
      </c>
      <c r="KE272" s="16">
        <v>0</v>
      </c>
      <c r="KF272" s="16">
        <v>0</v>
      </c>
      <c r="KG272" s="16">
        <v>0</v>
      </c>
      <c r="KH272" s="16">
        <v>0</v>
      </c>
      <c r="KI272" s="16">
        <v>0</v>
      </c>
      <c r="KJ272" s="16">
        <v>0</v>
      </c>
      <c r="KK272" s="16">
        <v>0</v>
      </c>
      <c r="KL272" s="16">
        <v>0</v>
      </c>
      <c r="KM272" s="16">
        <v>0</v>
      </c>
      <c r="KN272" s="16">
        <v>0</v>
      </c>
      <c r="KO272" s="16">
        <v>0</v>
      </c>
      <c r="KP272" s="16">
        <v>0</v>
      </c>
      <c r="KQ272" s="16">
        <v>0</v>
      </c>
      <c r="KR272" s="16">
        <v>0</v>
      </c>
      <c r="KS272" s="16">
        <v>0</v>
      </c>
      <c r="KT272" s="16">
        <v>0</v>
      </c>
      <c r="KU272" s="16">
        <v>0</v>
      </c>
      <c r="KV272" s="16">
        <v>0</v>
      </c>
      <c r="KW272" s="16">
        <v>0</v>
      </c>
      <c r="KX272" s="16">
        <v>0</v>
      </c>
      <c r="KY272" s="16">
        <v>0</v>
      </c>
      <c r="KZ272" s="16">
        <v>0</v>
      </c>
      <c r="LA272" s="16">
        <v>0</v>
      </c>
      <c r="LB272" s="16">
        <v>0</v>
      </c>
      <c r="LC272" s="16">
        <v>0</v>
      </c>
      <c r="LD272" s="16">
        <v>2</v>
      </c>
      <c r="LE272" s="16">
        <v>0</v>
      </c>
      <c r="LF272" s="16">
        <v>0</v>
      </c>
      <c r="LG272" s="16">
        <v>0</v>
      </c>
      <c r="LH272" s="16">
        <v>0</v>
      </c>
      <c r="LI272" s="16">
        <v>0</v>
      </c>
      <c r="LJ272" s="16">
        <v>0</v>
      </c>
      <c r="LK272" s="16">
        <v>0</v>
      </c>
      <c r="LL272" s="16">
        <v>0</v>
      </c>
      <c r="LM272" s="16">
        <v>0</v>
      </c>
      <c r="LN272" s="16">
        <v>0</v>
      </c>
      <c r="LO272" s="16">
        <v>0</v>
      </c>
      <c r="LP272" s="16">
        <v>0</v>
      </c>
      <c r="LQ272" s="16">
        <v>0</v>
      </c>
      <c r="LR272" s="16">
        <v>0</v>
      </c>
      <c r="LS272" s="16">
        <v>0</v>
      </c>
      <c r="LT272" s="16">
        <v>0</v>
      </c>
      <c r="LU272" s="16">
        <v>0</v>
      </c>
      <c r="LV272" s="16">
        <v>0</v>
      </c>
      <c r="LW272" s="16">
        <v>0</v>
      </c>
      <c r="LX272" s="16">
        <v>0</v>
      </c>
      <c r="LY272" s="16">
        <v>0</v>
      </c>
      <c r="LZ272" s="16">
        <v>0</v>
      </c>
      <c r="MA272" s="16">
        <v>0</v>
      </c>
      <c r="MB272" s="16">
        <v>5</v>
      </c>
      <c r="MC272" s="16">
        <v>1</v>
      </c>
      <c r="MD272" s="16">
        <v>0</v>
      </c>
      <c r="ME272" s="16">
        <v>0</v>
      </c>
      <c r="MF272" s="16">
        <v>0</v>
      </c>
      <c r="MG272" s="16">
        <v>0</v>
      </c>
      <c r="MH272" s="16">
        <v>925</v>
      </c>
      <c r="MI272" s="16">
        <v>0</v>
      </c>
      <c r="MJ272" s="16">
        <v>0</v>
      </c>
      <c r="MK272" s="16">
        <v>0</v>
      </c>
      <c r="ML272" s="16">
        <v>0</v>
      </c>
      <c r="MM272" s="16">
        <v>0</v>
      </c>
      <c r="MN272" s="16">
        <v>0</v>
      </c>
      <c r="MO272" s="16">
        <v>0</v>
      </c>
      <c r="MP272" s="16">
        <v>0</v>
      </c>
      <c r="MQ272" s="16">
        <v>0</v>
      </c>
      <c r="MR272" s="16">
        <v>60</v>
      </c>
      <c r="MS272" s="16">
        <v>59</v>
      </c>
      <c r="MT272" s="16">
        <v>0</v>
      </c>
      <c r="MU272" s="16">
        <v>29</v>
      </c>
      <c r="MV272" s="16">
        <v>0</v>
      </c>
      <c r="MW272" s="16">
        <v>0</v>
      </c>
      <c r="MX272" s="16">
        <v>2</v>
      </c>
      <c r="MY272" s="16">
        <v>24</v>
      </c>
      <c r="MZ272" s="16">
        <v>2</v>
      </c>
      <c r="NA272" s="16">
        <v>0</v>
      </c>
      <c r="NB272" s="16">
        <v>0</v>
      </c>
      <c r="NC272" s="16">
        <v>12</v>
      </c>
      <c r="ND272" s="16">
        <v>0</v>
      </c>
      <c r="NE272" s="16">
        <v>0</v>
      </c>
      <c r="NF272" s="16">
        <v>0</v>
      </c>
      <c r="NG272" s="16">
        <v>0</v>
      </c>
      <c r="NH272" s="16">
        <v>8</v>
      </c>
      <c r="NI272" s="16">
        <v>0</v>
      </c>
      <c r="NJ272" s="16">
        <v>0</v>
      </c>
      <c r="NK272" s="16">
        <v>0</v>
      </c>
      <c r="NL272" s="16">
        <v>0</v>
      </c>
      <c r="NM272" s="16">
        <v>0</v>
      </c>
      <c r="NN272" s="16">
        <v>0</v>
      </c>
      <c r="NO272" s="16">
        <v>0</v>
      </c>
      <c r="NP272" s="16">
        <v>0</v>
      </c>
      <c r="NQ272" s="16">
        <v>48</v>
      </c>
      <c r="NR272" s="17">
        <v>6201379</v>
      </c>
    </row>
    <row r="273" spans="1:382" ht="13.5" customHeight="1" x14ac:dyDescent="0.2">
      <c r="A273" s="2" t="s">
        <v>553</v>
      </c>
      <c r="B273" s="16">
        <v>2341</v>
      </c>
      <c r="C273" s="16">
        <v>557</v>
      </c>
      <c r="D273" s="16">
        <v>287</v>
      </c>
      <c r="E273" s="16">
        <v>602</v>
      </c>
      <c r="F273" s="16">
        <v>5123</v>
      </c>
      <c r="G273" s="16">
        <v>2828</v>
      </c>
      <c r="H273" s="16">
        <v>365</v>
      </c>
      <c r="I273" s="16">
        <v>177</v>
      </c>
      <c r="J273" s="16">
        <v>49</v>
      </c>
      <c r="K273" s="16">
        <v>0</v>
      </c>
      <c r="L273" s="16">
        <v>729</v>
      </c>
      <c r="M273" s="16">
        <v>874</v>
      </c>
      <c r="N273" s="16">
        <v>56</v>
      </c>
      <c r="O273" s="16">
        <v>2251</v>
      </c>
      <c r="P273" s="16">
        <v>3446</v>
      </c>
      <c r="Q273" s="16">
        <v>3825</v>
      </c>
      <c r="R273" s="16">
        <v>2963</v>
      </c>
      <c r="S273" s="16">
        <v>334</v>
      </c>
      <c r="T273" s="16">
        <v>762</v>
      </c>
      <c r="U273" s="16">
        <v>270</v>
      </c>
      <c r="V273" s="16">
        <v>663</v>
      </c>
      <c r="W273" s="16">
        <v>87</v>
      </c>
      <c r="X273" s="16">
        <v>1238</v>
      </c>
      <c r="Y273" s="16">
        <v>3870</v>
      </c>
      <c r="Z273" s="16">
        <v>1061</v>
      </c>
      <c r="AA273" s="16">
        <v>749</v>
      </c>
      <c r="AB273" s="16">
        <v>0</v>
      </c>
      <c r="AC273" s="16">
        <v>0</v>
      </c>
      <c r="AD273" s="16">
        <v>0</v>
      </c>
      <c r="AE273" s="16">
        <v>72</v>
      </c>
      <c r="AF273" s="16">
        <v>202</v>
      </c>
      <c r="AG273" s="16">
        <v>3653</v>
      </c>
      <c r="AH273" s="16">
        <v>1128</v>
      </c>
      <c r="AI273" s="16">
        <v>220</v>
      </c>
      <c r="AJ273" s="16">
        <v>3198</v>
      </c>
      <c r="AK273" s="16">
        <v>3494</v>
      </c>
      <c r="AL273" s="16">
        <v>1724</v>
      </c>
      <c r="AM273" s="16">
        <v>3384</v>
      </c>
      <c r="AN273" s="16">
        <v>2046</v>
      </c>
      <c r="AO273" s="16">
        <v>879</v>
      </c>
      <c r="AP273" s="16">
        <v>572</v>
      </c>
      <c r="AQ273" s="16">
        <v>1568</v>
      </c>
      <c r="AR273" s="16">
        <v>0</v>
      </c>
      <c r="AS273" s="16">
        <v>432</v>
      </c>
      <c r="AT273" s="16">
        <v>2122</v>
      </c>
      <c r="AU273" s="16">
        <v>4627</v>
      </c>
      <c r="AV273" s="16">
        <v>1536</v>
      </c>
      <c r="AW273" s="16">
        <v>2720</v>
      </c>
      <c r="AX273" s="16">
        <v>938</v>
      </c>
      <c r="AY273" s="16">
        <v>2466</v>
      </c>
      <c r="AZ273" s="16">
        <v>1519</v>
      </c>
      <c r="BA273" s="16">
        <v>1427</v>
      </c>
      <c r="BB273" s="16">
        <v>5483</v>
      </c>
      <c r="BC273" s="16">
        <v>4373</v>
      </c>
      <c r="BD273" s="16">
        <v>407</v>
      </c>
      <c r="BE273" s="16">
        <v>293</v>
      </c>
      <c r="BF273" s="16">
        <v>833</v>
      </c>
      <c r="BG273" s="16">
        <v>206</v>
      </c>
      <c r="BH273" s="16">
        <v>2821</v>
      </c>
      <c r="BI273" s="16">
        <v>729</v>
      </c>
      <c r="BJ273" s="16">
        <v>2492</v>
      </c>
      <c r="BK273" s="16">
        <v>1005</v>
      </c>
      <c r="BL273" s="16">
        <v>6281</v>
      </c>
      <c r="BM273" s="16">
        <v>112</v>
      </c>
      <c r="BN273" s="16">
        <v>314</v>
      </c>
      <c r="BO273" s="16">
        <v>391</v>
      </c>
      <c r="BP273" s="16">
        <v>1825</v>
      </c>
      <c r="BQ273" s="16">
        <v>1075</v>
      </c>
      <c r="BR273" s="16">
        <v>3691</v>
      </c>
      <c r="BS273" s="16">
        <v>1310</v>
      </c>
      <c r="BT273" s="16">
        <v>140</v>
      </c>
      <c r="BU273" s="16">
        <v>43</v>
      </c>
      <c r="BV273" s="16">
        <v>38</v>
      </c>
      <c r="BW273" s="16">
        <v>438</v>
      </c>
      <c r="BX273" s="16">
        <v>391</v>
      </c>
      <c r="BY273" s="16">
        <v>48</v>
      </c>
      <c r="BZ273" s="16">
        <v>471</v>
      </c>
      <c r="CA273" s="16">
        <v>542</v>
      </c>
      <c r="CB273" s="16">
        <v>50</v>
      </c>
      <c r="CC273" s="16">
        <v>1605</v>
      </c>
      <c r="CD273" s="16">
        <v>748</v>
      </c>
      <c r="CE273" s="16">
        <v>2024</v>
      </c>
      <c r="CF273" s="16">
        <v>694</v>
      </c>
      <c r="CG273" s="16">
        <v>512</v>
      </c>
      <c r="CH273" s="16">
        <v>163</v>
      </c>
      <c r="CI273" s="16">
        <v>9</v>
      </c>
      <c r="CJ273" s="16">
        <v>7352</v>
      </c>
      <c r="CK273" s="16">
        <v>12367</v>
      </c>
      <c r="CL273" s="16">
        <v>2094</v>
      </c>
      <c r="CM273" s="16">
        <v>1274</v>
      </c>
      <c r="CN273" s="16">
        <v>307</v>
      </c>
      <c r="CO273" s="16">
        <v>2586</v>
      </c>
      <c r="CP273" s="16">
        <v>879</v>
      </c>
      <c r="CQ273" s="16">
        <v>3995</v>
      </c>
      <c r="CR273" s="16">
        <v>963</v>
      </c>
      <c r="CS273" s="16">
        <v>7199</v>
      </c>
      <c r="CT273" s="16">
        <v>6683</v>
      </c>
      <c r="CU273" s="16">
        <v>7294</v>
      </c>
      <c r="CV273" s="16">
        <v>1359</v>
      </c>
      <c r="CW273" s="16">
        <v>13831</v>
      </c>
      <c r="CX273" s="16">
        <v>3471</v>
      </c>
      <c r="CY273" s="16">
        <v>1816</v>
      </c>
      <c r="CZ273" s="16">
        <v>2156</v>
      </c>
      <c r="DA273" s="16">
        <v>470</v>
      </c>
      <c r="DB273" s="16">
        <v>1558</v>
      </c>
      <c r="DC273" s="16">
        <v>4138</v>
      </c>
      <c r="DD273" s="16">
        <v>6246</v>
      </c>
      <c r="DE273" s="16">
        <v>16023</v>
      </c>
      <c r="DF273" s="16">
        <v>13985</v>
      </c>
      <c r="DG273" s="16">
        <v>35731</v>
      </c>
      <c r="DH273" s="16">
        <v>9762</v>
      </c>
      <c r="DI273" s="16">
        <v>1332</v>
      </c>
      <c r="DJ273" s="16">
        <v>40372</v>
      </c>
      <c r="DK273" s="16">
        <v>3221</v>
      </c>
      <c r="DL273" s="16">
        <v>6708</v>
      </c>
      <c r="DM273" s="16">
        <v>11044</v>
      </c>
      <c r="DN273" s="16">
        <v>2204</v>
      </c>
      <c r="DO273" s="16">
        <v>434</v>
      </c>
      <c r="DP273" s="16">
        <v>1744</v>
      </c>
      <c r="DQ273" s="16">
        <v>434</v>
      </c>
      <c r="DR273" s="16">
        <v>1715</v>
      </c>
      <c r="DS273" s="16">
        <v>2168</v>
      </c>
      <c r="DT273" s="16">
        <v>955</v>
      </c>
      <c r="DU273" s="16">
        <v>372</v>
      </c>
      <c r="DV273" s="16">
        <v>8432</v>
      </c>
      <c r="DW273" s="16">
        <v>9543</v>
      </c>
      <c r="DX273" s="16">
        <v>2447</v>
      </c>
      <c r="DY273" s="16">
        <v>4683</v>
      </c>
      <c r="DZ273" s="16">
        <v>4631</v>
      </c>
      <c r="EA273" s="16">
        <v>4116</v>
      </c>
      <c r="EB273" s="16">
        <v>3563</v>
      </c>
      <c r="EC273" s="16">
        <v>2386</v>
      </c>
      <c r="ED273" s="16">
        <v>48</v>
      </c>
      <c r="EE273" s="16">
        <v>2372</v>
      </c>
      <c r="EF273" s="16">
        <v>5537</v>
      </c>
      <c r="EG273" s="16">
        <v>2237</v>
      </c>
      <c r="EH273" s="16">
        <v>1408</v>
      </c>
      <c r="EI273" s="16">
        <v>855</v>
      </c>
      <c r="EJ273" s="16">
        <v>20</v>
      </c>
      <c r="EK273" s="16">
        <v>449</v>
      </c>
      <c r="EL273" s="16">
        <v>536</v>
      </c>
      <c r="EM273" s="16">
        <v>16812</v>
      </c>
      <c r="EN273" s="16">
        <v>2643</v>
      </c>
      <c r="EO273" s="16">
        <v>1621</v>
      </c>
      <c r="EP273" s="16">
        <v>1144</v>
      </c>
      <c r="EQ273" s="16">
        <v>464</v>
      </c>
      <c r="ER273" s="16">
        <v>198</v>
      </c>
      <c r="ES273" s="16">
        <v>1193</v>
      </c>
      <c r="ET273" s="16">
        <v>2386</v>
      </c>
      <c r="EU273" s="16">
        <v>499</v>
      </c>
      <c r="EV273" s="16">
        <v>10628</v>
      </c>
      <c r="EW273" s="16">
        <v>1971</v>
      </c>
      <c r="EX273" s="16">
        <v>15684</v>
      </c>
      <c r="EY273" s="16">
        <v>5302</v>
      </c>
      <c r="EZ273" s="16">
        <v>4992</v>
      </c>
      <c r="FA273" s="16">
        <v>9596</v>
      </c>
      <c r="FB273" s="16">
        <v>17711</v>
      </c>
      <c r="FC273" s="16">
        <v>2403</v>
      </c>
      <c r="FD273" s="16">
        <v>4055</v>
      </c>
      <c r="FE273" s="16">
        <v>1370</v>
      </c>
      <c r="FF273" s="16">
        <v>6843</v>
      </c>
      <c r="FG273" s="16">
        <v>1459</v>
      </c>
      <c r="FH273" s="16">
        <v>1669</v>
      </c>
      <c r="FI273" s="16">
        <v>910</v>
      </c>
      <c r="FJ273" s="16">
        <v>2226</v>
      </c>
      <c r="FK273" s="16">
        <v>4232</v>
      </c>
      <c r="FL273" s="16">
        <v>6657</v>
      </c>
      <c r="FM273" s="16">
        <v>3820</v>
      </c>
      <c r="FN273" s="16">
        <v>4220</v>
      </c>
      <c r="FO273" s="16">
        <v>817</v>
      </c>
      <c r="FP273" s="16">
        <v>7549</v>
      </c>
      <c r="FQ273" s="16">
        <v>2156</v>
      </c>
      <c r="FR273" s="16">
        <v>1706</v>
      </c>
      <c r="FS273" s="16">
        <v>431</v>
      </c>
      <c r="FT273" s="16">
        <v>916</v>
      </c>
      <c r="FU273" s="16">
        <v>2579</v>
      </c>
      <c r="FV273" s="16">
        <v>2442</v>
      </c>
      <c r="FW273" s="16">
        <v>5835</v>
      </c>
      <c r="FX273" s="16">
        <v>5154</v>
      </c>
      <c r="FY273" s="16">
        <v>514</v>
      </c>
      <c r="FZ273" s="16">
        <v>791</v>
      </c>
      <c r="GA273" s="16">
        <v>1087</v>
      </c>
      <c r="GB273" s="16">
        <v>2983</v>
      </c>
      <c r="GC273" s="16">
        <v>1249</v>
      </c>
      <c r="GD273" s="16">
        <v>1685</v>
      </c>
      <c r="GE273" s="16">
        <v>18610</v>
      </c>
      <c r="GF273" s="16">
        <v>114774</v>
      </c>
      <c r="GG273" s="16">
        <v>36045</v>
      </c>
      <c r="GH273" s="16">
        <v>11115</v>
      </c>
      <c r="GI273" s="16">
        <v>12293</v>
      </c>
      <c r="GJ273" s="16">
        <v>2274</v>
      </c>
      <c r="GK273" s="16">
        <v>580</v>
      </c>
      <c r="GL273" s="16">
        <v>85</v>
      </c>
      <c r="GM273" s="16">
        <v>256</v>
      </c>
      <c r="GN273" s="16">
        <v>257</v>
      </c>
      <c r="GO273" s="16">
        <v>471</v>
      </c>
      <c r="GP273" s="16">
        <v>3018</v>
      </c>
      <c r="GQ273" s="16">
        <v>3160</v>
      </c>
      <c r="GR273" s="16">
        <v>10</v>
      </c>
      <c r="GS273" s="16">
        <v>129</v>
      </c>
      <c r="GT273" s="16">
        <v>255</v>
      </c>
      <c r="GU273" s="16">
        <v>5091</v>
      </c>
      <c r="GV273" s="16">
        <v>4295</v>
      </c>
      <c r="GW273" s="16">
        <v>2058</v>
      </c>
      <c r="GX273" s="16">
        <v>2135</v>
      </c>
      <c r="GY273" s="16">
        <v>60</v>
      </c>
      <c r="GZ273" s="16">
        <v>2709</v>
      </c>
      <c r="HA273" s="16">
        <v>647</v>
      </c>
      <c r="HB273" s="16">
        <v>766</v>
      </c>
      <c r="HC273" s="16">
        <v>1976</v>
      </c>
      <c r="HD273" s="16">
        <v>1572</v>
      </c>
      <c r="HE273" s="16">
        <v>13858</v>
      </c>
      <c r="HF273" s="16">
        <v>2511</v>
      </c>
      <c r="HG273" s="16">
        <v>877</v>
      </c>
      <c r="HH273" s="16">
        <v>249</v>
      </c>
      <c r="HI273" s="16">
        <v>1237</v>
      </c>
      <c r="HJ273" s="16">
        <v>190</v>
      </c>
      <c r="HK273" s="16">
        <v>1553</v>
      </c>
      <c r="HL273" s="16">
        <v>2190</v>
      </c>
      <c r="HM273" s="16">
        <v>1534</v>
      </c>
      <c r="HN273" s="16">
        <v>2909</v>
      </c>
      <c r="HO273" s="16">
        <v>2028</v>
      </c>
      <c r="HP273" s="16">
        <v>3661</v>
      </c>
      <c r="HQ273" s="16">
        <v>1924</v>
      </c>
      <c r="HR273" s="16">
        <v>2406</v>
      </c>
      <c r="HS273" s="16">
        <v>1913</v>
      </c>
      <c r="HT273" s="16">
        <v>191</v>
      </c>
      <c r="HU273" s="16">
        <v>2360</v>
      </c>
      <c r="HV273" s="16">
        <v>1034</v>
      </c>
      <c r="HW273" s="16">
        <v>3069</v>
      </c>
      <c r="HX273" s="16">
        <v>2329</v>
      </c>
      <c r="HY273" s="16">
        <v>5673</v>
      </c>
      <c r="HZ273" s="16">
        <v>3657</v>
      </c>
      <c r="IA273" s="16">
        <v>978</v>
      </c>
      <c r="IB273" s="16">
        <v>222</v>
      </c>
      <c r="IC273" s="16">
        <v>221</v>
      </c>
      <c r="ID273" s="16">
        <v>340</v>
      </c>
      <c r="IE273" s="16">
        <v>315</v>
      </c>
      <c r="IF273" s="16">
        <v>617</v>
      </c>
      <c r="IG273" s="16">
        <v>2011</v>
      </c>
      <c r="IH273" s="16">
        <v>12684</v>
      </c>
      <c r="II273" s="16">
        <v>929</v>
      </c>
      <c r="IJ273" s="16">
        <v>731</v>
      </c>
      <c r="IK273" s="16">
        <v>1090</v>
      </c>
      <c r="IL273" s="16">
        <v>1202</v>
      </c>
      <c r="IM273" s="16">
        <v>185</v>
      </c>
      <c r="IN273" s="16">
        <v>12113</v>
      </c>
      <c r="IO273" s="16">
        <v>37261</v>
      </c>
      <c r="IP273" s="16">
        <v>6423</v>
      </c>
      <c r="IQ273" s="16">
        <v>178</v>
      </c>
      <c r="IR273" s="16">
        <v>7250</v>
      </c>
      <c r="IS273" s="16">
        <v>531</v>
      </c>
      <c r="IT273" s="16">
        <v>1614</v>
      </c>
      <c r="IU273" s="16">
        <v>41</v>
      </c>
      <c r="IV273" s="16">
        <v>213</v>
      </c>
      <c r="IW273" s="16">
        <v>1467</v>
      </c>
      <c r="IX273" s="16">
        <v>502</v>
      </c>
      <c r="IY273" s="16">
        <v>372</v>
      </c>
      <c r="IZ273" s="16">
        <v>38</v>
      </c>
      <c r="JA273" s="16">
        <v>110</v>
      </c>
      <c r="JB273" s="16">
        <v>27</v>
      </c>
      <c r="JC273" s="16">
        <v>70</v>
      </c>
      <c r="JD273" s="16">
        <v>143</v>
      </c>
      <c r="JE273" s="16">
        <v>481</v>
      </c>
      <c r="JF273" s="16">
        <v>444</v>
      </c>
      <c r="JG273" s="16">
        <v>7682</v>
      </c>
      <c r="JH273" s="16">
        <v>579</v>
      </c>
      <c r="JI273" s="16">
        <v>226</v>
      </c>
      <c r="JJ273" s="16">
        <v>5887</v>
      </c>
      <c r="JK273" s="16">
        <v>1234</v>
      </c>
      <c r="JL273" s="16">
        <v>536</v>
      </c>
      <c r="JM273" s="16">
        <v>198</v>
      </c>
      <c r="JN273" s="16">
        <v>410</v>
      </c>
      <c r="JO273" s="16">
        <v>701</v>
      </c>
      <c r="JP273" s="16">
        <v>4233</v>
      </c>
      <c r="JQ273" s="16">
        <v>8018</v>
      </c>
      <c r="JR273" s="16">
        <v>2320</v>
      </c>
      <c r="JS273" s="16">
        <v>901</v>
      </c>
      <c r="JT273" s="16">
        <v>1</v>
      </c>
      <c r="JU273" s="16">
        <v>3035</v>
      </c>
      <c r="JV273" s="16">
        <v>3457</v>
      </c>
      <c r="JW273" s="16">
        <v>2899</v>
      </c>
      <c r="JX273" s="16">
        <v>3271</v>
      </c>
      <c r="JY273" s="16">
        <v>288</v>
      </c>
      <c r="JZ273" s="16">
        <v>685</v>
      </c>
      <c r="KA273" s="16">
        <v>557</v>
      </c>
      <c r="KB273" s="16">
        <v>275</v>
      </c>
      <c r="KC273" s="16">
        <v>175</v>
      </c>
      <c r="KD273" s="16">
        <v>289</v>
      </c>
      <c r="KE273" s="16">
        <v>1322</v>
      </c>
      <c r="KF273" s="16">
        <v>571</v>
      </c>
      <c r="KG273" s="16">
        <v>248</v>
      </c>
      <c r="KH273" s="16">
        <v>717</v>
      </c>
      <c r="KI273" s="16">
        <v>963</v>
      </c>
      <c r="KJ273" s="16">
        <v>751</v>
      </c>
      <c r="KK273" s="16">
        <v>66916</v>
      </c>
      <c r="KL273" s="16">
        <v>17117</v>
      </c>
      <c r="KM273" s="16">
        <v>745</v>
      </c>
      <c r="KN273" s="16">
        <v>3228</v>
      </c>
      <c r="KO273" s="16">
        <v>298</v>
      </c>
      <c r="KP273" s="16">
        <v>133</v>
      </c>
      <c r="KQ273" s="16">
        <v>392</v>
      </c>
      <c r="KR273" s="16">
        <v>1122</v>
      </c>
      <c r="KS273" s="16">
        <v>231</v>
      </c>
      <c r="KT273" s="16">
        <v>908</v>
      </c>
      <c r="KU273" s="16">
        <v>819</v>
      </c>
      <c r="KV273" s="16">
        <v>8781</v>
      </c>
      <c r="KW273" s="16">
        <v>15133</v>
      </c>
      <c r="KX273" s="16">
        <v>158</v>
      </c>
      <c r="KY273" s="16">
        <v>1499</v>
      </c>
      <c r="KZ273" s="16">
        <v>11869</v>
      </c>
      <c r="LA273" s="16">
        <v>2268</v>
      </c>
      <c r="LB273" s="16">
        <v>1629</v>
      </c>
      <c r="LC273" s="16">
        <v>777</v>
      </c>
      <c r="LD273" s="16">
        <v>4769</v>
      </c>
      <c r="LE273" s="16">
        <v>2052</v>
      </c>
      <c r="LF273" s="16">
        <v>9752</v>
      </c>
      <c r="LG273" s="16">
        <v>367</v>
      </c>
      <c r="LH273" s="16">
        <v>527</v>
      </c>
      <c r="LI273" s="16">
        <v>684</v>
      </c>
      <c r="LJ273" s="16">
        <v>1952</v>
      </c>
      <c r="LK273" s="16">
        <v>2164</v>
      </c>
      <c r="LL273" s="16">
        <v>884</v>
      </c>
      <c r="LM273" s="16">
        <v>1738</v>
      </c>
      <c r="LN273" s="16">
        <v>861</v>
      </c>
      <c r="LO273" s="16">
        <v>1151</v>
      </c>
      <c r="LP273" s="16">
        <v>694</v>
      </c>
      <c r="LQ273" s="16">
        <v>548</v>
      </c>
      <c r="LR273" s="16">
        <v>4887</v>
      </c>
      <c r="LS273" s="16">
        <v>481</v>
      </c>
      <c r="LT273" s="16">
        <v>1768</v>
      </c>
      <c r="LU273" s="16">
        <v>4427</v>
      </c>
      <c r="LV273" s="16">
        <v>1</v>
      </c>
      <c r="LW273" s="16">
        <v>4820</v>
      </c>
      <c r="LX273" s="16">
        <v>1393</v>
      </c>
      <c r="LY273" s="16">
        <v>14183</v>
      </c>
      <c r="LZ273" s="16">
        <v>17885</v>
      </c>
      <c r="MA273" s="16">
        <v>2304</v>
      </c>
      <c r="MB273" s="16">
        <v>6036</v>
      </c>
      <c r="MC273" s="16">
        <v>14678</v>
      </c>
      <c r="MD273" s="16">
        <v>6042</v>
      </c>
      <c r="ME273" s="16">
        <v>382</v>
      </c>
      <c r="MF273" s="16">
        <v>9518</v>
      </c>
      <c r="MG273" s="16">
        <v>1977</v>
      </c>
      <c r="MH273" s="16">
        <v>72065</v>
      </c>
      <c r="MI273" s="16">
        <v>598</v>
      </c>
      <c r="MJ273" s="16">
        <v>912</v>
      </c>
      <c r="MK273" s="16">
        <v>610</v>
      </c>
      <c r="ML273" s="16">
        <v>377</v>
      </c>
      <c r="MM273" s="16">
        <v>1394</v>
      </c>
      <c r="MN273" s="16">
        <v>2506</v>
      </c>
      <c r="MO273" s="16">
        <v>929</v>
      </c>
      <c r="MP273" s="16">
        <v>1332</v>
      </c>
      <c r="MQ273" s="16">
        <v>2885</v>
      </c>
      <c r="MR273" s="16">
        <v>8875</v>
      </c>
      <c r="MS273" s="16">
        <v>9689</v>
      </c>
      <c r="MT273" s="16">
        <v>548</v>
      </c>
      <c r="MU273" s="16">
        <v>13150</v>
      </c>
      <c r="MV273" s="16">
        <v>10648</v>
      </c>
      <c r="MW273" s="16">
        <v>33963</v>
      </c>
      <c r="MX273" s="16">
        <v>404</v>
      </c>
      <c r="MY273" s="16">
        <v>8756</v>
      </c>
      <c r="MZ273" s="16">
        <v>13754</v>
      </c>
      <c r="NA273" s="16">
        <v>980</v>
      </c>
      <c r="NB273" s="16">
        <v>6944</v>
      </c>
      <c r="NC273" s="16">
        <v>1991</v>
      </c>
      <c r="ND273" s="16">
        <v>1131</v>
      </c>
      <c r="NE273" s="16">
        <v>1352</v>
      </c>
      <c r="NF273" s="16">
        <v>809</v>
      </c>
      <c r="NG273" s="16">
        <v>6795</v>
      </c>
      <c r="NH273" s="16">
        <v>4580</v>
      </c>
      <c r="NI273" s="16">
        <v>686</v>
      </c>
      <c r="NJ273" s="16">
        <v>2210</v>
      </c>
      <c r="NK273" s="16">
        <v>1414</v>
      </c>
      <c r="NL273" s="16">
        <v>547</v>
      </c>
      <c r="NM273" s="16">
        <v>1819</v>
      </c>
      <c r="NN273" s="16">
        <v>1360</v>
      </c>
      <c r="NO273" s="16">
        <v>0</v>
      </c>
      <c r="NP273" s="16">
        <v>2844</v>
      </c>
      <c r="NQ273" s="16">
        <v>49</v>
      </c>
      <c r="NR273" s="17">
        <v>1474178</v>
      </c>
    </row>
    <row r="274" spans="1:382" ht="13.5" customHeight="1" x14ac:dyDescent="0.2">
      <c r="A274" s="2" t="s">
        <v>555</v>
      </c>
      <c r="B274" s="16">
        <v>10933</v>
      </c>
      <c r="C274" s="16">
        <v>2606</v>
      </c>
      <c r="D274" s="16">
        <v>1343</v>
      </c>
      <c r="E274" s="16">
        <v>2813</v>
      </c>
      <c r="F274" s="16">
        <v>23939</v>
      </c>
      <c r="G274" s="16">
        <v>13215</v>
      </c>
      <c r="H274" s="16">
        <v>1705</v>
      </c>
      <c r="I274" s="16">
        <v>826</v>
      </c>
      <c r="J274" s="16">
        <v>230</v>
      </c>
      <c r="K274" s="16">
        <v>0</v>
      </c>
      <c r="L274" s="16">
        <v>3405</v>
      </c>
      <c r="M274" s="16">
        <v>4082</v>
      </c>
      <c r="N274" s="16">
        <v>264</v>
      </c>
      <c r="O274" s="16">
        <v>10516</v>
      </c>
      <c r="P274" s="16">
        <v>16104</v>
      </c>
      <c r="Q274" s="16">
        <v>17874</v>
      </c>
      <c r="R274" s="16">
        <v>13841</v>
      </c>
      <c r="S274" s="16">
        <v>1559</v>
      </c>
      <c r="T274" s="16">
        <v>3562</v>
      </c>
      <c r="U274" s="16">
        <v>1259</v>
      </c>
      <c r="V274" s="16">
        <v>3094</v>
      </c>
      <c r="W274" s="16">
        <v>410</v>
      </c>
      <c r="X274" s="16">
        <v>5784</v>
      </c>
      <c r="Y274" s="16">
        <v>18081</v>
      </c>
      <c r="Z274" s="16">
        <v>4954</v>
      </c>
      <c r="AA274" s="16">
        <v>3499</v>
      </c>
      <c r="AB274" s="16">
        <v>0</v>
      </c>
      <c r="AC274" s="16">
        <v>0</v>
      </c>
      <c r="AD274" s="16">
        <v>0</v>
      </c>
      <c r="AE274" s="16">
        <v>334</v>
      </c>
      <c r="AF274" s="16">
        <v>944</v>
      </c>
      <c r="AG274" s="16">
        <v>17067</v>
      </c>
      <c r="AH274" s="16">
        <v>5272</v>
      </c>
      <c r="AI274" s="16">
        <v>1025</v>
      </c>
      <c r="AJ274" s="16">
        <v>14943</v>
      </c>
      <c r="AK274" s="16">
        <v>16327</v>
      </c>
      <c r="AL274" s="16">
        <v>8056</v>
      </c>
      <c r="AM274" s="16">
        <v>15809</v>
      </c>
      <c r="AN274" s="16">
        <v>9559</v>
      </c>
      <c r="AO274" s="16">
        <v>4105</v>
      </c>
      <c r="AP274" s="16">
        <v>2673</v>
      </c>
      <c r="AQ274" s="16">
        <v>7326</v>
      </c>
      <c r="AR274" s="16">
        <v>0</v>
      </c>
      <c r="AS274" s="16">
        <v>2019</v>
      </c>
      <c r="AT274" s="16">
        <v>9912</v>
      </c>
      <c r="AU274" s="16">
        <v>21620</v>
      </c>
      <c r="AV274" s="16">
        <v>7174</v>
      </c>
      <c r="AW274" s="16">
        <v>12704</v>
      </c>
      <c r="AX274" s="16">
        <v>4382</v>
      </c>
      <c r="AY274" s="16">
        <v>11521</v>
      </c>
      <c r="AZ274" s="16">
        <v>7101</v>
      </c>
      <c r="BA274" s="16">
        <v>6668</v>
      </c>
      <c r="BB274" s="16">
        <v>25617</v>
      </c>
      <c r="BC274" s="16">
        <v>20428</v>
      </c>
      <c r="BD274" s="16">
        <v>1904</v>
      </c>
      <c r="BE274" s="16">
        <v>1370</v>
      </c>
      <c r="BF274" s="16">
        <v>3891</v>
      </c>
      <c r="BG274" s="16">
        <v>959</v>
      </c>
      <c r="BH274" s="16">
        <v>13181</v>
      </c>
      <c r="BI274" s="16">
        <v>3403</v>
      </c>
      <c r="BJ274" s="16">
        <v>11645</v>
      </c>
      <c r="BK274" s="16">
        <v>4696</v>
      </c>
      <c r="BL274" s="16">
        <v>29346</v>
      </c>
      <c r="BM274" s="16">
        <v>521</v>
      </c>
      <c r="BN274" s="16">
        <v>1470</v>
      </c>
      <c r="BO274" s="16">
        <v>1825</v>
      </c>
      <c r="BP274" s="16">
        <v>8525</v>
      </c>
      <c r="BQ274" s="16">
        <v>5021</v>
      </c>
      <c r="BR274" s="16">
        <v>17246</v>
      </c>
      <c r="BS274" s="16">
        <v>6120</v>
      </c>
      <c r="BT274" s="16">
        <v>653</v>
      </c>
      <c r="BU274" s="16">
        <v>203</v>
      </c>
      <c r="BV274" s="16">
        <v>180</v>
      </c>
      <c r="BW274" s="16">
        <v>2045</v>
      </c>
      <c r="BX274" s="16">
        <v>1825</v>
      </c>
      <c r="BY274" s="16">
        <v>221</v>
      </c>
      <c r="BZ274" s="16">
        <v>2203</v>
      </c>
      <c r="CA274" s="16">
        <v>2533</v>
      </c>
      <c r="CB274" s="16">
        <v>233</v>
      </c>
      <c r="CC274" s="16">
        <v>7500</v>
      </c>
      <c r="CD274" s="16">
        <v>3497</v>
      </c>
      <c r="CE274" s="16">
        <v>9456</v>
      </c>
      <c r="CF274" s="16">
        <v>3240</v>
      </c>
      <c r="CG274" s="16">
        <v>2395</v>
      </c>
      <c r="CH274" s="16">
        <v>757</v>
      </c>
      <c r="CI274" s="16">
        <v>40</v>
      </c>
      <c r="CJ274" s="16">
        <v>34350</v>
      </c>
      <c r="CK274" s="16">
        <v>57783</v>
      </c>
      <c r="CL274" s="16">
        <v>9782</v>
      </c>
      <c r="CM274" s="16">
        <v>5953</v>
      </c>
      <c r="CN274" s="16">
        <v>1434</v>
      </c>
      <c r="CO274" s="16">
        <v>12083</v>
      </c>
      <c r="CP274" s="16">
        <v>4105</v>
      </c>
      <c r="CQ274" s="16">
        <v>18668</v>
      </c>
      <c r="CR274" s="16">
        <v>4501</v>
      </c>
      <c r="CS274" s="16">
        <v>33634</v>
      </c>
      <c r="CT274" s="16">
        <v>31224</v>
      </c>
      <c r="CU274" s="16">
        <v>34082</v>
      </c>
      <c r="CV274" s="16">
        <v>6346</v>
      </c>
      <c r="CW274" s="16">
        <v>64621</v>
      </c>
      <c r="CX274" s="16">
        <v>16219</v>
      </c>
      <c r="CY274" s="16">
        <v>8485</v>
      </c>
      <c r="CZ274" s="16">
        <v>10075</v>
      </c>
      <c r="DA274" s="16">
        <v>2197</v>
      </c>
      <c r="DB274" s="16">
        <v>7280</v>
      </c>
      <c r="DC274" s="16">
        <v>19336</v>
      </c>
      <c r="DD274" s="16">
        <v>29186</v>
      </c>
      <c r="DE274" s="16">
        <v>74863</v>
      </c>
      <c r="DF274" s="16">
        <v>65340</v>
      </c>
      <c r="DG274" s="16">
        <v>166948</v>
      </c>
      <c r="DH274" s="16">
        <v>45612</v>
      </c>
      <c r="DI274" s="16">
        <v>6223</v>
      </c>
      <c r="DJ274" s="16">
        <v>188633</v>
      </c>
      <c r="DK274" s="16">
        <v>15047</v>
      </c>
      <c r="DL274" s="16">
        <v>31342</v>
      </c>
      <c r="DM274" s="16">
        <v>51602</v>
      </c>
      <c r="DN274" s="16">
        <v>10298</v>
      </c>
      <c r="DO274" s="16">
        <v>2027</v>
      </c>
      <c r="DP274" s="16">
        <v>8145</v>
      </c>
      <c r="DQ274" s="16">
        <v>2027</v>
      </c>
      <c r="DR274" s="16">
        <v>8013</v>
      </c>
      <c r="DS274" s="16">
        <v>10127</v>
      </c>
      <c r="DT274" s="16">
        <v>4464</v>
      </c>
      <c r="DU274" s="16">
        <v>1740</v>
      </c>
      <c r="DV274" s="16">
        <v>39396</v>
      </c>
      <c r="DW274" s="16">
        <v>44592</v>
      </c>
      <c r="DX274" s="16">
        <v>11434</v>
      </c>
      <c r="DY274" s="16">
        <v>21879</v>
      </c>
      <c r="DZ274" s="16">
        <v>21639</v>
      </c>
      <c r="EA274" s="16">
        <v>19230</v>
      </c>
      <c r="EB274" s="16">
        <v>16651</v>
      </c>
      <c r="EC274" s="16">
        <v>11150</v>
      </c>
      <c r="ED274" s="16">
        <v>226</v>
      </c>
      <c r="EE274" s="16">
        <v>11084</v>
      </c>
      <c r="EF274" s="16">
        <v>25869</v>
      </c>
      <c r="EG274" s="16">
        <v>10452</v>
      </c>
      <c r="EH274" s="16">
        <v>6577</v>
      </c>
      <c r="EI274" s="16">
        <v>3994</v>
      </c>
      <c r="EJ274" s="16">
        <v>93</v>
      </c>
      <c r="EK274" s="16">
        <v>2096</v>
      </c>
      <c r="EL274" s="16">
        <v>2504</v>
      </c>
      <c r="EM274" s="16">
        <v>78548</v>
      </c>
      <c r="EN274" s="16">
        <v>12346</v>
      </c>
      <c r="EO274" s="16">
        <v>7575</v>
      </c>
      <c r="EP274" s="16">
        <v>5344</v>
      </c>
      <c r="EQ274" s="16">
        <v>2171</v>
      </c>
      <c r="ER274" s="16">
        <v>926</v>
      </c>
      <c r="ES274" s="16">
        <v>5574</v>
      </c>
      <c r="ET274" s="16">
        <v>11151</v>
      </c>
      <c r="EU274" s="16">
        <v>2328</v>
      </c>
      <c r="EV274" s="16">
        <v>49658</v>
      </c>
      <c r="EW274" s="16">
        <v>9207</v>
      </c>
      <c r="EX274" s="16">
        <v>73282</v>
      </c>
      <c r="EY274" s="16">
        <v>24771</v>
      </c>
      <c r="EZ274" s="16">
        <v>23322</v>
      </c>
      <c r="FA274" s="16">
        <v>44840</v>
      </c>
      <c r="FB274" s="16">
        <v>82750</v>
      </c>
      <c r="FC274" s="16">
        <v>11226</v>
      </c>
      <c r="FD274" s="16">
        <v>18947</v>
      </c>
      <c r="FE274" s="16">
        <v>6402</v>
      </c>
      <c r="FF274" s="16">
        <v>31970</v>
      </c>
      <c r="FG274" s="16">
        <v>6815</v>
      </c>
      <c r="FH274" s="16">
        <v>7799</v>
      </c>
      <c r="FI274" s="16">
        <v>4250</v>
      </c>
      <c r="FJ274" s="16">
        <v>10404</v>
      </c>
      <c r="FK274" s="16">
        <v>19769</v>
      </c>
      <c r="FL274" s="16">
        <v>13070</v>
      </c>
      <c r="FM274" s="16">
        <v>10881</v>
      </c>
      <c r="FN274" s="16">
        <v>19714</v>
      </c>
      <c r="FO274" s="16">
        <v>3818</v>
      </c>
      <c r="FP274" s="16">
        <v>35272</v>
      </c>
      <c r="FQ274" s="16">
        <v>10071</v>
      </c>
      <c r="FR274" s="16">
        <v>7970</v>
      </c>
      <c r="FS274" s="16">
        <v>2012</v>
      </c>
      <c r="FT274" s="16">
        <v>4280</v>
      </c>
      <c r="FU274" s="16">
        <v>12050</v>
      </c>
      <c r="FV274" s="16">
        <v>11411</v>
      </c>
      <c r="FW274" s="16">
        <v>27262</v>
      </c>
      <c r="FX274" s="16">
        <v>24081</v>
      </c>
      <c r="FY274" s="16">
        <v>2401</v>
      </c>
      <c r="FZ274" s="16">
        <v>3697</v>
      </c>
      <c r="GA274" s="16">
        <v>5080</v>
      </c>
      <c r="GB274" s="16">
        <v>13935</v>
      </c>
      <c r="GC274" s="16">
        <v>5833</v>
      </c>
      <c r="GD274" s="16">
        <v>7870</v>
      </c>
      <c r="GE274" s="16">
        <v>86950</v>
      </c>
      <c r="GF274" s="16">
        <v>536254</v>
      </c>
      <c r="GG274" s="16">
        <v>168414</v>
      </c>
      <c r="GH274" s="16">
        <v>51932</v>
      </c>
      <c r="GI274" s="16">
        <v>57436</v>
      </c>
      <c r="GJ274" s="16">
        <v>10628</v>
      </c>
      <c r="GK274" s="16">
        <v>2709</v>
      </c>
      <c r="GL274" s="16">
        <v>398</v>
      </c>
      <c r="GM274" s="16">
        <v>1196</v>
      </c>
      <c r="GN274" s="16">
        <v>1198</v>
      </c>
      <c r="GO274" s="16">
        <v>2200</v>
      </c>
      <c r="GP274" s="16">
        <v>14098</v>
      </c>
      <c r="GQ274" s="16">
        <v>14766</v>
      </c>
      <c r="GR274" s="16">
        <v>46</v>
      </c>
      <c r="GS274" s="16">
        <v>602</v>
      </c>
      <c r="GT274" s="16">
        <v>1189</v>
      </c>
      <c r="GU274" s="16">
        <v>23782</v>
      </c>
      <c r="GV274" s="16">
        <v>20067</v>
      </c>
      <c r="GW274" s="16">
        <v>9616</v>
      </c>
      <c r="GX274" s="16">
        <v>9977</v>
      </c>
      <c r="GY274" s="16">
        <v>280</v>
      </c>
      <c r="GZ274" s="16">
        <v>12658</v>
      </c>
      <c r="HA274" s="16">
        <v>3023</v>
      </c>
      <c r="HB274" s="16">
        <v>3578</v>
      </c>
      <c r="HC274" s="16">
        <v>9229</v>
      </c>
      <c r="HD274" s="16">
        <v>7344</v>
      </c>
      <c r="HE274" s="16">
        <v>64752</v>
      </c>
      <c r="HF274" s="16">
        <v>11734</v>
      </c>
      <c r="HG274" s="16">
        <v>4098</v>
      </c>
      <c r="HH274" s="16">
        <v>1161</v>
      </c>
      <c r="HI274" s="16">
        <v>5780</v>
      </c>
      <c r="HJ274" s="16">
        <v>889</v>
      </c>
      <c r="HK274" s="16">
        <v>7254</v>
      </c>
      <c r="HL274" s="16">
        <v>10233</v>
      </c>
      <c r="HM274" s="16">
        <v>7169</v>
      </c>
      <c r="HN274" s="16">
        <v>13591</v>
      </c>
      <c r="HO274" s="16">
        <v>9475</v>
      </c>
      <c r="HP274" s="16">
        <v>17109</v>
      </c>
      <c r="HQ274" s="16">
        <v>8987</v>
      </c>
      <c r="HR274" s="16">
        <v>11239</v>
      </c>
      <c r="HS274" s="16">
        <v>8940</v>
      </c>
      <c r="HT274" s="16">
        <v>894</v>
      </c>
      <c r="HU274" s="16">
        <v>11025</v>
      </c>
      <c r="HV274" s="16">
        <v>4831</v>
      </c>
      <c r="HW274" s="16">
        <v>14339</v>
      </c>
      <c r="HX274" s="16">
        <v>10884</v>
      </c>
      <c r="HY274" s="16">
        <v>26510</v>
      </c>
      <c r="HZ274" s="16">
        <v>17083</v>
      </c>
      <c r="IA274" s="16">
        <v>4568</v>
      </c>
      <c r="IB274" s="16">
        <v>1037</v>
      </c>
      <c r="IC274" s="16">
        <v>1032</v>
      </c>
      <c r="ID274" s="16">
        <v>1590</v>
      </c>
      <c r="IE274" s="16">
        <v>1472</v>
      </c>
      <c r="IF274" s="16">
        <v>2882</v>
      </c>
      <c r="IG274" s="16">
        <v>9398</v>
      </c>
      <c r="IH274" s="16">
        <v>59262</v>
      </c>
      <c r="II274" s="16">
        <v>4337</v>
      </c>
      <c r="IJ274" s="16">
        <v>3417</v>
      </c>
      <c r="IK274" s="16">
        <v>5092</v>
      </c>
      <c r="IL274" s="16">
        <v>5616</v>
      </c>
      <c r="IM274" s="16">
        <v>864</v>
      </c>
      <c r="IN274" s="16">
        <v>56597</v>
      </c>
      <c r="IO274" s="16">
        <v>174095</v>
      </c>
      <c r="IP274" s="16">
        <v>30009</v>
      </c>
      <c r="IQ274" s="16">
        <v>834</v>
      </c>
      <c r="IR274" s="16">
        <v>33877</v>
      </c>
      <c r="IS274" s="16">
        <v>2482</v>
      </c>
      <c r="IT274" s="16">
        <v>7542</v>
      </c>
      <c r="IU274" s="16">
        <v>192</v>
      </c>
      <c r="IV274" s="16">
        <v>992</v>
      </c>
      <c r="IW274" s="16">
        <v>6856</v>
      </c>
      <c r="IX274" s="16">
        <v>2349</v>
      </c>
      <c r="IY274" s="16">
        <v>1738</v>
      </c>
      <c r="IZ274" s="16">
        <v>179</v>
      </c>
      <c r="JA274" s="16">
        <v>512</v>
      </c>
      <c r="JB274" s="16">
        <v>127</v>
      </c>
      <c r="JC274" s="16">
        <v>325</v>
      </c>
      <c r="JD274" s="16">
        <v>665</v>
      </c>
      <c r="JE274" s="16">
        <v>2246</v>
      </c>
      <c r="JF274" s="16">
        <v>2073</v>
      </c>
      <c r="JG274" s="16">
        <v>35894</v>
      </c>
      <c r="JH274" s="16">
        <v>2703</v>
      </c>
      <c r="JI274" s="16">
        <v>1055</v>
      </c>
      <c r="JJ274" s="16">
        <v>27504</v>
      </c>
      <c r="JK274" s="16">
        <v>5766</v>
      </c>
      <c r="JL274" s="16">
        <v>2505</v>
      </c>
      <c r="JM274" s="16">
        <v>926</v>
      </c>
      <c r="JN274" s="16">
        <v>1917</v>
      </c>
      <c r="JO274" s="16">
        <v>3278</v>
      </c>
      <c r="JP274" s="16">
        <v>19774</v>
      </c>
      <c r="JQ274" s="16">
        <v>37464</v>
      </c>
      <c r="JR274" s="16">
        <v>10836</v>
      </c>
      <c r="JS274" s="16">
        <v>4207</v>
      </c>
      <c r="JT274" s="16">
        <v>3</v>
      </c>
      <c r="JU274" s="16">
        <v>14181</v>
      </c>
      <c r="JV274" s="16">
        <v>16154</v>
      </c>
      <c r="JW274" s="16">
        <v>13547</v>
      </c>
      <c r="JX274" s="16">
        <v>15281</v>
      </c>
      <c r="JY274" s="16">
        <v>1348</v>
      </c>
      <c r="JZ274" s="16">
        <v>3199</v>
      </c>
      <c r="KA274" s="16">
        <v>2604</v>
      </c>
      <c r="KB274" s="16">
        <v>1285</v>
      </c>
      <c r="KC274" s="16">
        <v>817</v>
      </c>
      <c r="KD274" s="16">
        <v>1351</v>
      </c>
      <c r="KE274" s="16">
        <v>6174</v>
      </c>
      <c r="KF274" s="16">
        <v>2668</v>
      </c>
      <c r="KG274" s="16">
        <v>1158</v>
      </c>
      <c r="KH274" s="16">
        <v>3352</v>
      </c>
      <c r="KI274" s="16">
        <v>4500</v>
      </c>
      <c r="KJ274" s="16">
        <v>3511</v>
      </c>
      <c r="KK274" s="16">
        <v>312646</v>
      </c>
      <c r="KL274" s="16">
        <v>79976</v>
      </c>
      <c r="KM274" s="16">
        <v>3485</v>
      </c>
      <c r="KN274" s="16">
        <v>15080</v>
      </c>
      <c r="KO274" s="16">
        <v>1392</v>
      </c>
      <c r="KP274" s="16">
        <v>625</v>
      </c>
      <c r="KQ274" s="16">
        <v>1830</v>
      </c>
      <c r="KR274" s="16">
        <v>5239</v>
      </c>
      <c r="KS274" s="16">
        <v>1081</v>
      </c>
      <c r="KT274" s="16">
        <v>4244</v>
      </c>
      <c r="KU274" s="16">
        <v>3824</v>
      </c>
      <c r="KV274" s="16">
        <v>41030</v>
      </c>
      <c r="KW274" s="16">
        <v>70701</v>
      </c>
      <c r="KX274" s="16">
        <v>741</v>
      </c>
      <c r="KY274" s="16">
        <v>7001</v>
      </c>
      <c r="KZ274" s="16">
        <v>55454</v>
      </c>
      <c r="LA274" s="16">
        <v>10595</v>
      </c>
      <c r="LB274" s="16">
        <v>7609</v>
      </c>
      <c r="LC274" s="16">
        <v>3630</v>
      </c>
      <c r="LD274" s="16">
        <v>22283</v>
      </c>
      <c r="LE274" s="16">
        <v>9587</v>
      </c>
      <c r="LF274" s="16">
        <v>45563</v>
      </c>
      <c r="LG274" s="16">
        <v>1714</v>
      </c>
      <c r="LH274" s="16">
        <v>2461</v>
      </c>
      <c r="LI274" s="16">
        <v>3196</v>
      </c>
      <c r="LJ274" s="16">
        <v>9119</v>
      </c>
      <c r="LK274" s="16">
        <v>10110</v>
      </c>
      <c r="LL274" s="16">
        <v>4126</v>
      </c>
      <c r="LM274" s="16">
        <v>8120</v>
      </c>
      <c r="LN274" s="16">
        <v>4024</v>
      </c>
      <c r="LO274" s="16">
        <v>5377</v>
      </c>
      <c r="LP274" s="16">
        <v>3239</v>
      </c>
      <c r="LQ274" s="16">
        <v>2558</v>
      </c>
      <c r="LR274" s="16">
        <v>22830</v>
      </c>
      <c r="LS274" s="16">
        <v>2246</v>
      </c>
      <c r="LT274" s="16">
        <v>8258</v>
      </c>
      <c r="LU274" s="16">
        <v>20683</v>
      </c>
      <c r="LV274" s="16">
        <v>4</v>
      </c>
      <c r="LW274" s="16">
        <v>22522</v>
      </c>
      <c r="LX274" s="16">
        <v>6512</v>
      </c>
      <c r="LY274" s="16">
        <v>66272</v>
      </c>
      <c r="LZ274" s="16">
        <v>83564</v>
      </c>
      <c r="MA274" s="16">
        <v>10765</v>
      </c>
      <c r="MB274" s="16">
        <v>28199</v>
      </c>
      <c r="MC274" s="16">
        <v>68577</v>
      </c>
      <c r="MD274" s="16">
        <v>28230</v>
      </c>
      <c r="ME274" s="16">
        <v>1784</v>
      </c>
      <c r="MF274" s="16">
        <v>44474</v>
      </c>
      <c r="MG274" s="16">
        <v>9237</v>
      </c>
      <c r="MH274" s="16">
        <v>361707</v>
      </c>
      <c r="MI274" s="16">
        <v>2792</v>
      </c>
      <c r="MJ274" s="16">
        <v>4262</v>
      </c>
      <c r="MK274" s="16">
        <v>2851</v>
      </c>
      <c r="ML274" s="16">
        <v>1762</v>
      </c>
      <c r="MM274" s="16">
        <v>6512</v>
      </c>
      <c r="MN274" s="16">
        <v>11708</v>
      </c>
      <c r="MO274" s="16">
        <v>4341</v>
      </c>
      <c r="MP274" s="16">
        <v>6222</v>
      </c>
      <c r="MQ274" s="16">
        <v>13481</v>
      </c>
      <c r="MR274" s="16">
        <v>41752</v>
      </c>
      <c r="MS274" s="16">
        <v>45272</v>
      </c>
      <c r="MT274" s="16">
        <v>2561</v>
      </c>
      <c r="MU274" s="16">
        <v>61436</v>
      </c>
      <c r="MV274" s="16">
        <v>49751</v>
      </c>
      <c r="MW274" s="16">
        <v>158683</v>
      </c>
      <c r="MX274" s="16">
        <v>1888</v>
      </c>
      <c r="MY274" s="16">
        <v>40908</v>
      </c>
      <c r="MZ274" s="16">
        <v>64263</v>
      </c>
      <c r="NA274" s="16">
        <v>4580</v>
      </c>
      <c r="NB274" s="16">
        <v>32443</v>
      </c>
      <c r="NC274" s="16">
        <v>9306</v>
      </c>
      <c r="ND274" s="16">
        <v>5283</v>
      </c>
      <c r="NE274" s="16">
        <v>6319</v>
      </c>
      <c r="NF274" s="16">
        <v>3782</v>
      </c>
      <c r="NG274" s="16">
        <v>31748</v>
      </c>
      <c r="NH274" s="16">
        <v>21401</v>
      </c>
      <c r="NI274" s="16">
        <v>3206</v>
      </c>
      <c r="NJ274" s="16">
        <v>10325</v>
      </c>
      <c r="NK274" s="16">
        <v>6608</v>
      </c>
      <c r="NL274" s="16">
        <v>2554</v>
      </c>
      <c r="NM274" s="16">
        <v>8497</v>
      </c>
      <c r="NN274" s="16">
        <v>6353</v>
      </c>
      <c r="NO274" s="16">
        <v>0</v>
      </c>
      <c r="NP274" s="16">
        <v>13287</v>
      </c>
      <c r="NQ274" s="16">
        <v>231</v>
      </c>
      <c r="NR274" s="17">
        <v>6887990</v>
      </c>
    </row>
    <row r="275" spans="1:382" ht="13.5" customHeight="1" x14ac:dyDescent="0.2">
      <c r="A275" s="2" t="s">
        <v>557</v>
      </c>
      <c r="B275" s="16">
        <v>6</v>
      </c>
      <c r="C275" s="16">
        <v>0</v>
      </c>
      <c r="D275" s="16">
        <v>0</v>
      </c>
      <c r="E275" s="16">
        <v>0</v>
      </c>
      <c r="F275" s="16">
        <v>13</v>
      </c>
      <c r="G275" s="16">
        <v>4</v>
      </c>
      <c r="H275" s="16">
        <v>98</v>
      </c>
      <c r="I275" s="16">
        <v>24</v>
      </c>
      <c r="J275" s="16">
        <v>1</v>
      </c>
      <c r="K275" s="16">
        <v>0</v>
      </c>
      <c r="L275" s="16">
        <v>0</v>
      </c>
      <c r="M275" s="16">
        <v>6</v>
      </c>
      <c r="N275" s="16">
        <v>0</v>
      </c>
      <c r="O275" s="16">
        <v>2</v>
      </c>
      <c r="P275" s="16">
        <v>6</v>
      </c>
      <c r="Q275" s="16">
        <v>7</v>
      </c>
      <c r="R275" s="16">
        <v>3</v>
      </c>
      <c r="S275" s="16">
        <v>4</v>
      </c>
      <c r="T275" s="16">
        <v>0</v>
      </c>
      <c r="U275" s="16">
        <v>0</v>
      </c>
      <c r="V275" s="16">
        <v>2</v>
      </c>
      <c r="W275" s="16">
        <v>0</v>
      </c>
      <c r="X275" s="16">
        <v>253</v>
      </c>
      <c r="Y275" s="16">
        <v>2</v>
      </c>
      <c r="Z275" s="16">
        <v>151</v>
      </c>
      <c r="AA275" s="16">
        <v>30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2496</v>
      </c>
      <c r="AH275" s="16">
        <v>39</v>
      </c>
      <c r="AI275" s="16">
        <v>457</v>
      </c>
      <c r="AJ275" s="16">
        <v>12264</v>
      </c>
      <c r="AK275" s="16">
        <v>34558</v>
      </c>
      <c r="AL275" s="16">
        <v>29676</v>
      </c>
      <c r="AM275" s="16">
        <v>59851</v>
      </c>
      <c r="AN275" s="16">
        <v>13695</v>
      </c>
      <c r="AO275" s="16">
        <v>2011</v>
      </c>
      <c r="AP275" s="16">
        <v>30</v>
      </c>
      <c r="AQ275" s="16">
        <v>5224</v>
      </c>
      <c r="AR275" s="16">
        <v>0</v>
      </c>
      <c r="AS275" s="16">
        <v>56967</v>
      </c>
      <c r="AT275" s="16">
        <v>29675</v>
      </c>
      <c r="AU275" s="16">
        <v>67689</v>
      </c>
      <c r="AV275" s="16">
        <v>81592</v>
      </c>
      <c r="AW275" s="16">
        <v>38924</v>
      </c>
      <c r="AX275" s="16">
        <v>32153</v>
      </c>
      <c r="AY275" s="16">
        <v>17068</v>
      </c>
      <c r="AZ275" s="16">
        <v>34730</v>
      </c>
      <c r="BA275" s="16">
        <v>21638</v>
      </c>
      <c r="BB275" s="16">
        <v>96816</v>
      </c>
      <c r="BC275" s="16">
        <v>62838</v>
      </c>
      <c r="BD275" s="16">
        <v>3958</v>
      </c>
      <c r="BE275" s="16">
        <v>7654</v>
      </c>
      <c r="BF275" s="16">
        <v>33086</v>
      </c>
      <c r="BG275" s="16">
        <v>2174</v>
      </c>
      <c r="BH275" s="16">
        <v>56826</v>
      </c>
      <c r="BI275" s="16">
        <v>20245</v>
      </c>
      <c r="BJ275" s="16">
        <v>9433</v>
      </c>
      <c r="BK275" s="16">
        <v>42</v>
      </c>
      <c r="BL275" s="16">
        <v>101638</v>
      </c>
      <c r="BM275" s="16">
        <v>835</v>
      </c>
      <c r="BN275" s="16">
        <v>71</v>
      </c>
      <c r="BO275" s="16">
        <v>6691</v>
      </c>
      <c r="BP275" s="16">
        <v>3086</v>
      </c>
      <c r="BQ275" s="16">
        <v>9284</v>
      </c>
      <c r="BR275" s="16">
        <v>20956</v>
      </c>
      <c r="BS275" s="16">
        <v>6199</v>
      </c>
      <c r="BT275" s="16">
        <v>56</v>
      </c>
      <c r="BU275" s="16">
        <v>3</v>
      </c>
      <c r="BV275" s="16">
        <v>2</v>
      </c>
      <c r="BW275" s="16">
        <v>1032</v>
      </c>
      <c r="BX275" s="16">
        <v>3538</v>
      </c>
      <c r="BY275" s="16">
        <v>32</v>
      </c>
      <c r="BZ275" s="16">
        <v>546</v>
      </c>
      <c r="CA275" s="16">
        <v>998</v>
      </c>
      <c r="CB275" s="16">
        <v>6</v>
      </c>
      <c r="CC275" s="16">
        <v>3242</v>
      </c>
      <c r="CD275" s="16">
        <v>415</v>
      </c>
      <c r="CE275" s="16">
        <v>25179</v>
      </c>
      <c r="CF275" s="16">
        <v>111</v>
      </c>
      <c r="CG275" s="16">
        <v>1573</v>
      </c>
      <c r="CH275" s="16">
        <v>302</v>
      </c>
      <c r="CI275" s="16">
        <v>0</v>
      </c>
      <c r="CJ275" s="16">
        <v>66748</v>
      </c>
      <c r="CK275" s="16">
        <v>68579</v>
      </c>
      <c r="CL275" s="16">
        <v>43640</v>
      </c>
      <c r="CM275" s="16">
        <v>6788</v>
      </c>
      <c r="CN275" s="16">
        <v>915</v>
      </c>
      <c r="CO275" s="16">
        <v>20579</v>
      </c>
      <c r="CP275" s="16">
        <v>12929</v>
      </c>
      <c r="CQ275" s="16">
        <v>10019</v>
      </c>
      <c r="CR275" s="16">
        <v>93</v>
      </c>
      <c r="CS275" s="16">
        <v>73464</v>
      </c>
      <c r="CT275" s="16">
        <v>95737</v>
      </c>
      <c r="CU275" s="16">
        <v>91428</v>
      </c>
      <c r="CV275" s="16">
        <v>26206</v>
      </c>
      <c r="CW275" s="16">
        <v>134590</v>
      </c>
      <c r="CX275" s="16">
        <v>67007</v>
      </c>
      <c r="CY275" s="16">
        <v>37094</v>
      </c>
      <c r="CZ275" s="16">
        <v>41620</v>
      </c>
      <c r="DA275" s="16">
        <v>1785</v>
      </c>
      <c r="DB275" s="16">
        <v>5932</v>
      </c>
      <c r="DC275" s="16">
        <v>37464</v>
      </c>
      <c r="DD275" s="16">
        <v>74394</v>
      </c>
      <c r="DE275" s="16">
        <v>164398</v>
      </c>
      <c r="DF275" s="16">
        <v>97</v>
      </c>
      <c r="DG275" s="16">
        <v>30816</v>
      </c>
      <c r="DH275" s="16">
        <v>49647</v>
      </c>
      <c r="DI275" s="16">
        <v>20768</v>
      </c>
      <c r="DJ275" s="16">
        <v>197478</v>
      </c>
      <c r="DK275" s="16">
        <v>2513</v>
      </c>
      <c r="DL275" s="16">
        <v>51674</v>
      </c>
      <c r="DM275" s="16">
        <v>182941</v>
      </c>
      <c r="DN275" s="16">
        <v>13777</v>
      </c>
      <c r="DO275" s="16">
        <v>899</v>
      </c>
      <c r="DP275" s="16">
        <v>31587</v>
      </c>
      <c r="DQ275" s="16">
        <v>1484</v>
      </c>
      <c r="DR275" s="16">
        <v>21363</v>
      </c>
      <c r="DS275" s="16">
        <v>14828</v>
      </c>
      <c r="DT275" s="16">
        <v>10940</v>
      </c>
      <c r="DU275" s="16">
        <v>2833</v>
      </c>
      <c r="DV275" s="16">
        <v>96197</v>
      </c>
      <c r="DW275" s="16">
        <v>134667</v>
      </c>
      <c r="DX275" s="16">
        <v>21586</v>
      </c>
      <c r="DY275" s="16">
        <v>8544</v>
      </c>
      <c r="DZ275" s="16">
        <v>21923</v>
      </c>
      <c r="EA275" s="16">
        <v>60684</v>
      </c>
      <c r="EB275" s="16">
        <v>113828</v>
      </c>
      <c r="EC275" s="16">
        <v>16558</v>
      </c>
      <c r="ED275" s="16">
        <v>1159</v>
      </c>
      <c r="EE275" s="16">
        <v>54639</v>
      </c>
      <c r="EF275" s="16">
        <v>36717</v>
      </c>
      <c r="EG275" s="16">
        <v>2243</v>
      </c>
      <c r="EH275" s="16">
        <v>33335</v>
      </c>
      <c r="EI275" s="16">
        <v>19701</v>
      </c>
      <c r="EJ275" s="16">
        <v>0</v>
      </c>
      <c r="EK275" s="16">
        <v>11114</v>
      </c>
      <c r="EL275" s="16">
        <v>43227</v>
      </c>
      <c r="EM275" s="16">
        <v>12413</v>
      </c>
      <c r="EN275" s="16">
        <v>33372</v>
      </c>
      <c r="EO275" s="16">
        <v>32348</v>
      </c>
      <c r="EP275" s="16">
        <v>68764</v>
      </c>
      <c r="EQ275" s="16">
        <v>8779</v>
      </c>
      <c r="ER275" s="16">
        <v>8971</v>
      </c>
      <c r="ES275" s="16">
        <v>25400</v>
      </c>
      <c r="ET275" s="16">
        <v>75462</v>
      </c>
      <c r="EU275" s="16">
        <v>0</v>
      </c>
      <c r="EV275" s="16">
        <v>3078</v>
      </c>
      <c r="EW275" s="16">
        <v>5884</v>
      </c>
      <c r="EX275" s="16">
        <v>198872</v>
      </c>
      <c r="EY275" s="16">
        <v>360315</v>
      </c>
      <c r="EZ275" s="16">
        <v>330718</v>
      </c>
      <c r="FA275" s="16">
        <v>273100</v>
      </c>
      <c r="FB275" s="16">
        <v>392031</v>
      </c>
      <c r="FC275" s="16">
        <v>56095</v>
      </c>
      <c r="FD275" s="16">
        <v>79426</v>
      </c>
      <c r="FE275" s="16">
        <v>29020</v>
      </c>
      <c r="FF275" s="16">
        <v>240691</v>
      </c>
      <c r="FG275" s="16">
        <v>4052</v>
      </c>
      <c r="FH275" s="16">
        <v>21821</v>
      </c>
      <c r="FI275" s="16">
        <v>52683</v>
      </c>
      <c r="FJ275" s="16">
        <v>57746</v>
      </c>
      <c r="FK275" s="16">
        <v>1985</v>
      </c>
      <c r="FL275" s="16">
        <v>865</v>
      </c>
      <c r="FM275" s="16">
        <v>60430</v>
      </c>
      <c r="FN275" s="16">
        <v>148033</v>
      </c>
      <c r="FO275" s="16">
        <v>7609</v>
      </c>
      <c r="FP275" s="16">
        <v>25818</v>
      </c>
      <c r="FQ275" s="16">
        <v>17025</v>
      </c>
      <c r="FR275" s="16">
        <v>18733</v>
      </c>
      <c r="FS275" s="16">
        <v>3551</v>
      </c>
      <c r="FT275" s="16">
        <v>35954</v>
      </c>
      <c r="FU275" s="16">
        <v>107570</v>
      </c>
      <c r="FV275" s="16">
        <v>5834</v>
      </c>
      <c r="FW275" s="16">
        <v>36661</v>
      </c>
      <c r="FX275" s="16">
        <v>40903</v>
      </c>
      <c r="FY275" s="16">
        <v>2862</v>
      </c>
      <c r="FZ275" s="16">
        <v>591</v>
      </c>
      <c r="GA275" s="16">
        <v>2820</v>
      </c>
      <c r="GB275" s="16">
        <v>35761</v>
      </c>
      <c r="GC275" s="16">
        <v>28584</v>
      </c>
      <c r="GD275" s="16">
        <v>31797</v>
      </c>
      <c r="GE275" s="16">
        <v>64761</v>
      </c>
      <c r="GF275" s="16">
        <v>368802</v>
      </c>
      <c r="GG275" s="16">
        <v>98631</v>
      </c>
      <c r="GH275" s="16">
        <v>29162</v>
      </c>
      <c r="GI275" s="16">
        <v>34618</v>
      </c>
      <c r="GJ275" s="16">
        <v>10999</v>
      </c>
      <c r="GK275" s="16">
        <v>778</v>
      </c>
      <c r="GL275" s="16">
        <v>146</v>
      </c>
      <c r="GM275" s="16">
        <v>183</v>
      </c>
      <c r="GN275" s="16">
        <v>582</v>
      </c>
      <c r="GO275" s="16">
        <v>644</v>
      </c>
      <c r="GP275" s="16">
        <v>8321</v>
      </c>
      <c r="GQ275" s="16">
        <v>22748</v>
      </c>
      <c r="GR275" s="16">
        <v>4</v>
      </c>
      <c r="GS275" s="16">
        <v>50</v>
      </c>
      <c r="GT275" s="16">
        <v>429</v>
      </c>
      <c r="GU275" s="16">
        <v>7594</v>
      </c>
      <c r="GV275" s="16">
        <v>5168</v>
      </c>
      <c r="GW275" s="16">
        <v>1723</v>
      </c>
      <c r="GX275" s="16">
        <v>9985</v>
      </c>
      <c r="GY275" s="16">
        <v>5</v>
      </c>
      <c r="GZ275" s="16">
        <v>8715</v>
      </c>
      <c r="HA275" s="16">
        <v>8149</v>
      </c>
      <c r="HB275" s="16">
        <v>3536</v>
      </c>
      <c r="HC275" s="16">
        <v>8006</v>
      </c>
      <c r="HD275" s="16">
        <v>2639</v>
      </c>
      <c r="HE275" s="16">
        <v>153513</v>
      </c>
      <c r="HF275" s="16">
        <v>5233</v>
      </c>
      <c r="HG275" s="16">
        <v>7839</v>
      </c>
      <c r="HH275" s="16">
        <v>56</v>
      </c>
      <c r="HI275" s="16">
        <v>10764</v>
      </c>
      <c r="HJ275" s="16">
        <v>34</v>
      </c>
      <c r="HK275" s="16">
        <v>1274</v>
      </c>
      <c r="HL275" s="16">
        <v>11320</v>
      </c>
      <c r="HM275" s="16">
        <v>5488</v>
      </c>
      <c r="HN275" s="16">
        <v>7376</v>
      </c>
      <c r="HO275" s="16">
        <v>5080</v>
      </c>
      <c r="HP275" s="16">
        <v>5303</v>
      </c>
      <c r="HQ275" s="16">
        <v>5063</v>
      </c>
      <c r="HR275" s="16">
        <v>14989</v>
      </c>
      <c r="HS275" s="16">
        <v>2883</v>
      </c>
      <c r="HT275" s="16">
        <v>10</v>
      </c>
      <c r="HU275" s="16">
        <v>2836</v>
      </c>
      <c r="HV275" s="16">
        <v>3427</v>
      </c>
      <c r="HW275" s="16">
        <v>14644</v>
      </c>
      <c r="HX275" s="16">
        <v>7520</v>
      </c>
      <c r="HY275" s="16">
        <v>14859</v>
      </c>
      <c r="HZ275" s="16">
        <v>11047</v>
      </c>
      <c r="IA275" s="16">
        <v>3067</v>
      </c>
      <c r="IB275" s="16">
        <v>334</v>
      </c>
      <c r="IC275" s="16">
        <v>83</v>
      </c>
      <c r="ID275" s="16">
        <v>311</v>
      </c>
      <c r="IE275" s="16">
        <v>613</v>
      </c>
      <c r="IF275" s="16">
        <v>150</v>
      </c>
      <c r="IG275" s="16">
        <v>5516</v>
      </c>
      <c r="IH275" s="16">
        <v>275630</v>
      </c>
      <c r="II275" s="16">
        <v>22065</v>
      </c>
      <c r="IJ275" s="16">
        <v>36433</v>
      </c>
      <c r="IK275" s="16">
        <v>18840</v>
      </c>
      <c r="IL275" s="16">
        <v>4332</v>
      </c>
      <c r="IM275" s="16">
        <v>13</v>
      </c>
      <c r="IN275" s="16">
        <v>45420</v>
      </c>
      <c r="IO275" s="16">
        <v>197217</v>
      </c>
      <c r="IP275" s="16">
        <v>15101</v>
      </c>
      <c r="IQ275" s="16">
        <v>242</v>
      </c>
      <c r="IR275" s="16">
        <v>41092</v>
      </c>
      <c r="IS275" s="16">
        <v>2857</v>
      </c>
      <c r="IT275" s="16">
        <v>13157</v>
      </c>
      <c r="IU275" s="16">
        <v>0</v>
      </c>
      <c r="IV275" s="16">
        <v>1639</v>
      </c>
      <c r="IW275" s="16">
        <v>2459</v>
      </c>
      <c r="IX275" s="16">
        <v>6135</v>
      </c>
      <c r="IY275" s="16">
        <v>25</v>
      </c>
      <c r="IZ275" s="16">
        <v>0</v>
      </c>
      <c r="JA275" s="16">
        <v>223</v>
      </c>
      <c r="JB275" s="16">
        <v>0</v>
      </c>
      <c r="JC275" s="16">
        <v>32</v>
      </c>
      <c r="JD275" s="16">
        <v>1116</v>
      </c>
      <c r="JE275" s="16">
        <v>156</v>
      </c>
      <c r="JF275" s="16">
        <v>1679</v>
      </c>
      <c r="JG275" s="16">
        <v>308</v>
      </c>
      <c r="JH275" s="16">
        <v>34</v>
      </c>
      <c r="JI275" s="16">
        <v>60</v>
      </c>
      <c r="JJ275" s="16">
        <v>19670462</v>
      </c>
      <c r="JK275" s="16">
        <v>20017</v>
      </c>
      <c r="JL275" s="16">
        <v>1659030</v>
      </c>
      <c r="JM275" s="16">
        <v>342450</v>
      </c>
      <c r="JN275" s="16">
        <v>2222</v>
      </c>
      <c r="JO275" s="16">
        <v>6313</v>
      </c>
      <c r="JP275" s="16">
        <v>696721</v>
      </c>
      <c r="JQ275" s="16">
        <v>1446</v>
      </c>
      <c r="JR275" s="16">
        <v>1230</v>
      </c>
      <c r="JS275" s="16">
        <v>393</v>
      </c>
      <c r="JT275" s="16">
        <v>1</v>
      </c>
      <c r="JU275" s="16">
        <v>2473</v>
      </c>
      <c r="JV275" s="16">
        <v>3210</v>
      </c>
      <c r="JW275" s="16">
        <v>7515</v>
      </c>
      <c r="JX275" s="16">
        <v>11039</v>
      </c>
      <c r="JY275" s="16">
        <v>717</v>
      </c>
      <c r="JZ275" s="16">
        <v>207</v>
      </c>
      <c r="KA275" s="16">
        <v>45</v>
      </c>
      <c r="KB275" s="16">
        <v>68</v>
      </c>
      <c r="KC275" s="16">
        <v>225</v>
      </c>
      <c r="KD275" s="16">
        <v>216</v>
      </c>
      <c r="KE275" s="16">
        <v>45</v>
      </c>
      <c r="KF275" s="16">
        <v>50</v>
      </c>
      <c r="KG275" s="16">
        <v>44</v>
      </c>
      <c r="KH275" s="16">
        <v>66</v>
      </c>
      <c r="KI275" s="16">
        <v>4917</v>
      </c>
      <c r="KJ275" s="16">
        <v>200</v>
      </c>
      <c r="KK275" s="16">
        <v>71446</v>
      </c>
      <c r="KL275" s="16">
        <v>5344</v>
      </c>
      <c r="KM275" s="16">
        <v>978503</v>
      </c>
      <c r="KN275" s="16">
        <v>24217</v>
      </c>
      <c r="KO275" s="16">
        <v>1149</v>
      </c>
      <c r="KP275" s="16">
        <v>41</v>
      </c>
      <c r="KQ275" s="16">
        <v>4544</v>
      </c>
      <c r="KR275" s="16">
        <v>19728</v>
      </c>
      <c r="KS275" s="16">
        <v>438</v>
      </c>
      <c r="KT275" s="16">
        <v>7139</v>
      </c>
      <c r="KU275" s="16">
        <v>3154</v>
      </c>
      <c r="KV275" s="16">
        <v>15540</v>
      </c>
      <c r="KW275" s="16">
        <v>8801</v>
      </c>
      <c r="KX275" s="16">
        <v>701</v>
      </c>
      <c r="KY275" s="16">
        <v>9498</v>
      </c>
      <c r="KZ275" s="16">
        <v>202540</v>
      </c>
      <c r="LA275" s="16">
        <v>19721</v>
      </c>
      <c r="LB275" s="16">
        <v>9476</v>
      </c>
      <c r="LC275" s="16">
        <v>2352</v>
      </c>
      <c r="LD275" s="16">
        <v>16895</v>
      </c>
      <c r="LE275" s="16">
        <v>1330</v>
      </c>
      <c r="LF275" s="16">
        <v>2280</v>
      </c>
      <c r="LG275" s="16">
        <v>769</v>
      </c>
      <c r="LH275" s="16">
        <v>1105</v>
      </c>
      <c r="LI275" s="16">
        <v>749</v>
      </c>
      <c r="LJ275" s="16">
        <v>2081</v>
      </c>
      <c r="LK275" s="16">
        <v>1603</v>
      </c>
      <c r="LL275" s="16">
        <v>354</v>
      </c>
      <c r="LM275" s="16">
        <v>202</v>
      </c>
      <c r="LN275" s="16">
        <v>681</v>
      </c>
      <c r="LO275" s="16">
        <v>1678</v>
      </c>
      <c r="LP275" s="16">
        <v>1996</v>
      </c>
      <c r="LQ275" s="16">
        <v>745</v>
      </c>
      <c r="LR275" s="16">
        <v>3861</v>
      </c>
      <c r="LS275" s="16">
        <v>2302</v>
      </c>
      <c r="LT275" s="16">
        <v>5169</v>
      </c>
      <c r="LU275" s="16">
        <v>6393</v>
      </c>
      <c r="LV275" s="16">
        <v>2</v>
      </c>
      <c r="LW275" s="16">
        <v>3875</v>
      </c>
      <c r="LX275" s="16">
        <v>4395</v>
      </c>
      <c r="LY275" s="16">
        <v>6179</v>
      </c>
      <c r="LZ275" s="16">
        <v>19875</v>
      </c>
      <c r="MA275" s="16">
        <v>11463</v>
      </c>
      <c r="MB275" s="16">
        <v>2135</v>
      </c>
      <c r="MC275" s="16">
        <v>8599</v>
      </c>
      <c r="MD275" s="16">
        <v>4236</v>
      </c>
      <c r="ME275" s="16">
        <v>496</v>
      </c>
      <c r="MF275" s="16">
        <v>22368</v>
      </c>
      <c r="MG275" s="16">
        <v>2601</v>
      </c>
      <c r="MH275" s="16">
        <v>218188</v>
      </c>
      <c r="MI275" s="16">
        <v>2340</v>
      </c>
      <c r="MJ275" s="16">
        <v>4947</v>
      </c>
      <c r="MK275" s="16">
        <v>1198</v>
      </c>
      <c r="ML275" s="16">
        <v>873</v>
      </c>
      <c r="MM275" s="16">
        <v>2440</v>
      </c>
      <c r="MN275" s="16">
        <v>4123</v>
      </c>
      <c r="MO275" s="16">
        <v>2232</v>
      </c>
      <c r="MP275" s="16">
        <v>4261</v>
      </c>
      <c r="MQ275" s="16">
        <v>3298</v>
      </c>
      <c r="MR275" s="16">
        <v>74401</v>
      </c>
      <c r="MS275" s="16">
        <v>15900</v>
      </c>
      <c r="MT275" s="16">
        <v>677</v>
      </c>
      <c r="MU275" s="16">
        <v>61092</v>
      </c>
      <c r="MV275" s="16">
        <v>68477</v>
      </c>
      <c r="MW275" s="16">
        <v>177953</v>
      </c>
      <c r="MX275" s="16">
        <v>2241</v>
      </c>
      <c r="MY275" s="16">
        <v>82359</v>
      </c>
      <c r="MZ275" s="16">
        <v>102173</v>
      </c>
      <c r="NA275" s="16">
        <v>3585</v>
      </c>
      <c r="NB275" s="16">
        <v>162266</v>
      </c>
      <c r="NC275" s="16">
        <v>7858</v>
      </c>
      <c r="ND275" s="16">
        <v>974</v>
      </c>
      <c r="NE275" s="16">
        <v>550</v>
      </c>
      <c r="NF275" s="16">
        <v>1655</v>
      </c>
      <c r="NG275" s="16">
        <v>43324</v>
      </c>
      <c r="NH275" s="16">
        <v>17753</v>
      </c>
      <c r="NI275" s="16">
        <v>4504</v>
      </c>
      <c r="NJ275" s="16">
        <v>7534</v>
      </c>
      <c r="NK275" s="16">
        <v>4745</v>
      </c>
      <c r="NL275" s="16">
        <v>659</v>
      </c>
      <c r="NM275" s="16">
        <v>9956</v>
      </c>
      <c r="NN275" s="16">
        <v>604</v>
      </c>
      <c r="NO275" s="16">
        <v>0</v>
      </c>
      <c r="NP275" s="16">
        <v>21557</v>
      </c>
      <c r="NQ275" s="16">
        <v>0</v>
      </c>
      <c r="NR275" s="17">
        <v>33147862</v>
      </c>
    </row>
    <row r="276" spans="1:382" ht="13.5" customHeight="1" x14ac:dyDescent="0.2">
      <c r="A276" s="2" t="s">
        <v>559</v>
      </c>
      <c r="B276" s="16">
        <v>0</v>
      </c>
      <c r="C276" s="16">
        <v>0</v>
      </c>
      <c r="D276" s="16">
        <v>0</v>
      </c>
      <c r="E276" s="16">
        <v>0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732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0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>
        <v>11442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10878</v>
      </c>
      <c r="BE276" s="16">
        <v>0</v>
      </c>
      <c r="BF276" s="16">
        <v>16955</v>
      </c>
      <c r="BG276" s="16">
        <v>0</v>
      </c>
      <c r="BH276" s="16">
        <v>10361</v>
      </c>
      <c r="BI276" s="16">
        <v>0</v>
      </c>
      <c r="BJ276" s="16">
        <v>5233</v>
      </c>
      <c r="BK276" s="16">
        <v>0</v>
      </c>
      <c r="BL276" s="16">
        <v>4506</v>
      </c>
      <c r="BM276" s="16">
        <v>0</v>
      </c>
      <c r="BN276" s="16">
        <v>0</v>
      </c>
      <c r="BO276" s="16">
        <v>251271</v>
      </c>
      <c r="BP276" s="16">
        <v>0</v>
      </c>
      <c r="BQ276" s="16">
        <v>844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4902</v>
      </c>
      <c r="BY276" s="16">
        <v>0</v>
      </c>
      <c r="BZ276" s="16">
        <v>0</v>
      </c>
      <c r="CA276" s="16">
        <v>0</v>
      </c>
      <c r="CB276" s="16">
        <v>0</v>
      </c>
      <c r="CC276" s="16">
        <v>0</v>
      </c>
      <c r="CD276" s="16">
        <v>0</v>
      </c>
      <c r="CE276" s="16">
        <v>0</v>
      </c>
      <c r="CF276" s="16">
        <v>0</v>
      </c>
      <c r="CG276" s="16">
        <v>0</v>
      </c>
      <c r="CH276" s="16">
        <v>0</v>
      </c>
      <c r="CI276" s="16">
        <v>0</v>
      </c>
      <c r="CJ276" s="16">
        <v>276739</v>
      </c>
      <c r="CK276" s="16">
        <v>106080</v>
      </c>
      <c r="CL276" s="16">
        <v>0</v>
      </c>
      <c r="CM276" s="16">
        <v>0</v>
      </c>
      <c r="CN276" s="16">
        <v>0</v>
      </c>
      <c r="CO276" s="16">
        <v>0</v>
      </c>
      <c r="CP276" s="16">
        <v>28276</v>
      </c>
      <c r="CQ276" s="16">
        <v>0</v>
      </c>
      <c r="CR276" s="16">
        <v>0</v>
      </c>
      <c r="CS276" s="16">
        <v>262229</v>
      </c>
      <c r="CT276" s="16">
        <v>222741</v>
      </c>
      <c r="CU276" s="16">
        <v>278874</v>
      </c>
      <c r="CV276" s="16">
        <v>314970</v>
      </c>
      <c r="CW276" s="16">
        <v>310535</v>
      </c>
      <c r="CX276" s="16">
        <v>131460</v>
      </c>
      <c r="CY276" s="16">
        <v>37127</v>
      </c>
      <c r="CZ276" s="16">
        <v>0</v>
      </c>
      <c r="DA276" s="16">
        <v>0</v>
      </c>
      <c r="DB276" s="16">
        <v>17730</v>
      </c>
      <c r="DC276" s="16">
        <v>3309</v>
      </c>
      <c r="DD276" s="16">
        <v>73562</v>
      </c>
      <c r="DE276" s="16">
        <v>399122</v>
      </c>
      <c r="DF276" s="16">
        <v>379129</v>
      </c>
      <c r="DG276" s="16">
        <v>0</v>
      </c>
      <c r="DH276" s="16">
        <v>16132</v>
      </c>
      <c r="DI276" s="16">
        <v>22935</v>
      </c>
      <c r="DJ276" s="16">
        <v>656465</v>
      </c>
      <c r="DK276" s="16">
        <v>105057</v>
      </c>
      <c r="DL276" s="16">
        <v>19472</v>
      </c>
      <c r="DM276" s="16">
        <v>20734</v>
      </c>
      <c r="DN276" s="16">
        <v>43344</v>
      </c>
      <c r="DO276" s="16">
        <v>317</v>
      </c>
      <c r="DP276" s="16">
        <v>1660</v>
      </c>
      <c r="DQ276" s="16">
        <v>0</v>
      </c>
      <c r="DR276" s="16">
        <v>4108</v>
      </c>
      <c r="DS276" s="16">
        <v>0</v>
      </c>
      <c r="DT276" s="16">
        <v>0</v>
      </c>
      <c r="DU276" s="16">
        <v>6477</v>
      </c>
      <c r="DV276" s="16">
        <v>92424</v>
      </c>
      <c r="DW276" s="16">
        <v>101</v>
      </c>
      <c r="DX276" s="16">
        <v>0</v>
      </c>
      <c r="DY276" s="16">
        <v>0</v>
      </c>
      <c r="DZ276" s="16">
        <v>0</v>
      </c>
      <c r="EA276" s="16">
        <v>0</v>
      </c>
      <c r="EB276" s="16">
        <v>0</v>
      </c>
      <c r="EC276" s="16">
        <v>0</v>
      </c>
      <c r="ED276" s="16">
        <v>0</v>
      </c>
      <c r="EE276" s="16">
        <v>0</v>
      </c>
      <c r="EF276" s="16">
        <v>0</v>
      </c>
      <c r="EG276" s="16">
        <v>0</v>
      </c>
      <c r="EH276" s="16">
        <v>0</v>
      </c>
      <c r="EI276" s="16">
        <v>0</v>
      </c>
      <c r="EJ276" s="16">
        <v>0</v>
      </c>
      <c r="EK276" s="16">
        <v>0</v>
      </c>
      <c r="EL276" s="16">
        <v>0</v>
      </c>
      <c r="EM276" s="16">
        <v>0</v>
      </c>
      <c r="EN276" s="16">
        <v>0</v>
      </c>
      <c r="EO276" s="16">
        <v>0</v>
      </c>
      <c r="EP276" s="16">
        <v>0</v>
      </c>
      <c r="EQ276" s="16">
        <v>0</v>
      </c>
      <c r="ER276" s="16">
        <v>0</v>
      </c>
      <c r="ES276" s="16">
        <v>0</v>
      </c>
      <c r="ET276" s="16">
        <v>0</v>
      </c>
      <c r="EU276" s="16">
        <v>0</v>
      </c>
      <c r="EV276" s="16">
        <v>0</v>
      </c>
      <c r="EW276" s="16">
        <v>0</v>
      </c>
      <c r="EX276" s="16">
        <v>0</v>
      </c>
      <c r="EY276" s="16">
        <v>0</v>
      </c>
      <c r="EZ276" s="16">
        <v>0</v>
      </c>
      <c r="FA276" s="16">
        <v>0</v>
      </c>
      <c r="FB276" s="16">
        <v>0</v>
      </c>
      <c r="FC276" s="16">
        <v>0</v>
      </c>
      <c r="FD276" s="16">
        <v>0</v>
      </c>
      <c r="FE276" s="16">
        <v>0</v>
      </c>
      <c r="FF276" s="16">
        <v>0</v>
      </c>
      <c r="FG276" s="16">
        <v>0</v>
      </c>
      <c r="FH276" s="16">
        <v>0</v>
      </c>
      <c r="FI276" s="16">
        <v>0</v>
      </c>
      <c r="FJ276" s="16">
        <v>0</v>
      </c>
      <c r="FK276" s="16">
        <v>0</v>
      </c>
      <c r="FL276" s="16">
        <v>0</v>
      </c>
      <c r="FM276" s="16">
        <v>0</v>
      </c>
      <c r="FN276" s="16">
        <v>0</v>
      </c>
      <c r="FO276" s="16">
        <v>0</v>
      </c>
      <c r="FP276" s="16">
        <v>0</v>
      </c>
      <c r="FQ276" s="16">
        <v>0</v>
      </c>
      <c r="FR276" s="16">
        <v>0</v>
      </c>
      <c r="FS276" s="16">
        <v>0</v>
      </c>
      <c r="FT276" s="16">
        <v>0</v>
      </c>
      <c r="FU276" s="16">
        <v>0</v>
      </c>
      <c r="FV276" s="16">
        <v>0</v>
      </c>
      <c r="FW276" s="16">
        <v>0</v>
      </c>
      <c r="FX276" s="16">
        <v>0</v>
      </c>
      <c r="FY276" s="16">
        <v>0</v>
      </c>
      <c r="FZ276" s="16">
        <v>0</v>
      </c>
      <c r="GA276" s="16">
        <v>0</v>
      </c>
      <c r="GB276" s="16">
        <v>0</v>
      </c>
      <c r="GC276" s="16">
        <v>0</v>
      </c>
      <c r="GD276" s="16">
        <v>0</v>
      </c>
      <c r="GE276" s="16">
        <v>0</v>
      </c>
      <c r="GF276" s="16">
        <v>52059</v>
      </c>
      <c r="GG276" s="16">
        <v>27</v>
      </c>
      <c r="GH276" s="16">
        <v>303</v>
      </c>
      <c r="GI276" s="16">
        <v>0</v>
      </c>
      <c r="GJ276" s="16">
        <v>0</v>
      </c>
      <c r="GK276" s="16">
        <v>1997</v>
      </c>
      <c r="GL276" s="16">
        <v>1</v>
      </c>
      <c r="GM276" s="16">
        <v>73</v>
      </c>
      <c r="GN276" s="16">
        <v>8</v>
      </c>
      <c r="GO276" s="16">
        <v>519</v>
      </c>
      <c r="GP276" s="16">
        <v>4</v>
      </c>
      <c r="GQ276" s="16">
        <v>1</v>
      </c>
      <c r="GR276" s="16">
        <v>829</v>
      </c>
      <c r="GS276" s="16">
        <v>2701</v>
      </c>
      <c r="GT276" s="16">
        <v>2628</v>
      </c>
      <c r="GU276" s="16">
        <v>0</v>
      </c>
      <c r="GV276" s="16">
        <v>0</v>
      </c>
      <c r="GW276" s="16">
        <v>0</v>
      </c>
      <c r="GX276" s="16">
        <v>249</v>
      </c>
      <c r="GY276" s="16">
        <v>0</v>
      </c>
      <c r="GZ276" s="16">
        <v>0</v>
      </c>
      <c r="HA276" s="16">
        <v>0</v>
      </c>
      <c r="HB276" s="16">
        <v>0</v>
      </c>
      <c r="HC276" s="16">
        <v>0</v>
      </c>
      <c r="HD276" s="16">
        <v>0</v>
      </c>
      <c r="HE276" s="16">
        <v>0</v>
      </c>
      <c r="HF276" s="16">
        <v>0</v>
      </c>
      <c r="HG276" s="16">
        <v>0</v>
      </c>
      <c r="HH276" s="16">
        <v>0</v>
      </c>
      <c r="HI276" s="16">
        <v>0</v>
      </c>
      <c r="HJ276" s="16">
        <v>0</v>
      </c>
      <c r="HK276" s="16">
        <v>0</v>
      </c>
      <c r="HL276" s="16">
        <v>0</v>
      </c>
      <c r="HM276" s="16">
        <v>0</v>
      </c>
      <c r="HN276" s="16">
        <v>0</v>
      </c>
      <c r="HO276" s="16">
        <v>0</v>
      </c>
      <c r="HP276" s="16">
        <v>0</v>
      </c>
      <c r="HQ276" s="16">
        <v>26089</v>
      </c>
      <c r="HR276" s="16">
        <v>0</v>
      </c>
      <c r="HS276" s="16">
        <v>0</v>
      </c>
      <c r="HT276" s="16">
        <v>0</v>
      </c>
      <c r="HU276" s="16">
        <v>0</v>
      </c>
      <c r="HV276" s="16">
        <v>0</v>
      </c>
      <c r="HW276" s="16">
        <v>0</v>
      </c>
      <c r="HX276" s="16">
        <v>0</v>
      </c>
      <c r="HY276" s="16">
        <v>0</v>
      </c>
      <c r="HZ276" s="16">
        <v>0</v>
      </c>
      <c r="IA276" s="16">
        <v>0</v>
      </c>
      <c r="IB276" s="16">
        <v>0</v>
      </c>
      <c r="IC276" s="16">
        <v>0</v>
      </c>
      <c r="ID276" s="16">
        <v>0</v>
      </c>
      <c r="IE276" s="16">
        <v>0</v>
      </c>
      <c r="IF276" s="16">
        <v>0</v>
      </c>
      <c r="IG276" s="16">
        <v>0</v>
      </c>
      <c r="IH276" s="16">
        <v>0</v>
      </c>
      <c r="II276" s="16">
        <v>0</v>
      </c>
      <c r="IJ276" s="16">
        <v>0</v>
      </c>
      <c r="IK276" s="16">
        <v>0</v>
      </c>
      <c r="IL276" s="16">
        <v>0</v>
      </c>
      <c r="IM276" s="16">
        <v>0</v>
      </c>
      <c r="IN276" s="16">
        <v>0</v>
      </c>
      <c r="IO276" s="16">
        <v>0</v>
      </c>
      <c r="IP276" s="16">
        <v>0</v>
      </c>
      <c r="IQ276" s="16">
        <v>0</v>
      </c>
      <c r="IR276" s="16">
        <v>0</v>
      </c>
      <c r="IS276" s="16">
        <v>0</v>
      </c>
      <c r="IT276" s="16">
        <v>0</v>
      </c>
      <c r="IU276" s="16">
        <v>0</v>
      </c>
      <c r="IV276" s="16">
        <v>0</v>
      </c>
      <c r="IW276" s="16">
        <v>0</v>
      </c>
      <c r="IX276" s="16">
        <v>0</v>
      </c>
      <c r="IY276" s="16">
        <v>0</v>
      </c>
      <c r="IZ276" s="16">
        <v>0</v>
      </c>
      <c r="JA276" s="16">
        <v>0</v>
      </c>
      <c r="JB276" s="16">
        <v>0</v>
      </c>
      <c r="JC276" s="16">
        <v>0</v>
      </c>
      <c r="JD276" s="16">
        <v>0</v>
      </c>
      <c r="JE276" s="16">
        <v>0</v>
      </c>
      <c r="JF276" s="16">
        <v>0</v>
      </c>
      <c r="JG276" s="16">
        <v>389559</v>
      </c>
      <c r="JH276" s="16">
        <v>0</v>
      </c>
      <c r="JI276" s="16">
        <v>0</v>
      </c>
      <c r="JJ276" s="16">
        <v>0</v>
      </c>
      <c r="JK276" s="16">
        <v>0</v>
      </c>
      <c r="JL276" s="16">
        <v>0</v>
      </c>
      <c r="JM276" s="16">
        <v>0</v>
      </c>
      <c r="JN276" s="16">
        <v>0</v>
      </c>
      <c r="JO276" s="16">
        <v>0</v>
      </c>
      <c r="JP276" s="16">
        <v>2702739</v>
      </c>
      <c r="JQ276" s="16">
        <v>0</v>
      </c>
      <c r="JR276" s="16">
        <v>0</v>
      </c>
      <c r="JS276" s="16">
        <v>0</v>
      </c>
      <c r="JT276" s="16">
        <v>0</v>
      </c>
      <c r="JU276" s="16">
        <v>0</v>
      </c>
      <c r="JV276" s="16">
        <v>1531</v>
      </c>
      <c r="JW276" s="16">
        <v>24891</v>
      </c>
      <c r="JX276" s="16">
        <v>34552</v>
      </c>
      <c r="JY276" s="16">
        <v>0</v>
      </c>
      <c r="JZ276" s="16">
        <v>20</v>
      </c>
      <c r="KA276" s="16">
        <v>502</v>
      </c>
      <c r="KB276" s="16">
        <v>60</v>
      </c>
      <c r="KC276" s="16">
        <v>0</v>
      </c>
      <c r="KD276" s="16">
        <v>0</v>
      </c>
      <c r="KE276" s="16">
        <v>0</v>
      </c>
      <c r="KF276" s="16">
        <v>41</v>
      </c>
      <c r="KG276" s="16">
        <v>1311</v>
      </c>
      <c r="KH276" s="16">
        <v>0</v>
      </c>
      <c r="KI276" s="16">
        <v>66</v>
      </c>
      <c r="KJ276" s="16">
        <v>11</v>
      </c>
      <c r="KK276" s="16">
        <v>272249</v>
      </c>
      <c r="KL276" s="16">
        <v>0</v>
      </c>
      <c r="KM276" s="16">
        <v>447</v>
      </c>
      <c r="KN276" s="16">
        <v>2197</v>
      </c>
      <c r="KO276" s="16">
        <v>13</v>
      </c>
      <c r="KP276" s="16">
        <v>48</v>
      </c>
      <c r="KQ276" s="16">
        <v>1033</v>
      </c>
      <c r="KR276" s="16">
        <v>15</v>
      </c>
      <c r="KS276" s="16">
        <v>0</v>
      </c>
      <c r="KT276" s="16">
        <v>0</v>
      </c>
      <c r="KU276" s="16">
        <v>3287</v>
      </c>
      <c r="KV276" s="16">
        <v>36329</v>
      </c>
      <c r="KW276" s="16">
        <v>4654</v>
      </c>
      <c r="KX276" s="16">
        <v>0</v>
      </c>
      <c r="KY276" s="16">
        <v>0</v>
      </c>
      <c r="KZ276" s="16">
        <v>37910</v>
      </c>
      <c r="LA276" s="16">
        <v>8915</v>
      </c>
      <c r="LB276" s="16">
        <v>1244</v>
      </c>
      <c r="LC276" s="16">
        <v>6734</v>
      </c>
      <c r="LD276" s="16">
        <v>5128</v>
      </c>
      <c r="LE276" s="16">
        <v>68</v>
      </c>
      <c r="LF276" s="16">
        <v>0</v>
      </c>
      <c r="LG276" s="16">
        <v>0</v>
      </c>
      <c r="LH276" s="16">
        <v>0</v>
      </c>
      <c r="LI276" s="16">
        <v>0</v>
      </c>
      <c r="LJ276" s="16">
        <v>2042</v>
      </c>
      <c r="LK276" s="16">
        <v>61</v>
      </c>
      <c r="LL276" s="16">
        <v>0</v>
      </c>
      <c r="LM276" s="16">
        <v>0</v>
      </c>
      <c r="LN276" s="16">
        <v>0</v>
      </c>
      <c r="LO276" s="16">
        <v>0</v>
      </c>
      <c r="LP276" s="16">
        <v>135</v>
      </c>
      <c r="LQ276" s="16">
        <v>0</v>
      </c>
      <c r="LR276" s="16">
        <v>14779</v>
      </c>
      <c r="LS276" s="16">
        <v>106</v>
      </c>
      <c r="LT276" s="16">
        <v>11393</v>
      </c>
      <c r="LU276" s="16">
        <v>27993</v>
      </c>
      <c r="LV276" s="16">
        <v>163</v>
      </c>
      <c r="LW276" s="16">
        <v>2726</v>
      </c>
      <c r="LX276" s="16">
        <v>17897</v>
      </c>
      <c r="LY276" s="16">
        <v>0</v>
      </c>
      <c r="LZ276" s="16">
        <v>11541</v>
      </c>
      <c r="MA276" s="16">
        <v>12990</v>
      </c>
      <c r="MB276" s="16">
        <v>0</v>
      </c>
      <c r="MC276" s="16">
        <v>0</v>
      </c>
      <c r="MD276" s="16">
        <v>0</v>
      </c>
      <c r="ME276" s="16">
        <v>0</v>
      </c>
      <c r="MF276" s="16">
        <v>0</v>
      </c>
      <c r="MG276" s="16">
        <v>0</v>
      </c>
      <c r="MH276" s="16">
        <v>186261</v>
      </c>
      <c r="MI276" s="16">
        <v>0</v>
      </c>
      <c r="MJ276" s="16">
        <v>76</v>
      </c>
      <c r="MK276" s="16">
        <v>464</v>
      </c>
      <c r="ML276" s="16">
        <v>0</v>
      </c>
      <c r="MM276" s="16">
        <v>2438</v>
      </c>
      <c r="MN276" s="16">
        <v>0</v>
      </c>
      <c r="MO276" s="16">
        <v>0</v>
      </c>
      <c r="MP276" s="16">
        <v>3210</v>
      </c>
      <c r="MQ276" s="16">
        <v>3689</v>
      </c>
      <c r="MR276" s="16">
        <v>7352</v>
      </c>
      <c r="MS276" s="16">
        <v>2517</v>
      </c>
      <c r="MT276" s="16">
        <v>0</v>
      </c>
      <c r="MU276" s="16">
        <v>238090</v>
      </c>
      <c r="MV276" s="16">
        <v>4984</v>
      </c>
      <c r="MW276" s="16">
        <v>0</v>
      </c>
      <c r="MX276" s="16">
        <v>0</v>
      </c>
      <c r="MY276" s="16">
        <v>0</v>
      </c>
      <c r="MZ276" s="16">
        <v>3247</v>
      </c>
      <c r="NA276" s="16">
        <v>25136</v>
      </c>
      <c r="NB276" s="16">
        <v>20800</v>
      </c>
      <c r="NC276" s="16">
        <v>0</v>
      </c>
      <c r="ND276" s="16">
        <v>893</v>
      </c>
      <c r="NE276" s="16">
        <v>0</v>
      </c>
      <c r="NF276" s="16">
        <v>648</v>
      </c>
      <c r="NG276" s="16">
        <v>158</v>
      </c>
      <c r="NH276" s="16">
        <v>1011</v>
      </c>
      <c r="NI276" s="16">
        <v>90</v>
      </c>
      <c r="NJ276" s="16">
        <v>101774</v>
      </c>
      <c r="NK276" s="16">
        <v>0</v>
      </c>
      <c r="NL276" s="16">
        <v>0</v>
      </c>
      <c r="NM276" s="16">
        <v>16450</v>
      </c>
      <c r="NN276" s="16">
        <v>0</v>
      </c>
      <c r="NO276" s="16">
        <v>0</v>
      </c>
      <c r="NP276" s="16">
        <v>56129</v>
      </c>
      <c r="NQ276" s="16">
        <v>9</v>
      </c>
      <c r="NR276" s="17">
        <v>8548527</v>
      </c>
    </row>
    <row r="277" spans="1:382" ht="13.5" customHeight="1" x14ac:dyDescent="0.2">
      <c r="A277" s="2" t="s">
        <v>561</v>
      </c>
      <c r="B277" s="16">
        <v>16</v>
      </c>
      <c r="C277" s="16">
        <v>0</v>
      </c>
      <c r="D277" s="16">
        <v>0</v>
      </c>
      <c r="E277" s="16">
        <v>0</v>
      </c>
      <c r="F277" s="16">
        <v>59</v>
      </c>
      <c r="G277" s="16">
        <v>44</v>
      </c>
      <c r="H277" s="16">
        <v>9</v>
      </c>
      <c r="I277" s="16">
        <v>388</v>
      </c>
      <c r="J277" s="16">
        <v>0</v>
      </c>
      <c r="K277" s="16">
        <v>0</v>
      </c>
      <c r="L277" s="16">
        <v>19</v>
      </c>
      <c r="M277" s="16">
        <v>0</v>
      </c>
      <c r="N277" s="16">
        <v>0</v>
      </c>
      <c r="O277" s="16">
        <v>158</v>
      </c>
      <c r="P277" s="16">
        <v>1218</v>
      </c>
      <c r="Q277" s="16">
        <v>7279</v>
      </c>
      <c r="R277" s="16">
        <v>9257</v>
      </c>
      <c r="S277" s="16">
        <v>749</v>
      </c>
      <c r="T277" s="16">
        <v>149</v>
      </c>
      <c r="U277" s="16">
        <v>34</v>
      </c>
      <c r="V277" s="16">
        <v>44</v>
      </c>
      <c r="W277" s="16">
        <v>2</v>
      </c>
      <c r="X277" s="16">
        <v>1614</v>
      </c>
      <c r="Y277" s="16">
        <v>7497</v>
      </c>
      <c r="Z277" s="16">
        <v>7200</v>
      </c>
      <c r="AA277" s="16">
        <v>50</v>
      </c>
      <c r="AB277" s="16">
        <v>0</v>
      </c>
      <c r="AC277" s="16">
        <v>0</v>
      </c>
      <c r="AD277" s="16">
        <v>0</v>
      </c>
      <c r="AE277" s="16">
        <v>1</v>
      </c>
      <c r="AF277" s="16">
        <v>0</v>
      </c>
      <c r="AG277" s="16">
        <v>8438</v>
      </c>
      <c r="AH277" s="16">
        <v>184</v>
      </c>
      <c r="AI277" s="16">
        <v>5</v>
      </c>
      <c r="AJ277" s="16">
        <v>17889</v>
      </c>
      <c r="AK277" s="16">
        <v>5013</v>
      </c>
      <c r="AL277" s="16">
        <v>54</v>
      </c>
      <c r="AM277" s="16">
        <v>535</v>
      </c>
      <c r="AN277" s="16">
        <v>662</v>
      </c>
      <c r="AO277" s="16">
        <v>2070</v>
      </c>
      <c r="AP277" s="16">
        <v>0</v>
      </c>
      <c r="AQ277" s="16">
        <v>0</v>
      </c>
      <c r="AR277" s="16">
        <v>0</v>
      </c>
      <c r="AS277" s="16">
        <v>1</v>
      </c>
      <c r="AT277" s="16">
        <v>29</v>
      </c>
      <c r="AU277" s="16">
        <v>183</v>
      </c>
      <c r="AV277" s="16">
        <v>219</v>
      </c>
      <c r="AW277" s="16">
        <v>1106</v>
      </c>
      <c r="AX277" s="16">
        <v>383</v>
      </c>
      <c r="AY277" s="16">
        <v>31</v>
      </c>
      <c r="AZ277" s="16">
        <v>981</v>
      </c>
      <c r="BA277" s="16">
        <v>879</v>
      </c>
      <c r="BB277" s="16">
        <v>461</v>
      </c>
      <c r="BC277" s="16">
        <v>2352</v>
      </c>
      <c r="BD277" s="16">
        <v>302</v>
      </c>
      <c r="BE277" s="16">
        <v>113</v>
      </c>
      <c r="BF277" s="16">
        <v>671</v>
      </c>
      <c r="BG277" s="16">
        <v>319</v>
      </c>
      <c r="BH277" s="16">
        <v>3104</v>
      </c>
      <c r="BI277" s="16">
        <v>172</v>
      </c>
      <c r="BJ277" s="16">
        <v>101</v>
      </c>
      <c r="BK277" s="16">
        <v>515</v>
      </c>
      <c r="BL277" s="16">
        <v>1014</v>
      </c>
      <c r="BM277" s="16">
        <v>181</v>
      </c>
      <c r="BN277" s="16">
        <v>88</v>
      </c>
      <c r="BO277" s="16">
        <v>51495</v>
      </c>
      <c r="BP277" s="16">
        <v>1325</v>
      </c>
      <c r="BQ277" s="16">
        <v>123</v>
      </c>
      <c r="BR277" s="16">
        <v>179</v>
      </c>
      <c r="BS277" s="16">
        <v>486</v>
      </c>
      <c r="BT277" s="16">
        <v>25</v>
      </c>
      <c r="BU277" s="16">
        <v>1</v>
      </c>
      <c r="BV277" s="16">
        <v>13</v>
      </c>
      <c r="BW277" s="16">
        <v>314</v>
      </c>
      <c r="BX277" s="16">
        <v>112</v>
      </c>
      <c r="BY277" s="16">
        <v>0</v>
      </c>
      <c r="BZ277" s="16">
        <v>302</v>
      </c>
      <c r="CA277" s="16">
        <v>30</v>
      </c>
      <c r="CB277" s="16">
        <v>17</v>
      </c>
      <c r="CC277" s="16">
        <v>715</v>
      </c>
      <c r="CD277" s="16">
        <v>326</v>
      </c>
      <c r="CE277" s="16">
        <v>235</v>
      </c>
      <c r="CF277" s="16">
        <v>334</v>
      </c>
      <c r="CG277" s="16">
        <v>186</v>
      </c>
      <c r="CH277" s="16">
        <v>754</v>
      </c>
      <c r="CI277" s="16">
        <v>198</v>
      </c>
      <c r="CJ277" s="16">
        <v>742</v>
      </c>
      <c r="CK277" s="16">
        <v>715</v>
      </c>
      <c r="CL277" s="16">
        <v>319</v>
      </c>
      <c r="CM277" s="16">
        <v>610</v>
      </c>
      <c r="CN277" s="16">
        <v>41</v>
      </c>
      <c r="CO277" s="16">
        <v>184</v>
      </c>
      <c r="CP277" s="16">
        <v>289</v>
      </c>
      <c r="CQ277" s="16">
        <v>1363</v>
      </c>
      <c r="CR277" s="16">
        <v>180</v>
      </c>
      <c r="CS277" s="16">
        <v>1138</v>
      </c>
      <c r="CT277" s="16">
        <v>692</v>
      </c>
      <c r="CU277" s="16">
        <v>1083</v>
      </c>
      <c r="CV277" s="16">
        <v>1796</v>
      </c>
      <c r="CW277" s="16">
        <v>2236</v>
      </c>
      <c r="CX277" s="16">
        <v>3199</v>
      </c>
      <c r="CY277" s="16">
        <v>589</v>
      </c>
      <c r="CZ277" s="16">
        <v>133</v>
      </c>
      <c r="DA277" s="16">
        <v>31</v>
      </c>
      <c r="DB277" s="16">
        <v>218</v>
      </c>
      <c r="DC277" s="16">
        <v>27</v>
      </c>
      <c r="DD277" s="16">
        <v>530</v>
      </c>
      <c r="DE277" s="16">
        <v>194</v>
      </c>
      <c r="DF277" s="16">
        <v>626</v>
      </c>
      <c r="DG277" s="16">
        <v>805</v>
      </c>
      <c r="DH277" s="16">
        <v>780</v>
      </c>
      <c r="DI277" s="16">
        <v>446</v>
      </c>
      <c r="DJ277" s="16">
        <v>3812</v>
      </c>
      <c r="DK277" s="16">
        <v>195</v>
      </c>
      <c r="DL277" s="16">
        <v>228</v>
      </c>
      <c r="DM277" s="16">
        <v>1788</v>
      </c>
      <c r="DN277" s="16">
        <v>163</v>
      </c>
      <c r="DO277" s="16">
        <v>666</v>
      </c>
      <c r="DP277" s="16">
        <v>192</v>
      </c>
      <c r="DQ277" s="16">
        <v>39</v>
      </c>
      <c r="DR277" s="16">
        <v>810</v>
      </c>
      <c r="DS277" s="16">
        <v>582</v>
      </c>
      <c r="DT277" s="16">
        <v>102</v>
      </c>
      <c r="DU277" s="16">
        <v>117</v>
      </c>
      <c r="DV277" s="16">
        <v>924</v>
      </c>
      <c r="DW277" s="16">
        <v>793</v>
      </c>
      <c r="DX277" s="16">
        <v>1388</v>
      </c>
      <c r="DY277" s="16">
        <v>1343</v>
      </c>
      <c r="DZ277" s="16">
        <v>7736</v>
      </c>
      <c r="EA277" s="16">
        <v>2294</v>
      </c>
      <c r="EB277" s="16">
        <v>142</v>
      </c>
      <c r="EC277" s="16">
        <v>265</v>
      </c>
      <c r="ED277" s="16">
        <v>59</v>
      </c>
      <c r="EE277" s="16">
        <v>88</v>
      </c>
      <c r="EF277" s="16">
        <v>101</v>
      </c>
      <c r="EG277" s="16">
        <v>1041</v>
      </c>
      <c r="EH277" s="16">
        <v>150</v>
      </c>
      <c r="EI277" s="16">
        <v>517</v>
      </c>
      <c r="EJ277" s="16">
        <v>416</v>
      </c>
      <c r="EK277" s="16">
        <v>61</v>
      </c>
      <c r="EL277" s="16">
        <v>74</v>
      </c>
      <c r="EM277" s="16">
        <v>365</v>
      </c>
      <c r="EN277" s="16">
        <v>5557</v>
      </c>
      <c r="EO277" s="16">
        <v>2281</v>
      </c>
      <c r="EP277" s="16">
        <v>31</v>
      </c>
      <c r="EQ277" s="16">
        <v>588</v>
      </c>
      <c r="ER277" s="16">
        <v>104</v>
      </c>
      <c r="ES277" s="16">
        <v>85</v>
      </c>
      <c r="ET277" s="16">
        <v>431</v>
      </c>
      <c r="EU277" s="16">
        <v>5</v>
      </c>
      <c r="EV277" s="16">
        <v>64</v>
      </c>
      <c r="EW277" s="16">
        <v>99</v>
      </c>
      <c r="EX277" s="16">
        <v>20024</v>
      </c>
      <c r="EY277" s="16">
        <v>2425</v>
      </c>
      <c r="EZ277" s="16">
        <v>825</v>
      </c>
      <c r="FA277" s="16">
        <v>491</v>
      </c>
      <c r="FB277" s="16">
        <v>1804</v>
      </c>
      <c r="FC277" s="16">
        <v>37</v>
      </c>
      <c r="FD277" s="16">
        <v>15405</v>
      </c>
      <c r="FE277" s="16">
        <v>1164</v>
      </c>
      <c r="FF277" s="16">
        <v>1347</v>
      </c>
      <c r="FG277" s="16">
        <v>16150</v>
      </c>
      <c r="FH277" s="16">
        <v>1</v>
      </c>
      <c r="FI277" s="16">
        <v>352</v>
      </c>
      <c r="FJ277" s="16">
        <v>30</v>
      </c>
      <c r="FK277" s="16">
        <v>375</v>
      </c>
      <c r="FL277" s="16">
        <v>3</v>
      </c>
      <c r="FM277" s="16">
        <v>598</v>
      </c>
      <c r="FN277" s="16">
        <v>414</v>
      </c>
      <c r="FO277" s="16">
        <v>140</v>
      </c>
      <c r="FP277" s="16">
        <v>1112</v>
      </c>
      <c r="FQ277" s="16">
        <v>6947</v>
      </c>
      <c r="FR277" s="16">
        <v>421</v>
      </c>
      <c r="FS277" s="16">
        <v>4538</v>
      </c>
      <c r="FT277" s="16">
        <v>233</v>
      </c>
      <c r="FU277" s="16">
        <v>3850</v>
      </c>
      <c r="FV277" s="16">
        <v>5904</v>
      </c>
      <c r="FW277" s="16">
        <v>23090</v>
      </c>
      <c r="FX277" s="16">
        <v>4020</v>
      </c>
      <c r="FY277" s="16">
        <v>348</v>
      </c>
      <c r="FZ277" s="16">
        <v>2606</v>
      </c>
      <c r="GA277" s="16">
        <v>141</v>
      </c>
      <c r="GB277" s="16">
        <v>1288</v>
      </c>
      <c r="GC277" s="16">
        <v>228</v>
      </c>
      <c r="GD277" s="16">
        <v>430</v>
      </c>
      <c r="GE277" s="16">
        <v>64</v>
      </c>
      <c r="GF277" s="16">
        <v>383</v>
      </c>
      <c r="GG277" s="16">
        <v>116</v>
      </c>
      <c r="GH277" s="16">
        <v>2112</v>
      </c>
      <c r="GI277" s="16">
        <v>606</v>
      </c>
      <c r="GJ277" s="16">
        <v>630</v>
      </c>
      <c r="GK277" s="16">
        <v>297</v>
      </c>
      <c r="GL277" s="16">
        <v>2</v>
      </c>
      <c r="GM277" s="16">
        <v>305</v>
      </c>
      <c r="GN277" s="16">
        <v>24</v>
      </c>
      <c r="GO277" s="16">
        <v>338</v>
      </c>
      <c r="GP277" s="16">
        <v>206</v>
      </c>
      <c r="GQ277" s="16">
        <v>30</v>
      </c>
      <c r="GR277" s="16">
        <v>170</v>
      </c>
      <c r="GS277" s="16">
        <v>89</v>
      </c>
      <c r="GT277" s="16">
        <v>86</v>
      </c>
      <c r="GU277" s="16">
        <v>226</v>
      </c>
      <c r="GV277" s="16">
        <v>242</v>
      </c>
      <c r="GW277" s="16">
        <v>343</v>
      </c>
      <c r="GX277" s="16">
        <v>354</v>
      </c>
      <c r="GY277" s="16">
        <v>3</v>
      </c>
      <c r="GZ277" s="16">
        <v>550</v>
      </c>
      <c r="HA277" s="16">
        <v>166</v>
      </c>
      <c r="HB277" s="16">
        <v>206</v>
      </c>
      <c r="HC277" s="16">
        <v>306</v>
      </c>
      <c r="HD277" s="16">
        <v>442</v>
      </c>
      <c r="HE277" s="16">
        <v>504</v>
      </c>
      <c r="HF277" s="16">
        <v>1818</v>
      </c>
      <c r="HG277" s="16">
        <v>117</v>
      </c>
      <c r="HH277" s="16">
        <v>83</v>
      </c>
      <c r="HI277" s="16">
        <v>404</v>
      </c>
      <c r="HJ277" s="16">
        <v>70</v>
      </c>
      <c r="HK277" s="16">
        <v>262</v>
      </c>
      <c r="HL277" s="16">
        <v>1128</v>
      </c>
      <c r="HM277" s="16">
        <v>760</v>
      </c>
      <c r="HN277" s="16">
        <v>1076</v>
      </c>
      <c r="HO277" s="16">
        <v>346</v>
      </c>
      <c r="HP277" s="16">
        <v>252</v>
      </c>
      <c r="HQ277" s="16">
        <v>1461</v>
      </c>
      <c r="HR277" s="16">
        <v>3569</v>
      </c>
      <c r="HS277" s="16">
        <v>364</v>
      </c>
      <c r="HT277" s="16">
        <v>20</v>
      </c>
      <c r="HU277" s="16">
        <v>1983</v>
      </c>
      <c r="HV277" s="16">
        <v>247</v>
      </c>
      <c r="HW277" s="16">
        <v>543</v>
      </c>
      <c r="HX277" s="16">
        <v>309</v>
      </c>
      <c r="HY277" s="16">
        <v>1189</v>
      </c>
      <c r="HZ277" s="16">
        <v>626</v>
      </c>
      <c r="IA277" s="16">
        <v>517</v>
      </c>
      <c r="IB277" s="16">
        <v>370</v>
      </c>
      <c r="IC277" s="16">
        <v>62</v>
      </c>
      <c r="ID277" s="16">
        <v>64</v>
      </c>
      <c r="IE277" s="16">
        <v>47</v>
      </c>
      <c r="IF277" s="16">
        <v>74</v>
      </c>
      <c r="IG277" s="16">
        <v>354</v>
      </c>
      <c r="IH277" s="16">
        <v>3676</v>
      </c>
      <c r="II277" s="16">
        <v>133</v>
      </c>
      <c r="IJ277" s="16">
        <v>44</v>
      </c>
      <c r="IK277" s="16">
        <v>50</v>
      </c>
      <c r="IL277" s="16">
        <v>157</v>
      </c>
      <c r="IM277" s="16">
        <v>187</v>
      </c>
      <c r="IN277" s="16">
        <v>12396</v>
      </c>
      <c r="IO277" s="16">
        <v>2466</v>
      </c>
      <c r="IP277" s="16">
        <v>143</v>
      </c>
      <c r="IQ277" s="16">
        <v>525</v>
      </c>
      <c r="IR277" s="16">
        <v>725</v>
      </c>
      <c r="IS277" s="16">
        <v>372</v>
      </c>
      <c r="IT277" s="16">
        <v>56</v>
      </c>
      <c r="IU277" s="16">
        <v>43</v>
      </c>
      <c r="IV277" s="16">
        <v>459</v>
      </c>
      <c r="IW277" s="16">
        <v>903</v>
      </c>
      <c r="IX277" s="16">
        <v>720</v>
      </c>
      <c r="IY277" s="16">
        <v>47</v>
      </c>
      <c r="IZ277" s="16">
        <v>32</v>
      </c>
      <c r="JA277" s="16">
        <v>638</v>
      </c>
      <c r="JB277" s="16">
        <v>96</v>
      </c>
      <c r="JC277" s="16">
        <v>59</v>
      </c>
      <c r="JD277" s="16">
        <v>107</v>
      </c>
      <c r="JE277" s="16">
        <v>589</v>
      </c>
      <c r="JF277" s="16">
        <v>640</v>
      </c>
      <c r="JG277" s="16">
        <v>27474</v>
      </c>
      <c r="JH277" s="16">
        <v>1946</v>
      </c>
      <c r="JI277" s="16">
        <v>5358</v>
      </c>
      <c r="JJ277" s="16">
        <v>2495</v>
      </c>
      <c r="JK277" s="16">
        <v>1078</v>
      </c>
      <c r="JL277" s="16">
        <v>13</v>
      </c>
      <c r="JM277" s="16">
        <v>0</v>
      </c>
      <c r="JN277" s="16">
        <v>0</v>
      </c>
      <c r="JO277" s="16">
        <v>62</v>
      </c>
      <c r="JP277" s="16">
        <v>4427</v>
      </c>
      <c r="JQ277" s="16">
        <v>13354</v>
      </c>
      <c r="JR277" s="16">
        <v>12351</v>
      </c>
      <c r="JS277" s="16">
        <v>1231</v>
      </c>
      <c r="JT277" s="16">
        <v>0</v>
      </c>
      <c r="JU277" s="16">
        <v>18046</v>
      </c>
      <c r="JV277" s="16">
        <v>77413</v>
      </c>
      <c r="JW277" s="16">
        <v>334</v>
      </c>
      <c r="JX277" s="16">
        <v>18560</v>
      </c>
      <c r="JY277" s="16">
        <v>2335</v>
      </c>
      <c r="JZ277" s="16">
        <v>29</v>
      </c>
      <c r="KA277" s="16">
        <v>1791</v>
      </c>
      <c r="KB277" s="16">
        <v>5</v>
      </c>
      <c r="KC277" s="16">
        <v>474</v>
      </c>
      <c r="KD277" s="16">
        <v>9</v>
      </c>
      <c r="KE277" s="16">
        <v>462</v>
      </c>
      <c r="KF277" s="16">
        <v>835</v>
      </c>
      <c r="KG277" s="16">
        <v>1159</v>
      </c>
      <c r="KH277" s="16">
        <v>143</v>
      </c>
      <c r="KI277" s="16">
        <v>364</v>
      </c>
      <c r="KJ277" s="16">
        <v>129</v>
      </c>
      <c r="KK277" s="16">
        <v>69701</v>
      </c>
      <c r="KL277" s="16">
        <v>1341</v>
      </c>
      <c r="KM277" s="16">
        <v>12164</v>
      </c>
      <c r="KN277" s="16">
        <v>6543</v>
      </c>
      <c r="KO277" s="16">
        <v>903</v>
      </c>
      <c r="KP277" s="16">
        <v>219</v>
      </c>
      <c r="KQ277" s="16">
        <v>139</v>
      </c>
      <c r="KR277" s="16">
        <v>2928</v>
      </c>
      <c r="KS277" s="16">
        <v>31</v>
      </c>
      <c r="KT277" s="16">
        <v>871</v>
      </c>
      <c r="KU277" s="16">
        <v>3736</v>
      </c>
      <c r="KV277" s="16">
        <v>15864</v>
      </c>
      <c r="KW277" s="16">
        <v>10282</v>
      </c>
      <c r="KX277" s="16">
        <v>104</v>
      </c>
      <c r="KY277" s="16">
        <v>513</v>
      </c>
      <c r="KZ277" s="16">
        <v>238698</v>
      </c>
      <c r="LA277" s="16">
        <v>26737</v>
      </c>
      <c r="LB277" s="16">
        <v>6333</v>
      </c>
      <c r="LC277" s="16">
        <v>20252</v>
      </c>
      <c r="LD277" s="16">
        <v>95214</v>
      </c>
      <c r="LE277" s="16">
        <v>8766</v>
      </c>
      <c r="LF277" s="16">
        <v>9744</v>
      </c>
      <c r="LG277" s="16">
        <v>743</v>
      </c>
      <c r="LH277" s="16">
        <v>1110</v>
      </c>
      <c r="LI277" s="16">
        <v>1953</v>
      </c>
      <c r="LJ277" s="16">
        <v>4732</v>
      </c>
      <c r="LK277" s="16">
        <v>7486</v>
      </c>
      <c r="LL277" s="16">
        <v>501</v>
      </c>
      <c r="LM277" s="16">
        <v>2043</v>
      </c>
      <c r="LN277" s="16">
        <v>16006</v>
      </c>
      <c r="LO277" s="16">
        <v>1764</v>
      </c>
      <c r="LP277" s="16">
        <v>8792</v>
      </c>
      <c r="LQ277" s="16">
        <v>558</v>
      </c>
      <c r="LR277" s="16">
        <v>15868</v>
      </c>
      <c r="LS277" s="16">
        <v>1043</v>
      </c>
      <c r="LT277" s="16">
        <v>30170</v>
      </c>
      <c r="LU277" s="16">
        <v>35142</v>
      </c>
      <c r="LV277" s="16">
        <v>571</v>
      </c>
      <c r="LW277" s="16">
        <v>29840</v>
      </c>
      <c r="LX277" s="16">
        <v>23496</v>
      </c>
      <c r="LY277" s="16">
        <v>105939</v>
      </c>
      <c r="LZ277" s="16">
        <v>28461</v>
      </c>
      <c r="MA277" s="16">
        <v>4139</v>
      </c>
      <c r="MB277" s="16">
        <v>5388</v>
      </c>
      <c r="MC277" s="16">
        <v>50511</v>
      </c>
      <c r="MD277" s="16">
        <v>7595</v>
      </c>
      <c r="ME277" s="16">
        <v>1960</v>
      </c>
      <c r="MF277" s="16">
        <v>52168</v>
      </c>
      <c r="MG277" s="16">
        <v>9651</v>
      </c>
      <c r="MH277" s="16">
        <v>376986</v>
      </c>
      <c r="MI277" s="16">
        <v>1257</v>
      </c>
      <c r="MJ277" s="16">
        <v>45554</v>
      </c>
      <c r="MK277" s="16">
        <v>13127</v>
      </c>
      <c r="ML277" s="16">
        <v>17000</v>
      </c>
      <c r="MM277" s="16">
        <v>16321</v>
      </c>
      <c r="MN277" s="16">
        <v>20523</v>
      </c>
      <c r="MO277" s="16">
        <v>32413</v>
      </c>
      <c r="MP277" s="16">
        <v>41181</v>
      </c>
      <c r="MQ277" s="16">
        <v>38779</v>
      </c>
      <c r="MR277" s="16">
        <v>121374</v>
      </c>
      <c r="MS277" s="16">
        <v>28662</v>
      </c>
      <c r="MT277" s="16">
        <v>3496</v>
      </c>
      <c r="MU277" s="16">
        <v>59169</v>
      </c>
      <c r="MV277" s="16">
        <v>29593</v>
      </c>
      <c r="MW277" s="16">
        <v>48657</v>
      </c>
      <c r="MX277" s="16">
        <v>1314</v>
      </c>
      <c r="MY277" s="16">
        <v>138052</v>
      </c>
      <c r="MZ277" s="16">
        <v>99954</v>
      </c>
      <c r="NA277" s="16">
        <v>8128</v>
      </c>
      <c r="NB277" s="16">
        <v>43498</v>
      </c>
      <c r="NC277" s="16">
        <v>10417</v>
      </c>
      <c r="ND277" s="16">
        <v>12187</v>
      </c>
      <c r="NE277" s="16">
        <v>437</v>
      </c>
      <c r="NF277" s="16">
        <v>6765</v>
      </c>
      <c r="NG277" s="16">
        <v>50739</v>
      </c>
      <c r="NH277" s="16">
        <v>7166</v>
      </c>
      <c r="NI277" s="16">
        <v>2619</v>
      </c>
      <c r="NJ277" s="16">
        <v>8958</v>
      </c>
      <c r="NK277" s="16">
        <v>2939</v>
      </c>
      <c r="NL277" s="16">
        <v>1657</v>
      </c>
      <c r="NM277" s="16">
        <v>108078</v>
      </c>
      <c r="NN277" s="16">
        <v>17300</v>
      </c>
      <c r="NO277" s="16">
        <v>0</v>
      </c>
      <c r="NP277" s="16">
        <v>12943</v>
      </c>
      <c r="NQ277" s="16">
        <v>42</v>
      </c>
      <c r="NR277" s="17">
        <v>2962468</v>
      </c>
    </row>
    <row r="278" spans="1:382" ht="13.5" customHeight="1" x14ac:dyDescent="0.2">
      <c r="A278" s="2" t="s">
        <v>563</v>
      </c>
      <c r="B278" s="16">
        <v>0</v>
      </c>
      <c r="C278" s="16">
        <v>0</v>
      </c>
      <c r="D278" s="16">
        <v>0</v>
      </c>
      <c r="E278" s="16">
        <v>0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697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16</v>
      </c>
      <c r="Y278" s="16">
        <v>0</v>
      </c>
      <c r="Z278" s="16">
        <v>0</v>
      </c>
      <c r="AA278" s="16">
        <v>52</v>
      </c>
      <c r="AB278" s="16">
        <v>0</v>
      </c>
      <c r="AC278" s="16">
        <v>0</v>
      </c>
      <c r="AD278" s="16">
        <v>0</v>
      </c>
      <c r="AE278" s="16">
        <v>0</v>
      </c>
      <c r="AF278" s="16">
        <v>0</v>
      </c>
      <c r="AG278" s="16">
        <v>0</v>
      </c>
      <c r="AH278" s="16">
        <v>0</v>
      </c>
      <c r="AI278" s="16">
        <v>347</v>
      </c>
      <c r="AJ278" s="16">
        <v>4113</v>
      </c>
      <c r="AK278" s="16">
        <v>0</v>
      </c>
      <c r="AL278" s="16">
        <v>138</v>
      </c>
      <c r="AM278" s="16">
        <v>771</v>
      </c>
      <c r="AN278" s="16">
        <v>461</v>
      </c>
      <c r="AO278" s="16">
        <v>0</v>
      </c>
      <c r="AP278" s="16">
        <v>0</v>
      </c>
      <c r="AQ278" s="16">
        <v>0</v>
      </c>
      <c r="AR278" s="16">
        <v>0</v>
      </c>
      <c r="AS278" s="16">
        <v>0</v>
      </c>
      <c r="AT278" s="16">
        <v>0</v>
      </c>
      <c r="AU278" s="16">
        <v>6917</v>
      </c>
      <c r="AV278" s="16">
        <v>1057</v>
      </c>
      <c r="AW278" s="16">
        <v>4108</v>
      </c>
      <c r="AX278" s="16">
        <v>45</v>
      </c>
      <c r="AY278" s="16">
        <v>0</v>
      </c>
      <c r="AZ278" s="16">
        <v>1987</v>
      </c>
      <c r="BA278" s="16">
        <v>1209</v>
      </c>
      <c r="BB278" s="16">
        <v>827</v>
      </c>
      <c r="BC278" s="16">
        <v>6782</v>
      </c>
      <c r="BD278" s="16">
        <v>0</v>
      </c>
      <c r="BE278" s="16">
        <v>80</v>
      </c>
      <c r="BF278" s="16">
        <v>0</v>
      </c>
      <c r="BG278" s="16">
        <v>3580</v>
      </c>
      <c r="BH278" s="16">
        <v>19573</v>
      </c>
      <c r="BI278" s="16">
        <v>0</v>
      </c>
      <c r="BJ278" s="16">
        <v>45</v>
      </c>
      <c r="BK278" s="16">
        <v>1196</v>
      </c>
      <c r="BL278" s="16">
        <v>943</v>
      </c>
      <c r="BM278" s="16">
        <v>0</v>
      </c>
      <c r="BN278" s="16">
        <v>810</v>
      </c>
      <c r="BO278" s="16">
        <v>21</v>
      </c>
      <c r="BP278" s="16">
        <v>138</v>
      </c>
      <c r="BQ278" s="16">
        <v>14</v>
      </c>
      <c r="BR278" s="16">
        <v>42</v>
      </c>
      <c r="BS278" s="16">
        <v>2367</v>
      </c>
      <c r="BT278" s="16">
        <v>210</v>
      </c>
      <c r="BU278" s="16">
        <v>0</v>
      </c>
      <c r="BV278" s="16">
        <v>0</v>
      </c>
      <c r="BW278" s="16">
        <v>1029</v>
      </c>
      <c r="BX278" s="16">
        <v>0</v>
      </c>
      <c r="BY278" s="16">
        <v>0</v>
      </c>
      <c r="BZ278" s="16">
        <v>67</v>
      </c>
      <c r="CA278" s="16">
        <v>0</v>
      </c>
      <c r="CB278" s="16">
        <v>11</v>
      </c>
      <c r="CC278" s="16">
        <v>37</v>
      </c>
      <c r="CD278" s="16">
        <v>0</v>
      </c>
      <c r="CE278" s="16">
        <v>0</v>
      </c>
      <c r="CF278" s="16">
        <v>8151</v>
      </c>
      <c r="CG278" s="16">
        <v>0</v>
      </c>
      <c r="CH278" s="16">
        <v>47</v>
      </c>
      <c r="CI278" s="16">
        <v>0</v>
      </c>
      <c r="CJ278" s="16">
        <v>57</v>
      </c>
      <c r="CK278" s="16">
        <v>274</v>
      </c>
      <c r="CL278" s="16">
        <v>0</v>
      </c>
      <c r="CM278" s="16">
        <v>47</v>
      </c>
      <c r="CN278" s="16">
        <v>0</v>
      </c>
      <c r="CO278" s="16">
        <v>0</v>
      </c>
      <c r="CP278" s="16">
        <v>92</v>
      </c>
      <c r="CQ278" s="16">
        <v>1562</v>
      </c>
      <c r="CR278" s="16">
        <v>0</v>
      </c>
      <c r="CS278" s="16">
        <v>0</v>
      </c>
      <c r="CT278" s="16">
        <v>0</v>
      </c>
      <c r="CU278" s="16">
        <v>0</v>
      </c>
      <c r="CV278" s="16">
        <v>0</v>
      </c>
      <c r="CW278" s="16">
        <v>0</v>
      </c>
      <c r="CX278" s="16">
        <v>0</v>
      </c>
      <c r="CY278" s="16">
        <v>6</v>
      </c>
      <c r="CZ278" s="16">
        <v>0</v>
      </c>
      <c r="DA278" s="16">
        <v>0</v>
      </c>
      <c r="DB278" s="16">
        <v>0</v>
      </c>
      <c r="DC278" s="16">
        <v>60</v>
      </c>
      <c r="DD278" s="16">
        <v>283</v>
      </c>
      <c r="DE278" s="16">
        <v>10</v>
      </c>
      <c r="DF278" s="16">
        <v>79</v>
      </c>
      <c r="DG278" s="16">
        <v>16348</v>
      </c>
      <c r="DH278" s="16">
        <v>341</v>
      </c>
      <c r="DI278" s="16">
        <v>7</v>
      </c>
      <c r="DJ278" s="16">
        <v>0</v>
      </c>
      <c r="DK278" s="16">
        <v>0</v>
      </c>
      <c r="DL278" s="16">
        <v>0</v>
      </c>
      <c r="DM278" s="16">
        <v>0</v>
      </c>
      <c r="DN278" s="16">
        <v>2559</v>
      </c>
      <c r="DO278" s="16">
        <v>0</v>
      </c>
      <c r="DP278" s="16">
        <v>69</v>
      </c>
      <c r="DQ278" s="16">
        <v>0</v>
      </c>
      <c r="DR278" s="16">
        <v>0</v>
      </c>
      <c r="DS278" s="16">
        <v>0</v>
      </c>
      <c r="DT278" s="16">
        <v>2106</v>
      </c>
      <c r="DU278" s="16">
        <v>0</v>
      </c>
      <c r="DV278" s="16">
        <v>561</v>
      </c>
      <c r="DW278" s="16">
        <v>251</v>
      </c>
      <c r="DX278" s="16">
        <v>562</v>
      </c>
      <c r="DY278" s="16">
        <v>512</v>
      </c>
      <c r="DZ278" s="16">
        <v>5588</v>
      </c>
      <c r="EA278" s="16">
        <v>601</v>
      </c>
      <c r="EB278" s="16">
        <v>0</v>
      </c>
      <c r="EC278" s="16">
        <v>2358</v>
      </c>
      <c r="ED278" s="16">
        <v>85</v>
      </c>
      <c r="EE278" s="16">
        <v>1</v>
      </c>
      <c r="EF278" s="16">
        <v>16</v>
      </c>
      <c r="EG278" s="16">
        <v>214</v>
      </c>
      <c r="EH278" s="16">
        <v>19</v>
      </c>
      <c r="EI278" s="16">
        <v>194</v>
      </c>
      <c r="EJ278" s="16">
        <v>103</v>
      </c>
      <c r="EK278" s="16">
        <v>0</v>
      </c>
      <c r="EL278" s="16">
        <v>0</v>
      </c>
      <c r="EM278" s="16">
        <v>733</v>
      </c>
      <c r="EN278" s="16">
        <v>3663</v>
      </c>
      <c r="EO278" s="16">
        <v>0</v>
      </c>
      <c r="EP278" s="16">
        <v>0</v>
      </c>
      <c r="EQ278" s="16">
        <v>0</v>
      </c>
      <c r="ER278" s="16">
        <v>0</v>
      </c>
      <c r="ES278" s="16">
        <v>1480</v>
      </c>
      <c r="ET278" s="16">
        <v>38</v>
      </c>
      <c r="EU278" s="16">
        <v>0</v>
      </c>
      <c r="EV278" s="16">
        <v>0</v>
      </c>
      <c r="EW278" s="16">
        <v>0</v>
      </c>
      <c r="EX278" s="16">
        <v>0</v>
      </c>
      <c r="EY278" s="16">
        <v>0</v>
      </c>
      <c r="EZ278" s="16">
        <v>0</v>
      </c>
      <c r="FA278" s="16">
        <v>403</v>
      </c>
      <c r="FB278" s="16">
        <v>1419</v>
      </c>
      <c r="FC278" s="16">
        <v>11</v>
      </c>
      <c r="FD278" s="16">
        <v>0</v>
      </c>
      <c r="FE278" s="16">
        <v>0</v>
      </c>
      <c r="FF278" s="16">
        <v>0</v>
      </c>
      <c r="FG278" s="16">
        <v>196</v>
      </c>
      <c r="FH278" s="16">
        <v>0</v>
      </c>
      <c r="FI278" s="16">
        <v>0</v>
      </c>
      <c r="FJ278" s="16">
        <v>54</v>
      </c>
      <c r="FK278" s="16">
        <v>2717</v>
      </c>
      <c r="FL278" s="16">
        <v>86</v>
      </c>
      <c r="FM278" s="16">
        <v>14</v>
      </c>
      <c r="FN278" s="16">
        <v>14</v>
      </c>
      <c r="FO278" s="16">
        <v>0</v>
      </c>
      <c r="FP278" s="16">
        <v>36</v>
      </c>
      <c r="FQ278" s="16">
        <v>4645</v>
      </c>
      <c r="FR278" s="16">
        <v>1824</v>
      </c>
      <c r="FS278" s="16">
        <v>47540</v>
      </c>
      <c r="FT278" s="16">
        <v>278</v>
      </c>
      <c r="FU278" s="16">
        <v>274</v>
      </c>
      <c r="FV278" s="16">
        <v>10263</v>
      </c>
      <c r="FW278" s="16">
        <v>0</v>
      </c>
      <c r="FX278" s="16">
        <v>5409</v>
      </c>
      <c r="FY278" s="16">
        <v>135</v>
      </c>
      <c r="FZ278" s="16">
        <v>1356</v>
      </c>
      <c r="GA278" s="16">
        <v>0</v>
      </c>
      <c r="GB278" s="16">
        <v>701</v>
      </c>
      <c r="GC278" s="16">
        <v>123</v>
      </c>
      <c r="GD278" s="16">
        <v>4702</v>
      </c>
      <c r="GE278" s="16">
        <v>32</v>
      </c>
      <c r="GF278" s="16">
        <v>0</v>
      </c>
      <c r="GG278" s="16">
        <v>0</v>
      </c>
      <c r="GH278" s="16">
        <v>190</v>
      </c>
      <c r="GI278" s="16">
        <v>288</v>
      </c>
      <c r="GJ278" s="16">
        <v>10843</v>
      </c>
      <c r="GK278" s="16">
        <v>4116</v>
      </c>
      <c r="GL278" s="16">
        <v>0</v>
      </c>
      <c r="GM278" s="16">
        <v>114</v>
      </c>
      <c r="GN278" s="16">
        <v>5</v>
      </c>
      <c r="GO278" s="16">
        <v>3686</v>
      </c>
      <c r="GP278" s="16">
        <v>997</v>
      </c>
      <c r="GQ278" s="16">
        <v>82</v>
      </c>
      <c r="GR278" s="16">
        <v>0</v>
      </c>
      <c r="GS278" s="16">
        <v>176</v>
      </c>
      <c r="GT278" s="16">
        <v>2056</v>
      </c>
      <c r="GU278" s="16">
        <v>129</v>
      </c>
      <c r="GV278" s="16">
        <v>4525</v>
      </c>
      <c r="GW278" s="16">
        <v>33</v>
      </c>
      <c r="GX278" s="16">
        <v>1892</v>
      </c>
      <c r="GY278" s="16">
        <v>0</v>
      </c>
      <c r="GZ278" s="16">
        <v>2190</v>
      </c>
      <c r="HA278" s="16">
        <v>226</v>
      </c>
      <c r="HB278" s="16">
        <v>1147</v>
      </c>
      <c r="HC278" s="16">
        <v>309</v>
      </c>
      <c r="HD278" s="16">
        <v>301</v>
      </c>
      <c r="HE278" s="16">
        <v>0</v>
      </c>
      <c r="HF278" s="16">
        <v>207</v>
      </c>
      <c r="HG278" s="16">
        <v>0</v>
      </c>
      <c r="HH278" s="16">
        <v>17</v>
      </c>
      <c r="HI278" s="16">
        <v>594</v>
      </c>
      <c r="HJ278" s="16">
        <v>47</v>
      </c>
      <c r="HK278" s="16">
        <v>156</v>
      </c>
      <c r="HL278" s="16">
        <v>1939</v>
      </c>
      <c r="HM278" s="16">
        <v>0</v>
      </c>
      <c r="HN278" s="16">
        <v>561</v>
      </c>
      <c r="HO278" s="16">
        <v>577</v>
      </c>
      <c r="HP278" s="16">
        <v>6572</v>
      </c>
      <c r="HQ278" s="16">
        <v>0</v>
      </c>
      <c r="HR278" s="16">
        <v>0</v>
      </c>
      <c r="HS278" s="16">
        <v>76</v>
      </c>
      <c r="HT278" s="16">
        <v>664</v>
      </c>
      <c r="HU278" s="16">
        <v>1953</v>
      </c>
      <c r="HV278" s="16">
        <v>0</v>
      </c>
      <c r="HW278" s="16">
        <v>0</v>
      </c>
      <c r="HX278" s="16">
        <v>85</v>
      </c>
      <c r="HY278" s="16">
        <v>567</v>
      </c>
      <c r="HZ278" s="16">
        <v>1151</v>
      </c>
      <c r="IA278" s="16">
        <v>204</v>
      </c>
      <c r="IB278" s="16">
        <v>32</v>
      </c>
      <c r="IC278" s="16">
        <v>103</v>
      </c>
      <c r="ID278" s="16">
        <v>924</v>
      </c>
      <c r="IE278" s="16">
        <v>0</v>
      </c>
      <c r="IF278" s="16">
        <v>800</v>
      </c>
      <c r="IG278" s="16">
        <v>3081</v>
      </c>
      <c r="IH278" s="16">
        <v>0</v>
      </c>
      <c r="II278" s="16">
        <v>0</v>
      </c>
      <c r="IJ278" s="16">
        <v>0</v>
      </c>
      <c r="IK278" s="16">
        <v>0</v>
      </c>
      <c r="IL278" s="16">
        <v>0</v>
      </c>
      <c r="IM278" s="16">
        <v>0</v>
      </c>
      <c r="IN278" s="16">
        <v>0</v>
      </c>
      <c r="IO278" s="16">
        <v>2020</v>
      </c>
      <c r="IP278" s="16">
        <v>0</v>
      </c>
      <c r="IQ278" s="16">
        <v>102</v>
      </c>
      <c r="IR278" s="16">
        <v>0</v>
      </c>
      <c r="IS278" s="16">
        <v>49</v>
      </c>
      <c r="IT278" s="16">
        <v>0</v>
      </c>
      <c r="IU278" s="16">
        <v>0</v>
      </c>
      <c r="IV278" s="16">
        <v>1890</v>
      </c>
      <c r="IW278" s="16">
        <v>167</v>
      </c>
      <c r="IX278" s="16">
        <v>0</v>
      </c>
      <c r="IY278" s="16">
        <v>0</v>
      </c>
      <c r="IZ278" s="16">
        <v>11</v>
      </c>
      <c r="JA278" s="16">
        <v>448</v>
      </c>
      <c r="JB278" s="16">
        <v>8</v>
      </c>
      <c r="JC278" s="16">
        <v>0</v>
      </c>
      <c r="JD278" s="16">
        <v>22</v>
      </c>
      <c r="JE278" s="16">
        <v>594</v>
      </c>
      <c r="JF278" s="16">
        <v>128</v>
      </c>
      <c r="JG278" s="16">
        <v>30812</v>
      </c>
      <c r="JH278" s="16">
        <v>0</v>
      </c>
      <c r="JI278" s="16">
        <v>0</v>
      </c>
      <c r="JJ278" s="16">
        <v>0</v>
      </c>
      <c r="JK278" s="16">
        <v>751</v>
      </c>
      <c r="JL278" s="16">
        <v>225</v>
      </c>
      <c r="JM278" s="16">
        <v>69</v>
      </c>
      <c r="JN278" s="16">
        <v>137</v>
      </c>
      <c r="JO278" s="16">
        <v>0</v>
      </c>
      <c r="JP278" s="16">
        <v>4904</v>
      </c>
      <c r="JQ278" s="16">
        <v>3493</v>
      </c>
      <c r="JR278" s="16">
        <v>582717</v>
      </c>
      <c r="JS278" s="16">
        <v>26386</v>
      </c>
      <c r="JT278" s="16">
        <v>4</v>
      </c>
      <c r="JU278" s="16">
        <v>165092</v>
      </c>
      <c r="JV278" s="16">
        <v>80340</v>
      </c>
      <c r="JW278" s="16">
        <v>0</v>
      </c>
      <c r="JX278" s="16">
        <v>7789</v>
      </c>
      <c r="JY278" s="16">
        <v>7849</v>
      </c>
      <c r="JZ278" s="16">
        <v>0</v>
      </c>
      <c r="KA278" s="16">
        <v>0</v>
      </c>
      <c r="KB278" s="16">
        <v>0</v>
      </c>
      <c r="KC278" s="16">
        <v>1051</v>
      </c>
      <c r="KD278" s="16">
        <v>0</v>
      </c>
      <c r="KE278" s="16">
        <v>8</v>
      </c>
      <c r="KF278" s="16">
        <v>0</v>
      </c>
      <c r="KG278" s="16">
        <v>2713</v>
      </c>
      <c r="KH278" s="16">
        <v>0</v>
      </c>
      <c r="KI278" s="16">
        <v>1065</v>
      </c>
      <c r="KJ278" s="16">
        <v>0</v>
      </c>
      <c r="KK278" s="16">
        <v>28951</v>
      </c>
      <c r="KL278" s="16">
        <v>0</v>
      </c>
      <c r="KM278" s="16">
        <v>0</v>
      </c>
      <c r="KN278" s="16">
        <v>583</v>
      </c>
      <c r="KO278" s="16">
        <v>0</v>
      </c>
      <c r="KP278" s="16">
        <v>30</v>
      </c>
      <c r="KQ278" s="16">
        <v>576</v>
      </c>
      <c r="KR278" s="16">
        <v>122</v>
      </c>
      <c r="KS278" s="16">
        <v>12</v>
      </c>
      <c r="KT278" s="16">
        <v>0</v>
      </c>
      <c r="KU278" s="16">
        <v>16286</v>
      </c>
      <c r="KV278" s="16">
        <v>22800</v>
      </c>
      <c r="KW278" s="16">
        <v>11750</v>
      </c>
      <c r="KX278" s="16">
        <v>383</v>
      </c>
      <c r="KY278" s="16">
        <v>70</v>
      </c>
      <c r="KZ278" s="16">
        <v>30229</v>
      </c>
      <c r="LA278" s="16">
        <v>9425</v>
      </c>
      <c r="LB278" s="16">
        <v>4418</v>
      </c>
      <c r="LC278" s="16">
        <v>4810</v>
      </c>
      <c r="LD278" s="16">
        <v>53083</v>
      </c>
      <c r="LE278" s="16">
        <v>0</v>
      </c>
      <c r="LF278" s="16">
        <v>0</v>
      </c>
      <c r="LG278" s="16">
        <v>0</v>
      </c>
      <c r="LH278" s="16">
        <v>0</v>
      </c>
      <c r="LI278" s="16">
        <v>0</v>
      </c>
      <c r="LJ278" s="16">
        <v>0</v>
      </c>
      <c r="LK278" s="16">
        <v>98</v>
      </c>
      <c r="LL278" s="16">
        <v>0</v>
      </c>
      <c r="LM278" s="16">
        <v>0</v>
      </c>
      <c r="LN278" s="16">
        <v>503</v>
      </c>
      <c r="LO278" s="16">
        <v>16510</v>
      </c>
      <c r="LP278" s="16">
        <v>11429</v>
      </c>
      <c r="LQ278" s="16">
        <v>107</v>
      </c>
      <c r="LR278" s="16">
        <v>3697</v>
      </c>
      <c r="LS278" s="16">
        <v>0</v>
      </c>
      <c r="LT278" s="16">
        <v>0</v>
      </c>
      <c r="LU278" s="16">
        <v>0</v>
      </c>
      <c r="LV278" s="16">
        <v>0</v>
      </c>
      <c r="LW278" s="16">
        <v>0</v>
      </c>
      <c r="LX278" s="16">
        <v>100</v>
      </c>
      <c r="LY278" s="16">
        <v>0</v>
      </c>
      <c r="LZ278" s="16">
        <v>14380</v>
      </c>
      <c r="MA278" s="16">
        <v>13926</v>
      </c>
      <c r="MB278" s="16">
        <v>0</v>
      </c>
      <c r="MC278" s="16">
        <v>138</v>
      </c>
      <c r="MD278" s="16">
        <v>878</v>
      </c>
      <c r="ME278" s="16">
        <v>0</v>
      </c>
      <c r="MF278" s="16">
        <v>0</v>
      </c>
      <c r="MG278" s="16">
        <v>699</v>
      </c>
      <c r="MH278" s="16">
        <v>0</v>
      </c>
      <c r="MI278" s="16">
        <v>12</v>
      </c>
      <c r="MJ278" s="16">
        <v>0</v>
      </c>
      <c r="MK278" s="16">
        <v>0</v>
      </c>
      <c r="ML278" s="16">
        <v>0</v>
      </c>
      <c r="MM278" s="16">
        <v>2300</v>
      </c>
      <c r="MN278" s="16">
        <v>88</v>
      </c>
      <c r="MO278" s="16">
        <v>24827</v>
      </c>
      <c r="MP278" s="16">
        <v>1059</v>
      </c>
      <c r="MQ278" s="16">
        <v>881</v>
      </c>
      <c r="MR278" s="16">
        <v>338899</v>
      </c>
      <c r="MS278" s="16">
        <v>243273</v>
      </c>
      <c r="MT278" s="16">
        <v>8214</v>
      </c>
      <c r="MU278" s="16">
        <v>98706</v>
      </c>
      <c r="MV278" s="16">
        <v>48354</v>
      </c>
      <c r="MW278" s="16">
        <v>11161</v>
      </c>
      <c r="MX278" s="16">
        <v>8386</v>
      </c>
      <c r="MY278" s="16">
        <v>185882</v>
      </c>
      <c r="MZ278" s="16">
        <v>19889</v>
      </c>
      <c r="NA278" s="16">
        <v>33877</v>
      </c>
      <c r="NB278" s="16">
        <v>140534</v>
      </c>
      <c r="NC278" s="16">
        <v>75664</v>
      </c>
      <c r="ND278" s="16">
        <v>0</v>
      </c>
      <c r="NE278" s="16">
        <v>30</v>
      </c>
      <c r="NF278" s="16">
        <v>150</v>
      </c>
      <c r="NG278" s="16">
        <v>3311</v>
      </c>
      <c r="NH278" s="16">
        <v>11618</v>
      </c>
      <c r="NI278" s="16">
        <v>103</v>
      </c>
      <c r="NJ278" s="16">
        <v>1911</v>
      </c>
      <c r="NK278" s="16">
        <v>7550</v>
      </c>
      <c r="NL278" s="16">
        <v>0</v>
      </c>
      <c r="NM278" s="16">
        <v>36667</v>
      </c>
      <c r="NN278" s="16">
        <v>24662</v>
      </c>
      <c r="NO278" s="16">
        <v>0</v>
      </c>
      <c r="NP278" s="16">
        <v>24633</v>
      </c>
      <c r="NQ278" s="16">
        <v>7336</v>
      </c>
      <c r="NR278" s="17">
        <v>2771428</v>
      </c>
    </row>
    <row r="279" spans="1:382" ht="13.5" customHeight="1" x14ac:dyDescent="0.2">
      <c r="A279" s="2" t="s">
        <v>565</v>
      </c>
      <c r="B279" s="16">
        <v>0</v>
      </c>
      <c r="C279" s="16">
        <v>0</v>
      </c>
      <c r="D279" s="16">
        <v>0</v>
      </c>
      <c r="E279" s="16">
        <v>0</v>
      </c>
      <c r="F279" s="16">
        <v>0</v>
      </c>
      <c r="G279" s="16">
        <v>0</v>
      </c>
      <c r="H279" s="16">
        <v>1</v>
      </c>
      <c r="I279" s="16">
        <v>0</v>
      </c>
      <c r="J279" s="16">
        <v>0</v>
      </c>
      <c r="K279" s="16">
        <v>0</v>
      </c>
      <c r="L279" s="16">
        <v>443</v>
      </c>
      <c r="M279" s="16">
        <v>0</v>
      </c>
      <c r="N279" s="16">
        <v>0</v>
      </c>
      <c r="O279" s="16">
        <v>0</v>
      </c>
      <c r="P279" s="16">
        <v>302</v>
      </c>
      <c r="Q279" s="16">
        <v>31</v>
      </c>
      <c r="R279" s="16">
        <v>4111</v>
      </c>
      <c r="S279" s="16">
        <v>152</v>
      </c>
      <c r="T279" s="16">
        <v>15</v>
      </c>
      <c r="U279" s="16">
        <v>0</v>
      </c>
      <c r="V279" s="16">
        <v>0</v>
      </c>
      <c r="W279" s="16">
        <v>0</v>
      </c>
      <c r="X279" s="16">
        <v>813</v>
      </c>
      <c r="Y279" s="16">
        <v>3295</v>
      </c>
      <c r="Z279" s="16">
        <v>2242</v>
      </c>
      <c r="AA279" s="16">
        <v>11</v>
      </c>
      <c r="AB279" s="16">
        <v>0</v>
      </c>
      <c r="AC279" s="16">
        <v>0</v>
      </c>
      <c r="AD279" s="16">
        <v>0</v>
      </c>
      <c r="AE279" s="16">
        <v>29</v>
      </c>
      <c r="AF279" s="16">
        <v>0</v>
      </c>
      <c r="AG279" s="16">
        <v>860</v>
      </c>
      <c r="AH279" s="16">
        <v>172</v>
      </c>
      <c r="AI279" s="16">
        <v>140</v>
      </c>
      <c r="AJ279" s="16">
        <v>38800</v>
      </c>
      <c r="AK279" s="16">
        <v>63022</v>
      </c>
      <c r="AL279" s="16">
        <v>490</v>
      </c>
      <c r="AM279" s="16">
        <v>2631</v>
      </c>
      <c r="AN279" s="16">
        <v>2395</v>
      </c>
      <c r="AO279" s="16">
        <v>44685</v>
      </c>
      <c r="AP279" s="16">
        <v>177</v>
      </c>
      <c r="AQ279" s="16">
        <v>1413</v>
      </c>
      <c r="AR279" s="16">
        <v>0</v>
      </c>
      <c r="AS279" s="16">
        <v>239</v>
      </c>
      <c r="AT279" s="16">
        <v>5009</v>
      </c>
      <c r="AU279" s="16">
        <v>1329</v>
      </c>
      <c r="AV279" s="16">
        <v>3331</v>
      </c>
      <c r="AW279" s="16">
        <v>12888</v>
      </c>
      <c r="AX279" s="16">
        <v>4878</v>
      </c>
      <c r="AY279" s="16">
        <v>383</v>
      </c>
      <c r="AZ279" s="16">
        <v>7055</v>
      </c>
      <c r="BA279" s="16">
        <v>1683</v>
      </c>
      <c r="BB279" s="16">
        <v>2220</v>
      </c>
      <c r="BC279" s="16">
        <v>3489</v>
      </c>
      <c r="BD279" s="16">
        <v>1679</v>
      </c>
      <c r="BE279" s="16">
        <v>2507</v>
      </c>
      <c r="BF279" s="16">
        <v>477</v>
      </c>
      <c r="BG279" s="16">
        <v>803</v>
      </c>
      <c r="BH279" s="16">
        <v>8804</v>
      </c>
      <c r="BI279" s="16">
        <v>1276</v>
      </c>
      <c r="BJ279" s="16">
        <v>406</v>
      </c>
      <c r="BK279" s="16">
        <v>4282</v>
      </c>
      <c r="BL279" s="16">
        <v>11974</v>
      </c>
      <c r="BM279" s="16">
        <v>163</v>
      </c>
      <c r="BN279" s="16">
        <v>949</v>
      </c>
      <c r="BO279" s="16">
        <v>56191</v>
      </c>
      <c r="BP279" s="16">
        <v>3315</v>
      </c>
      <c r="BQ279" s="16">
        <v>44</v>
      </c>
      <c r="BR279" s="16">
        <v>335</v>
      </c>
      <c r="BS279" s="16">
        <v>8</v>
      </c>
      <c r="BT279" s="16">
        <v>0</v>
      </c>
      <c r="BU279" s="16">
        <v>0</v>
      </c>
      <c r="BV279" s="16">
        <v>65</v>
      </c>
      <c r="BW279" s="16">
        <v>127</v>
      </c>
      <c r="BX279" s="16">
        <v>10330</v>
      </c>
      <c r="BY279" s="16">
        <v>36</v>
      </c>
      <c r="BZ279" s="16">
        <v>5</v>
      </c>
      <c r="CA279" s="16">
        <v>12</v>
      </c>
      <c r="CB279" s="16">
        <v>4</v>
      </c>
      <c r="CC279" s="16">
        <v>118</v>
      </c>
      <c r="CD279" s="16">
        <v>1030</v>
      </c>
      <c r="CE279" s="16">
        <v>614</v>
      </c>
      <c r="CF279" s="16">
        <v>4999</v>
      </c>
      <c r="CG279" s="16">
        <v>518</v>
      </c>
      <c r="CH279" s="16">
        <v>10</v>
      </c>
      <c r="CI279" s="16">
        <v>4839</v>
      </c>
      <c r="CJ279" s="16">
        <v>5311</v>
      </c>
      <c r="CK279" s="16">
        <v>5079</v>
      </c>
      <c r="CL279" s="16">
        <v>68</v>
      </c>
      <c r="CM279" s="16">
        <v>1668</v>
      </c>
      <c r="CN279" s="16">
        <v>322</v>
      </c>
      <c r="CO279" s="16">
        <v>338</v>
      </c>
      <c r="CP279" s="16">
        <v>1839</v>
      </c>
      <c r="CQ279" s="16">
        <v>8342</v>
      </c>
      <c r="CR279" s="16">
        <v>315</v>
      </c>
      <c r="CS279" s="16">
        <v>9535</v>
      </c>
      <c r="CT279" s="16">
        <v>2408</v>
      </c>
      <c r="CU279" s="16">
        <v>0</v>
      </c>
      <c r="CV279" s="16">
        <v>1854</v>
      </c>
      <c r="CW279" s="16">
        <v>3</v>
      </c>
      <c r="CX279" s="16">
        <v>246</v>
      </c>
      <c r="CY279" s="16">
        <v>11</v>
      </c>
      <c r="CZ279" s="16">
        <v>2929</v>
      </c>
      <c r="DA279" s="16">
        <v>885</v>
      </c>
      <c r="DB279" s="16">
        <v>3434</v>
      </c>
      <c r="DC279" s="16">
        <v>644</v>
      </c>
      <c r="DD279" s="16">
        <v>16821</v>
      </c>
      <c r="DE279" s="16">
        <v>3960</v>
      </c>
      <c r="DF279" s="16">
        <v>44805</v>
      </c>
      <c r="DG279" s="16">
        <v>3957</v>
      </c>
      <c r="DH279" s="16">
        <v>17000</v>
      </c>
      <c r="DI279" s="16">
        <v>16429</v>
      </c>
      <c r="DJ279" s="16">
        <v>53687</v>
      </c>
      <c r="DK279" s="16">
        <v>5292</v>
      </c>
      <c r="DL279" s="16">
        <v>7590</v>
      </c>
      <c r="DM279" s="16">
        <v>10737</v>
      </c>
      <c r="DN279" s="16">
        <v>763</v>
      </c>
      <c r="DO279" s="16">
        <v>1507</v>
      </c>
      <c r="DP279" s="16">
        <v>8449</v>
      </c>
      <c r="DQ279" s="16">
        <v>3413</v>
      </c>
      <c r="DR279" s="16">
        <v>6827</v>
      </c>
      <c r="DS279" s="16">
        <v>5089</v>
      </c>
      <c r="DT279" s="16">
        <v>5055</v>
      </c>
      <c r="DU279" s="16">
        <v>9444</v>
      </c>
      <c r="DV279" s="16">
        <v>23692</v>
      </c>
      <c r="DW279" s="16">
        <v>50822</v>
      </c>
      <c r="DX279" s="16">
        <v>3614</v>
      </c>
      <c r="DY279" s="16">
        <v>3129</v>
      </c>
      <c r="DZ279" s="16">
        <v>18344</v>
      </c>
      <c r="EA279" s="16">
        <v>5297</v>
      </c>
      <c r="EB279" s="16">
        <v>931</v>
      </c>
      <c r="EC279" s="16">
        <v>6923</v>
      </c>
      <c r="ED279" s="16">
        <v>1707</v>
      </c>
      <c r="EE279" s="16">
        <v>770</v>
      </c>
      <c r="EF279" s="16">
        <v>810</v>
      </c>
      <c r="EG279" s="16">
        <v>6140</v>
      </c>
      <c r="EH279" s="16">
        <v>760</v>
      </c>
      <c r="EI279" s="16">
        <v>1633</v>
      </c>
      <c r="EJ279" s="16">
        <v>1482</v>
      </c>
      <c r="EK279" s="16">
        <v>1241</v>
      </c>
      <c r="EL279" s="16">
        <v>329</v>
      </c>
      <c r="EM279" s="16">
        <v>41</v>
      </c>
      <c r="EN279" s="16">
        <v>5113</v>
      </c>
      <c r="EO279" s="16">
        <v>4032</v>
      </c>
      <c r="EP279" s="16">
        <v>690</v>
      </c>
      <c r="EQ279" s="16">
        <v>22767</v>
      </c>
      <c r="ER279" s="16">
        <v>745</v>
      </c>
      <c r="ES279" s="16">
        <v>520</v>
      </c>
      <c r="ET279" s="16">
        <v>1921</v>
      </c>
      <c r="EU279" s="16">
        <v>16</v>
      </c>
      <c r="EV279" s="16">
        <v>170</v>
      </c>
      <c r="EW279" s="16">
        <v>721</v>
      </c>
      <c r="EX279" s="16">
        <v>28300</v>
      </c>
      <c r="EY279" s="16">
        <v>4321</v>
      </c>
      <c r="EZ279" s="16">
        <v>6006</v>
      </c>
      <c r="FA279" s="16">
        <v>3906</v>
      </c>
      <c r="FB279" s="16">
        <v>13750</v>
      </c>
      <c r="FC279" s="16">
        <v>640</v>
      </c>
      <c r="FD279" s="16">
        <v>45525</v>
      </c>
      <c r="FE279" s="16">
        <v>7457</v>
      </c>
      <c r="FF279" s="16">
        <v>3424</v>
      </c>
      <c r="FG279" s="16">
        <v>10610</v>
      </c>
      <c r="FH279" s="16">
        <v>12</v>
      </c>
      <c r="FI279" s="16">
        <v>5661</v>
      </c>
      <c r="FJ279" s="16">
        <v>3291</v>
      </c>
      <c r="FK279" s="16">
        <v>2483</v>
      </c>
      <c r="FL279" s="16">
        <v>0</v>
      </c>
      <c r="FM279" s="16">
        <v>27701</v>
      </c>
      <c r="FN279" s="16">
        <v>12622</v>
      </c>
      <c r="FO279" s="16">
        <v>492</v>
      </c>
      <c r="FP279" s="16">
        <v>6795</v>
      </c>
      <c r="FQ279" s="16">
        <v>11444</v>
      </c>
      <c r="FR279" s="16">
        <v>7355</v>
      </c>
      <c r="FS279" s="16">
        <v>11653</v>
      </c>
      <c r="FT279" s="16">
        <v>371</v>
      </c>
      <c r="FU279" s="16">
        <v>48890</v>
      </c>
      <c r="FV279" s="16">
        <v>9649</v>
      </c>
      <c r="FW279" s="16">
        <v>84523</v>
      </c>
      <c r="FX279" s="16">
        <v>3859</v>
      </c>
      <c r="FY279" s="16">
        <v>936</v>
      </c>
      <c r="FZ279" s="16">
        <v>7273</v>
      </c>
      <c r="GA279" s="16">
        <v>1313</v>
      </c>
      <c r="GB279" s="16">
        <v>6409</v>
      </c>
      <c r="GC279" s="16">
        <v>3087</v>
      </c>
      <c r="GD279" s="16">
        <v>664</v>
      </c>
      <c r="GE279" s="16">
        <v>142</v>
      </c>
      <c r="GF279" s="16">
        <v>3338</v>
      </c>
      <c r="GG279" s="16">
        <v>50</v>
      </c>
      <c r="GH279" s="16">
        <v>246</v>
      </c>
      <c r="GI279" s="16">
        <v>16328</v>
      </c>
      <c r="GJ279" s="16">
        <v>2526</v>
      </c>
      <c r="GK279" s="16">
        <v>3265</v>
      </c>
      <c r="GL279" s="16">
        <v>25</v>
      </c>
      <c r="GM279" s="16">
        <v>1962</v>
      </c>
      <c r="GN279" s="16">
        <v>208</v>
      </c>
      <c r="GO279" s="16">
        <v>97</v>
      </c>
      <c r="GP279" s="16">
        <v>125</v>
      </c>
      <c r="GQ279" s="16">
        <v>33</v>
      </c>
      <c r="GR279" s="16">
        <v>4509</v>
      </c>
      <c r="GS279" s="16">
        <v>685</v>
      </c>
      <c r="GT279" s="16">
        <v>558</v>
      </c>
      <c r="GU279" s="16">
        <v>2843</v>
      </c>
      <c r="GV279" s="16">
        <v>422</v>
      </c>
      <c r="GW279" s="16">
        <v>25</v>
      </c>
      <c r="GX279" s="16">
        <v>2238</v>
      </c>
      <c r="GY279" s="16">
        <v>8</v>
      </c>
      <c r="GZ279" s="16">
        <v>2765</v>
      </c>
      <c r="HA279" s="16">
        <v>59</v>
      </c>
      <c r="HB279" s="16">
        <v>96</v>
      </c>
      <c r="HC279" s="16">
        <v>1394</v>
      </c>
      <c r="HD279" s="16">
        <v>2005</v>
      </c>
      <c r="HE279" s="16">
        <v>5512</v>
      </c>
      <c r="HF279" s="16">
        <v>424</v>
      </c>
      <c r="HG279" s="16">
        <v>900</v>
      </c>
      <c r="HH279" s="16">
        <v>3589</v>
      </c>
      <c r="HI279" s="16">
        <v>4085</v>
      </c>
      <c r="HJ279" s="16">
        <v>23</v>
      </c>
      <c r="HK279" s="16">
        <v>76</v>
      </c>
      <c r="HL279" s="16">
        <v>794</v>
      </c>
      <c r="HM279" s="16">
        <v>4471</v>
      </c>
      <c r="HN279" s="16">
        <v>2126</v>
      </c>
      <c r="HO279" s="16">
        <v>3411</v>
      </c>
      <c r="HP279" s="16">
        <v>49</v>
      </c>
      <c r="HQ279" s="16">
        <v>730</v>
      </c>
      <c r="HR279" s="16">
        <v>11481</v>
      </c>
      <c r="HS279" s="16">
        <v>5064</v>
      </c>
      <c r="HT279" s="16">
        <v>156</v>
      </c>
      <c r="HU279" s="16">
        <v>1349</v>
      </c>
      <c r="HV279" s="16">
        <v>1731</v>
      </c>
      <c r="HW279" s="16">
        <v>958</v>
      </c>
      <c r="HX279" s="16">
        <v>2919</v>
      </c>
      <c r="HY279" s="16">
        <v>10774</v>
      </c>
      <c r="HZ279" s="16">
        <v>677</v>
      </c>
      <c r="IA279" s="16">
        <v>417</v>
      </c>
      <c r="IB279" s="16">
        <v>6</v>
      </c>
      <c r="IC279" s="16">
        <v>412</v>
      </c>
      <c r="ID279" s="16">
        <v>62</v>
      </c>
      <c r="IE279" s="16">
        <v>142</v>
      </c>
      <c r="IF279" s="16">
        <v>57</v>
      </c>
      <c r="IG279" s="16">
        <v>653</v>
      </c>
      <c r="IH279" s="16">
        <v>26708</v>
      </c>
      <c r="II279" s="16">
        <v>709</v>
      </c>
      <c r="IJ279" s="16">
        <v>1309</v>
      </c>
      <c r="IK279" s="16">
        <v>1014</v>
      </c>
      <c r="IL279" s="16">
        <v>790</v>
      </c>
      <c r="IM279" s="16">
        <v>0</v>
      </c>
      <c r="IN279" s="16">
        <v>1290</v>
      </c>
      <c r="IO279" s="16">
        <v>20873</v>
      </c>
      <c r="IP279" s="16">
        <v>2640</v>
      </c>
      <c r="IQ279" s="16">
        <v>832</v>
      </c>
      <c r="IR279" s="16">
        <v>2152</v>
      </c>
      <c r="IS279" s="16">
        <v>1294</v>
      </c>
      <c r="IT279" s="16">
        <v>108</v>
      </c>
      <c r="IU279" s="16">
        <v>22</v>
      </c>
      <c r="IV279" s="16">
        <v>626</v>
      </c>
      <c r="IW279" s="16">
        <v>2159</v>
      </c>
      <c r="IX279" s="16">
        <v>1442</v>
      </c>
      <c r="IY279" s="16">
        <v>1122</v>
      </c>
      <c r="IZ279" s="16">
        <v>43</v>
      </c>
      <c r="JA279" s="16">
        <v>827</v>
      </c>
      <c r="JB279" s="16">
        <v>436</v>
      </c>
      <c r="JC279" s="16">
        <v>223</v>
      </c>
      <c r="JD279" s="16">
        <v>551</v>
      </c>
      <c r="JE279" s="16">
        <v>70</v>
      </c>
      <c r="JF279" s="16">
        <v>2599</v>
      </c>
      <c r="JG279" s="16">
        <v>109233</v>
      </c>
      <c r="JH279" s="16">
        <v>4647</v>
      </c>
      <c r="JI279" s="16">
        <v>64780</v>
      </c>
      <c r="JJ279" s="16">
        <v>11244</v>
      </c>
      <c r="JK279" s="16">
        <v>4147</v>
      </c>
      <c r="JL279" s="16">
        <v>651</v>
      </c>
      <c r="JM279" s="16">
        <v>11690</v>
      </c>
      <c r="JN279" s="16">
        <v>512</v>
      </c>
      <c r="JO279" s="16">
        <v>365</v>
      </c>
      <c r="JP279" s="16">
        <v>10343</v>
      </c>
      <c r="JQ279" s="16">
        <v>2139</v>
      </c>
      <c r="JR279" s="16">
        <v>139743</v>
      </c>
      <c r="JS279" s="16">
        <v>46989</v>
      </c>
      <c r="JT279" s="16">
        <v>7</v>
      </c>
      <c r="JU279" s="16">
        <v>250988</v>
      </c>
      <c r="JV279" s="16">
        <v>34909</v>
      </c>
      <c r="JW279" s="16">
        <v>45295</v>
      </c>
      <c r="JX279" s="16">
        <v>32688</v>
      </c>
      <c r="JY279" s="16">
        <v>31231</v>
      </c>
      <c r="JZ279" s="16">
        <v>1001</v>
      </c>
      <c r="KA279" s="16">
        <v>2650</v>
      </c>
      <c r="KB279" s="16">
        <v>813</v>
      </c>
      <c r="KC279" s="16">
        <v>5630</v>
      </c>
      <c r="KD279" s="16">
        <v>59</v>
      </c>
      <c r="KE279" s="16">
        <v>1488</v>
      </c>
      <c r="KF279" s="16">
        <v>5858</v>
      </c>
      <c r="KG279" s="16">
        <v>1374</v>
      </c>
      <c r="KH279" s="16">
        <v>395</v>
      </c>
      <c r="KI279" s="16">
        <v>2289</v>
      </c>
      <c r="KJ279" s="16">
        <v>1763</v>
      </c>
      <c r="KK279" s="16">
        <v>30315</v>
      </c>
      <c r="KL279" s="16">
        <v>3901</v>
      </c>
      <c r="KM279" s="16">
        <v>29222</v>
      </c>
      <c r="KN279" s="16">
        <v>43657</v>
      </c>
      <c r="KO279" s="16">
        <v>48</v>
      </c>
      <c r="KP279" s="16">
        <v>133</v>
      </c>
      <c r="KQ279" s="16">
        <v>26</v>
      </c>
      <c r="KR279" s="16">
        <v>2104</v>
      </c>
      <c r="KS279" s="16">
        <v>3</v>
      </c>
      <c r="KT279" s="16">
        <v>9</v>
      </c>
      <c r="KU279" s="16">
        <v>22641</v>
      </c>
      <c r="KV279" s="16">
        <v>27693</v>
      </c>
      <c r="KW279" s="16">
        <v>6762</v>
      </c>
      <c r="KX279" s="16">
        <v>1</v>
      </c>
      <c r="KY279" s="16">
        <v>13</v>
      </c>
      <c r="KZ279" s="16">
        <v>196058</v>
      </c>
      <c r="LA279" s="16">
        <v>11347</v>
      </c>
      <c r="LB279" s="16">
        <v>8588</v>
      </c>
      <c r="LC279" s="16">
        <v>8431</v>
      </c>
      <c r="LD279" s="16">
        <v>70282</v>
      </c>
      <c r="LE279" s="16">
        <v>4534</v>
      </c>
      <c r="LF279" s="16">
        <v>0</v>
      </c>
      <c r="LG279" s="16">
        <v>8056</v>
      </c>
      <c r="LH279" s="16">
        <v>11478</v>
      </c>
      <c r="LI279" s="16">
        <v>355</v>
      </c>
      <c r="LJ279" s="16">
        <v>1498</v>
      </c>
      <c r="LK279" s="16">
        <v>878</v>
      </c>
      <c r="LL279" s="16">
        <v>0</v>
      </c>
      <c r="LM279" s="16">
        <v>0</v>
      </c>
      <c r="LN279" s="16">
        <v>3316</v>
      </c>
      <c r="LO279" s="16">
        <v>1412</v>
      </c>
      <c r="LP279" s="16">
        <v>6707</v>
      </c>
      <c r="LQ279" s="16">
        <v>879</v>
      </c>
      <c r="LR279" s="16">
        <v>12728</v>
      </c>
      <c r="LS279" s="16">
        <v>7</v>
      </c>
      <c r="LT279" s="16">
        <v>1624</v>
      </c>
      <c r="LU279" s="16">
        <v>7101</v>
      </c>
      <c r="LV279" s="16">
        <v>9</v>
      </c>
      <c r="LW279" s="16">
        <v>324</v>
      </c>
      <c r="LX279" s="16">
        <v>15</v>
      </c>
      <c r="LY279" s="16">
        <v>0</v>
      </c>
      <c r="LZ279" s="16">
        <v>300648</v>
      </c>
      <c r="MA279" s="16">
        <v>45587</v>
      </c>
      <c r="MB279" s="16">
        <v>5970</v>
      </c>
      <c r="MC279" s="16">
        <v>4999</v>
      </c>
      <c r="MD279" s="16">
        <v>6201</v>
      </c>
      <c r="ME279" s="16">
        <v>1268</v>
      </c>
      <c r="MF279" s="16">
        <v>3599</v>
      </c>
      <c r="MG279" s="16">
        <v>1323</v>
      </c>
      <c r="MH279" s="16">
        <v>1437</v>
      </c>
      <c r="MI279" s="16">
        <v>361</v>
      </c>
      <c r="MJ279" s="16">
        <v>470</v>
      </c>
      <c r="MK279" s="16">
        <v>2650</v>
      </c>
      <c r="ML279" s="16">
        <v>4048</v>
      </c>
      <c r="MM279" s="16">
        <v>3670</v>
      </c>
      <c r="MN279" s="16">
        <v>3461</v>
      </c>
      <c r="MO279" s="16">
        <v>16161</v>
      </c>
      <c r="MP279" s="16">
        <v>4344</v>
      </c>
      <c r="MQ279" s="16">
        <v>2353</v>
      </c>
      <c r="MR279" s="16">
        <v>2344</v>
      </c>
      <c r="MS279" s="16">
        <v>521</v>
      </c>
      <c r="MT279" s="16">
        <v>6667</v>
      </c>
      <c r="MU279" s="16">
        <v>22580</v>
      </c>
      <c r="MV279" s="16">
        <v>50567</v>
      </c>
      <c r="MW279" s="16">
        <v>303193</v>
      </c>
      <c r="MX279" s="16">
        <v>50</v>
      </c>
      <c r="MY279" s="16">
        <v>129627</v>
      </c>
      <c r="MZ279" s="16">
        <v>81493</v>
      </c>
      <c r="NA279" s="16">
        <v>96</v>
      </c>
      <c r="NB279" s="16">
        <v>50119</v>
      </c>
      <c r="NC279" s="16">
        <v>15349</v>
      </c>
      <c r="ND279" s="16">
        <v>2046</v>
      </c>
      <c r="NE279" s="16">
        <v>0</v>
      </c>
      <c r="NF279" s="16">
        <v>398</v>
      </c>
      <c r="NG279" s="16">
        <v>44625</v>
      </c>
      <c r="NH279" s="16">
        <v>16509</v>
      </c>
      <c r="NI279" s="16">
        <v>80</v>
      </c>
      <c r="NJ279" s="16">
        <v>0</v>
      </c>
      <c r="NK279" s="16">
        <v>4494</v>
      </c>
      <c r="NL279" s="16">
        <v>3911</v>
      </c>
      <c r="NM279" s="16">
        <v>12806</v>
      </c>
      <c r="NN279" s="16">
        <v>8492</v>
      </c>
      <c r="NO279" s="16">
        <v>0</v>
      </c>
      <c r="NP279" s="16">
        <v>2544</v>
      </c>
      <c r="NQ279" s="16">
        <v>220</v>
      </c>
      <c r="NR279" s="17">
        <v>3828688</v>
      </c>
    </row>
    <row r="280" spans="1:382" ht="13.5" customHeight="1" x14ac:dyDescent="0.2">
      <c r="A280" s="2" t="s">
        <v>567</v>
      </c>
      <c r="B280" s="16">
        <v>0</v>
      </c>
      <c r="C280" s="16">
        <v>0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  <c r="AG280" s="16">
        <v>0</v>
      </c>
      <c r="AH280" s="16">
        <v>0</v>
      </c>
      <c r="AI280" s="16">
        <v>0</v>
      </c>
      <c r="AJ280" s="16">
        <v>0</v>
      </c>
      <c r="AK280" s="16">
        <v>0</v>
      </c>
      <c r="AL280" s="16">
        <v>0</v>
      </c>
      <c r="AM280" s="16">
        <v>0</v>
      </c>
      <c r="AN280" s="16">
        <v>0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0</v>
      </c>
      <c r="AW280" s="16">
        <v>0</v>
      </c>
      <c r="AX280" s="16">
        <v>0</v>
      </c>
      <c r="AY280" s="16">
        <v>0</v>
      </c>
      <c r="AZ280" s="16">
        <v>0</v>
      </c>
      <c r="BA280" s="16">
        <v>0</v>
      </c>
      <c r="BB280" s="16">
        <v>0</v>
      </c>
      <c r="BC280" s="16">
        <v>0</v>
      </c>
      <c r="BD280" s="16">
        <v>0</v>
      </c>
      <c r="BE280" s="16">
        <v>0</v>
      </c>
      <c r="BF280" s="16">
        <v>0</v>
      </c>
      <c r="BG280" s="16">
        <v>0</v>
      </c>
      <c r="BH280" s="16">
        <v>0</v>
      </c>
      <c r="BI280" s="16">
        <v>0</v>
      </c>
      <c r="BJ280" s="16">
        <v>0</v>
      </c>
      <c r="BK280" s="16">
        <v>0</v>
      </c>
      <c r="BL280" s="16">
        <v>0</v>
      </c>
      <c r="BM280" s="16">
        <v>0</v>
      </c>
      <c r="BN280" s="16">
        <v>0</v>
      </c>
      <c r="BO280" s="16">
        <v>0</v>
      </c>
      <c r="BP280" s="16">
        <v>0</v>
      </c>
      <c r="BQ280" s="16">
        <v>0</v>
      </c>
      <c r="BR280" s="16">
        <v>0</v>
      </c>
      <c r="BS280" s="16">
        <v>0</v>
      </c>
      <c r="BT280" s="16">
        <v>0</v>
      </c>
      <c r="BU280" s="16">
        <v>0</v>
      </c>
      <c r="BV280" s="16">
        <v>0</v>
      </c>
      <c r="BW280" s="16">
        <v>0</v>
      </c>
      <c r="BX280" s="16">
        <v>0</v>
      </c>
      <c r="BY280" s="16">
        <v>0</v>
      </c>
      <c r="BZ280" s="16">
        <v>0</v>
      </c>
      <c r="CA280" s="16">
        <v>0</v>
      </c>
      <c r="CB280" s="16">
        <v>0</v>
      </c>
      <c r="CC280" s="16">
        <v>0</v>
      </c>
      <c r="CD280" s="16">
        <v>0</v>
      </c>
      <c r="CE280" s="16">
        <v>0</v>
      </c>
      <c r="CF280" s="16">
        <v>0</v>
      </c>
      <c r="CG280" s="16">
        <v>0</v>
      </c>
      <c r="CH280" s="16">
        <v>0</v>
      </c>
      <c r="CI280" s="16">
        <v>0</v>
      </c>
      <c r="CJ280" s="16">
        <v>0</v>
      </c>
      <c r="CK280" s="16">
        <v>0</v>
      </c>
      <c r="CL280" s="16">
        <v>0</v>
      </c>
      <c r="CM280" s="16">
        <v>0</v>
      </c>
      <c r="CN280" s="16">
        <v>0</v>
      </c>
      <c r="CO280" s="16">
        <v>0</v>
      </c>
      <c r="CP280" s="16">
        <v>0</v>
      </c>
      <c r="CQ280" s="16">
        <v>0</v>
      </c>
      <c r="CR280" s="16">
        <v>0</v>
      </c>
      <c r="CS280" s="16">
        <v>0</v>
      </c>
      <c r="CT280" s="16">
        <v>0</v>
      </c>
      <c r="CU280" s="16">
        <v>0</v>
      </c>
      <c r="CV280" s="16">
        <v>0</v>
      </c>
      <c r="CW280" s="16">
        <v>0</v>
      </c>
      <c r="CX280" s="16">
        <v>0</v>
      </c>
      <c r="CY280" s="16">
        <v>0</v>
      </c>
      <c r="CZ280" s="16">
        <v>0</v>
      </c>
      <c r="DA280" s="16">
        <v>0</v>
      </c>
      <c r="DB280" s="16">
        <v>0</v>
      </c>
      <c r="DC280" s="16">
        <v>0</v>
      </c>
      <c r="DD280" s="16">
        <v>0</v>
      </c>
      <c r="DE280" s="16">
        <v>0</v>
      </c>
      <c r="DF280" s="16">
        <v>0</v>
      </c>
      <c r="DG280" s="16">
        <v>0</v>
      </c>
      <c r="DH280" s="16">
        <v>0</v>
      </c>
      <c r="DI280" s="16">
        <v>0</v>
      </c>
      <c r="DJ280" s="16">
        <v>0</v>
      </c>
      <c r="DK280" s="16">
        <v>0</v>
      </c>
      <c r="DL280" s="16">
        <v>0</v>
      </c>
      <c r="DM280" s="16">
        <v>0</v>
      </c>
      <c r="DN280" s="16">
        <v>0</v>
      </c>
      <c r="DO280" s="16">
        <v>0</v>
      </c>
      <c r="DP280" s="16">
        <v>0</v>
      </c>
      <c r="DQ280" s="16">
        <v>0</v>
      </c>
      <c r="DR280" s="16">
        <v>0</v>
      </c>
      <c r="DS280" s="16">
        <v>0</v>
      </c>
      <c r="DT280" s="16">
        <v>0</v>
      </c>
      <c r="DU280" s="16">
        <v>0</v>
      </c>
      <c r="DV280" s="16">
        <v>0</v>
      </c>
      <c r="DW280" s="16">
        <v>0</v>
      </c>
      <c r="DX280" s="16">
        <v>0</v>
      </c>
      <c r="DY280" s="16">
        <v>0</v>
      </c>
      <c r="DZ280" s="16">
        <v>0</v>
      </c>
      <c r="EA280" s="16">
        <v>0</v>
      </c>
      <c r="EB280" s="16">
        <v>0</v>
      </c>
      <c r="EC280" s="16">
        <v>0</v>
      </c>
      <c r="ED280" s="16">
        <v>0</v>
      </c>
      <c r="EE280" s="16">
        <v>0</v>
      </c>
      <c r="EF280" s="16">
        <v>0</v>
      </c>
      <c r="EG280" s="16">
        <v>0</v>
      </c>
      <c r="EH280" s="16">
        <v>0</v>
      </c>
      <c r="EI280" s="16">
        <v>0</v>
      </c>
      <c r="EJ280" s="16">
        <v>0</v>
      </c>
      <c r="EK280" s="16">
        <v>0</v>
      </c>
      <c r="EL280" s="16">
        <v>0</v>
      </c>
      <c r="EM280" s="16">
        <v>0</v>
      </c>
      <c r="EN280" s="16">
        <v>0</v>
      </c>
      <c r="EO280" s="16">
        <v>0</v>
      </c>
      <c r="EP280" s="16">
        <v>0</v>
      </c>
      <c r="EQ280" s="16">
        <v>0</v>
      </c>
      <c r="ER280" s="16">
        <v>0</v>
      </c>
      <c r="ES280" s="16">
        <v>0</v>
      </c>
      <c r="ET280" s="16">
        <v>0</v>
      </c>
      <c r="EU280" s="16">
        <v>0</v>
      </c>
      <c r="EV280" s="16">
        <v>0</v>
      </c>
      <c r="EW280" s="16">
        <v>0</v>
      </c>
      <c r="EX280" s="16">
        <v>0</v>
      </c>
      <c r="EY280" s="16">
        <v>0</v>
      </c>
      <c r="EZ280" s="16">
        <v>0</v>
      </c>
      <c r="FA280" s="16">
        <v>0</v>
      </c>
      <c r="FB280" s="16">
        <v>0</v>
      </c>
      <c r="FC280" s="16">
        <v>0</v>
      </c>
      <c r="FD280" s="16">
        <v>0</v>
      </c>
      <c r="FE280" s="16">
        <v>0</v>
      </c>
      <c r="FF280" s="16">
        <v>0</v>
      </c>
      <c r="FG280" s="16">
        <v>0</v>
      </c>
      <c r="FH280" s="16">
        <v>0</v>
      </c>
      <c r="FI280" s="16">
        <v>0</v>
      </c>
      <c r="FJ280" s="16">
        <v>0</v>
      </c>
      <c r="FK280" s="16">
        <v>0</v>
      </c>
      <c r="FL280" s="16">
        <v>0</v>
      </c>
      <c r="FM280" s="16">
        <v>0</v>
      </c>
      <c r="FN280" s="16">
        <v>0</v>
      </c>
      <c r="FO280" s="16">
        <v>0</v>
      </c>
      <c r="FP280" s="16">
        <v>0</v>
      </c>
      <c r="FQ280" s="16">
        <v>0</v>
      </c>
      <c r="FR280" s="16">
        <v>0</v>
      </c>
      <c r="FS280" s="16">
        <v>0</v>
      </c>
      <c r="FT280" s="16">
        <v>0</v>
      </c>
      <c r="FU280" s="16">
        <v>0</v>
      </c>
      <c r="FV280" s="16">
        <v>0</v>
      </c>
      <c r="FW280" s="16">
        <v>0</v>
      </c>
      <c r="FX280" s="16">
        <v>0</v>
      </c>
      <c r="FY280" s="16">
        <v>0</v>
      </c>
      <c r="FZ280" s="16">
        <v>0</v>
      </c>
      <c r="GA280" s="16">
        <v>0</v>
      </c>
      <c r="GB280" s="16">
        <v>0</v>
      </c>
      <c r="GC280" s="16">
        <v>0</v>
      </c>
      <c r="GD280" s="16">
        <v>0</v>
      </c>
      <c r="GE280" s="16">
        <v>0</v>
      </c>
      <c r="GF280" s="16">
        <v>0</v>
      </c>
      <c r="GG280" s="16">
        <v>0</v>
      </c>
      <c r="GH280" s="16">
        <v>0</v>
      </c>
      <c r="GI280" s="16">
        <v>0</v>
      </c>
      <c r="GJ280" s="16">
        <v>0</v>
      </c>
      <c r="GK280" s="16">
        <v>0</v>
      </c>
      <c r="GL280" s="16">
        <v>0</v>
      </c>
      <c r="GM280" s="16">
        <v>0</v>
      </c>
      <c r="GN280" s="16">
        <v>0</v>
      </c>
      <c r="GO280" s="16">
        <v>0</v>
      </c>
      <c r="GP280" s="16">
        <v>0</v>
      </c>
      <c r="GQ280" s="16">
        <v>0</v>
      </c>
      <c r="GR280" s="16">
        <v>0</v>
      </c>
      <c r="GS280" s="16">
        <v>0</v>
      </c>
      <c r="GT280" s="16">
        <v>0</v>
      </c>
      <c r="GU280" s="16">
        <v>0</v>
      </c>
      <c r="GV280" s="16">
        <v>0</v>
      </c>
      <c r="GW280" s="16">
        <v>0</v>
      </c>
      <c r="GX280" s="16">
        <v>0</v>
      </c>
      <c r="GY280" s="16">
        <v>0</v>
      </c>
      <c r="GZ280" s="16">
        <v>0</v>
      </c>
      <c r="HA280" s="16">
        <v>0</v>
      </c>
      <c r="HB280" s="16">
        <v>0</v>
      </c>
      <c r="HC280" s="16">
        <v>0</v>
      </c>
      <c r="HD280" s="16">
        <v>0</v>
      </c>
      <c r="HE280" s="16">
        <v>0</v>
      </c>
      <c r="HF280" s="16">
        <v>0</v>
      </c>
      <c r="HG280" s="16">
        <v>0</v>
      </c>
      <c r="HH280" s="16">
        <v>0</v>
      </c>
      <c r="HI280" s="16">
        <v>0</v>
      </c>
      <c r="HJ280" s="16">
        <v>0</v>
      </c>
      <c r="HK280" s="16">
        <v>0</v>
      </c>
      <c r="HL280" s="16">
        <v>0</v>
      </c>
      <c r="HM280" s="16">
        <v>0</v>
      </c>
      <c r="HN280" s="16">
        <v>0</v>
      </c>
      <c r="HO280" s="16">
        <v>0</v>
      </c>
      <c r="HP280" s="16">
        <v>0</v>
      </c>
      <c r="HQ280" s="16">
        <v>0</v>
      </c>
      <c r="HR280" s="16">
        <v>0</v>
      </c>
      <c r="HS280" s="16">
        <v>0</v>
      </c>
      <c r="HT280" s="16">
        <v>0</v>
      </c>
      <c r="HU280" s="16">
        <v>0</v>
      </c>
      <c r="HV280" s="16">
        <v>0</v>
      </c>
      <c r="HW280" s="16">
        <v>0</v>
      </c>
      <c r="HX280" s="16">
        <v>0</v>
      </c>
      <c r="HY280" s="16">
        <v>0</v>
      </c>
      <c r="HZ280" s="16">
        <v>0</v>
      </c>
      <c r="IA280" s="16">
        <v>0</v>
      </c>
      <c r="IB280" s="16">
        <v>0</v>
      </c>
      <c r="IC280" s="16">
        <v>0</v>
      </c>
      <c r="ID280" s="16">
        <v>0</v>
      </c>
      <c r="IE280" s="16">
        <v>0</v>
      </c>
      <c r="IF280" s="16">
        <v>0</v>
      </c>
      <c r="IG280" s="16">
        <v>0</v>
      </c>
      <c r="IH280" s="16">
        <v>0</v>
      </c>
      <c r="II280" s="16">
        <v>0</v>
      </c>
      <c r="IJ280" s="16">
        <v>0</v>
      </c>
      <c r="IK280" s="16">
        <v>0</v>
      </c>
      <c r="IL280" s="16">
        <v>0</v>
      </c>
      <c r="IM280" s="16">
        <v>0</v>
      </c>
      <c r="IN280" s="16">
        <v>0</v>
      </c>
      <c r="IO280" s="16">
        <v>0</v>
      </c>
      <c r="IP280" s="16">
        <v>0</v>
      </c>
      <c r="IQ280" s="16">
        <v>0</v>
      </c>
      <c r="IR280" s="16">
        <v>0</v>
      </c>
      <c r="IS280" s="16">
        <v>0</v>
      </c>
      <c r="IT280" s="16">
        <v>0</v>
      </c>
      <c r="IU280" s="16">
        <v>0</v>
      </c>
      <c r="IV280" s="16">
        <v>0</v>
      </c>
      <c r="IW280" s="16">
        <v>0</v>
      </c>
      <c r="IX280" s="16">
        <v>0</v>
      </c>
      <c r="IY280" s="16">
        <v>0</v>
      </c>
      <c r="IZ280" s="16">
        <v>0</v>
      </c>
      <c r="JA280" s="16">
        <v>0</v>
      </c>
      <c r="JB280" s="16">
        <v>0</v>
      </c>
      <c r="JC280" s="16">
        <v>0</v>
      </c>
      <c r="JD280" s="16">
        <v>0</v>
      </c>
      <c r="JE280" s="16">
        <v>0</v>
      </c>
      <c r="JF280" s="16">
        <v>0</v>
      </c>
      <c r="JG280" s="16">
        <v>0</v>
      </c>
      <c r="JH280" s="16">
        <v>0</v>
      </c>
      <c r="JI280" s="16">
        <v>0</v>
      </c>
      <c r="JJ280" s="16">
        <v>0</v>
      </c>
      <c r="JK280" s="16">
        <v>0</v>
      </c>
      <c r="JL280" s="16">
        <v>0</v>
      </c>
      <c r="JM280" s="16">
        <v>0</v>
      </c>
      <c r="JN280" s="16">
        <v>0</v>
      </c>
      <c r="JO280" s="16">
        <v>0</v>
      </c>
      <c r="JP280" s="16">
        <v>0</v>
      </c>
      <c r="JQ280" s="16">
        <v>0</v>
      </c>
      <c r="JR280" s="16">
        <v>0</v>
      </c>
      <c r="JS280" s="16">
        <v>0</v>
      </c>
      <c r="JT280" s="16">
        <v>0</v>
      </c>
      <c r="JU280" s="16">
        <v>0</v>
      </c>
      <c r="JV280" s="16">
        <v>0</v>
      </c>
      <c r="JW280" s="16">
        <v>0</v>
      </c>
      <c r="JX280" s="16">
        <v>0</v>
      </c>
      <c r="JY280" s="16">
        <v>0</v>
      </c>
      <c r="JZ280" s="16">
        <v>0</v>
      </c>
      <c r="KA280" s="16">
        <v>0</v>
      </c>
      <c r="KB280" s="16">
        <v>0</v>
      </c>
      <c r="KC280" s="16">
        <v>0</v>
      </c>
      <c r="KD280" s="16">
        <v>0</v>
      </c>
      <c r="KE280" s="16">
        <v>0</v>
      </c>
      <c r="KF280" s="16">
        <v>0</v>
      </c>
      <c r="KG280" s="16">
        <v>0</v>
      </c>
      <c r="KH280" s="16">
        <v>0</v>
      </c>
      <c r="KI280" s="16">
        <v>0</v>
      </c>
      <c r="KJ280" s="16">
        <v>0</v>
      </c>
      <c r="KK280" s="16">
        <v>0</v>
      </c>
      <c r="KL280" s="16">
        <v>0</v>
      </c>
      <c r="KM280" s="16">
        <v>0</v>
      </c>
      <c r="KN280" s="16">
        <v>0</v>
      </c>
      <c r="KO280" s="16">
        <v>0</v>
      </c>
      <c r="KP280" s="16">
        <v>0</v>
      </c>
      <c r="KQ280" s="16">
        <v>0</v>
      </c>
      <c r="KR280" s="16">
        <v>0</v>
      </c>
      <c r="KS280" s="16">
        <v>0</v>
      </c>
      <c r="KT280" s="16">
        <v>0</v>
      </c>
      <c r="KU280" s="16">
        <v>0</v>
      </c>
      <c r="KV280" s="16">
        <v>0</v>
      </c>
      <c r="KW280" s="16">
        <v>0</v>
      </c>
      <c r="KX280" s="16">
        <v>0</v>
      </c>
      <c r="KY280" s="16">
        <v>0</v>
      </c>
      <c r="KZ280" s="16">
        <v>0</v>
      </c>
      <c r="LA280" s="16">
        <v>0</v>
      </c>
      <c r="LB280" s="16">
        <v>0</v>
      </c>
      <c r="LC280" s="16">
        <v>0</v>
      </c>
      <c r="LD280" s="16">
        <v>0</v>
      </c>
      <c r="LE280" s="16">
        <v>0</v>
      </c>
      <c r="LF280" s="16">
        <v>0</v>
      </c>
      <c r="LG280" s="16">
        <v>0</v>
      </c>
      <c r="LH280" s="16">
        <v>0</v>
      </c>
      <c r="LI280" s="16">
        <v>0</v>
      </c>
      <c r="LJ280" s="16">
        <v>0</v>
      </c>
      <c r="LK280" s="16">
        <v>0</v>
      </c>
      <c r="LL280" s="16">
        <v>0</v>
      </c>
      <c r="LM280" s="16">
        <v>0</v>
      </c>
      <c r="LN280" s="16">
        <v>0</v>
      </c>
      <c r="LO280" s="16">
        <v>0</v>
      </c>
      <c r="LP280" s="16">
        <v>0</v>
      </c>
      <c r="LQ280" s="16">
        <v>0</v>
      </c>
      <c r="LR280" s="16">
        <v>0</v>
      </c>
      <c r="LS280" s="16">
        <v>0</v>
      </c>
      <c r="LT280" s="16">
        <v>0</v>
      </c>
      <c r="LU280" s="16">
        <v>0</v>
      </c>
      <c r="LV280" s="16">
        <v>0</v>
      </c>
      <c r="LW280" s="16">
        <v>0</v>
      </c>
      <c r="LX280" s="16">
        <v>0</v>
      </c>
      <c r="LY280" s="16">
        <v>0</v>
      </c>
      <c r="LZ280" s="16">
        <v>0</v>
      </c>
      <c r="MA280" s="16">
        <v>0</v>
      </c>
      <c r="MB280" s="16">
        <v>0</v>
      </c>
      <c r="MC280" s="16">
        <v>0</v>
      </c>
      <c r="MD280" s="16">
        <v>0</v>
      </c>
      <c r="ME280" s="16">
        <v>0</v>
      </c>
      <c r="MF280" s="16">
        <v>0</v>
      </c>
      <c r="MG280" s="16">
        <v>0</v>
      </c>
      <c r="MH280" s="16">
        <v>0</v>
      </c>
      <c r="MI280" s="16">
        <v>0</v>
      </c>
      <c r="MJ280" s="16">
        <v>0</v>
      </c>
      <c r="MK280" s="16">
        <v>0</v>
      </c>
      <c r="ML280" s="16">
        <v>0</v>
      </c>
      <c r="MM280" s="16">
        <v>0</v>
      </c>
      <c r="MN280" s="16">
        <v>0</v>
      </c>
      <c r="MO280" s="16">
        <v>0</v>
      </c>
      <c r="MP280" s="16">
        <v>0</v>
      </c>
      <c r="MQ280" s="16">
        <v>0</v>
      </c>
      <c r="MR280" s="16">
        <v>0</v>
      </c>
      <c r="MS280" s="16">
        <v>0</v>
      </c>
      <c r="MT280" s="16">
        <v>0</v>
      </c>
      <c r="MU280" s="16">
        <v>0</v>
      </c>
      <c r="MV280" s="16">
        <v>0</v>
      </c>
      <c r="MW280" s="16">
        <v>0</v>
      </c>
      <c r="MX280" s="16">
        <v>0</v>
      </c>
      <c r="MY280" s="16">
        <v>0</v>
      </c>
      <c r="MZ280" s="16">
        <v>0</v>
      </c>
      <c r="NA280" s="16">
        <v>0</v>
      </c>
      <c r="NB280" s="16">
        <v>0</v>
      </c>
      <c r="NC280" s="16">
        <v>0</v>
      </c>
      <c r="ND280" s="16">
        <v>0</v>
      </c>
      <c r="NE280" s="16">
        <v>0</v>
      </c>
      <c r="NF280" s="16">
        <v>0</v>
      </c>
      <c r="NG280" s="16">
        <v>0</v>
      </c>
      <c r="NH280" s="16">
        <v>0</v>
      </c>
      <c r="NI280" s="16">
        <v>0</v>
      </c>
      <c r="NJ280" s="16">
        <v>0</v>
      </c>
      <c r="NK280" s="16">
        <v>0</v>
      </c>
      <c r="NL280" s="16">
        <v>0</v>
      </c>
      <c r="NM280" s="16">
        <v>0</v>
      </c>
      <c r="NN280" s="16">
        <v>0</v>
      </c>
      <c r="NO280" s="16">
        <v>0</v>
      </c>
      <c r="NP280" s="16">
        <v>0</v>
      </c>
      <c r="NQ280" s="16">
        <v>0</v>
      </c>
      <c r="NR280" s="17">
        <v>0</v>
      </c>
    </row>
    <row r="281" spans="1:382" ht="13.5" customHeight="1" x14ac:dyDescent="0.2">
      <c r="A281" s="2" t="s">
        <v>569</v>
      </c>
      <c r="B281" s="16">
        <v>0</v>
      </c>
      <c r="C281" s="16">
        <v>0</v>
      </c>
      <c r="D281" s="16">
        <v>0</v>
      </c>
      <c r="E281" s="16">
        <v>0</v>
      </c>
      <c r="F281" s="16">
        <v>0</v>
      </c>
      <c r="G281" s="16">
        <v>0</v>
      </c>
      <c r="H281" s="16">
        <v>7</v>
      </c>
      <c r="I281" s="16">
        <v>0</v>
      </c>
      <c r="J281" s="16">
        <v>0</v>
      </c>
      <c r="K281" s="16">
        <v>0</v>
      </c>
      <c r="L281" s="16">
        <v>2534</v>
      </c>
      <c r="M281" s="16">
        <v>0</v>
      </c>
      <c r="N281" s="16">
        <v>0</v>
      </c>
      <c r="O281" s="16">
        <v>0</v>
      </c>
      <c r="P281" s="16">
        <v>1450</v>
      </c>
      <c r="Q281" s="16">
        <v>196</v>
      </c>
      <c r="R281" s="16">
        <v>12200</v>
      </c>
      <c r="S281" s="16">
        <v>303</v>
      </c>
      <c r="T281" s="16">
        <v>89</v>
      </c>
      <c r="U281" s="16">
        <v>0</v>
      </c>
      <c r="V281" s="16">
        <v>0</v>
      </c>
      <c r="W281" s="16">
        <v>0</v>
      </c>
      <c r="X281" s="16">
        <v>2340</v>
      </c>
      <c r="Y281" s="16">
        <v>7705</v>
      </c>
      <c r="Z281" s="16">
        <v>9854</v>
      </c>
      <c r="AA281" s="16">
        <v>74</v>
      </c>
      <c r="AB281" s="16">
        <v>0</v>
      </c>
      <c r="AC281" s="16">
        <v>0</v>
      </c>
      <c r="AD281" s="16">
        <v>0</v>
      </c>
      <c r="AE281" s="16">
        <v>244</v>
      </c>
      <c r="AF281" s="16">
        <v>0</v>
      </c>
      <c r="AG281" s="16">
        <v>2090</v>
      </c>
      <c r="AH281" s="16">
        <v>872</v>
      </c>
      <c r="AI281" s="16">
        <v>972</v>
      </c>
      <c r="AJ281" s="16">
        <v>16883</v>
      </c>
      <c r="AK281" s="16">
        <v>74985</v>
      </c>
      <c r="AL281" s="16">
        <v>1842</v>
      </c>
      <c r="AM281" s="16">
        <v>8083</v>
      </c>
      <c r="AN281" s="16">
        <v>9520</v>
      </c>
      <c r="AO281" s="16">
        <v>8103</v>
      </c>
      <c r="AP281" s="16">
        <v>732</v>
      </c>
      <c r="AQ281" s="16">
        <v>945</v>
      </c>
      <c r="AR281" s="16">
        <v>0</v>
      </c>
      <c r="AS281" s="16">
        <v>1081</v>
      </c>
      <c r="AT281" s="16">
        <v>20952</v>
      </c>
      <c r="AU281" s="16">
        <v>9291</v>
      </c>
      <c r="AV281" s="16">
        <v>14425</v>
      </c>
      <c r="AW281" s="16">
        <v>22894</v>
      </c>
      <c r="AX281" s="16">
        <v>17219</v>
      </c>
      <c r="AY281" s="16">
        <v>13887</v>
      </c>
      <c r="AZ281" s="16">
        <v>13412</v>
      </c>
      <c r="BA281" s="16">
        <v>8665</v>
      </c>
      <c r="BB281" s="16">
        <v>14707</v>
      </c>
      <c r="BC281" s="16">
        <v>4711</v>
      </c>
      <c r="BD281" s="16">
        <v>8711</v>
      </c>
      <c r="BE281" s="16">
        <v>9303</v>
      </c>
      <c r="BF281" s="16">
        <v>1589</v>
      </c>
      <c r="BG281" s="16">
        <v>3767</v>
      </c>
      <c r="BH281" s="16">
        <v>31401</v>
      </c>
      <c r="BI281" s="16">
        <v>1387</v>
      </c>
      <c r="BJ281" s="16">
        <v>1143</v>
      </c>
      <c r="BK281" s="16">
        <v>18831</v>
      </c>
      <c r="BL281" s="16">
        <v>28004</v>
      </c>
      <c r="BM281" s="16">
        <v>1064</v>
      </c>
      <c r="BN281" s="16">
        <v>2424</v>
      </c>
      <c r="BO281" s="16">
        <v>99654</v>
      </c>
      <c r="BP281" s="16">
        <v>6912</v>
      </c>
      <c r="BQ281" s="16">
        <v>205</v>
      </c>
      <c r="BR281" s="16">
        <v>1354</v>
      </c>
      <c r="BS281" s="16">
        <v>646</v>
      </c>
      <c r="BT281" s="16">
        <v>30</v>
      </c>
      <c r="BU281" s="16">
        <v>2</v>
      </c>
      <c r="BV281" s="16">
        <v>23</v>
      </c>
      <c r="BW281" s="16">
        <v>711</v>
      </c>
      <c r="BX281" s="16">
        <v>19509</v>
      </c>
      <c r="BY281" s="16">
        <v>584</v>
      </c>
      <c r="BZ281" s="16">
        <v>96</v>
      </c>
      <c r="CA281" s="16">
        <v>83</v>
      </c>
      <c r="CB281" s="16">
        <v>41</v>
      </c>
      <c r="CC281" s="16">
        <v>491</v>
      </c>
      <c r="CD281" s="16">
        <v>3984</v>
      </c>
      <c r="CE281" s="16">
        <v>1445</v>
      </c>
      <c r="CF281" s="16">
        <v>18541</v>
      </c>
      <c r="CG281" s="16">
        <v>3225</v>
      </c>
      <c r="CH281" s="16">
        <v>69</v>
      </c>
      <c r="CI281" s="16">
        <v>22521</v>
      </c>
      <c r="CJ281" s="16">
        <v>12460</v>
      </c>
      <c r="CK281" s="16">
        <v>14401</v>
      </c>
      <c r="CL281" s="16">
        <v>460</v>
      </c>
      <c r="CM281" s="16">
        <v>4005</v>
      </c>
      <c r="CN281" s="16">
        <v>955</v>
      </c>
      <c r="CO281" s="16">
        <v>1296</v>
      </c>
      <c r="CP281" s="16">
        <v>4122</v>
      </c>
      <c r="CQ281" s="16">
        <v>22769</v>
      </c>
      <c r="CR281" s="16">
        <v>26</v>
      </c>
      <c r="CS281" s="16">
        <v>609</v>
      </c>
      <c r="CT281" s="16">
        <v>2268</v>
      </c>
      <c r="CU281" s="16">
        <v>0</v>
      </c>
      <c r="CV281" s="16">
        <v>5165</v>
      </c>
      <c r="CW281" s="16">
        <v>38</v>
      </c>
      <c r="CX281" s="16">
        <v>1191</v>
      </c>
      <c r="CY281" s="16">
        <v>94</v>
      </c>
      <c r="CZ281" s="16">
        <v>22383</v>
      </c>
      <c r="DA281" s="16">
        <v>3021</v>
      </c>
      <c r="DB281" s="16">
        <v>5916</v>
      </c>
      <c r="DC281" s="16">
        <v>1540</v>
      </c>
      <c r="DD281" s="16">
        <v>7931</v>
      </c>
      <c r="DE281" s="16">
        <v>3166</v>
      </c>
      <c r="DF281" s="16">
        <v>30675</v>
      </c>
      <c r="DG281" s="16">
        <v>12940</v>
      </c>
      <c r="DH281" s="16">
        <v>139294</v>
      </c>
      <c r="DI281" s="16">
        <v>53498</v>
      </c>
      <c r="DJ281" s="16">
        <v>93258</v>
      </c>
      <c r="DK281" s="16">
        <v>15417</v>
      </c>
      <c r="DL281" s="16">
        <v>22906</v>
      </c>
      <c r="DM281" s="16">
        <v>59748</v>
      </c>
      <c r="DN281" s="16">
        <v>3938</v>
      </c>
      <c r="DO281" s="16">
        <v>3915</v>
      </c>
      <c r="DP281" s="16">
        <v>27974</v>
      </c>
      <c r="DQ281" s="16">
        <v>12927</v>
      </c>
      <c r="DR281" s="16">
        <v>30500</v>
      </c>
      <c r="DS281" s="16">
        <v>21279</v>
      </c>
      <c r="DT281" s="16">
        <v>19656</v>
      </c>
      <c r="DU281" s="16">
        <v>19231</v>
      </c>
      <c r="DV281" s="16">
        <v>85132</v>
      </c>
      <c r="DW281" s="16">
        <v>91375</v>
      </c>
      <c r="DX281" s="16">
        <v>14069</v>
      </c>
      <c r="DY281" s="16">
        <v>15241</v>
      </c>
      <c r="DZ281" s="16">
        <v>55278</v>
      </c>
      <c r="EA281" s="16">
        <v>15530</v>
      </c>
      <c r="EB281" s="16">
        <v>5223</v>
      </c>
      <c r="EC281" s="16">
        <v>34892</v>
      </c>
      <c r="ED281" s="16">
        <v>7836</v>
      </c>
      <c r="EE281" s="16">
        <v>374</v>
      </c>
      <c r="EF281" s="16">
        <v>3364</v>
      </c>
      <c r="EG281" s="16">
        <v>17466</v>
      </c>
      <c r="EH281" s="16">
        <v>3434</v>
      </c>
      <c r="EI281" s="16">
        <v>5652</v>
      </c>
      <c r="EJ281" s="16">
        <v>1445</v>
      </c>
      <c r="EK281" s="16">
        <v>6095</v>
      </c>
      <c r="EL281" s="16">
        <v>1042</v>
      </c>
      <c r="EM281" s="16">
        <v>142</v>
      </c>
      <c r="EN281" s="16">
        <v>6359</v>
      </c>
      <c r="EO281" s="16">
        <v>6981</v>
      </c>
      <c r="EP281" s="16">
        <v>2507</v>
      </c>
      <c r="EQ281" s="16">
        <v>28688</v>
      </c>
      <c r="ER281" s="16">
        <v>1446</v>
      </c>
      <c r="ES281" s="16">
        <v>1599</v>
      </c>
      <c r="ET281" s="16">
        <v>5770</v>
      </c>
      <c r="EU281" s="16">
        <v>14</v>
      </c>
      <c r="EV281" s="16">
        <v>1107</v>
      </c>
      <c r="EW281" s="16">
        <v>2198</v>
      </c>
      <c r="EX281" s="16">
        <v>38836</v>
      </c>
      <c r="EY281" s="16">
        <v>2763</v>
      </c>
      <c r="EZ281" s="16">
        <v>5451</v>
      </c>
      <c r="FA281" s="16">
        <v>9329</v>
      </c>
      <c r="FB281" s="16">
        <v>24815</v>
      </c>
      <c r="FC281" s="16">
        <v>2102</v>
      </c>
      <c r="FD281" s="16">
        <v>26603</v>
      </c>
      <c r="FE281" s="16">
        <v>8185</v>
      </c>
      <c r="FF281" s="16">
        <v>5342</v>
      </c>
      <c r="FG281" s="16">
        <v>1782</v>
      </c>
      <c r="FH281" s="16">
        <v>181</v>
      </c>
      <c r="FI281" s="16">
        <v>17500</v>
      </c>
      <c r="FJ281" s="16">
        <v>13467</v>
      </c>
      <c r="FK281" s="16">
        <v>16084</v>
      </c>
      <c r="FL281" s="16">
        <v>105</v>
      </c>
      <c r="FM281" s="16">
        <v>22828</v>
      </c>
      <c r="FN281" s="16">
        <v>34001</v>
      </c>
      <c r="FO281" s="16">
        <v>37</v>
      </c>
      <c r="FP281" s="16">
        <v>16396</v>
      </c>
      <c r="FQ281" s="16">
        <v>11109</v>
      </c>
      <c r="FR281" s="16">
        <v>50222</v>
      </c>
      <c r="FS281" s="16">
        <v>13607</v>
      </c>
      <c r="FT281" s="16">
        <v>1296</v>
      </c>
      <c r="FU281" s="16">
        <v>47979</v>
      </c>
      <c r="FV281" s="16">
        <v>20259</v>
      </c>
      <c r="FW281" s="16">
        <v>189449</v>
      </c>
      <c r="FX281" s="16">
        <v>122777</v>
      </c>
      <c r="FY281" s="16">
        <v>2649</v>
      </c>
      <c r="FZ281" s="16">
        <v>14733</v>
      </c>
      <c r="GA281" s="16">
        <v>3751</v>
      </c>
      <c r="GB281" s="16">
        <v>33065</v>
      </c>
      <c r="GC281" s="16">
        <v>4943</v>
      </c>
      <c r="GD281" s="16">
        <v>2812</v>
      </c>
      <c r="GE281" s="16">
        <v>626</v>
      </c>
      <c r="GF281" s="16">
        <v>7987</v>
      </c>
      <c r="GG281" s="16">
        <v>31</v>
      </c>
      <c r="GH281" s="16">
        <v>1536</v>
      </c>
      <c r="GI281" s="16">
        <v>53023</v>
      </c>
      <c r="GJ281" s="16">
        <v>9983</v>
      </c>
      <c r="GK281" s="16">
        <v>12424</v>
      </c>
      <c r="GL281" s="16">
        <v>71</v>
      </c>
      <c r="GM281" s="16">
        <v>5537</v>
      </c>
      <c r="GN281" s="16">
        <v>413</v>
      </c>
      <c r="GO281" s="16">
        <v>1102</v>
      </c>
      <c r="GP281" s="16">
        <v>541</v>
      </c>
      <c r="GQ281" s="16">
        <v>104</v>
      </c>
      <c r="GR281" s="16">
        <v>7055</v>
      </c>
      <c r="GS281" s="16">
        <v>924</v>
      </c>
      <c r="GT281" s="16">
        <v>2616</v>
      </c>
      <c r="GU281" s="16">
        <v>12746</v>
      </c>
      <c r="GV281" s="16">
        <v>4308</v>
      </c>
      <c r="GW281" s="16">
        <v>175</v>
      </c>
      <c r="GX281" s="16">
        <v>22336</v>
      </c>
      <c r="GY281" s="16">
        <v>27</v>
      </c>
      <c r="GZ281" s="16">
        <v>13001</v>
      </c>
      <c r="HA281" s="16">
        <v>732</v>
      </c>
      <c r="HB281" s="16">
        <v>374</v>
      </c>
      <c r="HC281" s="16">
        <v>6918</v>
      </c>
      <c r="HD281" s="16">
        <v>7675</v>
      </c>
      <c r="HE281" s="16">
        <v>32136</v>
      </c>
      <c r="HF281" s="16">
        <v>2152</v>
      </c>
      <c r="HG281" s="16">
        <v>2021</v>
      </c>
      <c r="HH281" s="16">
        <v>13275</v>
      </c>
      <c r="HI281" s="16">
        <v>32807</v>
      </c>
      <c r="HJ281" s="16">
        <v>191</v>
      </c>
      <c r="HK281" s="16">
        <v>582</v>
      </c>
      <c r="HL281" s="16">
        <v>1920</v>
      </c>
      <c r="HM281" s="16">
        <v>8096</v>
      </c>
      <c r="HN281" s="16">
        <v>11198</v>
      </c>
      <c r="HO281" s="16">
        <v>24583</v>
      </c>
      <c r="HP281" s="16">
        <v>3169</v>
      </c>
      <c r="HQ281" s="16">
        <v>1467</v>
      </c>
      <c r="HR281" s="16">
        <v>17881</v>
      </c>
      <c r="HS281" s="16">
        <v>16355</v>
      </c>
      <c r="HT281" s="16">
        <v>477</v>
      </c>
      <c r="HU281" s="16">
        <v>4343</v>
      </c>
      <c r="HV281" s="16">
        <v>6073</v>
      </c>
      <c r="HW281" s="16">
        <v>6140</v>
      </c>
      <c r="HX281" s="16">
        <v>12111</v>
      </c>
      <c r="HY281" s="16">
        <v>27786</v>
      </c>
      <c r="HZ281" s="16">
        <v>5275</v>
      </c>
      <c r="IA281" s="16">
        <v>808</v>
      </c>
      <c r="IB281" s="16">
        <v>53</v>
      </c>
      <c r="IC281" s="16">
        <v>1887</v>
      </c>
      <c r="ID281" s="16">
        <v>2386</v>
      </c>
      <c r="IE281" s="16">
        <v>491</v>
      </c>
      <c r="IF281" s="16">
        <v>362</v>
      </c>
      <c r="IG281" s="16">
        <v>822</v>
      </c>
      <c r="IH281" s="16">
        <v>49764</v>
      </c>
      <c r="II281" s="16">
        <v>2233</v>
      </c>
      <c r="IJ281" s="16">
        <v>1991</v>
      </c>
      <c r="IK281" s="16">
        <v>1941</v>
      </c>
      <c r="IL281" s="16">
        <v>1049</v>
      </c>
      <c r="IM281" s="16">
        <v>0</v>
      </c>
      <c r="IN281" s="16">
        <v>22597</v>
      </c>
      <c r="IO281" s="16">
        <v>32490</v>
      </c>
      <c r="IP281" s="16">
        <v>19157</v>
      </c>
      <c r="IQ281" s="16">
        <v>7235</v>
      </c>
      <c r="IR281" s="16">
        <v>3635</v>
      </c>
      <c r="IS281" s="16">
        <v>4612</v>
      </c>
      <c r="IT281" s="16">
        <v>308</v>
      </c>
      <c r="IU281" s="16">
        <v>129</v>
      </c>
      <c r="IV281" s="16">
        <v>971</v>
      </c>
      <c r="IW281" s="16">
        <v>13804</v>
      </c>
      <c r="IX281" s="16">
        <v>3378</v>
      </c>
      <c r="IY281" s="16">
        <v>6580</v>
      </c>
      <c r="IZ281" s="16">
        <v>273</v>
      </c>
      <c r="JA281" s="16">
        <v>2768</v>
      </c>
      <c r="JB281" s="16">
        <v>1141</v>
      </c>
      <c r="JC281" s="16">
        <v>556</v>
      </c>
      <c r="JD281" s="16">
        <v>624</v>
      </c>
      <c r="JE281" s="16">
        <v>589</v>
      </c>
      <c r="JF281" s="16">
        <v>10688</v>
      </c>
      <c r="JG281" s="16">
        <v>64058</v>
      </c>
      <c r="JH281" s="16">
        <v>17012</v>
      </c>
      <c r="JI281" s="16">
        <v>13091</v>
      </c>
      <c r="JJ281" s="16">
        <v>11949</v>
      </c>
      <c r="JK281" s="16">
        <v>13960</v>
      </c>
      <c r="JL281" s="16">
        <v>3278</v>
      </c>
      <c r="JM281" s="16">
        <v>1367</v>
      </c>
      <c r="JN281" s="16">
        <v>6472</v>
      </c>
      <c r="JO281" s="16">
        <v>176</v>
      </c>
      <c r="JP281" s="16">
        <v>13118</v>
      </c>
      <c r="JQ281" s="16">
        <v>5719</v>
      </c>
      <c r="JR281" s="16">
        <v>311040</v>
      </c>
      <c r="JS281" s="16">
        <v>104170</v>
      </c>
      <c r="JT281" s="16">
        <v>17</v>
      </c>
      <c r="JU281" s="16">
        <v>357102</v>
      </c>
      <c r="JV281" s="16">
        <v>3026</v>
      </c>
      <c r="JW281" s="16">
        <v>9888</v>
      </c>
      <c r="JX281" s="16">
        <v>17164</v>
      </c>
      <c r="JY281" s="16">
        <v>12581</v>
      </c>
      <c r="JZ281" s="16">
        <v>909</v>
      </c>
      <c r="KA281" s="16">
        <v>1903</v>
      </c>
      <c r="KB281" s="16">
        <v>1272</v>
      </c>
      <c r="KC281" s="16">
        <v>1674</v>
      </c>
      <c r="KD281" s="16">
        <v>129</v>
      </c>
      <c r="KE281" s="16">
        <v>4098</v>
      </c>
      <c r="KF281" s="16">
        <v>13102</v>
      </c>
      <c r="KG281" s="16">
        <v>3376</v>
      </c>
      <c r="KH281" s="16">
        <v>1047</v>
      </c>
      <c r="KI281" s="16">
        <v>8668</v>
      </c>
      <c r="KJ281" s="16">
        <v>4190</v>
      </c>
      <c r="KK281" s="16">
        <v>36261</v>
      </c>
      <c r="KL281" s="16">
        <v>9956</v>
      </c>
      <c r="KM281" s="16">
        <v>42555</v>
      </c>
      <c r="KN281" s="16">
        <v>64843</v>
      </c>
      <c r="KO281" s="16">
        <v>396</v>
      </c>
      <c r="KP281" s="16">
        <v>203</v>
      </c>
      <c r="KQ281" s="16">
        <v>135</v>
      </c>
      <c r="KR281" s="16">
        <v>18268</v>
      </c>
      <c r="KS281" s="16">
        <v>25</v>
      </c>
      <c r="KT281" s="16">
        <v>75</v>
      </c>
      <c r="KU281" s="16">
        <v>43077</v>
      </c>
      <c r="KV281" s="16">
        <v>16802</v>
      </c>
      <c r="KW281" s="16">
        <v>3536</v>
      </c>
      <c r="KX281" s="16">
        <v>88</v>
      </c>
      <c r="KY281" s="16">
        <v>1648</v>
      </c>
      <c r="KZ281" s="16">
        <v>1347205</v>
      </c>
      <c r="LA281" s="16">
        <v>180104</v>
      </c>
      <c r="LB281" s="16">
        <v>83035</v>
      </c>
      <c r="LC281" s="16">
        <v>65518</v>
      </c>
      <c r="LD281" s="16">
        <v>361712</v>
      </c>
      <c r="LE281" s="16">
        <v>11660</v>
      </c>
      <c r="LF281" s="16">
        <v>24793</v>
      </c>
      <c r="LG281" s="16">
        <v>30180</v>
      </c>
      <c r="LH281" s="16">
        <v>22243</v>
      </c>
      <c r="LI281" s="16">
        <v>1986</v>
      </c>
      <c r="LJ281" s="16">
        <v>9680</v>
      </c>
      <c r="LK281" s="16">
        <v>9431</v>
      </c>
      <c r="LL281" s="16">
        <v>0</v>
      </c>
      <c r="LM281" s="16">
        <v>0</v>
      </c>
      <c r="LN281" s="16">
        <v>39390</v>
      </c>
      <c r="LO281" s="16">
        <v>14259</v>
      </c>
      <c r="LP281" s="16">
        <v>46901</v>
      </c>
      <c r="LQ281" s="16">
        <v>18844</v>
      </c>
      <c r="LR281" s="16">
        <v>70494</v>
      </c>
      <c r="LS281" s="16">
        <v>22540</v>
      </c>
      <c r="LT281" s="16">
        <v>6168</v>
      </c>
      <c r="LU281" s="16">
        <v>39278</v>
      </c>
      <c r="LV281" s="16">
        <v>236</v>
      </c>
      <c r="LW281" s="16">
        <v>3158</v>
      </c>
      <c r="LX281" s="16">
        <v>97</v>
      </c>
      <c r="LY281" s="16">
        <v>0</v>
      </c>
      <c r="LZ281" s="16">
        <v>1831880</v>
      </c>
      <c r="MA281" s="16">
        <v>186965</v>
      </c>
      <c r="MB281" s="16">
        <v>30616</v>
      </c>
      <c r="MC281" s="16">
        <v>130789</v>
      </c>
      <c r="MD281" s="16">
        <v>71852</v>
      </c>
      <c r="ME281" s="16">
        <v>7030</v>
      </c>
      <c r="MF281" s="16">
        <v>24521</v>
      </c>
      <c r="MG281" s="16">
        <v>11064</v>
      </c>
      <c r="MH281" s="16">
        <v>11541</v>
      </c>
      <c r="MI281" s="16">
        <v>4159</v>
      </c>
      <c r="MJ281" s="16">
        <v>29286</v>
      </c>
      <c r="MK281" s="16">
        <v>22833</v>
      </c>
      <c r="ML281" s="16">
        <v>23503</v>
      </c>
      <c r="MM281" s="16">
        <v>40614</v>
      </c>
      <c r="MN281" s="16">
        <v>25760</v>
      </c>
      <c r="MO281" s="16">
        <v>151921</v>
      </c>
      <c r="MP281" s="16">
        <v>51154</v>
      </c>
      <c r="MQ281" s="16">
        <v>37661</v>
      </c>
      <c r="MR281" s="16">
        <v>143548</v>
      </c>
      <c r="MS281" s="16">
        <v>128856</v>
      </c>
      <c r="MT281" s="16">
        <v>20931</v>
      </c>
      <c r="MU281" s="16">
        <v>179838</v>
      </c>
      <c r="MV281" s="16">
        <v>44198</v>
      </c>
      <c r="MW281" s="16">
        <v>487065</v>
      </c>
      <c r="MX281" s="16">
        <v>21756</v>
      </c>
      <c r="MY281" s="16">
        <v>486406</v>
      </c>
      <c r="MZ281" s="16">
        <v>450661</v>
      </c>
      <c r="NA281" s="16">
        <v>49085</v>
      </c>
      <c r="NB281" s="16">
        <v>28814</v>
      </c>
      <c r="NC281" s="16">
        <v>15040</v>
      </c>
      <c r="ND281" s="16">
        <v>3239</v>
      </c>
      <c r="NE281" s="16">
        <v>11</v>
      </c>
      <c r="NF281" s="16">
        <v>3967</v>
      </c>
      <c r="NG281" s="16">
        <v>125554</v>
      </c>
      <c r="NH281" s="16">
        <v>16653</v>
      </c>
      <c r="NI281" s="16">
        <v>698</v>
      </c>
      <c r="NJ281" s="16">
        <v>555</v>
      </c>
      <c r="NK281" s="16">
        <v>175174</v>
      </c>
      <c r="NL281" s="16">
        <v>51796</v>
      </c>
      <c r="NM281" s="16">
        <v>47392</v>
      </c>
      <c r="NN281" s="16">
        <v>35666</v>
      </c>
      <c r="NO281" s="16">
        <v>0</v>
      </c>
      <c r="NP281" s="16">
        <v>33231</v>
      </c>
      <c r="NQ281" s="16">
        <v>636</v>
      </c>
      <c r="NR281" s="17">
        <v>11950586</v>
      </c>
    </row>
    <row r="282" spans="1:382" ht="13.5" customHeight="1" x14ac:dyDescent="0.2">
      <c r="A282" s="2" t="s">
        <v>571</v>
      </c>
      <c r="B282" s="16">
        <v>0</v>
      </c>
      <c r="C282" s="16">
        <v>0</v>
      </c>
      <c r="D282" s="16">
        <v>0</v>
      </c>
      <c r="E282" s="16">
        <v>0</v>
      </c>
      <c r="F282" s="16">
        <v>872</v>
      </c>
      <c r="G282" s="16">
        <v>0</v>
      </c>
      <c r="H282" s="16">
        <v>0</v>
      </c>
      <c r="I282" s="16">
        <v>1640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2112</v>
      </c>
      <c r="T282" s="16">
        <v>0</v>
      </c>
      <c r="U282" s="16">
        <v>0</v>
      </c>
      <c r="V282" s="16">
        <v>0</v>
      </c>
      <c r="W282" s="16">
        <v>0</v>
      </c>
      <c r="X282" s="16">
        <v>195</v>
      </c>
      <c r="Y282" s="16">
        <v>17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  <c r="AG282" s="16">
        <v>0</v>
      </c>
      <c r="AH282" s="16">
        <v>0</v>
      </c>
      <c r="AI282" s="16">
        <v>0</v>
      </c>
      <c r="AJ282" s="16">
        <v>0</v>
      </c>
      <c r="AK282" s="16">
        <v>0</v>
      </c>
      <c r="AL282" s="16">
        <v>0</v>
      </c>
      <c r="AM282" s="16">
        <v>0</v>
      </c>
      <c r="AN282" s="16">
        <v>0</v>
      </c>
      <c r="AO282" s="16">
        <v>0</v>
      </c>
      <c r="AP282" s="16">
        <v>0</v>
      </c>
      <c r="AQ282" s="16">
        <v>0</v>
      </c>
      <c r="AR282" s="16">
        <v>0</v>
      </c>
      <c r="AS282" s="16">
        <v>0</v>
      </c>
      <c r="AT282" s="16">
        <v>0</v>
      </c>
      <c r="AU282" s="16">
        <v>0</v>
      </c>
      <c r="AV282" s="16">
        <v>0</v>
      </c>
      <c r="AW282" s="16">
        <v>36</v>
      </c>
      <c r="AX282" s="16">
        <v>10257</v>
      </c>
      <c r="AY282" s="16">
        <v>0</v>
      </c>
      <c r="AZ282" s="16">
        <v>67</v>
      </c>
      <c r="BA282" s="16">
        <v>0</v>
      </c>
      <c r="BB282" s="16">
        <v>0</v>
      </c>
      <c r="BC282" s="16">
        <v>1109</v>
      </c>
      <c r="BD282" s="16">
        <v>0</v>
      </c>
      <c r="BE282" s="16">
        <v>53400</v>
      </c>
      <c r="BF282" s="16">
        <v>39908</v>
      </c>
      <c r="BG282" s="16">
        <v>23048</v>
      </c>
      <c r="BH282" s="16">
        <v>79619</v>
      </c>
      <c r="BI282" s="16">
        <v>0</v>
      </c>
      <c r="BJ282" s="16">
        <v>0</v>
      </c>
      <c r="BK282" s="16">
        <v>0</v>
      </c>
      <c r="BL282" s="16">
        <v>3239</v>
      </c>
      <c r="BM282" s="16">
        <v>85</v>
      </c>
      <c r="BN282" s="16">
        <v>870</v>
      </c>
      <c r="BO282" s="16">
        <v>0</v>
      </c>
      <c r="BP282" s="16">
        <v>6567</v>
      </c>
      <c r="BQ282" s="16">
        <v>0</v>
      </c>
      <c r="BR282" s="16">
        <v>13977</v>
      </c>
      <c r="BS282" s="16">
        <v>1364</v>
      </c>
      <c r="BT282" s="16">
        <v>355</v>
      </c>
      <c r="BU282" s="16">
        <v>0</v>
      </c>
      <c r="BV282" s="16">
        <v>0</v>
      </c>
      <c r="BW282" s="16">
        <v>0</v>
      </c>
      <c r="BX282" s="16">
        <v>0</v>
      </c>
      <c r="BY282" s="16">
        <v>0</v>
      </c>
      <c r="BZ282" s="16">
        <v>0</v>
      </c>
      <c r="CA282" s="16">
        <v>26882</v>
      </c>
      <c r="CB282" s="16">
        <v>0</v>
      </c>
      <c r="CC282" s="16">
        <v>11</v>
      </c>
      <c r="CD282" s="16">
        <v>82</v>
      </c>
      <c r="CE282" s="16">
        <v>308</v>
      </c>
      <c r="CF282" s="16">
        <v>1946</v>
      </c>
      <c r="CG282" s="16">
        <v>9819</v>
      </c>
      <c r="CH282" s="16">
        <v>3289</v>
      </c>
      <c r="CI282" s="16">
        <v>3543</v>
      </c>
      <c r="CJ282" s="16">
        <v>67714</v>
      </c>
      <c r="CK282" s="16">
        <v>283583</v>
      </c>
      <c r="CL282" s="16">
        <v>6955</v>
      </c>
      <c r="CM282" s="16">
        <v>0</v>
      </c>
      <c r="CN282" s="16">
        <v>0</v>
      </c>
      <c r="CO282" s="16">
        <v>12431</v>
      </c>
      <c r="CP282" s="16">
        <v>22678</v>
      </c>
      <c r="CQ282" s="16">
        <v>0</v>
      </c>
      <c r="CR282" s="16">
        <v>0</v>
      </c>
      <c r="CS282" s="16">
        <v>0</v>
      </c>
      <c r="CT282" s="16">
        <v>0</v>
      </c>
      <c r="CU282" s="16">
        <v>0</v>
      </c>
      <c r="CV282" s="16">
        <v>0</v>
      </c>
      <c r="CW282" s="16">
        <v>0</v>
      </c>
      <c r="CX282" s="16">
        <v>0</v>
      </c>
      <c r="CY282" s="16">
        <v>0</v>
      </c>
      <c r="CZ282" s="16">
        <v>0</v>
      </c>
      <c r="DA282" s="16">
        <v>23506</v>
      </c>
      <c r="DB282" s="16">
        <v>33457</v>
      </c>
      <c r="DC282" s="16">
        <v>598</v>
      </c>
      <c r="DD282" s="16">
        <v>875</v>
      </c>
      <c r="DE282" s="16">
        <v>819</v>
      </c>
      <c r="DF282" s="16">
        <v>105774</v>
      </c>
      <c r="DG282" s="16">
        <v>356</v>
      </c>
      <c r="DH282" s="16">
        <v>40793</v>
      </c>
      <c r="DI282" s="16">
        <v>218</v>
      </c>
      <c r="DJ282" s="16">
        <v>91512</v>
      </c>
      <c r="DK282" s="16">
        <v>267</v>
      </c>
      <c r="DL282" s="16">
        <v>10602</v>
      </c>
      <c r="DM282" s="16">
        <v>2170</v>
      </c>
      <c r="DN282" s="16">
        <v>19</v>
      </c>
      <c r="DO282" s="16">
        <v>29020</v>
      </c>
      <c r="DP282" s="16">
        <v>536</v>
      </c>
      <c r="DQ282" s="16">
        <v>0</v>
      </c>
      <c r="DR282" s="16">
        <v>16548</v>
      </c>
      <c r="DS282" s="16">
        <v>0</v>
      </c>
      <c r="DT282" s="16">
        <v>167</v>
      </c>
      <c r="DU282" s="16">
        <v>0</v>
      </c>
      <c r="DV282" s="16">
        <v>193192</v>
      </c>
      <c r="DW282" s="16">
        <v>849320</v>
      </c>
      <c r="DX282" s="16">
        <v>475419</v>
      </c>
      <c r="DY282" s="16">
        <v>487933</v>
      </c>
      <c r="DZ282" s="16">
        <v>684756</v>
      </c>
      <c r="EA282" s="16">
        <v>602026</v>
      </c>
      <c r="EB282" s="16">
        <v>9607</v>
      </c>
      <c r="EC282" s="16">
        <v>11658</v>
      </c>
      <c r="ED282" s="16">
        <v>10408</v>
      </c>
      <c r="EE282" s="16">
        <v>655</v>
      </c>
      <c r="EF282" s="16">
        <v>37713</v>
      </c>
      <c r="EG282" s="16">
        <v>24706</v>
      </c>
      <c r="EH282" s="16">
        <v>324</v>
      </c>
      <c r="EI282" s="16">
        <v>0</v>
      </c>
      <c r="EJ282" s="16">
        <v>0</v>
      </c>
      <c r="EK282" s="16">
        <v>42058</v>
      </c>
      <c r="EL282" s="16">
        <v>35170</v>
      </c>
      <c r="EM282" s="16">
        <v>71067</v>
      </c>
      <c r="EN282" s="16">
        <v>39336</v>
      </c>
      <c r="EO282" s="16">
        <v>110271</v>
      </c>
      <c r="EP282" s="16">
        <v>1618</v>
      </c>
      <c r="EQ282" s="16">
        <v>0</v>
      </c>
      <c r="ER282" s="16">
        <v>0</v>
      </c>
      <c r="ES282" s="16">
        <v>106094</v>
      </c>
      <c r="ET282" s="16">
        <v>9076</v>
      </c>
      <c r="EU282" s="16">
        <v>38609</v>
      </c>
      <c r="EV282" s="16">
        <v>6234</v>
      </c>
      <c r="EW282" s="16">
        <v>159490</v>
      </c>
      <c r="EX282" s="16">
        <v>900491</v>
      </c>
      <c r="EY282" s="16">
        <v>21229</v>
      </c>
      <c r="EZ282" s="16">
        <v>51364</v>
      </c>
      <c r="FA282" s="16">
        <v>64015</v>
      </c>
      <c r="FB282" s="16">
        <v>305919</v>
      </c>
      <c r="FC282" s="16">
        <v>41700</v>
      </c>
      <c r="FD282" s="16">
        <v>323961</v>
      </c>
      <c r="FE282" s="16">
        <v>265647</v>
      </c>
      <c r="FF282" s="16">
        <v>119734</v>
      </c>
      <c r="FG282" s="16">
        <v>163677</v>
      </c>
      <c r="FH282" s="16">
        <v>27297</v>
      </c>
      <c r="FI282" s="16">
        <v>190987</v>
      </c>
      <c r="FJ282" s="16">
        <v>63383</v>
      </c>
      <c r="FK282" s="16">
        <v>0</v>
      </c>
      <c r="FL282" s="16">
        <v>346</v>
      </c>
      <c r="FM282" s="16">
        <v>571256</v>
      </c>
      <c r="FN282" s="16">
        <v>332366</v>
      </c>
      <c r="FO282" s="16">
        <v>715900</v>
      </c>
      <c r="FP282" s="16">
        <v>323207</v>
      </c>
      <c r="FQ282" s="16">
        <v>11960</v>
      </c>
      <c r="FR282" s="16">
        <v>221</v>
      </c>
      <c r="FS282" s="16">
        <v>0</v>
      </c>
      <c r="FT282" s="16">
        <v>0</v>
      </c>
      <c r="FU282" s="16">
        <v>7735</v>
      </c>
      <c r="FV282" s="16">
        <v>4061</v>
      </c>
      <c r="FW282" s="16">
        <v>29537</v>
      </c>
      <c r="FX282" s="16">
        <v>4727</v>
      </c>
      <c r="FY282" s="16">
        <v>0</v>
      </c>
      <c r="FZ282" s="16">
        <v>0</v>
      </c>
      <c r="GA282" s="16">
        <v>0</v>
      </c>
      <c r="GB282" s="16">
        <v>0</v>
      </c>
      <c r="GC282" s="16">
        <v>0</v>
      </c>
      <c r="GD282" s="16">
        <v>0</v>
      </c>
      <c r="GE282" s="16">
        <v>12</v>
      </c>
      <c r="GF282" s="16">
        <v>5609</v>
      </c>
      <c r="GG282" s="16">
        <v>0</v>
      </c>
      <c r="GH282" s="16">
        <v>0</v>
      </c>
      <c r="GI282" s="16">
        <v>2405</v>
      </c>
      <c r="GJ282" s="16">
        <v>4932</v>
      </c>
      <c r="GK282" s="16">
        <v>183</v>
      </c>
      <c r="GL282" s="16">
        <v>0</v>
      </c>
      <c r="GM282" s="16">
        <v>0</v>
      </c>
      <c r="GN282" s="16">
        <v>0</v>
      </c>
      <c r="GO282" s="16">
        <v>0</v>
      </c>
      <c r="GP282" s="16">
        <v>3191</v>
      </c>
      <c r="GQ282" s="16">
        <v>0</v>
      </c>
      <c r="GR282" s="16">
        <v>0</v>
      </c>
      <c r="GS282" s="16">
        <v>0</v>
      </c>
      <c r="GT282" s="16">
        <v>0</v>
      </c>
      <c r="GU282" s="16">
        <v>0</v>
      </c>
      <c r="GV282" s="16">
        <v>0</v>
      </c>
      <c r="GW282" s="16">
        <v>0</v>
      </c>
      <c r="GX282" s="16">
        <v>0</v>
      </c>
      <c r="GY282" s="16">
        <v>0</v>
      </c>
      <c r="GZ282" s="16">
        <v>0</v>
      </c>
      <c r="HA282" s="16">
        <v>0</v>
      </c>
      <c r="HB282" s="16">
        <v>0</v>
      </c>
      <c r="HC282" s="16">
        <v>0</v>
      </c>
      <c r="HD282" s="16">
        <v>0</v>
      </c>
      <c r="HE282" s="16">
        <v>0</v>
      </c>
      <c r="HF282" s="16">
        <v>132780</v>
      </c>
      <c r="HG282" s="16">
        <v>0</v>
      </c>
      <c r="HH282" s="16">
        <v>0</v>
      </c>
      <c r="HI282" s="16">
        <v>0</v>
      </c>
      <c r="HJ282" s="16">
        <v>0</v>
      </c>
      <c r="HK282" s="16">
        <v>0</v>
      </c>
      <c r="HL282" s="16">
        <v>0</v>
      </c>
      <c r="HM282" s="16">
        <v>0</v>
      </c>
      <c r="HN282" s="16">
        <v>0</v>
      </c>
      <c r="HO282" s="16">
        <v>11334</v>
      </c>
      <c r="HP282" s="16">
        <v>0</v>
      </c>
      <c r="HQ282" s="16">
        <v>0</v>
      </c>
      <c r="HR282" s="16">
        <v>0</v>
      </c>
      <c r="HS282" s="16">
        <v>0</v>
      </c>
      <c r="HT282" s="16">
        <v>0</v>
      </c>
      <c r="HU282" s="16">
        <v>1521</v>
      </c>
      <c r="HV282" s="16">
        <v>0</v>
      </c>
      <c r="HW282" s="16">
        <v>0</v>
      </c>
      <c r="HX282" s="16">
        <v>12670</v>
      </c>
      <c r="HY282" s="16">
        <v>481861</v>
      </c>
      <c r="HZ282" s="16">
        <v>0</v>
      </c>
      <c r="IA282" s="16">
        <v>0</v>
      </c>
      <c r="IB282" s="16">
        <v>0</v>
      </c>
      <c r="IC282" s="16">
        <v>0</v>
      </c>
      <c r="ID282" s="16">
        <v>0</v>
      </c>
      <c r="IE282" s="16">
        <v>0</v>
      </c>
      <c r="IF282" s="16">
        <v>0</v>
      </c>
      <c r="IG282" s="16">
        <v>4146</v>
      </c>
      <c r="IH282" s="16">
        <v>20587</v>
      </c>
      <c r="II282" s="16">
        <v>145</v>
      </c>
      <c r="IJ282" s="16">
        <v>0</v>
      </c>
      <c r="IK282" s="16">
        <v>0</v>
      </c>
      <c r="IL282" s="16">
        <v>0</v>
      </c>
      <c r="IM282" s="16">
        <v>0</v>
      </c>
      <c r="IN282" s="16">
        <v>0</v>
      </c>
      <c r="IO282" s="16">
        <v>192294</v>
      </c>
      <c r="IP282" s="16">
        <v>0</v>
      </c>
      <c r="IQ282" s="16">
        <v>112</v>
      </c>
      <c r="IR282" s="16">
        <v>14366</v>
      </c>
      <c r="IS282" s="16">
        <v>0</v>
      </c>
      <c r="IT282" s="16">
        <v>0</v>
      </c>
      <c r="IU282" s="16">
        <v>0</v>
      </c>
      <c r="IV282" s="16">
        <v>0</v>
      </c>
      <c r="IW282" s="16">
        <v>0</v>
      </c>
      <c r="IX282" s="16">
        <v>0</v>
      </c>
      <c r="IY282" s="16">
        <v>0</v>
      </c>
      <c r="IZ282" s="16">
        <v>0</v>
      </c>
      <c r="JA282" s="16">
        <v>0</v>
      </c>
      <c r="JB282" s="16">
        <v>0</v>
      </c>
      <c r="JC282" s="16">
        <v>0</v>
      </c>
      <c r="JD282" s="16">
        <v>0</v>
      </c>
      <c r="JE282" s="16">
        <v>0</v>
      </c>
      <c r="JF282" s="16">
        <v>0</v>
      </c>
      <c r="JG282" s="16">
        <v>0</v>
      </c>
      <c r="JH282" s="16">
        <v>0</v>
      </c>
      <c r="JI282" s="16">
        <v>0</v>
      </c>
      <c r="JJ282" s="16">
        <v>522</v>
      </c>
      <c r="JK282" s="16">
        <v>0</v>
      </c>
      <c r="JL282" s="16">
        <v>3570</v>
      </c>
      <c r="JM282" s="16">
        <v>0</v>
      </c>
      <c r="JN282" s="16">
        <v>142151</v>
      </c>
      <c r="JO282" s="16">
        <v>0</v>
      </c>
      <c r="JP282" s="16">
        <v>0</v>
      </c>
      <c r="JQ282" s="16">
        <v>0</v>
      </c>
      <c r="JR282" s="16">
        <v>0</v>
      </c>
      <c r="JS282" s="16">
        <v>166</v>
      </c>
      <c r="JT282" s="16">
        <v>0</v>
      </c>
      <c r="JU282" s="16">
        <v>32</v>
      </c>
      <c r="JV282" s="16">
        <v>0</v>
      </c>
      <c r="JW282" s="16">
        <v>3833</v>
      </c>
      <c r="JX282" s="16">
        <v>14836</v>
      </c>
      <c r="JY282" s="16">
        <v>0</v>
      </c>
      <c r="JZ282" s="16">
        <v>0</v>
      </c>
      <c r="KA282" s="16">
        <v>0</v>
      </c>
      <c r="KB282" s="16">
        <v>336</v>
      </c>
      <c r="KC282" s="16">
        <v>0</v>
      </c>
      <c r="KD282" s="16">
        <v>0</v>
      </c>
      <c r="KE282" s="16">
        <v>211</v>
      </c>
      <c r="KF282" s="16">
        <v>61736</v>
      </c>
      <c r="KG282" s="16">
        <v>0</v>
      </c>
      <c r="KH282" s="16">
        <v>0</v>
      </c>
      <c r="KI282" s="16">
        <v>604</v>
      </c>
      <c r="KJ282" s="16">
        <v>42</v>
      </c>
      <c r="KK282" s="16">
        <v>251</v>
      </c>
      <c r="KL282" s="16">
        <v>0</v>
      </c>
      <c r="KM282" s="16">
        <v>17935</v>
      </c>
      <c r="KN282" s="16">
        <v>0</v>
      </c>
      <c r="KO282" s="16">
        <v>0</v>
      </c>
      <c r="KP282" s="16">
        <v>0</v>
      </c>
      <c r="KQ282" s="16">
        <v>0</v>
      </c>
      <c r="KR282" s="16">
        <v>0</v>
      </c>
      <c r="KS282" s="16">
        <v>0</v>
      </c>
      <c r="KT282" s="16">
        <v>0</v>
      </c>
      <c r="KU282" s="16">
        <v>0</v>
      </c>
      <c r="KV282" s="16">
        <v>0</v>
      </c>
      <c r="KW282" s="16">
        <v>0</v>
      </c>
      <c r="KX282" s="16">
        <v>0</v>
      </c>
      <c r="KY282" s="16">
        <v>0</v>
      </c>
      <c r="KZ282" s="16">
        <v>34144</v>
      </c>
      <c r="LA282" s="16">
        <v>22431</v>
      </c>
      <c r="LB282" s="16">
        <v>0</v>
      </c>
      <c r="LC282" s="16">
        <v>0</v>
      </c>
      <c r="LD282" s="16">
        <v>0</v>
      </c>
      <c r="LE282" s="16">
        <v>0</v>
      </c>
      <c r="LF282" s="16">
        <v>0</v>
      </c>
      <c r="LG282" s="16">
        <v>0</v>
      </c>
      <c r="LH282" s="16">
        <v>0</v>
      </c>
      <c r="LI282" s="16">
        <v>0</v>
      </c>
      <c r="LJ282" s="16">
        <v>0</v>
      </c>
      <c r="LK282" s="16">
        <v>0</v>
      </c>
      <c r="LL282" s="16">
        <v>0</v>
      </c>
      <c r="LM282" s="16">
        <v>0</v>
      </c>
      <c r="LN282" s="16">
        <v>0</v>
      </c>
      <c r="LO282" s="16">
        <v>0</v>
      </c>
      <c r="LP282" s="16">
        <v>0</v>
      </c>
      <c r="LQ282" s="16">
        <v>0</v>
      </c>
      <c r="LR282" s="16">
        <v>0</v>
      </c>
      <c r="LS282" s="16">
        <v>0</v>
      </c>
      <c r="LT282" s="16">
        <v>0</v>
      </c>
      <c r="LU282" s="16">
        <v>0</v>
      </c>
      <c r="LV282" s="16">
        <v>0</v>
      </c>
      <c r="LW282" s="16">
        <v>0</v>
      </c>
      <c r="LX282" s="16">
        <v>0</v>
      </c>
      <c r="LY282" s="16">
        <v>0</v>
      </c>
      <c r="LZ282" s="16">
        <v>0</v>
      </c>
      <c r="MA282" s="16">
        <v>0</v>
      </c>
      <c r="MB282" s="16">
        <v>0</v>
      </c>
      <c r="MC282" s="16">
        <v>0</v>
      </c>
      <c r="MD282" s="16">
        <v>0</v>
      </c>
      <c r="ME282" s="16">
        <v>0</v>
      </c>
      <c r="MF282" s="16">
        <v>0</v>
      </c>
      <c r="MG282" s="16">
        <v>0</v>
      </c>
      <c r="MH282" s="16">
        <v>0</v>
      </c>
      <c r="MI282" s="16">
        <v>0</v>
      </c>
      <c r="MJ282" s="16">
        <v>0</v>
      </c>
      <c r="MK282" s="16">
        <v>2499</v>
      </c>
      <c r="ML282" s="16">
        <v>0</v>
      </c>
      <c r="MM282" s="16">
        <v>0</v>
      </c>
      <c r="MN282" s="16">
        <v>0</v>
      </c>
      <c r="MO282" s="16">
        <v>0</v>
      </c>
      <c r="MP282" s="16">
        <v>0</v>
      </c>
      <c r="MQ282" s="16">
        <v>0</v>
      </c>
      <c r="MR282" s="16">
        <v>0</v>
      </c>
      <c r="MS282" s="16">
        <v>0</v>
      </c>
      <c r="MT282" s="16">
        <v>0</v>
      </c>
      <c r="MU282" s="16">
        <v>0</v>
      </c>
      <c r="MV282" s="16">
        <v>0</v>
      </c>
      <c r="MW282" s="16">
        <v>0</v>
      </c>
      <c r="MX282" s="16">
        <v>0</v>
      </c>
      <c r="MY282" s="16">
        <v>0</v>
      </c>
      <c r="MZ282" s="16">
        <v>0</v>
      </c>
      <c r="NA282" s="16">
        <v>0</v>
      </c>
      <c r="NB282" s="16">
        <v>0</v>
      </c>
      <c r="NC282" s="16">
        <v>0</v>
      </c>
      <c r="ND282" s="16">
        <v>0</v>
      </c>
      <c r="NE282" s="16">
        <v>0</v>
      </c>
      <c r="NF282" s="16">
        <v>0</v>
      </c>
      <c r="NG282" s="16">
        <v>0</v>
      </c>
      <c r="NH282" s="16">
        <v>0</v>
      </c>
      <c r="NI282" s="16">
        <v>0</v>
      </c>
      <c r="NJ282" s="16">
        <v>0</v>
      </c>
      <c r="NK282" s="16">
        <v>0</v>
      </c>
      <c r="NL282" s="16">
        <v>0</v>
      </c>
      <c r="NM282" s="16">
        <v>0</v>
      </c>
      <c r="NN282" s="16">
        <v>791</v>
      </c>
      <c r="NO282" s="16">
        <v>0</v>
      </c>
      <c r="NP282" s="16">
        <v>0</v>
      </c>
      <c r="NQ282" s="16">
        <v>0</v>
      </c>
      <c r="NR282" s="17">
        <v>10776913</v>
      </c>
    </row>
    <row r="283" spans="1:382" ht="13.5" customHeight="1" x14ac:dyDescent="0.2">
      <c r="A283" s="2" t="s">
        <v>573</v>
      </c>
      <c r="B283" s="16">
        <v>0</v>
      </c>
      <c r="C283" s="16">
        <v>0</v>
      </c>
      <c r="D283" s="16">
        <v>0</v>
      </c>
      <c r="E283" s="16">
        <v>0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0</v>
      </c>
      <c r="AF283" s="16">
        <v>0</v>
      </c>
      <c r="AG283" s="16">
        <v>0</v>
      </c>
      <c r="AH283" s="16">
        <v>0</v>
      </c>
      <c r="AI283" s="16">
        <v>0</v>
      </c>
      <c r="AJ283" s="16">
        <v>0</v>
      </c>
      <c r="AK283" s="16">
        <v>0</v>
      </c>
      <c r="AL283" s="16">
        <v>0</v>
      </c>
      <c r="AM283" s="16">
        <v>0</v>
      </c>
      <c r="AN283" s="16">
        <v>0</v>
      </c>
      <c r="AO283" s="16">
        <v>0</v>
      </c>
      <c r="AP283" s="16">
        <v>0</v>
      </c>
      <c r="AQ283" s="16">
        <v>0</v>
      </c>
      <c r="AR283" s="16">
        <v>0</v>
      </c>
      <c r="AS283" s="16">
        <v>0</v>
      </c>
      <c r="AT283" s="16">
        <v>0</v>
      </c>
      <c r="AU283" s="16">
        <v>0</v>
      </c>
      <c r="AV283" s="16">
        <v>0</v>
      </c>
      <c r="AW283" s="16">
        <v>0</v>
      </c>
      <c r="AX283" s="16">
        <v>0</v>
      </c>
      <c r="AY283" s="16">
        <v>0</v>
      </c>
      <c r="AZ283" s="16">
        <v>0</v>
      </c>
      <c r="BA283" s="16">
        <v>0</v>
      </c>
      <c r="BB283" s="16">
        <v>0</v>
      </c>
      <c r="BC283" s="16">
        <v>0</v>
      </c>
      <c r="BD283" s="16">
        <v>0</v>
      </c>
      <c r="BE283" s="16">
        <v>0</v>
      </c>
      <c r="BF283" s="16">
        <v>0</v>
      </c>
      <c r="BG283" s="16">
        <v>0</v>
      </c>
      <c r="BH283" s="16">
        <v>0</v>
      </c>
      <c r="BI283" s="16">
        <v>0</v>
      </c>
      <c r="BJ283" s="16">
        <v>0</v>
      </c>
      <c r="BK283" s="16">
        <v>0</v>
      </c>
      <c r="BL283" s="16">
        <v>0</v>
      </c>
      <c r="BM283" s="16">
        <v>0</v>
      </c>
      <c r="BN283" s="16">
        <v>0</v>
      </c>
      <c r="BO283" s="16">
        <v>0</v>
      </c>
      <c r="BP283" s="16">
        <v>0</v>
      </c>
      <c r="BQ283" s="16">
        <v>0</v>
      </c>
      <c r="BR283" s="16">
        <v>0</v>
      </c>
      <c r="BS283" s="16">
        <v>0</v>
      </c>
      <c r="BT283" s="16">
        <v>0</v>
      </c>
      <c r="BU283" s="16">
        <v>0</v>
      </c>
      <c r="BV283" s="16">
        <v>0</v>
      </c>
      <c r="BW283" s="16">
        <v>0</v>
      </c>
      <c r="BX283" s="16">
        <v>0</v>
      </c>
      <c r="BY283" s="16">
        <v>0</v>
      </c>
      <c r="BZ283" s="16">
        <v>0</v>
      </c>
      <c r="CA283" s="16">
        <v>0</v>
      </c>
      <c r="CB283" s="16">
        <v>0</v>
      </c>
      <c r="CC283" s="16">
        <v>0</v>
      </c>
      <c r="CD283" s="16">
        <v>0</v>
      </c>
      <c r="CE283" s="16">
        <v>0</v>
      </c>
      <c r="CF283" s="16">
        <v>0</v>
      </c>
      <c r="CG283" s="16">
        <v>0</v>
      </c>
      <c r="CH283" s="16">
        <v>0</v>
      </c>
      <c r="CI283" s="16">
        <v>0</v>
      </c>
      <c r="CJ283" s="16">
        <v>0</v>
      </c>
      <c r="CK283" s="16">
        <v>0</v>
      </c>
      <c r="CL283" s="16">
        <v>0</v>
      </c>
      <c r="CM283" s="16">
        <v>0</v>
      </c>
      <c r="CN283" s="16">
        <v>0</v>
      </c>
      <c r="CO283" s="16">
        <v>0</v>
      </c>
      <c r="CP283" s="16">
        <v>0</v>
      </c>
      <c r="CQ283" s="16">
        <v>0</v>
      </c>
      <c r="CR283" s="16">
        <v>0</v>
      </c>
      <c r="CS283" s="16">
        <v>0</v>
      </c>
      <c r="CT283" s="16">
        <v>0</v>
      </c>
      <c r="CU283" s="16">
        <v>0</v>
      </c>
      <c r="CV283" s="16">
        <v>0</v>
      </c>
      <c r="CW283" s="16">
        <v>0</v>
      </c>
      <c r="CX283" s="16">
        <v>0</v>
      </c>
      <c r="CY283" s="16">
        <v>0</v>
      </c>
      <c r="CZ283" s="16">
        <v>0</v>
      </c>
      <c r="DA283" s="16">
        <v>0</v>
      </c>
      <c r="DB283" s="16">
        <v>0</v>
      </c>
      <c r="DC283" s="16">
        <v>0</v>
      </c>
      <c r="DD283" s="16">
        <v>0</v>
      </c>
      <c r="DE283" s="16">
        <v>0</v>
      </c>
      <c r="DF283" s="16">
        <v>0</v>
      </c>
      <c r="DG283" s="16">
        <v>0</v>
      </c>
      <c r="DH283" s="16">
        <v>0</v>
      </c>
      <c r="DI283" s="16">
        <v>0</v>
      </c>
      <c r="DJ283" s="16">
        <v>0</v>
      </c>
      <c r="DK283" s="16">
        <v>0</v>
      </c>
      <c r="DL283" s="16">
        <v>0</v>
      </c>
      <c r="DM283" s="16">
        <v>0</v>
      </c>
      <c r="DN283" s="16">
        <v>0</v>
      </c>
      <c r="DO283" s="16">
        <v>0</v>
      </c>
      <c r="DP283" s="16">
        <v>0</v>
      </c>
      <c r="DQ283" s="16">
        <v>0</v>
      </c>
      <c r="DR283" s="16">
        <v>0</v>
      </c>
      <c r="DS283" s="16">
        <v>0</v>
      </c>
      <c r="DT283" s="16">
        <v>0</v>
      </c>
      <c r="DU283" s="16">
        <v>0</v>
      </c>
      <c r="DV283" s="16">
        <v>0</v>
      </c>
      <c r="DW283" s="16">
        <v>0</v>
      </c>
      <c r="DX283" s="16">
        <v>0</v>
      </c>
      <c r="DY283" s="16">
        <v>0</v>
      </c>
      <c r="DZ283" s="16">
        <v>0</v>
      </c>
      <c r="EA283" s="16">
        <v>0</v>
      </c>
      <c r="EB283" s="16">
        <v>0</v>
      </c>
      <c r="EC283" s="16">
        <v>0</v>
      </c>
      <c r="ED283" s="16">
        <v>0</v>
      </c>
      <c r="EE283" s="16">
        <v>0</v>
      </c>
      <c r="EF283" s="16">
        <v>0</v>
      </c>
      <c r="EG283" s="16">
        <v>0</v>
      </c>
      <c r="EH283" s="16">
        <v>0</v>
      </c>
      <c r="EI283" s="16">
        <v>0</v>
      </c>
      <c r="EJ283" s="16">
        <v>0</v>
      </c>
      <c r="EK283" s="16">
        <v>0</v>
      </c>
      <c r="EL283" s="16">
        <v>0</v>
      </c>
      <c r="EM283" s="16">
        <v>0</v>
      </c>
      <c r="EN283" s="16">
        <v>0</v>
      </c>
      <c r="EO283" s="16">
        <v>0</v>
      </c>
      <c r="EP283" s="16">
        <v>0</v>
      </c>
      <c r="EQ283" s="16">
        <v>0</v>
      </c>
      <c r="ER283" s="16">
        <v>0</v>
      </c>
      <c r="ES283" s="16">
        <v>0</v>
      </c>
      <c r="ET283" s="16">
        <v>0</v>
      </c>
      <c r="EU283" s="16">
        <v>0</v>
      </c>
      <c r="EV283" s="16">
        <v>0</v>
      </c>
      <c r="EW283" s="16">
        <v>0</v>
      </c>
      <c r="EX283" s="16">
        <v>0</v>
      </c>
      <c r="EY283" s="16">
        <v>0</v>
      </c>
      <c r="EZ283" s="16">
        <v>0</v>
      </c>
      <c r="FA283" s="16">
        <v>0</v>
      </c>
      <c r="FB283" s="16">
        <v>0</v>
      </c>
      <c r="FC283" s="16">
        <v>0</v>
      </c>
      <c r="FD283" s="16">
        <v>0</v>
      </c>
      <c r="FE283" s="16">
        <v>0</v>
      </c>
      <c r="FF283" s="16">
        <v>0</v>
      </c>
      <c r="FG283" s="16">
        <v>0</v>
      </c>
      <c r="FH283" s="16">
        <v>0</v>
      </c>
      <c r="FI283" s="16">
        <v>0</v>
      </c>
      <c r="FJ283" s="16">
        <v>0</v>
      </c>
      <c r="FK283" s="16">
        <v>0</v>
      </c>
      <c r="FL283" s="16">
        <v>0</v>
      </c>
      <c r="FM283" s="16">
        <v>0</v>
      </c>
      <c r="FN283" s="16">
        <v>0</v>
      </c>
      <c r="FO283" s="16">
        <v>0</v>
      </c>
      <c r="FP283" s="16">
        <v>0</v>
      </c>
      <c r="FQ283" s="16">
        <v>0</v>
      </c>
      <c r="FR283" s="16">
        <v>0</v>
      </c>
      <c r="FS283" s="16">
        <v>0</v>
      </c>
      <c r="FT283" s="16">
        <v>0</v>
      </c>
      <c r="FU283" s="16">
        <v>0</v>
      </c>
      <c r="FV283" s="16">
        <v>0</v>
      </c>
      <c r="FW283" s="16">
        <v>0</v>
      </c>
      <c r="FX283" s="16">
        <v>0</v>
      </c>
      <c r="FY283" s="16">
        <v>0</v>
      </c>
      <c r="FZ283" s="16">
        <v>0</v>
      </c>
      <c r="GA283" s="16">
        <v>0</v>
      </c>
      <c r="GB283" s="16">
        <v>0</v>
      </c>
      <c r="GC283" s="16">
        <v>0</v>
      </c>
      <c r="GD283" s="16">
        <v>0</v>
      </c>
      <c r="GE283" s="16">
        <v>0</v>
      </c>
      <c r="GF283" s="16">
        <v>0</v>
      </c>
      <c r="GG283" s="16">
        <v>0</v>
      </c>
      <c r="GH283" s="16">
        <v>0</v>
      </c>
      <c r="GI283" s="16">
        <v>0</v>
      </c>
      <c r="GJ283" s="16">
        <v>0</v>
      </c>
      <c r="GK283" s="16">
        <v>0</v>
      </c>
      <c r="GL283" s="16">
        <v>0</v>
      </c>
      <c r="GM283" s="16">
        <v>0</v>
      </c>
      <c r="GN283" s="16">
        <v>0</v>
      </c>
      <c r="GO283" s="16">
        <v>0</v>
      </c>
      <c r="GP283" s="16">
        <v>0</v>
      </c>
      <c r="GQ283" s="16">
        <v>0</v>
      </c>
      <c r="GR283" s="16">
        <v>0</v>
      </c>
      <c r="GS283" s="16">
        <v>0</v>
      </c>
      <c r="GT283" s="16">
        <v>0</v>
      </c>
      <c r="GU283" s="16">
        <v>0</v>
      </c>
      <c r="GV283" s="16">
        <v>0</v>
      </c>
      <c r="GW283" s="16">
        <v>0</v>
      </c>
      <c r="GX283" s="16">
        <v>0</v>
      </c>
      <c r="GY283" s="16">
        <v>0</v>
      </c>
      <c r="GZ283" s="16">
        <v>0</v>
      </c>
      <c r="HA283" s="16">
        <v>0</v>
      </c>
      <c r="HB283" s="16">
        <v>0</v>
      </c>
      <c r="HC283" s="16">
        <v>0</v>
      </c>
      <c r="HD283" s="16">
        <v>0</v>
      </c>
      <c r="HE283" s="16">
        <v>0</v>
      </c>
      <c r="HF283" s="16">
        <v>0</v>
      </c>
      <c r="HG283" s="16">
        <v>0</v>
      </c>
      <c r="HH283" s="16">
        <v>0</v>
      </c>
      <c r="HI283" s="16">
        <v>0</v>
      </c>
      <c r="HJ283" s="16">
        <v>0</v>
      </c>
      <c r="HK283" s="16">
        <v>0</v>
      </c>
      <c r="HL283" s="16">
        <v>0</v>
      </c>
      <c r="HM283" s="16">
        <v>0</v>
      </c>
      <c r="HN283" s="16">
        <v>0</v>
      </c>
      <c r="HO283" s="16">
        <v>0</v>
      </c>
      <c r="HP283" s="16">
        <v>0</v>
      </c>
      <c r="HQ283" s="16">
        <v>0</v>
      </c>
      <c r="HR283" s="16">
        <v>0</v>
      </c>
      <c r="HS283" s="16">
        <v>0</v>
      </c>
      <c r="HT283" s="16">
        <v>0</v>
      </c>
      <c r="HU283" s="16">
        <v>0</v>
      </c>
      <c r="HV283" s="16">
        <v>0</v>
      </c>
      <c r="HW283" s="16">
        <v>0</v>
      </c>
      <c r="HX283" s="16">
        <v>0</v>
      </c>
      <c r="HY283" s="16">
        <v>0</v>
      </c>
      <c r="HZ283" s="16">
        <v>0</v>
      </c>
      <c r="IA283" s="16">
        <v>0</v>
      </c>
      <c r="IB283" s="16">
        <v>0</v>
      </c>
      <c r="IC283" s="16">
        <v>0</v>
      </c>
      <c r="ID283" s="16">
        <v>0</v>
      </c>
      <c r="IE283" s="16">
        <v>0</v>
      </c>
      <c r="IF283" s="16">
        <v>0</v>
      </c>
      <c r="IG283" s="16">
        <v>0</v>
      </c>
      <c r="IH283" s="16">
        <v>0</v>
      </c>
      <c r="II283" s="16">
        <v>0</v>
      </c>
      <c r="IJ283" s="16">
        <v>0</v>
      </c>
      <c r="IK283" s="16">
        <v>0</v>
      </c>
      <c r="IL283" s="16">
        <v>0</v>
      </c>
      <c r="IM283" s="16">
        <v>0</v>
      </c>
      <c r="IN283" s="16">
        <v>0</v>
      </c>
      <c r="IO283" s="16">
        <v>0</v>
      </c>
      <c r="IP283" s="16">
        <v>0</v>
      </c>
      <c r="IQ283" s="16">
        <v>0</v>
      </c>
      <c r="IR283" s="16">
        <v>0</v>
      </c>
      <c r="IS283" s="16">
        <v>0</v>
      </c>
      <c r="IT283" s="16">
        <v>0</v>
      </c>
      <c r="IU283" s="16">
        <v>0</v>
      </c>
      <c r="IV283" s="16">
        <v>0</v>
      </c>
      <c r="IW283" s="16">
        <v>0</v>
      </c>
      <c r="IX283" s="16">
        <v>0</v>
      </c>
      <c r="IY283" s="16">
        <v>0</v>
      </c>
      <c r="IZ283" s="16">
        <v>0</v>
      </c>
      <c r="JA283" s="16">
        <v>0</v>
      </c>
      <c r="JB283" s="16">
        <v>0</v>
      </c>
      <c r="JC283" s="16">
        <v>0</v>
      </c>
      <c r="JD283" s="16">
        <v>0</v>
      </c>
      <c r="JE283" s="16">
        <v>0</v>
      </c>
      <c r="JF283" s="16">
        <v>0</v>
      </c>
      <c r="JG283" s="16">
        <v>0</v>
      </c>
      <c r="JH283" s="16">
        <v>0</v>
      </c>
      <c r="JI283" s="16">
        <v>0</v>
      </c>
      <c r="JJ283" s="16">
        <v>0</v>
      </c>
      <c r="JK283" s="16">
        <v>0</v>
      </c>
      <c r="JL283" s="16">
        <v>0</v>
      </c>
      <c r="JM283" s="16">
        <v>0</v>
      </c>
      <c r="JN283" s="16">
        <v>0</v>
      </c>
      <c r="JO283" s="16">
        <v>0</v>
      </c>
      <c r="JP283" s="16">
        <v>0</v>
      </c>
      <c r="JQ283" s="16">
        <v>0</v>
      </c>
      <c r="JR283" s="16">
        <v>0</v>
      </c>
      <c r="JS283" s="16">
        <v>0</v>
      </c>
      <c r="JT283" s="16">
        <v>0</v>
      </c>
      <c r="JU283" s="16">
        <v>0</v>
      </c>
      <c r="JV283" s="16">
        <v>0</v>
      </c>
      <c r="JW283" s="16">
        <v>0</v>
      </c>
      <c r="JX283" s="16">
        <v>0</v>
      </c>
      <c r="JY283" s="16">
        <v>0</v>
      </c>
      <c r="JZ283" s="16">
        <v>0</v>
      </c>
      <c r="KA283" s="16">
        <v>0</v>
      </c>
      <c r="KB283" s="16">
        <v>0</v>
      </c>
      <c r="KC283" s="16">
        <v>0</v>
      </c>
      <c r="KD283" s="16">
        <v>0</v>
      </c>
      <c r="KE283" s="16">
        <v>0</v>
      </c>
      <c r="KF283" s="16">
        <v>0</v>
      </c>
      <c r="KG283" s="16">
        <v>0</v>
      </c>
      <c r="KH283" s="16">
        <v>0</v>
      </c>
      <c r="KI283" s="16">
        <v>0</v>
      </c>
      <c r="KJ283" s="16">
        <v>0</v>
      </c>
      <c r="KK283" s="16">
        <v>0</v>
      </c>
      <c r="KL283" s="16">
        <v>0</v>
      </c>
      <c r="KM283" s="16">
        <v>0</v>
      </c>
      <c r="KN283" s="16">
        <v>0</v>
      </c>
      <c r="KO283" s="16">
        <v>0</v>
      </c>
      <c r="KP283" s="16">
        <v>0</v>
      </c>
      <c r="KQ283" s="16">
        <v>0</v>
      </c>
      <c r="KR283" s="16">
        <v>0</v>
      </c>
      <c r="KS283" s="16">
        <v>0</v>
      </c>
      <c r="KT283" s="16">
        <v>0</v>
      </c>
      <c r="KU283" s="16">
        <v>0</v>
      </c>
      <c r="KV283" s="16">
        <v>0</v>
      </c>
      <c r="KW283" s="16">
        <v>0</v>
      </c>
      <c r="KX283" s="16">
        <v>0</v>
      </c>
      <c r="KY283" s="16">
        <v>0</v>
      </c>
      <c r="KZ283" s="16">
        <v>0</v>
      </c>
      <c r="LA283" s="16">
        <v>0</v>
      </c>
      <c r="LB283" s="16">
        <v>0</v>
      </c>
      <c r="LC283" s="16">
        <v>0</v>
      </c>
      <c r="LD283" s="16">
        <v>0</v>
      </c>
      <c r="LE283" s="16">
        <v>0</v>
      </c>
      <c r="LF283" s="16">
        <v>0</v>
      </c>
      <c r="LG283" s="16">
        <v>0</v>
      </c>
      <c r="LH283" s="16">
        <v>0</v>
      </c>
      <c r="LI283" s="16">
        <v>0</v>
      </c>
      <c r="LJ283" s="16">
        <v>0</v>
      </c>
      <c r="LK283" s="16">
        <v>0</v>
      </c>
      <c r="LL283" s="16">
        <v>0</v>
      </c>
      <c r="LM283" s="16">
        <v>0</v>
      </c>
      <c r="LN283" s="16">
        <v>0</v>
      </c>
      <c r="LO283" s="16">
        <v>0</v>
      </c>
      <c r="LP283" s="16">
        <v>0</v>
      </c>
      <c r="LQ283" s="16">
        <v>0</v>
      </c>
      <c r="LR283" s="16">
        <v>0</v>
      </c>
      <c r="LS283" s="16">
        <v>0</v>
      </c>
      <c r="LT283" s="16">
        <v>0</v>
      </c>
      <c r="LU283" s="16">
        <v>0</v>
      </c>
      <c r="LV283" s="16">
        <v>0</v>
      </c>
      <c r="LW283" s="16">
        <v>0</v>
      </c>
      <c r="LX283" s="16">
        <v>0</v>
      </c>
      <c r="LY283" s="16">
        <v>0</v>
      </c>
      <c r="LZ283" s="16">
        <v>0</v>
      </c>
      <c r="MA283" s="16">
        <v>0</v>
      </c>
      <c r="MB283" s="16">
        <v>0</v>
      </c>
      <c r="MC283" s="16">
        <v>0</v>
      </c>
      <c r="MD283" s="16">
        <v>0</v>
      </c>
      <c r="ME283" s="16">
        <v>0</v>
      </c>
      <c r="MF283" s="16">
        <v>0</v>
      </c>
      <c r="MG283" s="16">
        <v>0</v>
      </c>
      <c r="MH283" s="16">
        <v>0</v>
      </c>
      <c r="MI283" s="16">
        <v>0</v>
      </c>
      <c r="MJ283" s="16">
        <v>0</v>
      </c>
      <c r="MK283" s="16">
        <v>0</v>
      </c>
      <c r="ML283" s="16">
        <v>0</v>
      </c>
      <c r="MM283" s="16">
        <v>0</v>
      </c>
      <c r="MN283" s="16">
        <v>0</v>
      </c>
      <c r="MO283" s="16">
        <v>0</v>
      </c>
      <c r="MP283" s="16">
        <v>0</v>
      </c>
      <c r="MQ283" s="16">
        <v>0</v>
      </c>
      <c r="MR283" s="16">
        <v>0</v>
      </c>
      <c r="MS283" s="16">
        <v>0</v>
      </c>
      <c r="MT283" s="16">
        <v>0</v>
      </c>
      <c r="MU283" s="16">
        <v>0</v>
      </c>
      <c r="MV283" s="16">
        <v>0</v>
      </c>
      <c r="MW283" s="16">
        <v>0</v>
      </c>
      <c r="MX283" s="16">
        <v>0</v>
      </c>
      <c r="MY283" s="16">
        <v>0</v>
      </c>
      <c r="MZ283" s="16">
        <v>0</v>
      </c>
      <c r="NA283" s="16">
        <v>0</v>
      </c>
      <c r="NB283" s="16">
        <v>0</v>
      </c>
      <c r="NC283" s="16">
        <v>0</v>
      </c>
      <c r="ND283" s="16">
        <v>0</v>
      </c>
      <c r="NE283" s="16">
        <v>0</v>
      </c>
      <c r="NF283" s="16">
        <v>0</v>
      </c>
      <c r="NG283" s="16">
        <v>0</v>
      </c>
      <c r="NH283" s="16">
        <v>0</v>
      </c>
      <c r="NI283" s="16">
        <v>0</v>
      </c>
      <c r="NJ283" s="16">
        <v>0</v>
      </c>
      <c r="NK283" s="16">
        <v>0</v>
      </c>
      <c r="NL283" s="16">
        <v>0</v>
      </c>
      <c r="NM283" s="16">
        <v>0</v>
      </c>
      <c r="NN283" s="16">
        <v>0</v>
      </c>
      <c r="NO283" s="16">
        <v>0</v>
      </c>
      <c r="NP283" s="16">
        <v>0</v>
      </c>
      <c r="NQ283" s="16">
        <v>0</v>
      </c>
      <c r="NR283" s="17">
        <v>0</v>
      </c>
    </row>
    <row r="284" spans="1:382" ht="13.5" customHeight="1" x14ac:dyDescent="0.2">
      <c r="A284" s="2" t="s">
        <v>575</v>
      </c>
      <c r="B284" s="16">
        <v>0</v>
      </c>
      <c r="C284" s="16">
        <v>0</v>
      </c>
      <c r="D284" s="16">
        <v>0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  <c r="AL284" s="16">
        <v>0</v>
      </c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>
        <v>0</v>
      </c>
      <c r="AU284" s="16">
        <v>0</v>
      </c>
      <c r="AV284" s="16">
        <v>0</v>
      </c>
      <c r="AW284" s="16">
        <v>0</v>
      </c>
      <c r="AX284" s="16">
        <v>0</v>
      </c>
      <c r="AY284" s="16">
        <v>0</v>
      </c>
      <c r="AZ284" s="16">
        <v>0</v>
      </c>
      <c r="BA284" s="16">
        <v>0</v>
      </c>
      <c r="BB284" s="16">
        <v>0</v>
      </c>
      <c r="BC284" s="16">
        <v>0</v>
      </c>
      <c r="BD284" s="16">
        <v>0</v>
      </c>
      <c r="BE284" s="16">
        <v>0</v>
      </c>
      <c r="BF284" s="16">
        <v>0</v>
      </c>
      <c r="BG284" s="16">
        <v>0</v>
      </c>
      <c r="BH284" s="16">
        <v>0</v>
      </c>
      <c r="BI284" s="16">
        <v>0</v>
      </c>
      <c r="BJ284" s="16">
        <v>0</v>
      </c>
      <c r="BK284" s="16">
        <v>0</v>
      </c>
      <c r="BL284" s="16">
        <v>0</v>
      </c>
      <c r="BM284" s="16">
        <v>0</v>
      </c>
      <c r="BN284" s="16">
        <v>0</v>
      </c>
      <c r="BO284" s="16">
        <v>0</v>
      </c>
      <c r="BP284" s="16">
        <v>0</v>
      </c>
      <c r="BQ284" s="16">
        <v>0</v>
      </c>
      <c r="BR284" s="16">
        <v>0</v>
      </c>
      <c r="BS284" s="16">
        <v>0</v>
      </c>
      <c r="BT284" s="16">
        <v>0</v>
      </c>
      <c r="BU284" s="16">
        <v>0</v>
      </c>
      <c r="BV284" s="16">
        <v>0</v>
      </c>
      <c r="BW284" s="16">
        <v>0</v>
      </c>
      <c r="BX284" s="16">
        <v>0</v>
      </c>
      <c r="BY284" s="16">
        <v>0</v>
      </c>
      <c r="BZ284" s="16">
        <v>0</v>
      </c>
      <c r="CA284" s="16">
        <v>0</v>
      </c>
      <c r="CB284" s="16">
        <v>0</v>
      </c>
      <c r="CC284" s="16">
        <v>0</v>
      </c>
      <c r="CD284" s="16">
        <v>0</v>
      </c>
      <c r="CE284" s="16">
        <v>0</v>
      </c>
      <c r="CF284" s="16">
        <v>0</v>
      </c>
      <c r="CG284" s="16">
        <v>0</v>
      </c>
      <c r="CH284" s="16">
        <v>0</v>
      </c>
      <c r="CI284" s="16">
        <v>0</v>
      </c>
      <c r="CJ284" s="16">
        <v>0</v>
      </c>
      <c r="CK284" s="16">
        <v>0</v>
      </c>
      <c r="CL284" s="16">
        <v>0</v>
      </c>
      <c r="CM284" s="16">
        <v>0</v>
      </c>
      <c r="CN284" s="16">
        <v>0</v>
      </c>
      <c r="CO284" s="16">
        <v>0</v>
      </c>
      <c r="CP284" s="16">
        <v>0</v>
      </c>
      <c r="CQ284" s="16">
        <v>0</v>
      </c>
      <c r="CR284" s="16">
        <v>0</v>
      </c>
      <c r="CS284" s="16">
        <v>0</v>
      </c>
      <c r="CT284" s="16">
        <v>0</v>
      </c>
      <c r="CU284" s="16">
        <v>0</v>
      </c>
      <c r="CV284" s="16">
        <v>0</v>
      </c>
      <c r="CW284" s="16">
        <v>0</v>
      </c>
      <c r="CX284" s="16">
        <v>0</v>
      </c>
      <c r="CY284" s="16">
        <v>0</v>
      </c>
      <c r="CZ284" s="16">
        <v>0</v>
      </c>
      <c r="DA284" s="16">
        <v>0</v>
      </c>
      <c r="DB284" s="16">
        <v>0</v>
      </c>
      <c r="DC284" s="16">
        <v>0</v>
      </c>
      <c r="DD284" s="16">
        <v>0</v>
      </c>
      <c r="DE284" s="16">
        <v>0</v>
      </c>
      <c r="DF284" s="16">
        <v>0</v>
      </c>
      <c r="DG284" s="16">
        <v>0</v>
      </c>
      <c r="DH284" s="16">
        <v>0</v>
      </c>
      <c r="DI284" s="16">
        <v>0</v>
      </c>
      <c r="DJ284" s="16">
        <v>0</v>
      </c>
      <c r="DK284" s="16">
        <v>0</v>
      </c>
      <c r="DL284" s="16">
        <v>0</v>
      </c>
      <c r="DM284" s="16">
        <v>0</v>
      </c>
      <c r="DN284" s="16">
        <v>0</v>
      </c>
      <c r="DO284" s="16">
        <v>0</v>
      </c>
      <c r="DP284" s="16">
        <v>0</v>
      </c>
      <c r="DQ284" s="16">
        <v>0</v>
      </c>
      <c r="DR284" s="16">
        <v>0</v>
      </c>
      <c r="DS284" s="16">
        <v>0</v>
      </c>
      <c r="DT284" s="16">
        <v>0</v>
      </c>
      <c r="DU284" s="16">
        <v>0</v>
      </c>
      <c r="DV284" s="16">
        <v>0</v>
      </c>
      <c r="DW284" s="16">
        <v>0</v>
      </c>
      <c r="DX284" s="16">
        <v>0</v>
      </c>
      <c r="DY284" s="16">
        <v>0</v>
      </c>
      <c r="DZ284" s="16">
        <v>0</v>
      </c>
      <c r="EA284" s="16">
        <v>0</v>
      </c>
      <c r="EB284" s="16">
        <v>0</v>
      </c>
      <c r="EC284" s="16">
        <v>0</v>
      </c>
      <c r="ED284" s="16">
        <v>0</v>
      </c>
      <c r="EE284" s="16">
        <v>0</v>
      </c>
      <c r="EF284" s="16">
        <v>0</v>
      </c>
      <c r="EG284" s="16">
        <v>0</v>
      </c>
      <c r="EH284" s="16">
        <v>0</v>
      </c>
      <c r="EI284" s="16">
        <v>0</v>
      </c>
      <c r="EJ284" s="16">
        <v>0</v>
      </c>
      <c r="EK284" s="16">
        <v>0</v>
      </c>
      <c r="EL284" s="16">
        <v>0</v>
      </c>
      <c r="EM284" s="16">
        <v>0</v>
      </c>
      <c r="EN284" s="16">
        <v>0</v>
      </c>
      <c r="EO284" s="16">
        <v>0</v>
      </c>
      <c r="EP284" s="16">
        <v>0</v>
      </c>
      <c r="EQ284" s="16">
        <v>0</v>
      </c>
      <c r="ER284" s="16">
        <v>0</v>
      </c>
      <c r="ES284" s="16">
        <v>0</v>
      </c>
      <c r="ET284" s="16">
        <v>0</v>
      </c>
      <c r="EU284" s="16">
        <v>0</v>
      </c>
      <c r="EV284" s="16">
        <v>0</v>
      </c>
      <c r="EW284" s="16">
        <v>0</v>
      </c>
      <c r="EX284" s="16">
        <v>0</v>
      </c>
      <c r="EY284" s="16">
        <v>0</v>
      </c>
      <c r="EZ284" s="16">
        <v>0</v>
      </c>
      <c r="FA284" s="16">
        <v>0</v>
      </c>
      <c r="FB284" s="16">
        <v>0</v>
      </c>
      <c r="FC284" s="16">
        <v>0</v>
      </c>
      <c r="FD284" s="16">
        <v>0</v>
      </c>
      <c r="FE284" s="16">
        <v>0</v>
      </c>
      <c r="FF284" s="16">
        <v>0</v>
      </c>
      <c r="FG284" s="16">
        <v>0</v>
      </c>
      <c r="FH284" s="16">
        <v>0</v>
      </c>
      <c r="FI284" s="16">
        <v>0</v>
      </c>
      <c r="FJ284" s="16">
        <v>0</v>
      </c>
      <c r="FK284" s="16">
        <v>0</v>
      </c>
      <c r="FL284" s="16">
        <v>0</v>
      </c>
      <c r="FM284" s="16">
        <v>0</v>
      </c>
      <c r="FN284" s="16">
        <v>0</v>
      </c>
      <c r="FO284" s="16">
        <v>0</v>
      </c>
      <c r="FP284" s="16">
        <v>0</v>
      </c>
      <c r="FQ284" s="16">
        <v>0</v>
      </c>
      <c r="FR284" s="16">
        <v>0</v>
      </c>
      <c r="FS284" s="16">
        <v>0</v>
      </c>
      <c r="FT284" s="16">
        <v>0</v>
      </c>
      <c r="FU284" s="16">
        <v>0</v>
      </c>
      <c r="FV284" s="16">
        <v>0</v>
      </c>
      <c r="FW284" s="16">
        <v>0</v>
      </c>
      <c r="FX284" s="16">
        <v>0</v>
      </c>
      <c r="FY284" s="16">
        <v>0</v>
      </c>
      <c r="FZ284" s="16">
        <v>0</v>
      </c>
      <c r="GA284" s="16">
        <v>0</v>
      </c>
      <c r="GB284" s="16">
        <v>0</v>
      </c>
      <c r="GC284" s="16">
        <v>0</v>
      </c>
      <c r="GD284" s="16">
        <v>0</v>
      </c>
      <c r="GE284" s="16">
        <v>0</v>
      </c>
      <c r="GF284" s="16">
        <v>0</v>
      </c>
      <c r="GG284" s="16">
        <v>0</v>
      </c>
      <c r="GH284" s="16">
        <v>0</v>
      </c>
      <c r="GI284" s="16">
        <v>0</v>
      </c>
      <c r="GJ284" s="16">
        <v>0</v>
      </c>
      <c r="GK284" s="16">
        <v>0</v>
      </c>
      <c r="GL284" s="16">
        <v>0</v>
      </c>
      <c r="GM284" s="16">
        <v>0</v>
      </c>
      <c r="GN284" s="16">
        <v>0</v>
      </c>
      <c r="GO284" s="16">
        <v>0</v>
      </c>
      <c r="GP284" s="16">
        <v>0</v>
      </c>
      <c r="GQ284" s="16">
        <v>0</v>
      </c>
      <c r="GR284" s="16">
        <v>0</v>
      </c>
      <c r="GS284" s="16">
        <v>0</v>
      </c>
      <c r="GT284" s="16">
        <v>0</v>
      </c>
      <c r="GU284" s="16">
        <v>0</v>
      </c>
      <c r="GV284" s="16">
        <v>0</v>
      </c>
      <c r="GW284" s="16">
        <v>0</v>
      </c>
      <c r="GX284" s="16">
        <v>0</v>
      </c>
      <c r="GY284" s="16">
        <v>0</v>
      </c>
      <c r="GZ284" s="16">
        <v>0</v>
      </c>
      <c r="HA284" s="16">
        <v>0</v>
      </c>
      <c r="HB284" s="16">
        <v>0</v>
      </c>
      <c r="HC284" s="16">
        <v>0</v>
      </c>
      <c r="HD284" s="16">
        <v>0</v>
      </c>
      <c r="HE284" s="16">
        <v>0</v>
      </c>
      <c r="HF284" s="16">
        <v>0</v>
      </c>
      <c r="HG284" s="16">
        <v>0</v>
      </c>
      <c r="HH284" s="16">
        <v>0</v>
      </c>
      <c r="HI284" s="16">
        <v>0</v>
      </c>
      <c r="HJ284" s="16">
        <v>0</v>
      </c>
      <c r="HK284" s="16">
        <v>0</v>
      </c>
      <c r="HL284" s="16">
        <v>0</v>
      </c>
      <c r="HM284" s="16">
        <v>0</v>
      </c>
      <c r="HN284" s="16">
        <v>0</v>
      </c>
      <c r="HO284" s="16">
        <v>0</v>
      </c>
      <c r="HP284" s="16">
        <v>0</v>
      </c>
      <c r="HQ284" s="16">
        <v>0</v>
      </c>
      <c r="HR284" s="16">
        <v>0</v>
      </c>
      <c r="HS284" s="16">
        <v>0</v>
      </c>
      <c r="HT284" s="16">
        <v>0</v>
      </c>
      <c r="HU284" s="16">
        <v>0</v>
      </c>
      <c r="HV284" s="16">
        <v>0</v>
      </c>
      <c r="HW284" s="16">
        <v>0</v>
      </c>
      <c r="HX284" s="16">
        <v>0</v>
      </c>
      <c r="HY284" s="16">
        <v>0</v>
      </c>
      <c r="HZ284" s="16">
        <v>0</v>
      </c>
      <c r="IA284" s="16">
        <v>0</v>
      </c>
      <c r="IB284" s="16">
        <v>0</v>
      </c>
      <c r="IC284" s="16">
        <v>0</v>
      </c>
      <c r="ID284" s="16">
        <v>0</v>
      </c>
      <c r="IE284" s="16">
        <v>0</v>
      </c>
      <c r="IF284" s="16">
        <v>0</v>
      </c>
      <c r="IG284" s="16">
        <v>0</v>
      </c>
      <c r="IH284" s="16">
        <v>0</v>
      </c>
      <c r="II284" s="16">
        <v>0</v>
      </c>
      <c r="IJ284" s="16">
        <v>0</v>
      </c>
      <c r="IK284" s="16">
        <v>0</v>
      </c>
      <c r="IL284" s="16">
        <v>0</v>
      </c>
      <c r="IM284" s="16">
        <v>0</v>
      </c>
      <c r="IN284" s="16">
        <v>0</v>
      </c>
      <c r="IO284" s="16">
        <v>0</v>
      </c>
      <c r="IP284" s="16">
        <v>0</v>
      </c>
      <c r="IQ284" s="16">
        <v>0</v>
      </c>
      <c r="IR284" s="16">
        <v>0</v>
      </c>
      <c r="IS284" s="16">
        <v>0</v>
      </c>
      <c r="IT284" s="16">
        <v>0</v>
      </c>
      <c r="IU284" s="16">
        <v>0</v>
      </c>
      <c r="IV284" s="16">
        <v>0</v>
      </c>
      <c r="IW284" s="16">
        <v>0</v>
      </c>
      <c r="IX284" s="16">
        <v>0</v>
      </c>
      <c r="IY284" s="16">
        <v>0</v>
      </c>
      <c r="IZ284" s="16">
        <v>0</v>
      </c>
      <c r="JA284" s="16">
        <v>0</v>
      </c>
      <c r="JB284" s="16">
        <v>0</v>
      </c>
      <c r="JC284" s="16">
        <v>0</v>
      </c>
      <c r="JD284" s="16">
        <v>0</v>
      </c>
      <c r="JE284" s="16">
        <v>0</v>
      </c>
      <c r="JF284" s="16">
        <v>0</v>
      </c>
      <c r="JG284" s="16">
        <v>0</v>
      </c>
      <c r="JH284" s="16">
        <v>0</v>
      </c>
      <c r="JI284" s="16">
        <v>0</v>
      </c>
      <c r="JJ284" s="16">
        <v>0</v>
      </c>
      <c r="JK284" s="16">
        <v>0</v>
      </c>
      <c r="JL284" s="16">
        <v>0</v>
      </c>
      <c r="JM284" s="16">
        <v>0</v>
      </c>
      <c r="JN284" s="16">
        <v>0</v>
      </c>
      <c r="JO284" s="16">
        <v>0</v>
      </c>
      <c r="JP284" s="16">
        <v>0</v>
      </c>
      <c r="JQ284" s="16">
        <v>0</v>
      </c>
      <c r="JR284" s="16">
        <v>0</v>
      </c>
      <c r="JS284" s="16">
        <v>0</v>
      </c>
      <c r="JT284" s="16">
        <v>0</v>
      </c>
      <c r="JU284" s="16">
        <v>0</v>
      </c>
      <c r="JV284" s="16">
        <v>0</v>
      </c>
      <c r="JW284" s="16">
        <v>0</v>
      </c>
      <c r="JX284" s="16">
        <v>0</v>
      </c>
      <c r="JY284" s="16">
        <v>0</v>
      </c>
      <c r="JZ284" s="16">
        <v>0</v>
      </c>
      <c r="KA284" s="16">
        <v>0</v>
      </c>
      <c r="KB284" s="16">
        <v>0</v>
      </c>
      <c r="KC284" s="16">
        <v>0</v>
      </c>
      <c r="KD284" s="16">
        <v>0</v>
      </c>
      <c r="KE284" s="16">
        <v>0</v>
      </c>
      <c r="KF284" s="16">
        <v>0</v>
      </c>
      <c r="KG284" s="16">
        <v>0</v>
      </c>
      <c r="KH284" s="16">
        <v>0</v>
      </c>
      <c r="KI284" s="16">
        <v>0</v>
      </c>
      <c r="KJ284" s="16">
        <v>0</v>
      </c>
      <c r="KK284" s="16">
        <v>0</v>
      </c>
      <c r="KL284" s="16">
        <v>0</v>
      </c>
      <c r="KM284" s="16">
        <v>0</v>
      </c>
      <c r="KN284" s="16">
        <v>0</v>
      </c>
      <c r="KO284" s="16">
        <v>0</v>
      </c>
      <c r="KP284" s="16">
        <v>0</v>
      </c>
      <c r="KQ284" s="16">
        <v>0</v>
      </c>
      <c r="KR284" s="16">
        <v>0</v>
      </c>
      <c r="KS284" s="16">
        <v>0</v>
      </c>
      <c r="KT284" s="16">
        <v>0</v>
      </c>
      <c r="KU284" s="16">
        <v>0</v>
      </c>
      <c r="KV284" s="16">
        <v>0</v>
      </c>
      <c r="KW284" s="16">
        <v>0</v>
      </c>
      <c r="KX284" s="16">
        <v>0</v>
      </c>
      <c r="KY284" s="16">
        <v>0</v>
      </c>
      <c r="KZ284" s="16">
        <v>0</v>
      </c>
      <c r="LA284" s="16">
        <v>0</v>
      </c>
      <c r="LB284" s="16">
        <v>0</v>
      </c>
      <c r="LC284" s="16">
        <v>0</v>
      </c>
      <c r="LD284" s="16">
        <v>0</v>
      </c>
      <c r="LE284" s="16">
        <v>0</v>
      </c>
      <c r="LF284" s="16">
        <v>0</v>
      </c>
      <c r="LG284" s="16">
        <v>0</v>
      </c>
      <c r="LH284" s="16">
        <v>0</v>
      </c>
      <c r="LI284" s="16">
        <v>0</v>
      </c>
      <c r="LJ284" s="16">
        <v>0</v>
      </c>
      <c r="LK284" s="16">
        <v>0</v>
      </c>
      <c r="LL284" s="16">
        <v>0</v>
      </c>
      <c r="LM284" s="16">
        <v>0</v>
      </c>
      <c r="LN284" s="16">
        <v>0</v>
      </c>
      <c r="LO284" s="16">
        <v>0</v>
      </c>
      <c r="LP284" s="16">
        <v>0</v>
      </c>
      <c r="LQ284" s="16">
        <v>0</v>
      </c>
      <c r="LR284" s="16">
        <v>0</v>
      </c>
      <c r="LS284" s="16">
        <v>0</v>
      </c>
      <c r="LT284" s="16">
        <v>0</v>
      </c>
      <c r="LU284" s="16">
        <v>0</v>
      </c>
      <c r="LV284" s="16">
        <v>0</v>
      </c>
      <c r="LW284" s="16">
        <v>0</v>
      </c>
      <c r="LX284" s="16">
        <v>0</v>
      </c>
      <c r="LY284" s="16">
        <v>0</v>
      </c>
      <c r="LZ284" s="16">
        <v>0</v>
      </c>
      <c r="MA284" s="16">
        <v>0</v>
      </c>
      <c r="MB284" s="16">
        <v>0</v>
      </c>
      <c r="MC284" s="16">
        <v>0</v>
      </c>
      <c r="MD284" s="16">
        <v>0</v>
      </c>
      <c r="ME284" s="16">
        <v>0</v>
      </c>
      <c r="MF284" s="16">
        <v>0</v>
      </c>
      <c r="MG284" s="16">
        <v>0</v>
      </c>
      <c r="MH284" s="16">
        <v>0</v>
      </c>
      <c r="MI284" s="16">
        <v>0</v>
      </c>
      <c r="MJ284" s="16">
        <v>0</v>
      </c>
      <c r="MK284" s="16">
        <v>0</v>
      </c>
      <c r="ML284" s="16">
        <v>0</v>
      </c>
      <c r="MM284" s="16">
        <v>0</v>
      </c>
      <c r="MN284" s="16">
        <v>0</v>
      </c>
      <c r="MO284" s="16">
        <v>0</v>
      </c>
      <c r="MP284" s="16">
        <v>0</v>
      </c>
      <c r="MQ284" s="16">
        <v>0</v>
      </c>
      <c r="MR284" s="16">
        <v>0</v>
      </c>
      <c r="MS284" s="16">
        <v>0</v>
      </c>
      <c r="MT284" s="16">
        <v>0</v>
      </c>
      <c r="MU284" s="16">
        <v>0</v>
      </c>
      <c r="MV284" s="16">
        <v>0</v>
      </c>
      <c r="MW284" s="16">
        <v>0</v>
      </c>
      <c r="MX284" s="16">
        <v>0</v>
      </c>
      <c r="MY284" s="16">
        <v>0</v>
      </c>
      <c r="MZ284" s="16">
        <v>0</v>
      </c>
      <c r="NA284" s="16">
        <v>0</v>
      </c>
      <c r="NB284" s="16">
        <v>0</v>
      </c>
      <c r="NC284" s="16">
        <v>0</v>
      </c>
      <c r="ND284" s="16">
        <v>0</v>
      </c>
      <c r="NE284" s="16">
        <v>0</v>
      </c>
      <c r="NF284" s="16">
        <v>0</v>
      </c>
      <c r="NG284" s="16">
        <v>0</v>
      </c>
      <c r="NH284" s="16">
        <v>0</v>
      </c>
      <c r="NI284" s="16">
        <v>0</v>
      </c>
      <c r="NJ284" s="16">
        <v>0</v>
      </c>
      <c r="NK284" s="16">
        <v>0</v>
      </c>
      <c r="NL284" s="16">
        <v>0</v>
      </c>
      <c r="NM284" s="16">
        <v>0</v>
      </c>
      <c r="NN284" s="16">
        <v>0</v>
      </c>
      <c r="NO284" s="16">
        <v>0</v>
      </c>
      <c r="NP284" s="16">
        <v>0</v>
      </c>
      <c r="NQ284" s="16">
        <v>0</v>
      </c>
      <c r="NR284" s="17">
        <v>0</v>
      </c>
    </row>
    <row r="285" spans="1:382" ht="13.5" customHeight="1" x14ac:dyDescent="0.2">
      <c r="A285" s="2" t="s">
        <v>577</v>
      </c>
      <c r="B285" s="16">
        <v>3930</v>
      </c>
      <c r="C285" s="16">
        <v>54</v>
      </c>
      <c r="D285" s="16">
        <v>2851</v>
      </c>
      <c r="E285" s="16">
        <v>1983</v>
      </c>
      <c r="F285" s="16">
        <v>7095</v>
      </c>
      <c r="G285" s="16">
        <v>833</v>
      </c>
      <c r="H285" s="16">
        <v>67</v>
      </c>
      <c r="I285" s="16">
        <v>2017</v>
      </c>
      <c r="J285" s="16">
        <v>65</v>
      </c>
      <c r="K285" s="16">
        <v>0</v>
      </c>
      <c r="L285" s="16">
        <v>3560</v>
      </c>
      <c r="M285" s="16">
        <v>1297</v>
      </c>
      <c r="N285" s="16">
        <v>6</v>
      </c>
      <c r="O285" s="16">
        <v>31</v>
      </c>
      <c r="P285" s="16">
        <v>2909</v>
      </c>
      <c r="Q285" s="16">
        <v>12943</v>
      </c>
      <c r="R285" s="16">
        <v>14721</v>
      </c>
      <c r="S285" s="16">
        <v>3210</v>
      </c>
      <c r="T285" s="16">
        <v>4114</v>
      </c>
      <c r="U285" s="16">
        <v>820</v>
      </c>
      <c r="V285" s="16">
        <v>6596</v>
      </c>
      <c r="W285" s="16">
        <v>85</v>
      </c>
      <c r="X285" s="16">
        <v>751</v>
      </c>
      <c r="Y285" s="16">
        <v>17436</v>
      </c>
      <c r="Z285" s="16">
        <v>1140</v>
      </c>
      <c r="AA285" s="16">
        <v>108</v>
      </c>
      <c r="AB285" s="16">
        <v>0</v>
      </c>
      <c r="AC285" s="16">
        <v>0</v>
      </c>
      <c r="AD285" s="16">
        <v>0</v>
      </c>
      <c r="AE285" s="16">
        <v>206</v>
      </c>
      <c r="AF285" s="16">
        <v>0</v>
      </c>
      <c r="AG285" s="16">
        <v>16343</v>
      </c>
      <c r="AH285" s="16">
        <v>13571</v>
      </c>
      <c r="AI285" s="16">
        <v>2262</v>
      </c>
      <c r="AJ285" s="16">
        <v>3525</v>
      </c>
      <c r="AK285" s="16">
        <v>3460</v>
      </c>
      <c r="AL285" s="16">
        <v>292</v>
      </c>
      <c r="AM285" s="16">
        <v>2512</v>
      </c>
      <c r="AN285" s="16">
        <v>1538</v>
      </c>
      <c r="AO285" s="16">
        <v>2085</v>
      </c>
      <c r="AP285" s="16">
        <v>388</v>
      </c>
      <c r="AQ285" s="16">
        <v>1932</v>
      </c>
      <c r="AR285" s="16">
        <v>0</v>
      </c>
      <c r="AS285" s="16">
        <v>488</v>
      </c>
      <c r="AT285" s="16">
        <v>996</v>
      </c>
      <c r="AU285" s="16">
        <v>2030</v>
      </c>
      <c r="AV285" s="16">
        <v>1649</v>
      </c>
      <c r="AW285" s="16">
        <v>16603</v>
      </c>
      <c r="AX285" s="16">
        <v>654</v>
      </c>
      <c r="AY285" s="16">
        <v>14223</v>
      </c>
      <c r="AZ285" s="16">
        <v>5822</v>
      </c>
      <c r="BA285" s="16">
        <v>32173</v>
      </c>
      <c r="BB285" s="16">
        <v>4463</v>
      </c>
      <c r="BC285" s="16">
        <v>8763</v>
      </c>
      <c r="BD285" s="16">
        <v>208</v>
      </c>
      <c r="BE285" s="16">
        <v>1220</v>
      </c>
      <c r="BF285" s="16">
        <v>2184</v>
      </c>
      <c r="BG285" s="16">
        <v>1280</v>
      </c>
      <c r="BH285" s="16">
        <v>6585</v>
      </c>
      <c r="BI285" s="16">
        <v>891</v>
      </c>
      <c r="BJ285" s="16">
        <v>168</v>
      </c>
      <c r="BK285" s="16">
        <v>954</v>
      </c>
      <c r="BL285" s="16">
        <v>2759</v>
      </c>
      <c r="BM285" s="16">
        <v>2012</v>
      </c>
      <c r="BN285" s="16">
        <v>1940</v>
      </c>
      <c r="BO285" s="16">
        <v>3155</v>
      </c>
      <c r="BP285" s="16">
        <v>827</v>
      </c>
      <c r="BQ285" s="16">
        <v>1447</v>
      </c>
      <c r="BR285" s="16">
        <v>143</v>
      </c>
      <c r="BS285" s="16">
        <v>1928</v>
      </c>
      <c r="BT285" s="16">
        <v>20</v>
      </c>
      <c r="BU285" s="16">
        <v>1</v>
      </c>
      <c r="BV285" s="16">
        <v>0</v>
      </c>
      <c r="BW285" s="16">
        <v>2107</v>
      </c>
      <c r="BX285" s="16">
        <v>273</v>
      </c>
      <c r="BY285" s="16">
        <v>0</v>
      </c>
      <c r="BZ285" s="16">
        <v>127</v>
      </c>
      <c r="CA285" s="16">
        <v>93</v>
      </c>
      <c r="CB285" s="16">
        <v>27</v>
      </c>
      <c r="CC285" s="16">
        <v>11637</v>
      </c>
      <c r="CD285" s="16">
        <v>1407</v>
      </c>
      <c r="CE285" s="16">
        <v>582</v>
      </c>
      <c r="CF285" s="16">
        <v>1956</v>
      </c>
      <c r="CG285" s="16">
        <v>642</v>
      </c>
      <c r="CH285" s="16">
        <v>2480</v>
      </c>
      <c r="CI285" s="16">
        <v>2069</v>
      </c>
      <c r="CJ285" s="16">
        <v>2981</v>
      </c>
      <c r="CK285" s="16">
        <v>8756</v>
      </c>
      <c r="CL285" s="16">
        <v>2191</v>
      </c>
      <c r="CM285" s="16">
        <v>1564</v>
      </c>
      <c r="CN285" s="16">
        <v>806</v>
      </c>
      <c r="CO285" s="16">
        <v>1535</v>
      </c>
      <c r="CP285" s="16">
        <v>2123</v>
      </c>
      <c r="CQ285" s="16">
        <v>11572</v>
      </c>
      <c r="CR285" s="16">
        <v>2555</v>
      </c>
      <c r="CS285" s="16">
        <v>5561</v>
      </c>
      <c r="CT285" s="16">
        <v>3743</v>
      </c>
      <c r="CU285" s="16">
        <v>10715</v>
      </c>
      <c r="CV285" s="16">
        <v>15941</v>
      </c>
      <c r="CW285" s="16">
        <v>34192</v>
      </c>
      <c r="CX285" s="16">
        <v>20094</v>
      </c>
      <c r="CY285" s="16">
        <v>1099</v>
      </c>
      <c r="CZ285" s="16">
        <v>8720</v>
      </c>
      <c r="DA285" s="16">
        <v>66</v>
      </c>
      <c r="DB285" s="16">
        <v>2601</v>
      </c>
      <c r="DC285" s="16">
        <v>1444</v>
      </c>
      <c r="DD285" s="16">
        <v>4881</v>
      </c>
      <c r="DE285" s="16">
        <v>470</v>
      </c>
      <c r="DF285" s="16">
        <v>3010</v>
      </c>
      <c r="DG285" s="16">
        <v>2911</v>
      </c>
      <c r="DH285" s="16">
        <v>4272</v>
      </c>
      <c r="DI285" s="16">
        <v>2323</v>
      </c>
      <c r="DJ285" s="16">
        <v>61143</v>
      </c>
      <c r="DK285" s="16">
        <v>3120</v>
      </c>
      <c r="DL285" s="16">
        <v>3530</v>
      </c>
      <c r="DM285" s="16">
        <v>12391</v>
      </c>
      <c r="DN285" s="16">
        <v>2835</v>
      </c>
      <c r="DO285" s="16">
        <v>1048</v>
      </c>
      <c r="DP285" s="16">
        <v>3707</v>
      </c>
      <c r="DQ285" s="16">
        <v>1020</v>
      </c>
      <c r="DR285" s="16">
        <v>1352</v>
      </c>
      <c r="DS285" s="16">
        <v>11234</v>
      </c>
      <c r="DT285" s="16">
        <v>1001</v>
      </c>
      <c r="DU285" s="16">
        <v>2489</v>
      </c>
      <c r="DV285" s="16">
        <v>4026</v>
      </c>
      <c r="DW285" s="16">
        <v>19387</v>
      </c>
      <c r="DX285" s="16">
        <v>10090</v>
      </c>
      <c r="DY285" s="16">
        <v>8095</v>
      </c>
      <c r="DZ285" s="16">
        <v>42208</v>
      </c>
      <c r="EA285" s="16">
        <v>22307</v>
      </c>
      <c r="EB285" s="16">
        <v>712</v>
      </c>
      <c r="EC285" s="16">
        <v>7395</v>
      </c>
      <c r="ED285" s="16">
        <v>746</v>
      </c>
      <c r="EE285" s="16">
        <v>16</v>
      </c>
      <c r="EF285" s="16">
        <v>301</v>
      </c>
      <c r="EG285" s="16">
        <v>14784</v>
      </c>
      <c r="EH285" s="16">
        <v>1030</v>
      </c>
      <c r="EI285" s="16">
        <v>381</v>
      </c>
      <c r="EJ285" s="16">
        <v>352</v>
      </c>
      <c r="EK285" s="16">
        <v>882</v>
      </c>
      <c r="EL285" s="16">
        <v>194</v>
      </c>
      <c r="EM285" s="16">
        <v>437</v>
      </c>
      <c r="EN285" s="16">
        <v>6922</v>
      </c>
      <c r="EO285" s="16">
        <v>1984</v>
      </c>
      <c r="EP285" s="16">
        <v>1352</v>
      </c>
      <c r="EQ285" s="16">
        <v>2177</v>
      </c>
      <c r="ER285" s="16">
        <v>239</v>
      </c>
      <c r="ES285" s="16">
        <v>439</v>
      </c>
      <c r="ET285" s="16">
        <v>3884</v>
      </c>
      <c r="EU285" s="16">
        <v>59</v>
      </c>
      <c r="EV285" s="16">
        <v>3783</v>
      </c>
      <c r="EW285" s="16">
        <v>128</v>
      </c>
      <c r="EX285" s="16">
        <v>79571</v>
      </c>
      <c r="EY285" s="16">
        <v>4562</v>
      </c>
      <c r="EZ285" s="16">
        <v>1095</v>
      </c>
      <c r="FA285" s="16">
        <v>1102</v>
      </c>
      <c r="FB285" s="16">
        <v>6273</v>
      </c>
      <c r="FC285" s="16">
        <v>40</v>
      </c>
      <c r="FD285" s="16">
        <v>11740</v>
      </c>
      <c r="FE285" s="16">
        <v>3104</v>
      </c>
      <c r="FF285" s="16">
        <v>1140</v>
      </c>
      <c r="FG285" s="16">
        <v>4197</v>
      </c>
      <c r="FH285" s="16">
        <v>16</v>
      </c>
      <c r="FI285" s="16">
        <v>4803</v>
      </c>
      <c r="FJ285" s="16">
        <v>1992</v>
      </c>
      <c r="FK285" s="16">
        <v>23212</v>
      </c>
      <c r="FL285" s="16">
        <v>156</v>
      </c>
      <c r="FM285" s="16">
        <v>1799</v>
      </c>
      <c r="FN285" s="16">
        <v>15361</v>
      </c>
      <c r="FO285" s="16">
        <v>1141</v>
      </c>
      <c r="FP285" s="16">
        <v>7810</v>
      </c>
      <c r="FQ285" s="16">
        <v>10319</v>
      </c>
      <c r="FR285" s="16">
        <v>19894</v>
      </c>
      <c r="FS285" s="16">
        <v>2911</v>
      </c>
      <c r="FT285" s="16">
        <v>446</v>
      </c>
      <c r="FU285" s="16">
        <v>9113</v>
      </c>
      <c r="FV285" s="16">
        <v>10850</v>
      </c>
      <c r="FW285" s="16">
        <v>10620</v>
      </c>
      <c r="FX285" s="16">
        <v>24156</v>
      </c>
      <c r="FY285" s="16">
        <v>1558</v>
      </c>
      <c r="FZ285" s="16">
        <v>5344</v>
      </c>
      <c r="GA285" s="16">
        <v>644</v>
      </c>
      <c r="GB285" s="16">
        <v>36318</v>
      </c>
      <c r="GC285" s="16">
        <v>2279</v>
      </c>
      <c r="GD285" s="16">
        <v>7798</v>
      </c>
      <c r="GE285" s="16">
        <v>1835</v>
      </c>
      <c r="GF285" s="16">
        <v>47788</v>
      </c>
      <c r="GG285" s="16">
        <v>26</v>
      </c>
      <c r="GH285" s="16">
        <v>9934</v>
      </c>
      <c r="GI285" s="16">
        <v>1142</v>
      </c>
      <c r="GJ285" s="16">
        <v>5129</v>
      </c>
      <c r="GK285" s="16">
        <v>815</v>
      </c>
      <c r="GL285" s="16">
        <v>12</v>
      </c>
      <c r="GM285" s="16">
        <v>56</v>
      </c>
      <c r="GN285" s="16">
        <v>201</v>
      </c>
      <c r="GO285" s="16">
        <v>3</v>
      </c>
      <c r="GP285" s="16">
        <v>196</v>
      </c>
      <c r="GQ285" s="16">
        <v>2</v>
      </c>
      <c r="GR285" s="16">
        <v>651</v>
      </c>
      <c r="GS285" s="16">
        <v>53</v>
      </c>
      <c r="GT285" s="16">
        <v>128</v>
      </c>
      <c r="GU285" s="16">
        <v>2636</v>
      </c>
      <c r="GV285" s="16">
        <v>6207</v>
      </c>
      <c r="GW285" s="16">
        <v>2498</v>
      </c>
      <c r="GX285" s="16">
        <v>318</v>
      </c>
      <c r="GY285" s="16">
        <v>11</v>
      </c>
      <c r="GZ285" s="16">
        <v>6908</v>
      </c>
      <c r="HA285" s="16">
        <v>4737</v>
      </c>
      <c r="HB285" s="16">
        <v>1251</v>
      </c>
      <c r="HC285" s="16">
        <v>12127</v>
      </c>
      <c r="HD285" s="16">
        <v>18993</v>
      </c>
      <c r="HE285" s="16">
        <v>2095</v>
      </c>
      <c r="HF285" s="16">
        <v>18570</v>
      </c>
      <c r="HG285" s="16">
        <v>1142</v>
      </c>
      <c r="HH285" s="16">
        <v>887</v>
      </c>
      <c r="HI285" s="16">
        <v>2014</v>
      </c>
      <c r="HJ285" s="16">
        <v>887</v>
      </c>
      <c r="HK285" s="16">
        <v>1957</v>
      </c>
      <c r="HL285" s="16">
        <v>35222</v>
      </c>
      <c r="HM285" s="16">
        <v>4193</v>
      </c>
      <c r="HN285" s="16">
        <v>10867</v>
      </c>
      <c r="HO285" s="16">
        <v>7172</v>
      </c>
      <c r="HP285" s="16">
        <v>5522</v>
      </c>
      <c r="HQ285" s="16">
        <v>5085</v>
      </c>
      <c r="HR285" s="16">
        <v>7589</v>
      </c>
      <c r="HS285" s="16">
        <v>3672</v>
      </c>
      <c r="HT285" s="16">
        <v>195</v>
      </c>
      <c r="HU285" s="16">
        <v>4913</v>
      </c>
      <c r="HV285" s="16">
        <v>1765</v>
      </c>
      <c r="HW285" s="16">
        <v>3601</v>
      </c>
      <c r="HX285" s="16">
        <v>4293</v>
      </c>
      <c r="HY285" s="16">
        <v>8033</v>
      </c>
      <c r="HZ285" s="16">
        <v>9607</v>
      </c>
      <c r="IA285" s="16">
        <v>1561</v>
      </c>
      <c r="IB285" s="16">
        <v>875</v>
      </c>
      <c r="IC285" s="16">
        <v>391</v>
      </c>
      <c r="ID285" s="16">
        <v>1777</v>
      </c>
      <c r="IE285" s="16">
        <v>253</v>
      </c>
      <c r="IF285" s="16">
        <v>727</v>
      </c>
      <c r="IG285" s="16">
        <v>4385</v>
      </c>
      <c r="IH285" s="16">
        <v>2858</v>
      </c>
      <c r="II285" s="16">
        <v>382</v>
      </c>
      <c r="IJ285" s="16">
        <v>27</v>
      </c>
      <c r="IK285" s="16">
        <v>157</v>
      </c>
      <c r="IL285" s="16">
        <v>469</v>
      </c>
      <c r="IM285" s="16">
        <v>92</v>
      </c>
      <c r="IN285" s="16">
        <v>8123</v>
      </c>
      <c r="IO285" s="16">
        <v>6124</v>
      </c>
      <c r="IP285" s="16">
        <v>767</v>
      </c>
      <c r="IQ285" s="16">
        <v>253</v>
      </c>
      <c r="IR285" s="16">
        <v>283</v>
      </c>
      <c r="IS285" s="16">
        <v>1818</v>
      </c>
      <c r="IT285" s="16">
        <v>121</v>
      </c>
      <c r="IU285" s="16">
        <v>4</v>
      </c>
      <c r="IV285" s="16">
        <v>1700</v>
      </c>
      <c r="IW285" s="16">
        <v>5435</v>
      </c>
      <c r="IX285" s="16">
        <v>2593</v>
      </c>
      <c r="IY285" s="16">
        <v>774</v>
      </c>
      <c r="IZ285" s="16">
        <v>40</v>
      </c>
      <c r="JA285" s="16">
        <v>1356</v>
      </c>
      <c r="JB285" s="16">
        <v>35</v>
      </c>
      <c r="JC285" s="16">
        <v>111</v>
      </c>
      <c r="JD285" s="16">
        <v>58</v>
      </c>
      <c r="JE285" s="16">
        <v>3452</v>
      </c>
      <c r="JF285" s="16">
        <v>1577</v>
      </c>
      <c r="JG285" s="16">
        <v>17718</v>
      </c>
      <c r="JH285" s="16">
        <v>2279</v>
      </c>
      <c r="JI285" s="16">
        <v>2586</v>
      </c>
      <c r="JJ285" s="16">
        <v>49667</v>
      </c>
      <c r="JK285" s="16">
        <v>70546</v>
      </c>
      <c r="JL285" s="16">
        <v>967</v>
      </c>
      <c r="JM285" s="16">
        <v>958</v>
      </c>
      <c r="JN285" s="16">
        <v>10109</v>
      </c>
      <c r="JO285" s="16">
        <v>3944</v>
      </c>
      <c r="JP285" s="16">
        <v>155265</v>
      </c>
      <c r="JQ285" s="16">
        <v>21654</v>
      </c>
      <c r="JR285" s="16">
        <v>27755</v>
      </c>
      <c r="JS285" s="16">
        <v>24412</v>
      </c>
      <c r="JT285" s="16">
        <v>0</v>
      </c>
      <c r="JU285" s="16">
        <v>37029</v>
      </c>
      <c r="JV285" s="16">
        <v>5368</v>
      </c>
      <c r="JW285" s="16">
        <v>5856</v>
      </c>
      <c r="JX285" s="16">
        <v>9284</v>
      </c>
      <c r="JY285" s="16">
        <v>1679</v>
      </c>
      <c r="JZ285" s="16">
        <v>196</v>
      </c>
      <c r="KA285" s="16">
        <v>513</v>
      </c>
      <c r="KB285" s="16">
        <v>56</v>
      </c>
      <c r="KC285" s="16">
        <v>229</v>
      </c>
      <c r="KD285" s="16">
        <v>20</v>
      </c>
      <c r="KE285" s="16">
        <v>66</v>
      </c>
      <c r="KF285" s="16">
        <v>2135</v>
      </c>
      <c r="KG285" s="16">
        <v>1763</v>
      </c>
      <c r="KH285" s="16">
        <v>306</v>
      </c>
      <c r="KI285" s="16">
        <v>597</v>
      </c>
      <c r="KJ285" s="16">
        <v>72</v>
      </c>
      <c r="KK285" s="16">
        <v>382154</v>
      </c>
      <c r="KL285" s="16">
        <v>690</v>
      </c>
      <c r="KM285" s="16">
        <v>7383</v>
      </c>
      <c r="KN285" s="16">
        <v>2200</v>
      </c>
      <c r="KO285" s="16">
        <v>2718</v>
      </c>
      <c r="KP285" s="16">
        <v>808</v>
      </c>
      <c r="KQ285" s="16">
        <v>900</v>
      </c>
      <c r="KR285" s="16">
        <v>17246</v>
      </c>
      <c r="KS285" s="16">
        <v>122</v>
      </c>
      <c r="KT285" s="16">
        <v>22403</v>
      </c>
      <c r="KU285" s="16">
        <v>14034</v>
      </c>
      <c r="KV285" s="16">
        <v>34984</v>
      </c>
      <c r="KW285" s="16">
        <v>22611</v>
      </c>
      <c r="KX285" s="16">
        <v>713</v>
      </c>
      <c r="KY285" s="16">
        <v>9011</v>
      </c>
      <c r="KZ285" s="16">
        <v>569366</v>
      </c>
      <c r="LA285" s="16">
        <v>40298</v>
      </c>
      <c r="LB285" s="16">
        <v>15842</v>
      </c>
      <c r="LC285" s="16">
        <v>41051</v>
      </c>
      <c r="LD285" s="16">
        <v>195507</v>
      </c>
      <c r="LE285" s="16">
        <v>30746</v>
      </c>
      <c r="LF285" s="16">
        <v>13631</v>
      </c>
      <c r="LG285" s="16">
        <v>3969</v>
      </c>
      <c r="LH285" s="16">
        <v>34478</v>
      </c>
      <c r="LI285" s="16">
        <v>35</v>
      </c>
      <c r="LJ285" s="16">
        <v>2832</v>
      </c>
      <c r="LK285" s="16">
        <v>11126</v>
      </c>
      <c r="LL285" s="16">
        <v>19012</v>
      </c>
      <c r="LM285" s="16">
        <v>217400</v>
      </c>
      <c r="LN285" s="16">
        <v>21463</v>
      </c>
      <c r="LO285" s="16">
        <v>523</v>
      </c>
      <c r="LP285" s="16">
        <v>18332</v>
      </c>
      <c r="LQ285" s="16">
        <v>4783</v>
      </c>
      <c r="LR285" s="16">
        <v>22463</v>
      </c>
      <c r="LS285" s="16">
        <v>2803</v>
      </c>
      <c r="LT285" s="16">
        <v>20453</v>
      </c>
      <c r="LU285" s="16">
        <v>3306</v>
      </c>
      <c r="LV285" s="16">
        <v>21</v>
      </c>
      <c r="LW285" s="16">
        <v>2015</v>
      </c>
      <c r="LX285" s="16">
        <v>8094</v>
      </c>
      <c r="LY285" s="16">
        <v>15563187</v>
      </c>
      <c r="LZ285" s="16">
        <v>2892482</v>
      </c>
      <c r="MA285" s="16">
        <v>352641</v>
      </c>
      <c r="MB285" s="16">
        <v>23254</v>
      </c>
      <c r="MC285" s="16">
        <v>88089</v>
      </c>
      <c r="MD285" s="16">
        <v>38573</v>
      </c>
      <c r="ME285" s="16">
        <v>6686</v>
      </c>
      <c r="MF285" s="16">
        <v>250419</v>
      </c>
      <c r="MG285" s="16">
        <v>17743</v>
      </c>
      <c r="MH285" s="16">
        <v>342757</v>
      </c>
      <c r="MI285" s="16">
        <v>4594</v>
      </c>
      <c r="MJ285" s="16">
        <v>8265</v>
      </c>
      <c r="MK285" s="16">
        <v>25920</v>
      </c>
      <c r="ML285" s="16">
        <v>5268</v>
      </c>
      <c r="MM285" s="16">
        <v>49059</v>
      </c>
      <c r="MN285" s="16">
        <v>270866</v>
      </c>
      <c r="MO285" s="16">
        <v>27619</v>
      </c>
      <c r="MP285" s="16">
        <v>7911</v>
      </c>
      <c r="MQ285" s="16">
        <v>59815</v>
      </c>
      <c r="MR285" s="16">
        <v>217704</v>
      </c>
      <c r="MS285" s="16">
        <v>603940</v>
      </c>
      <c r="MT285" s="16">
        <v>28809</v>
      </c>
      <c r="MU285" s="16">
        <v>78333</v>
      </c>
      <c r="MV285" s="16">
        <v>36839</v>
      </c>
      <c r="MW285" s="16">
        <v>53853</v>
      </c>
      <c r="MX285" s="16">
        <v>5675</v>
      </c>
      <c r="MY285" s="16">
        <v>6918</v>
      </c>
      <c r="MZ285" s="16">
        <v>50568</v>
      </c>
      <c r="NA285" s="16">
        <v>18437</v>
      </c>
      <c r="NB285" s="16">
        <v>16540</v>
      </c>
      <c r="NC285" s="16">
        <v>29055</v>
      </c>
      <c r="ND285" s="16">
        <v>12427</v>
      </c>
      <c r="NE285" s="16">
        <v>4074</v>
      </c>
      <c r="NF285" s="16">
        <v>10208</v>
      </c>
      <c r="NG285" s="16">
        <v>87616</v>
      </c>
      <c r="NH285" s="16">
        <v>7700</v>
      </c>
      <c r="NI285" s="16">
        <v>12285</v>
      </c>
      <c r="NJ285" s="16">
        <v>102908</v>
      </c>
      <c r="NK285" s="16">
        <v>4239</v>
      </c>
      <c r="NL285" s="16">
        <v>548</v>
      </c>
      <c r="NM285" s="16">
        <v>18272</v>
      </c>
      <c r="NN285" s="16">
        <v>6539</v>
      </c>
      <c r="NO285" s="16">
        <v>0</v>
      </c>
      <c r="NP285" s="16">
        <v>21649</v>
      </c>
      <c r="NQ285" s="16">
        <v>8090</v>
      </c>
      <c r="NR285" s="17">
        <v>25062837</v>
      </c>
    </row>
    <row r="286" spans="1:382" ht="13.5" customHeight="1" x14ac:dyDescent="0.2">
      <c r="A286" s="2" t="s">
        <v>579</v>
      </c>
      <c r="B286" s="16">
        <v>0</v>
      </c>
      <c r="C286" s="16">
        <v>0</v>
      </c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0</v>
      </c>
      <c r="AG286" s="16">
        <v>0</v>
      </c>
      <c r="AH286" s="16">
        <v>0</v>
      </c>
      <c r="AI286" s="16">
        <v>0</v>
      </c>
      <c r="AJ286" s="16">
        <v>0</v>
      </c>
      <c r="AK286" s="16">
        <v>0</v>
      </c>
      <c r="AL286" s="16">
        <v>0</v>
      </c>
      <c r="AM286" s="16">
        <v>0</v>
      </c>
      <c r="AN286" s="16">
        <v>0</v>
      </c>
      <c r="AO286" s="16">
        <v>0</v>
      </c>
      <c r="AP286" s="16">
        <v>0</v>
      </c>
      <c r="AQ286" s="16">
        <v>0</v>
      </c>
      <c r="AR286" s="16">
        <v>0</v>
      </c>
      <c r="AS286" s="16">
        <v>0</v>
      </c>
      <c r="AT286" s="16">
        <v>0</v>
      </c>
      <c r="AU286" s="16">
        <v>0</v>
      </c>
      <c r="AV286" s="16">
        <v>0</v>
      </c>
      <c r="AW286" s="16">
        <v>0</v>
      </c>
      <c r="AX286" s="16">
        <v>0</v>
      </c>
      <c r="AY286" s="16">
        <v>0</v>
      </c>
      <c r="AZ286" s="16">
        <v>0</v>
      </c>
      <c r="BA286" s="16">
        <v>0</v>
      </c>
      <c r="BB286" s="16">
        <v>0</v>
      </c>
      <c r="BC286" s="16">
        <v>0</v>
      </c>
      <c r="BD286" s="16">
        <v>0</v>
      </c>
      <c r="BE286" s="16">
        <v>0</v>
      </c>
      <c r="BF286" s="16">
        <v>0</v>
      </c>
      <c r="BG286" s="16">
        <v>0</v>
      </c>
      <c r="BH286" s="16">
        <v>0</v>
      </c>
      <c r="BI286" s="16">
        <v>0</v>
      </c>
      <c r="BJ286" s="16">
        <v>0</v>
      </c>
      <c r="BK286" s="16">
        <v>0</v>
      </c>
      <c r="BL286" s="16">
        <v>0</v>
      </c>
      <c r="BM286" s="16">
        <v>0</v>
      </c>
      <c r="BN286" s="16">
        <v>0</v>
      </c>
      <c r="BO286" s="16">
        <v>0</v>
      </c>
      <c r="BP286" s="16">
        <v>0</v>
      </c>
      <c r="BQ286" s="16">
        <v>0</v>
      </c>
      <c r="BR286" s="16">
        <v>0</v>
      </c>
      <c r="BS286" s="16">
        <v>0</v>
      </c>
      <c r="BT286" s="16">
        <v>0</v>
      </c>
      <c r="BU286" s="16">
        <v>0</v>
      </c>
      <c r="BV286" s="16">
        <v>0</v>
      </c>
      <c r="BW286" s="16">
        <v>0</v>
      </c>
      <c r="BX286" s="16">
        <v>0</v>
      </c>
      <c r="BY286" s="16">
        <v>0</v>
      </c>
      <c r="BZ286" s="16">
        <v>0</v>
      </c>
      <c r="CA286" s="16">
        <v>0</v>
      </c>
      <c r="CB286" s="16">
        <v>0</v>
      </c>
      <c r="CC286" s="16">
        <v>0</v>
      </c>
      <c r="CD286" s="16">
        <v>0</v>
      </c>
      <c r="CE286" s="16">
        <v>0</v>
      </c>
      <c r="CF286" s="16">
        <v>0</v>
      </c>
      <c r="CG286" s="16">
        <v>0</v>
      </c>
      <c r="CH286" s="16">
        <v>0</v>
      </c>
      <c r="CI286" s="16">
        <v>0</v>
      </c>
      <c r="CJ286" s="16">
        <v>0</v>
      </c>
      <c r="CK286" s="16">
        <v>0</v>
      </c>
      <c r="CL286" s="16">
        <v>0</v>
      </c>
      <c r="CM286" s="16">
        <v>0</v>
      </c>
      <c r="CN286" s="16">
        <v>0</v>
      </c>
      <c r="CO286" s="16">
        <v>0</v>
      </c>
      <c r="CP286" s="16">
        <v>0</v>
      </c>
      <c r="CQ286" s="16">
        <v>0</v>
      </c>
      <c r="CR286" s="16">
        <v>0</v>
      </c>
      <c r="CS286" s="16">
        <v>0</v>
      </c>
      <c r="CT286" s="16">
        <v>0</v>
      </c>
      <c r="CU286" s="16">
        <v>0</v>
      </c>
      <c r="CV286" s="16">
        <v>0</v>
      </c>
      <c r="CW286" s="16">
        <v>0</v>
      </c>
      <c r="CX286" s="16">
        <v>0</v>
      </c>
      <c r="CY286" s="16">
        <v>0</v>
      </c>
      <c r="CZ286" s="16">
        <v>0</v>
      </c>
      <c r="DA286" s="16">
        <v>0</v>
      </c>
      <c r="DB286" s="16">
        <v>0</v>
      </c>
      <c r="DC286" s="16">
        <v>0</v>
      </c>
      <c r="DD286" s="16">
        <v>0</v>
      </c>
      <c r="DE286" s="16">
        <v>0</v>
      </c>
      <c r="DF286" s="16">
        <v>0</v>
      </c>
      <c r="DG286" s="16">
        <v>0</v>
      </c>
      <c r="DH286" s="16">
        <v>0</v>
      </c>
      <c r="DI286" s="16">
        <v>0</v>
      </c>
      <c r="DJ286" s="16">
        <v>0</v>
      </c>
      <c r="DK286" s="16">
        <v>0</v>
      </c>
      <c r="DL286" s="16">
        <v>0</v>
      </c>
      <c r="DM286" s="16">
        <v>0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6">
        <v>0</v>
      </c>
      <c r="DV286" s="16">
        <v>0</v>
      </c>
      <c r="DW286" s="16">
        <v>0</v>
      </c>
      <c r="DX286" s="16">
        <v>0</v>
      </c>
      <c r="DY286" s="16">
        <v>0</v>
      </c>
      <c r="DZ286" s="16">
        <v>0</v>
      </c>
      <c r="EA286" s="16">
        <v>0</v>
      </c>
      <c r="EB286" s="16">
        <v>0</v>
      </c>
      <c r="EC286" s="16">
        <v>0</v>
      </c>
      <c r="ED286" s="16">
        <v>0</v>
      </c>
      <c r="EE286" s="16">
        <v>0</v>
      </c>
      <c r="EF286" s="16">
        <v>0</v>
      </c>
      <c r="EG286" s="16">
        <v>0</v>
      </c>
      <c r="EH286" s="16">
        <v>0</v>
      </c>
      <c r="EI286" s="16">
        <v>0</v>
      </c>
      <c r="EJ286" s="16">
        <v>0</v>
      </c>
      <c r="EK286" s="16">
        <v>0</v>
      </c>
      <c r="EL286" s="16">
        <v>0</v>
      </c>
      <c r="EM286" s="16">
        <v>0</v>
      </c>
      <c r="EN286" s="16">
        <v>0</v>
      </c>
      <c r="EO286" s="16">
        <v>0</v>
      </c>
      <c r="EP286" s="16">
        <v>0</v>
      </c>
      <c r="EQ286" s="16">
        <v>0</v>
      </c>
      <c r="ER286" s="16">
        <v>0</v>
      </c>
      <c r="ES286" s="16">
        <v>0</v>
      </c>
      <c r="ET286" s="16">
        <v>0</v>
      </c>
      <c r="EU286" s="16">
        <v>0</v>
      </c>
      <c r="EV286" s="16">
        <v>0</v>
      </c>
      <c r="EW286" s="16">
        <v>0</v>
      </c>
      <c r="EX286" s="16">
        <v>0</v>
      </c>
      <c r="EY286" s="16">
        <v>0</v>
      </c>
      <c r="EZ286" s="16">
        <v>0</v>
      </c>
      <c r="FA286" s="16">
        <v>0</v>
      </c>
      <c r="FB286" s="16">
        <v>0</v>
      </c>
      <c r="FC286" s="16">
        <v>0</v>
      </c>
      <c r="FD286" s="16">
        <v>0</v>
      </c>
      <c r="FE286" s="16">
        <v>0</v>
      </c>
      <c r="FF286" s="16">
        <v>0</v>
      </c>
      <c r="FG286" s="16">
        <v>0</v>
      </c>
      <c r="FH286" s="16">
        <v>0</v>
      </c>
      <c r="FI286" s="16">
        <v>0</v>
      </c>
      <c r="FJ286" s="16">
        <v>0</v>
      </c>
      <c r="FK286" s="16">
        <v>0</v>
      </c>
      <c r="FL286" s="16">
        <v>0</v>
      </c>
      <c r="FM286" s="16">
        <v>0</v>
      </c>
      <c r="FN286" s="16">
        <v>0</v>
      </c>
      <c r="FO286" s="16">
        <v>0</v>
      </c>
      <c r="FP286" s="16">
        <v>0</v>
      </c>
      <c r="FQ286" s="16">
        <v>0</v>
      </c>
      <c r="FR286" s="16">
        <v>0</v>
      </c>
      <c r="FS286" s="16">
        <v>0</v>
      </c>
      <c r="FT286" s="16">
        <v>0</v>
      </c>
      <c r="FU286" s="16">
        <v>0</v>
      </c>
      <c r="FV286" s="16">
        <v>0</v>
      </c>
      <c r="FW286" s="16">
        <v>0</v>
      </c>
      <c r="FX286" s="16">
        <v>0</v>
      </c>
      <c r="FY286" s="16">
        <v>0</v>
      </c>
      <c r="FZ286" s="16">
        <v>0</v>
      </c>
      <c r="GA286" s="16">
        <v>0</v>
      </c>
      <c r="GB286" s="16">
        <v>0</v>
      </c>
      <c r="GC286" s="16">
        <v>0</v>
      </c>
      <c r="GD286" s="16">
        <v>0</v>
      </c>
      <c r="GE286" s="16">
        <v>0</v>
      </c>
      <c r="GF286" s="16">
        <v>0</v>
      </c>
      <c r="GG286" s="16">
        <v>0</v>
      </c>
      <c r="GH286" s="16">
        <v>0</v>
      </c>
      <c r="GI286" s="16">
        <v>0</v>
      </c>
      <c r="GJ286" s="16">
        <v>0</v>
      </c>
      <c r="GK286" s="16">
        <v>0</v>
      </c>
      <c r="GL286" s="16">
        <v>0</v>
      </c>
      <c r="GM286" s="16">
        <v>0</v>
      </c>
      <c r="GN286" s="16">
        <v>0</v>
      </c>
      <c r="GO286" s="16">
        <v>0</v>
      </c>
      <c r="GP286" s="16">
        <v>0</v>
      </c>
      <c r="GQ286" s="16">
        <v>0</v>
      </c>
      <c r="GR286" s="16">
        <v>0</v>
      </c>
      <c r="GS286" s="16">
        <v>0</v>
      </c>
      <c r="GT286" s="16">
        <v>0</v>
      </c>
      <c r="GU286" s="16">
        <v>0</v>
      </c>
      <c r="GV286" s="16">
        <v>0</v>
      </c>
      <c r="GW286" s="16">
        <v>0</v>
      </c>
      <c r="GX286" s="16">
        <v>0</v>
      </c>
      <c r="GY286" s="16">
        <v>0</v>
      </c>
      <c r="GZ286" s="16">
        <v>0</v>
      </c>
      <c r="HA286" s="16">
        <v>0</v>
      </c>
      <c r="HB286" s="16">
        <v>0</v>
      </c>
      <c r="HC286" s="16">
        <v>0</v>
      </c>
      <c r="HD286" s="16">
        <v>0</v>
      </c>
      <c r="HE286" s="16">
        <v>0</v>
      </c>
      <c r="HF286" s="16">
        <v>0</v>
      </c>
      <c r="HG286" s="16">
        <v>0</v>
      </c>
      <c r="HH286" s="16">
        <v>0</v>
      </c>
      <c r="HI286" s="16">
        <v>0</v>
      </c>
      <c r="HJ286" s="16">
        <v>0</v>
      </c>
      <c r="HK286" s="16">
        <v>0</v>
      </c>
      <c r="HL286" s="16">
        <v>0</v>
      </c>
      <c r="HM286" s="16">
        <v>0</v>
      </c>
      <c r="HN286" s="16">
        <v>0</v>
      </c>
      <c r="HO286" s="16">
        <v>0</v>
      </c>
      <c r="HP286" s="16">
        <v>0</v>
      </c>
      <c r="HQ286" s="16">
        <v>0</v>
      </c>
      <c r="HR286" s="16">
        <v>0</v>
      </c>
      <c r="HS286" s="16">
        <v>0</v>
      </c>
      <c r="HT286" s="16">
        <v>0</v>
      </c>
      <c r="HU286" s="16">
        <v>0</v>
      </c>
      <c r="HV286" s="16">
        <v>0</v>
      </c>
      <c r="HW286" s="16">
        <v>0</v>
      </c>
      <c r="HX286" s="16">
        <v>0</v>
      </c>
      <c r="HY286" s="16">
        <v>0</v>
      </c>
      <c r="HZ286" s="16">
        <v>0</v>
      </c>
      <c r="IA286" s="16">
        <v>0</v>
      </c>
      <c r="IB286" s="16">
        <v>0</v>
      </c>
      <c r="IC286" s="16">
        <v>0</v>
      </c>
      <c r="ID286" s="16">
        <v>0</v>
      </c>
      <c r="IE286" s="16">
        <v>0</v>
      </c>
      <c r="IF286" s="16">
        <v>0</v>
      </c>
      <c r="IG286" s="16">
        <v>0</v>
      </c>
      <c r="IH286" s="16">
        <v>0</v>
      </c>
      <c r="II286" s="16">
        <v>0</v>
      </c>
      <c r="IJ286" s="16">
        <v>0</v>
      </c>
      <c r="IK286" s="16">
        <v>0</v>
      </c>
      <c r="IL286" s="16">
        <v>0</v>
      </c>
      <c r="IM286" s="16">
        <v>0</v>
      </c>
      <c r="IN286" s="16">
        <v>0</v>
      </c>
      <c r="IO286" s="16">
        <v>0</v>
      </c>
      <c r="IP286" s="16">
        <v>0</v>
      </c>
      <c r="IQ286" s="16">
        <v>0</v>
      </c>
      <c r="IR286" s="16">
        <v>0</v>
      </c>
      <c r="IS286" s="16">
        <v>0</v>
      </c>
      <c r="IT286" s="16">
        <v>0</v>
      </c>
      <c r="IU286" s="16">
        <v>0</v>
      </c>
      <c r="IV286" s="16">
        <v>0</v>
      </c>
      <c r="IW286" s="16">
        <v>0</v>
      </c>
      <c r="IX286" s="16">
        <v>0</v>
      </c>
      <c r="IY286" s="16">
        <v>0</v>
      </c>
      <c r="IZ286" s="16">
        <v>0</v>
      </c>
      <c r="JA286" s="16">
        <v>0</v>
      </c>
      <c r="JB286" s="16">
        <v>0</v>
      </c>
      <c r="JC286" s="16">
        <v>0</v>
      </c>
      <c r="JD286" s="16">
        <v>0</v>
      </c>
      <c r="JE286" s="16">
        <v>0</v>
      </c>
      <c r="JF286" s="16">
        <v>0</v>
      </c>
      <c r="JG286" s="16">
        <v>0</v>
      </c>
      <c r="JH286" s="16">
        <v>0</v>
      </c>
      <c r="JI286" s="16">
        <v>0</v>
      </c>
      <c r="JJ286" s="16">
        <v>0</v>
      </c>
      <c r="JK286" s="16">
        <v>0</v>
      </c>
      <c r="JL286" s="16">
        <v>0</v>
      </c>
      <c r="JM286" s="16">
        <v>0</v>
      </c>
      <c r="JN286" s="16">
        <v>0</v>
      </c>
      <c r="JO286" s="16">
        <v>0</v>
      </c>
      <c r="JP286" s="16">
        <v>0</v>
      </c>
      <c r="JQ286" s="16">
        <v>0</v>
      </c>
      <c r="JR286" s="16">
        <v>0</v>
      </c>
      <c r="JS286" s="16">
        <v>0</v>
      </c>
      <c r="JT286" s="16">
        <v>0</v>
      </c>
      <c r="JU286" s="16">
        <v>0</v>
      </c>
      <c r="JV286" s="16">
        <v>0</v>
      </c>
      <c r="JW286" s="16">
        <v>0</v>
      </c>
      <c r="JX286" s="16">
        <v>0</v>
      </c>
      <c r="JY286" s="16">
        <v>0</v>
      </c>
      <c r="JZ286" s="16">
        <v>0</v>
      </c>
      <c r="KA286" s="16">
        <v>0</v>
      </c>
      <c r="KB286" s="16">
        <v>0</v>
      </c>
      <c r="KC286" s="16">
        <v>0</v>
      </c>
      <c r="KD286" s="16">
        <v>0</v>
      </c>
      <c r="KE286" s="16">
        <v>0</v>
      </c>
      <c r="KF286" s="16">
        <v>0</v>
      </c>
      <c r="KG286" s="16">
        <v>0</v>
      </c>
      <c r="KH286" s="16">
        <v>0</v>
      </c>
      <c r="KI286" s="16">
        <v>0</v>
      </c>
      <c r="KJ286" s="16">
        <v>0</v>
      </c>
      <c r="KK286" s="16">
        <v>0</v>
      </c>
      <c r="KL286" s="16">
        <v>0</v>
      </c>
      <c r="KM286" s="16">
        <v>0</v>
      </c>
      <c r="KN286" s="16">
        <v>0</v>
      </c>
      <c r="KO286" s="16">
        <v>0</v>
      </c>
      <c r="KP286" s="16">
        <v>0</v>
      </c>
      <c r="KQ286" s="16">
        <v>0</v>
      </c>
      <c r="KR286" s="16">
        <v>0</v>
      </c>
      <c r="KS286" s="16">
        <v>0</v>
      </c>
      <c r="KT286" s="16">
        <v>0</v>
      </c>
      <c r="KU286" s="16">
        <v>0</v>
      </c>
      <c r="KV286" s="16">
        <v>0</v>
      </c>
      <c r="KW286" s="16">
        <v>0</v>
      </c>
      <c r="KX286" s="16">
        <v>0</v>
      </c>
      <c r="KY286" s="16">
        <v>0</v>
      </c>
      <c r="KZ286" s="16">
        <v>0</v>
      </c>
      <c r="LA286" s="16">
        <v>0</v>
      </c>
      <c r="LB286" s="16">
        <v>0</v>
      </c>
      <c r="LC286" s="16">
        <v>0</v>
      </c>
      <c r="LD286" s="16">
        <v>0</v>
      </c>
      <c r="LE286" s="16">
        <v>0</v>
      </c>
      <c r="LF286" s="16">
        <v>0</v>
      </c>
      <c r="LG286" s="16">
        <v>0</v>
      </c>
      <c r="LH286" s="16">
        <v>0</v>
      </c>
      <c r="LI286" s="16">
        <v>0</v>
      </c>
      <c r="LJ286" s="16">
        <v>0</v>
      </c>
      <c r="LK286" s="16">
        <v>0</v>
      </c>
      <c r="LL286" s="16">
        <v>0</v>
      </c>
      <c r="LM286" s="16">
        <v>0</v>
      </c>
      <c r="LN286" s="16">
        <v>0</v>
      </c>
      <c r="LO286" s="16">
        <v>0</v>
      </c>
      <c r="LP286" s="16">
        <v>0</v>
      </c>
      <c r="LQ286" s="16">
        <v>0</v>
      </c>
      <c r="LR286" s="16">
        <v>0</v>
      </c>
      <c r="LS286" s="16">
        <v>0</v>
      </c>
      <c r="LT286" s="16">
        <v>0</v>
      </c>
      <c r="LU286" s="16">
        <v>0</v>
      </c>
      <c r="LV286" s="16">
        <v>0</v>
      </c>
      <c r="LW286" s="16">
        <v>0</v>
      </c>
      <c r="LX286" s="16">
        <v>0</v>
      </c>
      <c r="LY286" s="16">
        <v>0</v>
      </c>
      <c r="LZ286" s="16">
        <v>0</v>
      </c>
      <c r="MA286" s="16">
        <v>0</v>
      </c>
      <c r="MB286" s="16">
        <v>0</v>
      </c>
      <c r="MC286" s="16">
        <v>0</v>
      </c>
      <c r="MD286" s="16">
        <v>0</v>
      </c>
      <c r="ME286" s="16">
        <v>0</v>
      </c>
      <c r="MF286" s="16">
        <v>0</v>
      </c>
      <c r="MG286" s="16">
        <v>0</v>
      </c>
      <c r="MH286" s="16">
        <v>0</v>
      </c>
      <c r="MI286" s="16">
        <v>0</v>
      </c>
      <c r="MJ286" s="16">
        <v>0</v>
      </c>
      <c r="MK286" s="16">
        <v>0</v>
      </c>
      <c r="ML286" s="16">
        <v>0</v>
      </c>
      <c r="MM286" s="16">
        <v>0</v>
      </c>
      <c r="MN286" s="16">
        <v>0</v>
      </c>
      <c r="MO286" s="16">
        <v>0</v>
      </c>
      <c r="MP286" s="16">
        <v>0</v>
      </c>
      <c r="MQ286" s="16">
        <v>0</v>
      </c>
      <c r="MR286" s="16">
        <v>0</v>
      </c>
      <c r="MS286" s="16">
        <v>0</v>
      </c>
      <c r="MT286" s="16">
        <v>0</v>
      </c>
      <c r="MU286" s="16">
        <v>0</v>
      </c>
      <c r="MV286" s="16">
        <v>0</v>
      </c>
      <c r="MW286" s="16">
        <v>0</v>
      </c>
      <c r="MX286" s="16">
        <v>0</v>
      </c>
      <c r="MY286" s="16">
        <v>0</v>
      </c>
      <c r="MZ286" s="16">
        <v>0</v>
      </c>
      <c r="NA286" s="16">
        <v>0</v>
      </c>
      <c r="NB286" s="16">
        <v>0</v>
      </c>
      <c r="NC286" s="16">
        <v>0</v>
      </c>
      <c r="ND286" s="16">
        <v>0</v>
      </c>
      <c r="NE286" s="16">
        <v>0</v>
      </c>
      <c r="NF286" s="16">
        <v>0</v>
      </c>
      <c r="NG286" s="16">
        <v>0</v>
      </c>
      <c r="NH286" s="16">
        <v>0</v>
      </c>
      <c r="NI286" s="16">
        <v>0</v>
      </c>
      <c r="NJ286" s="16">
        <v>0</v>
      </c>
      <c r="NK286" s="16">
        <v>0</v>
      </c>
      <c r="NL286" s="16">
        <v>0</v>
      </c>
      <c r="NM286" s="16">
        <v>0</v>
      </c>
      <c r="NN286" s="16">
        <v>0</v>
      </c>
      <c r="NO286" s="16">
        <v>0</v>
      </c>
      <c r="NP286" s="16">
        <v>0</v>
      </c>
      <c r="NQ286" s="16">
        <v>0</v>
      </c>
      <c r="NR286" s="17">
        <v>0</v>
      </c>
    </row>
    <row r="287" spans="1:382" ht="13.5" customHeight="1" x14ac:dyDescent="0.2">
      <c r="A287" s="2" t="s">
        <v>581</v>
      </c>
      <c r="B287" s="16">
        <v>0</v>
      </c>
      <c r="C287" s="16">
        <v>0</v>
      </c>
      <c r="D287" s="16">
        <v>0</v>
      </c>
      <c r="E287" s="16">
        <v>0</v>
      </c>
      <c r="F287" s="16">
        <v>0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6">
        <v>0</v>
      </c>
      <c r="AF287" s="16">
        <v>0</v>
      </c>
      <c r="AG287" s="16">
        <v>0</v>
      </c>
      <c r="AH287" s="16">
        <v>0</v>
      </c>
      <c r="AI287" s="16">
        <v>0</v>
      </c>
      <c r="AJ287" s="16">
        <v>0</v>
      </c>
      <c r="AK287" s="16">
        <v>0</v>
      </c>
      <c r="AL287" s="16">
        <v>0</v>
      </c>
      <c r="AM287" s="16">
        <v>0</v>
      </c>
      <c r="AN287" s="16">
        <v>0</v>
      </c>
      <c r="AO287" s="16">
        <v>0</v>
      </c>
      <c r="AP287" s="16">
        <v>0</v>
      </c>
      <c r="AQ287" s="16">
        <v>0</v>
      </c>
      <c r="AR287" s="16">
        <v>0</v>
      </c>
      <c r="AS287" s="16">
        <v>0</v>
      </c>
      <c r="AT287" s="16">
        <v>0</v>
      </c>
      <c r="AU287" s="16">
        <v>0</v>
      </c>
      <c r="AV287" s="16">
        <v>0</v>
      </c>
      <c r="AW287" s="16">
        <v>0</v>
      </c>
      <c r="AX287" s="16">
        <v>0</v>
      </c>
      <c r="AY287" s="16">
        <v>0</v>
      </c>
      <c r="AZ287" s="16">
        <v>0</v>
      </c>
      <c r="BA287" s="16">
        <v>0</v>
      </c>
      <c r="BB287" s="16">
        <v>0</v>
      </c>
      <c r="BC287" s="16">
        <v>0</v>
      </c>
      <c r="BD287" s="16">
        <v>0</v>
      </c>
      <c r="BE287" s="16">
        <v>0</v>
      </c>
      <c r="BF287" s="16">
        <v>0</v>
      </c>
      <c r="BG287" s="16">
        <v>0</v>
      </c>
      <c r="BH287" s="16">
        <v>0</v>
      </c>
      <c r="BI287" s="16">
        <v>0</v>
      </c>
      <c r="BJ287" s="16">
        <v>0</v>
      </c>
      <c r="BK287" s="16">
        <v>0</v>
      </c>
      <c r="BL287" s="16">
        <v>0</v>
      </c>
      <c r="BM287" s="16">
        <v>0</v>
      </c>
      <c r="BN287" s="16">
        <v>0</v>
      </c>
      <c r="BO287" s="16">
        <v>0</v>
      </c>
      <c r="BP287" s="16">
        <v>0</v>
      </c>
      <c r="BQ287" s="16">
        <v>0</v>
      </c>
      <c r="BR287" s="16">
        <v>0</v>
      </c>
      <c r="BS287" s="16">
        <v>0</v>
      </c>
      <c r="BT287" s="16">
        <v>0</v>
      </c>
      <c r="BU287" s="16">
        <v>0</v>
      </c>
      <c r="BV287" s="16">
        <v>0</v>
      </c>
      <c r="BW287" s="16">
        <v>0</v>
      </c>
      <c r="BX287" s="16">
        <v>0</v>
      </c>
      <c r="BY287" s="16">
        <v>0</v>
      </c>
      <c r="BZ287" s="16">
        <v>0</v>
      </c>
      <c r="CA287" s="16">
        <v>0</v>
      </c>
      <c r="CB287" s="16">
        <v>0</v>
      </c>
      <c r="CC287" s="16">
        <v>0</v>
      </c>
      <c r="CD287" s="16">
        <v>0</v>
      </c>
      <c r="CE287" s="16">
        <v>0</v>
      </c>
      <c r="CF287" s="16">
        <v>0</v>
      </c>
      <c r="CG287" s="16">
        <v>0</v>
      </c>
      <c r="CH287" s="16">
        <v>0</v>
      </c>
      <c r="CI287" s="16">
        <v>0</v>
      </c>
      <c r="CJ287" s="16">
        <v>0</v>
      </c>
      <c r="CK287" s="16">
        <v>0</v>
      </c>
      <c r="CL287" s="16">
        <v>0</v>
      </c>
      <c r="CM287" s="16">
        <v>0</v>
      </c>
      <c r="CN287" s="16">
        <v>0</v>
      </c>
      <c r="CO287" s="16">
        <v>0</v>
      </c>
      <c r="CP287" s="16">
        <v>0</v>
      </c>
      <c r="CQ287" s="16">
        <v>0</v>
      </c>
      <c r="CR287" s="16">
        <v>0</v>
      </c>
      <c r="CS287" s="16">
        <v>0</v>
      </c>
      <c r="CT287" s="16">
        <v>0</v>
      </c>
      <c r="CU287" s="16">
        <v>0</v>
      </c>
      <c r="CV287" s="16">
        <v>0</v>
      </c>
      <c r="CW287" s="16">
        <v>0</v>
      </c>
      <c r="CX287" s="16">
        <v>0</v>
      </c>
      <c r="CY287" s="16">
        <v>0</v>
      </c>
      <c r="CZ287" s="16">
        <v>0</v>
      </c>
      <c r="DA287" s="16">
        <v>0</v>
      </c>
      <c r="DB287" s="16">
        <v>0</v>
      </c>
      <c r="DC287" s="16">
        <v>0</v>
      </c>
      <c r="DD287" s="16">
        <v>0</v>
      </c>
      <c r="DE287" s="16">
        <v>0</v>
      </c>
      <c r="DF287" s="16">
        <v>0</v>
      </c>
      <c r="DG287" s="16">
        <v>0</v>
      </c>
      <c r="DH287" s="16">
        <v>0</v>
      </c>
      <c r="DI287" s="16">
        <v>0</v>
      </c>
      <c r="DJ287" s="16">
        <v>0</v>
      </c>
      <c r="DK287" s="16">
        <v>0</v>
      </c>
      <c r="DL287" s="16">
        <v>0</v>
      </c>
      <c r="DM287" s="16">
        <v>0</v>
      </c>
      <c r="DN287" s="16">
        <v>0</v>
      </c>
      <c r="DO287" s="16">
        <v>0</v>
      </c>
      <c r="DP287" s="16">
        <v>0</v>
      </c>
      <c r="DQ287" s="16">
        <v>0</v>
      </c>
      <c r="DR287" s="16">
        <v>0</v>
      </c>
      <c r="DS287" s="16">
        <v>0</v>
      </c>
      <c r="DT287" s="16">
        <v>0</v>
      </c>
      <c r="DU287" s="16">
        <v>0</v>
      </c>
      <c r="DV287" s="16">
        <v>0</v>
      </c>
      <c r="DW287" s="16">
        <v>0</v>
      </c>
      <c r="DX287" s="16">
        <v>0</v>
      </c>
      <c r="DY287" s="16">
        <v>0</v>
      </c>
      <c r="DZ287" s="16">
        <v>0</v>
      </c>
      <c r="EA287" s="16">
        <v>0</v>
      </c>
      <c r="EB287" s="16">
        <v>0</v>
      </c>
      <c r="EC287" s="16">
        <v>0</v>
      </c>
      <c r="ED287" s="16">
        <v>0</v>
      </c>
      <c r="EE287" s="16">
        <v>0</v>
      </c>
      <c r="EF287" s="16">
        <v>0</v>
      </c>
      <c r="EG287" s="16">
        <v>0</v>
      </c>
      <c r="EH287" s="16">
        <v>0</v>
      </c>
      <c r="EI287" s="16">
        <v>0</v>
      </c>
      <c r="EJ287" s="16">
        <v>0</v>
      </c>
      <c r="EK287" s="16">
        <v>0</v>
      </c>
      <c r="EL287" s="16">
        <v>0</v>
      </c>
      <c r="EM287" s="16">
        <v>0</v>
      </c>
      <c r="EN287" s="16">
        <v>0</v>
      </c>
      <c r="EO287" s="16">
        <v>0</v>
      </c>
      <c r="EP287" s="16">
        <v>0</v>
      </c>
      <c r="EQ287" s="16">
        <v>0</v>
      </c>
      <c r="ER287" s="16">
        <v>0</v>
      </c>
      <c r="ES287" s="16">
        <v>0</v>
      </c>
      <c r="ET287" s="16">
        <v>0</v>
      </c>
      <c r="EU287" s="16">
        <v>0</v>
      </c>
      <c r="EV287" s="16">
        <v>0</v>
      </c>
      <c r="EW287" s="16">
        <v>0</v>
      </c>
      <c r="EX287" s="16">
        <v>0</v>
      </c>
      <c r="EY287" s="16">
        <v>0</v>
      </c>
      <c r="EZ287" s="16">
        <v>0</v>
      </c>
      <c r="FA287" s="16">
        <v>0</v>
      </c>
      <c r="FB287" s="16">
        <v>0</v>
      </c>
      <c r="FC287" s="16">
        <v>0</v>
      </c>
      <c r="FD287" s="16">
        <v>0</v>
      </c>
      <c r="FE287" s="16">
        <v>0</v>
      </c>
      <c r="FF287" s="16">
        <v>0</v>
      </c>
      <c r="FG287" s="16">
        <v>0</v>
      </c>
      <c r="FH287" s="16">
        <v>0</v>
      </c>
      <c r="FI287" s="16">
        <v>0</v>
      </c>
      <c r="FJ287" s="16">
        <v>0</v>
      </c>
      <c r="FK287" s="16">
        <v>0</v>
      </c>
      <c r="FL287" s="16">
        <v>0</v>
      </c>
      <c r="FM287" s="16">
        <v>0</v>
      </c>
      <c r="FN287" s="16">
        <v>0</v>
      </c>
      <c r="FO287" s="16">
        <v>0</v>
      </c>
      <c r="FP287" s="16">
        <v>0</v>
      </c>
      <c r="FQ287" s="16">
        <v>0</v>
      </c>
      <c r="FR287" s="16">
        <v>0</v>
      </c>
      <c r="FS287" s="16">
        <v>0</v>
      </c>
      <c r="FT287" s="16">
        <v>0</v>
      </c>
      <c r="FU287" s="16">
        <v>0</v>
      </c>
      <c r="FV287" s="16">
        <v>0</v>
      </c>
      <c r="FW287" s="16">
        <v>0</v>
      </c>
      <c r="FX287" s="16">
        <v>0</v>
      </c>
      <c r="FY287" s="16">
        <v>0</v>
      </c>
      <c r="FZ287" s="16">
        <v>0</v>
      </c>
      <c r="GA287" s="16">
        <v>0</v>
      </c>
      <c r="GB287" s="16">
        <v>0</v>
      </c>
      <c r="GC287" s="16">
        <v>0</v>
      </c>
      <c r="GD287" s="16">
        <v>0</v>
      </c>
      <c r="GE287" s="16">
        <v>0</v>
      </c>
      <c r="GF287" s="16">
        <v>0</v>
      </c>
      <c r="GG287" s="16">
        <v>0</v>
      </c>
      <c r="GH287" s="16">
        <v>0</v>
      </c>
      <c r="GI287" s="16">
        <v>0</v>
      </c>
      <c r="GJ287" s="16">
        <v>0</v>
      </c>
      <c r="GK287" s="16">
        <v>0</v>
      </c>
      <c r="GL287" s="16">
        <v>0</v>
      </c>
      <c r="GM287" s="16">
        <v>0</v>
      </c>
      <c r="GN287" s="16">
        <v>0</v>
      </c>
      <c r="GO287" s="16">
        <v>0</v>
      </c>
      <c r="GP287" s="16">
        <v>0</v>
      </c>
      <c r="GQ287" s="16">
        <v>0</v>
      </c>
      <c r="GR287" s="16">
        <v>0</v>
      </c>
      <c r="GS287" s="16">
        <v>0</v>
      </c>
      <c r="GT287" s="16">
        <v>0</v>
      </c>
      <c r="GU287" s="16">
        <v>0</v>
      </c>
      <c r="GV287" s="16">
        <v>0</v>
      </c>
      <c r="GW287" s="16">
        <v>0</v>
      </c>
      <c r="GX287" s="16">
        <v>0</v>
      </c>
      <c r="GY287" s="16">
        <v>0</v>
      </c>
      <c r="GZ287" s="16">
        <v>0</v>
      </c>
      <c r="HA287" s="16">
        <v>0</v>
      </c>
      <c r="HB287" s="16">
        <v>0</v>
      </c>
      <c r="HC287" s="16">
        <v>0</v>
      </c>
      <c r="HD287" s="16">
        <v>0</v>
      </c>
      <c r="HE287" s="16">
        <v>0</v>
      </c>
      <c r="HF287" s="16">
        <v>0</v>
      </c>
      <c r="HG287" s="16">
        <v>0</v>
      </c>
      <c r="HH287" s="16">
        <v>0</v>
      </c>
      <c r="HI287" s="16">
        <v>0</v>
      </c>
      <c r="HJ287" s="16">
        <v>0</v>
      </c>
      <c r="HK287" s="16">
        <v>0</v>
      </c>
      <c r="HL287" s="16">
        <v>0</v>
      </c>
      <c r="HM287" s="16">
        <v>0</v>
      </c>
      <c r="HN287" s="16">
        <v>0</v>
      </c>
      <c r="HO287" s="16">
        <v>0</v>
      </c>
      <c r="HP287" s="16">
        <v>0</v>
      </c>
      <c r="HQ287" s="16">
        <v>0</v>
      </c>
      <c r="HR287" s="16">
        <v>0</v>
      </c>
      <c r="HS287" s="16">
        <v>0</v>
      </c>
      <c r="HT287" s="16">
        <v>0</v>
      </c>
      <c r="HU287" s="16">
        <v>0</v>
      </c>
      <c r="HV287" s="16">
        <v>0</v>
      </c>
      <c r="HW287" s="16">
        <v>0</v>
      </c>
      <c r="HX287" s="16">
        <v>0</v>
      </c>
      <c r="HY287" s="16">
        <v>0</v>
      </c>
      <c r="HZ287" s="16">
        <v>0</v>
      </c>
      <c r="IA287" s="16">
        <v>0</v>
      </c>
      <c r="IB287" s="16">
        <v>0</v>
      </c>
      <c r="IC287" s="16">
        <v>0</v>
      </c>
      <c r="ID287" s="16">
        <v>0</v>
      </c>
      <c r="IE287" s="16">
        <v>0</v>
      </c>
      <c r="IF287" s="16">
        <v>0</v>
      </c>
      <c r="IG287" s="16">
        <v>0</v>
      </c>
      <c r="IH287" s="16">
        <v>0</v>
      </c>
      <c r="II287" s="16">
        <v>0</v>
      </c>
      <c r="IJ287" s="16">
        <v>0</v>
      </c>
      <c r="IK287" s="16">
        <v>0</v>
      </c>
      <c r="IL287" s="16">
        <v>0</v>
      </c>
      <c r="IM287" s="16">
        <v>0</v>
      </c>
      <c r="IN287" s="16">
        <v>0</v>
      </c>
      <c r="IO287" s="16">
        <v>0</v>
      </c>
      <c r="IP287" s="16">
        <v>0</v>
      </c>
      <c r="IQ287" s="16">
        <v>0</v>
      </c>
      <c r="IR287" s="16">
        <v>0</v>
      </c>
      <c r="IS287" s="16">
        <v>0</v>
      </c>
      <c r="IT287" s="16">
        <v>0</v>
      </c>
      <c r="IU287" s="16">
        <v>0</v>
      </c>
      <c r="IV287" s="16">
        <v>0</v>
      </c>
      <c r="IW287" s="16">
        <v>0</v>
      </c>
      <c r="IX287" s="16">
        <v>0</v>
      </c>
      <c r="IY287" s="16">
        <v>0</v>
      </c>
      <c r="IZ287" s="16">
        <v>0</v>
      </c>
      <c r="JA287" s="16">
        <v>0</v>
      </c>
      <c r="JB287" s="16">
        <v>0</v>
      </c>
      <c r="JC287" s="16">
        <v>0</v>
      </c>
      <c r="JD287" s="16">
        <v>0</v>
      </c>
      <c r="JE287" s="16">
        <v>0</v>
      </c>
      <c r="JF287" s="16">
        <v>0</v>
      </c>
      <c r="JG287" s="16">
        <v>0</v>
      </c>
      <c r="JH287" s="16">
        <v>0</v>
      </c>
      <c r="JI287" s="16">
        <v>0</v>
      </c>
      <c r="JJ287" s="16">
        <v>0</v>
      </c>
      <c r="JK287" s="16">
        <v>0</v>
      </c>
      <c r="JL287" s="16">
        <v>0</v>
      </c>
      <c r="JM287" s="16">
        <v>0</v>
      </c>
      <c r="JN287" s="16">
        <v>0</v>
      </c>
      <c r="JO287" s="16">
        <v>0</v>
      </c>
      <c r="JP287" s="16">
        <v>0</v>
      </c>
      <c r="JQ287" s="16">
        <v>0</v>
      </c>
      <c r="JR287" s="16">
        <v>0</v>
      </c>
      <c r="JS287" s="16">
        <v>0</v>
      </c>
      <c r="JT287" s="16">
        <v>0</v>
      </c>
      <c r="JU287" s="16">
        <v>0</v>
      </c>
      <c r="JV287" s="16">
        <v>0</v>
      </c>
      <c r="JW287" s="16">
        <v>0</v>
      </c>
      <c r="JX287" s="16">
        <v>0</v>
      </c>
      <c r="JY287" s="16">
        <v>0</v>
      </c>
      <c r="JZ287" s="16">
        <v>0</v>
      </c>
      <c r="KA287" s="16">
        <v>0</v>
      </c>
      <c r="KB287" s="16">
        <v>0</v>
      </c>
      <c r="KC287" s="16">
        <v>0</v>
      </c>
      <c r="KD287" s="16">
        <v>0</v>
      </c>
      <c r="KE287" s="16">
        <v>0</v>
      </c>
      <c r="KF287" s="16">
        <v>0</v>
      </c>
      <c r="KG287" s="16">
        <v>0</v>
      </c>
      <c r="KH287" s="16">
        <v>0</v>
      </c>
      <c r="KI287" s="16">
        <v>0</v>
      </c>
      <c r="KJ287" s="16">
        <v>0</v>
      </c>
      <c r="KK287" s="16">
        <v>0</v>
      </c>
      <c r="KL287" s="16">
        <v>0</v>
      </c>
      <c r="KM287" s="16">
        <v>0</v>
      </c>
      <c r="KN287" s="16">
        <v>0</v>
      </c>
      <c r="KO287" s="16">
        <v>0</v>
      </c>
      <c r="KP287" s="16">
        <v>0</v>
      </c>
      <c r="KQ287" s="16">
        <v>0</v>
      </c>
      <c r="KR287" s="16">
        <v>0</v>
      </c>
      <c r="KS287" s="16">
        <v>0</v>
      </c>
      <c r="KT287" s="16">
        <v>0</v>
      </c>
      <c r="KU287" s="16">
        <v>0</v>
      </c>
      <c r="KV287" s="16">
        <v>0</v>
      </c>
      <c r="KW287" s="16">
        <v>0</v>
      </c>
      <c r="KX287" s="16">
        <v>0</v>
      </c>
      <c r="KY287" s="16">
        <v>0</v>
      </c>
      <c r="KZ287" s="16">
        <v>0</v>
      </c>
      <c r="LA287" s="16">
        <v>0</v>
      </c>
      <c r="LB287" s="16">
        <v>0</v>
      </c>
      <c r="LC287" s="16">
        <v>0</v>
      </c>
      <c r="LD287" s="16">
        <v>0</v>
      </c>
      <c r="LE287" s="16">
        <v>0</v>
      </c>
      <c r="LF287" s="16">
        <v>0</v>
      </c>
      <c r="LG287" s="16">
        <v>0</v>
      </c>
      <c r="LH287" s="16">
        <v>0</v>
      </c>
      <c r="LI287" s="16">
        <v>0</v>
      </c>
      <c r="LJ287" s="16">
        <v>0</v>
      </c>
      <c r="LK287" s="16">
        <v>0</v>
      </c>
      <c r="LL287" s="16">
        <v>0</v>
      </c>
      <c r="LM287" s="16">
        <v>0</v>
      </c>
      <c r="LN287" s="16">
        <v>0</v>
      </c>
      <c r="LO287" s="16">
        <v>0</v>
      </c>
      <c r="LP287" s="16">
        <v>0</v>
      </c>
      <c r="LQ287" s="16">
        <v>0</v>
      </c>
      <c r="LR287" s="16">
        <v>0</v>
      </c>
      <c r="LS287" s="16">
        <v>0</v>
      </c>
      <c r="LT287" s="16">
        <v>0</v>
      </c>
      <c r="LU287" s="16">
        <v>0</v>
      </c>
      <c r="LV287" s="16">
        <v>0</v>
      </c>
      <c r="LW287" s="16">
        <v>0</v>
      </c>
      <c r="LX287" s="16">
        <v>0</v>
      </c>
      <c r="LY287" s="16">
        <v>0</v>
      </c>
      <c r="LZ287" s="16">
        <v>0</v>
      </c>
      <c r="MA287" s="16">
        <v>0</v>
      </c>
      <c r="MB287" s="16">
        <v>0</v>
      </c>
      <c r="MC287" s="16">
        <v>0</v>
      </c>
      <c r="MD287" s="16">
        <v>0</v>
      </c>
      <c r="ME287" s="16">
        <v>0</v>
      </c>
      <c r="MF287" s="16">
        <v>0</v>
      </c>
      <c r="MG287" s="16">
        <v>0</v>
      </c>
      <c r="MH287" s="16">
        <v>0</v>
      </c>
      <c r="MI287" s="16">
        <v>0</v>
      </c>
      <c r="MJ287" s="16">
        <v>0</v>
      </c>
      <c r="MK287" s="16">
        <v>0</v>
      </c>
      <c r="ML287" s="16">
        <v>0</v>
      </c>
      <c r="MM287" s="16">
        <v>0</v>
      </c>
      <c r="MN287" s="16">
        <v>0</v>
      </c>
      <c r="MO287" s="16">
        <v>0</v>
      </c>
      <c r="MP287" s="16">
        <v>0</v>
      </c>
      <c r="MQ287" s="16">
        <v>0</v>
      </c>
      <c r="MR287" s="16">
        <v>0</v>
      </c>
      <c r="MS287" s="16">
        <v>0</v>
      </c>
      <c r="MT287" s="16">
        <v>0</v>
      </c>
      <c r="MU287" s="16">
        <v>0</v>
      </c>
      <c r="MV287" s="16">
        <v>0</v>
      </c>
      <c r="MW287" s="16">
        <v>0</v>
      </c>
      <c r="MX287" s="16">
        <v>0</v>
      </c>
      <c r="MY287" s="16">
        <v>0</v>
      </c>
      <c r="MZ287" s="16">
        <v>0</v>
      </c>
      <c r="NA287" s="16">
        <v>0</v>
      </c>
      <c r="NB287" s="16">
        <v>0</v>
      </c>
      <c r="NC287" s="16">
        <v>0</v>
      </c>
      <c r="ND287" s="16">
        <v>0</v>
      </c>
      <c r="NE287" s="16">
        <v>0</v>
      </c>
      <c r="NF287" s="16">
        <v>0</v>
      </c>
      <c r="NG287" s="16">
        <v>0</v>
      </c>
      <c r="NH287" s="16">
        <v>0</v>
      </c>
      <c r="NI287" s="16">
        <v>0</v>
      </c>
      <c r="NJ287" s="16">
        <v>0</v>
      </c>
      <c r="NK287" s="16">
        <v>0</v>
      </c>
      <c r="NL287" s="16">
        <v>0</v>
      </c>
      <c r="NM287" s="16">
        <v>0</v>
      </c>
      <c r="NN287" s="16">
        <v>0</v>
      </c>
      <c r="NO287" s="16">
        <v>0</v>
      </c>
      <c r="NP287" s="16">
        <v>0</v>
      </c>
      <c r="NQ287" s="16">
        <v>0</v>
      </c>
      <c r="NR287" s="17">
        <v>0</v>
      </c>
    </row>
    <row r="288" spans="1:382" ht="13.5" customHeight="1" x14ac:dyDescent="0.2">
      <c r="A288" s="2" t="s">
        <v>583</v>
      </c>
      <c r="B288" s="16">
        <v>0</v>
      </c>
      <c r="C288" s="16">
        <v>0</v>
      </c>
      <c r="D288" s="16">
        <v>0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0</v>
      </c>
      <c r="AH288" s="16">
        <v>0</v>
      </c>
      <c r="AI288" s="16">
        <v>0</v>
      </c>
      <c r="AJ288" s="16">
        <v>0</v>
      </c>
      <c r="AK288" s="16">
        <v>0</v>
      </c>
      <c r="AL288" s="16">
        <v>0</v>
      </c>
      <c r="AM288" s="16">
        <v>0</v>
      </c>
      <c r="AN288" s="16">
        <v>0</v>
      </c>
      <c r="AO288" s="16">
        <v>0</v>
      </c>
      <c r="AP288" s="16">
        <v>0</v>
      </c>
      <c r="AQ288" s="16">
        <v>0</v>
      </c>
      <c r="AR288" s="16">
        <v>0</v>
      </c>
      <c r="AS288" s="16">
        <v>0</v>
      </c>
      <c r="AT288" s="16">
        <v>0</v>
      </c>
      <c r="AU288" s="16">
        <v>0</v>
      </c>
      <c r="AV288" s="16">
        <v>0</v>
      </c>
      <c r="AW288" s="16">
        <v>0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6">
        <v>0</v>
      </c>
      <c r="BD288" s="16">
        <v>0</v>
      </c>
      <c r="BE288" s="16">
        <v>0</v>
      </c>
      <c r="BF288" s="16">
        <v>0</v>
      </c>
      <c r="BG288" s="16">
        <v>0</v>
      </c>
      <c r="BH288" s="16">
        <v>0</v>
      </c>
      <c r="BI288" s="16">
        <v>0</v>
      </c>
      <c r="BJ288" s="16">
        <v>0</v>
      </c>
      <c r="BK288" s="16">
        <v>0</v>
      </c>
      <c r="BL288" s="16">
        <v>0</v>
      </c>
      <c r="BM288" s="16">
        <v>0</v>
      </c>
      <c r="BN288" s="16">
        <v>0</v>
      </c>
      <c r="BO288" s="16">
        <v>0</v>
      </c>
      <c r="BP288" s="16">
        <v>0</v>
      </c>
      <c r="BQ288" s="16">
        <v>0</v>
      </c>
      <c r="BR288" s="16">
        <v>0</v>
      </c>
      <c r="BS288" s="16">
        <v>0</v>
      </c>
      <c r="BT288" s="16">
        <v>0</v>
      </c>
      <c r="BU288" s="16">
        <v>0</v>
      </c>
      <c r="BV288" s="16">
        <v>0</v>
      </c>
      <c r="BW288" s="16">
        <v>0</v>
      </c>
      <c r="BX288" s="16">
        <v>0</v>
      </c>
      <c r="BY288" s="16">
        <v>0</v>
      </c>
      <c r="BZ288" s="16">
        <v>0</v>
      </c>
      <c r="CA288" s="16">
        <v>0</v>
      </c>
      <c r="CB288" s="16">
        <v>0</v>
      </c>
      <c r="CC288" s="16">
        <v>0</v>
      </c>
      <c r="CD288" s="16">
        <v>0</v>
      </c>
      <c r="CE288" s="16">
        <v>0</v>
      </c>
      <c r="CF288" s="16">
        <v>0</v>
      </c>
      <c r="CG288" s="16">
        <v>0</v>
      </c>
      <c r="CH288" s="16">
        <v>0</v>
      </c>
      <c r="CI288" s="16">
        <v>0</v>
      </c>
      <c r="CJ288" s="16">
        <v>0</v>
      </c>
      <c r="CK288" s="16">
        <v>0</v>
      </c>
      <c r="CL288" s="16">
        <v>0</v>
      </c>
      <c r="CM288" s="16">
        <v>0</v>
      </c>
      <c r="CN288" s="16">
        <v>0</v>
      </c>
      <c r="CO288" s="16">
        <v>0</v>
      </c>
      <c r="CP288" s="16">
        <v>0</v>
      </c>
      <c r="CQ288" s="16">
        <v>0</v>
      </c>
      <c r="CR288" s="16">
        <v>0</v>
      </c>
      <c r="CS288" s="16">
        <v>0</v>
      </c>
      <c r="CT288" s="16">
        <v>0</v>
      </c>
      <c r="CU288" s="16">
        <v>0</v>
      </c>
      <c r="CV288" s="16">
        <v>0</v>
      </c>
      <c r="CW288" s="16">
        <v>0</v>
      </c>
      <c r="CX288" s="16">
        <v>0</v>
      </c>
      <c r="CY288" s="16">
        <v>0</v>
      </c>
      <c r="CZ288" s="16">
        <v>0</v>
      </c>
      <c r="DA288" s="16">
        <v>0</v>
      </c>
      <c r="DB288" s="16">
        <v>0</v>
      </c>
      <c r="DC288" s="16">
        <v>0</v>
      </c>
      <c r="DD288" s="16">
        <v>0</v>
      </c>
      <c r="DE288" s="16">
        <v>0</v>
      </c>
      <c r="DF288" s="16">
        <v>0</v>
      </c>
      <c r="DG288" s="16">
        <v>0</v>
      </c>
      <c r="DH288" s="16">
        <v>0</v>
      </c>
      <c r="DI288" s="16">
        <v>0</v>
      </c>
      <c r="DJ288" s="16">
        <v>0</v>
      </c>
      <c r="DK288" s="16">
        <v>0</v>
      </c>
      <c r="DL288" s="16">
        <v>0</v>
      </c>
      <c r="DM288" s="16">
        <v>0</v>
      </c>
      <c r="DN288" s="16">
        <v>0</v>
      </c>
      <c r="DO288" s="16">
        <v>0</v>
      </c>
      <c r="DP288" s="16">
        <v>0</v>
      </c>
      <c r="DQ288" s="16">
        <v>0</v>
      </c>
      <c r="DR288" s="16">
        <v>0</v>
      </c>
      <c r="DS288" s="16">
        <v>0</v>
      </c>
      <c r="DT288" s="16">
        <v>0</v>
      </c>
      <c r="DU288" s="16">
        <v>0</v>
      </c>
      <c r="DV288" s="16">
        <v>0</v>
      </c>
      <c r="DW288" s="16">
        <v>0</v>
      </c>
      <c r="DX288" s="16">
        <v>0</v>
      </c>
      <c r="DY288" s="16">
        <v>0</v>
      </c>
      <c r="DZ288" s="16">
        <v>0</v>
      </c>
      <c r="EA288" s="16">
        <v>0</v>
      </c>
      <c r="EB288" s="16">
        <v>0</v>
      </c>
      <c r="EC288" s="16">
        <v>0</v>
      </c>
      <c r="ED288" s="16">
        <v>0</v>
      </c>
      <c r="EE288" s="16">
        <v>0</v>
      </c>
      <c r="EF288" s="16">
        <v>0</v>
      </c>
      <c r="EG288" s="16">
        <v>0</v>
      </c>
      <c r="EH288" s="16">
        <v>0</v>
      </c>
      <c r="EI288" s="16">
        <v>0</v>
      </c>
      <c r="EJ288" s="16">
        <v>0</v>
      </c>
      <c r="EK288" s="16">
        <v>0</v>
      </c>
      <c r="EL288" s="16">
        <v>0</v>
      </c>
      <c r="EM288" s="16">
        <v>0</v>
      </c>
      <c r="EN288" s="16">
        <v>0</v>
      </c>
      <c r="EO288" s="16">
        <v>0</v>
      </c>
      <c r="EP288" s="16">
        <v>0</v>
      </c>
      <c r="EQ288" s="16">
        <v>0</v>
      </c>
      <c r="ER288" s="16">
        <v>0</v>
      </c>
      <c r="ES288" s="16">
        <v>0</v>
      </c>
      <c r="ET288" s="16">
        <v>0</v>
      </c>
      <c r="EU288" s="16">
        <v>0</v>
      </c>
      <c r="EV288" s="16">
        <v>0</v>
      </c>
      <c r="EW288" s="16">
        <v>0</v>
      </c>
      <c r="EX288" s="16">
        <v>0</v>
      </c>
      <c r="EY288" s="16">
        <v>0</v>
      </c>
      <c r="EZ288" s="16">
        <v>0</v>
      </c>
      <c r="FA288" s="16">
        <v>0</v>
      </c>
      <c r="FB288" s="16">
        <v>0</v>
      </c>
      <c r="FC288" s="16">
        <v>0</v>
      </c>
      <c r="FD288" s="16">
        <v>0</v>
      </c>
      <c r="FE288" s="16">
        <v>0</v>
      </c>
      <c r="FF288" s="16">
        <v>0</v>
      </c>
      <c r="FG288" s="16">
        <v>0</v>
      </c>
      <c r="FH288" s="16">
        <v>0</v>
      </c>
      <c r="FI288" s="16">
        <v>0</v>
      </c>
      <c r="FJ288" s="16">
        <v>0</v>
      </c>
      <c r="FK288" s="16">
        <v>0</v>
      </c>
      <c r="FL288" s="16">
        <v>0</v>
      </c>
      <c r="FM288" s="16">
        <v>0</v>
      </c>
      <c r="FN288" s="16">
        <v>0</v>
      </c>
      <c r="FO288" s="16">
        <v>0</v>
      </c>
      <c r="FP288" s="16">
        <v>0</v>
      </c>
      <c r="FQ288" s="16">
        <v>0</v>
      </c>
      <c r="FR288" s="16">
        <v>0</v>
      </c>
      <c r="FS288" s="16">
        <v>0</v>
      </c>
      <c r="FT288" s="16">
        <v>0</v>
      </c>
      <c r="FU288" s="16">
        <v>0</v>
      </c>
      <c r="FV288" s="16">
        <v>0</v>
      </c>
      <c r="FW288" s="16">
        <v>0</v>
      </c>
      <c r="FX288" s="16">
        <v>0</v>
      </c>
      <c r="FY288" s="16">
        <v>0</v>
      </c>
      <c r="FZ288" s="16">
        <v>0</v>
      </c>
      <c r="GA288" s="16">
        <v>0</v>
      </c>
      <c r="GB288" s="16">
        <v>0</v>
      </c>
      <c r="GC288" s="16">
        <v>0</v>
      </c>
      <c r="GD288" s="16">
        <v>0</v>
      </c>
      <c r="GE288" s="16">
        <v>0</v>
      </c>
      <c r="GF288" s="16">
        <v>0</v>
      </c>
      <c r="GG288" s="16">
        <v>0</v>
      </c>
      <c r="GH288" s="16">
        <v>0</v>
      </c>
      <c r="GI288" s="16">
        <v>0</v>
      </c>
      <c r="GJ288" s="16">
        <v>0</v>
      </c>
      <c r="GK288" s="16">
        <v>0</v>
      </c>
      <c r="GL288" s="16">
        <v>0</v>
      </c>
      <c r="GM288" s="16">
        <v>0</v>
      </c>
      <c r="GN288" s="16">
        <v>0</v>
      </c>
      <c r="GO288" s="16">
        <v>0</v>
      </c>
      <c r="GP288" s="16">
        <v>0</v>
      </c>
      <c r="GQ288" s="16">
        <v>0</v>
      </c>
      <c r="GR288" s="16">
        <v>0</v>
      </c>
      <c r="GS288" s="16">
        <v>0</v>
      </c>
      <c r="GT288" s="16">
        <v>0</v>
      </c>
      <c r="GU288" s="16">
        <v>0</v>
      </c>
      <c r="GV288" s="16">
        <v>0</v>
      </c>
      <c r="GW288" s="16">
        <v>0</v>
      </c>
      <c r="GX288" s="16">
        <v>0</v>
      </c>
      <c r="GY288" s="16">
        <v>0</v>
      </c>
      <c r="GZ288" s="16">
        <v>0</v>
      </c>
      <c r="HA288" s="16">
        <v>0</v>
      </c>
      <c r="HB288" s="16">
        <v>0</v>
      </c>
      <c r="HC288" s="16">
        <v>0</v>
      </c>
      <c r="HD288" s="16">
        <v>0</v>
      </c>
      <c r="HE288" s="16">
        <v>0</v>
      </c>
      <c r="HF288" s="16">
        <v>0</v>
      </c>
      <c r="HG288" s="16">
        <v>0</v>
      </c>
      <c r="HH288" s="16">
        <v>0</v>
      </c>
      <c r="HI288" s="16">
        <v>0</v>
      </c>
      <c r="HJ288" s="16">
        <v>0</v>
      </c>
      <c r="HK288" s="16">
        <v>0</v>
      </c>
      <c r="HL288" s="16">
        <v>0</v>
      </c>
      <c r="HM288" s="16">
        <v>0</v>
      </c>
      <c r="HN288" s="16">
        <v>0</v>
      </c>
      <c r="HO288" s="16">
        <v>0</v>
      </c>
      <c r="HP288" s="16">
        <v>0</v>
      </c>
      <c r="HQ288" s="16">
        <v>0</v>
      </c>
      <c r="HR288" s="16">
        <v>0</v>
      </c>
      <c r="HS288" s="16">
        <v>0</v>
      </c>
      <c r="HT288" s="16">
        <v>0</v>
      </c>
      <c r="HU288" s="16">
        <v>0</v>
      </c>
      <c r="HV288" s="16">
        <v>0</v>
      </c>
      <c r="HW288" s="16">
        <v>0</v>
      </c>
      <c r="HX288" s="16">
        <v>0</v>
      </c>
      <c r="HY288" s="16">
        <v>0</v>
      </c>
      <c r="HZ288" s="16">
        <v>0</v>
      </c>
      <c r="IA288" s="16">
        <v>0</v>
      </c>
      <c r="IB288" s="16">
        <v>0</v>
      </c>
      <c r="IC288" s="16">
        <v>0</v>
      </c>
      <c r="ID288" s="16">
        <v>0</v>
      </c>
      <c r="IE288" s="16">
        <v>0</v>
      </c>
      <c r="IF288" s="16">
        <v>0</v>
      </c>
      <c r="IG288" s="16">
        <v>0</v>
      </c>
      <c r="IH288" s="16">
        <v>0</v>
      </c>
      <c r="II288" s="16">
        <v>0</v>
      </c>
      <c r="IJ288" s="16">
        <v>0</v>
      </c>
      <c r="IK288" s="16">
        <v>0</v>
      </c>
      <c r="IL288" s="16">
        <v>0</v>
      </c>
      <c r="IM288" s="16">
        <v>0</v>
      </c>
      <c r="IN288" s="16">
        <v>0</v>
      </c>
      <c r="IO288" s="16">
        <v>0</v>
      </c>
      <c r="IP288" s="16">
        <v>0</v>
      </c>
      <c r="IQ288" s="16">
        <v>0</v>
      </c>
      <c r="IR288" s="16">
        <v>0</v>
      </c>
      <c r="IS288" s="16">
        <v>0</v>
      </c>
      <c r="IT288" s="16">
        <v>0</v>
      </c>
      <c r="IU288" s="16">
        <v>0</v>
      </c>
      <c r="IV288" s="16">
        <v>0</v>
      </c>
      <c r="IW288" s="16">
        <v>0</v>
      </c>
      <c r="IX288" s="16">
        <v>0</v>
      </c>
      <c r="IY288" s="16">
        <v>0</v>
      </c>
      <c r="IZ288" s="16">
        <v>0</v>
      </c>
      <c r="JA288" s="16">
        <v>0</v>
      </c>
      <c r="JB288" s="16">
        <v>0</v>
      </c>
      <c r="JC288" s="16">
        <v>0</v>
      </c>
      <c r="JD288" s="16">
        <v>0</v>
      </c>
      <c r="JE288" s="16">
        <v>0</v>
      </c>
      <c r="JF288" s="16">
        <v>0</v>
      </c>
      <c r="JG288" s="16">
        <v>0</v>
      </c>
      <c r="JH288" s="16">
        <v>0</v>
      </c>
      <c r="JI288" s="16">
        <v>0</v>
      </c>
      <c r="JJ288" s="16">
        <v>0</v>
      </c>
      <c r="JK288" s="16">
        <v>0</v>
      </c>
      <c r="JL288" s="16">
        <v>0</v>
      </c>
      <c r="JM288" s="16">
        <v>0</v>
      </c>
      <c r="JN288" s="16">
        <v>0</v>
      </c>
      <c r="JO288" s="16">
        <v>0</v>
      </c>
      <c r="JP288" s="16">
        <v>0</v>
      </c>
      <c r="JQ288" s="16">
        <v>0</v>
      </c>
      <c r="JR288" s="16">
        <v>0</v>
      </c>
      <c r="JS288" s="16">
        <v>0</v>
      </c>
      <c r="JT288" s="16">
        <v>0</v>
      </c>
      <c r="JU288" s="16">
        <v>0</v>
      </c>
      <c r="JV288" s="16">
        <v>0</v>
      </c>
      <c r="JW288" s="16">
        <v>0</v>
      </c>
      <c r="JX288" s="16">
        <v>0</v>
      </c>
      <c r="JY288" s="16">
        <v>0</v>
      </c>
      <c r="JZ288" s="16">
        <v>0</v>
      </c>
      <c r="KA288" s="16">
        <v>0</v>
      </c>
      <c r="KB288" s="16">
        <v>0</v>
      </c>
      <c r="KC288" s="16">
        <v>0</v>
      </c>
      <c r="KD288" s="16">
        <v>0</v>
      </c>
      <c r="KE288" s="16">
        <v>0</v>
      </c>
      <c r="KF288" s="16">
        <v>0</v>
      </c>
      <c r="KG288" s="16">
        <v>0</v>
      </c>
      <c r="KH288" s="16">
        <v>0</v>
      </c>
      <c r="KI288" s="16">
        <v>0</v>
      </c>
      <c r="KJ288" s="16">
        <v>0</v>
      </c>
      <c r="KK288" s="16">
        <v>0</v>
      </c>
      <c r="KL288" s="16">
        <v>0</v>
      </c>
      <c r="KM288" s="16">
        <v>0</v>
      </c>
      <c r="KN288" s="16">
        <v>0</v>
      </c>
      <c r="KO288" s="16">
        <v>0</v>
      </c>
      <c r="KP288" s="16">
        <v>0</v>
      </c>
      <c r="KQ288" s="16">
        <v>0</v>
      </c>
      <c r="KR288" s="16">
        <v>0</v>
      </c>
      <c r="KS288" s="16">
        <v>0</v>
      </c>
      <c r="KT288" s="16">
        <v>0</v>
      </c>
      <c r="KU288" s="16">
        <v>0</v>
      </c>
      <c r="KV288" s="16">
        <v>0</v>
      </c>
      <c r="KW288" s="16">
        <v>0</v>
      </c>
      <c r="KX288" s="16">
        <v>0</v>
      </c>
      <c r="KY288" s="16">
        <v>0</v>
      </c>
      <c r="KZ288" s="16">
        <v>0</v>
      </c>
      <c r="LA288" s="16">
        <v>0</v>
      </c>
      <c r="LB288" s="16">
        <v>0</v>
      </c>
      <c r="LC288" s="16">
        <v>0</v>
      </c>
      <c r="LD288" s="16">
        <v>0</v>
      </c>
      <c r="LE288" s="16">
        <v>0</v>
      </c>
      <c r="LF288" s="16">
        <v>0</v>
      </c>
      <c r="LG288" s="16">
        <v>0</v>
      </c>
      <c r="LH288" s="16">
        <v>0</v>
      </c>
      <c r="LI288" s="16">
        <v>0</v>
      </c>
      <c r="LJ288" s="16">
        <v>0</v>
      </c>
      <c r="LK288" s="16">
        <v>0</v>
      </c>
      <c r="LL288" s="16">
        <v>0</v>
      </c>
      <c r="LM288" s="16">
        <v>0</v>
      </c>
      <c r="LN288" s="16">
        <v>0</v>
      </c>
      <c r="LO288" s="16">
        <v>0</v>
      </c>
      <c r="LP288" s="16">
        <v>0</v>
      </c>
      <c r="LQ288" s="16">
        <v>0</v>
      </c>
      <c r="LR288" s="16">
        <v>0</v>
      </c>
      <c r="LS288" s="16">
        <v>0</v>
      </c>
      <c r="LT288" s="16">
        <v>0</v>
      </c>
      <c r="LU288" s="16">
        <v>0</v>
      </c>
      <c r="LV288" s="16">
        <v>0</v>
      </c>
      <c r="LW288" s="16">
        <v>0</v>
      </c>
      <c r="LX288" s="16">
        <v>0</v>
      </c>
      <c r="LY288" s="16">
        <v>0</v>
      </c>
      <c r="LZ288" s="16">
        <v>0</v>
      </c>
      <c r="MA288" s="16">
        <v>0</v>
      </c>
      <c r="MB288" s="16">
        <v>0</v>
      </c>
      <c r="MC288" s="16">
        <v>0</v>
      </c>
      <c r="MD288" s="16">
        <v>0</v>
      </c>
      <c r="ME288" s="16">
        <v>0</v>
      </c>
      <c r="MF288" s="16">
        <v>0</v>
      </c>
      <c r="MG288" s="16">
        <v>0</v>
      </c>
      <c r="MH288" s="16">
        <v>0</v>
      </c>
      <c r="MI288" s="16">
        <v>0</v>
      </c>
      <c r="MJ288" s="16">
        <v>0</v>
      </c>
      <c r="MK288" s="16">
        <v>0</v>
      </c>
      <c r="ML288" s="16">
        <v>0</v>
      </c>
      <c r="MM288" s="16">
        <v>0</v>
      </c>
      <c r="MN288" s="16">
        <v>0</v>
      </c>
      <c r="MO288" s="16">
        <v>0</v>
      </c>
      <c r="MP288" s="16">
        <v>0</v>
      </c>
      <c r="MQ288" s="16">
        <v>0</v>
      </c>
      <c r="MR288" s="16">
        <v>0</v>
      </c>
      <c r="MS288" s="16">
        <v>0</v>
      </c>
      <c r="MT288" s="16">
        <v>0</v>
      </c>
      <c r="MU288" s="16">
        <v>0</v>
      </c>
      <c r="MV288" s="16">
        <v>0</v>
      </c>
      <c r="MW288" s="16">
        <v>0</v>
      </c>
      <c r="MX288" s="16">
        <v>0</v>
      </c>
      <c r="MY288" s="16">
        <v>0</v>
      </c>
      <c r="MZ288" s="16">
        <v>0</v>
      </c>
      <c r="NA288" s="16">
        <v>0</v>
      </c>
      <c r="NB288" s="16">
        <v>0</v>
      </c>
      <c r="NC288" s="16">
        <v>0</v>
      </c>
      <c r="ND288" s="16">
        <v>0</v>
      </c>
      <c r="NE288" s="16">
        <v>0</v>
      </c>
      <c r="NF288" s="16">
        <v>0</v>
      </c>
      <c r="NG288" s="16">
        <v>0</v>
      </c>
      <c r="NH288" s="16">
        <v>0</v>
      </c>
      <c r="NI288" s="16">
        <v>0</v>
      </c>
      <c r="NJ288" s="16">
        <v>0</v>
      </c>
      <c r="NK288" s="16">
        <v>0</v>
      </c>
      <c r="NL288" s="16">
        <v>0</v>
      </c>
      <c r="NM288" s="16">
        <v>0</v>
      </c>
      <c r="NN288" s="16">
        <v>0</v>
      </c>
      <c r="NO288" s="16">
        <v>0</v>
      </c>
      <c r="NP288" s="16">
        <v>0</v>
      </c>
      <c r="NQ288" s="16">
        <v>0</v>
      </c>
      <c r="NR288" s="17">
        <v>0</v>
      </c>
    </row>
    <row r="289" spans="1:382" ht="13.5" customHeight="1" x14ac:dyDescent="0.2">
      <c r="A289" s="2" t="s">
        <v>585</v>
      </c>
      <c r="B289" s="16">
        <v>0</v>
      </c>
      <c r="C289" s="16">
        <v>0</v>
      </c>
      <c r="D289" s="16">
        <v>0</v>
      </c>
      <c r="E289" s="16">
        <v>0</v>
      </c>
      <c r="F289" s="16">
        <v>0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  <c r="AG289" s="16">
        <v>0</v>
      </c>
      <c r="AH289" s="16">
        <v>0</v>
      </c>
      <c r="AI289" s="16">
        <v>0</v>
      </c>
      <c r="AJ289" s="16">
        <v>0</v>
      </c>
      <c r="AK289" s="16">
        <v>0</v>
      </c>
      <c r="AL289" s="16">
        <v>0</v>
      </c>
      <c r="AM289" s="16">
        <v>0</v>
      </c>
      <c r="AN289" s="16">
        <v>0</v>
      </c>
      <c r="AO289" s="16">
        <v>0</v>
      </c>
      <c r="AP289" s="16">
        <v>0</v>
      </c>
      <c r="AQ289" s="16">
        <v>0</v>
      </c>
      <c r="AR289" s="16">
        <v>0</v>
      </c>
      <c r="AS289" s="16">
        <v>0</v>
      </c>
      <c r="AT289" s="16">
        <v>0</v>
      </c>
      <c r="AU289" s="16">
        <v>0</v>
      </c>
      <c r="AV289" s="16">
        <v>0</v>
      </c>
      <c r="AW289" s="16">
        <v>0</v>
      </c>
      <c r="AX289" s="16">
        <v>0</v>
      </c>
      <c r="AY289" s="16">
        <v>0</v>
      </c>
      <c r="AZ289" s="16">
        <v>0</v>
      </c>
      <c r="BA289" s="16">
        <v>0</v>
      </c>
      <c r="BB289" s="16">
        <v>0</v>
      </c>
      <c r="BC289" s="16">
        <v>0</v>
      </c>
      <c r="BD289" s="16">
        <v>0</v>
      </c>
      <c r="BE289" s="16">
        <v>0</v>
      </c>
      <c r="BF289" s="16">
        <v>0</v>
      </c>
      <c r="BG289" s="16">
        <v>0</v>
      </c>
      <c r="BH289" s="16">
        <v>0</v>
      </c>
      <c r="BI289" s="16">
        <v>0</v>
      </c>
      <c r="BJ289" s="16">
        <v>0</v>
      </c>
      <c r="BK289" s="16">
        <v>0</v>
      </c>
      <c r="BL289" s="16">
        <v>0</v>
      </c>
      <c r="BM289" s="16">
        <v>0</v>
      </c>
      <c r="BN289" s="16">
        <v>0</v>
      </c>
      <c r="BO289" s="16">
        <v>0</v>
      </c>
      <c r="BP289" s="16">
        <v>0</v>
      </c>
      <c r="BQ289" s="16">
        <v>0</v>
      </c>
      <c r="BR289" s="16">
        <v>0</v>
      </c>
      <c r="BS289" s="16">
        <v>0</v>
      </c>
      <c r="BT289" s="16">
        <v>0</v>
      </c>
      <c r="BU289" s="16">
        <v>0</v>
      </c>
      <c r="BV289" s="16">
        <v>0</v>
      </c>
      <c r="BW289" s="16">
        <v>0</v>
      </c>
      <c r="BX289" s="16">
        <v>0</v>
      </c>
      <c r="BY289" s="16">
        <v>0</v>
      </c>
      <c r="BZ289" s="16">
        <v>0</v>
      </c>
      <c r="CA289" s="16">
        <v>0</v>
      </c>
      <c r="CB289" s="16">
        <v>0</v>
      </c>
      <c r="CC289" s="16">
        <v>0</v>
      </c>
      <c r="CD289" s="16">
        <v>0</v>
      </c>
      <c r="CE289" s="16">
        <v>0</v>
      </c>
      <c r="CF289" s="16">
        <v>0</v>
      </c>
      <c r="CG289" s="16">
        <v>0</v>
      </c>
      <c r="CH289" s="16">
        <v>0</v>
      </c>
      <c r="CI289" s="16">
        <v>0</v>
      </c>
      <c r="CJ289" s="16">
        <v>0</v>
      </c>
      <c r="CK289" s="16">
        <v>0</v>
      </c>
      <c r="CL289" s="16">
        <v>0</v>
      </c>
      <c r="CM289" s="16">
        <v>0</v>
      </c>
      <c r="CN289" s="16">
        <v>0</v>
      </c>
      <c r="CO289" s="16">
        <v>0</v>
      </c>
      <c r="CP289" s="16">
        <v>0</v>
      </c>
      <c r="CQ289" s="16">
        <v>0</v>
      </c>
      <c r="CR289" s="16">
        <v>0</v>
      </c>
      <c r="CS289" s="16">
        <v>0</v>
      </c>
      <c r="CT289" s="16">
        <v>0</v>
      </c>
      <c r="CU289" s="16">
        <v>0</v>
      </c>
      <c r="CV289" s="16">
        <v>0</v>
      </c>
      <c r="CW289" s="16">
        <v>0</v>
      </c>
      <c r="CX289" s="16">
        <v>0</v>
      </c>
      <c r="CY289" s="16">
        <v>0</v>
      </c>
      <c r="CZ289" s="16">
        <v>0</v>
      </c>
      <c r="DA289" s="16">
        <v>0</v>
      </c>
      <c r="DB289" s="16">
        <v>0</v>
      </c>
      <c r="DC289" s="16">
        <v>0</v>
      </c>
      <c r="DD289" s="16">
        <v>0</v>
      </c>
      <c r="DE289" s="16">
        <v>0</v>
      </c>
      <c r="DF289" s="16">
        <v>0</v>
      </c>
      <c r="DG289" s="16">
        <v>0</v>
      </c>
      <c r="DH289" s="16">
        <v>0</v>
      </c>
      <c r="DI289" s="16">
        <v>0</v>
      </c>
      <c r="DJ289" s="16">
        <v>0</v>
      </c>
      <c r="DK289" s="16">
        <v>0</v>
      </c>
      <c r="DL289" s="16">
        <v>0</v>
      </c>
      <c r="DM289" s="16">
        <v>0</v>
      </c>
      <c r="DN289" s="16">
        <v>0</v>
      </c>
      <c r="DO289" s="16">
        <v>0</v>
      </c>
      <c r="DP289" s="16">
        <v>0</v>
      </c>
      <c r="DQ289" s="16">
        <v>0</v>
      </c>
      <c r="DR289" s="16">
        <v>0</v>
      </c>
      <c r="DS289" s="16">
        <v>0</v>
      </c>
      <c r="DT289" s="16">
        <v>0</v>
      </c>
      <c r="DU289" s="16">
        <v>0</v>
      </c>
      <c r="DV289" s="16">
        <v>0</v>
      </c>
      <c r="DW289" s="16">
        <v>0</v>
      </c>
      <c r="DX289" s="16">
        <v>0</v>
      </c>
      <c r="DY289" s="16">
        <v>0</v>
      </c>
      <c r="DZ289" s="16">
        <v>0</v>
      </c>
      <c r="EA289" s="16">
        <v>0</v>
      </c>
      <c r="EB289" s="16">
        <v>0</v>
      </c>
      <c r="EC289" s="16">
        <v>0</v>
      </c>
      <c r="ED289" s="16">
        <v>0</v>
      </c>
      <c r="EE289" s="16">
        <v>0</v>
      </c>
      <c r="EF289" s="16">
        <v>0</v>
      </c>
      <c r="EG289" s="16">
        <v>0</v>
      </c>
      <c r="EH289" s="16">
        <v>0</v>
      </c>
      <c r="EI289" s="16">
        <v>0</v>
      </c>
      <c r="EJ289" s="16">
        <v>0</v>
      </c>
      <c r="EK289" s="16">
        <v>0</v>
      </c>
      <c r="EL289" s="16">
        <v>0</v>
      </c>
      <c r="EM289" s="16">
        <v>0</v>
      </c>
      <c r="EN289" s="16">
        <v>0</v>
      </c>
      <c r="EO289" s="16">
        <v>0</v>
      </c>
      <c r="EP289" s="16">
        <v>0</v>
      </c>
      <c r="EQ289" s="16">
        <v>0</v>
      </c>
      <c r="ER289" s="16">
        <v>0</v>
      </c>
      <c r="ES289" s="16">
        <v>0</v>
      </c>
      <c r="ET289" s="16">
        <v>0</v>
      </c>
      <c r="EU289" s="16">
        <v>0</v>
      </c>
      <c r="EV289" s="16">
        <v>0</v>
      </c>
      <c r="EW289" s="16">
        <v>0</v>
      </c>
      <c r="EX289" s="16">
        <v>0</v>
      </c>
      <c r="EY289" s="16">
        <v>0</v>
      </c>
      <c r="EZ289" s="16">
        <v>0</v>
      </c>
      <c r="FA289" s="16">
        <v>0</v>
      </c>
      <c r="FB289" s="16">
        <v>0</v>
      </c>
      <c r="FC289" s="16">
        <v>0</v>
      </c>
      <c r="FD289" s="16">
        <v>0</v>
      </c>
      <c r="FE289" s="16">
        <v>0</v>
      </c>
      <c r="FF289" s="16">
        <v>0</v>
      </c>
      <c r="FG289" s="16">
        <v>0</v>
      </c>
      <c r="FH289" s="16">
        <v>0</v>
      </c>
      <c r="FI289" s="16">
        <v>0</v>
      </c>
      <c r="FJ289" s="16">
        <v>0</v>
      </c>
      <c r="FK289" s="16">
        <v>0</v>
      </c>
      <c r="FL289" s="16">
        <v>0</v>
      </c>
      <c r="FM289" s="16">
        <v>0</v>
      </c>
      <c r="FN289" s="16">
        <v>0</v>
      </c>
      <c r="FO289" s="16">
        <v>0</v>
      </c>
      <c r="FP289" s="16">
        <v>0</v>
      </c>
      <c r="FQ289" s="16">
        <v>0</v>
      </c>
      <c r="FR289" s="16">
        <v>0</v>
      </c>
      <c r="FS289" s="16">
        <v>0</v>
      </c>
      <c r="FT289" s="16">
        <v>0</v>
      </c>
      <c r="FU289" s="16">
        <v>0</v>
      </c>
      <c r="FV289" s="16">
        <v>0</v>
      </c>
      <c r="FW289" s="16">
        <v>0</v>
      </c>
      <c r="FX289" s="16">
        <v>0</v>
      </c>
      <c r="FY289" s="16">
        <v>0</v>
      </c>
      <c r="FZ289" s="16">
        <v>0</v>
      </c>
      <c r="GA289" s="16">
        <v>0</v>
      </c>
      <c r="GB289" s="16">
        <v>0</v>
      </c>
      <c r="GC289" s="16">
        <v>0</v>
      </c>
      <c r="GD289" s="16">
        <v>0</v>
      </c>
      <c r="GE289" s="16">
        <v>0</v>
      </c>
      <c r="GF289" s="16">
        <v>0</v>
      </c>
      <c r="GG289" s="16">
        <v>0</v>
      </c>
      <c r="GH289" s="16">
        <v>0</v>
      </c>
      <c r="GI289" s="16">
        <v>0</v>
      </c>
      <c r="GJ289" s="16">
        <v>0</v>
      </c>
      <c r="GK289" s="16">
        <v>0</v>
      </c>
      <c r="GL289" s="16">
        <v>0</v>
      </c>
      <c r="GM289" s="16">
        <v>0</v>
      </c>
      <c r="GN289" s="16">
        <v>0</v>
      </c>
      <c r="GO289" s="16">
        <v>0</v>
      </c>
      <c r="GP289" s="16">
        <v>0</v>
      </c>
      <c r="GQ289" s="16">
        <v>0</v>
      </c>
      <c r="GR289" s="16">
        <v>0</v>
      </c>
      <c r="GS289" s="16">
        <v>0</v>
      </c>
      <c r="GT289" s="16">
        <v>0</v>
      </c>
      <c r="GU289" s="16">
        <v>0</v>
      </c>
      <c r="GV289" s="16">
        <v>0</v>
      </c>
      <c r="GW289" s="16">
        <v>0</v>
      </c>
      <c r="GX289" s="16">
        <v>0</v>
      </c>
      <c r="GY289" s="16">
        <v>0</v>
      </c>
      <c r="GZ289" s="16">
        <v>0</v>
      </c>
      <c r="HA289" s="16">
        <v>0</v>
      </c>
      <c r="HB289" s="16">
        <v>0</v>
      </c>
      <c r="HC289" s="16">
        <v>0</v>
      </c>
      <c r="HD289" s="16">
        <v>0</v>
      </c>
      <c r="HE289" s="16">
        <v>0</v>
      </c>
      <c r="HF289" s="16">
        <v>0</v>
      </c>
      <c r="HG289" s="16">
        <v>0</v>
      </c>
      <c r="HH289" s="16">
        <v>0</v>
      </c>
      <c r="HI289" s="16">
        <v>0</v>
      </c>
      <c r="HJ289" s="16">
        <v>0</v>
      </c>
      <c r="HK289" s="16">
        <v>0</v>
      </c>
      <c r="HL289" s="16">
        <v>0</v>
      </c>
      <c r="HM289" s="16">
        <v>0</v>
      </c>
      <c r="HN289" s="16">
        <v>0</v>
      </c>
      <c r="HO289" s="16">
        <v>0</v>
      </c>
      <c r="HP289" s="16">
        <v>0</v>
      </c>
      <c r="HQ289" s="16">
        <v>0</v>
      </c>
      <c r="HR289" s="16">
        <v>0</v>
      </c>
      <c r="HS289" s="16">
        <v>0</v>
      </c>
      <c r="HT289" s="16">
        <v>0</v>
      </c>
      <c r="HU289" s="16">
        <v>0</v>
      </c>
      <c r="HV289" s="16">
        <v>0</v>
      </c>
      <c r="HW289" s="16">
        <v>0</v>
      </c>
      <c r="HX289" s="16">
        <v>0</v>
      </c>
      <c r="HY289" s="16">
        <v>0</v>
      </c>
      <c r="HZ289" s="16">
        <v>0</v>
      </c>
      <c r="IA289" s="16">
        <v>0</v>
      </c>
      <c r="IB289" s="16">
        <v>0</v>
      </c>
      <c r="IC289" s="16">
        <v>0</v>
      </c>
      <c r="ID289" s="16">
        <v>0</v>
      </c>
      <c r="IE289" s="16">
        <v>0</v>
      </c>
      <c r="IF289" s="16">
        <v>0</v>
      </c>
      <c r="IG289" s="16">
        <v>0</v>
      </c>
      <c r="IH289" s="16">
        <v>0</v>
      </c>
      <c r="II289" s="16">
        <v>0</v>
      </c>
      <c r="IJ289" s="16">
        <v>0</v>
      </c>
      <c r="IK289" s="16">
        <v>0</v>
      </c>
      <c r="IL289" s="16">
        <v>0</v>
      </c>
      <c r="IM289" s="16">
        <v>0</v>
      </c>
      <c r="IN289" s="16">
        <v>0</v>
      </c>
      <c r="IO289" s="16">
        <v>0</v>
      </c>
      <c r="IP289" s="16">
        <v>0</v>
      </c>
      <c r="IQ289" s="16">
        <v>0</v>
      </c>
      <c r="IR289" s="16">
        <v>0</v>
      </c>
      <c r="IS289" s="16">
        <v>0</v>
      </c>
      <c r="IT289" s="16">
        <v>0</v>
      </c>
      <c r="IU289" s="16">
        <v>0</v>
      </c>
      <c r="IV289" s="16">
        <v>0</v>
      </c>
      <c r="IW289" s="16">
        <v>0</v>
      </c>
      <c r="IX289" s="16">
        <v>0</v>
      </c>
      <c r="IY289" s="16">
        <v>0</v>
      </c>
      <c r="IZ289" s="16">
        <v>0</v>
      </c>
      <c r="JA289" s="16">
        <v>0</v>
      </c>
      <c r="JB289" s="16">
        <v>0</v>
      </c>
      <c r="JC289" s="16">
        <v>0</v>
      </c>
      <c r="JD289" s="16">
        <v>0</v>
      </c>
      <c r="JE289" s="16">
        <v>0</v>
      </c>
      <c r="JF289" s="16">
        <v>0</v>
      </c>
      <c r="JG289" s="16">
        <v>0</v>
      </c>
      <c r="JH289" s="16">
        <v>0</v>
      </c>
      <c r="JI289" s="16">
        <v>0</v>
      </c>
      <c r="JJ289" s="16">
        <v>0</v>
      </c>
      <c r="JK289" s="16">
        <v>0</v>
      </c>
      <c r="JL289" s="16">
        <v>0</v>
      </c>
      <c r="JM289" s="16">
        <v>0</v>
      </c>
      <c r="JN289" s="16">
        <v>0</v>
      </c>
      <c r="JO289" s="16">
        <v>0</v>
      </c>
      <c r="JP289" s="16">
        <v>0</v>
      </c>
      <c r="JQ289" s="16">
        <v>0</v>
      </c>
      <c r="JR289" s="16">
        <v>0</v>
      </c>
      <c r="JS289" s="16">
        <v>0</v>
      </c>
      <c r="JT289" s="16">
        <v>0</v>
      </c>
      <c r="JU289" s="16">
        <v>0</v>
      </c>
      <c r="JV289" s="16">
        <v>0</v>
      </c>
      <c r="JW289" s="16">
        <v>0</v>
      </c>
      <c r="JX289" s="16">
        <v>0</v>
      </c>
      <c r="JY289" s="16">
        <v>0</v>
      </c>
      <c r="JZ289" s="16">
        <v>0</v>
      </c>
      <c r="KA289" s="16">
        <v>0</v>
      </c>
      <c r="KB289" s="16">
        <v>0</v>
      </c>
      <c r="KC289" s="16">
        <v>0</v>
      </c>
      <c r="KD289" s="16">
        <v>0</v>
      </c>
      <c r="KE289" s="16">
        <v>0</v>
      </c>
      <c r="KF289" s="16">
        <v>0</v>
      </c>
      <c r="KG289" s="16">
        <v>0</v>
      </c>
      <c r="KH289" s="16">
        <v>0</v>
      </c>
      <c r="KI289" s="16">
        <v>0</v>
      </c>
      <c r="KJ289" s="16">
        <v>0</v>
      </c>
      <c r="KK289" s="16">
        <v>0</v>
      </c>
      <c r="KL289" s="16">
        <v>0</v>
      </c>
      <c r="KM289" s="16">
        <v>0</v>
      </c>
      <c r="KN289" s="16">
        <v>0</v>
      </c>
      <c r="KO289" s="16">
        <v>0</v>
      </c>
      <c r="KP289" s="16">
        <v>0</v>
      </c>
      <c r="KQ289" s="16">
        <v>0</v>
      </c>
      <c r="KR289" s="16">
        <v>0</v>
      </c>
      <c r="KS289" s="16">
        <v>0</v>
      </c>
      <c r="KT289" s="16">
        <v>0</v>
      </c>
      <c r="KU289" s="16">
        <v>0</v>
      </c>
      <c r="KV289" s="16">
        <v>0</v>
      </c>
      <c r="KW289" s="16">
        <v>0</v>
      </c>
      <c r="KX289" s="16">
        <v>0</v>
      </c>
      <c r="KY289" s="16">
        <v>0</v>
      </c>
      <c r="KZ289" s="16">
        <v>0</v>
      </c>
      <c r="LA289" s="16">
        <v>0</v>
      </c>
      <c r="LB289" s="16">
        <v>0</v>
      </c>
      <c r="LC289" s="16">
        <v>0</v>
      </c>
      <c r="LD289" s="16">
        <v>0</v>
      </c>
      <c r="LE289" s="16">
        <v>0</v>
      </c>
      <c r="LF289" s="16">
        <v>0</v>
      </c>
      <c r="LG289" s="16">
        <v>0</v>
      </c>
      <c r="LH289" s="16">
        <v>0</v>
      </c>
      <c r="LI289" s="16">
        <v>0</v>
      </c>
      <c r="LJ289" s="16">
        <v>0</v>
      </c>
      <c r="LK289" s="16">
        <v>0</v>
      </c>
      <c r="LL289" s="16">
        <v>0</v>
      </c>
      <c r="LM289" s="16">
        <v>0</v>
      </c>
      <c r="LN289" s="16">
        <v>0</v>
      </c>
      <c r="LO289" s="16">
        <v>0</v>
      </c>
      <c r="LP289" s="16">
        <v>0</v>
      </c>
      <c r="LQ289" s="16">
        <v>0</v>
      </c>
      <c r="LR289" s="16">
        <v>0</v>
      </c>
      <c r="LS289" s="16">
        <v>0</v>
      </c>
      <c r="LT289" s="16">
        <v>0</v>
      </c>
      <c r="LU289" s="16">
        <v>0</v>
      </c>
      <c r="LV289" s="16">
        <v>0</v>
      </c>
      <c r="LW289" s="16">
        <v>0</v>
      </c>
      <c r="LX289" s="16">
        <v>0</v>
      </c>
      <c r="LY289" s="16">
        <v>0</v>
      </c>
      <c r="LZ289" s="16">
        <v>0</v>
      </c>
      <c r="MA289" s="16">
        <v>0</v>
      </c>
      <c r="MB289" s="16">
        <v>0</v>
      </c>
      <c r="MC289" s="16">
        <v>0</v>
      </c>
      <c r="MD289" s="16">
        <v>0</v>
      </c>
      <c r="ME289" s="16">
        <v>0</v>
      </c>
      <c r="MF289" s="16">
        <v>0</v>
      </c>
      <c r="MG289" s="16">
        <v>0</v>
      </c>
      <c r="MH289" s="16">
        <v>0</v>
      </c>
      <c r="MI289" s="16">
        <v>0</v>
      </c>
      <c r="MJ289" s="16">
        <v>0</v>
      </c>
      <c r="MK289" s="16">
        <v>0</v>
      </c>
      <c r="ML289" s="16">
        <v>0</v>
      </c>
      <c r="MM289" s="16">
        <v>0</v>
      </c>
      <c r="MN289" s="16">
        <v>0</v>
      </c>
      <c r="MO289" s="16">
        <v>0</v>
      </c>
      <c r="MP289" s="16">
        <v>0</v>
      </c>
      <c r="MQ289" s="16">
        <v>0</v>
      </c>
      <c r="MR289" s="16">
        <v>0</v>
      </c>
      <c r="MS289" s="16">
        <v>0</v>
      </c>
      <c r="MT289" s="16">
        <v>0</v>
      </c>
      <c r="MU289" s="16">
        <v>0</v>
      </c>
      <c r="MV289" s="16">
        <v>0</v>
      </c>
      <c r="MW289" s="16">
        <v>0</v>
      </c>
      <c r="MX289" s="16">
        <v>0</v>
      </c>
      <c r="MY289" s="16">
        <v>0</v>
      </c>
      <c r="MZ289" s="16">
        <v>0</v>
      </c>
      <c r="NA289" s="16">
        <v>0</v>
      </c>
      <c r="NB289" s="16">
        <v>0</v>
      </c>
      <c r="NC289" s="16">
        <v>0</v>
      </c>
      <c r="ND289" s="16">
        <v>0</v>
      </c>
      <c r="NE289" s="16">
        <v>0</v>
      </c>
      <c r="NF289" s="16">
        <v>0</v>
      </c>
      <c r="NG289" s="16">
        <v>0</v>
      </c>
      <c r="NH289" s="16">
        <v>0</v>
      </c>
      <c r="NI289" s="16">
        <v>0</v>
      </c>
      <c r="NJ289" s="16">
        <v>0</v>
      </c>
      <c r="NK289" s="16">
        <v>0</v>
      </c>
      <c r="NL289" s="16">
        <v>0</v>
      </c>
      <c r="NM289" s="16">
        <v>0</v>
      </c>
      <c r="NN289" s="16">
        <v>0</v>
      </c>
      <c r="NO289" s="16">
        <v>0</v>
      </c>
      <c r="NP289" s="16">
        <v>0</v>
      </c>
      <c r="NQ289" s="16">
        <v>0</v>
      </c>
      <c r="NR289" s="17">
        <v>0</v>
      </c>
    </row>
    <row r="290" spans="1:382" ht="13.5" customHeight="1" x14ac:dyDescent="0.2">
      <c r="A290" s="2" t="s">
        <v>587</v>
      </c>
      <c r="B290" s="16">
        <v>0</v>
      </c>
      <c r="C290" s="16">
        <v>0</v>
      </c>
      <c r="D290" s="16">
        <v>0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16">
        <v>0</v>
      </c>
      <c r="AL290" s="16">
        <v>0</v>
      </c>
      <c r="AM290" s="16">
        <v>0</v>
      </c>
      <c r="AN290" s="16">
        <v>0</v>
      </c>
      <c r="AO290" s="16">
        <v>0</v>
      </c>
      <c r="AP290" s="16">
        <v>0</v>
      </c>
      <c r="AQ290" s="16">
        <v>0</v>
      </c>
      <c r="AR290" s="16">
        <v>0</v>
      </c>
      <c r="AS290" s="16">
        <v>0</v>
      </c>
      <c r="AT290" s="16">
        <v>0</v>
      </c>
      <c r="AU290" s="16">
        <v>0</v>
      </c>
      <c r="AV290" s="16">
        <v>0</v>
      </c>
      <c r="AW290" s="16">
        <v>0</v>
      </c>
      <c r="AX290" s="16">
        <v>0</v>
      </c>
      <c r="AY290" s="16">
        <v>0</v>
      </c>
      <c r="AZ290" s="16">
        <v>0</v>
      </c>
      <c r="BA290" s="16">
        <v>0</v>
      </c>
      <c r="BB290" s="16">
        <v>0</v>
      </c>
      <c r="BC290" s="16">
        <v>0</v>
      </c>
      <c r="BD290" s="16">
        <v>0</v>
      </c>
      <c r="BE290" s="16">
        <v>0</v>
      </c>
      <c r="BF290" s="16">
        <v>0</v>
      </c>
      <c r="BG290" s="16">
        <v>0</v>
      </c>
      <c r="BH290" s="16">
        <v>0</v>
      </c>
      <c r="BI290" s="16">
        <v>0</v>
      </c>
      <c r="BJ290" s="16">
        <v>0</v>
      </c>
      <c r="BK290" s="16">
        <v>0</v>
      </c>
      <c r="BL290" s="16">
        <v>0</v>
      </c>
      <c r="BM290" s="16">
        <v>0</v>
      </c>
      <c r="BN290" s="16">
        <v>0</v>
      </c>
      <c r="BO290" s="16">
        <v>0</v>
      </c>
      <c r="BP290" s="16">
        <v>0</v>
      </c>
      <c r="BQ290" s="16">
        <v>0</v>
      </c>
      <c r="BR290" s="16">
        <v>0</v>
      </c>
      <c r="BS290" s="16">
        <v>0</v>
      </c>
      <c r="BT290" s="16">
        <v>0</v>
      </c>
      <c r="BU290" s="16">
        <v>0</v>
      </c>
      <c r="BV290" s="16">
        <v>0</v>
      </c>
      <c r="BW290" s="16">
        <v>0</v>
      </c>
      <c r="BX290" s="16">
        <v>0</v>
      </c>
      <c r="BY290" s="16">
        <v>0</v>
      </c>
      <c r="BZ290" s="16">
        <v>0</v>
      </c>
      <c r="CA290" s="16">
        <v>0</v>
      </c>
      <c r="CB290" s="16">
        <v>0</v>
      </c>
      <c r="CC290" s="16">
        <v>0</v>
      </c>
      <c r="CD290" s="16">
        <v>0</v>
      </c>
      <c r="CE290" s="16">
        <v>0</v>
      </c>
      <c r="CF290" s="16">
        <v>0</v>
      </c>
      <c r="CG290" s="16">
        <v>0</v>
      </c>
      <c r="CH290" s="16">
        <v>0</v>
      </c>
      <c r="CI290" s="16">
        <v>0</v>
      </c>
      <c r="CJ290" s="16">
        <v>0</v>
      </c>
      <c r="CK290" s="16">
        <v>0</v>
      </c>
      <c r="CL290" s="16">
        <v>0</v>
      </c>
      <c r="CM290" s="16">
        <v>0</v>
      </c>
      <c r="CN290" s="16">
        <v>0</v>
      </c>
      <c r="CO290" s="16">
        <v>0</v>
      </c>
      <c r="CP290" s="16">
        <v>0</v>
      </c>
      <c r="CQ290" s="16">
        <v>0</v>
      </c>
      <c r="CR290" s="16">
        <v>0</v>
      </c>
      <c r="CS290" s="16">
        <v>0</v>
      </c>
      <c r="CT290" s="16">
        <v>0</v>
      </c>
      <c r="CU290" s="16">
        <v>0</v>
      </c>
      <c r="CV290" s="16">
        <v>0</v>
      </c>
      <c r="CW290" s="16">
        <v>0</v>
      </c>
      <c r="CX290" s="16">
        <v>0</v>
      </c>
      <c r="CY290" s="16">
        <v>0</v>
      </c>
      <c r="CZ290" s="16">
        <v>0</v>
      </c>
      <c r="DA290" s="16">
        <v>0</v>
      </c>
      <c r="DB290" s="16">
        <v>0</v>
      </c>
      <c r="DC290" s="16">
        <v>0</v>
      </c>
      <c r="DD290" s="16">
        <v>0</v>
      </c>
      <c r="DE290" s="16">
        <v>0</v>
      </c>
      <c r="DF290" s="16">
        <v>0</v>
      </c>
      <c r="DG290" s="16">
        <v>0</v>
      </c>
      <c r="DH290" s="16">
        <v>0</v>
      </c>
      <c r="DI290" s="16">
        <v>0</v>
      </c>
      <c r="DJ290" s="16">
        <v>0</v>
      </c>
      <c r="DK290" s="16">
        <v>0</v>
      </c>
      <c r="DL290" s="16">
        <v>0</v>
      </c>
      <c r="DM290" s="16">
        <v>0</v>
      </c>
      <c r="DN290" s="16">
        <v>0</v>
      </c>
      <c r="DO290" s="16">
        <v>0</v>
      </c>
      <c r="DP290" s="16">
        <v>0</v>
      </c>
      <c r="DQ290" s="16">
        <v>0</v>
      </c>
      <c r="DR290" s="16">
        <v>0</v>
      </c>
      <c r="DS290" s="16">
        <v>0</v>
      </c>
      <c r="DT290" s="16">
        <v>0</v>
      </c>
      <c r="DU290" s="16">
        <v>0</v>
      </c>
      <c r="DV290" s="16">
        <v>0</v>
      </c>
      <c r="DW290" s="16">
        <v>0</v>
      </c>
      <c r="DX290" s="16">
        <v>0</v>
      </c>
      <c r="DY290" s="16">
        <v>0</v>
      </c>
      <c r="DZ290" s="16">
        <v>0</v>
      </c>
      <c r="EA290" s="16">
        <v>0</v>
      </c>
      <c r="EB290" s="16">
        <v>0</v>
      </c>
      <c r="EC290" s="16">
        <v>0</v>
      </c>
      <c r="ED290" s="16">
        <v>0</v>
      </c>
      <c r="EE290" s="16">
        <v>0</v>
      </c>
      <c r="EF290" s="16">
        <v>0</v>
      </c>
      <c r="EG290" s="16">
        <v>0</v>
      </c>
      <c r="EH290" s="16">
        <v>0</v>
      </c>
      <c r="EI290" s="16">
        <v>0</v>
      </c>
      <c r="EJ290" s="16">
        <v>0</v>
      </c>
      <c r="EK290" s="16">
        <v>0</v>
      </c>
      <c r="EL290" s="16">
        <v>0</v>
      </c>
      <c r="EM290" s="16">
        <v>0</v>
      </c>
      <c r="EN290" s="16">
        <v>0</v>
      </c>
      <c r="EO290" s="16">
        <v>0</v>
      </c>
      <c r="EP290" s="16">
        <v>0</v>
      </c>
      <c r="EQ290" s="16">
        <v>0</v>
      </c>
      <c r="ER290" s="16">
        <v>0</v>
      </c>
      <c r="ES290" s="16">
        <v>0</v>
      </c>
      <c r="ET290" s="16">
        <v>0</v>
      </c>
      <c r="EU290" s="16">
        <v>0</v>
      </c>
      <c r="EV290" s="16">
        <v>0</v>
      </c>
      <c r="EW290" s="16">
        <v>0</v>
      </c>
      <c r="EX290" s="16">
        <v>0</v>
      </c>
      <c r="EY290" s="16">
        <v>0</v>
      </c>
      <c r="EZ290" s="16">
        <v>0</v>
      </c>
      <c r="FA290" s="16">
        <v>0</v>
      </c>
      <c r="FB290" s="16">
        <v>0</v>
      </c>
      <c r="FC290" s="16">
        <v>0</v>
      </c>
      <c r="FD290" s="16">
        <v>0</v>
      </c>
      <c r="FE290" s="16">
        <v>0</v>
      </c>
      <c r="FF290" s="16">
        <v>0</v>
      </c>
      <c r="FG290" s="16">
        <v>0</v>
      </c>
      <c r="FH290" s="16">
        <v>0</v>
      </c>
      <c r="FI290" s="16">
        <v>0</v>
      </c>
      <c r="FJ290" s="16">
        <v>0</v>
      </c>
      <c r="FK290" s="16">
        <v>0</v>
      </c>
      <c r="FL290" s="16">
        <v>0</v>
      </c>
      <c r="FM290" s="16">
        <v>0</v>
      </c>
      <c r="FN290" s="16">
        <v>0</v>
      </c>
      <c r="FO290" s="16">
        <v>0</v>
      </c>
      <c r="FP290" s="16">
        <v>0</v>
      </c>
      <c r="FQ290" s="16">
        <v>0</v>
      </c>
      <c r="FR290" s="16">
        <v>0</v>
      </c>
      <c r="FS290" s="16">
        <v>0</v>
      </c>
      <c r="FT290" s="16">
        <v>0</v>
      </c>
      <c r="FU290" s="16">
        <v>0</v>
      </c>
      <c r="FV290" s="16">
        <v>0</v>
      </c>
      <c r="FW290" s="16">
        <v>0</v>
      </c>
      <c r="FX290" s="16">
        <v>0</v>
      </c>
      <c r="FY290" s="16">
        <v>0</v>
      </c>
      <c r="FZ290" s="16">
        <v>0</v>
      </c>
      <c r="GA290" s="16">
        <v>0</v>
      </c>
      <c r="GB290" s="16">
        <v>0</v>
      </c>
      <c r="GC290" s="16">
        <v>0</v>
      </c>
      <c r="GD290" s="16">
        <v>0</v>
      </c>
      <c r="GE290" s="16">
        <v>0</v>
      </c>
      <c r="GF290" s="16">
        <v>0</v>
      </c>
      <c r="GG290" s="16">
        <v>0</v>
      </c>
      <c r="GH290" s="16">
        <v>0</v>
      </c>
      <c r="GI290" s="16">
        <v>0</v>
      </c>
      <c r="GJ290" s="16">
        <v>0</v>
      </c>
      <c r="GK290" s="16">
        <v>0</v>
      </c>
      <c r="GL290" s="16">
        <v>0</v>
      </c>
      <c r="GM290" s="16">
        <v>0</v>
      </c>
      <c r="GN290" s="16">
        <v>0</v>
      </c>
      <c r="GO290" s="16">
        <v>0</v>
      </c>
      <c r="GP290" s="16">
        <v>0</v>
      </c>
      <c r="GQ290" s="16">
        <v>0</v>
      </c>
      <c r="GR290" s="16">
        <v>0</v>
      </c>
      <c r="GS290" s="16">
        <v>0</v>
      </c>
      <c r="GT290" s="16">
        <v>0</v>
      </c>
      <c r="GU290" s="16">
        <v>0</v>
      </c>
      <c r="GV290" s="16">
        <v>0</v>
      </c>
      <c r="GW290" s="16">
        <v>0</v>
      </c>
      <c r="GX290" s="16">
        <v>0</v>
      </c>
      <c r="GY290" s="16">
        <v>0</v>
      </c>
      <c r="GZ290" s="16">
        <v>0</v>
      </c>
      <c r="HA290" s="16">
        <v>0</v>
      </c>
      <c r="HB290" s="16">
        <v>0</v>
      </c>
      <c r="HC290" s="16">
        <v>0</v>
      </c>
      <c r="HD290" s="16">
        <v>0</v>
      </c>
      <c r="HE290" s="16">
        <v>0</v>
      </c>
      <c r="HF290" s="16">
        <v>0</v>
      </c>
      <c r="HG290" s="16">
        <v>0</v>
      </c>
      <c r="HH290" s="16">
        <v>0</v>
      </c>
      <c r="HI290" s="16">
        <v>0</v>
      </c>
      <c r="HJ290" s="16">
        <v>0</v>
      </c>
      <c r="HK290" s="16">
        <v>0</v>
      </c>
      <c r="HL290" s="16">
        <v>0</v>
      </c>
      <c r="HM290" s="16">
        <v>0</v>
      </c>
      <c r="HN290" s="16">
        <v>0</v>
      </c>
      <c r="HO290" s="16">
        <v>0</v>
      </c>
      <c r="HP290" s="16">
        <v>0</v>
      </c>
      <c r="HQ290" s="16">
        <v>0</v>
      </c>
      <c r="HR290" s="16">
        <v>0</v>
      </c>
      <c r="HS290" s="16">
        <v>0</v>
      </c>
      <c r="HT290" s="16">
        <v>0</v>
      </c>
      <c r="HU290" s="16">
        <v>0</v>
      </c>
      <c r="HV290" s="16">
        <v>0</v>
      </c>
      <c r="HW290" s="16">
        <v>0</v>
      </c>
      <c r="HX290" s="16">
        <v>0</v>
      </c>
      <c r="HY290" s="16">
        <v>0</v>
      </c>
      <c r="HZ290" s="16">
        <v>0</v>
      </c>
      <c r="IA290" s="16">
        <v>0</v>
      </c>
      <c r="IB290" s="16">
        <v>0</v>
      </c>
      <c r="IC290" s="16">
        <v>0</v>
      </c>
      <c r="ID290" s="16">
        <v>0</v>
      </c>
      <c r="IE290" s="16">
        <v>0</v>
      </c>
      <c r="IF290" s="16">
        <v>0</v>
      </c>
      <c r="IG290" s="16">
        <v>0</v>
      </c>
      <c r="IH290" s="16">
        <v>0</v>
      </c>
      <c r="II290" s="16">
        <v>0</v>
      </c>
      <c r="IJ290" s="16">
        <v>0</v>
      </c>
      <c r="IK290" s="16">
        <v>0</v>
      </c>
      <c r="IL290" s="16">
        <v>0</v>
      </c>
      <c r="IM290" s="16">
        <v>0</v>
      </c>
      <c r="IN290" s="16">
        <v>0</v>
      </c>
      <c r="IO290" s="16">
        <v>0</v>
      </c>
      <c r="IP290" s="16">
        <v>0</v>
      </c>
      <c r="IQ290" s="16">
        <v>0</v>
      </c>
      <c r="IR290" s="16">
        <v>0</v>
      </c>
      <c r="IS290" s="16">
        <v>0</v>
      </c>
      <c r="IT290" s="16">
        <v>0</v>
      </c>
      <c r="IU290" s="16">
        <v>0</v>
      </c>
      <c r="IV290" s="16">
        <v>0</v>
      </c>
      <c r="IW290" s="16">
        <v>0</v>
      </c>
      <c r="IX290" s="16">
        <v>0</v>
      </c>
      <c r="IY290" s="16">
        <v>0</v>
      </c>
      <c r="IZ290" s="16">
        <v>0</v>
      </c>
      <c r="JA290" s="16">
        <v>0</v>
      </c>
      <c r="JB290" s="16">
        <v>0</v>
      </c>
      <c r="JC290" s="16">
        <v>0</v>
      </c>
      <c r="JD290" s="16">
        <v>0</v>
      </c>
      <c r="JE290" s="16">
        <v>0</v>
      </c>
      <c r="JF290" s="16">
        <v>0</v>
      </c>
      <c r="JG290" s="16">
        <v>0</v>
      </c>
      <c r="JH290" s="16">
        <v>0</v>
      </c>
      <c r="JI290" s="16">
        <v>0</v>
      </c>
      <c r="JJ290" s="16">
        <v>0</v>
      </c>
      <c r="JK290" s="16">
        <v>0</v>
      </c>
      <c r="JL290" s="16">
        <v>0</v>
      </c>
      <c r="JM290" s="16">
        <v>0</v>
      </c>
      <c r="JN290" s="16">
        <v>0</v>
      </c>
      <c r="JO290" s="16">
        <v>0</v>
      </c>
      <c r="JP290" s="16">
        <v>0</v>
      </c>
      <c r="JQ290" s="16">
        <v>0</v>
      </c>
      <c r="JR290" s="16">
        <v>0</v>
      </c>
      <c r="JS290" s="16">
        <v>0</v>
      </c>
      <c r="JT290" s="16">
        <v>0</v>
      </c>
      <c r="JU290" s="16">
        <v>0</v>
      </c>
      <c r="JV290" s="16">
        <v>0</v>
      </c>
      <c r="JW290" s="16">
        <v>0</v>
      </c>
      <c r="JX290" s="16">
        <v>0</v>
      </c>
      <c r="JY290" s="16">
        <v>0</v>
      </c>
      <c r="JZ290" s="16">
        <v>0</v>
      </c>
      <c r="KA290" s="16">
        <v>0</v>
      </c>
      <c r="KB290" s="16">
        <v>0</v>
      </c>
      <c r="KC290" s="16">
        <v>0</v>
      </c>
      <c r="KD290" s="16">
        <v>0</v>
      </c>
      <c r="KE290" s="16">
        <v>0</v>
      </c>
      <c r="KF290" s="16">
        <v>0</v>
      </c>
      <c r="KG290" s="16">
        <v>0</v>
      </c>
      <c r="KH290" s="16">
        <v>0</v>
      </c>
      <c r="KI290" s="16">
        <v>0</v>
      </c>
      <c r="KJ290" s="16">
        <v>0</v>
      </c>
      <c r="KK290" s="16">
        <v>0</v>
      </c>
      <c r="KL290" s="16">
        <v>0</v>
      </c>
      <c r="KM290" s="16">
        <v>0</v>
      </c>
      <c r="KN290" s="16">
        <v>0</v>
      </c>
      <c r="KO290" s="16">
        <v>0</v>
      </c>
      <c r="KP290" s="16">
        <v>0</v>
      </c>
      <c r="KQ290" s="16">
        <v>0</v>
      </c>
      <c r="KR290" s="16">
        <v>0</v>
      </c>
      <c r="KS290" s="16">
        <v>0</v>
      </c>
      <c r="KT290" s="16">
        <v>0</v>
      </c>
      <c r="KU290" s="16">
        <v>0</v>
      </c>
      <c r="KV290" s="16">
        <v>0</v>
      </c>
      <c r="KW290" s="16">
        <v>0</v>
      </c>
      <c r="KX290" s="16">
        <v>0</v>
      </c>
      <c r="KY290" s="16">
        <v>0</v>
      </c>
      <c r="KZ290" s="16">
        <v>0</v>
      </c>
      <c r="LA290" s="16">
        <v>0</v>
      </c>
      <c r="LB290" s="16">
        <v>0</v>
      </c>
      <c r="LC290" s="16">
        <v>0</v>
      </c>
      <c r="LD290" s="16">
        <v>0</v>
      </c>
      <c r="LE290" s="16">
        <v>0</v>
      </c>
      <c r="LF290" s="16">
        <v>0</v>
      </c>
      <c r="LG290" s="16">
        <v>0</v>
      </c>
      <c r="LH290" s="16">
        <v>0</v>
      </c>
      <c r="LI290" s="16">
        <v>0</v>
      </c>
      <c r="LJ290" s="16">
        <v>0</v>
      </c>
      <c r="LK290" s="16">
        <v>0</v>
      </c>
      <c r="LL290" s="16">
        <v>0</v>
      </c>
      <c r="LM290" s="16">
        <v>0</v>
      </c>
      <c r="LN290" s="16">
        <v>0</v>
      </c>
      <c r="LO290" s="16">
        <v>0</v>
      </c>
      <c r="LP290" s="16">
        <v>0</v>
      </c>
      <c r="LQ290" s="16">
        <v>0</v>
      </c>
      <c r="LR290" s="16">
        <v>0</v>
      </c>
      <c r="LS290" s="16">
        <v>0</v>
      </c>
      <c r="LT290" s="16">
        <v>0</v>
      </c>
      <c r="LU290" s="16">
        <v>0</v>
      </c>
      <c r="LV290" s="16">
        <v>0</v>
      </c>
      <c r="LW290" s="16">
        <v>0</v>
      </c>
      <c r="LX290" s="16">
        <v>0</v>
      </c>
      <c r="LY290" s="16">
        <v>0</v>
      </c>
      <c r="LZ290" s="16">
        <v>0</v>
      </c>
      <c r="MA290" s="16">
        <v>0</v>
      </c>
      <c r="MB290" s="16">
        <v>0</v>
      </c>
      <c r="MC290" s="16">
        <v>0</v>
      </c>
      <c r="MD290" s="16">
        <v>0</v>
      </c>
      <c r="ME290" s="16">
        <v>0</v>
      </c>
      <c r="MF290" s="16">
        <v>0</v>
      </c>
      <c r="MG290" s="16">
        <v>0</v>
      </c>
      <c r="MH290" s="16">
        <v>0</v>
      </c>
      <c r="MI290" s="16">
        <v>0</v>
      </c>
      <c r="MJ290" s="16">
        <v>0</v>
      </c>
      <c r="MK290" s="16">
        <v>0</v>
      </c>
      <c r="ML290" s="16">
        <v>0</v>
      </c>
      <c r="MM290" s="16">
        <v>0</v>
      </c>
      <c r="MN290" s="16">
        <v>0</v>
      </c>
      <c r="MO290" s="16">
        <v>0</v>
      </c>
      <c r="MP290" s="16">
        <v>0</v>
      </c>
      <c r="MQ290" s="16">
        <v>0</v>
      </c>
      <c r="MR290" s="16">
        <v>0</v>
      </c>
      <c r="MS290" s="16">
        <v>0</v>
      </c>
      <c r="MT290" s="16">
        <v>0</v>
      </c>
      <c r="MU290" s="16">
        <v>0</v>
      </c>
      <c r="MV290" s="16">
        <v>0</v>
      </c>
      <c r="MW290" s="16">
        <v>0</v>
      </c>
      <c r="MX290" s="16">
        <v>0</v>
      </c>
      <c r="MY290" s="16">
        <v>0</v>
      </c>
      <c r="MZ290" s="16">
        <v>0</v>
      </c>
      <c r="NA290" s="16">
        <v>0</v>
      </c>
      <c r="NB290" s="16">
        <v>0</v>
      </c>
      <c r="NC290" s="16">
        <v>0</v>
      </c>
      <c r="ND290" s="16">
        <v>0</v>
      </c>
      <c r="NE290" s="16">
        <v>0</v>
      </c>
      <c r="NF290" s="16">
        <v>0</v>
      </c>
      <c r="NG290" s="16">
        <v>0</v>
      </c>
      <c r="NH290" s="16">
        <v>0</v>
      </c>
      <c r="NI290" s="16">
        <v>0</v>
      </c>
      <c r="NJ290" s="16">
        <v>0</v>
      </c>
      <c r="NK290" s="16">
        <v>0</v>
      </c>
      <c r="NL290" s="16">
        <v>0</v>
      </c>
      <c r="NM290" s="16">
        <v>0</v>
      </c>
      <c r="NN290" s="16">
        <v>0</v>
      </c>
      <c r="NO290" s="16">
        <v>0</v>
      </c>
      <c r="NP290" s="16">
        <v>0</v>
      </c>
      <c r="NQ290" s="16">
        <v>0</v>
      </c>
      <c r="NR290" s="17">
        <v>0</v>
      </c>
    </row>
    <row r="291" spans="1:382" ht="13.5" customHeight="1" x14ac:dyDescent="0.2">
      <c r="A291" s="2" t="s">
        <v>589</v>
      </c>
      <c r="B291" s="16">
        <v>0</v>
      </c>
      <c r="C291" s="16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>
        <v>0</v>
      </c>
      <c r="AU291" s="16">
        <v>0</v>
      </c>
      <c r="AV291" s="16">
        <v>0</v>
      </c>
      <c r="AW291" s="16">
        <v>0</v>
      </c>
      <c r="AX291" s="16">
        <v>0</v>
      </c>
      <c r="AY291" s="16">
        <v>0</v>
      </c>
      <c r="AZ291" s="16">
        <v>0</v>
      </c>
      <c r="BA291" s="16">
        <v>0</v>
      </c>
      <c r="BB291" s="16">
        <v>0</v>
      </c>
      <c r="BC291" s="16">
        <v>0</v>
      </c>
      <c r="BD291" s="16">
        <v>0</v>
      </c>
      <c r="BE291" s="16">
        <v>0</v>
      </c>
      <c r="BF291" s="16">
        <v>0</v>
      </c>
      <c r="BG291" s="16">
        <v>0</v>
      </c>
      <c r="BH291" s="16">
        <v>0</v>
      </c>
      <c r="BI291" s="16">
        <v>0</v>
      </c>
      <c r="BJ291" s="16">
        <v>0</v>
      </c>
      <c r="BK291" s="16">
        <v>0</v>
      </c>
      <c r="BL291" s="16">
        <v>0</v>
      </c>
      <c r="BM291" s="16">
        <v>0</v>
      </c>
      <c r="BN291" s="16">
        <v>0</v>
      </c>
      <c r="BO291" s="16">
        <v>0</v>
      </c>
      <c r="BP291" s="16">
        <v>0</v>
      </c>
      <c r="BQ291" s="16">
        <v>0</v>
      </c>
      <c r="BR291" s="16">
        <v>0</v>
      </c>
      <c r="BS291" s="16">
        <v>0</v>
      </c>
      <c r="BT291" s="16">
        <v>0</v>
      </c>
      <c r="BU291" s="16">
        <v>0</v>
      </c>
      <c r="BV291" s="16">
        <v>0</v>
      </c>
      <c r="BW291" s="16">
        <v>0</v>
      </c>
      <c r="BX291" s="16">
        <v>0</v>
      </c>
      <c r="BY291" s="16">
        <v>0</v>
      </c>
      <c r="BZ291" s="16">
        <v>0</v>
      </c>
      <c r="CA291" s="16">
        <v>0</v>
      </c>
      <c r="CB291" s="16">
        <v>0</v>
      </c>
      <c r="CC291" s="16">
        <v>0</v>
      </c>
      <c r="CD291" s="16">
        <v>0</v>
      </c>
      <c r="CE291" s="16">
        <v>0</v>
      </c>
      <c r="CF291" s="16">
        <v>0</v>
      </c>
      <c r="CG291" s="16">
        <v>0</v>
      </c>
      <c r="CH291" s="16">
        <v>0</v>
      </c>
      <c r="CI291" s="16">
        <v>0</v>
      </c>
      <c r="CJ291" s="16">
        <v>0</v>
      </c>
      <c r="CK291" s="16">
        <v>0</v>
      </c>
      <c r="CL291" s="16">
        <v>0</v>
      </c>
      <c r="CM291" s="16">
        <v>0</v>
      </c>
      <c r="CN291" s="16">
        <v>0</v>
      </c>
      <c r="CO291" s="16">
        <v>0</v>
      </c>
      <c r="CP291" s="16">
        <v>0</v>
      </c>
      <c r="CQ291" s="16">
        <v>0</v>
      </c>
      <c r="CR291" s="16">
        <v>0</v>
      </c>
      <c r="CS291" s="16">
        <v>0</v>
      </c>
      <c r="CT291" s="16">
        <v>0</v>
      </c>
      <c r="CU291" s="16">
        <v>0</v>
      </c>
      <c r="CV291" s="16">
        <v>0</v>
      </c>
      <c r="CW291" s="16">
        <v>0</v>
      </c>
      <c r="CX291" s="16">
        <v>0</v>
      </c>
      <c r="CY291" s="16">
        <v>0</v>
      </c>
      <c r="CZ291" s="16">
        <v>0</v>
      </c>
      <c r="DA291" s="16">
        <v>0</v>
      </c>
      <c r="DB291" s="16">
        <v>0</v>
      </c>
      <c r="DC291" s="16">
        <v>0</v>
      </c>
      <c r="DD291" s="16">
        <v>0</v>
      </c>
      <c r="DE291" s="16">
        <v>0</v>
      </c>
      <c r="DF291" s="16">
        <v>0</v>
      </c>
      <c r="DG291" s="16">
        <v>0</v>
      </c>
      <c r="DH291" s="16">
        <v>0</v>
      </c>
      <c r="DI291" s="16">
        <v>0</v>
      </c>
      <c r="DJ291" s="16">
        <v>0</v>
      </c>
      <c r="DK291" s="16">
        <v>0</v>
      </c>
      <c r="DL291" s="16">
        <v>0</v>
      </c>
      <c r="DM291" s="16">
        <v>0</v>
      </c>
      <c r="DN291" s="16">
        <v>0</v>
      </c>
      <c r="DO291" s="16">
        <v>0</v>
      </c>
      <c r="DP291" s="16">
        <v>0</v>
      </c>
      <c r="DQ291" s="16">
        <v>0</v>
      </c>
      <c r="DR291" s="16">
        <v>0</v>
      </c>
      <c r="DS291" s="16">
        <v>0</v>
      </c>
      <c r="DT291" s="16">
        <v>0</v>
      </c>
      <c r="DU291" s="16">
        <v>0</v>
      </c>
      <c r="DV291" s="16">
        <v>0</v>
      </c>
      <c r="DW291" s="16">
        <v>0</v>
      </c>
      <c r="DX291" s="16">
        <v>0</v>
      </c>
      <c r="DY291" s="16">
        <v>0</v>
      </c>
      <c r="DZ291" s="16">
        <v>0</v>
      </c>
      <c r="EA291" s="16">
        <v>0</v>
      </c>
      <c r="EB291" s="16">
        <v>0</v>
      </c>
      <c r="EC291" s="16">
        <v>0</v>
      </c>
      <c r="ED291" s="16">
        <v>0</v>
      </c>
      <c r="EE291" s="16">
        <v>0</v>
      </c>
      <c r="EF291" s="16">
        <v>0</v>
      </c>
      <c r="EG291" s="16">
        <v>0</v>
      </c>
      <c r="EH291" s="16">
        <v>0</v>
      </c>
      <c r="EI291" s="16">
        <v>0</v>
      </c>
      <c r="EJ291" s="16">
        <v>0</v>
      </c>
      <c r="EK291" s="16">
        <v>0</v>
      </c>
      <c r="EL291" s="16">
        <v>0</v>
      </c>
      <c r="EM291" s="16">
        <v>0</v>
      </c>
      <c r="EN291" s="16">
        <v>0</v>
      </c>
      <c r="EO291" s="16">
        <v>0</v>
      </c>
      <c r="EP291" s="16">
        <v>0</v>
      </c>
      <c r="EQ291" s="16">
        <v>0</v>
      </c>
      <c r="ER291" s="16">
        <v>0</v>
      </c>
      <c r="ES291" s="16">
        <v>0</v>
      </c>
      <c r="ET291" s="16">
        <v>0</v>
      </c>
      <c r="EU291" s="16">
        <v>0</v>
      </c>
      <c r="EV291" s="16">
        <v>0</v>
      </c>
      <c r="EW291" s="16">
        <v>0</v>
      </c>
      <c r="EX291" s="16">
        <v>0</v>
      </c>
      <c r="EY291" s="16">
        <v>0</v>
      </c>
      <c r="EZ291" s="16">
        <v>0</v>
      </c>
      <c r="FA291" s="16">
        <v>0</v>
      </c>
      <c r="FB291" s="16">
        <v>0</v>
      </c>
      <c r="FC291" s="16">
        <v>0</v>
      </c>
      <c r="FD291" s="16">
        <v>0</v>
      </c>
      <c r="FE291" s="16">
        <v>0</v>
      </c>
      <c r="FF291" s="16">
        <v>0</v>
      </c>
      <c r="FG291" s="16">
        <v>0</v>
      </c>
      <c r="FH291" s="16">
        <v>0</v>
      </c>
      <c r="FI291" s="16">
        <v>0</v>
      </c>
      <c r="FJ291" s="16">
        <v>0</v>
      </c>
      <c r="FK291" s="16">
        <v>0</v>
      </c>
      <c r="FL291" s="16">
        <v>0</v>
      </c>
      <c r="FM291" s="16">
        <v>0</v>
      </c>
      <c r="FN291" s="16">
        <v>0</v>
      </c>
      <c r="FO291" s="16">
        <v>0</v>
      </c>
      <c r="FP291" s="16">
        <v>0</v>
      </c>
      <c r="FQ291" s="16">
        <v>0</v>
      </c>
      <c r="FR291" s="16">
        <v>0</v>
      </c>
      <c r="FS291" s="16">
        <v>0</v>
      </c>
      <c r="FT291" s="16">
        <v>0</v>
      </c>
      <c r="FU291" s="16">
        <v>0</v>
      </c>
      <c r="FV291" s="16">
        <v>0</v>
      </c>
      <c r="FW291" s="16">
        <v>0</v>
      </c>
      <c r="FX291" s="16">
        <v>0</v>
      </c>
      <c r="FY291" s="16">
        <v>0</v>
      </c>
      <c r="FZ291" s="16">
        <v>0</v>
      </c>
      <c r="GA291" s="16">
        <v>0</v>
      </c>
      <c r="GB291" s="16">
        <v>0</v>
      </c>
      <c r="GC291" s="16">
        <v>0</v>
      </c>
      <c r="GD291" s="16">
        <v>0</v>
      </c>
      <c r="GE291" s="16">
        <v>0</v>
      </c>
      <c r="GF291" s="16">
        <v>0</v>
      </c>
      <c r="GG291" s="16">
        <v>0</v>
      </c>
      <c r="GH291" s="16">
        <v>0</v>
      </c>
      <c r="GI291" s="16">
        <v>0</v>
      </c>
      <c r="GJ291" s="16">
        <v>0</v>
      </c>
      <c r="GK291" s="16">
        <v>0</v>
      </c>
      <c r="GL291" s="16">
        <v>0</v>
      </c>
      <c r="GM291" s="16">
        <v>0</v>
      </c>
      <c r="GN291" s="16">
        <v>0</v>
      </c>
      <c r="GO291" s="16">
        <v>0</v>
      </c>
      <c r="GP291" s="16">
        <v>0</v>
      </c>
      <c r="GQ291" s="16">
        <v>0</v>
      </c>
      <c r="GR291" s="16">
        <v>0</v>
      </c>
      <c r="GS291" s="16">
        <v>0</v>
      </c>
      <c r="GT291" s="16">
        <v>0</v>
      </c>
      <c r="GU291" s="16">
        <v>0</v>
      </c>
      <c r="GV291" s="16">
        <v>0</v>
      </c>
      <c r="GW291" s="16">
        <v>0</v>
      </c>
      <c r="GX291" s="16">
        <v>0</v>
      </c>
      <c r="GY291" s="16">
        <v>0</v>
      </c>
      <c r="GZ291" s="16">
        <v>0</v>
      </c>
      <c r="HA291" s="16">
        <v>0</v>
      </c>
      <c r="HB291" s="16">
        <v>0</v>
      </c>
      <c r="HC291" s="16">
        <v>0</v>
      </c>
      <c r="HD291" s="16">
        <v>0</v>
      </c>
      <c r="HE291" s="16">
        <v>0</v>
      </c>
      <c r="HF291" s="16">
        <v>0</v>
      </c>
      <c r="HG291" s="16">
        <v>0</v>
      </c>
      <c r="HH291" s="16">
        <v>0</v>
      </c>
      <c r="HI291" s="16">
        <v>0</v>
      </c>
      <c r="HJ291" s="16">
        <v>0</v>
      </c>
      <c r="HK291" s="16">
        <v>0</v>
      </c>
      <c r="HL291" s="16">
        <v>0</v>
      </c>
      <c r="HM291" s="16">
        <v>0</v>
      </c>
      <c r="HN291" s="16">
        <v>0</v>
      </c>
      <c r="HO291" s="16">
        <v>0</v>
      </c>
      <c r="HP291" s="16">
        <v>0</v>
      </c>
      <c r="HQ291" s="16">
        <v>0</v>
      </c>
      <c r="HR291" s="16">
        <v>0</v>
      </c>
      <c r="HS291" s="16">
        <v>0</v>
      </c>
      <c r="HT291" s="16">
        <v>0</v>
      </c>
      <c r="HU291" s="16">
        <v>0</v>
      </c>
      <c r="HV291" s="16">
        <v>0</v>
      </c>
      <c r="HW291" s="16">
        <v>0</v>
      </c>
      <c r="HX291" s="16">
        <v>0</v>
      </c>
      <c r="HY291" s="16">
        <v>0</v>
      </c>
      <c r="HZ291" s="16">
        <v>0</v>
      </c>
      <c r="IA291" s="16">
        <v>0</v>
      </c>
      <c r="IB291" s="16">
        <v>0</v>
      </c>
      <c r="IC291" s="16">
        <v>0</v>
      </c>
      <c r="ID291" s="16">
        <v>0</v>
      </c>
      <c r="IE291" s="16">
        <v>0</v>
      </c>
      <c r="IF291" s="16">
        <v>0</v>
      </c>
      <c r="IG291" s="16">
        <v>0</v>
      </c>
      <c r="IH291" s="16">
        <v>0</v>
      </c>
      <c r="II291" s="16">
        <v>0</v>
      </c>
      <c r="IJ291" s="16">
        <v>0</v>
      </c>
      <c r="IK291" s="16">
        <v>0</v>
      </c>
      <c r="IL291" s="16">
        <v>0</v>
      </c>
      <c r="IM291" s="16">
        <v>0</v>
      </c>
      <c r="IN291" s="16">
        <v>0</v>
      </c>
      <c r="IO291" s="16">
        <v>0</v>
      </c>
      <c r="IP291" s="16">
        <v>0</v>
      </c>
      <c r="IQ291" s="16">
        <v>0</v>
      </c>
      <c r="IR291" s="16">
        <v>0</v>
      </c>
      <c r="IS291" s="16">
        <v>0</v>
      </c>
      <c r="IT291" s="16">
        <v>0</v>
      </c>
      <c r="IU291" s="16">
        <v>0</v>
      </c>
      <c r="IV291" s="16">
        <v>0</v>
      </c>
      <c r="IW291" s="16">
        <v>0</v>
      </c>
      <c r="IX291" s="16">
        <v>0</v>
      </c>
      <c r="IY291" s="16">
        <v>0</v>
      </c>
      <c r="IZ291" s="16">
        <v>0</v>
      </c>
      <c r="JA291" s="16">
        <v>0</v>
      </c>
      <c r="JB291" s="16">
        <v>0</v>
      </c>
      <c r="JC291" s="16">
        <v>0</v>
      </c>
      <c r="JD291" s="16">
        <v>0</v>
      </c>
      <c r="JE291" s="16">
        <v>0</v>
      </c>
      <c r="JF291" s="16">
        <v>0</v>
      </c>
      <c r="JG291" s="16">
        <v>0</v>
      </c>
      <c r="JH291" s="16">
        <v>0</v>
      </c>
      <c r="JI291" s="16">
        <v>0</v>
      </c>
      <c r="JJ291" s="16">
        <v>0</v>
      </c>
      <c r="JK291" s="16">
        <v>0</v>
      </c>
      <c r="JL291" s="16">
        <v>0</v>
      </c>
      <c r="JM291" s="16">
        <v>0</v>
      </c>
      <c r="JN291" s="16">
        <v>0</v>
      </c>
      <c r="JO291" s="16">
        <v>0</v>
      </c>
      <c r="JP291" s="16">
        <v>0</v>
      </c>
      <c r="JQ291" s="16">
        <v>0</v>
      </c>
      <c r="JR291" s="16">
        <v>0</v>
      </c>
      <c r="JS291" s="16">
        <v>0</v>
      </c>
      <c r="JT291" s="16">
        <v>0</v>
      </c>
      <c r="JU291" s="16">
        <v>0</v>
      </c>
      <c r="JV291" s="16">
        <v>0</v>
      </c>
      <c r="JW291" s="16">
        <v>0</v>
      </c>
      <c r="JX291" s="16">
        <v>0</v>
      </c>
      <c r="JY291" s="16">
        <v>0</v>
      </c>
      <c r="JZ291" s="16">
        <v>0</v>
      </c>
      <c r="KA291" s="16">
        <v>0</v>
      </c>
      <c r="KB291" s="16">
        <v>0</v>
      </c>
      <c r="KC291" s="16">
        <v>0</v>
      </c>
      <c r="KD291" s="16">
        <v>0</v>
      </c>
      <c r="KE291" s="16">
        <v>0</v>
      </c>
      <c r="KF291" s="16">
        <v>0</v>
      </c>
      <c r="KG291" s="16">
        <v>0</v>
      </c>
      <c r="KH291" s="16">
        <v>0</v>
      </c>
      <c r="KI291" s="16">
        <v>0</v>
      </c>
      <c r="KJ291" s="16">
        <v>0</v>
      </c>
      <c r="KK291" s="16">
        <v>0</v>
      </c>
      <c r="KL291" s="16">
        <v>0</v>
      </c>
      <c r="KM291" s="16">
        <v>0</v>
      </c>
      <c r="KN291" s="16">
        <v>0</v>
      </c>
      <c r="KO291" s="16">
        <v>0</v>
      </c>
      <c r="KP291" s="16">
        <v>0</v>
      </c>
      <c r="KQ291" s="16">
        <v>0</v>
      </c>
      <c r="KR291" s="16">
        <v>0</v>
      </c>
      <c r="KS291" s="16">
        <v>0</v>
      </c>
      <c r="KT291" s="16">
        <v>0</v>
      </c>
      <c r="KU291" s="16">
        <v>0</v>
      </c>
      <c r="KV291" s="16">
        <v>0</v>
      </c>
      <c r="KW291" s="16">
        <v>0</v>
      </c>
      <c r="KX291" s="16">
        <v>0</v>
      </c>
      <c r="KY291" s="16">
        <v>0</v>
      </c>
      <c r="KZ291" s="16">
        <v>0</v>
      </c>
      <c r="LA291" s="16">
        <v>0</v>
      </c>
      <c r="LB291" s="16">
        <v>0</v>
      </c>
      <c r="LC291" s="16">
        <v>0</v>
      </c>
      <c r="LD291" s="16">
        <v>0</v>
      </c>
      <c r="LE291" s="16">
        <v>0</v>
      </c>
      <c r="LF291" s="16">
        <v>0</v>
      </c>
      <c r="LG291" s="16">
        <v>0</v>
      </c>
      <c r="LH291" s="16">
        <v>0</v>
      </c>
      <c r="LI291" s="16">
        <v>0</v>
      </c>
      <c r="LJ291" s="16">
        <v>0</v>
      </c>
      <c r="LK291" s="16">
        <v>0</v>
      </c>
      <c r="LL291" s="16">
        <v>0</v>
      </c>
      <c r="LM291" s="16">
        <v>0</v>
      </c>
      <c r="LN291" s="16">
        <v>0</v>
      </c>
      <c r="LO291" s="16">
        <v>0</v>
      </c>
      <c r="LP291" s="16">
        <v>0</v>
      </c>
      <c r="LQ291" s="16">
        <v>0</v>
      </c>
      <c r="LR291" s="16">
        <v>0</v>
      </c>
      <c r="LS291" s="16">
        <v>0</v>
      </c>
      <c r="LT291" s="16">
        <v>0</v>
      </c>
      <c r="LU291" s="16">
        <v>0</v>
      </c>
      <c r="LV291" s="16">
        <v>0</v>
      </c>
      <c r="LW291" s="16">
        <v>0</v>
      </c>
      <c r="LX291" s="16">
        <v>0</v>
      </c>
      <c r="LY291" s="16">
        <v>0</v>
      </c>
      <c r="LZ291" s="16">
        <v>0</v>
      </c>
      <c r="MA291" s="16">
        <v>0</v>
      </c>
      <c r="MB291" s="16">
        <v>0</v>
      </c>
      <c r="MC291" s="16">
        <v>0</v>
      </c>
      <c r="MD291" s="16">
        <v>0</v>
      </c>
      <c r="ME291" s="16">
        <v>0</v>
      </c>
      <c r="MF291" s="16">
        <v>0</v>
      </c>
      <c r="MG291" s="16">
        <v>0</v>
      </c>
      <c r="MH291" s="16">
        <v>0</v>
      </c>
      <c r="MI291" s="16">
        <v>0</v>
      </c>
      <c r="MJ291" s="16">
        <v>0</v>
      </c>
      <c r="MK291" s="16">
        <v>0</v>
      </c>
      <c r="ML291" s="16">
        <v>0</v>
      </c>
      <c r="MM291" s="16">
        <v>0</v>
      </c>
      <c r="MN291" s="16">
        <v>0</v>
      </c>
      <c r="MO291" s="16">
        <v>0</v>
      </c>
      <c r="MP291" s="16">
        <v>0</v>
      </c>
      <c r="MQ291" s="16">
        <v>0</v>
      </c>
      <c r="MR291" s="16">
        <v>0</v>
      </c>
      <c r="MS291" s="16">
        <v>0</v>
      </c>
      <c r="MT291" s="16">
        <v>0</v>
      </c>
      <c r="MU291" s="16">
        <v>0</v>
      </c>
      <c r="MV291" s="16">
        <v>0</v>
      </c>
      <c r="MW291" s="16">
        <v>0</v>
      </c>
      <c r="MX291" s="16">
        <v>0</v>
      </c>
      <c r="MY291" s="16">
        <v>0</v>
      </c>
      <c r="MZ291" s="16">
        <v>0</v>
      </c>
      <c r="NA291" s="16">
        <v>0</v>
      </c>
      <c r="NB291" s="16">
        <v>0</v>
      </c>
      <c r="NC291" s="16">
        <v>0</v>
      </c>
      <c r="ND291" s="16">
        <v>0</v>
      </c>
      <c r="NE291" s="16">
        <v>0</v>
      </c>
      <c r="NF291" s="16">
        <v>0</v>
      </c>
      <c r="NG291" s="16">
        <v>0</v>
      </c>
      <c r="NH291" s="16">
        <v>0</v>
      </c>
      <c r="NI291" s="16">
        <v>0</v>
      </c>
      <c r="NJ291" s="16">
        <v>0</v>
      </c>
      <c r="NK291" s="16">
        <v>0</v>
      </c>
      <c r="NL291" s="16">
        <v>0</v>
      </c>
      <c r="NM291" s="16">
        <v>0</v>
      </c>
      <c r="NN291" s="16">
        <v>0</v>
      </c>
      <c r="NO291" s="16">
        <v>0</v>
      </c>
      <c r="NP291" s="16">
        <v>0</v>
      </c>
      <c r="NQ291" s="16">
        <v>0</v>
      </c>
      <c r="NR291" s="17">
        <v>0</v>
      </c>
    </row>
    <row r="292" spans="1:382" ht="13.5" customHeight="1" x14ac:dyDescent="0.2">
      <c r="A292" s="2" t="s">
        <v>591</v>
      </c>
      <c r="B292" s="16">
        <v>0</v>
      </c>
      <c r="C292" s="16">
        <v>0</v>
      </c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0</v>
      </c>
      <c r="AN292" s="16">
        <v>0</v>
      </c>
      <c r="AO292" s="16">
        <v>0</v>
      </c>
      <c r="AP292" s="16">
        <v>0</v>
      </c>
      <c r="AQ292" s="16">
        <v>0</v>
      </c>
      <c r="AR292" s="16">
        <v>0</v>
      </c>
      <c r="AS292" s="16">
        <v>0</v>
      </c>
      <c r="AT292" s="16">
        <v>0</v>
      </c>
      <c r="AU292" s="16">
        <v>0</v>
      </c>
      <c r="AV292" s="16">
        <v>0</v>
      </c>
      <c r="AW292" s="16">
        <v>0</v>
      </c>
      <c r="AX292" s="16">
        <v>0</v>
      </c>
      <c r="AY292" s="16">
        <v>0</v>
      </c>
      <c r="AZ292" s="16">
        <v>0</v>
      </c>
      <c r="BA292" s="16">
        <v>0</v>
      </c>
      <c r="BB292" s="16">
        <v>0</v>
      </c>
      <c r="BC292" s="16">
        <v>0</v>
      </c>
      <c r="BD292" s="16">
        <v>0</v>
      </c>
      <c r="BE292" s="16">
        <v>0</v>
      </c>
      <c r="BF292" s="16">
        <v>0</v>
      </c>
      <c r="BG292" s="16">
        <v>0</v>
      </c>
      <c r="BH292" s="16">
        <v>0</v>
      </c>
      <c r="BI292" s="16">
        <v>0</v>
      </c>
      <c r="BJ292" s="16">
        <v>0</v>
      </c>
      <c r="BK292" s="16">
        <v>0</v>
      </c>
      <c r="BL292" s="16">
        <v>0</v>
      </c>
      <c r="BM292" s="16">
        <v>0</v>
      </c>
      <c r="BN292" s="16">
        <v>0</v>
      </c>
      <c r="BO292" s="16">
        <v>0</v>
      </c>
      <c r="BP292" s="16">
        <v>0</v>
      </c>
      <c r="BQ292" s="16">
        <v>0</v>
      </c>
      <c r="BR292" s="16">
        <v>0</v>
      </c>
      <c r="BS292" s="16">
        <v>0</v>
      </c>
      <c r="BT292" s="16">
        <v>0</v>
      </c>
      <c r="BU292" s="16">
        <v>0</v>
      </c>
      <c r="BV292" s="16">
        <v>0</v>
      </c>
      <c r="BW292" s="16">
        <v>0</v>
      </c>
      <c r="BX292" s="16">
        <v>0</v>
      </c>
      <c r="BY292" s="16">
        <v>0</v>
      </c>
      <c r="BZ292" s="16">
        <v>0</v>
      </c>
      <c r="CA292" s="16">
        <v>0</v>
      </c>
      <c r="CB292" s="16">
        <v>0</v>
      </c>
      <c r="CC292" s="16">
        <v>0</v>
      </c>
      <c r="CD292" s="16">
        <v>0</v>
      </c>
      <c r="CE292" s="16">
        <v>0</v>
      </c>
      <c r="CF292" s="16">
        <v>0</v>
      </c>
      <c r="CG292" s="16">
        <v>0</v>
      </c>
      <c r="CH292" s="16">
        <v>0</v>
      </c>
      <c r="CI292" s="16">
        <v>0</v>
      </c>
      <c r="CJ292" s="16">
        <v>0</v>
      </c>
      <c r="CK292" s="16">
        <v>0</v>
      </c>
      <c r="CL292" s="16">
        <v>0</v>
      </c>
      <c r="CM292" s="16">
        <v>0</v>
      </c>
      <c r="CN292" s="16">
        <v>0</v>
      </c>
      <c r="CO292" s="16">
        <v>0</v>
      </c>
      <c r="CP292" s="16">
        <v>0</v>
      </c>
      <c r="CQ292" s="16">
        <v>0</v>
      </c>
      <c r="CR292" s="16">
        <v>0</v>
      </c>
      <c r="CS292" s="16">
        <v>0</v>
      </c>
      <c r="CT292" s="16">
        <v>0</v>
      </c>
      <c r="CU292" s="16">
        <v>0</v>
      </c>
      <c r="CV292" s="16">
        <v>0</v>
      </c>
      <c r="CW292" s="16">
        <v>0</v>
      </c>
      <c r="CX292" s="16">
        <v>0</v>
      </c>
      <c r="CY292" s="16">
        <v>0</v>
      </c>
      <c r="CZ292" s="16">
        <v>0</v>
      </c>
      <c r="DA292" s="16">
        <v>0</v>
      </c>
      <c r="DB292" s="16">
        <v>0</v>
      </c>
      <c r="DC292" s="16">
        <v>0</v>
      </c>
      <c r="DD292" s="16">
        <v>0</v>
      </c>
      <c r="DE292" s="16">
        <v>0</v>
      </c>
      <c r="DF292" s="16">
        <v>0</v>
      </c>
      <c r="DG292" s="16">
        <v>0</v>
      </c>
      <c r="DH292" s="16">
        <v>0</v>
      </c>
      <c r="DI292" s="16">
        <v>0</v>
      </c>
      <c r="DJ292" s="16">
        <v>0</v>
      </c>
      <c r="DK292" s="16">
        <v>0</v>
      </c>
      <c r="DL292" s="16">
        <v>0</v>
      </c>
      <c r="DM292" s="16">
        <v>0</v>
      </c>
      <c r="DN292" s="16">
        <v>0</v>
      </c>
      <c r="DO292" s="16">
        <v>0</v>
      </c>
      <c r="DP292" s="16">
        <v>0</v>
      </c>
      <c r="DQ292" s="16">
        <v>0</v>
      </c>
      <c r="DR292" s="16">
        <v>0</v>
      </c>
      <c r="DS292" s="16">
        <v>0</v>
      </c>
      <c r="DT292" s="16">
        <v>0</v>
      </c>
      <c r="DU292" s="16">
        <v>0</v>
      </c>
      <c r="DV292" s="16">
        <v>0</v>
      </c>
      <c r="DW292" s="16">
        <v>0</v>
      </c>
      <c r="DX292" s="16">
        <v>0</v>
      </c>
      <c r="DY292" s="16">
        <v>0</v>
      </c>
      <c r="DZ292" s="16">
        <v>0</v>
      </c>
      <c r="EA292" s="16">
        <v>0</v>
      </c>
      <c r="EB292" s="16">
        <v>0</v>
      </c>
      <c r="EC292" s="16">
        <v>0</v>
      </c>
      <c r="ED292" s="16">
        <v>0</v>
      </c>
      <c r="EE292" s="16">
        <v>0</v>
      </c>
      <c r="EF292" s="16">
        <v>0</v>
      </c>
      <c r="EG292" s="16">
        <v>0</v>
      </c>
      <c r="EH292" s="16">
        <v>0</v>
      </c>
      <c r="EI292" s="16">
        <v>0</v>
      </c>
      <c r="EJ292" s="16">
        <v>0</v>
      </c>
      <c r="EK292" s="16">
        <v>0</v>
      </c>
      <c r="EL292" s="16">
        <v>0</v>
      </c>
      <c r="EM292" s="16">
        <v>0</v>
      </c>
      <c r="EN292" s="16">
        <v>0</v>
      </c>
      <c r="EO292" s="16">
        <v>0</v>
      </c>
      <c r="EP292" s="16">
        <v>0</v>
      </c>
      <c r="EQ292" s="16">
        <v>0</v>
      </c>
      <c r="ER292" s="16">
        <v>0</v>
      </c>
      <c r="ES292" s="16">
        <v>0</v>
      </c>
      <c r="ET292" s="16">
        <v>0</v>
      </c>
      <c r="EU292" s="16">
        <v>0</v>
      </c>
      <c r="EV292" s="16">
        <v>0</v>
      </c>
      <c r="EW292" s="16">
        <v>0</v>
      </c>
      <c r="EX292" s="16">
        <v>0</v>
      </c>
      <c r="EY292" s="16">
        <v>0</v>
      </c>
      <c r="EZ292" s="16">
        <v>0</v>
      </c>
      <c r="FA292" s="16">
        <v>0</v>
      </c>
      <c r="FB292" s="16">
        <v>0</v>
      </c>
      <c r="FC292" s="16">
        <v>0</v>
      </c>
      <c r="FD292" s="16">
        <v>0</v>
      </c>
      <c r="FE292" s="16">
        <v>0</v>
      </c>
      <c r="FF292" s="16">
        <v>0</v>
      </c>
      <c r="FG292" s="16">
        <v>0</v>
      </c>
      <c r="FH292" s="16">
        <v>0</v>
      </c>
      <c r="FI292" s="16">
        <v>0</v>
      </c>
      <c r="FJ292" s="16">
        <v>0</v>
      </c>
      <c r="FK292" s="16">
        <v>0</v>
      </c>
      <c r="FL292" s="16">
        <v>0</v>
      </c>
      <c r="FM292" s="16">
        <v>0</v>
      </c>
      <c r="FN292" s="16">
        <v>0</v>
      </c>
      <c r="FO292" s="16">
        <v>0</v>
      </c>
      <c r="FP292" s="16">
        <v>0</v>
      </c>
      <c r="FQ292" s="16">
        <v>0</v>
      </c>
      <c r="FR292" s="16">
        <v>0</v>
      </c>
      <c r="FS292" s="16">
        <v>0</v>
      </c>
      <c r="FT292" s="16">
        <v>0</v>
      </c>
      <c r="FU292" s="16">
        <v>0</v>
      </c>
      <c r="FV292" s="16">
        <v>0</v>
      </c>
      <c r="FW292" s="16">
        <v>0</v>
      </c>
      <c r="FX292" s="16">
        <v>0</v>
      </c>
      <c r="FY292" s="16">
        <v>0</v>
      </c>
      <c r="FZ292" s="16">
        <v>0</v>
      </c>
      <c r="GA292" s="16">
        <v>0</v>
      </c>
      <c r="GB292" s="16">
        <v>0</v>
      </c>
      <c r="GC292" s="16">
        <v>0</v>
      </c>
      <c r="GD292" s="16">
        <v>0</v>
      </c>
      <c r="GE292" s="16">
        <v>0</v>
      </c>
      <c r="GF292" s="16">
        <v>0</v>
      </c>
      <c r="GG292" s="16">
        <v>0</v>
      </c>
      <c r="GH292" s="16">
        <v>0</v>
      </c>
      <c r="GI292" s="16">
        <v>0</v>
      </c>
      <c r="GJ292" s="16">
        <v>0</v>
      </c>
      <c r="GK292" s="16">
        <v>0</v>
      </c>
      <c r="GL292" s="16">
        <v>0</v>
      </c>
      <c r="GM292" s="16">
        <v>0</v>
      </c>
      <c r="GN292" s="16">
        <v>0</v>
      </c>
      <c r="GO292" s="16">
        <v>0</v>
      </c>
      <c r="GP292" s="16">
        <v>0</v>
      </c>
      <c r="GQ292" s="16">
        <v>0</v>
      </c>
      <c r="GR292" s="16">
        <v>0</v>
      </c>
      <c r="GS292" s="16">
        <v>0</v>
      </c>
      <c r="GT292" s="16">
        <v>0</v>
      </c>
      <c r="GU292" s="16">
        <v>0</v>
      </c>
      <c r="GV292" s="16">
        <v>0</v>
      </c>
      <c r="GW292" s="16">
        <v>0</v>
      </c>
      <c r="GX292" s="16">
        <v>0</v>
      </c>
      <c r="GY292" s="16">
        <v>0</v>
      </c>
      <c r="GZ292" s="16">
        <v>0</v>
      </c>
      <c r="HA292" s="16">
        <v>0</v>
      </c>
      <c r="HB292" s="16">
        <v>0</v>
      </c>
      <c r="HC292" s="16">
        <v>0</v>
      </c>
      <c r="HD292" s="16">
        <v>0</v>
      </c>
      <c r="HE292" s="16">
        <v>0</v>
      </c>
      <c r="HF292" s="16">
        <v>0</v>
      </c>
      <c r="HG292" s="16">
        <v>0</v>
      </c>
      <c r="HH292" s="16">
        <v>0</v>
      </c>
      <c r="HI292" s="16">
        <v>0</v>
      </c>
      <c r="HJ292" s="16">
        <v>0</v>
      </c>
      <c r="HK292" s="16">
        <v>0</v>
      </c>
      <c r="HL292" s="16">
        <v>0</v>
      </c>
      <c r="HM292" s="16">
        <v>0</v>
      </c>
      <c r="HN292" s="16">
        <v>0</v>
      </c>
      <c r="HO292" s="16">
        <v>0</v>
      </c>
      <c r="HP292" s="16">
        <v>0</v>
      </c>
      <c r="HQ292" s="16">
        <v>0</v>
      </c>
      <c r="HR292" s="16">
        <v>0</v>
      </c>
      <c r="HS292" s="16">
        <v>0</v>
      </c>
      <c r="HT292" s="16">
        <v>0</v>
      </c>
      <c r="HU292" s="16">
        <v>0</v>
      </c>
      <c r="HV292" s="16">
        <v>0</v>
      </c>
      <c r="HW292" s="16">
        <v>0</v>
      </c>
      <c r="HX292" s="16">
        <v>0</v>
      </c>
      <c r="HY292" s="16">
        <v>0</v>
      </c>
      <c r="HZ292" s="16">
        <v>0</v>
      </c>
      <c r="IA292" s="16">
        <v>0</v>
      </c>
      <c r="IB292" s="16">
        <v>0</v>
      </c>
      <c r="IC292" s="16">
        <v>0</v>
      </c>
      <c r="ID292" s="16">
        <v>0</v>
      </c>
      <c r="IE292" s="16">
        <v>0</v>
      </c>
      <c r="IF292" s="16">
        <v>0</v>
      </c>
      <c r="IG292" s="16">
        <v>0</v>
      </c>
      <c r="IH292" s="16">
        <v>0</v>
      </c>
      <c r="II292" s="16">
        <v>0</v>
      </c>
      <c r="IJ292" s="16">
        <v>0</v>
      </c>
      <c r="IK292" s="16">
        <v>0</v>
      </c>
      <c r="IL292" s="16">
        <v>0</v>
      </c>
      <c r="IM292" s="16">
        <v>0</v>
      </c>
      <c r="IN292" s="16">
        <v>0</v>
      </c>
      <c r="IO292" s="16">
        <v>0</v>
      </c>
      <c r="IP292" s="16">
        <v>0</v>
      </c>
      <c r="IQ292" s="16">
        <v>0</v>
      </c>
      <c r="IR292" s="16">
        <v>0</v>
      </c>
      <c r="IS292" s="16">
        <v>0</v>
      </c>
      <c r="IT292" s="16">
        <v>0</v>
      </c>
      <c r="IU292" s="16">
        <v>0</v>
      </c>
      <c r="IV292" s="16">
        <v>0</v>
      </c>
      <c r="IW292" s="16">
        <v>0</v>
      </c>
      <c r="IX292" s="16">
        <v>0</v>
      </c>
      <c r="IY292" s="16">
        <v>0</v>
      </c>
      <c r="IZ292" s="16">
        <v>0</v>
      </c>
      <c r="JA292" s="16">
        <v>0</v>
      </c>
      <c r="JB292" s="16">
        <v>0</v>
      </c>
      <c r="JC292" s="16">
        <v>0</v>
      </c>
      <c r="JD292" s="16">
        <v>0</v>
      </c>
      <c r="JE292" s="16">
        <v>0</v>
      </c>
      <c r="JF292" s="16">
        <v>0</v>
      </c>
      <c r="JG292" s="16">
        <v>0</v>
      </c>
      <c r="JH292" s="16">
        <v>0</v>
      </c>
      <c r="JI292" s="16">
        <v>0</v>
      </c>
      <c r="JJ292" s="16">
        <v>0</v>
      </c>
      <c r="JK292" s="16">
        <v>0</v>
      </c>
      <c r="JL292" s="16">
        <v>0</v>
      </c>
      <c r="JM292" s="16">
        <v>0</v>
      </c>
      <c r="JN292" s="16">
        <v>0</v>
      </c>
      <c r="JO292" s="16">
        <v>0</v>
      </c>
      <c r="JP292" s="16">
        <v>0</v>
      </c>
      <c r="JQ292" s="16">
        <v>0</v>
      </c>
      <c r="JR292" s="16">
        <v>0</v>
      </c>
      <c r="JS292" s="16">
        <v>0</v>
      </c>
      <c r="JT292" s="16">
        <v>0</v>
      </c>
      <c r="JU292" s="16">
        <v>0</v>
      </c>
      <c r="JV292" s="16">
        <v>0</v>
      </c>
      <c r="JW292" s="16">
        <v>0</v>
      </c>
      <c r="JX292" s="16">
        <v>0</v>
      </c>
      <c r="JY292" s="16">
        <v>0</v>
      </c>
      <c r="JZ292" s="16">
        <v>0</v>
      </c>
      <c r="KA292" s="16">
        <v>0</v>
      </c>
      <c r="KB292" s="16">
        <v>0</v>
      </c>
      <c r="KC292" s="16">
        <v>0</v>
      </c>
      <c r="KD292" s="16">
        <v>0</v>
      </c>
      <c r="KE292" s="16">
        <v>0</v>
      </c>
      <c r="KF292" s="16">
        <v>0</v>
      </c>
      <c r="KG292" s="16">
        <v>0</v>
      </c>
      <c r="KH292" s="16">
        <v>0</v>
      </c>
      <c r="KI292" s="16">
        <v>0</v>
      </c>
      <c r="KJ292" s="16">
        <v>0</v>
      </c>
      <c r="KK292" s="16">
        <v>0</v>
      </c>
      <c r="KL292" s="16">
        <v>0</v>
      </c>
      <c r="KM292" s="16">
        <v>0</v>
      </c>
      <c r="KN292" s="16">
        <v>0</v>
      </c>
      <c r="KO292" s="16">
        <v>0</v>
      </c>
      <c r="KP292" s="16">
        <v>0</v>
      </c>
      <c r="KQ292" s="16">
        <v>0</v>
      </c>
      <c r="KR292" s="16">
        <v>0</v>
      </c>
      <c r="KS292" s="16">
        <v>0</v>
      </c>
      <c r="KT292" s="16">
        <v>0</v>
      </c>
      <c r="KU292" s="16">
        <v>0</v>
      </c>
      <c r="KV292" s="16">
        <v>0</v>
      </c>
      <c r="KW292" s="16">
        <v>0</v>
      </c>
      <c r="KX292" s="16">
        <v>0</v>
      </c>
      <c r="KY292" s="16">
        <v>0</v>
      </c>
      <c r="KZ292" s="16">
        <v>0</v>
      </c>
      <c r="LA292" s="16">
        <v>0</v>
      </c>
      <c r="LB292" s="16">
        <v>0</v>
      </c>
      <c r="LC292" s="16">
        <v>0</v>
      </c>
      <c r="LD292" s="16">
        <v>0</v>
      </c>
      <c r="LE292" s="16">
        <v>0</v>
      </c>
      <c r="LF292" s="16">
        <v>0</v>
      </c>
      <c r="LG292" s="16">
        <v>0</v>
      </c>
      <c r="LH292" s="16">
        <v>0</v>
      </c>
      <c r="LI292" s="16">
        <v>0</v>
      </c>
      <c r="LJ292" s="16">
        <v>0</v>
      </c>
      <c r="LK292" s="16">
        <v>0</v>
      </c>
      <c r="LL292" s="16">
        <v>0</v>
      </c>
      <c r="LM292" s="16">
        <v>0</v>
      </c>
      <c r="LN292" s="16">
        <v>0</v>
      </c>
      <c r="LO292" s="16">
        <v>0</v>
      </c>
      <c r="LP292" s="16">
        <v>0</v>
      </c>
      <c r="LQ292" s="16">
        <v>0</v>
      </c>
      <c r="LR292" s="16">
        <v>0</v>
      </c>
      <c r="LS292" s="16">
        <v>0</v>
      </c>
      <c r="LT292" s="16">
        <v>0</v>
      </c>
      <c r="LU292" s="16">
        <v>0</v>
      </c>
      <c r="LV292" s="16">
        <v>0</v>
      </c>
      <c r="LW292" s="16">
        <v>0</v>
      </c>
      <c r="LX292" s="16">
        <v>0</v>
      </c>
      <c r="LY292" s="16">
        <v>0</v>
      </c>
      <c r="LZ292" s="16">
        <v>0</v>
      </c>
      <c r="MA292" s="16">
        <v>0</v>
      </c>
      <c r="MB292" s="16">
        <v>0</v>
      </c>
      <c r="MC292" s="16">
        <v>0</v>
      </c>
      <c r="MD292" s="16">
        <v>0</v>
      </c>
      <c r="ME292" s="16">
        <v>0</v>
      </c>
      <c r="MF292" s="16">
        <v>0</v>
      </c>
      <c r="MG292" s="16">
        <v>0</v>
      </c>
      <c r="MH292" s="16">
        <v>0</v>
      </c>
      <c r="MI292" s="16">
        <v>0</v>
      </c>
      <c r="MJ292" s="16">
        <v>0</v>
      </c>
      <c r="MK292" s="16">
        <v>0</v>
      </c>
      <c r="ML292" s="16">
        <v>0</v>
      </c>
      <c r="MM292" s="16">
        <v>0</v>
      </c>
      <c r="MN292" s="16">
        <v>0</v>
      </c>
      <c r="MO292" s="16">
        <v>0</v>
      </c>
      <c r="MP292" s="16">
        <v>0</v>
      </c>
      <c r="MQ292" s="16">
        <v>0</v>
      </c>
      <c r="MR292" s="16">
        <v>0</v>
      </c>
      <c r="MS292" s="16">
        <v>0</v>
      </c>
      <c r="MT292" s="16">
        <v>0</v>
      </c>
      <c r="MU292" s="16">
        <v>0</v>
      </c>
      <c r="MV292" s="16">
        <v>0</v>
      </c>
      <c r="MW292" s="16">
        <v>0</v>
      </c>
      <c r="MX292" s="16">
        <v>0</v>
      </c>
      <c r="MY292" s="16">
        <v>0</v>
      </c>
      <c r="MZ292" s="16">
        <v>0</v>
      </c>
      <c r="NA292" s="16">
        <v>0</v>
      </c>
      <c r="NB292" s="16">
        <v>0</v>
      </c>
      <c r="NC292" s="16">
        <v>0</v>
      </c>
      <c r="ND292" s="16">
        <v>0</v>
      </c>
      <c r="NE292" s="16">
        <v>0</v>
      </c>
      <c r="NF292" s="16">
        <v>0</v>
      </c>
      <c r="NG292" s="16">
        <v>0</v>
      </c>
      <c r="NH292" s="16">
        <v>0</v>
      </c>
      <c r="NI292" s="16">
        <v>0</v>
      </c>
      <c r="NJ292" s="16">
        <v>0</v>
      </c>
      <c r="NK292" s="16">
        <v>0</v>
      </c>
      <c r="NL292" s="16">
        <v>0</v>
      </c>
      <c r="NM292" s="16">
        <v>0</v>
      </c>
      <c r="NN292" s="16">
        <v>0</v>
      </c>
      <c r="NO292" s="16">
        <v>0</v>
      </c>
      <c r="NP292" s="16">
        <v>0</v>
      </c>
      <c r="NQ292" s="16">
        <v>0</v>
      </c>
      <c r="NR292" s="17">
        <v>0</v>
      </c>
    </row>
    <row r="293" spans="1:382" ht="13.5" customHeight="1" x14ac:dyDescent="0.2">
      <c r="A293" s="2" t="s">
        <v>593</v>
      </c>
      <c r="B293" s="16">
        <v>0</v>
      </c>
      <c r="C293" s="16">
        <v>0</v>
      </c>
      <c r="D293" s="16">
        <v>0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0</v>
      </c>
      <c r="AH293" s="16">
        <v>0</v>
      </c>
      <c r="AI293" s="16">
        <v>0</v>
      </c>
      <c r="AJ293" s="16">
        <v>0</v>
      </c>
      <c r="AK293" s="16">
        <v>0</v>
      </c>
      <c r="AL293" s="16">
        <v>0</v>
      </c>
      <c r="AM293" s="16">
        <v>0</v>
      </c>
      <c r="AN293" s="16">
        <v>0</v>
      </c>
      <c r="AO293" s="16">
        <v>0</v>
      </c>
      <c r="AP293" s="16">
        <v>0</v>
      </c>
      <c r="AQ293" s="16">
        <v>0</v>
      </c>
      <c r="AR293" s="16">
        <v>0</v>
      </c>
      <c r="AS293" s="16">
        <v>0</v>
      </c>
      <c r="AT293" s="16">
        <v>0</v>
      </c>
      <c r="AU293" s="16">
        <v>0</v>
      </c>
      <c r="AV293" s="16">
        <v>0</v>
      </c>
      <c r="AW293" s="16">
        <v>0</v>
      </c>
      <c r="AX293" s="16">
        <v>0</v>
      </c>
      <c r="AY293" s="16">
        <v>0</v>
      </c>
      <c r="AZ293" s="16">
        <v>0</v>
      </c>
      <c r="BA293" s="16">
        <v>0</v>
      </c>
      <c r="BB293" s="16">
        <v>0</v>
      </c>
      <c r="BC293" s="16">
        <v>0</v>
      </c>
      <c r="BD293" s="16">
        <v>0</v>
      </c>
      <c r="BE293" s="16">
        <v>0</v>
      </c>
      <c r="BF293" s="16">
        <v>0</v>
      </c>
      <c r="BG293" s="16">
        <v>0</v>
      </c>
      <c r="BH293" s="16">
        <v>0</v>
      </c>
      <c r="BI293" s="16">
        <v>0</v>
      </c>
      <c r="BJ293" s="16">
        <v>0</v>
      </c>
      <c r="BK293" s="16">
        <v>0</v>
      </c>
      <c r="BL293" s="16">
        <v>0</v>
      </c>
      <c r="BM293" s="16">
        <v>0</v>
      </c>
      <c r="BN293" s="16">
        <v>0</v>
      </c>
      <c r="BO293" s="16">
        <v>0</v>
      </c>
      <c r="BP293" s="16">
        <v>0</v>
      </c>
      <c r="BQ293" s="16">
        <v>0</v>
      </c>
      <c r="BR293" s="16">
        <v>0</v>
      </c>
      <c r="BS293" s="16">
        <v>0</v>
      </c>
      <c r="BT293" s="16">
        <v>0</v>
      </c>
      <c r="BU293" s="16">
        <v>0</v>
      </c>
      <c r="BV293" s="16">
        <v>0</v>
      </c>
      <c r="BW293" s="16">
        <v>0</v>
      </c>
      <c r="BX293" s="16">
        <v>0</v>
      </c>
      <c r="BY293" s="16">
        <v>0</v>
      </c>
      <c r="BZ293" s="16">
        <v>0</v>
      </c>
      <c r="CA293" s="16">
        <v>0</v>
      </c>
      <c r="CB293" s="16">
        <v>0</v>
      </c>
      <c r="CC293" s="16">
        <v>0</v>
      </c>
      <c r="CD293" s="16">
        <v>0</v>
      </c>
      <c r="CE293" s="16">
        <v>0</v>
      </c>
      <c r="CF293" s="16">
        <v>0</v>
      </c>
      <c r="CG293" s="16">
        <v>0</v>
      </c>
      <c r="CH293" s="16">
        <v>0</v>
      </c>
      <c r="CI293" s="16">
        <v>0</v>
      </c>
      <c r="CJ293" s="16">
        <v>0</v>
      </c>
      <c r="CK293" s="16">
        <v>0</v>
      </c>
      <c r="CL293" s="16">
        <v>0</v>
      </c>
      <c r="CM293" s="16">
        <v>0</v>
      </c>
      <c r="CN293" s="16">
        <v>0</v>
      </c>
      <c r="CO293" s="16">
        <v>0</v>
      </c>
      <c r="CP293" s="16">
        <v>0</v>
      </c>
      <c r="CQ293" s="16">
        <v>0</v>
      </c>
      <c r="CR293" s="16">
        <v>0</v>
      </c>
      <c r="CS293" s="16">
        <v>0</v>
      </c>
      <c r="CT293" s="16">
        <v>0</v>
      </c>
      <c r="CU293" s="16">
        <v>0</v>
      </c>
      <c r="CV293" s="16">
        <v>0</v>
      </c>
      <c r="CW293" s="16">
        <v>0</v>
      </c>
      <c r="CX293" s="16">
        <v>0</v>
      </c>
      <c r="CY293" s="16">
        <v>0</v>
      </c>
      <c r="CZ293" s="16">
        <v>0</v>
      </c>
      <c r="DA293" s="16">
        <v>0</v>
      </c>
      <c r="DB293" s="16">
        <v>0</v>
      </c>
      <c r="DC293" s="16">
        <v>0</v>
      </c>
      <c r="DD293" s="16">
        <v>0</v>
      </c>
      <c r="DE293" s="16">
        <v>0</v>
      </c>
      <c r="DF293" s="16">
        <v>0</v>
      </c>
      <c r="DG293" s="16">
        <v>0</v>
      </c>
      <c r="DH293" s="16">
        <v>0</v>
      </c>
      <c r="DI293" s="16">
        <v>0</v>
      </c>
      <c r="DJ293" s="16">
        <v>0</v>
      </c>
      <c r="DK293" s="16">
        <v>0</v>
      </c>
      <c r="DL293" s="16">
        <v>0</v>
      </c>
      <c r="DM293" s="16">
        <v>0</v>
      </c>
      <c r="DN293" s="16">
        <v>0</v>
      </c>
      <c r="DO293" s="16">
        <v>0</v>
      </c>
      <c r="DP293" s="16">
        <v>0</v>
      </c>
      <c r="DQ293" s="16">
        <v>0</v>
      </c>
      <c r="DR293" s="16">
        <v>0</v>
      </c>
      <c r="DS293" s="16">
        <v>0</v>
      </c>
      <c r="DT293" s="16">
        <v>0</v>
      </c>
      <c r="DU293" s="16">
        <v>0</v>
      </c>
      <c r="DV293" s="16">
        <v>0</v>
      </c>
      <c r="DW293" s="16">
        <v>0</v>
      </c>
      <c r="DX293" s="16">
        <v>0</v>
      </c>
      <c r="DY293" s="16">
        <v>0</v>
      </c>
      <c r="DZ293" s="16">
        <v>0</v>
      </c>
      <c r="EA293" s="16">
        <v>0</v>
      </c>
      <c r="EB293" s="16">
        <v>0</v>
      </c>
      <c r="EC293" s="16">
        <v>0</v>
      </c>
      <c r="ED293" s="16">
        <v>0</v>
      </c>
      <c r="EE293" s="16">
        <v>0</v>
      </c>
      <c r="EF293" s="16">
        <v>0</v>
      </c>
      <c r="EG293" s="16">
        <v>0</v>
      </c>
      <c r="EH293" s="16">
        <v>0</v>
      </c>
      <c r="EI293" s="16">
        <v>0</v>
      </c>
      <c r="EJ293" s="16">
        <v>0</v>
      </c>
      <c r="EK293" s="16">
        <v>0</v>
      </c>
      <c r="EL293" s="16">
        <v>0</v>
      </c>
      <c r="EM293" s="16">
        <v>0</v>
      </c>
      <c r="EN293" s="16">
        <v>0</v>
      </c>
      <c r="EO293" s="16">
        <v>0</v>
      </c>
      <c r="EP293" s="16">
        <v>0</v>
      </c>
      <c r="EQ293" s="16">
        <v>0</v>
      </c>
      <c r="ER293" s="16">
        <v>0</v>
      </c>
      <c r="ES293" s="16">
        <v>0</v>
      </c>
      <c r="ET293" s="16">
        <v>0</v>
      </c>
      <c r="EU293" s="16">
        <v>0</v>
      </c>
      <c r="EV293" s="16">
        <v>0</v>
      </c>
      <c r="EW293" s="16">
        <v>0</v>
      </c>
      <c r="EX293" s="16">
        <v>0</v>
      </c>
      <c r="EY293" s="16">
        <v>0</v>
      </c>
      <c r="EZ293" s="16">
        <v>0</v>
      </c>
      <c r="FA293" s="16">
        <v>0</v>
      </c>
      <c r="FB293" s="16">
        <v>0</v>
      </c>
      <c r="FC293" s="16">
        <v>0</v>
      </c>
      <c r="FD293" s="16">
        <v>0</v>
      </c>
      <c r="FE293" s="16">
        <v>0</v>
      </c>
      <c r="FF293" s="16">
        <v>0</v>
      </c>
      <c r="FG293" s="16">
        <v>0</v>
      </c>
      <c r="FH293" s="16">
        <v>0</v>
      </c>
      <c r="FI293" s="16">
        <v>0</v>
      </c>
      <c r="FJ293" s="16">
        <v>0</v>
      </c>
      <c r="FK293" s="16">
        <v>0</v>
      </c>
      <c r="FL293" s="16">
        <v>0</v>
      </c>
      <c r="FM293" s="16">
        <v>0</v>
      </c>
      <c r="FN293" s="16">
        <v>0</v>
      </c>
      <c r="FO293" s="16">
        <v>0</v>
      </c>
      <c r="FP293" s="16">
        <v>0</v>
      </c>
      <c r="FQ293" s="16">
        <v>0</v>
      </c>
      <c r="FR293" s="16">
        <v>0</v>
      </c>
      <c r="FS293" s="16">
        <v>0</v>
      </c>
      <c r="FT293" s="16">
        <v>0</v>
      </c>
      <c r="FU293" s="16">
        <v>0</v>
      </c>
      <c r="FV293" s="16">
        <v>0</v>
      </c>
      <c r="FW293" s="16">
        <v>0</v>
      </c>
      <c r="FX293" s="16">
        <v>0</v>
      </c>
      <c r="FY293" s="16">
        <v>0</v>
      </c>
      <c r="FZ293" s="16">
        <v>0</v>
      </c>
      <c r="GA293" s="16">
        <v>0</v>
      </c>
      <c r="GB293" s="16">
        <v>0</v>
      </c>
      <c r="GC293" s="16">
        <v>0</v>
      </c>
      <c r="GD293" s="16">
        <v>0</v>
      </c>
      <c r="GE293" s="16">
        <v>0</v>
      </c>
      <c r="GF293" s="16">
        <v>0</v>
      </c>
      <c r="GG293" s="16">
        <v>0</v>
      </c>
      <c r="GH293" s="16">
        <v>0</v>
      </c>
      <c r="GI293" s="16">
        <v>0</v>
      </c>
      <c r="GJ293" s="16">
        <v>0</v>
      </c>
      <c r="GK293" s="16">
        <v>0</v>
      </c>
      <c r="GL293" s="16">
        <v>0</v>
      </c>
      <c r="GM293" s="16">
        <v>0</v>
      </c>
      <c r="GN293" s="16">
        <v>0</v>
      </c>
      <c r="GO293" s="16">
        <v>0</v>
      </c>
      <c r="GP293" s="16">
        <v>0</v>
      </c>
      <c r="GQ293" s="16">
        <v>0</v>
      </c>
      <c r="GR293" s="16">
        <v>0</v>
      </c>
      <c r="GS293" s="16">
        <v>0</v>
      </c>
      <c r="GT293" s="16">
        <v>0</v>
      </c>
      <c r="GU293" s="16">
        <v>0</v>
      </c>
      <c r="GV293" s="16">
        <v>0</v>
      </c>
      <c r="GW293" s="16">
        <v>0</v>
      </c>
      <c r="GX293" s="16">
        <v>0</v>
      </c>
      <c r="GY293" s="16">
        <v>0</v>
      </c>
      <c r="GZ293" s="16">
        <v>0</v>
      </c>
      <c r="HA293" s="16">
        <v>0</v>
      </c>
      <c r="HB293" s="16">
        <v>0</v>
      </c>
      <c r="HC293" s="16">
        <v>0</v>
      </c>
      <c r="HD293" s="16">
        <v>0</v>
      </c>
      <c r="HE293" s="16">
        <v>0</v>
      </c>
      <c r="HF293" s="16">
        <v>0</v>
      </c>
      <c r="HG293" s="16">
        <v>0</v>
      </c>
      <c r="HH293" s="16">
        <v>0</v>
      </c>
      <c r="HI293" s="16">
        <v>0</v>
      </c>
      <c r="HJ293" s="16">
        <v>0</v>
      </c>
      <c r="HK293" s="16">
        <v>0</v>
      </c>
      <c r="HL293" s="16">
        <v>0</v>
      </c>
      <c r="HM293" s="16">
        <v>0</v>
      </c>
      <c r="HN293" s="16">
        <v>0</v>
      </c>
      <c r="HO293" s="16">
        <v>0</v>
      </c>
      <c r="HP293" s="16">
        <v>0</v>
      </c>
      <c r="HQ293" s="16">
        <v>0</v>
      </c>
      <c r="HR293" s="16">
        <v>0</v>
      </c>
      <c r="HS293" s="16">
        <v>0</v>
      </c>
      <c r="HT293" s="16">
        <v>0</v>
      </c>
      <c r="HU293" s="16">
        <v>0</v>
      </c>
      <c r="HV293" s="16">
        <v>0</v>
      </c>
      <c r="HW293" s="16">
        <v>0</v>
      </c>
      <c r="HX293" s="16">
        <v>0</v>
      </c>
      <c r="HY293" s="16">
        <v>0</v>
      </c>
      <c r="HZ293" s="16">
        <v>0</v>
      </c>
      <c r="IA293" s="16">
        <v>0</v>
      </c>
      <c r="IB293" s="16">
        <v>0</v>
      </c>
      <c r="IC293" s="16">
        <v>0</v>
      </c>
      <c r="ID293" s="16">
        <v>0</v>
      </c>
      <c r="IE293" s="16">
        <v>0</v>
      </c>
      <c r="IF293" s="16">
        <v>0</v>
      </c>
      <c r="IG293" s="16">
        <v>0</v>
      </c>
      <c r="IH293" s="16">
        <v>0</v>
      </c>
      <c r="II293" s="16">
        <v>0</v>
      </c>
      <c r="IJ293" s="16">
        <v>0</v>
      </c>
      <c r="IK293" s="16">
        <v>0</v>
      </c>
      <c r="IL293" s="16">
        <v>0</v>
      </c>
      <c r="IM293" s="16">
        <v>0</v>
      </c>
      <c r="IN293" s="16">
        <v>0</v>
      </c>
      <c r="IO293" s="16">
        <v>0</v>
      </c>
      <c r="IP293" s="16">
        <v>0</v>
      </c>
      <c r="IQ293" s="16">
        <v>0</v>
      </c>
      <c r="IR293" s="16">
        <v>0</v>
      </c>
      <c r="IS293" s="16">
        <v>0</v>
      </c>
      <c r="IT293" s="16">
        <v>0</v>
      </c>
      <c r="IU293" s="16">
        <v>0</v>
      </c>
      <c r="IV293" s="16">
        <v>0</v>
      </c>
      <c r="IW293" s="16">
        <v>0</v>
      </c>
      <c r="IX293" s="16">
        <v>0</v>
      </c>
      <c r="IY293" s="16">
        <v>0</v>
      </c>
      <c r="IZ293" s="16">
        <v>0</v>
      </c>
      <c r="JA293" s="16">
        <v>0</v>
      </c>
      <c r="JB293" s="16">
        <v>0</v>
      </c>
      <c r="JC293" s="16">
        <v>0</v>
      </c>
      <c r="JD293" s="16">
        <v>0</v>
      </c>
      <c r="JE293" s="16">
        <v>0</v>
      </c>
      <c r="JF293" s="16">
        <v>0</v>
      </c>
      <c r="JG293" s="16">
        <v>0</v>
      </c>
      <c r="JH293" s="16">
        <v>0</v>
      </c>
      <c r="JI293" s="16">
        <v>0</v>
      </c>
      <c r="JJ293" s="16">
        <v>0</v>
      </c>
      <c r="JK293" s="16">
        <v>0</v>
      </c>
      <c r="JL293" s="16">
        <v>0</v>
      </c>
      <c r="JM293" s="16">
        <v>0</v>
      </c>
      <c r="JN293" s="16">
        <v>0</v>
      </c>
      <c r="JO293" s="16">
        <v>0</v>
      </c>
      <c r="JP293" s="16">
        <v>0</v>
      </c>
      <c r="JQ293" s="16">
        <v>0</v>
      </c>
      <c r="JR293" s="16">
        <v>0</v>
      </c>
      <c r="JS293" s="16">
        <v>0</v>
      </c>
      <c r="JT293" s="16">
        <v>0</v>
      </c>
      <c r="JU293" s="16">
        <v>0</v>
      </c>
      <c r="JV293" s="16">
        <v>0</v>
      </c>
      <c r="JW293" s="16">
        <v>0</v>
      </c>
      <c r="JX293" s="16">
        <v>0</v>
      </c>
      <c r="JY293" s="16">
        <v>0</v>
      </c>
      <c r="JZ293" s="16">
        <v>0</v>
      </c>
      <c r="KA293" s="16">
        <v>0</v>
      </c>
      <c r="KB293" s="16">
        <v>0</v>
      </c>
      <c r="KC293" s="16">
        <v>0</v>
      </c>
      <c r="KD293" s="16">
        <v>0</v>
      </c>
      <c r="KE293" s="16">
        <v>0</v>
      </c>
      <c r="KF293" s="16">
        <v>0</v>
      </c>
      <c r="KG293" s="16">
        <v>0</v>
      </c>
      <c r="KH293" s="16">
        <v>0</v>
      </c>
      <c r="KI293" s="16">
        <v>0</v>
      </c>
      <c r="KJ293" s="16">
        <v>0</v>
      </c>
      <c r="KK293" s="16">
        <v>0</v>
      </c>
      <c r="KL293" s="16">
        <v>0</v>
      </c>
      <c r="KM293" s="16">
        <v>0</v>
      </c>
      <c r="KN293" s="16">
        <v>0</v>
      </c>
      <c r="KO293" s="16">
        <v>0</v>
      </c>
      <c r="KP293" s="16">
        <v>0</v>
      </c>
      <c r="KQ293" s="16">
        <v>0</v>
      </c>
      <c r="KR293" s="16">
        <v>0</v>
      </c>
      <c r="KS293" s="16">
        <v>0</v>
      </c>
      <c r="KT293" s="16">
        <v>0</v>
      </c>
      <c r="KU293" s="16">
        <v>0</v>
      </c>
      <c r="KV293" s="16">
        <v>0</v>
      </c>
      <c r="KW293" s="16">
        <v>0</v>
      </c>
      <c r="KX293" s="16">
        <v>0</v>
      </c>
      <c r="KY293" s="16">
        <v>0</v>
      </c>
      <c r="KZ293" s="16">
        <v>0</v>
      </c>
      <c r="LA293" s="16">
        <v>0</v>
      </c>
      <c r="LB293" s="16">
        <v>0</v>
      </c>
      <c r="LC293" s="16">
        <v>0</v>
      </c>
      <c r="LD293" s="16">
        <v>0</v>
      </c>
      <c r="LE293" s="16">
        <v>0</v>
      </c>
      <c r="LF293" s="16">
        <v>0</v>
      </c>
      <c r="LG293" s="16">
        <v>0</v>
      </c>
      <c r="LH293" s="16">
        <v>0</v>
      </c>
      <c r="LI293" s="16">
        <v>0</v>
      </c>
      <c r="LJ293" s="16">
        <v>0</v>
      </c>
      <c r="LK293" s="16">
        <v>0</v>
      </c>
      <c r="LL293" s="16">
        <v>0</v>
      </c>
      <c r="LM293" s="16">
        <v>0</v>
      </c>
      <c r="LN293" s="16">
        <v>0</v>
      </c>
      <c r="LO293" s="16">
        <v>0</v>
      </c>
      <c r="LP293" s="16">
        <v>0</v>
      </c>
      <c r="LQ293" s="16">
        <v>0</v>
      </c>
      <c r="LR293" s="16">
        <v>0</v>
      </c>
      <c r="LS293" s="16">
        <v>0</v>
      </c>
      <c r="LT293" s="16">
        <v>0</v>
      </c>
      <c r="LU293" s="16">
        <v>0</v>
      </c>
      <c r="LV293" s="16">
        <v>0</v>
      </c>
      <c r="LW293" s="16">
        <v>0</v>
      </c>
      <c r="LX293" s="16">
        <v>0</v>
      </c>
      <c r="LY293" s="16">
        <v>0</v>
      </c>
      <c r="LZ293" s="16">
        <v>0</v>
      </c>
      <c r="MA293" s="16">
        <v>0</v>
      </c>
      <c r="MB293" s="16">
        <v>0</v>
      </c>
      <c r="MC293" s="16">
        <v>0</v>
      </c>
      <c r="MD293" s="16">
        <v>0</v>
      </c>
      <c r="ME293" s="16">
        <v>0</v>
      </c>
      <c r="MF293" s="16">
        <v>0</v>
      </c>
      <c r="MG293" s="16">
        <v>0</v>
      </c>
      <c r="MH293" s="16">
        <v>0</v>
      </c>
      <c r="MI293" s="16">
        <v>0</v>
      </c>
      <c r="MJ293" s="16">
        <v>0</v>
      </c>
      <c r="MK293" s="16">
        <v>0</v>
      </c>
      <c r="ML293" s="16">
        <v>0</v>
      </c>
      <c r="MM293" s="16">
        <v>0</v>
      </c>
      <c r="MN293" s="16">
        <v>0</v>
      </c>
      <c r="MO293" s="16">
        <v>0</v>
      </c>
      <c r="MP293" s="16">
        <v>0</v>
      </c>
      <c r="MQ293" s="16">
        <v>0</v>
      </c>
      <c r="MR293" s="16">
        <v>0</v>
      </c>
      <c r="MS293" s="16">
        <v>0</v>
      </c>
      <c r="MT293" s="16">
        <v>0</v>
      </c>
      <c r="MU293" s="16">
        <v>0</v>
      </c>
      <c r="MV293" s="16">
        <v>0</v>
      </c>
      <c r="MW293" s="16">
        <v>0</v>
      </c>
      <c r="MX293" s="16">
        <v>0</v>
      </c>
      <c r="MY293" s="16">
        <v>0</v>
      </c>
      <c r="MZ293" s="16">
        <v>0</v>
      </c>
      <c r="NA293" s="16">
        <v>0</v>
      </c>
      <c r="NB293" s="16">
        <v>0</v>
      </c>
      <c r="NC293" s="16">
        <v>0</v>
      </c>
      <c r="ND293" s="16">
        <v>0</v>
      </c>
      <c r="NE293" s="16">
        <v>0</v>
      </c>
      <c r="NF293" s="16">
        <v>0</v>
      </c>
      <c r="NG293" s="16">
        <v>0</v>
      </c>
      <c r="NH293" s="16">
        <v>0</v>
      </c>
      <c r="NI293" s="16">
        <v>0</v>
      </c>
      <c r="NJ293" s="16">
        <v>0</v>
      </c>
      <c r="NK293" s="16">
        <v>0</v>
      </c>
      <c r="NL293" s="16">
        <v>0</v>
      </c>
      <c r="NM293" s="16">
        <v>0</v>
      </c>
      <c r="NN293" s="16">
        <v>0</v>
      </c>
      <c r="NO293" s="16">
        <v>0</v>
      </c>
      <c r="NP293" s="16">
        <v>0</v>
      </c>
      <c r="NQ293" s="16">
        <v>0</v>
      </c>
      <c r="NR293" s="17">
        <v>0</v>
      </c>
    </row>
    <row r="294" spans="1:382" ht="13.5" customHeight="1" x14ac:dyDescent="0.2">
      <c r="A294" s="2" t="s">
        <v>595</v>
      </c>
      <c r="B294" s="16">
        <v>0</v>
      </c>
      <c r="C294" s="16">
        <v>0</v>
      </c>
      <c r="D294" s="16">
        <v>0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  <c r="AG294" s="16">
        <v>0</v>
      </c>
      <c r="AH294" s="16">
        <v>0</v>
      </c>
      <c r="AI294" s="16">
        <v>0</v>
      </c>
      <c r="AJ294" s="16">
        <v>0</v>
      </c>
      <c r="AK294" s="16">
        <v>0</v>
      </c>
      <c r="AL294" s="16">
        <v>0</v>
      </c>
      <c r="AM294" s="16">
        <v>0</v>
      </c>
      <c r="AN294" s="16">
        <v>0</v>
      </c>
      <c r="AO294" s="16">
        <v>0</v>
      </c>
      <c r="AP294" s="16">
        <v>0</v>
      </c>
      <c r="AQ294" s="16">
        <v>0</v>
      </c>
      <c r="AR294" s="16">
        <v>0</v>
      </c>
      <c r="AS294" s="16">
        <v>0</v>
      </c>
      <c r="AT294" s="16">
        <v>0</v>
      </c>
      <c r="AU294" s="16">
        <v>0</v>
      </c>
      <c r="AV294" s="16">
        <v>0</v>
      </c>
      <c r="AW294" s="16">
        <v>0</v>
      </c>
      <c r="AX294" s="16">
        <v>0</v>
      </c>
      <c r="AY294" s="16">
        <v>0</v>
      </c>
      <c r="AZ294" s="16">
        <v>0</v>
      </c>
      <c r="BA294" s="16">
        <v>0</v>
      </c>
      <c r="BB294" s="16">
        <v>0</v>
      </c>
      <c r="BC294" s="16">
        <v>0</v>
      </c>
      <c r="BD294" s="16">
        <v>0</v>
      </c>
      <c r="BE294" s="16">
        <v>0</v>
      </c>
      <c r="BF294" s="16">
        <v>0</v>
      </c>
      <c r="BG294" s="16">
        <v>0</v>
      </c>
      <c r="BH294" s="16">
        <v>0</v>
      </c>
      <c r="BI294" s="16">
        <v>0</v>
      </c>
      <c r="BJ294" s="16">
        <v>0</v>
      </c>
      <c r="BK294" s="16">
        <v>0</v>
      </c>
      <c r="BL294" s="16">
        <v>0</v>
      </c>
      <c r="BM294" s="16">
        <v>0</v>
      </c>
      <c r="BN294" s="16">
        <v>0</v>
      </c>
      <c r="BO294" s="16">
        <v>0</v>
      </c>
      <c r="BP294" s="16">
        <v>0</v>
      </c>
      <c r="BQ294" s="16">
        <v>0</v>
      </c>
      <c r="BR294" s="16">
        <v>0</v>
      </c>
      <c r="BS294" s="16">
        <v>0</v>
      </c>
      <c r="BT294" s="16">
        <v>0</v>
      </c>
      <c r="BU294" s="16">
        <v>0</v>
      </c>
      <c r="BV294" s="16">
        <v>0</v>
      </c>
      <c r="BW294" s="16">
        <v>0</v>
      </c>
      <c r="BX294" s="16">
        <v>0</v>
      </c>
      <c r="BY294" s="16">
        <v>0</v>
      </c>
      <c r="BZ294" s="16">
        <v>0</v>
      </c>
      <c r="CA294" s="16">
        <v>0</v>
      </c>
      <c r="CB294" s="16">
        <v>0</v>
      </c>
      <c r="CC294" s="16">
        <v>0</v>
      </c>
      <c r="CD294" s="16">
        <v>0</v>
      </c>
      <c r="CE294" s="16">
        <v>0</v>
      </c>
      <c r="CF294" s="16">
        <v>0</v>
      </c>
      <c r="CG294" s="16">
        <v>0</v>
      </c>
      <c r="CH294" s="16">
        <v>0</v>
      </c>
      <c r="CI294" s="16">
        <v>0</v>
      </c>
      <c r="CJ294" s="16">
        <v>0</v>
      </c>
      <c r="CK294" s="16">
        <v>0</v>
      </c>
      <c r="CL294" s="16">
        <v>0</v>
      </c>
      <c r="CM294" s="16">
        <v>0</v>
      </c>
      <c r="CN294" s="16">
        <v>0</v>
      </c>
      <c r="CO294" s="16">
        <v>0</v>
      </c>
      <c r="CP294" s="16">
        <v>0</v>
      </c>
      <c r="CQ294" s="16">
        <v>0</v>
      </c>
      <c r="CR294" s="16">
        <v>0</v>
      </c>
      <c r="CS294" s="16">
        <v>0</v>
      </c>
      <c r="CT294" s="16">
        <v>0</v>
      </c>
      <c r="CU294" s="16">
        <v>0</v>
      </c>
      <c r="CV294" s="16">
        <v>0</v>
      </c>
      <c r="CW294" s="16">
        <v>0</v>
      </c>
      <c r="CX294" s="16">
        <v>0</v>
      </c>
      <c r="CY294" s="16">
        <v>0</v>
      </c>
      <c r="CZ294" s="16">
        <v>0</v>
      </c>
      <c r="DA294" s="16">
        <v>0</v>
      </c>
      <c r="DB294" s="16">
        <v>0</v>
      </c>
      <c r="DC294" s="16">
        <v>0</v>
      </c>
      <c r="DD294" s="16">
        <v>0</v>
      </c>
      <c r="DE294" s="16">
        <v>0</v>
      </c>
      <c r="DF294" s="16">
        <v>0</v>
      </c>
      <c r="DG294" s="16">
        <v>0</v>
      </c>
      <c r="DH294" s="16">
        <v>0</v>
      </c>
      <c r="DI294" s="16">
        <v>0</v>
      </c>
      <c r="DJ294" s="16">
        <v>0</v>
      </c>
      <c r="DK294" s="16">
        <v>0</v>
      </c>
      <c r="DL294" s="16">
        <v>0</v>
      </c>
      <c r="DM294" s="16">
        <v>0</v>
      </c>
      <c r="DN294" s="16">
        <v>0</v>
      </c>
      <c r="DO294" s="16">
        <v>0</v>
      </c>
      <c r="DP294" s="16">
        <v>0</v>
      </c>
      <c r="DQ294" s="16">
        <v>0</v>
      </c>
      <c r="DR294" s="16">
        <v>0</v>
      </c>
      <c r="DS294" s="16">
        <v>0</v>
      </c>
      <c r="DT294" s="16">
        <v>0</v>
      </c>
      <c r="DU294" s="16">
        <v>0</v>
      </c>
      <c r="DV294" s="16">
        <v>0</v>
      </c>
      <c r="DW294" s="16">
        <v>0</v>
      </c>
      <c r="DX294" s="16">
        <v>0</v>
      </c>
      <c r="DY294" s="16">
        <v>0</v>
      </c>
      <c r="DZ294" s="16">
        <v>0</v>
      </c>
      <c r="EA294" s="16">
        <v>0</v>
      </c>
      <c r="EB294" s="16">
        <v>0</v>
      </c>
      <c r="EC294" s="16">
        <v>0</v>
      </c>
      <c r="ED294" s="16">
        <v>0</v>
      </c>
      <c r="EE294" s="16">
        <v>0</v>
      </c>
      <c r="EF294" s="16">
        <v>0</v>
      </c>
      <c r="EG294" s="16">
        <v>0</v>
      </c>
      <c r="EH294" s="16">
        <v>0</v>
      </c>
      <c r="EI294" s="16">
        <v>0</v>
      </c>
      <c r="EJ294" s="16">
        <v>0</v>
      </c>
      <c r="EK294" s="16">
        <v>0</v>
      </c>
      <c r="EL294" s="16">
        <v>0</v>
      </c>
      <c r="EM294" s="16">
        <v>0</v>
      </c>
      <c r="EN294" s="16">
        <v>0</v>
      </c>
      <c r="EO294" s="16">
        <v>0</v>
      </c>
      <c r="EP294" s="16">
        <v>0</v>
      </c>
      <c r="EQ294" s="16">
        <v>0</v>
      </c>
      <c r="ER294" s="16">
        <v>0</v>
      </c>
      <c r="ES294" s="16">
        <v>0</v>
      </c>
      <c r="ET294" s="16">
        <v>0</v>
      </c>
      <c r="EU294" s="16">
        <v>0</v>
      </c>
      <c r="EV294" s="16">
        <v>0</v>
      </c>
      <c r="EW294" s="16">
        <v>0</v>
      </c>
      <c r="EX294" s="16">
        <v>0</v>
      </c>
      <c r="EY294" s="16">
        <v>0</v>
      </c>
      <c r="EZ294" s="16">
        <v>0</v>
      </c>
      <c r="FA294" s="16">
        <v>0</v>
      </c>
      <c r="FB294" s="16">
        <v>0</v>
      </c>
      <c r="FC294" s="16">
        <v>0</v>
      </c>
      <c r="FD294" s="16">
        <v>0</v>
      </c>
      <c r="FE294" s="16">
        <v>0</v>
      </c>
      <c r="FF294" s="16">
        <v>0</v>
      </c>
      <c r="FG294" s="16">
        <v>0</v>
      </c>
      <c r="FH294" s="16">
        <v>0</v>
      </c>
      <c r="FI294" s="16">
        <v>0</v>
      </c>
      <c r="FJ294" s="16">
        <v>0</v>
      </c>
      <c r="FK294" s="16">
        <v>0</v>
      </c>
      <c r="FL294" s="16">
        <v>0</v>
      </c>
      <c r="FM294" s="16">
        <v>0</v>
      </c>
      <c r="FN294" s="16">
        <v>0</v>
      </c>
      <c r="FO294" s="16">
        <v>0</v>
      </c>
      <c r="FP294" s="16">
        <v>0</v>
      </c>
      <c r="FQ294" s="16">
        <v>0</v>
      </c>
      <c r="FR294" s="16">
        <v>0</v>
      </c>
      <c r="FS294" s="16">
        <v>0</v>
      </c>
      <c r="FT294" s="16">
        <v>0</v>
      </c>
      <c r="FU294" s="16">
        <v>0</v>
      </c>
      <c r="FV294" s="16">
        <v>0</v>
      </c>
      <c r="FW294" s="16">
        <v>0</v>
      </c>
      <c r="FX294" s="16">
        <v>0</v>
      </c>
      <c r="FY294" s="16">
        <v>0</v>
      </c>
      <c r="FZ294" s="16">
        <v>0</v>
      </c>
      <c r="GA294" s="16">
        <v>0</v>
      </c>
      <c r="GB294" s="16">
        <v>0</v>
      </c>
      <c r="GC294" s="16">
        <v>0</v>
      </c>
      <c r="GD294" s="16">
        <v>0</v>
      </c>
      <c r="GE294" s="16">
        <v>0</v>
      </c>
      <c r="GF294" s="16">
        <v>0</v>
      </c>
      <c r="GG294" s="16">
        <v>0</v>
      </c>
      <c r="GH294" s="16">
        <v>0</v>
      </c>
      <c r="GI294" s="16">
        <v>0</v>
      </c>
      <c r="GJ294" s="16">
        <v>0</v>
      </c>
      <c r="GK294" s="16">
        <v>0</v>
      </c>
      <c r="GL294" s="16">
        <v>0</v>
      </c>
      <c r="GM294" s="16">
        <v>0</v>
      </c>
      <c r="GN294" s="16">
        <v>0</v>
      </c>
      <c r="GO294" s="16">
        <v>0</v>
      </c>
      <c r="GP294" s="16">
        <v>0</v>
      </c>
      <c r="GQ294" s="16">
        <v>0</v>
      </c>
      <c r="GR294" s="16">
        <v>0</v>
      </c>
      <c r="GS294" s="16">
        <v>0</v>
      </c>
      <c r="GT294" s="16">
        <v>0</v>
      </c>
      <c r="GU294" s="16">
        <v>0</v>
      </c>
      <c r="GV294" s="16">
        <v>0</v>
      </c>
      <c r="GW294" s="16">
        <v>0</v>
      </c>
      <c r="GX294" s="16">
        <v>0</v>
      </c>
      <c r="GY294" s="16">
        <v>0</v>
      </c>
      <c r="GZ294" s="16">
        <v>0</v>
      </c>
      <c r="HA294" s="16">
        <v>0</v>
      </c>
      <c r="HB294" s="16">
        <v>0</v>
      </c>
      <c r="HC294" s="16">
        <v>0</v>
      </c>
      <c r="HD294" s="16">
        <v>0</v>
      </c>
      <c r="HE294" s="16">
        <v>0</v>
      </c>
      <c r="HF294" s="16">
        <v>0</v>
      </c>
      <c r="HG294" s="16">
        <v>0</v>
      </c>
      <c r="HH294" s="16">
        <v>0</v>
      </c>
      <c r="HI294" s="16">
        <v>0</v>
      </c>
      <c r="HJ294" s="16">
        <v>0</v>
      </c>
      <c r="HK294" s="16">
        <v>0</v>
      </c>
      <c r="HL294" s="16">
        <v>0</v>
      </c>
      <c r="HM294" s="16">
        <v>0</v>
      </c>
      <c r="HN294" s="16">
        <v>0</v>
      </c>
      <c r="HO294" s="16">
        <v>0</v>
      </c>
      <c r="HP294" s="16">
        <v>0</v>
      </c>
      <c r="HQ294" s="16">
        <v>0</v>
      </c>
      <c r="HR294" s="16">
        <v>0</v>
      </c>
      <c r="HS294" s="16">
        <v>0</v>
      </c>
      <c r="HT294" s="16">
        <v>0</v>
      </c>
      <c r="HU294" s="16">
        <v>0</v>
      </c>
      <c r="HV294" s="16">
        <v>0</v>
      </c>
      <c r="HW294" s="16">
        <v>0</v>
      </c>
      <c r="HX294" s="16">
        <v>0</v>
      </c>
      <c r="HY294" s="16">
        <v>0</v>
      </c>
      <c r="HZ294" s="16">
        <v>0</v>
      </c>
      <c r="IA294" s="16">
        <v>0</v>
      </c>
      <c r="IB294" s="16">
        <v>0</v>
      </c>
      <c r="IC294" s="16">
        <v>0</v>
      </c>
      <c r="ID294" s="16">
        <v>0</v>
      </c>
      <c r="IE294" s="16">
        <v>0</v>
      </c>
      <c r="IF294" s="16">
        <v>0</v>
      </c>
      <c r="IG294" s="16">
        <v>0</v>
      </c>
      <c r="IH294" s="16">
        <v>0</v>
      </c>
      <c r="II294" s="16">
        <v>0</v>
      </c>
      <c r="IJ294" s="16">
        <v>0</v>
      </c>
      <c r="IK294" s="16">
        <v>0</v>
      </c>
      <c r="IL294" s="16">
        <v>0</v>
      </c>
      <c r="IM294" s="16">
        <v>0</v>
      </c>
      <c r="IN294" s="16">
        <v>0</v>
      </c>
      <c r="IO294" s="16">
        <v>0</v>
      </c>
      <c r="IP294" s="16">
        <v>0</v>
      </c>
      <c r="IQ294" s="16">
        <v>0</v>
      </c>
      <c r="IR294" s="16">
        <v>0</v>
      </c>
      <c r="IS294" s="16">
        <v>0</v>
      </c>
      <c r="IT294" s="16">
        <v>0</v>
      </c>
      <c r="IU294" s="16">
        <v>0</v>
      </c>
      <c r="IV294" s="16">
        <v>0</v>
      </c>
      <c r="IW294" s="16">
        <v>0</v>
      </c>
      <c r="IX294" s="16">
        <v>0</v>
      </c>
      <c r="IY294" s="16">
        <v>0</v>
      </c>
      <c r="IZ294" s="16">
        <v>0</v>
      </c>
      <c r="JA294" s="16">
        <v>0</v>
      </c>
      <c r="JB294" s="16">
        <v>0</v>
      </c>
      <c r="JC294" s="16">
        <v>0</v>
      </c>
      <c r="JD294" s="16">
        <v>0</v>
      </c>
      <c r="JE294" s="16">
        <v>0</v>
      </c>
      <c r="JF294" s="16">
        <v>0</v>
      </c>
      <c r="JG294" s="16">
        <v>0</v>
      </c>
      <c r="JH294" s="16">
        <v>0</v>
      </c>
      <c r="JI294" s="16">
        <v>0</v>
      </c>
      <c r="JJ294" s="16">
        <v>0</v>
      </c>
      <c r="JK294" s="16">
        <v>0</v>
      </c>
      <c r="JL294" s="16">
        <v>0</v>
      </c>
      <c r="JM294" s="16">
        <v>0</v>
      </c>
      <c r="JN294" s="16">
        <v>0</v>
      </c>
      <c r="JO294" s="16">
        <v>0</v>
      </c>
      <c r="JP294" s="16">
        <v>0</v>
      </c>
      <c r="JQ294" s="16">
        <v>0</v>
      </c>
      <c r="JR294" s="16">
        <v>0</v>
      </c>
      <c r="JS294" s="16">
        <v>0</v>
      </c>
      <c r="JT294" s="16">
        <v>0</v>
      </c>
      <c r="JU294" s="16">
        <v>0</v>
      </c>
      <c r="JV294" s="16">
        <v>0</v>
      </c>
      <c r="JW294" s="16">
        <v>0</v>
      </c>
      <c r="JX294" s="16">
        <v>0</v>
      </c>
      <c r="JY294" s="16">
        <v>0</v>
      </c>
      <c r="JZ294" s="16">
        <v>0</v>
      </c>
      <c r="KA294" s="16">
        <v>0</v>
      </c>
      <c r="KB294" s="16">
        <v>0</v>
      </c>
      <c r="KC294" s="16">
        <v>0</v>
      </c>
      <c r="KD294" s="16">
        <v>0</v>
      </c>
      <c r="KE294" s="16">
        <v>0</v>
      </c>
      <c r="KF294" s="16">
        <v>0</v>
      </c>
      <c r="KG294" s="16">
        <v>0</v>
      </c>
      <c r="KH294" s="16">
        <v>0</v>
      </c>
      <c r="KI294" s="16">
        <v>0</v>
      </c>
      <c r="KJ294" s="16">
        <v>0</v>
      </c>
      <c r="KK294" s="16">
        <v>0</v>
      </c>
      <c r="KL294" s="16">
        <v>0</v>
      </c>
      <c r="KM294" s="16">
        <v>0</v>
      </c>
      <c r="KN294" s="16">
        <v>0</v>
      </c>
      <c r="KO294" s="16">
        <v>0</v>
      </c>
      <c r="KP294" s="16">
        <v>0</v>
      </c>
      <c r="KQ294" s="16">
        <v>0</v>
      </c>
      <c r="KR294" s="16">
        <v>0</v>
      </c>
      <c r="KS294" s="16">
        <v>0</v>
      </c>
      <c r="KT294" s="16">
        <v>0</v>
      </c>
      <c r="KU294" s="16">
        <v>0</v>
      </c>
      <c r="KV294" s="16">
        <v>0</v>
      </c>
      <c r="KW294" s="16">
        <v>0</v>
      </c>
      <c r="KX294" s="16">
        <v>0</v>
      </c>
      <c r="KY294" s="16">
        <v>0</v>
      </c>
      <c r="KZ294" s="16">
        <v>0</v>
      </c>
      <c r="LA294" s="16">
        <v>0</v>
      </c>
      <c r="LB294" s="16">
        <v>0</v>
      </c>
      <c r="LC294" s="16">
        <v>0</v>
      </c>
      <c r="LD294" s="16">
        <v>0</v>
      </c>
      <c r="LE294" s="16">
        <v>0</v>
      </c>
      <c r="LF294" s="16">
        <v>0</v>
      </c>
      <c r="LG294" s="16">
        <v>0</v>
      </c>
      <c r="LH294" s="16">
        <v>0</v>
      </c>
      <c r="LI294" s="16">
        <v>0</v>
      </c>
      <c r="LJ294" s="16">
        <v>0</v>
      </c>
      <c r="LK294" s="16">
        <v>0</v>
      </c>
      <c r="LL294" s="16">
        <v>0</v>
      </c>
      <c r="LM294" s="16">
        <v>0</v>
      </c>
      <c r="LN294" s="16">
        <v>0</v>
      </c>
      <c r="LO294" s="16">
        <v>0</v>
      </c>
      <c r="LP294" s="16">
        <v>0</v>
      </c>
      <c r="LQ294" s="16">
        <v>0</v>
      </c>
      <c r="LR294" s="16">
        <v>0</v>
      </c>
      <c r="LS294" s="16">
        <v>0</v>
      </c>
      <c r="LT294" s="16">
        <v>0</v>
      </c>
      <c r="LU294" s="16">
        <v>0</v>
      </c>
      <c r="LV294" s="16">
        <v>0</v>
      </c>
      <c r="LW294" s="16">
        <v>0</v>
      </c>
      <c r="LX294" s="16">
        <v>0</v>
      </c>
      <c r="LY294" s="16">
        <v>0</v>
      </c>
      <c r="LZ294" s="16">
        <v>0</v>
      </c>
      <c r="MA294" s="16">
        <v>0</v>
      </c>
      <c r="MB294" s="16">
        <v>0</v>
      </c>
      <c r="MC294" s="16">
        <v>0</v>
      </c>
      <c r="MD294" s="16">
        <v>0</v>
      </c>
      <c r="ME294" s="16">
        <v>0</v>
      </c>
      <c r="MF294" s="16">
        <v>0</v>
      </c>
      <c r="MG294" s="16">
        <v>0</v>
      </c>
      <c r="MH294" s="16">
        <v>0</v>
      </c>
      <c r="MI294" s="16">
        <v>0</v>
      </c>
      <c r="MJ294" s="16">
        <v>0</v>
      </c>
      <c r="MK294" s="16">
        <v>0</v>
      </c>
      <c r="ML294" s="16">
        <v>0</v>
      </c>
      <c r="MM294" s="16">
        <v>0</v>
      </c>
      <c r="MN294" s="16">
        <v>0</v>
      </c>
      <c r="MO294" s="16">
        <v>0</v>
      </c>
      <c r="MP294" s="16">
        <v>0</v>
      </c>
      <c r="MQ294" s="16">
        <v>0</v>
      </c>
      <c r="MR294" s="16">
        <v>0</v>
      </c>
      <c r="MS294" s="16">
        <v>0</v>
      </c>
      <c r="MT294" s="16">
        <v>0</v>
      </c>
      <c r="MU294" s="16">
        <v>0</v>
      </c>
      <c r="MV294" s="16">
        <v>0</v>
      </c>
      <c r="MW294" s="16">
        <v>0</v>
      </c>
      <c r="MX294" s="16">
        <v>0</v>
      </c>
      <c r="MY294" s="16">
        <v>0</v>
      </c>
      <c r="MZ294" s="16">
        <v>0</v>
      </c>
      <c r="NA294" s="16">
        <v>0</v>
      </c>
      <c r="NB294" s="16">
        <v>0</v>
      </c>
      <c r="NC294" s="16">
        <v>0</v>
      </c>
      <c r="ND294" s="16">
        <v>0</v>
      </c>
      <c r="NE294" s="16">
        <v>0</v>
      </c>
      <c r="NF294" s="16">
        <v>0</v>
      </c>
      <c r="NG294" s="16">
        <v>0</v>
      </c>
      <c r="NH294" s="16">
        <v>0</v>
      </c>
      <c r="NI294" s="16">
        <v>0</v>
      </c>
      <c r="NJ294" s="16">
        <v>0</v>
      </c>
      <c r="NK294" s="16">
        <v>0</v>
      </c>
      <c r="NL294" s="16">
        <v>0</v>
      </c>
      <c r="NM294" s="16">
        <v>0</v>
      </c>
      <c r="NN294" s="16">
        <v>0</v>
      </c>
      <c r="NO294" s="16">
        <v>0</v>
      </c>
      <c r="NP294" s="16">
        <v>0</v>
      </c>
      <c r="NQ294" s="16">
        <v>0</v>
      </c>
      <c r="NR294" s="17">
        <v>0</v>
      </c>
    </row>
    <row r="295" spans="1:382" ht="13.5" customHeight="1" x14ac:dyDescent="0.2">
      <c r="A295" s="2" t="s">
        <v>597</v>
      </c>
      <c r="B295" s="16">
        <v>0</v>
      </c>
      <c r="C295" s="16">
        <v>0</v>
      </c>
      <c r="D295" s="16">
        <v>0</v>
      </c>
      <c r="E295" s="16">
        <v>0</v>
      </c>
      <c r="F295" s="16">
        <v>0</v>
      </c>
      <c r="G295" s="16">
        <v>0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0</v>
      </c>
      <c r="AK295" s="16">
        <v>0</v>
      </c>
      <c r="AL295" s="16">
        <v>0</v>
      </c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0</v>
      </c>
      <c r="AV295" s="16">
        <v>0</v>
      </c>
      <c r="AW295" s="16">
        <v>0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6">
        <v>0</v>
      </c>
      <c r="BD295" s="16">
        <v>0</v>
      </c>
      <c r="BE295" s="16">
        <v>0</v>
      </c>
      <c r="BF295" s="16">
        <v>0</v>
      </c>
      <c r="BG295" s="16">
        <v>0</v>
      </c>
      <c r="BH295" s="16">
        <v>0</v>
      </c>
      <c r="BI295" s="16">
        <v>0</v>
      </c>
      <c r="BJ295" s="16">
        <v>0</v>
      </c>
      <c r="BK295" s="16">
        <v>0</v>
      </c>
      <c r="BL295" s="16">
        <v>0</v>
      </c>
      <c r="BM295" s="16">
        <v>0</v>
      </c>
      <c r="BN295" s="16">
        <v>0</v>
      </c>
      <c r="BO295" s="16">
        <v>0</v>
      </c>
      <c r="BP295" s="16">
        <v>0</v>
      </c>
      <c r="BQ295" s="16">
        <v>0</v>
      </c>
      <c r="BR295" s="16">
        <v>0</v>
      </c>
      <c r="BS295" s="16">
        <v>0</v>
      </c>
      <c r="BT295" s="16">
        <v>0</v>
      </c>
      <c r="BU295" s="16">
        <v>0</v>
      </c>
      <c r="BV295" s="16">
        <v>0</v>
      </c>
      <c r="BW295" s="16">
        <v>0</v>
      </c>
      <c r="BX295" s="16">
        <v>0</v>
      </c>
      <c r="BY295" s="16">
        <v>0</v>
      </c>
      <c r="BZ295" s="16">
        <v>0</v>
      </c>
      <c r="CA295" s="16">
        <v>0</v>
      </c>
      <c r="CB295" s="16">
        <v>0</v>
      </c>
      <c r="CC295" s="16">
        <v>0</v>
      </c>
      <c r="CD295" s="16">
        <v>0</v>
      </c>
      <c r="CE295" s="16">
        <v>0</v>
      </c>
      <c r="CF295" s="16">
        <v>0</v>
      </c>
      <c r="CG295" s="16">
        <v>0</v>
      </c>
      <c r="CH295" s="16">
        <v>0</v>
      </c>
      <c r="CI295" s="16">
        <v>0</v>
      </c>
      <c r="CJ295" s="16">
        <v>0</v>
      </c>
      <c r="CK295" s="16">
        <v>0</v>
      </c>
      <c r="CL295" s="16">
        <v>0</v>
      </c>
      <c r="CM295" s="16">
        <v>0</v>
      </c>
      <c r="CN295" s="16">
        <v>0</v>
      </c>
      <c r="CO295" s="16">
        <v>0</v>
      </c>
      <c r="CP295" s="16">
        <v>0</v>
      </c>
      <c r="CQ295" s="16">
        <v>0</v>
      </c>
      <c r="CR295" s="16">
        <v>0</v>
      </c>
      <c r="CS295" s="16">
        <v>0</v>
      </c>
      <c r="CT295" s="16">
        <v>0</v>
      </c>
      <c r="CU295" s="16">
        <v>0</v>
      </c>
      <c r="CV295" s="16">
        <v>0</v>
      </c>
      <c r="CW295" s="16">
        <v>0</v>
      </c>
      <c r="CX295" s="16">
        <v>0</v>
      </c>
      <c r="CY295" s="16">
        <v>0</v>
      </c>
      <c r="CZ295" s="16">
        <v>0</v>
      </c>
      <c r="DA295" s="16">
        <v>0</v>
      </c>
      <c r="DB295" s="16">
        <v>0</v>
      </c>
      <c r="DC295" s="16">
        <v>0</v>
      </c>
      <c r="DD295" s="16">
        <v>0</v>
      </c>
      <c r="DE295" s="16">
        <v>0</v>
      </c>
      <c r="DF295" s="16">
        <v>0</v>
      </c>
      <c r="DG295" s="16">
        <v>0</v>
      </c>
      <c r="DH295" s="16">
        <v>0</v>
      </c>
      <c r="DI295" s="16">
        <v>0</v>
      </c>
      <c r="DJ295" s="16">
        <v>0</v>
      </c>
      <c r="DK295" s="16">
        <v>0</v>
      </c>
      <c r="DL295" s="16">
        <v>0</v>
      </c>
      <c r="DM295" s="16">
        <v>0</v>
      </c>
      <c r="DN295" s="16">
        <v>0</v>
      </c>
      <c r="DO295" s="16">
        <v>0</v>
      </c>
      <c r="DP295" s="16">
        <v>0</v>
      </c>
      <c r="DQ295" s="16">
        <v>0</v>
      </c>
      <c r="DR295" s="16">
        <v>0</v>
      </c>
      <c r="DS295" s="16">
        <v>0</v>
      </c>
      <c r="DT295" s="16">
        <v>0</v>
      </c>
      <c r="DU295" s="16">
        <v>0</v>
      </c>
      <c r="DV295" s="16">
        <v>0</v>
      </c>
      <c r="DW295" s="16">
        <v>0</v>
      </c>
      <c r="DX295" s="16">
        <v>0</v>
      </c>
      <c r="DY295" s="16">
        <v>0</v>
      </c>
      <c r="DZ295" s="16">
        <v>0</v>
      </c>
      <c r="EA295" s="16">
        <v>0</v>
      </c>
      <c r="EB295" s="16">
        <v>0</v>
      </c>
      <c r="EC295" s="16">
        <v>0</v>
      </c>
      <c r="ED295" s="16">
        <v>0</v>
      </c>
      <c r="EE295" s="16">
        <v>0</v>
      </c>
      <c r="EF295" s="16">
        <v>0</v>
      </c>
      <c r="EG295" s="16">
        <v>0</v>
      </c>
      <c r="EH295" s="16">
        <v>0</v>
      </c>
      <c r="EI295" s="16">
        <v>0</v>
      </c>
      <c r="EJ295" s="16">
        <v>0</v>
      </c>
      <c r="EK295" s="16">
        <v>0</v>
      </c>
      <c r="EL295" s="16">
        <v>0</v>
      </c>
      <c r="EM295" s="16">
        <v>0</v>
      </c>
      <c r="EN295" s="16">
        <v>0</v>
      </c>
      <c r="EO295" s="16">
        <v>0</v>
      </c>
      <c r="EP295" s="16">
        <v>0</v>
      </c>
      <c r="EQ295" s="16">
        <v>0</v>
      </c>
      <c r="ER295" s="16">
        <v>0</v>
      </c>
      <c r="ES295" s="16">
        <v>0</v>
      </c>
      <c r="ET295" s="16">
        <v>0</v>
      </c>
      <c r="EU295" s="16">
        <v>0</v>
      </c>
      <c r="EV295" s="16">
        <v>0</v>
      </c>
      <c r="EW295" s="16">
        <v>0</v>
      </c>
      <c r="EX295" s="16">
        <v>0</v>
      </c>
      <c r="EY295" s="16">
        <v>0</v>
      </c>
      <c r="EZ295" s="16">
        <v>0</v>
      </c>
      <c r="FA295" s="16">
        <v>0</v>
      </c>
      <c r="FB295" s="16">
        <v>0</v>
      </c>
      <c r="FC295" s="16">
        <v>0</v>
      </c>
      <c r="FD295" s="16">
        <v>0</v>
      </c>
      <c r="FE295" s="16">
        <v>0</v>
      </c>
      <c r="FF295" s="16">
        <v>0</v>
      </c>
      <c r="FG295" s="16">
        <v>0</v>
      </c>
      <c r="FH295" s="16">
        <v>0</v>
      </c>
      <c r="FI295" s="16">
        <v>0</v>
      </c>
      <c r="FJ295" s="16">
        <v>0</v>
      </c>
      <c r="FK295" s="16">
        <v>0</v>
      </c>
      <c r="FL295" s="16">
        <v>0</v>
      </c>
      <c r="FM295" s="16">
        <v>0</v>
      </c>
      <c r="FN295" s="16">
        <v>0</v>
      </c>
      <c r="FO295" s="16">
        <v>0</v>
      </c>
      <c r="FP295" s="16">
        <v>0</v>
      </c>
      <c r="FQ295" s="16">
        <v>0</v>
      </c>
      <c r="FR295" s="16">
        <v>0</v>
      </c>
      <c r="FS295" s="16">
        <v>0</v>
      </c>
      <c r="FT295" s="16">
        <v>0</v>
      </c>
      <c r="FU295" s="16">
        <v>0</v>
      </c>
      <c r="FV295" s="16">
        <v>0</v>
      </c>
      <c r="FW295" s="16">
        <v>0</v>
      </c>
      <c r="FX295" s="16">
        <v>0</v>
      </c>
      <c r="FY295" s="16">
        <v>0</v>
      </c>
      <c r="FZ295" s="16">
        <v>0</v>
      </c>
      <c r="GA295" s="16">
        <v>0</v>
      </c>
      <c r="GB295" s="16">
        <v>0</v>
      </c>
      <c r="GC295" s="16">
        <v>0</v>
      </c>
      <c r="GD295" s="16">
        <v>0</v>
      </c>
      <c r="GE295" s="16">
        <v>0</v>
      </c>
      <c r="GF295" s="16">
        <v>0</v>
      </c>
      <c r="GG295" s="16">
        <v>0</v>
      </c>
      <c r="GH295" s="16">
        <v>0</v>
      </c>
      <c r="GI295" s="16">
        <v>0</v>
      </c>
      <c r="GJ295" s="16">
        <v>0</v>
      </c>
      <c r="GK295" s="16">
        <v>0</v>
      </c>
      <c r="GL295" s="16">
        <v>0</v>
      </c>
      <c r="GM295" s="16">
        <v>0</v>
      </c>
      <c r="GN295" s="16">
        <v>0</v>
      </c>
      <c r="GO295" s="16">
        <v>0</v>
      </c>
      <c r="GP295" s="16">
        <v>0</v>
      </c>
      <c r="GQ295" s="16">
        <v>0</v>
      </c>
      <c r="GR295" s="16">
        <v>0</v>
      </c>
      <c r="GS295" s="16">
        <v>0</v>
      </c>
      <c r="GT295" s="16">
        <v>0</v>
      </c>
      <c r="GU295" s="16">
        <v>0</v>
      </c>
      <c r="GV295" s="16">
        <v>0</v>
      </c>
      <c r="GW295" s="16">
        <v>0</v>
      </c>
      <c r="GX295" s="16">
        <v>0</v>
      </c>
      <c r="GY295" s="16">
        <v>0</v>
      </c>
      <c r="GZ295" s="16">
        <v>0</v>
      </c>
      <c r="HA295" s="16">
        <v>0</v>
      </c>
      <c r="HB295" s="16">
        <v>0</v>
      </c>
      <c r="HC295" s="16">
        <v>0</v>
      </c>
      <c r="HD295" s="16">
        <v>0</v>
      </c>
      <c r="HE295" s="16">
        <v>0</v>
      </c>
      <c r="HF295" s="16">
        <v>0</v>
      </c>
      <c r="HG295" s="16">
        <v>0</v>
      </c>
      <c r="HH295" s="16">
        <v>0</v>
      </c>
      <c r="HI295" s="16">
        <v>0</v>
      </c>
      <c r="HJ295" s="16">
        <v>0</v>
      </c>
      <c r="HK295" s="16">
        <v>0</v>
      </c>
      <c r="HL295" s="16">
        <v>0</v>
      </c>
      <c r="HM295" s="16">
        <v>0</v>
      </c>
      <c r="HN295" s="16">
        <v>0</v>
      </c>
      <c r="HO295" s="16">
        <v>0</v>
      </c>
      <c r="HP295" s="16">
        <v>0</v>
      </c>
      <c r="HQ295" s="16">
        <v>0</v>
      </c>
      <c r="HR295" s="16">
        <v>0</v>
      </c>
      <c r="HS295" s="16">
        <v>0</v>
      </c>
      <c r="HT295" s="16">
        <v>0</v>
      </c>
      <c r="HU295" s="16">
        <v>0</v>
      </c>
      <c r="HV295" s="16">
        <v>0</v>
      </c>
      <c r="HW295" s="16">
        <v>0</v>
      </c>
      <c r="HX295" s="16">
        <v>0</v>
      </c>
      <c r="HY295" s="16">
        <v>0</v>
      </c>
      <c r="HZ295" s="16">
        <v>0</v>
      </c>
      <c r="IA295" s="16">
        <v>0</v>
      </c>
      <c r="IB295" s="16">
        <v>0</v>
      </c>
      <c r="IC295" s="16">
        <v>0</v>
      </c>
      <c r="ID295" s="16">
        <v>0</v>
      </c>
      <c r="IE295" s="16">
        <v>0</v>
      </c>
      <c r="IF295" s="16">
        <v>0</v>
      </c>
      <c r="IG295" s="16">
        <v>0</v>
      </c>
      <c r="IH295" s="16">
        <v>0</v>
      </c>
      <c r="II295" s="16">
        <v>0</v>
      </c>
      <c r="IJ295" s="16">
        <v>0</v>
      </c>
      <c r="IK295" s="16">
        <v>0</v>
      </c>
      <c r="IL295" s="16">
        <v>0</v>
      </c>
      <c r="IM295" s="16">
        <v>0</v>
      </c>
      <c r="IN295" s="16">
        <v>0</v>
      </c>
      <c r="IO295" s="16">
        <v>0</v>
      </c>
      <c r="IP295" s="16">
        <v>0</v>
      </c>
      <c r="IQ295" s="16">
        <v>0</v>
      </c>
      <c r="IR295" s="16">
        <v>0</v>
      </c>
      <c r="IS295" s="16">
        <v>0</v>
      </c>
      <c r="IT295" s="16">
        <v>0</v>
      </c>
      <c r="IU295" s="16">
        <v>0</v>
      </c>
      <c r="IV295" s="16">
        <v>0</v>
      </c>
      <c r="IW295" s="16">
        <v>0</v>
      </c>
      <c r="IX295" s="16">
        <v>0</v>
      </c>
      <c r="IY295" s="16">
        <v>0</v>
      </c>
      <c r="IZ295" s="16">
        <v>0</v>
      </c>
      <c r="JA295" s="16">
        <v>0</v>
      </c>
      <c r="JB295" s="16">
        <v>0</v>
      </c>
      <c r="JC295" s="16">
        <v>0</v>
      </c>
      <c r="JD295" s="16">
        <v>0</v>
      </c>
      <c r="JE295" s="16">
        <v>0</v>
      </c>
      <c r="JF295" s="16">
        <v>0</v>
      </c>
      <c r="JG295" s="16">
        <v>0</v>
      </c>
      <c r="JH295" s="16">
        <v>0</v>
      </c>
      <c r="JI295" s="16">
        <v>0</v>
      </c>
      <c r="JJ295" s="16">
        <v>0</v>
      </c>
      <c r="JK295" s="16">
        <v>0</v>
      </c>
      <c r="JL295" s="16">
        <v>0</v>
      </c>
      <c r="JM295" s="16">
        <v>0</v>
      </c>
      <c r="JN295" s="16">
        <v>0</v>
      </c>
      <c r="JO295" s="16">
        <v>0</v>
      </c>
      <c r="JP295" s="16">
        <v>0</v>
      </c>
      <c r="JQ295" s="16">
        <v>0</v>
      </c>
      <c r="JR295" s="16">
        <v>0</v>
      </c>
      <c r="JS295" s="16">
        <v>0</v>
      </c>
      <c r="JT295" s="16">
        <v>0</v>
      </c>
      <c r="JU295" s="16">
        <v>0</v>
      </c>
      <c r="JV295" s="16">
        <v>0</v>
      </c>
      <c r="JW295" s="16">
        <v>0</v>
      </c>
      <c r="JX295" s="16">
        <v>0</v>
      </c>
      <c r="JY295" s="16">
        <v>0</v>
      </c>
      <c r="JZ295" s="16">
        <v>0</v>
      </c>
      <c r="KA295" s="16">
        <v>0</v>
      </c>
      <c r="KB295" s="16">
        <v>0</v>
      </c>
      <c r="KC295" s="16">
        <v>0</v>
      </c>
      <c r="KD295" s="16">
        <v>0</v>
      </c>
      <c r="KE295" s="16">
        <v>0</v>
      </c>
      <c r="KF295" s="16">
        <v>0</v>
      </c>
      <c r="KG295" s="16">
        <v>0</v>
      </c>
      <c r="KH295" s="16">
        <v>0</v>
      </c>
      <c r="KI295" s="16">
        <v>0</v>
      </c>
      <c r="KJ295" s="16">
        <v>0</v>
      </c>
      <c r="KK295" s="16">
        <v>0</v>
      </c>
      <c r="KL295" s="16">
        <v>0</v>
      </c>
      <c r="KM295" s="16">
        <v>0</v>
      </c>
      <c r="KN295" s="16">
        <v>0</v>
      </c>
      <c r="KO295" s="16">
        <v>0</v>
      </c>
      <c r="KP295" s="16">
        <v>0</v>
      </c>
      <c r="KQ295" s="16">
        <v>0</v>
      </c>
      <c r="KR295" s="16">
        <v>0</v>
      </c>
      <c r="KS295" s="16">
        <v>0</v>
      </c>
      <c r="KT295" s="16">
        <v>0</v>
      </c>
      <c r="KU295" s="16">
        <v>0</v>
      </c>
      <c r="KV295" s="16">
        <v>0</v>
      </c>
      <c r="KW295" s="16">
        <v>0</v>
      </c>
      <c r="KX295" s="16">
        <v>0</v>
      </c>
      <c r="KY295" s="16">
        <v>0</v>
      </c>
      <c r="KZ295" s="16">
        <v>0</v>
      </c>
      <c r="LA295" s="16">
        <v>0</v>
      </c>
      <c r="LB295" s="16">
        <v>0</v>
      </c>
      <c r="LC295" s="16">
        <v>0</v>
      </c>
      <c r="LD295" s="16">
        <v>0</v>
      </c>
      <c r="LE295" s="16">
        <v>0</v>
      </c>
      <c r="LF295" s="16">
        <v>0</v>
      </c>
      <c r="LG295" s="16">
        <v>0</v>
      </c>
      <c r="LH295" s="16">
        <v>0</v>
      </c>
      <c r="LI295" s="16">
        <v>0</v>
      </c>
      <c r="LJ295" s="16">
        <v>0</v>
      </c>
      <c r="LK295" s="16">
        <v>0</v>
      </c>
      <c r="LL295" s="16">
        <v>0</v>
      </c>
      <c r="LM295" s="16">
        <v>0</v>
      </c>
      <c r="LN295" s="16">
        <v>0</v>
      </c>
      <c r="LO295" s="16">
        <v>0</v>
      </c>
      <c r="LP295" s="16">
        <v>0</v>
      </c>
      <c r="LQ295" s="16">
        <v>0</v>
      </c>
      <c r="LR295" s="16">
        <v>0</v>
      </c>
      <c r="LS295" s="16">
        <v>0</v>
      </c>
      <c r="LT295" s="16">
        <v>0</v>
      </c>
      <c r="LU295" s="16">
        <v>0</v>
      </c>
      <c r="LV295" s="16">
        <v>0</v>
      </c>
      <c r="LW295" s="16">
        <v>0</v>
      </c>
      <c r="LX295" s="16">
        <v>0</v>
      </c>
      <c r="LY295" s="16">
        <v>0</v>
      </c>
      <c r="LZ295" s="16">
        <v>0</v>
      </c>
      <c r="MA295" s="16">
        <v>0</v>
      </c>
      <c r="MB295" s="16">
        <v>0</v>
      </c>
      <c r="MC295" s="16">
        <v>0</v>
      </c>
      <c r="MD295" s="16">
        <v>0</v>
      </c>
      <c r="ME295" s="16">
        <v>0</v>
      </c>
      <c r="MF295" s="16">
        <v>0</v>
      </c>
      <c r="MG295" s="16">
        <v>0</v>
      </c>
      <c r="MH295" s="16">
        <v>0</v>
      </c>
      <c r="MI295" s="16">
        <v>0</v>
      </c>
      <c r="MJ295" s="16">
        <v>0</v>
      </c>
      <c r="MK295" s="16">
        <v>0</v>
      </c>
      <c r="ML295" s="16">
        <v>0</v>
      </c>
      <c r="MM295" s="16">
        <v>0</v>
      </c>
      <c r="MN295" s="16">
        <v>0</v>
      </c>
      <c r="MO295" s="16">
        <v>0</v>
      </c>
      <c r="MP295" s="16">
        <v>0</v>
      </c>
      <c r="MQ295" s="16">
        <v>0</v>
      </c>
      <c r="MR295" s="16">
        <v>0</v>
      </c>
      <c r="MS295" s="16">
        <v>0</v>
      </c>
      <c r="MT295" s="16">
        <v>0</v>
      </c>
      <c r="MU295" s="16">
        <v>0</v>
      </c>
      <c r="MV295" s="16">
        <v>0</v>
      </c>
      <c r="MW295" s="16">
        <v>0</v>
      </c>
      <c r="MX295" s="16">
        <v>0</v>
      </c>
      <c r="MY295" s="16">
        <v>0</v>
      </c>
      <c r="MZ295" s="16">
        <v>0</v>
      </c>
      <c r="NA295" s="16">
        <v>0</v>
      </c>
      <c r="NB295" s="16">
        <v>0</v>
      </c>
      <c r="NC295" s="16">
        <v>0</v>
      </c>
      <c r="ND295" s="16">
        <v>0</v>
      </c>
      <c r="NE295" s="16">
        <v>0</v>
      </c>
      <c r="NF295" s="16">
        <v>0</v>
      </c>
      <c r="NG295" s="16">
        <v>0</v>
      </c>
      <c r="NH295" s="16">
        <v>0</v>
      </c>
      <c r="NI295" s="16">
        <v>0</v>
      </c>
      <c r="NJ295" s="16">
        <v>0</v>
      </c>
      <c r="NK295" s="16">
        <v>0</v>
      </c>
      <c r="NL295" s="16">
        <v>0</v>
      </c>
      <c r="NM295" s="16">
        <v>0</v>
      </c>
      <c r="NN295" s="16">
        <v>0</v>
      </c>
      <c r="NO295" s="16">
        <v>0</v>
      </c>
      <c r="NP295" s="16">
        <v>0</v>
      </c>
      <c r="NQ295" s="16">
        <v>0</v>
      </c>
      <c r="NR295" s="17">
        <v>0</v>
      </c>
    </row>
    <row r="296" spans="1:382" ht="13.5" customHeight="1" x14ac:dyDescent="0.2">
      <c r="A296" s="2" t="s">
        <v>599</v>
      </c>
      <c r="B296" s="16">
        <v>0</v>
      </c>
      <c r="C296" s="16">
        <v>0</v>
      </c>
      <c r="D296" s="16">
        <v>0</v>
      </c>
      <c r="E296" s="16">
        <v>0</v>
      </c>
      <c r="F296" s="16">
        <v>0</v>
      </c>
      <c r="G296" s="16">
        <v>0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  <c r="AL296" s="16">
        <v>0</v>
      </c>
      <c r="AM296" s="16">
        <v>0</v>
      </c>
      <c r="AN296" s="16">
        <v>0</v>
      </c>
      <c r="AO296" s="16">
        <v>0</v>
      </c>
      <c r="AP296" s="16">
        <v>0</v>
      </c>
      <c r="AQ296" s="16">
        <v>0</v>
      </c>
      <c r="AR296" s="16">
        <v>0</v>
      </c>
      <c r="AS296" s="16">
        <v>0</v>
      </c>
      <c r="AT296" s="16">
        <v>0</v>
      </c>
      <c r="AU296" s="16">
        <v>0</v>
      </c>
      <c r="AV296" s="16">
        <v>0</v>
      </c>
      <c r="AW296" s="16">
        <v>0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6">
        <v>0</v>
      </c>
      <c r="BD296" s="16">
        <v>0</v>
      </c>
      <c r="BE296" s="16">
        <v>0</v>
      </c>
      <c r="BF296" s="16">
        <v>0</v>
      </c>
      <c r="BG296" s="16">
        <v>0</v>
      </c>
      <c r="BH296" s="16">
        <v>0</v>
      </c>
      <c r="BI296" s="16">
        <v>0</v>
      </c>
      <c r="BJ296" s="16">
        <v>0</v>
      </c>
      <c r="BK296" s="16">
        <v>0</v>
      </c>
      <c r="BL296" s="16">
        <v>0</v>
      </c>
      <c r="BM296" s="16">
        <v>0</v>
      </c>
      <c r="BN296" s="16">
        <v>0</v>
      </c>
      <c r="BO296" s="16">
        <v>0</v>
      </c>
      <c r="BP296" s="16">
        <v>0</v>
      </c>
      <c r="BQ296" s="16">
        <v>0</v>
      </c>
      <c r="BR296" s="16">
        <v>0</v>
      </c>
      <c r="BS296" s="16">
        <v>0</v>
      </c>
      <c r="BT296" s="16">
        <v>0</v>
      </c>
      <c r="BU296" s="16">
        <v>0</v>
      </c>
      <c r="BV296" s="16">
        <v>0</v>
      </c>
      <c r="BW296" s="16">
        <v>0</v>
      </c>
      <c r="BX296" s="16">
        <v>0</v>
      </c>
      <c r="BY296" s="16">
        <v>0</v>
      </c>
      <c r="BZ296" s="16">
        <v>0</v>
      </c>
      <c r="CA296" s="16">
        <v>0</v>
      </c>
      <c r="CB296" s="16">
        <v>0</v>
      </c>
      <c r="CC296" s="16">
        <v>0</v>
      </c>
      <c r="CD296" s="16">
        <v>0</v>
      </c>
      <c r="CE296" s="16">
        <v>0</v>
      </c>
      <c r="CF296" s="16">
        <v>0</v>
      </c>
      <c r="CG296" s="16">
        <v>0</v>
      </c>
      <c r="CH296" s="16">
        <v>0</v>
      </c>
      <c r="CI296" s="16">
        <v>0</v>
      </c>
      <c r="CJ296" s="16">
        <v>0</v>
      </c>
      <c r="CK296" s="16">
        <v>0</v>
      </c>
      <c r="CL296" s="16">
        <v>0</v>
      </c>
      <c r="CM296" s="16">
        <v>0</v>
      </c>
      <c r="CN296" s="16">
        <v>0</v>
      </c>
      <c r="CO296" s="16">
        <v>0</v>
      </c>
      <c r="CP296" s="16">
        <v>0</v>
      </c>
      <c r="CQ296" s="16">
        <v>0</v>
      </c>
      <c r="CR296" s="16">
        <v>0</v>
      </c>
      <c r="CS296" s="16">
        <v>0</v>
      </c>
      <c r="CT296" s="16">
        <v>0</v>
      </c>
      <c r="CU296" s="16">
        <v>0</v>
      </c>
      <c r="CV296" s="16">
        <v>0</v>
      </c>
      <c r="CW296" s="16">
        <v>0</v>
      </c>
      <c r="CX296" s="16">
        <v>0</v>
      </c>
      <c r="CY296" s="16">
        <v>0</v>
      </c>
      <c r="CZ296" s="16">
        <v>0</v>
      </c>
      <c r="DA296" s="16">
        <v>0</v>
      </c>
      <c r="DB296" s="16">
        <v>0</v>
      </c>
      <c r="DC296" s="16">
        <v>0</v>
      </c>
      <c r="DD296" s="16">
        <v>0</v>
      </c>
      <c r="DE296" s="16">
        <v>0</v>
      </c>
      <c r="DF296" s="16">
        <v>0</v>
      </c>
      <c r="DG296" s="16">
        <v>0</v>
      </c>
      <c r="DH296" s="16">
        <v>0</v>
      </c>
      <c r="DI296" s="16">
        <v>0</v>
      </c>
      <c r="DJ296" s="16">
        <v>0</v>
      </c>
      <c r="DK296" s="16">
        <v>0</v>
      </c>
      <c r="DL296" s="16">
        <v>0</v>
      </c>
      <c r="DM296" s="16">
        <v>0</v>
      </c>
      <c r="DN296" s="16">
        <v>0</v>
      </c>
      <c r="DO296" s="16">
        <v>0</v>
      </c>
      <c r="DP296" s="16">
        <v>0</v>
      </c>
      <c r="DQ296" s="16">
        <v>0</v>
      </c>
      <c r="DR296" s="16">
        <v>0</v>
      </c>
      <c r="DS296" s="16">
        <v>0</v>
      </c>
      <c r="DT296" s="16">
        <v>0</v>
      </c>
      <c r="DU296" s="16">
        <v>0</v>
      </c>
      <c r="DV296" s="16">
        <v>0</v>
      </c>
      <c r="DW296" s="16">
        <v>0</v>
      </c>
      <c r="DX296" s="16">
        <v>0</v>
      </c>
      <c r="DY296" s="16">
        <v>0</v>
      </c>
      <c r="DZ296" s="16">
        <v>0</v>
      </c>
      <c r="EA296" s="16">
        <v>0</v>
      </c>
      <c r="EB296" s="16">
        <v>0</v>
      </c>
      <c r="EC296" s="16">
        <v>0</v>
      </c>
      <c r="ED296" s="16">
        <v>0</v>
      </c>
      <c r="EE296" s="16">
        <v>0</v>
      </c>
      <c r="EF296" s="16">
        <v>0</v>
      </c>
      <c r="EG296" s="16">
        <v>0</v>
      </c>
      <c r="EH296" s="16">
        <v>0</v>
      </c>
      <c r="EI296" s="16">
        <v>0</v>
      </c>
      <c r="EJ296" s="16">
        <v>0</v>
      </c>
      <c r="EK296" s="16">
        <v>0</v>
      </c>
      <c r="EL296" s="16">
        <v>0</v>
      </c>
      <c r="EM296" s="16">
        <v>0</v>
      </c>
      <c r="EN296" s="16">
        <v>0</v>
      </c>
      <c r="EO296" s="16">
        <v>0</v>
      </c>
      <c r="EP296" s="16">
        <v>0</v>
      </c>
      <c r="EQ296" s="16">
        <v>0</v>
      </c>
      <c r="ER296" s="16">
        <v>0</v>
      </c>
      <c r="ES296" s="16">
        <v>0</v>
      </c>
      <c r="ET296" s="16">
        <v>0</v>
      </c>
      <c r="EU296" s="16">
        <v>0</v>
      </c>
      <c r="EV296" s="16">
        <v>0</v>
      </c>
      <c r="EW296" s="16">
        <v>0</v>
      </c>
      <c r="EX296" s="16">
        <v>0</v>
      </c>
      <c r="EY296" s="16">
        <v>0</v>
      </c>
      <c r="EZ296" s="16">
        <v>0</v>
      </c>
      <c r="FA296" s="16">
        <v>0</v>
      </c>
      <c r="FB296" s="16">
        <v>0</v>
      </c>
      <c r="FC296" s="16">
        <v>0</v>
      </c>
      <c r="FD296" s="16">
        <v>0</v>
      </c>
      <c r="FE296" s="16">
        <v>0</v>
      </c>
      <c r="FF296" s="16">
        <v>0</v>
      </c>
      <c r="FG296" s="16">
        <v>0</v>
      </c>
      <c r="FH296" s="16">
        <v>0</v>
      </c>
      <c r="FI296" s="16">
        <v>0</v>
      </c>
      <c r="FJ296" s="16">
        <v>0</v>
      </c>
      <c r="FK296" s="16">
        <v>0</v>
      </c>
      <c r="FL296" s="16">
        <v>0</v>
      </c>
      <c r="FM296" s="16">
        <v>0</v>
      </c>
      <c r="FN296" s="16">
        <v>0</v>
      </c>
      <c r="FO296" s="16">
        <v>0</v>
      </c>
      <c r="FP296" s="16">
        <v>0</v>
      </c>
      <c r="FQ296" s="16">
        <v>0</v>
      </c>
      <c r="FR296" s="16">
        <v>0</v>
      </c>
      <c r="FS296" s="16">
        <v>0</v>
      </c>
      <c r="FT296" s="16">
        <v>0</v>
      </c>
      <c r="FU296" s="16">
        <v>0</v>
      </c>
      <c r="FV296" s="16">
        <v>0</v>
      </c>
      <c r="FW296" s="16">
        <v>0</v>
      </c>
      <c r="FX296" s="16">
        <v>0</v>
      </c>
      <c r="FY296" s="16">
        <v>0</v>
      </c>
      <c r="FZ296" s="16">
        <v>0</v>
      </c>
      <c r="GA296" s="16">
        <v>0</v>
      </c>
      <c r="GB296" s="16">
        <v>0</v>
      </c>
      <c r="GC296" s="16">
        <v>0</v>
      </c>
      <c r="GD296" s="16">
        <v>0</v>
      </c>
      <c r="GE296" s="16">
        <v>0</v>
      </c>
      <c r="GF296" s="16">
        <v>0</v>
      </c>
      <c r="GG296" s="16">
        <v>0</v>
      </c>
      <c r="GH296" s="16">
        <v>0</v>
      </c>
      <c r="GI296" s="16">
        <v>0</v>
      </c>
      <c r="GJ296" s="16">
        <v>0</v>
      </c>
      <c r="GK296" s="16">
        <v>0</v>
      </c>
      <c r="GL296" s="16">
        <v>0</v>
      </c>
      <c r="GM296" s="16">
        <v>0</v>
      </c>
      <c r="GN296" s="16">
        <v>0</v>
      </c>
      <c r="GO296" s="16">
        <v>0</v>
      </c>
      <c r="GP296" s="16">
        <v>0</v>
      </c>
      <c r="GQ296" s="16">
        <v>0</v>
      </c>
      <c r="GR296" s="16">
        <v>0</v>
      </c>
      <c r="GS296" s="16">
        <v>0</v>
      </c>
      <c r="GT296" s="16">
        <v>0</v>
      </c>
      <c r="GU296" s="16">
        <v>0</v>
      </c>
      <c r="GV296" s="16">
        <v>0</v>
      </c>
      <c r="GW296" s="16">
        <v>0</v>
      </c>
      <c r="GX296" s="16">
        <v>0</v>
      </c>
      <c r="GY296" s="16">
        <v>0</v>
      </c>
      <c r="GZ296" s="16">
        <v>0</v>
      </c>
      <c r="HA296" s="16">
        <v>0</v>
      </c>
      <c r="HB296" s="16">
        <v>0</v>
      </c>
      <c r="HC296" s="16">
        <v>0</v>
      </c>
      <c r="HD296" s="16">
        <v>0</v>
      </c>
      <c r="HE296" s="16">
        <v>0</v>
      </c>
      <c r="HF296" s="16">
        <v>0</v>
      </c>
      <c r="HG296" s="16">
        <v>0</v>
      </c>
      <c r="HH296" s="16">
        <v>0</v>
      </c>
      <c r="HI296" s="16">
        <v>0</v>
      </c>
      <c r="HJ296" s="16">
        <v>0</v>
      </c>
      <c r="HK296" s="16">
        <v>0</v>
      </c>
      <c r="HL296" s="16">
        <v>0</v>
      </c>
      <c r="HM296" s="16">
        <v>0</v>
      </c>
      <c r="HN296" s="16">
        <v>0</v>
      </c>
      <c r="HO296" s="16">
        <v>0</v>
      </c>
      <c r="HP296" s="16">
        <v>0</v>
      </c>
      <c r="HQ296" s="16">
        <v>0</v>
      </c>
      <c r="HR296" s="16">
        <v>0</v>
      </c>
      <c r="HS296" s="16">
        <v>0</v>
      </c>
      <c r="HT296" s="16">
        <v>0</v>
      </c>
      <c r="HU296" s="16">
        <v>0</v>
      </c>
      <c r="HV296" s="16">
        <v>0</v>
      </c>
      <c r="HW296" s="16">
        <v>0</v>
      </c>
      <c r="HX296" s="16">
        <v>0</v>
      </c>
      <c r="HY296" s="16">
        <v>0</v>
      </c>
      <c r="HZ296" s="16">
        <v>0</v>
      </c>
      <c r="IA296" s="16">
        <v>0</v>
      </c>
      <c r="IB296" s="16">
        <v>0</v>
      </c>
      <c r="IC296" s="16">
        <v>0</v>
      </c>
      <c r="ID296" s="16">
        <v>0</v>
      </c>
      <c r="IE296" s="16">
        <v>0</v>
      </c>
      <c r="IF296" s="16">
        <v>0</v>
      </c>
      <c r="IG296" s="16">
        <v>0</v>
      </c>
      <c r="IH296" s="16">
        <v>0</v>
      </c>
      <c r="II296" s="16">
        <v>0</v>
      </c>
      <c r="IJ296" s="16">
        <v>0</v>
      </c>
      <c r="IK296" s="16">
        <v>0</v>
      </c>
      <c r="IL296" s="16">
        <v>0</v>
      </c>
      <c r="IM296" s="16">
        <v>0</v>
      </c>
      <c r="IN296" s="16">
        <v>0</v>
      </c>
      <c r="IO296" s="16">
        <v>0</v>
      </c>
      <c r="IP296" s="16">
        <v>0</v>
      </c>
      <c r="IQ296" s="16">
        <v>0</v>
      </c>
      <c r="IR296" s="16">
        <v>0</v>
      </c>
      <c r="IS296" s="16">
        <v>0</v>
      </c>
      <c r="IT296" s="16">
        <v>0</v>
      </c>
      <c r="IU296" s="16">
        <v>0</v>
      </c>
      <c r="IV296" s="16">
        <v>0</v>
      </c>
      <c r="IW296" s="16">
        <v>0</v>
      </c>
      <c r="IX296" s="16">
        <v>0</v>
      </c>
      <c r="IY296" s="16">
        <v>0</v>
      </c>
      <c r="IZ296" s="16">
        <v>0</v>
      </c>
      <c r="JA296" s="16">
        <v>0</v>
      </c>
      <c r="JB296" s="16">
        <v>0</v>
      </c>
      <c r="JC296" s="16">
        <v>0</v>
      </c>
      <c r="JD296" s="16">
        <v>0</v>
      </c>
      <c r="JE296" s="16">
        <v>0</v>
      </c>
      <c r="JF296" s="16">
        <v>0</v>
      </c>
      <c r="JG296" s="16">
        <v>0</v>
      </c>
      <c r="JH296" s="16">
        <v>0</v>
      </c>
      <c r="JI296" s="16">
        <v>0</v>
      </c>
      <c r="JJ296" s="16">
        <v>0</v>
      </c>
      <c r="JK296" s="16">
        <v>0</v>
      </c>
      <c r="JL296" s="16">
        <v>0</v>
      </c>
      <c r="JM296" s="16">
        <v>0</v>
      </c>
      <c r="JN296" s="16">
        <v>0</v>
      </c>
      <c r="JO296" s="16">
        <v>0</v>
      </c>
      <c r="JP296" s="16">
        <v>0</v>
      </c>
      <c r="JQ296" s="16">
        <v>0</v>
      </c>
      <c r="JR296" s="16">
        <v>0</v>
      </c>
      <c r="JS296" s="16">
        <v>0</v>
      </c>
      <c r="JT296" s="16">
        <v>0</v>
      </c>
      <c r="JU296" s="16">
        <v>0</v>
      </c>
      <c r="JV296" s="16">
        <v>0</v>
      </c>
      <c r="JW296" s="16">
        <v>0</v>
      </c>
      <c r="JX296" s="16">
        <v>0</v>
      </c>
      <c r="JY296" s="16">
        <v>0</v>
      </c>
      <c r="JZ296" s="16">
        <v>0</v>
      </c>
      <c r="KA296" s="16">
        <v>0</v>
      </c>
      <c r="KB296" s="16">
        <v>0</v>
      </c>
      <c r="KC296" s="16">
        <v>0</v>
      </c>
      <c r="KD296" s="16">
        <v>0</v>
      </c>
      <c r="KE296" s="16">
        <v>0</v>
      </c>
      <c r="KF296" s="16">
        <v>0</v>
      </c>
      <c r="KG296" s="16">
        <v>0</v>
      </c>
      <c r="KH296" s="16">
        <v>0</v>
      </c>
      <c r="KI296" s="16">
        <v>0</v>
      </c>
      <c r="KJ296" s="16">
        <v>0</v>
      </c>
      <c r="KK296" s="16">
        <v>0</v>
      </c>
      <c r="KL296" s="16">
        <v>0</v>
      </c>
      <c r="KM296" s="16">
        <v>0</v>
      </c>
      <c r="KN296" s="16">
        <v>0</v>
      </c>
      <c r="KO296" s="16">
        <v>0</v>
      </c>
      <c r="KP296" s="16">
        <v>0</v>
      </c>
      <c r="KQ296" s="16">
        <v>0</v>
      </c>
      <c r="KR296" s="16">
        <v>0</v>
      </c>
      <c r="KS296" s="16">
        <v>0</v>
      </c>
      <c r="KT296" s="16">
        <v>0</v>
      </c>
      <c r="KU296" s="16">
        <v>0</v>
      </c>
      <c r="KV296" s="16">
        <v>0</v>
      </c>
      <c r="KW296" s="16">
        <v>0</v>
      </c>
      <c r="KX296" s="16">
        <v>0</v>
      </c>
      <c r="KY296" s="16">
        <v>0</v>
      </c>
      <c r="KZ296" s="16">
        <v>0</v>
      </c>
      <c r="LA296" s="16">
        <v>0</v>
      </c>
      <c r="LB296" s="16">
        <v>0</v>
      </c>
      <c r="LC296" s="16">
        <v>0</v>
      </c>
      <c r="LD296" s="16">
        <v>0</v>
      </c>
      <c r="LE296" s="16">
        <v>0</v>
      </c>
      <c r="LF296" s="16">
        <v>0</v>
      </c>
      <c r="LG296" s="16">
        <v>0</v>
      </c>
      <c r="LH296" s="16">
        <v>0</v>
      </c>
      <c r="LI296" s="16">
        <v>0</v>
      </c>
      <c r="LJ296" s="16">
        <v>0</v>
      </c>
      <c r="LK296" s="16">
        <v>0</v>
      </c>
      <c r="LL296" s="16">
        <v>0</v>
      </c>
      <c r="LM296" s="16">
        <v>0</v>
      </c>
      <c r="LN296" s="16">
        <v>0</v>
      </c>
      <c r="LO296" s="16">
        <v>0</v>
      </c>
      <c r="LP296" s="16">
        <v>0</v>
      </c>
      <c r="LQ296" s="16">
        <v>0</v>
      </c>
      <c r="LR296" s="16">
        <v>0</v>
      </c>
      <c r="LS296" s="16">
        <v>0</v>
      </c>
      <c r="LT296" s="16">
        <v>0</v>
      </c>
      <c r="LU296" s="16">
        <v>0</v>
      </c>
      <c r="LV296" s="16">
        <v>0</v>
      </c>
      <c r="LW296" s="16">
        <v>0</v>
      </c>
      <c r="LX296" s="16">
        <v>0</v>
      </c>
      <c r="LY296" s="16">
        <v>0</v>
      </c>
      <c r="LZ296" s="16">
        <v>0</v>
      </c>
      <c r="MA296" s="16">
        <v>0</v>
      </c>
      <c r="MB296" s="16">
        <v>0</v>
      </c>
      <c r="MC296" s="16">
        <v>0</v>
      </c>
      <c r="MD296" s="16">
        <v>0</v>
      </c>
      <c r="ME296" s="16">
        <v>0</v>
      </c>
      <c r="MF296" s="16">
        <v>0</v>
      </c>
      <c r="MG296" s="16">
        <v>0</v>
      </c>
      <c r="MH296" s="16">
        <v>0</v>
      </c>
      <c r="MI296" s="16">
        <v>0</v>
      </c>
      <c r="MJ296" s="16">
        <v>0</v>
      </c>
      <c r="MK296" s="16">
        <v>0</v>
      </c>
      <c r="ML296" s="16">
        <v>0</v>
      </c>
      <c r="MM296" s="16">
        <v>0</v>
      </c>
      <c r="MN296" s="16">
        <v>0</v>
      </c>
      <c r="MO296" s="16">
        <v>0</v>
      </c>
      <c r="MP296" s="16">
        <v>0</v>
      </c>
      <c r="MQ296" s="16">
        <v>0</v>
      </c>
      <c r="MR296" s="16">
        <v>0</v>
      </c>
      <c r="MS296" s="16">
        <v>0</v>
      </c>
      <c r="MT296" s="16">
        <v>0</v>
      </c>
      <c r="MU296" s="16">
        <v>0</v>
      </c>
      <c r="MV296" s="16">
        <v>0</v>
      </c>
      <c r="MW296" s="16">
        <v>0</v>
      </c>
      <c r="MX296" s="16">
        <v>0</v>
      </c>
      <c r="MY296" s="16">
        <v>0</v>
      </c>
      <c r="MZ296" s="16">
        <v>0</v>
      </c>
      <c r="NA296" s="16">
        <v>0</v>
      </c>
      <c r="NB296" s="16">
        <v>0</v>
      </c>
      <c r="NC296" s="16">
        <v>0</v>
      </c>
      <c r="ND296" s="16">
        <v>0</v>
      </c>
      <c r="NE296" s="16">
        <v>0</v>
      </c>
      <c r="NF296" s="16">
        <v>0</v>
      </c>
      <c r="NG296" s="16">
        <v>0</v>
      </c>
      <c r="NH296" s="16">
        <v>0</v>
      </c>
      <c r="NI296" s="16">
        <v>0</v>
      </c>
      <c r="NJ296" s="16">
        <v>0</v>
      </c>
      <c r="NK296" s="16">
        <v>0</v>
      </c>
      <c r="NL296" s="16">
        <v>0</v>
      </c>
      <c r="NM296" s="16">
        <v>0</v>
      </c>
      <c r="NN296" s="16">
        <v>0</v>
      </c>
      <c r="NO296" s="16">
        <v>0</v>
      </c>
      <c r="NP296" s="16">
        <v>0</v>
      </c>
      <c r="NQ296" s="16">
        <v>0</v>
      </c>
      <c r="NR296" s="17">
        <v>0</v>
      </c>
    </row>
    <row r="297" spans="1:382" ht="13.5" customHeight="1" x14ac:dyDescent="0.2">
      <c r="A297" s="2" t="s">
        <v>601</v>
      </c>
      <c r="B297" s="16">
        <v>204549</v>
      </c>
      <c r="C297" s="16">
        <v>10716</v>
      </c>
      <c r="D297" s="16">
        <v>41792</v>
      </c>
      <c r="E297" s="16">
        <v>65573</v>
      </c>
      <c r="F297" s="16">
        <v>786864</v>
      </c>
      <c r="G297" s="16">
        <v>270813</v>
      </c>
      <c r="H297" s="16">
        <v>50717</v>
      </c>
      <c r="I297" s="16">
        <v>59815</v>
      </c>
      <c r="J297" s="16">
        <v>2927</v>
      </c>
      <c r="K297" s="16">
        <v>0</v>
      </c>
      <c r="L297" s="16">
        <v>31998</v>
      </c>
      <c r="M297" s="16">
        <v>25799</v>
      </c>
      <c r="N297" s="16">
        <v>43</v>
      </c>
      <c r="O297" s="16">
        <v>188253</v>
      </c>
      <c r="P297" s="16">
        <v>432677</v>
      </c>
      <c r="Q297" s="16">
        <v>630334</v>
      </c>
      <c r="R297" s="16">
        <v>620689</v>
      </c>
      <c r="S297" s="16">
        <v>59257</v>
      </c>
      <c r="T297" s="16">
        <v>27575</v>
      </c>
      <c r="U297" s="16">
        <v>40417</v>
      </c>
      <c r="V297" s="16">
        <v>19867</v>
      </c>
      <c r="W297" s="16">
        <v>4274</v>
      </c>
      <c r="X297" s="16">
        <v>144981</v>
      </c>
      <c r="Y297" s="16">
        <v>244407</v>
      </c>
      <c r="Z297" s="16">
        <v>52872</v>
      </c>
      <c r="AA297" s="16">
        <v>1759</v>
      </c>
      <c r="AB297" s="16">
        <v>0</v>
      </c>
      <c r="AC297" s="16">
        <v>0</v>
      </c>
      <c r="AD297" s="16">
        <v>0</v>
      </c>
      <c r="AE297" s="16">
        <v>578</v>
      </c>
      <c r="AF297" s="16">
        <v>566</v>
      </c>
      <c r="AG297" s="16">
        <v>45086</v>
      </c>
      <c r="AH297" s="16">
        <v>33491</v>
      </c>
      <c r="AI297" s="16">
        <v>11255</v>
      </c>
      <c r="AJ297" s="16">
        <v>367662</v>
      </c>
      <c r="AK297" s="16">
        <v>415736</v>
      </c>
      <c r="AL297" s="16">
        <v>765842</v>
      </c>
      <c r="AM297" s="16">
        <v>647316</v>
      </c>
      <c r="AN297" s="16">
        <v>733632</v>
      </c>
      <c r="AO297" s="16">
        <v>636471</v>
      </c>
      <c r="AP297" s="16">
        <v>215315</v>
      </c>
      <c r="AQ297" s="16">
        <v>279363</v>
      </c>
      <c r="AR297" s="16">
        <v>0</v>
      </c>
      <c r="AS297" s="16">
        <v>23230</v>
      </c>
      <c r="AT297" s="16">
        <v>153343</v>
      </c>
      <c r="AU297" s="16">
        <v>1119080</v>
      </c>
      <c r="AV297" s="16">
        <v>572238</v>
      </c>
      <c r="AW297" s="16">
        <v>923554</v>
      </c>
      <c r="AX297" s="16">
        <v>440807</v>
      </c>
      <c r="AY297" s="16">
        <v>643569</v>
      </c>
      <c r="AZ297" s="16">
        <v>268952</v>
      </c>
      <c r="BA297" s="16">
        <v>393988</v>
      </c>
      <c r="BB297" s="16">
        <v>1115165</v>
      </c>
      <c r="BC297" s="16">
        <v>1922517</v>
      </c>
      <c r="BD297" s="16">
        <v>40206</v>
      </c>
      <c r="BE297" s="16">
        <v>231938</v>
      </c>
      <c r="BF297" s="16">
        <v>195999</v>
      </c>
      <c r="BG297" s="16">
        <v>124787</v>
      </c>
      <c r="BH297" s="16">
        <v>1076047</v>
      </c>
      <c r="BI297" s="16">
        <v>155298</v>
      </c>
      <c r="BJ297" s="16">
        <v>62930</v>
      </c>
      <c r="BK297" s="16">
        <v>51629</v>
      </c>
      <c r="BL297" s="16">
        <v>451389</v>
      </c>
      <c r="BM297" s="16">
        <v>51758</v>
      </c>
      <c r="BN297" s="16">
        <v>181938</v>
      </c>
      <c r="BO297" s="16">
        <v>62567</v>
      </c>
      <c r="BP297" s="16">
        <v>590830</v>
      </c>
      <c r="BQ297" s="16">
        <v>102268</v>
      </c>
      <c r="BR297" s="16">
        <v>206911</v>
      </c>
      <c r="BS297" s="16">
        <v>3003587</v>
      </c>
      <c r="BT297" s="16">
        <v>356896</v>
      </c>
      <c r="BU297" s="16">
        <v>25413</v>
      </c>
      <c r="BV297" s="16">
        <v>11426</v>
      </c>
      <c r="BW297" s="16">
        <v>335070</v>
      </c>
      <c r="BX297" s="16">
        <v>286152</v>
      </c>
      <c r="BY297" s="16">
        <v>613</v>
      </c>
      <c r="BZ297" s="16">
        <v>139462</v>
      </c>
      <c r="CA297" s="16">
        <v>281516</v>
      </c>
      <c r="CB297" s="16">
        <v>30655</v>
      </c>
      <c r="CC297" s="16">
        <v>188062</v>
      </c>
      <c r="CD297" s="16">
        <v>73669</v>
      </c>
      <c r="CE297" s="16">
        <v>52230</v>
      </c>
      <c r="CF297" s="16">
        <v>140429</v>
      </c>
      <c r="CG297" s="16">
        <v>169155</v>
      </c>
      <c r="CH297" s="16">
        <v>98059</v>
      </c>
      <c r="CI297" s="16">
        <v>14578</v>
      </c>
      <c r="CJ297" s="16">
        <v>208721</v>
      </c>
      <c r="CK297" s="16">
        <v>456521</v>
      </c>
      <c r="CL297" s="16">
        <v>629480</v>
      </c>
      <c r="CM297" s="16">
        <v>263447</v>
      </c>
      <c r="CN297" s="16">
        <v>74153</v>
      </c>
      <c r="CO297" s="16">
        <v>182014</v>
      </c>
      <c r="CP297" s="16">
        <v>143270</v>
      </c>
      <c r="CQ297" s="16">
        <v>782095</v>
      </c>
      <c r="CR297" s="16">
        <v>8662</v>
      </c>
      <c r="CS297" s="16">
        <v>199712</v>
      </c>
      <c r="CT297" s="16">
        <v>318099</v>
      </c>
      <c r="CU297" s="16">
        <v>181980</v>
      </c>
      <c r="CV297" s="16">
        <v>163873</v>
      </c>
      <c r="CW297" s="16">
        <v>831104</v>
      </c>
      <c r="CX297" s="16">
        <v>285552</v>
      </c>
      <c r="CY297" s="16">
        <v>69842</v>
      </c>
      <c r="CZ297" s="16">
        <v>227681</v>
      </c>
      <c r="DA297" s="16">
        <v>141046</v>
      </c>
      <c r="DB297" s="16">
        <v>239896</v>
      </c>
      <c r="DC297" s="16">
        <v>213457</v>
      </c>
      <c r="DD297" s="16">
        <v>317979</v>
      </c>
      <c r="DE297" s="16">
        <v>366468</v>
      </c>
      <c r="DF297" s="16">
        <v>422261</v>
      </c>
      <c r="DG297" s="16">
        <v>212281</v>
      </c>
      <c r="DH297" s="16">
        <v>1535465</v>
      </c>
      <c r="DI297" s="16">
        <v>93695</v>
      </c>
      <c r="DJ297" s="16">
        <v>1234233</v>
      </c>
      <c r="DK297" s="16">
        <v>100445</v>
      </c>
      <c r="DL297" s="16">
        <v>133531</v>
      </c>
      <c r="DM297" s="16">
        <v>2910808</v>
      </c>
      <c r="DN297" s="16">
        <v>313936</v>
      </c>
      <c r="DO297" s="16">
        <v>173165</v>
      </c>
      <c r="DP297" s="16">
        <v>333942</v>
      </c>
      <c r="DQ297" s="16">
        <v>47449</v>
      </c>
      <c r="DR297" s="16">
        <v>584867</v>
      </c>
      <c r="DS297" s="16">
        <v>1067306</v>
      </c>
      <c r="DT297" s="16">
        <v>121333</v>
      </c>
      <c r="DU297" s="16">
        <v>58068</v>
      </c>
      <c r="DV297" s="16">
        <v>1175159</v>
      </c>
      <c r="DW297" s="16">
        <v>779919</v>
      </c>
      <c r="DX297" s="16">
        <v>361229</v>
      </c>
      <c r="DY297" s="16">
        <v>587036</v>
      </c>
      <c r="DZ297" s="16">
        <v>1004926</v>
      </c>
      <c r="EA297" s="16">
        <v>1235966</v>
      </c>
      <c r="EB297" s="16">
        <v>384121</v>
      </c>
      <c r="EC297" s="16">
        <v>475273</v>
      </c>
      <c r="ED297" s="16">
        <v>53318</v>
      </c>
      <c r="EE297" s="16">
        <v>18245</v>
      </c>
      <c r="EF297" s="16">
        <v>53518</v>
      </c>
      <c r="EG297" s="16">
        <v>142733</v>
      </c>
      <c r="EH297" s="16">
        <v>47180</v>
      </c>
      <c r="EI297" s="16">
        <v>55072</v>
      </c>
      <c r="EJ297" s="16">
        <v>45586</v>
      </c>
      <c r="EK297" s="16">
        <v>74224</v>
      </c>
      <c r="EL297" s="16">
        <v>14448</v>
      </c>
      <c r="EM297" s="16">
        <v>87472</v>
      </c>
      <c r="EN297" s="16">
        <v>852418</v>
      </c>
      <c r="EO297" s="16">
        <v>296821</v>
      </c>
      <c r="EP297" s="16">
        <v>54560</v>
      </c>
      <c r="EQ297" s="16">
        <v>126450</v>
      </c>
      <c r="ER297" s="16">
        <v>38627</v>
      </c>
      <c r="ES297" s="16">
        <v>124990</v>
      </c>
      <c r="ET297" s="16">
        <v>135772</v>
      </c>
      <c r="EU297" s="16">
        <v>12853</v>
      </c>
      <c r="EV297" s="16">
        <v>64351</v>
      </c>
      <c r="EW297" s="16">
        <v>33273</v>
      </c>
      <c r="EX297" s="16">
        <v>388829</v>
      </c>
      <c r="EY297" s="16">
        <v>77510</v>
      </c>
      <c r="EZ297" s="16">
        <v>42084</v>
      </c>
      <c r="FA297" s="16">
        <v>103760</v>
      </c>
      <c r="FB297" s="16">
        <v>245136</v>
      </c>
      <c r="FC297" s="16">
        <v>95345</v>
      </c>
      <c r="FD297" s="16">
        <v>517218</v>
      </c>
      <c r="FE297" s="16">
        <v>244793</v>
      </c>
      <c r="FF297" s="16">
        <v>547881</v>
      </c>
      <c r="FG297" s="16">
        <v>421230</v>
      </c>
      <c r="FH297" s="16">
        <v>170279</v>
      </c>
      <c r="FI297" s="16">
        <v>169970</v>
      </c>
      <c r="FJ297" s="16">
        <v>90506</v>
      </c>
      <c r="FK297" s="16">
        <v>360099</v>
      </c>
      <c r="FL297" s="16">
        <v>31042</v>
      </c>
      <c r="FM297" s="16">
        <v>377154</v>
      </c>
      <c r="FN297" s="16">
        <v>363932</v>
      </c>
      <c r="FO297" s="16">
        <v>204392</v>
      </c>
      <c r="FP297" s="16">
        <v>232314</v>
      </c>
      <c r="FQ297" s="16">
        <v>628711</v>
      </c>
      <c r="FR297" s="16">
        <v>591405</v>
      </c>
      <c r="FS297" s="16">
        <v>131460</v>
      </c>
      <c r="FT297" s="16">
        <v>280437</v>
      </c>
      <c r="FU297" s="16">
        <v>134616</v>
      </c>
      <c r="FV297" s="16">
        <v>335016</v>
      </c>
      <c r="FW297" s="16">
        <v>469656</v>
      </c>
      <c r="FX297" s="16">
        <v>690232</v>
      </c>
      <c r="FY297" s="16">
        <v>86533</v>
      </c>
      <c r="FZ297" s="16">
        <v>169477</v>
      </c>
      <c r="GA297" s="16">
        <v>173322</v>
      </c>
      <c r="GB297" s="16">
        <v>356686</v>
      </c>
      <c r="GC297" s="16">
        <v>131275</v>
      </c>
      <c r="GD297" s="16">
        <v>448533</v>
      </c>
      <c r="GE297" s="16">
        <v>213634</v>
      </c>
      <c r="GF297" s="16">
        <v>2443509</v>
      </c>
      <c r="GG297" s="16">
        <v>440795</v>
      </c>
      <c r="GH297" s="16">
        <v>1285550</v>
      </c>
      <c r="GI297" s="16">
        <v>394645</v>
      </c>
      <c r="GJ297" s="16">
        <v>299624</v>
      </c>
      <c r="GK297" s="16">
        <v>276418</v>
      </c>
      <c r="GL297" s="16">
        <v>74470</v>
      </c>
      <c r="GM297" s="16">
        <v>389205</v>
      </c>
      <c r="GN297" s="16">
        <v>201121</v>
      </c>
      <c r="GO297" s="16">
        <v>209629</v>
      </c>
      <c r="GP297" s="16">
        <v>2799512</v>
      </c>
      <c r="GQ297" s="16">
        <v>795275</v>
      </c>
      <c r="GR297" s="16">
        <v>17918</v>
      </c>
      <c r="GS297" s="16">
        <v>174547</v>
      </c>
      <c r="GT297" s="16">
        <v>153768</v>
      </c>
      <c r="GU297" s="16">
        <v>1073287</v>
      </c>
      <c r="GV297" s="16">
        <v>917221</v>
      </c>
      <c r="GW297" s="16">
        <v>301995</v>
      </c>
      <c r="GX297" s="16">
        <v>356547</v>
      </c>
      <c r="GY297" s="16">
        <v>10574</v>
      </c>
      <c r="GZ297" s="16">
        <v>403519</v>
      </c>
      <c r="HA297" s="16">
        <v>228157</v>
      </c>
      <c r="HB297" s="16">
        <v>263772</v>
      </c>
      <c r="HC297" s="16">
        <v>497349</v>
      </c>
      <c r="HD297" s="16">
        <v>561990</v>
      </c>
      <c r="HE297" s="16">
        <v>2188552</v>
      </c>
      <c r="HF297" s="16">
        <v>594165</v>
      </c>
      <c r="HG297" s="16">
        <v>217012</v>
      </c>
      <c r="HH297" s="16">
        <v>216585</v>
      </c>
      <c r="HI297" s="16">
        <v>421228</v>
      </c>
      <c r="HJ297" s="16">
        <v>65218</v>
      </c>
      <c r="HK297" s="16">
        <v>585628</v>
      </c>
      <c r="HL297" s="16">
        <v>1331769</v>
      </c>
      <c r="HM297" s="16">
        <v>354644</v>
      </c>
      <c r="HN297" s="16">
        <v>567761</v>
      </c>
      <c r="HO297" s="16">
        <v>286806</v>
      </c>
      <c r="HP297" s="16">
        <v>178906</v>
      </c>
      <c r="HQ297" s="16">
        <v>809570</v>
      </c>
      <c r="HR297" s="16">
        <v>922858</v>
      </c>
      <c r="HS297" s="16">
        <v>683436</v>
      </c>
      <c r="HT297" s="16">
        <v>93649</v>
      </c>
      <c r="HU297" s="16">
        <v>566785</v>
      </c>
      <c r="HV297" s="16">
        <v>318950</v>
      </c>
      <c r="HW297" s="16">
        <v>609398</v>
      </c>
      <c r="HX297" s="16">
        <v>439677</v>
      </c>
      <c r="HY297" s="16">
        <v>223321</v>
      </c>
      <c r="HZ297" s="16">
        <v>503010</v>
      </c>
      <c r="IA297" s="16">
        <v>145505</v>
      </c>
      <c r="IB297" s="16">
        <v>61474</v>
      </c>
      <c r="IC297" s="16">
        <v>34203</v>
      </c>
      <c r="ID297" s="16">
        <v>148228</v>
      </c>
      <c r="IE297" s="16">
        <v>42019</v>
      </c>
      <c r="IF297" s="16">
        <v>83281</v>
      </c>
      <c r="IG297" s="16">
        <v>599744</v>
      </c>
      <c r="IH297" s="16">
        <v>5396384</v>
      </c>
      <c r="II297" s="16">
        <v>1210906</v>
      </c>
      <c r="IJ297" s="16">
        <v>247123</v>
      </c>
      <c r="IK297" s="16">
        <v>452647</v>
      </c>
      <c r="IL297" s="16">
        <v>151154</v>
      </c>
      <c r="IM297" s="16">
        <v>20467</v>
      </c>
      <c r="IN297" s="16">
        <v>280234</v>
      </c>
      <c r="IO297" s="16">
        <v>4477065</v>
      </c>
      <c r="IP297" s="16">
        <v>1430618</v>
      </c>
      <c r="IQ297" s="16">
        <v>150487</v>
      </c>
      <c r="IR297" s="16">
        <v>150620</v>
      </c>
      <c r="IS297" s="16">
        <v>81770</v>
      </c>
      <c r="IT297" s="16">
        <v>142937</v>
      </c>
      <c r="IU297" s="16">
        <v>20075</v>
      </c>
      <c r="IV297" s="16">
        <v>261128</v>
      </c>
      <c r="IW297" s="16">
        <v>869422</v>
      </c>
      <c r="IX297" s="16">
        <v>168550</v>
      </c>
      <c r="IY297" s="16">
        <v>394393</v>
      </c>
      <c r="IZ297" s="16">
        <v>99379</v>
      </c>
      <c r="JA297" s="16">
        <v>168730</v>
      </c>
      <c r="JB297" s="16">
        <v>35843</v>
      </c>
      <c r="JC297" s="16">
        <v>34844</v>
      </c>
      <c r="JD297" s="16">
        <v>239616</v>
      </c>
      <c r="JE297" s="16">
        <v>264846</v>
      </c>
      <c r="JF297" s="16">
        <v>225809</v>
      </c>
      <c r="JG297" s="16">
        <v>2120833</v>
      </c>
      <c r="JH297" s="16">
        <v>240135</v>
      </c>
      <c r="JI297" s="16">
        <v>8172</v>
      </c>
      <c r="JJ297" s="16">
        <v>901637</v>
      </c>
      <c r="JK297" s="16">
        <v>143037</v>
      </c>
      <c r="JL297" s="16">
        <v>93934</v>
      </c>
      <c r="JM297" s="16">
        <v>24114</v>
      </c>
      <c r="JN297" s="16">
        <v>699594</v>
      </c>
      <c r="JO297" s="16">
        <v>1416140</v>
      </c>
      <c r="JP297" s="16">
        <v>303609</v>
      </c>
      <c r="JQ297" s="16">
        <v>137850</v>
      </c>
      <c r="JR297" s="16">
        <v>339849</v>
      </c>
      <c r="JS297" s="16">
        <v>124211</v>
      </c>
      <c r="JT297" s="16">
        <v>8</v>
      </c>
      <c r="JU297" s="16">
        <v>329255</v>
      </c>
      <c r="JV297" s="16">
        <v>105606</v>
      </c>
      <c r="JW297" s="16">
        <v>4027135</v>
      </c>
      <c r="JX297" s="16">
        <v>4681203</v>
      </c>
      <c r="JY297" s="16">
        <v>1180753</v>
      </c>
      <c r="JZ297" s="16">
        <v>451188</v>
      </c>
      <c r="KA297" s="16">
        <v>135046</v>
      </c>
      <c r="KB297" s="16">
        <v>47797</v>
      </c>
      <c r="KC297" s="16">
        <v>108479</v>
      </c>
      <c r="KD297" s="16">
        <v>195603</v>
      </c>
      <c r="KE297" s="16">
        <v>52999</v>
      </c>
      <c r="KF297" s="16">
        <v>275932</v>
      </c>
      <c r="KG297" s="16">
        <v>74189</v>
      </c>
      <c r="KH297" s="16">
        <v>305777</v>
      </c>
      <c r="KI297" s="16">
        <v>471991</v>
      </c>
      <c r="KJ297" s="16">
        <v>324555</v>
      </c>
      <c r="KK297" s="16">
        <v>17942218</v>
      </c>
      <c r="KL297" s="16">
        <v>16909</v>
      </c>
      <c r="KM297" s="16">
        <v>494755</v>
      </c>
      <c r="KN297" s="16">
        <v>895394</v>
      </c>
      <c r="KO297" s="16">
        <v>70563</v>
      </c>
      <c r="KP297" s="16">
        <v>166907</v>
      </c>
      <c r="KQ297" s="16">
        <v>131499</v>
      </c>
      <c r="KR297" s="16">
        <v>112841</v>
      </c>
      <c r="KS297" s="16">
        <v>31184</v>
      </c>
      <c r="KT297" s="16">
        <v>12893</v>
      </c>
      <c r="KU297" s="16">
        <v>140154</v>
      </c>
      <c r="KV297" s="16">
        <v>591931</v>
      </c>
      <c r="KW297" s="16">
        <v>262246</v>
      </c>
      <c r="KX297" s="16">
        <v>8383</v>
      </c>
      <c r="KY297" s="16">
        <v>406347</v>
      </c>
      <c r="KZ297" s="16">
        <v>9996817</v>
      </c>
      <c r="LA297" s="16">
        <v>3559424</v>
      </c>
      <c r="LB297" s="16">
        <v>1429150</v>
      </c>
      <c r="LC297" s="16">
        <v>1369994</v>
      </c>
      <c r="LD297" s="16">
        <v>778284</v>
      </c>
      <c r="LE297" s="16">
        <v>172347</v>
      </c>
      <c r="LF297" s="16">
        <v>5672504</v>
      </c>
      <c r="LG297" s="16">
        <v>55183</v>
      </c>
      <c r="LH297" s="16">
        <v>132183</v>
      </c>
      <c r="LI297" s="16">
        <v>41066</v>
      </c>
      <c r="LJ297" s="16">
        <v>73343</v>
      </c>
      <c r="LK297" s="16">
        <v>186312</v>
      </c>
      <c r="LL297" s="16">
        <v>220630</v>
      </c>
      <c r="LM297" s="16">
        <v>808632</v>
      </c>
      <c r="LN297" s="16">
        <v>712906</v>
      </c>
      <c r="LO297" s="16">
        <v>469432</v>
      </c>
      <c r="LP297" s="16">
        <v>321096</v>
      </c>
      <c r="LQ297" s="16">
        <v>37295</v>
      </c>
      <c r="LR297" s="16">
        <v>119933</v>
      </c>
      <c r="LS297" s="16">
        <v>34951</v>
      </c>
      <c r="LT297" s="16">
        <v>151871</v>
      </c>
      <c r="LU297" s="16">
        <v>66375</v>
      </c>
      <c r="LV297" s="16">
        <v>780</v>
      </c>
      <c r="LW297" s="16">
        <v>52790</v>
      </c>
      <c r="LX297" s="16">
        <v>105993</v>
      </c>
      <c r="LY297" s="16">
        <v>119095</v>
      </c>
      <c r="LZ297" s="16">
        <v>158620</v>
      </c>
      <c r="MA297" s="16">
        <v>147121</v>
      </c>
      <c r="MB297" s="16">
        <v>346214</v>
      </c>
      <c r="MC297" s="16">
        <v>212100</v>
      </c>
      <c r="MD297" s="16">
        <v>198722</v>
      </c>
      <c r="ME297" s="16">
        <v>37155</v>
      </c>
      <c r="MF297" s="16">
        <v>1421302</v>
      </c>
      <c r="MG297" s="16">
        <v>128873</v>
      </c>
      <c r="MH297" s="16">
        <v>3488671</v>
      </c>
      <c r="MI297" s="16">
        <v>55365</v>
      </c>
      <c r="MJ297" s="16">
        <v>120138</v>
      </c>
      <c r="MK297" s="16">
        <v>304990</v>
      </c>
      <c r="ML297" s="16">
        <v>139714</v>
      </c>
      <c r="MM297" s="16">
        <v>689504</v>
      </c>
      <c r="MN297" s="16">
        <v>723848</v>
      </c>
      <c r="MO297" s="16">
        <v>915758</v>
      </c>
      <c r="MP297" s="16">
        <v>308931</v>
      </c>
      <c r="MQ297" s="16">
        <v>612919</v>
      </c>
      <c r="MR297" s="16">
        <v>1545440</v>
      </c>
      <c r="MS297" s="16">
        <v>639972</v>
      </c>
      <c r="MT297" s="16">
        <v>52232</v>
      </c>
      <c r="MU297" s="16">
        <v>1159476</v>
      </c>
      <c r="MV297" s="16">
        <v>347553</v>
      </c>
      <c r="MW297" s="16">
        <v>1017305</v>
      </c>
      <c r="MX297" s="16">
        <v>180093</v>
      </c>
      <c r="MY297" s="16">
        <v>3456338</v>
      </c>
      <c r="MZ297" s="16">
        <v>8445537</v>
      </c>
      <c r="NA297" s="16">
        <v>138328</v>
      </c>
      <c r="NB297" s="16">
        <v>1329318</v>
      </c>
      <c r="NC297" s="16">
        <v>202121</v>
      </c>
      <c r="ND297" s="16">
        <v>178066</v>
      </c>
      <c r="NE297" s="16">
        <v>65443</v>
      </c>
      <c r="NF297" s="16">
        <v>90487</v>
      </c>
      <c r="NG297" s="16">
        <v>681233</v>
      </c>
      <c r="NH297" s="16">
        <v>667714</v>
      </c>
      <c r="NI297" s="16">
        <v>155005</v>
      </c>
      <c r="NJ297" s="16">
        <v>624426</v>
      </c>
      <c r="NK297" s="16">
        <v>937593</v>
      </c>
      <c r="NL297" s="16">
        <v>248415</v>
      </c>
      <c r="NM297" s="16">
        <v>1079423</v>
      </c>
      <c r="NN297" s="16">
        <v>164975</v>
      </c>
      <c r="NO297" s="16">
        <v>0</v>
      </c>
      <c r="NP297" s="16">
        <v>372533</v>
      </c>
      <c r="NQ297" s="16">
        <v>43486</v>
      </c>
      <c r="NR297" s="17">
        <v>204013559</v>
      </c>
    </row>
    <row r="298" spans="1:382" ht="13.5" customHeight="1" x14ac:dyDescent="0.2">
      <c r="A298" s="2" t="s">
        <v>603</v>
      </c>
      <c r="B298" s="16">
        <v>30</v>
      </c>
      <c r="C298" s="16">
        <v>1</v>
      </c>
      <c r="D298" s="16">
        <v>3</v>
      </c>
      <c r="E298" s="16">
        <v>6</v>
      </c>
      <c r="F298" s="16">
        <v>97</v>
      </c>
      <c r="G298" s="16">
        <v>28</v>
      </c>
      <c r="H298" s="16">
        <v>5</v>
      </c>
      <c r="I298" s="16">
        <v>6</v>
      </c>
      <c r="J298" s="16">
        <v>0</v>
      </c>
      <c r="K298" s="16">
        <v>0</v>
      </c>
      <c r="L298" s="16">
        <v>2</v>
      </c>
      <c r="M298" s="16">
        <v>3</v>
      </c>
      <c r="N298" s="16">
        <v>0</v>
      </c>
      <c r="O298" s="16">
        <v>34</v>
      </c>
      <c r="P298" s="16">
        <v>237</v>
      </c>
      <c r="Q298" s="16">
        <v>1900</v>
      </c>
      <c r="R298" s="16">
        <v>320</v>
      </c>
      <c r="S298" s="16">
        <v>325</v>
      </c>
      <c r="T298" s="16">
        <v>11675</v>
      </c>
      <c r="U298" s="16">
        <v>0</v>
      </c>
      <c r="V298" s="16">
        <v>1</v>
      </c>
      <c r="W298" s="16">
        <v>1</v>
      </c>
      <c r="X298" s="16">
        <v>1542</v>
      </c>
      <c r="Y298" s="16">
        <v>16</v>
      </c>
      <c r="Z298" s="16">
        <v>5134</v>
      </c>
      <c r="AA298" s="16">
        <v>1508</v>
      </c>
      <c r="AB298" s="16">
        <v>0</v>
      </c>
      <c r="AC298" s="16">
        <v>0</v>
      </c>
      <c r="AD298" s="16">
        <v>0</v>
      </c>
      <c r="AE298" s="16">
        <v>1582</v>
      </c>
      <c r="AF298" s="16">
        <v>0</v>
      </c>
      <c r="AG298" s="16">
        <v>15630</v>
      </c>
      <c r="AH298" s="16">
        <v>26247</v>
      </c>
      <c r="AI298" s="16">
        <v>649</v>
      </c>
      <c r="AJ298" s="16">
        <v>863</v>
      </c>
      <c r="AK298" s="16">
        <v>1</v>
      </c>
      <c r="AL298" s="16">
        <v>2112</v>
      </c>
      <c r="AM298" s="16">
        <v>4637</v>
      </c>
      <c r="AN298" s="16">
        <v>251</v>
      </c>
      <c r="AO298" s="16">
        <v>1573</v>
      </c>
      <c r="AP298" s="16">
        <v>166</v>
      </c>
      <c r="AQ298" s="16">
        <v>2565</v>
      </c>
      <c r="AR298" s="16">
        <v>0</v>
      </c>
      <c r="AS298" s="16">
        <v>1373</v>
      </c>
      <c r="AT298" s="16">
        <v>119</v>
      </c>
      <c r="AU298" s="16">
        <v>1535</v>
      </c>
      <c r="AV298" s="16">
        <v>138</v>
      </c>
      <c r="AW298" s="16">
        <v>4469</v>
      </c>
      <c r="AX298" s="16">
        <v>1590</v>
      </c>
      <c r="AY298" s="16">
        <v>842</v>
      </c>
      <c r="AZ298" s="16">
        <v>9</v>
      </c>
      <c r="BA298" s="16">
        <v>716</v>
      </c>
      <c r="BB298" s="16">
        <v>5036</v>
      </c>
      <c r="BC298" s="16">
        <v>3009</v>
      </c>
      <c r="BD298" s="16">
        <v>109</v>
      </c>
      <c r="BE298" s="16">
        <v>1095</v>
      </c>
      <c r="BF298" s="16">
        <v>950</v>
      </c>
      <c r="BG298" s="16">
        <v>1111</v>
      </c>
      <c r="BH298" s="16">
        <v>1879</v>
      </c>
      <c r="BI298" s="16">
        <v>505</v>
      </c>
      <c r="BJ298" s="16">
        <v>124</v>
      </c>
      <c r="BK298" s="16">
        <v>84</v>
      </c>
      <c r="BL298" s="16">
        <v>2265</v>
      </c>
      <c r="BM298" s="16">
        <v>87</v>
      </c>
      <c r="BN298" s="16">
        <v>292</v>
      </c>
      <c r="BO298" s="16">
        <v>2056</v>
      </c>
      <c r="BP298" s="16">
        <v>1064</v>
      </c>
      <c r="BQ298" s="16">
        <v>536</v>
      </c>
      <c r="BR298" s="16">
        <v>997</v>
      </c>
      <c r="BS298" s="16">
        <v>2285</v>
      </c>
      <c r="BT298" s="16">
        <v>68</v>
      </c>
      <c r="BU298" s="16">
        <v>3</v>
      </c>
      <c r="BV298" s="16">
        <v>14</v>
      </c>
      <c r="BW298" s="16">
        <v>352</v>
      </c>
      <c r="BX298" s="16">
        <v>241</v>
      </c>
      <c r="BY298" s="16">
        <v>0</v>
      </c>
      <c r="BZ298" s="16">
        <v>38</v>
      </c>
      <c r="CA298" s="16">
        <v>170</v>
      </c>
      <c r="CB298" s="16">
        <v>0</v>
      </c>
      <c r="CC298" s="16">
        <v>35</v>
      </c>
      <c r="CD298" s="16">
        <v>1188</v>
      </c>
      <c r="CE298" s="16">
        <v>662</v>
      </c>
      <c r="CF298" s="16">
        <v>935</v>
      </c>
      <c r="CG298" s="16">
        <v>775</v>
      </c>
      <c r="CH298" s="16">
        <v>111</v>
      </c>
      <c r="CI298" s="16">
        <v>201</v>
      </c>
      <c r="CJ298" s="16">
        <v>1828</v>
      </c>
      <c r="CK298" s="16">
        <v>4779</v>
      </c>
      <c r="CL298" s="16">
        <v>706</v>
      </c>
      <c r="CM298" s="16">
        <v>924</v>
      </c>
      <c r="CN298" s="16">
        <v>581</v>
      </c>
      <c r="CO298" s="16">
        <v>1078</v>
      </c>
      <c r="CP298" s="16">
        <v>835</v>
      </c>
      <c r="CQ298" s="16">
        <v>3461</v>
      </c>
      <c r="CR298" s="16">
        <v>539</v>
      </c>
      <c r="CS298" s="16">
        <v>4261</v>
      </c>
      <c r="CT298" s="16">
        <v>5690</v>
      </c>
      <c r="CU298" s="16">
        <v>3953</v>
      </c>
      <c r="CV298" s="16">
        <v>900</v>
      </c>
      <c r="CW298" s="16">
        <v>14646</v>
      </c>
      <c r="CX298" s="16">
        <v>3761</v>
      </c>
      <c r="CY298" s="16">
        <v>1253</v>
      </c>
      <c r="CZ298" s="16">
        <v>2102</v>
      </c>
      <c r="DA298" s="16">
        <v>2824</v>
      </c>
      <c r="DB298" s="16">
        <v>2070</v>
      </c>
      <c r="DC298" s="16">
        <v>5222</v>
      </c>
      <c r="DD298" s="16">
        <v>7187</v>
      </c>
      <c r="DE298" s="16">
        <v>12721</v>
      </c>
      <c r="DF298" s="16">
        <v>6563</v>
      </c>
      <c r="DG298" s="16">
        <v>3360</v>
      </c>
      <c r="DH298" s="16">
        <v>10071</v>
      </c>
      <c r="DI298" s="16">
        <v>6307</v>
      </c>
      <c r="DJ298" s="16">
        <v>24989</v>
      </c>
      <c r="DK298" s="16">
        <v>916</v>
      </c>
      <c r="DL298" s="16">
        <v>816</v>
      </c>
      <c r="DM298" s="16">
        <v>30497</v>
      </c>
      <c r="DN298" s="16">
        <v>3209</v>
      </c>
      <c r="DO298" s="16">
        <v>2432</v>
      </c>
      <c r="DP298" s="16">
        <v>1061</v>
      </c>
      <c r="DQ298" s="16">
        <v>59</v>
      </c>
      <c r="DR298" s="16">
        <v>1001</v>
      </c>
      <c r="DS298" s="16">
        <v>5196</v>
      </c>
      <c r="DT298" s="16">
        <v>2469</v>
      </c>
      <c r="DU298" s="16">
        <v>838</v>
      </c>
      <c r="DV298" s="16">
        <v>6136</v>
      </c>
      <c r="DW298" s="16">
        <v>5454</v>
      </c>
      <c r="DX298" s="16">
        <v>2057</v>
      </c>
      <c r="DY298" s="16">
        <v>2631</v>
      </c>
      <c r="DZ298" s="16">
        <v>18654</v>
      </c>
      <c r="EA298" s="16">
        <v>5964</v>
      </c>
      <c r="EB298" s="16">
        <v>1910</v>
      </c>
      <c r="EC298" s="16">
        <v>957</v>
      </c>
      <c r="ED298" s="16">
        <v>413</v>
      </c>
      <c r="EE298" s="16">
        <v>324</v>
      </c>
      <c r="EF298" s="16">
        <v>967</v>
      </c>
      <c r="EG298" s="16">
        <v>725</v>
      </c>
      <c r="EH298" s="16">
        <v>351</v>
      </c>
      <c r="EI298" s="16">
        <v>137</v>
      </c>
      <c r="EJ298" s="16">
        <v>232</v>
      </c>
      <c r="EK298" s="16">
        <v>2018</v>
      </c>
      <c r="EL298" s="16">
        <v>283</v>
      </c>
      <c r="EM298" s="16">
        <v>137292</v>
      </c>
      <c r="EN298" s="16">
        <v>27989</v>
      </c>
      <c r="EO298" s="16">
        <v>6763</v>
      </c>
      <c r="EP298" s="16">
        <v>3410</v>
      </c>
      <c r="EQ298" s="16">
        <v>1209</v>
      </c>
      <c r="ER298" s="16">
        <v>156</v>
      </c>
      <c r="ES298" s="16">
        <v>1318</v>
      </c>
      <c r="ET298" s="16">
        <v>3298</v>
      </c>
      <c r="EU298" s="16">
        <v>209</v>
      </c>
      <c r="EV298" s="16">
        <v>901</v>
      </c>
      <c r="EW298" s="16">
        <v>1274</v>
      </c>
      <c r="EX298" s="16">
        <v>23356</v>
      </c>
      <c r="EY298" s="16">
        <v>8774</v>
      </c>
      <c r="EZ298" s="16">
        <v>4226</v>
      </c>
      <c r="FA298" s="16">
        <v>2049</v>
      </c>
      <c r="FB298" s="16">
        <v>19474</v>
      </c>
      <c r="FC298" s="16">
        <v>1272</v>
      </c>
      <c r="FD298" s="16">
        <v>5132</v>
      </c>
      <c r="FE298" s="16">
        <v>3691</v>
      </c>
      <c r="FF298" s="16">
        <v>8176</v>
      </c>
      <c r="FG298" s="16">
        <v>7289</v>
      </c>
      <c r="FH298" s="16">
        <v>1882</v>
      </c>
      <c r="FI298" s="16">
        <v>9967</v>
      </c>
      <c r="FJ298" s="16">
        <v>8498</v>
      </c>
      <c r="FK298" s="16">
        <v>162</v>
      </c>
      <c r="FL298" s="16">
        <v>716</v>
      </c>
      <c r="FM298" s="16">
        <v>282</v>
      </c>
      <c r="FN298" s="16">
        <v>4090</v>
      </c>
      <c r="FO298" s="16">
        <v>205</v>
      </c>
      <c r="FP298" s="16">
        <v>1987</v>
      </c>
      <c r="FQ298" s="16">
        <v>3583</v>
      </c>
      <c r="FR298" s="16">
        <v>2057</v>
      </c>
      <c r="FS298" s="16">
        <v>5089</v>
      </c>
      <c r="FT298" s="16">
        <v>20900</v>
      </c>
      <c r="FU298" s="16">
        <v>649</v>
      </c>
      <c r="FV298" s="16">
        <v>3226</v>
      </c>
      <c r="FW298" s="16">
        <v>1754</v>
      </c>
      <c r="FX298" s="16">
        <v>4822</v>
      </c>
      <c r="FY298" s="16">
        <v>1940</v>
      </c>
      <c r="FZ298" s="16">
        <v>2445</v>
      </c>
      <c r="GA298" s="16">
        <v>1028</v>
      </c>
      <c r="GB298" s="16">
        <v>970</v>
      </c>
      <c r="GC298" s="16">
        <v>520</v>
      </c>
      <c r="GD298" s="16">
        <v>9828</v>
      </c>
      <c r="GE298" s="16">
        <v>1425</v>
      </c>
      <c r="GF298" s="16">
        <v>9271</v>
      </c>
      <c r="GG298" s="16">
        <v>34561</v>
      </c>
      <c r="GH298" s="16">
        <v>2526</v>
      </c>
      <c r="GI298" s="16">
        <v>967</v>
      </c>
      <c r="GJ298" s="16">
        <v>1491</v>
      </c>
      <c r="GK298" s="16">
        <v>2606</v>
      </c>
      <c r="GL298" s="16">
        <v>258</v>
      </c>
      <c r="GM298" s="16">
        <v>261</v>
      </c>
      <c r="GN298" s="16">
        <v>120</v>
      </c>
      <c r="GO298" s="16">
        <v>1497</v>
      </c>
      <c r="GP298" s="16">
        <v>14689</v>
      </c>
      <c r="GQ298" s="16">
        <v>434</v>
      </c>
      <c r="GR298" s="16">
        <v>747</v>
      </c>
      <c r="GS298" s="16">
        <v>382</v>
      </c>
      <c r="GT298" s="16">
        <v>229</v>
      </c>
      <c r="GU298" s="16">
        <v>6493</v>
      </c>
      <c r="GV298" s="16">
        <v>1920</v>
      </c>
      <c r="GW298" s="16">
        <v>10622</v>
      </c>
      <c r="GX298" s="16">
        <v>1456</v>
      </c>
      <c r="GY298" s="16">
        <v>3</v>
      </c>
      <c r="GZ298" s="16">
        <v>1904</v>
      </c>
      <c r="HA298" s="16">
        <v>456</v>
      </c>
      <c r="HB298" s="16">
        <v>409</v>
      </c>
      <c r="HC298" s="16">
        <v>2106</v>
      </c>
      <c r="HD298" s="16">
        <v>5030</v>
      </c>
      <c r="HE298" s="16">
        <v>3156</v>
      </c>
      <c r="HF298" s="16">
        <v>1010</v>
      </c>
      <c r="HG298" s="16">
        <v>958</v>
      </c>
      <c r="HH298" s="16">
        <v>4159</v>
      </c>
      <c r="HI298" s="16">
        <v>4077</v>
      </c>
      <c r="HJ298" s="16">
        <v>753</v>
      </c>
      <c r="HK298" s="16">
        <v>7724</v>
      </c>
      <c r="HL298" s="16">
        <v>2163</v>
      </c>
      <c r="HM298" s="16">
        <v>106</v>
      </c>
      <c r="HN298" s="16">
        <v>11058</v>
      </c>
      <c r="HO298" s="16">
        <v>1923</v>
      </c>
      <c r="HP298" s="16">
        <v>658</v>
      </c>
      <c r="HQ298" s="16">
        <v>15208</v>
      </c>
      <c r="HR298" s="16">
        <v>9717</v>
      </c>
      <c r="HS298" s="16">
        <v>1989</v>
      </c>
      <c r="HT298" s="16">
        <v>74</v>
      </c>
      <c r="HU298" s="16">
        <v>3567</v>
      </c>
      <c r="HV298" s="16">
        <v>2275</v>
      </c>
      <c r="HW298" s="16">
        <v>3128</v>
      </c>
      <c r="HX298" s="16">
        <v>9289</v>
      </c>
      <c r="HY298" s="16">
        <v>2625</v>
      </c>
      <c r="HZ298" s="16">
        <v>700</v>
      </c>
      <c r="IA298" s="16">
        <v>1239</v>
      </c>
      <c r="IB298" s="16">
        <v>1016</v>
      </c>
      <c r="IC298" s="16">
        <v>425</v>
      </c>
      <c r="ID298" s="16">
        <v>498</v>
      </c>
      <c r="IE298" s="16">
        <v>950</v>
      </c>
      <c r="IF298" s="16">
        <v>1445</v>
      </c>
      <c r="IG298" s="16">
        <v>16854</v>
      </c>
      <c r="IH298" s="16">
        <v>31335</v>
      </c>
      <c r="II298" s="16">
        <v>3423</v>
      </c>
      <c r="IJ298" s="16">
        <v>77</v>
      </c>
      <c r="IK298" s="16">
        <v>158</v>
      </c>
      <c r="IL298" s="16">
        <v>1250</v>
      </c>
      <c r="IM298" s="16">
        <v>1215</v>
      </c>
      <c r="IN298" s="16">
        <v>14442</v>
      </c>
      <c r="IO298" s="16">
        <v>30547</v>
      </c>
      <c r="IP298" s="16">
        <v>2800</v>
      </c>
      <c r="IQ298" s="16">
        <v>287</v>
      </c>
      <c r="IR298" s="16">
        <v>73</v>
      </c>
      <c r="IS298" s="16">
        <v>5403</v>
      </c>
      <c r="IT298" s="16">
        <v>8856</v>
      </c>
      <c r="IU298" s="16">
        <v>37</v>
      </c>
      <c r="IV298" s="16">
        <v>4790</v>
      </c>
      <c r="IW298" s="16">
        <v>1325</v>
      </c>
      <c r="IX298" s="16">
        <v>928</v>
      </c>
      <c r="IY298" s="16">
        <v>106</v>
      </c>
      <c r="IZ298" s="16">
        <v>912</v>
      </c>
      <c r="JA298" s="16">
        <v>834</v>
      </c>
      <c r="JB298" s="16">
        <v>26</v>
      </c>
      <c r="JC298" s="16">
        <v>1122</v>
      </c>
      <c r="JD298" s="16">
        <v>658</v>
      </c>
      <c r="JE298" s="16">
        <v>1725</v>
      </c>
      <c r="JF298" s="16">
        <v>1763</v>
      </c>
      <c r="JG298" s="16">
        <v>44107</v>
      </c>
      <c r="JH298" s="16">
        <v>6010</v>
      </c>
      <c r="JI298" s="16">
        <v>1582</v>
      </c>
      <c r="JJ298" s="16">
        <v>12653</v>
      </c>
      <c r="JK298" s="16">
        <v>1771</v>
      </c>
      <c r="JL298" s="16">
        <v>446</v>
      </c>
      <c r="JM298" s="16">
        <v>67</v>
      </c>
      <c r="JN298" s="16">
        <v>148</v>
      </c>
      <c r="JO298" s="16">
        <v>12817</v>
      </c>
      <c r="JP298" s="16">
        <v>28544</v>
      </c>
      <c r="JQ298" s="16">
        <v>2582</v>
      </c>
      <c r="JR298" s="16">
        <v>382</v>
      </c>
      <c r="JS298" s="16">
        <v>114</v>
      </c>
      <c r="JT298" s="16">
        <v>0</v>
      </c>
      <c r="JU298" s="16">
        <v>873</v>
      </c>
      <c r="JV298" s="16">
        <v>21950</v>
      </c>
      <c r="JW298" s="16">
        <v>1365</v>
      </c>
      <c r="JX298" s="16">
        <v>1110</v>
      </c>
      <c r="JY298" s="16">
        <v>1076</v>
      </c>
      <c r="JZ298" s="16">
        <v>421</v>
      </c>
      <c r="KA298" s="16">
        <v>1765</v>
      </c>
      <c r="KB298" s="16">
        <v>695</v>
      </c>
      <c r="KC298" s="16">
        <v>191</v>
      </c>
      <c r="KD298" s="16">
        <v>277</v>
      </c>
      <c r="KE298" s="16">
        <v>90</v>
      </c>
      <c r="KF298" s="16">
        <v>551</v>
      </c>
      <c r="KG298" s="16">
        <v>62</v>
      </c>
      <c r="KH298" s="16">
        <v>520</v>
      </c>
      <c r="KI298" s="16">
        <v>282</v>
      </c>
      <c r="KJ298" s="16">
        <v>249</v>
      </c>
      <c r="KK298" s="16">
        <v>518652</v>
      </c>
      <c r="KL298" s="16">
        <v>757</v>
      </c>
      <c r="KM298" s="16">
        <v>1080</v>
      </c>
      <c r="KN298" s="16">
        <v>614373</v>
      </c>
      <c r="KO298" s="16">
        <v>2036</v>
      </c>
      <c r="KP298" s="16">
        <v>488</v>
      </c>
      <c r="KQ298" s="16">
        <v>777</v>
      </c>
      <c r="KR298" s="16">
        <v>29202</v>
      </c>
      <c r="KS298" s="16">
        <v>682</v>
      </c>
      <c r="KT298" s="16">
        <v>1133</v>
      </c>
      <c r="KU298" s="16">
        <v>6619</v>
      </c>
      <c r="KV298" s="16">
        <v>21857</v>
      </c>
      <c r="KW298" s="16">
        <v>45181</v>
      </c>
      <c r="KX298" s="16">
        <v>66</v>
      </c>
      <c r="KY298" s="16">
        <v>2819</v>
      </c>
      <c r="KZ298" s="16">
        <v>72584</v>
      </c>
      <c r="LA298" s="16">
        <v>24</v>
      </c>
      <c r="LB298" s="16">
        <v>3677</v>
      </c>
      <c r="LC298" s="16">
        <v>7</v>
      </c>
      <c r="LD298" s="16">
        <v>578</v>
      </c>
      <c r="LE298" s="16">
        <v>45573</v>
      </c>
      <c r="LF298" s="16">
        <v>3096</v>
      </c>
      <c r="LG298" s="16">
        <v>71</v>
      </c>
      <c r="LH298" s="16">
        <v>139</v>
      </c>
      <c r="LI298" s="16">
        <v>1423</v>
      </c>
      <c r="LJ298" s="16">
        <v>2174</v>
      </c>
      <c r="LK298" s="16">
        <v>23922</v>
      </c>
      <c r="LL298" s="16">
        <v>13308</v>
      </c>
      <c r="LM298" s="16">
        <v>41696</v>
      </c>
      <c r="LN298" s="16">
        <v>20789</v>
      </c>
      <c r="LO298" s="16">
        <v>10155</v>
      </c>
      <c r="LP298" s="16">
        <v>9866</v>
      </c>
      <c r="LQ298" s="16">
        <v>166</v>
      </c>
      <c r="LR298" s="16">
        <v>36322</v>
      </c>
      <c r="LS298" s="16">
        <v>1456</v>
      </c>
      <c r="LT298" s="16">
        <v>12418</v>
      </c>
      <c r="LU298" s="16">
        <v>12114</v>
      </c>
      <c r="LV298" s="16">
        <v>378</v>
      </c>
      <c r="LW298" s="16">
        <v>22998</v>
      </c>
      <c r="LX298" s="16">
        <v>97363</v>
      </c>
      <c r="LY298" s="16">
        <v>2</v>
      </c>
      <c r="LZ298" s="16">
        <v>72303</v>
      </c>
      <c r="MA298" s="16">
        <v>8239</v>
      </c>
      <c r="MB298" s="16">
        <v>15540</v>
      </c>
      <c r="MC298" s="16">
        <v>35176</v>
      </c>
      <c r="MD298" s="16">
        <v>41509</v>
      </c>
      <c r="ME298" s="16">
        <v>398</v>
      </c>
      <c r="MF298" s="16">
        <v>125154</v>
      </c>
      <c r="MG298" s="16">
        <v>176688</v>
      </c>
      <c r="MH298" s="16">
        <v>152621</v>
      </c>
      <c r="MI298" s="16">
        <v>10673</v>
      </c>
      <c r="MJ298" s="16">
        <v>79407</v>
      </c>
      <c r="MK298" s="16">
        <v>14091</v>
      </c>
      <c r="ML298" s="16">
        <v>36327</v>
      </c>
      <c r="MM298" s="16">
        <v>36766</v>
      </c>
      <c r="MN298" s="16">
        <v>27053</v>
      </c>
      <c r="MO298" s="16">
        <v>33650</v>
      </c>
      <c r="MP298" s="16">
        <v>74205</v>
      </c>
      <c r="MQ298" s="16">
        <v>109971</v>
      </c>
      <c r="MR298" s="16">
        <v>111003</v>
      </c>
      <c r="MS298" s="16">
        <v>5939</v>
      </c>
      <c r="MT298" s="16">
        <v>14952</v>
      </c>
      <c r="MU298" s="16">
        <v>36268</v>
      </c>
      <c r="MV298" s="16">
        <v>42600</v>
      </c>
      <c r="MW298" s="16">
        <v>19519</v>
      </c>
      <c r="MX298" s="16">
        <v>6484</v>
      </c>
      <c r="MY298" s="16">
        <v>45068</v>
      </c>
      <c r="MZ298" s="16">
        <v>15287</v>
      </c>
      <c r="NA298" s="16">
        <v>22712</v>
      </c>
      <c r="NB298" s="16">
        <v>3577</v>
      </c>
      <c r="NC298" s="16">
        <v>5911</v>
      </c>
      <c r="ND298" s="16">
        <v>318</v>
      </c>
      <c r="NE298" s="16">
        <v>540</v>
      </c>
      <c r="NF298" s="16">
        <v>7113</v>
      </c>
      <c r="NG298" s="16">
        <v>5305</v>
      </c>
      <c r="NH298" s="16">
        <v>29945</v>
      </c>
      <c r="NI298" s="16">
        <v>13167</v>
      </c>
      <c r="NJ298" s="16">
        <v>9351</v>
      </c>
      <c r="NK298" s="16">
        <v>13628</v>
      </c>
      <c r="NL298" s="16">
        <v>4115</v>
      </c>
      <c r="NM298" s="16">
        <v>12</v>
      </c>
      <c r="NN298" s="16">
        <v>1</v>
      </c>
      <c r="NO298" s="16">
        <v>0</v>
      </c>
      <c r="NP298" s="16">
        <v>3128</v>
      </c>
      <c r="NQ298" s="16">
        <v>4</v>
      </c>
      <c r="NR298" s="17">
        <v>4313532</v>
      </c>
    </row>
    <row r="299" spans="1:382" ht="13.5" customHeight="1" x14ac:dyDescent="0.2">
      <c r="A299" s="2" t="s">
        <v>605</v>
      </c>
      <c r="B299" s="16">
        <v>0</v>
      </c>
      <c r="C299" s="16">
        <v>0</v>
      </c>
      <c r="D299" s="16">
        <v>0</v>
      </c>
      <c r="E299" s="16">
        <v>0</v>
      </c>
      <c r="F299" s="16">
        <v>7</v>
      </c>
      <c r="G299" s="16">
        <v>0</v>
      </c>
      <c r="H299" s="16">
        <v>6</v>
      </c>
      <c r="I299" s="16">
        <v>0</v>
      </c>
      <c r="J299" s="16">
        <v>0</v>
      </c>
      <c r="K299" s="16">
        <v>0</v>
      </c>
      <c r="L299" s="16">
        <v>0</v>
      </c>
      <c r="M299" s="16">
        <v>0</v>
      </c>
      <c r="N299" s="16">
        <v>0</v>
      </c>
      <c r="O299" s="16">
        <v>23</v>
      </c>
      <c r="P299" s="16">
        <v>223</v>
      </c>
      <c r="Q299" s="16">
        <v>9948</v>
      </c>
      <c r="R299" s="16">
        <v>1202</v>
      </c>
      <c r="S299" s="16">
        <v>517</v>
      </c>
      <c r="T299" s="16">
        <v>2027</v>
      </c>
      <c r="U299" s="16">
        <v>405</v>
      </c>
      <c r="V299" s="16">
        <v>0</v>
      </c>
      <c r="W299" s="16">
        <v>0</v>
      </c>
      <c r="X299" s="16">
        <v>8201</v>
      </c>
      <c r="Y299" s="16">
        <v>459</v>
      </c>
      <c r="Z299" s="16">
        <v>5071</v>
      </c>
      <c r="AA299" s="16">
        <v>131</v>
      </c>
      <c r="AB299" s="16">
        <v>0</v>
      </c>
      <c r="AC299" s="16">
        <v>0</v>
      </c>
      <c r="AD299" s="16">
        <v>0</v>
      </c>
      <c r="AE299" s="16">
        <v>20</v>
      </c>
      <c r="AF299" s="16">
        <v>62</v>
      </c>
      <c r="AG299" s="16">
        <v>650</v>
      </c>
      <c r="AH299" s="16">
        <v>63</v>
      </c>
      <c r="AI299" s="16">
        <v>321</v>
      </c>
      <c r="AJ299" s="16">
        <v>8311</v>
      </c>
      <c r="AK299" s="16">
        <v>1463</v>
      </c>
      <c r="AL299" s="16">
        <v>3354</v>
      </c>
      <c r="AM299" s="16">
        <v>2537</v>
      </c>
      <c r="AN299" s="16">
        <v>3519</v>
      </c>
      <c r="AO299" s="16">
        <v>873</v>
      </c>
      <c r="AP299" s="16">
        <v>234</v>
      </c>
      <c r="AQ299" s="16">
        <v>2109</v>
      </c>
      <c r="AR299" s="16">
        <v>0</v>
      </c>
      <c r="AS299" s="16">
        <v>625</v>
      </c>
      <c r="AT299" s="16">
        <v>579</v>
      </c>
      <c r="AU299" s="16">
        <v>7733</v>
      </c>
      <c r="AV299" s="16">
        <v>1177</v>
      </c>
      <c r="AW299" s="16">
        <v>3146</v>
      </c>
      <c r="AX299" s="16">
        <v>929</v>
      </c>
      <c r="AY299" s="16">
        <v>4306</v>
      </c>
      <c r="AZ299" s="16">
        <v>2552</v>
      </c>
      <c r="BA299" s="16">
        <v>2826</v>
      </c>
      <c r="BB299" s="16">
        <v>7667</v>
      </c>
      <c r="BC299" s="16">
        <v>5513</v>
      </c>
      <c r="BD299" s="16">
        <v>103</v>
      </c>
      <c r="BE299" s="16">
        <v>1583</v>
      </c>
      <c r="BF299" s="16">
        <v>1327</v>
      </c>
      <c r="BG299" s="16">
        <v>809</v>
      </c>
      <c r="BH299" s="16">
        <v>6696</v>
      </c>
      <c r="BI299" s="16">
        <v>1439</v>
      </c>
      <c r="BJ299" s="16">
        <v>398</v>
      </c>
      <c r="BK299" s="16">
        <v>421</v>
      </c>
      <c r="BL299" s="16">
        <v>4238</v>
      </c>
      <c r="BM299" s="16">
        <v>327</v>
      </c>
      <c r="BN299" s="16">
        <v>564</v>
      </c>
      <c r="BO299" s="16">
        <v>1936</v>
      </c>
      <c r="BP299" s="16">
        <v>9181</v>
      </c>
      <c r="BQ299" s="16">
        <v>1042</v>
      </c>
      <c r="BR299" s="16">
        <v>1569</v>
      </c>
      <c r="BS299" s="16">
        <v>29898</v>
      </c>
      <c r="BT299" s="16">
        <v>1525</v>
      </c>
      <c r="BU299" s="16">
        <v>186</v>
      </c>
      <c r="BV299" s="16">
        <v>39</v>
      </c>
      <c r="BW299" s="16">
        <v>681</v>
      </c>
      <c r="BX299" s="16">
        <v>710</v>
      </c>
      <c r="BY299" s="16">
        <v>4</v>
      </c>
      <c r="BZ299" s="16">
        <v>2708</v>
      </c>
      <c r="CA299" s="16">
        <v>2390</v>
      </c>
      <c r="CB299" s="16">
        <v>155</v>
      </c>
      <c r="CC299" s="16">
        <v>659</v>
      </c>
      <c r="CD299" s="16">
        <v>1375</v>
      </c>
      <c r="CE299" s="16">
        <v>872</v>
      </c>
      <c r="CF299" s="16">
        <v>1963</v>
      </c>
      <c r="CG299" s="16">
        <v>2429</v>
      </c>
      <c r="CH299" s="16">
        <v>965</v>
      </c>
      <c r="CI299" s="16">
        <v>26</v>
      </c>
      <c r="CJ299" s="16">
        <v>1584</v>
      </c>
      <c r="CK299" s="16">
        <v>2852</v>
      </c>
      <c r="CL299" s="16">
        <v>740</v>
      </c>
      <c r="CM299" s="16">
        <v>1934</v>
      </c>
      <c r="CN299" s="16">
        <v>1072</v>
      </c>
      <c r="CO299" s="16">
        <v>2119</v>
      </c>
      <c r="CP299" s="16">
        <v>958</v>
      </c>
      <c r="CQ299" s="16">
        <v>9990</v>
      </c>
      <c r="CR299" s="16">
        <v>368</v>
      </c>
      <c r="CS299" s="16">
        <v>410</v>
      </c>
      <c r="CT299" s="16">
        <v>3177</v>
      </c>
      <c r="CU299" s="16">
        <v>1535</v>
      </c>
      <c r="CV299" s="16">
        <v>373</v>
      </c>
      <c r="CW299" s="16">
        <v>5956</v>
      </c>
      <c r="CX299" s="16">
        <v>499</v>
      </c>
      <c r="CY299" s="16">
        <v>827</v>
      </c>
      <c r="CZ299" s="16">
        <v>365</v>
      </c>
      <c r="DA299" s="16">
        <v>591</v>
      </c>
      <c r="DB299" s="16">
        <v>2453</v>
      </c>
      <c r="DC299" s="16">
        <v>422</v>
      </c>
      <c r="DD299" s="16">
        <v>1645</v>
      </c>
      <c r="DE299" s="16">
        <v>3579</v>
      </c>
      <c r="DF299" s="16">
        <v>5390</v>
      </c>
      <c r="DG299" s="16">
        <v>3626</v>
      </c>
      <c r="DH299" s="16">
        <v>7229</v>
      </c>
      <c r="DI299" s="16">
        <v>3662</v>
      </c>
      <c r="DJ299" s="16">
        <v>27337</v>
      </c>
      <c r="DK299" s="16">
        <v>154</v>
      </c>
      <c r="DL299" s="16">
        <v>1357</v>
      </c>
      <c r="DM299" s="16">
        <v>134961</v>
      </c>
      <c r="DN299" s="16">
        <v>2494</v>
      </c>
      <c r="DO299" s="16">
        <v>7875</v>
      </c>
      <c r="DP299" s="16">
        <v>7207</v>
      </c>
      <c r="DQ299" s="16">
        <v>947</v>
      </c>
      <c r="DR299" s="16">
        <v>4531</v>
      </c>
      <c r="DS299" s="16">
        <v>19960</v>
      </c>
      <c r="DT299" s="16">
        <v>1080</v>
      </c>
      <c r="DU299" s="16">
        <v>3423</v>
      </c>
      <c r="DV299" s="16">
        <v>8846</v>
      </c>
      <c r="DW299" s="16">
        <v>13919</v>
      </c>
      <c r="DX299" s="16">
        <v>6729</v>
      </c>
      <c r="DY299" s="16">
        <v>9245</v>
      </c>
      <c r="DZ299" s="16">
        <v>12629</v>
      </c>
      <c r="EA299" s="16">
        <v>11702</v>
      </c>
      <c r="EB299" s="16">
        <v>742</v>
      </c>
      <c r="EC299" s="16">
        <v>3423</v>
      </c>
      <c r="ED299" s="16">
        <v>1835</v>
      </c>
      <c r="EE299" s="16">
        <v>271</v>
      </c>
      <c r="EF299" s="16">
        <v>3063</v>
      </c>
      <c r="EG299" s="16">
        <v>832</v>
      </c>
      <c r="EH299" s="16">
        <v>596</v>
      </c>
      <c r="EI299" s="16">
        <v>1029</v>
      </c>
      <c r="EJ299" s="16">
        <v>1187</v>
      </c>
      <c r="EK299" s="16">
        <v>1088</v>
      </c>
      <c r="EL299" s="16">
        <v>827</v>
      </c>
      <c r="EM299" s="16">
        <v>257</v>
      </c>
      <c r="EN299" s="16">
        <v>6569</v>
      </c>
      <c r="EO299" s="16">
        <v>4464</v>
      </c>
      <c r="EP299" s="16">
        <v>1317</v>
      </c>
      <c r="EQ299" s="16">
        <v>1186</v>
      </c>
      <c r="ER299" s="16">
        <v>336</v>
      </c>
      <c r="ES299" s="16">
        <v>2949</v>
      </c>
      <c r="ET299" s="16">
        <v>3599</v>
      </c>
      <c r="EU299" s="16">
        <v>17</v>
      </c>
      <c r="EV299" s="16">
        <v>199</v>
      </c>
      <c r="EW299" s="16">
        <v>247</v>
      </c>
      <c r="EX299" s="16">
        <v>848</v>
      </c>
      <c r="EY299" s="16">
        <v>451</v>
      </c>
      <c r="EZ299" s="16">
        <v>250</v>
      </c>
      <c r="FA299" s="16">
        <v>415</v>
      </c>
      <c r="FB299" s="16">
        <v>306</v>
      </c>
      <c r="FC299" s="16">
        <v>1444</v>
      </c>
      <c r="FD299" s="16">
        <v>3255</v>
      </c>
      <c r="FE299" s="16">
        <v>254</v>
      </c>
      <c r="FF299" s="16">
        <v>3374</v>
      </c>
      <c r="FG299" s="16">
        <v>646</v>
      </c>
      <c r="FH299" s="16">
        <v>319</v>
      </c>
      <c r="FI299" s="16">
        <v>1206</v>
      </c>
      <c r="FJ299" s="16">
        <v>1701</v>
      </c>
      <c r="FK299" s="16">
        <v>678</v>
      </c>
      <c r="FL299" s="16">
        <v>326</v>
      </c>
      <c r="FM299" s="16">
        <v>3979</v>
      </c>
      <c r="FN299" s="16">
        <v>4398</v>
      </c>
      <c r="FO299" s="16">
        <v>1995</v>
      </c>
      <c r="FP299" s="16">
        <v>4561</v>
      </c>
      <c r="FQ299" s="16">
        <v>18404</v>
      </c>
      <c r="FR299" s="16">
        <v>2116</v>
      </c>
      <c r="FS299" s="16">
        <v>2358</v>
      </c>
      <c r="FT299" s="16">
        <v>2412</v>
      </c>
      <c r="FU299" s="16">
        <v>451</v>
      </c>
      <c r="FV299" s="16">
        <v>4544</v>
      </c>
      <c r="FW299" s="16">
        <v>18927</v>
      </c>
      <c r="FX299" s="16">
        <v>8064</v>
      </c>
      <c r="FY299" s="16">
        <v>3837</v>
      </c>
      <c r="FZ299" s="16">
        <v>3837</v>
      </c>
      <c r="GA299" s="16">
        <v>1675</v>
      </c>
      <c r="GB299" s="16">
        <v>2100</v>
      </c>
      <c r="GC299" s="16">
        <v>3288</v>
      </c>
      <c r="GD299" s="16">
        <v>3015</v>
      </c>
      <c r="GE299" s="16">
        <v>12614</v>
      </c>
      <c r="GF299" s="16">
        <v>12682</v>
      </c>
      <c r="GG299" s="16">
        <v>33353</v>
      </c>
      <c r="GH299" s="16">
        <v>5675</v>
      </c>
      <c r="GI299" s="16">
        <v>7709</v>
      </c>
      <c r="GJ299" s="16">
        <v>5252</v>
      </c>
      <c r="GK299" s="16">
        <v>5000</v>
      </c>
      <c r="GL299" s="16">
        <v>1050</v>
      </c>
      <c r="GM299" s="16">
        <v>3286</v>
      </c>
      <c r="GN299" s="16">
        <v>649</v>
      </c>
      <c r="GO299" s="16">
        <v>1289</v>
      </c>
      <c r="GP299" s="16">
        <v>13179</v>
      </c>
      <c r="GQ299" s="16">
        <v>1816</v>
      </c>
      <c r="GR299" s="16">
        <v>227</v>
      </c>
      <c r="GS299" s="16">
        <v>574</v>
      </c>
      <c r="GT299" s="16">
        <v>375</v>
      </c>
      <c r="GU299" s="16">
        <v>26731</v>
      </c>
      <c r="GV299" s="16">
        <v>17638</v>
      </c>
      <c r="GW299" s="16">
        <v>17419</v>
      </c>
      <c r="GX299" s="16">
        <v>1038</v>
      </c>
      <c r="GY299" s="16">
        <v>6</v>
      </c>
      <c r="GZ299" s="16">
        <v>3264</v>
      </c>
      <c r="HA299" s="16">
        <v>1237</v>
      </c>
      <c r="HB299" s="16">
        <v>4227</v>
      </c>
      <c r="HC299" s="16">
        <v>2313</v>
      </c>
      <c r="HD299" s="16">
        <v>9949</v>
      </c>
      <c r="HE299" s="16">
        <v>25076</v>
      </c>
      <c r="HF299" s="16">
        <v>760</v>
      </c>
      <c r="HG299" s="16">
        <v>1150</v>
      </c>
      <c r="HH299" s="16">
        <v>1837</v>
      </c>
      <c r="HI299" s="16">
        <v>6503</v>
      </c>
      <c r="HJ299" s="16">
        <v>2614</v>
      </c>
      <c r="HK299" s="16">
        <v>16377</v>
      </c>
      <c r="HL299" s="16">
        <v>6110</v>
      </c>
      <c r="HM299" s="16">
        <v>8014</v>
      </c>
      <c r="HN299" s="16">
        <v>19792</v>
      </c>
      <c r="HO299" s="16">
        <v>4851</v>
      </c>
      <c r="HP299" s="16">
        <v>314</v>
      </c>
      <c r="HQ299" s="16">
        <v>17243</v>
      </c>
      <c r="HR299" s="16">
        <v>12697</v>
      </c>
      <c r="HS299" s="16">
        <v>12872</v>
      </c>
      <c r="HT299" s="16">
        <v>824</v>
      </c>
      <c r="HU299" s="16">
        <v>12981</v>
      </c>
      <c r="HV299" s="16">
        <v>3694</v>
      </c>
      <c r="HW299" s="16">
        <v>9231</v>
      </c>
      <c r="HX299" s="16">
        <v>9254</v>
      </c>
      <c r="HY299" s="16">
        <v>30478</v>
      </c>
      <c r="HZ299" s="16">
        <v>11439</v>
      </c>
      <c r="IA299" s="16">
        <v>12252</v>
      </c>
      <c r="IB299" s="16">
        <v>1556</v>
      </c>
      <c r="IC299" s="16">
        <v>1879</v>
      </c>
      <c r="ID299" s="16">
        <v>654</v>
      </c>
      <c r="IE299" s="16">
        <v>1105</v>
      </c>
      <c r="IF299" s="16">
        <v>1346</v>
      </c>
      <c r="IG299" s="16">
        <v>12861</v>
      </c>
      <c r="IH299" s="16">
        <v>38784</v>
      </c>
      <c r="II299" s="16">
        <v>4637</v>
      </c>
      <c r="IJ299" s="16">
        <v>487</v>
      </c>
      <c r="IK299" s="16">
        <v>333</v>
      </c>
      <c r="IL299" s="16">
        <v>1744</v>
      </c>
      <c r="IM299" s="16">
        <v>436</v>
      </c>
      <c r="IN299" s="16">
        <v>17780</v>
      </c>
      <c r="IO299" s="16">
        <v>74288</v>
      </c>
      <c r="IP299" s="16">
        <v>2102</v>
      </c>
      <c r="IQ299" s="16">
        <v>484</v>
      </c>
      <c r="IR299" s="16">
        <v>1779</v>
      </c>
      <c r="IS299" s="16">
        <v>3936</v>
      </c>
      <c r="IT299" s="16">
        <v>5309</v>
      </c>
      <c r="IU299" s="16">
        <v>172</v>
      </c>
      <c r="IV299" s="16">
        <v>1027</v>
      </c>
      <c r="IW299" s="16">
        <v>10023</v>
      </c>
      <c r="IX299" s="16">
        <v>1393</v>
      </c>
      <c r="IY299" s="16">
        <v>335</v>
      </c>
      <c r="IZ299" s="16">
        <v>925</v>
      </c>
      <c r="JA299" s="16">
        <v>865</v>
      </c>
      <c r="JB299" s="16">
        <v>296</v>
      </c>
      <c r="JC299" s="16">
        <v>354</v>
      </c>
      <c r="JD299" s="16">
        <v>1620</v>
      </c>
      <c r="JE299" s="16">
        <v>6123</v>
      </c>
      <c r="JF299" s="16">
        <v>2711</v>
      </c>
      <c r="JG299" s="16">
        <v>118269</v>
      </c>
      <c r="JH299" s="16">
        <v>18019</v>
      </c>
      <c r="JI299" s="16">
        <v>2157</v>
      </c>
      <c r="JJ299" s="16">
        <v>58522</v>
      </c>
      <c r="JK299" s="16">
        <v>21991</v>
      </c>
      <c r="JL299" s="16">
        <v>4870</v>
      </c>
      <c r="JM299" s="16">
        <v>1081</v>
      </c>
      <c r="JN299" s="16">
        <v>2876</v>
      </c>
      <c r="JO299" s="16">
        <v>1046</v>
      </c>
      <c r="JP299" s="16">
        <v>3779</v>
      </c>
      <c r="JQ299" s="16">
        <v>6447</v>
      </c>
      <c r="JR299" s="16">
        <v>681</v>
      </c>
      <c r="JS299" s="16">
        <v>0</v>
      </c>
      <c r="JT299" s="16">
        <v>6</v>
      </c>
      <c r="JU299" s="16">
        <v>0</v>
      </c>
      <c r="JV299" s="16">
        <v>31827</v>
      </c>
      <c r="JW299" s="16">
        <v>758</v>
      </c>
      <c r="JX299" s="16">
        <v>825</v>
      </c>
      <c r="JY299" s="16">
        <v>598</v>
      </c>
      <c r="JZ299" s="16">
        <v>0</v>
      </c>
      <c r="KA299" s="16">
        <v>54</v>
      </c>
      <c r="KB299" s="16">
        <v>16</v>
      </c>
      <c r="KC299" s="16">
        <v>88</v>
      </c>
      <c r="KD299" s="16">
        <v>321</v>
      </c>
      <c r="KE299" s="16">
        <v>35</v>
      </c>
      <c r="KF299" s="16">
        <v>76</v>
      </c>
      <c r="KG299" s="16">
        <v>46</v>
      </c>
      <c r="KH299" s="16">
        <v>72</v>
      </c>
      <c r="KI299" s="16">
        <v>0</v>
      </c>
      <c r="KJ299" s="16">
        <v>62</v>
      </c>
      <c r="KK299" s="16">
        <v>880257</v>
      </c>
      <c r="KL299" s="16">
        <v>16587</v>
      </c>
      <c r="KM299" s="16">
        <v>33808</v>
      </c>
      <c r="KN299" s="16">
        <v>23496</v>
      </c>
      <c r="KO299" s="16">
        <v>1510</v>
      </c>
      <c r="KP299" s="16">
        <v>2955</v>
      </c>
      <c r="KQ299" s="16">
        <v>8291</v>
      </c>
      <c r="KR299" s="16">
        <v>8291</v>
      </c>
      <c r="KS299" s="16">
        <v>6307</v>
      </c>
      <c r="KT299" s="16">
        <v>3090</v>
      </c>
      <c r="KU299" s="16">
        <v>1453</v>
      </c>
      <c r="KV299" s="16">
        <v>13950</v>
      </c>
      <c r="KW299" s="16">
        <v>21176</v>
      </c>
      <c r="KX299" s="16">
        <v>2528</v>
      </c>
      <c r="KY299" s="16">
        <v>687</v>
      </c>
      <c r="KZ299" s="16">
        <v>49144</v>
      </c>
      <c r="LA299" s="16">
        <v>0</v>
      </c>
      <c r="LB299" s="16">
        <v>16843</v>
      </c>
      <c r="LC299" s="16">
        <v>0</v>
      </c>
      <c r="LD299" s="16">
        <v>23176</v>
      </c>
      <c r="LE299" s="16">
        <v>3610</v>
      </c>
      <c r="LF299" s="16">
        <v>1335</v>
      </c>
      <c r="LG299" s="16">
        <v>174</v>
      </c>
      <c r="LH299" s="16">
        <v>345</v>
      </c>
      <c r="LI299" s="16">
        <v>2545</v>
      </c>
      <c r="LJ299" s="16">
        <v>5032</v>
      </c>
      <c r="LK299" s="16">
        <v>0</v>
      </c>
      <c r="LL299" s="16">
        <v>10273</v>
      </c>
      <c r="LM299" s="16">
        <v>75893</v>
      </c>
      <c r="LN299" s="16">
        <v>12818</v>
      </c>
      <c r="LO299" s="16">
        <v>9605</v>
      </c>
      <c r="LP299" s="16">
        <v>14656</v>
      </c>
      <c r="LQ299" s="16">
        <v>1975</v>
      </c>
      <c r="LR299" s="16">
        <v>34679</v>
      </c>
      <c r="LS299" s="16">
        <v>3092</v>
      </c>
      <c r="LT299" s="16">
        <v>13327</v>
      </c>
      <c r="LU299" s="16">
        <v>35007</v>
      </c>
      <c r="LV299" s="16">
        <v>1573</v>
      </c>
      <c r="LW299" s="16">
        <v>45808</v>
      </c>
      <c r="LX299" s="16">
        <v>73688</v>
      </c>
      <c r="LY299" s="16">
        <v>0</v>
      </c>
      <c r="LZ299" s="16">
        <v>43936</v>
      </c>
      <c r="MA299" s="16">
        <v>11646</v>
      </c>
      <c r="MB299" s="16">
        <v>229182</v>
      </c>
      <c r="MC299" s="16">
        <v>20758</v>
      </c>
      <c r="MD299" s="16">
        <v>11353</v>
      </c>
      <c r="ME299" s="16">
        <v>878</v>
      </c>
      <c r="MF299" s="16">
        <v>34158</v>
      </c>
      <c r="MG299" s="16">
        <v>104551</v>
      </c>
      <c r="MH299" s="16">
        <v>40341</v>
      </c>
      <c r="MI299" s="16">
        <v>1009</v>
      </c>
      <c r="MJ299" s="16">
        <v>88813</v>
      </c>
      <c r="MK299" s="16">
        <v>60551</v>
      </c>
      <c r="ML299" s="16">
        <v>42954</v>
      </c>
      <c r="MM299" s="16">
        <v>51673</v>
      </c>
      <c r="MN299" s="16">
        <v>15655</v>
      </c>
      <c r="MO299" s="16">
        <v>38903</v>
      </c>
      <c r="MP299" s="16">
        <v>43932</v>
      </c>
      <c r="MQ299" s="16">
        <v>72646</v>
      </c>
      <c r="MR299" s="16">
        <v>576014</v>
      </c>
      <c r="MS299" s="16">
        <v>34035</v>
      </c>
      <c r="MT299" s="16">
        <v>14090</v>
      </c>
      <c r="MU299" s="16">
        <v>57986</v>
      </c>
      <c r="MV299" s="16">
        <v>74223</v>
      </c>
      <c r="MW299" s="16">
        <v>56798</v>
      </c>
      <c r="MX299" s="16">
        <v>8196</v>
      </c>
      <c r="MY299" s="16">
        <v>110986</v>
      </c>
      <c r="MZ299" s="16">
        <v>143800</v>
      </c>
      <c r="NA299" s="16">
        <v>18259</v>
      </c>
      <c r="NB299" s="16">
        <v>55558</v>
      </c>
      <c r="NC299" s="16">
        <v>2290</v>
      </c>
      <c r="ND299" s="16">
        <v>6722</v>
      </c>
      <c r="NE299" s="16">
        <v>2808</v>
      </c>
      <c r="NF299" s="16">
        <v>20010</v>
      </c>
      <c r="NG299" s="16">
        <v>24262</v>
      </c>
      <c r="NH299" s="16">
        <v>1199</v>
      </c>
      <c r="NI299" s="16">
        <v>9670</v>
      </c>
      <c r="NJ299" s="16">
        <v>35406</v>
      </c>
      <c r="NK299" s="16">
        <v>21722</v>
      </c>
      <c r="NL299" s="16">
        <v>11740</v>
      </c>
      <c r="NM299" s="16">
        <v>11947</v>
      </c>
      <c r="NN299" s="16">
        <v>383</v>
      </c>
      <c r="NO299" s="16">
        <v>0</v>
      </c>
      <c r="NP299" s="16">
        <v>13691</v>
      </c>
      <c r="NQ299" s="16">
        <v>0</v>
      </c>
      <c r="NR299" s="17">
        <v>5216725</v>
      </c>
    </row>
    <row r="300" spans="1:382" ht="13.5" customHeight="1" x14ac:dyDescent="0.2">
      <c r="A300" s="2" t="s">
        <v>607</v>
      </c>
      <c r="B300" s="16">
        <v>8172</v>
      </c>
      <c r="C300" s="16">
        <v>710</v>
      </c>
      <c r="D300" s="16">
        <v>1318</v>
      </c>
      <c r="E300" s="16">
        <v>5320</v>
      </c>
      <c r="F300" s="16">
        <v>27547</v>
      </c>
      <c r="G300" s="16">
        <v>7148</v>
      </c>
      <c r="H300" s="16">
        <v>2608</v>
      </c>
      <c r="I300" s="16">
        <v>5060</v>
      </c>
      <c r="J300" s="16">
        <v>152</v>
      </c>
      <c r="K300" s="16">
        <v>0</v>
      </c>
      <c r="L300" s="16">
        <v>4210</v>
      </c>
      <c r="M300" s="16">
        <v>1011</v>
      </c>
      <c r="N300" s="16">
        <v>14</v>
      </c>
      <c r="O300" s="16">
        <v>8293</v>
      </c>
      <c r="P300" s="16">
        <v>22203</v>
      </c>
      <c r="Q300" s="16">
        <v>22689</v>
      </c>
      <c r="R300" s="16">
        <v>29812</v>
      </c>
      <c r="S300" s="16">
        <v>7474</v>
      </c>
      <c r="T300" s="16">
        <v>3040</v>
      </c>
      <c r="U300" s="16">
        <v>4324</v>
      </c>
      <c r="V300" s="16">
        <v>284</v>
      </c>
      <c r="W300" s="16">
        <v>210</v>
      </c>
      <c r="X300" s="16">
        <v>16978</v>
      </c>
      <c r="Y300" s="16">
        <v>34942</v>
      </c>
      <c r="Z300" s="16">
        <v>6519</v>
      </c>
      <c r="AA300" s="16">
        <v>22927</v>
      </c>
      <c r="AB300" s="16">
        <v>0</v>
      </c>
      <c r="AC300" s="16">
        <v>0</v>
      </c>
      <c r="AD300" s="16">
        <v>0</v>
      </c>
      <c r="AE300" s="16">
        <v>15163</v>
      </c>
      <c r="AF300" s="16">
        <v>903</v>
      </c>
      <c r="AG300" s="16">
        <v>231858</v>
      </c>
      <c r="AH300" s="16">
        <v>134488</v>
      </c>
      <c r="AI300" s="16">
        <v>20734</v>
      </c>
      <c r="AJ300" s="16">
        <v>174727</v>
      </c>
      <c r="AK300" s="16">
        <v>114002</v>
      </c>
      <c r="AL300" s="16">
        <v>69905</v>
      </c>
      <c r="AM300" s="16">
        <v>104203</v>
      </c>
      <c r="AN300" s="16">
        <v>124886</v>
      </c>
      <c r="AO300" s="16">
        <v>82188</v>
      </c>
      <c r="AP300" s="16">
        <v>148339</v>
      </c>
      <c r="AQ300" s="16">
        <v>35874</v>
      </c>
      <c r="AR300" s="16">
        <v>0</v>
      </c>
      <c r="AS300" s="16">
        <v>29329</v>
      </c>
      <c r="AT300" s="16">
        <v>18591</v>
      </c>
      <c r="AU300" s="16">
        <v>133913</v>
      </c>
      <c r="AV300" s="16">
        <v>57155</v>
      </c>
      <c r="AW300" s="16">
        <v>114988</v>
      </c>
      <c r="AX300" s="16">
        <v>33232</v>
      </c>
      <c r="AY300" s="16">
        <v>122883</v>
      </c>
      <c r="AZ300" s="16">
        <v>67746</v>
      </c>
      <c r="BA300" s="16">
        <v>55564</v>
      </c>
      <c r="BB300" s="16">
        <v>256851</v>
      </c>
      <c r="BC300" s="16">
        <v>459463</v>
      </c>
      <c r="BD300" s="16">
        <v>5831</v>
      </c>
      <c r="BE300" s="16">
        <v>38928</v>
      </c>
      <c r="BF300" s="16">
        <v>71908</v>
      </c>
      <c r="BG300" s="16">
        <v>12116</v>
      </c>
      <c r="BH300" s="16">
        <v>88227</v>
      </c>
      <c r="BI300" s="16">
        <v>23634</v>
      </c>
      <c r="BJ300" s="16">
        <v>17449</v>
      </c>
      <c r="BK300" s="16">
        <v>14349</v>
      </c>
      <c r="BL300" s="16">
        <v>94837</v>
      </c>
      <c r="BM300" s="16">
        <v>25093</v>
      </c>
      <c r="BN300" s="16">
        <v>27588</v>
      </c>
      <c r="BO300" s="16">
        <v>41368</v>
      </c>
      <c r="BP300" s="16">
        <v>149921</v>
      </c>
      <c r="BQ300" s="16">
        <v>51926</v>
      </c>
      <c r="BR300" s="16">
        <v>53601</v>
      </c>
      <c r="BS300" s="16">
        <v>422031</v>
      </c>
      <c r="BT300" s="16">
        <v>59954</v>
      </c>
      <c r="BU300" s="16">
        <v>2672</v>
      </c>
      <c r="BV300" s="16">
        <v>2348</v>
      </c>
      <c r="BW300" s="16">
        <v>31180</v>
      </c>
      <c r="BX300" s="16">
        <v>9486</v>
      </c>
      <c r="BY300" s="16">
        <v>157</v>
      </c>
      <c r="BZ300" s="16">
        <v>171103</v>
      </c>
      <c r="CA300" s="16">
        <v>22008</v>
      </c>
      <c r="CB300" s="16">
        <v>5049</v>
      </c>
      <c r="CC300" s="16">
        <v>115768</v>
      </c>
      <c r="CD300" s="16">
        <v>20169</v>
      </c>
      <c r="CE300" s="16">
        <v>29568</v>
      </c>
      <c r="CF300" s="16">
        <v>43410</v>
      </c>
      <c r="CG300" s="16">
        <v>70807</v>
      </c>
      <c r="CH300" s="16">
        <v>16479</v>
      </c>
      <c r="CI300" s="16">
        <v>1207</v>
      </c>
      <c r="CJ300" s="16">
        <v>102844</v>
      </c>
      <c r="CK300" s="16">
        <v>199915</v>
      </c>
      <c r="CL300" s="16">
        <v>355951</v>
      </c>
      <c r="CM300" s="16">
        <v>132808</v>
      </c>
      <c r="CN300" s="16">
        <v>26519</v>
      </c>
      <c r="CO300" s="16">
        <v>104960</v>
      </c>
      <c r="CP300" s="16">
        <v>69838</v>
      </c>
      <c r="CQ300" s="16">
        <v>402390</v>
      </c>
      <c r="CR300" s="16">
        <v>9388</v>
      </c>
      <c r="CS300" s="16">
        <v>84353</v>
      </c>
      <c r="CT300" s="16">
        <v>73153</v>
      </c>
      <c r="CU300" s="16">
        <v>92178</v>
      </c>
      <c r="CV300" s="16">
        <v>25041</v>
      </c>
      <c r="CW300" s="16">
        <v>238170</v>
      </c>
      <c r="CX300" s="16">
        <v>70074</v>
      </c>
      <c r="CY300" s="16">
        <v>24204</v>
      </c>
      <c r="CZ300" s="16">
        <v>55589</v>
      </c>
      <c r="DA300" s="16">
        <v>44903</v>
      </c>
      <c r="DB300" s="16">
        <v>63031</v>
      </c>
      <c r="DC300" s="16">
        <v>68256</v>
      </c>
      <c r="DD300" s="16">
        <v>154177</v>
      </c>
      <c r="DE300" s="16">
        <v>227776</v>
      </c>
      <c r="DF300" s="16">
        <v>138444</v>
      </c>
      <c r="DG300" s="16">
        <v>100634</v>
      </c>
      <c r="DH300" s="16">
        <v>622679</v>
      </c>
      <c r="DI300" s="16">
        <v>13112</v>
      </c>
      <c r="DJ300" s="16">
        <v>623894</v>
      </c>
      <c r="DK300" s="16">
        <v>61731</v>
      </c>
      <c r="DL300" s="16">
        <v>23633</v>
      </c>
      <c r="DM300" s="16">
        <v>197757</v>
      </c>
      <c r="DN300" s="16">
        <v>169298</v>
      </c>
      <c r="DO300" s="16">
        <v>30497</v>
      </c>
      <c r="DP300" s="16">
        <v>111571</v>
      </c>
      <c r="DQ300" s="16">
        <v>10472</v>
      </c>
      <c r="DR300" s="16">
        <v>68594</v>
      </c>
      <c r="DS300" s="16">
        <v>122356</v>
      </c>
      <c r="DT300" s="16">
        <v>26370</v>
      </c>
      <c r="DU300" s="16">
        <v>14041</v>
      </c>
      <c r="DV300" s="16">
        <v>247330</v>
      </c>
      <c r="DW300" s="16">
        <v>195380</v>
      </c>
      <c r="DX300" s="16">
        <v>83002</v>
      </c>
      <c r="DY300" s="16">
        <v>223451</v>
      </c>
      <c r="DZ300" s="16">
        <v>233360</v>
      </c>
      <c r="EA300" s="16">
        <v>270195</v>
      </c>
      <c r="EB300" s="16">
        <v>147938</v>
      </c>
      <c r="EC300" s="16">
        <v>175566</v>
      </c>
      <c r="ED300" s="16">
        <v>17754</v>
      </c>
      <c r="EE300" s="16">
        <v>25975</v>
      </c>
      <c r="EF300" s="16">
        <v>159387</v>
      </c>
      <c r="EG300" s="16">
        <v>186285</v>
      </c>
      <c r="EH300" s="16">
        <v>42894</v>
      </c>
      <c r="EI300" s="16">
        <v>33172</v>
      </c>
      <c r="EJ300" s="16">
        <v>24248</v>
      </c>
      <c r="EK300" s="16">
        <v>76227</v>
      </c>
      <c r="EL300" s="16">
        <v>15760</v>
      </c>
      <c r="EM300" s="16">
        <v>183540</v>
      </c>
      <c r="EN300" s="16">
        <v>1825918</v>
      </c>
      <c r="EO300" s="16">
        <v>667691</v>
      </c>
      <c r="EP300" s="16">
        <v>104841</v>
      </c>
      <c r="EQ300" s="16">
        <v>85174</v>
      </c>
      <c r="ER300" s="16">
        <v>15296</v>
      </c>
      <c r="ES300" s="16">
        <v>154130</v>
      </c>
      <c r="ET300" s="16">
        <v>240867</v>
      </c>
      <c r="EU300" s="16">
        <v>9607</v>
      </c>
      <c r="EV300" s="16">
        <v>86896</v>
      </c>
      <c r="EW300" s="16">
        <v>57270</v>
      </c>
      <c r="EX300" s="16">
        <v>199332</v>
      </c>
      <c r="EY300" s="16">
        <v>47331</v>
      </c>
      <c r="EZ300" s="16">
        <v>21279</v>
      </c>
      <c r="FA300" s="16">
        <v>85246</v>
      </c>
      <c r="FB300" s="16">
        <v>121400</v>
      </c>
      <c r="FC300" s="16">
        <v>29331</v>
      </c>
      <c r="FD300" s="16">
        <v>252423</v>
      </c>
      <c r="FE300" s="16">
        <v>121608</v>
      </c>
      <c r="FF300" s="16">
        <v>174815</v>
      </c>
      <c r="FG300" s="16">
        <v>175942</v>
      </c>
      <c r="FH300" s="16">
        <v>453309</v>
      </c>
      <c r="FI300" s="16">
        <v>96991</v>
      </c>
      <c r="FJ300" s="16">
        <v>361706</v>
      </c>
      <c r="FK300" s="16">
        <v>173436</v>
      </c>
      <c r="FL300" s="16">
        <v>45454</v>
      </c>
      <c r="FM300" s="16">
        <v>95948</v>
      </c>
      <c r="FN300" s="16">
        <v>122201</v>
      </c>
      <c r="FO300" s="16">
        <v>43340</v>
      </c>
      <c r="FP300" s="16">
        <v>148287</v>
      </c>
      <c r="FQ300" s="16">
        <v>224739</v>
      </c>
      <c r="FR300" s="16">
        <v>207045</v>
      </c>
      <c r="FS300" s="16">
        <v>65981</v>
      </c>
      <c r="FT300" s="16">
        <v>95070</v>
      </c>
      <c r="FU300" s="16">
        <v>70065</v>
      </c>
      <c r="FV300" s="16">
        <v>136117</v>
      </c>
      <c r="FW300" s="16">
        <v>295557</v>
      </c>
      <c r="FX300" s="16">
        <v>286523</v>
      </c>
      <c r="FY300" s="16">
        <v>41348</v>
      </c>
      <c r="FZ300" s="16">
        <v>64817</v>
      </c>
      <c r="GA300" s="16">
        <v>40000</v>
      </c>
      <c r="GB300" s="16">
        <v>103524</v>
      </c>
      <c r="GC300" s="16">
        <v>44447</v>
      </c>
      <c r="GD300" s="16">
        <v>146390</v>
      </c>
      <c r="GE300" s="16">
        <v>74579</v>
      </c>
      <c r="GF300" s="16">
        <v>112383</v>
      </c>
      <c r="GG300" s="16">
        <v>150928</v>
      </c>
      <c r="GH300" s="16">
        <v>245170</v>
      </c>
      <c r="GI300" s="16">
        <v>107855</v>
      </c>
      <c r="GJ300" s="16">
        <v>42393</v>
      </c>
      <c r="GK300" s="16">
        <v>77985</v>
      </c>
      <c r="GL300" s="16">
        <v>5162</v>
      </c>
      <c r="GM300" s="16">
        <v>52267</v>
      </c>
      <c r="GN300" s="16">
        <v>12456</v>
      </c>
      <c r="GO300" s="16">
        <v>26745</v>
      </c>
      <c r="GP300" s="16">
        <v>276508</v>
      </c>
      <c r="GQ300" s="16">
        <v>91405</v>
      </c>
      <c r="GR300" s="16">
        <v>26497</v>
      </c>
      <c r="GS300" s="16">
        <v>11775</v>
      </c>
      <c r="GT300" s="16">
        <v>22546</v>
      </c>
      <c r="GU300" s="16">
        <v>30610</v>
      </c>
      <c r="GV300" s="16">
        <v>25712</v>
      </c>
      <c r="GW300" s="16">
        <v>21152</v>
      </c>
      <c r="GX300" s="16">
        <v>52705</v>
      </c>
      <c r="GY300" s="16">
        <v>581</v>
      </c>
      <c r="GZ300" s="16">
        <v>147672</v>
      </c>
      <c r="HA300" s="16">
        <v>29812</v>
      </c>
      <c r="HB300" s="16">
        <v>39563</v>
      </c>
      <c r="HC300" s="16">
        <v>86697</v>
      </c>
      <c r="HD300" s="16">
        <v>81919</v>
      </c>
      <c r="HE300" s="16">
        <v>182048</v>
      </c>
      <c r="HF300" s="16">
        <v>125160</v>
      </c>
      <c r="HG300" s="16">
        <v>157605</v>
      </c>
      <c r="HH300" s="16">
        <v>66681</v>
      </c>
      <c r="HI300" s="16">
        <v>75511</v>
      </c>
      <c r="HJ300" s="16">
        <v>15938</v>
      </c>
      <c r="HK300" s="16">
        <v>97069</v>
      </c>
      <c r="HL300" s="16">
        <v>210346</v>
      </c>
      <c r="HM300" s="16">
        <v>88460</v>
      </c>
      <c r="HN300" s="16">
        <v>61349</v>
      </c>
      <c r="HO300" s="16">
        <v>43954</v>
      </c>
      <c r="HP300" s="16">
        <v>26982</v>
      </c>
      <c r="HQ300" s="16">
        <v>135782</v>
      </c>
      <c r="HR300" s="16">
        <v>196598</v>
      </c>
      <c r="HS300" s="16">
        <v>47089</v>
      </c>
      <c r="HT300" s="16">
        <v>7981</v>
      </c>
      <c r="HU300" s="16">
        <v>128238</v>
      </c>
      <c r="HV300" s="16">
        <v>27747</v>
      </c>
      <c r="HW300" s="16">
        <v>164954</v>
      </c>
      <c r="HX300" s="16">
        <v>50959</v>
      </c>
      <c r="HY300" s="16">
        <v>300106</v>
      </c>
      <c r="HZ300" s="16">
        <v>163482</v>
      </c>
      <c r="IA300" s="16">
        <v>73821</v>
      </c>
      <c r="IB300" s="16">
        <v>5951</v>
      </c>
      <c r="IC300" s="16">
        <v>8706</v>
      </c>
      <c r="ID300" s="16">
        <v>10102</v>
      </c>
      <c r="IE300" s="16">
        <v>8673</v>
      </c>
      <c r="IF300" s="16">
        <v>31139</v>
      </c>
      <c r="IG300" s="16">
        <v>110143</v>
      </c>
      <c r="IH300" s="16">
        <v>317312</v>
      </c>
      <c r="II300" s="16">
        <v>39703</v>
      </c>
      <c r="IJ300" s="16">
        <v>17629</v>
      </c>
      <c r="IK300" s="16">
        <v>19185</v>
      </c>
      <c r="IL300" s="16">
        <v>12308</v>
      </c>
      <c r="IM300" s="16">
        <v>4642</v>
      </c>
      <c r="IN300" s="16">
        <v>157786</v>
      </c>
      <c r="IO300" s="16">
        <v>926588</v>
      </c>
      <c r="IP300" s="16">
        <v>100339</v>
      </c>
      <c r="IQ300" s="16">
        <v>12918</v>
      </c>
      <c r="IR300" s="16">
        <v>89671</v>
      </c>
      <c r="IS300" s="16">
        <v>24327</v>
      </c>
      <c r="IT300" s="16">
        <v>21897</v>
      </c>
      <c r="IU300" s="16">
        <v>1697</v>
      </c>
      <c r="IV300" s="16">
        <v>27181</v>
      </c>
      <c r="IW300" s="16">
        <v>215583</v>
      </c>
      <c r="IX300" s="16">
        <v>50054</v>
      </c>
      <c r="IY300" s="16">
        <v>57729</v>
      </c>
      <c r="IZ300" s="16">
        <v>6534</v>
      </c>
      <c r="JA300" s="16">
        <v>11440</v>
      </c>
      <c r="JB300" s="16">
        <v>1282</v>
      </c>
      <c r="JC300" s="16">
        <v>7118</v>
      </c>
      <c r="JD300" s="16">
        <v>13769</v>
      </c>
      <c r="JE300" s="16">
        <v>61936</v>
      </c>
      <c r="JF300" s="16">
        <v>31094</v>
      </c>
      <c r="JG300" s="16">
        <v>671610</v>
      </c>
      <c r="JH300" s="16">
        <v>29428</v>
      </c>
      <c r="JI300" s="16">
        <v>1173</v>
      </c>
      <c r="JJ300" s="16">
        <v>193390</v>
      </c>
      <c r="JK300" s="16">
        <v>10881</v>
      </c>
      <c r="JL300" s="16">
        <v>4938</v>
      </c>
      <c r="JM300" s="16">
        <v>633</v>
      </c>
      <c r="JN300" s="16">
        <v>11747</v>
      </c>
      <c r="JO300" s="16">
        <v>38683</v>
      </c>
      <c r="JP300" s="16">
        <v>36006</v>
      </c>
      <c r="JQ300" s="16">
        <v>9619</v>
      </c>
      <c r="JR300" s="16">
        <v>22132</v>
      </c>
      <c r="JS300" s="16">
        <v>27799</v>
      </c>
      <c r="JT300" s="16">
        <v>15</v>
      </c>
      <c r="JU300" s="16">
        <v>915384</v>
      </c>
      <c r="JV300" s="16">
        <v>192331</v>
      </c>
      <c r="JW300" s="16">
        <v>545309</v>
      </c>
      <c r="JX300" s="16">
        <v>614865</v>
      </c>
      <c r="JY300" s="16">
        <v>247495</v>
      </c>
      <c r="JZ300" s="16">
        <v>156334</v>
      </c>
      <c r="KA300" s="16">
        <v>233005</v>
      </c>
      <c r="KB300" s="16">
        <v>43335</v>
      </c>
      <c r="KC300" s="16">
        <v>45932</v>
      </c>
      <c r="KD300" s="16">
        <v>42893</v>
      </c>
      <c r="KE300" s="16">
        <v>21388</v>
      </c>
      <c r="KF300" s="16">
        <v>136085</v>
      </c>
      <c r="KG300" s="16">
        <v>21713</v>
      </c>
      <c r="KH300" s="16">
        <v>94447</v>
      </c>
      <c r="KI300" s="16">
        <v>82241</v>
      </c>
      <c r="KJ300" s="16">
        <v>67981</v>
      </c>
      <c r="KK300" s="16">
        <v>4212379</v>
      </c>
      <c r="KL300" s="16">
        <v>2879</v>
      </c>
      <c r="KM300" s="16">
        <v>26486</v>
      </c>
      <c r="KN300" s="16">
        <v>366788</v>
      </c>
      <c r="KO300" s="16">
        <v>4473</v>
      </c>
      <c r="KP300" s="16">
        <v>481611</v>
      </c>
      <c r="KQ300" s="16">
        <v>24367</v>
      </c>
      <c r="KR300" s="16">
        <v>7238</v>
      </c>
      <c r="KS300" s="16">
        <v>14550</v>
      </c>
      <c r="KT300" s="16">
        <v>752</v>
      </c>
      <c r="KU300" s="16">
        <v>15038</v>
      </c>
      <c r="KV300" s="16">
        <v>66117</v>
      </c>
      <c r="KW300" s="16">
        <v>26429</v>
      </c>
      <c r="KX300" s="16">
        <v>799</v>
      </c>
      <c r="KY300" s="16">
        <v>16585</v>
      </c>
      <c r="KZ300" s="16">
        <v>438534</v>
      </c>
      <c r="LA300" s="16">
        <v>72435</v>
      </c>
      <c r="LB300" s="16">
        <v>25448</v>
      </c>
      <c r="LC300" s="16">
        <v>39863</v>
      </c>
      <c r="LD300" s="16">
        <v>19688</v>
      </c>
      <c r="LE300" s="16">
        <v>7514</v>
      </c>
      <c r="LF300" s="16">
        <v>7459</v>
      </c>
      <c r="LG300" s="16">
        <v>867</v>
      </c>
      <c r="LH300" s="16">
        <v>1837</v>
      </c>
      <c r="LI300" s="16">
        <v>734</v>
      </c>
      <c r="LJ300" s="16">
        <v>1323</v>
      </c>
      <c r="LK300" s="16">
        <v>4229</v>
      </c>
      <c r="LL300" s="16">
        <v>2352</v>
      </c>
      <c r="LM300" s="16">
        <v>10773</v>
      </c>
      <c r="LN300" s="16">
        <v>13935</v>
      </c>
      <c r="LO300" s="16">
        <v>205075</v>
      </c>
      <c r="LP300" s="16">
        <v>5364</v>
      </c>
      <c r="LQ300" s="16">
        <v>566</v>
      </c>
      <c r="LR300" s="16">
        <v>65546</v>
      </c>
      <c r="LS300" s="16">
        <v>7227</v>
      </c>
      <c r="LT300" s="16">
        <v>2392</v>
      </c>
      <c r="LU300" s="16">
        <v>22380</v>
      </c>
      <c r="LV300" s="16">
        <v>825</v>
      </c>
      <c r="LW300" s="16">
        <v>14398</v>
      </c>
      <c r="LX300" s="16">
        <v>10979</v>
      </c>
      <c r="LY300" s="16">
        <v>3221</v>
      </c>
      <c r="LZ300" s="16">
        <v>35647</v>
      </c>
      <c r="MA300" s="16">
        <v>7328</v>
      </c>
      <c r="MB300" s="16">
        <v>12039</v>
      </c>
      <c r="MC300" s="16">
        <v>5426</v>
      </c>
      <c r="MD300" s="16">
        <v>14039</v>
      </c>
      <c r="ME300" s="16">
        <v>2068</v>
      </c>
      <c r="MF300" s="16">
        <v>145242</v>
      </c>
      <c r="MG300" s="16">
        <v>8305</v>
      </c>
      <c r="MH300" s="16">
        <v>84880</v>
      </c>
      <c r="MI300" s="16">
        <v>23826</v>
      </c>
      <c r="MJ300" s="16">
        <v>19843</v>
      </c>
      <c r="MK300" s="16">
        <v>12399</v>
      </c>
      <c r="ML300" s="16">
        <v>5329</v>
      </c>
      <c r="MM300" s="16">
        <v>20622</v>
      </c>
      <c r="MN300" s="16">
        <v>269103</v>
      </c>
      <c r="MO300" s="16">
        <v>29151</v>
      </c>
      <c r="MP300" s="16">
        <v>8706</v>
      </c>
      <c r="MQ300" s="16">
        <v>44823</v>
      </c>
      <c r="MR300" s="16">
        <v>223464</v>
      </c>
      <c r="MS300" s="16">
        <v>64675</v>
      </c>
      <c r="MT300" s="16">
        <v>16215</v>
      </c>
      <c r="MU300" s="16">
        <v>26738</v>
      </c>
      <c r="MV300" s="16">
        <v>50680</v>
      </c>
      <c r="MW300" s="16">
        <v>43786</v>
      </c>
      <c r="MX300" s="16">
        <v>3787</v>
      </c>
      <c r="MY300" s="16">
        <v>52276</v>
      </c>
      <c r="MZ300" s="16">
        <v>98771</v>
      </c>
      <c r="NA300" s="16">
        <v>7113</v>
      </c>
      <c r="NB300" s="16">
        <v>49128</v>
      </c>
      <c r="NC300" s="16">
        <v>5592</v>
      </c>
      <c r="ND300" s="16">
        <v>5228</v>
      </c>
      <c r="NE300" s="16">
        <v>6074</v>
      </c>
      <c r="NF300" s="16">
        <v>2520</v>
      </c>
      <c r="NG300" s="16">
        <v>8263</v>
      </c>
      <c r="NH300" s="16">
        <v>9686</v>
      </c>
      <c r="NI300" s="16">
        <v>4346</v>
      </c>
      <c r="NJ300" s="16">
        <v>16440</v>
      </c>
      <c r="NK300" s="16">
        <v>76835</v>
      </c>
      <c r="NL300" s="16">
        <v>23043</v>
      </c>
      <c r="NM300" s="16">
        <v>10888</v>
      </c>
      <c r="NN300" s="16">
        <v>5167</v>
      </c>
      <c r="NO300" s="16">
        <v>0</v>
      </c>
      <c r="NP300" s="16">
        <v>9352</v>
      </c>
      <c r="NQ300" s="16">
        <v>1087</v>
      </c>
      <c r="NR300" s="17">
        <v>38776429</v>
      </c>
    </row>
    <row r="301" spans="1:382" ht="13.5" customHeight="1" x14ac:dyDescent="0.2">
      <c r="A301" s="2" t="s">
        <v>609</v>
      </c>
      <c r="B301" s="16">
        <v>2225</v>
      </c>
      <c r="C301" s="16">
        <v>224</v>
      </c>
      <c r="D301" s="16">
        <v>290</v>
      </c>
      <c r="E301" s="16">
        <v>1001</v>
      </c>
      <c r="F301" s="16">
        <v>389</v>
      </c>
      <c r="G301" s="16">
        <v>166</v>
      </c>
      <c r="H301" s="16">
        <v>18</v>
      </c>
      <c r="I301" s="16">
        <v>47</v>
      </c>
      <c r="J301" s="16">
        <v>1</v>
      </c>
      <c r="K301" s="16">
        <v>0</v>
      </c>
      <c r="L301" s="16">
        <v>73</v>
      </c>
      <c r="M301" s="16">
        <v>11</v>
      </c>
      <c r="N301" s="16">
        <v>0</v>
      </c>
      <c r="O301" s="16">
        <v>1603</v>
      </c>
      <c r="P301" s="16">
        <v>283</v>
      </c>
      <c r="Q301" s="16">
        <v>5074</v>
      </c>
      <c r="R301" s="16">
        <v>954</v>
      </c>
      <c r="S301" s="16">
        <v>176</v>
      </c>
      <c r="T301" s="16">
        <v>115</v>
      </c>
      <c r="U301" s="16">
        <v>1203</v>
      </c>
      <c r="V301" s="16">
        <v>20</v>
      </c>
      <c r="W301" s="16">
        <v>8</v>
      </c>
      <c r="X301" s="16">
        <v>65487</v>
      </c>
      <c r="Y301" s="16">
        <v>473</v>
      </c>
      <c r="Z301" s="16">
        <v>1520</v>
      </c>
      <c r="AA301" s="16">
        <v>1459</v>
      </c>
      <c r="AB301" s="16">
        <v>0</v>
      </c>
      <c r="AC301" s="16">
        <v>0</v>
      </c>
      <c r="AD301" s="16">
        <v>0</v>
      </c>
      <c r="AE301" s="16">
        <v>597</v>
      </c>
      <c r="AF301" s="16">
        <v>329</v>
      </c>
      <c r="AG301" s="16">
        <v>7190</v>
      </c>
      <c r="AH301" s="16">
        <v>4569</v>
      </c>
      <c r="AI301" s="16">
        <v>246</v>
      </c>
      <c r="AJ301" s="16">
        <v>2182</v>
      </c>
      <c r="AK301" s="16">
        <v>1714</v>
      </c>
      <c r="AL301" s="16">
        <v>6710</v>
      </c>
      <c r="AM301" s="16">
        <v>2371</v>
      </c>
      <c r="AN301" s="16">
        <v>7417</v>
      </c>
      <c r="AO301" s="16">
        <v>2877</v>
      </c>
      <c r="AP301" s="16">
        <v>919</v>
      </c>
      <c r="AQ301" s="16">
        <v>2498</v>
      </c>
      <c r="AR301" s="16">
        <v>0</v>
      </c>
      <c r="AS301" s="16">
        <v>272</v>
      </c>
      <c r="AT301" s="16">
        <v>1141</v>
      </c>
      <c r="AU301" s="16">
        <v>6287</v>
      </c>
      <c r="AV301" s="16">
        <v>3932</v>
      </c>
      <c r="AW301" s="16">
        <v>11508</v>
      </c>
      <c r="AX301" s="16">
        <v>5829</v>
      </c>
      <c r="AY301" s="16">
        <v>20901</v>
      </c>
      <c r="AZ301" s="16">
        <v>985</v>
      </c>
      <c r="BA301" s="16">
        <v>689</v>
      </c>
      <c r="BB301" s="16">
        <v>14162</v>
      </c>
      <c r="BC301" s="16">
        <v>21794</v>
      </c>
      <c r="BD301" s="16">
        <v>91</v>
      </c>
      <c r="BE301" s="16">
        <v>3746</v>
      </c>
      <c r="BF301" s="16">
        <v>4070</v>
      </c>
      <c r="BG301" s="16">
        <v>805</v>
      </c>
      <c r="BH301" s="16">
        <v>2255</v>
      </c>
      <c r="BI301" s="16">
        <v>646</v>
      </c>
      <c r="BJ301" s="16">
        <v>374</v>
      </c>
      <c r="BK301" s="16">
        <v>535</v>
      </c>
      <c r="BL301" s="16">
        <v>3196</v>
      </c>
      <c r="BM301" s="16">
        <v>926</v>
      </c>
      <c r="BN301" s="16">
        <v>962</v>
      </c>
      <c r="BO301" s="16">
        <v>2190</v>
      </c>
      <c r="BP301" s="16">
        <v>5747</v>
      </c>
      <c r="BQ301" s="16">
        <v>1209</v>
      </c>
      <c r="BR301" s="16">
        <v>2283</v>
      </c>
      <c r="BS301" s="16">
        <v>5364</v>
      </c>
      <c r="BT301" s="16">
        <v>1081</v>
      </c>
      <c r="BU301" s="16">
        <v>10</v>
      </c>
      <c r="BV301" s="16">
        <v>29</v>
      </c>
      <c r="BW301" s="16">
        <v>946</v>
      </c>
      <c r="BX301" s="16">
        <v>162</v>
      </c>
      <c r="BY301" s="16">
        <v>10</v>
      </c>
      <c r="BZ301" s="16">
        <v>421</v>
      </c>
      <c r="CA301" s="16">
        <v>380</v>
      </c>
      <c r="CB301" s="16">
        <v>86</v>
      </c>
      <c r="CC301" s="16">
        <v>5403</v>
      </c>
      <c r="CD301" s="16">
        <v>585</v>
      </c>
      <c r="CE301" s="16">
        <v>1862</v>
      </c>
      <c r="CF301" s="16">
        <v>760</v>
      </c>
      <c r="CG301" s="16">
        <v>1126</v>
      </c>
      <c r="CH301" s="16">
        <v>577</v>
      </c>
      <c r="CI301" s="16">
        <v>104</v>
      </c>
      <c r="CJ301" s="16">
        <v>1443</v>
      </c>
      <c r="CK301" s="16">
        <v>5743</v>
      </c>
      <c r="CL301" s="16">
        <v>11362</v>
      </c>
      <c r="CM301" s="16">
        <v>1306</v>
      </c>
      <c r="CN301" s="16">
        <v>1232</v>
      </c>
      <c r="CO301" s="16">
        <v>2751</v>
      </c>
      <c r="CP301" s="16">
        <v>1267</v>
      </c>
      <c r="CQ301" s="16">
        <v>4887</v>
      </c>
      <c r="CR301" s="16">
        <v>1562</v>
      </c>
      <c r="CS301" s="16">
        <v>24390</v>
      </c>
      <c r="CT301" s="16">
        <v>17397</v>
      </c>
      <c r="CU301" s="16">
        <v>24405</v>
      </c>
      <c r="CV301" s="16">
        <v>5032</v>
      </c>
      <c r="CW301" s="16">
        <v>56548</v>
      </c>
      <c r="CX301" s="16">
        <v>18100</v>
      </c>
      <c r="CY301" s="16">
        <v>4935</v>
      </c>
      <c r="CZ301" s="16">
        <v>11509</v>
      </c>
      <c r="DA301" s="16">
        <v>10857</v>
      </c>
      <c r="DB301" s="16">
        <v>18667</v>
      </c>
      <c r="DC301" s="16">
        <v>8003</v>
      </c>
      <c r="DD301" s="16">
        <v>18263</v>
      </c>
      <c r="DE301" s="16">
        <v>21771</v>
      </c>
      <c r="DF301" s="16">
        <v>8283</v>
      </c>
      <c r="DG301" s="16">
        <v>4936</v>
      </c>
      <c r="DH301" s="16">
        <v>41832</v>
      </c>
      <c r="DI301" s="16">
        <v>2121</v>
      </c>
      <c r="DJ301" s="16">
        <v>14426</v>
      </c>
      <c r="DK301" s="16">
        <v>1724</v>
      </c>
      <c r="DL301" s="16">
        <v>584</v>
      </c>
      <c r="DM301" s="16">
        <v>3494</v>
      </c>
      <c r="DN301" s="16">
        <v>8549</v>
      </c>
      <c r="DO301" s="16">
        <v>1043</v>
      </c>
      <c r="DP301" s="16">
        <v>13713</v>
      </c>
      <c r="DQ301" s="16">
        <v>1517</v>
      </c>
      <c r="DR301" s="16">
        <v>4873</v>
      </c>
      <c r="DS301" s="16">
        <v>3426</v>
      </c>
      <c r="DT301" s="16">
        <v>5144</v>
      </c>
      <c r="DU301" s="16">
        <v>1282</v>
      </c>
      <c r="DV301" s="16">
        <v>25230</v>
      </c>
      <c r="DW301" s="16">
        <v>9699</v>
      </c>
      <c r="DX301" s="16">
        <v>9623</v>
      </c>
      <c r="DY301" s="16">
        <v>5510</v>
      </c>
      <c r="DZ301" s="16">
        <v>12818</v>
      </c>
      <c r="EA301" s="16">
        <v>19405</v>
      </c>
      <c r="EB301" s="16">
        <v>12917</v>
      </c>
      <c r="EC301" s="16">
        <v>5848</v>
      </c>
      <c r="ED301" s="16">
        <v>705</v>
      </c>
      <c r="EE301" s="16">
        <v>410</v>
      </c>
      <c r="EF301" s="16">
        <v>580</v>
      </c>
      <c r="EG301" s="16">
        <v>2691</v>
      </c>
      <c r="EH301" s="16">
        <v>773</v>
      </c>
      <c r="EI301" s="16">
        <v>1339</v>
      </c>
      <c r="EJ301" s="16">
        <v>231</v>
      </c>
      <c r="EK301" s="16">
        <v>1855</v>
      </c>
      <c r="EL301" s="16">
        <v>414</v>
      </c>
      <c r="EM301" s="16">
        <v>77024</v>
      </c>
      <c r="EN301" s="16">
        <v>223041</v>
      </c>
      <c r="EO301" s="16">
        <v>40114</v>
      </c>
      <c r="EP301" s="16">
        <v>2365</v>
      </c>
      <c r="EQ301" s="16">
        <v>2807</v>
      </c>
      <c r="ER301" s="16">
        <v>271</v>
      </c>
      <c r="ES301" s="16">
        <v>40435</v>
      </c>
      <c r="ET301" s="16">
        <v>9112</v>
      </c>
      <c r="EU301" s="16">
        <v>335</v>
      </c>
      <c r="EV301" s="16">
        <v>1725</v>
      </c>
      <c r="EW301" s="16">
        <v>1312</v>
      </c>
      <c r="EX301" s="16">
        <v>27128</v>
      </c>
      <c r="EY301" s="16">
        <v>9724</v>
      </c>
      <c r="EZ301" s="16">
        <v>3416</v>
      </c>
      <c r="FA301" s="16">
        <v>6036</v>
      </c>
      <c r="FB301" s="16">
        <v>12229</v>
      </c>
      <c r="FC301" s="16">
        <v>11840</v>
      </c>
      <c r="FD301" s="16">
        <v>18518</v>
      </c>
      <c r="FE301" s="16">
        <v>8186</v>
      </c>
      <c r="FF301" s="16">
        <v>31452</v>
      </c>
      <c r="FG301" s="16">
        <v>11701</v>
      </c>
      <c r="FH301" s="16">
        <v>326</v>
      </c>
      <c r="FI301" s="16">
        <v>5259</v>
      </c>
      <c r="FJ301" s="16">
        <v>2390</v>
      </c>
      <c r="FK301" s="16">
        <v>166</v>
      </c>
      <c r="FL301" s="16">
        <v>289</v>
      </c>
      <c r="FM301" s="16">
        <v>2890</v>
      </c>
      <c r="FN301" s="16">
        <v>6113</v>
      </c>
      <c r="FO301" s="16">
        <v>458</v>
      </c>
      <c r="FP301" s="16">
        <v>3766</v>
      </c>
      <c r="FQ301" s="16">
        <v>11977</v>
      </c>
      <c r="FR301" s="16">
        <v>8258</v>
      </c>
      <c r="FS301" s="16">
        <v>2049</v>
      </c>
      <c r="FT301" s="16">
        <v>5009</v>
      </c>
      <c r="FU301" s="16">
        <v>1826</v>
      </c>
      <c r="FV301" s="16">
        <v>3156</v>
      </c>
      <c r="FW301" s="16">
        <v>5173</v>
      </c>
      <c r="FX301" s="16">
        <v>10448</v>
      </c>
      <c r="FY301" s="16">
        <v>1522</v>
      </c>
      <c r="FZ301" s="16">
        <v>2435</v>
      </c>
      <c r="GA301" s="16">
        <v>1068</v>
      </c>
      <c r="GB301" s="16">
        <v>8287</v>
      </c>
      <c r="GC301" s="16">
        <v>2846</v>
      </c>
      <c r="GD301" s="16">
        <v>13048</v>
      </c>
      <c r="GE301" s="16">
        <v>2574</v>
      </c>
      <c r="GF301" s="16">
        <v>1596</v>
      </c>
      <c r="GG301" s="16">
        <v>2910</v>
      </c>
      <c r="GH301" s="16">
        <v>1341</v>
      </c>
      <c r="GI301" s="16">
        <v>1056</v>
      </c>
      <c r="GJ301" s="16">
        <v>2144</v>
      </c>
      <c r="GK301" s="16">
        <v>952</v>
      </c>
      <c r="GL301" s="16">
        <v>932</v>
      </c>
      <c r="GM301" s="16">
        <v>241</v>
      </c>
      <c r="GN301" s="16">
        <v>524</v>
      </c>
      <c r="GO301" s="16">
        <v>1940</v>
      </c>
      <c r="GP301" s="16">
        <v>2327</v>
      </c>
      <c r="GQ301" s="16">
        <v>1126</v>
      </c>
      <c r="GR301" s="16">
        <v>308</v>
      </c>
      <c r="GS301" s="16">
        <v>592</v>
      </c>
      <c r="GT301" s="16">
        <v>1143</v>
      </c>
      <c r="GU301" s="16">
        <v>1413</v>
      </c>
      <c r="GV301" s="16">
        <v>698</v>
      </c>
      <c r="GW301" s="16">
        <v>366</v>
      </c>
      <c r="GX301" s="16">
        <v>1563</v>
      </c>
      <c r="GY301" s="16">
        <v>21</v>
      </c>
      <c r="GZ301" s="16">
        <v>9400</v>
      </c>
      <c r="HA301" s="16">
        <v>6104</v>
      </c>
      <c r="HB301" s="16">
        <v>3281</v>
      </c>
      <c r="HC301" s="16">
        <v>6370</v>
      </c>
      <c r="HD301" s="16">
        <v>3953</v>
      </c>
      <c r="HE301" s="16">
        <v>15075</v>
      </c>
      <c r="HF301" s="16">
        <v>1271</v>
      </c>
      <c r="HG301" s="16">
        <v>6055</v>
      </c>
      <c r="HH301" s="16">
        <v>1678</v>
      </c>
      <c r="HI301" s="16">
        <v>10594</v>
      </c>
      <c r="HJ301" s="16">
        <v>360</v>
      </c>
      <c r="HK301" s="16">
        <v>1804</v>
      </c>
      <c r="HL301" s="16">
        <v>5020</v>
      </c>
      <c r="HM301" s="16">
        <v>2463</v>
      </c>
      <c r="HN301" s="16">
        <v>3463</v>
      </c>
      <c r="HO301" s="16">
        <v>1316</v>
      </c>
      <c r="HP301" s="16">
        <v>2062</v>
      </c>
      <c r="HQ301" s="16">
        <v>4561</v>
      </c>
      <c r="HR301" s="16">
        <v>9445</v>
      </c>
      <c r="HS301" s="16">
        <v>2861</v>
      </c>
      <c r="HT301" s="16">
        <v>261</v>
      </c>
      <c r="HU301" s="16">
        <v>4080</v>
      </c>
      <c r="HV301" s="16">
        <v>2025</v>
      </c>
      <c r="HW301" s="16">
        <v>7672</v>
      </c>
      <c r="HX301" s="16">
        <v>2567</v>
      </c>
      <c r="HY301" s="16">
        <v>4665</v>
      </c>
      <c r="HZ301" s="16">
        <v>1402</v>
      </c>
      <c r="IA301" s="16">
        <v>1492</v>
      </c>
      <c r="IB301" s="16">
        <v>438</v>
      </c>
      <c r="IC301" s="16">
        <v>297</v>
      </c>
      <c r="ID301" s="16">
        <v>336</v>
      </c>
      <c r="IE301" s="16">
        <v>137</v>
      </c>
      <c r="IF301" s="16">
        <v>739</v>
      </c>
      <c r="IG301" s="16">
        <v>3284</v>
      </c>
      <c r="IH301" s="16">
        <v>17427</v>
      </c>
      <c r="II301" s="16">
        <v>1922</v>
      </c>
      <c r="IJ301" s="16">
        <v>634</v>
      </c>
      <c r="IK301" s="16">
        <v>1501</v>
      </c>
      <c r="IL301" s="16">
        <v>771</v>
      </c>
      <c r="IM301" s="16">
        <v>197</v>
      </c>
      <c r="IN301" s="16">
        <v>3813</v>
      </c>
      <c r="IO301" s="16">
        <v>54672</v>
      </c>
      <c r="IP301" s="16">
        <v>19001</v>
      </c>
      <c r="IQ301" s="16">
        <v>822</v>
      </c>
      <c r="IR301" s="16">
        <v>3192</v>
      </c>
      <c r="IS301" s="16">
        <v>2443</v>
      </c>
      <c r="IT301" s="16">
        <v>519</v>
      </c>
      <c r="IU301" s="16">
        <v>22</v>
      </c>
      <c r="IV301" s="16">
        <v>1543</v>
      </c>
      <c r="IW301" s="16">
        <v>5978</v>
      </c>
      <c r="IX301" s="16">
        <v>3836</v>
      </c>
      <c r="IY301" s="16">
        <v>5856</v>
      </c>
      <c r="IZ301" s="16">
        <v>721</v>
      </c>
      <c r="JA301" s="16">
        <v>626</v>
      </c>
      <c r="JB301" s="16">
        <v>15</v>
      </c>
      <c r="JC301" s="16">
        <v>744</v>
      </c>
      <c r="JD301" s="16">
        <v>137</v>
      </c>
      <c r="JE301" s="16">
        <v>1919</v>
      </c>
      <c r="JF301" s="16">
        <v>1408</v>
      </c>
      <c r="JG301" s="16">
        <v>13991</v>
      </c>
      <c r="JH301" s="16">
        <v>403</v>
      </c>
      <c r="JI301" s="16">
        <v>41</v>
      </c>
      <c r="JJ301" s="16">
        <v>6745</v>
      </c>
      <c r="JK301" s="16">
        <v>322</v>
      </c>
      <c r="JL301" s="16">
        <v>200</v>
      </c>
      <c r="JM301" s="16">
        <v>10</v>
      </c>
      <c r="JN301" s="16">
        <v>76</v>
      </c>
      <c r="JO301" s="16">
        <v>9171</v>
      </c>
      <c r="JP301" s="16">
        <v>1567</v>
      </c>
      <c r="JQ301" s="16">
        <v>58</v>
      </c>
      <c r="JR301" s="16">
        <v>131</v>
      </c>
      <c r="JS301" s="16">
        <v>89</v>
      </c>
      <c r="JT301" s="16">
        <v>0</v>
      </c>
      <c r="JU301" s="16">
        <v>6646</v>
      </c>
      <c r="JV301" s="16">
        <v>38325</v>
      </c>
      <c r="JW301" s="16">
        <v>14693</v>
      </c>
      <c r="JX301" s="16">
        <v>10175</v>
      </c>
      <c r="JY301" s="16">
        <v>7768</v>
      </c>
      <c r="JZ301" s="16">
        <v>5794</v>
      </c>
      <c r="KA301" s="16">
        <v>16589</v>
      </c>
      <c r="KB301" s="16">
        <v>5555</v>
      </c>
      <c r="KC301" s="16">
        <v>1437</v>
      </c>
      <c r="KD301" s="16">
        <v>2509</v>
      </c>
      <c r="KE301" s="16">
        <v>887</v>
      </c>
      <c r="KF301" s="16">
        <v>3957</v>
      </c>
      <c r="KG301" s="16">
        <v>667</v>
      </c>
      <c r="KH301" s="16">
        <v>4809</v>
      </c>
      <c r="KI301" s="16">
        <v>2118</v>
      </c>
      <c r="KJ301" s="16">
        <v>2327</v>
      </c>
      <c r="KK301" s="16">
        <v>188498</v>
      </c>
      <c r="KL301" s="16">
        <v>136</v>
      </c>
      <c r="KM301" s="16">
        <v>2199</v>
      </c>
      <c r="KN301" s="16">
        <v>73267</v>
      </c>
      <c r="KO301" s="16">
        <v>583</v>
      </c>
      <c r="KP301" s="16">
        <v>623448</v>
      </c>
      <c r="KQ301" s="16">
        <v>704</v>
      </c>
      <c r="KR301" s="16">
        <v>1496</v>
      </c>
      <c r="KS301" s="16">
        <v>8094</v>
      </c>
      <c r="KT301" s="16">
        <v>169</v>
      </c>
      <c r="KU301" s="16">
        <v>396</v>
      </c>
      <c r="KV301" s="16">
        <v>35767</v>
      </c>
      <c r="KW301" s="16">
        <v>9886</v>
      </c>
      <c r="KX301" s="16">
        <v>5</v>
      </c>
      <c r="KY301" s="16">
        <v>5395</v>
      </c>
      <c r="KZ301" s="16">
        <v>3437</v>
      </c>
      <c r="LA301" s="16">
        <v>488</v>
      </c>
      <c r="LB301" s="16">
        <v>466</v>
      </c>
      <c r="LC301" s="16">
        <v>599</v>
      </c>
      <c r="LD301" s="16">
        <v>397</v>
      </c>
      <c r="LE301" s="16">
        <v>39</v>
      </c>
      <c r="LF301" s="16">
        <v>12</v>
      </c>
      <c r="LG301" s="16">
        <v>2</v>
      </c>
      <c r="LH301" s="16">
        <v>17</v>
      </c>
      <c r="LI301" s="16">
        <v>1</v>
      </c>
      <c r="LJ301" s="16">
        <v>6</v>
      </c>
      <c r="LK301" s="16">
        <v>20</v>
      </c>
      <c r="LL301" s="16">
        <v>14</v>
      </c>
      <c r="LM301" s="16">
        <v>49</v>
      </c>
      <c r="LN301" s="16">
        <v>96</v>
      </c>
      <c r="LO301" s="16">
        <v>119</v>
      </c>
      <c r="LP301" s="16">
        <v>77</v>
      </c>
      <c r="LQ301" s="16">
        <v>13</v>
      </c>
      <c r="LR301" s="16">
        <v>22</v>
      </c>
      <c r="LS301" s="16">
        <v>16</v>
      </c>
      <c r="LT301" s="16">
        <v>19</v>
      </c>
      <c r="LU301" s="16">
        <v>8</v>
      </c>
      <c r="LV301" s="16">
        <v>0</v>
      </c>
      <c r="LW301" s="16">
        <v>8</v>
      </c>
      <c r="LX301" s="16">
        <v>20</v>
      </c>
      <c r="LY301" s="16">
        <v>53</v>
      </c>
      <c r="LZ301" s="16">
        <v>1300</v>
      </c>
      <c r="MA301" s="16">
        <v>262</v>
      </c>
      <c r="MB301" s="16">
        <v>174</v>
      </c>
      <c r="MC301" s="16">
        <v>51</v>
      </c>
      <c r="MD301" s="16">
        <v>60</v>
      </c>
      <c r="ME301" s="16">
        <v>5</v>
      </c>
      <c r="MF301" s="16">
        <v>1144</v>
      </c>
      <c r="MG301" s="16">
        <v>588</v>
      </c>
      <c r="MH301" s="16">
        <v>1526</v>
      </c>
      <c r="MI301" s="16">
        <v>39</v>
      </c>
      <c r="MJ301" s="16">
        <v>50</v>
      </c>
      <c r="MK301" s="16">
        <v>131</v>
      </c>
      <c r="ML301" s="16">
        <v>44</v>
      </c>
      <c r="MM301" s="16">
        <v>831</v>
      </c>
      <c r="MN301" s="16">
        <v>6592</v>
      </c>
      <c r="MO301" s="16">
        <v>1074</v>
      </c>
      <c r="MP301" s="16">
        <v>70</v>
      </c>
      <c r="MQ301" s="16">
        <v>403</v>
      </c>
      <c r="MR301" s="16">
        <v>2844</v>
      </c>
      <c r="MS301" s="16">
        <v>1244</v>
      </c>
      <c r="MT301" s="16">
        <v>87</v>
      </c>
      <c r="MU301" s="16">
        <v>374</v>
      </c>
      <c r="MV301" s="16">
        <v>214</v>
      </c>
      <c r="MW301" s="16">
        <v>1569</v>
      </c>
      <c r="MX301" s="16">
        <v>99</v>
      </c>
      <c r="MY301" s="16">
        <v>1605</v>
      </c>
      <c r="MZ301" s="16">
        <v>2801</v>
      </c>
      <c r="NA301" s="16">
        <v>127</v>
      </c>
      <c r="NB301" s="16">
        <v>311</v>
      </c>
      <c r="NC301" s="16">
        <v>129</v>
      </c>
      <c r="ND301" s="16">
        <v>43</v>
      </c>
      <c r="NE301" s="16">
        <v>24</v>
      </c>
      <c r="NF301" s="16">
        <v>48</v>
      </c>
      <c r="NG301" s="16">
        <v>253</v>
      </c>
      <c r="NH301" s="16">
        <v>34</v>
      </c>
      <c r="NI301" s="16">
        <v>53</v>
      </c>
      <c r="NJ301" s="16">
        <v>351</v>
      </c>
      <c r="NK301" s="16">
        <v>4830</v>
      </c>
      <c r="NL301" s="16">
        <v>398</v>
      </c>
      <c r="NM301" s="16">
        <v>137</v>
      </c>
      <c r="NN301" s="16">
        <v>301</v>
      </c>
      <c r="NO301" s="16">
        <v>0</v>
      </c>
      <c r="NP301" s="16">
        <v>295</v>
      </c>
      <c r="NQ301" s="16">
        <v>24</v>
      </c>
      <c r="NR301" s="17">
        <v>2821492</v>
      </c>
    </row>
    <row r="302" spans="1:382" ht="13.5" customHeight="1" x14ac:dyDescent="0.2">
      <c r="A302" s="2" t="s">
        <v>611</v>
      </c>
      <c r="B302" s="16">
        <v>0</v>
      </c>
      <c r="C302" s="16">
        <v>0</v>
      </c>
      <c r="D302" s="16">
        <v>0</v>
      </c>
      <c r="E302" s="16">
        <v>0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  <c r="AH302" s="16">
        <v>0</v>
      </c>
      <c r="AI302" s="16">
        <v>0</v>
      </c>
      <c r="AJ302" s="16">
        <v>0</v>
      </c>
      <c r="AK302" s="16">
        <v>0</v>
      </c>
      <c r="AL302" s="16">
        <v>0</v>
      </c>
      <c r="AM302" s="16">
        <v>0</v>
      </c>
      <c r="AN302" s="16">
        <v>0</v>
      </c>
      <c r="AO302" s="16">
        <v>0</v>
      </c>
      <c r="AP302" s="16">
        <v>0</v>
      </c>
      <c r="AQ302" s="16">
        <v>0</v>
      </c>
      <c r="AR302" s="16">
        <v>0</v>
      </c>
      <c r="AS302" s="16">
        <v>0</v>
      </c>
      <c r="AT302" s="16">
        <v>0</v>
      </c>
      <c r="AU302" s="16">
        <v>0</v>
      </c>
      <c r="AV302" s="16">
        <v>0</v>
      </c>
      <c r="AW302" s="16">
        <v>0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6">
        <v>0</v>
      </c>
      <c r="BD302" s="16">
        <v>0</v>
      </c>
      <c r="BE302" s="16">
        <v>0</v>
      </c>
      <c r="BF302" s="16">
        <v>0</v>
      </c>
      <c r="BG302" s="16">
        <v>0</v>
      </c>
      <c r="BH302" s="16">
        <v>0</v>
      </c>
      <c r="BI302" s="16">
        <v>0</v>
      </c>
      <c r="BJ302" s="16">
        <v>0</v>
      </c>
      <c r="BK302" s="16">
        <v>0</v>
      </c>
      <c r="BL302" s="16">
        <v>0</v>
      </c>
      <c r="BM302" s="16">
        <v>0</v>
      </c>
      <c r="BN302" s="16">
        <v>0</v>
      </c>
      <c r="BO302" s="16">
        <v>0</v>
      </c>
      <c r="BP302" s="16">
        <v>0</v>
      </c>
      <c r="BQ302" s="16">
        <v>0</v>
      </c>
      <c r="BR302" s="16">
        <v>0</v>
      </c>
      <c r="BS302" s="16">
        <v>0</v>
      </c>
      <c r="BT302" s="16">
        <v>0</v>
      </c>
      <c r="BU302" s="16">
        <v>0</v>
      </c>
      <c r="BV302" s="16">
        <v>0</v>
      </c>
      <c r="BW302" s="16">
        <v>0</v>
      </c>
      <c r="BX302" s="16">
        <v>0</v>
      </c>
      <c r="BY302" s="16">
        <v>0</v>
      </c>
      <c r="BZ302" s="16">
        <v>0</v>
      </c>
      <c r="CA302" s="16">
        <v>0</v>
      </c>
      <c r="CB302" s="16">
        <v>0</v>
      </c>
      <c r="CC302" s="16">
        <v>0</v>
      </c>
      <c r="CD302" s="16">
        <v>0</v>
      </c>
      <c r="CE302" s="16">
        <v>0</v>
      </c>
      <c r="CF302" s="16">
        <v>0</v>
      </c>
      <c r="CG302" s="16">
        <v>0</v>
      </c>
      <c r="CH302" s="16">
        <v>0</v>
      </c>
      <c r="CI302" s="16">
        <v>0</v>
      </c>
      <c r="CJ302" s="16">
        <v>0</v>
      </c>
      <c r="CK302" s="16">
        <v>0</v>
      </c>
      <c r="CL302" s="16">
        <v>0</v>
      </c>
      <c r="CM302" s="16">
        <v>0</v>
      </c>
      <c r="CN302" s="16">
        <v>0</v>
      </c>
      <c r="CO302" s="16">
        <v>0</v>
      </c>
      <c r="CP302" s="16">
        <v>0</v>
      </c>
      <c r="CQ302" s="16">
        <v>0</v>
      </c>
      <c r="CR302" s="16">
        <v>0</v>
      </c>
      <c r="CS302" s="16">
        <v>0</v>
      </c>
      <c r="CT302" s="16">
        <v>0</v>
      </c>
      <c r="CU302" s="16">
        <v>0</v>
      </c>
      <c r="CV302" s="16">
        <v>0</v>
      </c>
      <c r="CW302" s="16">
        <v>0</v>
      </c>
      <c r="CX302" s="16">
        <v>0</v>
      </c>
      <c r="CY302" s="16">
        <v>0</v>
      </c>
      <c r="CZ302" s="16">
        <v>0</v>
      </c>
      <c r="DA302" s="16">
        <v>0</v>
      </c>
      <c r="DB302" s="16">
        <v>0</v>
      </c>
      <c r="DC302" s="16">
        <v>0</v>
      </c>
      <c r="DD302" s="16">
        <v>0</v>
      </c>
      <c r="DE302" s="16">
        <v>0</v>
      </c>
      <c r="DF302" s="16">
        <v>0</v>
      </c>
      <c r="DG302" s="16">
        <v>0</v>
      </c>
      <c r="DH302" s="16">
        <v>0</v>
      </c>
      <c r="DI302" s="16">
        <v>0</v>
      </c>
      <c r="DJ302" s="16">
        <v>0</v>
      </c>
      <c r="DK302" s="16">
        <v>0</v>
      </c>
      <c r="DL302" s="16">
        <v>0</v>
      </c>
      <c r="DM302" s="16">
        <v>0</v>
      </c>
      <c r="DN302" s="16">
        <v>0</v>
      </c>
      <c r="DO302" s="16">
        <v>0</v>
      </c>
      <c r="DP302" s="16">
        <v>0</v>
      </c>
      <c r="DQ302" s="16">
        <v>0</v>
      </c>
      <c r="DR302" s="16">
        <v>0</v>
      </c>
      <c r="DS302" s="16">
        <v>0</v>
      </c>
      <c r="DT302" s="16">
        <v>0</v>
      </c>
      <c r="DU302" s="16">
        <v>0</v>
      </c>
      <c r="DV302" s="16">
        <v>0</v>
      </c>
      <c r="DW302" s="16">
        <v>0</v>
      </c>
      <c r="DX302" s="16">
        <v>0</v>
      </c>
      <c r="DY302" s="16">
        <v>0</v>
      </c>
      <c r="DZ302" s="16">
        <v>0</v>
      </c>
      <c r="EA302" s="16">
        <v>0</v>
      </c>
      <c r="EB302" s="16">
        <v>0</v>
      </c>
      <c r="EC302" s="16">
        <v>0</v>
      </c>
      <c r="ED302" s="16">
        <v>0</v>
      </c>
      <c r="EE302" s="16">
        <v>0</v>
      </c>
      <c r="EF302" s="16">
        <v>0</v>
      </c>
      <c r="EG302" s="16">
        <v>0</v>
      </c>
      <c r="EH302" s="16">
        <v>0</v>
      </c>
      <c r="EI302" s="16">
        <v>0</v>
      </c>
      <c r="EJ302" s="16">
        <v>0</v>
      </c>
      <c r="EK302" s="16">
        <v>0</v>
      </c>
      <c r="EL302" s="16">
        <v>0</v>
      </c>
      <c r="EM302" s="16">
        <v>0</v>
      </c>
      <c r="EN302" s="16">
        <v>0</v>
      </c>
      <c r="EO302" s="16">
        <v>0</v>
      </c>
      <c r="EP302" s="16">
        <v>0</v>
      </c>
      <c r="EQ302" s="16">
        <v>0</v>
      </c>
      <c r="ER302" s="16">
        <v>0</v>
      </c>
      <c r="ES302" s="16">
        <v>0</v>
      </c>
      <c r="ET302" s="16">
        <v>0</v>
      </c>
      <c r="EU302" s="16">
        <v>0</v>
      </c>
      <c r="EV302" s="16">
        <v>0</v>
      </c>
      <c r="EW302" s="16">
        <v>0</v>
      </c>
      <c r="EX302" s="16">
        <v>0</v>
      </c>
      <c r="EY302" s="16">
        <v>0</v>
      </c>
      <c r="EZ302" s="16">
        <v>0</v>
      </c>
      <c r="FA302" s="16">
        <v>0</v>
      </c>
      <c r="FB302" s="16">
        <v>0</v>
      </c>
      <c r="FC302" s="16">
        <v>0</v>
      </c>
      <c r="FD302" s="16">
        <v>0</v>
      </c>
      <c r="FE302" s="16">
        <v>0</v>
      </c>
      <c r="FF302" s="16">
        <v>0</v>
      </c>
      <c r="FG302" s="16">
        <v>0</v>
      </c>
      <c r="FH302" s="16">
        <v>0</v>
      </c>
      <c r="FI302" s="16">
        <v>0</v>
      </c>
      <c r="FJ302" s="16">
        <v>0</v>
      </c>
      <c r="FK302" s="16">
        <v>0</v>
      </c>
      <c r="FL302" s="16">
        <v>0</v>
      </c>
      <c r="FM302" s="16">
        <v>0</v>
      </c>
      <c r="FN302" s="16">
        <v>0</v>
      </c>
      <c r="FO302" s="16">
        <v>0</v>
      </c>
      <c r="FP302" s="16">
        <v>0</v>
      </c>
      <c r="FQ302" s="16">
        <v>0</v>
      </c>
      <c r="FR302" s="16">
        <v>0</v>
      </c>
      <c r="FS302" s="16">
        <v>0</v>
      </c>
      <c r="FT302" s="16">
        <v>0</v>
      </c>
      <c r="FU302" s="16">
        <v>0</v>
      </c>
      <c r="FV302" s="16">
        <v>0</v>
      </c>
      <c r="FW302" s="16">
        <v>0</v>
      </c>
      <c r="FX302" s="16">
        <v>0</v>
      </c>
      <c r="FY302" s="16">
        <v>0</v>
      </c>
      <c r="FZ302" s="16">
        <v>0</v>
      </c>
      <c r="GA302" s="16">
        <v>0</v>
      </c>
      <c r="GB302" s="16">
        <v>0</v>
      </c>
      <c r="GC302" s="16">
        <v>0</v>
      </c>
      <c r="GD302" s="16">
        <v>0</v>
      </c>
      <c r="GE302" s="16">
        <v>0</v>
      </c>
      <c r="GF302" s="16">
        <v>0</v>
      </c>
      <c r="GG302" s="16">
        <v>0</v>
      </c>
      <c r="GH302" s="16">
        <v>0</v>
      </c>
      <c r="GI302" s="16">
        <v>0</v>
      </c>
      <c r="GJ302" s="16">
        <v>0</v>
      </c>
      <c r="GK302" s="16">
        <v>0</v>
      </c>
      <c r="GL302" s="16">
        <v>0</v>
      </c>
      <c r="GM302" s="16">
        <v>0</v>
      </c>
      <c r="GN302" s="16">
        <v>0</v>
      </c>
      <c r="GO302" s="16">
        <v>0</v>
      </c>
      <c r="GP302" s="16">
        <v>0</v>
      </c>
      <c r="GQ302" s="16">
        <v>0</v>
      </c>
      <c r="GR302" s="16">
        <v>0</v>
      </c>
      <c r="GS302" s="16">
        <v>0</v>
      </c>
      <c r="GT302" s="16">
        <v>0</v>
      </c>
      <c r="GU302" s="16">
        <v>0</v>
      </c>
      <c r="GV302" s="16">
        <v>0</v>
      </c>
      <c r="GW302" s="16">
        <v>0</v>
      </c>
      <c r="GX302" s="16">
        <v>0</v>
      </c>
      <c r="GY302" s="16">
        <v>0</v>
      </c>
      <c r="GZ302" s="16">
        <v>0</v>
      </c>
      <c r="HA302" s="16">
        <v>0</v>
      </c>
      <c r="HB302" s="16">
        <v>0</v>
      </c>
      <c r="HC302" s="16">
        <v>0</v>
      </c>
      <c r="HD302" s="16">
        <v>0</v>
      </c>
      <c r="HE302" s="16">
        <v>0</v>
      </c>
      <c r="HF302" s="16">
        <v>0</v>
      </c>
      <c r="HG302" s="16">
        <v>0</v>
      </c>
      <c r="HH302" s="16">
        <v>0</v>
      </c>
      <c r="HI302" s="16">
        <v>0</v>
      </c>
      <c r="HJ302" s="16">
        <v>0</v>
      </c>
      <c r="HK302" s="16">
        <v>0</v>
      </c>
      <c r="HL302" s="16">
        <v>0</v>
      </c>
      <c r="HM302" s="16">
        <v>0</v>
      </c>
      <c r="HN302" s="16">
        <v>0</v>
      </c>
      <c r="HO302" s="16">
        <v>0</v>
      </c>
      <c r="HP302" s="16">
        <v>0</v>
      </c>
      <c r="HQ302" s="16">
        <v>0</v>
      </c>
      <c r="HR302" s="16">
        <v>0</v>
      </c>
      <c r="HS302" s="16">
        <v>0</v>
      </c>
      <c r="HT302" s="16">
        <v>0</v>
      </c>
      <c r="HU302" s="16">
        <v>0</v>
      </c>
      <c r="HV302" s="16">
        <v>0</v>
      </c>
      <c r="HW302" s="16">
        <v>0</v>
      </c>
      <c r="HX302" s="16">
        <v>0</v>
      </c>
      <c r="HY302" s="16">
        <v>0</v>
      </c>
      <c r="HZ302" s="16">
        <v>0</v>
      </c>
      <c r="IA302" s="16">
        <v>0</v>
      </c>
      <c r="IB302" s="16">
        <v>0</v>
      </c>
      <c r="IC302" s="16">
        <v>0</v>
      </c>
      <c r="ID302" s="16">
        <v>0</v>
      </c>
      <c r="IE302" s="16">
        <v>0</v>
      </c>
      <c r="IF302" s="16">
        <v>0</v>
      </c>
      <c r="IG302" s="16">
        <v>0</v>
      </c>
      <c r="IH302" s="16">
        <v>0</v>
      </c>
      <c r="II302" s="16">
        <v>0</v>
      </c>
      <c r="IJ302" s="16">
        <v>0</v>
      </c>
      <c r="IK302" s="16">
        <v>0</v>
      </c>
      <c r="IL302" s="16">
        <v>0</v>
      </c>
      <c r="IM302" s="16">
        <v>0</v>
      </c>
      <c r="IN302" s="16">
        <v>0</v>
      </c>
      <c r="IO302" s="16">
        <v>0</v>
      </c>
      <c r="IP302" s="16">
        <v>0</v>
      </c>
      <c r="IQ302" s="16">
        <v>0</v>
      </c>
      <c r="IR302" s="16">
        <v>0</v>
      </c>
      <c r="IS302" s="16">
        <v>0</v>
      </c>
      <c r="IT302" s="16">
        <v>0</v>
      </c>
      <c r="IU302" s="16">
        <v>0</v>
      </c>
      <c r="IV302" s="16">
        <v>0</v>
      </c>
      <c r="IW302" s="16">
        <v>0</v>
      </c>
      <c r="IX302" s="16">
        <v>0</v>
      </c>
      <c r="IY302" s="16">
        <v>0</v>
      </c>
      <c r="IZ302" s="16">
        <v>0</v>
      </c>
      <c r="JA302" s="16">
        <v>0</v>
      </c>
      <c r="JB302" s="16">
        <v>0</v>
      </c>
      <c r="JC302" s="16">
        <v>0</v>
      </c>
      <c r="JD302" s="16">
        <v>0</v>
      </c>
      <c r="JE302" s="16">
        <v>0</v>
      </c>
      <c r="JF302" s="16">
        <v>0</v>
      </c>
      <c r="JG302" s="16">
        <v>0</v>
      </c>
      <c r="JH302" s="16">
        <v>0</v>
      </c>
      <c r="JI302" s="16">
        <v>0</v>
      </c>
      <c r="JJ302" s="16">
        <v>0</v>
      </c>
      <c r="JK302" s="16">
        <v>0</v>
      </c>
      <c r="JL302" s="16">
        <v>0</v>
      </c>
      <c r="JM302" s="16">
        <v>0</v>
      </c>
      <c r="JN302" s="16">
        <v>0</v>
      </c>
      <c r="JO302" s="16">
        <v>0</v>
      </c>
      <c r="JP302" s="16">
        <v>0</v>
      </c>
      <c r="JQ302" s="16">
        <v>0</v>
      </c>
      <c r="JR302" s="16">
        <v>0</v>
      </c>
      <c r="JS302" s="16">
        <v>0</v>
      </c>
      <c r="JT302" s="16">
        <v>0</v>
      </c>
      <c r="JU302" s="16">
        <v>0</v>
      </c>
      <c r="JV302" s="16">
        <v>0</v>
      </c>
      <c r="JW302" s="16">
        <v>0</v>
      </c>
      <c r="JX302" s="16">
        <v>0</v>
      </c>
      <c r="JY302" s="16">
        <v>0</v>
      </c>
      <c r="JZ302" s="16">
        <v>0</v>
      </c>
      <c r="KA302" s="16">
        <v>0</v>
      </c>
      <c r="KB302" s="16">
        <v>0</v>
      </c>
      <c r="KC302" s="16">
        <v>0</v>
      </c>
      <c r="KD302" s="16">
        <v>0</v>
      </c>
      <c r="KE302" s="16">
        <v>0</v>
      </c>
      <c r="KF302" s="16">
        <v>0</v>
      </c>
      <c r="KG302" s="16">
        <v>0</v>
      </c>
      <c r="KH302" s="16">
        <v>0</v>
      </c>
      <c r="KI302" s="16">
        <v>0</v>
      </c>
      <c r="KJ302" s="16">
        <v>0</v>
      </c>
      <c r="KK302" s="16">
        <v>0</v>
      </c>
      <c r="KL302" s="16">
        <v>0</v>
      </c>
      <c r="KM302" s="16">
        <v>0</v>
      </c>
      <c r="KN302" s="16">
        <v>0</v>
      </c>
      <c r="KO302" s="16">
        <v>0</v>
      </c>
      <c r="KP302" s="16">
        <v>7706379</v>
      </c>
      <c r="KQ302" s="16">
        <v>0</v>
      </c>
      <c r="KR302" s="16">
        <v>0</v>
      </c>
      <c r="KS302" s="16">
        <v>0</v>
      </c>
      <c r="KT302" s="16">
        <v>0</v>
      </c>
      <c r="KU302" s="16">
        <v>0</v>
      </c>
      <c r="KV302" s="16">
        <v>0</v>
      </c>
      <c r="KW302" s="16">
        <v>0</v>
      </c>
      <c r="KX302" s="16">
        <v>0</v>
      </c>
      <c r="KY302" s="16">
        <v>0</v>
      </c>
      <c r="KZ302" s="16">
        <v>0</v>
      </c>
      <c r="LA302" s="16">
        <v>0</v>
      </c>
      <c r="LB302" s="16">
        <v>0</v>
      </c>
      <c r="LC302" s="16">
        <v>0</v>
      </c>
      <c r="LD302" s="16">
        <v>0</v>
      </c>
      <c r="LE302" s="16">
        <v>0</v>
      </c>
      <c r="LF302" s="16">
        <v>0</v>
      </c>
      <c r="LG302" s="16">
        <v>0</v>
      </c>
      <c r="LH302" s="16">
        <v>0</v>
      </c>
      <c r="LI302" s="16">
        <v>0</v>
      </c>
      <c r="LJ302" s="16">
        <v>0</v>
      </c>
      <c r="LK302" s="16">
        <v>0</v>
      </c>
      <c r="LL302" s="16">
        <v>0</v>
      </c>
      <c r="LM302" s="16">
        <v>0</v>
      </c>
      <c r="LN302" s="16">
        <v>0</v>
      </c>
      <c r="LO302" s="16">
        <v>0</v>
      </c>
      <c r="LP302" s="16">
        <v>0</v>
      </c>
      <c r="LQ302" s="16">
        <v>0</v>
      </c>
      <c r="LR302" s="16">
        <v>0</v>
      </c>
      <c r="LS302" s="16">
        <v>0</v>
      </c>
      <c r="LT302" s="16">
        <v>0</v>
      </c>
      <c r="LU302" s="16">
        <v>0</v>
      </c>
      <c r="LV302" s="16">
        <v>0</v>
      </c>
      <c r="LW302" s="16">
        <v>0</v>
      </c>
      <c r="LX302" s="16">
        <v>0</v>
      </c>
      <c r="LY302" s="16">
        <v>0</v>
      </c>
      <c r="LZ302" s="16">
        <v>0</v>
      </c>
      <c r="MA302" s="16">
        <v>0</v>
      </c>
      <c r="MB302" s="16">
        <v>0</v>
      </c>
      <c r="MC302" s="16">
        <v>0</v>
      </c>
      <c r="MD302" s="16">
        <v>0</v>
      </c>
      <c r="ME302" s="16">
        <v>0</v>
      </c>
      <c r="MF302" s="16">
        <v>0</v>
      </c>
      <c r="MG302" s="16">
        <v>0</v>
      </c>
      <c r="MH302" s="16">
        <v>0</v>
      </c>
      <c r="MI302" s="16">
        <v>0</v>
      </c>
      <c r="MJ302" s="16">
        <v>0</v>
      </c>
      <c r="MK302" s="16">
        <v>0</v>
      </c>
      <c r="ML302" s="16">
        <v>0</v>
      </c>
      <c r="MM302" s="16">
        <v>0</v>
      </c>
      <c r="MN302" s="16">
        <v>0</v>
      </c>
      <c r="MO302" s="16">
        <v>0</v>
      </c>
      <c r="MP302" s="16">
        <v>0</v>
      </c>
      <c r="MQ302" s="16">
        <v>0</v>
      </c>
      <c r="MR302" s="16">
        <v>558</v>
      </c>
      <c r="MS302" s="16">
        <v>0</v>
      </c>
      <c r="MT302" s="16">
        <v>0</v>
      </c>
      <c r="MU302" s="16">
        <v>0</v>
      </c>
      <c r="MV302" s="16">
        <v>0</v>
      </c>
      <c r="MW302" s="16">
        <v>0</v>
      </c>
      <c r="MX302" s="16">
        <v>0</v>
      </c>
      <c r="MY302" s="16">
        <v>0</v>
      </c>
      <c r="MZ302" s="16">
        <v>0</v>
      </c>
      <c r="NA302" s="16">
        <v>0</v>
      </c>
      <c r="NB302" s="16">
        <v>0</v>
      </c>
      <c r="NC302" s="16">
        <v>0</v>
      </c>
      <c r="ND302" s="16">
        <v>0</v>
      </c>
      <c r="NE302" s="16">
        <v>0</v>
      </c>
      <c r="NF302" s="16">
        <v>0</v>
      </c>
      <c r="NG302" s="16">
        <v>0</v>
      </c>
      <c r="NH302" s="16">
        <v>0</v>
      </c>
      <c r="NI302" s="16">
        <v>0</v>
      </c>
      <c r="NJ302" s="16">
        <v>0</v>
      </c>
      <c r="NK302" s="16">
        <v>0</v>
      </c>
      <c r="NL302" s="16">
        <v>0</v>
      </c>
      <c r="NM302" s="16">
        <v>0</v>
      </c>
      <c r="NN302" s="16">
        <v>0</v>
      </c>
      <c r="NO302" s="16">
        <v>0</v>
      </c>
      <c r="NP302" s="16">
        <v>0</v>
      </c>
      <c r="NQ302" s="16">
        <v>191337</v>
      </c>
      <c r="NR302" s="17">
        <v>7898274</v>
      </c>
    </row>
    <row r="303" spans="1:382" ht="13.5" customHeight="1" x14ac:dyDescent="0.2">
      <c r="A303" s="2" t="s">
        <v>613</v>
      </c>
      <c r="B303" s="16">
        <v>334</v>
      </c>
      <c r="C303" s="16">
        <v>0</v>
      </c>
      <c r="D303" s="16">
        <v>0</v>
      </c>
      <c r="E303" s="16">
        <v>249</v>
      </c>
      <c r="F303" s="16">
        <v>4</v>
      </c>
      <c r="G303" s="16">
        <v>0</v>
      </c>
      <c r="H303" s="16">
        <v>15</v>
      </c>
      <c r="I303" s="16">
        <v>0</v>
      </c>
      <c r="J303" s="16">
        <v>0</v>
      </c>
      <c r="K303" s="16">
        <v>0</v>
      </c>
      <c r="L303" s="16">
        <v>44</v>
      </c>
      <c r="M303" s="16">
        <v>0</v>
      </c>
      <c r="N303" s="16">
        <v>0</v>
      </c>
      <c r="O303" s="16">
        <v>3</v>
      </c>
      <c r="P303" s="16">
        <v>16</v>
      </c>
      <c r="Q303" s="16">
        <v>1230</v>
      </c>
      <c r="R303" s="16">
        <v>38</v>
      </c>
      <c r="S303" s="16">
        <v>128</v>
      </c>
      <c r="T303" s="16">
        <v>1255</v>
      </c>
      <c r="U303" s="16">
        <v>0</v>
      </c>
      <c r="V303" s="16">
        <v>0</v>
      </c>
      <c r="W303" s="16">
        <v>0</v>
      </c>
      <c r="X303" s="16">
        <v>9238</v>
      </c>
      <c r="Y303" s="16">
        <v>2208</v>
      </c>
      <c r="Z303" s="16">
        <v>3340</v>
      </c>
      <c r="AA303" s="16">
        <v>0</v>
      </c>
      <c r="AB303" s="16">
        <v>0</v>
      </c>
      <c r="AC303" s="16">
        <v>0</v>
      </c>
      <c r="AD303" s="16">
        <v>0</v>
      </c>
      <c r="AE303" s="16">
        <v>28</v>
      </c>
      <c r="AF303" s="16">
        <v>53</v>
      </c>
      <c r="AG303" s="16">
        <v>273</v>
      </c>
      <c r="AH303" s="16">
        <v>311</v>
      </c>
      <c r="AI303" s="16">
        <v>34</v>
      </c>
      <c r="AJ303" s="16">
        <v>61</v>
      </c>
      <c r="AK303" s="16">
        <v>569</v>
      </c>
      <c r="AL303" s="16">
        <v>1399</v>
      </c>
      <c r="AM303" s="16">
        <v>5639</v>
      </c>
      <c r="AN303" s="16">
        <v>1652</v>
      </c>
      <c r="AO303" s="16">
        <v>886</v>
      </c>
      <c r="AP303" s="16">
        <v>1022</v>
      </c>
      <c r="AQ303" s="16">
        <v>1208</v>
      </c>
      <c r="AR303" s="16">
        <v>0</v>
      </c>
      <c r="AS303" s="16">
        <v>630</v>
      </c>
      <c r="AT303" s="16">
        <v>114</v>
      </c>
      <c r="AU303" s="16">
        <v>5923</v>
      </c>
      <c r="AV303" s="16">
        <v>2183</v>
      </c>
      <c r="AW303" s="16">
        <v>4716</v>
      </c>
      <c r="AX303" s="16">
        <v>159</v>
      </c>
      <c r="AY303" s="16">
        <v>3184</v>
      </c>
      <c r="AZ303" s="16">
        <v>7715</v>
      </c>
      <c r="BA303" s="16">
        <v>295</v>
      </c>
      <c r="BB303" s="16">
        <v>4481</v>
      </c>
      <c r="BC303" s="16">
        <v>4372</v>
      </c>
      <c r="BD303" s="16">
        <v>328</v>
      </c>
      <c r="BE303" s="16">
        <v>3909</v>
      </c>
      <c r="BF303" s="16">
        <v>1374</v>
      </c>
      <c r="BG303" s="16">
        <v>514</v>
      </c>
      <c r="BH303" s="16">
        <v>6666</v>
      </c>
      <c r="BI303" s="16">
        <v>994</v>
      </c>
      <c r="BJ303" s="16">
        <v>1075</v>
      </c>
      <c r="BK303" s="16">
        <v>342</v>
      </c>
      <c r="BL303" s="16">
        <v>1562</v>
      </c>
      <c r="BM303" s="16">
        <v>967</v>
      </c>
      <c r="BN303" s="16">
        <v>1408</v>
      </c>
      <c r="BO303" s="16">
        <v>2084</v>
      </c>
      <c r="BP303" s="16">
        <v>1463</v>
      </c>
      <c r="BQ303" s="16">
        <v>4049</v>
      </c>
      <c r="BR303" s="16">
        <v>4778</v>
      </c>
      <c r="BS303" s="16">
        <v>8573</v>
      </c>
      <c r="BT303" s="16">
        <v>672</v>
      </c>
      <c r="BU303" s="16">
        <v>55</v>
      </c>
      <c r="BV303" s="16">
        <v>455</v>
      </c>
      <c r="BW303" s="16">
        <v>2248</v>
      </c>
      <c r="BX303" s="16">
        <v>115</v>
      </c>
      <c r="BY303" s="16">
        <v>55</v>
      </c>
      <c r="BZ303" s="16">
        <v>638</v>
      </c>
      <c r="CA303" s="16">
        <v>1496</v>
      </c>
      <c r="CB303" s="16">
        <v>65</v>
      </c>
      <c r="CC303" s="16">
        <v>3338</v>
      </c>
      <c r="CD303" s="16">
        <v>305</v>
      </c>
      <c r="CE303" s="16">
        <v>926</v>
      </c>
      <c r="CF303" s="16">
        <v>2437</v>
      </c>
      <c r="CG303" s="16">
        <v>1080</v>
      </c>
      <c r="CH303" s="16">
        <v>294</v>
      </c>
      <c r="CI303" s="16">
        <v>73</v>
      </c>
      <c r="CJ303" s="16">
        <v>241</v>
      </c>
      <c r="CK303" s="16">
        <v>1429</v>
      </c>
      <c r="CL303" s="16">
        <v>1065</v>
      </c>
      <c r="CM303" s="16">
        <v>164</v>
      </c>
      <c r="CN303" s="16">
        <v>225</v>
      </c>
      <c r="CO303" s="16">
        <v>1169</v>
      </c>
      <c r="CP303" s="16">
        <v>600</v>
      </c>
      <c r="CQ303" s="16">
        <v>9334</v>
      </c>
      <c r="CR303" s="16">
        <v>221</v>
      </c>
      <c r="CS303" s="16">
        <v>9715</v>
      </c>
      <c r="CT303" s="16">
        <v>4700</v>
      </c>
      <c r="CU303" s="16">
        <v>2877</v>
      </c>
      <c r="CV303" s="16">
        <v>1515</v>
      </c>
      <c r="CW303" s="16">
        <v>17890</v>
      </c>
      <c r="CX303" s="16">
        <v>2199</v>
      </c>
      <c r="CY303" s="16">
        <v>1354</v>
      </c>
      <c r="CZ303" s="16">
        <v>794</v>
      </c>
      <c r="DA303" s="16">
        <v>2367</v>
      </c>
      <c r="DB303" s="16">
        <v>294</v>
      </c>
      <c r="DC303" s="16">
        <v>438</v>
      </c>
      <c r="DD303" s="16">
        <v>1977</v>
      </c>
      <c r="DE303" s="16">
        <v>1439</v>
      </c>
      <c r="DF303" s="16">
        <v>1438</v>
      </c>
      <c r="DG303" s="16">
        <v>7826</v>
      </c>
      <c r="DH303" s="16">
        <v>4679</v>
      </c>
      <c r="DI303" s="16">
        <v>3940</v>
      </c>
      <c r="DJ303" s="16">
        <v>5763</v>
      </c>
      <c r="DK303" s="16">
        <v>2117</v>
      </c>
      <c r="DL303" s="16">
        <v>790</v>
      </c>
      <c r="DM303" s="16">
        <v>227821</v>
      </c>
      <c r="DN303" s="16">
        <v>2608</v>
      </c>
      <c r="DO303" s="16">
        <v>1512</v>
      </c>
      <c r="DP303" s="16">
        <v>5942</v>
      </c>
      <c r="DQ303" s="16">
        <v>2747</v>
      </c>
      <c r="DR303" s="16">
        <v>5100</v>
      </c>
      <c r="DS303" s="16">
        <v>5704</v>
      </c>
      <c r="DT303" s="16">
        <v>1442</v>
      </c>
      <c r="DU303" s="16">
        <v>3175</v>
      </c>
      <c r="DV303" s="16">
        <v>25070</v>
      </c>
      <c r="DW303" s="16">
        <v>7759</v>
      </c>
      <c r="DX303" s="16">
        <v>8627</v>
      </c>
      <c r="DY303" s="16">
        <v>11337</v>
      </c>
      <c r="DZ303" s="16">
        <v>14680</v>
      </c>
      <c r="EA303" s="16">
        <v>16854</v>
      </c>
      <c r="EB303" s="16">
        <v>10297</v>
      </c>
      <c r="EC303" s="16">
        <v>1599</v>
      </c>
      <c r="ED303" s="16">
        <v>285</v>
      </c>
      <c r="EE303" s="16">
        <v>459</v>
      </c>
      <c r="EF303" s="16">
        <v>4502</v>
      </c>
      <c r="EG303" s="16">
        <v>3353</v>
      </c>
      <c r="EH303" s="16">
        <v>2467</v>
      </c>
      <c r="EI303" s="16">
        <v>485</v>
      </c>
      <c r="EJ303" s="16">
        <v>745</v>
      </c>
      <c r="EK303" s="16">
        <v>2075</v>
      </c>
      <c r="EL303" s="16">
        <v>295</v>
      </c>
      <c r="EM303" s="16">
        <v>1757</v>
      </c>
      <c r="EN303" s="16">
        <v>2853</v>
      </c>
      <c r="EO303" s="16">
        <v>5842</v>
      </c>
      <c r="EP303" s="16">
        <v>187</v>
      </c>
      <c r="EQ303" s="16">
        <v>426</v>
      </c>
      <c r="ER303" s="16">
        <v>509</v>
      </c>
      <c r="ES303" s="16">
        <v>122</v>
      </c>
      <c r="ET303" s="16">
        <v>806</v>
      </c>
      <c r="EU303" s="16">
        <v>58</v>
      </c>
      <c r="EV303" s="16">
        <v>4438</v>
      </c>
      <c r="EW303" s="16">
        <v>277</v>
      </c>
      <c r="EX303" s="16">
        <v>5818</v>
      </c>
      <c r="EY303" s="16">
        <v>2101</v>
      </c>
      <c r="EZ303" s="16">
        <v>1059</v>
      </c>
      <c r="FA303" s="16">
        <v>463</v>
      </c>
      <c r="FB303" s="16">
        <v>3811</v>
      </c>
      <c r="FC303" s="16">
        <v>2626</v>
      </c>
      <c r="FD303" s="16">
        <v>3155</v>
      </c>
      <c r="FE303" s="16">
        <v>269</v>
      </c>
      <c r="FF303" s="16">
        <v>1385</v>
      </c>
      <c r="FG303" s="16">
        <v>773</v>
      </c>
      <c r="FH303" s="16">
        <v>124</v>
      </c>
      <c r="FI303" s="16">
        <v>4418</v>
      </c>
      <c r="FJ303" s="16">
        <v>1957</v>
      </c>
      <c r="FK303" s="16">
        <v>78</v>
      </c>
      <c r="FL303" s="16">
        <v>347</v>
      </c>
      <c r="FM303" s="16">
        <v>1272</v>
      </c>
      <c r="FN303" s="16">
        <v>7600</v>
      </c>
      <c r="FO303" s="16">
        <v>639</v>
      </c>
      <c r="FP303" s="16">
        <v>3408</v>
      </c>
      <c r="FQ303" s="16">
        <v>22871</v>
      </c>
      <c r="FR303" s="16">
        <v>36362</v>
      </c>
      <c r="FS303" s="16">
        <v>9290</v>
      </c>
      <c r="FT303" s="16">
        <v>24778</v>
      </c>
      <c r="FU303" s="16">
        <v>7095</v>
      </c>
      <c r="FV303" s="16">
        <v>8303</v>
      </c>
      <c r="FW303" s="16">
        <v>4775</v>
      </c>
      <c r="FX303" s="16">
        <v>2959</v>
      </c>
      <c r="FY303" s="16">
        <v>3674</v>
      </c>
      <c r="FZ303" s="16">
        <v>3388</v>
      </c>
      <c r="GA303" s="16">
        <v>503</v>
      </c>
      <c r="GB303" s="16">
        <v>19696</v>
      </c>
      <c r="GC303" s="16">
        <v>4378</v>
      </c>
      <c r="GD303" s="16">
        <v>3799</v>
      </c>
      <c r="GE303" s="16">
        <v>22343</v>
      </c>
      <c r="GF303" s="16">
        <v>77391</v>
      </c>
      <c r="GG303" s="16">
        <v>14629</v>
      </c>
      <c r="GH303" s="16">
        <v>9097</v>
      </c>
      <c r="GI303" s="16">
        <v>19242</v>
      </c>
      <c r="GJ303" s="16">
        <v>27453</v>
      </c>
      <c r="GK303" s="16">
        <v>16174</v>
      </c>
      <c r="GL303" s="16">
        <v>4253</v>
      </c>
      <c r="GM303" s="16">
        <v>14243</v>
      </c>
      <c r="GN303" s="16">
        <v>1460</v>
      </c>
      <c r="GO303" s="16">
        <v>22300</v>
      </c>
      <c r="GP303" s="16">
        <v>73551</v>
      </c>
      <c r="GQ303" s="16">
        <v>7179</v>
      </c>
      <c r="GR303" s="16">
        <v>6169</v>
      </c>
      <c r="GS303" s="16">
        <v>1863</v>
      </c>
      <c r="GT303" s="16">
        <v>1620</v>
      </c>
      <c r="GU303" s="16">
        <v>9903</v>
      </c>
      <c r="GV303" s="16">
        <v>80953</v>
      </c>
      <c r="GW303" s="16">
        <v>16522</v>
      </c>
      <c r="GX303" s="16">
        <v>21484</v>
      </c>
      <c r="GY303" s="16">
        <v>222</v>
      </c>
      <c r="GZ303" s="16">
        <v>12331</v>
      </c>
      <c r="HA303" s="16">
        <v>3095</v>
      </c>
      <c r="HB303" s="16">
        <v>3068</v>
      </c>
      <c r="HC303" s="16">
        <v>70781</v>
      </c>
      <c r="HD303" s="16">
        <v>63917</v>
      </c>
      <c r="HE303" s="16">
        <v>15407</v>
      </c>
      <c r="HF303" s="16">
        <v>14427</v>
      </c>
      <c r="HG303" s="16">
        <v>13008</v>
      </c>
      <c r="HH303" s="16">
        <v>6795</v>
      </c>
      <c r="HI303" s="16">
        <v>12488</v>
      </c>
      <c r="HJ303" s="16">
        <v>3433</v>
      </c>
      <c r="HK303" s="16">
        <v>6458</v>
      </c>
      <c r="HL303" s="16">
        <v>18898</v>
      </c>
      <c r="HM303" s="16">
        <v>9994</v>
      </c>
      <c r="HN303" s="16">
        <v>6055</v>
      </c>
      <c r="HO303" s="16">
        <v>10744</v>
      </c>
      <c r="HP303" s="16">
        <v>9275</v>
      </c>
      <c r="HQ303" s="16">
        <v>46733</v>
      </c>
      <c r="HR303" s="16">
        <v>33649</v>
      </c>
      <c r="HS303" s="16">
        <v>20979</v>
      </c>
      <c r="HT303" s="16">
        <v>3704</v>
      </c>
      <c r="HU303" s="16">
        <v>17936</v>
      </c>
      <c r="HV303" s="16">
        <v>5344</v>
      </c>
      <c r="HW303" s="16">
        <v>8190</v>
      </c>
      <c r="HX303" s="16">
        <v>25233</v>
      </c>
      <c r="HY303" s="16">
        <v>2355</v>
      </c>
      <c r="HZ303" s="16">
        <v>73137</v>
      </c>
      <c r="IA303" s="16">
        <v>40794</v>
      </c>
      <c r="IB303" s="16">
        <v>1403</v>
      </c>
      <c r="IC303" s="16">
        <v>867</v>
      </c>
      <c r="ID303" s="16">
        <v>22191</v>
      </c>
      <c r="IE303" s="16">
        <v>2935</v>
      </c>
      <c r="IF303" s="16">
        <v>2179</v>
      </c>
      <c r="IG303" s="16">
        <v>4700</v>
      </c>
      <c r="IH303" s="16">
        <v>35456</v>
      </c>
      <c r="II303" s="16">
        <v>3835</v>
      </c>
      <c r="IJ303" s="16">
        <v>127</v>
      </c>
      <c r="IK303" s="16">
        <v>9</v>
      </c>
      <c r="IL303" s="16">
        <v>840</v>
      </c>
      <c r="IM303" s="16">
        <v>498</v>
      </c>
      <c r="IN303" s="16">
        <v>5741</v>
      </c>
      <c r="IO303" s="16">
        <v>29044</v>
      </c>
      <c r="IP303" s="16">
        <v>3321</v>
      </c>
      <c r="IQ303" s="16">
        <v>5310</v>
      </c>
      <c r="IR303" s="16">
        <v>6010</v>
      </c>
      <c r="IS303" s="16">
        <v>10633</v>
      </c>
      <c r="IT303" s="16">
        <v>6445</v>
      </c>
      <c r="IU303" s="16">
        <v>146</v>
      </c>
      <c r="IV303" s="16">
        <v>219</v>
      </c>
      <c r="IW303" s="16">
        <v>7007</v>
      </c>
      <c r="IX303" s="16">
        <v>5484</v>
      </c>
      <c r="IY303" s="16">
        <v>2508</v>
      </c>
      <c r="IZ303" s="16">
        <v>1117</v>
      </c>
      <c r="JA303" s="16">
        <v>3101</v>
      </c>
      <c r="JB303" s="16">
        <v>164</v>
      </c>
      <c r="JC303" s="16">
        <v>788</v>
      </c>
      <c r="JD303" s="16">
        <v>959</v>
      </c>
      <c r="JE303" s="16">
        <v>5322</v>
      </c>
      <c r="JF303" s="16">
        <v>2013</v>
      </c>
      <c r="JG303" s="16">
        <v>13920</v>
      </c>
      <c r="JH303" s="16">
        <v>0</v>
      </c>
      <c r="JI303" s="16">
        <v>261</v>
      </c>
      <c r="JJ303" s="16">
        <v>12326</v>
      </c>
      <c r="JK303" s="16">
        <v>4295</v>
      </c>
      <c r="JL303" s="16">
        <v>78</v>
      </c>
      <c r="JM303" s="16">
        <v>0</v>
      </c>
      <c r="JN303" s="16">
        <v>2</v>
      </c>
      <c r="JO303" s="16">
        <v>55726</v>
      </c>
      <c r="JP303" s="16">
        <v>22435</v>
      </c>
      <c r="JQ303" s="16">
        <v>1507</v>
      </c>
      <c r="JR303" s="16">
        <v>293</v>
      </c>
      <c r="JS303" s="16">
        <v>65</v>
      </c>
      <c r="JT303" s="16">
        <v>78</v>
      </c>
      <c r="JU303" s="16">
        <v>152</v>
      </c>
      <c r="JV303" s="16">
        <v>0</v>
      </c>
      <c r="JW303" s="16">
        <v>1103</v>
      </c>
      <c r="JX303" s="16">
        <v>192</v>
      </c>
      <c r="JY303" s="16">
        <v>319</v>
      </c>
      <c r="JZ303" s="16">
        <v>123</v>
      </c>
      <c r="KA303" s="16">
        <v>1805</v>
      </c>
      <c r="KB303" s="16">
        <v>280</v>
      </c>
      <c r="KC303" s="16">
        <v>279</v>
      </c>
      <c r="KD303" s="16">
        <v>280</v>
      </c>
      <c r="KE303" s="16">
        <v>77</v>
      </c>
      <c r="KF303" s="16">
        <v>251</v>
      </c>
      <c r="KG303" s="16">
        <v>45</v>
      </c>
      <c r="KH303" s="16">
        <v>650</v>
      </c>
      <c r="KI303" s="16">
        <v>4</v>
      </c>
      <c r="KJ303" s="16">
        <v>539</v>
      </c>
      <c r="KK303" s="16">
        <v>2878301</v>
      </c>
      <c r="KL303" s="16">
        <v>406</v>
      </c>
      <c r="KM303" s="16">
        <v>5215</v>
      </c>
      <c r="KN303" s="16">
        <v>48548</v>
      </c>
      <c r="KO303" s="16">
        <v>114</v>
      </c>
      <c r="KP303" s="16">
        <v>200</v>
      </c>
      <c r="KQ303" s="16">
        <v>22445</v>
      </c>
      <c r="KR303" s="16">
        <v>2614</v>
      </c>
      <c r="KS303" s="16">
        <v>6476</v>
      </c>
      <c r="KT303" s="16">
        <v>4724</v>
      </c>
      <c r="KU303" s="16">
        <v>7074</v>
      </c>
      <c r="KV303" s="16">
        <v>24047</v>
      </c>
      <c r="KW303" s="16">
        <v>55772</v>
      </c>
      <c r="KX303" s="16">
        <v>73439</v>
      </c>
      <c r="KY303" s="16">
        <v>216505</v>
      </c>
      <c r="KZ303" s="16">
        <v>171175</v>
      </c>
      <c r="LA303" s="16">
        <v>90641</v>
      </c>
      <c r="LB303" s="16">
        <v>3773</v>
      </c>
      <c r="LC303" s="16">
        <v>37261</v>
      </c>
      <c r="LD303" s="16">
        <v>3501</v>
      </c>
      <c r="LE303" s="16">
        <v>98212</v>
      </c>
      <c r="LF303" s="16">
        <v>24049</v>
      </c>
      <c r="LG303" s="16">
        <v>3658</v>
      </c>
      <c r="LH303" s="16">
        <v>7629</v>
      </c>
      <c r="LI303" s="16">
        <v>21612</v>
      </c>
      <c r="LJ303" s="16">
        <v>9111</v>
      </c>
      <c r="LK303" s="16">
        <v>34384</v>
      </c>
      <c r="LL303" s="16">
        <v>47843</v>
      </c>
      <c r="LM303" s="16">
        <v>130942</v>
      </c>
      <c r="LN303" s="16">
        <v>65679</v>
      </c>
      <c r="LO303" s="16">
        <v>39678</v>
      </c>
      <c r="LP303" s="16">
        <v>65516</v>
      </c>
      <c r="LQ303" s="16">
        <v>331</v>
      </c>
      <c r="LR303" s="16">
        <v>34661</v>
      </c>
      <c r="LS303" s="16">
        <v>6356</v>
      </c>
      <c r="LT303" s="16">
        <v>7745</v>
      </c>
      <c r="LU303" s="16">
        <v>4011</v>
      </c>
      <c r="LV303" s="16">
        <v>204</v>
      </c>
      <c r="LW303" s="16">
        <v>6020</v>
      </c>
      <c r="LX303" s="16">
        <v>41526</v>
      </c>
      <c r="LY303" s="16">
        <v>0</v>
      </c>
      <c r="LZ303" s="16">
        <v>23651</v>
      </c>
      <c r="MA303" s="16">
        <v>17812</v>
      </c>
      <c r="MB303" s="16">
        <v>18819</v>
      </c>
      <c r="MC303" s="16">
        <v>199813</v>
      </c>
      <c r="MD303" s="16">
        <v>13838</v>
      </c>
      <c r="ME303" s="16">
        <v>4379</v>
      </c>
      <c r="MF303" s="16">
        <v>65971</v>
      </c>
      <c r="MG303" s="16">
        <v>163012</v>
      </c>
      <c r="MH303" s="16">
        <v>67857</v>
      </c>
      <c r="MI303" s="16">
        <v>86078</v>
      </c>
      <c r="MJ303" s="16">
        <v>34880</v>
      </c>
      <c r="MK303" s="16">
        <v>16429</v>
      </c>
      <c r="ML303" s="16">
        <v>26237</v>
      </c>
      <c r="MM303" s="16">
        <v>69127</v>
      </c>
      <c r="MN303" s="16">
        <v>29198</v>
      </c>
      <c r="MO303" s="16">
        <v>8668</v>
      </c>
      <c r="MP303" s="16">
        <v>16393</v>
      </c>
      <c r="MQ303" s="16">
        <v>40407</v>
      </c>
      <c r="MR303" s="16">
        <v>683358</v>
      </c>
      <c r="MS303" s="16">
        <v>2946</v>
      </c>
      <c r="MT303" s="16">
        <v>21776</v>
      </c>
      <c r="MU303" s="16">
        <v>16807</v>
      </c>
      <c r="MV303" s="16">
        <v>16059</v>
      </c>
      <c r="MW303" s="16">
        <v>32841</v>
      </c>
      <c r="MX303" s="16">
        <v>25383</v>
      </c>
      <c r="MY303" s="16">
        <v>38135</v>
      </c>
      <c r="MZ303" s="16">
        <v>13460</v>
      </c>
      <c r="NA303" s="16">
        <v>26522</v>
      </c>
      <c r="NB303" s="16">
        <v>8</v>
      </c>
      <c r="NC303" s="16">
        <v>19651</v>
      </c>
      <c r="ND303" s="16">
        <v>25890</v>
      </c>
      <c r="NE303" s="16">
        <v>6563</v>
      </c>
      <c r="NF303" s="16">
        <v>2093</v>
      </c>
      <c r="NG303" s="16">
        <v>9742</v>
      </c>
      <c r="NH303" s="16">
        <v>451</v>
      </c>
      <c r="NI303" s="16">
        <v>5032</v>
      </c>
      <c r="NJ303" s="16">
        <v>23327</v>
      </c>
      <c r="NK303" s="16">
        <v>9290</v>
      </c>
      <c r="NL303" s="16">
        <v>13525</v>
      </c>
      <c r="NM303" s="16">
        <v>7327</v>
      </c>
      <c r="NN303" s="16">
        <v>5390</v>
      </c>
      <c r="NO303" s="16">
        <v>0</v>
      </c>
      <c r="NP303" s="16">
        <v>22956</v>
      </c>
      <c r="NQ303" s="16">
        <v>0</v>
      </c>
      <c r="NR303" s="17">
        <v>8311531</v>
      </c>
    </row>
    <row r="304" spans="1:382" ht="13.5" customHeight="1" x14ac:dyDescent="0.2">
      <c r="A304" s="2" t="s">
        <v>615</v>
      </c>
      <c r="B304" s="16">
        <v>0</v>
      </c>
      <c r="C304" s="16">
        <v>0</v>
      </c>
      <c r="D304" s="16">
        <v>0</v>
      </c>
      <c r="E304" s="16">
        <v>0</v>
      </c>
      <c r="F304" s="16">
        <v>106</v>
      </c>
      <c r="G304" s="16">
        <v>2994</v>
      </c>
      <c r="H304" s="16">
        <v>502</v>
      </c>
      <c r="I304" s="16">
        <v>4</v>
      </c>
      <c r="J304" s="16">
        <v>0</v>
      </c>
      <c r="K304" s="16">
        <v>0</v>
      </c>
      <c r="L304" s="16">
        <v>1178</v>
      </c>
      <c r="M304" s="16">
        <v>0</v>
      </c>
      <c r="N304" s="16">
        <v>0</v>
      </c>
      <c r="O304" s="16">
        <v>165</v>
      </c>
      <c r="P304" s="16">
        <v>464</v>
      </c>
      <c r="Q304" s="16">
        <v>11828</v>
      </c>
      <c r="R304" s="16">
        <v>4098</v>
      </c>
      <c r="S304" s="16">
        <v>0</v>
      </c>
      <c r="T304" s="16">
        <v>787</v>
      </c>
      <c r="U304" s="16">
        <v>0</v>
      </c>
      <c r="V304" s="16">
        <v>3</v>
      </c>
      <c r="W304" s="16">
        <v>737</v>
      </c>
      <c r="X304" s="16">
        <v>2749</v>
      </c>
      <c r="Y304" s="16">
        <v>1172</v>
      </c>
      <c r="Z304" s="16">
        <v>6117</v>
      </c>
      <c r="AA304" s="16">
        <v>161</v>
      </c>
      <c r="AB304" s="16">
        <v>0</v>
      </c>
      <c r="AC304" s="16">
        <v>0</v>
      </c>
      <c r="AD304" s="16">
        <v>0</v>
      </c>
      <c r="AE304" s="16">
        <v>0</v>
      </c>
      <c r="AF304" s="16">
        <v>633</v>
      </c>
      <c r="AG304" s="16">
        <v>35128</v>
      </c>
      <c r="AH304" s="16">
        <v>20638</v>
      </c>
      <c r="AI304" s="16">
        <v>726</v>
      </c>
      <c r="AJ304" s="16">
        <v>151</v>
      </c>
      <c r="AK304" s="16">
        <v>4195</v>
      </c>
      <c r="AL304" s="16">
        <v>20006</v>
      </c>
      <c r="AM304" s="16">
        <v>19825</v>
      </c>
      <c r="AN304" s="16">
        <v>22777</v>
      </c>
      <c r="AO304" s="16">
        <v>9337</v>
      </c>
      <c r="AP304" s="16">
        <v>2560</v>
      </c>
      <c r="AQ304" s="16">
        <v>14940</v>
      </c>
      <c r="AR304" s="16">
        <v>0</v>
      </c>
      <c r="AS304" s="16">
        <v>43</v>
      </c>
      <c r="AT304" s="16">
        <v>2310</v>
      </c>
      <c r="AU304" s="16">
        <v>20085</v>
      </c>
      <c r="AV304" s="16">
        <v>3751</v>
      </c>
      <c r="AW304" s="16">
        <v>15387</v>
      </c>
      <c r="AX304" s="16">
        <v>19757</v>
      </c>
      <c r="AY304" s="16">
        <v>15192</v>
      </c>
      <c r="AZ304" s="16">
        <v>210</v>
      </c>
      <c r="BA304" s="16">
        <v>8379</v>
      </c>
      <c r="BB304" s="16">
        <v>50023</v>
      </c>
      <c r="BC304" s="16">
        <v>5797</v>
      </c>
      <c r="BD304" s="16">
        <v>16</v>
      </c>
      <c r="BE304" s="16">
        <v>1119</v>
      </c>
      <c r="BF304" s="16">
        <v>5072</v>
      </c>
      <c r="BG304" s="16">
        <v>1348</v>
      </c>
      <c r="BH304" s="16">
        <v>12501</v>
      </c>
      <c r="BI304" s="16">
        <v>0</v>
      </c>
      <c r="BJ304" s="16">
        <v>1625</v>
      </c>
      <c r="BK304" s="16">
        <v>718</v>
      </c>
      <c r="BL304" s="16">
        <v>4236</v>
      </c>
      <c r="BM304" s="16">
        <v>566</v>
      </c>
      <c r="BN304" s="16">
        <v>513</v>
      </c>
      <c r="BO304" s="16">
        <v>8504</v>
      </c>
      <c r="BP304" s="16">
        <v>8943</v>
      </c>
      <c r="BQ304" s="16">
        <v>545</v>
      </c>
      <c r="BR304" s="16">
        <v>2451</v>
      </c>
      <c r="BS304" s="16">
        <v>16460</v>
      </c>
      <c r="BT304" s="16">
        <v>4921</v>
      </c>
      <c r="BU304" s="16">
        <v>50</v>
      </c>
      <c r="BV304" s="16">
        <v>7</v>
      </c>
      <c r="BW304" s="16">
        <v>461</v>
      </c>
      <c r="BX304" s="16">
        <v>88</v>
      </c>
      <c r="BY304" s="16">
        <v>177</v>
      </c>
      <c r="BZ304" s="16">
        <v>1416</v>
      </c>
      <c r="CA304" s="16">
        <v>2956</v>
      </c>
      <c r="CB304" s="16">
        <v>2246</v>
      </c>
      <c r="CC304" s="16">
        <v>5867</v>
      </c>
      <c r="CD304" s="16">
        <v>188</v>
      </c>
      <c r="CE304" s="16">
        <v>1271</v>
      </c>
      <c r="CF304" s="16">
        <v>8364</v>
      </c>
      <c r="CG304" s="16">
        <v>242</v>
      </c>
      <c r="CH304" s="16">
        <v>2030</v>
      </c>
      <c r="CI304" s="16">
        <v>946</v>
      </c>
      <c r="CJ304" s="16">
        <v>1039</v>
      </c>
      <c r="CK304" s="16">
        <v>6462</v>
      </c>
      <c r="CL304" s="16">
        <v>4194</v>
      </c>
      <c r="CM304" s="16">
        <v>6367</v>
      </c>
      <c r="CN304" s="16">
        <v>5933</v>
      </c>
      <c r="CO304" s="16">
        <v>4460</v>
      </c>
      <c r="CP304" s="16">
        <v>2191</v>
      </c>
      <c r="CQ304" s="16">
        <v>7034</v>
      </c>
      <c r="CR304" s="16">
        <v>358</v>
      </c>
      <c r="CS304" s="16">
        <v>4028</v>
      </c>
      <c r="CT304" s="16">
        <v>1172</v>
      </c>
      <c r="CU304" s="16">
        <v>1128</v>
      </c>
      <c r="CV304" s="16">
        <v>422</v>
      </c>
      <c r="CW304" s="16">
        <v>10676</v>
      </c>
      <c r="CX304" s="16">
        <v>340</v>
      </c>
      <c r="CY304" s="16">
        <v>1169</v>
      </c>
      <c r="CZ304" s="16">
        <v>1299</v>
      </c>
      <c r="DA304" s="16">
        <v>4302</v>
      </c>
      <c r="DB304" s="16">
        <v>471</v>
      </c>
      <c r="DC304" s="16">
        <v>336</v>
      </c>
      <c r="DD304" s="16">
        <v>309</v>
      </c>
      <c r="DE304" s="16">
        <v>1420</v>
      </c>
      <c r="DF304" s="16">
        <v>535</v>
      </c>
      <c r="DG304" s="16">
        <v>29969</v>
      </c>
      <c r="DH304" s="16">
        <v>18333</v>
      </c>
      <c r="DI304" s="16">
        <v>15651</v>
      </c>
      <c r="DJ304" s="16">
        <v>1160</v>
      </c>
      <c r="DK304" s="16">
        <v>166</v>
      </c>
      <c r="DL304" s="16">
        <v>195</v>
      </c>
      <c r="DM304" s="16">
        <v>7809</v>
      </c>
      <c r="DN304" s="16">
        <v>3263</v>
      </c>
      <c r="DO304" s="16">
        <v>4005</v>
      </c>
      <c r="DP304" s="16">
        <v>4445</v>
      </c>
      <c r="DQ304" s="16">
        <v>995</v>
      </c>
      <c r="DR304" s="16">
        <v>4755</v>
      </c>
      <c r="DS304" s="16">
        <v>8841</v>
      </c>
      <c r="DT304" s="16">
        <v>2121</v>
      </c>
      <c r="DU304" s="16">
        <v>230</v>
      </c>
      <c r="DV304" s="16">
        <v>7272</v>
      </c>
      <c r="DW304" s="16">
        <v>5622</v>
      </c>
      <c r="DX304" s="16">
        <v>5248</v>
      </c>
      <c r="DY304" s="16">
        <v>3928</v>
      </c>
      <c r="DZ304" s="16">
        <v>4868</v>
      </c>
      <c r="EA304" s="16">
        <v>9853</v>
      </c>
      <c r="EB304" s="16">
        <v>1796</v>
      </c>
      <c r="EC304" s="16">
        <v>995</v>
      </c>
      <c r="ED304" s="16">
        <v>1535</v>
      </c>
      <c r="EE304" s="16">
        <v>576</v>
      </c>
      <c r="EF304" s="16">
        <v>1040</v>
      </c>
      <c r="EG304" s="16">
        <v>3573</v>
      </c>
      <c r="EH304" s="16">
        <v>1417</v>
      </c>
      <c r="EI304" s="16">
        <v>1198</v>
      </c>
      <c r="EJ304" s="16">
        <v>1621</v>
      </c>
      <c r="EK304" s="16">
        <v>2767</v>
      </c>
      <c r="EL304" s="16">
        <v>1740</v>
      </c>
      <c r="EM304" s="16">
        <v>4262</v>
      </c>
      <c r="EN304" s="16">
        <v>74943</v>
      </c>
      <c r="EO304" s="16">
        <v>33691</v>
      </c>
      <c r="EP304" s="16">
        <v>215</v>
      </c>
      <c r="EQ304" s="16">
        <v>1852</v>
      </c>
      <c r="ER304" s="16">
        <v>1447</v>
      </c>
      <c r="ES304" s="16">
        <v>2923</v>
      </c>
      <c r="ET304" s="16">
        <v>3217</v>
      </c>
      <c r="EU304" s="16">
        <v>276</v>
      </c>
      <c r="EV304" s="16">
        <v>1559</v>
      </c>
      <c r="EW304" s="16">
        <v>912</v>
      </c>
      <c r="EX304" s="16">
        <v>9809</v>
      </c>
      <c r="EY304" s="16">
        <v>4917</v>
      </c>
      <c r="EZ304" s="16">
        <v>1085</v>
      </c>
      <c r="FA304" s="16">
        <v>2381</v>
      </c>
      <c r="FB304" s="16">
        <v>12952</v>
      </c>
      <c r="FC304" s="16">
        <v>13683</v>
      </c>
      <c r="FD304" s="16">
        <v>19678</v>
      </c>
      <c r="FE304" s="16">
        <v>44</v>
      </c>
      <c r="FF304" s="16">
        <v>947</v>
      </c>
      <c r="FG304" s="16">
        <v>10</v>
      </c>
      <c r="FH304" s="16">
        <v>1861</v>
      </c>
      <c r="FI304" s="16">
        <v>16286</v>
      </c>
      <c r="FJ304" s="16">
        <v>7198</v>
      </c>
      <c r="FK304" s="16">
        <v>279</v>
      </c>
      <c r="FL304" s="16">
        <v>2789</v>
      </c>
      <c r="FM304" s="16">
        <v>293</v>
      </c>
      <c r="FN304" s="16">
        <v>13264</v>
      </c>
      <c r="FO304" s="16">
        <v>1411</v>
      </c>
      <c r="FP304" s="16">
        <v>2902</v>
      </c>
      <c r="FQ304" s="16">
        <v>72436</v>
      </c>
      <c r="FR304" s="16">
        <v>16855</v>
      </c>
      <c r="FS304" s="16">
        <v>4273</v>
      </c>
      <c r="FT304" s="16">
        <v>2471</v>
      </c>
      <c r="FU304" s="16">
        <v>2834</v>
      </c>
      <c r="FV304" s="16">
        <v>872</v>
      </c>
      <c r="FW304" s="16">
        <v>2619</v>
      </c>
      <c r="FX304" s="16">
        <v>5194</v>
      </c>
      <c r="FY304" s="16">
        <v>2801</v>
      </c>
      <c r="FZ304" s="16">
        <v>3564</v>
      </c>
      <c r="GA304" s="16">
        <v>3027</v>
      </c>
      <c r="GB304" s="16">
        <v>7535</v>
      </c>
      <c r="GC304" s="16">
        <v>3583</v>
      </c>
      <c r="GD304" s="16">
        <v>889</v>
      </c>
      <c r="GE304" s="16">
        <v>1256</v>
      </c>
      <c r="GF304" s="16">
        <v>652</v>
      </c>
      <c r="GG304" s="16">
        <v>1478</v>
      </c>
      <c r="GH304" s="16">
        <v>497</v>
      </c>
      <c r="GI304" s="16">
        <v>2946</v>
      </c>
      <c r="GJ304" s="16">
        <v>1265</v>
      </c>
      <c r="GK304" s="16">
        <v>678</v>
      </c>
      <c r="GL304" s="16">
        <v>1590</v>
      </c>
      <c r="GM304" s="16">
        <v>83</v>
      </c>
      <c r="GN304" s="16">
        <v>172</v>
      </c>
      <c r="GO304" s="16">
        <v>4310</v>
      </c>
      <c r="GP304" s="16">
        <v>8315</v>
      </c>
      <c r="GQ304" s="16">
        <v>971</v>
      </c>
      <c r="GR304" s="16">
        <v>77</v>
      </c>
      <c r="GS304" s="16">
        <v>126</v>
      </c>
      <c r="GT304" s="16">
        <v>1144</v>
      </c>
      <c r="GU304" s="16">
        <v>25721</v>
      </c>
      <c r="GV304" s="16">
        <v>2070</v>
      </c>
      <c r="GW304" s="16">
        <v>1060</v>
      </c>
      <c r="GX304" s="16">
        <v>8651</v>
      </c>
      <c r="GY304" s="16">
        <v>30</v>
      </c>
      <c r="GZ304" s="16">
        <v>2412</v>
      </c>
      <c r="HA304" s="16">
        <v>3017</v>
      </c>
      <c r="HB304" s="16">
        <v>3750</v>
      </c>
      <c r="HC304" s="16">
        <v>12067</v>
      </c>
      <c r="HD304" s="16">
        <v>3269</v>
      </c>
      <c r="HE304" s="16">
        <v>2525</v>
      </c>
      <c r="HF304" s="16">
        <v>858</v>
      </c>
      <c r="HG304" s="16">
        <v>1259</v>
      </c>
      <c r="HH304" s="16">
        <v>219</v>
      </c>
      <c r="HI304" s="16">
        <v>1865</v>
      </c>
      <c r="HJ304" s="16">
        <v>1147</v>
      </c>
      <c r="HK304" s="16">
        <v>2593</v>
      </c>
      <c r="HL304" s="16">
        <v>20806</v>
      </c>
      <c r="HM304" s="16">
        <v>322</v>
      </c>
      <c r="HN304" s="16">
        <v>2053</v>
      </c>
      <c r="HO304" s="16">
        <v>3863</v>
      </c>
      <c r="HP304" s="16">
        <v>6456</v>
      </c>
      <c r="HQ304" s="16">
        <v>5542</v>
      </c>
      <c r="HR304" s="16">
        <v>6584</v>
      </c>
      <c r="HS304" s="16">
        <v>18319</v>
      </c>
      <c r="HT304" s="16">
        <v>1933</v>
      </c>
      <c r="HU304" s="16">
        <v>8729</v>
      </c>
      <c r="HV304" s="16">
        <v>1747</v>
      </c>
      <c r="HW304" s="16">
        <v>3344</v>
      </c>
      <c r="HX304" s="16">
        <v>17907</v>
      </c>
      <c r="HY304" s="16">
        <v>9698</v>
      </c>
      <c r="HZ304" s="16">
        <v>218</v>
      </c>
      <c r="IA304" s="16">
        <v>35</v>
      </c>
      <c r="IB304" s="16">
        <v>1398</v>
      </c>
      <c r="IC304" s="16">
        <v>358</v>
      </c>
      <c r="ID304" s="16">
        <v>13439</v>
      </c>
      <c r="IE304" s="16">
        <v>214</v>
      </c>
      <c r="IF304" s="16">
        <v>595</v>
      </c>
      <c r="IG304" s="16">
        <v>1577</v>
      </c>
      <c r="IH304" s="16">
        <v>4900</v>
      </c>
      <c r="II304" s="16">
        <v>527</v>
      </c>
      <c r="IJ304" s="16">
        <v>111</v>
      </c>
      <c r="IK304" s="16">
        <v>1284</v>
      </c>
      <c r="IL304" s="16">
        <v>173</v>
      </c>
      <c r="IM304" s="16">
        <v>3249</v>
      </c>
      <c r="IN304" s="16">
        <v>6047</v>
      </c>
      <c r="IO304" s="16">
        <v>20411</v>
      </c>
      <c r="IP304" s="16">
        <v>5444</v>
      </c>
      <c r="IQ304" s="16">
        <v>27</v>
      </c>
      <c r="IR304" s="16">
        <v>12158</v>
      </c>
      <c r="IS304" s="16">
        <v>1723</v>
      </c>
      <c r="IT304" s="16">
        <v>724</v>
      </c>
      <c r="IU304" s="16">
        <v>15</v>
      </c>
      <c r="IV304" s="16">
        <v>85</v>
      </c>
      <c r="IW304" s="16">
        <v>25773</v>
      </c>
      <c r="IX304" s="16">
        <v>5900</v>
      </c>
      <c r="IY304" s="16">
        <v>20513</v>
      </c>
      <c r="IZ304" s="16">
        <v>7638</v>
      </c>
      <c r="JA304" s="16">
        <v>2720</v>
      </c>
      <c r="JB304" s="16">
        <v>329</v>
      </c>
      <c r="JC304" s="16">
        <v>4153</v>
      </c>
      <c r="JD304" s="16">
        <v>95</v>
      </c>
      <c r="JE304" s="16">
        <v>5701</v>
      </c>
      <c r="JF304" s="16">
        <v>6434</v>
      </c>
      <c r="JG304" s="16">
        <v>0</v>
      </c>
      <c r="JH304" s="16">
        <v>0</v>
      </c>
      <c r="JI304" s="16">
        <v>0</v>
      </c>
      <c r="JJ304" s="16">
        <v>0</v>
      </c>
      <c r="JK304" s="16">
        <v>0</v>
      </c>
      <c r="JL304" s="16">
        <v>94</v>
      </c>
      <c r="JM304" s="16">
        <v>11</v>
      </c>
      <c r="JN304" s="16">
        <v>37</v>
      </c>
      <c r="JO304" s="16">
        <v>984</v>
      </c>
      <c r="JP304" s="16">
        <v>128</v>
      </c>
      <c r="JQ304" s="16">
        <v>0</v>
      </c>
      <c r="JR304" s="16">
        <v>3406</v>
      </c>
      <c r="JS304" s="16">
        <v>14118</v>
      </c>
      <c r="JT304" s="16">
        <v>0</v>
      </c>
      <c r="JU304" s="16">
        <v>51641</v>
      </c>
      <c r="JV304" s="16">
        <v>0</v>
      </c>
      <c r="JW304" s="16">
        <v>634</v>
      </c>
      <c r="JX304" s="16">
        <v>16969</v>
      </c>
      <c r="JY304" s="16">
        <v>9824</v>
      </c>
      <c r="JZ304" s="16">
        <v>58472</v>
      </c>
      <c r="KA304" s="16">
        <v>47005</v>
      </c>
      <c r="KB304" s="16">
        <v>49275</v>
      </c>
      <c r="KC304" s="16">
        <v>18529</v>
      </c>
      <c r="KD304" s="16">
        <v>95784</v>
      </c>
      <c r="KE304" s="16">
        <v>12758</v>
      </c>
      <c r="KF304" s="16">
        <v>43707</v>
      </c>
      <c r="KG304" s="16">
        <v>1674</v>
      </c>
      <c r="KH304" s="16">
        <v>23742</v>
      </c>
      <c r="KI304" s="16">
        <v>0</v>
      </c>
      <c r="KJ304" s="16">
        <v>47974</v>
      </c>
      <c r="KK304" s="16">
        <v>534442</v>
      </c>
      <c r="KL304" s="16">
        <v>1019633</v>
      </c>
      <c r="KM304" s="16">
        <v>466335</v>
      </c>
      <c r="KN304" s="16">
        <v>2030856</v>
      </c>
      <c r="KO304" s="16">
        <v>4088</v>
      </c>
      <c r="KP304" s="16">
        <v>275880</v>
      </c>
      <c r="KQ304" s="16">
        <v>662</v>
      </c>
      <c r="KR304" s="16">
        <v>118021</v>
      </c>
      <c r="KS304" s="16">
        <v>35977</v>
      </c>
      <c r="KT304" s="16">
        <v>11622</v>
      </c>
      <c r="KU304" s="16">
        <v>17473</v>
      </c>
      <c r="KV304" s="16">
        <v>376278</v>
      </c>
      <c r="KW304" s="16">
        <v>378353</v>
      </c>
      <c r="KX304" s="16">
        <v>2593</v>
      </c>
      <c r="KY304" s="16">
        <v>311573</v>
      </c>
      <c r="KZ304" s="16">
        <v>82508</v>
      </c>
      <c r="LA304" s="16">
        <v>0</v>
      </c>
      <c r="LB304" s="16">
        <v>1614</v>
      </c>
      <c r="LC304" s="16">
        <v>0</v>
      </c>
      <c r="LD304" s="16">
        <v>5100</v>
      </c>
      <c r="LE304" s="16">
        <v>340</v>
      </c>
      <c r="LF304" s="16">
        <v>820</v>
      </c>
      <c r="LG304" s="16">
        <v>52</v>
      </c>
      <c r="LH304" s="16">
        <v>32</v>
      </c>
      <c r="LI304" s="16">
        <v>6</v>
      </c>
      <c r="LJ304" s="16">
        <v>352</v>
      </c>
      <c r="LK304" s="16">
        <v>0</v>
      </c>
      <c r="LL304" s="16">
        <v>1955</v>
      </c>
      <c r="LM304" s="16">
        <v>2287</v>
      </c>
      <c r="LN304" s="16">
        <v>13526</v>
      </c>
      <c r="LO304" s="16">
        <v>4387</v>
      </c>
      <c r="LP304" s="16">
        <v>5826</v>
      </c>
      <c r="LQ304" s="16">
        <v>405</v>
      </c>
      <c r="LR304" s="16">
        <v>151</v>
      </c>
      <c r="LS304" s="16">
        <v>547</v>
      </c>
      <c r="LT304" s="16">
        <v>164</v>
      </c>
      <c r="LU304" s="16">
        <v>34</v>
      </c>
      <c r="LV304" s="16">
        <v>0</v>
      </c>
      <c r="LW304" s="16">
        <v>35</v>
      </c>
      <c r="LX304" s="16">
        <v>3289</v>
      </c>
      <c r="LY304" s="16">
        <v>0</v>
      </c>
      <c r="LZ304" s="16">
        <v>56498</v>
      </c>
      <c r="MA304" s="16">
        <v>3831</v>
      </c>
      <c r="MB304" s="16">
        <v>11871</v>
      </c>
      <c r="MC304" s="16">
        <v>206</v>
      </c>
      <c r="MD304" s="16">
        <v>1857</v>
      </c>
      <c r="ME304" s="16">
        <v>811</v>
      </c>
      <c r="MF304" s="16">
        <v>53721</v>
      </c>
      <c r="MG304" s="16">
        <v>673377</v>
      </c>
      <c r="MH304" s="16">
        <v>15269</v>
      </c>
      <c r="MI304" s="16">
        <v>3741</v>
      </c>
      <c r="MJ304" s="16">
        <v>5824</v>
      </c>
      <c r="MK304" s="16">
        <v>1752</v>
      </c>
      <c r="ML304" s="16">
        <v>13297</v>
      </c>
      <c r="MM304" s="16">
        <v>25164</v>
      </c>
      <c r="MN304" s="16">
        <v>119736</v>
      </c>
      <c r="MO304" s="16">
        <v>8952</v>
      </c>
      <c r="MP304" s="16">
        <v>15499</v>
      </c>
      <c r="MQ304" s="16">
        <v>36914</v>
      </c>
      <c r="MR304" s="16">
        <v>5494</v>
      </c>
      <c r="MS304" s="16">
        <v>5244</v>
      </c>
      <c r="MT304" s="16">
        <v>4146</v>
      </c>
      <c r="MU304" s="16">
        <v>4720</v>
      </c>
      <c r="MV304" s="16">
        <v>1991</v>
      </c>
      <c r="MW304" s="16">
        <v>7192</v>
      </c>
      <c r="MX304" s="16">
        <v>153</v>
      </c>
      <c r="MY304" s="16">
        <v>45607</v>
      </c>
      <c r="MZ304" s="16">
        <v>151128</v>
      </c>
      <c r="NA304" s="16">
        <v>6847</v>
      </c>
      <c r="NB304" s="16">
        <v>227</v>
      </c>
      <c r="NC304" s="16">
        <v>469</v>
      </c>
      <c r="ND304" s="16">
        <v>937</v>
      </c>
      <c r="NE304" s="16">
        <v>282</v>
      </c>
      <c r="NF304" s="16">
        <v>2077</v>
      </c>
      <c r="NG304" s="16">
        <v>5647</v>
      </c>
      <c r="NH304" s="16">
        <v>48608</v>
      </c>
      <c r="NI304" s="16">
        <v>22257</v>
      </c>
      <c r="NJ304" s="16">
        <v>18394</v>
      </c>
      <c r="NK304" s="16">
        <v>12378</v>
      </c>
      <c r="NL304" s="16">
        <v>349</v>
      </c>
      <c r="NM304" s="16">
        <v>2052</v>
      </c>
      <c r="NN304" s="16">
        <v>3284</v>
      </c>
      <c r="NO304" s="16">
        <v>0</v>
      </c>
      <c r="NP304" s="16">
        <v>36324</v>
      </c>
      <c r="NQ304" s="16">
        <v>0</v>
      </c>
      <c r="NR304" s="17">
        <v>9006886</v>
      </c>
    </row>
    <row r="305" spans="1:382" ht="13.5" customHeight="1" x14ac:dyDescent="0.2">
      <c r="A305" s="2" t="s">
        <v>617</v>
      </c>
      <c r="B305" s="16">
        <v>0</v>
      </c>
      <c r="C305" s="16">
        <v>0</v>
      </c>
      <c r="D305" s="16">
        <v>0</v>
      </c>
      <c r="E305" s="16">
        <v>0</v>
      </c>
      <c r="F305" s="16">
        <v>0</v>
      </c>
      <c r="G305" s="16">
        <v>0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16">
        <v>0</v>
      </c>
      <c r="N305" s="16">
        <v>0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  <c r="T305" s="16">
        <v>0</v>
      </c>
      <c r="U305" s="16">
        <v>0</v>
      </c>
      <c r="V305" s="16">
        <v>0</v>
      </c>
      <c r="W305" s="16">
        <v>0</v>
      </c>
      <c r="X305" s="16">
        <v>249565</v>
      </c>
      <c r="Y305" s="16">
        <v>0</v>
      </c>
      <c r="Z305" s="16">
        <v>0</v>
      </c>
      <c r="AA305" s="16">
        <v>0</v>
      </c>
      <c r="AB305" s="16">
        <v>0</v>
      </c>
      <c r="AC305" s="16">
        <v>0</v>
      </c>
      <c r="AD305" s="16">
        <v>0</v>
      </c>
      <c r="AE305" s="16">
        <v>0</v>
      </c>
      <c r="AF305" s="16">
        <v>0</v>
      </c>
      <c r="AG305" s="16">
        <v>0</v>
      </c>
      <c r="AH305" s="16">
        <v>0</v>
      </c>
      <c r="AI305" s="16">
        <v>0</v>
      </c>
      <c r="AJ305" s="16">
        <v>0</v>
      </c>
      <c r="AK305" s="16">
        <v>0</v>
      </c>
      <c r="AL305" s="16">
        <v>0</v>
      </c>
      <c r="AM305" s="16">
        <v>0</v>
      </c>
      <c r="AN305" s="16">
        <v>0</v>
      </c>
      <c r="AO305" s="16">
        <v>0</v>
      </c>
      <c r="AP305" s="16">
        <v>0</v>
      </c>
      <c r="AQ305" s="16">
        <v>0</v>
      </c>
      <c r="AR305" s="16">
        <v>0</v>
      </c>
      <c r="AS305" s="16">
        <v>0</v>
      </c>
      <c r="AT305" s="16">
        <v>0</v>
      </c>
      <c r="AU305" s="16">
        <v>0</v>
      </c>
      <c r="AV305" s="16">
        <v>0</v>
      </c>
      <c r="AW305" s="16">
        <v>0</v>
      </c>
      <c r="AX305" s="16">
        <v>0</v>
      </c>
      <c r="AY305" s="16">
        <v>0</v>
      </c>
      <c r="AZ305" s="16">
        <v>0</v>
      </c>
      <c r="BA305" s="16">
        <v>0</v>
      </c>
      <c r="BB305" s="16">
        <v>0</v>
      </c>
      <c r="BC305" s="16">
        <v>0</v>
      </c>
      <c r="BD305" s="16">
        <v>0</v>
      </c>
      <c r="BE305" s="16">
        <v>0</v>
      </c>
      <c r="BF305" s="16">
        <v>0</v>
      </c>
      <c r="BG305" s="16">
        <v>0</v>
      </c>
      <c r="BH305" s="16">
        <v>0</v>
      </c>
      <c r="BI305" s="16">
        <v>0</v>
      </c>
      <c r="BJ305" s="16">
        <v>0</v>
      </c>
      <c r="BK305" s="16">
        <v>0</v>
      </c>
      <c r="BL305" s="16">
        <v>0</v>
      </c>
      <c r="BM305" s="16">
        <v>0</v>
      </c>
      <c r="BN305" s="16">
        <v>0</v>
      </c>
      <c r="BO305" s="16">
        <v>0</v>
      </c>
      <c r="BP305" s="16">
        <v>0</v>
      </c>
      <c r="BQ305" s="16">
        <v>0</v>
      </c>
      <c r="BR305" s="16">
        <v>0</v>
      </c>
      <c r="BS305" s="16">
        <v>0</v>
      </c>
      <c r="BT305" s="16">
        <v>0</v>
      </c>
      <c r="BU305" s="16">
        <v>0</v>
      </c>
      <c r="BV305" s="16">
        <v>0</v>
      </c>
      <c r="BW305" s="16">
        <v>0</v>
      </c>
      <c r="BX305" s="16">
        <v>0</v>
      </c>
      <c r="BY305" s="16">
        <v>0</v>
      </c>
      <c r="BZ305" s="16">
        <v>0</v>
      </c>
      <c r="CA305" s="16">
        <v>0</v>
      </c>
      <c r="CB305" s="16">
        <v>0</v>
      </c>
      <c r="CC305" s="16">
        <v>0</v>
      </c>
      <c r="CD305" s="16">
        <v>0</v>
      </c>
      <c r="CE305" s="16">
        <v>0</v>
      </c>
      <c r="CF305" s="16">
        <v>0</v>
      </c>
      <c r="CG305" s="16">
        <v>0</v>
      </c>
      <c r="CH305" s="16">
        <v>0</v>
      </c>
      <c r="CI305" s="16">
        <v>0</v>
      </c>
      <c r="CJ305" s="16">
        <v>0</v>
      </c>
      <c r="CK305" s="16">
        <v>0</v>
      </c>
      <c r="CL305" s="16">
        <v>0</v>
      </c>
      <c r="CM305" s="16">
        <v>0</v>
      </c>
      <c r="CN305" s="16">
        <v>0</v>
      </c>
      <c r="CO305" s="16">
        <v>0</v>
      </c>
      <c r="CP305" s="16">
        <v>0</v>
      </c>
      <c r="CQ305" s="16">
        <v>0</v>
      </c>
      <c r="CR305" s="16">
        <v>0</v>
      </c>
      <c r="CS305" s="16">
        <v>0</v>
      </c>
      <c r="CT305" s="16">
        <v>0</v>
      </c>
      <c r="CU305" s="16">
        <v>0</v>
      </c>
      <c r="CV305" s="16">
        <v>0</v>
      </c>
      <c r="CW305" s="16">
        <v>0</v>
      </c>
      <c r="CX305" s="16">
        <v>0</v>
      </c>
      <c r="CY305" s="16">
        <v>0</v>
      </c>
      <c r="CZ305" s="16">
        <v>0</v>
      </c>
      <c r="DA305" s="16">
        <v>0</v>
      </c>
      <c r="DB305" s="16">
        <v>0</v>
      </c>
      <c r="DC305" s="16">
        <v>0</v>
      </c>
      <c r="DD305" s="16">
        <v>0</v>
      </c>
      <c r="DE305" s="16">
        <v>0</v>
      </c>
      <c r="DF305" s="16">
        <v>0</v>
      </c>
      <c r="DG305" s="16">
        <v>0</v>
      </c>
      <c r="DH305" s="16">
        <v>0</v>
      </c>
      <c r="DI305" s="16">
        <v>0</v>
      </c>
      <c r="DJ305" s="16">
        <v>0</v>
      </c>
      <c r="DK305" s="16">
        <v>0</v>
      </c>
      <c r="DL305" s="16">
        <v>0</v>
      </c>
      <c r="DM305" s="16">
        <v>0</v>
      </c>
      <c r="DN305" s="16">
        <v>0</v>
      </c>
      <c r="DO305" s="16">
        <v>0</v>
      </c>
      <c r="DP305" s="16">
        <v>0</v>
      </c>
      <c r="DQ305" s="16">
        <v>0</v>
      </c>
      <c r="DR305" s="16">
        <v>0</v>
      </c>
      <c r="DS305" s="16">
        <v>0</v>
      </c>
      <c r="DT305" s="16">
        <v>0</v>
      </c>
      <c r="DU305" s="16">
        <v>0</v>
      </c>
      <c r="DV305" s="16">
        <v>0</v>
      </c>
      <c r="DW305" s="16">
        <v>0</v>
      </c>
      <c r="DX305" s="16">
        <v>0</v>
      </c>
      <c r="DY305" s="16">
        <v>0</v>
      </c>
      <c r="DZ305" s="16">
        <v>0</v>
      </c>
      <c r="EA305" s="16">
        <v>0</v>
      </c>
      <c r="EB305" s="16">
        <v>0</v>
      </c>
      <c r="EC305" s="16">
        <v>0</v>
      </c>
      <c r="ED305" s="16">
        <v>0</v>
      </c>
      <c r="EE305" s="16">
        <v>0</v>
      </c>
      <c r="EF305" s="16">
        <v>0</v>
      </c>
      <c r="EG305" s="16">
        <v>0</v>
      </c>
      <c r="EH305" s="16">
        <v>0</v>
      </c>
      <c r="EI305" s="16">
        <v>0</v>
      </c>
      <c r="EJ305" s="16">
        <v>0</v>
      </c>
      <c r="EK305" s="16">
        <v>0</v>
      </c>
      <c r="EL305" s="16">
        <v>0</v>
      </c>
      <c r="EM305" s="16">
        <v>0</v>
      </c>
      <c r="EN305" s="16">
        <v>0</v>
      </c>
      <c r="EO305" s="16">
        <v>0</v>
      </c>
      <c r="EP305" s="16">
        <v>0</v>
      </c>
      <c r="EQ305" s="16">
        <v>0</v>
      </c>
      <c r="ER305" s="16">
        <v>0</v>
      </c>
      <c r="ES305" s="16">
        <v>0</v>
      </c>
      <c r="ET305" s="16">
        <v>0</v>
      </c>
      <c r="EU305" s="16">
        <v>0</v>
      </c>
      <c r="EV305" s="16">
        <v>0</v>
      </c>
      <c r="EW305" s="16">
        <v>0</v>
      </c>
      <c r="EX305" s="16">
        <v>0</v>
      </c>
      <c r="EY305" s="16">
        <v>0</v>
      </c>
      <c r="EZ305" s="16">
        <v>0</v>
      </c>
      <c r="FA305" s="16">
        <v>0</v>
      </c>
      <c r="FB305" s="16">
        <v>0</v>
      </c>
      <c r="FC305" s="16">
        <v>0</v>
      </c>
      <c r="FD305" s="16">
        <v>0</v>
      </c>
      <c r="FE305" s="16">
        <v>0</v>
      </c>
      <c r="FF305" s="16">
        <v>0</v>
      </c>
      <c r="FG305" s="16">
        <v>0</v>
      </c>
      <c r="FH305" s="16">
        <v>0</v>
      </c>
      <c r="FI305" s="16">
        <v>0</v>
      </c>
      <c r="FJ305" s="16">
        <v>0</v>
      </c>
      <c r="FK305" s="16">
        <v>0</v>
      </c>
      <c r="FL305" s="16">
        <v>0</v>
      </c>
      <c r="FM305" s="16">
        <v>0</v>
      </c>
      <c r="FN305" s="16">
        <v>0</v>
      </c>
      <c r="FO305" s="16">
        <v>0</v>
      </c>
      <c r="FP305" s="16">
        <v>0</v>
      </c>
      <c r="FQ305" s="16">
        <v>0</v>
      </c>
      <c r="FR305" s="16">
        <v>0</v>
      </c>
      <c r="FS305" s="16">
        <v>0</v>
      </c>
      <c r="FT305" s="16">
        <v>0</v>
      </c>
      <c r="FU305" s="16">
        <v>0</v>
      </c>
      <c r="FV305" s="16">
        <v>0</v>
      </c>
      <c r="FW305" s="16">
        <v>0</v>
      </c>
      <c r="FX305" s="16">
        <v>0</v>
      </c>
      <c r="FY305" s="16">
        <v>0</v>
      </c>
      <c r="FZ305" s="16">
        <v>0</v>
      </c>
      <c r="GA305" s="16">
        <v>0</v>
      </c>
      <c r="GB305" s="16">
        <v>0</v>
      </c>
      <c r="GC305" s="16">
        <v>0</v>
      </c>
      <c r="GD305" s="16">
        <v>0</v>
      </c>
      <c r="GE305" s="16">
        <v>0</v>
      </c>
      <c r="GF305" s="16">
        <v>0</v>
      </c>
      <c r="GG305" s="16">
        <v>0</v>
      </c>
      <c r="GH305" s="16">
        <v>0</v>
      </c>
      <c r="GI305" s="16">
        <v>0</v>
      </c>
      <c r="GJ305" s="16">
        <v>0</v>
      </c>
      <c r="GK305" s="16">
        <v>0</v>
      </c>
      <c r="GL305" s="16">
        <v>0</v>
      </c>
      <c r="GM305" s="16">
        <v>0</v>
      </c>
      <c r="GN305" s="16">
        <v>0</v>
      </c>
      <c r="GO305" s="16">
        <v>0</v>
      </c>
      <c r="GP305" s="16">
        <v>0</v>
      </c>
      <c r="GQ305" s="16">
        <v>0</v>
      </c>
      <c r="GR305" s="16">
        <v>0</v>
      </c>
      <c r="GS305" s="16">
        <v>0</v>
      </c>
      <c r="GT305" s="16">
        <v>0</v>
      </c>
      <c r="GU305" s="16">
        <v>0</v>
      </c>
      <c r="GV305" s="16">
        <v>0</v>
      </c>
      <c r="GW305" s="16">
        <v>0</v>
      </c>
      <c r="GX305" s="16">
        <v>0</v>
      </c>
      <c r="GY305" s="16">
        <v>0</v>
      </c>
      <c r="GZ305" s="16">
        <v>0</v>
      </c>
      <c r="HA305" s="16">
        <v>0</v>
      </c>
      <c r="HB305" s="16">
        <v>0</v>
      </c>
      <c r="HC305" s="16">
        <v>0</v>
      </c>
      <c r="HD305" s="16">
        <v>0</v>
      </c>
      <c r="HE305" s="16">
        <v>0</v>
      </c>
      <c r="HF305" s="16">
        <v>0</v>
      </c>
      <c r="HG305" s="16">
        <v>0</v>
      </c>
      <c r="HH305" s="16">
        <v>0</v>
      </c>
      <c r="HI305" s="16">
        <v>0</v>
      </c>
      <c r="HJ305" s="16">
        <v>0</v>
      </c>
      <c r="HK305" s="16">
        <v>0</v>
      </c>
      <c r="HL305" s="16">
        <v>0</v>
      </c>
      <c r="HM305" s="16">
        <v>0</v>
      </c>
      <c r="HN305" s="16">
        <v>0</v>
      </c>
      <c r="HO305" s="16">
        <v>0</v>
      </c>
      <c r="HP305" s="16">
        <v>0</v>
      </c>
      <c r="HQ305" s="16">
        <v>0</v>
      </c>
      <c r="HR305" s="16">
        <v>0</v>
      </c>
      <c r="HS305" s="16">
        <v>0</v>
      </c>
      <c r="HT305" s="16">
        <v>0</v>
      </c>
      <c r="HU305" s="16">
        <v>0</v>
      </c>
      <c r="HV305" s="16">
        <v>0</v>
      </c>
      <c r="HW305" s="16">
        <v>0</v>
      </c>
      <c r="HX305" s="16">
        <v>0</v>
      </c>
      <c r="HY305" s="16">
        <v>0</v>
      </c>
      <c r="HZ305" s="16">
        <v>0</v>
      </c>
      <c r="IA305" s="16">
        <v>0</v>
      </c>
      <c r="IB305" s="16">
        <v>0</v>
      </c>
      <c r="IC305" s="16">
        <v>0</v>
      </c>
      <c r="ID305" s="16">
        <v>0</v>
      </c>
      <c r="IE305" s="16">
        <v>0</v>
      </c>
      <c r="IF305" s="16">
        <v>0</v>
      </c>
      <c r="IG305" s="16">
        <v>0</v>
      </c>
      <c r="IH305" s="16">
        <v>0</v>
      </c>
      <c r="II305" s="16">
        <v>0</v>
      </c>
      <c r="IJ305" s="16">
        <v>0</v>
      </c>
      <c r="IK305" s="16">
        <v>0</v>
      </c>
      <c r="IL305" s="16">
        <v>0</v>
      </c>
      <c r="IM305" s="16">
        <v>0</v>
      </c>
      <c r="IN305" s="16">
        <v>0</v>
      </c>
      <c r="IO305" s="16">
        <v>0</v>
      </c>
      <c r="IP305" s="16">
        <v>0</v>
      </c>
      <c r="IQ305" s="16">
        <v>0</v>
      </c>
      <c r="IR305" s="16">
        <v>0</v>
      </c>
      <c r="IS305" s="16">
        <v>0</v>
      </c>
      <c r="IT305" s="16">
        <v>0</v>
      </c>
      <c r="IU305" s="16">
        <v>0</v>
      </c>
      <c r="IV305" s="16">
        <v>0</v>
      </c>
      <c r="IW305" s="16">
        <v>0</v>
      </c>
      <c r="IX305" s="16">
        <v>0</v>
      </c>
      <c r="IY305" s="16">
        <v>0</v>
      </c>
      <c r="IZ305" s="16">
        <v>0</v>
      </c>
      <c r="JA305" s="16">
        <v>0</v>
      </c>
      <c r="JB305" s="16">
        <v>0</v>
      </c>
      <c r="JC305" s="16">
        <v>0</v>
      </c>
      <c r="JD305" s="16">
        <v>0</v>
      </c>
      <c r="JE305" s="16">
        <v>0</v>
      </c>
      <c r="JF305" s="16">
        <v>0</v>
      </c>
      <c r="JG305" s="16">
        <v>0</v>
      </c>
      <c r="JH305" s="16">
        <v>0</v>
      </c>
      <c r="JI305" s="16">
        <v>0</v>
      </c>
      <c r="JJ305" s="16">
        <v>0</v>
      </c>
      <c r="JK305" s="16">
        <v>0</v>
      </c>
      <c r="JL305" s="16">
        <v>0</v>
      </c>
      <c r="JM305" s="16">
        <v>0</v>
      </c>
      <c r="JN305" s="16">
        <v>0</v>
      </c>
      <c r="JO305" s="16">
        <v>0</v>
      </c>
      <c r="JP305" s="16">
        <v>0</v>
      </c>
      <c r="JQ305" s="16">
        <v>0</v>
      </c>
      <c r="JR305" s="16">
        <v>0</v>
      </c>
      <c r="JS305" s="16">
        <v>0</v>
      </c>
      <c r="JT305" s="16">
        <v>0</v>
      </c>
      <c r="JU305" s="16">
        <v>0</v>
      </c>
      <c r="JV305" s="16">
        <v>0</v>
      </c>
      <c r="JW305" s="16">
        <v>0</v>
      </c>
      <c r="JX305" s="16">
        <v>0</v>
      </c>
      <c r="JY305" s="16">
        <v>0</v>
      </c>
      <c r="JZ305" s="16">
        <v>0</v>
      </c>
      <c r="KA305" s="16">
        <v>0</v>
      </c>
      <c r="KB305" s="16">
        <v>0</v>
      </c>
      <c r="KC305" s="16">
        <v>0</v>
      </c>
      <c r="KD305" s="16">
        <v>0</v>
      </c>
      <c r="KE305" s="16">
        <v>0</v>
      </c>
      <c r="KF305" s="16">
        <v>0</v>
      </c>
      <c r="KG305" s="16">
        <v>0</v>
      </c>
      <c r="KH305" s="16">
        <v>0</v>
      </c>
      <c r="KI305" s="16">
        <v>0</v>
      </c>
      <c r="KJ305" s="16">
        <v>0</v>
      </c>
      <c r="KK305" s="16">
        <v>0</v>
      </c>
      <c r="KL305" s="16">
        <v>0</v>
      </c>
      <c r="KM305" s="16">
        <v>0</v>
      </c>
      <c r="KN305" s="16">
        <v>0</v>
      </c>
      <c r="KO305" s="16">
        <v>3133</v>
      </c>
      <c r="KP305" s="16">
        <v>5698896</v>
      </c>
      <c r="KQ305" s="16">
        <v>0</v>
      </c>
      <c r="KR305" s="16">
        <v>0</v>
      </c>
      <c r="KS305" s="16">
        <v>2253</v>
      </c>
      <c r="KT305" s="16">
        <v>0</v>
      </c>
      <c r="KU305" s="16">
        <v>368992</v>
      </c>
      <c r="KV305" s="16">
        <v>0</v>
      </c>
      <c r="KW305" s="16">
        <v>16</v>
      </c>
      <c r="KX305" s="16">
        <v>0</v>
      </c>
      <c r="KY305" s="16">
        <v>0</v>
      </c>
      <c r="KZ305" s="16">
        <v>0</v>
      </c>
      <c r="LA305" s="16">
        <v>0</v>
      </c>
      <c r="LB305" s="16">
        <v>0</v>
      </c>
      <c r="LC305" s="16">
        <v>0</v>
      </c>
      <c r="LD305" s="16">
        <v>0</v>
      </c>
      <c r="LE305" s="16">
        <v>0</v>
      </c>
      <c r="LF305" s="16">
        <v>0</v>
      </c>
      <c r="LG305" s="16">
        <v>0</v>
      </c>
      <c r="LH305" s="16">
        <v>0</v>
      </c>
      <c r="LI305" s="16">
        <v>0</v>
      </c>
      <c r="LJ305" s="16">
        <v>0</v>
      </c>
      <c r="LK305" s="16">
        <v>0</v>
      </c>
      <c r="LL305" s="16">
        <v>0</v>
      </c>
      <c r="LM305" s="16">
        <v>0</v>
      </c>
      <c r="LN305" s="16">
        <v>0</v>
      </c>
      <c r="LO305" s="16">
        <v>0</v>
      </c>
      <c r="LP305" s="16">
        <v>0</v>
      </c>
      <c r="LQ305" s="16">
        <v>0</v>
      </c>
      <c r="LR305" s="16">
        <v>0</v>
      </c>
      <c r="LS305" s="16">
        <v>0</v>
      </c>
      <c r="LT305" s="16">
        <v>0</v>
      </c>
      <c r="LU305" s="16">
        <v>0</v>
      </c>
      <c r="LV305" s="16">
        <v>0</v>
      </c>
      <c r="LW305" s="16">
        <v>0</v>
      </c>
      <c r="LX305" s="16">
        <v>0</v>
      </c>
      <c r="LY305" s="16">
        <v>0</v>
      </c>
      <c r="LZ305" s="16">
        <v>0</v>
      </c>
      <c r="MA305" s="16">
        <v>0</v>
      </c>
      <c r="MB305" s="16">
        <v>0</v>
      </c>
      <c r="MC305" s="16">
        <v>0</v>
      </c>
      <c r="MD305" s="16">
        <v>0</v>
      </c>
      <c r="ME305" s="16">
        <v>0</v>
      </c>
      <c r="MF305" s="16">
        <v>0</v>
      </c>
      <c r="MG305" s="16">
        <v>0</v>
      </c>
      <c r="MH305" s="16">
        <v>0</v>
      </c>
      <c r="MI305" s="16">
        <v>0</v>
      </c>
      <c r="MJ305" s="16">
        <v>0</v>
      </c>
      <c r="MK305" s="16">
        <v>0</v>
      </c>
      <c r="ML305" s="16">
        <v>0</v>
      </c>
      <c r="MM305" s="16">
        <v>0</v>
      </c>
      <c r="MN305" s="16">
        <v>0</v>
      </c>
      <c r="MO305" s="16">
        <v>0</v>
      </c>
      <c r="MP305" s="16">
        <v>0</v>
      </c>
      <c r="MQ305" s="16">
        <v>0</v>
      </c>
      <c r="MR305" s="16">
        <v>1381</v>
      </c>
      <c r="MS305" s="16">
        <v>0</v>
      </c>
      <c r="MT305" s="16">
        <v>0</v>
      </c>
      <c r="MU305" s="16">
        <v>0</v>
      </c>
      <c r="MV305" s="16">
        <v>0</v>
      </c>
      <c r="MW305" s="16">
        <v>0</v>
      </c>
      <c r="MX305" s="16">
        <v>0</v>
      </c>
      <c r="MY305" s="16">
        <v>0</v>
      </c>
      <c r="MZ305" s="16">
        <v>0</v>
      </c>
      <c r="NA305" s="16">
        <v>0</v>
      </c>
      <c r="NB305" s="16">
        <v>0</v>
      </c>
      <c r="NC305" s="16">
        <v>0</v>
      </c>
      <c r="ND305" s="16">
        <v>0</v>
      </c>
      <c r="NE305" s="16">
        <v>0</v>
      </c>
      <c r="NF305" s="16">
        <v>0</v>
      </c>
      <c r="NG305" s="16">
        <v>0</v>
      </c>
      <c r="NH305" s="16">
        <v>0</v>
      </c>
      <c r="NI305" s="16">
        <v>0</v>
      </c>
      <c r="NJ305" s="16">
        <v>0</v>
      </c>
      <c r="NK305" s="16">
        <v>0</v>
      </c>
      <c r="NL305" s="16">
        <v>0</v>
      </c>
      <c r="NM305" s="16">
        <v>0</v>
      </c>
      <c r="NN305" s="16">
        <v>0</v>
      </c>
      <c r="NO305" s="16">
        <v>0</v>
      </c>
      <c r="NP305" s="16">
        <v>0</v>
      </c>
      <c r="NQ305" s="16">
        <v>0</v>
      </c>
      <c r="NR305" s="17">
        <v>6324236</v>
      </c>
    </row>
    <row r="306" spans="1:382" ht="13.5" customHeight="1" x14ac:dyDescent="0.2">
      <c r="A306" s="2" t="s">
        <v>619</v>
      </c>
      <c r="B306" s="16">
        <v>0</v>
      </c>
      <c r="C306" s="16">
        <v>0</v>
      </c>
      <c r="D306" s="16">
        <v>0</v>
      </c>
      <c r="E306" s="16">
        <v>0</v>
      </c>
      <c r="F306" s="16">
        <v>0</v>
      </c>
      <c r="G306" s="16">
        <v>0</v>
      </c>
      <c r="H306" s="16">
        <v>20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76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v>0</v>
      </c>
      <c r="X306" s="16">
        <v>519</v>
      </c>
      <c r="Y306" s="16">
        <v>80</v>
      </c>
      <c r="Z306" s="16">
        <v>26</v>
      </c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  <c r="AG306" s="16">
        <v>14</v>
      </c>
      <c r="AH306" s="16">
        <v>12</v>
      </c>
      <c r="AI306" s="16">
        <v>7</v>
      </c>
      <c r="AJ306" s="16">
        <v>0</v>
      </c>
      <c r="AK306" s="16">
        <v>5</v>
      </c>
      <c r="AL306" s="16">
        <v>115</v>
      </c>
      <c r="AM306" s="16">
        <v>419</v>
      </c>
      <c r="AN306" s="16">
        <v>205</v>
      </c>
      <c r="AO306" s="16">
        <v>98</v>
      </c>
      <c r="AP306" s="16">
        <v>11</v>
      </c>
      <c r="AQ306" s="16">
        <v>43</v>
      </c>
      <c r="AR306" s="16">
        <v>0</v>
      </c>
      <c r="AS306" s="16">
        <v>0</v>
      </c>
      <c r="AT306" s="16">
        <v>60</v>
      </c>
      <c r="AU306" s="16">
        <v>618</v>
      </c>
      <c r="AV306" s="16">
        <v>58</v>
      </c>
      <c r="AW306" s="16">
        <v>258</v>
      </c>
      <c r="AX306" s="16">
        <v>0</v>
      </c>
      <c r="AY306" s="16">
        <v>75</v>
      </c>
      <c r="AZ306" s="16">
        <v>19</v>
      </c>
      <c r="BA306" s="16">
        <v>0</v>
      </c>
      <c r="BB306" s="16">
        <v>36</v>
      </c>
      <c r="BC306" s="16">
        <v>201</v>
      </c>
      <c r="BD306" s="16">
        <v>0</v>
      </c>
      <c r="BE306" s="16">
        <v>575</v>
      </c>
      <c r="BF306" s="16">
        <v>29</v>
      </c>
      <c r="BG306" s="16">
        <v>26</v>
      </c>
      <c r="BH306" s="16">
        <v>379</v>
      </c>
      <c r="BI306" s="16">
        <v>70</v>
      </c>
      <c r="BJ306" s="16">
        <v>110</v>
      </c>
      <c r="BK306" s="16">
        <v>38</v>
      </c>
      <c r="BL306" s="16">
        <v>101</v>
      </c>
      <c r="BM306" s="16">
        <v>24</v>
      </c>
      <c r="BN306" s="16">
        <v>29</v>
      </c>
      <c r="BO306" s="16">
        <v>769</v>
      </c>
      <c r="BP306" s="16">
        <v>137</v>
      </c>
      <c r="BQ306" s="16">
        <v>17</v>
      </c>
      <c r="BR306" s="16">
        <v>125</v>
      </c>
      <c r="BS306" s="16">
        <v>11731</v>
      </c>
      <c r="BT306" s="16">
        <v>448</v>
      </c>
      <c r="BU306" s="16">
        <v>2</v>
      </c>
      <c r="BV306" s="16">
        <v>0</v>
      </c>
      <c r="BW306" s="16">
        <v>41</v>
      </c>
      <c r="BX306" s="16">
        <v>0</v>
      </c>
      <c r="BY306" s="16">
        <v>43</v>
      </c>
      <c r="BZ306" s="16">
        <v>43</v>
      </c>
      <c r="CA306" s="16">
        <v>149</v>
      </c>
      <c r="CB306" s="16">
        <v>7</v>
      </c>
      <c r="CC306" s="16">
        <v>125</v>
      </c>
      <c r="CD306" s="16">
        <v>0</v>
      </c>
      <c r="CE306" s="16">
        <v>41</v>
      </c>
      <c r="CF306" s="16">
        <v>79</v>
      </c>
      <c r="CG306" s="16">
        <v>22</v>
      </c>
      <c r="CH306" s="16">
        <v>237</v>
      </c>
      <c r="CI306" s="16">
        <v>0</v>
      </c>
      <c r="CJ306" s="16">
        <v>43</v>
      </c>
      <c r="CK306" s="16">
        <v>144</v>
      </c>
      <c r="CL306" s="16">
        <v>12</v>
      </c>
      <c r="CM306" s="16">
        <v>12</v>
      </c>
      <c r="CN306" s="16">
        <v>74</v>
      </c>
      <c r="CO306" s="16">
        <v>125</v>
      </c>
      <c r="CP306" s="16">
        <v>24</v>
      </c>
      <c r="CQ306" s="16">
        <v>181</v>
      </c>
      <c r="CR306" s="16">
        <v>49</v>
      </c>
      <c r="CS306" s="16">
        <v>1376</v>
      </c>
      <c r="CT306" s="16">
        <v>729</v>
      </c>
      <c r="CU306" s="16">
        <v>1023</v>
      </c>
      <c r="CV306" s="16">
        <v>544</v>
      </c>
      <c r="CW306" s="16">
        <v>3897</v>
      </c>
      <c r="CX306" s="16">
        <v>197</v>
      </c>
      <c r="CY306" s="16">
        <v>606</v>
      </c>
      <c r="CZ306" s="16">
        <v>817</v>
      </c>
      <c r="DA306" s="16">
        <v>1071</v>
      </c>
      <c r="DB306" s="16">
        <v>151</v>
      </c>
      <c r="DC306" s="16">
        <v>405</v>
      </c>
      <c r="DD306" s="16">
        <v>606</v>
      </c>
      <c r="DE306" s="16">
        <v>1246</v>
      </c>
      <c r="DF306" s="16">
        <v>1611</v>
      </c>
      <c r="DG306" s="16">
        <v>1797</v>
      </c>
      <c r="DH306" s="16">
        <v>1812</v>
      </c>
      <c r="DI306" s="16">
        <v>12731</v>
      </c>
      <c r="DJ306" s="16">
        <v>2102</v>
      </c>
      <c r="DK306" s="16">
        <v>441</v>
      </c>
      <c r="DL306" s="16">
        <v>753</v>
      </c>
      <c r="DM306" s="16">
        <v>13481</v>
      </c>
      <c r="DN306" s="16">
        <v>439</v>
      </c>
      <c r="DO306" s="16">
        <v>192</v>
      </c>
      <c r="DP306" s="16">
        <v>3444</v>
      </c>
      <c r="DQ306" s="16">
        <v>448</v>
      </c>
      <c r="DR306" s="16">
        <v>1378</v>
      </c>
      <c r="DS306" s="16">
        <v>1589</v>
      </c>
      <c r="DT306" s="16">
        <v>913</v>
      </c>
      <c r="DU306" s="16">
        <v>125</v>
      </c>
      <c r="DV306" s="16">
        <v>1479</v>
      </c>
      <c r="DW306" s="16">
        <v>1783</v>
      </c>
      <c r="DX306" s="16">
        <v>3727</v>
      </c>
      <c r="DY306" s="16">
        <v>1697</v>
      </c>
      <c r="DZ306" s="16">
        <v>2078</v>
      </c>
      <c r="EA306" s="16">
        <v>7420</v>
      </c>
      <c r="EB306" s="16">
        <v>9021</v>
      </c>
      <c r="EC306" s="16">
        <v>276</v>
      </c>
      <c r="ED306" s="16">
        <v>141</v>
      </c>
      <c r="EE306" s="16">
        <v>398</v>
      </c>
      <c r="EF306" s="16">
        <v>458</v>
      </c>
      <c r="EG306" s="16">
        <v>2344</v>
      </c>
      <c r="EH306" s="16">
        <v>738</v>
      </c>
      <c r="EI306" s="16">
        <v>949</v>
      </c>
      <c r="EJ306" s="16">
        <v>134</v>
      </c>
      <c r="EK306" s="16">
        <v>197</v>
      </c>
      <c r="EL306" s="16">
        <v>812</v>
      </c>
      <c r="EM306" s="16">
        <v>5457</v>
      </c>
      <c r="EN306" s="16">
        <v>1601</v>
      </c>
      <c r="EO306" s="16">
        <v>2675</v>
      </c>
      <c r="EP306" s="16">
        <v>110</v>
      </c>
      <c r="EQ306" s="16">
        <v>192</v>
      </c>
      <c r="ER306" s="16">
        <v>439</v>
      </c>
      <c r="ES306" s="16">
        <v>244</v>
      </c>
      <c r="ET306" s="16">
        <v>151</v>
      </c>
      <c r="EU306" s="16">
        <v>41</v>
      </c>
      <c r="EV306" s="16">
        <v>194</v>
      </c>
      <c r="EW306" s="16">
        <v>865</v>
      </c>
      <c r="EX306" s="16">
        <v>2557</v>
      </c>
      <c r="EY306" s="16">
        <v>276</v>
      </c>
      <c r="EZ306" s="16">
        <v>530</v>
      </c>
      <c r="FA306" s="16">
        <v>791</v>
      </c>
      <c r="FB306" s="16">
        <v>1438</v>
      </c>
      <c r="FC306" s="16">
        <v>5543</v>
      </c>
      <c r="FD306" s="16">
        <v>5726</v>
      </c>
      <c r="FE306" s="16">
        <v>122</v>
      </c>
      <c r="FF306" s="16">
        <v>376</v>
      </c>
      <c r="FG306" s="16">
        <v>14</v>
      </c>
      <c r="FH306" s="16">
        <v>141</v>
      </c>
      <c r="FI306" s="16">
        <v>1515</v>
      </c>
      <c r="FJ306" s="16">
        <v>201</v>
      </c>
      <c r="FK306" s="16">
        <v>223</v>
      </c>
      <c r="FL306" s="16">
        <v>594</v>
      </c>
      <c r="FM306" s="16">
        <v>129</v>
      </c>
      <c r="FN306" s="16">
        <v>2658</v>
      </c>
      <c r="FO306" s="16">
        <v>436</v>
      </c>
      <c r="FP306" s="16">
        <v>292</v>
      </c>
      <c r="FQ306" s="16">
        <v>6562</v>
      </c>
      <c r="FR306" s="16">
        <v>1052</v>
      </c>
      <c r="FS306" s="16">
        <v>947</v>
      </c>
      <c r="FT306" s="16">
        <v>913</v>
      </c>
      <c r="FU306" s="16">
        <v>2713</v>
      </c>
      <c r="FV306" s="16">
        <v>515</v>
      </c>
      <c r="FW306" s="16">
        <v>74</v>
      </c>
      <c r="FX306" s="16">
        <v>127</v>
      </c>
      <c r="FY306" s="16">
        <v>434</v>
      </c>
      <c r="FZ306" s="16">
        <v>288</v>
      </c>
      <c r="GA306" s="16">
        <v>479</v>
      </c>
      <c r="GB306" s="16">
        <v>3259</v>
      </c>
      <c r="GC306" s="16">
        <v>2061</v>
      </c>
      <c r="GD306" s="16">
        <v>407</v>
      </c>
      <c r="GE306" s="16">
        <v>2306</v>
      </c>
      <c r="GF306" s="16">
        <v>8659</v>
      </c>
      <c r="GG306" s="16">
        <v>4014</v>
      </c>
      <c r="GH306" s="16">
        <v>129</v>
      </c>
      <c r="GI306" s="16">
        <v>1287</v>
      </c>
      <c r="GJ306" s="16">
        <v>1963</v>
      </c>
      <c r="GK306" s="16">
        <v>395</v>
      </c>
      <c r="GL306" s="16">
        <v>7722</v>
      </c>
      <c r="GM306" s="16">
        <v>31</v>
      </c>
      <c r="GN306" s="16">
        <v>738</v>
      </c>
      <c r="GO306" s="16">
        <v>4781</v>
      </c>
      <c r="GP306" s="16">
        <v>30258</v>
      </c>
      <c r="GQ306" s="16">
        <v>980</v>
      </c>
      <c r="GR306" s="16">
        <v>188</v>
      </c>
      <c r="GS306" s="16">
        <v>575</v>
      </c>
      <c r="GT306" s="16">
        <v>2655</v>
      </c>
      <c r="GU306" s="16">
        <v>2754</v>
      </c>
      <c r="GV306" s="16">
        <v>1637</v>
      </c>
      <c r="GW306" s="16">
        <v>935</v>
      </c>
      <c r="GX306" s="16">
        <v>2198</v>
      </c>
      <c r="GY306" s="16">
        <v>89</v>
      </c>
      <c r="GZ306" s="16">
        <v>812</v>
      </c>
      <c r="HA306" s="16">
        <v>451</v>
      </c>
      <c r="HB306" s="16">
        <v>230</v>
      </c>
      <c r="HC306" s="16">
        <v>5273</v>
      </c>
      <c r="HD306" s="16">
        <v>1572</v>
      </c>
      <c r="HE306" s="16">
        <v>5948</v>
      </c>
      <c r="HF306" s="16">
        <v>1728</v>
      </c>
      <c r="HG306" s="16">
        <v>1462</v>
      </c>
      <c r="HH306" s="16">
        <v>129</v>
      </c>
      <c r="HI306" s="16">
        <v>4467</v>
      </c>
      <c r="HJ306" s="16">
        <v>534</v>
      </c>
      <c r="HK306" s="16">
        <v>487</v>
      </c>
      <c r="HL306" s="16">
        <v>4649</v>
      </c>
      <c r="HM306" s="16">
        <v>1414</v>
      </c>
      <c r="HN306" s="16">
        <v>1359</v>
      </c>
      <c r="HO306" s="16">
        <v>657</v>
      </c>
      <c r="HP306" s="16">
        <v>1376</v>
      </c>
      <c r="HQ306" s="16">
        <v>6133</v>
      </c>
      <c r="HR306" s="16">
        <v>3585</v>
      </c>
      <c r="HS306" s="16">
        <v>2608</v>
      </c>
      <c r="HT306" s="16">
        <v>3638</v>
      </c>
      <c r="HU306" s="16">
        <v>2725</v>
      </c>
      <c r="HV306" s="16">
        <v>1397</v>
      </c>
      <c r="HW306" s="16">
        <v>1776</v>
      </c>
      <c r="HX306" s="16">
        <v>5390</v>
      </c>
      <c r="HY306" s="16">
        <v>441</v>
      </c>
      <c r="HZ306" s="16">
        <v>2416</v>
      </c>
      <c r="IA306" s="16">
        <v>781</v>
      </c>
      <c r="IB306" s="16">
        <v>84</v>
      </c>
      <c r="IC306" s="16">
        <v>204</v>
      </c>
      <c r="ID306" s="16">
        <v>5773</v>
      </c>
      <c r="IE306" s="16">
        <v>86</v>
      </c>
      <c r="IF306" s="16">
        <v>309</v>
      </c>
      <c r="IG306" s="16">
        <v>379</v>
      </c>
      <c r="IH306" s="16">
        <v>2884</v>
      </c>
      <c r="II306" s="16">
        <v>310</v>
      </c>
      <c r="IJ306" s="16">
        <v>170</v>
      </c>
      <c r="IK306" s="16">
        <v>295</v>
      </c>
      <c r="IL306" s="16">
        <v>197</v>
      </c>
      <c r="IM306" s="16">
        <v>221</v>
      </c>
      <c r="IN306" s="16">
        <v>4575</v>
      </c>
      <c r="IO306" s="16">
        <v>13042</v>
      </c>
      <c r="IP306" s="16">
        <v>2389</v>
      </c>
      <c r="IQ306" s="16">
        <v>43</v>
      </c>
      <c r="IR306" s="16">
        <v>1817</v>
      </c>
      <c r="IS306" s="16">
        <v>1433</v>
      </c>
      <c r="IT306" s="16">
        <v>712</v>
      </c>
      <c r="IU306" s="16">
        <v>17</v>
      </c>
      <c r="IV306" s="16">
        <v>26</v>
      </c>
      <c r="IW306" s="16">
        <v>1050</v>
      </c>
      <c r="IX306" s="16">
        <v>496</v>
      </c>
      <c r="IY306" s="16">
        <v>508</v>
      </c>
      <c r="IZ306" s="16">
        <v>1253</v>
      </c>
      <c r="JA306" s="16">
        <v>846</v>
      </c>
      <c r="JB306" s="16">
        <v>259</v>
      </c>
      <c r="JC306" s="16">
        <v>1086</v>
      </c>
      <c r="JD306" s="16">
        <v>46</v>
      </c>
      <c r="JE306" s="16">
        <v>1040</v>
      </c>
      <c r="JF306" s="16">
        <v>2159</v>
      </c>
      <c r="JG306" s="16">
        <v>58</v>
      </c>
      <c r="JH306" s="16">
        <v>0</v>
      </c>
      <c r="JI306" s="16">
        <v>5</v>
      </c>
      <c r="JJ306" s="16">
        <v>43</v>
      </c>
      <c r="JK306" s="16">
        <v>244</v>
      </c>
      <c r="JL306" s="16">
        <v>7</v>
      </c>
      <c r="JM306" s="16">
        <v>0</v>
      </c>
      <c r="JN306" s="16">
        <v>0</v>
      </c>
      <c r="JO306" s="16">
        <v>201</v>
      </c>
      <c r="JP306" s="16">
        <v>122</v>
      </c>
      <c r="JQ306" s="16">
        <v>0</v>
      </c>
      <c r="JR306" s="16">
        <v>91</v>
      </c>
      <c r="JS306" s="16">
        <v>139</v>
      </c>
      <c r="JT306" s="16">
        <v>0</v>
      </c>
      <c r="JU306" s="16">
        <v>803</v>
      </c>
      <c r="JV306" s="16">
        <v>0</v>
      </c>
      <c r="JW306" s="16">
        <v>17290</v>
      </c>
      <c r="JX306" s="16">
        <v>5150</v>
      </c>
      <c r="JY306" s="16">
        <v>1807</v>
      </c>
      <c r="JZ306" s="16">
        <v>3084</v>
      </c>
      <c r="KA306" s="16">
        <v>2967</v>
      </c>
      <c r="KB306" s="16">
        <v>403</v>
      </c>
      <c r="KC306" s="16">
        <v>1308</v>
      </c>
      <c r="KD306" s="16">
        <v>1593</v>
      </c>
      <c r="KE306" s="16">
        <v>578</v>
      </c>
      <c r="KF306" s="16">
        <v>1555</v>
      </c>
      <c r="KG306" s="16">
        <v>683</v>
      </c>
      <c r="KH306" s="16">
        <v>1884</v>
      </c>
      <c r="KI306" s="16">
        <v>0</v>
      </c>
      <c r="KJ306" s="16">
        <v>1481</v>
      </c>
      <c r="KK306" s="16">
        <v>686212</v>
      </c>
      <c r="KL306" s="16">
        <v>2</v>
      </c>
      <c r="KM306" s="16">
        <v>25</v>
      </c>
      <c r="KN306" s="16">
        <v>1213</v>
      </c>
      <c r="KO306" s="16">
        <v>148</v>
      </c>
      <c r="KP306" s="16">
        <v>690</v>
      </c>
      <c r="KQ306" s="16">
        <v>1238834</v>
      </c>
      <c r="KR306" s="16">
        <v>50</v>
      </c>
      <c r="KS306" s="16">
        <v>158</v>
      </c>
      <c r="KT306" s="16">
        <v>28732</v>
      </c>
      <c r="KU306" s="16">
        <v>1162</v>
      </c>
      <c r="KV306" s="16">
        <v>68334</v>
      </c>
      <c r="KW306" s="16">
        <v>80955</v>
      </c>
      <c r="KX306" s="16">
        <v>4086</v>
      </c>
      <c r="KY306" s="16">
        <v>63473</v>
      </c>
      <c r="KZ306" s="16">
        <v>22844</v>
      </c>
      <c r="LA306" s="16">
        <v>2452</v>
      </c>
      <c r="LB306" s="16">
        <v>29</v>
      </c>
      <c r="LC306" s="16">
        <v>324</v>
      </c>
      <c r="LD306" s="16">
        <v>669</v>
      </c>
      <c r="LE306" s="16">
        <v>43</v>
      </c>
      <c r="LF306" s="16">
        <v>3835</v>
      </c>
      <c r="LG306" s="16">
        <v>53</v>
      </c>
      <c r="LH306" s="16">
        <v>77</v>
      </c>
      <c r="LI306" s="16">
        <v>419</v>
      </c>
      <c r="LJ306" s="16">
        <v>307</v>
      </c>
      <c r="LK306" s="16">
        <v>466</v>
      </c>
      <c r="LL306" s="16">
        <v>4391</v>
      </c>
      <c r="LM306" s="16">
        <v>3549</v>
      </c>
      <c r="LN306" s="16">
        <v>1843</v>
      </c>
      <c r="LO306" s="16">
        <v>17161</v>
      </c>
      <c r="LP306" s="16">
        <v>2770</v>
      </c>
      <c r="LQ306" s="16">
        <v>120</v>
      </c>
      <c r="LR306" s="16">
        <v>122</v>
      </c>
      <c r="LS306" s="16">
        <v>277</v>
      </c>
      <c r="LT306" s="16">
        <v>117</v>
      </c>
      <c r="LU306" s="16">
        <v>52</v>
      </c>
      <c r="LV306" s="16">
        <v>0</v>
      </c>
      <c r="LW306" s="16">
        <v>31</v>
      </c>
      <c r="LX306" s="16">
        <v>1490</v>
      </c>
      <c r="LY306" s="16">
        <v>0</v>
      </c>
      <c r="LZ306" s="16">
        <v>3197</v>
      </c>
      <c r="MA306" s="16">
        <v>307</v>
      </c>
      <c r="MB306" s="16">
        <v>687</v>
      </c>
      <c r="MC306" s="16">
        <v>0</v>
      </c>
      <c r="MD306" s="16">
        <v>1326</v>
      </c>
      <c r="ME306" s="16">
        <v>376</v>
      </c>
      <c r="MF306" s="16">
        <v>5632</v>
      </c>
      <c r="MG306" s="16">
        <v>79401</v>
      </c>
      <c r="MH306" s="16">
        <v>52077</v>
      </c>
      <c r="MI306" s="16">
        <v>8278</v>
      </c>
      <c r="MJ306" s="16">
        <v>5699</v>
      </c>
      <c r="MK306" s="16">
        <v>1603</v>
      </c>
      <c r="ML306" s="16">
        <v>4345</v>
      </c>
      <c r="MM306" s="16">
        <v>10504</v>
      </c>
      <c r="MN306" s="16">
        <v>80560</v>
      </c>
      <c r="MO306" s="16">
        <v>1779</v>
      </c>
      <c r="MP306" s="16">
        <v>1956</v>
      </c>
      <c r="MQ306" s="16">
        <v>11837</v>
      </c>
      <c r="MR306" s="16">
        <v>241</v>
      </c>
      <c r="MS306" s="16">
        <v>0</v>
      </c>
      <c r="MT306" s="16">
        <v>1966</v>
      </c>
      <c r="MU306" s="16">
        <v>1076</v>
      </c>
      <c r="MV306" s="16">
        <v>342</v>
      </c>
      <c r="MW306" s="16">
        <v>1613</v>
      </c>
      <c r="MX306" s="16">
        <v>259</v>
      </c>
      <c r="MY306" s="16">
        <v>1968</v>
      </c>
      <c r="MZ306" s="16">
        <v>2521</v>
      </c>
      <c r="NA306" s="16">
        <v>1220</v>
      </c>
      <c r="NB306" s="16">
        <v>0</v>
      </c>
      <c r="NC306" s="16">
        <v>2178</v>
      </c>
      <c r="ND306" s="16">
        <v>235</v>
      </c>
      <c r="NE306" s="16">
        <v>217</v>
      </c>
      <c r="NF306" s="16">
        <v>2044</v>
      </c>
      <c r="NG306" s="16">
        <v>518</v>
      </c>
      <c r="NH306" s="16">
        <v>1074</v>
      </c>
      <c r="NI306" s="16">
        <v>1621</v>
      </c>
      <c r="NJ306" s="16">
        <v>25605</v>
      </c>
      <c r="NK306" s="16">
        <v>2159</v>
      </c>
      <c r="NL306" s="16">
        <v>803</v>
      </c>
      <c r="NM306" s="16">
        <v>132</v>
      </c>
      <c r="NN306" s="16">
        <v>343</v>
      </c>
      <c r="NO306" s="16">
        <v>0</v>
      </c>
      <c r="NP306" s="16">
        <v>2857</v>
      </c>
      <c r="NQ306" s="16">
        <v>0</v>
      </c>
      <c r="NR306" s="17">
        <v>2944982</v>
      </c>
    </row>
    <row r="307" spans="1:382" ht="13.5" customHeight="1" x14ac:dyDescent="0.2">
      <c r="A307" s="2" t="s">
        <v>621</v>
      </c>
      <c r="B307" s="16">
        <v>355</v>
      </c>
      <c r="C307" s="16">
        <v>39</v>
      </c>
      <c r="D307" s="16">
        <v>19</v>
      </c>
      <c r="E307" s="16">
        <v>51</v>
      </c>
      <c r="F307" s="16">
        <v>325</v>
      </c>
      <c r="G307" s="16">
        <v>115</v>
      </c>
      <c r="H307" s="16">
        <v>24</v>
      </c>
      <c r="I307" s="16">
        <v>49</v>
      </c>
      <c r="J307" s="16">
        <v>3</v>
      </c>
      <c r="K307" s="16">
        <v>0</v>
      </c>
      <c r="L307" s="16">
        <v>94</v>
      </c>
      <c r="M307" s="16">
        <v>13</v>
      </c>
      <c r="N307" s="16">
        <v>0</v>
      </c>
      <c r="O307" s="16">
        <v>244</v>
      </c>
      <c r="P307" s="16">
        <v>544</v>
      </c>
      <c r="Q307" s="16">
        <v>753</v>
      </c>
      <c r="R307" s="16">
        <v>700</v>
      </c>
      <c r="S307" s="16">
        <v>80</v>
      </c>
      <c r="T307" s="16">
        <v>13</v>
      </c>
      <c r="U307" s="16">
        <v>6</v>
      </c>
      <c r="V307" s="16">
        <v>3</v>
      </c>
      <c r="W307" s="16">
        <v>3</v>
      </c>
      <c r="X307" s="16">
        <v>167358</v>
      </c>
      <c r="Y307" s="16">
        <v>521</v>
      </c>
      <c r="Z307" s="16">
        <v>53963</v>
      </c>
      <c r="AA307" s="16">
        <v>1</v>
      </c>
      <c r="AB307" s="16">
        <v>0</v>
      </c>
      <c r="AC307" s="16">
        <v>0</v>
      </c>
      <c r="AD307" s="16">
        <v>0</v>
      </c>
      <c r="AE307" s="16">
        <v>113</v>
      </c>
      <c r="AF307" s="16">
        <v>3</v>
      </c>
      <c r="AG307" s="16">
        <v>822</v>
      </c>
      <c r="AH307" s="16">
        <v>538</v>
      </c>
      <c r="AI307" s="16">
        <v>174</v>
      </c>
      <c r="AJ307" s="16">
        <v>320</v>
      </c>
      <c r="AK307" s="16">
        <v>916</v>
      </c>
      <c r="AL307" s="16">
        <v>220</v>
      </c>
      <c r="AM307" s="16">
        <v>579</v>
      </c>
      <c r="AN307" s="16">
        <v>2410</v>
      </c>
      <c r="AO307" s="16">
        <v>3080</v>
      </c>
      <c r="AP307" s="16">
        <v>1782</v>
      </c>
      <c r="AQ307" s="16">
        <v>2517</v>
      </c>
      <c r="AR307" s="16">
        <v>0</v>
      </c>
      <c r="AS307" s="16">
        <v>135</v>
      </c>
      <c r="AT307" s="16">
        <v>232</v>
      </c>
      <c r="AU307" s="16">
        <v>3894</v>
      </c>
      <c r="AV307" s="16">
        <v>2630</v>
      </c>
      <c r="AW307" s="16">
        <v>1431</v>
      </c>
      <c r="AX307" s="16">
        <v>727</v>
      </c>
      <c r="AY307" s="16">
        <v>3403</v>
      </c>
      <c r="AZ307" s="16">
        <v>545</v>
      </c>
      <c r="BA307" s="16">
        <v>1624</v>
      </c>
      <c r="BB307" s="16">
        <v>2792</v>
      </c>
      <c r="BC307" s="16">
        <v>10990</v>
      </c>
      <c r="BD307" s="16">
        <v>14</v>
      </c>
      <c r="BE307" s="16">
        <v>34</v>
      </c>
      <c r="BF307" s="16">
        <v>45</v>
      </c>
      <c r="BG307" s="16">
        <v>1237</v>
      </c>
      <c r="BH307" s="16">
        <v>833</v>
      </c>
      <c r="BI307" s="16">
        <v>882</v>
      </c>
      <c r="BJ307" s="16">
        <v>2257</v>
      </c>
      <c r="BK307" s="16">
        <v>829</v>
      </c>
      <c r="BL307" s="16">
        <v>12334</v>
      </c>
      <c r="BM307" s="16">
        <v>1841</v>
      </c>
      <c r="BN307" s="16">
        <v>3794</v>
      </c>
      <c r="BO307" s="16">
        <v>1419</v>
      </c>
      <c r="BP307" s="16">
        <v>9483</v>
      </c>
      <c r="BQ307" s="16">
        <v>4369</v>
      </c>
      <c r="BR307" s="16">
        <v>15486</v>
      </c>
      <c r="BS307" s="16">
        <v>23922</v>
      </c>
      <c r="BT307" s="16">
        <v>2537</v>
      </c>
      <c r="BU307" s="16">
        <v>99</v>
      </c>
      <c r="BV307" s="16">
        <v>44</v>
      </c>
      <c r="BW307" s="16">
        <v>1588</v>
      </c>
      <c r="BX307" s="16">
        <v>930</v>
      </c>
      <c r="BY307" s="16">
        <v>36</v>
      </c>
      <c r="BZ307" s="16">
        <v>829</v>
      </c>
      <c r="CA307" s="16">
        <v>3535</v>
      </c>
      <c r="CB307" s="16">
        <v>55</v>
      </c>
      <c r="CC307" s="16">
        <v>3210</v>
      </c>
      <c r="CD307" s="16">
        <v>408</v>
      </c>
      <c r="CE307" s="16">
        <v>1554</v>
      </c>
      <c r="CF307" s="16">
        <v>864</v>
      </c>
      <c r="CG307" s="16">
        <v>1380</v>
      </c>
      <c r="CH307" s="16">
        <v>190</v>
      </c>
      <c r="CI307" s="16">
        <v>6705</v>
      </c>
      <c r="CJ307" s="16">
        <v>17676</v>
      </c>
      <c r="CK307" s="16">
        <v>9199</v>
      </c>
      <c r="CL307" s="16">
        <v>1247</v>
      </c>
      <c r="CM307" s="16">
        <v>1677</v>
      </c>
      <c r="CN307" s="16">
        <v>708</v>
      </c>
      <c r="CO307" s="16">
        <v>838</v>
      </c>
      <c r="CP307" s="16">
        <v>2895</v>
      </c>
      <c r="CQ307" s="16">
        <v>2338</v>
      </c>
      <c r="CR307" s="16">
        <v>1309</v>
      </c>
      <c r="CS307" s="16">
        <v>21613</v>
      </c>
      <c r="CT307" s="16">
        <v>39746</v>
      </c>
      <c r="CU307" s="16">
        <v>23070</v>
      </c>
      <c r="CV307" s="16">
        <v>7205</v>
      </c>
      <c r="CW307" s="16">
        <v>82732</v>
      </c>
      <c r="CX307" s="16">
        <v>5848</v>
      </c>
      <c r="CY307" s="16">
        <v>8688</v>
      </c>
      <c r="CZ307" s="16">
        <v>2482</v>
      </c>
      <c r="DA307" s="16">
        <v>4967</v>
      </c>
      <c r="DB307" s="16">
        <v>6989</v>
      </c>
      <c r="DC307" s="16">
        <v>3385</v>
      </c>
      <c r="DD307" s="16">
        <v>7676</v>
      </c>
      <c r="DE307" s="16">
        <v>7852</v>
      </c>
      <c r="DF307" s="16">
        <v>4707</v>
      </c>
      <c r="DG307" s="16">
        <v>2771</v>
      </c>
      <c r="DH307" s="16">
        <v>40893</v>
      </c>
      <c r="DI307" s="16">
        <v>8055</v>
      </c>
      <c r="DJ307" s="16">
        <v>30920</v>
      </c>
      <c r="DK307" s="16">
        <v>1444</v>
      </c>
      <c r="DL307" s="16">
        <v>1322</v>
      </c>
      <c r="DM307" s="16">
        <v>19698</v>
      </c>
      <c r="DN307" s="16">
        <v>9823</v>
      </c>
      <c r="DO307" s="16">
        <v>310</v>
      </c>
      <c r="DP307" s="16">
        <v>5922</v>
      </c>
      <c r="DQ307" s="16">
        <v>1252</v>
      </c>
      <c r="DR307" s="16">
        <v>8277</v>
      </c>
      <c r="DS307" s="16">
        <v>9331</v>
      </c>
      <c r="DT307" s="16">
        <v>7159</v>
      </c>
      <c r="DU307" s="16">
        <v>806</v>
      </c>
      <c r="DV307" s="16">
        <v>16102</v>
      </c>
      <c r="DW307" s="16">
        <v>27205</v>
      </c>
      <c r="DX307" s="16">
        <v>16219</v>
      </c>
      <c r="DY307" s="16">
        <v>21468</v>
      </c>
      <c r="DZ307" s="16">
        <v>76146</v>
      </c>
      <c r="EA307" s="16">
        <v>34590</v>
      </c>
      <c r="EB307" s="16">
        <v>31069</v>
      </c>
      <c r="EC307" s="16">
        <v>6167</v>
      </c>
      <c r="ED307" s="16">
        <v>792</v>
      </c>
      <c r="EE307" s="16">
        <v>3385</v>
      </c>
      <c r="EF307" s="16">
        <v>1459</v>
      </c>
      <c r="EG307" s="16">
        <v>7214</v>
      </c>
      <c r="EH307" s="16">
        <v>2158</v>
      </c>
      <c r="EI307" s="16">
        <v>1343</v>
      </c>
      <c r="EJ307" s="16">
        <v>1516</v>
      </c>
      <c r="EK307" s="16">
        <v>2336</v>
      </c>
      <c r="EL307" s="16">
        <v>852</v>
      </c>
      <c r="EM307" s="16">
        <v>1311</v>
      </c>
      <c r="EN307" s="16">
        <v>12705</v>
      </c>
      <c r="EO307" s="16">
        <v>5958</v>
      </c>
      <c r="EP307" s="16">
        <v>1249</v>
      </c>
      <c r="EQ307" s="16">
        <v>383</v>
      </c>
      <c r="ER307" s="16">
        <v>718</v>
      </c>
      <c r="ES307" s="16">
        <v>1657</v>
      </c>
      <c r="ET307" s="16">
        <v>8940</v>
      </c>
      <c r="EU307" s="16">
        <v>454</v>
      </c>
      <c r="EV307" s="16">
        <v>4274</v>
      </c>
      <c r="EW307" s="16">
        <v>3838</v>
      </c>
      <c r="EX307" s="16">
        <v>64518</v>
      </c>
      <c r="EY307" s="16">
        <v>25891</v>
      </c>
      <c r="EZ307" s="16">
        <v>8052</v>
      </c>
      <c r="FA307" s="16">
        <v>22976</v>
      </c>
      <c r="FB307" s="16">
        <v>40573</v>
      </c>
      <c r="FC307" s="16">
        <v>8244</v>
      </c>
      <c r="FD307" s="16">
        <v>68805</v>
      </c>
      <c r="FE307" s="16">
        <v>50381</v>
      </c>
      <c r="FF307" s="16">
        <v>87056</v>
      </c>
      <c r="FG307" s="16">
        <v>32258</v>
      </c>
      <c r="FH307" s="16">
        <v>5413</v>
      </c>
      <c r="FI307" s="16">
        <v>56843</v>
      </c>
      <c r="FJ307" s="16">
        <v>38459</v>
      </c>
      <c r="FK307" s="16">
        <v>741</v>
      </c>
      <c r="FL307" s="16">
        <v>1436</v>
      </c>
      <c r="FM307" s="16">
        <v>6414</v>
      </c>
      <c r="FN307" s="16">
        <v>16029</v>
      </c>
      <c r="FO307" s="16">
        <v>2896</v>
      </c>
      <c r="FP307" s="16">
        <v>8316</v>
      </c>
      <c r="FQ307" s="16">
        <v>14216</v>
      </c>
      <c r="FR307" s="16">
        <v>21387</v>
      </c>
      <c r="FS307" s="16">
        <v>2802</v>
      </c>
      <c r="FT307" s="16">
        <v>2374</v>
      </c>
      <c r="FU307" s="16">
        <v>17979</v>
      </c>
      <c r="FV307" s="16">
        <v>13168</v>
      </c>
      <c r="FW307" s="16">
        <v>2984</v>
      </c>
      <c r="FX307" s="16">
        <v>14323</v>
      </c>
      <c r="FY307" s="16">
        <v>2947</v>
      </c>
      <c r="FZ307" s="16">
        <v>5869</v>
      </c>
      <c r="GA307" s="16">
        <v>5820</v>
      </c>
      <c r="GB307" s="16">
        <v>18575</v>
      </c>
      <c r="GC307" s="16">
        <v>4110</v>
      </c>
      <c r="GD307" s="16">
        <v>8404</v>
      </c>
      <c r="GE307" s="16">
        <v>4500</v>
      </c>
      <c r="GF307" s="16">
        <v>20949</v>
      </c>
      <c r="GG307" s="16">
        <v>3968</v>
      </c>
      <c r="GH307" s="16">
        <v>1996</v>
      </c>
      <c r="GI307" s="16">
        <v>5557</v>
      </c>
      <c r="GJ307" s="16">
        <v>4168</v>
      </c>
      <c r="GK307" s="16">
        <v>3198</v>
      </c>
      <c r="GL307" s="16">
        <v>1412</v>
      </c>
      <c r="GM307" s="16">
        <v>89</v>
      </c>
      <c r="GN307" s="16">
        <v>6307</v>
      </c>
      <c r="GO307" s="16">
        <v>4015</v>
      </c>
      <c r="GP307" s="16">
        <v>10512</v>
      </c>
      <c r="GQ307" s="16">
        <v>3316</v>
      </c>
      <c r="GR307" s="16">
        <v>743</v>
      </c>
      <c r="GS307" s="16">
        <v>1298</v>
      </c>
      <c r="GT307" s="16">
        <v>1602</v>
      </c>
      <c r="GU307" s="16">
        <v>8556</v>
      </c>
      <c r="GV307" s="16">
        <v>4224</v>
      </c>
      <c r="GW307" s="16">
        <v>572</v>
      </c>
      <c r="GX307" s="16">
        <v>8095</v>
      </c>
      <c r="GY307" s="16">
        <v>25</v>
      </c>
      <c r="GZ307" s="16">
        <v>16905</v>
      </c>
      <c r="HA307" s="16">
        <v>42672</v>
      </c>
      <c r="HB307" s="16">
        <v>6362</v>
      </c>
      <c r="HC307" s="16">
        <v>9887</v>
      </c>
      <c r="HD307" s="16">
        <v>2649</v>
      </c>
      <c r="HE307" s="16">
        <v>27003</v>
      </c>
      <c r="HF307" s="16">
        <v>11721</v>
      </c>
      <c r="HG307" s="16">
        <v>2518</v>
      </c>
      <c r="HH307" s="16">
        <v>2902</v>
      </c>
      <c r="HI307" s="16">
        <v>5629</v>
      </c>
      <c r="HJ307" s="16">
        <v>1631</v>
      </c>
      <c r="HK307" s="16">
        <v>4390</v>
      </c>
      <c r="HL307" s="16">
        <v>11368</v>
      </c>
      <c r="HM307" s="16">
        <v>3194</v>
      </c>
      <c r="HN307" s="16">
        <v>8959</v>
      </c>
      <c r="HO307" s="16">
        <v>5003</v>
      </c>
      <c r="HP307" s="16">
        <v>6730</v>
      </c>
      <c r="HQ307" s="16">
        <v>7425</v>
      </c>
      <c r="HR307" s="16">
        <v>7240</v>
      </c>
      <c r="HS307" s="16">
        <v>5259</v>
      </c>
      <c r="HT307" s="16">
        <v>7331</v>
      </c>
      <c r="HU307" s="16">
        <v>10386</v>
      </c>
      <c r="HV307" s="16">
        <v>8133</v>
      </c>
      <c r="HW307" s="16">
        <v>8859</v>
      </c>
      <c r="HX307" s="16">
        <v>11499</v>
      </c>
      <c r="HY307" s="16">
        <v>10707</v>
      </c>
      <c r="HZ307" s="16">
        <v>11898</v>
      </c>
      <c r="IA307" s="16">
        <v>4030</v>
      </c>
      <c r="IB307" s="16">
        <v>557</v>
      </c>
      <c r="IC307" s="16">
        <v>991</v>
      </c>
      <c r="ID307" s="16">
        <v>1015</v>
      </c>
      <c r="IE307" s="16">
        <v>1458</v>
      </c>
      <c r="IF307" s="16">
        <v>2923</v>
      </c>
      <c r="IG307" s="16">
        <v>5769</v>
      </c>
      <c r="IH307" s="16">
        <v>85635</v>
      </c>
      <c r="II307" s="16">
        <v>9251</v>
      </c>
      <c r="IJ307" s="16">
        <v>484</v>
      </c>
      <c r="IK307" s="16">
        <v>703</v>
      </c>
      <c r="IL307" s="16">
        <v>706</v>
      </c>
      <c r="IM307" s="16">
        <v>5128</v>
      </c>
      <c r="IN307" s="16">
        <v>39430</v>
      </c>
      <c r="IO307" s="16">
        <v>94321</v>
      </c>
      <c r="IP307" s="16">
        <v>15223</v>
      </c>
      <c r="IQ307" s="16">
        <v>617</v>
      </c>
      <c r="IR307" s="16">
        <v>3670</v>
      </c>
      <c r="IS307" s="16">
        <v>1397</v>
      </c>
      <c r="IT307" s="16">
        <v>989</v>
      </c>
      <c r="IU307" s="16">
        <v>93</v>
      </c>
      <c r="IV307" s="16">
        <v>1432</v>
      </c>
      <c r="IW307" s="16">
        <v>1975</v>
      </c>
      <c r="IX307" s="16">
        <v>3480</v>
      </c>
      <c r="IY307" s="16">
        <v>10370</v>
      </c>
      <c r="IZ307" s="16">
        <v>693</v>
      </c>
      <c r="JA307" s="16">
        <v>1952</v>
      </c>
      <c r="JB307" s="16">
        <v>139</v>
      </c>
      <c r="JC307" s="16">
        <v>1258</v>
      </c>
      <c r="JD307" s="16">
        <v>332</v>
      </c>
      <c r="JE307" s="16">
        <v>6131</v>
      </c>
      <c r="JF307" s="16">
        <v>1775</v>
      </c>
      <c r="JG307" s="16">
        <v>8676</v>
      </c>
      <c r="JH307" s="16">
        <v>1397</v>
      </c>
      <c r="JI307" s="16">
        <v>3</v>
      </c>
      <c r="JJ307" s="16">
        <v>21631</v>
      </c>
      <c r="JK307" s="16">
        <v>34</v>
      </c>
      <c r="JL307" s="16">
        <v>446</v>
      </c>
      <c r="JM307" s="16">
        <v>9</v>
      </c>
      <c r="JN307" s="16">
        <v>141</v>
      </c>
      <c r="JO307" s="16">
        <v>45</v>
      </c>
      <c r="JP307" s="16">
        <v>459</v>
      </c>
      <c r="JQ307" s="16">
        <v>42</v>
      </c>
      <c r="JR307" s="16">
        <v>120</v>
      </c>
      <c r="JS307" s="16">
        <v>978</v>
      </c>
      <c r="JT307" s="16">
        <v>0</v>
      </c>
      <c r="JU307" s="16">
        <v>3279</v>
      </c>
      <c r="JV307" s="16">
        <v>3651</v>
      </c>
      <c r="JW307" s="16">
        <v>15118</v>
      </c>
      <c r="JX307" s="16">
        <v>6311</v>
      </c>
      <c r="JY307" s="16">
        <v>3975</v>
      </c>
      <c r="JZ307" s="16">
        <v>849</v>
      </c>
      <c r="KA307" s="16">
        <v>17540</v>
      </c>
      <c r="KB307" s="16">
        <v>1523</v>
      </c>
      <c r="KC307" s="16">
        <v>975</v>
      </c>
      <c r="KD307" s="16">
        <v>7220</v>
      </c>
      <c r="KE307" s="16">
        <v>735</v>
      </c>
      <c r="KF307" s="16">
        <v>2607</v>
      </c>
      <c r="KG307" s="16">
        <v>1058</v>
      </c>
      <c r="KH307" s="16">
        <v>4941</v>
      </c>
      <c r="KI307" s="16">
        <v>290</v>
      </c>
      <c r="KJ307" s="16">
        <v>1996</v>
      </c>
      <c r="KK307" s="16">
        <v>729788</v>
      </c>
      <c r="KL307" s="16">
        <v>339</v>
      </c>
      <c r="KM307" s="16">
        <v>4796</v>
      </c>
      <c r="KN307" s="16">
        <v>72532</v>
      </c>
      <c r="KO307" s="16">
        <v>42604</v>
      </c>
      <c r="KP307" s="16">
        <v>3674023</v>
      </c>
      <c r="KQ307" s="16">
        <v>598834</v>
      </c>
      <c r="KR307" s="16">
        <v>83</v>
      </c>
      <c r="KS307" s="16">
        <v>4680</v>
      </c>
      <c r="KT307" s="16">
        <v>172</v>
      </c>
      <c r="KU307" s="16">
        <v>11608</v>
      </c>
      <c r="KV307" s="16">
        <v>56192</v>
      </c>
      <c r="KW307" s="16">
        <v>24857</v>
      </c>
      <c r="KX307" s="16">
        <v>10</v>
      </c>
      <c r="KY307" s="16">
        <v>5711</v>
      </c>
      <c r="KZ307" s="16">
        <v>12512</v>
      </c>
      <c r="LA307" s="16">
        <v>1569</v>
      </c>
      <c r="LB307" s="16">
        <v>668</v>
      </c>
      <c r="LC307" s="16">
        <v>1293</v>
      </c>
      <c r="LD307" s="16">
        <v>444</v>
      </c>
      <c r="LE307" s="16">
        <v>18</v>
      </c>
      <c r="LF307" s="16">
        <v>240</v>
      </c>
      <c r="LG307" s="16">
        <v>44</v>
      </c>
      <c r="LH307" s="16">
        <v>85</v>
      </c>
      <c r="LI307" s="16">
        <v>181</v>
      </c>
      <c r="LJ307" s="16">
        <v>2602</v>
      </c>
      <c r="LK307" s="16">
        <v>313</v>
      </c>
      <c r="LL307" s="16">
        <v>688</v>
      </c>
      <c r="LM307" s="16">
        <v>381</v>
      </c>
      <c r="LN307" s="16">
        <v>903</v>
      </c>
      <c r="LO307" s="16">
        <v>1004</v>
      </c>
      <c r="LP307" s="16">
        <v>899</v>
      </c>
      <c r="LQ307" s="16">
        <v>16</v>
      </c>
      <c r="LR307" s="16">
        <v>32</v>
      </c>
      <c r="LS307" s="16">
        <v>15</v>
      </c>
      <c r="LT307" s="16">
        <v>27</v>
      </c>
      <c r="LU307" s="16">
        <v>78</v>
      </c>
      <c r="LV307" s="16">
        <v>0</v>
      </c>
      <c r="LW307" s="16">
        <v>12</v>
      </c>
      <c r="LX307" s="16">
        <v>1694</v>
      </c>
      <c r="LY307" s="16">
        <v>23</v>
      </c>
      <c r="LZ307" s="16">
        <v>16531</v>
      </c>
      <c r="MA307" s="16">
        <v>323</v>
      </c>
      <c r="MB307" s="16">
        <v>875</v>
      </c>
      <c r="MC307" s="16">
        <v>48</v>
      </c>
      <c r="MD307" s="16">
        <v>383</v>
      </c>
      <c r="ME307" s="16">
        <v>137</v>
      </c>
      <c r="MF307" s="16">
        <v>4898</v>
      </c>
      <c r="MG307" s="16">
        <v>9705</v>
      </c>
      <c r="MH307" s="16">
        <v>5375</v>
      </c>
      <c r="MI307" s="16">
        <v>3803</v>
      </c>
      <c r="MJ307" s="16">
        <v>1126</v>
      </c>
      <c r="MK307" s="16">
        <v>216</v>
      </c>
      <c r="ML307" s="16">
        <v>1427</v>
      </c>
      <c r="MM307" s="16">
        <v>1016</v>
      </c>
      <c r="MN307" s="16">
        <v>2479</v>
      </c>
      <c r="MO307" s="16">
        <v>1024</v>
      </c>
      <c r="MP307" s="16">
        <v>3900</v>
      </c>
      <c r="MQ307" s="16">
        <v>2880</v>
      </c>
      <c r="MR307" s="16">
        <v>1610</v>
      </c>
      <c r="MS307" s="16">
        <v>257</v>
      </c>
      <c r="MT307" s="16">
        <v>17</v>
      </c>
      <c r="MU307" s="16">
        <v>304</v>
      </c>
      <c r="MV307" s="16">
        <v>900</v>
      </c>
      <c r="MW307" s="16">
        <v>3972</v>
      </c>
      <c r="MX307" s="16">
        <v>23</v>
      </c>
      <c r="MY307" s="16">
        <v>3163</v>
      </c>
      <c r="MZ307" s="16">
        <v>3062</v>
      </c>
      <c r="NA307" s="16">
        <v>32</v>
      </c>
      <c r="NB307" s="16">
        <v>537</v>
      </c>
      <c r="NC307" s="16">
        <v>1717</v>
      </c>
      <c r="ND307" s="16">
        <v>35</v>
      </c>
      <c r="NE307" s="16">
        <v>51</v>
      </c>
      <c r="NF307" s="16">
        <v>150</v>
      </c>
      <c r="NG307" s="16">
        <v>394</v>
      </c>
      <c r="NH307" s="16">
        <v>385</v>
      </c>
      <c r="NI307" s="16">
        <v>115</v>
      </c>
      <c r="NJ307" s="16">
        <v>244</v>
      </c>
      <c r="NK307" s="16">
        <v>1834</v>
      </c>
      <c r="NL307" s="16">
        <v>1669</v>
      </c>
      <c r="NM307" s="16">
        <v>606</v>
      </c>
      <c r="NN307" s="16">
        <v>68</v>
      </c>
      <c r="NO307" s="16">
        <v>0</v>
      </c>
      <c r="NP307" s="16">
        <v>995</v>
      </c>
      <c r="NQ307" s="16">
        <v>41</v>
      </c>
      <c r="NR307" s="17">
        <v>7848128</v>
      </c>
    </row>
    <row r="308" spans="1:382" ht="13.5" customHeight="1" x14ac:dyDescent="0.2">
      <c r="A308" s="2" t="s">
        <v>623</v>
      </c>
      <c r="B308" s="16">
        <v>10243</v>
      </c>
      <c r="C308" s="16">
        <v>1274</v>
      </c>
      <c r="D308" s="16">
        <v>1502</v>
      </c>
      <c r="E308" s="16">
        <v>4643</v>
      </c>
      <c r="F308" s="16">
        <v>23982</v>
      </c>
      <c r="G308" s="16">
        <v>59252</v>
      </c>
      <c r="H308" s="16">
        <v>1259</v>
      </c>
      <c r="I308" s="16">
        <v>2786</v>
      </c>
      <c r="J308" s="16">
        <v>118</v>
      </c>
      <c r="K308" s="16">
        <v>0</v>
      </c>
      <c r="L308" s="16">
        <v>5079</v>
      </c>
      <c r="M308" s="16">
        <v>453</v>
      </c>
      <c r="N308" s="16">
        <v>23</v>
      </c>
      <c r="O308" s="16">
        <v>6776</v>
      </c>
      <c r="P308" s="16">
        <v>24224</v>
      </c>
      <c r="Q308" s="16">
        <v>33881</v>
      </c>
      <c r="R308" s="16">
        <v>12701</v>
      </c>
      <c r="S308" s="16">
        <v>3441</v>
      </c>
      <c r="T308" s="16">
        <v>485</v>
      </c>
      <c r="U308" s="16">
        <v>996</v>
      </c>
      <c r="V308" s="16">
        <v>189</v>
      </c>
      <c r="W308" s="16">
        <v>106</v>
      </c>
      <c r="X308" s="16">
        <v>202921</v>
      </c>
      <c r="Y308" s="16">
        <v>13425</v>
      </c>
      <c r="Z308" s="16">
        <v>8064</v>
      </c>
      <c r="AA308" s="16">
        <v>3702</v>
      </c>
      <c r="AB308" s="16">
        <v>0</v>
      </c>
      <c r="AC308" s="16">
        <v>0</v>
      </c>
      <c r="AD308" s="16">
        <v>0</v>
      </c>
      <c r="AE308" s="16">
        <v>2879</v>
      </c>
      <c r="AF308" s="16">
        <v>178</v>
      </c>
      <c r="AG308" s="16">
        <v>33893</v>
      </c>
      <c r="AH308" s="16">
        <v>21962</v>
      </c>
      <c r="AI308" s="16">
        <v>3517</v>
      </c>
      <c r="AJ308" s="16">
        <v>107149</v>
      </c>
      <c r="AK308" s="16">
        <v>80788</v>
      </c>
      <c r="AL308" s="16">
        <v>40712</v>
      </c>
      <c r="AM308" s="16">
        <v>123943</v>
      </c>
      <c r="AN308" s="16">
        <v>200220</v>
      </c>
      <c r="AO308" s="16">
        <v>259520</v>
      </c>
      <c r="AP308" s="16">
        <v>103797</v>
      </c>
      <c r="AQ308" s="16">
        <v>10317</v>
      </c>
      <c r="AR308" s="16">
        <v>0</v>
      </c>
      <c r="AS308" s="16">
        <v>5006</v>
      </c>
      <c r="AT308" s="16">
        <v>14375</v>
      </c>
      <c r="AU308" s="16">
        <v>86955</v>
      </c>
      <c r="AV308" s="16">
        <v>16562</v>
      </c>
      <c r="AW308" s="16">
        <v>61319</v>
      </c>
      <c r="AX308" s="16">
        <v>16267</v>
      </c>
      <c r="AY308" s="16">
        <v>136159</v>
      </c>
      <c r="AZ308" s="16">
        <v>15768</v>
      </c>
      <c r="BA308" s="16">
        <v>11594</v>
      </c>
      <c r="BB308" s="16">
        <v>163574</v>
      </c>
      <c r="BC308" s="16">
        <v>150432</v>
      </c>
      <c r="BD308" s="16">
        <v>900</v>
      </c>
      <c r="BE308" s="16">
        <v>5736</v>
      </c>
      <c r="BF308" s="16">
        <v>17182</v>
      </c>
      <c r="BG308" s="16">
        <v>6972</v>
      </c>
      <c r="BH308" s="16">
        <v>33204</v>
      </c>
      <c r="BI308" s="16">
        <v>2503</v>
      </c>
      <c r="BJ308" s="16">
        <v>6315</v>
      </c>
      <c r="BK308" s="16">
        <v>1615</v>
      </c>
      <c r="BL308" s="16">
        <v>9706</v>
      </c>
      <c r="BM308" s="16">
        <v>3241</v>
      </c>
      <c r="BN308" s="16">
        <v>2258</v>
      </c>
      <c r="BO308" s="16">
        <v>8137</v>
      </c>
      <c r="BP308" s="16">
        <v>27620</v>
      </c>
      <c r="BQ308" s="16">
        <v>8884</v>
      </c>
      <c r="BR308" s="16">
        <v>8814</v>
      </c>
      <c r="BS308" s="16">
        <v>265488</v>
      </c>
      <c r="BT308" s="16">
        <v>7242</v>
      </c>
      <c r="BU308" s="16">
        <v>481</v>
      </c>
      <c r="BV308" s="16">
        <v>260</v>
      </c>
      <c r="BW308" s="16">
        <v>3698</v>
      </c>
      <c r="BX308" s="16">
        <v>3874</v>
      </c>
      <c r="BY308" s="16">
        <v>26</v>
      </c>
      <c r="BZ308" s="16">
        <v>26123</v>
      </c>
      <c r="CA308" s="16">
        <v>6264</v>
      </c>
      <c r="CB308" s="16">
        <v>716</v>
      </c>
      <c r="CC308" s="16">
        <v>35282</v>
      </c>
      <c r="CD308" s="16">
        <v>2918</v>
      </c>
      <c r="CE308" s="16">
        <v>6068</v>
      </c>
      <c r="CF308" s="16">
        <v>4194</v>
      </c>
      <c r="CG308" s="16">
        <v>7220</v>
      </c>
      <c r="CH308" s="16">
        <v>1133</v>
      </c>
      <c r="CI308" s="16">
        <v>114</v>
      </c>
      <c r="CJ308" s="16">
        <v>14061</v>
      </c>
      <c r="CK308" s="16">
        <v>26068</v>
      </c>
      <c r="CL308" s="16">
        <v>43579</v>
      </c>
      <c r="CM308" s="16">
        <v>13444</v>
      </c>
      <c r="CN308" s="16">
        <v>2276</v>
      </c>
      <c r="CO308" s="16">
        <v>13451</v>
      </c>
      <c r="CP308" s="16">
        <v>12391</v>
      </c>
      <c r="CQ308" s="16">
        <v>53577</v>
      </c>
      <c r="CR308" s="16">
        <v>1965</v>
      </c>
      <c r="CS308" s="16">
        <v>21260</v>
      </c>
      <c r="CT308" s="16">
        <v>21572</v>
      </c>
      <c r="CU308" s="16">
        <v>18698</v>
      </c>
      <c r="CV308" s="16">
        <v>7797</v>
      </c>
      <c r="CW308" s="16">
        <v>53636</v>
      </c>
      <c r="CX308" s="16">
        <v>14572</v>
      </c>
      <c r="CY308" s="16">
        <v>7066</v>
      </c>
      <c r="CZ308" s="16">
        <v>12465</v>
      </c>
      <c r="DA308" s="16">
        <v>21460</v>
      </c>
      <c r="DB308" s="16">
        <v>16444</v>
      </c>
      <c r="DC308" s="16">
        <v>164801</v>
      </c>
      <c r="DD308" s="16">
        <v>244094</v>
      </c>
      <c r="DE308" s="16">
        <v>99259</v>
      </c>
      <c r="DF308" s="16">
        <v>94934</v>
      </c>
      <c r="DG308" s="16">
        <v>24952</v>
      </c>
      <c r="DH308" s="16">
        <v>35909</v>
      </c>
      <c r="DI308" s="16">
        <v>13296</v>
      </c>
      <c r="DJ308" s="16">
        <v>363889</v>
      </c>
      <c r="DK308" s="16">
        <v>31153</v>
      </c>
      <c r="DL308" s="16">
        <v>48329</v>
      </c>
      <c r="DM308" s="16">
        <v>56245</v>
      </c>
      <c r="DN308" s="16">
        <v>22165</v>
      </c>
      <c r="DO308" s="16">
        <v>11074</v>
      </c>
      <c r="DP308" s="16">
        <v>43121</v>
      </c>
      <c r="DQ308" s="16">
        <v>2332</v>
      </c>
      <c r="DR308" s="16">
        <v>27057</v>
      </c>
      <c r="DS308" s="16">
        <v>22324</v>
      </c>
      <c r="DT308" s="16">
        <v>15486</v>
      </c>
      <c r="DU308" s="16">
        <v>3307</v>
      </c>
      <c r="DV308" s="16">
        <v>106873</v>
      </c>
      <c r="DW308" s="16">
        <v>52138</v>
      </c>
      <c r="DX308" s="16">
        <v>21867</v>
      </c>
      <c r="DY308" s="16">
        <v>34512</v>
      </c>
      <c r="DZ308" s="16">
        <v>69225</v>
      </c>
      <c r="EA308" s="16">
        <v>51723</v>
      </c>
      <c r="EB308" s="16">
        <v>81800</v>
      </c>
      <c r="EC308" s="16">
        <v>40917</v>
      </c>
      <c r="ED308" s="16">
        <v>4479</v>
      </c>
      <c r="EE308" s="16">
        <v>1501</v>
      </c>
      <c r="EF308" s="16">
        <v>21794</v>
      </c>
      <c r="EG308" s="16">
        <v>17675</v>
      </c>
      <c r="EH308" s="16">
        <v>2909</v>
      </c>
      <c r="EI308" s="16">
        <v>899</v>
      </c>
      <c r="EJ308" s="16">
        <v>1667</v>
      </c>
      <c r="EK308" s="16">
        <v>4505</v>
      </c>
      <c r="EL308" s="16">
        <v>1274</v>
      </c>
      <c r="EM308" s="16">
        <v>42661</v>
      </c>
      <c r="EN308" s="16">
        <v>94747</v>
      </c>
      <c r="EO308" s="16">
        <v>57812</v>
      </c>
      <c r="EP308" s="16">
        <v>8932</v>
      </c>
      <c r="EQ308" s="16">
        <v>7256</v>
      </c>
      <c r="ER308" s="16">
        <v>986</v>
      </c>
      <c r="ES308" s="16">
        <v>22024</v>
      </c>
      <c r="ET308" s="16">
        <v>26807</v>
      </c>
      <c r="EU308" s="16">
        <v>329</v>
      </c>
      <c r="EV308" s="16">
        <v>2117</v>
      </c>
      <c r="EW308" s="16">
        <v>1085</v>
      </c>
      <c r="EX308" s="16">
        <v>44322</v>
      </c>
      <c r="EY308" s="16">
        <v>20051</v>
      </c>
      <c r="EZ308" s="16">
        <v>4830</v>
      </c>
      <c r="FA308" s="16">
        <v>8915</v>
      </c>
      <c r="FB308" s="16">
        <v>21225</v>
      </c>
      <c r="FC308" s="16">
        <v>3918</v>
      </c>
      <c r="FD308" s="16">
        <v>34319</v>
      </c>
      <c r="FE308" s="16">
        <v>17409</v>
      </c>
      <c r="FF308" s="16">
        <v>36132</v>
      </c>
      <c r="FG308" s="16">
        <v>19364</v>
      </c>
      <c r="FH308" s="16">
        <v>1191</v>
      </c>
      <c r="FI308" s="16">
        <v>13986</v>
      </c>
      <c r="FJ308" s="16">
        <v>5414</v>
      </c>
      <c r="FK308" s="16">
        <v>1822</v>
      </c>
      <c r="FL308" s="16">
        <v>682</v>
      </c>
      <c r="FM308" s="16">
        <v>15272</v>
      </c>
      <c r="FN308" s="16">
        <v>19628</v>
      </c>
      <c r="FO308" s="16">
        <v>7859</v>
      </c>
      <c r="FP308" s="16">
        <v>21306</v>
      </c>
      <c r="FQ308" s="16">
        <v>30316</v>
      </c>
      <c r="FR308" s="16">
        <v>56400</v>
      </c>
      <c r="FS308" s="16">
        <v>18551</v>
      </c>
      <c r="FT308" s="16">
        <v>18968</v>
      </c>
      <c r="FU308" s="16">
        <v>11437</v>
      </c>
      <c r="FV308" s="16">
        <v>23042</v>
      </c>
      <c r="FW308" s="16">
        <v>88654</v>
      </c>
      <c r="FX308" s="16">
        <v>44337</v>
      </c>
      <c r="FY308" s="16">
        <v>5538</v>
      </c>
      <c r="FZ308" s="16">
        <v>10657</v>
      </c>
      <c r="GA308" s="16">
        <v>6439</v>
      </c>
      <c r="GB308" s="16">
        <v>27964</v>
      </c>
      <c r="GC308" s="16">
        <v>34519</v>
      </c>
      <c r="GD308" s="16">
        <v>37250</v>
      </c>
      <c r="GE308" s="16">
        <v>11839</v>
      </c>
      <c r="GF308" s="16">
        <v>13211</v>
      </c>
      <c r="GG308" s="16">
        <v>20575</v>
      </c>
      <c r="GH308" s="16">
        <v>24242</v>
      </c>
      <c r="GI308" s="16">
        <v>13902</v>
      </c>
      <c r="GJ308" s="16">
        <v>8241</v>
      </c>
      <c r="GK308" s="16">
        <v>12049</v>
      </c>
      <c r="GL308" s="16">
        <v>1039</v>
      </c>
      <c r="GM308" s="16">
        <v>12793</v>
      </c>
      <c r="GN308" s="16">
        <v>2026</v>
      </c>
      <c r="GO308" s="16">
        <v>4726</v>
      </c>
      <c r="GP308" s="16">
        <v>73116</v>
      </c>
      <c r="GQ308" s="16">
        <v>15502</v>
      </c>
      <c r="GR308" s="16">
        <v>4262</v>
      </c>
      <c r="GS308" s="16">
        <v>2230</v>
      </c>
      <c r="GT308" s="16">
        <v>3564</v>
      </c>
      <c r="GU308" s="16">
        <v>26325</v>
      </c>
      <c r="GV308" s="16">
        <v>4671</v>
      </c>
      <c r="GW308" s="16">
        <v>4366</v>
      </c>
      <c r="GX308" s="16">
        <v>8168</v>
      </c>
      <c r="GY308" s="16">
        <v>87</v>
      </c>
      <c r="GZ308" s="16">
        <v>25248</v>
      </c>
      <c r="HA308" s="16">
        <v>3278</v>
      </c>
      <c r="HB308" s="16">
        <v>9152</v>
      </c>
      <c r="HC308" s="16">
        <v>11429</v>
      </c>
      <c r="HD308" s="16">
        <v>11179</v>
      </c>
      <c r="HE308" s="16">
        <v>18770</v>
      </c>
      <c r="HF308" s="16">
        <v>16039</v>
      </c>
      <c r="HG308" s="16">
        <v>29333</v>
      </c>
      <c r="HH308" s="16">
        <v>15904</v>
      </c>
      <c r="HI308" s="16">
        <v>17778</v>
      </c>
      <c r="HJ308" s="16">
        <v>1552</v>
      </c>
      <c r="HK308" s="16">
        <v>23600</v>
      </c>
      <c r="HL308" s="16">
        <v>38618</v>
      </c>
      <c r="HM308" s="16">
        <v>12077</v>
      </c>
      <c r="HN308" s="16">
        <v>14172</v>
      </c>
      <c r="HO308" s="16">
        <v>9143</v>
      </c>
      <c r="HP308" s="16">
        <v>5599</v>
      </c>
      <c r="HQ308" s="16">
        <v>33727</v>
      </c>
      <c r="HR308" s="16">
        <v>31850</v>
      </c>
      <c r="HS308" s="16">
        <v>7412</v>
      </c>
      <c r="HT308" s="16">
        <v>1525</v>
      </c>
      <c r="HU308" s="16">
        <v>26170</v>
      </c>
      <c r="HV308" s="16">
        <v>12422</v>
      </c>
      <c r="HW308" s="16">
        <v>42383</v>
      </c>
      <c r="HX308" s="16">
        <v>7545</v>
      </c>
      <c r="HY308" s="16">
        <v>48732</v>
      </c>
      <c r="HZ308" s="16">
        <v>28751</v>
      </c>
      <c r="IA308" s="16">
        <v>12334</v>
      </c>
      <c r="IB308" s="16">
        <v>948</v>
      </c>
      <c r="IC308" s="16">
        <v>1250</v>
      </c>
      <c r="ID308" s="16">
        <v>2636</v>
      </c>
      <c r="IE308" s="16">
        <v>1473</v>
      </c>
      <c r="IF308" s="16">
        <v>10259</v>
      </c>
      <c r="IG308" s="16">
        <v>27955</v>
      </c>
      <c r="IH308" s="16">
        <v>189703</v>
      </c>
      <c r="II308" s="16">
        <v>26885</v>
      </c>
      <c r="IJ308" s="16">
        <v>18697</v>
      </c>
      <c r="IK308" s="16">
        <v>23617</v>
      </c>
      <c r="IL308" s="16">
        <v>9707</v>
      </c>
      <c r="IM308" s="16">
        <v>1188</v>
      </c>
      <c r="IN308" s="16">
        <v>21839</v>
      </c>
      <c r="IO308" s="16">
        <v>147151</v>
      </c>
      <c r="IP308" s="16">
        <v>25048</v>
      </c>
      <c r="IQ308" s="16">
        <v>5874</v>
      </c>
      <c r="IR308" s="16">
        <v>11789</v>
      </c>
      <c r="IS308" s="16">
        <v>4756</v>
      </c>
      <c r="IT308" s="16">
        <v>7619</v>
      </c>
      <c r="IU308" s="16">
        <v>2928</v>
      </c>
      <c r="IV308" s="16">
        <v>12123</v>
      </c>
      <c r="IW308" s="16">
        <v>26952</v>
      </c>
      <c r="IX308" s="16">
        <v>18876</v>
      </c>
      <c r="IY308" s="16">
        <v>8782</v>
      </c>
      <c r="IZ308" s="16">
        <v>1014</v>
      </c>
      <c r="JA308" s="16">
        <v>1586</v>
      </c>
      <c r="JB308" s="16">
        <v>102</v>
      </c>
      <c r="JC308" s="16">
        <v>1431</v>
      </c>
      <c r="JD308" s="16">
        <v>675</v>
      </c>
      <c r="JE308" s="16">
        <v>7903</v>
      </c>
      <c r="JF308" s="16">
        <v>6128</v>
      </c>
      <c r="JG308" s="16">
        <v>201916</v>
      </c>
      <c r="JH308" s="16">
        <v>19744</v>
      </c>
      <c r="JI308" s="16">
        <v>175</v>
      </c>
      <c r="JJ308" s="16">
        <v>8551</v>
      </c>
      <c r="JK308" s="16">
        <v>1144</v>
      </c>
      <c r="JL308" s="16">
        <v>3018</v>
      </c>
      <c r="JM308" s="16">
        <v>364</v>
      </c>
      <c r="JN308" s="16">
        <v>4656</v>
      </c>
      <c r="JO308" s="16">
        <v>9391</v>
      </c>
      <c r="JP308" s="16">
        <v>13438</v>
      </c>
      <c r="JQ308" s="16">
        <v>327</v>
      </c>
      <c r="JR308" s="16">
        <v>12999</v>
      </c>
      <c r="JS308" s="16">
        <v>7868</v>
      </c>
      <c r="JT308" s="16">
        <v>0</v>
      </c>
      <c r="JU308" s="16">
        <v>132675</v>
      </c>
      <c r="JV308" s="16">
        <v>37011</v>
      </c>
      <c r="JW308" s="16">
        <v>26206</v>
      </c>
      <c r="JX308" s="16">
        <v>17360</v>
      </c>
      <c r="JY308" s="16">
        <v>20182</v>
      </c>
      <c r="JZ308" s="16">
        <v>5791</v>
      </c>
      <c r="KA308" s="16">
        <v>54389</v>
      </c>
      <c r="KB308" s="16">
        <v>6095</v>
      </c>
      <c r="KC308" s="16">
        <v>5197</v>
      </c>
      <c r="KD308" s="16">
        <v>5007</v>
      </c>
      <c r="KE308" s="16">
        <v>3482</v>
      </c>
      <c r="KF308" s="16">
        <v>13299</v>
      </c>
      <c r="KG308" s="16">
        <v>7365</v>
      </c>
      <c r="KH308" s="16">
        <v>24299</v>
      </c>
      <c r="KI308" s="16">
        <v>13159</v>
      </c>
      <c r="KJ308" s="16">
        <v>16883</v>
      </c>
      <c r="KK308" s="16">
        <v>9223843</v>
      </c>
      <c r="KL308" s="16">
        <v>1409</v>
      </c>
      <c r="KM308" s="16">
        <v>25375</v>
      </c>
      <c r="KN308" s="16">
        <v>614122</v>
      </c>
      <c r="KO308" s="16">
        <v>1775</v>
      </c>
      <c r="KP308" s="16">
        <v>321844</v>
      </c>
      <c r="KQ308" s="16">
        <v>46128</v>
      </c>
      <c r="KR308" s="16">
        <v>4487</v>
      </c>
      <c r="KS308" s="16">
        <v>14441</v>
      </c>
      <c r="KT308" s="16">
        <v>1598</v>
      </c>
      <c r="KU308" s="16">
        <v>103176</v>
      </c>
      <c r="KV308" s="16">
        <v>42610</v>
      </c>
      <c r="KW308" s="16">
        <v>38597</v>
      </c>
      <c r="KX308" s="16">
        <v>1310</v>
      </c>
      <c r="KY308" s="16">
        <v>62963</v>
      </c>
      <c r="KZ308" s="16">
        <v>1009478</v>
      </c>
      <c r="LA308" s="16">
        <v>197355</v>
      </c>
      <c r="LB308" s="16">
        <v>193277</v>
      </c>
      <c r="LC308" s="16">
        <v>104046</v>
      </c>
      <c r="LD308" s="16">
        <v>13744</v>
      </c>
      <c r="LE308" s="16">
        <v>7704</v>
      </c>
      <c r="LF308" s="16">
        <v>2553</v>
      </c>
      <c r="LG308" s="16">
        <v>308</v>
      </c>
      <c r="LH308" s="16">
        <v>1249</v>
      </c>
      <c r="LI308" s="16">
        <v>161</v>
      </c>
      <c r="LJ308" s="16">
        <v>750</v>
      </c>
      <c r="LK308" s="16">
        <v>1374</v>
      </c>
      <c r="LL308" s="16">
        <v>1509</v>
      </c>
      <c r="LM308" s="16">
        <v>5849</v>
      </c>
      <c r="LN308" s="16">
        <v>8100</v>
      </c>
      <c r="LO308" s="16">
        <v>23210</v>
      </c>
      <c r="LP308" s="16">
        <v>5282</v>
      </c>
      <c r="LQ308" s="16">
        <v>714</v>
      </c>
      <c r="LR308" s="16">
        <v>12654</v>
      </c>
      <c r="LS308" s="16">
        <v>2678</v>
      </c>
      <c r="LT308" s="16">
        <v>4739</v>
      </c>
      <c r="LU308" s="16">
        <v>4154</v>
      </c>
      <c r="LV308" s="16">
        <v>132</v>
      </c>
      <c r="LW308" s="16">
        <v>1334</v>
      </c>
      <c r="LX308" s="16">
        <v>4236</v>
      </c>
      <c r="LY308" s="16">
        <v>174</v>
      </c>
      <c r="LZ308" s="16">
        <v>16921</v>
      </c>
      <c r="MA308" s="16">
        <v>1890</v>
      </c>
      <c r="MB308" s="16">
        <v>5320</v>
      </c>
      <c r="MC308" s="16">
        <v>3687</v>
      </c>
      <c r="MD308" s="16">
        <v>1763</v>
      </c>
      <c r="ME308" s="16">
        <v>831</v>
      </c>
      <c r="MF308" s="16">
        <v>40634</v>
      </c>
      <c r="MG308" s="16">
        <v>13926</v>
      </c>
      <c r="MH308" s="16">
        <v>118742</v>
      </c>
      <c r="MI308" s="16">
        <v>16435</v>
      </c>
      <c r="MJ308" s="16">
        <v>2322</v>
      </c>
      <c r="MK308" s="16">
        <v>5808</v>
      </c>
      <c r="ML308" s="16">
        <v>3042</v>
      </c>
      <c r="MM308" s="16">
        <v>15501</v>
      </c>
      <c r="MN308" s="16">
        <v>70234</v>
      </c>
      <c r="MO308" s="16">
        <v>19576</v>
      </c>
      <c r="MP308" s="16">
        <v>18915</v>
      </c>
      <c r="MQ308" s="16">
        <v>55730</v>
      </c>
      <c r="MR308" s="16">
        <v>401985</v>
      </c>
      <c r="MS308" s="16">
        <v>18240</v>
      </c>
      <c r="MT308" s="16">
        <v>821</v>
      </c>
      <c r="MU308" s="16">
        <v>39373</v>
      </c>
      <c r="MV308" s="16">
        <v>6180</v>
      </c>
      <c r="MW308" s="16">
        <v>22498</v>
      </c>
      <c r="MX308" s="16">
        <v>3134</v>
      </c>
      <c r="MY308" s="16">
        <v>32476</v>
      </c>
      <c r="MZ308" s="16">
        <v>25543</v>
      </c>
      <c r="NA308" s="16">
        <v>1495</v>
      </c>
      <c r="NB308" s="16">
        <v>69575</v>
      </c>
      <c r="NC308" s="16">
        <v>1878</v>
      </c>
      <c r="ND308" s="16">
        <v>6618</v>
      </c>
      <c r="NE308" s="16">
        <v>601</v>
      </c>
      <c r="NF308" s="16">
        <v>4684</v>
      </c>
      <c r="NG308" s="16">
        <v>8895</v>
      </c>
      <c r="NH308" s="16">
        <v>6082</v>
      </c>
      <c r="NI308" s="16">
        <v>9583</v>
      </c>
      <c r="NJ308" s="16">
        <v>32670</v>
      </c>
      <c r="NK308" s="16">
        <v>153588</v>
      </c>
      <c r="NL308" s="16">
        <v>15008</v>
      </c>
      <c r="NM308" s="16">
        <v>4269</v>
      </c>
      <c r="NN308" s="16">
        <v>2667</v>
      </c>
      <c r="NO308" s="16">
        <v>0</v>
      </c>
      <c r="NP308" s="16">
        <v>14017</v>
      </c>
      <c r="NQ308" s="16">
        <v>668</v>
      </c>
      <c r="NR308" s="17">
        <v>21280147</v>
      </c>
    </row>
    <row r="309" spans="1:382" ht="13.5" customHeight="1" x14ac:dyDescent="0.2">
      <c r="A309" s="2" t="s">
        <v>625</v>
      </c>
      <c r="B309" s="16">
        <v>22955</v>
      </c>
      <c r="C309" s="16">
        <v>2386</v>
      </c>
      <c r="D309" s="16">
        <v>2917</v>
      </c>
      <c r="E309" s="16">
        <v>10750</v>
      </c>
      <c r="F309" s="16">
        <v>7615</v>
      </c>
      <c r="G309" s="16">
        <v>2221</v>
      </c>
      <c r="H309" s="16">
        <v>510</v>
      </c>
      <c r="I309" s="16">
        <v>1185</v>
      </c>
      <c r="J309" s="16">
        <v>49</v>
      </c>
      <c r="K309" s="16">
        <v>0</v>
      </c>
      <c r="L309" s="16">
        <v>2469</v>
      </c>
      <c r="M309" s="16">
        <v>182</v>
      </c>
      <c r="N309" s="16">
        <v>4</v>
      </c>
      <c r="O309" s="16">
        <v>2792</v>
      </c>
      <c r="P309" s="16">
        <v>3695</v>
      </c>
      <c r="Q309" s="16">
        <v>84610</v>
      </c>
      <c r="R309" s="16">
        <v>32767</v>
      </c>
      <c r="S309" s="16">
        <v>2265</v>
      </c>
      <c r="T309" s="16">
        <v>1997</v>
      </c>
      <c r="U309" s="16">
        <v>14654</v>
      </c>
      <c r="V309" s="16">
        <v>7</v>
      </c>
      <c r="W309" s="16">
        <v>148</v>
      </c>
      <c r="X309" s="16">
        <v>298292</v>
      </c>
      <c r="Y309" s="16">
        <v>7190</v>
      </c>
      <c r="Z309" s="16">
        <v>3242</v>
      </c>
      <c r="AA309" s="16">
        <v>1529</v>
      </c>
      <c r="AB309" s="16">
        <v>0</v>
      </c>
      <c r="AC309" s="16">
        <v>0</v>
      </c>
      <c r="AD309" s="16">
        <v>0</v>
      </c>
      <c r="AE309" s="16">
        <v>8143</v>
      </c>
      <c r="AF309" s="16">
        <v>2925</v>
      </c>
      <c r="AG309" s="16">
        <v>156153</v>
      </c>
      <c r="AH309" s="16">
        <v>11013</v>
      </c>
      <c r="AI309" s="16">
        <v>4739</v>
      </c>
      <c r="AJ309" s="16">
        <v>41488</v>
      </c>
      <c r="AK309" s="16">
        <v>58351</v>
      </c>
      <c r="AL309" s="16">
        <v>59987</v>
      </c>
      <c r="AM309" s="16">
        <v>177574</v>
      </c>
      <c r="AN309" s="16">
        <v>91310</v>
      </c>
      <c r="AO309" s="16">
        <v>36067</v>
      </c>
      <c r="AP309" s="16">
        <v>135</v>
      </c>
      <c r="AQ309" s="16">
        <v>17218</v>
      </c>
      <c r="AR309" s="16">
        <v>0</v>
      </c>
      <c r="AS309" s="16">
        <v>14</v>
      </c>
      <c r="AT309" s="16">
        <v>5557</v>
      </c>
      <c r="AU309" s="16">
        <v>175153</v>
      </c>
      <c r="AV309" s="16">
        <v>38656</v>
      </c>
      <c r="AW309" s="16">
        <v>24072</v>
      </c>
      <c r="AX309" s="16">
        <v>27782</v>
      </c>
      <c r="AY309" s="16">
        <v>51722</v>
      </c>
      <c r="AZ309" s="16">
        <v>7348</v>
      </c>
      <c r="BA309" s="16">
        <v>64887</v>
      </c>
      <c r="BB309" s="16">
        <v>44160</v>
      </c>
      <c r="BC309" s="16">
        <v>6030</v>
      </c>
      <c r="BD309" s="16">
        <v>112</v>
      </c>
      <c r="BE309" s="16">
        <v>27743</v>
      </c>
      <c r="BF309" s="16">
        <v>0</v>
      </c>
      <c r="BG309" s="16">
        <v>51508</v>
      </c>
      <c r="BH309" s="16">
        <v>254369</v>
      </c>
      <c r="BI309" s="16">
        <v>19006</v>
      </c>
      <c r="BJ309" s="16">
        <v>4371</v>
      </c>
      <c r="BK309" s="16">
        <v>937</v>
      </c>
      <c r="BL309" s="16">
        <v>18822</v>
      </c>
      <c r="BM309" s="16">
        <v>7620</v>
      </c>
      <c r="BN309" s="16">
        <v>34805</v>
      </c>
      <c r="BO309" s="16">
        <v>23887</v>
      </c>
      <c r="BP309" s="16">
        <v>99026</v>
      </c>
      <c r="BQ309" s="16">
        <v>29782</v>
      </c>
      <c r="BR309" s="16">
        <v>87073</v>
      </c>
      <c r="BS309" s="16">
        <v>144080</v>
      </c>
      <c r="BT309" s="16">
        <v>65642</v>
      </c>
      <c r="BU309" s="16">
        <v>236</v>
      </c>
      <c r="BV309" s="16">
        <v>387</v>
      </c>
      <c r="BW309" s="16">
        <v>20009</v>
      </c>
      <c r="BX309" s="16">
        <v>6594</v>
      </c>
      <c r="BY309" s="16">
        <v>416</v>
      </c>
      <c r="BZ309" s="16">
        <v>7983</v>
      </c>
      <c r="CA309" s="16">
        <v>59258</v>
      </c>
      <c r="CB309" s="16">
        <v>1309</v>
      </c>
      <c r="CC309" s="16">
        <v>2181</v>
      </c>
      <c r="CD309" s="16">
        <v>507</v>
      </c>
      <c r="CE309" s="16">
        <v>14997</v>
      </c>
      <c r="CF309" s="16">
        <v>26009</v>
      </c>
      <c r="CG309" s="16">
        <v>9873</v>
      </c>
      <c r="CH309" s="16">
        <v>2940</v>
      </c>
      <c r="CI309" s="16">
        <v>7159</v>
      </c>
      <c r="CJ309" s="16">
        <v>7538</v>
      </c>
      <c r="CK309" s="16">
        <v>31494</v>
      </c>
      <c r="CL309" s="16">
        <v>426</v>
      </c>
      <c r="CM309" s="16">
        <v>2068</v>
      </c>
      <c r="CN309" s="16">
        <v>1743</v>
      </c>
      <c r="CO309" s="16">
        <v>11833</v>
      </c>
      <c r="CP309" s="16">
        <v>2051</v>
      </c>
      <c r="CQ309" s="16">
        <v>6345</v>
      </c>
      <c r="CR309" s="16">
        <v>1563</v>
      </c>
      <c r="CS309" s="16">
        <v>25053</v>
      </c>
      <c r="CT309" s="16">
        <v>13631</v>
      </c>
      <c r="CU309" s="16">
        <v>23165</v>
      </c>
      <c r="CV309" s="16">
        <v>4552</v>
      </c>
      <c r="CW309" s="16">
        <v>50770</v>
      </c>
      <c r="CX309" s="16">
        <v>14760</v>
      </c>
      <c r="CY309" s="16">
        <v>4620</v>
      </c>
      <c r="CZ309" s="16">
        <v>13892</v>
      </c>
      <c r="DA309" s="16">
        <v>2339</v>
      </c>
      <c r="DB309" s="16">
        <v>17289</v>
      </c>
      <c r="DC309" s="16">
        <v>29341</v>
      </c>
      <c r="DD309" s="16">
        <v>51536</v>
      </c>
      <c r="DE309" s="16">
        <v>80382</v>
      </c>
      <c r="DF309" s="16">
        <v>55092</v>
      </c>
      <c r="DG309" s="16">
        <v>29327</v>
      </c>
      <c r="DH309" s="16">
        <v>64273</v>
      </c>
      <c r="DI309" s="16">
        <v>30965</v>
      </c>
      <c r="DJ309" s="16">
        <v>181443</v>
      </c>
      <c r="DK309" s="16">
        <v>9575</v>
      </c>
      <c r="DL309" s="16">
        <v>8387</v>
      </c>
      <c r="DM309" s="16">
        <v>450736</v>
      </c>
      <c r="DN309" s="16">
        <v>104571</v>
      </c>
      <c r="DO309" s="16">
        <v>4774</v>
      </c>
      <c r="DP309" s="16">
        <v>100357</v>
      </c>
      <c r="DQ309" s="16">
        <v>5130</v>
      </c>
      <c r="DR309" s="16">
        <v>102818</v>
      </c>
      <c r="DS309" s="16">
        <v>966031</v>
      </c>
      <c r="DT309" s="16">
        <v>15304</v>
      </c>
      <c r="DU309" s="16">
        <v>2150</v>
      </c>
      <c r="DV309" s="16">
        <v>119651</v>
      </c>
      <c r="DW309" s="16">
        <v>195735</v>
      </c>
      <c r="DX309" s="16">
        <v>78299</v>
      </c>
      <c r="DY309" s="16">
        <v>39090</v>
      </c>
      <c r="DZ309" s="16">
        <v>84592</v>
      </c>
      <c r="EA309" s="16">
        <v>163327</v>
      </c>
      <c r="EB309" s="16">
        <v>196172</v>
      </c>
      <c r="EC309" s="16">
        <v>50003</v>
      </c>
      <c r="ED309" s="16">
        <v>5277</v>
      </c>
      <c r="EE309" s="16">
        <v>11387</v>
      </c>
      <c r="EF309" s="16">
        <v>13196</v>
      </c>
      <c r="EG309" s="16">
        <v>46118</v>
      </c>
      <c r="EH309" s="16">
        <v>7300</v>
      </c>
      <c r="EI309" s="16">
        <v>4358</v>
      </c>
      <c r="EJ309" s="16">
        <v>2629</v>
      </c>
      <c r="EK309" s="16">
        <v>2792</v>
      </c>
      <c r="EL309" s="16">
        <v>971</v>
      </c>
      <c r="EM309" s="16">
        <v>43687</v>
      </c>
      <c r="EN309" s="16">
        <v>534327</v>
      </c>
      <c r="EO309" s="16">
        <v>22299</v>
      </c>
      <c r="EP309" s="16">
        <v>3341</v>
      </c>
      <c r="EQ309" s="16">
        <v>1626</v>
      </c>
      <c r="ER309" s="16">
        <v>1457</v>
      </c>
      <c r="ES309" s="16">
        <v>16274</v>
      </c>
      <c r="ET309" s="16">
        <v>19371</v>
      </c>
      <c r="EU309" s="16">
        <v>884</v>
      </c>
      <c r="EV309" s="16">
        <v>10189</v>
      </c>
      <c r="EW309" s="16">
        <v>7929</v>
      </c>
      <c r="EX309" s="16">
        <v>75321</v>
      </c>
      <c r="EY309" s="16">
        <v>29732</v>
      </c>
      <c r="EZ309" s="16">
        <v>9243</v>
      </c>
      <c r="FA309" s="16">
        <v>38316</v>
      </c>
      <c r="FB309" s="16">
        <v>43253</v>
      </c>
      <c r="FC309" s="16">
        <v>31297</v>
      </c>
      <c r="FD309" s="16">
        <v>311788</v>
      </c>
      <c r="FE309" s="16">
        <v>12233</v>
      </c>
      <c r="FF309" s="16">
        <v>99644</v>
      </c>
      <c r="FG309" s="16">
        <v>97077</v>
      </c>
      <c r="FH309" s="16">
        <v>1865</v>
      </c>
      <c r="FI309" s="16">
        <v>14831</v>
      </c>
      <c r="FJ309" s="16">
        <v>6300</v>
      </c>
      <c r="FK309" s="16">
        <v>2526</v>
      </c>
      <c r="FL309" s="16">
        <v>1248</v>
      </c>
      <c r="FM309" s="16">
        <v>47578</v>
      </c>
      <c r="FN309" s="16">
        <v>75524</v>
      </c>
      <c r="FO309" s="16">
        <v>13948</v>
      </c>
      <c r="FP309" s="16">
        <v>29341</v>
      </c>
      <c r="FQ309" s="16">
        <v>120653</v>
      </c>
      <c r="FR309" s="16">
        <v>96582</v>
      </c>
      <c r="FS309" s="16">
        <v>28565</v>
      </c>
      <c r="FT309" s="16">
        <v>41181</v>
      </c>
      <c r="FU309" s="16">
        <v>36190</v>
      </c>
      <c r="FV309" s="16">
        <v>119520</v>
      </c>
      <c r="FW309" s="16">
        <v>70974</v>
      </c>
      <c r="FX309" s="16">
        <v>134533</v>
      </c>
      <c r="FY309" s="16">
        <v>28086</v>
      </c>
      <c r="FZ309" s="16">
        <v>43831</v>
      </c>
      <c r="GA309" s="16">
        <v>8897</v>
      </c>
      <c r="GB309" s="16">
        <v>59195</v>
      </c>
      <c r="GC309" s="16">
        <v>33471</v>
      </c>
      <c r="GD309" s="16">
        <v>35437</v>
      </c>
      <c r="GE309" s="16">
        <v>22783</v>
      </c>
      <c r="GF309" s="16">
        <v>715037</v>
      </c>
      <c r="GG309" s="16">
        <v>36633</v>
      </c>
      <c r="GH309" s="16">
        <v>3538</v>
      </c>
      <c r="GI309" s="16">
        <v>12634</v>
      </c>
      <c r="GJ309" s="16">
        <v>13820</v>
      </c>
      <c r="GK309" s="16">
        <v>4809</v>
      </c>
      <c r="GL309" s="16">
        <v>2569</v>
      </c>
      <c r="GM309" s="16">
        <v>1086</v>
      </c>
      <c r="GN309" s="16">
        <v>4831</v>
      </c>
      <c r="GO309" s="16">
        <v>45449</v>
      </c>
      <c r="GP309" s="16">
        <v>117491</v>
      </c>
      <c r="GQ309" s="16">
        <v>8754</v>
      </c>
      <c r="GR309" s="16">
        <v>1223</v>
      </c>
      <c r="GS309" s="16">
        <v>900</v>
      </c>
      <c r="GT309" s="16">
        <v>15049</v>
      </c>
      <c r="GU309" s="16">
        <v>117321</v>
      </c>
      <c r="GV309" s="16">
        <v>87182</v>
      </c>
      <c r="GW309" s="16">
        <v>6313</v>
      </c>
      <c r="GX309" s="16">
        <v>15678</v>
      </c>
      <c r="GY309" s="16">
        <v>1702</v>
      </c>
      <c r="GZ309" s="16">
        <v>29788</v>
      </c>
      <c r="HA309" s="16">
        <v>8113</v>
      </c>
      <c r="HB309" s="16">
        <v>8496</v>
      </c>
      <c r="HC309" s="16">
        <v>71447</v>
      </c>
      <c r="HD309" s="16">
        <v>5583</v>
      </c>
      <c r="HE309" s="16">
        <v>76293</v>
      </c>
      <c r="HF309" s="16">
        <v>64598</v>
      </c>
      <c r="HG309" s="16">
        <v>34799</v>
      </c>
      <c r="HH309" s="16">
        <v>8330</v>
      </c>
      <c r="HI309" s="16">
        <v>72928</v>
      </c>
      <c r="HJ309" s="16">
        <v>48082</v>
      </c>
      <c r="HK309" s="16">
        <v>77589</v>
      </c>
      <c r="HL309" s="16">
        <v>59965</v>
      </c>
      <c r="HM309" s="16">
        <v>13511</v>
      </c>
      <c r="HN309" s="16">
        <v>20958</v>
      </c>
      <c r="HO309" s="16">
        <v>23009</v>
      </c>
      <c r="HP309" s="16">
        <v>54679</v>
      </c>
      <c r="HQ309" s="16">
        <v>182803</v>
      </c>
      <c r="HR309" s="16">
        <v>127059</v>
      </c>
      <c r="HS309" s="16">
        <v>104678</v>
      </c>
      <c r="HT309" s="16">
        <v>10694</v>
      </c>
      <c r="HU309" s="16">
        <v>58550</v>
      </c>
      <c r="HV309" s="16">
        <v>9221</v>
      </c>
      <c r="HW309" s="16">
        <v>64212</v>
      </c>
      <c r="HX309" s="16">
        <v>160546</v>
      </c>
      <c r="HY309" s="16">
        <v>68061</v>
      </c>
      <c r="HZ309" s="16">
        <v>108638</v>
      </c>
      <c r="IA309" s="16">
        <v>35299</v>
      </c>
      <c r="IB309" s="16">
        <v>14812</v>
      </c>
      <c r="IC309" s="16">
        <v>946</v>
      </c>
      <c r="ID309" s="16">
        <v>1679</v>
      </c>
      <c r="IE309" s="16">
        <v>5434</v>
      </c>
      <c r="IF309" s="16">
        <v>2130</v>
      </c>
      <c r="IG309" s="16">
        <v>28315</v>
      </c>
      <c r="IH309" s="16">
        <v>25332</v>
      </c>
      <c r="II309" s="16">
        <v>3295</v>
      </c>
      <c r="IJ309" s="16">
        <v>817</v>
      </c>
      <c r="IK309" s="16">
        <v>1023</v>
      </c>
      <c r="IL309" s="16">
        <v>1850</v>
      </c>
      <c r="IM309" s="16">
        <v>1854</v>
      </c>
      <c r="IN309" s="16">
        <v>40076</v>
      </c>
      <c r="IO309" s="16">
        <v>269012</v>
      </c>
      <c r="IP309" s="16">
        <v>70512</v>
      </c>
      <c r="IQ309" s="16">
        <v>1367</v>
      </c>
      <c r="IR309" s="16">
        <v>15482</v>
      </c>
      <c r="IS309" s="16">
        <v>21414</v>
      </c>
      <c r="IT309" s="16">
        <v>15797</v>
      </c>
      <c r="IU309" s="16">
        <v>542</v>
      </c>
      <c r="IV309" s="16">
        <v>5218</v>
      </c>
      <c r="IW309" s="16">
        <v>4177</v>
      </c>
      <c r="IX309" s="16">
        <v>37723</v>
      </c>
      <c r="IY309" s="16">
        <v>151677</v>
      </c>
      <c r="IZ309" s="16">
        <v>18709</v>
      </c>
      <c r="JA309" s="16">
        <v>24293</v>
      </c>
      <c r="JB309" s="16">
        <v>1880</v>
      </c>
      <c r="JC309" s="16">
        <v>3174</v>
      </c>
      <c r="JD309" s="16">
        <v>4772</v>
      </c>
      <c r="JE309" s="16">
        <v>32689</v>
      </c>
      <c r="JF309" s="16">
        <v>8818</v>
      </c>
      <c r="JG309" s="16">
        <v>263688</v>
      </c>
      <c r="JH309" s="16">
        <v>14676</v>
      </c>
      <c r="JI309" s="16">
        <v>0</v>
      </c>
      <c r="JJ309" s="16">
        <v>1389</v>
      </c>
      <c r="JK309" s="16">
        <v>403</v>
      </c>
      <c r="JL309" s="16">
        <v>1102</v>
      </c>
      <c r="JM309" s="16">
        <v>6</v>
      </c>
      <c r="JN309" s="16">
        <v>12</v>
      </c>
      <c r="JO309" s="16">
        <v>11858</v>
      </c>
      <c r="JP309" s="16">
        <v>2401</v>
      </c>
      <c r="JQ309" s="16">
        <v>0</v>
      </c>
      <c r="JR309" s="16">
        <v>2389</v>
      </c>
      <c r="JS309" s="16">
        <v>9218</v>
      </c>
      <c r="JT309" s="16">
        <v>0</v>
      </c>
      <c r="JU309" s="16">
        <v>512310</v>
      </c>
      <c r="JV309" s="16">
        <v>254108</v>
      </c>
      <c r="JW309" s="16">
        <v>2951</v>
      </c>
      <c r="JX309" s="16">
        <v>510</v>
      </c>
      <c r="JY309" s="16">
        <v>474</v>
      </c>
      <c r="JZ309" s="16">
        <v>38</v>
      </c>
      <c r="KA309" s="16">
        <v>2512</v>
      </c>
      <c r="KB309" s="16">
        <v>311</v>
      </c>
      <c r="KC309" s="16">
        <v>193</v>
      </c>
      <c r="KD309" s="16">
        <v>366</v>
      </c>
      <c r="KE309" s="16">
        <v>209</v>
      </c>
      <c r="KF309" s="16">
        <v>629</v>
      </c>
      <c r="KG309" s="16">
        <v>452</v>
      </c>
      <c r="KH309" s="16">
        <v>1492</v>
      </c>
      <c r="KI309" s="16">
        <v>903</v>
      </c>
      <c r="KJ309" s="16">
        <v>525</v>
      </c>
      <c r="KK309" s="16">
        <v>3866612</v>
      </c>
      <c r="KL309" s="16">
        <v>12287</v>
      </c>
      <c r="KM309" s="16">
        <v>691</v>
      </c>
      <c r="KN309" s="16">
        <v>3621655</v>
      </c>
      <c r="KO309" s="16">
        <v>15127</v>
      </c>
      <c r="KP309" s="16">
        <v>145235</v>
      </c>
      <c r="KQ309" s="16">
        <v>169017</v>
      </c>
      <c r="KR309" s="16">
        <v>0</v>
      </c>
      <c r="KS309" s="16">
        <v>460</v>
      </c>
      <c r="KT309" s="16">
        <v>0</v>
      </c>
      <c r="KU309" s="16">
        <v>78</v>
      </c>
      <c r="KV309" s="16">
        <v>23092</v>
      </c>
      <c r="KW309" s="16">
        <v>950433</v>
      </c>
      <c r="KX309" s="16">
        <v>601</v>
      </c>
      <c r="KY309" s="16">
        <v>526270</v>
      </c>
      <c r="KZ309" s="16">
        <v>1791</v>
      </c>
      <c r="LA309" s="16">
        <v>778</v>
      </c>
      <c r="LB309" s="16">
        <v>19</v>
      </c>
      <c r="LC309" s="16">
        <v>39</v>
      </c>
      <c r="LD309" s="16">
        <v>0</v>
      </c>
      <c r="LE309" s="16">
        <v>0</v>
      </c>
      <c r="LF309" s="16">
        <v>0</v>
      </c>
      <c r="LG309" s="16">
        <v>179</v>
      </c>
      <c r="LH309" s="16">
        <v>168</v>
      </c>
      <c r="LI309" s="16">
        <v>56</v>
      </c>
      <c r="LJ309" s="16">
        <v>101</v>
      </c>
      <c r="LK309" s="16">
        <v>623</v>
      </c>
      <c r="LL309" s="16">
        <v>1531</v>
      </c>
      <c r="LM309" s="16">
        <v>3691</v>
      </c>
      <c r="LN309" s="16">
        <v>210</v>
      </c>
      <c r="LO309" s="16">
        <v>56344</v>
      </c>
      <c r="LP309" s="16">
        <v>533</v>
      </c>
      <c r="LQ309" s="16">
        <v>0</v>
      </c>
      <c r="LR309" s="16">
        <v>61</v>
      </c>
      <c r="LS309" s="16">
        <v>0</v>
      </c>
      <c r="LT309" s="16">
        <v>0</v>
      </c>
      <c r="LU309" s="16">
        <v>0</v>
      </c>
      <c r="LV309" s="16">
        <v>0</v>
      </c>
      <c r="LW309" s="16">
        <v>0</v>
      </c>
      <c r="LX309" s="16">
        <v>0</v>
      </c>
      <c r="LY309" s="16">
        <v>0</v>
      </c>
      <c r="LZ309" s="16">
        <v>18042</v>
      </c>
      <c r="MA309" s="16">
        <v>5</v>
      </c>
      <c r="MB309" s="16">
        <v>5</v>
      </c>
      <c r="MC309" s="16">
        <v>43</v>
      </c>
      <c r="MD309" s="16">
        <v>1529</v>
      </c>
      <c r="ME309" s="16">
        <v>265</v>
      </c>
      <c r="MF309" s="16">
        <v>17945</v>
      </c>
      <c r="MG309" s="16">
        <v>0</v>
      </c>
      <c r="MH309" s="16">
        <v>3628</v>
      </c>
      <c r="MI309" s="16">
        <v>13</v>
      </c>
      <c r="MJ309" s="16">
        <v>4</v>
      </c>
      <c r="MK309" s="16">
        <v>176</v>
      </c>
      <c r="ML309" s="16">
        <v>332</v>
      </c>
      <c r="MM309" s="16">
        <v>1017</v>
      </c>
      <c r="MN309" s="16">
        <v>295679</v>
      </c>
      <c r="MO309" s="16">
        <v>441</v>
      </c>
      <c r="MP309" s="16">
        <v>84</v>
      </c>
      <c r="MQ309" s="16">
        <v>88936</v>
      </c>
      <c r="MR309" s="16">
        <v>8357</v>
      </c>
      <c r="MS309" s="16">
        <v>13292</v>
      </c>
      <c r="MT309" s="16">
        <v>543</v>
      </c>
      <c r="MU309" s="16">
        <v>8215</v>
      </c>
      <c r="MV309" s="16">
        <v>0</v>
      </c>
      <c r="MW309" s="16">
        <v>9</v>
      </c>
      <c r="MX309" s="16">
        <v>269</v>
      </c>
      <c r="MY309" s="16">
        <v>0</v>
      </c>
      <c r="MZ309" s="16">
        <v>0</v>
      </c>
      <c r="NA309" s="16">
        <v>505</v>
      </c>
      <c r="NB309" s="16">
        <v>0</v>
      </c>
      <c r="NC309" s="16">
        <v>850</v>
      </c>
      <c r="ND309" s="16">
        <v>13</v>
      </c>
      <c r="NE309" s="16">
        <v>1339</v>
      </c>
      <c r="NF309" s="16">
        <v>2312</v>
      </c>
      <c r="NG309" s="16">
        <v>0</v>
      </c>
      <c r="NH309" s="16">
        <v>4158</v>
      </c>
      <c r="NI309" s="16">
        <v>4</v>
      </c>
      <c r="NJ309" s="16">
        <v>0</v>
      </c>
      <c r="NK309" s="16">
        <v>7847</v>
      </c>
      <c r="NL309" s="16">
        <v>3514</v>
      </c>
      <c r="NM309" s="16">
        <v>27</v>
      </c>
      <c r="NN309" s="16">
        <v>112</v>
      </c>
      <c r="NO309" s="16">
        <v>0</v>
      </c>
      <c r="NP309" s="16">
        <v>99</v>
      </c>
      <c r="NQ309" s="16">
        <v>0</v>
      </c>
      <c r="NR309" s="17">
        <v>23273307</v>
      </c>
    </row>
    <row r="310" spans="1:382" ht="13.5" customHeight="1" x14ac:dyDescent="0.2">
      <c r="A310" s="2" t="s">
        <v>627</v>
      </c>
      <c r="B310" s="16">
        <v>433</v>
      </c>
      <c r="C310" s="16">
        <v>1</v>
      </c>
      <c r="D310" s="16">
        <v>4</v>
      </c>
      <c r="E310" s="16">
        <v>4</v>
      </c>
      <c r="F310" s="16">
        <v>152</v>
      </c>
      <c r="G310" s="16">
        <v>173</v>
      </c>
      <c r="H310" s="16">
        <v>104</v>
      </c>
      <c r="I310" s="16">
        <v>645</v>
      </c>
      <c r="J310" s="16">
        <v>0</v>
      </c>
      <c r="K310" s="16">
        <v>0</v>
      </c>
      <c r="L310" s="16">
        <v>3</v>
      </c>
      <c r="M310" s="16">
        <v>2</v>
      </c>
      <c r="N310" s="16">
        <v>0</v>
      </c>
      <c r="O310" s="16">
        <v>1849</v>
      </c>
      <c r="P310" s="16">
        <v>1242</v>
      </c>
      <c r="Q310" s="16">
        <v>27412</v>
      </c>
      <c r="R310" s="16">
        <v>5049</v>
      </c>
      <c r="S310" s="16">
        <v>254</v>
      </c>
      <c r="T310" s="16">
        <v>70</v>
      </c>
      <c r="U310" s="16">
        <v>1</v>
      </c>
      <c r="V310" s="16">
        <v>1</v>
      </c>
      <c r="W310" s="16">
        <v>0</v>
      </c>
      <c r="X310" s="16">
        <v>3833</v>
      </c>
      <c r="Y310" s="16">
        <v>884</v>
      </c>
      <c r="Z310" s="16">
        <v>3403</v>
      </c>
      <c r="AA310" s="16">
        <v>177</v>
      </c>
      <c r="AB310" s="16">
        <v>0</v>
      </c>
      <c r="AC310" s="16">
        <v>0</v>
      </c>
      <c r="AD310" s="16">
        <v>0</v>
      </c>
      <c r="AE310" s="16">
        <v>0</v>
      </c>
      <c r="AF310" s="16">
        <v>0</v>
      </c>
      <c r="AG310" s="16">
        <v>246</v>
      </c>
      <c r="AH310" s="16">
        <v>150</v>
      </c>
      <c r="AI310" s="16">
        <v>1</v>
      </c>
      <c r="AJ310" s="16">
        <v>2788</v>
      </c>
      <c r="AK310" s="16">
        <v>139</v>
      </c>
      <c r="AL310" s="16">
        <v>218</v>
      </c>
      <c r="AM310" s="16">
        <v>3279</v>
      </c>
      <c r="AN310" s="16">
        <v>1590</v>
      </c>
      <c r="AO310" s="16">
        <v>3927</v>
      </c>
      <c r="AP310" s="16">
        <v>3</v>
      </c>
      <c r="AQ310" s="16">
        <v>10</v>
      </c>
      <c r="AR310" s="16">
        <v>0</v>
      </c>
      <c r="AS310" s="16">
        <v>3</v>
      </c>
      <c r="AT310" s="16">
        <v>318</v>
      </c>
      <c r="AU310" s="16">
        <v>721</v>
      </c>
      <c r="AV310" s="16">
        <v>40</v>
      </c>
      <c r="AW310" s="16">
        <v>1066</v>
      </c>
      <c r="AX310" s="16">
        <v>789</v>
      </c>
      <c r="AY310" s="16">
        <v>192</v>
      </c>
      <c r="AZ310" s="16">
        <v>116</v>
      </c>
      <c r="BA310" s="16">
        <v>568</v>
      </c>
      <c r="BB310" s="16">
        <v>272</v>
      </c>
      <c r="BC310" s="16">
        <v>1618</v>
      </c>
      <c r="BD310" s="16">
        <v>12</v>
      </c>
      <c r="BE310" s="16">
        <v>453</v>
      </c>
      <c r="BF310" s="16">
        <v>1298</v>
      </c>
      <c r="BG310" s="16">
        <v>418</v>
      </c>
      <c r="BH310" s="16">
        <v>1671</v>
      </c>
      <c r="BI310" s="16">
        <v>3152</v>
      </c>
      <c r="BJ310" s="16">
        <v>249</v>
      </c>
      <c r="BK310" s="16">
        <v>224</v>
      </c>
      <c r="BL310" s="16">
        <v>1567</v>
      </c>
      <c r="BM310" s="16">
        <v>2</v>
      </c>
      <c r="BN310" s="16">
        <v>3</v>
      </c>
      <c r="BO310" s="16">
        <v>743</v>
      </c>
      <c r="BP310" s="16">
        <v>6001</v>
      </c>
      <c r="BQ310" s="16">
        <v>69</v>
      </c>
      <c r="BR310" s="16">
        <v>481</v>
      </c>
      <c r="BS310" s="16">
        <v>5090</v>
      </c>
      <c r="BT310" s="16">
        <v>188</v>
      </c>
      <c r="BU310" s="16">
        <v>5</v>
      </c>
      <c r="BV310" s="16">
        <v>49</v>
      </c>
      <c r="BW310" s="16">
        <v>101</v>
      </c>
      <c r="BX310" s="16">
        <v>181</v>
      </c>
      <c r="BY310" s="16">
        <v>0</v>
      </c>
      <c r="BZ310" s="16">
        <v>242</v>
      </c>
      <c r="CA310" s="16">
        <v>227</v>
      </c>
      <c r="CB310" s="16">
        <v>2</v>
      </c>
      <c r="CC310" s="16">
        <v>43</v>
      </c>
      <c r="CD310" s="16">
        <v>3</v>
      </c>
      <c r="CE310" s="16">
        <v>1</v>
      </c>
      <c r="CF310" s="16">
        <v>3</v>
      </c>
      <c r="CG310" s="16">
        <v>135</v>
      </c>
      <c r="CH310" s="16">
        <v>4209</v>
      </c>
      <c r="CI310" s="16">
        <v>1</v>
      </c>
      <c r="CJ310" s="16">
        <v>818</v>
      </c>
      <c r="CK310" s="16">
        <v>1098</v>
      </c>
      <c r="CL310" s="16">
        <v>590</v>
      </c>
      <c r="CM310" s="16">
        <v>1368</v>
      </c>
      <c r="CN310" s="16">
        <v>236</v>
      </c>
      <c r="CO310" s="16">
        <v>772</v>
      </c>
      <c r="CP310" s="16">
        <v>337</v>
      </c>
      <c r="CQ310" s="16">
        <v>794</v>
      </c>
      <c r="CR310" s="16">
        <v>123</v>
      </c>
      <c r="CS310" s="16">
        <v>868</v>
      </c>
      <c r="CT310" s="16">
        <v>1083</v>
      </c>
      <c r="CU310" s="16">
        <v>702</v>
      </c>
      <c r="CV310" s="16">
        <v>352</v>
      </c>
      <c r="CW310" s="16">
        <v>1868</v>
      </c>
      <c r="CX310" s="16">
        <v>967</v>
      </c>
      <c r="CY310" s="16">
        <v>1571</v>
      </c>
      <c r="CZ310" s="16">
        <v>74</v>
      </c>
      <c r="DA310" s="16">
        <v>445</v>
      </c>
      <c r="DB310" s="16">
        <v>904</v>
      </c>
      <c r="DC310" s="16">
        <v>166</v>
      </c>
      <c r="DD310" s="16">
        <v>1386</v>
      </c>
      <c r="DE310" s="16">
        <v>1334</v>
      </c>
      <c r="DF310" s="16">
        <v>4183</v>
      </c>
      <c r="DG310" s="16">
        <v>1416</v>
      </c>
      <c r="DH310" s="16">
        <v>7</v>
      </c>
      <c r="DI310" s="16">
        <v>9514</v>
      </c>
      <c r="DJ310" s="16">
        <v>6176</v>
      </c>
      <c r="DK310" s="16">
        <v>342</v>
      </c>
      <c r="DL310" s="16">
        <v>745</v>
      </c>
      <c r="DM310" s="16">
        <v>23059</v>
      </c>
      <c r="DN310" s="16">
        <v>7</v>
      </c>
      <c r="DO310" s="16">
        <v>1295</v>
      </c>
      <c r="DP310" s="16">
        <v>564</v>
      </c>
      <c r="DQ310" s="16">
        <v>21</v>
      </c>
      <c r="DR310" s="16">
        <v>445</v>
      </c>
      <c r="DS310" s="16">
        <v>1268</v>
      </c>
      <c r="DT310" s="16">
        <v>670</v>
      </c>
      <c r="DU310" s="16">
        <v>94</v>
      </c>
      <c r="DV310" s="16">
        <v>113</v>
      </c>
      <c r="DW310" s="16">
        <v>984</v>
      </c>
      <c r="DX310" s="16">
        <v>4377</v>
      </c>
      <c r="DY310" s="16">
        <v>1422</v>
      </c>
      <c r="DZ310" s="16">
        <v>3582</v>
      </c>
      <c r="EA310" s="16">
        <v>6992</v>
      </c>
      <c r="EB310" s="16">
        <v>259</v>
      </c>
      <c r="EC310" s="16">
        <v>83</v>
      </c>
      <c r="ED310" s="16">
        <v>60</v>
      </c>
      <c r="EE310" s="16">
        <v>1263</v>
      </c>
      <c r="EF310" s="16">
        <v>211</v>
      </c>
      <c r="EG310" s="16">
        <v>365</v>
      </c>
      <c r="EH310" s="16">
        <v>132</v>
      </c>
      <c r="EI310" s="16">
        <v>1457</v>
      </c>
      <c r="EJ310" s="16">
        <v>738</v>
      </c>
      <c r="EK310" s="16">
        <v>73</v>
      </c>
      <c r="EL310" s="16">
        <v>337</v>
      </c>
      <c r="EM310" s="16">
        <v>4394</v>
      </c>
      <c r="EN310" s="16">
        <v>6201</v>
      </c>
      <c r="EO310" s="16">
        <v>3388</v>
      </c>
      <c r="EP310" s="16">
        <v>2</v>
      </c>
      <c r="EQ310" s="16">
        <v>559</v>
      </c>
      <c r="ER310" s="16">
        <v>492</v>
      </c>
      <c r="ES310" s="16">
        <v>220</v>
      </c>
      <c r="ET310" s="16">
        <v>770</v>
      </c>
      <c r="EU310" s="16">
        <v>79</v>
      </c>
      <c r="EV310" s="16">
        <v>1</v>
      </c>
      <c r="EW310" s="16">
        <v>1689</v>
      </c>
      <c r="EX310" s="16">
        <v>2927</v>
      </c>
      <c r="EY310" s="16">
        <v>2063</v>
      </c>
      <c r="EZ310" s="16">
        <v>1566</v>
      </c>
      <c r="FA310" s="16">
        <v>1313</v>
      </c>
      <c r="FB310" s="16">
        <v>2393</v>
      </c>
      <c r="FC310" s="16">
        <v>4249</v>
      </c>
      <c r="FD310" s="16">
        <v>8757</v>
      </c>
      <c r="FE310" s="16">
        <v>126</v>
      </c>
      <c r="FF310" s="16">
        <v>5201</v>
      </c>
      <c r="FG310" s="16">
        <v>415</v>
      </c>
      <c r="FH310" s="16">
        <v>1355</v>
      </c>
      <c r="FI310" s="16">
        <v>629</v>
      </c>
      <c r="FJ310" s="16">
        <v>0</v>
      </c>
      <c r="FK310" s="16">
        <v>3</v>
      </c>
      <c r="FL310" s="16">
        <v>1</v>
      </c>
      <c r="FM310" s="16">
        <v>531</v>
      </c>
      <c r="FN310" s="16">
        <v>8</v>
      </c>
      <c r="FO310" s="16">
        <v>195</v>
      </c>
      <c r="FP310" s="16">
        <v>428</v>
      </c>
      <c r="FQ310" s="16">
        <v>8364</v>
      </c>
      <c r="FR310" s="16">
        <v>2315</v>
      </c>
      <c r="FS310" s="16">
        <v>1707</v>
      </c>
      <c r="FT310" s="16">
        <v>586</v>
      </c>
      <c r="FU310" s="16">
        <v>2116</v>
      </c>
      <c r="FV310" s="16">
        <v>2146</v>
      </c>
      <c r="FW310" s="16">
        <v>598</v>
      </c>
      <c r="FX310" s="16">
        <v>1652</v>
      </c>
      <c r="FY310" s="16">
        <v>584</v>
      </c>
      <c r="FZ310" s="16">
        <v>2642</v>
      </c>
      <c r="GA310" s="16">
        <v>261</v>
      </c>
      <c r="GB310" s="16">
        <v>955</v>
      </c>
      <c r="GC310" s="16">
        <v>811</v>
      </c>
      <c r="GD310" s="16">
        <v>112</v>
      </c>
      <c r="GE310" s="16">
        <v>379</v>
      </c>
      <c r="GF310" s="16">
        <v>2360</v>
      </c>
      <c r="GG310" s="16">
        <v>2808</v>
      </c>
      <c r="GH310" s="16">
        <v>72</v>
      </c>
      <c r="GI310" s="16">
        <v>158</v>
      </c>
      <c r="GJ310" s="16">
        <v>722</v>
      </c>
      <c r="GK310" s="16">
        <v>107</v>
      </c>
      <c r="GL310" s="16">
        <v>1511</v>
      </c>
      <c r="GM310" s="16">
        <v>97</v>
      </c>
      <c r="GN310" s="16">
        <v>307</v>
      </c>
      <c r="GO310" s="16">
        <v>1143</v>
      </c>
      <c r="GP310" s="16">
        <v>3343</v>
      </c>
      <c r="GQ310" s="16">
        <v>377</v>
      </c>
      <c r="GR310" s="16">
        <v>38</v>
      </c>
      <c r="GS310" s="16">
        <v>424</v>
      </c>
      <c r="GT310" s="16">
        <v>247</v>
      </c>
      <c r="GU310" s="16">
        <v>610</v>
      </c>
      <c r="GV310" s="16">
        <v>97</v>
      </c>
      <c r="GW310" s="16">
        <v>319</v>
      </c>
      <c r="GX310" s="16">
        <v>51</v>
      </c>
      <c r="GY310" s="16">
        <v>0</v>
      </c>
      <c r="GZ310" s="16">
        <v>160</v>
      </c>
      <c r="HA310" s="16">
        <v>384</v>
      </c>
      <c r="HB310" s="16">
        <v>387</v>
      </c>
      <c r="HC310" s="16">
        <v>371</v>
      </c>
      <c r="HD310" s="16">
        <v>210</v>
      </c>
      <c r="HE310" s="16">
        <v>1210</v>
      </c>
      <c r="HF310" s="16">
        <v>439</v>
      </c>
      <c r="HG310" s="16">
        <v>496</v>
      </c>
      <c r="HH310" s="16">
        <v>67</v>
      </c>
      <c r="HI310" s="16">
        <v>2199</v>
      </c>
      <c r="HJ310" s="16">
        <v>92</v>
      </c>
      <c r="HK310" s="16">
        <v>322</v>
      </c>
      <c r="HL310" s="16">
        <v>1060</v>
      </c>
      <c r="HM310" s="16">
        <v>1732</v>
      </c>
      <c r="HN310" s="16">
        <v>871</v>
      </c>
      <c r="HO310" s="16">
        <v>56</v>
      </c>
      <c r="HP310" s="16">
        <v>5</v>
      </c>
      <c r="HQ310" s="16">
        <v>2476</v>
      </c>
      <c r="HR310" s="16">
        <v>5040</v>
      </c>
      <c r="HS310" s="16">
        <v>751</v>
      </c>
      <c r="HT310" s="16">
        <v>297</v>
      </c>
      <c r="HU310" s="16">
        <v>2151</v>
      </c>
      <c r="HV310" s="16">
        <v>750</v>
      </c>
      <c r="HW310" s="16">
        <v>391</v>
      </c>
      <c r="HX310" s="16">
        <v>1239</v>
      </c>
      <c r="HY310" s="16">
        <v>1735</v>
      </c>
      <c r="HZ310" s="16">
        <v>252</v>
      </c>
      <c r="IA310" s="16">
        <v>656</v>
      </c>
      <c r="IB310" s="16">
        <v>978</v>
      </c>
      <c r="IC310" s="16">
        <v>40</v>
      </c>
      <c r="ID310" s="16">
        <v>45</v>
      </c>
      <c r="IE310" s="16">
        <v>36</v>
      </c>
      <c r="IF310" s="16">
        <v>43</v>
      </c>
      <c r="IG310" s="16">
        <v>272</v>
      </c>
      <c r="IH310" s="16">
        <v>6358</v>
      </c>
      <c r="II310" s="16">
        <v>676</v>
      </c>
      <c r="IJ310" s="16">
        <v>860</v>
      </c>
      <c r="IK310" s="16">
        <v>1484</v>
      </c>
      <c r="IL310" s="16">
        <v>478</v>
      </c>
      <c r="IM310" s="16">
        <v>1376</v>
      </c>
      <c r="IN310" s="16">
        <v>30206</v>
      </c>
      <c r="IO310" s="16">
        <v>12888</v>
      </c>
      <c r="IP310" s="16">
        <v>884</v>
      </c>
      <c r="IQ310" s="16">
        <v>52</v>
      </c>
      <c r="IR310" s="16">
        <v>2649</v>
      </c>
      <c r="IS310" s="16">
        <v>2261</v>
      </c>
      <c r="IT310" s="16">
        <v>1681</v>
      </c>
      <c r="IU310" s="16">
        <v>64</v>
      </c>
      <c r="IV310" s="16">
        <v>496</v>
      </c>
      <c r="IW310" s="16">
        <v>777</v>
      </c>
      <c r="IX310" s="16">
        <v>1399</v>
      </c>
      <c r="IY310" s="16">
        <v>288</v>
      </c>
      <c r="IZ310" s="16">
        <v>188</v>
      </c>
      <c r="JA310" s="16">
        <v>1658</v>
      </c>
      <c r="JB310" s="16">
        <v>205</v>
      </c>
      <c r="JC310" s="16">
        <v>760</v>
      </c>
      <c r="JD310" s="16">
        <v>218</v>
      </c>
      <c r="JE310" s="16">
        <v>1041</v>
      </c>
      <c r="JF310" s="16">
        <v>1937</v>
      </c>
      <c r="JG310" s="16">
        <v>21976</v>
      </c>
      <c r="JH310" s="16">
        <v>9</v>
      </c>
      <c r="JI310" s="16">
        <v>227</v>
      </c>
      <c r="JJ310" s="16">
        <v>993</v>
      </c>
      <c r="JK310" s="16">
        <v>789</v>
      </c>
      <c r="JL310" s="16">
        <v>11</v>
      </c>
      <c r="JM310" s="16">
        <v>1</v>
      </c>
      <c r="JN310" s="16">
        <v>31</v>
      </c>
      <c r="JO310" s="16">
        <v>849</v>
      </c>
      <c r="JP310" s="16">
        <v>4973</v>
      </c>
      <c r="JQ310" s="16">
        <v>6</v>
      </c>
      <c r="JR310" s="16">
        <v>5726</v>
      </c>
      <c r="JS310" s="16">
        <v>405</v>
      </c>
      <c r="JT310" s="16">
        <v>5</v>
      </c>
      <c r="JU310" s="16">
        <v>5455</v>
      </c>
      <c r="JV310" s="16">
        <v>68841</v>
      </c>
      <c r="JW310" s="16">
        <v>93754</v>
      </c>
      <c r="JX310" s="16">
        <v>37796</v>
      </c>
      <c r="JY310" s="16">
        <v>3241</v>
      </c>
      <c r="JZ310" s="16">
        <v>18467</v>
      </c>
      <c r="KA310" s="16">
        <v>10612</v>
      </c>
      <c r="KB310" s="16">
        <v>0</v>
      </c>
      <c r="KC310" s="16">
        <v>4710</v>
      </c>
      <c r="KD310" s="16">
        <v>4494</v>
      </c>
      <c r="KE310" s="16">
        <v>9653</v>
      </c>
      <c r="KF310" s="16">
        <v>5126</v>
      </c>
      <c r="KG310" s="16">
        <v>5041</v>
      </c>
      <c r="KH310" s="16">
        <v>2841</v>
      </c>
      <c r="KI310" s="16">
        <v>24762</v>
      </c>
      <c r="KJ310" s="16">
        <v>369</v>
      </c>
      <c r="KK310" s="16">
        <v>445809</v>
      </c>
      <c r="KL310" s="16">
        <v>80</v>
      </c>
      <c r="KM310" s="16">
        <v>160</v>
      </c>
      <c r="KN310" s="16">
        <v>10645</v>
      </c>
      <c r="KO310" s="16">
        <v>1352</v>
      </c>
      <c r="KP310" s="16">
        <v>144</v>
      </c>
      <c r="KQ310" s="16">
        <v>110</v>
      </c>
      <c r="KR310" s="16">
        <v>3654</v>
      </c>
      <c r="KS310" s="16">
        <v>71</v>
      </c>
      <c r="KT310" s="16">
        <v>591</v>
      </c>
      <c r="KU310" s="16">
        <v>2430</v>
      </c>
      <c r="KV310" s="16">
        <v>435009</v>
      </c>
      <c r="KW310" s="16">
        <v>49567</v>
      </c>
      <c r="KX310" s="16">
        <v>104377</v>
      </c>
      <c r="KY310" s="16">
        <v>33</v>
      </c>
      <c r="KZ310" s="16">
        <v>68788</v>
      </c>
      <c r="LA310" s="16">
        <v>58965</v>
      </c>
      <c r="LB310" s="16">
        <v>578</v>
      </c>
      <c r="LC310" s="16">
        <v>8308</v>
      </c>
      <c r="LD310" s="16">
        <v>352</v>
      </c>
      <c r="LE310" s="16">
        <v>536</v>
      </c>
      <c r="LF310" s="16">
        <v>6918</v>
      </c>
      <c r="LG310" s="16">
        <v>12</v>
      </c>
      <c r="LH310" s="16">
        <v>29</v>
      </c>
      <c r="LI310" s="16">
        <v>350</v>
      </c>
      <c r="LJ310" s="16">
        <v>356</v>
      </c>
      <c r="LK310" s="16">
        <v>10723</v>
      </c>
      <c r="LL310" s="16">
        <v>287</v>
      </c>
      <c r="LM310" s="16">
        <v>543</v>
      </c>
      <c r="LN310" s="16">
        <v>2154</v>
      </c>
      <c r="LO310" s="16">
        <v>3551</v>
      </c>
      <c r="LP310" s="16">
        <v>3782</v>
      </c>
      <c r="LQ310" s="16">
        <v>46</v>
      </c>
      <c r="LR310" s="16">
        <v>334</v>
      </c>
      <c r="LS310" s="16">
        <v>211</v>
      </c>
      <c r="LT310" s="16">
        <v>596</v>
      </c>
      <c r="LU310" s="16">
        <v>1483</v>
      </c>
      <c r="LV310" s="16">
        <v>0</v>
      </c>
      <c r="LW310" s="16">
        <v>523</v>
      </c>
      <c r="LX310" s="16">
        <v>19409</v>
      </c>
      <c r="LY310" s="16">
        <v>1</v>
      </c>
      <c r="LZ310" s="16">
        <v>2402</v>
      </c>
      <c r="MA310" s="16">
        <v>42</v>
      </c>
      <c r="MB310" s="16">
        <v>4207</v>
      </c>
      <c r="MC310" s="16">
        <v>2990</v>
      </c>
      <c r="MD310" s="16">
        <v>1072</v>
      </c>
      <c r="ME310" s="16">
        <v>69</v>
      </c>
      <c r="MF310" s="16">
        <v>5162</v>
      </c>
      <c r="MG310" s="16">
        <v>71622</v>
      </c>
      <c r="MH310" s="16">
        <v>60416</v>
      </c>
      <c r="MI310" s="16">
        <v>257</v>
      </c>
      <c r="MJ310" s="16">
        <v>9633</v>
      </c>
      <c r="MK310" s="16">
        <v>1536</v>
      </c>
      <c r="ML310" s="16">
        <v>5475</v>
      </c>
      <c r="MM310" s="16">
        <v>5920</v>
      </c>
      <c r="MN310" s="16">
        <v>64672</v>
      </c>
      <c r="MO310" s="16">
        <v>2197</v>
      </c>
      <c r="MP310" s="16">
        <v>5833</v>
      </c>
      <c r="MQ310" s="16">
        <v>59356</v>
      </c>
      <c r="MR310" s="16">
        <v>225074</v>
      </c>
      <c r="MS310" s="16">
        <v>105333</v>
      </c>
      <c r="MT310" s="16">
        <v>126247</v>
      </c>
      <c r="MU310" s="16">
        <v>55412</v>
      </c>
      <c r="MV310" s="16">
        <v>4961</v>
      </c>
      <c r="MW310" s="16">
        <v>5873</v>
      </c>
      <c r="MX310" s="16">
        <v>3446</v>
      </c>
      <c r="MY310" s="16">
        <v>20124</v>
      </c>
      <c r="MZ310" s="16">
        <v>18474</v>
      </c>
      <c r="NA310" s="16">
        <v>117545</v>
      </c>
      <c r="NB310" s="16">
        <v>348</v>
      </c>
      <c r="NC310" s="16">
        <v>4645</v>
      </c>
      <c r="ND310" s="16">
        <v>2480</v>
      </c>
      <c r="NE310" s="16">
        <v>113</v>
      </c>
      <c r="NF310" s="16">
        <v>10293</v>
      </c>
      <c r="NG310" s="16">
        <v>2374</v>
      </c>
      <c r="NH310" s="16">
        <v>30174</v>
      </c>
      <c r="NI310" s="16">
        <v>5317</v>
      </c>
      <c r="NJ310" s="16">
        <v>3158</v>
      </c>
      <c r="NK310" s="16">
        <v>4422</v>
      </c>
      <c r="NL310" s="16">
        <v>35</v>
      </c>
      <c r="NM310" s="16">
        <v>726</v>
      </c>
      <c r="NN310" s="16">
        <v>177</v>
      </c>
      <c r="NO310" s="16">
        <v>0</v>
      </c>
      <c r="NP310" s="16">
        <v>509</v>
      </c>
      <c r="NQ310" s="16">
        <v>8</v>
      </c>
      <c r="NR310" s="17">
        <v>2992913</v>
      </c>
    </row>
    <row r="311" spans="1:382" ht="13.5" customHeight="1" x14ac:dyDescent="0.2">
      <c r="A311" s="2" t="s">
        <v>629</v>
      </c>
      <c r="B311" s="16">
        <v>7641</v>
      </c>
      <c r="C311" s="16">
        <v>753</v>
      </c>
      <c r="D311" s="16">
        <v>1358</v>
      </c>
      <c r="E311" s="16">
        <v>3562</v>
      </c>
      <c r="F311" s="16">
        <v>6946</v>
      </c>
      <c r="G311" s="16">
        <v>2246</v>
      </c>
      <c r="H311" s="16">
        <v>1344</v>
      </c>
      <c r="I311" s="16">
        <v>6692</v>
      </c>
      <c r="J311" s="16">
        <v>37</v>
      </c>
      <c r="K311" s="16">
        <v>0</v>
      </c>
      <c r="L311" s="16">
        <v>1273</v>
      </c>
      <c r="M311" s="16">
        <v>370</v>
      </c>
      <c r="N311" s="16">
        <v>1</v>
      </c>
      <c r="O311" s="16">
        <v>2182</v>
      </c>
      <c r="P311" s="16">
        <v>4177</v>
      </c>
      <c r="Q311" s="16">
        <v>13697</v>
      </c>
      <c r="R311" s="16">
        <v>4853</v>
      </c>
      <c r="S311" s="16">
        <v>2126</v>
      </c>
      <c r="T311" s="16">
        <v>1235</v>
      </c>
      <c r="U311" s="16">
        <v>1183</v>
      </c>
      <c r="V311" s="16">
        <v>210</v>
      </c>
      <c r="W311" s="16">
        <v>28</v>
      </c>
      <c r="X311" s="16">
        <v>1386</v>
      </c>
      <c r="Y311" s="16">
        <v>1704</v>
      </c>
      <c r="Z311" s="16">
        <v>8498</v>
      </c>
      <c r="AA311" s="16">
        <v>33</v>
      </c>
      <c r="AB311" s="16">
        <v>0</v>
      </c>
      <c r="AC311" s="16">
        <v>0</v>
      </c>
      <c r="AD311" s="16">
        <v>0</v>
      </c>
      <c r="AE311" s="16">
        <v>18</v>
      </c>
      <c r="AF311" s="16">
        <v>2</v>
      </c>
      <c r="AG311" s="16">
        <v>534</v>
      </c>
      <c r="AH311" s="16">
        <v>339</v>
      </c>
      <c r="AI311" s="16">
        <v>156</v>
      </c>
      <c r="AJ311" s="16">
        <v>8817</v>
      </c>
      <c r="AK311" s="16">
        <v>1553</v>
      </c>
      <c r="AL311" s="16">
        <v>6350</v>
      </c>
      <c r="AM311" s="16">
        <v>16823</v>
      </c>
      <c r="AN311" s="16">
        <v>14046</v>
      </c>
      <c r="AO311" s="16">
        <v>18369</v>
      </c>
      <c r="AP311" s="16">
        <v>5850</v>
      </c>
      <c r="AQ311" s="16">
        <v>3948</v>
      </c>
      <c r="AR311" s="16">
        <v>0</v>
      </c>
      <c r="AS311" s="16">
        <v>1255</v>
      </c>
      <c r="AT311" s="16">
        <v>795</v>
      </c>
      <c r="AU311" s="16">
        <v>24428</v>
      </c>
      <c r="AV311" s="16">
        <v>6122</v>
      </c>
      <c r="AW311" s="16">
        <v>15071</v>
      </c>
      <c r="AX311" s="16">
        <v>7689</v>
      </c>
      <c r="AY311" s="16">
        <v>20762</v>
      </c>
      <c r="AZ311" s="16">
        <v>12427</v>
      </c>
      <c r="BA311" s="16">
        <v>77564</v>
      </c>
      <c r="BB311" s="16">
        <v>31850</v>
      </c>
      <c r="BC311" s="16">
        <v>21904</v>
      </c>
      <c r="BD311" s="16">
        <v>453</v>
      </c>
      <c r="BE311" s="16">
        <v>2046</v>
      </c>
      <c r="BF311" s="16">
        <v>2583</v>
      </c>
      <c r="BG311" s="16">
        <v>4043</v>
      </c>
      <c r="BH311" s="16">
        <v>19605</v>
      </c>
      <c r="BI311" s="16">
        <v>6796</v>
      </c>
      <c r="BJ311" s="16">
        <v>392</v>
      </c>
      <c r="BK311" s="16">
        <v>162</v>
      </c>
      <c r="BL311" s="16">
        <v>1261</v>
      </c>
      <c r="BM311" s="16">
        <v>514</v>
      </c>
      <c r="BN311" s="16">
        <v>750</v>
      </c>
      <c r="BO311" s="16">
        <v>1256</v>
      </c>
      <c r="BP311" s="16">
        <v>4217</v>
      </c>
      <c r="BQ311" s="16">
        <v>818</v>
      </c>
      <c r="BR311" s="16">
        <v>1801</v>
      </c>
      <c r="BS311" s="16">
        <v>117215</v>
      </c>
      <c r="BT311" s="16">
        <v>13245</v>
      </c>
      <c r="BU311" s="16">
        <v>767</v>
      </c>
      <c r="BV311" s="16">
        <v>2102</v>
      </c>
      <c r="BW311" s="16">
        <v>8259</v>
      </c>
      <c r="BX311" s="16">
        <v>1280</v>
      </c>
      <c r="BY311" s="16">
        <v>24</v>
      </c>
      <c r="BZ311" s="16">
        <v>2406</v>
      </c>
      <c r="CA311" s="16">
        <v>8828</v>
      </c>
      <c r="CB311" s="16">
        <v>383</v>
      </c>
      <c r="CC311" s="16">
        <v>882</v>
      </c>
      <c r="CD311" s="16">
        <v>641</v>
      </c>
      <c r="CE311" s="16">
        <v>397</v>
      </c>
      <c r="CF311" s="16">
        <v>778</v>
      </c>
      <c r="CG311" s="16">
        <v>358</v>
      </c>
      <c r="CH311" s="16">
        <v>1592</v>
      </c>
      <c r="CI311" s="16">
        <v>86</v>
      </c>
      <c r="CJ311" s="16">
        <v>1196</v>
      </c>
      <c r="CK311" s="16">
        <v>6756</v>
      </c>
      <c r="CL311" s="16">
        <v>21710</v>
      </c>
      <c r="CM311" s="16">
        <v>12585</v>
      </c>
      <c r="CN311" s="16">
        <v>2399</v>
      </c>
      <c r="CO311" s="16">
        <v>7429</v>
      </c>
      <c r="CP311" s="16">
        <v>4325</v>
      </c>
      <c r="CQ311" s="16">
        <v>18760</v>
      </c>
      <c r="CR311" s="16">
        <v>328</v>
      </c>
      <c r="CS311" s="16">
        <v>722</v>
      </c>
      <c r="CT311" s="16">
        <v>5147</v>
      </c>
      <c r="CU311" s="16">
        <v>1310</v>
      </c>
      <c r="CV311" s="16">
        <v>1551</v>
      </c>
      <c r="CW311" s="16">
        <v>6869</v>
      </c>
      <c r="CX311" s="16">
        <v>2914</v>
      </c>
      <c r="CY311" s="16">
        <v>1616</v>
      </c>
      <c r="CZ311" s="16">
        <v>520</v>
      </c>
      <c r="DA311" s="16">
        <v>716</v>
      </c>
      <c r="DB311" s="16">
        <v>1133</v>
      </c>
      <c r="DC311" s="16">
        <v>219</v>
      </c>
      <c r="DD311" s="16">
        <v>764</v>
      </c>
      <c r="DE311" s="16">
        <v>2208</v>
      </c>
      <c r="DF311" s="16">
        <v>1466</v>
      </c>
      <c r="DG311" s="16">
        <v>802</v>
      </c>
      <c r="DH311" s="16">
        <v>3229</v>
      </c>
      <c r="DI311" s="16">
        <v>1947</v>
      </c>
      <c r="DJ311" s="16">
        <v>6245</v>
      </c>
      <c r="DK311" s="16">
        <v>569</v>
      </c>
      <c r="DL311" s="16">
        <v>891</v>
      </c>
      <c r="DM311" s="16">
        <v>75312</v>
      </c>
      <c r="DN311" s="16">
        <v>1541</v>
      </c>
      <c r="DO311" s="16">
        <v>2009</v>
      </c>
      <c r="DP311" s="16">
        <v>2221</v>
      </c>
      <c r="DQ311" s="16">
        <v>532</v>
      </c>
      <c r="DR311" s="16">
        <v>13476</v>
      </c>
      <c r="DS311" s="16">
        <v>26527</v>
      </c>
      <c r="DT311" s="16">
        <v>1030</v>
      </c>
      <c r="DU311" s="16">
        <v>2418</v>
      </c>
      <c r="DV311" s="16">
        <v>4191</v>
      </c>
      <c r="DW311" s="16">
        <v>6871</v>
      </c>
      <c r="DX311" s="16">
        <v>6720</v>
      </c>
      <c r="DY311" s="16">
        <v>11354</v>
      </c>
      <c r="DZ311" s="16">
        <v>357016</v>
      </c>
      <c r="EA311" s="16">
        <v>17899</v>
      </c>
      <c r="EB311" s="16">
        <v>4340</v>
      </c>
      <c r="EC311" s="16">
        <v>2692</v>
      </c>
      <c r="ED311" s="16">
        <v>660</v>
      </c>
      <c r="EE311" s="16">
        <v>340</v>
      </c>
      <c r="EF311" s="16">
        <v>4755</v>
      </c>
      <c r="EG311" s="16">
        <v>5571</v>
      </c>
      <c r="EH311" s="16">
        <v>1435</v>
      </c>
      <c r="EI311" s="16">
        <v>343</v>
      </c>
      <c r="EJ311" s="16">
        <v>554</v>
      </c>
      <c r="EK311" s="16">
        <v>170</v>
      </c>
      <c r="EL311" s="16">
        <v>104</v>
      </c>
      <c r="EM311" s="16">
        <v>524</v>
      </c>
      <c r="EN311" s="16">
        <v>1299</v>
      </c>
      <c r="EO311" s="16">
        <v>1106</v>
      </c>
      <c r="EP311" s="16">
        <v>339</v>
      </c>
      <c r="EQ311" s="16">
        <v>406</v>
      </c>
      <c r="ER311" s="16">
        <v>278</v>
      </c>
      <c r="ES311" s="16">
        <v>652</v>
      </c>
      <c r="ET311" s="16">
        <v>1742</v>
      </c>
      <c r="EU311" s="16">
        <v>262</v>
      </c>
      <c r="EV311" s="16">
        <v>573</v>
      </c>
      <c r="EW311" s="16">
        <v>1092</v>
      </c>
      <c r="EX311" s="16">
        <v>31692</v>
      </c>
      <c r="EY311" s="16">
        <v>20379</v>
      </c>
      <c r="EZ311" s="16">
        <v>5221</v>
      </c>
      <c r="FA311" s="16">
        <v>1003</v>
      </c>
      <c r="FB311" s="16">
        <v>14558</v>
      </c>
      <c r="FC311" s="16">
        <v>684</v>
      </c>
      <c r="FD311" s="16">
        <v>3605</v>
      </c>
      <c r="FE311" s="16">
        <v>3198</v>
      </c>
      <c r="FF311" s="16">
        <v>2984</v>
      </c>
      <c r="FG311" s="16">
        <v>3459</v>
      </c>
      <c r="FH311" s="16">
        <v>959</v>
      </c>
      <c r="FI311" s="16">
        <v>5804</v>
      </c>
      <c r="FJ311" s="16">
        <v>8546</v>
      </c>
      <c r="FK311" s="16">
        <v>512</v>
      </c>
      <c r="FL311" s="16">
        <v>3960</v>
      </c>
      <c r="FM311" s="16">
        <v>1798</v>
      </c>
      <c r="FN311" s="16">
        <v>1971</v>
      </c>
      <c r="FO311" s="16">
        <v>1513</v>
      </c>
      <c r="FP311" s="16">
        <v>1394</v>
      </c>
      <c r="FQ311" s="16">
        <v>6282</v>
      </c>
      <c r="FR311" s="16">
        <v>2591</v>
      </c>
      <c r="FS311" s="16">
        <v>1355</v>
      </c>
      <c r="FT311" s="16">
        <v>1876</v>
      </c>
      <c r="FU311" s="16">
        <v>3278</v>
      </c>
      <c r="FV311" s="16">
        <v>4969</v>
      </c>
      <c r="FW311" s="16">
        <v>6073</v>
      </c>
      <c r="FX311" s="16">
        <v>8009</v>
      </c>
      <c r="FY311" s="16">
        <v>3163</v>
      </c>
      <c r="FZ311" s="16">
        <v>2942</v>
      </c>
      <c r="GA311" s="16">
        <v>2031</v>
      </c>
      <c r="GB311" s="16">
        <v>4561</v>
      </c>
      <c r="GC311" s="16">
        <v>1823</v>
      </c>
      <c r="GD311" s="16">
        <v>3110</v>
      </c>
      <c r="GE311" s="16">
        <v>10619</v>
      </c>
      <c r="GF311" s="16">
        <v>56204</v>
      </c>
      <c r="GG311" s="16">
        <v>13518</v>
      </c>
      <c r="GH311" s="16">
        <v>7352</v>
      </c>
      <c r="GI311" s="16">
        <v>8055</v>
      </c>
      <c r="GJ311" s="16">
        <v>6498</v>
      </c>
      <c r="GK311" s="16">
        <v>10389</v>
      </c>
      <c r="GL311" s="16">
        <v>7805</v>
      </c>
      <c r="GM311" s="16">
        <v>19628</v>
      </c>
      <c r="GN311" s="16">
        <v>7401</v>
      </c>
      <c r="GO311" s="16">
        <v>5945</v>
      </c>
      <c r="GP311" s="16">
        <v>68606</v>
      </c>
      <c r="GQ311" s="16">
        <v>4921</v>
      </c>
      <c r="GR311" s="16">
        <v>3019</v>
      </c>
      <c r="GS311" s="16">
        <v>5458</v>
      </c>
      <c r="GT311" s="16">
        <v>4959</v>
      </c>
      <c r="GU311" s="16">
        <v>17815</v>
      </c>
      <c r="GV311" s="16">
        <v>18834</v>
      </c>
      <c r="GW311" s="16">
        <v>7448</v>
      </c>
      <c r="GX311" s="16">
        <v>5884</v>
      </c>
      <c r="GY311" s="16">
        <v>106</v>
      </c>
      <c r="GZ311" s="16">
        <v>3991</v>
      </c>
      <c r="HA311" s="16">
        <v>1583</v>
      </c>
      <c r="HB311" s="16">
        <v>2419</v>
      </c>
      <c r="HC311" s="16">
        <v>3320</v>
      </c>
      <c r="HD311" s="16">
        <v>4074</v>
      </c>
      <c r="HE311" s="16">
        <v>4560</v>
      </c>
      <c r="HF311" s="16">
        <v>3878</v>
      </c>
      <c r="HG311" s="16">
        <v>2263</v>
      </c>
      <c r="HH311" s="16">
        <v>4257</v>
      </c>
      <c r="HI311" s="16">
        <v>4661</v>
      </c>
      <c r="HJ311" s="16">
        <v>1513</v>
      </c>
      <c r="HK311" s="16">
        <v>6698</v>
      </c>
      <c r="HL311" s="16">
        <v>7812</v>
      </c>
      <c r="HM311" s="16">
        <v>1484</v>
      </c>
      <c r="HN311" s="16">
        <v>8309</v>
      </c>
      <c r="HO311" s="16">
        <v>842</v>
      </c>
      <c r="HP311" s="16">
        <v>1879</v>
      </c>
      <c r="HQ311" s="16">
        <v>5160</v>
      </c>
      <c r="HR311" s="16">
        <v>6090</v>
      </c>
      <c r="HS311" s="16">
        <v>5216</v>
      </c>
      <c r="HT311" s="16">
        <v>5313</v>
      </c>
      <c r="HU311" s="16">
        <v>4218</v>
      </c>
      <c r="HV311" s="16">
        <v>1042</v>
      </c>
      <c r="HW311" s="16">
        <v>4512</v>
      </c>
      <c r="HX311" s="16">
        <v>2737</v>
      </c>
      <c r="HY311" s="16">
        <v>4132</v>
      </c>
      <c r="HZ311" s="16">
        <v>8565</v>
      </c>
      <c r="IA311" s="16">
        <v>6989</v>
      </c>
      <c r="IB311" s="16">
        <v>804</v>
      </c>
      <c r="IC311" s="16">
        <v>343</v>
      </c>
      <c r="ID311" s="16">
        <v>933</v>
      </c>
      <c r="IE311" s="16">
        <v>254</v>
      </c>
      <c r="IF311" s="16">
        <v>848</v>
      </c>
      <c r="IG311" s="16">
        <v>5622</v>
      </c>
      <c r="IH311" s="16">
        <v>52101</v>
      </c>
      <c r="II311" s="16">
        <v>5527</v>
      </c>
      <c r="IJ311" s="16">
        <v>1831</v>
      </c>
      <c r="IK311" s="16">
        <v>2747</v>
      </c>
      <c r="IL311" s="16">
        <v>1341</v>
      </c>
      <c r="IM311" s="16">
        <v>200</v>
      </c>
      <c r="IN311" s="16">
        <v>38074</v>
      </c>
      <c r="IO311" s="16">
        <v>60455</v>
      </c>
      <c r="IP311" s="16">
        <v>16982</v>
      </c>
      <c r="IQ311" s="16">
        <v>1179</v>
      </c>
      <c r="IR311" s="16">
        <v>1071</v>
      </c>
      <c r="IS311" s="16">
        <v>2242</v>
      </c>
      <c r="IT311" s="16">
        <v>2807</v>
      </c>
      <c r="IU311" s="16">
        <v>91</v>
      </c>
      <c r="IV311" s="16">
        <v>3211</v>
      </c>
      <c r="IW311" s="16">
        <v>9028</v>
      </c>
      <c r="IX311" s="16">
        <v>2643</v>
      </c>
      <c r="IY311" s="16">
        <v>5679</v>
      </c>
      <c r="IZ311" s="16">
        <v>5245</v>
      </c>
      <c r="JA311" s="16">
        <v>2943</v>
      </c>
      <c r="JB311" s="16">
        <v>387</v>
      </c>
      <c r="JC311" s="16">
        <v>962</v>
      </c>
      <c r="JD311" s="16">
        <v>1404</v>
      </c>
      <c r="JE311" s="16">
        <v>5071</v>
      </c>
      <c r="JF311" s="16">
        <v>3114</v>
      </c>
      <c r="JG311" s="16">
        <v>63749</v>
      </c>
      <c r="JH311" s="16">
        <v>23767</v>
      </c>
      <c r="JI311" s="16">
        <v>549</v>
      </c>
      <c r="JJ311" s="16">
        <v>2693</v>
      </c>
      <c r="JK311" s="16">
        <v>956</v>
      </c>
      <c r="JL311" s="16">
        <v>452</v>
      </c>
      <c r="JM311" s="16">
        <v>354</v>
      </c>
      <c r="JN311" s="16">
        <v>4235</v>
      </c>
      <c r="JO311" s="16">
        <v>27507</v>
      </c>
      <c r="JP311" s="16">
        <v>8607</v>
      </c>
      <c r="JQ311" s="16">
        <v>2080</v>
      </c>
      <c r="JR311" s="16">
        <v>19003</v>
      </c>
      <c r="JS311" s="16">
        <v>9994</v>
      </c>
      <c r="JT311" s="16">
        <v>0</v>
      </c>
      <c r="JU311" s="16">
        <v>418555</v>
      </c>
      <c r="JV311" s="16">
        <v>164918</v>
      </c>
      <c r="JW311" s="16">
        <v>18089</v>
      </c>
      <c r="JX311" s="16">
        <v>17512</v>
      </c>
      <c r="JY311" s="16">
        <v>8199</v>
      </c>
      <c r="JZ311" s="16">
        <v>1274</v>
      </c>
      <c r="KA311" s="16">
        <v>3406</v>
      </c>
      <c r="KB311" s="16">
        <v>482</v>
      </c>
      <c r="KC311" s="16">
        <v>691</v>
      </c>
      <c r="KD311" s="16">
        <v>1018</v>
      </c>
      <c r="KE311" s="16">
        <v>384</v>
      </c>
      <c r="KF311" s="16">
        <v>1823</v>
      </c>
      <c r="KG311" s="16">
        <v>658</v>
      </c>
      <c r="KH311" s="16">
        <v>2701</v>
      </c>
      <c r="KI311" s="16">
        <v>2298</v>
      </c>
      <c r="KJ311" s="16">
        <v>2605</v>
      </c>
      <c r="KK311" s="16">
        <v>6819910</v>
      </c>
      <c r="KL311" s="16">
        <v>273</v>
      </c>
      <c r="KM311" s="16">
        <v>2163</v>
      </c>
      <c r="KN311" s="16">
        <v>18531</v>
      </c>
      <c r="KO311" s="16">
        <v>1375</v>
      </c>
      <c r="KP311" s="16">
        <v>672</v>
      </c>
      <c r="KQ311" s="16">
        <v>797</v>
      </c>
      <c r="KR311" s="16">
        <v>11783</v>
      </c>
      <c r="KS311" s="16">
        <v>27088</v>
      </c>
      <c r="KT311" s="16">
        <v>2730</v>
      </c>
      <c r="KU311" s="16">
        <v>7206</v>
      </c>
      <c r="KV311" s="16">
        <v>95388</v>
      </c>
      <c r="KW311" s="16">
        <v>441398</v>
      </c>
      <c r="KX311" s="16">
        <v>30460</v>
      </c>
      <c r="KY311" s="16">
        <v>319446</v>
      </c>
      <c r="KZ311" s="16">
        <v>328635</v>
      </c>
      <c r="LA311" s="16">
        <v>79244</v>
      </c>
      <c r="LB311" s="16">
        <v>42166</v>
      </c>
      <c r="LC311" s="16">
        <v>89668</v>
      </c>
      <c r="LD311" s="16">
        <v>36513</v>
      </c>
      <c r="LE311" s="16">
        <v>10478</v>
      </c>
      <c r="LF311" s="16">
        <v>10335</v>
      </c>
      <c r="LG311" s="16">
        <v>1441</v>
      </c>
      <c r="LH311" s="16">
        <v>6249</v>
      </c>
      <c r="LI311" s="16">
        <v>1803</v>
      </c>
      <c r="LJ311" s="16">
        <v>8257</v>
      </c>
      <c r="LK311" s="16">
        <v>36865</v>
      </c>
      <c r="LL311" s="16">
        <v>23824</v>
      </c>
      <c r="LM311" s="16">
        <v>187436</v>
      </c>
      <c r="LN311" s="16">
        <v>63266</v>
      </c>
      <c r="LO311" s="16">
        <v>18344</v>
      </c>
      <c r="LP311" s="16">
        <v>18635</v>
      </c>
      <c r="LQ311" s="16">
        <v>775</v>
      </c>
      <c r="LR311" s="16">
        <v>16839</v>
      </c>
      <c r="LS311" s="16">
        <v>1902</v>
      </c>
      <c r="LT311" s="16">
        <v>19553</v>
      </c>
      <c r="LU311" s="16">
        <v>1943</v>
      </c>
      <c r="LV311" s="16">
        <v>24</v>
      </c>
      <c r="LW311" s="16">
        <v>19902</v>
      </c>
      <c r="LX311" s="16">
        <v>27950</v>
      </c>
      <c r="LY311" s="16">
        <v>214</v>
      </c>
      <c r="LZ311" s="16">
        <v>59793</v>
      </c>
      <c r="MA311" s="16">
        <v>19967</v>
      </c>
      <c r="MB311" s="16">
        <v>10683</v>
      </c>
      <c r="MC311" s="16">
        <v>8552</v>
      </c>
      <c r="MD311" s="16">
        <v>21154</v>
      </c>
      <c r="ME311" s="16">
        <v>9003</v>
      </c>
      <c r="MF311" s="16">
        <v>420760</v>
      </c>
      <c r="MG311" s="16">
        <v>138514</v>
      </c>
      <c r="MH311" s="16">
        <v>141362</v>
      </c>
      <c r="MI311" s="16">
        <v>128901</v>
      </c>
      <c r="MJ311" s="16">
        <v>31323</v>
      </c>
      <c r="MK311" s="16">
        <v>11073</v>
      </c>
      <c r="ML311" s="16">
        <v>13098</v>
      </c>
      <c r="MM311" s="16">
        <v>50060</v>
      </c>
      <c r="MN311" s="16">
        <v>242498</v>
      </c>
      <c r="MO311" s="16">
        <v>44104</v>
      </c>
      <c r="MP311" s="16">
        <v>18646</v>
      </c>
      <c r="MQ311" s="16">
        <v>264836</v>
      </c>
      <c r="MR311" s="16">
        <v>60059</v>
      </c>
      <c r="MS311" s="16">
        <v>30666</v>
      </c>
      <c r="MT311" s="16">
        <v>4955</v>
      </c>
      <c r="MU311" s="16">
        <v>31805</v>
      </c>
      <c r="MV311" s="16">
        <v>43476</v>
      </c>
      <c r="MW311" s="16">
        <v>63418</v>
      </c>
      <c r="MX311" s="16">
        <v>4679</v>
      </c>
      <c r="MY311" s="16">
        <v>136851</v>
      </c>
      <c r="MZ311" s="16">
        <v>165241</v>
      </c>
      <c r="NA311" s="16">
        <v>5859</v>
      </c>
      <c r="NB311" s="16">
        <v>78552</v>
      </c>
      <c r="NC311" s="16">
        <v>13314</v>
      </c>
      <c r="ND311" s="16">
        <v>11575</v>
      </c>
      <c r="NE311" s="16">
        <v>19226</v>
      </c>
      <c r="NF311" s="16">
        <v>11082</v>
      </c>
      <c r="NG311" s="16">
        <v>20231</v>
      </c>
      <c r="NH311" s="16">
        <v>17871</v>
      </c>
      <c r="NI311" s="16">
        <v>38782</v>
      </c>
      <c r="NJ311" s="16">
        <v>72236</v>
      </c>
      <c r="NK311" s="16">
        <v>40822</v>
      </c>
      <c r="NL311" s="16">
        <v>129786</v>
      </c>
      <c r="NM311" s="16">
        <v>106665</v>
      </c>
      <c r="NN311" s="16">
        <v>11282</v>
      </c>
      <c r="NO311" s="16">
        <v>0</v>
      </c>
      <c r="NP311" s="16">
        <v>19108</v>
      </c>
      <c r="NQ311" s="16">
        <v>1141</v>
      </c>
      <c r="NR311" s="17">
        <v>14472299</v>
      </c>
    </row>
    <row r="312" spans="1:382" ht="13.5" customHeight="1" x14ac:dyDescent="0.2">
      <c r="A312" s="2" t="s">
        <v>631</v>
      </c>
      <c r="B312" s="16">
        <v>11548</v>
      </c>
      <c r="C312" s="16">
        <v>234</v>
      </c>
      <c r="D312" s="16">
        <v>6775</v>
      </c>
      <c r="E312" s="16">
        <v>5799</v>
      </c>
      <c r="F312" s="16">
        <v>52280</v>
      </c>
      <c r="G312" s="16">
        <v>40583</v>
      </c>
      <c r="H312" s="16">
        <v>2624</v>
      </c>
      <c r="I312" s="16">
        <v>4799</v>
      </c>
      <c r="J312" s="16">
        <v>157</v>
      </c>
      <c r="K312" s="16">
        <v>0</v>
      </c>
      <c r="L312" s="16">
        <v>1424</v>
      </c>
      <c r="M312" s="16">
        <v>2879</v>
      </c>
      <c r="N312" s="16">
        <v>130</v>
      </c>
      <c r="O312" s="16">
        <v>1492</v>
      </c>
      <c r="P312" s="16">
        <v>22133</v>
      </c>
      <c r="Q312" s="16">
        <v>28032</v>
      </c>
      <c r="R312" s="16">
        <v>15923</v>
      </c>
      <c r="S312" s="16">
        <v>3392</v>
      </c>
      <c r="T312" s="16">
        <v>2558</v>
      </c>
      <c r="U312" s="16">
        <v>1671</v>
      </c>
      <c r="V312" s="16">
        <v>3072</v>
      </c>
      <c r="W312" s="16">
        <v>659</v>
      </c>
      <c r="X312" s="16">
        <v>43422</v>
      </c>
      <c r="Y312" s="16">
        <v>41617</v>
      </c>
      <c r="Z312" s="16">
        <v>17860</v>
      </c>
      <c r="AA312" s="16">
        <v>1171</v>
      </c>
      <c r="AB312" s="16">
        <v>0</v>
      </c>
      <c r="AC312" s="16">
        <v>0</v>
      </c>
      <c r="AD312" s="16">
        <v>0</v>
      </c>
      <c r="AE312" s="16">
        <v>682</v>
      </c>
      <c r="AF312" s="16">
        <v>150</v>
      </c>
      <c r="AG312" s="16">
        <v>36619</v>
      </c>
      <c r="AH312" s="16">
        <v>30825</v>
      </c>
      <c r="AI312" s="16">
        <v>9132</v>
      </c>
      <c r="AJ312" s="16">
        <v>123119</v>
      </c>
      <c r="AK312" s="16">
        <v>13016</v>
      </c>
      <c r="AL312" s="16">
        <v>8020</v>
      </c>
      <c r="AM312" s="16">
        <v>24550</v>
      </c>
      <c r="AN312" s="16">
        <v>18252</v>
      </c>
      <c r="AO312" s="16">
        <v>24604</v>
      </c>
      <c r="AP312" s="16">
        <v>2008</v>
      </c>
      <c r="AQ312" s="16">
        <v>9298</v>
      </c>
      <c r="AR312" s="16">
        <v>0</v>
      </c>
      <c r="AS312" s="16">
        <v>3350</v>
      </c>
      <c r="AT312" s="16">
        <v>7938</v>
      </c>
      <c r="AU312" s="16">
        <v>30725</v>
      </c>
      <c r="AV312" s="16">
        <v>7488</v>
      </c>
      <c r="AW312" s="16">
        <v>29368</v>
      </c>
      <c r="AX312" s="16">
        <v>6952</v>
      </c>
      <c r="AY312" s="16">
        <v>7356</v>
      </c>
      <c r="AZ312" s="16">
        <v>13074</v>
      </c>
      <c r="BA312" s="16">
        <v>6899</v>
      </c>
      <c r="BB312" s="16">
        <v>16540</v>
      </c>
      <c r="BC312" s="16">
        <v>75535</v>
      </c>
      <c r="BD312" s="16">
        <v>2830</v>
      </c>
      <c r="BE312" s="16">
        <v>15494</v>
      </c>
      <c r="BF312" s="16">
        <v>38193</v>
      </c>
      <c r="BG312" s="16">
        <v>14378</v>
      </c>
      <c r="BH312" s="16">
        <v>22911</v>
      </c>
      <c r="BI312" s="16">
        <v>24683</v>
      </c>
      <c r="BJ312" s="16">
        <v>7134</v>
      </c>
      <c r="BK312" s="16">
        <v>8116</v>
      </c>
      <c r="BL312" s="16">
        <v>43991</v>
      </c>
      <c r="BM312" s="16">
        <v>6905</v>
      </c>
      <c r="BN312" s="16">
        <v>18804</v>
      </c>
      <c r="BO312" s="16">
        <v>51271</v>
      </c>
      <c r="BP312" s="16">
        <v>114279</v>
      </c>
      <c r="BQ312" s="16">
        <v>7270</v>
      </c>
      <c r="BR312" s="16">
        <v>7882</v>
      </c>
      <c r="BS312" s="16">
        <v>129386</v>
      </c>
      <c r="BT312" s="16">
        <v>1146</v>
      </c>
      <c r="BU312" s="16">
        <v>664</v>
      </c>
      <c r="BV312" s="16">
        <v>391</v>
      </c>
      <c r="BW312" s="16">
        <v>11381</v>
      </c>
      <c r="BX312" s="16">
        <v>2734</v>
      </c>
      <c r="BY312" s="16">
        <v>19</v>
      </c>
      <c r="BZ312" s="16">
        <v>16556</v>
      </c>
      <c r="CA312" s="16">
        <v>13036</v>
      </c>
      <c r="CB312" s="16">
        <v>2268</v>
      </c>
      <c r="CC312" s="16">
        <v>14012</v>
      </c>
      <c r="CD312" s="16">
        <v>7894</v>
      </c>
      <c r="CE312" s="16">
        <v>5809</v>
      </c>
      <c r="CF312" s="16">
        <v>23174</v>
      </c>
      <c r="CG312" s="16">
        <v>17622</v>
      </c>
      <c r="CH312" s="16">
        <v>15368</v>
      </c>
      <c r="CI312" s="16">
        <v>2283</v>
      </c>
      <c r="CJ312" s="16">
        <v>30214</v>
      </c>
      <c r="CK312" s="16">
        <v>42945</v>
      </c>
      <c r="CL312" s="16">
        <v>13685</v>
      </c>
      <c r="CM312" s="16">
        <v>28851</v>
      </c>
      <c r="CN312" s="16">
        <v>7045</v>
      </c>
      <c r="CO312" s="16">
        <v>23161</v>
      </c>
      <c r="CP312" s="16">
        <v>28289</v>
      </c>
      <c r="CQ312" s="16">
        <v>185439</v>
      </c>
      <c r="CR312" s="16">
        <v>5305</v>
      </c>
      <c r="CS312" s="16">
        <v>19988</v>
      </c>
      <c r="CT312" s="16">
        <v>15515</v>
      </c>
      <c r="CU312" s="16">
        <v>27659</v>
      </c>
      <c r="CV312" s="16">
        <v>17166</v>
      </c>
      <c r="CW312" s="16">
        <v>35806</v>
      </c>
      <c r="CX312" s="16">
        <v>19120</v>
      </c>
      <c r="CY312" s="16">
        <v>4742</v>
      </c>
      <c r="CZ312" s="16">
        <v>10013</v>
      </c>
      <c r="DA312" s="16">
        <v>4754</v>
      </c>
      <c r="DB312" s="16">
        <v>14192</v>
      </c>
      <c r="DC312" s="16">
        <v>17368</v>
      </c>
      <c r="DD312" s="16">
        <v>20648</v>
      </c>
      <c r="DE312" s="16">
        <v>47119</v>
      </c>
      <c r="DF312" s="16">
        <v>63657</v>
      </c>
      <c r="DG312" s="16">
        <v>32362</v>
      </c>
      <c r="DH312" s="16">
        <v>67032</v>
      </c>
      <c r="DI312" s="16">
        <v>7762</v>
      </c>
      <c r="DJ312" s="16">
        <v>210377</v>
      </c>
      <c r="DK312" s="16">
        <v>13826</v>
      </c>
      <c r="DL312" s="16">
        <v>17903</v>
      </c>
      <c r="DM312" s="16">
        <v>205929</v>
      </c>
      <c r="DN312" s="16">
        <v>10304</v>
      </c>
      <c r="DO312" s="16">
        <v>18245</v>
      </c>
      <c r="DP312" s="16">
        <v>38744</v>
      </c>
      <c r="DQ312" s="16">
        <v>6798</v>
      </c>
      <c r="DR312" s="16">
        <v>40953</v>
      </c>
      <c r="DS312" s="16">
        <v>85217</v>
      </c>
      <c r="DT312" s="16">
        <v>15989</v>
      </c>
      <c r="DU312" s="16">
        <v>15474</v>
      </c>
      <c r="DV312" s="16">
        <v>50066</v>
      </c>
      <c r="DW312" s="16">
        <v>60954</v>
      </c>
      <c r="DX312" s="16">
        <v>33631</v>
      </c>
      <c r="DY312" s="16">
        <v>94871</v>
      </c>
      <c r="DZ312" s="16">
        <v>175918</v>
      </c>
      <c r="EA312" s="16">
        <v>63284</v>
      </c>
      <c r="EB312" s="16">
        <v>20617</v>
      </c>
      <c r="EC312" s="16">
        <v>23685</v>
      </c>
      <c r="ED312" s="16">
        <v>9112</v>
      </c>
      <c r="EE312" s="16">
        <v>3974</v>
      </c>
      <c r="EF312" s="16">
        <v>4078</v>
      </c>
      <c r="EG312" s="16">
        <v>17464</v>
      </c>
      <c r="EH312" s="16">
        <v>5715</v>
      </c>
      <c r="EI312" s="16">
        <v>46508</v>
      </c>
      <c r="EJ312" s="16">
        <v>11395</v>
      </c>
      <c r="EK312" s="16">
        <v>9096</v>
      </c>
      <c r="EL312" s="16">
        <v>6028</v>
      </c>
      <c r="EM312" s="16">
        <v>11043</v>
      </c>
      <c r="EN312" s="16">
        <v>53732</v>
      </c>
      <c r="EO312" s="16">
        <v>41399</v>
      </c>
      <c r="EP312" s="16">
        <v>9783</v>
      </c>
      <c r="EQ312" s="16">
        <v>19031</v>
      </c>
      <c r="ER312" s="16">
        <v>5501</v>
      </c>
      <c r="ES312" s="16">
        <v>20340</v>
      </c>
      <c r="ET312" s="16">
        <v>31631</v>
      </c>
      <c r="EU312" s="16">
        <v>1342</v>
      </c>
      <c r="EV312" s="16">
        <v>2450</v>
      </c>
      <c r="EW312" s="16">
        <v>7159</v>
      </c>
      <c r="EX312" s="16">
        <v>57421</v>
      </c>
      <c r="EY312" s="16">
        <v>24343</v>
      </c>
      <c r="EZ312" s="16">
        <v>6255</v>
      </c>
      <c r="FA312" s="16">
        <v>20836</v>
      </c>
      <c r="FB312" s="16">
        <v>39990</v>
      </c>
      <c r="FC312" s="16">
        <v>26738</v>
      </c>
      <c r="FD312" s="16">
        <v>56214</v>
      </c>
      <c r="FE312" s="16">
        <v>27353</v>
      </c>
      <c r="FF312" s="16">
        <v>40007</v>
      </c>
      <c r="FG312" s="16">
        <v>65922</v>
      </c>
      <c r="FH312" s="16">
        <v>2751</v>
      </c>
      <c r="FI312" s="16">
        <v>17576</v>
      </c>
      <c r="FJ312" s="16">
        <v>5441</v>
      </c>
      <c r="FK312" s="16">
        <v>13641</v>
      </c>
      <c r="FL312" s="16">
        <v>4200</v>
      </c>
      <c r="FM312" s="16">
        <v>23863</v>
      </c>
      <c r="FN312" s="16">
        <v>42161</v>
      </c>
      <c r="FO312" s="16">
        <v>13718</v>
      </c>
      <c r="FP312" s="16">
        <v>77880</v>
      </c>
      <c r="FQ312" s="16">
        <v>109187</v>
      </c>
      <c r="FR312" s="16">
        <v>51077</v>
      </c>
      <c r="FS312" s="16">
        <v>31378</v>
      </c>
      <c r="FT312" s="16">
        <v>29446</v>
      </c>
      <c r="FU312" s="16">
        <v>60372</v>
      </c>
      <c r="FV312" s="16">
        <v>54380</v>
      </c>
      <c r="FW312" s="16">
        <v>96583</v>
      </c>
      <c r="FX312" s="16">
        <v>159449</v>
      </c>
      <c r="FY312" s="16">
        <v>14412</v>
      </c>
      <c r="FZ312" s="16">
        <v>28968</v>
      </c>
      <c r="GA312" s="16">
        <v>15806</v>
      </c>
      <c r="GB312" s="16">
        <v>95473</v>
      </c>
      <c r="GC312" s="16">
        <v>22542</v>
      </c>
      <c r="GD312" s="16">
        <v>44401</v>
      </c>
      <c r="GE312" s="16">
        <v>10560</v>
      </c>
      <c r="GF312" s="16">
        <v>175861</v>
      </c>
      <c r="GG312" s="16">
        <v>10150</v>
      </c>
      <c r="GH312" s="16">
        <v>129636</v>
      </c>
      <c r="GI312" s="16">
        <v>47182</v>
      </c>
      <c r="GJ312" s="16">
        <v>38249</v>
      </c>
      <c r="GK312" s="16">
        <v>31817</v>
      </c>
      <c r="GL312" s="16">
        <v>7523</v>
      </c>
      <c r="GM312" s="16">
        <v>86834</v>
      </c>
      <c r="GN312" s="16">
        <v>17512</v>
      </c>
      <c r="GO312" s="16">
        <v>15865</v>
      </c>
      <c r="GP312" s="16">
        <v>135777</v>
      </c>
      <c r="GQ312" s="16">
        <v>3964</v>
      </c>
      <c r="GR312" s="16">
        <v>34108</v>
      </c>
      <c r="GS312" s="16">
        <v>11824</v>
      </c>
      <c r="GT312" s="16">
        <v>14446</v>
      </c>
      <c r="GU312" s="16">
        <v>94696</v>
      </c>
      <c r="GV312" s="16">
        <v>39014</v>
      </c>
      <c r="GW312" s="16">
        <v>49953</v>
      </c>
      <c r="GX312" s="16">
        <v>18277</v>
      </c>
      <c r="GY312" s="16">
        <v>482</v>
      </c>
      <c r="GZ312" s="16">
        <v>34275</v>
      </c>
      <c r="HA312" s="16">
        <v>14540</v>
      </c>
      <c r="HB312" s="16">
        <v>15683</v>
      </c>
      <c r="HC312" s="16">
        <v>31852</v>
      </c>
      <c r="HD312" s="16">
        <v>51641</v>
      </c>
      <c r="HE312" s="16">
        <v>45446</v>
      </c>
      <c r="HF312" s="16">
        <v>49388</v>
      </c>
      <c r="HG312" s="16">
        <v>21073</v>
      </c>
      <c r="HH312" s="16">
        <v>18399</v>
      </c>
      <c r="HI312" s="16">
        <v>43865</v>
      </c>
      <c r="HJ312" s="16">
        <v>5493</v>
      </c>
      <c r="HK312" s="16">
        <v>38192</v>
      </c>
      <c r="HL312" s="16">
        <v>77034</v>
      </c>
      <c r="HM312" s="16">
        <v>35374</v>
      </c>
      <c r="HN312" s="16">
        <v>214812</v>
      </c>
      <c r="HO312" s="16">
        <v>26216</v>
      </c>
      <c r="HP312" s="16">
        <v>14198</v>
      </c>
      <c r="HQ312" s="16">
        <v>80991</v>
      </c>
      <c r="HR312" s="16">
        <v>87933</v>
      </c>
      <c r="HS312" s="16">
        <v>49043</v>
      </c>
      <c r="HT312" s="16">
        <v>5858</v>
      </c>
      <c r="HU312" s="16">
        <v>66040</v>
      </c>
      <c r="HV312" s="16">
        <v>19460</v>
      </c>
      <c r="HW312" s="16">
        <v>47193</v>
      </c>
      <c r="HX312" s="16">
        <v>58028</v>
      </c>
      <c r="HY312" s="16">
        <v>89906</v>
      </c>
      <c r="HZ312" s="16">
        <v>123300</v>
      </c>
      <c r="IA312" s="16">
        <v>32499</v>
      </c>
      <c r="IB312" s="16">
        <v>8315</v>
      </c>
      <c r="IC312" s="16">
        <v>10792</v>
      </c>
      <c r="ID312" s="16">
        <v>9134</v>
      </c>
      <c r="IE312" s="16">
        <v>4485</v>
      </c>
      <c r="IF312" s="16">
        <v>5807</v>
      </c>
      <c r="IG312" s="16">
        <v>63098</v>
      </c>
      <c r="IH312" s="16">
        <v>268487</v>
      </c>
      <c r="II312" s="16">
        <v>8712</v>
      </c>
      <c r="IJ312" s="16">
        <v>7853</v>
      </c>
      <c r="IK312" s="16">
        <v>5592</v>
      </c>
      <c r="IL312" s="16">
        <v>7404</v>
      </c>
      <c r="IM312" s="16">
        <v>1213</v>
      </c>
      <c r="IN312" s="16">
        <v>215646</v>
      </c>
      <c r="IO312" s="16">
        <v>426721</v>
      </c>
      <c r="IP312" s="16">
        <v>29546</v>
      </c>
      <c r="IQ312" s="16">
        <v>7860</v>
      </c>
      <c r="IR312" s="16">
        <v>14832</v>
      </c>
      <c r="IS312" s="16">
        <v>6095</v>
      </c>
      <c r="IT312" s="16">
        <v>10126</v>
      </c>
      <c r="IU312" s="16">
        <v>888</v>
      </c>
      <c r="IV312" s="16">
        <v>18065</v>
      </c>
      <c r="IW312" s="16">
        <v>34568</v>
      </c>
      <c r="IX312" s="16">
        <v>19970</v>
      </c>
      <c r="IY312" s="16">
        <v>3097</v>
      </c>
      <c r="IZ312" s="16">
        <v>2549</v>
      </c>
      <c r="JA312" s="16">
        <v>13324</v>
      </c>
      <c r="JB312" s="16">
        <v>2253</v>
      </c>
      <c r="JC312" s="16">
        <v>4490</v>
      </c>
      <c r="JD312" s="16">
        <v>8448</v>
      </c>
      <c r="JE312" s="16">
        <v>28688</v>
      </c>
      <c r="JF312" s="16">
        <v>82519</v>
      </c>
      <c r="JG312" s="16">
        <v>2210271</v>
      </c>
      <c r="JH312" s="16">
        <v>68315</v>
      </c>
      <c r="JI312" s="16">
        <v>19019</v>
      </c>
      <c r="JJ312" s="16">
        <v>44616</v>
      </c>
      <c r="JK312" s="16">
        <v>19969</v>
      </c>
      <c r="JL312" s="16">
        <v>15710</v>
      </c>
      <c r="JM312" s="16">
        <v>6307</v>
      </c>
      <c r="JN312" s="16">
        <v>118222</v>
      </c>
      <c r="JO312" s="16">
        <v>10435</v>
      </c>
      <c r="JP312" s="16">
        <v>49903</v>
      </c>
      <c r="JQ312" s="16">
        <v>30506</v>
      </c>
      <c r="JR312" s="16">
        <v>166017</v>
      </c>
      <c r="JS312" s="16">
        <v>27639</v>
      </c>
      <c r="JT312" s="16">
        <v>5</v>
      </c>
      <c r="JU312" s="16">
        <v>222013</v>
      </c>
      <c r="JV312" s="16">
        <v>109624</v>
      </c>
      <c r="JW312" s="16">
        <v>274263</v>
      </c>
      <c r="JX312" s="16">
        <v>260897</v>
      </c>
      <c r="JY312" s="16">
        <v>101954</v>
      </c>
      <c r="JZ312" s="16">
        <v>63084</v>
      </c>
      <c r="KA312" s="16">
        <v>23626</v>
      </c>
      <c r="KB312" s="16">
        <v>14744</v>
      </c>
      <c r="KC312" s="16">
        <v>17907</v>
      </c>
      <c r="KD312" s="16">
        <v>17550</v>
      </c>
      <c r="KE312" s="16">
        <v>7373</v>
      </c>
      <c r="KF312" s="16">
        <v>15106</v>
      </c>
      <c r="KG312" s="16">
        <v>14930</v>
      </c>
      <c r="KH312" s="16">
        <v>12895</v>
      </c>
      <c r="KI312" s="16">
        <v>26766</v>
      </c>
      <c r="KJ312" s="16">
        <v>18395</v>
      </c>
      <c r="KK312" s="16">
        <v>13832975</v>
      </c>
      <c r="KL312" s="16">
        <v>17782</v>
      </c>
      <c r="KM312" s="16">
        <v>59310</v>
      </c>
      <c r="KN312" s="16">
        <v>180807</v>
      </c>
      <c r="KO312" s="16">
        <v>48058</v>
      </c>
      <c r="KP312" s="16">
        <v>12741</v>
      </c>
      <c r="KQ312" s="16">
        <v>195750</v>
      </c>
      <c r="KR312" s="16">
        <v>98647</v>
      </c>
      <c r="KS312" s="16">
        <v>51815</v>
      </c>
      <c r="KT312" s="16">
        <v>7483</v>
      </c>
      <c r="KU312" s="16">
        <v>133715</v>
      </c>
      <c r="KV312" s="16">
        <v>176161</v>
      </c>
      <c r="KW312" s="16">
        <v>494778</v>
      </c>
      <c r="KX312" s="16">
        <v>2123</v>
      </c>
      <c r="KY312" s="16">
        <v>95686</v>
      </c>
      <c r="KZ312" s="16">
        <v>746654</v>
      </c>
      <c r="LA312" s="16">
        <v>135726</v>
      </c>
      <c r="LB312" s="16">
        <v>54628</v>
      </c>
      <c r="LC312" s="16">
        <v>100369</v>
      </c>
      <c r="LD312" s="16">
        <v>106670</v>
      </c>
      <c r="LE312" s="16">
        <v>117945</v>
      </c>
      <c r="LF312" s="16">
        <v>143396</v>
      </c>
      <c r="LG312" s="16">
        <v>39833</v>
      </c>
      <c r="LH312" s="16">
        <v>54527</v>
      </c>
      <c r="LI312" s="16">
        <v>28423</v>
      </c>
      <c r="LJ312" s="16">
        <v>158980</v>
      </c>
      <c r="LK312" s="16">
        <v>274941</v>
      </c>
      <c r="LL312" s="16">
        <v>287771</v>
      </c>
      <c r="LM312" s="16">
        <v>461326</v>
      </c>
      <c r="LN312" s="16">
        <v>355664</v>
      </c>
      <c r="LO312" s="16">
        <v>221017</v>
      </c>
      <c r="LP312" s="16">
        <v>102755</v>
      </c>
      <c r="LQ312" s="16">
        <v>45947</v>
      </c>
      <c r="LR312" s="16">
        <v>798697</v>
      </c>
      <c r="LS312" s="16">
        <v>274391</v>
      </c>
      <c r="LT312" s="16">
        <v>751341</v>
      </c>
      <c r="LU312" s="16">
        <v>500812</v>
      </c>
      <c r="LV312" s="16">
        <v>4472</v>
      </c>
      <c r="LW312" s="16">
        <v>608305</v>
      </c>
      <c r="LX312" s="16">
        <v>450252</v>
      </c>
      <c r="LY312" s="16">
        <v>430578</v>
      </c>
      <c r="LZ312" s="16">
        <v>730153</v>
      </c>
      <c r="MA312" s="16">
        <v>282527</v>
      </c>
      <c r="MB312" s="16">
        <v>186156</v>
      </c>
      <c r="MC312" s="16">
        <v>239618</v>
      </c>
      <c r="MD312" s="16">
        <v>132873</v>
      </c>
      <c r="ME312" s="16">
        <v>59302</v>
      </c>
      <c r="MF312" s="16">
        <v>938421</v>
      </c>
      <c r="MG312" s="16">
        <v>230746</v>
      </c>
      <c r="MH312" s="16">
        <v>6136885</v>
      </c>
      <c r="MI312" s="16">
        <v>48688</v>
      </c>
      <c r="MJ312" s="16">
        <v>802592</v>
      </c>
      <c r="MK312" s="16">
        <v>439705</v>
      </c>
      <c r="ML312" s="16">
        <v>402180</v>
      </c>
      <c r="MM312" s="16">
        <v>298097</v>
      </c>
      <c r="MN312" s="16">
        <v>488547</v>
      </c>
      <c r="MO312" s="16">
        <v>308215</v>
      </c>
      <c r="MP312" s="16">
        <v>1272468</v>
      </c>
      <c r="MQ312" s="16">
        <v>1608344</v>
      </c>
      <c r="MR312" s="16">
        <v>1223816</v>
      </c>
      <c r="MS312" s="16">
        <v>1111923</v>
      </c>
      <c r="MT312" s="16">
        <v>105270</v>
      </c>
      <c r="MU312" s="16">
        <v>451942</v>
      </c>
      <c r="MV312" s="16">
        <v>1483534</v>
      </c>
      <c r="MW312" s="16">
        <v>1354801</v>
      </c>
      <c r="MX312" s="16">
        <v>77286</v>
      </c>
      <c r="MY312" s="16">
        <v>1010928</v>
      </c>
      <c r="MZ312" s="16">
        <v>2162140</v>
      </c>
      <c r="NA312" s="16">
        <v>426642</v>
      </c>
      <c r="NB312" s="16">
        <v>1344097</v>
      </c>
      <c r="NC312" s="16">
        <v>83758</v>
      </c>
      <c r="ND312" s="16">
        <v>94502</v>
      </c>
      <c r="NE312" s="16">
        <v>35559</v>
      </c>
      <c r="NF312" s="16">
        <v>149159</v>
      </c>
      <c r="NG312" s="16">
        <v>359647</v>
      </c>
      <c r="NH312" s="16">
        <v>810283</v>
      </c>
      <c r="NI312" s="16">
        <v>605403</v>
      </c>
      <c r="NJ312" s="16">
        <v>2381325</v>
      </c>
      <c r="NK312" s="16">
        <v>246422</v>
      </c>
      <c r="NL312" s="16">
        <v>147473</v>
      </c>
      <c r="NM312" s="16">
        <v>355396</v>
      </c>
      <c r="NN312" s="16">
        <v>54912</v>
      </c>
      <c r="NO312" s="16">
        <v>0</v>
      </c>
      <c r="NP312" s="16">
        <v>101304</v>
      </c>
      <c r="NQ312" s="16">
        <v>2289</v>
      </c>
      <c r="NR312" s="17">
        <v>66293484</v>
      </c>
    </row>
    <row r="313" spans="1:382" ht="13.5" customHeight="1" x14ac:dyDescent="0.2">
      <c r="A313" s="2" t="s">
        <v>633</v>
      </c>
      <c r="B313" s="16">
        <v>3580</v>
      </c>
      <c r="C313" s="16">
        <v>171</v>
      </c>
      <c r="D313" s="16">
        <v>1564</v>
      </c>
      <c r="E313" s="16">
        <v>1560</v>
      </c>
      <c r="F313" s="16">
        <v>9312</v>
      </c>
      <c r="G313" s="16">
        <v>3670</v>
      </c>
      <c r="H313" s="16">
        <v>168</v>
      </c>
      <c r="I313" s="16">
        <v>1802</v>
      </c>
      <c r="J313" s="16">
        <v>56</v>
      </c>
      <c r="K313" s="16">
        <v>0</v>
      </c>
      <c r="L313" s="16">
        <v>1056</v>
      </c>
      <c r="M313" s="16">
        <v>949</v>
      </c>
      <c r="N313" s="16">
        <v>43</v>
      </c>
      <c r="O313" s="16">
        <v>203</v>
      </c>
      <c r="P313" s="16">
        <v>1334</v>
      </c>
      <c r="Q313" s="16">
        <v>3539</v>
      </c>
      <c r="R313" s="16">
        <v>2919</v>
      </c>
      <c r="S313" s="16">
        <v>498</v>
      </c>
      <c r="T313" s="16">
        <v>1062</v>
      </c>
      <c r="U313" s="16">
        <v>235</v>
      </c>
      <c r="V313" s="16">
        <v>1260</v>
      </c>
      <c r="W313" s="16">
        <v>87</v>
      </c>
      <c r="X313" s="16">
        <v>4497</v>
      </c>
      <c r="Y313" s="16">
        <v>4976</v>
      </c>
      <c r="Z313" s="16">
        <v>4442</v>
      </c>
      <c r="AA313" s="16">
        <v>135</v>
      </c>
      <c r="AB313" s="16">
        <v>0</v>
      </c>
      <c r="AC313" s="16">
        <v>0</v>
      </c>
      <c r="AD313" s="16">
        <v>0</v>
      </c>
      <c r="AE313" s="16">
        <v>82</v>
      </c>
      <c r="AF313" s="16">
        <v>202</v>
      </c>
      <c r="AG313" s="16">
        <v>2069</v>
      </c>
      <c r="AH313" s="16">
        <v>2168</v>
      </c>
      <c r="AI313" s="16">
        <v>946</v>
      </c>
      <c r="AJ313" s="16">
        <v>11656</v>
      </c>
      <c r="AK313" s="16">
        <v>1922</v>
      </c>
      <c r="AL313" s="16">
        <v>174</v>
      </c>
      <c r="AM313" s="16">
        <v>1325</v>
      </c>
      <c r="AN313" s="16">
        <v>752</v>
      </c>
      <c r="AO313" s="16">
        <v>1281</v>
      </c>
      <c r="AP313" s="16">
        <v>145</v>
      </c>
      <c r="AQ313" s="16">
        <v>562</v>
      </c>
      <c r="AR313" s="16">
        <v>0</v>
      </c>
      <c r="AS313" s="16">
        <v>345</v>
      </c>
      <c r="AT313" s="16">
        <v>447</v>
      </c>
      <c r="AU313" s="16">
        <v>708</v>
      </c>
      <c r="AV313" s="16">
        <v>781</v>
      </c>
      <c r="AW313" s="16">
        <v>3069</v>
      </c>
      <c r="AX313" s="16">
        <v>578</v>
      </c>
      <c r="AY313" s="16">
        <v>343</v>
      </c>
      <c r="AZ313" s="16">
        <v>1624</v>
      </c>
      <c r="BA313" s="16">
        <v>1530</v>
      </c>
      <c r="BB313" s="16">
        <v>730</v>
      </c>
      <c r="BC313" s="16">
        <v>2662</v>
      </c>
      <c r="BD313" s="16">
        <v>204</v>
      </c>
      <c r="BE313" s="16">
        <v>1558</v>
      </c>
      <c r="BF313" s="16">
        <v>2423</v>
      </c>
      <c r="BG313" s="16">
        <v>1596</v>
      </c>
      <c r="BH313" s="16">
        <v>2296</v>
      </c>
      <c r="BI313" s="16">
        <v>1256</v>
      </c>
      <c r="BJ313" s="16">
        <v>398</v>
      </c>
      <c r="BK313" s="16">
        <v>646</v>
      </c>
      <c r="BL313" s="16">
        <v>2983</v>
      </c>
      <c r="BM313" s="16">
        <v>1061</v>
      </c>
      <c r="BN313" s="16">
        <v>2644</v>
      </c>
      <c r="BO313" s="16">
        <v>2197</v>
      </c>
      <c r="BP313" s="16">
        <v>3495</v>
      </c>
      <c r="BQ313" s="16">
        <v>1324</v>
      </c>
      <c r="BR313" s="16">
        <v>712</v>
      </c>
      <c r="BS313" s="16">
        <v>4973</v>
      </c>
      <c r="BT313" s="16">
        <v>71</v>
      </c>
      <c r="BU313" s="16">
        <v>39</v>
      </c>
      <c r="BV313" s="16">
        <v>30</v>
      </c>
      <c r="BW313" s="16">
        <v>1805</v>
      </c>
      <c r="BX313" s="16">
        <v>354</v>
      </c>
      <c r="BY313" s="16">
        <v>1</v>
      </c>
      <c r="BZ313" s="16">
        <v>983</v>
      </c>
      <c r="CA313" s="16">
        <v>444</v>
      </c>
      <c r="CB313" s="16">
        <v>136</v>
      </c>
      <c r="CC313" s="16">
        <v>4624</v>
      </c>
      <c r="CD313" s="16">
        <v>1213</v>
      </c>
      <c r="CE313" s="16">
        <v>546</v>
      </c>
      <c r="CF313" s="16">
        <v>5161</v>
      </c>
      <c r="CG313" s="16">
        <v>1544</v>
      </c>
      <c r="CH313" s="16">
        <v>1345</v>
      </c>
      <c r="CI313" s="16">
        <v>184</v>
      </c>
      <c r="CJ313" s="16">
        <v>2097</v>
      </c>
      <c r="CK313" s="16">
        <v>3319</v>
      </c>
      <c r="CL313" s="16">
        <v>2345</v>
      </c>
      <c r="CM313" s="16">
        <v>2390</v>
      </c>
      <c r="CN313" s="16">
        <v>437</v>
      </c>
      <c r="CO313" s="16">
        <v>1941</v>
      </c>
      <c r="CP313" s="16">
        <v>1943</v>
      </c>
      <c r="CQ313" s="16">
        <v>8518</v>
      </c>
      <c r="CR313" s="16">
        <v>802</v>
      </c>
      <c r="CS313" s="16">
        <v>1975</v>
      </c>
      <c r="CT313" s="16">
        <v>1467</v>
      </c>
      <c r="CU313" s="16">
        <v>3499</v>
      </c>
      <c r="CV313" s="16">
        <v>3028</v>
      </c>
      <c r="CW313" s="16">
        <v>4827</v>
      </c>
      <c r="CX313" s="16">
        <v>5261</v>
      </c>
      <c r="CY313" s="16">
        <v>680</v>
      </c>
      <c r="CZ313" s="16">
        <v>1105</v>
      </c>
      <c r="DA313" s="16">
        <v>343</v>
      </c>
      <c r="DB313" s="16">
        <v>954</v>
      </c>
      <c r="DC313" s="16">
        <v>986</v>
      </c>
      <c r="DD313" s="16">
        <v>1978</v>
      </c>
      <c r="DE313" s="16">
        <v>633</v>
      </c>
      <c r="DF313" s="16">
        <v>3489</v>
      </c>
      <c r="DG313" s="16">
        <v>3273</v>
      </c>
      <c r="DH313" s="16">
        <v>4218</v>
      </c>
      <c r="DI313" s="16">
        <v>639</v>
      </c>
      <c r="DJ313" s="16">
        <v>11352</v>
      </c>
      <c r="DK313" s="16">
        <v>1324</v>
      </c>
      <c r="DL313" s="16">
        <v>1219</v>
      </c>
      <c r="DM313" s="16">
        <v>14632</v>
      </c>
      <c r="DN313" s="16">
        <v>1121</v>
      </c>
      <c r="DO313" s="16">
        <v>2137</v>
      </c>
      <c r="DP313" s="16">
        <v>2483</v>
      </c>
      <c r="DQ313" s="16">
        <v>423</v>
      </c>
      <c r="DR313" s="16">
        <v>3561</v>
      </c>
      <c r="DS313" s="16">
        <v>7869</v>
      </c>
      <c r="DT313" s="16">
        <v>973</v>
      </c>
      <c r="DU313" s="16">
        <v>827</v>
      </c>
      <c r="DV313" s="16">
        <v>6605</v>
      </c>
      <c r="DW313" s="16">
        <v>4747</v>
      </c>
      <c r="DX313" s="16">
        <v>2975</v>
      </c>
      <c r="DY313" s="16">
        <v>5427</v>
      </c>
      <c r="DZ313" s="16">
        <v>9062</v>
      </c>
      <c r="EA313" s="16">
        <v>4477</v>
      </c>
      <c r="EB313" s="16">
        <v>1904</v>
      </c>
      <c r="EC313" s="16">
        <v>3359</v>
      </c>
      <c r="ED313" s="16">
        <v>547</v>
      </c>
      <c r="EE313" s="16">
        <v>145</v>
      </c>
      <c r="EF313" s="16">
        <v>496</v>
      </c>
      <c r="EG313" s="16">
        <v>2850</v>
      </c>
      <c r="EH313" s="16">
        <v>409</v>
      </c>
      <c r="EI313" s="16">
        <v>2913</v>
      </c>
      <c r="EJ313" s="16">
        <v>497</v>
      </c>
      <c r="EK313" s="16">
        <v>1008</v>
      </c>
      <c r="EL313" s="16">
        <v>446</v>
      </c>
      <c r="EM313" s="16">
        <v>1290</v>
      </c>
      <c r="EN313" s="16">
        <v>2752</v>
      </c>
      <c r="EO313" s="16">
        <v>2954</v>
      </c>
      <c r="EP313" s="16">
        <v>630</v>
      </c>
      <c r="EQ313" s="16">
        <v>1677</v>
      </c>
      <c r="ER313" s="16">
        <v>324</v>
      </c>
      <c r="ES313" s="16">
        <v>1704</v>
      </c>
      <c r="ET313" s="16">
        <v>2158</v>
      </c>
      <c r="EU313" s="16">
        <v>39</v>
      </c>
      <c r="EV313" s="16">
        <v>141</v>
      </c>
      <c r="EW313" s="16">
        <v>278</v>
      </c>
      <c r="EX313" s="16">
        <v>10931</v>
      </c>
      <c r="EY313" s="16">
        <v>3671</v>
      </c>
      <c r="EZ313" s="16">
        <v>2359</v>
      </c>
      <c r="FA313" s="16">
        <v>3407</v>
      </c>
      <c r="FB313" s="16">
        <v>3132</v>
      </c>
      <c r="FC313" s="16">
        <v>582</v>
      </c>
      <c r="FD313" s="16">
        <v>4725</v>
      </c>
      <c r="FE313" s="16">
        <v>3687</v>
      </c>
      <c r="FF313" s="16">
        <v>2625</v>
      </c>
      <c r="FG313" s="16">
        <v>3687</v>
      </c>
      <c r="FH313" s="16">
        <v>17</v>
      </c>
      <c r="FI313" s="16">
        <v>3965</v>
      </c>
      <c r="FJ313" s="16">
        <v>284</v>
      </c>
      <c r="FK313" s="16">
        <v>5577</v>
      </c>
      <c r="FL313" s="16">
        <v>249</v>
      </c>
      <c r="FM313" s="16">
        <v>2665</v>
      </c>
      <c r="FN313" s="16">
        <v>4041</v>
      </c>
      <c r="FO313" s="16">
        <v>2045</v>
      </c>
      <c r="FP313" s="16">
        <v>5149</v>
      </c>
      <c r="FQ313" s="16">
        <v>7819</v>
      </c>
      <c r="FR313" s="16">
        <v>4180</v>
      </c>
      <c r="FS313" s="16">
        <v>3989</v>
      </c>
      <c r="FT313" s="16">
        <v>2331</v>
      </c>
      <c r="FU313" s="16">
        <v>5076</v>
      </c>
      <c r="FV313" s="16">
        <v>4820</v>
      </c>
      <c r="FW313" s="16">
        <v>8980</v>
      </c>
      <c r="FX313" s="16">
        <v>12618</v>
      </c>
      <c r="FY313" s="16">
        <v>1614</v>
      </c>
      <c r="FZ313" s="16">
        <v>3542</v>
      </c>
      <c r="GA313" s="16">
        <v>1445</v>
      </c>
      <c r="GB313" s="16">
        <v>7905</v>
      </c>
      <c r="GC313" s="16">
        <v>2698</v>
      </c>
      <c r="GD313" s="16">
        <v>6627</v>
      </c>
      <c r="GE313" s="16">
        <v>1354</v>
      </c>
      <c r="GF313" s="16">
        <v>14694</v>
      </c>
      <c r="GG313" s="16">
        <v>1800</v>
      </c>
      <c r="GH313" s="16">
        <v>16981</v>
      </c>
      <c r="GI313" s="16">
        <v>5419</v>
      </c>
      <c r="GJ313" s="16">
        <v>2545</v>
      </c>
      <c r="GK313" s="16">
        <v>2817</v>
      </c>
      <c r="GL313" s="16">
        <v>200</v>
      </c>
      <c r="GM313" s="16">
        <v>4838</v>
      </c>
      <c r="GN313" s="16">
        <v>837</v>
      </c>
      <c r="GO313" s="16">
        <v>1524</v>
      </c>
      <c r="GP313" s="16">
        <v>12679</v>
      </c>
      <c r="GQ313" s="16">
        <v>452</v>
      </c>
      <c r="GR313" s="16">
        <v>1878</v>
      </c>
      <c r="GS313" s="16">
        <v>563</v>
      </c>
      <c r="GT313" s="16">
        <v>1395</v>
      </c>
      <c r="GU313" s="16">
        <v>4993</v>
      </c>
      <c r="GV313" s="16">
        <v>5464</v>
      </c>
      <c r="GW313" s="16">
        <v>4357</v>
      </c>
      <c r="GX313" s="16">
        <v>1872</v>
      </c>
      <c r="GY313" s="16">
        <v>73</v>
      </c>
      <c r="GZ313" s="16">
        <v>4764</v>
      </c>
      <c r="HA313" s="16">
        <v>1619</v>
      </c>
      <c r="HB313" s="16">
        <v>1462</v>
      </c>
      <c r="HC313" s="16">
        <v>4081</v>
      </c>
      <c r="HD313" s="16">
        <v>6582</v>
      </c>
      <c r="HE313" s="16">
        <v>3771</v>
      </c>
      <c r="HF313" s="16">
        <v>5747</v>
      </c>
      <c r="HG313" s="16">
        <v>944</v>
      </c>
      <c r="HH313" s="16">
        <v>1336</v>
      </c>
      <c r="HI313" s="16">
        <v>3790</v>
      </c>
      <c r="HJ313" s="16">
        <v>643</v>
      </c>
      <c r="HK313" s="16">
        <v>3170</v>
      </c>
      <c r="HL313" s="16">
        <v>7314</v>
      </c>
      <c r="HM313" s="16">
        <v>1989</v>
      </c>
      <c r="HN313" s="16">
        <v>18122</v>
      </c>
      <c r="HO313" s="16">
        <v>2627</v>
      </c>
      <c r="HP313" s="16">
        <v>2273</v>
      </c>
      <c r="HQ313" s="16">
        <v>6555</v>
      </c>
      <c r="HR313" s="16">
        <v>5659</v>
      </c>
      <c r="HS313" s="16">
        <v>3459</v>
      </c>
      <c r="HT313" s="16">
        <v>366</v>
      </c>
      <c r="HU313" s="16">
        <v>4885</v>
      </c>
      <c r="HV313" s="16">
        <v>1693</v>
      </c>
      <c r="HW313" s="16">
        <v>2840</v>
      </c>
      <c r="HX313" s="16">
        <v>3758</v>
      </c>
      <c r="HY313" s="16">
        <v>6916</v>
      </c>
      <c r="HZ313" s="16">
        <v>8741</v>
      </c>
      <c r="IA313" s="16">
        <v>2271</v>
      </c>
      <c r="IB313" s="16">
        <v>527</v>
      </c>
      <c r="IC313" s="16">
        <v>734</v>
      </c>
      <c r="ID313" s="16">
        <v>648</v>
      </c>
      <c r="IE313" s="16">
        <v>297</v>
      </c>
      <c r="IF313" s="16">
        <v>738</v>
      </c>
      <c r="IG313" s="16">
        <v>3650</v>
      </c>
      <c r="IH313" s="16">
        <v>11781</v>
      </c>
      <c r="II313" s="16">
        <v>238</v>
      </c>
      <c r="IJ313" s="16">
        <v>320</v>
      </c>
      <c r="IK313" s="16">
        <v>407</v>
      </c>
      <c r="IL313" s="16">
        <v>574</v>
      </c>
      <c r="IM313" s="16">
        <v>58</v>
      </c>
      <c r="IN313" s="16">
        <v>14495</v>
      </c>
      <c r="IO313" s="16">
        <v>11734</v>
      </c>
      <c r="IP313" s="16">
        <v>2148</v>
      </c>
      <c r="IQ313" s="16">
        <v>1411</v>
      </c>
      <c r="IR313" s="16">
        <v>974</v>
      </c>
      <c r="IS313" s="16">
        <v>601</v>
      </c>
      <c r="IT313" s="16">
        <v>494</v>
      </c>
      <c r="IU313" s="16">
        <v>45</v>
      </c>
      <c r="IV313" s="16">
        <v>1715</v>
      </c>
      <c r="IW313" s="16">
        <v>3742</v>
      </c>
      <c r="IX313" s="16">
        <v>1869</v>
      </c>
      <c r="IY313" s="16">
        <v>300</v>
      </c>
      <c r="IZ313" s="16">
        <v>122</v>
      </c>
      <c r="JA313" s="16">
        <v>828</v>
      </c>
      <c r="JB313" s="16">
        <v>97</v>
      </c>
      <c r="JC313" s="16">
        <v>217</v>
      </c>
      <c r="JD313" s="16">
        <v>565</v>
      </c>
      <c r="JE313" s="16">
        <v>3326</v>
      </c>
      <c r="JF313" s="16">
        <v>1022</v>
      </c>
      <c r="JG313" s="16">
        <v>77938</v>
      </c>
      <c r="JH313" s="16">
        <v>5994</v>
      </c>
      <c r="JI313" s="16">
        <v>1169</v>
      </c>
      <c r="JJ313" s="16">
        <v>6067</v>
      </c>
      <c r="JK313" s="16">
        <v>4384</v>
      </c>
      <c r="JL313" s="16">
        <v>529</v>
      </c>
      <c r="JM313" s="16">
        <v>473</v>
      </c>
      <c r="JN313" s="16">
        <v>5083</v>
      </c>
      <c r="JO313" s="16">
        <v>1239</v>
      </c>
      <c r="JP313" s="16">
        <v>3755</v>
      </c>
      <c r="JQ313" s="16">
        <v>1647</v>
      </c>
      <c r="JR313" s="16">
        <v>5140</v>
      </c>
      <c r="JS313" s="16">
        <v>2048</v>
      </c>
      <c r="JT313" s="16">
        <v>0</v>
      </c>
      <c r="JU313" s="16">
        <v>19359</v>
      </c>
      <c r="JV313" s="16">
        <v>13217</v>
      </c>
      <c r="JW313" s="16">
        <v>25233</v>
      </c>
      <c r="JX313" s="16">
        <v>20959</v>
      </c>
      <c r="JY313" s="16">
        <v>15131</v>
      </c>
      <c r="JZ313" s="16">
        <v>1037</v>
      </c>
      <c r="KA313" s="16">
        <v>943</v>
      </c>
      <c r="KB313" s="16">
        <v>1256</v>
      </c>
      <c r="KC313" s="16">
        <v>1129</v>
      </c>
      <c r="KD313" s="16">
        <v>235</v>
      </c>
      <c r="KE313" s="16">
        <v>345</v>
      </c>
      <c r="KF313" s="16">
        <v>3296</v>
      </c>
      <c r="KG313" s="16">
        <v>1539</v>
      </c>
      <c r="KH313" s="16">
        <v>1178</v>
      </c>
      <c r="KI313" s="16">
        <v>2244</v>
      </c>
      <c r="KJ313" s="16">
        <v>390</v>
      </c>
      <c r="KK313" s="16">
        <v>399541</v>
      </c>
      <c r="KL313" s="16">
        <v>379</v>
      </c>
      <c r="KM313" s="16">
        <v>7017</v>
      </c>
      <c r="KN313" s="16">
        <v>23453</v>
      </c>
      <c r="KO313" s="16">
        <v>2912</v>
      </c>
      <c r="KP313" s="16">
        <v>1396</v>
      </c>
      <c r="KQ313" s="16">
        <v>11658</v>
      </c>
      <c r="KR313" s="16">
        <v>5551</v>
      </c>
      <c r="KS313" s="16">
        <v>641</v>
      </c>
      <c r="KT313" s="16">
        <v>749</v>
      </c>
      <c r="KU313" s="16">
        <v>10349</v>
      </c>
      <c r="KV313" s="16">
        <v>21632</v>
      </c>
      <c r="KW313" s="16">
        <v>63247</v>
      </c>
      <c r="KX313" s="16">
        <v>460</v>
      </c>
      <c r="KY313" s="16">
        <v>15704</v>
      </c>
      <c r="KZ313" s="16">
        <v>41851</v>
      </c>
      <c r="LA313" s="16">
        <v>5158</v>
      </c>
      <c r="LB313" s="16">
        <v>3217</v>
      </c>
      <c r="LC313" s="16">
        <v>4493</v>
      </c>
      <c r="LD313" s="16">
        <v>9630</v>
      </c>
      <c r="LE313" s="16">
        <v>9484</v>
      </c>
      <c r="LF313" s="16">
        <v>11692</v>
      </c>
      <c r="LG313" s="16">
        <v>3824</v>
      </c>
      <c r="LH313" s="16">
        <v>3557</v>
      </c>
      <c r="LI313" s="16">
        <v>3381</v>
      </c>
      <c r="LJ313" s="16">
        <v>16420</v>
      </c>
      <c r="LK313" s="16">
        <v>43951</v>
      </c>
      <c r="LL313" s="16">
        <v>56374</v>
      </c>
      <c r="LM313" s="16">
        <v>133194</v>
      </c>
      <c r="LN313" s="16">
        <v>32470</v>
      </c>
      <c r="LO313" s="16">
        <v>14166</v>
      </c>
      <c r="LP313" s="16">
        <v>7622</v>
      </c>
      <c r="LQ313" s="16">
        <v>2210</v>
      </c>
      <c r="LR313" s="16">
        <v>86381</v>
      </c>
      <c r="LS313" s="16">
        <v>10069</v>
      </c>
      <c r="LT313" s="16">
        <v>160925</v>
      </c>
      <c r="LU313" s="16">
        <v>37599</v>
      </c>
      <c r="LV313" s="16">
        <v>309</v>
      </c>
      <c r="LW313" s="16">
        <v>46059</v>
      </c>
      <c r="LX313" s="16">
        <v>26778</v>
      </c>
      <c r="LY313" s="16">
        <v>0</v>
      </c>
      <c r="LZ313" s="16">
        <v>80420</v>
      </c>
      <c r="MA313" s="16">
        <v>116959</v>
      </c>
      <c r="MB313" s="16">
        <v>34470</v>
      </c>
      <c r="MC313" s="16">
        <v>26907</v>
      </c>
      <c r="MD313" s="16">
        <v>39667</v>
      </c>
      <c r="ME313" s="16">
        <v>14189</v>
      </c>
      <c r="MF313" s="16">
        <v>236612</v>
      </c>
      <c r="MG313" s="16">
        <v>22812</v>
      </c>
      <c r="MH313" s="16">
        <v>353013</v>
      </c>
      <c r="MI313" s="16">
        <v>1843</v>
      </c>
      <c r="MJ313" s="16">
        <v>63155</v>
      </c>
      <c r="MK313" s="16">
        <v>43676</v>
      </c>
      <c r="ML313" s="16">
        <v>57813</v>
      </c>
      <c r="MM313" s="16">
        <v>43162</v>
      </c>
      <c r="MN313" s="16">
        <v>27667</v>
      </c>
      <c r="MO313" s="16">
        <v>17372</v>
      </c>
      <c r="MP313" s="16">
        <v>198914</v>
      </c>
      <c r="MQ313" s="16">
        <v>86803</v>
      </c>
      <c r="MR313" s="16">
        <v>56504</v>
      </c>
      <c r="MS313" s="16">
        <v>14027</v>
      </c>
      <c r="MT313" s="16">
        <v>6430</v>
      </c>
      <c r="MU313" s="16">
        <v>9552</v>
      </c>
      <c r="MV313" s="16">
        <v>75722</v>
      </c>
      <c r="MW313" s="16">
        <v>118563</v>
      </c>
      <c r="MX313" s="16">
        <v>12</v>
      </c>
      <c r="MY313" s="16">
        <v>21277</v>
      </c>
      <c r="MZ313" s="16">
        <v>70684</v>
      </c>
      <c r="NA313" s="16">
        <v>26545</v>
      </c>
      <c r="NB313" s="16">
        <v>20185</v>
      </c>
      <c r="NC313" s="16">
        <v>7428</v>
      </c>
      <c r="ND313" s="16">
        <v>4420</v>
      </c>
      <c r="NE313" s="16">
        <v>1492</v>
      </c>
      <c r="NF313" s="16">
        <v>16841</v>
      </c>
      <c r="NG313" s="16">
        <v>40490</v>
      </c>
      <c r="NH313" s="16">
        <v>27229</v>
      </c>
      <c r="NI313" s="16">
        <v>35591</v>
      </c>
      <c r="NJ313" s="16">
        <v>62634</v>
      </c>
      <c r="NK313" s="16">
        <v>13328</v>
      </c>
      <c r="NL313" s="16">
        <v>11251</v>
      </c>
      <c r="NM313" s="16">
        <v>18077</v>
      </c>
      <c r="NN313" s="16">
        <v>3049</v>
      </c>
      <c r="NO313" s="16">
        <v>0</v>
      </c>
      <c r="NP313" s="16">
        <v>8097</v>
      </c>
      <c r="NQ313" s="16">
        <v>2221</v>
      </c>
      <c r="NR313" s="17">
        <v>4407141</v>
      </c>
    </row>
    <row r="314" spans="1:382" ht="13.5" customHeight="1" x14ac:dyDescent="0.2">
      <c r="A314" s="2" t="s">
        <v>635</v>
      </c>
      <c r="B314" s="16">
        <v>871</v>
      </c>
      <c r="C314" s="16">
        <v>3</v>
      </c>
      <c r="D314" s="16">
        <v>1046</v>
      </c>
      <c r="E314" s="16">
        <v>574</v>
      </c>
      <c r="F314" s="16">
        <v>2129</v>
      </c>
      <c r="G314" s="16">
        <v>772</v>
      </c>
      <c r="H314" s="16">
        <v>70</v>
      </c>
      <c r="I314" s="16">
        <v>259</v>
      </c>
      <c r="J314" s="16">
        <v>5</v>
      </c>
      <c r="K314" s="16">
        <v>0</v>
      </c>
      <c r="L314" s="16">
        <v>4684</v>
      </c>
      <c r="M314" s="16">
        <v>205</v>
      </c>
      <c r="N314" s="16">
        <v>82</v>
      </c>
      <c r="O314" s="16">
        <v>61</v>
      </c>
      <c r="P314" s="16">
        <v>856</v>
      </c>
      <c r="Q314" s="16">
        <v>3890</v>
      </c>
      <c r="R314" s="16">
        <v>3838</v>
      </c>
      <c r="S314" s="16">
        <v>366</v>
      </c>
      <c r="T314" s="16">
        <v>3126</v>
      </c>
      <c r="U314" s="16">
        <v>950</v>
      </c>
      <c r="V314" s="16">
        <v>2267</v>
      </c>
      <c r="W314" s="16">
        <v>14</v>
      </c>
      <c r="X314" s="16">
        <v>6434</v>
      </c>
      <c r="Y314" s="16">
        <v>8272</v>
      </c>
      <c r="Z314" s="16">
        <v>1899</v>
      </c>
      <c r="AA314" s="16">
        <v>200</v>
      </c>
      <c r="AB314" s="16">
        <v>0</v>
      </c>
      <c r="AC314" s="16">
        <v>0</v>
      </c>
      <c r="AD314" s="16">
        <v>0</v>
      </c>
      <c r="AE314" s="16">
        <v>143</v>
      </c>
      <c r="AF314" s="16">
        <v>22</v>
      </c>
      <c r="AG314" s="16">
        <v>8919</v>
      </c>
      <c r="AH314" s="16">
        <v>10578</v>
      </c>
      <c r="AI314" s="16">
        <v>2234</v>
      </c>
      <c r="AJ314" s="16">
        <v>4600</v>
      </c>
      <c r="AK314" s="16">
        <v>4677</v>
      </c>
      <c r="AL314" s="16">
        <v>1804</v>
      </c>
      <c r="AM314" s="16">
        <v>1660</v>
      </c>
      <c r="AN314" s="16">
        <v>2213</v>
      </c>
      <c r="AO314" s="16">
        <v>2565</v>
      </c>
      <c r="AP314" s="16">
        <v>86</v>
      </c>
      <c r="AQ314" s="16">
        <v>302</v>
      </c>
      <c r="AR314" s="16">
        <v>0</v>
      </c>
      <c r="AS314" s="16">
        <v>38</v>
      </c>
      <c r="AT314" s="16">
        <v>360</v>
      </c>
      <c r="AU314" s="16">
        <v>976</v>
      </c>
      <c r="AV314" s="16">
        <v>1461</v>
      </c>
      <c r="AW314" s="16">
        <v>6047</v>
      </c>
      <c r="AX314" s="16">
        <v>952</v>
      </c>
      <c r="AY314" s="16">
        <v>295</v>
      </c>
      <c r="AZ314" s="16">
        <v>2635</v>
      </c>
      <c r="BA314" s="16">
        <v>2586</v>
      </c>
      <c r="BB314" s="16">
        <v>1328</v>
      </c>
      <c r="BC314" s="16">
        <v>4357</v>
      </c>
      <c r="BD314" s="16">
        <v>196</v>
      </c>
      <c r="BE314" s="16">
        <v>2106</v>
      </c>
      <c r="BF314" s="16">
        <v>3297</v>
      </c>
      <c r="BG314" s="16">
        <v>2602</v>
      </c>
      <c r="BH314" s="16">
        <v>3996</v>
      </c>
      <c r="BI314" s="16">
        <v>300</v>
      </c>
      <c r="BJ314" s="16">
        <v>271</v>
      </c>
      <c r="BK314" s="16">
        <v>868</v>
      </c>
      <c r="BL314" s="16">
        <v>6753</v>
      </c>
      <c r="BM314" s="16">
        <v>1650</v>
      </c>
      <c r="BN314" s="16">
        <v>3759</v>
      </c>
      <c r="BO314" s="16">
        <v>5910</v>
      </c>
      <c r="BP314" s="16">
        <v>6389</v>
      </c>
      <c r="BQ314" s="16">
        <v>2362</v>
      </c>
      <c r="BR314" s="16">
        <v>588</v>
      </c>
      <c r="BS314" s="16">
        <v>6280</v>
      </c>
      <c r="BT314" s="16">
        <v>77</v>
      </c>
      <c r="BU314" s="16">
        <v>46</v>
      </c>
      <c r="BV314" s="16">
        <v>15</v>
      </c>
      <c r="BW314" s="16">
        <v>2444</v>
      </c>
      <c r="BX314" s="16">
        <v>463</v>
      </c>
      <c r="BY314" s="16">
        <v>1</v>
      </c>
      <c r="BZ314" s="16">
        <v>1185</v>
      </c>
      <c r="CA314" s="16">
        <v>437</v>
      </c>
      <c r="CB314" s="16">
        <v>165</v>
      </c>
      <c r="CC314" s="16">
        <v>3526</v>
      </c>
      <c r="CD314" s="16">
        <v>1858</v>
      </c>
      <c r="CE314" s="16">
        <v>704</v>
      </c>
      <c r="CF314" s="16">
        <v>8631</v>
      </c>
      <c r="CG314" s="16">
        <v>2307</v>
      </c>
      <c r="CH314" s="16">
        <v>2105</v>
      </c>
      <c r="CI314" s="16">
        <v>166</v>
      </c>
      <c r="CJ314" s="16">
        <v>2102</v>
      </c>
      <c r="CK314" s="16">
        <v>3894</v>
      </c>
      <c r="CL314" s="16">
        <v>3209</v>
      </c>
      <c r="CM314" s="16">
        <v>3537</v>
      </c>
      <c r="CN314" s="16">
        <v>518</v>
      </c>
      <c r="CO314" s="16">
        <v>1612</v>
      </c>
      <c r="CP314" s="16">
        <v>2335</v>
      </c>
      <c r="CQ314" s="16">
        <v>4285</v>
      </c>
      <c r="CR314" s="16">
        <v>1050</v>
      </c>
      <c r="CS314" s="16">
        <v>3619</v>
      </c>
      <c r="CT314" s="16">
        <v>1801</v>
      </c>
      <c r="CU314" s="16">
        <v>4949</v>
      </c>
      <c r="CV314" s="16">
        <v>3297</v>
      </c>
      <c r="CW314" s="16">
        <v>6277</v>
      </c>
      <c r="CX314" s="16">
        <v>9305</v>
      </c>
      <c r="CY314" s="16">
        <v>653</v>
      </c>
      <c r="CZ314" s="16">
        <v>874</v>
      </c>
      <c r="DA314" s="16">
        <v>160</v>
      </c>
      <c r="DB314" s="16">
        <v>800</v>
      </c>
      <c r="DC314" s="16">
        <v>315</v>
      </c>
      <c r="DD314" s="16">
        <v>768</v>
      </c>
      <c r="DE314" s="16">
        <v>660</v>
      </c>
      <c r="DF314" s="16">
        <v>3420</v>
      </c>
      <c r="DG314" s="16">
        <v>3285</v>
      </c>
      <c r="DH314" s="16">
        <v>3798</v>
      </c>
      <c r="DI314" s="16">
        <v>836</v>
      </c>
      <c r="DJ314" s="16">
        <v>9614</v>
      </c>
      <c r="DK314" s="16">
        <v>1210</v>
      </c>
      <c r="DL314" s="16">
        <v>1144</v>
      </c>
      <c r="DM314" s="16">
        <v>16634</v>
      </c>
      <c r="DN314" s="16">
        <v>1362</v>
      </c>
      <c r="DO314" s="16">
        <v>2924</v>
      </c>
      <c r="DP314" s="16">
        <v>2629</v>
      </c>
      <c r="DQ314" s="16">
        <v>535</v>
      </c>
      <c r="DR314" s="16">
        <v>4597</v>
      </c>
      <c r="DS314" s="16">
        <v>10936</v>
      </c>
      <c r="DT314" s="16">
        <v>1165</v>
      </c>
      <c r="DU314" s="16">
        <v>1089</v>
      </c>
      <c r="DV314" s="16">
        <v>7472</v>
      </c>
      <c r="DW314" s="16">
        <v>7210</v>
      </c>
      <c r="DX314" s="16">
        <v>7038</v>
      </c>
      <c r="DY314" s="16">
        <v>9126</v>
      </c>
      <c r="DZ314" s="16">
        <v>21737</v>
      </c>
      <c r="EA314" s="16">
        <v>6336</v>
      </c>
      <c r="EB314" s="16">
        <v>2380</v>
      </c>
      <c r="EC314" s="16">
        <v>4508</v>
      </c>
      <c r="ED314" s="16">
        <v>807</v>
      </c>
      <c r="EE314" s="16">
        <v>179</v>
      </c>
      <c r="EF314" s="16">
        <v>373</v>
      </c>
      <c r="EG314" s="16">
        <v>3881</v>
      </c>
      <c r="EH314" s="16">
        <v>453</v>
      </c>
      <c r="EI314" s="16">
        <v>4866</v>
      </c>
      <c r="EJ314" s="16">
        <v>750</v>
      </c>
      <c r="EK314" s="16">
        <v>1576</v>
      </c>
      <c r="EL314" s="16">
        <v>660</v>
      </c>
      <c r="EM314" s="16">
        <v>1264</v>
      </c>
      <c r="EN314" s="16">
        <v>6875</v>
      </c>
      <c r="EO314" s="16">
        <v>3793</v>
      </c>
      <c r="EP314" s="16">
        <v>955</v>
      </c>
      <c r="EQ314" s="16">
        <v>2879</v>
      </c>
      <c r="ER314" s="16">
        <v>436</v>
      </c>
      <c r="ES314" s="16">
        <v>2281</v>
      </c>
      <c r="ET314" s="16">
        <v>2625</v>
      </c>
      <c r="EU314" s="16">
        <v>4</v>
      </c>
      <c r="EV314" s="16">
        <v>333</v>
      </c>
      <c r="EW314" s="16">
        <v>376</v>
      </c>
      <c r="EX314" s="16">
        <v>26168</v>
      </c>
      <c r="EY314" s="16">
        <v>8987</v>
      </c>
      <c r="EZ314" s="16">
        <v>3427</v>
      </c>
      <c r="FA314" s="16">
        <v>4226</v>
      </c>
      <c r="FB314" s="16">
        <v>15551</v>
      </c>
      <c r="FC314" s="16">
        <v>567</v>
      </c>
      <c r="FD314" s="16">
        <v>9806</v>
      </c>
      <c r="FE314" s="16">
        <v>6901</v>
      </c>
      <c r="FF314" s="16">
        <v>2500</v>
      </c>
      <c r="FG314" s="16">
        <v>10487</v>
      </c>
      <c r="FH314" s="16">
        <v>495</v>
      </c>
      <c r="FI314" s="16">
        <v>7633</v>
      </c>
      <c r="FJ314" s="16">
        <v>410</v>
      </c>
      <c r="FK314" s="16">
        <v>8680</v>
      </c>
      <c r="FL314" s="16">
        <v>408</v>
      </c>
      <c r="FM314" s="16">
        <v>3700</v>
      </c>
      <c r="FN314" s="16">
        <v>5968</v>
      </c>
      <c r="FO314" s="16">
        <v>2540</v>
      </c>
      <c r="FP314" s="16">
        <v>7168</v>
      </c>
      <c r="FQ314" s="16">
        <v>20224</v>
      </c>
      <c r="FR314" s="16">
        <v>11963</v>
      </c>
      <c r="FS314" s="16">
        <v>5317</v>
      </c>
      <c r="FT314" s="16">
        <v>2351</v>
      </c>
      <c r="FU314" s="16">
        <v>16786</v>
      </c>
      <c r="FV314" s="16">
        <v>7586</v>
      </c>
      <c r="FW314" s="16">
        <v>21367</v>
      </c>
      <c r="FX314" s="16">
        <v>23147</v>
      </c>
      <c r="FY314" s="16">
        <v>2198</v>
      </c>
      <c r="FZ314" s="16">
        <v>5889</v>
      </c>
      <c r="GA314" s="16">
        <v>1524</v>
      </c>
      <c r="GB314" s="16">
        <v>33564</v>
      </c>
      <c r="GC314" s="16">
        <v>3276</v>
      </c>
      <c r="GD314" s="16">
        <v>7228</v>
      </c>
      <c r="GE314" s="16">
        <v>409</v>
      </c>
      <c r="GF314" s="16">
        <v>16013</v>
      </c>
      <c r="GG314" s="16">
        <v>348</v>
      </c>
      <c r="GH314" s="16">
        <v>12514</v>
      </c>
      <c r="GI314" s="16">
        <v>5590</v>
      </c>
      <c r="GJ314" s="16">
        <v>3493</v>
      </c>
      <c r="GK314" s="16">
        <v>2324</v>
      </c>
      <c r="GL314" s="16">
        <v>55</v>
      </c>
      <c r="GM314" s="16">
        <v>3485</v>
      </c>
      <c r="GN314" s="16">
        <v>359</v>
      </c>
      <c r="GO314" s="16">
        <v>2536</v>
      </c>
      <c r="GP314" s="16">
        <v>2814</v>
      </c>
      <c r="GQ314" s="16">
        <v>267</v>
      </c>
      <c r="GR314" s="16">
        <v>2274</v>
      </c>
      <c r="GS314" s="16">
        <v>748</v>
      </c>
      <c r="GT314" s="16">
        <v>1536</v>
      </c>
      <c r="GU314" s="16">
        <v>5821</v>
      </c>
      <c r="GV314" s="16">
        <v>5195</v>
      </c>
      <c r="GW314" s="16">
        <v>5582</v>
      </c>
      <c r="GX314" s="16">
        <v>2058</v>
      </c>
      <c r="GY314" s="16">
        <v>33</v>
      </c>
      <c r="GZ314" s="16">
        <v>4959</v>
      </c>
      <c r="HA314" s="16">
        <v>1572</v>
      </c>
      <c r="HB314" s="16">
        <v>1705</v>
      </c>
      <c r="HC314" s="16">
        <v>7761</v>
      </c>
      <c r="HD314" s="16">
        <v>9801</v>
      </c>
      <c r="HE314" s="16">
        <v>5988</v>
      </c>
      <c r="HF314" s="16">
        <v>10022</v>
      </c>
      <c r="HG314" s="16">
        <v>778</v>
      </c>
      <c r="HH314" s="16">
        <v>1355</v>
      </c>
      <c r="HI314" s="16">
        <v>4562</v>
      </c>
      <c r="HJ314" s="16">
        <v>1109</v>
      </c>
      <c r="HK314" s="16">
        <v>4607</v>
      </c>
      <c r="HL314" s="16">
        <v>15508</v>
      </c>
      <c r="HM314" s="16">
        <v>2210</v>
      </c>
      <c r="HN314" s="16">
        <v>24040</v>
      </c>
      <c r="HO314" s="16">
        <v>3467</v>
      </c>
      <c r="HP314" s="16">
        <v>3168</v>
      </c>
      <c r="HQ314" s="16">
        <v>13039</v>
      </c>
      <c r="HR314" s="16">
        <v>15549</v>
      </c>
      <c r="HS314" s="16">
        <v>4929</v>
      </c>
      <c r="HT314" s="16">
        <v>223</v>
      </c>
      <c r="HU314" s="16">
        <v>11669</v>
      </c>
      <c r="HV314" s="16">
        <v>2371</v>
      </c>
      <c r="HW314" s="16">
        <v>6327</v>
      </c>
      <c r="HX314" s="16">
        <v>4292</v>
      </c>
      <c r="HY314" s="16">
        <v>10175</v>
      </c>
      <c r="HZ314" s="16">
        <v>11418</v>
      </c>
      <c r="IA314" s="16">
        <v>3078</v>
      </c>
      <c r="IB314" s="16">
        <v>836</v>
      </c>
      <c r="IC314" s="16">
        <v>1084</v>
      </c>
      <c r="ID314" s="16">
        <v>959</v>
      </c>
      <c r="IE314" s="16">
        <v>440</v>
      </c>
      <c r="IF314" s="16">
        <v>1019</v>
      </c>
      <c r="IG314" s="16">
        <v>3892</v>
      </c>
      <c r="IH314" s="16">
        <v>8997</v>
      </c>
      <c r="II314" s="16">
        <v>326</v>
      </c>
      <c r="IJ314" s="16">
        <v>78</v>
      </c>
      <c r="IK314" s="16">
        <v>106</v>
      </c>
      <c r="IL314" s="16">
        <v>450</v>
      </c>
      <c r="IM314" s="16">
        <v>144</v>
      </c>
      <c r="IN314" s="16">
        <v>19849</v>
      </c>
      <c r="IO314" s="16">
        <v>15837</v>
      </c>
      <c r="IP314" s="16">
        <v>4494</v>
      </c>
      <c r="IQ314" s="16">
        <v>2314</v>
      </c>
      <c r="IR314" s="16">
        <v>870</v>
      </c>
      <c r="IS314" s="16">
        <v>1342</v>
      </c>
      <c r="IT314" s="16">
        <v>305</v>
      </c>
      <c r="IU314" s="16">
        <v>101</v>
      </c>
      <c r="IV314" s="16">
        <v>2753</v>
      </c>
      <c r="IW314" s="16">
        <v>5365</v>
      </c>
      <c r="IX314" s="16">
        <v>2750</v>
      </c>
      <c r="IY314" s="16">
        <v>508</v>
      </c>
      <c r="IZ314" s="16">
        <v>128</v>
      </c>
      <c r="JA314" s="16">
        <v>1073</v>
      </c>
      <c r="JB314" s="16">
        <v>243</v>
      </c>
      <c r="JC314" s="16">
        <v>229</v>
      </c>
      <c r="JD314" s="16">
        <v>562</v>
      </c>
      <c r="JE314" s="16">
        <v>4503</v>
      </c>
      <c r="JF314" s="16">
        <v>1385</v>
      </c>
      <c r="JG314" s="16">
        <v>117116</v>
      </c>
      <c r="JH314" s="16">
        <v>7186</v>
      </c>
      <c r="JI314" s="16">
        <v>2351</v>
      </c>
      <c r="JJ314" s="16">
        <v>1704</v>
      </c>
      <c r="JK314" s="16">
        <v>3552</v>
      </c>
      <c r="JL314" s="16">
        <v>662</v>
      </c>
      <c r="JM314" s="16">
        <v>917</v>
      </c>
      <c r="JN314" s="16">
        <v>10225</v>
      </c>
      <c r="JO314" s="16">
        <v>63</v>
      </c>
      <c r="JP314" s="16">
        <v>2504</v>
      </c>
      <c r="JQ314" s="16">
        <v>2490</v>
      </c>
      <c r="JR314" s="16">
        <v>10951</v>
      </c>
      <c r="JS314" s="16">
        <v>3637</v>
      </c>
      <c r="JT314" s="16">
        <v>1</v>
      </c>
      <c r="JU314" s="16">
        <v>5178</v>
      </c>
      <c r="JV314" s="16">
        <v>27968</v>
      </c>
      <c r="JW314" s="16">
        <v>31732</v>
      </c>
      <c r="JX314" s="16">
        <v>18851</v>
      </c>
      <c r="JY314" s="16">
        <v>16496</v>
      </c>
      <c r="JZ314" s="16">
        <v>941</v>
      </c>
      <c r="KA314" s="16">
        <v>2584</v>
      </c>
      <c r="KB314" s="16">
        <v>1828</v>
      </c>
      <c r="KC314" s="16">
        <v>1638</v>
      </c>
      <c r="KD314" s="16">
        <v>58</v>
      </c>
      <c r="KE314" s="16">
        <v>497</v>
      </c>
      <c r="KF314" s="16">
        <v>5079</v>
      </c>
      <c r="KG314" s="16">
        <v>2025</v>
      </c>
      <c r="KH314" s="16">
        <v>1730</v>
      </c>
      <c r="KI314" s="16">
        <v>3262</v>
      </c>
      <c r="KJ314" s="16">
        <v>438</v>
      </c>
      <c r="KK314" s="16">
        <v>523518</v>
      </c>
      <c r="KL314" s="16">
        <v>906</v>
      </c>
      <c r="KM314" s="16">
        <v>6525</v>
      </c>
      <c r="KN314" s="16">
        <v>20992</v>
      </c>
      <c r="KO314" s="16">
        <v>4209</v>
      </c>
      <c r="KP314" s="16">
        <v>1208</v>
      </c>
      <c r="KQ314" s="16">
        <v>1774</v>
      </c>
      <c r="KR314" s="16">
        <v>9814</v>
      </c>
      <c r="KS314" s="16">
        <v>142</v>
      </c>
      <c r="KT314" s="16">
        <v>488</v>
      </c>
      <c r="KU314" s="16">
        <v>19118</v>
      </c>
      <c r="KV314" s="16">
        <v>36517</v>
      </c>
      <c r="KW314" s="16">
        <v>69074</v>
      </c>
      <c r="KX314" s="16">
        <v>379</v>
      </c>
      <c r="KY314" s="16">
        <v>13325</v>
      </c>
      <c r="KZ314" s="16">
        <v>75757</v>
      </c>
      <c r="LA314" s="16">
        <v>6602</v>
      </c>
      <c r="LB314" s="16">
        <v>5922</v>
      </c>
      <c r="LC314" s="16">
        <v>5101</v>
      </c>
      <c r="LD314" s="16">
        <v>20530</v>
      </c>
      <c r="LE314" s="16">
        <v>12878</v>
      </c>
      <c r="LF314" s="16">
        <v>23597</v>
      </c>
      <c r="LG314" s="16">
        <v>6426</v>
      </c>
      <c r="LH314" s="16">
        <v>9914</v>
      </c>
      <c r="LI314" s="16">
        <v>5451</v>
      </c>
      <c r="LJ314" s="16">
        <v>26436</v>
      </c>
      <c r="LK314" s="16">
        <v>18372</v>
      </c>
      <c r="LL314" s="16">
        <v>38454</v>
      </c>
      <c r="LM314" s="16">
        <v>128147</v>
      </c>
      <c r="LN314" s="16">
        <v>48105</v>
      </c>
      <c r="LO314" s="16">
        <v>23352</v>
      </c>
      <c r="LP314" s="16">
        <v>12279</v>
      </c>
      <c r="LQ314" s="16">
        <v>2414</v>
      </c>
      <c r="LR314" s="16">
        <v>58827</v>
      </c>
      <c r="LS314" s="16">
        <v>7616</v>
      </c>
      <c r="LT314" s="16">
        <v>54788</v>
      </c>
      <c r="LU314" s="16">
        <v>45293</v>
      </c>
      <c r="LV314" s="16">
        <v>180</v>
      </c>
      <c r="LW314" s="16">
        <v>73366</v>
      </c>
      <c r="LX314" s="16">
        <v>30752</v>
      </c>
      <c r="LY314" s="16">
        <v>0</v>
      </c>
      <c r="LZ314" s="16">
        <v>212755</v>
      </c>
      <c r="MA314" s="16">
        <v>304594</v>
      </c>
      <c r="MB314" s="16">
        <v>65857</v>
      </c>
      <c r="MC314" s="16">
        <v>42527</v>
      </c>
      <c r="MD314" s="16">
        <v>20578</v>
      </c>
      <c r="ME314" s="16">
        <v>13449</v>
      </c>
      <c r="MF314" s="16">
        <v>181290</v>
      </c>
      <c r="MG314" s="16">
        <v>52873</v>
      </c>
      <c r="MH314" s="16">
        <v>566993</v>
      </c>
      <c r="MI314" s="16">
        <v>4501</v>
      </c>
      <c r="MJ314" s="16">
        <v>56090</v>
      </c>
      <c r="MK314" s="16">
        <v>30706</v>
      </c>
      <c r="ML314" s="16">
        <v>120315</v>
      </c>
      <c r="MM314" s="16">
        <v>79912</v>
      </c>
      <c r="MN314" s="16">
        <v>34723</v>
      </c>
      <c r="MO314" s="16">
        <v>23936</v>
      </c>
      <c r="MP314" s="16">
        <v>150702</v>
      </c>
      <c r="MQ314" s="16">
        <v>249009</v>
      </c>
      <c r="MR314" s="16">
        <v>0</v>
      </c>
      <c r="MS314" s="16">
        <v>0</v>
      </c>
      <c r="MT314" s="16">
        <v>0</v>
      </c>
      <c r="MU314" s="16">
        <v>5405</v>
      </c>
      <c r="MV314" s="16">
        <v>12282</v>
      </c>
      <c r="MW314" s="16">
        <v>46892</v>
      </c>
      <c r="MX314" s="16">
        <v>0</v>
      </c>
      <c r="MY314" s="16">
        <v>16680</v>
      </c>
      <c r="MZ314" s="16">
        <v>46035</v>
      </c>
      <c r="NA314" s="16">
        <v>0</v>
      </c>
      <c r="NB314" s="16">
        <v>29439</v>
      </c>
      <c r="NC314" s="16">
        <v>0</v>
      </c>
      <c r="ND314" s="16">
        <v>7487</v>
      </c>
      <c r="NE314" s="16">
        <v>3268</v>
      </c>
      <c r="NF314" s="16">
        <v>22834</v>
      </c>
      <c r="NG314" s="16">
        <v>56851</v>
      </c>
      <c r="NH314" s="16">
        <v>35817</v>
      </c>
      <c r="NI314" s="16">
        <v>119719</v>
      </c>
      <c r="NJ314" s="16">
        <v>203749</v>
      </c>
      <c r="NK314" s="16">
        <v>27331</v>
      </c>
      <c r="NL314" s="16">
        <v>17771</v>
      </c>
      <c r="NM314" s="16">
        <v>20690</v>
      </c>
      <c r="NN314" s="16">
        <v>4209</v>
      </c>
      <c r="NO314" s="16">
        <v>0</v>
      </c>
      <c r="NP314" s="16">
        <v>11417</v>
      </c>
      <c r="NQ314" s="16">
        <v>60</v>
      </c>
      <c r="NR314" s="17">
        <v>5658617</v>
      </c>
    </row>
    <row r="315" spans="1:382" ht="13.5" customHeight="1" x14ac:dyDescent="0.2">
      <c r="A315" s="2" t="s">
        <v>637</v>
      </c>
      <c r="B315" s="16">
        <v>278</v>
      </c>
      <c r="C315" s="16">
        <v>1</v>
      </c>
      <c r="D315" s="16">
        <v>318</v>
      </c>
      <c r="E315" s="16">
        <v>163</v>
      </c>
      <c r="F315" s="16">
        <v>708</v>
      </c>
      <c r="G315" s="16">
        <v>265</v>
      </c>
      <c r="H315" s="16">
        <v>26</v>
      </c>
      <c r="I315" s="16">
        <v>88</v>
      </c>
      <c r="J315" s="16">
        <v>1</v>
      </c>
      <c r="K315" s="16">
        <v>0</v>
      </c>
      <c r="L315" s="16">
        <v>1382</v>
      </c>
      <c r="M315" s="16">
        <v>71</v>
      </c>
      <c r="N315" s="16">
        <v>48</v>
      </c>
      <c r="O315" s="16">
        <v>21</v>
      </c>
      <c r="P315" s="16">
        <v>243</v>
      </c>
      <c r="Q315" s="16">
        <v>1277</v>
      </c>
      <c r="R315" s="16">
        <v>1288</v>
      </c>
      <c r="S315" s="16">
        <v>111</v>
      </c>
      <c r="T315" s="16">
        <v>970</v>
      </c>
      <c r="U315" s="16">
        <v>353</v>
      </c>
      <c r="V315" s="16">
        <v>871</v>
      </c>
      <c r="W315" s="16">
        <v>5</v>
      </c>
      <c r="X315" s="16">
        <v>2102</v>
      </c>
      <c r="Y315" s="16">
        <v>2345</v>
      </c>
      <c r="Z315" s="16">
        <v>811</v>
      </c>
      <c r="AA315" s="16">
        <v>68</v>
      </c>
      <c r="AB315" s="16">
        <v>0</v>
      </c>
      <c r="AC315" s="16">
        <v>0</v>
      </c>
      <c r="AD315" s="16">
        <v>0</v>
      </c>
      <c r="AE315" s="16">
        <v>34</v>
      </c>
      <c r="AF315" s="16">
        <v>14</v>
      </c>
      <c r="AG315" s="16">
        <v>2780</v>
      </c>
      <c r="AH315" s="16">
        <v>3651</v>
      </c>
      <c r="AI315" s="16">
        <v>801</v>
      </c>
      <c r="AJ315" s="16">
        <v>1628</v>
      </c>
      <c r="AK315" s="16">
        <v>1571</v>
      </c>
      <c r="AL315" s="16">
        <v>424</v>
      </c>
      <c r="AM315" s="16">
        <v>542</v>
      </c>
      <c r="AN315" s="16">
        <v>577</v>
      </c>
      <c r="AO315" s="16">
        <v>828</v>
      </c>
      <c r="AP315" s="16">
        <v>24</v>
      </c>
      <c r="AQ315" s="16">
        <v>86</v>
      </c>
      <c r="AR315" s="16">
        <v>0</v>
      </c>
      <c r="AS315" s="16">
        <v>11</v>
      </c>
      <c r="AT315" s="16">
        <v>116</v>
      </c>
      <c r="AU315" s="16">
        <v>314</v>
      </c>
      <c r="AV315" s="16">
        <v>440</v>
      </c>
      <c r="AW315" s="16">
        <v>1776</v>
      </c>
      <c r="AX315" s="16">
        <v>306</v>
      </c>
      <c r="AY315" s="16">
        <v>75</v>
      </c>
      <c r="AZ315" s="16">
        <v>756</v>
      </c>
      <c r="BA315" s="16">
        <v>649</v>
      </c>
      <c r="BB315" s="16">
        <v>340</v>
      </c>
      <c r="BC315" s="16">
        <v>1437</v>
      </c>
      <c r="BD315" s="16">
        <v>62</v>
      </c>
      <c r="BE315" s="16">
        <v>865</v>
      </c>
      <c r="BF315" s="16">
        <v>1437</v>
      </c>
      <c r="BG315" s="16">
        <v>966</v>
      </c>
      <c r="BH315" s="16">
        <v>1230</v>
      </c>
      <c r="BI315" s="16">
        <v>148</v>
      </c>
      <c r="BJ315" s="16">
        <v>108</v>
      </c>
      <c r="BK315" s="16">
        <v>346</v>
      </c>
      <c r="BL315" s="16">
        <v>2595</v>
      </c>
      <c r="BM315" s="16">
        <v>516</v>
      </c>
      <c r="BN315" s="16">
        <v>1459</v>
      </c>
      <c r="BO315" s="16">
        <v>2133</v>
      </c>
      <c r="BP315" s="16">
        <v>1906</v>
      </c>
      <c r="BQ315" s="16">
        <v>542</v>
      </c>
      <c r="BR315" s="16">
        <v>200</v>
      </c>
      <c r="BS315" s="16">
        <v>2625</v>
      </c>
      <c r="BT315" s="16">
        <v>30</v>
      </c>
      <c r="BU315" s="16">
        <v>14</v>
      </c>
      <c r="BV315" s="16">
        <v>6</v>
      </c>
      <c r="BW315" s="16">
        <v>819</v>
      </c>
      <c r="BX315" s="16">
        <v>203</v>
      </c>
      <c r="BY315" s="16">
        <v>0</v>
      </c>
      <c r="BZ315" s="16">
        <v>543</v>
      </c>
      <c r="CA315" s="16">
        <v>183</v>
      </c>
      <c r="CB315" s="16">
        <v>51</v>
      </c>
      <c r="CC315" s="16">
        <v>1216</v>
      </c>
      <c r="CD315" s="16">
        <v>599</v>
      </c>
      <c r="CE315" s="16">
        <v>227</v>
      </c>
      <c r="CF315" s="16">
        <v>2822</v>
      </c>
      <c r="CG315" s="16">
        <v>755</v>
      </c>
      <c r="CH315" s="16">
        <v>569</v>
      </c>
      <c r="CI315" s="16">
        <v>66</v>
      </c>
      <c r="CJ315" s="16">
        <v>790</v>
      </c>
      <c r="CK315" s="16">
        <v>1155</v>
      </c>
      <c r="CL315" s="16">
        <v>934</v>
      </c>
      <c r="CM315" s="16">
        <v>1058</v>
      </c>
      <c r="CN315" s="16">
        <v>171</v>
      </c>
      <c r="CO315" s="16">
        <v>524</v>
      </c>
      <c r="CP315" s="16">
        <v>723</v>
      </c>
      <c r="CQ315" s="16">
        <v>1573</v>
      </c>
      <c r="CR315" s="16">
        <v>381</v>
      </c>
      <c r="CS315" s="16">
        <v>1324</v>
      </c>
      <c r="CT315" s="16">
        <v>884</v>
      </c>
      <c r="CU315" s="16">
        <v>2103</v>
      </c>
      <c r="CV315" s="16">
        <v>1285</v>
      </c>
      <c r="CW315" s="16">
        <v>2654</v>
      </c>
      <c r="CX315" s="16">
        <v>3180</v>
      </c>
      <c r="CY315" s="16">
        <v>260</v>
      </c>
      <c r="CZ315" s="16">
        <v>296</v>
      </c>
      <c r="DA315" s="16">
        <v>52</v>
      </c>
      <c r="DB315" s="16">
        <v>263</v>
      </c>
      <c r="DC315" s="16">
        <v>103</v>
      </c>
      <c r="DD315" s="16">
        <v>283</v>
      </c>
      <c r="DE315" s="16">
        <v>197</v>
      </c>
      <c r="DF315" s="16">
        <v>1098</v>
      </c>
      <c r="DG315" s="16">
        <v>1004</v>
      </c>
      <c r="DH315" s="16">
        <v>1047</v>
      </c>
      <c r="DI315" s="16">
        <v>294</v>
      </c>
      <c r="DJ315" s="16">
        <v>3437</v>
      </c>
      <c r="DK315" s="16">
        <v>388</v>
      </c>
      <c r="DL315" s="16">
        <v>387</v>
      </c>
      <c r="DM315" s="16">
        <v>4134</v>
      </c>
      <c r="DN315" s="16">
        <v>429</v>
      </c>
      <c r="DO315" s="16">
        <v>826</v>
      </c>
      <c r="DP315" s="16">
        <v>923</v>
      </c>
      <c r="DQ315" s="16">
        <v>174</v>
      </c>
      <c r="DR315" s="16">
        <v>1412</v>
      </c>
      <c r="DS315" s="16">
        <v>3053</v>
      </c>
      <c r="DT315" s="16">
        <v>373</v>
      </c>
      <c r="DU315" s="16">
        <v>371</v>
      </c>
      <c r="DV315" s="16">
        <v>2269</v>
      </c>
      <c r="DW315" s="16">
        <v>2367</v>
      </c>
      <c r="DX315" s="16">
        <v>2078</v>
      </c>
      <c r="DY315" s="16">
        <v>2608</v>
      </c>
      <c r="DZ315" s="16">
        <v>7514</v>
      </c>
      <c r="EA315" s="16">
        <v>2079</v>
      </c>
      <c r="EB315" s="16">
        <v>866</v>
      </c>
      <c r="EC315" s="16">
        <v>1554</v>
      </c>
      <c r="ED315" s="16">
        <v>274</v>
      </c>
      <c r="EE315" s="16">
        <v>61</v>
      </c>
      <c r="EF315" s="16">
        <v>132</v>
      </c>
      <c r="EG315" s="16">
        <v>1249</v>
      </c>
      <c r="EH315" s="16">
        <v>144</v>
      </c>
      <c r="EI315" s="16">
        <v>1669</v>
      </c>
      <c r="EJ315" s="16">
        <v>217</v>
      </c>
      <c r="EK315" s="16">
        <v>543</v>
      </c>
      <c r="EL315" s="16">
        <v>255</v>
      </c>
      <c r="EM315" s="16">
        <v>463</v>
      </c>
      <c r="EN315" s="16">
        <v>2268</v>
      </c>
      <c r="EO315" s="16">
        <v>1219</v>
      </c>
      <c r="EP315" s="16">
        <v>294</v>
      </c>
      <c r="EQ315" s="16">
        <v>826</v>
      </c>
      <c r="ER315" s="16">
        <v>137</v>
      </c>
      <c r="ES315" s="16">
        <v>768</v>
      </c>
      <c r="ET315" s="16">
        <v>758</v>
      </c>
      <c r="EU315" s="16">
        <v>2</v>
      </c>
      <c r="EV315" s="16">
        <v>100</v>
      </c>
      <c r="EW315" s="16">
        <v>118</v>
      </c>
      <c r="EX315" s="16">
        <v>9125</v>
      </c>
      <c r="EY315" s="16">
        <v>2834</v>
      </c>
      <c r="EZ315" s="16">
        <v>1136</v>
      </c>
      <c r="FA315" s="16">
        <v>1460</v>
      </c>
      <c r="FB315" s="16">
        <v>4465</v>
      </c>
      <c r="FC315" s="16">
        <v>207</v>
      </c>
      <c r="FD315" s="16">
        <v>3279</v>
      </c>
      <c r="FE315" s="16">
        <v>2490</v>
      </c>
      <c r="FF315" s="16">
        <v>637</v>
      </c>
      <c r="FG315" s="16">
        <v>3368</v>
      </c>
      <c r="FH315" s="16">
        <v>117</v>
      </c>
      <c r="FI315" s="16">
        <v>2541</v>
      </c>
      <c r="FJ315" s="16">
        <v>128</v>
      </c>
      <c r="FK315" s="16">
        <v>2446</v>
      </c>
      <c r="FL315" s="16">
        <v>90</v>
      </c>
      <c r="FM315" s="16">
        <v>1201</v>
      </c>
      <c r="FN315" s="16">
        <v>1832</v>
      </c>
      <c r="FO315" s="16">
        <v>664</v>
      </c>
      <c r="FP315" s="16">
        <v>2422</v>
      </c>
      <c r="FQ315" s="16">
        <v>5798</v>
      </c>
      <c r="FR315" s="16">
        <v>3964</v>
      </c>
      <c r="FS315" s="16">
        <v>1930</v>
      </c>
      <c r="FT315" s="16">
        <v>659</v>
      </c>
      <c r="FU315" s="16">
        <v>5681</v>
      </c>
      <c r="FV315" s="16">
        <v>2755</v>
      </c>
      <c r="FW315" s="16">
        <v>6859</v>
      </c>
      <c r="FX315" s="16">
        <v>6846</v>
      </c>
      <c r="FY315" s="16">
        <v>719</v>
      </c>
      <c r="FZ315" s="16">
        <v>1845</v>
      </c>
      <c r="GA315" s="16">
        <v>542</v>
      </c>
      <c r="GB315" s="16">
        <v>11042</v>
      </c>
      <c r="GC315" s="16">
        <v>1070</v>
      </c>
      <c r="GD315" s="16">
        <v>2239</v>
      </c>
      <c r="GE315" s="16">
        <v>119</v>
      </c>
      <c r="GF315" s="16">
        <v>0</v>
      </c>
      <c r="GG315" s="16">
        <v>0</v>
      </c>
      <c r="GH315" s="16">
        <v>2287</v>
      </c>
      <c r="GI315" s="16">
        <v>1782</v>
      </c>
      <c r="GJ315" s="16">
        <v>917</v>
      </c>
      <c r="GK315" s="16">
        <v>641</v>
      </c>
      <c r="GL315" s="16">
        <v>25</v>
      </c>
      <c r="GM315" s="16">
        <v>331</v>
      </c>
      <c r="GN315" s="16">
        <v>116</v>
      </c>
      <c r="GO315" s="16">
        <v>671</v>
      </c>
      <c r="GP315" s="16">
        <v>1150</v>
      </c>
      <c r="GQ315" s="16">
        <v>121</v>
      </c>
      <c r="GR315" s="16">
        <v>1022</v>
      </c>
      <c r="GS315" s="16">
        <v>249</v>
      </c>
      <c r="GT315" s="16">
        <v>682</v>
      </c>
      <c r="GU315" s="16">
        <v>1662</v>
      </c>
      <c r="GV315" s="16">
        <v>1503</v>
      </c>
      <c r="GW315" s="16">
        <v>1743</v>
      </c>
      <c r="GX315" s="16">
        <v>716</v>
      </c>
      <c r="GY315" s="16">
        <v>13</v>
      </c>
      <c r="GZ315" s="16">
        <v>1640</v>
      </c>
      <c r="HA315" s="16">
        <v>566</v>
      </c>
      <c r="HB315" s="16">
        <v>551</v>
      </c>
      <c r="HC315" s="16">
        <v>2576</v>
      </c>
      <c r="HD315" s="16">
        <v>2984</v>
      </c>
      <c r="HE315" s="16">
        <v>1347</v>
      </c>
      <c r="HF315" s="16">
        <v>3212</v>
      </c>
      <c r="HG315" s="16">
        <v>211</v>
      </c>
      <c r="HH315" s="16">
        <v>425</v>
      </c>
      <c r="HI315" s="16">
        <v>1323</v>
      </c>
      <c r="HJ315" s="16">
        <v>354</v>
      </c>
      <c r="HK315" s="16">
        <v>1455</v>
      </c>
      <c r="HL315" s="16">
        <v>4574</v>
      </c>
      <c r="HM315" s="16">
        <v>820</v>
      </c>
      <c r="HN315" s="16">
        <v>7474</v>
      </c>
      <c r="HO315" s="16">
        <v>1080</v>
      </c>
      <c r="HP315" s="16">
        <v>973</v>
      </c>
      <c r="HQ315" s="16">
        <v>4102</v>
      </c>
      <c r="HR315" s="16">
        <v>4733</v>
      </c>
      <c r="HS315" s="16">
        <v>1349</v>
      </c>
      <c r="HT315" s="16">
        <v>75</v>
      </c>
      <c r="HU315" s="16">
        <v>3635</v>
      </c>
      <c r="HV315" s="16">
        <v>734</v>
      </c>
      <c r="HW315" s="16">
        <v>2026</v>
      </c>
      <c r="HX315" s="16">
        <v>1532</v>
      </c>
      <c r="HY315" s="16">
        <v>3100</v>
      </c>
      <c r="HZ315" s="16">
        <v>2740</v>
      </c>
      <c r="IA315" s="16">
        <v>764</v>
      </c>
      <c r="IB315" s="16">
        <v>249</v>
      </c>
      <c r="IC315" s="16">
        <v>396</v>
      </c>
      <c r="ID315" s="16">
        <v>282</v>
      </c>
      <c r="IE315" s="16">
        <v>146</v>
      </c>
      <c r="IF315" s="16">
        <v>361</v>
      </c>
      <c r="IG315" s="16">
        <v>1142</v>
      </c>
      <c r="IH315" s="16">
        <v>3495</v>
      </c>
      <c r="II315" s="16">
        <v>275</v>
      </c>
      <c r="IJ315" s="16">
        <v>22</v>
      </c>
      <c r="IK315" s="16">
        <v>46</v>
      </c>
      <c r="IL315" s="16">
        <v>159</v>
      </c>
      <c r="IM315" s="16">
        <v>32</v>
      </c>
      <c r="IN315" s="16">
        <v>6733</v>
      </c>
      <c r="IO315" s="16">
        <v>5435</v>
      </c>
      <c r="IP315" s="16">
        <v>1741</v>
      </c>
      <c r="IQ315" s="16">
        <v>1351</v>
      </c>
      <c r="IR315" s="16">
        <v>331</v>
      </c>
      <c r="IS315" s="16">
        <v>383</v>
      </c>
      <c r="IT315" s="16">
        <v>102</v>
      </c>
      <c r="IU315" s="16">
        <v>38</v>
      </c>
      <c r="IV315" s="16">
        <v>861</v>
      </c>
      <c r="IW315" s="16">
        <v>1567</v>
      </c>
      <c r="IX315" s="16">
        <v>812</v>
      </c>
      <c r="IY315" s="16">
        <v>107</v>
      </c>
      <c r="IZ315" s="16">
        <v>41</v>
      </c>
      <c r="JA315" s="16">
        <v>312</v>
      </c>
      <c r="JB315" s="16">
        <v>85</v>
      </c>
      <c r="JC315" s="16">
        <v>59</v>
      </c>
      <c r="JD315" s="16">
        <v>188</v>
      </c>
      <c r="JE315" s="16">
        <v>1375</v>
      </c>
      <c r="JF315" s="16">
        <v>418</v>
      </c>
      <c r="JG315" s="16">
        <v>35929</v>
      </c>
      <c r="JH315" s="16">
        <v>2395</v>
      </c>
      <c r="JI315" s="16">
        <v>794</v>
      </c>
      <c r="JJ315" s="16">
        <v>568</v>
      </c>
      <c r="JK315" s="16">
        <v>1243</v>
      </c>
      <c r="JL315" s="16">
        <v>212</v>
      </c>
      <c r="JM315" s="16">
        <v>387</v>
      </c>
      <c r="JN315" s="16">
        <v>526</v>
      </c>
      <c r="JO315" s="16">
        <v>27</v>
      </c>
      <c r="JP315" s="16">
        <v>742</v>
      </c>
      <c r="JQ315" s="16">
        <v>762</v>
      </c>
      <c r="JR315" s="16">
        <v>1694</v>
      </c>
      <c r="JS315" s="16">
        <v>690</v>
      </c>
      <c r="JT315" s="16">
        <v>0</v>
      </c>
      <c r="JU315" s="16">
        <v>1897</v>
      </c>
      <c r="JV315" s="16">
        <v>7073</v>
      </c>
      <c r="JW315" s="16">
        <v>9401</v>
      </c>
      <c r="JX315" s="16">
        <v>6119</v>
      </c>
      <c r="JY315" s="16">
        <v>4419</v>
      </c>
      <c r="JZ315" s="16">
        <v>325</v>
      </c>
      <c r="KA315" s="16">
        <v>944</v>
      </c>
      <c r="KB315" s="16">
        <v>602</v>
      </c>
      <c r="KC315" s="16">
        <v>517</v>
      </c>
      <c r="KD315" s="16">
        <v>16</v>
      </c>
      <c r="KE315" s="16">
        <v>168</v>
      </c>
      <c r="KF315" s="16">
        <v>1759</v>
      </c>
      <c r="KG315" s="16">
        <v>765</v>
      </c>
      <c r="KH315" s="16">
        <v>576</v>
      </c>
      <c r="KI315" s="16">
        <v>1029</v>
      </c>
      <c r="KJ315" s="16">
        <v>109</v>
      </c>
      <c r="KK315" s="16">
        <v>145370</v>
      </c>
      <c r="KL315" s="16">
        <v>317</v>
      </c>
      <c r="KM315" s="16">
        <v>1972</v>
      </c>
      <c r="KN315" s="16">
        <v>7007</v>
      </c>
      <c r="KO315" s="16">
        <v>1499</v>
      </c>
      <c r="KP315" s="16">
        <v>525</v>
      </c>
      <c r="KQ315" s="16">
        <v>758</v>
      </c>
      <c r="KR315" s="16">
        <v>3105</v>
      </c>
      <c r="KS315" s="16">
        <v>24</v>
      </c>
      <c r="KT315" s="16">
        <v>220</v>
      </c>
      <c r="KU315" s="16">
        <v>4907</v>
      </c>
      <c r="KV315" s="16">
        <v>8933</v>
      </c>
      <c r="KW315" s="16">
        <v>21437</v>
      </c>
      <c r="KX315" s="16">
        <v>151</v>
      </c>
      <c r="KY315" s="16">
        <v>2974</v>
      </c>
      <c r="KZ315" s="16">
        <v>25600</v>
      </c>
      <c r="LA315" s="16">
        <v>1877</v>
      </c>
      <c r="LB315" s="16">
        <v>2060</v>
      </c>
      <c r="LC315" s="16">
        <v>1265</v>
      </c>
      <c r="LD315" s="16">
        <v>7001</v>
      </c>
      <c r="LE315" s="16">
        <v>4484</v>
      </c>
      <c r="LF315" s="16">
        <v>7821</v>
      </c>
      <c r="LG315" s="16">
        <v>2248</v>
      </c>
      <c r="LH315" s="16">
        <v>2577</v>
      </c>
      <c r="LI315" s="16">
        <v>1872</v>
      </c>
      <c r="LJ315" s="16">
        <v>8354</v>
      </c>
      <c r="LK315" s="16">
        <v>5632</v>
      </c>
      <c r="LL315" s="16">
        <v>11458</v>
      </c>
      <c r="LM315" s="16">
        <v>36840</v>
      </c>
      <c r="LN315" s="16">
        <v>12996</v>
      </c>
      <c r="LO315" s="16">
        <v>7156</v>
      </c>
      <c r="LP315" s="16">
        <v>2906</v>
      </c>
      <c r="LQ315" s="16">
        <v>1150</v>
      </c>
      <c r="LR315" s="16">
        <v>18108</v>
      </c>
      <c r="LS315" s="16">
        <v>2027</v>
      </c>
      <c r="LT315" s="16">
        <v>20532</v>
      </c>
      <c r="LU315" s="16">
        <v>15385</v>
      </c>
      <c r="LV315" s="16">
        <v>45</v>
      </c>
      <c r="LW315" s="16">
        <v>22261</v>
      </c>
      <c r="LX315" s="16">
        <v>9440</v>
      </c>
      <c r="LY315" s="16">
        <v>0</v>
      </c>
      <c r="LZ315" s="16">
        <v>59825</v>
      </c>
      <c r="MA315" s="16">
        <v>35876</v>
      </c>
      <c r="MB315" s="16">
        <v>23833</v>
      </c>
      <c r="MC315" s="16">
        <v>10088</v>
      </c>
      <c r="MD315" s="16">
        <v>5824</v>
      </c>
      <c r="ME315" s="16">
        <v>1940</v>
      </c>
      <c r="MF315" s="16">
        <v>68470</v>
      </c>
      <c r="MG315" s="16">
        <v>13626</v>
      </c>
      <c r="MH315" s="16">
        <v>156759</v>
      </c>
      <c r="MI315" s="16">
        <v>1395</v>
      </c>
      <c r="MJ315" s="16">
        <v>17700</v>
      </c>
      <c r="MK315" s="16">
        <v>9840</v>
      </c>
      <c r="ML315" s="16">
        <v>34562</v>
      </c>
      <c r="MM315" s="16">
        <v>18568</v>
      </c>
      <c r="MN315" s="16">
        <v>9302</v>
      </c>
      <c r="MO315" s="16">
        <v>6231</v>
      </c>
      <c r="MP315" s="16">
        <v>46626</v>
      </c>
      <c r="MQ315" s="16">
        <v>64093</v>
      </c>
      <c r="MR315" s="16">
        <v>2573</v>
      </c>
      <c r="MS315" s="16">
        <v>3836</v>
      </c>
      <c r="MT315" s="16">
        <v>1102</v>
      </c>
      <c r="MU315" s="16">
        <v>8879</v>
      </c>
      <c r="MV315" s="16">
        <v>4333</v>
      </c>
      <c r="MW315" s="16">
        <v>14036</v>
      </c>
      <c r="MX315" s="16">
        <v>119</v>
      </c>
      <c r="MY315" s="16">
        <v>4679</v>
      </c>
      <c r="MZ315" s="16">
        <v>12079</v>
      </c>
      <c r="NA315" s="16">
        <v>152</v>
      </c>
      <c r="NB315" s="16">
        <v>6806</v>
      </c>
      <c r="NC315" s="16">
        <v>297</v>
      </c>
      <c r="ND315" s="16">
        <v>2019</v>
      </c>
      <c r="NE315" s="16">
        <v>923</v>
      </c>
      <c r="NF315" s="16">
        <v>8909</v>
      </c>
      <c r="NG315" s="16">
        <v>17311</v>
      </c>
      <c r="NH315" s="16">
        <v>14136</v>
      </c>
      <c r="NI315" s="16">
        <v>31730</v>
      </c>
      <c r="NJ315" s="16">
        <v>57673</v>
      </c>
      <c r="NK315" s="16">
        <v>7833</v>
      </c>
      <c r="NL315" s="16">
        <v>5621</v>
      </c>
      <c r="NM315" s="16">
        <v>7392</v>
      </c>
      <c r="NN315" s="16">
        <v>1306</v>
      </c>
      <c r="NO315" s="16">
        <v>0</v>
      </c>
      <c r="NP315" s="16">
        <v>3593</v>
      </c>
      <c r="NQ315" s="16">
        <v>289</v>
      </c>
      <c r="NR315" s="17">
        <v>1637816</v>
      </c>
    </row>
    <row r="316" spans="1:382" ht="13.5" customHeight="1" x14ac:dyDescent="0.2">
      <c r="A316" s="2" t="s">
        <v>639</v>
      </c>
      <c r="B316" s="16">
        <v>742</v>
      </c>
      <c r="C316" s="16">
        <v>2</v>
      </c>
      <c r="D316" s="16">
        <v>891</v>
      </c>
      <c r="E316" s="16">
        <v>508</v>
      </c>
      <c r="F316" s="16">
        <v>1624</v>
      </c>
      <c r="G316" s="16">
        <v>1472</v>
      </c>
      <c r="H316" s="16">
        <v>118</v>
      </c>
      <c r="I316" s="16">
        <v>264</v>
      </c>
      <c r="J316" s="16">
        <v>7</v>
      </c>
      <c r="K316" s="16">
        <v>0</v>
      </c>
      <c r="L316" s="16">
        <v>1476</v>
      </c>
      <c r="M316" s="16">
        <v>185</v>
      </c>
      <c r="N316" s="16">
        <v>61</v>
      </c>
      <c r="O316" s="16">
        <v>119</v>
      </c>
      <c r="P316" s="16">
        <v>880</v>
      </c>
      <c r="Q316" s="16">
        <v>3570</v>
      </c>
      <c r="R316" s="16">
        <v>3496</v>
      </c>
      <c r="S316" s="16">
        <v>366</v>
      </c>
      <c r="T316" s="16">
        <v>985</v>
      </c>
      <c r="U316" s="16">
        <v>191</v>
      </c>
      <c r="V316" s="16">
        <v>292</v>
      </c>
      <c r="W316" s="16">
        <v>12</v>
      </c>
      <c r="X316" s="16">
        <v>35352</v>
      </c>
      <c r="Y316" s="16">
        <v>7829</v>
      </c>
      <c r="Z316" s="16">
        <v>9589</v>
      </c>
      <c r="AA316" s="16">
        <v>285</v>
      </c>
      <c r="AB316" s="16">
        <v>0</v>
      </c>
      <c r="AC316" s="16">
        <v>0</v>
      </c>
      <c r="AD316" s="16">
        <v>0</v>
      </c>
      <c r="AE316" s="16">
        <v>139</v>
      </c>
      <c r="AF316" s="16">
        <v>212</v>
      </c>
      <c r="AG316" s="16">
        <v>1320</v>
      </c>
      <c r="AH316" s="16">
        <v>813</v>
      </c>
      <c r="AI316" s="16">
        <v>2195</v>
      </c>
      <c r="AJ316" s="16">
        <v>22355</v>
      </c>
      <c r="AK316" s="16">
        <v>4346</v>
      </c>
      <c r="AL316" s="16">
        <v>462</v>
      </c>
      <c r="AM316" s="16">
        <v>1799</v>
      </c>
      <c r="AN316" s="16">
        <v>983</v>
      </c>
      <c r="AO316" s="16">
        <v>1289</v>
      </c>
      <c r="AP316" s="16">
        <v>42</v>
      </c>
      <c r="AQ316" s="16">
        <v>629</v>
      </c>
      <c r="AR316" s="16">
        <v>0</v>
      </c>
      <c r="AS316" s="16">
        <v>32</v>
      </c>
      <c r="AT316" s="16">
        <v>552</v>
      </c>
      <c r="AU316" s="16">
        <v>1431</v>
      </c>
      <c r="AV316" s="16">
        <v>1350</v>
      </c>
      <c r="AW316" s="16">
        <v>1210</v>
      </c>
      <c r="AX316" s="16">
        <v>984</v>
      </c>
      <c r="AY316" s="16">
        <v>341</v>
      </c>
      <c r="AZ316" s="16">
        <v>2455</v>
      </c>
      <c r="BA316" s="16">
        <v>2292</v>
      </c>
      <c r="BB316" s="16">
        <v>1364</v>
      </c>
      <c r="BC316" s="16">
        <v>4169</v>
      </c>
      <c r="BD316" s="16">
        <v>175</v>
      </c>
      <c r="BE316" s="16">
        <v>1948</v>
      </c>
      <c r="BF316" s="16">
        <v>2715</v>
      </c>
      <c r="BG316" s="16">
        <v>2461</v>
      </c>
      <c r="BH316" s="16">
        <v>3891</v>
      </c>
      <c r="BI316" s="16">
        <v>367</v>
      </c>
      <c r="BJ316" s="16">
        <v>291</v>
      </c>
      <c r="BK316" s="16">
        <v>778</v>
      </c>
      <c r="BL316" s="16">
        <v>6366</v>
      </c>
      <c r="BM316" s="16">
        <v>1434</v>
      </c>
      <c r="BN316" s="16">
        <v>3343</v>
      </c>
      <c r="BO316" s="16">
        <v>4293</v>
      </c>
      <c r="BP316" s="16">
        <v>3519</v>
      </c>
      <c r="BQ316" s="16">
        <v>2162</v>
      </c>
      <c r="BR316" s="16">
        <v>644</v>
      </c>
      <c r="BS316" s="16">
        <v>5580</v>
      </c>
      <c r="BT316" s="16">
        <v>119</v>
      </c>
      <c r="BU316" s="16">
        <v>47</v>
      </c>
      <c r="BV316" s="16">
        <v>17</v>
      </c>
      <c r="BW316" s="16">
        <v>2210</v>
      </c>
      <c r="BX316" s="16">
        <v>576</v>
      </c>
      <c r="BY316" s="16">
        <v>0</v>
      </c>
      <c r="BZ316" s="16">
        <v>938</v>
      </c>
      <c r="CA316" s="16">
        <v>543</v>
      </c>
      <c r="CB316" s="16">
        <v>205</v>
      </c>
      <c r="CC316" s="16">
        <v>1488</v>
      </c>
      <c r="CD316" s="16">
        <v>1678</v>
      </c>
      <c r="CE316" s="16">
        <v>693</v>
      </c>
      <c r="CF316" s="16">
        <v>7507</v>
      </c>
      <c r="CG316" s="16">
        <v>2243</v>
      </c>
      <c r="CH316" s="16">
        <v>1934</v>
      </c>
      <c r="CI316" s="16">
        <v>116</v>
      </c>
      <c r="CJ316" s="16">
        <v>2269</v>
      </c>
      <c r="CK316" s="16">
        <v>4412</v>
      </c>
      <c r="CL316" s="16">
        <v>3126</v>
      </c>
      <c r="CM316" s="16">
        <v>3992</v>
      </c>
      <c r="CN316" s="16">
        <v>530</v>
      </c>
      <c r="CO316" s="16">
        <v>1822</v>
      </c>
      <c r="CP316" s="16">
        <v>2436</v>
      </c>
      <c r="CQ316" s="16">
        <v>7966</v>
      </c>
      <c r="CR316" s="16">
        <v>1009</v>
      </c>
      <c r="CS316" s="16">
        <v>4161</v>
      </c>
      <c r="CT316" s="16">
        <v>3481</v>
      </c>
      <c r="CU316" s="16">
        <v>5672</v>
      </c>
      <c r="CV316" s="16">
        <v>3221</v>
      </c>
      <c r="CW316" s="16">
        <v>7546</v>
      </c>
      <c r="CX316" s="16">
        <v>8901</v>
      </c>
      <c r="CY316" s="16">
        <v>770</v>
      </c>
      <c r="CZ316" s="16">
        <v>1044</v>
      </c>
      <c r="DA316" s="16">
        <v>518</v>
      </c>
      <c r="DB316" s="16">
        <v>1820</v>
      </c>
      <c r="DC316" s="16">
        <v>715</v>
      </c>
      <c r="DD316" s="16">
        <v>1753</v>
      </c>
      <c r="DE316" s="16">
        <v>559</v>
      </c>
      <c r="DF316" s="16">
        <v>6392</v>
      </c>
      <c r="DG316" s="16">
        <v>4527</v>
      </c>
      <c r="DH316" s="16">
        <v>8522</v>
      </c>
      <c r="DI316" s="16">
        <v>891</v>
      </c>
      <c r="DJ316" s="16">
        <v>21845</v>
      </c>
      <c r="DK316" s="16">
        <v>1497</v>
      </c>
      <c r="DL316" s="16">
        <v>1660</v>
      </c>
      <c r="DM316" s="16">
        <v>22152</v>
      </c>
      <c r="DN316" s="16">
        <v>1398</v>
      </c>
      <c r="DO316" s="16">
        <v>3230</v>
      </c>
      <c r="DP316" s="16">
        <v>3323</v>
      </c>
      <c r="DQ316" s="16">
        <v>591</v>
      </c>
      <c r="DR316" s="16">
        <v>4421</v>
      </c>
      <c r="DS316" s="16">
        <v>11078</v>
      </c>
      <c r="DT316" s="16">
        <v>1113</v>
      </c>
      <c r="DU316" s="16">
        <v>1221</v>
      </c>
      <c r="DV316" s="16">
        <v>3301</v>
      </c>
      <c r="DW316" s="16">
        <v>3947</v>
      </c>
      <c r="DX316" s="16">
        <v>4181</v>
      </c>
      <c r="DY316" s="16">
        <v>3104</v>
      </c>
      <c r="DZ316" s="16">
        <v>6831</v>
      </c>
      <c r="EA316" s="16">
        <v>7056</v>
      </c>
      <c r="EB316" s="16">
        <v>2469</v>
      </c>
      <c r="EC316" s="16">
        <v>4203</v>
      </c>
      <c r="ED316" s="16">
        <v>799</v>
      </c>
      <c r="EE316" s="16">
        <v>682</v>
      </c>
      <c r="EF316" s="16">
        <v>532</v>
      </c>
      <c r="EG316" s="16">
        <v>3604</v>
      </c>
      <c r="EH316" s="16">
        <v>494</v>
      </c>
      <c r="EI316" s="16">
        <v>4417</v>
      </c>
      <c r="EJ316" s="16">
        <v>912</v>
      </c>
      <c r="EK316" s="16">
        <v>1433</v>
      </c>
      <c r="EL316" s="16">
        <v>639</v>
      </c>
      <c r="EM316" s="16">
        <v>1462</v>
      </c>
      <c r="EN316" s="16">
        <v>4399</v>
      </c>
      <c r="EO316" s="16">
        <v>4402</v>
      </c>
      <c r="EP316" s="16">
        <v>1160</v>
      </c>
      <c r="EQ316" s="16">
        <v>2813</v>
      </c>
      <c r="ER316" s="16">
        <v>469</v>
      </c>
      <c r="ES316" s="16">
        <v>3077</v>
      </c>
      <c r="ET316" s="16">
        <v>3182</v>
      </c>
      <c r="EU316" s="16">
        <v>12</v>
      </c>
      <c r="EV316" s="16">
        <v>200</v>
      </c>
      <c r="EW316" s="16">
        <v>442</v>
      </c>
      <c r="EX316" s="16">
        <v>11437</v>
      </c>
      <c r="EY316" s="16">
        <v>5642</v>
      </c>
      <c r="EZ316" s="16">
        <v>3392</v>
      </c>
      <c r="FA316" s="16">
        <v>4201</v>
      </c>
      <c r="FB316" s="16">
        <v>8608</v>
      </c>
      <c r="FC316" s="16">
        <v>1267</v>
      </c>
      <c r="FD316" s="16">
        <v>9897</v>
      </c>
      <c r="FE316" s="16">
        <v>7862</v>
      </c>
      <c r="FF316" s="16">
        <v>5419</v>
      </c>
      <c r="FG316" s="16">
        <v>9125</v>
      </c>
      <c r="FH316" s="16">
        <v>23</v>
      </c>
      <c r="FI316" s="16">
        <v>3527</v>
      </c>
      <c r="FJ316" s="16">
        <v>903</v>
      </c>
      <c r="FK316" s="16">
        <v>7403</v>
      </c>
      <c r="FL316" s="16">
        <v>478</v>
      </c>
      <c r="FM316" s="16">
        <v>5464</v>
      </c>
      <c r="FN316" s="16">
        <v>6325</v>
      </c>
      <c r="FO316" s="16">
        <v>4180</v>
      </c>
      <c r="FP316" s="16">
        <v>6566</v>
      </c>
      <c r="FQ316" s="16">
        <v>14339</v>
      </c>
      <c r="FR316" s="16">
        <v>3605</v>
      </c>
      <c r="FS316" s="16">
        <v>5136</v>
      </c>
      <c r="FT316" s="16">
        <v>2573</v>
      </c>
      <c r="FU316" s="16">
        <v>3713</v>
      </c>
      <c r="FV316" s="16">
        <v>6593</v>
      </c>
      <c r="FW316" s="16">
        <v>13267</v>
      </c>
      <c r="FX316" s="16">
        <v>13822</v>
      </c>
      <c r="FY316" s="16">
        <v>2096</v>
      </c>
      <c r="FZ316" s="16">
        <v>5375</v>
      </c>
      <c r="GA316" s="16">
        <v>2222</v>
      </c>
      <c r="GB316" s="16">
        <v>3827</v>
      </c>
      <c r="GC316" s="16">
        <v>3213</v>
      </c>
      <c r="GD316" s="16">
        <v>6950</v>
      </c>
      <c r="GE316" s="16">
        <v>6253</v>
      </c>
      <c r="GF316" s="16">
        <v>27432</v>
      </c>
      <c r="GG316" s="16">
        <v>3045</v>
      </c>
      <c r="GH316" s="16">
        <v>34669</v>
      </c>
      <c r="GI316" s="16">
        <v>5296</v>
      </c>
      <c r="GJ316" s="16">
        <v>3604</v>
      </c>
      <c r="GK316" s="16">
        <v>2162</v>
      </c>
      <c r="GL316" s="16">
        <v>57</v>
      </c>
      <c r="GM316" s="16">
        <v>3098</v>
      </c>
      <c r="GN316" s="16">
        <v>522</v>
      </c>
      <c r="GO316" s="16">
        <v>2284</v>
      </c>
      <c r="GP316" s="16">
        <v>8107</v>
      </c>
      <c r="GQ316" s="16">
        <v>1642</v>
      </c>
      <c r="GR316" s="16">
        <v>1590</v>
      </c>
      <c r="GS316" s="16">
        <v>916</v>
      </c>
      <c r="GT316" s="16">
        <v>1353</v>
      </c>
      <c r="GU316" s="16">
        <v>7211</v>
      </c>
      <c r="GV316" s="16">
        <v>4528</v>
      </c>
      <c r="GW316" s="16">
        <v>5779</v>
      </c>
      <c r="GX316" s="16">
        <v>2179</v>
      </c>
      <c r="GY316" s="16">
        <v>241</v>
      </c>
      <c r="GZ316" s="16">
        <v>4859</v>
      </c>
      <c r="HA316" s="16">
        <v>1646</v>
      </c>
      <c r="HB316" s="16">
        <v>1867</v>
      </c>
      <c r="HC316" s="16">
        <v>6996</v>
      </c>
      <c r="HD316" s="16">
        <v>9247</v>
      </c>
      <c r="HE316" s="16">
        <v>10037</v>
      </c>
      <c r="HF316" s="16">
        <v>9442</v>
      </c>
      <c r="HG316" s="16">
        <v>1243</v>
      </c>
      <c r="HH316" s="16">
        <v>1343</v>
      </c>
      <c r="HI316" s="16">
        <v>4581</v>
      </c>
      <c r="HJ316" s="16">
        <v>927</v>
      </c>
      <c r="HK316" s="16">
        <v>4698</v>
      </c>
      <c r="HL316" s="16">
        <v>14852</v>
      </c>
      <c r="HM316" s="16">
        <v>2409</v>
      </c>
      <c r="HN316" s="16">
        <v>25718</v>
      </c>
      <c r="HO316" s="16">
        <v>3349</v>
      </c>
      <c r="HP316" s="16">
        <v>2311</v>
      </c>
      <c r="HQ316" s="16">
        <v>13121</v>
      </c>
      <c r="HR316" s="16">
        <v>15637</v>
      </c>
      <c r="HS316" s="16">
        <v>5305</v>
      </c>
      <c r="HT316" s="16">
        <v>263</v>
      </c>
      <c r="HU316" s="16">
        <v>6221</v>
      </c>
      <c r="HV316" s="16">
        <v>2422</v>
      </c>
      <c r="HW316" s="16">
        <v>6018</v>
      </c>
      <c r="HX316" s="16">
        <v>4425</v>
      </c>
      <c r="HY316" s="16">
        <v>5255</v>
      </c>
      <c r="HZ316" s="16">
        <v>12539</v>
      </c>
      <c r="IA316" s="16">
        <v>3642</v>
      </c>
      <c r="IB316" s="16">
        <v>841</v>
      </c>
      <c r="IC316" s="16">
        <v>932</v>
      </c>
      <c r="ID316" s="16">
        <v>922</v>
      </c>
      <c r="IE316" s="16">
        <v>432</v>
      </c>
      <c r="IF316" s="16">
        <v>950</v>
      </c>
      <c r="IG316" s="16">
        <v>4066</v>
      </c>
      <c r="IH316" s="16">
        <v>35199</v>
      </c>
      <c r="II316" s="16">
        <v>6562</v>
      </c>
      <c r="IJ316" s="16">
        <v>177</v>
      </c>
      <c r="IK316" s="16">
        <v>126</v>
      </c>
      <c r="IL316" s="16">
        <v>353</v>
      </c>
      <c r="IM316" s="16">
        <v>134</v>
      </c>
      <c r="IN316" s="16">
        <v>20184</v>
      </c>
      <c r="IO316" s="16">
        <v>21857</v>
      </c>
      <c r="IP316" s="16">
        <v>4604</v>
      </c>
      <c r="IQ316" s="16">
        <v>1540</v>
      </c>
      <c r="IR316" s="16">
        <v>970</v>
      </c>
      <c r="IS316" s="16">
        <v>1298</v>
      </c>
      <c r="IT316" s="16">
        <v>677</v>
      </c>
      <c r="IU316" s="16">
        <v>89</v>
      </c>
      <c r="IV316" s="16">
        <v>2592</v>
      </c>
      <c r="IW316" s="16">
        <v>5022</v>
      </c>
      <c r="IX316" s="16">
        <v>2640</v>
      </c>
      <c r="IY316" s="16">
        <v>526</v>
      </c>
      <c r="IZ316" s="16">
        <v>244</v>
      </c>
      <c r="JA316" s="16">
        <v>1042</v>
      </c>
      <c r="JB316" s="16">
        <v>197</v>
      </c>
      <c r="JC316" s="16">
        <v>225</v>
      </c>
      <c r="JD316" s="16">
        <v>511</v>
      </c>
      <c r="JE316" s="16">
        <v>4200</v>
      </c>
      <c r="JF316" s="16">
        <v>1394</v>
      </c>
      <c r="JG316" s="16">
        <v>95769</v>
      </c>
      <c r="JH316" s="16">
        <v>6897</v>
      </c>
      <c r="JI316" s="16">
        <v>2116</v>
      </c>
      <c r="JJ316" s="16">
        <v>4028</v>
      </c>
      <c r="JK316" s="16">
        <v>3972</v>
      </c>
      <c r="JL316" s="16">
        <v>2109</v>
      </c>
      <c r="JM316" s="16">
        <v>1249</v>
      </c>
      <c r="JN316" s="16">
        <v>45639</v>
      </c>
      <c r="JO316" s="16">
        <v>108</v>
      </c>
      <c r="JP316" s="16">
        <v>2643</v>
      </c>
      <c r="JQ316" s="16">
        <v>2785</v>
      </c>
      <c r="JR316" s="16">
        <v>17590</v>
      </c>
      <c r="JS316" s="16">
        <v>4037</v>
      </c>
      <c r="JT316" s="16">
        <v>1</v>
      </c>
      <c r="JU316" s="16">
        <v>10037</v>
      </c>
      <c r="JV316" s="16">
        <v>12257</v>
      </c>
      <c r="JW316" s="16">
        <v>20428</v>
      </c>
      <c r="JX316" s="16">
        <v>14843</v>
      </c>
      <c r="JY316" s="16">
        <v>10722</v>
      </c>
      <c r="JZ316" s="16">
        <v>1808</v>
      </c>
      <c r="KA316" s="16">
        <v>876</v>
      </c>
      <c r="KB316" s="16">
        <v>1889</v>
      </c>
      <c r="KC316" s="16">
        <v>1946</v>
      </c>
      <c r="KD316" s="16">
        <v>48</v>
      </c>
      <c r="KE316" s="16">
        <v>579</v>
      </c>
      <c r="KF316" s="16">
        <v>4639</v>
      </c>
      <c r="KG316" s="16">
        <v>1856</v>
      </c>
      <c r="KH316" s="16">
        <v>1733</v>
      </c>
      <c r="KI316" s="16">
        <v>4056</v>
      </c>
      <c r="KJ316" s="16">
        <v>952</v>
      </c>
      <c r="KK316" s="16">
        <v>1473231</v>
      </c>
      <c r="KL316" s="16">
        <v>988</v>
      </c>
      <c r="KM316" s="16">
        <v>9491</v>
      </c>
      <c r="KN316" s="16">
        <v>16354</v>
      </c>
      <c r="KO316" s="16">
        <v>4591</v>
      </c>
      <c r="KP316" s="16">
        <v>1992</v>
      </c>
      <c r="KQ316" s="16">
        <v>397582</v>
      </c>
      <c r="KR316" s="16">
        <v>15421</v>
      </c>
      <c r="KS316" s="16">
        <v>4785</v>
      </c>
      <c r="KT316" s="16">
        <v>580</v>
      </c>
      <c r="KU316" s="16">
        <v>14192</v>
      </c>
      <c r="KV316" s="16">
        <v>40179</v>
      </c>
      <c r="KW316" s="16">
        <v>103947</v>
      </c>
      <c r="KX316" s="16">
        <v>722</v>
      </c>
      <c r="KY316" s="16">
        <v>14040</v>
      </c>
      <c r="KZ316" s="16">
        <v>87146</v>
      </c>
      <c r="LA316" s="16">
        <v>8278</v>
      </c>
      <c r="LB316" s="16">
        <v>7404</v>
      </c>
      <c r="LC316" s="16">
        <v>3371</v>
      </c>
      <c r="LD316" s="16">
        <v>22885</v>
      </c>
      <c r="LE316" s="16">
        <v>17028</v>
      </c>
      <c r="LF316" s="16">
        <v>18279</v>
      </c>
      <c r="LG316" s="16">
        <v>5997</v>
      </c>
      <c r="LH316" s="16">
        <v>10055</v>
      </c>
      <c r="LI316" s="16">
        <v>5905</v>
      </c>
      <c r="LJ316" s="16">
        <v>27266</v>
      </c>
      <c r="LK316" s="16">
        <v>52911</v>
      </c>
      <c r="LL316" s="16">
        <v>54155</v>
      </c>
      <c r="LM316" s="16">
        <v>149382</v>
      </c>
      <c r="LN316" s="16">
        <v>30826</v>
      </c>
      <c r="LO316" s="16">
        <v>26097</v>
      </c>
      <c r="LP316" s="16">
        <v>13621</v>
      </c>
      <c r="LQ316" s="16">
        <v>3044</v>
      </c>
      <c r="LR316" s="16">
        <v>115686</v>
      </c>
      <c r="LS316" s="16">
        <v>13614</v>
      </c>
      <c r="LT316" s="16">
        <v>51505</v>
      </c>
      <c r="LU316" s="16">
        <v>55426</v>
      </c>
      <c r="LV316" s="16">
        <v>130</v>
      </c>
      <c r="LW316" s="16">
        <v>49528</v>
      </c>
      <c r="LX316" s="16">
        <v>39514</v>
      </c>
      <c r="LY316" s="16">
        <v>0</v>
      </c>
      <c r="LZ316" s="16">
        <v>70955</v>
      </c>
      <c r="MA316" s="16">
        <v>28411</v>
      </c>
      <c r="MB316" s="16">
        <v>5955</v>
      </c>
      <c r="MC316" s="16">
        <v>84374</v>
      </c>
      <c r="MD316" s="16">
        <v>18700</v>
      </c>
      <c r="ME316" s="16">
        <v>39674</v>
      </c>
      <c r="MF316" s="16">
        <v>189224</v>
      </c>
      <c r="MG316" s="16">
        <v>35281</v>
      </c>
      <c r="MH316" s="16">
        <v>469457</v>
      </c>
      <c r="MI316" s="16">
        <v>5625</v>
      </c>
      <c r="MJ316" s="16">
        <v>104117</v>
      </c>
      <c r="MK316" s="16">
        <v>43061</v>
      </c>
      <c r="ML316" s="16">
        <v>53632</v>
      </c>
      <c r="MM316" s="16">
        <v>62169</v>
      </c>
      <c r="MN316" s="16">
        <v>34207</v>
      </c>
      <c r="MO316" s="16">
        <v>22784</v>
      </c>
      <c r="MP316" s="16">
        <v>92384</v>
      </c>
      <c r="MQ316" s="16">
        <v>107652</v>
      </c>
      <c r="MR316" s="16">
        <v>1508226</v>
      </c>
      <c r="MS316" s="16">
        <v>1887239</v>
      </c>
      <c r="MT316" s="16">
        <v>36157</v>
      </c>
      <c r="MU316" s="16">
        <v>519798</v>
      </c>
      <c r="MV316" s="16">
        <v>48562</v>
      </c>
      <c r="MW316" s="16">
        <v>98368</v>
      </c>
      <c r="MX316" s="16">
        <v>29554</v>
      </c>
      <c r="MY316" s="16">
        <v>14492</v>
      </c>
      <c r="MZ316" s="16">
        <v>48088</v>
      </c>
      <c r="NA316" s="16">
        <v>146283</v>
      </c>
      <c r="NB316" s="16">
        <v>54831</v>
      </c>
      <c r="NC316" s="16">
        <v>98505</v>
      </c>
      <c r="ND316" s="16">
        <v>45495</v>
      </c>
      <c r="NE316" s="16">
        <v>2305</v>
      </c>
      <c r="NF316" s="16">
        <v>61292</v>
      </c>
      <c r="NG316" s="16">
        <v>170732</v>
      </c>
      <c r="NH316" s="16">
        <v>120818</v>
      </c>
      <c r="NI316" s="16">
        <v>163288</v>
      </c>
      <c r="NJ316" s="16">
        <v>204672</v>
      </c>
      <c r="NK316" s="16">
        <v>59987</v>
      </c>
      <c r="NL316" s="16">
        <v>40041</v>
      </c>
      <c r="NM316" s="16">
        <v>82369</v>
      </c>
      <c r="NN316" s="16">
        <v>3902</v>
      </c>
      <c r="NO316" s="16">
        <v>0</v>
      </c>
      <c r="NP316" s="16">
        <v>24861</v>
      </c>
      <c r="NQ316" s="16">
        <v>2613</v>
      </c>
      <c r="NR316" s="17">
        <v>11211364</v>
      </c>
    </row>
    <row r="317" spans="1:382" ht="13.5" customHeight="1" x14ac:dyDescent="0.2">
      <c r="A317" s="2" t="s">
        <v>641</v>
      </c>
      <c r="B317" s="16">
        <v>236</v>
      </c>
      <c r="C317" s="16">
        <v>2</v>
      </c>
      <c r="D317" s="16">
        <v>417</v>
      </c>
      <c r="E317" s="16">
        <v>862</v>
      </c>
      <c r="F317" s="16">
        <v>1234</v>
      </c>
      <c r="G317" s="16">
        <v>64</v>
      </c>
      <c r="H317" s="16">
        <v>25</v>
      </c>
      <c r="I317" s="16">
        <v>368</v>
      </c>
      <c r="J317" s="16">
        <v>9</v>
      </c>
      <c r="K317" s="16">
        <v>0</v>
      </c>
      <c r="L317" s="16">
        <v>78</v>
      </c>
      <c r="M317" s="16">
        <v>127</v>
      </c>
      <c r="N317" s="16">
        <v>9</v>
      </c>
      <c r="O317" s="16">
        <v>171</v>
      </c>
      <c r="P317" s="16">
        <v>947</v>
      </c>
      <c r="Q317" s="16">
        <v>2121</v>
      </c>
      <c r="R317" s="16">
        <v>1907</v>
      </c>
      <c r="S317" s="16">
        <v>425</v>
      </c>
      <c r="T317" s="16">
        <v>333</v>
      </c>
      <c r="U317" s="16">
        <v>125</v>
      </c>
      <c r="V317" s="16">
        <v>6</v>
      </c>
      <c r="W317" s="16">
        <v>1</v>
      </c>
      <c r="X317" s="16">
        <v>28241</v>
      </c>
      <c r="Y317" s="16">
        <v>1702</v>
      </c>
      <c r="Z317" s="16">
        <v>2114</v>
      </c>
      <c r="AA317" s="16">
        <v>29</v>
      </c>
      <c r="AB317" s="16">
        <v>0</v>
      </c>
      <c r="AC317" s="16">
        <v>0</v>
      </c>
      <c r="AD317" s="16">
        <v>0</v>
      </c>
      <c r="AE317" s="16">
        <v>27</v>
      </c>
      <c r="AF317" s="16">
        <v>191</v>
      </c>
      <c r="AG317" s="16">
        <v>804</v>
      </c>
      <c r="AH317" s="16">
        <v>1020</v>
      </c>
      <c r="AI317" s="16">
        <v>99</v>
      </c>
      <c r="AJ317" s="16">
        <v>5258</v>
      </c>
      <c r="AK317" s="16">
        <v>588</v>
      </c>
      <c r="AL317" s="16">
        <v>8541</v>
      </c>
      <c r="AM317" s="16">
        <v>8180</v>
      </c>
      <c r="AN317" s="16">
        <v>3300</v>
      </c>
      <c r="AO317" s="16">
        <v>4779</v>
      </c>
      <c r="AP317" s="16">
        <v>958</v>
      </c>
      <c r="AQ317" s="16">
        <v>1901</v>
      </c>
      <c r="AR317" s="16">
        <v>0</v>
      </c>
      <c r="AS317" s="16">
        <v>368</v>
      </c>
      <c r="AT317" s="16">
        <v>177</v>
      </c>
      <c r="AU317" s="16">
        <v>12423</v>
      </c>
      <c r="AV317" s="16">
        <v>4318</v>
      </c>
      <c r="AW317" s="16">
        <v>5490</v>
      </c>
      <c r="AX317" s="16">
        <v>1034</v>
      </c>
      <c r="AY317" s="16">
        <v>4235</v>
      </c>
      <c r="AZ317" s="16">
        <v>5728</v>
      </c>
      <c r="BA317" s="16">
        <v>4656</v>
      </c>
      <c r="BB317" s="16">
        <v>3974</v>
      </c>
      <c r="BC317" s="16">
        <v>5251</v>
      </c>
      <c r="BD317" s="16">
        <v>82</v>
      </c>
      <c r="BE317" s="16">
        <v>451</v>
      </c>
      <c r="BF317" s="16">
        <v>2518</v>
      </c>
      <c r="BG317" s="16">
        <v>1236</v>
      </c>
      <c r="BH317" s="16">
        <v>6778</v>
      </c>
      <c r="BI317" s="16">
        <v>3018</v>
      </c>
      <c r="BJ317" s="16">
        <v>2342</v>
      </c>
      <c r="BK317" s="16">
        <v>8545</v>
      </c>
      <c r="BL317" s="16">
        <v>9331</v>
      </c>
      <c r="BM317" s="16">
        <v>59</v>
      </c>
      <c r="BN317" s="16">
        <v>2200</v>
      </c>
      <c r="BO317" s="16">
        <v>6074</v>
      </c>
      <c r="BP317" s="16">
        <v>6395</v>
      </c>
      <c r="BQ317" s="16">
        <v>720</v>
      </c>
      <c r="BR317" s="16">
        <v>2941</v>
      </c>
      <c r="BS317" s="16">
        <v>3389</v>
      </c>
      <c r="BT317" s="16">
        <v>326</v>
      </c>
      <c r="BU317" s="16">
        <v>2739</v>
      </c>
      <c r="BV317" s="16">
        <v>137</v>
      </c>
      <c r="BW317" s="16">
        <v>2933</v>
      </c>
      <c r="BX317" s="16">
        <v>273</v>
      </c>
      <c r="BY317" s="16">
        <v>1</v>
      </c>
      <c r="BZ317" s="16">
        <v>3942</v>
      </c>
      <c r="CA317" s="16">
        <v>2097</v>
      </c>
      <c r="CB317" s="16">
        <v>233</v>
      </c>
      <c r="CC317" s="16">
        <v>2582</v>
      </c>
      <c r="CD317" s="16">
        <v>690</v>
      </c>
      <c r="CE317" s="16">
        <v>565</v>
      </c>
      <c r="CF317" s="16">
        <v>5809</v>
      </c>
      <c r="CG317" s="16">
        <v>1102</v>
      </c>
      <c r="CH317" s="16">
        <v>2953</v>
      </c>
      <c r="CI317" s="16">
        <v>9</v>
      </c>
      <c r="CJ317" s="16">
        <v>3013</v>
      </c>
      <c r="CK317" s="16">
        <v>2587</v>
      </c>
      <c r="CL317" s="16">
        <v>5348</v>
      </c>
      <c r="CM317" s="16">
        <v>1292</v>
      </c>
      <c r="CN317" s="16">
        <v>661</v>
      </c>
      <c r="CO317" s="16">
        <v>2289</v>
      </c>
      <c r="CP317" s="16">
        <v>528</v>
      </c>
      <c r="CQ317" s="16">
        <v>29780</v>
      </c>
      <c r="CR317" s="16">
        <v>240</v>
      </c>
      <c r="CS317" s="16">
        <v>4360</v>
      </c>
      <c r="CT317" s="16">
        <v>4500</v>
      </c>
      <c r="CU317" s="16">
        <v>3660</v>
      </c>
      <c r="CV317" s="16">
        <v>5120</v>
      </c>
      <c r="CW317" s="16">
        <v>7074</v>
      </c>
      <c r="CX317" s="16">
        <v>5601</v>
      </c>
      <c r="CY317" s="16">
        <v>1175</v>
      </c>
      <c r="CZ317" s="16">
        <v>731</v>
      </c>
      <c r="DA317" s="16">
        <v>876</v>
      </c>
      <c r="DB317" s="16">
        <v>13</v>
      </c>
      <c r="DC317" s="16">
        <v>1333</v>
      </c>
      <c r="DD317" s="16">
        <v>158</v>
      </c>
      <c r="DE317" s="16">
        <v>112</v>
      </c>
      <c r="DF317" s="16">
        <v>5</v>
      </c>
      <c r="DG317" s="16">
        <v>3968</v>
      </c>
      <c r="DH317" s="16">
        <v>4</v>
      </c>
      <c r="DI317" s="16">
        <v>4226</v>
      </c>
      <c r="DJ317" s="16">
        <v>15107</v>
      </c>
      <c r="DK317" s="16">
        <v>1199</v>
      </c>
      <c r="DL317" s="16">
        <v>2301</v>
      </c>
      <c r="DM317" s="16">
        <v>24782</v>
      </c>
      <c r="DN317" s="16">
        <v>2381</v>
      </c>
      <c r="DO317" s="16">
        <v>2050</v>
      </c>
      <c r="DP317" s="16">
        <v>5046</v>
      </c>
      <c r="DQ317" s="16">
        <v>468</v>
      </c>
      <c r="DR317" s="16">
        <v>5127</v>
      </c>
      <c r="DS317" s="16">
        <v>11797</v>
      </c>
      <c r="DT317" s="16">
        <v>3440</v>
      </c>
      <c r="DU317" s="16">
        <v>1488</v>
      </c>
      <c r="DV317" s="16">
        <v>2596</v>
      </c>
      <c r="DW317" s="16">
        <v>3535</v>
      </c>
      <c r="DX317" s="16">
        <v>2972</v>
      </c>
      <c r="DY317" s="16">
        <v>162</v>
      </c>
      <c r="DZ317" s="16">
        <v>2050</v>
      </c>
      <c r="EA317" s="16">
        <v>19193</v>
      </c>
      <c r="EB317" s="16">
        <v>2825</v>
      </c>
      <c r="EC317" s="16">
        <v>3130</v>
      </c>
      <c r="ED317" s="16">
        <v>1203</v>
      </c>
      <c r="EE317" s="16">
        <v>155</v>
      </c>
      <c r="EF317" s="16">
        <v>22</v>
      </c>
      <c r="EG317" s="16">
        <v>3041</v>
      </c>
      <c r="EH317" s="16">
        <v>50</v>
      </c>
      <c r="EI317" s="16">
        <v>2976</v>
      </c>
      <c r="EJ317" s="16">
        <v>25</v>
      </c>
      <c r="EK317" s="16">
        <v>736</v>
      </c>
      <c r="EL317" s="16">
        <v>605</v>
      </c>
      <c r="EM317" s="16">
        <v>650</v>
      </c>
      <c r="EN317" s="16">
        <v>6254</v>
      </c>
      <c r="EO317" s="16">
        <v>3095</v>
      </c>
      <c r="EP317" s="16">
        <v>748</v>
      </c>
      <c r="EQ317" s="16">
        <v>1841</v>
      </c>
      <c r="ER317" s="16">
        <v>320</v>
      </c>
      <c r="ES317" s="16">
        <v>2013</v>
      </c>
      <c r="ET317" s="16">
        <v>1084</v>
      </c>
      <c r="EU317" s="16">
        <v>8</v>
      </c>
      <c r="EV317" s="16">
        <v>6</v>
      </c>
      <c r="EW317" s="16">
        <v>4499</v>
      </c>
      <c r="EX317" s="16">
        <v>8131</v>
      </c>
      <c r="EY317" s="16">
        <v>3147</v>
      </c>
      <c r="EZ317" s="16">
        <v>2260</v>
      </c>
      <c r="FA317" s="16">
        <v>1726</v>
      </c>
      <c r="FB317" s="16">
        <v>94</v>
      </c>
      <c r="FC317" s="16">
        <v>36</v>
      </c>
      <c r="FD317" s="16">
        <v>1390</v>
      </c>
      <c r="FE317" s="16">
        <v>115</v>
      </c>
      <c r="FF317" s="16">
        <v>1774</v>
      </c>
      <c r="FG317" s="16">
        <v>453</v>
      </c>
      <c r="FH317" s="16">
        <v>8</v>
      </c>
      <c r="FI317" s="16">
        <v>1702</v>
      </c>
      <c r="FJ317" s="16">
        <v>5</v>
      </c>
      <c r="FK317" s="16">
        <v>1510</v>
      </c>
      <c r="FL317" s="16">
        <v>13</v>
      </c>
      <c r="FM317" s="16">
        <v>435</v>
      </c>
      <c r="FN317" s="16">
        <v>2529</v>
      </c>
      <c r="FO317" s="16">
        <v>632</v>
      </c>
      <c r="FP317" s="16">
        <v>4210</v>
      </c>
      <c r="FQ317" s="16">
        <v>22331</v>
      </c>
      <c r="FR317" s="16">
        <v>1144</v>
      </c>
      <c r="FS317" s="16">
        <v>2198</v>
      </c>
      <c r="FT317" s="16">
        <v>2173</v>
      </c>
      <c r="FU317" s="16">
        <v>1044</v>
      </c>
      <c r="FV317" s="16">
        <v>4118</v>
      </c>
      <c r="FW317" s="16">
        <v>161</v>
      </c>
      <c r="FX317" s="16">
        <v>21586</v>
      </c>
      <c r="FY317" s="16">
        <v>3296</v>
      </c>
      <c r="FZ317" s="16">
        <v>3070</v>
      </c>
      <c r="GA317" s="16">
        <v>114</v>
      </c>
      <c r="GB317" s="16">
        <v>426</v>
      </c>
      <c r="GC317" s="16">
        <v>1630</v>
      </c>
      <c r="GD317" s="16">
        <v>10089</v>
      </c>
      <c r="GE317" s="16">
        <v>54</v>
      </c>
      <c r="GF317" s="16">
        <v>41100</v>
      </c>
      <c r="GG317" s="16">
        <v>27</v>
      </c>
      <c r="GH317" s="16">
        <v>120</v>
      </c>
      <c r="GI317" s="16">
        <v>329</v>
      </c>
      <c r="GJ317" s="16">
        <v>1702</v>
      </c>
      <c r="GK317" s="16">
        <v>108</v>
      </c>
      <c r="GL317" s="16">
        <v>4718</v>
      </c>
      <c r="GM317" s="16">
        <v>39</v>
      </c>
      <c r="GN317" s="16">
        <v>3167</v>
      </c>
      <c r="GO317" s="16">
        <v>13844</v>
      </c>
      <c r="GP317" s="16">
        <v>69</v>
      </c>
      <c r="GQ317" s="16">
        <v>65</v>
      </c>
      <c r="GR317" s="16">
        <v>2042</v>
      </c>
      <c r="GS317" s="16">
        <v>288</v>
      </c>
      <c r="GT317" s="16">
        <v>97</v>
      </c>
      <c r="GU317" s="16">
        <v>18686</v>
      </c>
      <c r="GV317" s="16">
        <v>5953</v>
      </c>
      <c r="GW317" s="16">
        <v>6248</v>
      </c>
      <c r="GX317" s="16">
        <v>630</v>
      </c>
      <c r="GY317" s="16">
        <v>296</v>
      </c>
      <c r="GZ317" s="16">
        <v>4631</v>
      </c>
      <c r="HA317" s="16">
        <v>64</v>
      </c>
      <c r="HB317" s="16">
        <v>233</v>
      </c>
      <c r="HC317" s="16">
        <v>23627</v>
      </c>
      <c r="HD317" s="16">
        <v>3674</v>
      </c>
      <c r="HE317" s="16">
        <v>9152</v>
      </c>
      <c r="HF317" s="16">
        <v>16</v>
      </c>
      <c r="HG317" s="16">
        <v>828</v>
      </c>
      <c r="HH317" s="16">
        <v>810</v>
      </c>
      <c r="HI317" s="16">
        <v>26647</v>
      </c>
      <c r="HJ317" s="16">
        <v>4591</v>
      </c>
      <c r="HK317" s="16">
        <v>2462</v>
      </c>
      <c r="HL317" s="16">
        <v>4133</v>
      </c>
      <c r="HM317" s="16">
        <v>4346</v>
      </c>
      <c r="HN317" s="16">
        <v>700</v>
      </c>
      <c r="HO317" s="16">
        <v>851</v>
      </c>
      <c r="HP317" s="16">
        <v>12066</v>
      </c>
      <c r="HQ317" s="16">
        <v>10781</v>
      </c>
      <c r="HR317" s="16">
        <v>23353</v>
      </c>
      <c r="HS317" s="16">
        <v>855</v>
      </c>
      <c r="HT317" s="16">
        <v>2037</v>
      </c>
      <c r="HU317" s="16">
        <v>7909</v>
      </c>
      <c r="HV317" s="16">
        <v>3779</v>
      </c>
      <c r="HW317" s="16">
        <v>8338</v>
      </c>
      <c r="HX317" s="16">
        <v>22914</v>
      </c>
      <c r="HY317" s="16">
        <v>24281</v>
      </c>
      <c r="HZ317" s="16">
        <v>846</v>
      </c>
      <c r="IA317" s="16">
        <v>202</v>
      </c>
      <c r="IB317" s="16">
        <v>1417</v>
      </c>
      <c r="IC317" s="16">
        <v>1442</v>
      </c>
      <c r="ID317" s="16">
        <v>5396</v>
      </c>
      <c r="IE317" s="16">
        <v>15</v>
      </c>
      <c r="IF317" s="16">
        <v>45</v>
      </c>
      <c r="IG317" s="16">
        <v>5808</v>
      </c>
      <c r="IH317" s="16">
        <v>48873</v>
      </c>
      <c r="II317" s="16">
        <v>0</v>
      </c>
      <c r="IJ317" s="16">
        <v>182</v>
      </c>
      <c r="IK317" s="16">
        <v>467</v>
      </c>
      <c r="IL317" s="16">
        <v>255</v>
      </c>
      <c r="IM317" s="16">
        <v>1809</v>
      </c>
      <c r="IN317" s="16">
        <v>503</v>
      </c>
      <c r="IO317" s="16">
        <v>49861</v>
      </c>
      <c r="IP317" s="16">
        <v>3018</v>
      </c>
      <c r="IQ317" s="16">
        <v>379</v>
      </c>
      <c r="IR317" s="16">
        <v>8908</v>
      </c>
      <c r="IS317" s="16">
        <v>782</v>
      </c>
      <c r="IT317" s="16">
        <v>614</v>
      </c>
      <c r="IU317" s="16">
        <v>248</v>
      </c>
      <c r="IV317" s="16">
        <v>862</v>
      </c>
      <c r="IW317" s="16">
        <v>11599</v>
      </c>
      <c r="IX317" s="16">
        <v>1926</v>
      </c>
      <c r="IY317" s="16">
        <v>738</v>
      </c>
      <c r="IZ317" s="16">
        <v>647</v>
      </c>
      <c r="JA317" s="16">
        <v>4147</v>
      </c>
      <c r="JB317" s="16">
        <v>506</v>
      </c>
      <c r="JC317" s="16">
        <v>1142</v>
      </c>
      <c r="JD317" s="16">
        <v>1475</v>
      </c>
      <c r="JE317" s="16">
        <v>11587</v>
      </c>
      <c r="JF317" s="16">
        <v>14057</v>
      </c>
      <c r="JG317" s="16">
        <v>40015</v>
      </c>
      <c r="JH317" s="16">
        <v>1874</v>
      </c>
      <c r="JI317" s="16">
        <v>18</v>
      </c>
      <c r="JJ317" s="16">
        <v>2220</v>
      </c>
      <c r="JK317" s="16">
        <v>0</v>
      </c>
      <c r="JL317" s="16">
        <v>157</v>
      </c>
      <c r="JM317" s="16">
        <v>0</v>
      </c>
      <c r="JN317" s="16">
        <v>3648</v>
      </c>
      <c r="JO317" s="16">
        <v>3784</v>
      </c>
      <c r="JP317" s="16">
        <v>1344</v>
      </c>
      <c r="JQ317" s="16">
        <v>27</v>
      </c>
      <c r="JR317" s="16">
        <v>4895</v>
      </c>
      <c r="JS317" s="16">
        <v>2591</v>
      </c>
      <c r="JT317" s="16">
        <v>0</v>
      </c>
      <c r="JU317" s="16">
        <v>9601</v>
      </c>
      <c r="JV317" s="16">
        <v>29152</v>
      </c>
      <c r="JW317" s="16">
        <v>273827</v>
      </c>
      <c r="JX317" s="16">
        <v>28190</v>
      </c>
      <c r="JY317" s="16">
        <v>23861</v>
      </c>
      <c r="JZ317" s="16">
        <v>683</v>
      </c>
      <c r="KA317" s="16">
        <v>1509</v>
      </c>
      <c r="KB317" s="16">
        <v>580</v>
      </c>
      <c r="KC317" s="16">
        <v>562</v>
      </c>
      <c r="KD317" s="16">
        <v>59</v>
      </c>
      <c r="KE317" s="16">
        <v>322</v>
      </c>
      <c r="KF317" s="16">
        <v>1754</v>
      </c>
      <c r="KG317" s="16">
        <v>685</v>
      </c>
      <c r="KH317" s="16">
        <v>1043</v>
      </c>
      <c r="KI317" s="16">
        <v>1271</v>
      </c>
      <c r="KJ317" s="16">
        <v>36774</v>
      </c>
      <c r="KK317" s="16">
        <v>884700</v>
      </c>
      <c r="KL317" s="16">
        <v>1488</v>
      </c>
      <c r="KM317" s="16">
        <v>14029</v>
      </c>
      <c r="KN317" s="16">
        <v>57340</v>
      </c>
      <c r="KO317" s="16">
        <v>1813</v>
      </c>
      <c r="KP317" s="16">
        <v>2513</v>
      </c>
      <c r="KQ317" s="16">
        <v>55267</v>
      </c>
      <c r="KR317" s="16">
        <v>3611</v>
      </c>
      <c r="KS317" s="16">
        <v>1801</v>
      </c>
      <c r="KT317" s="16">
        <v>2603</v>
      </c>
      <c r="KU317" s="16">
        <v>3737</v>
      </c>
      <c r="KV317" s="16">
        <v>5778</v>
      </c>
      <c r="KW317" s="16">
        <v>67960</v>
      </c>
      <c r="KX317" s="16">
        <v>328</v>
      </c>
      <c r="KY317" s="16">
        <v>24738</v>
      </c>
      <c r="KZ317" s="16">
        <v>257316</v>
      </c>
      <c r="LA317" s="16">
        <v>69799</v>
      </c>
      <c r="LB317" s="16">
        <v>21956</v>
      </c>
      <c r="LC317" s="16">
        <v>25090</v>
      </c>
      <c r="LD317" s="16">
        <v>98504</v>
      </c>
      <c r="LE317" s="16">
        <v>212154</v>
      </c>
      <c r="LF317" s="16">
        <v>21720</v>
      </c>
      <c r="LG317" s="16">
        <v>461465</v>
      </c>
      <c r="LH317" s="16">
        <v>101109</v>
      </c>
      <c r="LI317" s="16">
        <v>58109</v>
      </c>
      <c r="LJ317" s="16">
        <v>107973</v>
      </c>
      <c r="LK317" s="16">
        <v>145082</v>
      </c>
      <c r="LL317" s="16">
        <v>4272</v>
      </c>
      <c r="LM317" s="16">
        <v>400037</v>
      </c>
      <c r="LN317" s="16">
        <v>251885</v>
      </c>
      <c r="LO317" s="16">
        <v>31946</v>
      </c>
      <c r="LP317" s="16">
        <v>47396</v>
      </c>
      <c r="LQ317" s="16">
        <v>5652</v>
      </c>
      <c r="LR317" s="16">
        <v>112</v>
      </c>
      <c r="LS317" s="16">
        <v>14</v>
      </c>
      <c r="LT317" s="16">
        <v>828</v>
      </c>
      <c r="LU317" s="16">
        <v>74</v>
      </c>
      <c r="LV317" s="16">
        <v>373</v>
      </c>
      <c r="LW317" s="16">
        <v>349</v>
      </c>
      <c r="LX317" s="16">
        <v>190051</v>
      </c>
      <c r="LY317" s="16">
        <v>115458</v>
      </c>
      <c r="LZ317" s="16">
        <v>211530</v>
      </c>
      <c r="MA317" s="16">
        <v>55395</v>
      </c>
      <c r="MB317" s="16">
        <v>40017</v>
      </c>
      <c r="MC317" s="16">
        <v>16538</v>
      </c>
      <c r="MD317" s="16">
        <v>8112</v>
      </c>
      <c r="ME317" s="16">
        <v>32187</v>
      </c>
      <c r="MF317" s="16">
        <v>69120</v>
      </c>
      <c r="MG317" s="16">
        <v>99764</v>
      </c>
      <c r="MH317" s="16">
        <v>139258</v>
      </c>
      <c r="MI317" s="16">
        <v>40050</v>
      </c>
      <c r="MJ317" s="16">
        <v>62730</v>
      </c>
      <c r="MK317" s="16">
        <v>601</v>
      </c>
      <c r="ML317" s="16">
        <v>22518</v>
      </c>
      <c r="MM317" s="16">
        <v>38981</v>
      </c>
      <c r="MN317" s="16">
        <v>34388</v>
      </c>
      <c r="MO317" s="16">
        <v>25371</v>
      </c>
      <c r="MP317" s="16">
        <v>19816</v>
      </c>
      <c r="MQ317" s="16">
        <v>167823</v>
      </c>
      <c r="MR317" s="16">
        <v>375498</v>
      </c>
      <c r="MS317" s="16">
        <v>264591</v>
      </c>
      <c r="MT317" s="16">
        <v>16436</v>
      </c>
      <c r="MU317" s="16">
        <v>270757</v>
      </c>
      <c r="MV317" s="16">
        <v>6773</v>
      </c>
      <c r="MW317" s="16">
        <v>136430</v>
      </c>
      <c r="MX317" s="16">
        <v>11961</v>
      </c>
      <c r="MY317" s="16">
        <v>7369</v>
      </c>
      <c r="MZ317" s="16">
        <v>221546</v>
      </c>
      <c r="NA317" s="16">
        <v>93245</v>
      </c>
      <c r="NB317" s="16">
        <v>480</v>
      </c>
      <c r="NC317" s="16">
        <v>58473</v>
      </c>
      <c r="ND317" s="16">
        <v>16492</v>
      </c>
      <c r="NE317" s="16">
        <v>7572</v>
      </c>
      <c r="NF317" s="16">
        <v>25873</v>
      </c>
      <c r="NG317" s="16">
        <v>42539</v>
      </c>
      <c r="NH317" s="16">
        <v>37407</v>
      </c>
      <c r="NI317" s="16">
        <v>31436</v>
      </c>
      <c r="NJ317" s="16">
        <v>26114</v>
      </c>
      <c r="NK317" s="16">
        <v>32590</v>
      </c>
      <c r="NL317" s="16">
        <v>7068</v>
      </c>
      <c r="NM317" s="16">
        <v>30744</v>
      </c>
      <c r="NN317" s="16">
        <v>4217</v>
      </c>
      <c r="NO317" s="16">
        <v>0</v>
      </c>
      <c r="NP317" s="16">
        <v>28854</v>
      </c>
      <c r="NQ317" s="16">
        <v>2680</v>
      </c>
      <c r="NR317" s="17">
        <v>8091143</v>
      </c>
    </row>
    <row r="318" spans="1:382" ht="13.5" customHeight="1" x14ac:dyDescent="0.2">
      <c r="A318" s="2" t="s">
        <v>643</v>
      </c>
      <c r="B318" s="16">
        <v>420</v>
      </c>
      <c r="C318" s="16">
        <v>2</v>
      </c>
      <c r="D318" s="16">
        <v>575</v>
      </c>
      <c r="E318" s="16">
        <v>1317</v>
      </c>
      <c r="F318" s="16">
        <v>750</v>
      </c>
      <c r="G318" s="16">
        <v>208</v>
      </c>
      <c r="H318" s="16">
        <v>40</v>
      </c>
      <c r="I318" s="16">
        <v>635</v>
      </c>
      <c r="J318" s="16">
        <v>20</v>
      </c>
      <c r="K318" s="16">
        <v>0</v>
      </c>
      <c r="L318" s="16">
        <v>4454</v>
      </c>
      <c r="M318" s="16">
        <v>54</v>
      </c>
      <c r="N318" s="16">
        <v>33</v>
      </c>
      <c r="O318" s="16">
        <v>118</v>
      </c>
      <c r="P318" s="16">
        <v>1693</v>
      </c>
      <c r="Q318" s="16">
        <v>3232</v>
      </c>
      <c r="R318" s="16">
        <v>6900</v>
      </c>
      <c r="S318" s="16">
        <v>412</v>
      </c>
      <c r="T318" s="16">
        <v>1035</v>
      </c>
      <c r="U318" s="16">
        <v>526</v>
      </c>
      <c r="V318" s="16">
        <v>1079</v>
      </c>
      <c r="W318" s="16">
        <v>18</v>
      </c>
      <c r="X318" s="16">
        <v>14550</v>
      </c>
      <c r="Y318" s="16">
        <v>5322</v>
      </c>
      <c r="Z318" s="16">
        <v>5042</v>
      </c>
      <c r="AA318" s="16">
        <v>66</v>
      </c>
      <c r="AB318" s="16">
        <v>0</v>
      </c>
      <c r="AC318" s="16">
        <v>0</v>
      </c>
      <c r="AD318" s="16">
        <v>0</v>
      </c>
      <c r="AE318" s="16">
        <v>29</v>
      </c>
      <c r="AF318" s="16">
        <v>92</v>
      </c>
      <c r="AG318" s="16">
        <v>2233</v>
      </c>
      <c r="AH318" s="16">
        <v>1434</v>
      </c>
      <c r="AI318" s="16">
        <v>647</v>
      </c>
      <c r="AJ318" s="16">
        <v>9465</v>
      </c>
      <c r="AK318" s="16">
        <v>2786</v>
      </c>
      <c r="AL318" s="16">
        <v>487</v>
      </c>
      <c r="AM318" s="16">
        <v>3221</v>
      </c>
      <c r="AN318" s="16">
        <v>1545</v>
      </c>
      <c r="AO318" s="16">
        <v>3173</v>
      </c>
      <c r="AP318" s="16">
        <v>67</v>
      </c>
      <c r="AQ318" s="16">
        <v>144</v>
      </c>
      <c r="AR318" s="16">
        <v>0</v>
      </c>
      <c r="AS318" s="16">
        <v>43</v>
      </c>
      <c r="AT318" s="16">
        <v>182</v>
      </c>
      <c r="AU318" s="16">
        <v>812</v>
      </c>
      <c r="AV318" s="16">
        <v>1063</v>
      </c>
      <c r="AW318" s="16">
        <v>7117</v>
      </c>
      <c r="AX318" s="16">
        <v>1469</v>
      </c>
      <c r="AY318" s="16">
        <v>107</v>
      </c>
      <c r="AZ318" s="16">
        <v>3693</v>
      </c>
      <c r="BA318" s="16">
        <v>3647</v>
      </c>
      <c r="BB318" s="16">
        <v>1482</v>
      </c>
      <c r="BC318" s="16">
        <v>8502</v>
      </c>
      <c r="BD318" s="16">
        <v>67</v>
      </c>
      <c r="BE318" s="16">
        <v>1070</v>
      </c>
      <c r="BF318" s="16">
        <v>689</v>
      </c>
      <c r="BG318" s="16">
        <v>821</v>
      </c>
      <c r="BH318" s="16">
        <v>4552</v>
      </c>
      <c r="BI318" s="16">
        <v>1516</v>
      </c>
      <c r="BJ318" s="16">
        <v>345</v>
      </c>
      <c r="BK318" s="16">
        <v>340</v>
      </c>
      <c r="BL318" s="16">
        <v>6773</v>
      </c>
      <c r="BM318" s="16">
        <v>2585</v>
      </c>
      <c r="BN318" s="16">
        <v>1753</v>
      </c>
      <c r="BO318" s="16">
        <v>9434</v>
      </c>
      <c r="BP318" s="16">
        <v>5418</v>
      </c>
      <c r="BQ318" s="16">
        <v>693</v>
      </c>
      <c r="BR318" s="16">
        <v>662</v>
      </c>
      <c r="BS318" s="16">
        <v>7267</v>
      </c>
      <c r="BT318" s="16">
        <v>74</v>
      </c>
      <c r="BU318" s="16">
        <v>84</v>
      </c>
      <c r="BV318" s="16">
        <v>8</v>
      </c>
      <c r="BW318" s="16">
        <v>1780</v>
      </c>
      <c r="BX318" s="16">
        <v>205</v>
      </c>
      <c r="BY318" s="16">
        <v>2</v>
      </c>
      <c r="BZ318" s="16">
        <v>2199</v>
      </c>
      <c r="CA318" s="16">
        <v>472</v>
      </c>
      <c r="CB318" s="16">
        <v>160</v>
      </c>
      <c r="CC318" s="16">
        <v>5263</v>
      </c>
      <c r="CD318" s="16">
        <v>525</v>
      </c>
      <c r="CE318" s="16">
        <v>881</v>
      </c>
      <c r="CF318" s="16">
        <v>3965</v>
      </c>
      <c r="CG318" s="16">
        <v>1295</v>
      </c>
      <c r="CH318" s="16">
        <v>11597</v>
      </c>
      <c r="CI318" s="16">
        <v>179</v>
      </c>
      <c r="CJ318" s="16">
        <v>2683</v>
      </c>
      <c r="CK318" s="16">
        <v>10718</v>
      </c>
      <c r="CL318" s="16">
        <v>1467</v>
      </c>
      <c r="CM318" s="16">
        <v>3251</v>
      </c>
      <c r="CN318" s="16">
        <v>1460</v>
      </c>
      <c r="CO318" s="16">
        <v>1213</v>
      </c>
      <c r="CP318" s="16">
        <v>3757</v>
      </c>
      <c r="CQ318" s="16">
        <v>10992</v>
      </c>
      <c r="CR318" s="16">
        <v>699</v>
      </c>
      <c r="CS318" s="16">
        <v>4333</v>
      </c>
      <c r="CT318" s="16">
        <v>3653</v>
      </c>
      <c r="CU318" s="16">
        <v>3353</v>
      </c>
      <c r="CV318" s="16">
        <v>3515</v>
      </c>
      <c r="CW318" s="16">
        <v>5019</v>
      </c>
      <c r="CX318" s="16">
        <v>741</v>
      </c>
      <c r="CY318" s="16">
        <v>2135</v>
      </c>
      <c r="CZ318" s="16">
        <v>1346</v>
      </c>
      <c r="DA318" s="16">
        <v>338</v>
      </c>
      <c r="DB318" s="16">
        <v>1913</v>
      </c>
      <c r="DC318" s="16">
        <v>39</v>
      </c>
      <c r="DD318" s="16">
        <v>468</v>
      </c>
      <c r="DE318" s="16">
        <v>158</v>
      </c>
      <c r="DF318" s="16">
        <v>1818</v>
      </c>
      <c r="DG318" s="16">
        <v>2945</v>
      </c>
      <c r="DH318" s="16">
        <v>628</v>
      </c>
      <c r="DI318" s="16">
        <v>1147</v>
      </c>
      <c r="DJ318" s="16">
        <v>7668</v>
      </c>
      <c r="DK318" s="16">
        <v>566</v>
      </c>
      <c r="DL318" s="16">
        <v>2496</v>
      </c>
      <c r="DM318" s="16">
        <v>14026</v>
      </c>
      <c r="DN318" s="16">
        <v>11006</v>
      </c>
      <c r="DO318" s="16">
        <v>1689</v>
      </c>
      <c r="DP318" s="16">
        <v>2068</v>
      </c>
      <c r="DQ318" s="16">
        <v>312</v>
      </c>
      <c r="DR318" s="16">
        <v>3519</v>
      </c>
      <c r="DS318" s="16">
        <v>14548</v>
      </c>
      <c r="DT318" s="16">
        <v>848</v>
      </c>
      <c r="DU318" s="16">
        <v>843</v>
      </c>
      <c r="DV318" s="16">
        <v>6651</v>
      </c>
      <c r="DW318" s="16">
        <v>10448</v>
      </c>
      <c r="DX318" s="16">
        <v>4326</v>
      </c>
      <c r="DY318" s="16">
        <v>4099</v>
      </c>
      <c r="DZ318" s="16">
        <v>5549</v>
      </c>
      <c r="EA318" s="16">
        <v>4932</v>
      </c>
      <c r="EB318" s="16">
        <v>3195</v>
      </c>
      <c r="EC318" s="16">
        <v>7940</v>
      </c>
      <c r="ED318" s="16">
        <v>928</v>
      </c>
      <c r="EE318" s="16">
        <v>77</v>
      </c>
      <c r="EF318" s="16">
        <v>1315</v>
      </c>
      <c r="EG318" s="16">
        <v>14141</v>
      </c>
      <c r="EH318" s="16">
        <v>1094</v>
      </c>
      <c r="EI318" s="16">
        <v>1880</v>
      </c>
      <c r="EJ318" s="16">
        <v>294</v>
      </c>
      <c r="EK318" s="16">
        <v>2229</v>
      </c>
      <c r="EL318" s="16">
        <v>389</v>
      </c>
      <c r="EM318" s="16">
        <v>4035</v>
      </c>
      <c r="EN318" s="16">
        <v>16121</v>
      </c>
      <c r="EO318" s="16">
        <v>8611</v>
      </c>
      <c r="EP318" s="16">
        <v>592</v>
      </c>
      <c r="EQ318" s="16">
        <v>2689</v>
      </c>
      <c r="ER318" s="16">
        <v>968</v>
      </c>
      <c r="ES318" s="16">
        <v>1186</v>
      </c>
      <c r="ET318" s="16">
        <v>2041</v>
      </c>
      <c r="EU318" s="16">
        <v>7</v>
      </c>
      <c r="EV318" s="16">
        <v>19</v>
      </c>
      <c r="EW318" s="16">
        <v>396</v>
      </c>
      <c r="EX318" s="16">
        <v>5997</v>
      </c>
      <c r="EY318" s="16">
        <v>1577</v>
      </c>
      <c r="EZ318" s="16">
        <v>523</v>
      </c>
      <c r="FA318" s="16">
        <v>854</v>
      </c>
      <c r="FB318" s="16">
        <v>732</v>
      </c>
      <c r="FC318" s="16">
        <v>144</v>
      </c>
      <c r="FD318" s="16">
        <v>6889</v>
      </c>
      <c r="FE318" s="16">
        <v>1493</v>
      </c>
      <c r="FF318" s="16">
        <v>2389</v>
      </c>
      <c r="FG318" s="16">
        <v>3465</v>
      </c>
      <c r="FH318" s="16">
        <v>9</v>
      </c>
      <c r="FI318" s="16">
        <v>1160</v>
      </c>
      <c r="FJ318" s="16">
        <v>63</v>
      </c>
      <c r="FK318" s="16">
        <v>2773</v>
      </c>
      <c r="FL318" s="16">
        <v>14</v>
      </c>
      <c r="FM318" s="16">
        <v>1008</v>
      </c>
      <c r="FN318" s="16">
        <v>5581</v>
      </c>
      <c r="FO318" s="16">
        <v>940</v>
      </c>
      <c r="FP318" s="16">
        <v>4037</v>
      </c>
      <c r="FQ318" s="16">
        <v>11297</v>
      </c>
      <c r="FR318" s="16">
        <v>4052</v>
      </c>
      <c r="FS318" s="16">
        <v>2298</v>
      </c>
      <c r="FT318" s="16">
        <v>1463</v>
      </c>
      <c r="FU318" s="16">
        <v>16757</v>
      </c>
      <c r="FV318" s="16">
        <v>15727</v>
      </c>
      <c r="FW318" s="16">
        <v>10148</v>
      </c>
      <c r="FX318" s="16">
        <v>13545</v>
      </c>
      <c r="FY318" s="16">
        <v>897</v>
      </c>
      <c r="FZ318" s="16">
        <v>8214</v>
      </c>
      <c r="GA318" s="16">
        <v>1681</v>
      </c>
      <c r="GB318" s="16">
        <v>6772</v>
      </c>
      <c r="GC318" s="16">
        <v>2356</v>
      </c>
      <c r="GD318" s="16">
        <v>4354</v>
      </c>
      <c r="GE318" s="16">
        <v>810</v>
      </c>
      <c r="GF318" s="16">
        <v>11358</v>
      </c>
      <c r="GG318" s="16">
        <v>669</v>
      </c>
      <c r="GH318" s="16">
        <v>23164</v>
      </c>
      <c r="GI318" s="16">
        <v>5685</v>
      </c>
      <c r="GJ318" s="16">
        <v>5922</v>
      </c>
      <c r="GK318" s="16">
        <v>3439</v>
      </c>
      <c r="GL318" s="16">
        <v>66</v>
      </c>
      <c r="GM318" s="16">
        <v>4725</v>
      </c>
      <c r="GN318" s="16">
        <v>401</v>
      </c>
      <c r="GO318" s="16">
        <v>7482</v>
      </c>
      <c r="GP318" s="16">
        <v>4746</v>
      </c>
      <c r="GQ318" s="16">
        <v>513</v>
      </c>
      <c r="GR318" s="16">
        <v>4655</v>
      </c>
      <c r="GS318" s="16">
        <v>427</v>
      </c>
      <c r="GT318" s="16">
        <v>2030</v>
      </c>
      <c r="GU318" s="16">
        <v>5003</v>
      </c>
      <c r="GV318" s="16">
        <v>3499</v>
      </c>
      <c r="GW318" s="16">
        <v>4978</v>
      </c>
      <c r="GX318" s="16">
        <v>738</v>
      </c>
      <c r="GY318" s="16">
        <v>39</v>
      </c>
      <c r="GZ318" s="16">
        <v>7199</v>
      </c>
      <c r="HA318" s="16">
        <v>2357</v>
      </c>
      <c r="HB318" s="16">
        <v>2824</v>
      </c>
      <c r="HC318" s="16">
        <v>16718</v>
      </c>
      <c r="HD318" s="16">
        <v>19132</v>
      </c>
      <c r="HE318" s="16">
        <v>4187</v>
      </c>
      <c r="HF318" s="16">
        <v>10799</v>
      </c>
      <c r="HG318" s="16">
        <v>1525</v>
      </c>
      <c r="HH318" s="16">
        <v>1633</v>
      </c>
      <c r="HI318" s="16">
        <v>4027</v>
      </c>
      <c r="HJ318" s="16">
        <v>991</v>
      </c>
      <c r="HK318" s="16">
        <v>3340</v>
      </c>
      <c r="HL318" s="16">
        <v>23059</v>
      </c>
      <c r="HM318" s="16">
        <v>4369</v>
      </c>
      <c r="HN318" s="16">
        <v>5169</v>
      </c>
      <c r="HO318" s="16">
        <v>5001</v>
      </c>
      <c r="HP318" s="16">
        <v>1413</v>
      </c>
      <c r="HQ318" s="16">
        <v>9790</v>
      </c>
      <c r="HR318" s="16">
        <v>3653</v>
      </c>
      <c r="HS318" s="16">
        <v>3688</v>
      </c>
      <c r="HT318" s="16">
        <v>341</v>
      </c>
      <c r="HU318" s="16">
        <v>8537</v>
      </c>
      <c r="HV318" s="16">
        <v>3329</v>
      </c>
      <c r="HW318" s="16">
        <v>2014</v>
      </c>
      <c r="HX318" s="16">
        <v>4607</v>
      </c>
      <c r="HY318" s="16">
        <v>2956</v>
      </c>
      <c r="HZ318" s="16">
        <v>4415</v>
      </c>
      <c r="IA318" s="16">
        <v>2145</v>
      </c>
      <c r="IB318" s="16">
        <v>1828</v>
      </c>
      <c r="IC318" s="16">
        <v>627</v>
      </c>
      <c r="ID318" s="16">
        <v>733</v>
      </c>
      <c r="IE318" s="16">
        <v>352</v>
      </c>
      <c r="IF318" s="16">
        <v>830</v>
      </c>
      <c r="IG318" s="16">
        <v>1410</v>
      </c>
      <c r="IH318" s="16">
        <v>26399</v>
      </c>
      <c r="II318" s="16">
        <v>5594</v>
      </c>
      <c r="IJ318" s="16">
        <v>758</v>
      </c>
      <c r="IK318" s="16">
        <v>855</v>
      </c>
      <c r="IL318" s="16">
        <v>855</v>
      </c>
      <c r="IM318" s="16">
        <v>62</v>
      </c>
      <c r="IN318" s="16">
        <v>26137</v>
      </c>
      <c r="IO318" s="16">
        <v>13384</v>
      </c>
      <c r="IP318" s="16">
        <v>2998</v>
      </c>
      <c r="IQ318" s="16">
        <v>1786</v>
      </c>
      <c r="IR318" s="16">
        <v>3377</v>
      </c>
      <c r="IS318" s="16">
        <v>905</v>
      </c>
      <c r="IT318" s="16">
        <v>317</v>
      </c>
      <c r="IU318" s="16">
        <v>99</v>
      </c>
      <c r="IV318" s="16">
        <v>1516</v>
      </c>
      <c r="IW318" s="16">
        <v>7503</v>
      </c>
      <c r="IX318" s="16">
        <v>2753</v>
      </c>
      <c r="IY318" s="16">
        <v>586</v>
      </c>
      <c r="IZ318" s="16">
        <v>82</v>
      </c>
      <c r="JA318" s="16">
        <v>1857</v>
      </c>
      <c r="JB318" s="16">
        <v>233</v>
      </c>
      <c r="JC318" s="16">
        <v>561</v>
      </c>
      <c r="JD318" s="16">
        <v>490</v>
      </c>
      <c r="JE318" s="16">
        <v>4833</v>
      </c>
      <c r="JF318" s="16">
        <v>1491</v>
      </c>
      <c r="JG318" s="16">
        <v>72629</v>
      </c>
      <c r="JH318" s="16">
        <v>8414</v>
      </c>
      <c r="JI318" s="16">
        <v>3830</v>
      </c>
      <c r="JJ318" s="16">
        <v>5002</v>
      </c>
      <c r="JK318" s="16">
        <v>2907</v>
      </c>
      <c r="JL318" s="16">
        <v>264</v>
      </c>
      <c r="JM318" s="16">
        <v>203</v>
      </c>
      <c r="JN318" s="16">
        <v>3120</v>
      </c>
      <c r="JO318" s="16">
        <v>56</v>
      </c>
      <c r="JP318" s="16">
        <v>1903</v>
      </c>
      <c r="JQ318" s="16">
        <v>4901</v>
      </c>
      <c r="JR318" s="16">
        <v>1733</v>
      </c>
      <c r="JS318" s="16">
        <v>3772</v>
      </c>
      <c r="JT318" s="16">
        <v>1</v>
      </c>
      <c r="JU318" s="16">
        <v>4871</v>
      </c>
      <c r="JV318" s="16">
        <v>42441</v>
      </c>
      <c r="JW318" s="16">
        <v>43217</v>
      </c>
      <c r="JX318" s="16">
        <v>28617</v>
      </c>
      <c r="JY318" s="16">
        <v>24682</v>
      </c>
      <c r="JZ318" s="16">
        <v>12394</v>
      </c>
      <c r="KA318" s="16">
        <v>2298</v>
      </c>
      <c r="KB318" s="16">
        <v>2105</v>
      </c>
      <c r="KC318" s="16">
        <v>1411</v>
      </c>
      <c r="KD318" s="16">
        <v>390</v>
      </c>
      <c r="KE318" s="16">
        <v>696</v>
      </c>
      <c r="KF318" s="16">
        <v>3574</v>
      </c>
      <c r="KG318" s="16">
        <v>1452</v>
      </c>
      <c r="KH318" s="16">
        <v>1989</v>
      </c>
      <c r="KI318" s="16">
        <v>1339</v>
      </c>
      <c r="KJ318" s="16">
        <v>316</v>
      </c>
      <c r="KK318" s="16">
        <v>2628246</v>
      </c>
      <c r="KL318" s="16">
        <v>534</v>
      </c>
      <c r="KM318" s="16">
        <v>4091</v>
      </c>
      <c r="KN318" s="16">
        <v>19520</v>
      </c>
      <c r="KO318" s="16">
        <v>7191</v>
      </c>
      <c r="KP318" s="16">
        <v>4358</v>
      </c>
      <c r="KQ318" s="16">
        <v>3056</v>
      </c>
      <c r="KR318" s="16">
        <v>13869</v>
      </c>
      <c r="KS318" s="16">
        <v>78</v>
      </c>
      <c r="KT318" s="16">
        <v>3042</v>
      </c>
      <c r="KU318" s="16">
        <v>37594</v>
      </c>
      <c r="KV318" s="16">
        <v>40787</v>
      </c>
      <c r="KW318" s="16">
        <v>198992</v>
      </c>
      <c r="KX318" s="16">
        <v>1572</v>
      </c>
      <c r="KY318" s="16">
        <v>26543</v>
      </c>
      <c r="KZ318" s="16">
        <v>93715</v>
      </c>
      <c r="LA318" s="16">
        <v>30442</v>
      </c>
      <c r="LB318" s="16">
        <v>5783</v>
      </c>
      <c r="LC318" s="16">
        <v>23211</v>
      </c>
      <c r="LD318" s="16">
        <v>59565</v>
      </c>
      <c r="LE318" s="16">
        <v>97153</v>
      </c>
      <c r="LF318" s="16">
        <v>1138144</v>
      </c>
      <c r="LG318" s="16">
        <v>183730</v>
      </c>
      <c r="LH318" s="16">
        <v>34878</v>
      </c>
      <c r="LI318" s="16">
        <v>20951</v>
      </c>
      <c r="LJ318" s="16">
        <v>38776</v>
      </c>
      <c r="LK318" s="16">
        <v>271526</v>
      </c>
      <c r="LL318" s="16">
        <v>44980</v>
      </c>
      <c r="LM318" s="16">
        <v>83810</v>
      </c>
      <c r="LN318" s="16">
        <v>272529</v>
      </c>
      <c r="LO318" s="16">
        <v>35416</v>
      </c>
      <c r="LP318" s="16">
        <v>28193</v>
      </c>
      <c r="LQ318" s="16">
        <v>2478</v>
      </c>
      <c r="LR318" s="16">
        <v>175825</v>
      </c>
      <c r="LS318" s="16">
        <v>31451</v>
      </c>
      <c r="LT318" s="16">
        <v>204056</v>
      </c>
      <c r="LU318" s="16">
        <v>57177</v>
      </c>
      <c r="LV318" s="16">
        <v>456</v>
      </c>
      <c r="LW318" s="16">
        <v>86243</v>
      </c>
      <c r="LX318" s="16">
        <v>76635</v>
      </c>
      <c r="LY318" s="16">
        <v>40896</v>
      </c>
      <c r="LZ318" s="16">
        <v>175079</v>
      </c>
      <c r="MA318" s="16">
        <v>19743</v>
      </c>
      <c r="MB318" s="16">
        <v>25664</v>
      </c>
      <c r="MC318" s="16">
        <v>86945</v>
      </c>
      <c r="MD318" s="16">
        <v>13508</v>
      </c>
      <c r="ME318" s="16">
        <v>9319</v>
      </c>
      <c r="MF318" s="16">
        <v>86109</v>
      </c>
      <c r="MG318" s="16">
        <v>65542</v>
      </c>
      <c r="MH318" s="16">
        <v>967042</v>
      </c>
      <c r="MI318" s="16">
        <v>17208</v>
      </c>
      <c r="MJ318" s="16">
        <v>56826</v>
      </c>
      <c r="MK318" s="16">
        <v>38801</v>
      </c>
      <c r="ML318" s="16">
        <v>121734</v>
      </c>
      <c r="MM318" s="16">
        <v>260417</v>
      </c>
      <c r="MN318" s="16">
        <v>141476</v>
      </c>
      <c r="MO318" s="16">
        <v>62443</v>
      </c>
      <c r="MP318" s="16">
        <v>75189</v>
      </c>
      <c r="MQ318" s="16">
        <v>405776</v>
      </c>
      <c r="MR318" s="16">
        <v>103357</v>
      </c>
      <c r="MS318" s="16">
        <v>23981</v>
      </c>
      <c r="MT318" s="16">
        <v>30754</v>
      </c>
      <c r="MU318" s="16">
        <v>18750</v>
      </c>
      <c r="MV318" s="16">
        <v>25792</v>
      </c>
      <c r="MW318" s="16">
        <v>249092</v>
      </c>
      <c r="MX318" s="16">
        <v>1038</v>
      </c>
      <c r="MY318" s="16">
        <v>11821</v>
      </c>
      <c r="MZ318" s="16">
        <v>47742</v>
      </c>
      <c r="NA318" s="16">
        <v>7573</v>
      </c>
      <c r="NB318" s="16">
        <v>14528</v>
      </c>
      <c r="NC318" s="16">
        <v>4846</v>
      </c>
      <c r="ND318" s="16">
        <v>11613</v>
      </c>
      <c r="NE318" s="16">
        <v>1233</v>
      </c>
      <c r="NF318" s="16">
        <v>119522</v>
      </c>
      <c r="NG318" s="16">
        <v>37004</v>
      </c>
      <c r="NH318" s="16">
        <v>16259</v>
      </c>
      <c r="NI318" s="16">
        <v>60659</v>
      </c>
      <c r="NJ318" s="16">
        <v>74431</v>
      </c>
      <c r="NK318" s="16">
        <v>14204</v>
      </c>
      <c r="NL318" s="16">
        <v>16316</v>
      </c>
      <c r="NM318" s="16">
        <v>40107</v>
      </c>
      <c r="NN318" s="16">
        <v>10440</v>
      </c>
      <c r="NO318" s="16">
        <v>0</v>
      </c>
      <c r="NP318" s="16">
        <v>11343</v>
      </c>
      <c r="NQ318" s="16">
        <v>4277</v>
      </c>
      <c r="NR318" s="17">
        <v>10903654</v>
      </c>
    </row>
    <row r="319" spans="1:382" ht="13.5" customHeight="1" x14ac:dyDescent="0.2">
      <c r="A319" s="2" t="s">
        <v>645</v>
      </c>
      <c r="B319" s="16">
        <v>65</v>
      </c>
      <c r="C319" s="16">
        <v>0</v>
      </c>
      <c r="D319" s="16">
        <v>85</v>
      </c>
      <c r="E319" s="16">
        <v>93</v>
      </c>
      <c r="F319" s="16">
        <v>72</v>
      </c>
      <c r="G319" s="16">
        <v>13</v>
      </c>
      <c r="H319" s="16">
        <v>2</v>
      </c>
      <c r="I319" s="16">
        <v>54</v>
      </c>
      <c r="J319" s="16">
        <v>4</v>
      </c>
      <c r="K319" s="16">
        <v>0</v>
      </c>
      <c r="L319" s="16">
        <v>362</v>
      </c>
      <c r="M319" s="16">
        <v>9</v>
      </c>
      <c r="N319" s="16">
        <v>0</v>
      </c>
      <c r="O319" s="16">
        <v>1</v>
      </c>
      <c r="P319" s="16">
        <v>383</v>
      </c>
      <c r="Q319" s="16">
        <v>704</v>
      </c>
      <c r="R319" s="16">
        <v>443</v>
      </c>
      <c r="S319" s="16">
        <v>156</v>
      </c>
      <c r="T319" s="16">
        <v>67</v>
      </c>
      <c r="U319" s="16">
        <v>34</v>
      </c>
      <c r="V319" s="16">
        <v>66</v>
      </c>
      <c r="W319" s="16">
        <v>2</v>
      </c>
      <c r="X319" s="16">
        <v>48</v>
      </c>
      <c r="Y319" s="16">
        <v>525</v>
      </c>
      <c r="Z319" s="16">
        <v>11570</v>
      </c>
      <c r="AA319" s="16">
        <v>6</v>
      </c>
      <c r="AB319" s="16">
        <v>0</v>
      </c>
      <c r="AC319" s="16">
        <v>0</v>
      </c>
      <c r="AD319" s="16">
        <v>0</v>
      </c>
      <c r="AE319" s="16">
        <v>2</v>
      </c>
      <c r="AF319" s="16">
        <v>2</v>
      </c>
      <c r="AG319" s="16">
        <v>488</v>
      </c>
      <c r="AH319" s="16">
        <v>207</v>
      </c>
      <c r="AI319" s="16">
        <v>99</v>
      </c>
      <c r="AJ319" s="16">
        <v>779</v>
      </c>
      <c r="AK319" s="16">
        <v>2042</v>
      </c>
      <c r="AL319" s="16">
        <v>24</v>
      </c>
      <c r="AM319" s="16">
        <v>351</v>
      </c>
      <c r="AN319" s="16">
        <v>394</v>
      </c>
      <c r="AO319" s="16">
        <v>2236</v>
      </c>
      <c r="AP319" s="16">
        <v>5</v>
      </c>
      <c r="AQ319" s="16">
        <v>62</v>
      </c>
      <c r="AR319" s="16">
        <v>0</v>
      </c>
      <c r="AS319" s="16">
        <v>24</v>
      </c>
      <c r="AT319" s="16">
        <v>68</v>
      </c>
      <c r="AU319" s="16">
        <v>130</v>
      </c>
      <c r="AV319" s="16">
        <v>38</v>
      </c>
      <c r="AW319" s="16">
        <v>877</v>
      </c>
      <c r="AX319" s="16">
        <v>25</v>
      </c>
      <c r="AY319" s="16">
        <v>81</v>
      </c>
      <c r="AZ319" s="16">
        <v>765</v>
      </c>
      <c r="BA319" s="16">
        <v>446</v>
      </c>
      <c r="BB319" s="16">
        <v>79</v>
      </c>
      <c r="BC319" s="16">
        <v>495</v>
      </c>
      <c r="BD319" s="16">
        <v>4</v>
      </c>
      <c r="BE319" s="16">
        <v>108</v>
      </c>
      <c r="BF319" s="16">
        <v>342</v>
      </c>
      <c r="BG319" s="16">
        <v>65</v>
      </c>
      <c r="BH319" s="16">
        <v>751</v>
      </c>
      <c r="BI319" s="16">
        <v>630</v>
      </c>
      <c r="BJ319" s="16">
        <v>16</v>
      </c>
      <c r="BK319" s="16">
        <v>41</v>
      </c>
      <c r="BL319" s="16">
        <v>574</v>
      </c>
      <c r="BM319" s="16">
        <v>172</v>
      </c>
      <c r="BN319" s="16">
        <v>106</v>
      </c>
      <c r="BO319" s="16">
        <v>542</v>
      </c>
      <c r="BP319" s="16">
        <v>91</v>
      </c>
      <c r="BQ319" s="16">
        <v>40</v>
      </c>
      <c r="BR319" s="16">
        <v>6</v>
      </c>
      <c r="BS319" s="16">
        <v>197</v>
      </c>
      <c r="BT319" s="16">
        <v>3</v>
      </c>
      <c r="BU319" s="16">
        <v>3</v>
      </c>
      <c r="BV319" s="16">
        <v>0</v>
      </c>
      <c r="BW319" s="16">
        <v>151</v>
      </c>
      <c r="BX319" s="16">
        <v>13</v>
      </c>
      <c r="BY319" s="16">
        <v>0</v>
      </c>
      <c r="BZ319" s="16">
        <v>48</v>
      </c>
      <c r="CA319" s="16">
        <v>30</v>
      </c>
      <c r="CB319" s="16">
        <v>13</v>
      </c>
      <c r="CC319" s="16">
        <v>790</v>
      </c>
      <c r="CD319" s="16">
        <v>173</v>
      </c>
      <c r="CE319" s="16">
        <v>376</v>
      </c>
      <c r="CF319" s="16">
        <v>232</v>
      </c>
      <c r="CG319" s="16">
        <v>117</v>
      </c>
      <c r="CH319" s="16">
        <v>861</v>
      </c>
      <c r="CI319" s="16">
        <v>49</v>
      </c>
      <c r="CJ319" s="16">
        <v>176</v>
      </c>
      <c r="CK319" s="16">
        <v>1481</v>
      </c>
      <c r="CL319" s="16">
        <v>799</v>
      </c>
      <c r="CM319" s="16">
        <v>202</v>
      </c>
      <c r="CN319" s="16">
        <v>205</v>
      </c>
      <c r="CO319" s="16">
        <v>138</v>
      </c>
      <c r="CP319" s="16">
        <v>694</v>
      </c>
      <c r="CQ319" s="16">
        <v>3849</v>
      </c>
      <c r="CR319" s="16">
        <v>267</v>
      </c>
      <c r="CS319" s="16">
        <v>1318</v>
      </c>
      <c r="CT319" s="16">
        <v>1031</v>
      </c>
      <c r="CU319" s="16">
        <v>735</v>
      </c>
      <c r="CV319" s="16">
        <v>2297</v>
      </c>
      <c r="CW319" s="16">
        <v>5292</v>
      </c>
      <c r="CX319" s="16">
        <v>2065</v>
      </c>
      <c r="CY319" s="16">
        <v>444</v>
      </c>
      <c r="CZ319" s="16">
        <v>558</v>
      </c>
      <c r="DA319" s="16">
        <v>20</v>
      </c>
      <c r="DB319" s="16">
        <v>540</v>
      </c>
      <c r="DC319" s="16">
        <v>8</v>
      </c>
      <c r="DD319" s="16">
        <v>152</v>
      </c>
      <c r="DE319" s="16">
        <v>23</v>
      </c>
      <c r="DF319" s="16">
        <v>279</v>
      </c>
      <c r="DG319" s="16">
        <v>272</v>
      </c>
      <c r="DH319" s="16">
        <v>52</v>
      </c>
      <c r="DI319" s="16">
        <v>155</v>
      </c>
      <c r="DJ319" s="16">
        <v>2580</v>
      </c>
      <c r="DK319" s="16">
        <v>170</v>
      </c>
      <c r="DL319" s="16">
        <v>347</v>
      </c>
      <c r="DM319" s="16">
        <v>3351</v>
      </c>
      <c r="DN319" s="16">
        <v>176</v>
      </c>
      <c r="DO319" s="16">
        <v>130</v>
      </c>
      <c r="DP319" s="16">
        <v>420</v>
      </c>
      <c r="DQ319" s="16">
        <v>75</v>
      </c>
      <c r="DR319" s="16">
        <v>217</v>
      </c>
      <c r="DS319" s="16">
        <v>1630</v>
      </c>
      <c r="DT319" s="16">
        <v>195</v>
      </c>
      <c r="DU319" s="16">
        <v>199</v>
      </c>
      <c r="DV319" s="16">
        <v>80</v>
      </c>
      <c r="DW319" s="16">
        <v>1593</v>
      </c>
      <c r="DX319" s="16">
        <v>963</v>
      </c>
      <c r="DY319" s="16">
        <v>780</v>
      </c>
      <c r="DZ319" s="16">
        <v>2044</v>
      </c>
      <c r="EA319" s="16">
        <v>896</v>
      </c>
      <c r="EB319" s="16">
        <v>37</v>
      </c>
      <c r="EC319" s="16">
        <v>766</v>
      </c>
      <c r="ED319" s="16">
        <v>98</v>
      </c>
      <c r="EE319" s="16">
        <v>3</v>
      </c>
      <c r="EF319" s="16">
        <v>18</v>
      </c>
      <c r="EG319" s="16">
        <v>1118</v>
      </c>
      <c r="EH319" s="16">
        <v>113</v>
      </c>
      <c r="EI319" s="16">
        <v>63</v>
      </c>
      <c r="EJ319" s="16">
        <v>57</v>
      </c>
      <c r="EK319" s="16">
        <v>86</v>
      </c>
      <c r="EL319" s="16">
        <v>50</v>
      </c>
      <c r="EM319" s="16">
        <v>221</v>
      </c>
      <c r="EN319" s="16">
        <v>2335</v>
      </c>
      <c r="EO319" s="16">
        <v>502</v>
      </c>
      <c r="EP319" s="16">
        <v>84</v>
      </c>
      <c r="EQ319" s="16">
        <v>417</v>
      </c>
      <c r="ER319" s="16">
        <v>55</v>
      </c>
      <c r="ES319" s="16">
        <v>47</v>
      </c>
      <c r="ET319" s="16">
        <v>656</v>
      </c>
      <c r="EU319" s="16">
        <v>4</v>
      </c>
      <c r="EV319" s="16">
        <v>4</v>
      </c>
      <c r="EW319" s="16">
        <v>15</v>
      </c>
      <c r="EX319" s="16">
        <v>1339</v>
      </c>
      <c r="EY319" s="16">
        <v>140</v>
      </c>
      <c r="EZ319" s="16">
        <v>24</v>
      </c>
      <c r="FA319" s="16">
        <v>35</v>
      </c>
      <c r="FB319" s="16">
        <v>385</v>
      </c>
      <c r="FC319" s="16">
        <v>3</v>
      </c>
      <c r="FD319" s="16">
        <v>962</v>
      </c>
      <c r="FE319" s="16">
        <v>258</v>
      </c>
      <c r="FF319" s="16">
        <v>152</v>
      </c>
      <c r="FG319" s="16">
        <v>340</v>
      </c>
      <c r="FH319" s="16">
        <v>4</v>
      </c>
      <c r="FI319" s="16">
        <v>223</v>
      </c>
      <c r="FJ319" s="16">
        <v>16</v>
      </c>
      <c r="FK319" s="16">
        <v>279</v>
      </c>
      <c r="FL319" s="16">
        <v>3</v>
      </c>
      <c r="FM319" s="16">
        <v>115</v>
      </c>
      <c r="FN319" s="16">
        <v>1723</v>
      </c>
      <c r="FO319" s="16">
        <v>986</v>
      </c>
      <c r="FP319" s="16">
        <v>902</v>
      </c>
      <c r="FQ319" s="16">
        <v>1521</v>
      </c>
      <c r="FR319" s="16">
        <v>997</v>
      </c>
      <c r="FS319" s="16">
        <v>285</v>
      </c>
      <c r="FT319" s="16">
        <v>262</v>
      </c>
      <c r="FU319" s="16">
        <v>1210</v>
      </c>
      <c r="FV319" s="16">
        <v>574</v>
      </c>
      <c r="FW319" s="16">
        <v>1024</v>
      </c>
      <c r="FX319" s="16">
        <v>1553</v>
      </c>
      <c r="FY319" s="16">
        <v>182</v>
      </c>
      <c r="FZ319" s="16">
        <v>2638</v>
      </c>
      <c r="GA319" s="16">
        <v>185</v>
      </c>
      <c r="GB319" s="16">
        <v>1981</v>
      </c>
      <c r="GC319" s="16">
        <v>262</v>
      </c>
      <c r="GD319" s="16">
        <v>685</v>
      </c>
      <c r="GE319" s="16">
        <v>20</v>
      </c>
      <c r="GF319" s="16">
        <v>1378</v>
      </c>
      <c r="GG319" s="16">
        <v>3</v>
      </c>
      <c r="GH319" s="16">
        <v>675</v>
      </c>
      <c r="GI319" s="16">
        <v>61</v>
      </c>
      <c r="GJ319" s="16">
        <v>448</v>
      </c>
      <c r="GK319" s="16">
        <v>97</v>
      </c>
      <c r="GL319" s="16">
        <v>8</v>
      </c>
      <c r="GM319" s="16">
        <v>4</v>
      </c>
      <c r="GN319" s="16">
        <v>20</v>
      </c>
      <c r="GO319" s="16">
        <v>1</v>
      </c>
      <c r="GP319" s="16">
        <v>12</v>
      </c>
      <c r="GQ319" s="16">
        <v>1</v>
      </c>
      <c r="GR319" s="16">
        <v>304</v>
      </c>
      <c r="GS319" s="16">
        <v>14</v>
      </c>
      <c r="GT319" s="16">
        <v>28</v>
      </c>
      <c r="GU319" s="16">
        <v>303</v>
      </c>
      <c r="GV319" s="16">
        <v>562</v>
      </c>
      <c r="GW319" s="16">
        <v>1860</v>
      </c>
      <c r="GX319" s="16">
        <v>48</v>
      </c>
      <c r="GY319" s="16">
        <v>1</v>
      </c>
      <c r="GZ319" s="16">
        <v>823</v>
      </c>
      <c r="HA319" s="16">
        <v>229</v>
      </c>
      <c r="HB319" s="16">
        <v>95</v>
      </c>
      <c r="HC319" s="16">
        <v>768</v>
      </c>
      <c r="HD319" s="16">
        <v>1152</v>
      </c>
      <c r="HE319" s="16">
        <v>55</v>
      </c>
      <c r="HF319" s="16">
        <v>1101</v>
      </c>
      <c r="HG319" s="16">
        <v>93</v>
      </c>
      <c r="HH319" s="16">
        <v>99</v>
      </c>
      <c r="HI319" s="16">
        <v>312</v>
      </c>
      <c r="HJ319" s="16">
        <v>160</v>
      </c>
      <c r="HK319" s="16">
        <v>244</v>
      </c>
      <c r="HL319" s="16">
        <v>1510</v>
      </c>
      <c r="HM319" s="16">
        <v>672</v>
      </c>
      <c r="HN319" s="16">
        <v>831</v>
      </c>
      <c r="HO319" s="16">
        <v>525</v>
      </c>
      <c r="HP319" s="16">
        <v>243</v>
      </c>
      <c r="HQ319" s="16">
        <v>1492</v>
      </c>
      <c r="HR319" s="16">
        <v>1251</v>
      </c>
      <c r="HS319" s="16">
        <v>452</v>
      </c>
      <c r="HT319" s="16">
        <v>20</v>
      </c>
      <c r="HU319" s="16">
        <v>655</v>
      </c>
      <c r="HV319" s="16">
        <v>372</v>
      </c>
      <c r="HW319" s="16">
        <v>791</v>
      </c>
      <c r="HX319" s="16">
        <v>521</v>
      </c>
      <c r="HY319" s="16">
        <v>661</v>
      </c>
      <c r="HZ319" s="16">
        <v>449</v>
      </c>
      <c r="IA319" s="16">
        <v>161</v>
      </c>
      <c r="IB319" s="16">
        <v>76</v>
      </c>
      <c r="IC319" s="16">
        <v>47</v>
      </c>
      <c r="ID319" s="16">
        <v>48</v>
      </c>
      <c r="IE319" s="16">
        <v>41</v>
      </c>
      <c r="IF319" s="16">
        <v>47</v>
      </c>
      <c r="IG319" s="16">
        <v>169</v>
      </c>
      <c r="IH319" s="16">
        <v>420</v>
      </c>
      <c r="II319" s="16">
        <v>56</v>
      </c>
      <c r="IJ319" s="16">
        <v>7</v>
      </c>
      <c r="IK319" s="16">
        <v>90</v>
      </c>
      <c r="IL319" s="16">
        <v>51</v>
      </c>
      <c r="IM319" s="16">
        <v>19</v>
      </c>
      <c r="IN319" s="16">
        <v>579</v>
      </c>
      <c r="IO319" s="16">
        <v>277</v>
      </c>
      <c r="IP319" s="16">
        <v>27</v>
      </c>
      <c r="IQ319" s="16">
        <v>6</v>
      </c>
      <c r="IR319" s="16">
        <v>20</v>
      </c>
      <c r="IS319" s="16">
        <v>302</v>
      </c>
      <c r="IT319" s="16">
        <v>7</v>
      </c>
      <c r="IU319" s="16">
        <v>1</v>
      </c>
      <c r="IV319" s="16">
        <v>220</v>
      </c>
      <c r="IW319" s="16">
        <v>491</v>
      </c>
      <c r="IX319" s="16">
        <v>477</v>
      </c>
      <c r="IY319" s="16">
        <v>43</v>
      </c>
      <c r="IZ319" s="16">
        <v>21</v>
      </c>
      <c r="JA319" s="16">
        <v>602</v>
      </c>
      <c r="JB319" s="16">
        <v>10</v>
      </c>
      <c r="JC319" s="16">
        <v>79</v>
      </c>
      <c r="JD319" s="16">
        <v>16</v>
      </c>
      <c r="JE319" s="16">
        <v>486</v>
      </c>
      <c r="JF319" s="16">
        <v>301</v>
      </c>
      <c r="JG319" s="16">
        <v>7800</v>
      </c>
      <c r="JH319" s="16">
        <v>82</v>
      </c>
      <c r="JI319" s="16">
        <v>61</v>
      </c>
      <c r="JJ319" s="16">
        <v>658</v>
      </c>
      <c r="JK319" s="16">
        <v>258</v>
      </c>
      <c r="JL319" s="16">
        <v>74</v>
      </c>
      <c r="JM319" s="16">
        <v>102</v>
      </c>
      <c r="JN319" s="16">
        <v>1863</v>
      </c>
      <c r="JO319" s="16">
        <v>37</v>
      </c>
      <c r="JP319" s="16">
        <v>2612</v>
      </c>
      <c r="JQ319" s="16">
        <v>434</v>
      </c>
      <c r="JR319" s="16">
        <v>2619</v>
      </c>
      <c r="JS319" s="16">
        <v>620</v>
      </c>
      <c r="JT319" s="16">
        <v>0</v>
      </c>
      <c r="JU319" s="16">
        <v>3809</v>
      </c>
      <c r="JV319" s="16">
        <v>3682</v>
      </c>
      <c r="JW319" s="16">
        <v>659</v>
      </c>
      <c r="JX319" s="16">
        <v>1247</v>
      </c>
      <c r="JY319" s="16">
        <v>543</v>
      </c>
      <c r="JZ319" s="16">
        <v>63</v>
      </c>
      <c r="KA319" s="16">
        <v>20</v>
      </c>
      <c r="KB319" s="16">
        <v>6</v>
      </c>
      <c r="KC319" s="16">
        <v>18</v>
      </c>
      <c r="KD319" s="16">
        <v>3</v>
      </c>
      <c r="KE319" s="16">
        <v>11</v>
      </c>
      <c r="KF319" s="16">
        <v>425</v>
      </c>
      <c r="KG319" s="16">
        <v>107</v>
      </c>
      <c r="KH319" s="16">
        <v>30</v>
      </c>
      <c r="KI319" s="16">
        <v>50</v>
      </c>
      <c r="KJ319" s="16">
        <v>21</v>
      </c>
      <c r="KK319" s="16">
        <v>262958</v>
      </c>
      <c r="KL319" s="16">
        <v>74</v>
      </c>
      <c r="KM319" s="16">
        <v>2189</v>
      </c>
      <c r="KN319" s="16">
        <v>821</v>
      </c>
      <c r="KO319" s="16">
        <v>862</v>
      </c>
      <c r="KP319" s="16">
        <v>71</v>
      </c>
      <c r="KQ319" s="16">
        <v>114</v>
      </c>
      <c r="KR319" s="16">
        <v>2214</v>
      </c>
      <c r="KS319" s="16">
        <v>14</v>
      </c>
      <c r="KT319" s="16">
        <v>262</v>
      </c>
      <c r="KU319" s="16">
        <v>10647</v>
      </c>
      <c r="KV319" s="16">
        <v>6519</v>
      </c>
      <c r="KW319" s="16">
        <v>23298</v>
      </c>
      <c r="KX319" s="16">
        <v>641</v>
      </c>
      <c r="KY319" s="16">
        <v>30230</v>
      </c>
      <c r="KZ319" s="16">
        <v>178800</v>
      </c>
      <c r="LA319" s="16">
        <v>10771</v>
      </c>
      <c r="LB319" s="16">
        <v>3223</v>
      </c>
      <c r="LC319" s="16">
        <v>7176</v>
      </c>
      <c r="LD319" s="16">
        <v>25633</v>
      </c>
      <c r="LE319" s="16">
        <v>75826</v>
      </c>
      <c r="LF319" s="16">
        <v>2188</v>
      </c>
      <c r="LG319" s="16">
        <v>4581</v>
      </c>
      <c r="LH319" s="16">
        <v>15439</v>
      </c>
      <c r="LI319" s="16">
        <v>191</v>
      </c>
      <c r="LJ319" s="16">
        <v>4330</v>
      </c>
      <c r="LK319" s="16">
        <v>33678</v>
      </c>
      <c r="LL319" s="16">
        <v>15014</v>
      </c>
      <c r="LM319" s="16">
        <v>6023</v>
      </c>
      <c r="LN319" s="16">
        <v>107359</v>
      </c>
      <c r="LO319" s="16">
        <v>412</v>
      </c>
      <c r="LP319" s="16">
        <v>24193</v>
      </c>
      <c r="LQ319" s="16">
        <v>4924</v>
      </c>
      <c r="LR319" s="16">
        <v>26784</v>
      </c>
      <c r="LS319" s="16">
        <v>6222</v>
      </c>
      <c r="LT319" s="16">
        <v>38766</v>
      </c>
      <c r="LU319" s="16">
        <v>4595</v>
      </c>
      <c r="LV319" s="16">
        <v>48</v>
      </c>
      <c r="LW319" s="16">
        <v>3834</v>
      </c>
      <c r="LX319" s="16">
        <v>19558</v>
      </c>
      <c r="LY319" s="16">
        <v>0</v>
      </c>
      <c r="LZ319" s="16">
        <v>12360</v>
      </c>
      <c r="MA319" s="16">
        <v>985</v>
      </c>
      <c r="MB319" s="16">
        <v>3668</v>
      </c>
      <c r="MC319" s="16">
        <v>17019</v>
      </c>
      <c r="MD319" s="16">
        <v>16005</v>
      </c>
      <c r="ME319" s="16">
        <v>2903</v>
      </c>
      <c r="MF319" s="16">
        <v>19665</v>
      </c>
      <c r="MG319" s="16">
        <v>11654</v>
      </c>
      <c r="MH319" s="16">
        <v>286351</v>
      </c>
      <c r="MI319" s="16">
        <v>24944</v>
      </c>
      <c r="MJ319" s="16">
        <v>3706</v>
      </c>
      <c r="MK319" s="16">
        <v>10771</v>
      </c>
      <c r="ML319" s="16">
        <v>998</v>
      </c>
      <c r="MM319" s="16">
        <v>57344</v>
      </c>
      <c r="MN319" s="16">
        <v>41784</v>
      </c>
      <c r="MO319" s="16">
        <v>7788</v>
      </c>
      <c r="MP319" s="16">
        <v>82970</v>
      </c>
      <c r="MQ319" s="16">
        <v>80130</v>
      </c>
      <c r="MR319" s="16">
        <v>2561</v>
      </c>
      <c r="MS319" s="16">
        <v>0</v>
      </c>
      <c r="MT319" s="16">
        <v>2805</v>
      </c>
      <c r="MU319" s="16">
        <v>20394</v>
      </c>
      <c r="MV319" s="16">
        <v>19573</v>
      </c>
      <c r="MW319" s="16">
        <v>209676</v>
      </c>
      <c r="MX319" s="16">
        <v>0</v>
      </c>
      <c r="MY319" s="16">
        <v>0</v>
      </c>
      <c r="MZ319" s="16">
        <v>11827</v>
      </c>
      <c r="NA319" s="16">
        <v>4321</v>
      </c>
      <c r="NB319" s="16">
        <v>10254</v>
      </c>
      <c r="NC319" s="16">
        <v>2112</v>
      </c>
      <c r="ND319" s="16">
        <v>7290</v>
      </c>
      <c r="NE319" s="16">
        <v>814</v>
      </c>
      <c r="NF319" s="16">
        <v>17932</v>
      </c>
      <c r="NG319" s="16">
        <v>3855</v>
      </c>
      <c r="NH319" s="16">
        <v>568</v>
      </c>
      <c r="NI319" s="16">
        <v>28214</v>
      </c>
      <c r="NJ319" s="16">
        <v>12778</v>
      </c>
      <c r="NK319" s="16">
        <v>193</v>
      </c>
      <c r="NL319" s="16">
        <v>76</v>
      </c>
      <c r="NM319" s="16">
        <v>5761</v>
      </c>
      <c r="NN319" s="16">
        <v>3830</v>
      </c>
      <c r="NO319" s="16">
        <v>0</v>
      </c>
      <c r="NP319" s="16">
        <v>2947</v>
      </c>
      <c r="NQ319" s="16">
        <v>1320</v>
      </c>
      <c r="NR319" s="17">
        <v>2163085</v>
      </c>
    </row>
    <row r="320" spans="1:382" ht="13.5" customHeight="1" x14ac:dyDescent="0.2">
      <c r="A320" s="2" t="s">
        <v>647</v>
      </c>
      <c r="B320" s="16">
        <v>66</v>
      </c>
      <c r="C320" s="16">
        <v>0</v>
      </c>
      <c r="D320" s="16">
        <v>85</v>
      </c>
      <c r="E320" s="16">
        <v>92</v>
      </c>
      <c r="F320" s="16">
        <v>74</v>
      </c>
      <c r="G320" s="16">
        <v>12</v>
      </c>
      <c r="H320" s="16">
        <v>2</v>
      </c>
      <c r="I320" s="16">
        <v>57</v>
      </c>
      <c r="J320" s="16">
        <v>3</v>
      </c>
      <c r="K320" s="16">
        <v>0</v>
      </c>
      <c r="L320" s="16">
        <v>365</v>
      </c>
      <c r="M320" s="16">
        <v>7</v>
      </c>
      <c r="N320" s="16">
        <v>0</v>
      </c>
      <c r="O320" s="16">
        <v>1</v>
      </c>
      <c r="P320" s="16">
        <v>388</v>
      </c>
      <c r="Q320" s="16">
        <v>710</v>
      </c>
      <c r="R320" s="16">
        <v>446</v>
      </c>
      <c r="S320" s="16">
        <v>157</v>
      </c>
      <c r="T320" s="16">
        <v>68</v>
      </c>
      <c r="U320" s="16">
        <v>35</v>
      </c>
      <c r="V320" s="16">
        <v>67</v>
      </c>
      <c r="W320" s="16">
        <v>4</v>
      </c>
      <c r="X320" s="16">
        <v>49</v>
      </c>
      <c r="Y320" s="16">
        <v>531</v>
      </c>
      <c r="Z320" s="16">
        <v>14566</v>
      </c>
      <c r="AA320" s="16">
        <v>6</v>
      </c>
      <c r="AB320" s="16">
        <v>0</v>
      </c>
      <c r="AC320" s="16">
        <v>0</v>
      </c>
      <c r="AD320" s="16">
        <v>0</v>
      </c>
      <c r="AE320" s="16">
        <v>1</v>
      </c>
      <c r="AF320" s="16">
        <v>2</v>
      </c>
      <c r="AG320" s="16">
        <v>495</v>
      </c>
      <c r="AH320" s="16">
        <v>211</v>
      </c>
      <c r="AI320" s="16">
        <v>100</v>
      </c>
      <c r="AJ320" s="16">
        <v>787</v>
      </c>
      <c r="AK320" s="16">
        <v>3746</v>
      </c>
      <c r="AL320" s="16">
        <v>24</v>
      </c>
      <c r="AM320" s="16">
        <v>355</v>
      </c>
      <c r="AN320" s="16">
        <v>0</v>
      </c>
      <c r="AO320" s="16">
        <v>0</v>
      </c>
      <c r="AP320" s="16">
        <v>0</v>
      </c>
      <c r="AQ320" s="16">
        <v>0</v>
      </c>
      <c r="AR320" s="16">
        <v>0</v>
      </c>
      <c r="AS320" s="16">
        <v>0</v>
      </c>
      <c r="AT320" s="16">
        <v>0</v>
      </c>
      <c r="AU320" s="16">
        <v>129</v>
      </c>
      <c r="AV320" s="16">
        <v>38</v>
      </c>
      <c r="AW320" s="16">
        <v>884</v>
      </c>
      <c r="AX320" s="16">
        <v>26</v>
      </c>
      <c r="AY320" s="16">
        <v>0</v>
      </c>
      <c r="AZ320" s="16">
        <v>774</v>
      </c>
      <c r="BA320" s="16">
        <v>455</v>
      </c>
      <c r="BB320" s="16">
        <v>79</v>
      </c>
      <c r="BC320" s="16">
        <v>922</v>
      </c>
      <c r="BD320" s="16">
        <v>4</v>
      </c>
      <c r="BE320" s="16">
        <v>109</v>
      </c>
      <c r="BF320" s="16">
        <v>347</v>
      </c>
      <c r="BG320" s="16">
        <v>66</v>
      </c>
      <c r="BH320" s="16">
        <v>758</v>
      </c>
      <c r="BI320" s="16">
        <v>635</v>
      </c>
      <c r="BJ320" s="16">
        <v>16</v>
      </c>
      <c r="BK320" s="16">
        <v>41</v>
      </c>
      <c r="BL320" s="16">
        <v>579</v>
      </c>
      <c r="BM320" s="16">
        <v>174</v>
      </c>
      <c r="BN320" s="16">
        <v>109</v>
      </c>
      <c r="BO320" s="16">
        <v>549</v>
      </c>
      <c r="BP320" s="16">
        <v>92</v>
      </c>
      <c r="BQ320" s="16">
        <v>41</v>
      </c>
      <c r="BR320" s="16">
        <v>6</v>
      </c>
      <c r="BS320" s="16">
        <v>199</v>
      </c>
      <c r="BT320" s="16">
        <v>3</v>
      </c>
      <c r="BU320" s="16">
        <v>2</v>
      </c>
      <c r="BV320" s="16">
        <v>0</v>
      </c>
      <c r="BW320" s="16">
        <v>154</v>
      </c>
      <c r="BX320" s="16">
        <v>12</v>
      </c>
      <c r="BY320" s="16">
        <v>0</v>
      </c>
      <c r="BZ320" s="16">
        <v>49</v>
      </c>
      <c r="CA320" s="16">
        <v>30</v>
      </c>
      <c r="CB320" s="16">
        <v>13</v>
      </c>
      <c r="CC320" s="16">
        <v>797</v>
      </c>
      <c r="CD320" s="16">
        <v>173</v>
      </c>
      <c r="CE320" s="16">
        <v>381</v>
      </c>
      <c r="CF320" s="16">
        <v>234</v>
      </c>
      <c r="CG320" s="16">
        <v>119</v>
      </c>
      <c r="CH320" s="16">
        <v>871</v>
      </c>
      <c r="CI320" s="16">
        <v>50</v>
      </c>
      <c r="CJ320" s="16">
        <v>178</v>
      </c>
      <c r="CK320" s="16">
        <v>1498</v>
      </c>
      <c r="CL320" s="16">
        <v>808</v>
      </c>
      <c r="CM320" s="16">
        <v>205</v>
      </c>
      <c r="CN320" s="16">
        <v>207</v>
      </c>
      <c r="CO320" s="16">
        <v>139</v>
      </c>
      <c r="CP320" s="16">
        <v>702</v>
      </c>
      <c r="CQ320" s="16">
        <v>4522</v>
      </c>
      <c r="CR320" s="16">
        <v>259</v>
      </c>
      <c r="CS320" s="16">
        <v>2652</v>
      </c>
      <c r="CT320" s="16">
        <v>1449</v>
      </c>
      <c r="CU320" s="16">
        <v>2039</v>
      </c>
      <c r="CV320" s="16">
        <v>2322</v>
      </c>
      <c r="CW320" s="16">
        <v>8031</v>
      </c>
      <c r="CX320" s="16">
        <v>6842</v>
      </c>
      <c r="CY320" s="16">
        <v>447</v>
      </c>
      <c r="CZ320" s="16">
        <v>562</v>
      </c>
      <c r="DA320" s="16">
        <v>20</v>
      </c>
      <c r="DB320" s="16">
        <v>544</v>
      </c>
      <c r="DC320" s="16">
        <v>9</v>
      </c>
      <c r="DD320" s="16">
        <v>153</v>
      </c>
      <c r="DE320" s="16">
        <v>23</v>
      </c>
      <c r="DF320" s="16">
        <v>283</v>
      </c>
      <c r="DG320" s="16">
        <v>275</v>
      </c>
      <c r="DH320" s="16">
        <v>52</v>
      </c>
      <c r="DI320" s="16">
        <v>157</v>
      </c>
      <c r="DJ320" s="16">
        <v>4287</v>
      </c>
      <c r="DK320" s="16">
        <v>173</v>
      </c>
      <c r="DL320" s="16">
        <v>351</v>
      </c>
      <c r="DM320" s="16">
        <v>3387</v>
      </c>
      <c r="DN320" s="16">
        <v>179</v>
      </c>
      <c r="DO320" s="16">
        <v>133</v>
      </c>
      <c r="DP320" s="16">
        <v>425</v>
      </c>
      <c r="DQ320" s="16">
        <v>75</v>
      </c>
      <c r="DR320" s="16">
        <v>218</v>
      </c>
      <c r="DS320" s="16">
        <v>3245</v>
      </c>
      <c r="DT320" s="16">
        <v>197</v>
      </c>
      <c r="DU320" s="16">
        <v>201</v>
      </c>
      <c r="DV320" s="16">
        <v>80</v>
      </c>
      <c r="DW320" s="16">
        <v>2227</v>
      </c>
      <c r="DX320" s="16">
        <v>973</v>
      </c>
      <c r="DY320" s="16">
        <v>787</v>
      </c>
      <c r="DZ320" s="16">
        <v>4112</v>
      </c>
      <c r="EA320" s="16">
        <v>1673</v>
      </c>
      <c r="EB320" s="16">
        <v>37</v>
      </c>
      <c r="EC320" s="16">
        <v>773</v>
      </c>
      <c r="ED320" s="16">
        <v>100</v>
      </c>
      <c r="EE320" s="16">
        <v>3</v>
      </c>
      <c r="EF320" s="16">
        <v>18</v>
      </c>
      <c r="EG320" s="16">
        <v>1130</v>
      </c>
      <c r="EH320" s="16">
        <v>115</v>
      </c>
      <c r="EI320" s="16">
        <v>65</v>
      </c>
      <c r="EJ320" s="16">
        <v>56</v>
      </c>
      <c r="EK320" s="16">
        <v>86</v>
      </c>
      <c r="EL320" s="16">
        <v>50</v>
      </c>
      <c r="EM320" s="16">
        <v>225</v>
      </c>
      <c r="EN320" s="16">
        <v>2759</v>
      </c>
      <c r="EO320" s="16">
        <v>509</v>
      </c>
      <c r="EP320" s="16">
        <v>85</v>
      </c>
      <c r="EQ320" s="16">
        <v>422</v>
      </c>
      <c r="ER320" s="16">
        <v>55</v>
      </c>
      <c r="ES320" s="16">
        <v>47</v>
      </c>
      <c r="ET320" s="16">
        <v>663</v>
      </c>
      <c r="EU320" s="16">
        <v>6</v>
      </c>
      <c r="EV320" s="16">
        <v>4</v>
      </c>
      <c r="EW320" s="16">
        <v>16</v>
      </c>
      <c r="EX320" s="16">
        <v>20526</v>
      </c>
      <c r="EY320" s="16">
        <v>3263</v>
      </c>
      <c r="EZ320" s="16">
        <v>101</v>
      </c>
      <c r="FA320" s="16">
        <v>407</v>
      </c>
      <c r="FB320" s="16">
        <v>588</v>
      </c>
      <c r="FC320" s="16">
        <v>3</v>
      </c>
      <c r="FD320" s="16">
        <v>2270</v>
      </c>
      <c r="FE320" s="16">
        <v>536</v>
      </c>
      <c r="FF320" s="16">
        <v>0</v>
      </c>
      <c r="FG320" s="16">
        <v>344</v>
      </c>
      <c r="FH320" s="16">
        <v>4</v>
      </c>
      <c r="FI320" s="16">
        <v>226</v>
      </c>
      <c r="FJ320" s="16">
        <v>15</v>
      </c>
      <c r="FK320" s="16">
        <v>284</v>
      </c>
      <c r="FL320" s="16">
        <v>3</v>
      </c>
      <c r="FM320" s="16">
        <v>117</v>
      </c>
      <c r="FN320" s="16">
        <v>1741</v>
      </c>
      <c r="FO320" s="16">
        <v>0</v>
      </c>
      <c r="FP320" s="16">
        <v>911</v>
      </c>
      <c r="FQ320" s="16">
        <v>1537</v>
      </c>
      <c r="FR320" s="16">
        <v>1009</v>
      </c>
      <c r="FS320" s="16">
        <v>289</v>
      </c>
      <c r="FT320" s="16">
        <v>263</v>
      </c>
      <c r="FU320" s="16">
        <v>2582</v>
      </c>
      <c r="FV320" s="16">
        <v>1381</v>
      </c>
      <c r="FW320" s="16">
        <v>1991</v>
      </c>
      <c r="FX320" s="16">
        <v>1570</v>
      </c>
      <c r="FY320" s="16">
        <v>183</v>
      </c>
      <c r="FZ320" s="16">
        <v>2665</v>
      </c>
      <c r="GA320" s="16">
        <v>187</v>
      </c>
      <c r="GB320" s="16">
        <v>1999</v>
      </c>
      <c r="GC320" s="16">
        <v>265</v>
      </c>
      <c r="GD320" s="16">
        <v>692</v>
      </c>
      <c r="GE320" s="16">
        <v>20</v>
      </c>
      <c r="GF320" s="16">
        <v>0</v>
      </c>
      <c r="GG320" s="16">
        <v>0</v>
      </c>
      <c r="GH320" s="16">
        <v>683</v>
      </c>
      <c r="GI320" s="16">
        <v>63</v>
      </c>
      <c r="GJ320" s="16">
        <v>455</v>
      </c>
      <c r="GK320" s="16">
        <v>98</v>
      </c>
      <c r="GL320" s="16">
        <v>5</v>
      </c>
      <c r="GM320" s="16">
        <v>4</v>
      </c>
      <c r="GN320" s="16">
        <v>21</v>
      </c>
      <c r="GO320" s="16">
        <v>1</v>
      </c>
      <c r="GP320" s="16">
        <v>12</v>
      </c>
      <c r="GQ320" s="16">
        <v>1</v>
      </c>
      <c r="GR320" s="16">
        <v>308</v>
      </c>
      <c r="GS320" s="16">
        <v>14</v>
      </c>
      <c r="GT320" s="16">
        <v>28</v>
      </c>
      <c r="GU320" s="16">
        <v>306</v>
      </c>
      <c r="GV320" s="16">
        <v>568</v>
      </c>
      <c r="GW320" s="16">
        <v>1880</v>
      </c>
      <c r="GX320" s="16">
        <v>49</v>
      </c>
      <c r="GY320" s="16">
        <v>1</v>
      </c>
      <c r="GZ320" s="16">
        <v>831</v>
      </c>
      <c r="HA320" s="16">
        <v>231</v>
      </c>
      <c r="HB320" s="16">
        <v>96</v>
      </c>
      <c r="HC320" s="16">
        <v>776</v>
      </c>
      <c r="HD320" s="16">
        <v>1163</v>
      </c>
      <c r="HE320" s="16">
        <v>55</v>
      </c>
      <c r="HF320" s="16">
        <v>1113</v>
      </c>
      <c r="HG320" s="16">
        <v>93</v>
      </c>
      <c r="HH320" s="16">
        <v>100</v>
      </c>
      <c r="HI320" s="16">
        <v>316</v>
      </c>
      <c r="HJ320" s="16">
        <v>162</v>
      </c>
      <c r="HK320" s="16">
        <v>247</v>
      </c>
      <c r="HL320" s="16">
        <v>1526</v>
      </c>
      <c r="HM320" s="16">
        <v>679</v>
      </c>
      <c r="HN320" s="16">
        <v>839</v>
      </c>
      <c r="HO320" s="16">
        <v>531</v>
      </c>
      <c r="HP320" s="16">
        <v>245</v>
      </c>
      <c r="HQ320" s="16">
        <v>1508</v>
      </c>
      <c r="HR320" s="16">
        <v>1676</v>
      </c>
      <c r="HS320" s="16">
        <v>458</v>
      </c>
      <c r="HT320" s="16">
        <v>20</v>
      </c>
      <c r="HU320" s="16">
        <v>662</v>
      </c>
      <c r="HV320" s="16">
        <v>377</v>
      </c>
      <c r="HW320" s="16">
        <v>799</v>
      </c>
      <c r="HX320" s="16">
        <v>527</v>
      </c>
      <c r="HY320" s="16">
        <v>669</v>
      </c>
      <c r="HZ320" s="16">
        <v>455</v>
      </c>
      <c r="IA320" s="16">
        <v>163</v>
      </c>
      <c r="IB320" s="16">
        <v>76</v>
      </c>
      <c r="IC320" s="16">
        <v>47</v>
      </c>
      <c r="ID320" s="16">
        <v>50</v>
      </c>
      <c r="IE320" s="16">
        <v>41</v>
      </c>
      <c r="IF320" s="16">
        <v>49</v>
      </c>
      <c r="IG320" s="16">
        <v>172</v>
      </c>
      <c r="IH320" s="16">
        <v>425</v>
      </c>
      <c r="II320" s="16">
        <v>57</v>
      </c>
      <c r="IJ320" s="16">
        <v>7</v>
      </c>
      <c r="IK320" s="16">
        <v>93</v>
      </c>
      <c r="IL320" s="16">
        <v>52</v>
      </c>
      <c r="IM320" s="16">
        <v>20</v>
      </c>
      <c r="IN320" s="16">
        <v>1022</v>
      </c>
      <c r="IO320" s="16">
        <v>279</v>
      </c>
      <c r="IP320" s="16">
        <v>28</v>
      </c>
      <c r="IQ320" s="16">
        <v>6</v>
      </c>
      <c r="IR320" s="16">
        <v>21</v>
      </c>
      <c r="IS320" s="16">
        <v>306</v>
      </c>
      <c r="IT320" s="16">
        <v>7</v>
      </c>
      <c r="IU320" s="16">
        <v>1</v>
      </c>
      <c r="IV320" s="16">
        <v>223</v>
      </c>
      <c r="IW320" s="16">
        <v>497</v>
      </c>
      <c r="IX320" s="16">
        <v>482</v>
      </c>
      <c r="IY320" s="16">
        <v>42</v>
      </c>
      <c r="IZ320" s="16">
        <v>21</v>
      </c>
      <c r="JA320" s="16">
        <v>608</v>
      </c>
      <c r="JB320" s="16">
        <v>10</v>
      </c>
      <c r="JC320" s="16">
        <v>80</v>
      </c>
      <c r="JD320" s="16">
        <v>15</v>
      </c>
      <c r="JE320" s="16">
        <v>492</v>
      </c>
      <c r="JF320" s="16">
        <v>306</v>
      </c>
      <c r="JG320" s="16">
        <v>10297</v>
      </c>
      <c r="JH320" s="16">
        <v>82</v>
      </c>
      <c r="JI320" s="16">
        <v>63</v>
      </c>
      <c r="JJ320" s="16">
        <v>665</v>
      </c>
      <c r="JK320" s="16">
        <v>261</v>
      </c>
      <c r="JL320" s="16">
        <v>75</v>
      </c>
      <c r="JM320" s="16">
        <v>100</v>
      </c>
      <c r="JN320" s="16">
        <v>1886</v>
      </c>
      <c r="JO320" s="16">
        <v>37</v>
      </c>
      <c r="JP320" s="16">
        <v>2644</v>
      </c>
      <c r="JQ320" s="16">
        <v>440</v>
      </c>
      <c r="JR320" s="16">
        <v>2646</v>
      </c>
      <c r="JS320" s="16">
        <v>633</v>
      </c>
      <c r="JT320" s="16">
        <v>0</v>
      </c>
      <c r="JU320" s="16">
        <v>3847</v>
      </c>
      <c r="JV320" s="16">
        <v>5348</v>
      </c>
      <c r="JW320" s="16">
        <v>665</v>
      </c>
      <c r="JX320" s="16">
        <v>1260</v>
      </c>
      <c r="JY320" s="16">
        <v>548</v>
      </c>
      <c r="JZ320" s="16">
        <v>63</v>
      </c>
      <c r="KA320" s="16">
        <v>54</v>
      </c>
      <c r="KB320" s="16">
        <v>6</v>
      </c>
      <c r="KC320" s="16">
        <v>19</v>
      </c>
      <c r="KD320" s="16">
        <v>3</v>
      </c>
      <c r="KE320" s="16">
        <v>11</v>
      </c>
      <c r="KF320" s="16">
        <v>430</v>
      </c>
      <c r="KG320" s="16">
        <v>107</v>
      </c>
      <c r="KH320" s="16">
        <v>17</v>
      </c>
      <c r="KI320" s="16">
        <v>51</v>
      </c>
      <c r="KJ320" s="16">
        <v>22</v>
      </c>
      <c r="KK320" s="16">
        <v>1848042</v>
      </c>
      <c r="KL320" s="16">
        <v>18515</v>
      </c>
      <c r="KM320" s="16">
        <v>43966</v>
      </c>
      <c r="KN320" s="16">
        <v>1186</v>
      </c>
      <c r="KO320" s="16">
        <v>871</v>
      </c>
      <c r="KP320" s="16">
        <v>71</v>
      </c>
      <c r="KQ320" s="16">
        <v>25633</v>
      </c>
      <c r="KR320" s="16">
        <v>2238</v>
      </c>
      <c r="KS320" s="16">
        <v>14</v>
      </c>
      <c r="KT320" s="16">
        <v>267</v>
      </c>
      <c r="KU320" s="16">
        <v>10761</v>
      </c>
      <c r="KV320" s="16">
        <v>6586</v>
      </c>
      <c r="KW320" s="16">
        <v>36092</v>
      </c>
      <c r="KX320" s="16">
        <v>977</v>
      </c>
      <c r="KY320" s="16">
        <v>41733</v>
      </c>
      <c r="KZ320" s="16">
        <v>238733</v>
      </c>
      <c r="LA320" s="16">
        <v>72167</v>
      </c>
      <c r="LB320" s="16">
        <v>8122</v>
      </c>
      <c r="LC320" s="16">
        <v>18085</v>
      </c>
      <c r="LD320" s="16">
        <v>48136</v>
      </c>
      <c r="LE320" s="16">
        <v>25880</v>
      </c>
      <c r="LF320" s="16">
        <v>2836</v>
      </c>
      <c r="LG320" s="16">
        <v>11772</v>
      </c>
      <c r="LH320" s="16">
        <v>21205</v>
      </c>
      <c r="LI320" s="16">
        <v>193</v>
      </c>
      <c r="LJ320" s="16">
        <v>7204</v>
      </c>
      <c r="LK320" s="16">
        <v>42132</v>
      </c>
      <c r="LL320" s="16">
        <v>21613</v>
      </c>
      <c r="LM320" s="16">
        <v>11474</v>
      </c>
      <c r="LN320" s="16">
        <v>155260</v>
      </c>
      <c r="LO320" s="16">
        <v>418</v>
      </c>
      <c r="LP320" s="16">
        <v>24445</v>
      </c>
      <c r="LQ320" s="16">
        <v>4977</v>
      </c>
      <c r="LR320" s="16">
        <v>33782</v>
      </c>
      <c r="LS320" s="16">
        <v>6287</v>
      </c>
      <c r="LT320" s="16">
        <v>1234922</v>
      </c>
      <c r="LU320" s="16">
        <v>5779</v>
      </c>
      <c r="LV320" s="16">
        <v>49</v>
      </c>
      <c r="LW320" s="16">
        <v>5438</v>
      </c>
      <c r="LX320" s="16">
        <v>27460</v>
      </c>
      <c r="LY320" s="16">
        <v>0</v>
      </c>
      <c r="LZ320" s="16">
        <v>18997</v>
      </c>
      <c r="MA320" s="16">
        <v>46009</v>
      </c>
      <c r="MB320" s="16">
        <v>39782</v>
      </c>
      <c r="MC320" s="16">
        <v>16761</v>
      </c>
      <c r="MD320" s="16">
        <v>24929</v>
      </c>
      <c r="ME320" s="16">
        <v>2932</v>
      </c>
      <c r="MF320" s="16">
        <v>30645</v>
      </c>
      <c r="MG320" s="16">
        <v>11774</v>
      </c>
      <c r="MH320" s="16">
        <v>739692</v>
      </c>
      <c r="MI320" s="16">
        <v>41936</v>
      </c>
      <c r="MJ320" s="16">
        <v>3746</v>
      </c>
      <c r="MK320" s="16">
        <v>10885</v>
      </c>
      <c r="ML320" s="16">
        <v>3946</v>
      </c>
      <c r="MM320" s="16">
        <v>101521</v>
      </c>
      <c r="MN320" s="16">
        <v>76868</v>
      </c>
      <c r="MO320" s="16">
        <v>7872</v>
      </c>
      <c r="MP320" s="16">
        <v>125419</v>
      </c>
      <c r="MQ320" s="16">
        <v>119106</v>
      </c>
      <c r="MR320" s="16">
        <v>5406</v>
      </c>
      <c r="MS320" s="16">
        <v>325</v>
      </c>
      <c r="MT320" s="16">
        <v>0</v>
      </c>
      <c r="MU320" s="16">
        <v>31281</v>
      </c>
      <c r="MV320" s="16">
        <v>0</v>
      </c>
      <c r="MW320" s="16">
        <v>0</v>
      </c>
      <c r="MX320" s="16">
        <v>2</v>
      </c>
      <c r="MY320" s="16">
        <v>0</v>
      </c>
      <c r="MZ320" s="16">
        <v>2</v>
      </c>
      <c r="NA320" s="16">
        <v>0</v>
      </c>
      <c r="NB320" s="16">
        <v>0</v>
      </c>
      <c r="NC320" s="16">
        <v>4</v>
      </c>
      <c r="ND320" s="16">
        <v>9911</v>
      </c>
      <c r="NE320" s="16">
        <v>821</v>
      </c>
      <c r="NF320" s="16">
        <v>23931</v>
      </c>
      <c r="NG320" s="16">
        <v>6406</v>
      </c>
      <c r="NH320" s="16">
        <v>573</v>
      </c>
      <c r="NI320" s="16">
        <v>34034</v>
      </c>
      <c r="NJ320" s="16">
        <v>12910</v>
      </c>
      <c r="NK320" s="16">
        <v>194</v>
      </c>
      <c r="NL320" s="16">
        <v>77</v>
      </c>
      <c r="NM320" s="16">
        <v>4237</v>
      </c>
      <c r="NN320" s="16">
        <v>3870</v>
      </c>
      <c r="NO320" s="16">
        <v>0</v>
      </c>
      <c r="NP320" s="16">
        <v>2969</v>
      </c>
      <c r="NQ320" s="16">
        <v>0</v>
      </c>
      <c r="NR320" s="17">
        <v>5829452</v>
      </c>
    </row>
    <row r="321" spans="1:382" ht="13.5" customHeight="1" x14ac:dyDescent="0.2">
      <c r="A321" s="2" t="s">
        <v>649</v>
      </c>
      <c r="B321" s="16">
        <v>538</v>
      </c>
      <c r="C321" s="16">
        <v>107</v>
      </c>
      <c r="D321" s="16">
        <v>162</v>
      </c>
      <c r="E321" s="16">
        <v>115</v>
      </c>
      <c r="F321" s="16">
        <v>974</v>
      </c>
      <c r="G321" s="16">
        <v>198</v>
      </c>
      <c r="H321" s="16">
        <v>6</v>
      </c>
      <c r="I321" s="16">
        <v>333</v>
      </c>
      <c r="J321" s="16">
        <v>13</v>
      </c>
      <c r="K321" s="16">
        <v>0</v>
      </c>
      <c r="L321" s="16">
        <v>46</v>
      </c>
      <c r="M321" s="16">
        <v>242</v>
      </c>
      <c r="N321" s="16">
        <v>0</v>
      </c>
      <c r="O321" s="16">
        <v>2</v>
      </c>
      <c r="P321" s="16">
        <v>238</v>
      </c>
      <c r="Q321" s="16">
        <v>692</v>
      </c>
      <c r="R321" s="16">
        <v>440</v>
      </c>
      <c r="S321" s="16">
        <v>150</v>
      </c>
      <c r="T321" s="16">
        <v>39</v>
      </c>
      <c r="U321" s="16">
        <v>44</v>
      </c>
      <c r="V321" s="16">
        <v>221</v>
      </c>
      <c r="W321" s="16">
        <v>20</v>
      </c>
      <c r="X321" s="16">
        <v>26</v>
      </c>
      <c r="Y321" s="16">
        <v>179</v>
      </c>
      <c r="Z321" s="16">
        <v>58</v>
      </c>
      <c r="AA321" s="16">
        <v>2</v>
      </c>
      <c r="AB321" s="16">
        <v>0</v>
      </c>
      <c r="AC321" s="16">
        <v>0</v>
      </c>
      <c r="AD321" s="16">
        <v>0</v>
      </c>
      <c r="AE321" s="16">
        <v>1</v>
      </c>
      <c r="AF321" s="16">
        <v>0</v>
      </c>
      <c r="AG321" s="16">
        <v>286</v>
      </c>
      <c r="AH321" s="16">
        <v>247</v>
      </c>
      <c r="AI321" s="16">
        <v>18</v>
      </c>
      <c r="AJ321" s="16">
        <v>800</v>
      </c>
      <c r="AK321" s="16">
        <v>793</v>
      </c>
      <c r="AL321" s="16">
        <v>23</v>
      </c>
      <c r="AM321" s="16">
        <v>184</v>
      </c>
      <c r="AN321" s="16">
        <v>63</v>
      </c>
      <c r="AO321" s="16">
        <v>147</v>
      </c>
      <c r="AP321" s="16">
        <v>59</v>
      </c>
      <c r="AQ321" s="16">
        <v>134</v>
      </c>
      <c r="AR321" s="16">
        <v>0</v>
      </c>
      <c r="AS321" s="16">
        <v>102</v>
      </c>
      <c r="AT321" s="16">
        <v>35</v>
      </c>
      <c r="AU321" s="16">
        <v>131</v>
      </c>
      <c r="AV321" s="16">
        <v>38</v>
      </c>
      <c r="AW321" s="16">
        <v>356</v>
      </c>
      <c r="AX321" s="16">
        <v>16</v>
      </c>
      <c r="AY321" s="16">
        <v>559</v>
      </c>
      <c r="AZ321" s="16">
        <v>157</v>
      </c>
      <c r="BA321" s="16">
        <v>436</v>
      </c>
      <c r="BB321" s="16">
        <v>108</v>
      </c>
      <c r="BC321" s="16">
        <v>367</v>
      </c>
      <c r="BD321" s="16">
        <v>12</v>
      </c>
      <c r="BE321" s="16">
        <v>44</v>
      </c>
      <c r="BF321" s="16">
        <v>137</v>
      </c>
      <c r="BG321" s="16">
        <v>26</v>
      </c>
      <c r="BH321" s="16">
        <v>142</v>
      </c>
      <c r="BI321" s="16">
        <v>164</v>
      </c>
      <c r="BJ321" s="16">
        <v>22</v>
      </c>
      <c r="BK321" s="16">
        <v>37</v>
      </c>
      <c r="BL321" s="16">
        <v>136</v>
      </c>
      <c r="BM321" s="16">
        <v>41</v>
      </c>
      <c r="BN321" s="16">
        <v>118</v>
      </c>
      <c r="BO321" s="16">
        <v>72</v>
      </c>
      <c r="BP321" s="16">
        <v>29</v>
      </c>
      <c r="BQ321" s="16">
        <v>40</v>
      </c>
      <c r="BR321" s="16">
        <v>7</v>
      </c>
      <c r="BS321" s="16">
        <v>122</v>
      </c>
      <c r="BT321" s="16">
        <v>3</v>
      </c>
      <c r="BU321" s="16">
        <v>3</v>
      </c>
      <c r="BV321" s="16">
        <v>3</v>
      </c>
      <c r="BW321" s="16">
        <v>88</v>
      </c>
      <c r="BX321" s="16">
        <v>8</v>
      </c>
      <c r="BY321" s="16">
        <v>0</v>
      </c>
      <c r="BZ321" s="16">
        <v>18</v>
      </c>
      <c r="CA321" s="16">
        <v>17</v>
      </c>
      <c r="CB321" s="16">
        <v>9</v>
      </c>
      <c r="CC321" s="16">
        <v>507</v>
      </c>
      <c r="CD321" s="16">
        <v>117</v>
      </c>
      <c r="CE321" s="16">
        <v>46</v>
      </c>
      <c r="CF321" s="16">
        <v>92</v>
      </c>
      <c r="CG321" s="16">
        <v>35</v>
      </c>
      <c r="CH321" s="16">
        <v>68</v>
      </c>
      <c r="CI321" s="16">
        <v>53</v>
      </c>
      <c r="CJ321" s="16">
        <v>124</v>
      </c>
      <c r="CK321" s="16">
        <v>363</v>
      </c>
      <c r="CL321" s="16">
        <v>274</v>
      </c>
      <c r="CM321" s="16">
        <v>59</v>
      </c>
      <c r="CN321" s="16">
        <v>32</v>
      </c>
      <c r="CO321" s="16">
        <v>156</v>
      </c>
      <c r="CP321" s="16">
        <v>163</v>
      </c>
      <c r="CQ321" s="16">
        <v>599</v>
      </c>
      <c r="CR321" s="16">
        <v>71</v>
      </c>
      <c r="CS321" s="16">
        <v>342</v>
      </c>
      <c r="CT321" s="16">
        <v>353</v>
      </c>
      <c r="CU321" s="16">
        <v>1129</v>
      </c>
      <c r="CV321" s="16">
        <v>689</v>
      </c>
      <c r="CW321" s="16">
        <v>3746</v>
      </c>
      <c r="CX321" s="16">
        <v>3490</v>
      </c>
      <c r="CY321" s="16">
        <v>105</v>
      </c>
      <c r="CZ321" s="16">
        <v>678</v>
      </c>
      <c r="DA321" s="16">
        <v>12</v>
      </c>
      <c r="DB321" s="16">
        <v>216</v>
      </c>
      <c r="DC321" s="16">
        <v>77</v>
      </c>
      <c r="DD321" s="16">
        <v>320</v>
      </c>
      <c r="DE321" s="16">
        <v>23</v>
      </c>
      <c r="DF321" s="16">
        <v>256</v>
      </c>
      <c r="DG321" s="16">
        <v>117</v>
      </c>
      <c r="DH321" s="16">
        <v>182</v>
      </c>
      <c r="DI321" s="16">
        <v>60</v>
      </c>
      <c r="DJ321" s="16">
        <v>2319</v>
      </c>
      <c r="DK321" s="16">
        <v>131</v>
      </c>
      <c r="DL321" s="16">
        <v>149</v>
      </c>
      <c r="DM321" s="16">
        <v>951</v>
      </c>
      <c r="DN321" s="16">
        <v>104</v>
      </c>
      <c r="DO321" s="16">
        <v>71</v>
      </c>
      <c r="DP321" s="16">
        <v>186</v>
      </c>
      <c r="DQ321" s="16">
        <v>34</v>
      </c>
      <c r="DR321" s="16">
        <v>81</v>
      </c>
      <c r="DS321" s="16">
        <v>780</v>
      </c>
      <c r="DT321" s="16">
        <v>65</v>
      </c>
      <c r="DU321" s="16">
        <v>47</v>
      </c>
      <c r="DV321" s="16">
        <v>117</v>
      </c>
      <c r="DW321" s="16">
        <v>564</v>
      </c>
      <c r="DX321" s="16">
        <v>303</v>
      </c>
      <c r="DY321" s="16">
        <v>304</v>
      </c>
      <c r="DZ321" s="16">
        <v>1252</v>
      </c>
      <c r="EA321" s="16">
        <v>635</v>
      </c>
      <c r="EB321" s="16">
        <v>20</v>
      </c>
      <c r="EC321" s="16">
        <v>273</v>
      </c>
      <c r="ED321" s="16">
        <v>28</v>
      </c>
      <c r="EE321" s="16">
        <v>1</v>
      </c>
      <c r="EF321" s="16">
        <v>8</v>
      </c>
      <c r="EG321" s="16">
        <v>241</v>
      </c>
      <c r="EH321" s="16">
        <v>31</v>
      </c>
      <c r="EI321" s="16">
        <v>7</v>
      </c>
      <c r="EJ321" s="16">
        <v>13</v>
      </c>
      <c r="EK321" s="16">
        <v>18</v>
      </c>
      <c r="EL321" s="16">
        <v>5</v>
      </c>
      <c r="EM321" s="16">
        <v>41</v>
      </c>
      <c r="EN321" s="16">
        <v>275</v>
      </c>
      <c r="EO321" s="16">
        <v>101</v>
      </c>
      <c r="EP321" s="16">
        <v>22</v>
      </c>
      <c r="EQ321" s="16">
        <v>37</v>
      </c>
      <c r="ER321" s="16">
        <v>12</v>
      </c>
      <c r="ES321" s="16">
        <v>27</v>
      </c>
      <c r="ET321" s="16">
        <v>215</v>
      </c>
      <c r="EU321" s="16">
        <v>12</v>
      </c>
      <c r="EV321" s="16">
        <v>138</v>
      </c>
      <c r="EW321" s="16">
        <v>2</v>
      </c>
      <c r="EX321" s="16">
        <v>7517</v>
      </c>
      <c r="EY321" s="16">
        <v>133</v>
      </c>
      <c r="EZ321" s="16">
        <v>30</v>
      </c>
      <c r="FA321" s="16">
        <v>49</v>
      </c>
      <c r="FB321" s="16">
        <v>247</v>
      </c>
      <c r="FC321" s="16">
        <v>3</v>
      </c>
      <c r="FD321" s="16">
        <v>460</v>
      </c>
      <c r="FE321" s="16">
        <v>170</v>
      </c>
      <c r="FF321" s="16">
        <v>66</v>
      </c>
      <c r="FG321" s="16">
        <v>201</v>
      </c>
      <c r="FH321" s="16">
        <v>2</v>
      </c>
      <c r="FI321" s="16">
        <v>85</v>
      </c>
      <c r="FJ321" s="16">
        <v>32</v>
      </c>
      <c r="FK321" s="16">
        <v>1059</v>
      </c>
      <c r="FL321" s="16">
        <v>5</v>
      </c>
      <c r="FM321" s="16">
        <v>73</v>
      </c>
      <c r="FN321" s="16">
        <v>558</v>
      </c>
      <c r="FO321" s="16">
        <v>84</v>
      </c>
      <c r="FP321" s="16">
        <v>309</v>
      </c>
      <c r="FQ321" s="16">
        <v>380</v>
      </c>
      <c r="FR321" s="16">
        <v>676</v>
      </c>
      <c r="FS321" s="16">
        <v>114</v>
      </c>
      <c r="FT321" s="16">
        <v>137</v>
      </c>
      <c r="FU321" s="16">
        <v>359</v>
      </c>
      <c r="FV321" s="16">
        <v>614</v>
      </c>
      <c r="FW321" s="16">
        <v>434</v>
      </c>
      <c r="FX321" s="16">
        <v>1122</v>
      </c>
      <c r="FY321" s="16">
        <v>93</v>
      </c>
      <c r="FZ321" s="16">
        <v>428</v>
      </c>
      <c r="GA321" s="16">
        <v>38</v>
      </c>
      <c r="GB321" s="16">
        <v>1331</v>
      </c>
      <c r="GC321" s="16">
        <v>123</v>
      </c>
      <c r="GD321" s="16">
        <v>718</v>
      </c>
      <c r="GE321" s="16">
        <v>29</v>
      </c>
      <c r="GF321" s="16">
        <v>1491</v>
      </c>
      <c r="GG321" s="16">
        <v>1</v>
      </c>
      <c r="GH321" s="16">
        <v>359</v>
      </c>
      <c r="GI321" s="16">
        <v>45</v>
      </c>
      <c r="GJ321" s="16">
        <v>121</v>
      </c>
      <c r="GK321" s="16">
        <v>48</v>
      </c>
      <c r="GL321" s="16">
        <v>13</v>
      </c>
      <c r="GM321" s="16">
        <v>6</v>
      </c>
      <c r="GN321" s="16">
        <v>44</v>
      </c>
      <c r="GO321" s="16">
        <v>123</v>
      </c>
      <c r="GP321" s="16">
        <v>11</v>
      </c>
      <c r="GQ321" s="16">
        <v>0</v>
      </c>
      <c r="GR321" s="16">
        <v>41</v>
      </c>
      <c r="GS321" s="16">
        <v>3</v>
      </c>
      <c r="GT321" s="16">
        <v>7</v>
      </c>
      <c r="GU321" s="16">
        <v>101</v>
      </c>
      <c r="GV321" s="16">
        <v>265</v>
      </c>
      <c r="GW321" s="16">
        <v>106</v>
      </c>
      <c r="GX321" s="16">
        <v>23</v>
      </c>
      <c r="GY321" s="16">
        <v>2</v>
      </c>
      <c r="GZ321" s="16">
        <v>271</v>
      </c>
      <c r="HA321" s="16">
        <v>103</v>
      </c>
      <c r="HB321" s="16">
        <v>54</v>
      </c>
      <c r="HC321" s="16">
        <v>339</v>
      </c>
      <c r="HD321" s="16">
        <v>328</v>
      </c>
      <c r="HE321" s="16">
        <v>26</v>
      </c>
      <c r="HF321" s="16">
        <v>621</v>
      </c>
      <c r="HG321" s="16">
        <v>55</v>
      </c>
      <c r="HH321" s="16">
        <v>51</v>
      </c>
      <c r="HI321" s="16">
        <v>137</v>
      </c>
      <c r="HJ321" s="16">
        <v>24</v>
      </c>
      <c r="HK321" s="16">
        <v>71</v>
      </c>
      <c r="HL321" s="16">
        <v>558</v>
      </c>
      <c r="HM321" s="16">
        <v>146</v>
      </c>
      <c r="HN321" s="16">
        <v>428</v>
      </c>
      <c r="HO321" s="16">
        <v>175</v>
      </c>
      <c r="HP321" s="16">
        <v>146</v>
      </c>
      <c r="HQ321" s="16">
        <v>232</v>
      </c>
      <c r="HR321" s="16">
        <v>211</v>
      </c>
      <c r="HS321" s="16">
        <v>129</v>
      </c>
      <c r="HT321" s="16">
        <v>10</v>
      </c>
      <c r="HU321" s="16">
        <v>204</v>
      </c>
      <c r="HV321" s="16">
        <v>82</v>
      </c>
      <c r="HW321" s="16">
        <v>136</v>
      </c>
      <c r="HX321" s="16">
        <v>173</v>
      </c>
      <c r="HY321" s="16">
        <v>289</v>
      </c>
      <c r="HZ321" s="16">
        <v>387</v>
      </c>
      <c r="IA321" s="16">
        <v>100</v>
      </c>
      <c r="IB321" s="16">
        <v>17</v>
      </c>
      <c r="IC321" s="16">
        <v>10</v>
      </c>
      <c r="ID321" s="16">
        <v>42</v>
      </c>
      <c r="IE321" s="16">
        <v>5</v>
      </c>
      <c r="IF321" s="16">
        <v>26</v>
      </c>
      <c r="IG321" s="16">
        <v>330</v>
      </c>
      <c r="IH321" s="16">
        <v>400</v>
      </c>
      <c r="II321" s="16">
        <v>54</v>
      </c>
      <c r="IJ321" s="16">
        <v>49</v>
      </c>
      <c r="IK321" s="16">
        <v>372</v>
      </c>
      <c r="IL321" s="16">
        <v>101</v>
      </c>
      <c r="IM321" s="16">
        <v>2</v>
      </c>
      <c r="IN321" s="16">
        <v>328</v>
      </c>
      <c r="IO321" s="16">
        <v>470</v>
      </c>
      <c r="IP321" s="16">
        <v>14</v>
      </c>
      <c r="IQ321" s="16">
        <v>9</v>
      </c>
      <c r="IR321" s="16">
        <v>13</v>
      </c>
      <c r="IS321" s="16">
        <v>22</v>
      </c>
      <c r="IT321" s="16">
        <v>11</v>
      </c>
      <c r="IU321" s="16">
        <v>3</v>
      </c>
      <c r="IV321" s="16">
        <v>62</v>
      </c>
      <c r="IW321" s="16">
        <v>289</v>
      </c>
      <c r="IX321" s="16">
        <v>74</v>
      </c>
      <c r="IY321" s="16">
        <v>324</v>
      </c>
      <c r="IZ321" s="16">
        <v>2</v>
      </c>
      <c r="JA321" s="16">
        <v>48</v>
      </c>
      <c r="JB321" s="16">
        <v>108</v>
      </c>
      <c r="JC321" s="16">
        <v>278</v>
      </c>
      <c r="JD321" s="16">
        <v>10</v>
      </c>
      <c r="JE321" s="16">
        <v>164</v>
      </c>
      <c r="JF321" s="16">
        <v>1504</v>
      </c>
      <c r="JG321" s="16">
        <v>4839</v>
      </c>
      <c r="JH321" s="16">
        <v>178</v>
      </c>
      <c r="JI321" s="16">
        <v>8</v>
      </c>
      <c r="JJ321" s="16">
        <v>643</v>
      </c>
      <c r="JK321" s="16">
        <v>117</v>
      </c>
      <c r="JL321" s="16">
        <v>22</v>
      </c>
      <c r="JM321" s="16">
        <v>29</v>
      </c>
      <c r="JN321" s="16">
        <v>471</v>
      </c>
      <c r="JO321" s="16">
        <v>452</v>
      </c>
      <c r="JP321" s="16">
        <v>3723</v>
      </c>
      <c r="JQ321" s="16">
        <v>114</v>
      </c>
      <c r="JR321" s="16">
        <v>151</v>
      </c>
      <c r="JS321" s="16">
        <v>198</v>
      </c>
      <c r="JT321" s="16">
        <v>0</v>
      </c>
      <c r="JU321" s="16">
        <v>844</v>
      </c>
      <c r="JV321" s="16">
        <v>234</v>
      </c>
      <c r="JW321" s="16">
        <v>291</v>
      </c>
      <c r="JX321" s="16">
        <v>396</v>
      </c>
      <c r="JY321" s="16">
        <v>317</v>
      </c>
      <c r="JZ321" s="16">
        <v>55</v>
      </c>
      <c r="KA321" s="16">
        <v>57</v>
      </c>
      <c r="KB321" s="16">
        <v>6</v>
      </c>
      <c r="KC321" s="16">
        <v>17</v>
      </c>
      <c r="KD321" s="16">
        <v>14</v>
      </c>
      <c r="KE321" s="16">
        <v>6</v>
      </c>
      <c r="KF321" s="16">
        <v>156</v>
      </c>
      <c r="KG321" s="16">
        <v>94</v>
      </c>
      <c r="KH321" s="16">
        <v>18</v>
      </c>
      <c r="KI321" s="16">
        <v>29</v>
      </c>
      <c r="KJ321" s="16">
        <v>7</v>
      </c>
      <c r="KK321" s="16">
        <v>184229</v>
      </c>
      <c r="KL321" s="16">
        <v>2</v>
      </c>
      <c r="KM321" s="16">
        <v>139</v>
      </c>
      <c r="KN321" s="16">
        <v>56</v>
      </c>
      <c r="KO321" s="16">
        <v>100</v>
      </c>
      <c r="KP321" s="16">
        <v>34</v>
      </c>
      <c r="KQ321" s="16">
        <v>32</v>
      </c>
      <c r="KR321" s="16">
        <v>305</v>
      </c>
      <c r="KS321" s="16">
        <v>40</v>
      </c>
      <c r="KT321" s="16">
        <v>252</v>
      </c>
      <c r="KU321" s="16">
        <v>407</v>
      </c>
      <c r="KV321" s="16">
        <v>449</v>
      </c>
      <c r="KW321" s="16">
        <v>738</v>
      </c>
      <c r="KX321" s="16">
        <v>115</v>
      </c>
      <c r="KY321" s="16">
        <v>684</v>
      </c>
      <c r="KZ321" s="16">
        <v>48035</v>
      </c>
      <c r="LA321" s="16">
        <v>25244</v>
      </c>
      <c r="LB321" s="16">
        <v>4308</v>
      </c>
      <c r="LC321" s="16">
        <v>18880</v>
      </c>
      <c r="LD321" s="16">
        <v>121919</v>
      </c>
      <c r="LE321" s="16">
        <v>219</v>
      </c>
      <c r="LF321" s="16">
        <v>117</v>
      </c>
      <c r="LG321" s="16">
        <v>4</v>
      </c>
      <c r="LH321" s="16">
        <v>211</v>
      </c>
      <c r="LI321" s="16">
        <v>261150</v>
      </c>
      <c r="LJ321" s="16">
        <v>793249</v>
      </c>
      <c r="LK321" s="16">
        <v>811055</v>
      </c>
      <c r="LL321" s="16">
        <v>499</v>
      </c>
      <c r="LM321" s="16">
        <v>4347</v>
      </c>
      <c r="LN321" s="16">
        <v>2208</v>
      </c>
      <c r="LO321" s="16">
        <v>17</v>
      </c>
      <c r="LP321" s="16">
        <v>420</v>
      </c>
      <c r="LQ321" s="16">
        <v>119</v>
      </c>
      <c r="LR321" s="16">
        <v>2014</v>
      </c>
      <c r="LS321" s="16">
        <v>542</v>
      </c>
      <c r="LT321" s="16">
        <v>983</v>
      </c>
      <c r="LU321" s="16">
        <v>223</v>
      </c>
      <c r="LV321" s="16">
        <v>101</v>
      </c>
      <c r="LW321" s="16">
        <v>188</v>
      </c>
      <c r="LX321" s="16">
        <v>1372</v>
      </c>
      <c r="LY321" s="16">
        <v>17198</v>
      </c>
      <c r="LZ321" s="16">
        <v>1645</v>
      </c>
      <c r="MA321" s="16">
        <v>4814</v>
      </c>
      <c r="MB321" s="16">
        <v>13718</v>
      </c>
      <c r="MC321" s="16">
        <v>0</v>
      </c>
      <c r="MD321" s="16">
        <v>199</v>
      </c>
      <c r="ME321" s="16">
        <v>60</v>
      </c>
      <c r="MF321" s="16">
        <v>2176</v>
      </c>
      <c r="MG321" s="16">
        <v>1850</v>
      </c>
      <c r="MH321" s="16">
        <v>69180</v>
      </c>
      <c r="MI321" s="16">
        <v>995616</v>
      </c>
      <c r="MJ321" s="16">
        <v>419</v>
      </c>
      <c r="MK321" s="16">
        <v>1089</v>
      </c>
      <c r="ML321" s="16">
        <v>211</v>
      </c>
      <c r="MM321" s="16">
        <v>2243</v>
      </c>
      <c r="MN321" s="16">
        <v>3680</v>
      </c>
      <c r="MO321" s="16">
        <v>1463</v>
      </c>
      <c r="MP321" s="16">
        <v>2140</v>
      </c>
      <c r="MQ321" s="16">
        <v>3582</v>
      </c>
      <c r="MR321" s="16">
        <v>12515</v>
      </c>
      <c r="MS321" s="16">
        <v>8944</v>
      </c>
      <c r="MT321" s="16">
        <v>802</v>
      </c>
      <c r="MU321" s="16">
        <v>16686</v>
      </c>
      <c r="MV321" s="16">
        <v>546</v>
      </c>
      <c r="MW321" s="16">
        <v>9684</v>
      </c>
      <c r="MX321" s="16">
        <v>763</v>
      </c>
      <c r="MY321" s="16">
        <v>162</v>
      </c>
      <c r="MZ321" s="16">
        <v>5249</v>
      </c>
      <c r="NA321" s="16">
        <v>3419</v>
      </c>
      <c r="NB321" s="16">
        <v>1000</v>
      </c>
      <c r="NC321" s="16">
        <v>4841</v>
      </c>
      <c r="ND321" s="16">
        <v>3660</v>
      </c>
      <c r="NE321" s="16">
        <v>5633</v>
      </c>
      <c r="NF321" s="16">
        <v>5638</v>
      </c>
      <c r="NG321" s="16">
        <v>4098</v>
      </c>
      <c r="NH321" s="16">
        <v>133</v>
      </c>
      <c r="NI321" s="16">
        <v>5293</v>
      </c>
      <c r="NJ321" s="16">
        <v>112265</v>
      </c>
      <c r="NK321" s="16">
        <v>1381</v>
      </c>
      <c r="NL321" s="16">
        <v>512</v>
      </c>
      <c r="NM321" s="16">
        <v>4193</v>
      </c>
      <c r="NN321" s="16">
        <v>4749</v>
      </c>
      <c r="NO321" s="16">
        <v>0</v>
      </c>
      <c r="NP321" s="16">
        <v>11316</v>
      </c>
      <c r="NQ321" s="16">
        <v>31</v>
      </c>
      <c r="NR321" s="17">
        <v>3709781</v>
      </c>
    </row>
    <row r="322" spans="1:382" ht="13.5" customHeight="1" x14ac:dyDescent="0.2">
      <c r="A322" s="2" t="s">
        <v>651</v>
      </c>
      <c r="B322" s="16">
        <v>975</v>
      </c>
      <c r="C322" s="16">
        <v>206</v>
      </c>
      <c r="D322" s="16">
        <v>252</v>
      </c>
      <c r="E322" s="16">
        <v>179</v>
      </c>
      <c r="F322" s="16">
        <v>1736</v>
      </c>
      <c r="G322" s="16">
        <v>376</v>
      </c>
      <c r="H322" s="16">
        <v>12</v>
      </c>
      <c r="I322" s="16">
        <v>586</v>
      </c>
      <c r="J322" s="16">
        <v>24</v>
      </c>
      <c r="K322" s="16">
        <v>0</v>
      </c>
      <c r="L322" s="16">
        <v>76</v>
      </c>
      <c r="M322" s="16">
        <v>424</v>
      </c>
      <c r="N322" s="16">
        <v>1</v>
      </c>
      <c r="O322" s="16">
        <v>4</v>
      </c>
      <c r="P322" s="16">
        <v>378</v>
      </c>
      <c r="Q322" s="16">
        <v>875</v>
      </c>
      <c r="R322" s="16">
        <v>384</v>
      </c>
      <c r="S322" s="16">
        <v>206</v>
      </c>
      <c r="T322" s="16">
        <v>26</v>
      </c>
      <c r="U322" s="16">
        <v>5</v>
      </c>
      <c r="V322" s="16">
        <v>88</v>
      </c>
      <c r="W322" s="16">
        <v>37</v>
      </c>
      <c r="X322" s="16">
        <v>14</v>
      </c>
      <c r="Y322" s="16">
        <v>149</v>
      </c>
      <c r="Z322" s="16">
        <v>1514</v>
      </c>
      <c r="AA322" s="16">
        <v>2</v>
      </c>
      <c r="AB322" s="16">
        <v>0</v>
      </c>
      <c r="AC322" s="16">
        <v>0</v>
      </c>
      <c r="AD322" s="16">
        <v>0</v>
      </c>
      <c r="AE322" s="16">
        <v>2</v>
      </c>
      <c r="AF322" s="16">
        <v>0</v>
      </c>
      <c r="AG322" s="16">
        <v>273</v>
      </c>
      <c r="AH322" s="16">
        <v>263</v>
      </c>
      <c r="AI322" s="16">
        <v>19</v>
      </c>
      <c r="AJ322" s="16">
        <v>90</v>
      </c>
      <c r="AK322" s="16">
        <v>222</v>
      </c>
      <c r="AL322" s="16">
        <v>25</v>
      </c>
      <c r="AM322" s="16">
        <v>178</v>
      </c>
      <c r="AN322" s="16">
        <v>60</v>
      </c>
      <c r="AO322" s="16">
        <v>40</v>
      </c>
      <c r="AP322" s="16">
        <v>3</v>
      </c>
      <c r="AQ322" s="16">
        <v>167</v>
      </c>
      <c r="AR322" s="16">
        <v>0</v>
      </c>
      <c r="AS322" s="16">
        <v>145</v>
      </c>
      <c r="AT322" s="16">
        <v>19</v>
      </c>
      <c r="AU322" s="16">
        <v>174</v>
      </c>
      <c r="AV322" s="16">
        <v>21</v>
      </c>
      <c r="AW322" s="16">
        <v>228</v>
      </c>
      <c r="AX322" s="16">
        <v>6</v>
      </c>
      <c r="AY322" s="16">
        <v>157</v>
      </c>
      <c r="AZ322" s="16">
        <v>119</v>
      </c>
      <c r="BA322" s="16">
        <v>142</v>
      </c>
      <c r="BB322" s="16">
        <v>70</v>
      </c>
      <c r="BC322" s="16">
        <v>104</v>
      </c>
      <c r="BD322" s="16">
        <v>13</v>
      </c>
      <c r="BE322" s="16">
        <v>52</v>
      </c>
      <c r="BF322" s="16">
        <v>201</v>
      </c>
      <c r="BG322" s="16">
        <v>12</v>
      </c>
      <c r="BH322" s="16">
        <v>109</v>
      </c>
      <c r="BI322" s="16">
        <v>245</v>
      </c>
      <c r="BJ322" s="16">
        <v>27</v>
      </c>
      <c r="BK322" s="16">
        <v>18</v>
      </c>
      <c r="BL322" s="16">
        <v>110</v>
      </c>
      <c r="BM322" s="16">
        <v>22</v>
      </c>
      <c r="BN322" s="16">
        <v>64</v>
      </c>
      <c r="BO322" s="16">
        <v>65</v>
      </c>
      <c r="BP322" s="16">
        <v>12</v>
      </c>
      <c r="BQ322" s="16">
        <v>25</v>
      </c>
      <c r="BR322" s="16">
        <v>9</v>
      </c>
      <c r="BS322" s="16">
        <v>115</v>
      </c>
      <c r="BT322" s="16">
        <v>3</v>
      </c>
      <c r="BU322" s="16">
        <v>30</v>
      </c>
      <c r="BV322" s="16">
        <v>10</v>
      </c>
      <c r="BW322" s="16">
        <v>93</v>
      </c>
      <c r="BX322" s="16">
        <v>6</v>
      </c>
      <c r="BY322" s="16">
        <v>0</v>
      </c>
      <c r="BZ322" s="16">
        <v>13</v>
      </c>
      <c r="CA322" s="16">
        <v>22</v>
      </c>
      <c r="CB322" s="16">
        <v>11</v>
      </c>
      <c r="CC322" s="16">
        <v>186</v>
      </c>
      <c r="CD322" s="16">
        <v>52</v>
      </c>
      <c r="CE322" s="16">
        <v>51</v>
      </c>
      <c r="CF322" s="16">
        <v>63</v>
      </c>
      <c r="CG322" s="16">
        <v>19</v>
      </c>
      <c r="CH322" s="16">
        <v>55</v>
      </c>
      <c r="CI322" s="16">
        <v>54</v>
      </c>
      <c r="CJ322" s="16">
        <v>120</v>
      </c>
      <c r="CK322" s="16">
        <v>352</v>
      </c>
      <c r="CL322" s="16">
        <v>201</v>
      </c>
      <c r="CM322" s="16">
        <v>39</v>
      </c>
      <c r="CN322" s="16">
        <v>34</v>
      </c>
      <c r="CO322" s="16">
        <v>220</v>
      </c>
      <c r="CP322" s="16">
        <v>240</v>
      </c>
      <c r="CQ322" s="16">
        <v>601</v>
      </c>
      <c r="CR322" s="16">
        <v>52</v>
      </c>
      <c r="CS322" s="16">
        <v>187</v>
      </c>
      <c r="CT322" s="16">
        <v>127</v>
      </c>
      <c r="CU322" s="16">
        <v>303</v>
      </c>
      <c r="CV322" s="16">
        <v>293</v>
      </c>
      <c r="CW322" s="16">
        <v>1381</v>
      </c>
      <c r="CX322" s="16">
        <v>1225</v>
      </c>
      <c r="CY322" s="16">
        <v>59</v>
      </c>
      <c r="CZ322" s="16">
        <v>335</v>
      </c>
      <c r="DA322" s="16">
        <v>16</v>
      </c>
      <c r="DB322" s="16">
        <v>161</v>
      </c>
      <c r="DC322" s="16">
        <v>122</v>
      </c>
      <c r="DD322" s="16">
        <v>392</v>
      </c>
      <c r="DE322" s="16">
        <v>29</v>
      </c>
      <c r="DF322" s="16">
        <v>260</v>
      </c>
      <c r="DG322" s="16">
        <v>134</v>
      </c>
      <c r="DH322" s="16">
        <v>193</v>
      </c>
      <c r="DI322" s="16">
        <v>27</v>
      </c>
      <c r="DJ322" s="16">
        <v>1939</v>
      </c>
      <c r="DK322" s="16">
        <v>131</v>
      </c>
      <c r="DL322" s="16">
        <v>168</v>
      </c>
      <c r="DM322" s="16">
        <v>1392</v>
      </c>
      <c r="DN322" s="16">
        <v>84</v>
      </c>
      <c r="DO322" s="16">
        <v>72</v>
      </c>
      <c r="DP322" s="16">
        <v>217</v>
      </c>
      <c r="DQ322" s="16">
        <v>24</v>
      </c>
      <c r="DR322" s="16">
        <v>89</v>
      </c>
      <c r="DS322" s="16">
        <v>1107</v>
      </c>
      <c r="DT322" s="16">
        <v>75</v>
      </c>
      <c r="DU322" s="16">
        <v>41</v>
      </c>
      <c r="DV322" s="16">
        <v>105</v>
      </c>
      <c r="DW322" s="16">
        <v>469</v>
      </c>
      <c r="DX322" s="16">
        <v>219</v>
      </c>
      <c r="DY322" s="16">
        <v>216</v>
      </c>
      <c r="DZ322" s="16">
        <v>699</v>
      </c>
      <c r="EA322" s="16">
        <v>344</v>
      </c>
      <c r="EB322" s="16">
        <v>18</v>
      </c>
      <c r="EC322" s="16">
        <v>196</v>
      </c>
      <c r="ED322" s="16">
        <v>19</v>
      </c>
      <c r="EE322" s="16">
        <v>1</v>
      </c>
      <c r="EF322" s="16">
        <v>8</v>
      </c>
      <c r="EG322" s="16">
        <v>188</v>
      </c>
      <c r="EH322" s="16">
        <v>37</v>
      </c>
      <c r="EI322" s="16">
        <v>10</v>
      </c>
      <c r="EJ322" s="16">
        <v>13</v>
      </c>
      <c r="EK322" s="16">
        <v>21</v>
      </c>
      <c r="EL322" s="16">
        <v>4</v>
      </c>
      <c r="EM322" s="16">
        <v>59</v>
      </c>
      <c r="EN322" s="16">
        <v>241</v>
      </c>
      <c r="EO322" s="16">
        <v>91</v>
      </c>
      <c r="EP322" s="16">
        <v>14</v>
      </c>
      <c r="EQ322" s="16">
        <v>33</v>
      </c>
      <c r="ER322" s="16">
        <v>10</v>
      </c>
      <c r="ES322" s="16">
        <v>10</v>
      </c>
      <c r="ET322" s="16">
        <v>260</v>
      </c>
      <c r="EU322" s="16">
        <v>17</v>
      </c>
      <c r="EV322" s="16">
        <v>0</v>
      </c>
      <c r="EW322" s="16">
        <v>18</v>
      </c>
      <c r="EX322" s="16">
        <v>1694</v>
      </c>
      <c r="EY322" s="16">
        <v>166</v>
      </c>
      <c r="EZ322" s="16">
        <v>13</v>
      </c>
      <c r="FA322" s="16">
        <v>38</v>
      </c>
      <c r="FB322" s="16">
        <v>149</v>
      </c>
      <c r="FC322" s="16">
        <v>4</v>
      </c>
      <c r="FD322" s="16">
        <v>99</v>
      </c>
      <c r="FE322" s="16">
        <v>46</v>
      </c>
      <c r="FF322" s="16">
        <v>8</v>
      </c>
      <c r="FG322" s="16">
        <v>12</v>
      </c>
      <c r="FH322" s="16">
        <v>1</v>
      </c>
      <c r="FI322" s="16">
        <v>39</v>
      </c>
      <c r="FJ322" s="16">
        <v>5</v>
      </c>
      <c r="FK322" s="16">
        <v>99</v>
      </c>
      <c r="FL322" s="16">
        <v>3</v>
      </c>
      <c r="FM322" s="16">
        <v>24</v>
      </c>
      <c r="FN322" s="16">
        <v>150</v>
      </c>
      <c r="FO322" s="16">
        <v>1</v>
      </c>
      <c r="FP322" s="16">
        <v>201</v>
      </c>
      <c r="FQ322" s="16">
        <v>170</v>
      </c>
      <c r="FR322" s="16">
        <v>375</v>
      </c>
      <c r="FS322" s="16">
        <v>97</v>
      </c>
      <c r="FT322" s="16">
        <v>155</v>
      </c>
      <c r="FU322" s="16">
        <v>198</v>
      </c>
      <c r="FV322" s="16">
        <v>333</v>
      </c>
      <c r="FW322" s="16">
        <v>511</v>
      </c>
      <c r="FX322" s="16">
        <v>783</v>
      </c>
      <c r="FY322" s="16">
        <v>72</v>
      </c>
      <c r="FZ322" s="16">
        <v>481</v>
      </c>
      <c r="GA322" s="16">
        <v>46</v>
      </c>
      <c r="GB322" s="16">
        <v>1144</v>
      </c>
      <c r="GC322" s="16">
        <v>105</v>
      </c>
      <c r="GD322" s="16">
        <v>775</v>
      </c>
      <c r="GE322" s="16">
        <v>16</v>
      </c>
      <c r="GF322" s="16">
        <v>1805</v>
      </c>
      <c r="GG322" s="16">
        <v>1</v>
      </c>
      <c r="GH322" s="16">
        <v>451</v>
      </c>
      <c r="GI322" s="16">
        <v>37</v>
      </c>
      <c r="GJ322" s="16">
        <v>91</v>
      </c>
      <c r="GK322" s="16">
        <v>58</v>
      </c>
      <c r="GL322" s="16">
        <v>176</v>
      </c>
      <c r="GM322" s="16">
        <v>8</v>
      </c>
      <c r="GN322" s="16">
        <v>73</v>
      </c>
      <c r="GO322" s="16">
        <v>525</v>
      </c>
      <c r="GP322" s="16">
        <v>15</v>
      </c>
      <c r="GQ322" s="16">
        <v>0</v>
      </c>
      <c r="GR322" s="16">
        <v>41</v>
      </c>
      <c r="GS322" s="16">
        <v>209</v>
      </c>
      <c r="GT322" s="16">
        <v>9</v>
      </c>
      <c r="GU322" s="16">
        <v>130</v>
      </c>
      <c r="GV322" s="16">
        <v>264</v>
      </c>
      <c r="GW322" s="16">
        <v>202</v>
      </c>
      <c r="GX322" s="16">
        <v>25</v>
      </c>
      <c r="GY322" s="16">
        <v>22</v>
      </c>
      <c r="GZ322" s="16">
        <v>217</v>
      </c>
      <c r="HA322" s="16">
        <v>79</v>
      </c>
      <c r="HB322" s="16">
        <v>41</v>
      </c>
      <c r="HC322" s="16">
        <v>242</v>
      </c>
      <c r="HD322" s="16">
        <v>205</v>
      </c>
      <c r="HE322" s="16">
        <v>5</v>
      </c>
      <c r="HF322" s="16">
        <v>242</v>
      </c>
      <c r="HG322" s="16">
        <v>59</v>
      </c>
      <c r="HH322" s="16">
        <v>62</v>
      </c>
      <c r="HI322" s="16">
        <v>147</v>
      </c>
      <c r="HJ322" s="16">
        <v>23</v>
      </c>
      <c r="HK322" s="16">
        <v>48</v>
      </c>
      <c r="HL322" s="16">
        <v>284</v>
      </c>
      <c r="HM322" s="16">
        <v>91</v>
      </c>
      <c r="HN322" s="16">
        <v>322</v>
      </c>
      <c r="HO322" s="16">
        <v>163</v>
      </c>
      <c r="HP322" s="16">
        <v>122</v>
      </c>
      <c r="HQ322" s="16">
        <v>190</v>
      </c>
      <c r="HR322" s="16">
        <v>188</v>
      </c>
      <c r="HS322" s="16">
        <v>119</v>
      </c>
      <c r="HT322" s="16">
        <v>18</v>
      </c>
      <c r="HU322" s="16">
        <v>130</v>
      </c>
      <c r="HV322" s="16">
        <v>70</v>
      </c>
      <c r="HW322" s="16">
        <v>139</v>
      </c>
      <c r="HX322" s="16">
        <v>190</v>
      </c>
      <c r="HY322" s="16">
        <v>284</v>
      </c>
      <c r="HZ322" s="16">
        <v>367</v>
      </c>
      <c r="IA322" s="16">
        <v>78</v>
      </c>
      <c r="IB322" s="16">
        <v>11</v>
      </c>
      <c r="IC322" s="16">
        <v>13</v>
      </c>
      <c r="ID322" s="16">
        <v>17</v>
      </c>
      <c r="IE322" s="16">
        <v>7</v>
      </c>
      <c r="IF322" s="16">
        <v>20</v>
      </c>
      <c r="IG322" s="16">
        <v>240</v>
      </c>
      <c r="IH322" s="16">
        <v>87</v>
      </c>
      <c r="II322" s="16">
        <v>15</v>
      </c>
      <c r="IJ322" s="16">
        <v>6</v>
      </c>
      <c r="IK322" s="16">
        <v>75</v>
      </c>
      <c r="IL322" s="16">
        <v>36</v>
      </c>
      <c r="IM322" s="16">
        <v>21</v>
      </c>
      <c r="IN322" s="16">
        <v>121</v>
      </c>
      <c r="IO322" s="16">
        <v>99</v>
      </c>
      <c r="IP322" s="16">
        <v>3</v>
      </c>
      <c r="IQ322" s="16">
        <v>21</v>
      </c>
      <c r="IR322" s="16">
        <v>6</v>
      </c>
      <c r="IS322" s="16">
        <v>22</v>
      </c>
      <c r="IT322" s="16">
        <v>14</v>
      </c>
      <c r="IU322" s="16">
        <v>24</v>
      </c>
      <c r="IV322" s="16">
        <v>66</v>
      </c>
      <c r="IW322" s="16">
        <v>197</v>
      </c>
      <c r="IX322" s="16">
        <v>54</v>
      </c>
      <c r="IY322" s="16">
        <v>9</v>
      </c>
      <c r="IZ322" s="16">
        <v>6</v>
      </c>
      <c r="JA322" s="16">
        <v>76</v>
      </c>
      <c r="JB322" s="16">
        <v>6</v>
      </c>
      <c r="JC322" s="16">
        <v>16</v>
      </c>
      <c r="JD322" s="16">
        <v>5</v>
      </c>
      <c r="JE322" s="16">
        <v>149</v>
      </c>
      <c r="JF322" s="16">
        <v>63</v>
      </c>
      <c r="JG322" s="16">
        <v>21651</v>
      </c>
      <c r="JH322" s="16">
        <v>132</v>
      </c>
      <c r="JI322" s="16">
        <v>25</v>
      </c>
      <c r="JJ322" s="16">
        <v>883</v>
      </c>
      <c r="JK322" s="16">
        <v>187</v>
      </c>
      <c r="JL322" s="16">
        <v>26</v>
      </c>
      <c r="JM322" s="16">
        <v>35</v>
      </c>
      <c r="JN322" s="16">
        <v>615</v>
      </c>
      <c r="JO322" s="16">
        <v>636</v>
      </c>
      <c r="JP322" s="16">
        <v>4465</v>
      </c>
      <c r="JQ322" s="16">
        <v>109</v>
      </c>
      <c r="JR322" s="16">
        <v>40</v>
      </c>
      <c r="JS322" s="16">
        <v>191</v>
      </c>
      <c r="JT322" s="16">
        <v>0</v>
      </c>
      <c r="JU322" s="16">
        <v>1023</v>
      </c>
      <c r="JV322" s="16">
        <v>114</v>
      </c>
      <c r="JW322" s="16">
        <v>94</v>
      </c>
      <c r="JX322" s="16">
        <v>200</v>
      </c>
      <c r="JY322" s="16">
        <v>46</v>
      </c>
      <c r="JZ322" s="16">
        <v>72</v>
      </c>
      <c r="KA322" s="16">
        <v>11</v>
      </c>
      <c r="KB322" s="16">
        <v>3</v>
      </c>
      <c r="KC322" s="16">
        <v>12</v>
      </c>
      <c r="KD322" s="16">
        <v>24</v>
      </c>
      <c r="KE322" s="16">
        <v>4</v>
      </c>
      <c r="KF322" s="16">
        <v>76</v>
      </c>
      <c r="KG322" s="16">
        <v>30</v>
      </c>
      <c r="KH322" s="16">
        <v>9</v>
      </c>
      <c r="KI322" s="16">
        <v>21</v>
      </c>
      <c r="KJ322" s="16">
        <v>9</v>
      </c>
      <c r="KK322" s="16">
        <v>1598526</v>
      </c>
      <c r="KL322" s="16">
        <v>36</v>
      </c>
      <c r="KM322" s="16">
        <v>43</v>
      </c>
      <c r="KN322" s="16">
        <v>72</v>
      </c>
      <c r="KO322" s="16">
        <v>84</v>
      </c>
      <c r="KP322" s="16">
        <v>15</v>
      </c>
      <c r="KQ322" s="16">
        <v>37</v>
      </c>
      <c r="KR322" s="16">
        <v>166</v>
      </c>
      <c r="KS322" s="16">
        <v>72</v>
      </c>
      <c r="KT322" s="16">
        <v>245</v>
      </c>
      <c r="KU322" s="16">
        <v>627</v>
      </c>
      <c r="KV322" s="16">
        <v>296</v>
      </c>
      <c r="KW322" s="16">
        <v>868</v>
      </c>
      <c r="KX322" s="16">
        <v>821</v>
      </c>
      <c r="KY322" s="16">
        <v>925</v>
      </c>
      <c r="KZ322" s="16">
        <v>57093</v>
      </c>
      <c r="LA322" s="16">
        <v>29802</v>
      </c>
      <c r="LB322" s="16">
        <v>8732</v>
      </c>
      <c r="LC322" s="16">
        <v>17294</v>
      </c>
      <c r="LD322" s="16">
        <v>103958</v>
      </c>
      <c r="LE322" s="16">
        <v>5395</v>
      </c>
      <c r="LF322" s="16">
        <v>242</v>
      </c>
      <c r="LG322" s="16">
        <v>240</v>
      </c>
      <c r="LH322" s="16">
        <v>2626</v>
      </c>
      <c r="LI322" s="16">
        <v>2455</v>
      </c>
      <c r="LJ322" s="16">
        <v>914166</v>
      </c>
      <c r="LK322" s="16">
        <v>644967</v>
      </c>
      <c r="LL322" s="16">
        <v>1163</v>
      </c>
      <c r="LM322" s="16">
        <v>7724</v>
      </c>
      <c r="LN322" s="16">
        <v>6461</v>
      </c>
      <c r="LO322" s="16">
        <v>21</v>
      </c>
      <c r="LP322" s="16">
        <v>1815</v>
      </c>
      <c r="LQ322" s="16">
        <v>349</v>
      </c>
      <c r="LR322" s="16">
        <v>3912</v>
      </c>
      <c r="LS322" s="16">
        <v>894</v>
      </c>
      <c r="LT322" s="16">
        <v>2138</v>
      </c>
      <c r="LU322" s="16">
        <v>506</v>
      </c>
      <c r="LV322" s="16">
        <v>20</v>
      </c>
      <c r="LW322" s="16">
        <v>283</v>
      </c>
      <c r="LX322" s="16">
        <v>1952</v>
      </c>
      <c r="LY322" s="16">
        <v>34123</v>
      </c>
      <c r="LZ322" s="16">
        <v>3183</v>
      </c>
      <c r="MA322" s="16">
        <v>7935</v>
      </c>
      <c r="MB322" s="16">
        <v>7850</v>
      </c>
      <c r="MC322" s="16">
        <v>80</v>
      </c>
      <c r="MD322" s="16">
        <v>959</v>
      </c>
      <c r="ME322" s="16">
        <v>1886</v>
      </c>
      <c r="MF322" s="16">
        <v>1952</v>
      </c>
      <c r="MG322" s="16">
        <v>2196</v>
      </c>
      <c r="MH322" s="16">
        <v>107628</v>
      </c>
      <c r="MI322" s="16">
        <v>1790432</v>
      </c>
      <c r="MJ322" s="16">
        <v>438</v>
      </c>
      <c r="MK322" s="16">
        <v>1321</v>
      </c>
      <c r="ML322" s="16">
        <v>449</v>
      </c>
      <c r="MM322" s="16">
        <v>6914</v>
      </c>
      <c r="MN322" s="16">
        <v>5802</v>
      </c>
      <c r="MO322" s="16">
        <v>1098</v>
      </c>
      <c r="MP322" s="16">
        <v>4234</v>
      </c>
      <c r="MQ322" s="16">
        <v>5581</v>
      </c>
      <c r="MR322" s="16">
        <v>13466</v>
      </c>
      <c r="MS322" s="16">
        <v>2751</v>
      </c>
      <c r="MT322" s="16">
        <v>206</v>
      </c>
      <c r="MU322" s="16">
        <v>2402</v>
      </c>
      <c r="MV322" s="16">
        <v>0</v>
      </c>
      <c r="MW322" s="16">
        <v>1153</v>
      </c>
      <c r="MX322" s="16">
        <v>189</v>
      </c>
      <c r="MY322" s="16">
        <v>0</v>
      </c>
      <c r="MZ322" s="16">
        <v>3376</v>
      </c>
      <c r="NA322" s="16">
        <v>545</v>
      </c>
      <c r="NB322" s="16">
        <v>0</v>
      </c>
      <c r="NC322" s="16">
        <v>646</v>
      </c>
      <c r="ND322" s="16">
        <v>682</v>
      </c>
      <c r="NE322" s="16">
        <v>105</v>
      </c>
      <c r="NF322" s="16">
        <v>885</v>
      </c>
      <c r="NG322" s="16">
        <v>1044</v>
      </c>
      <c r="NH322" s="16">
        <v>165</v>
      </c>
      <c r="NI322" s="16">
        <v>1819</v>
      </c>
      <c r="NJ322" s="16">
        <v>88091</v>
      </c>
      <c r="NK322" s="16">
        <v>48</v>
      </c>
      <c r="NL322" s="16">
        <v>57</v>
      </c>
      <c r="NM322" s="16">
        <v>675</v>
      </c>
      <c r="NN322" s="16">
        <v>582</v>
      </c>
      <c r="NO322" s="16">
        <v>0</v>
      </c>
      <c r="NP322" s="16">
        <v>839</v>
      </c>
      <c r="NQ322" s="16">
        <v>248</v>
      </c>
      <c r="NR322" s="17">
        <v>5598189</v>
      </c>
    </row>
    <row r="323" spans="1:382" ht="13.5" customHeight="1" x14ac:dyDescent="0.2">
      <c r="A323" s="2" t="s">
        <v>653</v>
      </c>
      <c r="B323" s="16">
        <v>71</v>
      </c>
      <c r="C323" s="16">
        <v>0</v>
      </c>
      <c r="D323" s="16">
        <v>55</v>
      </c>
      <c r="E323" s="16">
        <v>93</v>
      </c>
      <c r="F323" s="16">
        <v>167</v>
      </c>
      <c r="G323" s="16">
        <v>19</v>
      </c>
      <c r="H323" s="16">
        <v>6</v>
      </c>
      <c r="I323" s="16">
        <v>57</v>
      </c>
      <c r="J323" s="16">
        <v>0</v>
      </c>
      <c r="K323" s="16">
        <v>0</v>
      </c>
      <c r="L323" s="16">
        <v>939</v>
      </c>
      <c r="M323" s="16">
        <v>37</v>
      </c>
      <c r="N323" s="16">
        <v>4</v>
      </c>
      <c r="O323" s="16">
        <v>1</v>
      </c>
      <c r="P323" s="16">
        <v>232</v>
      </c>
      <c r="Q323" s="16">
        <v>985</v>
      </c>
      <c r="R323" s="16">
        <v>1922</v>
      </c>
      <c r="S323" s="16">
        <v>77</v>
      </c>
      <c r="T323" s="16">
        <v>254</v>
      </c>
      <c r="U323" s="16">
        <v>3166</v>
      </c>
      <c r="V323" s="16">
        <v>303</v>
      </c>
      <c r="W323" s="16">
        <v>0</v>
      </c>
      <c r="X323" s="16">
        <v>123</v>
      </c>
      <c r="Y323" s="16">
        <v>406</v>
      </c>
      <c r="Z323" s="16">
        <v>9252</v>
      </c>
      <c r="AA323" s="16">
        <v>37</v>
      </c>
      <c r="AB323" s="16">
        <v>0</v>
      </c>
      <c r="AC323" s="16">
        <v>0</v>
      </c>
      <c r="AD323" s="16">
        <v>0</v>
      </c>
      <c r="AE323" s="16">
        <v>0</v>
      </c>
      <c r="AF323" s="16">
        <v>0</v>
      </c>
      <c r="AG323" s="16">
        <v>5394</v>
      </c>
      <c r="AH323" s="16">
        <v>657</v>
      </c>
      <c r="AI323" s="16">
        <v>805</v>
      </c>
      <c r="AJ323" s="16">
        <v>480</v>
      </c>
      <c r="AK323" s="16">
        <v>17071</v>
      </c>
      <c r="AL323" s="16">
        <v>58</v>
      </c>
      <c r="AM323" s="16">
        <v>428</v>
      </c>
      <c r="AN323" s="16">
        <v>138</v>
      </c>
      <c r="AO323" s="16">
        <v>1397</v>
      </c>
      <c r="AP323" s="16">
        <v>2</v>
      </c>
      <c r="AQ323" s="16">
        <v>105</v>
      </c>
      <c r="AR323" s="16">
        <v>0</v>
      </c>
      <c r="AS323" s="16">
        <v>291</v>
      </c>
      <c r="AT323" s="16">
        <v>185</v>
      </c>
      <c r="AU323" s="16">
        <v>484</v>
      </c>
      <c r="AV323" s="16">
        <v>135</v>
      </c>
      <c r="AW323" s="16">
        <v>4893</v>
      </c>
      <c r="AX323" s="16">
        <v>434</v>
      </c>
      <c r="AY323" s="16">
        <v>773</v>
      </c>
      <c r="AZ323" s="16">
        <v>10705</v>
      </c>
      <c r="BA323" s="16">
        <v>5833</v>
      </c>
      <c r="BB323" s="16">
        <v>516</v>
      </c>
      <c r="BC323" s="16">
        <v>5233</v>
      </c>
      <c r="BD323" s="16">
        <v>56</v>
      </c>
      <c r="BE323" s="16">
        <v>328</v>
      </c>
      <c r="BF323" s="16">
        <v>3413</v>
      </c>
      <c r="BG323" s="16">
        <v>263</v>
      </c>
      <c r="BH323" s="16">
        <v>459</v>
      </c>
      <c r="BI323" s="16">
        <v>957</v>
      </c>
      <c r="BJ323" s="16">
        <v>30</v>
      </c>
      <c r="BK323" s="16">
        <v>485</v>
      </c>
      <c r="BL323" s="16">
        <v>909</v>
      </c>
      <c r="BM323" s="16">
        <v>800</v>
      </c>
      <c r="BN323" s="16">
        <v>274</v>
      </c>
      <c r="BO323" s="16">
        <v>514</v>
      </c>
      <c r="BP323" s="16">
        <v>175</v>
      </c>
      <c r="BQ323" s="16">
        <v>103</v>
      </c>
      <c r="BR323" s="16">
        <v>43</v>
      </c>
      <c r="BS323" s="16">
        <v>2121</v>
      </c>
      <c r="BT323" s="16">
        <v>11</v>
      </c>
      <c r="BU323" s="16">
        <v>4</v>
      </c>
      <c r="BV323" s="16">
        <v>1</v>
      </c>
      <c r="BW323" s="16">
        <v>351</v>
      </c>
      <c r="BX323" s="16">
        <v>8</v>
      </c>
      <c r="BY323" s="16">
        <v>1</v>
      </c>
      <c r="BZ323" s="16">
        <v>72</v>
      </c>
      <c r="CA323" s="16">
        <v>95</v>
      </c>
      <c r="CB323" s="16">
        <v>40</v>
      </c>
      <c r="CC323" s="16">
        <v>4635</v>
      </c>
      <c r="CD323" s="16">
        <v>2051</v>
      </c>
      <c r="CE323" s="16">
        <v>589</v>
      </c>
      <c r="CF323" s="16">
        <v>3468</v>
      </c>
      <c r="CG323" s="16">
        <v>178</v>
      </c>
      <c r="CH323" s="16">
        <v>2950</v>
      </c>
      <c r="CI323" s="16">
        <v>283</v>
      </c>
      <c r="CJ323" s="16">
        <v>1283</v>
      </c>
      <c r="CK323" s="16">
        <v>3031</v>
      </c>
      <c r="CL323" s="16">
        <v>733</v>
      </c>
      <c r="CM323" s="16">
        <v>700</v>
      </c>
      <c r="CN323" s="16">
        <v>685</v>
      </c>
      <c r="CO323" s="16">
        <v>585</v>
      </c>
      <c r="CP323" s="16">
        <v>1414</v>
      </c>
      <c r="CQ323" s="16">
        <v>49389</v>
      </c>
      <c r="CR323" s="16">
        <v>5384</v>
      </c>
      <c r="CS323" s="16">
        <v>3385</v>
      </c>
      <c r="CT323" s="16">
        <v>6578</v>
      </c>
      <c r="CU323" s="16">
        <v>18547</v>
      </c>
      <c r="CV323" s="16">
        <v>18241</v>
      </c>
      <c r="CW323" s="16">
        <v>48615</v>
      </c>
      <c r="CX323" s="16">
        <v>46760</v>
      </c>
      <c r="CY323" s="16">
        <v>3925</v>
      </c>
      <c r="CZ323" s="16">
        <v>1905</v>
      </c>
      <c r="DA323" s="16">
        <v>63</v>
      </c>
      <c r="DB323" s="16">
        <v>1958</v>
      </c>
      <c r="DC323" s="16">
        <v>48</v>
      </c>
      <c r="DD323" s="16">
        <v>833</v>
      </c>
      <c r="DE323" s="16">
        <v>104</v>
      </c>
      <c r="DF323" s="16">
        <v>1983</v>
      </c>
      <c r="DG323" s="16">
        <v>835</v>
      </c>
      <c r="DH323" s="16">
        <v>907</v>
      </c>
      <c r="DI323" s="16">
        <v>850</v>
      </c>
      <c r="DJ323" s="16">
        <v>17873</v>
      </c>
      <c r="DK323" s="16">
        <v>336</v>
      </c>
      <c r="DL323" s="16">
        <v>475</v>
      </c>
      <c r="DM323" s="16">
        <v>4280</v>
      </c>
      <c r="DN323" s="16">
        <v>524</v>
      </c>
      <c r="DO323" s="16">
        <v>5681</v>
      </c>
      <c r="DP323" s="16">
        <v>1767</v>
      </c>
      <c r="DQ323" s="16">
        <v>414</v>
      </c>
      <c r="DR323" s="16">
        <v>935</v>
      </c>
      <c r="DS323" s="16">
        <v>45330</v>
      </c>
      <c r="DT323" s="16">
        <v>1256</v>
      </c>
      <c r="DU323" s="16">
        <v>1134</v>
      </c>
      <c r="DV323" s="16">
        <v>481</v>
      </c>
      <c r="DW323" s="16">
        <v>9426</v>
      </c>
      <c r="DX323" s="16">
        <v>13491</v>
      </c>
      <c r="DY323" s="16">
        <v>3824</v>
      </c>
      <c r="DZ323" s="16">
        <v>5109</v>
      </c>
      <c r="EA323" s="16">
        <v>12404</v>
      </c>
      <c r="EB323" s="16">
        <v>68</v>
      </c>
      <c r="EC323" s="16">
        <v>636</v>
      </c>
      <c r="ED323" s="16">
        <v>318</v>
      </c>
      <c r="EE323" s="16">
        <v>3</v>
      </c>
      <c r="EF323" s="16">
        <v>16</v>
      </c>
      <c r="EG323" s="16">
        <v>3678</v>
      </c>
      <c r="EH323" s="16">
        <v>155</v>
      </c>
      <c r="EI323" s="16">
        <v>184</v>
      </c>
      <c r="EJ323" s="16">
        <v>156</v>
      </c>
      <c r="EK323" s="16">
        <v>114</v>
      </c>
      <c r="EL323" s="16">
        <v>53</v>
      </c>
      <c r="EM323" s="16">
        <v>242</v>
      </c>
      <c r="EN323" s="16">
        <v>2288</v>
      </c>
      <c r="EO323" s="16">
        <v>610</v>
      </c>
      <c r="EP323" s="16">
        <v>401</v>
      </c>
      <c r="EQ323" s="16">
        <v>604</v>
      </c>
      <c r="ER323" s="16">
        <v>244</v>
      </c>
      <c r="ES323" s="16">
        <v>247</v>
      </c>
      <c r="ET323" s="16">
        <v>2449</v>
      </c>
      <c r="EU323" s="16">
        <v>45</v>
      </c>
      <c r="EV323" s="16">
        <v>14</v>
      </c>
      <c r="EW323" s="16">
        <v>45</v>
      </c>
      <c r="EX323" s="16">
        <v>24338</v>
      </c>
      <c r="EY323" s="16">
        <v>5604</v>
      </c>
      <c r="EZ323" s="16">
        <v>15</v>
      </c>
      <c r="FA323" s="16">
        <v>273</v>
      </c>
      <c r="FB323" s="16">
        <v>488</v>
      </c>
      <c r="FC323" s="16">
        <v>8</v>
      </c>
      <c r="FD323" s="16">
        <v>13217</v>
      </c>
      <c r="FE323" s="16">
        <v>1489</v>
      </c>
      <c r="FF323" s="16">
        <v>522</v>
      </c>
      <c r="FG323" s="16">
        <v>1395</v>
      </c>
      <c r="FH323" s="16">
        <v>10</v>
      </c>
      <c r="FI323" s="16">
        <v>2778</v>
      </c>
      <c r="FJ323" s="16">
        <v>61</v>
      </c>
      <c r="FK323" s="16">
        <v>631</v>
      </c>
      <c r="FL323" s="16">
        <v>79</v>
      </c>
      <c r="FM323" s="16">
        <v>218</v>
      </c>
      <c r="FN323" s="16">
        <v>4484</v>
      </c>
      <c r="FO323" s="16">
        <v>1853</v>
      </c>
      <c r="FP323" s="16">
        <v>1337</v>
      </c>
      <c r="FQ323" s="16">
        <v>8119</v>
      </c>
      <c r="FR323" s="16">
        <v>7429</v>
      </c>
      <c r="FS323" s="16">
        <v>1462</v>
      </c>
      <c r="FT323" s="16">
        <v>609</v>
      </c>
      <c r="FU323" s="16">
        <v>13257</v>
      </c>
      <c r="FV323" s="16">
        <v>13322</v>
      </c>
      <c r="FW323" s="16">
        <v>10130</v>
      </c>
      <c r="FX323" s="16">
        <v>12973</v>
      </c>
      <c r="FY323" s="16">
        <v>353</v>
      </c>
      <c r="FZ323" s="16">
        <v>8729</v>
      </c>
      <c r="GA323" s="16">
        <v>289</v>
      </c>
      <c r="GB323" s="16">
        <v>23573</v>
      </c>
      <c r="GC323" s="16">
        <v>3222</v>
      </c>
      <c r="GD323" s="16">
        <v>8408</v>
      </c>
      <c r="GE323" s="16">
        <v>183</v>
      </c>
      <c r="GF323" s="16">
        <v>2783</v>
      </c>
      <c r="GG323" s="16">
        <v>4</v>
      </c>
      <c r="GH323" s="16">
        <v>2018</v>
      </c>
      <c r="GI323" s="16">
        <v>498</v>
      </c>
      <c r="GJ323" s="16">
        <v>1087</v>
      </c>
      <c r="GK323" s="16">
        <v>274</v>
      </c>
      <c r="GL323" s="16">
        <v>16</v>
      </c>
      <c r="GM323" s="16">
        <v>18</v>
      </c>
      <c r="GN323" s="16">
        <v>76</v>
      </c>
      <c r="GO323" s="16">
        <v>3</v>
      </c>
      <c r="GP323" s="16">
        <v>17</v>
      </c>
      <c r="GQ323" s="16">
        <v>3</v>
      </c>
      <c r="GR323" s="16">
        <v>536</v>
      </c>
      <c r="GS323" s="16">
        <v>29</v>
      </c>
      <c r="GT323" s="16">
        <v>58</v>
      </c>
      <c r="GU323" s="16">
        <v>1603</v>
      </c>
      <c r="GV323" s="16">
        <v>1208</v>
      </c>
      <c r="GW323" s="16">
        <v>7530</v>
      </c>
      <c r="GX323" s="16">
        <v>83</v>
      </c>
      <c r="GY323" s="16">
        <v>1</v>
      </c>
      <c r="GZ323" s="16">
        <v>6440</v>
      </c>
      <c r="HA323" s="16">
        <v>325</v>
      </c>
      <c r="HB323" s="16">
        <v>230</v>
      </c>
      <c r="HC323" s="16">
        <v>1595</v>
      </c>
      <c r="HD323" s="16">
        <v>2618</v>
      </c>
      <c r="HE323" s="16">
        <v>380</v>
      </c>
      <c r="HF323" s="16">
        <v>11233</v>
      </c>
      <c r="HG323" s="16">
        <v>254</v>
      </c>
      <c r="HH323" s="16">
        <v>236</v>
      </c>
      <c r="HI323" s="16">
        <v>967</v>
      </c>
      <c r="HJ323" s="16">
        <v>323</v>
      </c>
      <c r="HK323" s="16">
        <v>523</v>
      </c>
      <c r="HL323" s="16">
        <v>9398</v>
      </c>
      <c r="HM323" s="16">
        <v>1932</v>
      </c>
      <c r="HN323" s="16">
        <v>18163</v>
      </c>
      <c r="HO323" s="16">
        <v>5522</v>
      </c>
      <c r="HP323" s="16">
        <v>1482</v>
      </c>
      <c r="HQ323" s="16">
        <v>11668</v>
      </c>
      <c r="HR323" s="16">
        <v>1601</v>
      </c>
      <c r="HS323" s="16">
        <v>1432</v>
      </c>
      <c r="HT323" s="16">
        <v>49</v>
      </c>
      <c r="HU323" s="16">
        <v>4315</v>
      </c>
      <c r="HV323" s="16">
        <v>4629</v>
      </c>
      <c r="HW323" s="16">
        <v>2046</v>
      </c>
      <c r="HX323" s="16">
        <v>692</v>
      </c>
      <c r="HY323" s="16">
        <v>673</v>
      </c>
      <c r="HZ323" s="16">
        <v>3072</v>
      </c>
      <c r="IA323" s="16">
        <v>2679</v>
      </c>
      <c r="IB323" s="16">
        <v>595</v>
      </c>
      <c r="IC323" s="16">
        <v>180</v>
      </c>
      <c r="ID323" s="16">
        <v>2481</v>
      </c>
      <c r="IE323" s="16">
        <v>480</v>
      </c>
      <c r="IF323" s="16">
        <v>768</v>
      </c>
      <c r="IG323" s="16">
        <v>681</v>
      </c>
      <c r="IH323" s="16">
        <v>1380</v>
      </c>
      <c r="II323" s="16">
        <v>187</v>
      </c>
      <c r="IJ323" s="16">
        <v>11</v>
      </c>
      <c r="IK323" s="16">
        <v>94</v>
      </c>
      <c r="IL323" s="16">
        <v>134</v>
      </c>
      <c r="IM323" s="16">
        <v>21</v>
      </c>
      <c r="IN323" s="16">
        <v>3328</v>
      </c>
      <c r="IO323" s="16">
        <v>587</v>
      </c>
      <c r="IP323" s="16">
        <v>52</v>
      </c>
      <c r="IQ323" s="16">
        <v>25</v>
      </c>
      <c r="IR323" s="16">
        <v>67</v>
      </c>
      <c r="IS323" s="16">
        <v>1411</v>
      </c>
      <c r="IT323" s="16">
        <v>20</v>
      </c>
      <c r="IU323" s="16">
        <v>3</v>
      </c>
      <c r="IV323" s="16">
        <v>2719</v>
      </c>
      <c r="IW323" s="16">
        <v>3555</v>
      </c>
      <c r="IX323" s="16">
        <v>3151</v>
      </c>
      <c r="IY323" s="16">
        <v>87</v>
      </c>
      <c r="IZ323" s="16">
        <v>74</v>
      </c>
      <c r="JA323" s="16">
        <v>869</v>
      </c>
      <c r="JB323" s="16">
        <v>30</v>
      </c>
      <c r="JC323" s="16">
        <v>99</v>
      </c>
      <c r="JD323" s="16">
        <v>67</v>
      </c>
      <c r="JE323" s="16">
        <v>2760</v>
      </c>
      <c r="JF323" s="16">
        <v>773</v>
      </c>
      <c r="JG323" s="16">
        <v>31313</v>
      </c>
      <c r="JH323" s="16">
        <v>434</v>
      </c>
      <c r="JI323" s="16">
        <v>871</v>
      </c>
      <c r="JJ323" s="16">
        <v>1122</v>
      </c>
      <c r="JK323" s="16">
        <v>566</v>
      </c>
      <c r="JL323" s="16">
        <v>85</v>
      </c>
      <c r="JM323" s="16">
        <v>1597</v>
      </c>
      <c r="JN323" s="16">
        <v>20507</v>
      </c>
      <c r="JO323" s="16">
        <v>322</v>
      </c>
      <c r="JP323" s="16">
        <v>2324</v>
      </c>
      <c r="JQ323" s="16">
        <v>419</v>
      </c>
      <c r="JR323" s="16">
        <v>8785</v>
      </c>
      <c r="JS323" s="16">
        <v>1973</v>
      </c>
      <c r="JT323" s="16">
        <v>0</v>
      </c>
      <c r="JU323" s="16">
        <v>12060</v>
      </c>
      <c r="JV323" s="16">
        <v>7030</v>
      </c>
      <c r="JW323" s="16">
        <v>1195</v>
      </c>
      <c r="JX323" s="16">
        <v>2417</v>
      </c>
      <c r="JY323" s="16">
        <v>2379</v>
      </c>
      <c r="JZ323" s="16">
        <v>372</v>
      </c>
      <c r="KA323" s="16">
        <v>226</v>
      </c>
      <c r="KB323" s="16">
        <v>30</v>
      </c>
      <c r="KC323" s="16">
        <v>60</v>
      </c>
      <c r="KD323" s="16">
        <v>29</v>
      </c>
      <c r="KE323" s="16">
        <v>18</v>
      </c>
      <c r="KF323" s="16">
        <v>375</v>
      </c>
      <c r="KG323" s="16">
        <v>803</v>
      </c>
      <c r="KH323" s="16">
        <v>27</v>
      </c>
      <c r="KI323" s="16">
        <v>35</v>
      </c>
      <c r="KJ323" s="16">
        <v>17</v>
      </c>
      <c r="KK323" s="16">
        <v>667244</v>
      </c>
      <c r="KL323" s="16">
        <v>125</v>
      </c>
      <c r="KM323" s="16">
        <v>1126</v>
      </c>
      <c r="KN323" s="16">
        <v>680</v>
      </c>
      <c r="KO323" s="16">
        <v>5829</v>
      </c>
      <c r="KP323" s="16">
        <v>501</v>
      </c>
      <c r="KQ323" s="16">
        <v>368</v>
      </c>
      <c r="KR323" s="16">
        <v>19022</v>
      </c>
      <c r="KS323" s="16">
        <v>9</v>
      </c>
      <c r="KT323" s="16">
        <v>295</v>
      </c>
      <c r="KU323" s="16">
        <v>48364</v>
      </c>
      <c r="KV323" s="16">
        <v>19138</v>
      </c>
      <c r="KW323" s="16">
        <v>75837</v>
      </c>
      <c r="KX323" s="16">
        <v>742</v>
      </c>
      <c r="KY323" s="16">
        <v>190010</v>
      </c>
      <c r="KZ323" s="16">
        <v>213978</v>
      </c>
      <c r="LA323" s="16">
        <v>39680</v>
      </c>
      <c r="LB323" s="16">
        <v>8667</v>
      </c>
      <c r="LC323" s="16">
        <v>39726</v>
      </c>
      <c r="LD323" s="16">
        <v>14459</v>
      </c>
      <c r="LE323" s="16">
        <v>103929</v>
      </c>
      <c r="LF323" s="16">
        <v>68513</v>
      </c>
      <c r="LG323" s="16">
        <v>27044</v>
      </c>
      <c r="LH323" s="16">
        <v>207141</v>
      </c>
      <c r="LI323" s="16">
        <v>58203</v>
      </c>
      <c r="LJ323" s="16">
        <v>223343</v>
      </c>
      <c r="LK323" s="16">
        <v>3091693</v>
      </c>
      <c r="LL323" s="16">
        <v>118498</v>
      </c>
      <c r="LM323" s="16">
        <v>307350</v>
      </c>
      <c r="LN323" s="16">
        <v>1006322</v>
      </c>
      <c r="LO323" s="16">
        <v>1835079</v>
      </c>
      <c r="LP323" s="16">
        <v>93721</v>
      </c>
      <c r="LQ323" s="16">
        <v>8060</v>
      </c>
      <c r="LR323" s="16">
        <v>308590</v>
      </c>
      <c r="LS323" s="16">
        <v>80476</v>
      </c>
      <c r="LT323" s="16">
        <v>624311</v>
      </c>
      <c r="LU323" s="16">
        <v>19327</v>
      </c>
      <c r="LV323" s="16">
        <v>889</v>
      </c>
      <c r="LW323" s="16">
        <v>10513</v>
      </c>
      <c r="LX323" s="16">
        <v>118089</v>
      </c>
      <c r="LY323" s="16">
        <v>0</v>
      </c>
      <c r="LZ323" s="16">
        <v>11171</v>
      </c>
      <c r="MA323" s="16">
        <v>8829</v>
      </c>
      <c r="MB323" s="16">
        <v>27756</v>
      </c>
      <c r="MC323" s="16">
        <v>0</v>
      </c>
      <c r="MD323" s="16">
        <v>28272</v>
      </c>
      <c r="ME323" s="16">
        <v>7920</v>
      </c>
      <c r="MF323" s="16">
        <v>137876</v>
      </c>
      <c r="MG323" s="16">
        <v>54263</v>
      </c>
      <c r="MH323" s="16">
        <v>1822197</v>
      </c>
      <c r="MI323" s="16">
        <v>2756144</v>
      </c>
      <c r="MJ323" s="16">
        <v>31193</v>
      </c>
      <c r="MK323" s="16">
        <v>21718</v>
      </c>
      <c r="ML323" s="16">
        <v>4424</v>
      </c>
      <c r="MM323" s="16">
        <v>121107</v>
      </c>
      <c r="MN323" s="16">
        <v>147026</v>
      </c>
      <c r="MO323" s="16">
        <v>24197</v>
      </c>
      <c r="MP323" s="16">
        <v>48338</v>
      </c>
      <c r="MQ323" s="16">
        <v>199195</v>
      </c>
      <c r="MR323" s="16">
        <v>200268</v>
      </c>
      <c r="MS323" s="16">
        <v>88380</v>
      </c>
      <c r="MT323" s="16">
        <v>12272</v>
      </c>
      <c r="MU323" s="16">
        <v>49386</v>
      </c>
      <c r="MV323" s="16">
        <v>119622</v>
      </c>
      <c r="MW323" s="16">
        <v>626917</v>
      </c>
      <c r="MX323" s="16">
        <v>2237</v>
      </c>
      <c r="MY323" s="16">
        <v>3646</v>
      </c>
      <c r="MZ323" s="16">
        <v>29636</v>
      </c>
      <c r="NA323" s="16">
        <v>36458</v>
      </c>
      <c r="NB323" s="16">
        <v>49365</v>
      </c>
      <c r="NC323" s="16">
        <v>27178</v>
      </c>
      <c r="ND323" s="16">
        <v>19981</v>
      </c>
      <c r="NE323" s="16">
        <v>928</v>
      </c>
      <c r="NF323" s="16">
        <v>43492</v>
      </c>
      <c r="NG323" s="16">
        <v>25202</v>
      </c>
      <c r="NH323" s="16">
        <v>4472</v>
      </c>
      <c r="NI323" s="16">
        <v>56645</v>
      </c>
      <c r="NJ323" s="16">
        <v>112326</v>
      </c>
      <c r="NK323" s="16">
        <v>3175</v>
      </c>
      <c r="NL323" s="16">
        <v>829</v>
      </c>
      <c r="NM323" s="16">
        <v>11004</v>
      </c>
      <c r="NN323" s="16">
        <v>2299</v>
      </c>
      <c r="NO323" s="16">
        <v>0</v>
      </c>
      <c r="NP323" s="16">
        <v>13257</v>
      </c>
      <c r="NQ323" s="16">
        <v>2037</v>
      </c>
      <c r="NR323" s="17">
        <v>17512730</v>
      </c>
    </row>
    <row r="324" spans="1:382" ht="13.5" customHeight="1" x14ac:dyDescent="0.2">
      <c r="A324" s="2" t="s">
        <v>655</v>
      </c>
      <c r="B324" s="16">
        <v>0</v>
      </c>
      <c r="C324" s="16">
        <v>0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  <c r="AC324" s="16">
        <v>0</v>
      </c>
      <c r="AD324" s="16">
        <v>0</v>
      </c>
      <c r="AE324" s="16">
        <v>0</v>
      </c>
      <c r="AF324" s="16">
        <v>0</v>
      </c>
      <c r="AG324" s="16">
        <v>0</v>
      </c>
      <c r="AH324" s="16">
        <v>0</v>
      </c>
      <c r="AI324" s="16">
        <v>0</v>
      </c>
      <c r="AJ324" s="16">
        <v>0</v>
      </c>
      <c r="AK324" s="16">
        <v>0</v>
      </c>
      <c r="AL324" s="16">
        <v>0</v>
      </c>
      <c r="AM324" s="16">
        <v>0</v>
      </c>
      <c r="AN324" s="16">
        <v>0</v>
      </c>
      <c r="AO324" s="16">
        <v>0</v>
      </c>
      <c r="AP324" s="16">
        <v>0</v>
      </c>
      <c r="AQ324" s="16">
        <v>0</v>
      </c>
      <c r="AR324" s="16">
        <v>0</v>
      </c>
      <c r="AS324" s="16">
        <v>0</v>
      </c>
      <c r="AT324" s="16">
        <v>0</v>
      </c>
      <c r="AU324" s="16">
        <v>0</v>
      </c>
      <c r="AV324" s="16">
        <v>0</v>
      </c>
      <c r="AW324" s="16">
        <v>0</v>
      </c>
      <c r="AX324" s="16">
        <v>0</v>
      </c>
      <c r="AY324" s="16">
        <v>0</v>
      </c>
      <c r="AZ324" s="16">
        <v>0</v>
      </c>
      <c r="BA324" s="16">
        <v>0</v>
      </c>
      <c r="BB324" s="16">
        <v>0</v>
      </c>
      <c r="BC324" s="16">
        <v>0</v>
      </c>
      <c r="BD324" s="16">
        <v>0</v>
      </c>
      <c r="BE324" s="16">
        <v>0</v>
      </c>
      <c r="BF324" s="16">
        <v>0</v>
      </c>
      <c r="BG324" s="16">
        <v>0</v>
      </c>
      <c r="BH324" s="16">
        <v>0</v>
      </c>
      <c r="BI324" s="16">
        <v>0</v>
      </c>
      <c r="BJ324" s="16">
        <v>0</v>
      </c>
      <c r="BK324" s="16">
        <v>0</v>
      </c>
      <c r="BL324" s="16">
        <v>0</v>
      </c>
      <c r="BM324" s="16">
        <v>0</v>
      </c>
      <c r="BN324" s="16">
        <v>0</v>
      </c>
      <c r="BO324" s="16">
        <v>0</v>
      </c>
      <c r="BP324" s="16">
        <v>0</v>
      </c>
      <c r="BQ324" s="16">
        <v>0</v>
      </c>
      <c r="BR324" s="16">
        <v>0</v>
      </c>
      <c r="BS324" s="16">
        <v>0</v>
      </c>
      <c r="BT324" s="16">
        <v>0</v>
      </c>
      <c r="BU324" s="16">
        <v>0</v>
      </c>
      <c r="BV324" s="16">
        <v>0</v>
      </c>
      <c r="BW324" s="16">
        <v>0</v>
      </c>
      <c r="BX324" s="16">
        <v>0</v>
      </c>
      <c r="BY324" s="16">
        <v>0</v>
      </c>
      <c r="BZ324" s="16">
        <v>0</v>
      </c>
      <c r="CA324" s="16">
        <v>0</v>
      </c>
      <c r="CB324" s="16">
        <v>0</v>
      </c>
      <c r="CC324" s="16">
        <v>0</v>
      </c>
      <c r="CD324" s="16">
        <v>0</v>
      </c>
      <c r="CE324" s="16">
        <v>0</v>
      </c>
      <c r="CF324" s="16">
        <v>0</v>
      </c>
      <c r="CG324" s="16">
        <v>0</v>
      </c>
      <c r="CH324" s="16">
        <v>0</v>
      </c>
      <c r="CI324" s="16">
        <v>0</v>
      </c>
      <c r="CJ324" s="16">
        <v>0</v>
      </c>
      <c r="CK324" s="16">
        <v>0</v>
      </c>
      <c r="CL324" s="16">
        <v>0</v>
      </c>
      <c r="CM324" s="16">
        <v>0</v>
      </c>
      <c r="CN324" s="16">
        <v>0</v>
      </c>
      <c r="CO324" s="16">
        <v>0</v>
      </c>
      <c r="CP324" s="16">
        <v>0</v>
      </c>
      <c r="CQ324" s="16">
        <v>0</v>
      </c>
      <c r="CR324" s="16">
        <v>0</v>
      </c>
      <c r="CS324" s="16">
        <v>0</v>
      </c>
      <c r="CT324" s="16">
        <v>0</v>
      </c>
      <c r="CU324" s="16">
        <v>0</v>
      </c>
      <c r="CV324" s="16">
        <v>0</v>
      </c>
      <c r="CW324" s="16">
        <v>0</v>
      </c>
      <c r="CX324" s="16">
        <v>0</v>
      </c>
      <c r="CY324" s="16">
        <v>0</v>
      </c>
      <c r="CZ324" s="16">
        <v>0</v>
      </c>
      <c r="DA324" s="16">
        <v>0</v>
      </c>
      <c r="DB324" s="16">
        <v>0</v>
      </c>
      <c r="DC324" s="16">
        <v>0</v>
      </c>
      <c r="DD324" s="16">
        <v>0</v>
      </c>
      <c r="DE324" s="16">
        <v>0</v>
      </c>
      <c r="DF324" s="16">
        <v>0</v>
      </c>
      <c r="DG324" s="16">
        <v>0</v>
      </c>
      <c r="DH324" s="16">
        <v>0</v>
      </c>
      <c r="DI324" s="16">
        <v>0</v>
      </c>
      <c r="DJ324" s="16">
        <v>0</v>
      </c>
      <c r="DK324" s="16">
        <v>0</v>
      </c>
      <c r="DL324" s="16">
        <v>0</v>
      </c>
      <c r="DM324" s="16">
        <v>0</v>
      </c>
      <c r="DN324" s="16">
        <v>0</v>
      </c>
      <c r="DO324" s="16">
        <v>0</v>
      </c>
      <c r="DP324" s="16">
        <v>0</v>
      </c>
      <c r="DQ324" s="16">
        <v>0</v>
      </c>
      <c r="DR324" s="16">
        <v>0</v>
      </c>
      <c r="DS324" s="16">
        <v>0</v>
      </c>
      <c r="DT324" s="16">
        <v>0</v>
      </c>
      <c r="DU324" s="16">
        <v>0</v>
      </c>
      <c r="DV324" s="16">
        <v>0</v>
      </c>
      <c r="DW324" s="16">
        <v>0</v>
      </c>
      <c r="DX324" s="16">
        <v>0</v>
      </c>
      <c r="DY324" s="16">
        <v>0</v>
      </c>
      <c r="DZ324" s="16">
        <v>0</v>
      </c>
      <c r="EA324" s="16">
        <v>0</v>
      </c>
      <c r="EB324" s="16">
        <v>0</v>
      </c>
      <c r="EC324" s="16">
        <v>0</v>
      </c>
      <c r="ED324" s="16">
        <v>0</v>
      </c>
      <c r="EE324" s="16">
        <v>0</v>
      </c>
      <c r="EF324" s="16">
        <v>0</v>
      </c>
      <c r="EG324" s="16">
        <v>0</v>
      </c>
      <c r="EH324" s="16">
        <v>0</v>
      </c>
      <c r="EI324" s="16">
        <v>0</v>
      </c>
      <c r="EJ324" s="16">
        <v>0</v>
      </c>
      <c r="EK324" s="16">
        <v>0</v>
      </c>
      <c r="EL324" s="16">
        <v>0</v>
      </c>
      <c r="EM324" s="16">
        <v>0</v>
      </c>
      <c r="EN324" s="16">
        <v>0</v>
      </c>
      <c r="EO324" s="16">
        <v>0</v>
      </c>
      <c r="EP324" s="16">
        <v>0</v>
      </c>
      <c r="EQ324" s="16">
        <v>0</v>
      </c>
      <c r="ER324" s="16">
        <v>0</v>
      </c>
      <c r="ES324" s="16">
        <v>0</v>
      </c>
      <c r="ET324" s="16">
        <v>0</v>
      </c>
      <c r="EU324" s="16">
        <v>0</v>
      </c>
      <c r="EV324" s="16">
        <v>0</v>
      </c>
      <c r="EW324" s="16">
        <v>0</v>
      </c>
      <c r="EX324" s="16">
        <v>0</v>
      </c>
      <c r="EY324" s="16">
        <v>0</v>
      </c>
      <c r="EZ324" s="16">
        <v>0</v>
      </c>
      <c r="FA324" s="16">
        <v>0</v>
      </c>
      <c r="FB324" s="16">
        <v>0</v>
      </c>
      <c r="FC324" s="16">
        <v>0</v>
      </c>
      <c r="FD324" s="16">
        <v>0</v>
      </c>
      <c r="FE324" s="16">
        <v>0</v>
      </c>
      <c r="FF324" s="16">
        <v>0</v>
      </c>
      <c r="FG324" s="16">
        <v>0</v>
      </c>
      <c r="FH324" s="16">
        <v>0</v>
      </c>
      <c r="FI324" s="16">
        <v>0</v>
      </c>
      <c r="FJ324" s="16">
        <v>0</v>
      </c>
      <c r="FK324" s="16">
        <v>0</v>
      </c>
      <c r="FL324" s="16">
        <v>0</v>
      </c>
      <c r="FM324" s="16">
        <v>0</v>
      </c>
      <c r="FN324" s="16">
        <v>0</v>
      </c>
      <c r="FO324" s="16">
        <v>0</v>
      </c>
      <c r="FP324" s="16">
        <v>0</v>
      </c>
      <c r="FQ324" s="16">
        <v>0</v>
      </c>
      <c r="FR324" s="16">
        <v>0</v>
      </c>
      <c r="FS324" s="16">
        <v>0</v>
      </c>
      <c r="FT324" s="16">
        <v>0</v>
      </c>
      <c r="FU324" s="16">
        <v>0</v>
      </c>
      <c r="FV324" s="16">
        <v>0</v>
      </c>
      <c r="FW324" s="16">
        <v>0</v>
      </c>
      <c r="FX324" s="16">
        <v>0</v>
      </c>
      <c r="FY324" s="16">
        <v>0</v>
      </c>
      <c r="FZ324" s="16">
        <v>0</v>
      </c>
      <c r="GA324" s="16">
        <v>0</v>
      </c>
      <c r="GB324" s="16">
        <v>0</v>
      </c>
      <c r="GC324" s="16">
        <v>0</v>
      </c>
      <c r="GD324" s="16">
        <v>0</v>
      </c>
      <c r="GE324" s="16">
        <v>0</v>
      </c>
      <c r="GF324" s="16">
        <v>0</v>
      </c>
      <c r="GG324" s="16">
        <v>0</v>
      </c>
      <c r="GH324" s="16">
        <v>0</v>
      </c>
      <c r="GI324" s="16">
        <v>0</v>
      </c>
      <c r="GJ324" s="16">
        <v>0</v>
      </c>
      <c r="GK324" s="16">
        <v>0</v>
      </c>
      <c r="GL324" s="16">
        <v>0</v>
      </c>
      <c r="GM324" s="16">
        <v>0</v>
      </c>
      <c r="GN324" s="16">
        <v>0</v>
      </c>
      <c r="GO324" s="16">
        <v>0</v>
      </c>
      <c r="GP324" s="16">
        <v>0</v>
      </c>
      <c r="GQ324" s="16">
        <v>0</v>
      </c>
      <c r="GR324" s="16">
        <v>0</v>
      </c>
      <c r="GS324" s="16">
        <v>0</v>
      </c>
      <c r="GT324" s="16">
        <v>0</v>
      </c>
      <c r="GU324" s="16">
        <v>0</v>
      </c>
      <c r="GV324" s="16">
        <v>0</v>
      </c>
      <c r="GW324" s="16">
        <v>0</v>
      </c>
      <c r="GX324" s="16">
        <v>0</v>
      </c>
      <c r="GY324" s="16">
        <v>0</v>
      </c>
      <c r="GZ324" s="16">
        <v>0</v>
      </c>
      <c r="HA324" s="16">
        <v>0</v>
      </c>
      <c r="HB324" s="16">
        <v>0</v>
      </c>
      <c r="HC324" s="16">
        <v>0</v>
      </c>
      <c r="HD324" s="16">
        <v>0</v>
      </c>
      <c r="HE324" s="16">
        <v>0</v>
      </c>
      <c r="HF324" s="16">
        <v>0</v>
      </c>
      <c r="HG324" s="16">
        <v>0</v>
      </c>
      <c r="HH324" s="16">
        <v>0</v>
      </c>
      <c r="HI324" s="16">
        <v>0</v>
      </c>
      <c r="HJ324" s="16">
        <v>0</v>
      </c>
      <c r="HK324" s="16">
        <v>0</v>
      </c>
      <c r="HL324" s="16">
        <v>0</v>
      </c>
      <c r="HM324" s="16">
        <v>0</v>
      </c>
      <c r="HN324" s="16">
        <v>0</v>
      </c>
      <c r="HO324" s="16">
        <v>0</v>
      </c>
      <c r="HP324" s="16">
        <v>0</v>
      </c>
      <c r="HQ324" s="16">
        <v>0</v>
      </c>
      <c r="HR324" s="16">
        <v>0</v>
      </c>
      <c r="HS324" s="16">
        <v>0</v>
      </c>
      <c r="HT324" s="16">
        <v>0</v>
      </c>
      <c r="HU324" s="16">
        <v>0</v>
      </c>
      <c r="HV324" s="16">
        <v>0</v>
      </c>
      <c r="HW324" s="16">
        <v>0</v>
      </c>
      <c r="HX324" s="16">
        <v>0</v>
      </c>
      <c r="HY324" s="16">
        <v>0</v>
      </c>
      <c r="HZ324" s="16">
        <v>0</v>
      </c>
      <c r="IA324" s="16">
        <v>0</v>
      </c>
      <c r="IB324" s="16">
        <v>0</v>
      </c>
      <c r="IC324" s="16">
        <v>0</v>
      </c>
      <c r="ID324" s="16">
        <v>0</v>
      </c>
      <c r="IE324" s="16">
        <v>0</v>
      </c>
      <c r="IF324" s="16">
        <v>0</v>
      </c>
      <c r="IG324" s="16">
        <v>0</v>
      </c>
      <c r="IH324" s="16">
        <v>0</v>
      </c>
      <c r="II324" s="16">
        <v>0</v>
      </c>
      <c r="IJ324" s="16">
        <v>0</v>
      </c>
      <c r="IK324" s="16">
        <v>0</v>
      </c>
      <c r="IL324" s="16">
        <v>0</v>
      </c>
      <c r="IM324" s="16">
        <v>0</v>
      </c>
      <c r="IN324" s="16">
        <v>0</v>
      </c>
      <c r="IO324" s="16">
        <v>0</v>
      </c>
      <c r="IP324" s="16">
        <v>0</v>
      </c>
      <c r="IQ324" s="16">
        <v>0</v>
      </c>
      <c r="IR324" s="16">
        <v>0</v>
      </c>
      <c r="IS324" s="16">
        <v>0</v>
      </c>
      <c r="IT324" s="16">
        <v>0</v>
      </c>
      <c r="IU324" s="16">
        <v>0</v>
      </c>
      <c r="IV324" s="16">
        <v>0</v>
      </c>
      <c r="IW324" s="16">
        <v>0</v>
      </c>
      <c r="IX324" s="16">
        <v>0</v>
      </c>
      <c r="IY324" s="16">
        <v>0</v>
      </c>
      <c r="IZ324" s="16">
        <v>147350</v>
      </c>
      <c r="JA324" s="16">
        <v>0</v>
      </c>
      <c r="JB324" s="16">
        <v>0</v>
      </c>
      <c r="JC324" s="16">
        <v>0</v>
      </c>
      <c r="JD324" s="16">
        <v>0</v>
      </c>
      <c r="JE324" s="16">
        <v>0</v>
      </c>
      <c r="JF324" s="16">
        <v>0</v>
      </c>
      <c r="JG324" s="16">
        <v>0</v>
      </c>
      <c r="JH324" s="16">
        <v>0</v>
      </c>
      <c r="JI324" s="16">
        <v>0</v>
      </c>
      <c r="JJ324" s="16">
        <v>0</v>
      </c>
      <c r="JK324" s="16">
        <v>0</v>
      </c>
      <c r="JL324" s="16">
        <v>0</v>
      </c>
      <c r="JM324" s="16">
        <v>0</v>
      </c>
      <c r="JN324" s="16">
        <v>0</v>
      </c>
      <c r="JO324" s="16">
        <v>0</v>
      </c>
      <c r="JP324" s="16">
        <v>0</v>
      </c>
      <c r="JQ324" s="16">
        <v>0</v>
      </c>
      <c r="JR324" s="16">
        <v>0</v>
      </c>
      <c r="JS324" s="16">
        <v>0</v>
      </c>
      <c r="JT324" s="16">
        <v>0</v>
      </c>
      <c r="JU324" s="16">
        <v>0</v>
      </c>
      <c r="JV324" s="16">
        <v>0</v>
      </c>
      <c r="JW324" s="16">
        <v>0</v>
      </c>
      <c r="JX324" s="16">
        <v>0</v>
      </c>
      <c r="JY324" s="16">
        <v>0</v>
      </c>
      <c r="JZ324" s="16">
        <v>0</v>
      </c>
      <c r="KA324" s="16">
        <v>0</v>
      </c>
      <c r="KB324" s="16">
        <v>0</v>
      </c>
      <c r="KC324" s="16">
        <v>0</v>
      </c>
      <c r="KD324" s="16">
        <v>0</v>
      </c>
      <c r="KE324" s="16">
        <v>0</v>
      </c>
      <c r="KF324" s="16">
        <v>0</v>
      </c>
      <c r="KG324" s="16">
        <v>0</v>
      </c>
      <c r="KH324" s="16">
        <v>0</v>
      </c>
      <c r="KI324" s="16">
        <v>0</v>
      </c>
      <c r="KJ324" s="16">
        <v>0</v>
      </c>
      <c r="KK324" s="16">
        <v>0</v>
      </c>
      <c r="KL324" s="16">
        <v>0</v>
      </c>
      <c r="KM324" s="16">
        <v>0</v>
      </c>
      <c r="KN324" s="16">
        <v>0</v>
      </c>
      <c r="KO324" s="16">
        <v>0</v>
      </c>
      <c r="KP324" s="16">
        <v>0</v>
      </c>
      <c r="KQ324" s="16">
        <v>0</v>
      </c>
      <c r="KR324" s="16">
        <v>0</v>
      </c>
      <c r="KS324" s="16">
        <v>0</v>
      </c>
      <c r="KT324" s="16">
        <v>0</v>
      </c>
      <c r="KU324" s="16">
        <v>0</v>
      </c>
      <c r="KV324" s="16">
        <v>0</v>
      </c>
      <c r="KW324" s="16">
        <v>0</v>
      </c>
      <c r="KX324" s="16">
        <v>0</v>
      </c>
      <c r="KY324" s="16">
        <v>0</v>
      </c>
      <c r="KZ324" s="16">
        <v>0</v>
      </c>
      <c r="LA324" s="16">
        <v>0</v>
      </c>
      <c r="LB324" s="16">
        <v>0</v>
      </c>
      <c r="LC324" s="16">
        <v>0</v>
      </c>
      <c r="LD324" s="16">
        <v>0</v>
      </c>
      <c r="LE324" s="16">
        <v>0</v>
      </c>
      <c r="LF324" s="16">
        <v>0</v>
      </c>
      <c r="LG324" s="16">
        <v>0</v>
      </c>
      <c r="LH324" s="16">
        <v>0</v>
      </c>
      <c r="LI324" s="16">
        <v>0</v>
      </c>
      <c r="LJ324" s="16">
        <v>0</v>
      </c>
      <c r="LK324" s="16">
        <v>0</v>
      </c>
      <c r="LL324" s="16">
        <v>148514</v>
      </c>
      <c r="LM324" s="16">
        <v>0</v>
      </c>
      <c r="LN324" s="16">
        <v>0</v>
      </c>
      <c r="LO324" s="16">
        <v>0</v>
      </c>
      <c r="LP324" s="16">
        <v>0</v>
      </c>
      <c r="LQ324" s="16">
        <v>0</v>
      </c>
      <c r="LR324" s="16">
        <v>0</v>
      </c>
      <c r="LS324" s="16">
        <v>0</v>
      </c>
      <c r="LT324" s="16">
        <v>0</v>
      </c>
      <c r="LU324" s="16">
        <v>0</v>
      </c>
      <c r="LV324" s="16">
        <v>0</v>
      </c>
      <c r="LW324" s="16">
        <v>0</v>
      </c>
      <c r="LX324" s="16">
        <v>0</v>
      </c>
      <c r="LY324" s="16">
        <v>0</v>
      </c>
      <c r="LZ324" s="16">
        <v>0</v>
      </c>
      <c r="MA324" s="16">
        <v>0</v>
      </c>
      <c r="MB324" s="16">
        <v>0</v>
      </c>
      <c r="MC324" s="16">
        <v>0</v>
      </c>
      <c r="MD324" s="16">
        <v>0</v>
      </c>
      <c r="ME324" s="16">
        <v>0</v>
      </c>
      <c r="MF324" s="16">
        <v>0</v>
      </c>
      <c r="MG324" s="16">
        <v>0</v>
      </c>
      <c r="MH324" s="16">
        <v>131910</v>
      </c>
      <c r="MI324" s="16">
        <v>1917367</v>
      </c>
      <c r="MJ324" s="16">
        <v>0</v>
      </c>
      <c r="MK324" s="16">
        <v>0</v>
      </c>
      <c r="ML324" s="16">
        <v>0</v>
      </c>
      <c r="MM324" s="16">
        <v>0</v>
      </c>
      <c r="MN324" s="16">
        <v>0</v>
      </c>
      <c r="MO324" s="16">
        <v>0</v>
      </c>
      <c r="MP324" s="16">
        <v>0</v>
      </c>
      <c r="MQ324" s="16">
        <v>0</v>
      </c>
      <c r="MR324" s="16">
        <v>45733</v>
      </c>
      <c r="MS324" s="16">
        <v>0</v>
      </c>
      <c r="MT324" s="16">
        <v>0</v>
      </c>
      <c r="MU324" s="16">
        <v>0</v>
      </c>
      <c r="MV324" s="16">
        <v>0</v>
      </c>
      <c r="MW324" s="16">
        <v>0</v>
      </c>
      <c r="MX324" s="16">
        <v>0</v>
      </c>
      <c r="MY324" s="16">
        <v>0</v>
      </c>
      <c r="MZ324" s="16">
        <v>0</v>
      </c>
      <c r="NA324" s="16">
        <v>0</v>
      </c>
      <c r="NB324" s="16">
        <v>0</v>
      </c>
      <c r="NC324" s="16">
        <v>0</v>
      </c>
      <c r="ND324" s="16">
        <v>0</v>
      </c>
      <c r="NE324" s="16">
        <v>0</v>
      </c>
      <c r="NF324" s="16">
        <v>0</v>
      </c>
      <c r="NG324" s="16">
        <v>0</v>
      </c>
      <c r="NH324" s="16">
        <v>631505</v>
      </c>
      <c r="NI324" s="16">
        <v>0</v>
      </c>
      <c r="NJ324" s="16">
        <v>0</v>
      </c>
      <c r="NK324" s="16">
        <v>0</v>
      </c>
      <c r="NL324" s="16">
        <v>0</v>
      </c>
      <c r="NM324" s="16">
        <v>0</v>
      </c>
      <c r="NN324" s="16">
        <v>0</v>
      </c>
      <c r="NO324" s="16">
        <v>0</v>
      </c>
      <c r="NP324" s="16">
        <v>0</v>
      </c>
      <c r="NQ324" s="16">
        <v>0</v>
      </c>
      <c r="NR324" s="17">
        <v>3022379</v>
      </c>
    </row>
    <row r="325" spans="1:382" ht="13.5" customHeight="1" x14ac:dyDescent="0.2">
      <c r="A325" s="2" t="s">
        <v>657</v>
      </c>
      <c r="B325" s="16">
        <v>71</v>
      </c>
      <c r="C325" s="16">
        <v>227</v>
      </c>
      <c r="D325" s="16">
        <v>34</v>
      </c>
      <c r="E325" s="16">
        <v>276</v>
      </c>
      <c r="F325" s="16">
        <v>939</v>
      </c>
      <c r="G325" s="16">
        <v>536</v>
      </c>
      <c r="H325" s="16">
        <v>25</v>
      </c>
      <c r="I325" s="16">
        <v>166</v>
      </c>
      <c r="J325" s="16">
        <v>0</v>
      </c>
      <c r="K325" s="16">
        <v>0</v>
      </c>
      <c r="L325" s="16">
        <v>386</v>
      </c>
      <c r="M325" s="16">
        <v>191</v>
      </c>
      <c r="N325" s="16">
        <v>1</v>
      </c>
      <c r="O325" s="16">
        <v>185</v>
      </c>
      <c r="P325" s="16">
        <v>1012</v>
      </c>
      <c r="Q325" s="16">
        <v>965</v>
      </c>
      <c r="R325" s="16">
        <v>121</v>
      </c>
      <c r="S325" s="16">
        <v>11</v>
      </c>
      <c r="T325" s="16">
        <v>103</v>
      </c>
      <c r="U325" s="16">
        <v>12</v>
      </c>
      <c r="V325" s="16">
        <v>243</v>
      </c>
      <c r="W325" s="16">
        <v>10</v>
      </c>
      <c r="X325" s="16">
        <v>152</v>
      </c>
      <c r="Y325" s="16">
        <v>651</v>
      </c>
      <c r="Z325" s="16">
        <v>953</v>
      </c>
      <c r="AA325" s="16">
        <v>5</v>
      </c>
      <c r="AB325" s="16">
        <v>0</v>
      </c>
      <c r="AC325" s="16">
        <v>0</v>
      </c>
      <c r="AD325" s="16">
        <v>0</v>
      </c>
      <c r="AE325" s="16">
        <v>7</v>
      </c>
      <c r="AF325" s="16">
        <v>5</v>
      </c>
      <c r="AG325" s="16">
        <v>964</v>
      </c>
      <c r="AH325" s="16">
        <v>418</v>
      </c>
      <c r="AI325" s="16">
        <v>78</v>
      </c>
      <c r="AJ325" s="16">
        <v>3737</v>
      </c>
      <c r="AK325" s="16">
        <v>14809</v>
      </c>
      <c r="AL325" s="16">
        <v>2344</v>
      </c>
      <c r="AM325" s="16">
        <v>1201</v>
      </c>
      <c r="AN325" s="16">
        <v>3048</v>
      </c>
      <c r="AO325" s="16">
        <v>1778</v>
      </c>
      <c r="AP325" s="16">
        <v>1244</v>
      </c>
      <c r="AQ325" s="16">
        <v>3171</v>
      </c>
      <c r="AR325" s="16">
        <v>0</v>
      </c>
      <c r="AS325" s="16">
        <v>598</v>
      </c>
      <c r="AT325" s="16">
        <v>372</v>
      </c>
      <c r="AU325" s="16">
        <v>1444</v>
      </c>
      <c r="AV325" s="16">
        <v>1264</v>
      </c>
      <c r="AW325" s="16">
        <v>1522</v>
      </c>
      <c r="AX325" s="16">
        <v>2614</v>
      </c>
      <c r="AY325" s="16">
        <v>3302</v>
      </c>
      <c r="AZ325" s="16">
        <v>4020</v>
      </c>
      <c r="BA325" s="16">
        <v>1995</v>
      </c>
      <c r="BB325" s="16">
        <v>3910</v>
      </c>
      <c r="BC325" s="16">
        <v>16016</v>
      </c>
      <c r="BD325" s="16">
        <v>195</v>
      </c>
      <c r="BE325" s="16">
        <v>689</v>
      </c>
      <c r="BF325" s="16">
        <v>183</v>
      </c>
      <c r="BG325" s="16">
        <v>816</v>
      </c>
      <c r="BH325" s="16">
        <v>1449</v>
      </c>
      <c r="BI325" s="16">
        <v>627</v>
      </c>
      <c r="BJ325" s="16">
        <v>422</v>
      </c>
      <c r="BK325" s="16">
        <v>506</v>
      </c>
      <c r="BL325" s="16">
        <v>1795</v>
      </c>
      <c r="BM325" s="16">
        <v>55</v>
      </c>
      <c r="BN325" s="16">
        <v>3079</v>
      </c>
      <c r="BO325" s="16">
        <v>5</v>
      </c>
      <c r="BP325" s="16">
        <v>4528</v>
      </c>
      <c r="BQ325" s="16">
        <v>754</v>
      </c>
      <c r="BR325" s="16">
        <v>1081</v>
      </c>
      <c r="BS325" s="16">
        <v>1122</v>
      </c>
      <c r="BT325" s="16">
        <v>26</v>
      </c>
      <c r="BU325" s="16">
        <v>2</v>
      </c>
      <c r="BV325" s="16">
        <v>8</v>
      </c>
      <c r="BW325" s="16">
        <v>13</v>
      </c>
      <c r="BX325" s="16">
        <v>2</v>
      </c>
      <c r="BY325" s="16">
        <v>5</v>
      </c>
      <c r="BZ325" s="16">
        <v>1212</v>
      </c>
      <c r="CA325" s="16">
        <v>860</v>
      </c>
      <c r="CB325" s="16">
        <v>158</v>
      </c>
      <c r="CC325" s="16">
        <v>30</v>
      </c>
      <c r="CD325" s="16">
        <v>36</v>
      </c>
      <c r="CE325" s="16">
        <v>6</v>
      </c>
      <c r="CF325" s="16">
        <v>398</v>
      </c>
      <c r="CG325" s="16">
        <v>836</v>
      </c>
      <c r="CH325" s="16">
        <v>0</v>
      </c>
      <c r="CI325" s="16">
        <v>0</v>
      </c>
      <c r="CJ325" s="16">
        <v>2118</v>
      </c>
      <c r="CK325" s="16">
        <v>1777</v>
      </c>
      <c r="CL325" s="16">
        <v>586</v>
      </c>
      <c r="CM325" s="16">
        <v>489</v>
      </c>
      <c r="CN325" s="16">
        <v>20</v>
      </c>
      <c r="CO325" s="16">
        <v>902</v>
      </c>
      <c r="CP325" s="16">
        <v>345</v>
      </c>
      <c r="CQ325" s="16">
        <v>16061</v>
      </c>
      <c r="CR325" s="16">
        <v>302</v>
      </c>
      <c r="CS325" s="16">
        <v>10596</v>
      </c>
      <c r="CT325" s="16">
        <v>10915</v>
      </c>
      <c r="CU325" s="16">
        <v>12280</v>
      </c>
      <c r="CV325" s="16">
        <v>8666</v>
      </c>
      <c r="CW325" s="16">
        <v>15136</v>
      </c>
      <c r="CX325" s="16">
        <v>16278</v>
      </c>
      <c r="CY325" s="16">
        <v>3628</v>
      </c>
      <c r="CZ325" s="16">
        <v>7164</v>
      </c>
      <c r="DA325" s="16">
        <v>518</v>
      </c>
      <c r="DB325" s="16">
        <v>2291</v>
      </c>
      <c r="DC325" s="16">
        <v>4</v>
      </c>
      <c r="DD325" s="16">
        <v>159</v>
      </c>
      <c r="DE325" s="16">
        <v>302</v>
      </c>
      <c r="DF325" s="16">
        <v>4590</v>
      </c>
      <c r="DG325" s="16">
        <v>5428</v>
      </c>
      <c r="DH325" s="16">
        <v>2179</v>
      </c>
      <c r="DI325" s="16">
        <v>264</v>
      </c>
      <c r="DJ325" s="16">
        <v>4467</v>
      </c>
      <c r="DK325" s="16">
        <v>543</v>
      </c>
      <c r="DL325" s="16">
        <v>67</v>
      </c>
      <c r="DM325" s="16">
        <v>5371</v>
      </c>
      <c r="DN325" s="16">
        <v>1175</v>
      </c>
      <c r="DO325" s="16">
        <v>47</v>
      </c>
      <c r="DP325" s="16">
        <v>113</v>
      </c>
      <c r="DQ325" s="16">
        <v>230</v>
      </c>
      <c r="DR325" s="16">
        <v>2696</v>
      </c>
      <c r="DS325" s="16">
        <v>2845</v>
      </c>
      <c r="DT325" s="16">
        <v>50</v>
      </c>
      <c r="DU325" s="16">
        <v>551</v>
      </c>
      <c r="DV325" s="16">
        <v>1706</v>
      </c>
      <c r="DW325" s="16">
        <v>1432</v>
      </c>
      <c r="DX325" s="16">
        <v>8365</v>
      </c>
      <c r="DY325" s="16">
        <v>9774</v>
      </c>
      <c r="DZ325" s="16">
        <v>23076</v>
      </c>
      <c r="EA325" s="16">
        <v>7933</v>
      </c>
      <c r="EB325" s="16">
        <v>4</v>
      </c>
      <c r="EC325" s="16">
        <v>280</v>
      </c>
      <c r="ED325" s="16">
        <v>43</v>
      </c>
      <c r="EE325" s="16">
        <v>127</v>
      </c>
      <c r="EF325" s="16">
        <v>220</v>
      </c>
      <c r="EG325" s="16">
        <v>1008</v>
      </c>
      <c r="EH325" s="16">
        <v>161</v>
      </c>
      <c r="EI325" s="16">
        <v>53</v>
      </c>
      <c r="EJ325" s="16">
        <v>191</v>
      </c>
      <c r="EK325" s="16">
        <v>249</v>
      </c>
      <c r="EL325" s="16">
        <v>4</v>
      </c>
      <c r="EM325" s="16">
        <v>0</v>
      </c>
      <c r="EN325" s="16">
        <v>887</v>
      </c>
      <c r="EO325" s="16">
        <v>7</v>
      </c>
      <c r="EP325" s="16">
        <v>8</v>
      </c>
      <c r="EQ325" s="16">
        <v>2119</v>
      </c>
      <c r="ER325" s="16">
        <v>174</v>
      </c>
      <c r="ES325" s="16">
        <v>123</v>
      </c>
      <c r="ET325" s="16">
        <v>13</v>
      </c>
      <c r="EU325" s="16">
        <v>0</v>
      </c>
      <c r="EV325" s="16">
        <v>138</v>
      </c>
      <c r="EW325" s="16">
        <v>59</v>
      </c>
      <c r="EX325" s="16">
        <v>1384</v>
      </c>
      <c r="EY325" s="16">
        <v>41</v>
      </c>
      <c r="EZ325" s="16">
        <v>8</v>
      </c>
      <c r="FA325" s="16">
        <v>245</v>
      </c>
      <c r="FB325" s="16">
        <v>209</v>
      </c>
      <c r="FC325" s="16">
        <v>422</v>
      </c>
      <c r="FD325" s="16">
        <v>1244</v>
      </c>
      <c r="FE325" s="16">
        <v>583</v>
      </c>
      <c r="FF325" s="16">
        <v>0</v>
      </c>
      <c r="FG325" s="16">
        <v>13</v>
      </c>
      <c r="FH325" s="16">
        <v>3</v>
      </c>
      <c r="FI325" s="16">
        <v>16</v>
      </c>
      <c r="FJ325" s="16">
        <v>1</v>
      </c>
      <c r="FK325" s="16">
        <v>108</v>
      </c>
      <c r="FL325" s="16">
        <v>0</v>
      </c>
      <c r="FM325" s="16">
        <v>3844</v>
      </c>
      <c r="FN325" s="16">
        <v>7561</v>
      </c>
      <c r="FO325" s="16">
        <v>923</v>
      </c>
      <c r="FP325" s="16">
        <v>2115</v>
      </c>
      <c r="FQ325" s="16">
        <v>4626</v>
      </c>
      <c r="FR325" s="16">
        <v>1370</v>
      </c>
      <c r="FS325" s="16">
        <v>1055</v>
      </c>
      <c r="FT325" s="16">
        <v>3067</v>
      </c>
      <c r="FU325" s="16">
        <v>4634</v>
      </c>
      <c r="FV325" s="16">
        <v>4367</v>
      </c>
      <c r="FW325" s="16">
        <v>6141</v>
      </c>
      <c r="FX325" s="16">
        <v>4560</v>
      </c>
      <c r="FY325" s="16">
        <v>116</v>
      </c>
      <c r="FZ325" s="16">
        <v>927</v>
      </c>
      <c r="GA325" s="16">
        <v>283</v>
      </c>
      <c r="GB325" s="16">
        <v>1347</v>
      </c>
      <c r="GC325" s="16">
        <v>530</v>
      </c>
      <c r="GD325" s="16">
        <v>1822</v>
      </c>
      <c r="GE325" s="16">
        <v>1473</v>
      </c>
      <c r="GF325" s="16">
        <v>132688</v>
      </c>
      <c r="GG325" s="16">
        <v>79786</v>
      </c>
      <c r="GH325" s="16">
        <v>182774</v>
      </c>
      <c r="GI325" s="16">
        <v>1299</v>
      </c>
      <c r="GJ325" s="16">
        <v>7846</v>
      </c>
      <c r="GK325" s="16">
        <v>6781</v>
      </c>
      <c r="GL325" s="16">
        <v>8828</v>
      </c>
      <c r="GM325" s="16">
        <v>118204</v>
      </c>
      <c r="GN325" s="16">
        <v>38978</v>
      </c>
      <c r="GO325" s="16">
        <v>5825</v>
      </c>
      <c r="GP325" s="16">
        <v>269087</v>
      </c>
      <c r="GQ325" s="16">
        <v>16516</v>
      </c>
      <c r="GR325" s="16">
        <v>10696</v>
      </c>
      <c r="GS325" s="16">
        <v>6302</v>
      </c>
      <c r="GT325" s="16">
        <v>1319</v>
      </c>
      <c r="GU325" s="16">
        <v>8212</v>
      </c>
      <c r="GV325" s="16">
        <v>13716</v>
      </c>
      <c r="GW325" s="16">
        <v>30114</v>
      </c>
      <c r="GX325" s="16">
        <v>153</v>
      </c>
      <c r="GY325" s="16">
        <v>0</v>
      </c>
      <c r="GZ325" s="16">
        <v>20</v>
      </c>
      <c r="HA325" s="16">
        <v>109</v>
      </c>
      <c r="HB325" s="16">
        <v>761</v>
      </c>
      <c r="HC325" s="16">
        <v>1361</v>
      </c>
      <c r="HD325" s="16">
        <v>11872</v>
      </c>
      <c r="HE325" s="16">
        <v>2924</v>
      </c>
      <c r="HF325" s="16">
        <v>838</v>
      </c>
      <c r="HG325" s="16">
        <v>767</v>
      </c>
      <c r="HH325" s="16">
        <v>1307</v>
      </c>
      <c r="HI325" s="16">
        <v>829</v>
      </c>
      <c r="HJ325" s="16">
        <v>38</v>
      </c>
      <c r="HK325" s="16">
        <v>176</v>
      </c>
      <c r="HL325" s="16">
        <v>17425</v>
      </c>
      <c r="HM325" s="16">
        <v>2970</v>
      </c>
      <c r="HN325" s="16">
        <v>924</v>
      </c>
      <c r="HO325" s="16">
        <v>2343</v>
      </c>
      <c r="HP325" s="16">
        <v>638</v>
      </c>
      <c r="HQ325" s="16">
        <v>2299</v>
      </c>
      <c r="HR325" s="16">
        <v>1281</v>
      </c>
      <c r="HS325" s="16">
        <v>2819</v>
      </c>
      <c r="HT325" s="16">
        <v>2817</v>
      </c>
      <c r="HU325" s="16">
        <v>893</v>
      </c>
      <c r="HV325" s="16">
        <v>2693</v>
      </c>
      <c r="HW325" s="16">
        <v>374</v>
      </c>
      <c r="HX325" s="16">
        <v>463</v>
      </c>
      <c r="HY325" s="16">
        <v>1881</v>
      </c>
      <c r="HZ325" s="16">
        <v>38799</v>
      </c>
      <c r="IA325" s="16">
        <v>24593</v>
      </c>
      <c r="IB325" s="16">
        <v>343</v>
      </c>
      <c r="IC325" s="16">
        <v>2389</v>
      </c>
      <c r="ID325" s="16">
        <v>433</v>
      </c>
      <c r="IE325" s="16">
        <v>270</v>
      </c>
      <c r="IF325" s="16">
        <v>560</v>
      </c>
      <c r="IG325" s="16">
        <v>2478</v>
      </c>
      <c r="IH325" s="16">
        <v>42953</v>
      </c>
      <c r="II325" s="16">
        <v>611</v>
      </c>
      <c r="IJ325" s="16">
        <v>282</v>
      </c>
      <c r="IK325" s="16">
        <v>237</v>
      </c>
      <c r="IL325" s="16">
        <v>1930</v>
      </c>
      <c r="IM325" s="16">
        <v>0</v>
      </c>
      <c r="IN325" s="16">
        <v>40438</v>
      </c>
      <c r="IO325" s="16">
        <v>13731</v>
      </c>
      <c r="IP325" s="16">
        <v>4318</v>
      </c>
      <c r="IQ325" s="16">
        <v>347</v>
      </c>
      <c r="IR325" s="16">
        <v>1041</v>
      </c>
      <c r="IS325" s="16">
        <v>5</v>
      </c>
      <c r="IT325" s="16">
        <v>1165</v>
      </c>
      <c r="IU325" s="16">
        <v>84</v>
      </c>
      <c r="IV325" s="16">
        <v>2003</v>
      </c>
      <c r="IW325" s="16">
        <v>20</v>
      </c>
      <c r="IX325" s="16">
        <v>201</v>
      </c>
      <c r="IY325" s="16">
        <v>201</v>
      </c>
      <c r="IZ325" s="16">
        <v>342</v>
      </c>
      <c r="JA325" s="16">
        <v>1193</v>
      </c>
      <c r="JB325" s="16">
        <v>4695</v>
      </c>
      <c r="JC325" s="16">
        <v>9</v>
      </c>
      <c r="JD325" s="16">
        <v>182</v>
      </c>
      <c r="JE325" s="16">
        <v>1668</v>
      </c>
      <c r="JF325" s="16">
        <v>5</v>
      </c>
      <c r="JG325" s="16">
        <v>138407</v>
      </c>
      <c r="JH325" s="16">
        <v>477</v>
      </c>
      <c r="JI325" s="16">
        <v>7453</v>
      </c>
      <c r="JJ325" s="16">
        <v>28866</v>
      </c>
      <c r="JK325" s="16">
        <v>4316</v>
      </c>
      <c r="JL325" s="16">
        <v>601</v>
      </c>
      <c r="JM325" s="16">
        <v>195</v>
      </c>
      <c r="JN325" s="16">
        <v>2074</v>
      </c>
      <c r="JO325" s="16">
        <v>122</v>
      </c>
      <c r="JP325" s="16">
        <v>215</v>
      </c>
      <c r="JQ325" s="16">
        <v>12717</v>
      </c>
      <c r="JR325" s="16">
        <v>107</v>
      </c>
      <c r="JS325" s="16">
        <v>233</v>
      </c>
      <c r="JT325" s="16">
        <v>0</v>
      </c>
      <c r="JU325" s="16">
        <v>2180</v>
      </c>
      <c r="JV325" s="16">
        <v>127253</v>
      </c>
      <c r="JW325" s="16">
        <v>5204</v>
      </c>
      <c r="JX325" s="16">
        <v>11010</v>
      </c>
      <c r="JY325" s="16">
        <v>71</v>
      </c>
      <c r="JZ325" s="16">
        <v>1687</v>
      </c>
      <c r="KA325" s="16">
        <v>3151</v>
      </c>
      <c r="KB325" s="16">
        <v>667</v>
      </c>
      <c r="KC325" s="16">
        <v>1306</v>
      </c>
      <c r="KD325" s="16">
        <v>36</v>
      </c>
      <c r="KE325" s="16">
        <v>580</v>
      </c>
      <c r="KF325" s="16">
        <v>4381</v>
      </c>
      <c r="KG325" s="16">
        <v>3102</v>
      </c>
      <c r="KH325" s="16">
        <v>6246</v>
      </c>
      <c r="KI325" s="16">
        <v>4484</v>
      </c>
      <c r="KJ325" s="16">
        <v>49</v>
      </c>
      <c r="KK325" s="16">
        <v>741659</v>
      </c>
      <c r="KL325" s="16">
        <v>6</v>
      </c>
      <c r="KM325" s="16">
        <v>0</v>
      </c>
      <c r="KN325" s="16">
        <v>3286</v>
      </c>
      <c r="KO325" s="16">
        <v>576</v>
      </c>
      <c r="KP325" s="16">
        <v>826</v>
      </c>
      <c r="KQ325" s="16">
        <v>762</v>
      </c>
      <c r="KR325" s="16">
        <v>3029</v>
      </c>
      <c r="KS325" s="16">
        <v>3</v>
      </c>
      <c r="KT325" s="16">
        <v>3</v>
      </c>
      <c r="KU325" s="16">
        <v>821</v>
      </c>
      <c r="KV325" s="16">
        <v>123699</v>
      </c>
      <c r="KW325" s="16">
        <v>7828</v>
      </c>
      <c r="KX325" s="16">
        <v>23</v>
      </c>
      <c r="KY325" s="16">
        <v>2597</v>
      </c>
      <c r="KZ325" s="16">
        <v>8461</v>
      </c>
      <c r="LA325" s="16">
        <v>17</v>
      </c>
      <c r="LB325" s="16">
        <v>242</v>
      </c>
      <c r="LC325" s="16">
        <v>0</v>
      </c>
      <c r="LD325" s="16">
        <v>9488</v>
      </c>
      <c r="LE325" s="16">
        <v>47947</v>
      </c>
      <c r="LF325" s="16">
        <v>43457</v>
      </c>
      <c r="LG325" s="16">
        <v>13189</v>
      </c>
      <c r="LH325" s="16">
        <v>12263</v>
      </c>
      <c r="LI325" s="16">
        <v>54</v>
      </c>
      <c r="LJ325" s="16">
        <v>9581</v>
      </c>
      <c r="LK325" s="16">
        <v>31752</v>
      </c>
      <c r="LL325" s="16">
        <v>999898</v>
      </c>
      <c r="LM325" s="16">
        <v>2624757</v>
      </c>
      <c r="LN325" s="16">
        <v>32493</v>
      </c>
      <c r="LO325" s="16">
        <v>2364</v>
      </c>
      <c r="LP325" s="16">
        <v>3760</v>
      </c>
      <c r="LQ325" s="16">
        <v>273</v>
      </c>
      <c r="LR325" s="16">
        <v>137474</v>
      </c>
      <c r="LS325" s="16">
        <v>8670</v>
      </c>
      <c r="LT325" s="16">
        <v>210109</v>
      </c>
      <c r="LU325" s="16">
        <v>142265</v>
      </c>
      <c r="LV325" s="16">
        <v>436</v>
      </c>
      <c r="LW325" s="16">
        <v>50387</v>
      </c>
      <c r="LX325" s="16">
        <v>113066</v>
      </c>
      <c r="LY325" s="16">
        <v>0</v>
      </c>
      <c r="LZ325" s="16">
        <v>82591</v>
      </c>
      <c r="MA325" s="16">
        <v>49499</v>
      </c>
      <c r="MB325" s="16">
        <v>63123</v>
      </c>
      <c r="MC325" s="16">
        <v>3774</v>
      </c>
      <c r="MD325" s="16">
        <v>4681</v>
      </c>
      <c r="ME325" s="16">
        <v>16457</v>
      </c>
      <c r="MF325" s="16">
        <v>140126</v>
      </c>
      <c r="MG325" s="16">
        <v>994</v>
      </c>
      <c r="MH325" s="16">
        <v>247798</v>
      </c>
      <c r="MI325" s="16">
        <v>151055</v>
      </c>
      <c r="MJ325" s="16">
        <v>28680</v>
      </c>
      <c r="MK325" s="16">
        <v>15420</v>
      </c>
      <c r="ML325" s="16">
        <v>86963</v>
      </c>
      <c r="MM325" s="16">
        <v>5233</v>
      </c>
      <c r="MN325" s="16">
        <v>8855</v>
      </c>
      <c r="MO325" s="16">
        <v>830</v>
      </c>
      <c r="MP325" s="16">
        <v>1156</v>
      </c>
      <c r="MQ325" s="16">
        <v>2469</v>
      </c>
      <c r="MR325" s="16">
        <v>370997</v>
      </c>
      <c r="MS325" s="16">
        <v>29459</v>
      </c>
      <c r="MT325" s="16">
        <v>5677</v>
      </c>
      <c r="MU325" s="16">
        <v>26084</v>
      </c>
      <c r="MV325" s="16">
        <v>60012</v>
      </c>
      <c r="MW325" s="16">
        <v>106674</v>
      </c>
      <c r="MX325" s="16">
        <v>126</v>
      </c>
      <c r="MY325" s="16">
        <v>22520</v>
      </c>
      <c r="MZ325" s="16">
        <v>6916</v>
      </c>
      <c r="NA325" s="16">
        <v>23842</v>
      </c>
      <c r="NB325" s="16">
        <v>29430</v>
      </c>
      <c r="NC325" s="16">
        <v>5458</v>
      </c>
      <c r="ND325" s="16">
        <v>652</v>
      </c>
      <c r="NE325" s="16">
        <v>664</v>
      </c>
      <c r="NF325" s="16">
        <v>314</v>
      </c>
      <c r="NG325" s="16">
        <v>28662</v>
      </c>
      <c r="NH325" s="16">
        <v>70296</v>
      </c>
      <c r="NI325" s="16">
        <v>3290</v>
      </c>
      <c r="NJ325" s="16">
        <v>1368</v>
      </c>
      <c r="NK325" s="16">
        <v>2505</v>
      </c>
      <c r="NL325" s="16">
        <v>917</v>
      </c>
      <c r="NM325" s="16">
        <v>1992</v>
      </c>
      <c r="NN325" s="16">
        <v>520</v>
      </c>
      <c r="NO325" s="16">
        <v>0</v>
      </c>
      <c r="NP325" s="16">
        <v>1989</v>
      </c>
      <c r="NQ325" s="16">
        <v>144</v>
      </c>
      <c r="NR325" s="17">
        <v>9004774</v>
      </c>
    </row>
    <row r="326" spans="1:382" ht="13.5" customHeight="1" x14ac:dyDescent="0.2">
      <c r="A326" s="2" t="s">
        <v>659</v>
      </c>
      <c r="B326" s="16">
        <v>225</v>
      </c>
      <c r="C326" s="16">
        <v>1</v>
      </c>
      <c r="D326" s="16">
        <v>95</v>
      </c>
      <c r="E326" s="16">
        <v>591</v>
      </c>
      <c r="F326" s="16">
        <v>629</v>
      </c>
      <c r="G326" s="16">
        <v>50</v>
      </c>
      <c r="H326" s="16">
        <v>25</v>
      </c>
      <c r="I326" s="16">
        <v>0</v>
      </c>
      <c r="J326" s="16">
        <v>1</v>
      </c>
      <c r="K326" s="16">
        <v>0</v>
      </c>
      <c r="L326" s="16">
        <v>581</v>
      </c>
      <c r="M326" s="16">
        <v>0</v>
      </c>
      <c r="N326" s="16">
        <v>0</v>
      </c>
      <c r="O326" s="16">
        <v>55</v>
      </c>
      <c r="P326" s="16">
        <v>121</v>
      </c>
      <c r="Q326" s="16">
        <v>1147</v>
      </c>
      <c r="R326" s="16">
        <v>1474</v>
      </c>
      <c r="S326" s="16">
        <v>0</v>
      </c>
      <c r="T326" s="16">
        <v>501</v>
      </c>
      <c r="U326" s="16">
        <v>763</v>
      </c>
      <c r="V326" s="16">
        <v>0</v>
      </c>
      <c r="W326" s="16">
        <v>0</v>
      </c>
      <c r="X326" s="16">
        <v>1555</v>
      </c>
      <c r="Y326" s="16">
        <v>1181</v>
      </c>
      <c r="Z326" s="16">
        <v>3306</v>
      </c>
      <c r="AA326" s="16">
        <v>760</v>
      </c>
      <c r="AB326" s="16">
        <v>0</v>
      </c>
      <c r="AC326" s="16">
        <v>0</v>
      </c>
      <c r="AD326" s="16">
        <v>0</v>
      </c>
      <c r="AE326" s="16">
        <v>0</v>
      </c>
      <c r="AF326" s="16">
        <v>0</v>
      </c>
      <c r="AG326" s="16">
        <v>2023</v>
      </c>
      <c r="AH326" s="16">
        <v>1518</v>
      </c>
      <c r="AI326" s="16">
        <v>1787</v>
      </c>
      <c r="AJ326" s="16">
        <v>3450</v>
      </c>
      <c r="AK326" s="16">
        <v>1193</v>
      </c>
      <c r="AL326" s="16">
        <v>476</v>
      </c>
      <c r="AM326" s="16">
        <v>47</v>
      </c>
      <c r="AN326" s="16">
        <v>644</v>
      </c>
      <c r="AO326" s="16">
        <v>2869</v>
      </c>
      <c r="AP326" s="16">
        <v>0</v>
      </c>
      <c r="AQ326" s="16">
        <v>0</v>
      </c>
      <c r="AR326" s="16">
        <v>0</v>
      </c>
      <c r="AS326" s="16">
        <v>106</v>
      </c>
      <c r="AT326" s="16">
        <v>303</v>
      </c>
      <c r="AU326" s="16">
        <v>296</v>
      </c>
      <c r="AV326" s="16">
        <v>690</v>
      </c>
      <c r="AW326" s="16">
        <v>2259</v>
      </c>
      <c r="AX326" s="16">
        <v>2201</v>
      </c>
      <c r="AY326" s="16">
        <v>103</v>
      </c>
      <c r="AZ326" s="16">
        <v>2073</v>
      </c>
      <c r="BA326" s="16">
        <v>1953</v>
      </c>
      <c r="BB326" s="16">
        <v>1699</v>
      </c>
      <c r="BC326" s="16">
        <v>15047</v>
      </c>
      <c r="BD326" s="16">
        <v>4</v>
      </c>
      <c r="BE326" s="16">
        <v>1672</v>
      </c>
      <c r="BF326" s="16">
        <v>660</v>
      </c>
      <c r="BG326" s="16">
        <v>27</v>
      </c>
      <c r="BH326" s="16">
        <v>1406</v>
      </c>
      <c r="BI326" s="16">
        <v>3687</v>
      </c>
      <c r="BJ326" s="16">
        <v>323</v>
      </c>
      <c r="BK326" s="16">
        <v>1844</v>
      </c>
      <c r="BL326" s="16">
        <v>4315</v>
      </c>
      <c r="BM326" s="16">
        <v>3844</v>
      </c>
      <c r="BN326" s="16">
        <v>484</v>
      </c>
      <c r="BO326" s="16">
        <v>2626</v>
      </c>
      <c r="BP326" s="16">
        <v>2556</v>
      </c>
      <c r="BQ326" s="16">
        <v>849</v>
      </c>
      <c r="BR326" s="16">
        <v>508</v>
      </c>
      <c r="BS326" s="16">
        <v>32421</v>
      </c>
      <c r="BT326" s="16">
        <v>447</v>
      </c>
      <c r="BU326" s="16">
        <v>3</v>
      </c>
      <c r="BV326" s="16">
        <v>0</v>
      </c>
      <c r="BW326" s="16">
        <v>2827</v>
      </c>
      <c r="BX326" s="16">
        <v>5</v>
      </c>
      <c r="BY326" s="16">
        <v>0</v>
      </c>
      <c r="BZ326" s="16">
        <v>4</v>
      </c>
      <c r="CA326" s="16">
        <v>546</v>
      </c>
      <c r="CB326" s="16">
        <v>0</v>
      </c>
      <c r="CC326" s="16">
        <v>253</v>
      </c>
      <c r="CD326" s="16">
        <v>962</v>
      </c>
      <c r="CE326" s="16">
        <v>546</v>
      </c>
      <c r="CF326" s="16">
        <v>3050</v>
      </c>
      <c r="CG326" s="16">
        <v>534</v>
      </c>
      <c r="CH326" s="16">
        <v>1837</v>
      </c>
      <c r="CI326" s="16">
        <v>704</v>
      </c>
      <c r="CJ326" s="16">
        <v>12751</v>
      </c>
      <c r="CK326" s="16">
        <v>7225</v>
      </c>
      <c r="CL326" s="16">
        <v>3009</v>
      </c>
      <c r="CM326" s="16">
        <v>6171</v>
      </c>
      <c r="CN326" s="16">
        <v>3067</v>
      </c>
      <c r="CO326" s="16">
        <v>2897</v>
      </c>
      <c r="CP326" s="16">
        <v>4069</v>
      </c>
      <c r="CQ326" s="16">
        <v>27675</v>
      </c>
      <c r="CR326" s="16">
        <v>454</v>
      </c>
      <c r="CS326" s="16">
        <v>17524</v>
      </c>
      <c r="CT326" s="16">
        <v>20324</v>
      </c>
      <c r="CU326" s="16">
        <v>29569</v>
      </c>
      <c r="CV326" s="16">
        <v>14103</v>
      </c>
      <c r="CW326" s="16">
        <v>37481</v>
      </c>
      <c r="CX326" s="16">
        <v>44315</v>
      </c>
      <c r="CY326" s="16">
        <v>4906</v>
      </c>
      <c r="CZ326" s="16">
        <v>1501</v>
      </c>
      <c r="DA326" s="16">
        <v>383</v>
      </c>
      <c r="DB326" s="16">
        <v>2321</v>
      </c>
      <c r="DC326" s="16">
        <v>308</v>
      </c>
      <c r="DD326" s="16">
        <v>5434</v>
      </c>
      <c r="DE326" s="16">
        <v>2263</v>
      </c>
      <c r="DF326" s="16">
        <v>10774</v>
      </c>
      <c r="DG326" s="16">
        <v>18859</v>
      </c>
      <c r="DH326" s="16">
        <v>5781</v>
      </c>
      <c r="DI326" s="16">
        <v>4025</v>
      </c>
      <c r="DJ326" s="16">
        <v>24251</v>
      </c>
      <c r="DK326" s="16">
        <v>1008</v>
      </c>
      <c r="DL326" s="16">
        <v>745</v>
      </c>
      <c r="DM326" s="16">
        <v>15991</v>
      </c>
      <c r="DN326" s="16">
        <v>1969</v>
      </c>
      <c r="DO326" s="16">
        <v>13459</v>
      </c>
      <c r="DP326" s="16">
        <v>8068</v>
      </c>
      <c r="DQ326" s="16">
        <v>1303</v>
      </c>
      <c r="DR326" s="16">
        <v>11784</v>
      </c>
      <c r="DS326" s="16">
        <v>24266</v>
      </c>
      <c r="DT326" s="16">
        <v>6360</v>
      </c>
      <c r="DU326" s="16">
        <v>3294</v>
      </c>
      <c r="DV326" s="16">
        <v>21317</v>
      </c>
      <c r="DW326" s="16">
        <v>32173</v>
      </c>
      <c r="DX326" s="16">
        <v>12274</v>
      </c>
      <c r="DY326" s="16">
        <v>13569</v>
      </c>
      <c r="DZ326" s="16">
        <v>38723</v>
      </c>
      <c r="EA326" s="16">
        <v>24897</v>
      </c>
      <c r="EB326" s="16">
        <v>2001</v>
      </c>
      <c r="EC326" s="16">
        <v>2044</v>
      </c>
      <c r="ED326" s="16">
        <v>1242</v>
      </c>
      <c r="EE326" s="16">
        <v>358</v>
      </c>
      <c r="EF326" s="16">
        <v>341</v>
      </c>
      <c r="EG326" s="16">
        <v>2502</v>
      </c>
      <c r="EH326" s="16">
        <v>487</v>
      </c>
      <c r="EI326" s="16">
        <v>3262</v>
      </c>
      <c r="EJ326" s="16">
        <v>1689</v>
      </c>
      <c r="EK326" s="16">
        <v>2020</v>
      </c>
      <c r="EL326" s="16">
        <v>131</v>
      </c>
      <c r="EM326" s="16">
        <v>4160</v>
      </c>
      <c r="EN326" s="16">
        <v>8446</v>
      </c>
      <c r="EO326" s="16">
        <v>3531</v>
      </c>
      <c r="EP326" s="16">
        <v>2125</v>
      </c>
      <c r="EQ326" s="16">
        <v>3567</v>
      </c>
      <c r="ER326" s="16">
        <v>2596</v>
      </c>
      <c r="ES326" s="16">
        <v>2451</v>
      </c>
      <c r="ET326" s="16">
        <v>6565</v>
      </c>
      <c r="EU326" s="16">
        <v>57</v>
      </c>
      <c r="EV326" s="16">
        <v>21</v>
      </c>
      <c r="EW326" s="16">
        <v>17809</v>
      </c>
      <c r="EX326" s="16">
        <v>36828</v>
      </c>
      <c r="EY326" s="16">
        <v>14922</v>
      </c>
      <c r="EZ326" s="16">
        <v>16374</v>
      </c>
      <c r="FA326" s="16">
        <v>19936</v>
      </c>
      <c r="FB326" s="16">
        <v>66075</v>
      </c>
      <c r="FC326" s="16">
        <v>5037</v>
      </c>
      <c r="FD326" s="16">
        <v>38621</v>
      </c>
      <c r="FE326" s="16">
        <v>24811</v>
      </c>
      <c r="FF326" s="16">
        <v>9656</v>
      </c>
      <c r="FG326" s="16">
        <v>114124</v>
      </c>
      <c r="FH326" s="16">
        <v>6104</v>
      </c>
      <c r="FI326" s="16">
        <v>4893</v>
      </c>
      <c r="FJ326" s="16">
        <v>17</v>
      </c>
      <c r="FK326" s="16">
        <v>492</v>
      </c>
      <c r="FL326" s="16">
        <v>47</v>
      </c>
      <c r="FM326" s="16">
        <v>1293</v>
      </c>
      <c r="FN326" s="16">
        <v>5930</v>
      </c>
      <c r="FO326" s="16">
        <v>1839</v>
      </c>
      <c r="FP326" s="16">
        <v>6245</v>
      </c>
      <c r="FQ326" s="16">
        <v>50399</v>
      </c>
      <c r="FR326" s="16">
        <v>6493</v>
      </c>
      <c r="FS326" s="16">
        <v>2726</v>
      </c>
      <c r="FT326" s="16">
        <v>3313</v>
      </c>
      <c r="FU326" s="16">
        <v>8089</v>
      </c>
      <c r="FV326" s="16">
        <v>17350</v>
      </c>
      <c r="FW326" s="16">
        <v>11097</v>
      </c>
      <c r="FX326" s="16">
        <v>15500</v>
      </c>
      <c r="FY326" s="16">
        <v>2029</v>
      </c>
      <c r="FZ326" s="16">
        <v>2259</v>
      </c>
      <c r="GA326" s="16">
        <v>1402</v>
      </c>
      <c r="GB326" s="16">
        <v>15980</v>
      </c>
      <c r="GC326" s="16">
        <v>3062</v>
      </c>
      <c r="GD326" s="16">
        <v>12396</v>
      </c>
      <c r="GE326" s="16">
        <v>3867</v>
      </c>
      <c r="GF326" s="16">
        <v>80416</v>
      </c>
      <c r="GG326" s="16">
        <v>7348</v>
      </c>
      <c r="GH326" s="16">
        <v>51739</v>
      </c>
      <c r="GI326" s="16">
        <v>23529</v>
      </c>
      <c r="GJ326" s="16">
        <v>4962</v>
      </c>
      <c r="GK326" s="16">
        <v>8826</v>
      </c>
      <c r="GL326" s="16">
        <v>277</v>
      </c>
      <c r="GM326" s="16">
        <v>17697</v>
      </c>
      <c r="GN326" s="16">
        <v>2125</v>
      </c>
      <c r="GO326" s="16">
        <v>12875</v>
      </c>
      <c r="GP326" s="16">
        <v>244</v>
      </c>
      <c r="GQ326" s="16">
        <v>4522</v>
      </c>
      <c r="GR326" s="16">
        <v>4837</v>
      </c>
      <c r="GS326" s="16">
        <v>1834</v>
      </c>
      <c r="GT326" s="16">
        <v>2096</v>
      </c>
      <c r="GU326" s="16">
        <v>14860</v>
      </c>
      <c r="GV326" s="16">
        <v>14341</v>
      </c>
      <c r="GW326" s="16">
        <v>8445</v>
      </c>
      <c r="GX326" s="16">
        <v>2222</v>
      </c>
      <c r="GY326" s="16">
        <v>18</v>
      </c>
      <c r="GZ326" s="16">
        <v>6657</v>
      </c>
      <c r="HA326" s="16">
        <v>1908</v>
      </c>
      <c r="HB326" s="16">
        <v>2987</v>
      </c>
      <c r="HC326" s="16">
        <v>16461</v>
      </c>
      <c r="HD326" s="16">
        <v>11153</v>
      </c>
      <c r="HE326" s="16">
        <v>7025</v>
      </c>
      <c r="HF326" s="16">
        <v>22110</v>
      </c>
      <c r="HG326" s="16">
        <v>2225</v>
      </c>
      <c r="HH326" s="16">
        <v>2551</v>
      </c>
      <c r="HI326" s="16">
        <v>11038</v>
      </c>
      <c r="HJ326" s="16">
        <v>1246</v>
      </c>
      <c r="HK326" s="16">
        <v>4089</v>
      </c>
      <c r="HL326" s="16">
        <v>49069</v>
      </c>
      <c r="HM326" s="16">
        <v>14285</v>
      </c>
      <c r="HN326" s="16">
        <v>6862</v>
      </c>
      <c r="HO326" s="16">
        <v>7167</v>
      </c>
      <c r="HP326" s="16">
        <v>2279</v>
      </c>
      <c r="HQ326" s="16">
        <v>61672</v>
      </c>
      <c r="HR326" s="16">
        <v>37330</v>
      </c>
      <c r="HS326" s="16">
        <v>14062</v>
      </c>
      <c r="HT326" s="16">
        <v>1130</v>
      </c>
      <c r="HU326" s="16">
        <v>7709</v>
      </c>
      <c r="HV326" s="16">
        <v>8926</v>
      </c>
      <c r="HW326" s="16">
        <v>14447</v>
      </c>
      <c r="HX326" s="16">
        <v>1554</v>
      </c>
      <c r="HY326" s="16">
        <v>3156</v>
      </c>
      <c r="HZ326" s="16">
        <v>13055</v>
      </c>
      <c r="IA326" s="16">
        <v>6308</v>
      </c>
      <c r="IB326" s="16">
        <v>1325</v>
      </c>
      <c r="IC326" s="16">
        <v>3345</v>
      </c>
      <c r="ID326" s="16">
        <v>2587</v>
      </c>
      <c r="IE326" s="16">
        <v>1745</v>
      </c>
      <c r="IF326" s="16">
        <v>3065</v>
      </c>
      <c r="IG326" s="16">
        <v>9202</v>
      </c>
      <c r="IH326" s="16">
        <v>156778</v>
      </c>
      <c r="II326" s="16">
        <v>7464</v>
      </c>
      <c r="IJ326" s="16">
        <v>10189</v>
      </c>
      <c r="IK326" s="16">
        <v>10604</v>
      </c>
      <c r="IL326" s="16">
        <v>4888</v>
      </c>
      <c r="IM326" s="16">
        <v>683</v>
      </c>
      <c r="IN326" s="16">
        <v>34854</v>
      </c>
      <c r="IO326" s="16">
        <v>166631</v>
      </c>
      <c r="IP326" s="16">
        <v>26119</v>
      </c>
      <c r="IQ326" s="16">
        <v>11669</v>
      </c>
      <c r="IR326" s="16">
        <v>8195</v>
      </c>
      <c r="IS326" s="16">
        <v>1004</v>
      </c>
      <c r="IT326" s="16">
        <v>479</v>
      </c>
      <c r="IU326" s="16">
        <v>194</v>
      </c>
      <c r="IV326" s="16">
        <v>8574</v>
      </c>
      <c r="IW326" s="16">
        <v>4535</v>
      </c>
      <c r="IX326" s="16">
        <v>2342</v>
      </c>
      <c r="IY326" s="16">
        <v>666</v>
      </c>
      <c r="IZ326" s="16">
        <v>436</v>
      </c>
      <c r="JA326" s="16">
        <v>1831</v>
      </c>
      <c r="JB326" s="16">
        <v>745</v>
      </c>
      <c r="JC326" s="16">
        <v>501</v>
      </c>
      <c r="JD326" s="16">
        <v>95</v>
      </c>
      <c r="JE326" s="16">
        <v>2323</v>
      </c>
      <c r="JF326" s="16">
        <v>2181</v>
      </c>
      <c r="JG326" s="16">
        <v>201375</v>
      </c>
      <c r="JH326" s="16">
        <v>4603</v>
      </c>
      <c r="JI326" s="16">
        <v>12430</v>
      </c>
      <c r="JJ326" s="16">
        <v>13942</v>
      </c>
      <c r="JK326" s="16">
        <v>12017</v>
      </c>
      <c r="JL326" s="16">
        <v>518</v>
      </c>
      <c r="JM326" s="16">
        <v>2181</v>
      </c>
      <c r="JN326" s="16">
        <v>25520</v>
      </c>
      <c r="JO326" s="16">
        <v>1332</v>
      </c>
      <c r="JP326" s="16">
        <v>31</v>
      </c>
      <c r="JQ326" s="16">
        <v>2052</v>
      </c>
      <c r="JR326" s="16">
        <v>24970</v>
      </c>
      <c r="JS326" s="16">
        <v>3867</v>
      </c>
      <c r="JT326" s="16">
        <v>1</v>
      </c>
      <c r="JU326" s="16">
        <v>47961</v>
      </c>
      <c r="JV326" s="16">
        <v>94151</v>
      </c>
      <c r="JW326" s="16">
        <v>98305</v>
      </c>
      <c r="JX326" s="16">
        <v>101256</v>
      </c>
      <c r="JY326" s="16">
        <v>25631</v>
      </c>
      <c r="JZ326" s="16">
        <v>2555</v>
      </c>
      <c r="KA326" s="16">
        <v>3213</v>
      </c>
      <c r="KB326" s="16">
        <v>1119</v>
      </c>
      <c r="KC326" s="16">
        <v>988</v>
      </c>
      <c r="KD326" s="16">
        <v>226</v>
      </c>
      <c r="KE326" s="16">
        <v>293</v>
      </c>
      <c r="KF326" s="16">
        <v>2690</v>
      </c>
      <c r="KG326" s="16">
        <v>2064</v>
      </c>
      <c r="KH326" s="16">
        <v>698</v>
      </c>
      <c r="KI326" s="16">
        <v>14607</v>
      </c>
      <c r="KJ326" s="16">
        <v>690</v>
      </c>
      <c r="KK326" s="16">
        <v>714977</v>
      </c>
      <c r="KL326" s="16">
        <v>13115</v>
      </c>
      <c r="KM326" s="16">
        <v>28353</v>
      </c>
      <c r="KN326" s="16">
        <v>94304</v>
      </c>
      <c r="KO326" s="16">
        <v>10460</v>
      </c>
      <c r="KP326" s="16">
        <v>12561</v>
      </c>
      <c r="KQ326" s="16">
        <v>26887</v>
      </c>
      <c r="KR326" s="16">
        <v>23072</v>
      </c>
      <c r="KS326" s="16">
        <v>4734</v>
      </c>
      <c r="KT326" s="16">
        <v>691</v>
      </c>
      <c r="KU326" s="16">
        <v>30674</v>
      </c>
      <c r="KV326" s="16">
        <v>52566</v>
      </c>
      <c r="KW326" s="16">
        <v>179573</v>
      </c>
      <c r="KX326" s="16">
        <v>8718</v>
      </c>
      <c r="KY326" s="16">
        <v>348196</v>
      </c>
      <c r="KZ326" s="16">
        <v>42122</v>
      </c>
      <c r="LA326" s="16">
        <v>17490</v>
      </c>
      <c r="LB326" s="16">
        <v>2798</v>
      </c>
      <c r="LC326" s="16">
        <v>19175</v>
      </c>
      <c r="LD326" s="16">
        <v>12513</v>
      </c>
      <c r="LE326" s="16">
        <v>413690</v>
      </c>
      <c r="LF326" s="16">
        <v>608044</v>
      </c>
      <c r="LG326" s="16">
        <v>207708</v>
      </c>
      <c r="LH326" s="16">
        <v>247603</v>
      </c>
      <c r="LI326" s="16">
        <v>27301</v>
      </c>
      <c r="LJ326" s="16">
        <v>124531</v>
      </c>
      <c r="LK326" s="16">
        <v>1803092</v>
      </c>
      <c r="LL326" s="16">
        <v>154236</v>
      </c>
      <c r="LM326" s="16">
        <v>752318</v>
      </c>
      <c r="LN326" s="16">
        <v>5663595</v>
      </c>
      <c r="LO326" s="16">
        <v>33762</v>
      </c>
      <c r="LP326" s="16">
        <v>71730</v>
      </c>
      <c r="LQ326" s="16">
        <v>8544</v>
      </c>
      <c r="LR326" s="16">
        <v>1060032</v>
      </c>
      <c r="LS326" s="16">
        <v>138088</v>
      </c>
      <c r="LT326" s="16">
        <v>2164271</v>
      </c>
      <c r="LU326" s="16">
        <v>808978</v>
      </c>
      <c r="LV326" s="16">
        <v>3941</v>
      </c>
      <c r="LW326" s="16">
        <v>832561</v>
      </c>
      <c r="LX326" s="16">
        <v>1192767</v>
      </c>
      <c r="LY326" s="16">
        <v>0</v>
      </c>
      <c r="LZ326" s="16">
        <v>37180</v>
      </c>
      <c r="MA326" s="16">
        <v>41872</v>
      </c>
      <c r="MB326" s="16">
        <v>50254</v>
      </c>
      <c r="MC326" s="16">
        <v>202437</v>
      </c>
      <c r="MD326" s="16">
        <v>203691</v>
      </c>
      <c r="ME326" s="16">
        <v>11774</v>
      </c>
      <c r="MF326" s="16">
        <v>1053276</v>
      </c>
      <c r="MG326" s="16">
        <v>45503</v>
      </c>
      <c r="MH326" s="16">
        <v>2270328</v>
      </c>
      <c r="MI326" s="16">
        <v>127698</v>
      </c>
      <c r="MJ326" s="16">
        <v>160885</v>
      </c>
      <c r="MK326" s="16">
        <v>121284</v>
      </c>
      <c r="ML326" s="16">
        <v>206214</v>
      </c>
      <c r="MM326" s="16">
        <v>37895</v>
      </c>
      <c r="MN326" s="16">
        <v>230549</v>
      </c>
      <c r="MO326" s="16">
        <v>28413</v>
      </c>
      <c r="MP326" s="16">
        <v>75943</v>
      </c>
      <c r="MQ326" s="16">
        <v>104473</v>
      </c>
      <c r="MR326" s="16">
        <v>1580924</v>
      </c>
      <c r="MS326" s="16">
        <v>620210</v>
      </c>
      <c r="MT326" s="16">
        <v>32581</v>
      </c>
      <c r="MU326" s="16">
        <v>491999</v>
      </c>
      <c r="MV326" s="16">
        <v>361296</v>
      </c>
      <c r="MW326" s="16">
        <v>496246</v>
      </c>
      <c r="MX326" s="16">
        <v>53464</v>
      </c>
      <c r="MY326" s="16">
        <v>16448</v>
      </c>
      <c r="MZ326" s="16">
        <v>40254</v>
      </c>
      <c r="NA326" s="16">
        <v>374237</v>
      </c>
      <c r="NB326" s="16">
        <v>43044</v>
      </c>
      <c r="NC326" s="16">
        <v>202334</v>
      </c>
      <c r="ND326" s="16">
        <v>25054</v>
      </c>
      <c r="NE326" s="16">
        <v>1762</v>
      </c>
      <c r="NF326" s="16">
        <v>21199</v>
      </c>
      <c r="NG326" s="16">
        <v>71229</v>
      </c>
      <c r="NH326" s="16">
        <v>36669</v>
      </c>
      <c r="NI326" s="16">
        <v>40769</v>
      </c>
      <c r="NJ326" s="16">
        <v>203945</v>
      </c>
      <c r="NK326" s="16">
        <v>15374</v>
      </c>
      <c r="NL326" s="16">
        <v>7453</v>
      </c>
      <c r="NM326" s="16">
        <v>12826</v>
      </c>
      <c r="NN326" s="16">
        <v>1553</v>
      </c>
      <c r="NO326" s="16">
        <v>0</v>
      </c>
      <c r="NP326" s="16">
        <v>13969</v>
      </c>
      <c r="NQ326" s="16">
        <v>17321</v>
      </c>
      <c r="NR326" s="17">
        <v>30801802</v>
      </c>
    </row>
    <row r="327" spans="1:382" ht="13.5" customHeight="1" x14ac:dyDescent="0.2">
      <c r="A327" s="2" t="s">
        <v>661</v>
      </c>
      <c r="B327" s="16">
        <v>0</v>
      </c>
      <c r="C327" s="16">
        <v>0</v>
      </c>
      <c r="D327" s="16">
        <v>0</v>
      </c>
      <c r="E327" s="16">
        <v>0</v>
      </c>
      <c r="F327" s="16">
        <v>0</v>
      </c>
      <c r="G327" s="16">
        <v>0</v>
      </c>
      <c r="H327" s="16">
        <v>25</v>
      </c>
      <c r="I327" s="16">
        <v>0</v>
      </c>
      <c r="J327" s="16">
        <v>0</v>
      </c>
      <c r="K327" s="16">
        <v>0</v>
      </c>
      <c r="L327" s="16">
        <v>420</v>
      </c>
      <c r="M327" s="16">
        <v>0</v>
      </c>
      <c r="N327" s="16">
        <v>0</v>
      </c>
      <c r="O327" s="16">
        <v>5</v>
      </c>
      <c r="P327" s="16">
        <v>14</v>
      </c>
      <c r="Q327" s="16">
        <v>503</v>
      </c>
      <c r="R327" s="16">
        <v>463</v>
      </c>
      <c r="S327" s="16">
        <v>41</v>
      </c>
      <c r="T327" s="16">
        <v>76</v>
      </c>
      <c r="U327" s="16">
        <v>234</v>
      </c>
      <c r="V327" s="16">
        <v>105</v>
      </c>
      <c r="W327" s="16">
        <v>1</v>
      </c>
      <c r="X327" s="16">
        <v>951</v>
      </c>
      <c r="Y327" s="16">
        <v>819</v>
      </c>
      <c r="Z327" s="16">
        <v>7271</v>
      </c>
      <c r="AA327" s="16">
        <v>4</v>
      </c>
      <c r="AB327" s="16">
        <v>0</v>
      </c>
      <c r="AC327" s="16">
        <v>0</v>
      </c>
      <c r="AD327" s="16">
        <v>0</v>
      </c>
      <c r="AE327" s="16">
        <v>10</v>
      </c>
      <c r="AF327" s="16">
        <v>8</v>
      </c>
      <c r="AG327" s="16">
        <v>1018</v>
      </c>
      <c r="AH327" s="16">
        <v>384</v>
      </c>
      <c r="AI327" s="16">
        <v>289</v>
      </c>
      <c r="AJ327" s="16">
        <v>4097</v>
      </c>
      <c r="AK327" s="16">
        <v>1328</v>
      </c>
      <c r="AL327" s="16">
        <v>145</v>
      </c>
      <c r="AM327" s="16">
        <v>845</v>
      </c>
      <c r="AN327" s="16">
        <v>617</v>
      </c>
      <c r="AO327" s="16">
        <v>5605</v>
      </c>
      <c r="AP327" s="16">
        <v>18</v>
      </c>
      <c r="AQ327" s="16">
        <v>146</v>
      </c>
      <c r="AR327" s="16">
        <v>0</v>
      </c>
      <c r="AS327" s="16">
        <v>42</v>
      </c>
      <c r="AT327" s="16">
        <v>111</v>
      </c>
      <c r="AU327" s="16">
        <v>604</v>
      </c>
      <c r="AV327" s="16">
        <v>529</v>
      </c>
      <c r="AW327" s="16">
        <v>1021</v>
      </c>
      <c r="AX327" s="16">
        <v>361</v>
      </c>
      <c r="AY327" s="16">
        <v>28</v>
      </c>
      <c r="AZ327" s="16">
        <v>546</v>
      </c>
      <c r="BA327" s="16">
        <v>884</v>
      </c>
      <c r="BB327" s="16">
        <v>694</v>
      </c>
      <c r="BC327" s="16">
        <v>2441</v>
      </c>
      <c r="BD327" s="16">
        <v>38</v>
      </c>
      <c r="BE327" s="16">
        <v>807</v>
      </c>
      <c r="BF327" s="16">
        <v>572</v>
      </c>
      <c r="BG327" s="16">
        <v>344</v>
      </c>
      <c r="BH327" s="16">
        <v>1454</v>
      </c>
      <c r="BI327" s="16">
        <v>703</v>
      </c>
      <c r="BJ327" s="16">
        <v>135</v>
      </c>
      <c r="BK327" s="16">
        <v>357</v>
      </c>
      <c r="BL327" s="16">
        <v>1954</v>
      </c>
      <c r="BM327" s="16">
        <v>596</v>
      </c>
      <c r="BN327" s="16">
        <v>576</v>
      </c>
      <c r="BO327" s="16">
        <v>1226</v>
      </c>
      <c r="BP327" s="16">
        <v>2162</v>
      </c>
      <c r="BQ327" s="16">
        <v>498</v>
      </c>
      <c r="BR327" s="16">
        <v>268</v>
      </c>
      <c r="BS327" s="16">
        <v>3165</v>
      </c>
      <c r="BT327" s="16">
        <v>116</v>
      </c>
      <c r="BU327" s="16">
        <v>4</v>
      </c>
      <c r="BV327" s="16">
        <v>0</v>
      </c>
      <c r="BW327" s="16">
        <v>642</v>
      </c>
      <c r="BX327" s="16">
        <v>120</v>
      </c>
      <c r="BY327" s="16">
        <v>0</v>
      </c>
      <c r="BZ327" s="16">
        <v>809</v>
      </c>
      <c r="CA327" s="16">
        <v>246</v>
      </c>
      <c r="CB327" s="16">
        <v>42</v>
      </c>
      <c r="CC327" s="16">
        <v>473</v>
      </c>
      <c r="CD327" s="16">
        <v>385</v>
      </c>
      <c r="CE327" s="16">
        <v>203</v>
      </c>
      <c r="CF327" s="16">
        <v>143</v>
      </c>
      <c r="CG327" s="16">
        <v>441</v>
      </c>
      <c r="CH327" s="16">
        <v>575</v>
      </c>
      <c r="CI327" s="16">
        <v>103</v>
      </c>
      <c r="CJ327" s="16">
        <v>1197</v>
      </c>
      <c r="CK327" s="16">
        <v>1475</v>
      </c>
      <c r="CL327" s="16">
        <v>758</v>
      </c>
      <c r="CM327" s="16">
        <v>699</v>
      </c>
      <c r="CN327" s="16">
        <v>399</v>
      </c>
      <c r="CO327" s="16">
        <v>475</v>
      </c>
      <c r="CP327" s="16">
        <v>675</v>
      </c>
      <c r="CQ327" s="16">
        <v>2949</v>
      </c>
      <c r="CR327" s="16">
        <v>45</v>
      </c>
      <c r="CS327" s="16">
        <v>614</v>
      </c>
      <c r="CT327" s="16">
        <v>1426</v>
      </c>
      <c r="CU327" s="16">
        <v>2993</v>
      </c>
      <c r="CV327" s="16">
        <v>2920</v>
      </c>
      <c r="CW327" s="16">
        <v>4162</v>
      </c>
      <c r="CX327" s="16">
        <v>3904</v>
      </c>
      <c r="CY327" s="16">
        <v>1488</v>
      </c>
      <c r="CZ327" s="16">
        <v>699</v>
      </c>
      <c r="DA327" s="16">
        <v>169</v>
      </c>
      <c r="DB327" s="16">
        <v>1148</v>
      </c>
      <c r="DC327" s="16">
        <v>263</v>
      </c>
      <c r="DD327" s="16">
        <v>365</v>
      </c>
      <c r="DE327" s="16">
        <v>523</v>
      </c>
      <c r="DF327" s="16">
        <v>1791</v>
      </c>
      <c r="DG327" s="16">
        <v>1312</v>
      </c>
      <c r="DH327" s="16">
        <v>603</v>
      </c>
      <c r="DI327" s="16">
        <v>863</v>
      </c>
      <c r="DJ327" s="16">
        <v>4316</v>
      </c>
      <c r="DK327" s="16">
        <v>138</v>
      </c>
      <c r="DL327" s="16">
        <v>142</v>
      </c>
      <c r="DM327" s="16">
        <v>4608</v>
      </c>
      <c r="DN327" s="16">
        <v>616</v>
      </c>
      <c r="DO327" s="16">
        <v>777</v>
      </c>
      <c r="DP327" s="16">
        <v>531</v>
      </c>
      <c r="DQ327" s="16">
        <v>180</v>
      </c>
      <c r="DR327" s="16">
        <v>2072</v>
      </c>
      <c r="DS327" s="16">
        <v>7287</v>
      </c>
      <c r="DT327" s="16">
        <v>658</v>
      </c>
      <c r="DU327" s="16">
        <v>382</v>
      </c>
      <c r="DV327" s="16">
        <v>3549</v>
      </c>
      <c r="DW327" s="16">
        <v>1938</v>
      </c>
      <c r="DX327" s="16">
        <v>2159</v>
      </c>
      <c r="DY327" s="16">
        <v>2829</v>
      </c>
      <c r="DZ327" s="16">
        <v>4735</v>
      </c>
      <c r="EA327" s="16">
        <v>4309</v>
      </c>
      <c r="EB327" s="16">
        <v>926</v>
      </c>
      <c r="EC327" s="16">
        <v>1967</v>
      </c>
      <c r="ED327" s="16">
        <v>215</v>
      </c>
      <c r="EE327" s="16">
        <v>41</v>
      </c>
      <c r="EF327" s="16">
        <v>229</v>
      </c>
      <c r="EG327" s="16">
        <v>2334</v>
      </c>
      <c r="EH327" s="16">
        <v>263</v>
      </c>
      <c r="EI327" s="16">
        <v>507</v>
      </c>
      <c r="EJ327" s="16">
        <v>308</v>
      </c>
      <c r="EK327" s="16">
        <v>209</v>
      </c>
      <c r="EL327" s="16">
        <v>109</v>
      </c>
      <c r="EM327" s="16">
        <v>365</v>
      </c>
      <c r="EN327" s="16">
        <v>1814</v>
      </c>
      <c r="EO327" s="16">
        <v>1171</v>
      </c>
      <c r="EP327" s="16">
        <v>277</v>
      </c>
      <c r="EQ327" s="16">
        <v>837</v>
      </c>
      <c r="ER327" s="16">
        <v>219</v>
      </c>
      <c r="ES327" s="16">
        <v>733</v>
      </c>
      <c r="ET327" s="16">
        <v>972</v>
      </c>
      <c r="EU327" s="16">
        <v>2</v>
      </c>
      <c r="EV327" s="16">
        <v>9</v>
      </c>
      <c r="EW327" s="16">
        <v>117</v>
      </c>
      <c r="EX327" s="16">
        <v>3142</v>
      </c>
      <c r="EY327" s="16">
        <v>901</v>
      </c>
      <c r="EZ327" s="16">
        <v>717</v>
      </c>
      <c r="FA327" s="16">
        <v>661</v>
      </c>
      <c r="FB327" s="16">
        <v>1716</v>
      </c>
      <c r="FC327" s="16">
        <v>91</v>
      </c>
      <c r="FD327" s="16">
        <v>5715</v>
      </c>
      <c r="FE327" s="16">
        <v>1270</v>
      </c>
      <c r="FF327" s="16">
        <v>813</v>
      </c>
      <c r="FG327" s="16">
        <v>3473</v>
      </c>
      <c r="FH327" s="16">
        <v>5</v>
      </c>
      <c r="FI327" s="16">
        <v>1164</v>
      </c>
      <c r="FJ327" s="16">
        <v>105</v>
      </c>
      <c r="FK327" s="16">
        <v>1590</v>
      </c>
      <c r="FL327" s="16">
        <v>8</v>
      </c>
      <c r="FM327" s="16">
        <v>1000</v>
      </c>
      <c r="FN327" s="16">
        <v>1456</v>
      </c>
      <c r="FO327" s="16">
        <v>307</v>
      </c>
      <c r="FP327" s="16">
        <v>2060</v>
      </c>
      <c r="FQ327" s="16">
        <v>4492</v>
      </c>
      <c r="FR327" s="16">
        <v>3353</v>
      </c>
      <c r="FS327" s="16">
        <v>2379</v>
      </c>
      <c r="FT327" s="16">
        <v>610</v>
      </c>
      <c r="FU327" s="16">
        <v>3728</v>
      </c>
      <c r="FV327" s="16">
        <v>4374</v>
      </c>
      <c r="FW327" s="16">
        <v>4599</v>
      </c>
      <c r="FX327" s="16">
        <v>6259</v>
      </c>
      <c r="FY327" s="16">
        <v>763</v>
      </c>
      <c r="FZ327" s="16">
        <v>1975</v>
      </c>
      <c r="GA327" s="16">
        <v>300</v>
      </c>
      <c r="GB327" s="16">
        <v>4139</v>
      </c>
      <c r="GC327" s="16">
        <v>1909</v>
      </c>
      <c r="GD327" s="16">
        <v>2357</v>
      </c>
      <c r="GE327" s="16">
        <v>1009</v>
      </c>
      <c r="GF327" s="16">
        <v>7900</v>
      </c>
      <c r="GG327" s="16">
        <v>602</v>
      </c>
      <c r="GH327" s="16">
        <v>9586</v>
      </c>
      <c r="GI327" s="16">
        <v>2842</v>
      </c>
      <c r="GJ327" s="16">
        <v>1335</v>
      </c>
      <c r="GK327" s="16">
        <v>2362</v>
      </c>
      <c r="GL327" s="16">
        <v>136</v>
      </c>
      <c r="GM327" s="16">
        <v>8978</v>
      </c>
      <c r="GN327" s="16">
        <v>895</v>
      </c>
      <c r="GO327" s="16">
        <v>2741</v>
      </c>
      <c r="GP327" s="16">
        <v>3237</v>
      </c>
      <c r="GQ327" s="16">
        <v>126</v>
      </c>
      <c r="GR327" s="16">
        <v>1438</v>
      </c>
      <c r="GS327" s="16">
        <v>425</v>
      </c>
      <c r="GT327" s="16">
        <v>1128</v>
      </c>
      <c r="GU327" s="16">
        <v>3053</v>
      </c>
      <c r="GV327" s="16">
        <v>3327</v>
      </c>
      <c r="GW327" s="16">
        <v>5107</v>
      </c>
      <c r="GX327" s="16">
        <v>483</v>
      </c>
      <c r="GY327" s="16">
        <v>21</v>
      </c>
      <c r="GZ327" s="16">
        <v>893</v>
      </c>
      <c r="HA327" s="16">
        <v>1535</v>
      </c>
      <c r="HB327" s="16">
        <v>2620</v>
      </c>
      <c r="HC327" s="16">
        <v>4664</v>
      </c>
      <c r="HD327" s="16">
        <v>3308</v>
      </c>
      <c r="HE327" s="16">
        <v>1368</v>
      </c>
      <c r="HF327" s="16">
        <v>4166</v>
      </c>
      <c r="HG327" s="16">
        <v>391</v>
      </c>
      <c r="HH327" s="16">
        <v>1443</v>
      </c>
      <c r="HI327" s="16">
        <v>5879</v>
      </c>
      <c r="HJ327" s="16">
        <v>699</v>
      </c>
      <c r="HK327" s="16">
        <v>2265</v>
      </c>
      <c r="HL327" s="16">
        <v>8421</v>
      </c>
      <c r="HM327" s="16">
        <v>793</v>
      </c>
      <c r="HN327" s="16">
        <v>3951</v>
      </c>
      <c r="HO327" s="16">
        <v>564</v>
      </c>
      <c r="HP327" s="16">
        <v>984</v>
      </c>
      <c r="HQ327" s="16">
        <v>4269</v>
      </c>
      <c r="HR327" s="16">
        <v>5049</v>
      </c>
      <c r="HS327" s="16">
        <v>2963</v>
      </c>
      <c r="HT327" s="16">
        <v>280</v>
      </c>
      <c r="HU327" s="16">
        <v>5104</v>
      </c>
      <c r="HV327" s="16">
        <v>742</v>
      </c>
      <c r="HW327" s="16">
        <v>2975</v>
      </c>
      <c r="HX327" s="16">
        <v>1309</v>
      </c>
      <c r="HY327" s="16">
        <v>2240</v>
      </c>
      <c r="HZ327" s="16">
        <v>1761</v>
      </c>
      <c r="IA327" s="16">
        <v>608</v>
      </c>
      <c r="IB327" s="16">
        <v>420</v>
      </c>
      <c r="IC327" s="16">
        <v>269</v>
      </c>
      <c r="ID327" s="16">
        <v>307</v>
      </c>
      <c r="IE327" s="16">
        <v>127</v>
      </c>
      <c r="IF327" s="16">
        <v>327</v>
      </c>
      <c r="IG327" s="16">
        <v>890</v>
      </c>
      <c r="IH327" s="16">
        <v>4105</v>
      </c>
      <c r="II327" s="16">
        <v>205</v>
      </c>
      <c r="IJ327" s="16">
        <v>71</v>
      </c>
      <c r="IK327" s="16">
        <v>94</v>
      </c>
      <c r="IL327" s="16">
        <v>89</v>
      </c>
      <c r="IM327" s="16">
        <v>29</v>
      </c>
      <c r="IN327" s="16">
        <v>2207</v>
      </c>
      <c r="IO327" s="16">
        <v>4273</v>
      </c>
      <c r="IP327" s="16">
        <v>1090</v>
      </c>
      <c r="IQ327" s="16">
        <v>3079</v>
      </c>
      <c r="IR327" s="16">
        <v>1154</v>
      </c>
      <c r="IS327" s="16">
        <v>409</v>
      </c>
      <c r="IT327" s="16">
        <v>463</v>
      </c>
      <c r="IU327" s="16">
        <v>46</v>
      </c>
      <c r="IV327" s="16">
        <v>993</v>
      </c>
      <c r="IW327" s="16">
        <v>1140</v>
      </c>
      <c r="IX327" s="16">
        <v>1336</v>
      </c>
      <c r="IY327" s="16">
        <v>176</v>
      </c>
      <c r="IZ327" s="16">
        <v>76</v>
      </c>
      <c r="JA327" s="16">
        <v>662</v>
      </c>
      <c r="JB327" s="16">
        <v>486</v>
      </c>
      <c r="JC327" s="16">
        <v>323</v>
      </c>
      <c r="JD327" s="16">
        <v>231</v>
      </c>
      <c r="JE327" s="16">
        <v>1615</v>
      </c>
      <c r="JF327" s="16">
        <v>1641</v>
      </c>
      <c r="JG327" s="16">
        <v>70100</v>
      </c>
      <c r="JH327" s="16">
        <v>3885</v>
      </c>
      <c r="JI327" s="16">
        <v>2863</v>
      </c>
      <c r="JJ327" s="16">
        <v>866</v>
      </c>
      <c r="JK327" s="16">
        <v>189</v>
      </c>
      <c r="JL327" s="16">
        <v>209</v>
      </c>
      <c r="JM327" s="16">
        <v>316</v>
      </c>
      <c r="JN327" s="16">
        <v>5850</v>
      </c>
      <c r="JO327" s="16">
        <v>40</v>
      </c>
      <c r="JP327" s="16">
        <v>731</v>
      </c>
      <c r="JQ327" s="16">
        <v>396</v>
      </c>
      <c r="JR327" s="16">
        <v>1647</v>
      </c>
      <c r="JS327" s="16">
        <v>402</v>
      </c>
      <c r="JT327" s="16">
        <v>0</v>
      </c>
      <c r="JU327" s="16">
        <v>4221</v>
      </c>
      <c r="JV327" s="16">
        <v>93267</v>
      </c>
      <c r="JW327" s="16">
        <v>12107</v>
      </c>
      <c r="JX327" s="16">
        <v>10757</v>
      </c>
      <c r="JY327" s="16">
        <v>13429</v>
      </c>
      <c r="JZ327" s="16">
        <v>804</v>
      </c>
      <c r="KA327" s="16">
        <v>1647</v>
      </c>
      <c r="KB327" s="16">
        <v>461</v>
      </c>
      <c r="KC327" s="16">
        <v>402</v>
      </c>
      <c r="KD327" s="16">
        <v>28</v>
      </c>
      <c r="KE327" s="16">
        <v>216</v>
      </c>
      <c r="KF327" s="16">
        <v>1681</v>
      </c>
      <c r="KG327" s="16">
        <v>1124</v>
      </c>
      <c r="KH327" s="16">
        <v>1606</v>
      </c>
      <c r="KI327" s="16">
        <v>1937</v>
      </c>
      <c r="KJ327" s="16">
        <v>1670</v>
      </c>
      <c r="KK327" s="16">
        <v>1323099</v>
      </c>
      <c r="KL327" s="16">
        <v>3566</v>
      </c>
      <c r="KM327" s="16">
        <v>6631</v>
      </c>
      <c r="KN327" s="16">
        <v>10624</v>
      </c>
      <c r="KO327" s="16">
        <v>1386</v>
      </c>
      <c r="KP327" s="16">
        <v>784</v>
      </c>
      <c r="KQ327" s="16">
        <v>13346</v>
      </c>
      <c r="KR327" s="16">
        <v>11950</v>
      </c>
      <c r="KS327" s="16">
        <v>984</v>
      </c>
      <c r="KT327" s="16">
        <v>586</v>
      </c>
      <c r="KU327" s="16">
        <v>3795</v>
      </c>
      <c r="KV327" s="16">
        <v>68237</v>
      </c>
      <c r="KW327" s="16">
        <v>88135</v>
      </c>
      <c r="KX327" s="16">
        <v>332</v>
      </c>
      <c r="KY327" s="16">
        <v>23588</v>
      </c>
      <c r="KZ327" s="16">
        <v>58705</v>
      </c>
      <c r="LA327" s="16">
        <v>16891</v>
      </c>
      <c r="LB327" s="16">
        <v>3525</v>
      </c>
      <c r="LC327" s="16">
        <v>12621</v>
      </c>
      <c r="LD327" s="16">
        <v>36887</v>
      </c>
      <c r="LE327" s="16">
        <v>6738</v>
      </c>
      <c r="LF327" s="16">
        <v>15796</v>
      </c>
      <c r="LG327" s="16">
        <v>11523</v>
      </c>
      <c r="LH327" s="16">
        <v>17675</v>
      </c>
      <c r="LI327" s="16">
        <v>2750</v>
      </c>
      <c r="LJ327" s="16">
        <v>12919</v>
      </c>
      <c r="LK327" s="16">
        <v>72782</v>
      </c>
      <c r="LL327" s="16">
        <v>8697</v>
      </c>
      <c r="LM327" s="16">
        <v>27990</v>
      </c>
      <c r="LN327" s="16">
        <v>45779</v>
      </c>
      <c r="LO327" s="16">
        <v>124869</v>
      </c>
      <c r="LP327" s="16">
        <v>14763</v>
      </c>
      <c r="LQ327" s="16">
        <v>1372</v>
      </c>
      <c r="LR327" s="16">
        <v>95865</v>
      </c>
      <c r="LS327" s="16">
        <v>1205</v>
      </c>
      <c r="LT327" s="16">
        <v>45639</v>
      </c>
      <c r="LU327" s="16">
        <v>45298</v>
      </c>
      <c r="LV327" s="16">
        <v>180</v>
      </c>
      <c r="LW327" s="16">
        <v>53087</v>
      </c>
      <c r="LX327" s="16">
        <v>78247</v>
      </c>
      <c r="LY327" s="16">
        <v>0</v>
      </c>
      <c r="LZ327" s="16">
        <v>19426</v>
      </c>
      <c r="MA327" s="16">
        <v>637</v>
      </c>
      <c r="MB327" s="16">
        <v>17081</v>
      </c>
      <c r="MC327" s="16">
        <v>86252</v>
      </c>
      <c r="MD327" s="16">
        <v>40326</v>
      </c>
      <c r="ME327" s="16">
        <v>35872</v>
      </c>
      <c r="MF327" s="16">
        <v>350162</v>
      </c>
      <c r="MG327" s="16">
        <v>69417</v>
      </c>
      <c r="MH327" s="16">
        <v>606395</v>
      </c>
      <c r="MI327" s="16">
        <v>1695484</v>
      </c>
      <c r="MJ327" s="16">
        <v>92704</v>
      </c>
      <c r="MK327" s="16">
        <v>93661</v>
      </c>
      <c r="ML327" s="16">
        <v>173166</v>
      </c>
      <c r="MM327" s="16">
        <v>103292</v>
      </c>
      <c r="MN327" s="16">
        <v>64473</v>
      </c>
      <c r="MO327" s="16">
        <v>44293</v>
      </c>
      <c r="MP327" s="16">
        <v>34145</v>
      </c>
      <c r="MQ327" s="16">
        <v>69791</v>
      </c>
      <c r="MR327" s="16">
        <v>146194</v>
      </c>
      <c r="MS327" s="16">
        <v>79478</v>
      </c>
      <c r="MT327" s="16">
        <v>18627</v>
      </c>
      <c r="MU327" s="16">
        <v>148343</v>
      </c>
      <c r="MV327" s="16">
        <v>121620</v>
      </c>
      <c r="MW327" s="16">
        <v>173759</v>
      </c>
      <c r="MX327" s="16">
        <v>9789</v>
      </c>
      <c r="MY327" s="16">
        <v>6164</v>
      </c>
      <c r="MZ327" s="16">
        <v>38676</v>
      </c>
      <c r="NA327" s="16">
        <v>49200</v>
      </c>
      <c r="NB327" s="16">
        <v>59530</v>
      </c>
      <c r="NC327" s="16">
        <v>141199</v>
      </c>
      <c r="ND327" s="16">
        <v>8420</v>
      </c>
      <c r="NE327" s="16">
        <v>13723</v>
      </c>
      <c r="NF327" s="16">
        <v>30994</v>
      </c>
      <c r="NG327" s="16">
        <v>23582</v>
      </c>
      <c r="NH327" s="16">
        <v>6173</v>
      </c>
      <c r="NI327" s="16">
        <v>63796</v>
      </c>
      <c r="NJ327" s="16">
        <v>120246</v>
      </c>
      <c r="NK327" s="16">
        <v>5334</v>
      </c>
      <c r="NL327" s="16">
        <v>7319</v>
      </c>
      <c r="NM327" s="16">
        <v>63338</v>
      </c>
      <c r="NN327" s="16">
        <v>2649</v>
      </c>
      <c r="NO327" s="16">
        <v>0</v>
      </c>
      <c r="NP327" s="16">
        <v>23414</v>
      </c>
      <c r="NQ327" s="16">
        <v>396</v>
      </c>
      <c r="NR327" s="17">
        <v>7924601</v>
      </c>
    </row>
    <row r="328" spans="1:382" ht="13.5" customHeight="1" x14ac:dyDescent="0.2">
      <c r="A328" s="2" t="s">
        <v>663</v>
      </c>
      <c r="B328" s="16">
        <v>0</v>
      </c>
      <c r="C328" s="16">
        <v>0</v>
      </c>
      <c r="D328" s="16">
        <v>0</v>
      </c>
      <c r="E328" s="16">
        <v>0</v>
      </c>
      <c r="F328" s="16">
        <v>0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6">
        <v>24</v>
      </c>
      <c r="R328" s="16">
        <v>13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1</v>
      </c>
      <c r="Y328" s="16">
        <v>23</v>
      </c>
      <c r="Z328" s="16">
        <v>13</v>
      </c>
      <c r="AA328" s="16">
        <v>0</v>
      </c>
      <c r="AB328" s="16">
        <v>0</v>
      </c>
      <c r="AC328" s="16">
        <v>0</v>
      </c>
      <c r="AD328" s="16">
        <v>0</v>
      </c>
      <c r="AE328" s="16">
        <v>0</v>
      </c>
      <c r="AF328" s="16">
        <v>0</v>
      </c>
      <c r="AG328" s="16">
        <v>19</v>
      </c>
      <c r="AH328" s="16">
        <v>0</v>
      </c>
      <c r="AI328" s="16">
        <v>0</v>
      </c>
      <c r="AJ328" s="16">
        <v>7</v>
      </c>
      <c r="AK328" s="16">
        <v>45</v>
      </c>
      <c r="AL328" s="16">
        <v>0</v>
      </c>
      <c r="AM328" s="16">
        <v>10</v>
      </c>
      <c r="AN328" s="16">
        <v>0</v>
      </c>
      <c r="AO328" s="16">
        <v>0</v>
      </c>
      <c r="AP328" s="16">
        <v>0</v>
      </c>
      <c r="AQ328" s="16">
        <v>0</v>
      </c>
      <c r="AR328" s="16">
        <v>0</v>
      </c>
      <c r="AS328" s="16">
        <v>0</v>
      </c>
      <c r="AT328" s="16">
        <v>0</v>
      </c>
      <c r="AU328" s="16">
        <v>9</v>
      </c>
      <c r="AV328" s="16">
        <v>0</v>
      </c>
      <c r="AW328" s="16">
        <v>25</v>
      </c>
      <c r="AX328" s="16">
        <v>2</v>
      </c>
      <c r="AY328" s="16">
        <v>0</v>
      </c>
      <c r="AZ328" s="16">
        <v>31</v>
      </c>
      <c r="BA328" s="16">
        <v>239</v>
      </c>
      <c r="BB328" s="16">
        <v>6</v>
      </c>
      <c r="BC328" s="16">
        <v>9</v>
      </c>
      <c r="BD328" s="16">
        <v>0</v>
      </c>
      <c r="BE328" s="16">
        <v>6</v>
      </c>
      <c r="BF328" s="16">
        <v>12</v>
      </c>
      <c r="BG328" s="16">
        <v>0</v>
      </c>
      <c r="BH328" s="16">
        <v>14</v>
      </c>
      <c r="BI328" s="16">
        <v>0</v>
      </c>
      <c r="BJ328" s="16">
        <v>0</v>
      </c>
      <c r="BK328" s="16">
        <v>0</v>
      </c>
      <c r="BL328" s="16">
        <v>5</v>
      </c>
      <c r="BM328" s="16">
        <v>13</v>
      </c>
      <c r="BN328" s="16">
        <v>9</v>
      </c>
      <c r="BO328" s="16">
        <v>12</v>
      </c>
      <c r="BP328" s="16">
        <v>3</v>
      </c>
      <c r="BQ328" s="16">
        <v>4</v>
      </c>
      <c r="BR328" s="16">
        <v>0</v>
      </c>
      <c r="BS328" s="16">
        <v>7</v>
      </c>
      <c r="BT328" s="16">
        <v>0</v>
      </c>
      <c r="BU328" s="16">
        <v>0</v>
      </c>
      <c r="BV328" s="16">
        <v>0</v>
      </c>
      <c r="BW328" s="16">
        <v>7</v>
      </c>
      <c r="BX328" s="16">
        <v>0</v>
      </c>
      <c r="BY328" s="16">
        <v>0</v>
      </c>
      <c r="BZ328" s="16">
        <v>2</v>
      </c>
      <c r="CA328" s="16">
        <v>1</v>
      </c>
      <c r="CB328" s="16">
        <v>0</v>
      </c>
      <c r="CC328" s="16">
        <v>129</v>
      </c>
      <c r="CD328" s="16">
        <v>0</v>
      </c>
      <c r="CE328" s="16">
        <v>0</v>
      </c>
      <c r="CF328" s="16">
        <v>15</v>
      </c>
      <c r="CG328" s="16">
        <v>5</v>
      </c>
      <c r="CH328" s="16">
        <v>0</v>
      </c>
      <c r="CI328" s="16">
        <v>0</v>
      </c>
      <c r="CJ328" s="16">
        <v>4</v>
      </c>
      <c r="CK328" s="16">
        <v>32</v>
      </c>
      <c r="CL328" s="16">
        <v>24</v>
      </c>
      <c r="CM328" s="16">
        <v>5</v>
      </c>
      <c r="CN328" s="16">
        <v>0</v>
      </c>
      <c r="CO328" s="16">
        <v>8</v>
      </c>
      <c r="CP328" s="16">
        <v>267</v>
      </c>
      <c r="CQ328" s="16">
        <v>41153</v>
      </c>
      <c r="CR328" s="16">
        <v>0</v>
      </c>
      <c r="CS328" s="16">
        <v>4</v>
      </c>
      <c r="CT328" s="16">
        <v>3</v>
      </c>
      <c r="CU328" s="16">
        <v>0</v>
      </c>
      <c r="CV328" s="16">
        <v>14</v>
      </c>
      <c r="CW328" s="16">
        <v>33</v>
      </c>
      <c r="CX328" s="16">
        <v>92</v>
      </c>
      <c r="CY328" s="16">
        <v>5</v>
      </c>
      <c r="CZ328" s="16">
        <v>0</v>
      </c>
      <c r="DA328" s="16">
        <v>0</v>
      </c>
      <c r="DB328" s="16">
        <v>0</v>
      </c>
      <c r="DC328" s="16">
        <v>0</v>
      </c>
      <c r="DD328" s="16">
        <v>0</v>
      </c>
      <c r="DE328" s="16">
        <v>0</v>
      </c>
      <c r="DF328" s="16">
        <v>7</v>
      </c>
      <c r="DG328" s="16">
        <v>3</v>
      </c>
      <c r="DH328" s="16">
        <v>6</v>
      </c>
      <c r="DI328" s="16">
        <v>6</v>
      </c>
      <c r="DJ328" s="16">
        <v>33</v>
      </c>
      <c r="DK328" s="16">
        <v>7</v>
      </c>
      <c r="DL328" s="16">
        <v>0</v>
      </c>
      <c r="DM328" s="16">
        <v>70</v>
      </c>
      <c r="DN328" s="16">
        <v>7</v>
      </c>
      <c r="DO328" s="16">
        <v>0</v>
      </c>
      <c r="DP328" s="16">
        <v>8</v>
      </c>
      <c r="DQ328" s="16">
        <v>6</v>
      </c>
      <c r="DR328" s="16">
        <v>3</v>
      </c>
      <c r="DS328" s="16">
        <v>33</v>
      </c>
      <c r="DT328" s="16">
        <v>5</v>
      </c>
      <c r="DU328" s="16">
        <v>15</v>
      </c>
      <c r="DV328" s="16">
        <v>5</v>
      </c>
      <c r="DW328" s="16">
        <v>229</v>
      </c>
      <c r="DX328" s="16">
        <v>272</v>
      </c>
      <c r="DY328" s="16">
        <v>236</v>
      </c>
      <c r="DZ328" s="16">
        <v>1223</v>
      </c>
      <c r="EA328" s="16">
        <v>322</v>
      </c>
      <c r="EB328" s="16">
        <v>2</v>
      </c>
      <c r="EC328" s="16">
        <v>14</v>
      </c>
      <c r="ED328" s="16">
        <v>0</v>
      </c>
      <c r="EE328" s="16">
        <v>0</v>
      </c>
      <c r="EF328" s="16">
        <v>0</v>
      </c>
      <c r="EG328" s="16">
        <v>19</v>
      </c>
      <c r="EH328" s="16">
        <v>0</v>
      </c>
      <c r="EI328" s="16">
        <v>4</v>
      </c>
      <c r="EJ328" s="16">
        <v>0</v>
      </c>
      <c r="EK328" s="16">
        <v>4</v>
      </c>
      <c r="EL328" s="16">
        <v>0</v>
      </c>
      <c r="EM328" s="16">
        <v>2</v>
      </c>
      <c r="EN328" s="16">
        <v>14</v>
      </c>
      <c r="EO328" s="16">
        <v>6</v>
      </c>
      <c r="EP328" s="16">
        <v>5</v>
      </c>
      <c r="EQ328" s="16">
        <v>8</v>
      </c>
      <c r="ER328" s="16">
        <v>5</v>
      </c>
      <c r="ES328" s="16">
        <v>2</v>
      </c>
      <c r="ET328" s="16">
        <v>0</v>
      </c>
      <c r="EU328" s="16">
        <v>0</v>
      </c>
      <c r="EV328" s="16">
        <v>0</v>
      </c>
      <c r="EW328" s="16">
        <v>0</v>
      </c>
      <c r="EX328" s="16">
        <v>103</v>
      </c>
      <c r="EY328" s="16">
        <v>16</v>
      </c>
      <c r="EZ328" s="16">
        <v>1</v>
      </c>
      <c r="FA328" s="16">
        <v>1</v>
      </c>
      <c r="FB328" s="16">
        <v>10</v>
      </c>
      <c r="FC328" s="16">
        <v>0</v>
      </c>
      <c r="FD328" s="16">
        <v>6</v>
      </c>
      <c r="FE328" s="16">
        <v>9</v>
      </c>
      <c r="FF328" s="16">
        <v>0</v>
      </c>
      <c r="FG328" s="16">
        <v>6</v>
      </c>
      <c r="FH328" s="16">
        <v>0</v>
      </c>
      <c r="FI328" s="16">
        <v>6</v>
      </c>
      <c r="FJ328" s="16">
        <v>4</v>
      </c>
      <c r="FK328" s="16">
        <v>0</v>
      </c>
      <c r="FL328" s="16">
        <v>0</v>
      </c>
      <c r="FM328" s="16">
        <v>3</v>
      </c>
      <c r="FN328" s="16">
        <v>12</v>
      </c>
      <c r="FO328" s="16">
        <v>0</v>
      </c>
      <c r="FP328" s="16">
        <v>22</v>
      </c>
      <c r="FQ328" s="16">
        <v>34</v>
      </c>
      <c r="FR328" s="16">
        <v>41</v>
      </c>
      <c r="FS328" s="16">
        <v>14</v>
      </c>
      <c r="FT328" s="16">
        <v>8</v>
      </c>
      <c r="FU328" s="16">
        <v>29</v>
      </c>
      <c r="FV328" s="16">
        <v>16</v>
      </c>
      <c r="FW328" s="16">
        <v>39</v>
      </c>
      <c r="FX328" s="16">
        <v>52</v>
      </c>
      <c r="FY328" s="16">
        <v>5</v>
      </c>
      <c r="FZ328" s="16">
        <v>38</v>
      </c>
      <c r="GA328" s="16">
        <v>6</v>
      </c>
      <c r="GB328" s="16">
        <v>148</v>
      </c>
      <c r="GC328" s="16">
        <v>12</v>
      </c>
      <c r="GD328" s="16">
        <v>127</v>
      </c>
      <c r="GE328" s="16">
        <v>0</v>
      </c>
      <c r="GF328" s="16">
        <v>0</v>
      </c>
      <c r="GG328" s="16">
        <v>0</v>
      </c>
      <c r="GH328" s="16">
        <v>132</v>
      </c>
      <c r="GI328" s="16">
        <v>22</v>
      </c>
      <c r="GJ328" s="16">
        <v>6</v>
      </c>
      <c r="GK328" s="16">
        <v>46</v>
      </c>
      <c r="GL328" s="16">
        <v>1</v>
      </c>
      <c r="GM328" s="16">
        <v>16</v>
      </c>
      <c r="GN328" s="16">
        <v>464</v>
      </c>
      <c r="GO328" s="16">
        <v>6</v>
      </c>
      <c r="GP328" s="16">
        <v>103</v>
      </c>
      <c r="GQ328" s="16">
        <v>1</v>
      </c>
      <c r="GR328" s="16">
        <v>1</v>
      </c>
      <c r="GS328" s="16">
        <v>5</v>
      </c>
      <c r="GT328" s="16">
        <v>26</v>
      </c>
      <c r="GU328" s="16">
        <v>24</v>
      </c>
      <c r="GV328" s="16">
        <v>12</v>
      </c>
      <c r="GW328" s="16">
        <v>38</v>
      </c>
      <c r="GX328" s="16">
        <v>2</v>
      </c>
      <c r="GY328" s="16">
        <v>0</v>
      </c>
      <c r="GZ328" s="16">
        <v>8</v>
      </c>
      <c r="HA328" s="16">
        <v>0</v>
      </c>
      <c r="HB328" s="16">
        <v>3</v>
      </c>
      <c r="HC328" s="16">
        <v>14</v>
      </c>
      <c r="HD328" s="16">
        <v>19</v>
      </c>
      <c r="HE328" s="16">
        <v>2</v>
      </c>
      <c r="HF328" s="16">
        <v>33</v>
      </c>
      <c r="HG328" s="16">
        <v>0</v>
      </c>
      <c r="HH328" s="16">
        <v>3</v>
      </c>
      <c r="HI328" s="16">
        <v>7</v>
      </c>
      <c r="HJ328" s="16">
        <v>5</v>
      </c>
      <c r="HK328" s="16">
        <v>4</v>
      </c>
      <c r="HL328" s="16">
        <v>49</v>
      </c>
      <c r="HM328" s="16">
        <v>5</v>
      </c>
      <c r="HN328" s="16">
        <v>15</v>
      </c>
      <c r="HO328" s="16">
        <v>13</v>
      </c>
      <c r="HP328" s="16">
        <v>12</v>
      </c>
      <c r="HQ328" s="16">
        <v>12</v>
      </c>
      <c r="HR328" s="16">
        <v>17</v>
      </c>
      <c r="HS328" s="16">
        <v>12</v>
      </c>
      <c r="HT328" s="16">
        <v>37</v>
      </c>
      <c r="HU328" s="16">
        <v>15</v>
      </c>
      <c r="HV328" s="16">
        <v>6</v>
      </c>
      <c r="HW328" s="16">
        <v>14</v>
      </c>
      <c r="HX328" s="16">
        <v>5</v>
      </c>
      <c r="HY328" s="16">
        <v>28</v>
      </c>
      <c r="HZ328" s="16">
        <v>153</v>
      </c>
      <c r="IA328" s="16">
        <v>35</v>
      </c>
      <c r="IB328" s="16">
        <v>0</v>
      </c>
      <c r="IC328" s="16">
        <v>2</v>
      </c>
      <c r="ID328" s="16">
        <v>338</v>
      </c>
      <c r="IE328" s="16">
        <v>1</v>
      </c>
      <c r="IF328" s="16">
        <v>31</v>
      </c>
      <c r="IG328" s="16">
        <v>529</v>
      </c>
      <c r="IH328" s="16">
        <v>2</v>
      </c>
      <c r="II328" s="16">
        <v>0</v>
      </c>
      <c r="IJ328" s="16">
        <v>0</v>
      </c>
      <c r="IK328" s="16">
        <v>0</v>
      </c>
      <c r="IL328" s="16">
        <v>0</v>
      </c>
      <c r="IM328" s="16">
        <v>0</v>
      </c>
      <c r="IN328" s="16">
        <v>2</v>
      </c>
      <c r="IO328" s="16">
        <v>47</v>
      </c>
      <c r="IP328" s="16">
        <v>3</v>
      </c>
      <c r="IQ328" s="16">
        <v>1</v>
      </c>
      <c r="IR328" s="16">
        <v>0</v>
      </c>
      <c r="IS328" s="16">
        <v>3</v>
      </c>
      <c r="IT328" s="16">
        <v>374</v>
      </c>
      <c r="IU328" s="16">
        <v>0</v>
      </c>
      <c r="IV328" s="16">
        <v>927</v>
      </c>
      <c r="IW328" s="16">
        <v>13</v>
      </c>
      <c r="IX328" s="16">
        <v>5</v>
      </c>
      <c r="IY328" s="16">
        <v>8</v>
      </c>
      <c r="IZ328" s="16">
        <v>3</v>
      </c>
      <c r="JA328" s="16">
        <v>6</v>
      </c>
      <c r="JB328" s="16">
        <v>0</v>
      </c>
      <c r="JC328" s="16">
        <v>0</v>
      </c>
      <c r="JD328" s="16">
        <v>0</v>
      </c>
      <c r="JE328" s="16">
        <v>5</v>
      </c>
      <c r="JF328" s="16">
        <v>7</v>
      </c>
      <c r="JG328" s="16">
        <v>25</v>
      </c>
      <c r="JH328" s="16">
        <v>3</v>
      </c>
      <c r="JI328" s="16">
        <v>4</v>
      </c>
      <c r="JJ328" s="16">
        <v>0</v>
      </c>
      <c r="JK328" s="16">
        <v>2</v>
      </c>
      <c r="JL328" s="16">
        <v>0</v>
      </c>
      <c r="JM328" s="16">
        <v>0</v>
      </c>
      <c r="JN328" s="16">
        <v>0</v>
      </c>
      <c r="JO328" s="16">
        <v>0</v>
      </c>
      <c r="JP328" s="16">
        <v>93</v>
      </c>
      <c r="JQ328" s="16">
        <v>12</v>
      </c>
      <c r="JR328" s="16">
        <v>0</v>
      </c>
      <c r="JS328" s="16">
        <v>0</v>
      </c>
      <c r="JT328" s="16">
        <v>0</v>
      </c>
      <c r="JU328" s="16">
        <v>53</v>
      </c>
      <c r="JV328" s="16">
        <v>67</v>
      </c>
      <c r="JW328" s="16">
        <v>27</v>
      </c>
      <c r="JX328" s="16">
        <v>21</v>
      </c>
      <c r="JY328" s="16">
        <v>16</v>
      </c>
      <c r="JZ328" s="16">
        <v>0</v>
      </c>
      <c r="KA328" s="16">
        <v>5</v>
      </c>
      <c r="KB328" s="16">
        <v>1</v>
      </c>
      <c r="KC328" s="16">
        <v>2</v>
      </c>
      <c r="KD328" s="16">
        <v>0</v>
      </c>
      <c r="KE328" s="16">
        <v>0</v>
      </c>
      <c r="KF328" s="16">
        <v>10</v>
      </c>
      <c r="KG328" s="16">
        <v>0</v>
      </c>
      <c r="KH328" s="16">
        <v>2</v>
      </c>
      <c r="KI328" s="16">
        <v>13</v>
      </c>
      <c r="KJ328" s="16">
        <v>17</v>
      </c>
      <c r="KK328" s="16">
        <v>12227</v>
      </c>
      <c r="KL328" s="16">
        <v>24</v>
      </c>
      <c r="KM328" s="16">
        <v>619</v>
      </c>
      <c r="KN328" s="16">
        <v>1</v>
      </c>
      <c r="KO328" s="16">
        <v>6</v>
      </c>
      <c r="KP328" s="16">
        <v>0</v>
      </c>
      <c r="KQ328" s="16">
        <v>2245</v>
      </c>
      <c r="KR328" s="16">
        <v>12</v>
      </c>
      <c r="KS328" s="16">
        <v>0</v>
      </c>
      <c r="KT328" s="16">
        <v>15</v>
      </c>
      <c r="KU328" s="16">
        <v>43</v>
      </c>
      <c r="KV328" s="16">
        <v>14</v>
      </c>
      <c r="KW328" s="16">
        <v>98</v>
      </c>
      <c r="KX328" s="16">
        <v>0</v>
      </c>
      <c r="KY328" s="16">
        <v>0</v>
      </c>
      <c r="KZ328" s="16">
        <v>41705</v>
      </c>
      <c r="LA328" s="16">
        <v>6274</v>
      </c>
      <c r="LB328" s="16">
        <v>2121</v>
      </c>
      <c r="LC328" s="16">
        <v>6274</v>
      </c>
      <c r="LD328" s="16">
        <v>26007</v>
      </c>
      <c r="LE328" s="16">
        <v>4</v>
      </c>
      <c r="LF328" s="16">
        <v>51</v>
      </c>
      <c r="LG328" s="16">
        <v>9</v>
      </c>
      <c r="LH328" s="16">
        <v>813</v>
      </c>
      <c r="LI328" s="16">
        <v>384156</v>
      </c>
      <c r="LJ328" s="16">
        <v>1385227</v>
      </c>
      <c r="LK328" s="16">
        <v>1017483</v>
      </c>
      <c r="LL328" s="16">
        <v>334594</v>
      </c>
      <c r="LM328" s="16">
        <v>1426</v>
      </c>
      <c r="LN328" s="16">
        <v>1668</v>
      </c>
      <c r="LO328" s="16">
        <v>16632</v>
      </c>
      <c r="LP328" s="16">
        <v>3044529</v>
      </c>
      <c r="LQ328" s="16">
        <v>683419</v>
      </c>
      <c r="LR328" s="16">
        <v>43</v>
      </c>
      <c r="LS328" s="16">
        <v>0</v>
      </c>
      <c r="LT328" s="16">
        <v>15</v>
      </c>
      <c r="LU328" s="16">
        <v>13</v>
      </c>
      <c r="LV328" s="16">
        <v>0</v>
      </c>
      <c r="LW328" s="16">
        <v>14</v>
      </c>
      <c r="LX328" s="16">
        <v>41</v>
      </c>
      <c r="LY328" s="16">
        <v>0</v>
      </c>
      <c r="LZ328" s="16">
        <v>73</v>
      </c>
      <c r="MA328" s="16">
        <v>301</v>
      </c>
      <c r="MB328" s="16">
        <v>3060</v>
      </c>
      <c r="MC328" s="16">
        <v>47</v>
      </c>
      <c r="MD328" s="16">
        <v>1156</v>
      </c>
      <c r="ME328" s="16">
        <v>30</v>
      </c>
      <c r="MF328" s="16">
        <v>10435</v>
      </c>
      <c r="MG328" s="16">
        <v>529</v>
      </c>
      <c r="MH328" s="16">
        <v>330616</v>
      </c>
      <c r="MI328" s="16">
        <v>852102</v>
      </c>
      <c r="MJ328" s="16">
        <v>96</v>
      </c>
      <c r="MK328" s="16">
        <v>383</v>
      </c>
      <c r="ML328" s="16">
        <v>426</v>
      </c>
      <c r="MM328" s="16">
        <v>7639</v>
      </c>
      <c r="MN328" s="16">
        <v>133286</v>
      </c>
      <c r="MO328" s="16">
        <v>91</v>
      </c>
      <c r="MP328" s="16">
        <v>93</v>
      </c>
      <c r="MQ328" s="16">
        <v>3695</v>
      </c>
      <c r="MR328" s="16">
        <v>439120</v>
      </c>
      <c r="MS328" s="16">
        <v>369003</v>
      </c>
      <c r="MT328" s="16">
        <v>17081</v>
      </c>
      <c r="MU328" s="16">
        <v>191273</v>
      </c>
      <c r="MV328" s="16">
        <v>187211</v>
      </c>
      <c r="MW328" s="16">
        <v>391670</v>
      </c>
      <c r="MX328" s="16">
        <v>28380</v>
      </c>
      <c r="MY328" s="16">
        <v>0</v>
      </c>
      <c r="MZ328" s="16">
        <v>6377</v>
      </c>
      <c r="NA328" s="16">
        <v>186440</v>
      </c>
      <c r="NB328" s="16">
        <v>0</v>
      </c>
      <c r="NC328" s="16">
        <v>218749</v>
      </c>
      <c r="ND328" s="16">
        <v>703642</v>
      </c>
      <c r="NE328" s="16">
        <v>188717</v>
      </c>
      <c r="NF328" s="16">
        <v>754</v>
      </c>
      <c r="NG328" s="16">
        <v>573221</v>
      </c>
      <c r="NH328" s="16">
        <v>542299</v>
      </c>
      <c r="NI328" s="16">
        <v>295</v>
      </c>
      <c r="NJ328" s="16">
        <v>5880</v>
      </c>
      <c r="NK328" s="16">
        <v>6</v>
      </c>
      <c r="NL328" s="16">
        <v>0</v>
      </c>
      <c r="NM328" s="16">
        <v>4317</v>
      </c>
      <c r="NN328" s="16">
        <v>16</v>
      </c>
      <c r="NO328" s="16">
        <v>0</v>
      </c>
      <c r="NP328" s="16">
        <v>4807</v>
      </c>
      <c r="NQ328" s="16">
        <v>10858</v>
      </c>
      <c r="NR328" s="17">
        <v>12431820</v>
      </c>
    </row>
    <row r="329" spans="1:382" ht="13.5" customHeight="1" x14ac:dyDescent="0.2">
      <c r="A329" s="2" t="s">
        <v>665</v>
      </c>
      <c r="B329" s="16">
        <v>57</v>
      </c>
      <c r="C329" s="16">
        <v>0</v>
      </c>
      <c r="D329" s="16">
        <v>71</v>
      </c>
      <c r="E329" s="16">
        <v>38</v>
      </c>
      <c r="F329" s="16">
        <v>135</v>
      </c>
      <c r="G329" s="16">
        <v>44</v>
      </c>
      <c r="H329" s="16">
        <v>4</v>
      </c>
      <c r="I329" s="16">
        <v>16</v>
      </c>
      <c r="J329" s="16">
        <v>2</v>
      </c>
      <c r="K329" s="16">
        <v>0</v>
      </c>
      <c r="L329" s="16">
        <v>356</v>
      </c>
      <c r="M329" s="16">
        <v>12</v>
      </c>
      <c r="N329" s="16">
        <v>5</v>
      </c>
      <c r="O329" s="16">
        <v>3</v>
      </c>
      <c r="P329" s="16">
        <v>50</v>
      </c>
      <c r="Q329" s="16">
        <v>212</v>
      </c>
      <c r="R329" s="16">
        <v>238</v>
      </c>
      <c r="S329" s="16">
        <v>24</v>
      </c>
      <c r="T329" s="16">
        <v>212</v>
      </c>
      <c r="U329" s="16">
        <v>52</v>
      </c>
      <c r="V329" s="16">
        <v>113</v>
      </c>
      <c r="W329" s="16">
        <v>0</v>
      </c>
      <c r="X329" s="16">
        <v>653</v>
      </c>
      <c r="Y329" s="16">
        <v>563</v>
      </c>
      <c r="Z329" s="16">
        <v>656</v>
      </c>
      <c r="AA329" s="16">
        <v>9</v>
      </c>
      <c r="AB329" s="16">
        <v>0</v>
      </c>
      <c r="AC329" s="16">
        <v>0</v>
      </c>
      <c r="AD329" s="16">
        <v>0</v>
      </c>
      <c r="AE329" s="16">
        <v>9</v>
      </c>
      <c r="AF329" s="16">
        <v>8</v>
      </c>
      <c r="AG329" s="16">
        <v>217</v>
      </c>
      <c r="AH329" s="16">
        <v>270</v>
      </c>
      <c r="AI329" s="16">
        <v>131</v>
      </c>
      <c r="AJ329" s="16">
        <v>1530</v>
      </c>
      <c r="AK329" s="16">
        <v>289</v>
      </c>
      <c r="AL329" s="16">
        <v>20</v>
      </c>
      <c r="AM329" s="16">
        <v>109</v>
      </c>
      <c r="AN329" s="16">
        <v>24</v>
      </c>
      <c r="AO329" s="16">
        <v>48</v>
      </c>
      <c r="AP329" s="16">
        <v>4</v>
      </c>
      <c r="AQ329" s="16">
        <v>12</v>
      </c>
      <c r="AR329" s="16">
        <v>0</v>
      </c>
      <c r="AS329" s="16">
        <v>3</v>
      </c>
      <c r="AT329" s="16">
        <v>14</v>
      </c>
      <c r="AU329" s="16">
        <v>64</v>
      </c>
      <c r="AV329" s="16">
        <v>101</v>
      </c>
      <c r="AW329" s="16">
        <v>391</v>
      </c>
      <c r="AX329" s="16">
        <v>61</v>
      </c>
      <c r="AY329" s="16">
        <v>10</v>
      </c>
      <c r="AZ329" s="16">
        <v>174</v>
      </c>
      <c r="BA329" s="16">
        <v>186</v>
      </c>
      <c r="BB329" s="16">
        <v>93</v>
      </c>
      <c r="BC329" s="16">
        <v>593</v>
      </c>
      <c r="BD329" s="16">
        <v>11</v>
      </c>
      <c r="BE329" s="16">
        <v>128</v>
      </c>
      <c r="BF329" s="16">
        <v>188</v>
      </c>
      <c r="BG329" s="16">
        <v>160</v>
      </c>
      <c r="BH329" s="16">
        <v>260</v>
      </c>
      <c r="BI329" s="16">
        <v>11</v>
      </c>
      <c r="BJ329" s="16">
        <v>16</v>
      </c>
      <c r="BK329" s="16">
        <v>52</v>
      </c>
      <c r="BL329" s="16">
        <v>395</v>
      </c>
      <c r="BM329" s="16">
        <v>101</v>
      </c>
      <c r="BN329" s="16">
        <v>231</v>
      </c>
      <c r="BO329" s="16">
        <v>315</v>
      </c>
      <c r="BP329" s="16">
        <v>94</v>
      </c>
      <c r="BQ329" s="16">
        <v>182</v>
      </c>
      <c r="BR329" s="16">
        <v>38</v>
      </c>
      <c r="BS329" s="16">
        <v>437</v>
      </c>
      <c r="BT329" s="16">
        <v>5</v>
      </c>
      <c r="BU329" s="16">
        <v>2</v>
      </c>
      <c r="BV329" s="16">
        <v>0</v>
      </c>
      <c r="BW329" s="16">
        <v>172</v>
      </c>
      <c r="BX329" s="16">
        <v>27</v>
      </c>
      <c r="BY329" s="16">
        <v>0</v>
      </c>
      <c r="BZ329" s="16">
        <v>55</v>
      </c>
      <c r="CA329" s="16">
        <v>23</v>
      </c>
      <c r="CB329" s="16">
        <v>8</v>
      </c>
      <c r="CC329" s="16">
        <v>240</v>
      </c>
      <c r="CD329" s="16">
        <v>113</v>
      </c>
      <c r="CE329" s="16">
        <v>42</v>
      </c>
      <c r="CF329" s="16">
        <v>570</v>
      </c>
      <c r="CG329" s="16">
        <v>136</v>
      </c>
      <c r="CH329" s="16">
        <v>131</v>
      </c>
      <c r="CI329" s="16">
        <v>11</v>
      </c>
      <c r="CJ329" s="16">
        <v>119</v>
      </c>
      <c r="CK329" s="16">
        <v>233</v>
      </c>
      <c r="CL329" s="16">
        <v>227</v>
      </c>
      <c r="CM329" s="16">
        <v>207</v>
      </c>
      <c r="CN329" s="16">
        <v>29</v>
      </c>
      <c r="CO329" s="16">
        <v>102</v>
      </c>
      <c r="CP329" s="16">
        <v>150</v>
      </c>
      <c r="CQ329" s="16">
        <v>1611</v>
      </c>
      <c r="CR329" s="16">
        <v>45</v>
      </c>
      <c r="CS329" s="16">
        <v>172</v>
      </c>
      <c r="CT329" s="16">
        <v>78</v>
      </c>
      <c r="CU329" s="16">
        <v>393</v>
      </c>
      <c r="CV329" s="16">
        <v>194</v>
      </c>
      <c r="CW329" s="16">
        <v>337</v>
      </c>
      <c r="CX329" s="16">
        <v>613</v>
      </c>
      <c r="CY329" s="16">
        <v>36</v>
      </c>
      <c r="CZ329" s="16">
        <v>53</v>
      </c>
      <c r="DA329" s="16">
        <v>8</v>
      </c>
      <c r="DB329" s="16">
        <v>37</v>
      </c>
      <c r="DC329" s="16">
        <v>7</v>
      </c>
      <c r="DD329" s="16">
        <v>45</v>
      </c>
      <c r="DE329" s="16">
        <v>14</v>
      </c>
      <c r="DF329" s="16">
        <v>131</v>
      </c>
      <c r="DG329" s="16">
        <v>200</v>
      </c>
      <c r="DH329" s="16">
        <v>218</v>
      </c>
      <c r="DI329" s="16">
        <v>47</v>
      </c>
      <c r="DJ329" s="16">
        <v>575</v>
      </c>
      <c r="DK329" s="16">
        <v>72</v>
      </c>
      <c r="DL329" s="16">
        <v>65</v>
      </c>
      <c r="DM329" s="16">
        <v>2053</v>
      </c>
      <c r="DN329" s="16">
        <v>89</v>
      </c>
      <c r="DO329" s="16">
        <v>190</v>
      </c>
      <c r="DP329" s="16">
        <v>153</v>
      </c>
      <c r="DQ329" s="16">
        <v>32</v>
      </c>
      <c r="DR329" s="16">
        <v>296</v>
      </c>
      <c r="DS329" s="16">
        <v>719</v>
      </c>
      <c r="DT329" s="16">
        <v>66</v>
      </c>
      <c r="DU329" s="16">
        <v>62</v>
      </c>
      <c r="DV329" s="16">
        <v>512</v>
      </c>
      <c r="DW329" s="16">
        <v>582</v>
      </c>
      <c r="DX329" s="16">
        <v>431</v>
      </c>
      <c r="DY329" s="16">
        <v>548</v>
      </c>
      <c r="DZ329" s="16">
        <v>942</v>
      </c>
      <c r="EA329" s="16">
        <v>742</v>
      </c>
      <c r="EB329" s="16">
        <v>151</v>
      </c>
      <c r="EC329" s="16">
        <v>299</v>
      </c>
      <c r="ED329" s="16">
        <v>51</v>
      </c>
      <c r="EE329" s="16">
        <v>8</v>
      </c>
      <c r="EF329" s="16">
        <v>22</v>
      </c>
      <c r="EG329" s="16">
        <v>258</v>
      </c>
      <c r="EH329" s="16">
        <v>30</v>
      </c>
      <c r="EI329" s="16">
        <v>303</v>
      </c>
      <c r="EJ329" s="16">
        <v>38</v>
      </c>
      <c r="EK329" s="16">
        <v>106</v>
      </c>
      <c r="EL329" s="16">
        <v>36</v>
      </c>
      <c r="EM329" s="16">
        <v>82</v>
      </c>
      <c r="EN329" s="16">
        <v>421</v>
      </c>
      <c r="EO329" s="16">
        <v>212</v>
      </c>
      <c r="EP329" s="16">
        <v>58</v>
      </c>
      <c r="EQ329" s="16">
        <v>187</v>
      </c>
      <c r="ER329" s="16">
        <v>24</v>
      </c>
      <c r="ES329" s="16">
        <v>110</v>
      </c>
      <c r="ET329" s="16">
        <v>155</v>
      </c>
      <c r="EU329" s="16">
        <v>0</v>
      </c>
      <c r="EV329" s="16">
        <v>26</v>
      </c>
      <c r="EW329" s="16">
        <v>11</v>
      </c>
      <c r="EX329" s="16">
        <v>903</v>
      </c>
      <c r="EY329" s="16">
        <v>729</v>
      </c>
      <c r="EZ329" s="16">
        <v>316</v>
      </c>
      <c r="FA329" s="16">
        <v>358</v>
      </c>
      <c r="FB329" s="16">
        <v>1329</v>
      </c>
      <c r="FC329" s="16">
        <v>33</v>
      </c>
      <c r="FD329" s="16">
        <v>524</v>
      </c>
      <c r="FE329" s="16">
        <v>892</v>
      </c>
      <c r="FF329" s="16">
        <v>93</v>
      </c>
      <c r="FG329" s="16">
        <v>559</v>
      </c>
      <c r="FH329" s="16">
        <v>1</v>
      </c>
      <c r="FI329" s="16">
        <v>512</v>
      </c>
      <c r="FJ329" s="16">
        <v>23</v>
      </c>
      <c r="FK329" s="16">
        <v>508</v>
      </c>
      <c r="FL329" s="16">
        <v>28</v>
      </c>
      <c r="FM329" s="16">
        <v>202</v>
      </c>
      <c r="FN329" s="16">
        <v>341</v>
      </c>
      <c r="FO329" s="16">
        <v>75</v>
      </c>
      <c r="FP329" s="16">
        <v>430</v>
      </c>
      <c r="FQ329" s="16">
        <v>1198</v>
      </c>
      <c r="FR329" s="16">
        <v>815</v>
      </c>
      <c r="FS329" s="16">
        <v>308</v>
      </c>
      <c r="FT329" s="16">
        <v>151</v>
      </c>
      <c r="FU329" s="16">
        <v>902</v>
      </c>
      <c r="FV329" s="16">
        <v>387</v>
      </c>
      <c r="FW329" s="16">
        <v>1414</v>
      </c>
      <c r="FX329" s="16">
        <v>1392</v>
      </c>
      <c r="FY329" s="16">
        <v>131</v>
      </c>
      <c r="FZ329" s="16">
        <v>365</v>
      </c>
      <c r="GA329" s="16">
        <v>88</v>
      </c>
      <c r="GB329" s="16">
        <v>2265</v>
      </c>
      <c r="GC329" s="16">
        <v>191</v>
      </c>
      <c r="GD329" s="16">
        <v>486</v>
      </c>
      <c r="GE329" s="16">
        <v>24</v>
      </c>
      <c r="GF329" s="16">
        <v>55</v>
      </c>
      <c r="GG329" s="16">
        <v>10</v>
      </c>
      <c r="GH329" s="16">
        <v>964</v>
      </c>
      <c r="GI329" s="16">
        <v>351</v>
      </c>
      <c r="GJ329" s="16">
        <v>218</v>
      </c>
      <c r="GK329" s="16">
        <v>156</v>
      </c>
      <c r="GL329" s="16">
        <v>4</v>
      </c>
      <c r="GM329" s="16">
        <v>266</v>
      </c>
      <c r="GN329" s="16">
        <v>22</v>
      </c>
      <c r="GO329" s="16">
        <v>171</v>
      </c>
      <c r="GP329" s="16">
        <v>144</v>
      </c>
      <c r="GQ329" s="16">
        <v>10</v>
      </c>
      <c r="GR329" s="16">
        <v>116</v>
      </c>
      <c r="GS329" s="16">
        <v>42</v>
      </c>
      <c r="GT329" s="16">
        <v>89</v>
      </c>
      <c r="GU329" s="16">
        <v>345</v>
      </c>
      <c r="GV329" s="16">
        <v>523</v>
      </c>
      <c r="GW329" s="16">
        <v>332</v>
      </c>
      <c r="GX329" s="16">
        <v>132</v>
      </c>
      <c r="GY329" s="16">
        <v>3</v>
      </c>
      <c r="GZ329" s="16">
        <v>316</v>
      </c>
      <c r="HA329" s="16">
        <v>88</v>
      </c>
      <c r="HB329" s="16">
        <v>103</v>
      </c>
      <c r="HC329" s="16">
        <v>533</v>
      </c>
      <c r="HD329" s="16">
        <v>460</v>
      </c>
      <c r="HE329" s="16">
        <v>390</v>
      </c>
      <c r="HF329" s="16">
        <v>604</v>
      </c>
      <c r="HG329" s="16">
        <v>48</v>
      </c>
      <c r="HH329" s="16">
        <v>89</v>
      </c>
      <c r="HI329" s="16">
        <v>301</v>
      </c>
      <c r="HJ329" s="16">
        <v>77</v>
      </c>
      <c r="HK329" s="16">
        <v>278</v>
      </c>
      <c r="HL329" s="16">
        <v>569</v>
      </c>
      <c r="HM329" s="16">
        <v>114</v>
      </c>
      <c r="HN329" s="16">
        <v>1099</v>
      </c>
      <c r="HO329" s="16">
        <v>232</v>
      </c>
      <c r="HP329" s="16">
        <v>230</v>
      </c>
      <c r="HQ329" s="16">
        <v>799</v>
      </c>
      <c r="HR329" s="16">
        <v>960</v>
      </c>
      <c r="HS329" s="16">
        <v>321</v>
      </c>
      <c r="HT329" s="16">
        <v>15</v>
      </c>
      <c r="HU329" s="16">
        <v>711</v>
      </c>
      <c r="HV329" s="16">
        <v>148</v>
      </c>
      <c r="HW329" s="16">
        <v>393</v>
      </c>
      <c r="HX329" s="16">
        <v>257</v>
      </c>
      <c r="HY329" s="16">
        <v>624</v>
      </c>
      <c r="HZ329" s="16">
        <v>727</v>
      </c>
      <c r="IA329" s="16">
        <v>185</v>
      </c>
      <c r="IB329" s="16">
        <v>54</v>
      </c>
      <c r="IC329" s="16">
        <v>69</v>
      </c>
      <c r="ID329" s="16">
        <v>65</v>
      </c>
      <c r="IE329" s="16">
        <v>26</v>
      </c>
      <c r="IF329" s="16">
        <v>65</v>
      </c>
      <c r="IG329" s="16">
        <v>218</v>
      </c>
      <c r="IH329" s="16">
        <v>455</v>
      </c>
      <c r="II329" s="16">
        <v>65</v>
      </c>
      <c r="IJ329" s="16">
        <v>4</v>
      </c>
      <c r="IK329" s="16">
        <v>7</v>
      </c>
      <c r="IL329" s="16">
        <v>25</v>
      </c>
      <c r="IM329" s="16">
        <v>8</v>
      </c>
      <c r="IN329" s="16">
        <v>913</v>
      </c>
      <c r="IO329" s="16">
        <v>878</v>
      </c>
      <c r="IP329" s="16">
        <v>267</v>
      </c>
      <c r="IQ329" s="16">
        <v>92</v>
      </c>
      <c r="IR329" s="16">
        <v>41</v>
      </c>
      <c r="IS329" s="16">
        <v>85</v>
      </c>
      <c r="IT329" s="16">
        <v>17</v>
      </c>
      <c r="IU329" s="16">
        <v>6</v>
      </c>
      <c r="IV329" s="16">
        <v>178</v>
      </c>
      <c r="IW329" s="16">
        <v>353</v>
      </c>
      <c r="IX329" s="16">
        <v>160</v>
      </c>
      <c r="IY329" s="16">
        <v>38</v>
      </c>
      <c r="IZ329" s="16">
        <v>7</v>
      </c>
      <c r="JA329" s="16">
        <v>64</v>
      </c>
      <c r="JB329" s="16">
        <v>13</v>
      </c>
      <c r="JC329" s="16">
        <v>13</v>
      </c>
      <c r="JD329" s="16">
        <v>33</v>
      </c>
      <c r="JE329" s="16">
        <v>283</v>
      </c>
      <c r="JF329" s="16">
        <v>83</v>
      </c>
      <c r="JG329" s="16">
        <v>2304</v>
      </c>
      <c r="JH329" s="16">
        <v>477</v>
      </c>
      <c r="JI329" s="16">
        <v>126</v>
      </c>
      <c r="JJ329" s="16">
        <v>73</v>
      </c>
      <c r="JK329" s="16">
        <v>233</v>
      </c>
      <c r="JL329" s="16">
        <v>28</v>
      </c>
      <c r="JM329" s="16">
        <v>17</v>
      </c>
      <c r="JN329" s="16">
        <v>206</v>
      </c>
      <c r="JO329" s="16">
        <v>4</v>
      </c>
      <c r="JP329" s="16">
        <v>139</v>
      </c>
      <c r="JQ329" s="16">
        <v>146</v>
      </c>
      <c r="JR329" s="16">
        <v>685</v>
      </c>
      <c r="JS329" s="16">
        <v>262</v>
      </c>
      <c r="JT329" s="16">
        <v>0</v>
      </c>
      <c r="JU329" s="16">
        <v>514</v>
      </c>
      <c r="JV329" s="16">
        <v>1803</v>
      </c>
      <c r="JW329" s="16">
        <v>2444</v>
      </c>
      <c r="JX329" s="16">
        <v>2205</v>
      </c>
      <c r="JY329" s="16">
        <v>1275</v>
      </c>
      <c r="JZ329" s="16">
        <v>55</v>
      </c>
      <c r="KA329" s="16">
        <v>138</v>
      </c>
      <c r="KB329" s="16">
        <v>101</v>
      </c>
      <c r="KC329" s="16">
        <v>98</v>
      </c>
      <c r="KD329" s="16">
        <v>2</v>
      </c>
      <c r="KE329" s="16">
        <v>32</v>
      </c>
      <c r="KF329" s="16">
        <v>338</v>
      </c>
      <c r="KG329" s="16">
        <v>98</v>
      </c>
      <c r="KH329" s="16">
        <v>117</v>
      </c>
      <c r="KI329" s="16">
        <v>120</v>
      </c>
      <c r="KJ329" s="16">
        <v>32</v>
      </c>
      <c r="KK329" s="16">
        <v>26606</v>
      </c>
      <c r="KL329" s="16">
        <v>61</v>
      </c>
      <c r="KM329" s="16">
        <v>242</v>
      </c>
      <c r="KN329" s="16">
        <v>237</v>
      </c>
      <c r="KO329" s="16">
        <v>196</v>
      </c>
      <c r="KP329" s="16">
        <v>67</v>
      </c>
      <c r="KQ329" s="16">
        <v>115</v>
      </c>
      <c r="KR329" s="16">
        <v>489</v>
      </c>
      <c r="KS329" s="16">
        <v>8</v>
      </c>
      <c r="KT329" s="16">
        <v>29</v>
      </c>
      <c r="KU329" s="16">
        <v>1095</v>
      </c>
      <c r="KV329" s="16">
        <v>1341</v>
      </c>
      <c r="KW329" s="16">
        <v>2360</v>
      </c>
      <c r="KX329" s="16">
        <v>26</v>
      </c>
      <c r="KY329" s="16">
        <v>786</v>
      </c>
      <c r="KZ329" s="16">
        <v>5253</v>
      </c>
      <c r="LA329" s="16">
        <v>319</v>
      </c>
      <c r="LB329" s="16">
        <v>298</v>
      </c>
      <c r="LC329" s="16">
        <v>252</v>
      </c>
      <c r="LD329" s="16">
        <v>1378</v>
      </c>
      <c r="LE329" s="16">
        <v>1158</v>
      </c>
      <c r="LF329" s="16">
        <v>733</v>
      </c>
      <c r="LG329" s="16">
        <v>390</v>
      </c>
      <c r="LH329" s="16">
        <v>649</v>
      </c>
      <c r="LI329" s="16">
        <v>342</v>
      </c>
      <c r="LJ329" s="16">
        <v>1501</v>
      </c>
      <c r="LK329" s="16">
        <v>873</v>
      </c>
      <c r="LL329" s="16">
        <v>14905</v>
      </c>
      <c r="LM329" s="16">
        <v>11506</v>
      </c>
      <c r="LN329" s="16">
        <v>2845</v>
      </c>
      <c r="LO329" s="16">
        <v>1458</v>
      </c>
      <c r="LP329" s="16">
        <v>826</v>
      </c>
      <c r="LQ329" s="16">
        <v>88</v>
      </c>
      <c r="LR329" s="16">
        <v>4814</v>
      </c>
      <c r="LS329" s="16">
        <v>649</v>
      </c>
      <c r="LT329" s="16">
        <v>3455</v>
      </c>
      <c r="LU329" s="16">
        <v>2282</v>
      </c>
      <c r="LV329" s="16">
        <v>6</v>
      </c>
      <c r="LW329" s="16">
        <v>3435</v>
      </c>
      <c r="LX329" s="16">
        <v>1370</v>
      </c>
      <c r="LY329" s="16">
        <v>0</v>
      </c>
      <c r="LZ329" s="16">
        <v>2311</v>
      </c>
      <c r="MA329" s="16">
        <v>1367</v>
      </c>
      <c r="MB329" s="16">
        <v>634</v>
      </c>
      <c r="MC329" s="16">
        <v>3378</v>
      </c>
      <c r="MD329" s="16">
        <v>996</v>
      </c>
      <c r="ME329" s="16">
        <v>1404</v>
      </c>
      <c r="MF329" s="16">
        <v>2632</v>
      </c>
      <c r="MG329" s="16">
        <v>2289</v>
      </c>
      <c r="MH329" s="16">
        <v>41052</v>
      </c>
      <c r="MI329" s="16">
        <v>1913</v>
      </c>
      <c r="MJ329" s="16">
        <v>222</v>
      </c>
      <c r="MK329" s="16">
        <v>761</v>
      </c>
      <c r="ML329" s="16">
        <v>1471</v>
      </c>
      <c r="MM329" s="16">
        <v>1729</v>
      </c>
      <c r="MN329" s="16">
        <v>2031</v>
      </c>
      <c r="MO329" s="16">
        <v>1469</v>
      </c>
      <c r="MP329" s="16">
        <v>1494</v>
      </c>
      <c r="MQ329" s="16">
        <v>1892</v>
      </c>
      <c r="MR329" s="16">
        <v>2275</v>
      </c>
      <c r="MS329" s="16">
        <v>103</v>
      </c>
      <c r="MT329" s="16">
        <v>262</v>
      </c>
      <c r="MU329" s="16">
        <v>422</v>
      </c>
      <c r="MV329" s="16">
        <v>2665</v>
      </c>
      <c r="MW329" s="16">
        <v>4119</v>
      </c>
      <c r="MX329" s="16">
        <v>0</v>
      </c>
      <c r="MY329" s="16">
        <v>879</v>
      </c>
      <c r="MZ329" s="16">
        <v>2112</v>
      </c>
      <c r="NA329" s="16">
        <v>1891</v>
      </c>
      <c r="NB329" s="16">
        <v>2388</v>
      </c>
      <c r="NC329" s="16">
        <v>431</v>
      </c>
      <c r="ND329" s="16">
        <v>449</v>
      </c>
      <c r="NE329" s="16">
        <v>1376</v>
      </c>
      <c r="NF329" s="16">
        <v>976</v>
      </c>
      <c r="NG329" s="16">
        <v>2192</v>
      </c>
      <c r="NH329" s="16">
        <v>1535</v>
      </c>
      <c r="NI329" s="16">
        <v>3201</v>
      </c>
      <c r="NJ329" s="16">
        <v>2149</v>
      </c>
      <c r="NK329" s="16">
        <v>2003</v>
      </c>
      <c r="NL329" s="16">
        <v>698</v>
      </c>
      <c r="NM329" s="16">
        <v>1515</v>
      </c>
      <c r="NN329" s="16">
        <v>284</v>
      </c>
      <c r="NO329" s="16">
        <v>0</v>
      </c>
      <c r="NP329" s="16">
        <v>757</v>
      </c>
      <c r="NQ329" s="16">
        <v>43</v>
      </c>
      <c r="NR329" s="17">
        <v>277530</v>
      </c>
    </row>
    <row r="330" spans="1:382" ht="13.5" customHeight="1" x14ac:dyDescent="0.2">
      <c r="A330" s="2" t="s">
        <v>667</v>
      </c>
      <c r="B330" s="16">
        <v>208089</v>
      </c>
      <c r="C330" s="16">
        <v>8310</v>
      </c>
      <c r="D330" s="16">
        <v>22676</v>
      </c>
      <c r="E330" s="16">
        <v>39422</v>
      </c>
      <c r="F330" s="16">
        <v>379044</v>
      </c>
      <c r="G330" s="16">
        <v>161525</v>
      </c>
      <c r="H330" s="16">
        <v>14092</v>
      </c>
      <c r="I330" s="16">
        <v>51883</v>
      </c>
      <c r="J330" s="16">
        <v>1683</v>
      </c>
      <c r="K330" s="16">
        <v>0</v>
      </c>
      <c r="L330" s="16">
        <v>19655</v>
      </c>
      <c r="M330" s="16">
        <v>23094</v>
      </c>
      <c r="N330" s="16">
        <v>265</v>
      </c>
      <c r="O330" s="16">
        <v>67323</v>
      </c>
      <c r="P330" s="16">
        <v>120026</v>
      </c>
      <c r="Q330" s="16">
        <v>207636</v>
      </c>
      <c r="R330" s="16">
        <v>196525</v>
      </c>
      <c r="S330" s="16">
        <v>28346</v>
      </c>
      <c r="T330" s="16">
        <v>6939</v>
      </c>
      <c r="U330" s="16">
        <v>1953</v>
      </c>
      <c r="V330" s="16">
        <v>4408</v>
      </c>
      <c r="W330" s="16">
        <v>595</v>
      </c>
      <c r="X330" s="16">
        <v>149552</v>
      </c>
      <c r="Y330" s="16">
        <v>101232</v>
      </c>
      <c r="Z330" s="16">
        <v>35927</v>
      </c>
      <c r="AA330" s="16">
        <v>8993</v>
      </c>
      <c r="AB330" s="16">
        <v>0</v>
      </c>
      <c r="AC330" s="16">
        <v>0</v>
      </c>
      <c r="AD330" s="16">
        <v>0</v>
      </c>
      <c r="AE330" s="16">
        <v>1674</v>
      </c>
      <c r="AF330" s="16">
        <v>968</v>
      </c>
      <c r="AG330" s="16">
        <v>16475</v>
      </c>
      <c r="AH330" s="16">
        <v>10056</v>
      </c>
      <c r="AI330" s="16">
        <v>2172</v>
      </c>
      <c r="AJ330" s="16">
        <v>129773</v>
      </c>
      <c r="AK330" s="16">
        <v>48291</v>
      </c>
      <c r="AL330" s="16">
        <v>47780</v>
      </c>
      <c r="AM330" s="16">
        <v>64760</v>
      </c>
      <c r="AN330" s="16">
        <v>55634</v>
      </c>
      <c r="AO330" s="16">
        <v>40590</v>
      </c>
      <c r="AP330" s="16">
        <v>63279</v>
      </c>
      <c r="AQ330" s="16">
        <v>24357</v>
      </c>
      <c r="AR330" s="16">
        <v>0</v>
      </c>
      <c r="AS330" s="16">
        <v>13431</v>
      </c>
      <c r="AT330" s="16">
        <v>14391</v>
      </c>
      <c r="AU330" s="16">
        <v>86695</v>
      </c>
      <c r="AV330" s="16">
        <v>33823</v>
      </c>
      <c r="AW330" s="16">
        <v>74061</v>
      </c>
      <c r="AX330" s="16">
        <v>34568</v>
      </c>
      <c r="AY330" s="16">
        <v>57499</v>
      </c>
      <c r="AZ330" s="16">
        <v>27838</v>
      </c>
      <c r="BA330" s="16">
        <v>43907</v>
      </c>
      <c r="BB330" s="16">
        <v>99197</v>
      </c>
      <c r="BC330" s="16">
        <v>127869</v>
      </c>
      <c r="BD330" s="16">
        <v>2817</v>
      </c>
      <c r="BE330" s="16">
        <v>10907</v>
      </c>
      <c r="BF330" s="16">
        <v>14121</v>
      </c>
      <c r="BG330" s="16">
        <v>6158</v>
      </c>
      <c r="BH330" s="16">
        <v>47690</v>
      </c>
      <c r="BI330" s="16">
        <v>6980</v>
      </c>
      <c r="BJ330" s="16">
        <v>19880</v>
      </c>
      <c r="BK330" s="16">
        <v>12933</v>
      </c>
      <c r="BL330" s="16">
        <v>85355</v>
      </c>
      <c r="BM330" s="16">
        <v>15173</v>
      </c>
      <c r="BN330" s="16">
        <v>34199</v>
      </c>
      <c r="BO330" s="16">
        <v>28385</v>
      </c>
      <c r="BP330" s="16">
        <v>88111</v>
      </c>
      <c r="BQ330" s="16">
        <v>25739</v>
      </c>
      <c r="BR330" s="16">
        <v>46577</v>
      </c>
      <c r="BS330" s="16">
        <v>224551</v>
      </c>
      <c r="BT330" s="16">
        <v>30122</v>
      </c>
      <c r="BU330" s="16">
        <v>2620</v>
      </c>
      <c r="BV330" s="16">
        <v>1644</v>
      </c>
      <c r="BW330" s="16">
        <v>32905</v>
      </c>
      <c r="BX330" s="16">
        <v>24338</v>
      </c>
      <c r="BY330" s="16">
        <v>166</v>
      </c>
      <c r="BZ330" s="16">
        <v>20552</v>
      </c>
      <c r="CA330" s="16">
        <v>30555</v>
      </c>
      <c r="CB330" s="16">
        <v>3831</v>
      </c>
      <c r="CC330" s="16">
        <v>34702</v>
      </c>
      <c r="CD330" s="16">
        <v>13027</v>
      </c>
      <c r="CE330" s="16">
        <v>13788</v>
      </c>
      <c r="CF330" s="16">
        <v>27521</v>
      </c>
      <c r="CG330" s="16">
        <v>30638</v>
      </c>
      <c r="CH330" s="16">
        <v>15126</v>
      </c>
      <c r="CI330" s="16">
        <v>1891</v>
      </c>
      <c r="CJ330" s="16">
        <v>39454</v>
      </c>
      <c r="CK330" s="16">
        <v>64285</v>
      </c>
      <c r="CL330" s="16">
        <v>71652</v>
      </c>
      <c r="CM330" s="16">
        <v>35422</v>
      </c>
      <c r="CN330" s="16">
        <v>9239</v>
      </c>
      <c r="CO330" s="16">
        <v>35487</v>
      </c>
      <c r="CP330" s="16">
        <v>22102</v>
      </c>
      <c r="CQ330" s="16">
        <v>160720</v>
      </c>
      <c r="CR330" s="16">
        <v>1197</v>
      </c>
      <c r="CS330" s="16">
        <v>39461</v>
      </c>
      <c r="CT330" s="16">
        <v>58985</v>
      </c>
      <c r="CU330" s="16">
        <v>48062</v>
      </c>
      <c r="CV330" s="16">
        <v>18457</v>
      </c>
      <c r="CW330" s="16">
        <v>130313</v>
      </c>
      <c r="CX330" s="16">
        <v>27099</v>
      </c>
      <c r="CY330" s="16">
        <v>9955</v>
      </c>
      <c r="CZ330" s="16">
        <v>23247</v>
      </c>
      <c r="DA330" s="16">
        <v>10146</v>
      </c>
      <c r="DB330" s="16">
        <v>22672</v>
      </c>
      <c r="DC330" s="16">
        <v>75128</v>
      </c>
      <c r="DD330" s="16">
        <v>124664</v>
      </c>
      <c r="DE330" s="16">
        <v>88386</v>
      </c>
      <c r="DF330" s="16">
        <v>72677</v>
      </c>
      <c r="DG330" s="16">
        <v>50296</v>
      </c>
      <c r="DH330" s="16">
        <v>153276</v>
      </c>
      <c r="DI330" s="16">
        <v>11533</v>
      </c>
      <c r="DJ330" s="16">
        <v>226651</v>
      </c>
      <c r="DK330" s="16">
        <v>23624</v>
      </c>
      <c r="DL330" s="16">
        <v>17017</v>
      </c>
      <c r="DM330" s="16">
        <v>314318</v>
      </c>
      <c r="DN330" s="16">
        <v>21303</v>
      </c>
      <c r="DO330" s="16">
        <v>14545</v>
      </c>
      <c r="DP330" s="16">
        <v>33478</v>
      </c>
      <c r="DQ330" s="16">
        <v>5030</v>
      </c>
      <c r="DR330" s="16">
        <v>29532</v>
      </c>
      <c r="DS330" s="16">
        <v>78114</v>
      </c>
      <c r="DT330" s="16">
        <v>15778</v>
      </c>
      <c r="DU330" s="16">
        <v>7380</v>
      </c>
      <c r="DV330" s="16">
        <v>104741</v>
      </c>
      <c r="DW330" s="16">
        <v>95021</v>
      </c>
      <c r="DX330" s="16">
        <v>36338</v>
      </c>
      <c r="DY330" s="16">
        <v>70203</v>
      </c>
      <c r="DZ330" s="16">
        <v>114816</v>
      </c>
      <c r="EA330" s="16">
        <v>88195</v>
      </c>
      <c r="EB330" s="16">
        <v>292188</v>
      </c>
      <c r="EC330" s="16">
        <v>377888</v>
      </c>
      <c r="ED330" s="16">
        <v>45333</v>
      </c>
      <c r="EE330" s="16">
        <v>7128</v>
      </c>
      <c r="EF330" s="16">
        <v>22920</v>
      </c>
      <c r="EG330" s="16">
        <v>47881</v>
      </c>
      <c r="EH330" s="16">
        <v>10924</v>
      </c>
      <c r="EI330" s="16">
        <v>8531</v>
      </c>
      <c r="EJ330" s="16">
        <v>8587</v>
      </c>
      <c r="EK330" s="16">
        <v>13006</v>
      </c>
      <c r="EL330" s="16">
        <v>4188</v>
      </c>
      <c r="EM330" s="16">
        <v>46492</v>
      </c>
      <c r="EN330" s="16">
        <v>139349</v>
      </c>
      <c r="EO330" s="16">
        <v>66388</v>
      </c>
      <c r="EP330" s="16">
        <v>15978</v>
      </c>
      <c r="EQ330" s="16">
        <v>14870</v>
      </c>
      <c r="ER330" s="16">
        <v>6228</v>
      </c>
      <c r="ES330" s="16">
        <v>28747</v>
      </c>
      <c r="ET330" s="16">
        <v>34621</v>
      </c>
      <c r="EU330" s="16">
        <v>1555</v>
      </c>
      <c r="EV330" s="16">
        <v>15565</v>
      </c>
      <c r="EW330" s="16">
        <v>15154</v>
      </c>
      <c r="EX330" s="16">
        <v>79152</v>
      </c>
      <c r="EY330" s="16">
        <v>22634</v>
      </c>
      <c r="EZ330" s="16">
        <v>20031</v>
      </c>
      <c r="FA330" s="16">
        <v>56194</v>
      </c>
      <c r="FB330" s="16">
        <v>89932</v>
      </c>
      <c r="FC330" s="16">
        <v>19865</v>
      </c>
      <c r="FD330" s="16">
        <v>89730</v>
      </c>
      <c r="FE330" s="16">
        <v>80080</v>
      </c>
      <c r="FF330" s="16">
        <v>119672</v>
      </c>
      <c r="FG330" s="16">
        <v>66181</v>
      </c>
      <c r="FH330" s="16">
        <v>46655</v>
      </c>
      <c r="FI330" s="16">
        <v>33179</v>
      </c>
      <c r="FJ330" s="16">
        <v>32953</v>
      </c>
      <c r="FK330" s="16">
        <v>32141</v>
      </c>
      <c r="FL330" s="16">
        <v>6632</v>
      </c>
      <c r="FM330" s="16">
        <v>58518</v>
      </c>
      <c r="FN330" s="16">
        <v>58559</v>
      </c>
      <c r="FO330" s="16">
        <v>22684</v>
      </c>
      <c r="FP330" s="16">
        <v>41681</v>
      </c>
      <c r="FQ330" s="16">
        <v>206825</v>
      </c>
      <c r="FR330" s="16">
        <v>145908</v>
      </c>
      <c r="FS330" s="16">
        <v>37720</v>
      </c>
      <c r="FT330" s="16">
        <v>53966</v>
      </c>
      <c r="FU330" s="16">
        <v>44888</v>
      </c>
      <c r="FV330" s="16">
        <v>71514</v>
      </c>
      <c r="FW330" s="16">
        <v>132893</v>
      </c>
      <c r="FX330" s="16">
        <v>199137</v>
      </c>
      <c r="FY330" s="16">
        <v>24299</v>
      </c>
      <c r="FZ330" s="16">
        <v>44291</v>
      </c>
      <c r="GA330" s="16">
        <v>41441</v>
      </c>
      <c r="GB330" s="16">
        <v>102351</v>
      </c>
      <c r="GC330" s="16">
        <v>38208</v>
      </c>
      <c r="GD330" s="16">
        <v>107687</v>
      </c>
      <c r="GE330" s="16">
        <v>56325</v>
      </c>
      <c r="GF330" s="16">
        <v>482163</v>
      </c>
      <c r="GG330" s="16">
        <v>64459</v>
      </c>
      <c r="GH330" s="16">
        <v>177688</v>
      </c>
      <c r="GI330" s="16">
        <v>62990</v>
      </c>
      <c r="GJ330" s="16">
        <v>36957</v>
      </c>
      <c r="GK330" s="16">
        <v>41906</v>
      </c>
      <c r="GL330" s="16">
        <v>7587</v>
      </c>
      <c r="GM330" s="16">
        <v>47821</v>
      </c>
      <c r="GN330" s="16">
        <v>17264</v>
      </c>
      <c r="GO330" s="16">
        <v>17405</v>
      </c>
      <c r="GP330" s="16">
        <v>135080</v>
      </c>
      <c r="GQ330" s="16">
        <v>49512</v>
      </c>
      <c r="GR330" s="16">
        <v>2170</v>
      </c>
      <c r="GS330" s="16">
        <v>9410</v>
      </c>
      <c r="GT330" s="16">
        <v>9833</v>
      </c>
      <c r="GU330" s="16">
        <v>110061</v>
      </c>
      <c r="GV330" s="16">
        <v>156458</v>
      </c>
      <c r="GW330" s="16">
        <v>63679</v>
      </c>
      <c r="GX330" s="16">
        <v>47419</v>
      </c>
      <c r="GY330" s="16">
        <v>784</v>
      </c>
      <c r="GZ330" s="16">
        <v>76512</v>
      </c>
      <c r="HA330" s="16">
        <v>32104</v>
      </c>
      <c r="HB330" s="16">
        <v>31788</v>
      </c>
      <c r="HC330" s="16">
        <v>74575</v>
      </c>
      <c r="HD330" s="16">
        <v>86803</v>
      </c>
      <c r="HE330" s="16">
        <v>259455</v>
      </c>
      <c r="HF330" s="16">
        <v>98587</v>
      </c>
      <c r="HG330" s="16">
        <v>27458</v>
      </c>
      <c r="HH330" s="16">
        <v>16363</v>
      </c>
      <c r="HI330" s="16">
        <v>39594</v>
      </c>
      <c r="HJ330" s="16">
        <v>10398</v>
      </c>
      <c r="HK330" s="16">
        <v>62931</v>
      </c>
      <c r="HL330" s="16">
        <v>164154</v>
      </c>
      <c r="HM330" s="16">
        <v>75008</v>
      </c>
      <c r="HN330" s="16">
        <v>140564</v>
      </c>
      <c r="HO330" s="16">
        <v>74986</v>
      </c>
      <c r="HP330" s="16">
        <v>60385</v>
      </c>
      <c r="HQ330" s="16">
        <v>155063</v>
      </c>
      <c r="HR330" s="16">
        <v>180914</v>
      </c>
      <c r="HS330" s="16">
        <v>117343</v>
      </c>
      <c r="HT330" s="16">
        <v>18886</v>
      </c>
      <c r="HU330" s="16">
        <v>123492</v>
      </c>
      <c r="HV330" s="16">
        <v>46285</v>
      </c>
      <c r="HW330" s="16">
        <v>118197</v>
      </c>
      <c r="HX330" s="16">
        <v>101931</v>
      </c>
      <c r="HY330" s="16">
        <v>139647</v>
      </c>
      <c r="HZ330" s="16">
        <v>222737</v>
      </c>
      <c r="IA330" s="16">
        <v>46576</v>
      </c>
      <c r="IB330" s="16">
        <v>14011</v>
      </c>
      <c r="IC330" s="16">
        <v>6657</v>
      </c>
      <c r="ID330" s="16">
        <v>30057</v>
      </c>
      <c r="IE330" s="16">
        <v>7655</v>
      </c>
      <c r="IF330" s="16">
        <v>17515</v>
      </c>
      <c r="IG330" s="16">
        <v>135951</v>
      </c>
      <c r="IH330" s="16">
        <v>531207</v>
      </c>
      <c r="II330" s="16">
        <v>97916</v>
      </c>
      <c r="IJ330" s="16">
        <v>25216</v>
      </c>
      <c r="IK330" s="16">
        <v>44364</v>
      </c>
      <c r="IL330" s="16">
        <v>16151</v>
      </c>
      <c r="IM330" s="16">
        <v>2689</v>
      </c>
      <c r="IN330" s="16">
        <v>116527</v>
      </c>
      <c r="IO330" s="16">
        <v>514744</v>
      </c>
      <c r="IP330" s="16">
        <v>242192</v>
      </c>
      <c r="IQ330" s="16">
        <v>30385</v>
      </c>
      <c r="IR330" s="16">
        <v>59112</v>
      </c>
      <c r="IS330" s="16">
        <v>30056</v>
      </c>
      <c r="IT330" s="16">
        <v>52494</v>
      </c>
      <c r="IU330" s="16">
        <v>1401</v>
      </c>
      <c r="IV330" s="16">
        <v>26441</v>
      </c>
      <c r="IW330" s="16">
        <v>104728</v>
      </c>
      <c r="IX330" s="16">
        <v>30511</v>
      </c>
      <c r="IY330" s="16">
        <v>38165</v>
      </c>
      <c r="IZ330" s="16">
        <v>2464</v>
      </c>
      <c r="JA330" s="16">
        <v>6704</v>
      </c>
      <c r="JB330" s="16">
        <v>993</v>
      </c>
      <c r="JC330" s="16">
        <v>1797</v>
      </c>
      <c r="JD330" s="16">
        <v>6100</v>
      </c>
      <c r="JE330" s="16">
        <v>16281</v>
      </c>
      <c r="JF330" s="16">
        <v>11122</v>
      </c>
      <c r="JG330" s="16">
        <v>311019</v>
      </c>
      <c r="JH330" s="16">
        <v>46455</v>
      </c>
      <c r="JI330" s="16">
        <v>9704</v>
      </c>
      <c r="JJ330" s="16">
        <v>413771</v>
      </c>
      <c r="JK330" s="16">
        <v>66339</v>
      </c>
      <c r="JL330" s="16">
        <v>39801</v>
      </c>
      <c r="JM330" s="16">
        <v>11042</v>
      </c>
      <c r="JN330" s="16">
        <v>51586</v>
      </c>
      <c r="JO330" s="16">
        <v>177346</v>
      </c>
      <c r="JP330" s="16">
        <v>64825</v>
      </c>
      <c r="JQ330" s="16">
        <v>11023</v>
      </c>
      <c r="JR330" s="16">
        <v>92012</v>
      </c>
      <c r="JS330" s="16">
        <v>13281</v>
      </c>
      <c r="JT330" s="16">
        <v>0</v>
      </c>
      <c r="JU330" s="16">
        <v>254993</v>
      </c>
      <c r="JV330" s="16">
        <v>23572</v>
      </c>
      <c r="JW330" s="16">
        <v>987603</v>
      </c>
      <c r="JX330" s="16">
        <v>1072877</v>
      </c>
      <c r="JY330" s="16">
        <v>232325</v>
      </c>
      <c r="JZ330" s="16">
        <v>147559</v>
      </c>
      <c r="KA330" s="16">
        <v>55531</v>
      </c>
      <c r="KB330" s="16">
        <v>16043</v>
      </c>
      <c r="KC330" s="16">
        <v>27612</v>
      </c>
      <c r="KD330" s="16">
        <v>50896</v>
      </c>
      <c r="KE330" s="16">
        <v>15668</v>
      </c>
      <c r="KF330" s="16">
        <v>93955</v>
      </c>
      <c r="KG330" s="16">
        <v>22326</v>
      </c>
      <c r="KH330" s="16">
        <v>92605</v>
      </c>
      <c r="KI330" s="16">
        <v>142541</v>
      </c>
      <c r="KJ330" s="16">
        <v>103571</v>
      </c>
      <c r="KK330" s="16">
        <v>6537629</v>
      </c>
      <c r="KL330" s="16">
        <v>42263</v>
      </c>
      <c r="KM330" s="16">
        <v>127408</v>
      </c>
      <c r="KN330" s="16">
        <v>214915</v>
      </c>
      <c r="KO330" s="16">
        <v>10387</v>
      </c>
      <c r="KP330" s="16">
        <v>112756</v>
      </c>
      <c r="KQ330" s="16">
        <v>133729</v>
      </c>
      <c r="KR330" s="16">
        <v>59077</v>
      </c>
      <c r="KS330" s="16">
        <v>12521</v>
      </c>
      <c r="KT330" s="16">
        <v>10285</v>
      </c>
      <c r="KU330" s="16">
        <v>68427</v>
      </c>
      <c r="KV330" s="16">
        <v>294710</v>
      </c>
      <c r="KW330" s="16">
        <v>269869</v>
      </c>
      <c r="KX330" s="16">
        <v>30611</v>
      </c>
      <c r="KY330" s="16">
        <v>84728</v>
      </c>
      <c r="KZ330" s="16">
        <v>804851</v>
      </c>
      <c r="LA330" s="16">
        <v>236164</v>
      </c>
      <c r="LB330" s="16">
        <v>84771</v>
      </c>
      <c r="LC330" s="16">
        <v>122973</v>
      </c>
      <c r="LD330" s="16">
        <v>1221163</v>
      </c>
      <c r="LE330" s="16">
        <v>30773</v>
      </c>
      <c r="LF330" s="16">
        <v>69263</v>
      </c>
      <c r="LG330" s="16">
        <v>7482</v>
      </c>
      <c r="LH330" s="16">
        <v>15636</v>
      </c>
      <c r="LI330" s="16">
        <v>13966</v>
      </c>
      <c r="LJ330" s="16">
        <v>32952</v>
      </c>
      <c r="LK330" s="16">
        <v>73969</v>
      </c>
      <c r="LL330" s="16">
        <v>71982</v>
      </c>
      <c r="LM330" s="16">
        <v>185332</v>
      </c>
      <c r="LN330" s="16">
        <v>169946</v>
      </c>
      <c r="LO330" s="16">
        <v>568868</v>
      </c>
      <c r="LP330" s="16">
        <v>128081</v>
      </c>
      <c r="LQ330" s="16">
        <v>14637</v>
      </c>
      <c r="LR330" s="16">
        <v>4442663</v>
      </c>
      <c r="LS330" s="16">
        <v>611791</v>
      </c>
      <c r="LT330" s="16">
        <v>879135</v>
      </c>
      <c r="LU330" s="16">
        <v>100799</v>
      </c>
      <c r="LV330" s="16">
        <v>21178</v>
      </c>
      <c r="LW330" s="16">
        <v>56672</v>
      </c>
      <c r="LX330" s="16">
        <v>1590301</v>
      </c>
      <c r="LY330" s="16">
        <v>12513310</v>
      </c>
      <c r="LZ330" s="16">
        <v>2820082</v>
      </c>
      <c r="MA330" s="16">
        <v>1017206</v>
      </c>
      <c r="MB330" s="16">
        <v>1345198</v>
      </c>
      <c r="MC330" s="16">
        <v>92515</v>
      </c>
      <c r="MD330" s="16">
        <v>59805</v>
      </c>
      <c r="ME330" s="16">
        <v>8333</v>
      </c>
      <c r="MF330" s="16">
        <v>201825</v>
      </c>
      <c r="MG330" s="16">
        <v>124310</v>
      </c>
      <c r="MH330" s="16">
        <v>540245</v>
      </c>
      <c r="MI330" s="16">
        <v>81781</v>
      </c>
      <c r="MJ330" s="16">
        <v>127611</v>
      </c>
      <c r="MK330" s="16">
        <v>72501</v>
      </c>
      <c r="ML330" s="16">
        <v>74978</v>
      </c>
      <c r="MM330" s="16">
        <v>83943</v>
      </c>
      <c r="MN330" s="16">
        <v>257049</v>
      </c>
      <c r="MO330" s="16">
        <v>173641</v>
      </c>
      <c r="MP330" s="16">
        <v>111735</v>
      </c>
      <c r="MQ330" s="16">
        <v>176041</v>
      </c>
      <c r="MR330" s="16">
        <v>1624902</v>
      </c>
      <c r="MS330" s="16">
        <v>631495</v>
      </c>
      <c r="MT330" s="16">
        <v>68269</v>
      </c>
      <c r="MU330" s="16">
        <v>1134283</v>
      </c>
      <c r="MV330" s="16">
        <v>239312</v>
      </c>
      <c r="MW330" s="16">
        <v>179088</v>
      </c>
      <c r="MX330" s="16">
        <v>85311</v>
      </c>
      <c r="MY330" s="16">
        <v>699326</v>
      </c>
      <c r="MZ330" s="16">
        <v>800034</v>
      </c>
      <c r="NA330" s="16">
        <v>119157</v>
      </c>
      <c r="NB330" s="16">
        <v>358039</v>
      </c>
      <c r="NC330" s="16">
        <v>118155</v>
      </c>
      <c r="ND330" s="16">
        <v>33183</v>
      </c>
      <c r="NE330" s="16">
        <v>14924</v>
      </c>
      <c r="NF330" s="16">
        <v>36265</v>
      </c>
      <c r="NG330" s="16">
        <v>338874</v>
      </c>
      <c r="NH330" s="16">
        <v>260705</v>
      </c>
      <c r="NI330" s="16">
        <v>121477</v>
      </c>
      <c r="NJ330" s="16">
        <v>444868</v>
      </c>
      <c r="NK330" s="16">
        <v>193067</v>
      </c>
      <c r="NL330" s="16">
        <v>75215</v>
      </c>
      <c r="NM330" s="16">
        <v>231877</v>
      </c>
      <c r="NN330" s="16">
        <v>55527</v>
      </c>
      <c r="NO330" s="16">
        <v>0</v>
      </c>
      <c r="NP330" s="16">
        <v>198556</v>
      </c>
      <c r="NQ330" s="16">
        <v>0</v>
      </c>
      <c r="NR330" s="17">
        <v>68660279</v>
      </c>
    </row>
    <row r="331" spans="1:382" ht="13.5" customHeight="1" x14ac:dyDescent="0.2">
      <c r="A331" s="2" t="s">
        <v>669</v>
      </c>
      <c r="B331" s="16">
        <v>2559</v>
      </c>
      <c r="C331" s="16">
        <v>102</v>
      </c>
      <c r="D331" s="16">
        <v>279</v>
      </c>
      <c r="E331" s="16">
        <v>485</v>
      </c>
      <c r="F331" s="16">
        <v>4661</v>
      </c>
      <c r="G331" s="16">
        <v>1986</v>
      </c>
      <c r="H331" s="16">
        <v>174</v>
      </c>
      <c r="I331" s="16">
        <v>638</v>
      </c>
      <c r="J331" s="16">
        <v>20</v>
      </c>
      <c r="K331" s="16">
        <v>0</v>
      </c>
      <c r="L331" s="16">
        <v>241</v>
      </c>
      <c r="M331" s="16">
        <v>284</v>
      </c>
      <c r="N331" s="16">
        <v>3</v>
      </c>
      <c r="O331" s="16">
        <v>828</v>
      </c>
      <c r="P331" s="16">
        <v>1476</v>
      </c>
      <c r="Q331" s="16">
        <v>2554</v>
      </c>
      <c r="R331" s="16">
        <v>2416</v>
      </c>
      <c r="S331" s="16">
        <v>348</v>
      </c>
      <c r="T331" s="16">
        <v>455</v>
      </c>
      <c r="U331" s="16">
        <v>128</v>
      </c>
      <c r="V331" s="16">
        <v>289</v>
      </c>
      <c r="W331" s="16">
        <v>39</v>
      </c>
      <c r="X331" s="16">
        <v>1778</v>
      </c>
      <c r="Y331" s="16">
        <v>1204</v>
      </c>
      <c r="Z331" s="16">
        <v>442</v>
      </c>
      <c r="AA331" s="16">
        <v>63</v>
      </c>
      <c r="AB331" s="16">
        <v>0</v>
      </c>
      <c r="AC331" s="16">
        <v>0</v>
      </c>
      <c r="AD331" s="16">
        <v>0</v>
      </c>
      <c r="AE331" s="16">
        <v>24</v>
      </c>
      <c r="AF331" s="16">
        <v>14</v>
      </c>
      <c r="AG331" s="16">
        <v>913</v>
      </c>
      <c r="AH331" s="16">
        <v>557</v>
      </c>
      <c r="AI331" s="16">
        <v>120</v>
      </c>
      <c r="AJ331" s="16">
        <v>5617</v>
      </c>
      <c r="AK331" s="16">
        <v>2090</v>
      </c>
      <c r="AL331" s="16">
        <v>2068</v>
      </c>
      <c r="AM331" s="16">
        <v>2802</v>
      </c>
      <c r="AN331" s="16">
        <v>2407</v>
      </c>
      <c r="AO331" s="16">
        <v>1757</v>
      </c>
      <c r="AP331" s="16">
        <v>2739</v>
      </c>
      <c r="AQ331" s="16">
        <v>1054</v>
      </c>
      <c r="AR331" s="16">
        <v>0</v>
      </c>
      <c r="AS331" s="16">
        <v>582</v>
      </c>
      <c r="AT331" s="16">
        <v>623</v>
      </c>
      <c r="AU331" s="16">
        <v>3752</v>
      </c>
      <c r="AV331" s="16">
        <v>1464</v>
      </c>
      <c r="AW331" s="16">
        <v>3205</v>
      </c>
      <c r="AX331" s="16">
        <v>1497</v>
      </c>
      <c r="AY331" s="16">
        <v>2488</v>
      </c>
      <c r="AZ331" s="16">
        <v>1205</v>
      </c>
      <c r="BA331" s="16">
        <v>1900</v>
      </c>
      <c r="BB331" s="16">
        <v>4293</v>
      </c>
      <c r="BC331" s="16">
        <v>5534</v>
      </c>
      <c r="BD331" s="16">
        <v>166</v>
      </c>
      <c r="BE331" s="16">
        <v>640</v>
      </c>
      <c r="BF331" s="16">
        <v>829</v>
      </c>
      <c r="BG331" s="16">
        <v>362</v>
      </c>
      <c r="BH331" s="16">
        <v>2801</v>
      </c>
      <c r="BI331" s="16">
        <v>1390</v>
      </c>
      <c r="BJ331" s="16">
        <v>530</v>
      </c>
      <c r="BK331" s="16">
        <v>344</v>
      </c>
      <c r="BL331" s="16">
        <v>2275</v>
      </c>
      <c r="BM331" s="16">
        <v>405</v>
      </c>
      <c r="BN331" s="16">
        <v>912</v>
      </c>
      <c r="BO331" s="16">
        <v>756</v>
      </c>
      <c r="BP331" s="16">
        <v>2349</v>
      </c>
      <c r="BQ331" s="16">
        <v>686</v>
      </c>
      <c r="BR331" s="16">
        <v>1241</v>
      </c>
      <c r="BS331" s="16">
        <v>7429</v>
      </c>
      <c r="BT331" s="16">
        <v>997</v>
      </c>
      <c r="BU331" s="16">
        <v>87</v>
      </c>
      <c r="BV331" s="16">
        <v>55</v>
      </c>
      <c r="BW331" s="16">
        <v>1089</v>
      </c>
      <c r="BX331" s="16">
        <v>735</v>
      </c>
      <c r="BY331" s="16">
        <v>5</v>
      </c>
      <c r="BZ331" s="16">
        <v>621</v>
      </c>
      <c r="CA331" s="16">
        <v>923</v>
      </c>
      <c r="CB331" s="16">
        <v>116</v>
      </c>
      <c r="CC331" s="16">
        <v>876</v>
      </c>
      <c r="CD331" s="16">
        <v>329</v>
      </c>
      <c r="CE331" s="16">
        <v>348</v>
      </c>
      <c r="CF331" s="16">
        <v>695</v>
      </c>
      <c r="CG331" s="16">
        <v>774</v>
      </c>
      <c r="CH331" s="16">
        <v>382</v>
      </c>
      <c r="CI331" s="16">
        <v>69</v>
      </c>
      <c r="CJ331" s="16">
        <v>1438</v>
      </c>
      <c r="CK331" s="16">
        <v>2343</v>
      </c>
      <c r="CL331" s="16">
        <v>2611</v>
      </c>
      <c r="CM331" s="16">
        <v>1291</v>
      </c>
      <c r="CN331" s="16">
        <v>336</v>
      </c>
      <c r="CO331" s="16">
        <v>1294</v>
      </c>
      <c r="CP331" s="16">
        <v>806</v>
      </c>
      <c r="CQ331" s="16">
        <v>3803</v>
      </c>
      <c r="CR331" s="16">
        <v>155</v>
      </c>
      <c r="CS331" s="16">
        <v>5094</v>
      </c>
      <c r="CT331" s="16">
        <v>7614</v>
      </c>
      <c r="CU331" s="16">
        <v>6203</v>
      </c>
      <c r="CV331" s="16">
        <v>2382</v>
      </c>
      <c r="CW331" s="16">
        <v>16821</v>
      </c>
      <c r="CX331" s="16">
        <v>3498</v>
      </c>
      <c r="CY331" s="16">
        <v>1284</v>
      </c>
      <c r="CZ331" s="16">
        <v>3001</v>
      </c>
      <c r="DA331" s="16">
        <v>1310</v>
      </c>
      <c r="DB331" s="16">
        <v>2926</v>
      </c>
      <c r="DC331" s="16">
        <v>4845</v>
      </c>
      <c r="DD331" s="16">
        <v>8041</v>
      </c>
      <c r="DE331" s="16">
        <v>5700</v>
      </c>
      <c r="DF331" s="16">
        <v>4688</v>
      </c>
      <c r="DG331" s="16">
        <v>3244</v>
      </c>
      <c r="DH331" s="16">
        <v>9887</v>
      </c>
      <c r="DI331" s="16">
        <v>744</v>
      </c>
      <c r="DJ331" s="16">
        <v>14619</v>
      </c>
      <c r="DK331" s="16">
        <v>1524</v>
      </c>
      <c r="DL331" s="16">
        <v>1098</v>
      </c>
      <c r="DM331" s="16">
        <v>11973</v>
      </c>
      <c r="DN331" s="16">
        <v>1374</v>
      </c>
      <c r="DO331" s="16">
        <v>938</v>
      </c>
      <c r="DP331" s="16">
        <v>2159</v>
      </c>
      <c r="DQ331" s="16">
        <v>324</v>
      </c>
      <c r="DR331" s="16">
        <v>1905</v>
      </c>
      <c r="DS331" s="16">
        <v>5038</v>
      </c>
      <c r="DT331" s="16">
        <v>1018</v>
      </c>
      <c r="DU331" s="16">
        <v>476</v>
      </c>
      <c r="DV331" s="16">
        <v>6756</v>
      </c>
      <c r="DW331" s="16">
        <v>6129</v>
      </c>
      <c r="DX331" s="16">
        <v>2344</v>
      </c>
      <c r="DY331" s="16">
        <v>4528</v>
      </c>
      <c r="DZ331" s="16">
        <v>7405</v>
      </c>
      <c r="EA331" s="16">
        <v>5688</v>
      </c>
      <c r="EB331" s="16">
        <v>2211</v>
      </c>
      <c r="EC331" s="16">
        <v>2860</v>
      </c>
      <c r="ED331" s="16">
        <v>343</v>
      </c>
      <c r="EE331" s="16">
        <v>237</v>
      </c>
      <c r="EF331" s="16">
        <v>761</v>
      </c>
      <c r="EG331" s="16">
        <v>1591</v>
      </c>
      <c r="EH331" s="16">
        <v>363</v>
      </c>
      <c r="EI331" s="16">
        <v>284</v>
      </c>
      <c r="EJ331" s="16">
        <v>286</v>
      </c>
      <c r="EK331" s="16">
        <v>432</v>
      </c>
      <c r="EL331" s="16">
        <v>139</v>
      </c>
      <c r="EM331" s="16">
        <v>1545</v>
      </c>
      <c r="EN331" s="16">
        <v>4630</v>
      </c>
      <c r="EO331" s="16">
        <v>2206</v>
      </c>
      <c r="EP331" s="16">
        <v>531</v>
      </c>
      <c r="EQ331" s="16">
        <v>494</v>
      </c>
      <c r="ER331" s="16">
        <v>207</v>
      </c>
      <c r="ES331" s="16">
        <v>955</v>
      </c>
      <c r="ET331" s="16">
        <v>1150</v>
      </c>
      <c r="EU331" s="16">
        <v>67</v>
      </c>
      <c r="EV331" s="16">
        <v>937</v>
      </c>
      <c r="EW331" s="16">
        <v>913</v>
      </c>
      <c r="EX331" s="16">
        <v>4766</v>
      </c>
      <c r="EY331" s="16">
        <v>1363</v>
      </c>
      <c r="EZ331" s="16">
        <v>1207</v>
      </c>
      <c r="FA331" s="16">
        <v>2425</v>
      </c>
      <c r="FB331" s="16">
        <v>5416</v>
      </c>
      <c r="FC331" s="16">
        <v>1197</v>
      </c>
      <c r="FD331" s="16">
        <v>5404</v>
      </c>
      <c r="FE331" s="16">
        <v>4822</v>
      </c>
      <c r="FF331" s="16">
        <v>7206</v>
      </c>
      <c r="FG331" s="16">
        <v>3985</v>
      </c>
      <c r="FH331" s="16">
        <v>2809</v>
      </c>
      <c r="FI331" s="16">
        <v>1997</v>
      </c>
      <c r="FJ331" s="16">
        <v>1984</v>
      </c>
      <c r="FK331" s="16">
        <v>1936</v>
      </c>
      <c r="FL331" s="16">
        <v>400</v>
      </c>
      <c r="FM331" s="16">
        <v>3523</v>
      </c>
      <c r="FN331" s="16">
        <v>3526</v>
      </c>
      <c r="FO331" s="16">
        <v>1366</v>
      </c>
      <c r="FP331" s="16">
        <v>2510</v>
      </c>
      <c r="FQ331" s="16">
        <v>7062</v>
      </c>
      <c r="FR331" s="16">
        <v>4982</v>
      </c>
      <c r="FS331" s="16">
        <v>1288</v>
      </c>
      <c r="FT331" s="16">
        <v>1843</v>
      </c>
      <c r="FU331" s="16">
        <v>1533</v>
      </c>
      <c r="FV331" s="16">
        <v>2442</v>
      </c>
      <c r="FW331" s="16">
        <v>4538</v>
      </c>
      <c r="FX331" s="16">
        <v>6799</v>
      </c>
      <c r="FY331" s="16">
        <v>830</v>
      </c>
      <c r="FZ331" s="16">
        <v>1513</v>
      </c>
      <c r="GA331" s="16">
        <v>1415</v>
      </c>
      <c r="GB331" s="16">
        <v>3495</v>
      </c>
      <c r="GC331" s="16">
        <v>1305</v>
      </c>
      <c r="GD331" s="16">
        <v>3677</v>
      </c>
      <c r="GE331" s="16">
        <v>3952</v>
      </c>
      <c r="GF331" s="16">
        <v>33837</v>
      </c>
      <c r="GG331" s="16">
        <v>4523</v>
      </c>
      <c r="GH331" s="16">
        <v>12470</v>
      </c>
      <c r="GI331" s="16">
        <v>4420</v>
      </c>
      <c r="GJ331" s="16">
        <v>2593</v>
      </c>
      <c r="GK331" s="16">
        <v>2941</v>
      </c>
      <c r="GL331" s="16">
        <v>532</v>
      </c>
      <c r="GM331" s="16">
        <v>3356</v>
      </c>
      <c r="GN331" s="16">
        <v>1212</v>
      </c>
      <c r="GO331" s="16">
        <v>1222</v>
      </c>
      <c r="GP331" s="16">
        <v>9480</v>
      </c>
      <c r="GQ331" s="16">
        <v>3475</v>
      </c>
      <c r="GR331" s="16">
        <v>152</v>
      </c>
      <c r="GS331" s="16">
        <v>660</v>
      </c>
      <c r="GT331" s="16">
        <v>690</v>
      </c>
      <c r="GU331" s="16">
        <v>4356</v>
      </c>
      <c r="GV331" s="16">
        <v>6192</v>
      </c>
      <c r="GW331" s="16">
        <v>2520</v>
      </c>
      <c r="GX331" s="16">
        <v>1877</v>
      </c>
      <c r="GY331" s="16">
        <v>31</v>
      </c>
      <c r="GZ331" s="16">
        <v>4114</v>
      </c>
      <c r="HA331" s="16">
        <v>1726</v>
      </c>
      <c r="HB331" s="16">
        <v>1709</v>
      </c>
      <c r="HC331" s="16">
        <v>4009</v>
      </c>
      <c r="HD331" s="16">
        <v>4666</v>
      </c>
      <c r="HE331" s="16">
        <v>13951</v>
      </c>
      <c r="HF331" s="16">
        <v>5301</v>
      </c>
      <c r="HG331" s="16">
        <v>1927</v>
      </c>
      <c r="HH331" s="16">
        <v>1148</v>
      </c>
      <c r="HI331" s="16">
        <v>2779</v>
      </c>
      <c r="HJ331" s="16">
        <v>559</v>
      </c>
      <c r="HK331" s="16">
        <v>3384</v>
      </c>
      <c r="HL331" s="16">
        <v>8827</v>
      </c>
      <c r="HM331" s="16">
        <v>2379</v>
      </c>
      <c r="HN331" s="16">
        <v>4458</v>
      </c>
      <c r="HO331" s="16">
        <v>2378</v>
      </c>
      <c r="HP331" s="16">
        <v>1916</v>
      </c>
      <c r="HQ331" s="16">
        <v>4919</v>
      </c>
      <c r="HR331" s="16">
        <v>5739</v>
      </c>
      <c r="HS331" s="16">
        <v>3722</v>
      </c>
      <c r="HT331" s="16">
        <v>599</v>
      </c>
      <c r="HU331" s="16">
        <v>3917</v>
      </c>
      <c r="HV331" s="16">
        <v>1468</v>
      </c>
      <c r="HW331" s="16">
        <v>3749</v>
      </c>
      <c r="HX331" s="16">
        <v>3233</v>
      </c>
      <c r="HY331" s="16">
        <v>4429</v>
      </c>
      <c r="HZ331" s="16">
        <v>7065</v>
      </c>
      <c r="IA331" s="16">
        <v>1477</v>
      </c>
      <c r="IB331" s="16">
        <v>444</v>
      </c>
      <c r="IC331" s="16">
        <v>211</v>
      </c>
      <c r="ID331" s="16">
        <v>953</v>
      </c>
      <c r="IE331" s="16">
        <v>242</v>
      </c>
      <c r="IF331" s="16">
        <v>555</v>
      </c>
      <c r="IG331" s="16">
        <v>4312</v>
      </c>
      <c r="IH331" s="16">
        <v>33823</v>
      </c>
      <c r="II331" s="16">
        <v>6235</v>
      </c>
      <c r="IJ331" s="16">
        <v>1606</v>
      </c>
      <c r="IK331" s="16">
        <v>2824</v>
      </c>
      <c r="IL331" s="16">
        <v>1028</v>
      </c>
      <c r="IM331" s="16">
        <v>172</v>
      </c>
      <c r="IN331" s="16">
        <v>7419</v>
      </c>
      <c r="IO331" s="16">
        <v>32775</v>
      </c>
      <c r="IP331" s="16">
        <v>10129</v>
      </c>
      <c r="IQ331" s="16">
        <v>1270</v>
      </c>
      <c r="IR331" s="16">
        <v>2472</v>
      </c>
      <c r="IS331" s="16">
        <v>1257</v>
      </c>
      <c r="IT331" s="16">
        <v>2195</v>
      </c>
      <c r="IU331" s="16">
        <v>59</v>
      </c>
      <c r="IV331" s="16">
        <v>1106</v>
      </c>
      <c r="IW331" s="16">
        <v>2938</v>
      </c>
      <c r="IX331" s="16">
        <v>855</v>
      </c>
      <c r="IY331" s="16">
        <v>1070</v>
      </c>
      <c r="IZ331" s="16">
        <v>216</v>
      </c>
      <c r="JA331" s="16">
        <v>588</v>
      </c>
      <c r="JB331" s="16">
        <v>87</v>
      </c>
      <c r="JC331" s="16">
        <v>158</v>
      </c>
      <c r="JD331" s="16">
        <v>535</v>
      </c>
      <c r="JE331" s="16">
        <v>1428</v>
      </c>
      <c r="JF331" s="16">
        <v>975</v>
      </c>
      <c r="JG331" s="16">
        <v>27286</v>
      </c>
      <c r="JH331" s="16">
        <v>3200</v>
      </c>
      <c r="JI331" s="16">
        <v>481</v>
      </c>
      <c r="JJ331" s="16">
        <v>20475</v>
      </c>
      <c r="JK331" s="16">
        <v>3283</v>
      </c>
      <c r="JL331" s="16">
        <v>1969</v>
      </c>
      <c r="JM331" s="16">
        <v>546</v>
      </c>
      <c r="JN331" s="16">
        <v>2553</v>
      </c>
      <c r="JO331" s="16">
        <v>8397</v>
      </c>
      <c r="JP331" s="16">
        <v>3208</v>
      </c>
      <c r="JQ331" s="16">
        <v>1608</v>
      </c>
      <c r="JR331" s="16">
        <v>24847</v>
      </c>
      <c r="JS331" s="16">
        <v>1223</v>
      </c>
      <c r="JT331" s="16">
        <v>0</v>
      </c>
      <c r="JU331" s="16">
        <v>4294</v>
      </c>
      <c r="JV331" s="16">
        <v>3619</v>
      </c>
      <c r="JW331" s="16">
        <v>32808</v>
      </c>
      <c r="JX331" s="16">
        <v>35640</v>
      </c>
      <c r="JY331" s="16">
        <v>7717</v>
      </c>
      <c r="JZ331" s="16">
        <v>4902</v>
      </c>
      <c r="KA331" s="16">
        <v>1845</v>
      </c>
      <c r="KB331" s="16">
        <v>533</v>
      </c>
      <c r="KC331" s="16">
        <v>917</v>
      </c>
      <c r="KD331" s="16">
        <v>1690</v>
      </c>
      <c r="KE331" s="16">
        <v>520</v>
      </c>
      <c r="KF331" s="16">
        <v>3121</v>
      </c>
      <c r="KG331" s="16">
        <v>741</v>
      </c>
      <c r="KH331" s="16">
        <v>3076</v>
      </c>
      <c r="KI331" s="16">
        <v>4735</v>
      </c>
      <c r="KJ331" s="16">
        <v>3440</v>
      </c>
      <c r="KK331" s="16">
        <v>120569</v>
      </c>
      <c r="KL331" s="16">
        <v>2548</v>
      </c>
      <c r="KM331" s="16">
        <v>7682</v>
      </c>
      <c r="KN331" s="16">
        <v>12958</v>
      </c>
      <c r="KO331" s="16">
        <v>893</v>
      </c>
      <c r="KP331" s="16">
        <v>9691</v>
      </c>
      <c r="KQ331" s="16">
        <v>9146</v>
      </c>
      <c r="KR331" s="16">
        <v>3562</v>
      </c>
      <c r="KS331" s="16">
        <v>1076</v>
      </c>
      <c r="KT331" s="16">
        <v>703</v>
      </c>
      <c r="KU331" s="16">
        <v>1803</v>
      </c>
      <c r="KV331" s="16">
        <v>7761</v>
      </c>
      <c r="KW331" s="16">
        <v>7108</v>
      </c>
      <c r="KX331" s="16">
        <v>5520</v>
      </c>
      <c r="KY331" s="16">
        <v>5109</v>
      </c>
      <c r="KZ331" s="16">
        <v>43253</v>
      </c>
      <c r="LA331" s="16">
        <v>11779</v>
      </c>
      <c r="LB331" s="16">
        <v>4228</v>
      </c>
      <c r="LC331" s="16">
        <v>6133</v>
      </c>
      <c r="LD331" s="16">
        <v>5935</v>
      </c>
      <c r="LE331" s="16">
        <v>3556</v>
      </c>
      <c r="LF331" s="16">
        <v>8003</v>
      </c>
      <c r="LG331" s="16">
        <v>864</v>
      </c>
      <c r="LH331" s="16">
        <v>1807</v>
      </c>
      <c r="LI331" s="16">
        <v>1110</v>
      </c>
      <c r="LJ331" s="16">
        <v>2618</v>
      </c>
      <c r="LK331" s="16">
        <v>8548</v>
      </c>
      <c r="LL331" s="16">
        <v>6080</v>
      </c>
      <c r="LM331" s="16">
        <v>15655</v>
      </c>
      <c r="LN331" s="16">
        <v>9380</v>
      </c>
      <c r="LO331" s="16">
        <v>3348</v>
      </c>
      <c r="LP331" s="16">
        <v>5516</v>
      </c>
      <c r="LQ331" s="16">
        <v>630</v>
      </c>
      <c r="LR331" s="16">
        <v>437508</v>
      </c>
      <c r="LS331" s="16">
        <v>216561</v>
      </c>
      <c r="LT331" s="16">
        <v>331940</v>
      </c>
      <c r="LU331" s="16">
        <v>1138122</v>
      </c>
      <c r="LV331" s="16">
        <v>65058</v>
      </c>
      <c r="LW331" s="16">
        <v>509441</v>
      </c>
      <c r="LX331" s="16">
        <v>990484</v>
      </c>
      <c r="LY331" s="16">
        <v>0</v>
      </c>
      <c r="LZ331" s="16">
        <v>19144</v>
      </c>
      <c r="MA331" s="16">
        <v>6905</v>
      </c>
      <c r="MB331" s="16">
        <v>9133</v>
      </c>
      <c r="MC331" s="16">
        <v>39475</v>
      </c>
      <c r="MD331" s="16">
        <v>13005</v>
      </c>
      <c r="ME331" s="16">
        <v>1251</v>
      </c>
      <c r="MF331" s="16">
        <v>30311</v>
      </c>
      <c r="MG331" s="16">
        <v>7688</v>
      </c>
      <c r="MH331" s="16">
        <v>33414</v>
      </c>
      <c r="MI331" s="16">
        <v>5058</v>
      </c>
      <c r="MJ331" s="16">
        <v>9496</v>
      </c>
      <c r="MK331" s="16">
        <v>5394</v>
      </c>
      <c r="ML331" s="16">
        <v>5579</v>
      </c>
      <c r="MM331" s="16">
        <v>6246</v>
      </c>
      <c r="MN331" s="16">
        <v>12924</v>
      </c>
      <c r="MO331" s="16">
        <v>8348</v>
      </c>
      <c r="MP331" s="16">
        <v>9060</v>
      </c>
      <c r="MQ331" s="16">
        <v>14274</v>
      </c>
      <c r="MR331" s="16">
        <v>346235</v>
      </c>
      <c r="MS331" s="16">
        <v>284351</v>
      </c>
      <c r="MT331" s="16">
        <v>15112</v>
      </c>
      <c r="MU331" s="16">
        <v>260739</v>
      </c>
      <c r="MV331" s="16">
        <v>38105</v>
      </c>
      <c r="MW331" s="16">
        <v>13904</v>
      </c>
      <c r="MX331" s="16">
        <v>11038</v>
      </c>
      <c r="MY331" s="16">
        <v>76751</v>
      </c>
      <c r="MZ331" s="16">
        <v>34254</v>
      </c>
      <c r="NA331" s="16">
        <v>26376</v>
      </c>
      <c r="NB331" s="16">
        <v>55765</v>
      </c>
      <c r="NC331" s="16">
        <v>20220</v>
      </c>
      <c r="ND331" s="16">
        <v>1894</v>
      </c>
      <c r="NE331" s="16">
        <v>852</v>
      </c>
      <c r="NF331" s="16">
        <v>2071</v>
      </c>
      <c r="NG331" s="16">
        <v>6801</v>
      </c>
      <c r="NH331" s="16">
        <v>5233</v>
      </c>
      <c r="NI331" s="16">
        <v>1998</v>
      </c>
      <c r="NJ331" s="16">
        <v>23137</v>
      </c>
      <c r="NK331" s="16">
        <v>7025</v>
      </c>
      <c r="NL331" s="16">
        <v>2737</v>
      </c>
      <c r="NM331" s="16">
        <v>3247</v>
      </c>
      <c r="NN331" s="16">
        <v>778</v>
      </c>
      <c r="NO331" s="16">
        <v>0</v>
      </c>
      <c r="NP331" s="16">
        <v>3634</v>
      </c>
      <c r="NQ331" s="16">
        <v>0</v>
      </c>
      <c r="NR331" s="17">
        <v>6441032</v>
      </c>
    </row>
    <row r="332" spans="1:382" ht="13.5" customHeight="1" x14ac:dyDescent="0.2">
      <c r="A332" s="2" t="s">
        <v>671</v>
      </c>
      <c r="B332" s="16">
        <v>13129</v>
      </c>
      <c r="C332" s="16">
        <v>620</v>
      </c>
      <c r="D332" s="16">
        <v>1691</v>
      </c>
      <c r="E332" s="16">
        <v>2939</v>
      </c>
      <c r="F332" s="16">
        <v>21381</v>
      </c>
      <c r="G332" s="16">
        <v>8913</v>
      </c>
      <c r="H332" s="16">
        <v>872</v>
      </c>
      <c r="I332" s="16">
        <v>3869</v>
      </c>
      <c r="J332" s="16">
        <v>126</v>
      </c>
      <c r="K332" s="16">
        <v>0</v>
      </c>
      <c r="L332" s="16">
        <v>1190</v>
      </c>
      <c r="M332" s="16">
        <v>1419</v>
      </c>
      <c r="N332" s="16">
        <v>186</v>
      </c>
      <c r="O332" s="16">
        <v>4236</v>
      </c>
      <c r="P332" s="16">
        <v>8952</v>
      </c>
      <c r="Q332" s="16">
        <v>14605</v>
      </c>
      <c r="R332" s="16">
        <v>12373</v>
      </c>
      <c r="S332" s="16">
        <v>1797</v>
      </c>
      <c r="T332" s="16">
        <v>2181</v>
      </c>
      <c r="U332" s="16">
        <v>581</v>
      </c>
      <c r="V332" s="16">
        <v>1283</v>
      </c>
      <c r="W332" s="16">
        <v>173</v>
      </c>
      <c r="X332" s="16">
        <v>9106</v>
      </c>
      <c r="Y332" s="16">
        <v>6207</v>
      </c>
      <c r="Z332" s="16">
        <v>2339</v>
      </c>
      <c r="AA332" s="16">
        <v>1807</v>
      </c>
      <c r="AB332" s="16">
        <v>0</v>
      </c>
      <c r="AC332" s="16">
        <v>0</v>
      </c>
      <c r="AD332" s="16">
        <v>0</v>
      </c>
      <c r="AE332" s="16">
        <v>136</v>
      </c>
      <c r="AF332" s="16">
        <v>239</v>
      </c>
      <c r="AG332" s="16">
        <v>5508</v>
      </c>
      <c r="AH332" s="16">
        <v>2730</v>
      </c>
      <c r="AI332" s="16">
        <v>566</v>
      </c>
      <c r="AJ332" s="16">
        <v>25988</v>
      </c>
      <c r="AK332" s="16">
        <v>9833</v>
      </c>
      <c r="AL332" s="16">
        <v>16499</v>
      </c>
      <c r="AM332" s="16">
        <v>13548</v>
      </c>
      <c r="AN332" s="16">
        <v>12244</v>
      </c>
      <c r="AO332" s="16">
        <v>10526</v>
      </c>
      <c r="AP332" s="16">
        <v>13119</v>
      </c>
      <c r="AQ332" s="16">
        <v>6172</v>
      </c>
      <c r="AR332" s="16">
        <v>0</v>
      </c>
      <c r="AS332" s="16">
        <v>3336</v>
      </c>
      <c r="AT332" s="16">
        <v>2872</v>
      </c>
      <c r="AU332" s="16">
        <v>20774</v>
      </c>
      <c r="AV332" s="16">
        <v>7714</v>
      </c>
      <c r="AW332" s="16">
        <v>17149</v>
      </c>
      <c r="AX332" s="16">
        <v>7324</v>
      </c>
      <c r="AY332" s="16">
        <v>13116</v>
      </c>
      <c r="AZ332" s="16">
        <v>6604</v>
      </c>
      <c r="BA332" s="16">
        <v>9813</v>
      </c>
      <c r="BB332" s="16">
        <v>22289</v>
      </c>
      <c r="BC332" s="16">
        <v>28426</v>
      </c>
      <c r="BD332" s="16">
        <v>803</v>
      </c>
      <c r="BE332" s="16">
        <v>3000</v>
      </c>
      <c r="BF332" s="16">
        <v>5185</v>
      </c>
      <c r="BG332" s="16">
        <v>1784</v>
      </c>
      <c r="BH332" s="16">
        <v>14302</v>
      </c>
      <c r="BI332" s="16">
        <v>6549</v>
      </c>
      <c r="BJ332" s="16">
        <v>3928</v>
      </c>
      <c r="BK332" s="16">
        <v>3488</v>
      </c>
      <c r="BL332" s="16">
        <v>13446</v>
      </c>
      <c r="BM332" s="16">
        <v>1849</v>
      </c>
      <c r="BN332" s="16">
        <v>4345</v>
      </c>
      <c r="BO332" s="16">
        <v>5421</v>
      </c>
      <c r="BP332" s="16">
        <v>13639</v>
      </c>
      <c r="BQ332" s="16">
        <v>3754</v>
      </c>
      <c r="BR332" s="16">
        <v>7253</v>
      </c>
      <c r="BS332" s="16">
        <v>35346</v>
      </c>
      <c r="BT332" s="16">
        <v>5124</v>
      </c>
      <c r="BU332" s="16">
        <v>8047</v>
      </c>
      <c r="BV332" s="16">
        <v>452</v>
      </c>
      <c r="BW332" s="16">
        <v>5487</v>
      </c>
      <c r="BX332" s="16">
        <v>3754</v>
      </c>
      <c r="BY332" s="16">
        <v>30</v>
      </c>
      <c r="BZ332" s="16">
        <v>3840</v>
      </c>
      <c r="CA332" s="16">
        <v>5183</v>
      </c>
      <c r="CB332" s="16">
        <v>555</v>
      </c>
      <c r="CC332" s="16">
        <v>6199</v>
      </c>
      <c r="CD332" s="16">
        <v>2092</v>
      </c>
      <c r="CE332" s="16">
        <v>2144</v>
      </c>
      <c r="CF332" s="16">
        <v>5602</v>
      </c>
      <c r="CG332" s="16">
        <v>3777</v>
      </c>
      <c r="CH332" s="16">
        <v>2341</v>
      </c>
      <c r="CI332" s="16">
        <v>312</v>
      </c>
      <c r="CJ332" s="16">
        <v>9229</v>
      </c>
      <c r="CK332" s="16">
        <v>11952</v>
      </c>
      <c r="CL332" s="16">
        <v>15084</v>
      </c>
      <c r="CM332" s="16">
        <v>6529</v>
      </c>
      <c r="CN332" s="16">
        <v>2042</v>
      </c>
      <c r="CO332" s="16">
        <v>6967</v>
      </c>
      <c r="CP332" s="16">
        <v>3839</v>
      </c>
      <c r="CQ332" s="16">
        <v>22927</v>
      </c>
      <c r="CR332" s="16">
        <v>908</v>
      </c>
      <c r="CS332" s="16">
        <v>30891</v>
      </c>
      <c r="CT332" s="16">
        <v>56771</v>
      </c>
      <c r="CU332" s="16">
        <v>37623</v>
      </c>
      <c r="CV332" s="16">
        <v>14449</v>
      </c>
      <c r="CW332" s="16">
        <v>102011</v>
      </c>
      <c r="CX332" s="16">
        <v>21213</v>
      </c>
      <c r="CY332" s="16">
        <v>7792</v>
      </c>
      <c r="CZ332" s="16">
        <v>18198</v>
      </c>
      <c r="DA332" s="16">
        <v>7365</v>
      </c>
      <c r="DB332" s="16">
        <v>13003</v>
      </c>
      <c r="DC332" s="16">
        <v>25400</v>
      </c>
      <c r="DD332" s="16">
        <v>48762</v>
      </c>
      <c r="DE332" s="16">
        <v>34573</v>
      </c>
      <c r="DF332" s="16">
        <v>20795</v>
      </c>
      <c r="DG332" s="16">
        <v>20338</v>
      </c>
      <c r="DH332" s="16">
        <v>43862</v>
      </c>
      <c r="DI332" s="16">
        <v>14174</v>
      </c>
      <c r="DJ332" s="16">
        <v>85162</v>
      </c>
      <c r="DK332" s="16">
        <v>7795</v>
      </c>
      <c r="DL332" s="16">
        <v>7165</v>
      </c>
      <c r="DM332" s="16">
        <v>65253</v>
      </c>
      <c r="DN332" s="16">
        <v>7931</v>
      </c>
      <c r="DO332" s="16">
        <v>4813</v>
      </c>
      <c r="DP332" s="16">
        <v>12992</v>
      </c>
      <c r="DQ332" s="16">
        <v>1617</v>
      </c>
      <c r="DR332" s="16">
        <v>9802</v>
      </c>
      <c r="DS332" s="16">
        <v>28947</v>
      </c>
      <c r="DT332" s="16">
        <v>7291</v>
      </c>
      <c r="DU332" s="16">
        <v>2330</v>
      </c>
      <c r="DV332" s="16">
        <v>35741</v>
      </c>
      <c r="DW332" s="16">
        <v>31195</v>
      </c>
      <c r="DX332" s="16">
        <v>11926</v>
      </c>
      <c r="DY332" s="16">
        <v>20239</v>
      </c>
      <c r="DZ332" s="16">
        <v>33268</v>
      </c>
      <c r="EA332" s="16">
        <v>40354</v>
      </c>
      <c r="EB332" s="16">
        <v>12863</v>
      </c>
      <c r="EC332" s="16">
        <v>14014</v>
      </c>
      <c r="ED332" s="16">
        <v>2191</v>
      </c>
      <c r="EE332" s="16">
        <v>1624</v>
      </c>
      <c r="EF332" s="16">
        <v>3439</v>
      </c>
      <c r="EG332" s="16">
        <v>9008</v>
      </c>
      <c r="EH332" s="16">
        <v>1713</v>
      </c>
      <c r="EI332" s="16">
        <v>1752</v>
      </c>
      <c r="EJ332" s="16">
        <v>1269</v>
      </c>
      <c r="EK332" s="16">
        <v>2670</v>
      </c>
      <c r="EL332" s="16">
        <v>1085</v>
      </c>
      <c r="EM332" s="16">
        <v>9740</v>
      </c>
      <c r="EN332" s="16">
        <v>24582</v>
      </c>
      <c r="EO332" s="16">
        <v>11819</v>
      </c>
      <c r="EP332" s="16">
        <v>2772</v>
      </c>
      <c r="EQ332" s="16">
        <v>2750</v>
      </c>
      <c r="ER332" s="16">
        <v>1106</v>
      </c>
      <c r="ES332" s="16">
        <v>6300</v>
      </c>
      <c r="ET332" s="16">
        <v>5601</v>
      </c>
      <c r="EU332" s="16">
        <v>685</v>
      </c>
      <c r="EV332" s="16">
        <v>4409</v>
      </c>
      <c r="EW332" s="16">
        <v>9071</v>
      </c>
      <c r="EX332" s="16">
        <v>26758</v>
      </c>
      <c r="EY332" s="16">
        <v>8266</v>
      </c>
      <c r="EZ332" s="16">
        <v>7315</v>
      </c>
      <c r="FA332" s="16">
        <v>15166</v>
      </c>
      <c r="FB332" s="16">
        <v>24556</v>
      </c>
      <c r="FC332" s="16">
        <v>5406</v>
      </c>
      <c r="FD332" s="16">
        <v>25213</v>
      </c>
      <c r="FE332" s="16">
        <v>21441</v>
      </c>
      <c r="FF332" s="16">
        <v>35791</v>
      </c>
      <c r="FG332" s="16">
        <v>17956</v>
      </c>
      <c r="FH332" s="16">
        <v>12579</v>
      </c>
      <c r="FI332" s="16">
        <v>13154</v>
      </c>
      <c r="FJ332" s="16">
        <v>8825</v>
      </c>
      <c r="FK332" s="16">
        <v>11738</v>
      </c>
      <c r="FL332" s="16">
        <v>2422</v>
      </c>
      <c r="FM332" s="16">
        <v>16161</v>
      </c>
      <c r="FN332" s="16">
        <v>20206</v>
      </c>
      <c r="FO332" s="16">
        <v>7515</v>
      </c>
      <c r="FP332" s="16">
        <v>14615</v>
      </c>
      <c r="FQ332" s="16">
        <v>44235</v>
      </c>
      <c r="FR332" s="16">
        <v>24200</v>
      </c>
      <c r="FS332" s="16">
        <v>6797</v>
      </c>
      <c r="FT332" s="16">
        <v>9229</v>
      </c>
      <c r="FU332" s="16">
        <v>8434</v>
      </c>
      <c r="FV332" s="16">
        <v>12936</v>
      </c>
      <c r="FW332" s="16">
        <v>20317</v>
      </c>
      <c r="FX332" s="16">
        <v>38429</v>
      </c>
      <c r="FY332" s="16">
        <v>5215</v>
      </c>
      <c r="FZ332" s="16">
        <v>8136</v>
      </c>
      <c r="GA332" s="16">
        <v>6361</v>
      </c>
      <c r="GB332" s="16">
        <v>15821</v>
      </c>
      <c r="GC332" s="16">
        <v>6519</v>
      </c>
      <c r="GD332" s="16">
        <v>23133</v>
      </c>
      <c r="GE332" s="16">
        <v>17604</v>
      </c>
      <c r="GF332" s="16">
        <v>202079</v>
      </c>
      <c r="GG332" s="16">
        <v>20205</v>
      </c>
      <c r="GH332" s="16">
        <v>55358</v>
      </c>
      <c r="GI332" s="16">
        <v>20110</v>
      </c>
      <c r="GJ332" s="16">
        <v>12208</v>
      </c>
      <c r="GK332" s="16">
        <v>13159</v>
      </c>
      <c r="GL332" s="16">
        <v>4888</v>
      </c>
      <c r="GM332" s="16">
        <v>14895</v>
      </c>
      <c r="GN332" s="16">
        <v>14131</v>
      </c>
      <c r="GO332" s="16">
        <v>10541</v>
      </c>
      <c r="GP332" s="16">
        <v>42087</v>
      </c>
      <c r="GQ332" s="16">
        <v>27100</v>
      </c>
      <c r="GR332" s="16">
        <v>2152</v>
      </c>
      <c r="GS332" s="16">
        <v>4004</v>
      </c>
      <c r="GT332" s="16">
        <v>3179</v>
      </c>
      <c r="GU332" s="16">
        <v>27377</v>
      </c>
      <c r="GV332" s="16">
        <v>30344</v>
      </c>
      <c r="GW332" s="16">
        <v>13182</v>
      </c>
      <c r="GX332" s="16">
        <v>9320</v>
      </c>
      <c r="GY332" s="16">
        <v>197</v>
      </c>
      <c r="GZ332" s="16">
        <v>22696</v>
      </c>
      <c r="HA332" s="16">
        <v>7792</v>
      </c>
      <c r="HB332" s="16">
        <v>7784</v>
      </c>
      <c r="HC332" s="16">
        <v>25284</v>
      </c>
      <c r="HD332" s="16">
        <v>28303</v>
      </c>
      <c r="HE332" s="16">
        <v>75072</v>
      </c>
      <c r="HF332" s="16">
        <v>23517</v>
      </c>
      <c r="HG332" s="16">
        <v>11686</v>
      </c>
      <c r="HH332" s="16">
        <v>5190</v>
      </c>
      <c r="HI332" s="16">
        <v>21637</v>
      </c>
      <c r="HJ332" s="16">
        <v>4953</v>
      </c>
      <c r="HK332" s="16">
        <v>16048</v>
      </c>
      <c r="HL332" s="16">
        <v>43567</v>
      </c>
      <c r="HM332" s="16">
        <v>13079</v>
      </c>
      <c r="HN332" s="16">
        <v>19986</v>
      </c>
      <c r="HO332" s="16">
        <v>10865</v>
      </c>
      <c r="HP332" s="16">
        <v>13413</v>
      </c>
      <c r="HQ332" s="16">
        <v>25632</v>
      </c>
      <c r="HR332" s="16">
        <v>34216</v>
      </c>
      <c r="HS332" s="16">
        <v>17274</v>
      </c>
      <c r="HT332" s="16">
        <v>3501</v>
      </c>
      <c r="HU332" s="16">
        <v>21159</v>
      </c>
      <c r="HV332" s="16">
        <v>8693</v>
      </c>
      <c r="HW332" s="16">
        <v>19517</v>
      </c>
      <c r="HX332" s="16">
        <v>22320</v>
      </c>
      <c r="HY332" s="16">
        <v>29247</v>
      </c>
      <c r="HZ332" s="16">
        <v>32738</v>
      </c>
      <c r="IA332" s="16">
        <v>6830</v>
      </c>
      <c r="IB332" s="16">
        <v>2492</v>
      </c>
      <c r="IC332" s="16">
        <v>1402</v>
      </c>
      <c r="ID332" s="16">
        <v>6940</v>
      </c>
      <c r="IE332" s="16">
        <v>1098</v>
      </c>
      <c r="IF332" s="16">
        <v>2518</v>
      </c>
      <c r="IG332" s="16">
        <v>21345</v>
      </c>
      <c r="IH332" s="16">
        <v>155880</v>
      </c>
      <c r="II332" s="16">
        <v>28733</v>
      </c>
      <c r="IJ332" s="16">
        <v>9737</v>
      </c>
      <c r="IK332" s="16">
        <v>17130</v>
      </c>
      <c r="IL332" s="16">
        <v>4944</v>
      </c>
      <c r="IM332" s="16">
        <v>1739</v>
      </c>
      <c r="IN332" s="16">
        <v>34026</v>
      </c>
      <c r="IO332" s="16">
        <v>190036</v>
      </c>
      <c r="IP332" s="16">
        <v>53978</v>
      </c>
      <c r="IQ332" s="16">
        <v>5850</v>
      </c>
      <c r="IR332" s="16">
        <v>18448</v>
      </c>
      <c r="IS332" s="16">
        <v>6366</v>
      </c>
      <c r="IT332" s="16">
        <v>11962</v>
      </c>
      <c r="IU332" s="16">
        <v>509</v>
      </c>
      <c r="IV332" s="16">
        <v>5136</v>
      </c>
      <c r="IW332" s="16">
        <v>16537</v>
      </c>
      <c r="IX332" s="16">
        <v>4689</v>
      </c>
      <c r="IY332" s="16">
        <v>5223</v>
      </c>
      <c r="IZ332" s="16">
        <v>1586</v>
      </c>
      <c r="JA332" s="16">
        <v>3621</v>
      </c>
      <c r="JB332" s="16">
        <v>544</v>
      </c>
      <c r="JC332" s="16">
        <v>1014</v>
      </c>
      <c r="JD332" s="16">
        <v>2882</v>
      </c>
      <c r="JE332" s="16">
        <v>8252</v>
      </c>
      <c r="JF332" s="16">
        <v>5717</v>
      </c>
      <c r="JG332" s="16">
        <v>127184</v>
      </c>
      <c r="JH332" s="16">
        <v>14379</v>
      </c>
      <c r="JI332" s="16">
        <v>4051</v>
      </c>
      <c r="JJ332" s="16">
        <v>172743</v>
      </c>
      <c r="JK332" s="16">
        <v>27695</v>
      </c>
      <c r="JL332" s="16">
        <v>16617</v>
      </c>
      <c r="JM332" s="16">
        <v>4609</v>
      </c>
      <c r="JN332" s="16">
        <v>21537</v>
      </c>
      <c r="JO332" s="16">
        <v>115761</v>
      </c>
      <c r="JP332" s="16">
        <v>18685</v>
      </c>
      <c r="JQ332" s="16">
        <v>7171</v>
      </c>
      <c r="JR332" s="16">
        <v>42830</v>
      </c>
      <c r="JS332" s="16">
        <v>8319</v>
      </c>
      <c r="JT332" s="16">
        <v>0</v>
      </c>
      <c r="JU332" s="16">
        <v>24440</v>
      </c>
      <c r="JV332" s="16">
        <v>23849</v>
      </c>
      <c r="JW332" s="16">
        <v>200437</v>
      </c>
      <c r="JX332" s="16">
        <v>216137</v>
      </c>
      <c r="JY332" s="16">
        <v>46803</v>
      </c>
      <c r="JZ332" s="16">
        <v>29726</v>
      </c>
      <c r="KA332" s="16">
        <v>11187</v>
      </c>
      <c r="KB332" s="16">
        <v>3232</v>
      </c>
      <c r="KC332" s="16">
        <v>5562</v>
      </c>
      <c r="KD332" s="16">
        <v>10254</v>
      </c>
      <c r="KE332" s="16">
        <v>3157</v>
      </c>
      <c r="KF332" s="16">
        <v>18928</v>
      </c>
      <c r="KG332" s="16">
        <v>4497</v>
      </c>
      <c r="KH332" s="16">
        <v>18656</v>
      </c>
      <c r="KI332" s="16">
        <v>28716</v>
      </c>
      <c r="KJ332" s="16">
        <v>20865</v>
      </c>
      <c r="KK332" s="16">
        <v>756606</v>
      </c>
      <c r="KL332" s="16">
        <v>25566</v>
      </c>
      <c r="KM332" s="16">
        <v>39470</v>
      </c>
      <c r="KN332" s="16">
        <v>68207</v>
      </c>
      <c r="KO332" s="16">
        <v>9075</v>
      </c>
      <c r="KP332" s="16">
        <v>73591</v>
      </c>
      <c r="KQ332" s="16">
        <v>60520</v>
      </c>
      <c r="KR332" s="16">
        <v>28255</v>
      </c>
      <c r="KS332" s="16">
        <v>5972</v>
      </c>
      <c r="KT332" s="16">
        <v>5622</v>
      </c>
      <c r="KU332" s="16">
        <v>12429</v>
      </c>
      <c r="KV332" s="16">
        <v>44154</v>
      </c>
      <c r="KW332" s="16">
        <v>54673</v>
      </c>
      <c r="KX332" s="16">
        <v>9514</v>
      </c>
      <c r="KY332" s="16">
        <v>24098</v>
      </c>
      <c r="KZ332" s="16">
        <v>196418</v>
      </c>
      <c r="LA332" s="16">
        <v>57108</v>
      </c>
      <c r="LB332" s="16">
        <v>19167</v>
      </c>
      <c r="LC332" s="16">
        <v>30379</v>
      </c>
      <c r="LD332" s="16">
        <v>65101</v>
      </c>
      <c r="LE332" s="16">
        <v>16958</v>
      </c>
      <c r="LF332" s="16">
        <v>51488</v>
      </c>
      <c r="LG332" s="16">
        <v>4310</v>
      </c>
      <c r="LH332" s="16">
        <v>10957</v>
      </c>
      <c r="LI332" s="16">
        <v>5119</v>
      </c>
      <c r="LJ332" s="16">
        <v>12502</v>
      </c>
      <c r="LK332" s="16">
        <v>43899</v>
      </c>
      <c r="LL332" s="16">
        <v>27863</v>
      </c>
      <c r="LM332" s="16">
        <v>95046</v>
      </c>
      <c r="LN332" s="16">
        <v>53978</v>
      </c>
      <c r="LO332" s="16">
        <v>18867</v>
      </c>
      <c r="LP332" s="16">
        <v>33613</v>
      </c>
      <c r="LQ332" s="16">
        <v>5787</v>
      </c>
      <c r="LR332" s="16">
        <v>2129001</v>
      </c>
      <c r="LS332" s="16">
        <v>411820</v>
      </c>
      <c r="LT332" s="16">
        <v>116389</v>
      </c>
      <c r="LU332" s="16">
        <v>109101</v>
      </c>
      <c r="LV332" s="16">
        <v>36177</v>
      </c>
      <c r="LW332" s="16">
        <v>70526</v>
      </c>
      <c r="LX332" s="16">
        <v>1306434</v>
      </c>
      <c r="LY332" s="16">
        <v>1196172</v>
      </c>
      <c r="LZ332" s="16">
        <v>353198</v>
      </c>
      <c r="MA332" s="16">
        <v>340009</v>
      </c>
      <c r="MB332" s="16">
        <v>70069</v>
      </c>
      <c r="MC332" s="16">
        <v>68044</v>
      </c>
      <c r="MD332" s="16">
        <v>56830</v>
      </c>
      <c r="ME332" s="16">
        <v>13385</v>
      </c>
      <c r="MF332" s="16">
        <v>183811</v>
      </c>
      <c r="MG332" s="16">
        <v>35792</v>
      </c>
      <c r="MH332" s="16">
        <v>185396</v>
      </c>
      <c r="MI332" s="16">
        <v>27213</v>
      </c>
      <c r="MJ332" s="16">
        <v>49797</v>
      </c>
      <c r="MK332" s="16">
        <v>24371</v>
      </c>
      <c r="ML332" s="16">
        <v>26991</v>
      </c>
      <c r="MM332" s="16">
        <v>34416</v>
      </c>
      <c r="MN332" s="16">
        <v>73938</v>
      </c>
      <c r="MO332" s="16">
        <v>44538</v>
      </c>
      <c r="MP332" s="16">
        <v>41184</v>
      </c>
      <c r="MQ332" s="16">
        <v>93931</v>
      </c>
      <c r="MR332" s="16">
        <v>596817</v>
      </c>
      <c r="MS332" s="16">
        <v>490144</v>
      </c>
      <c r="MT332" s="16">
        <v>26049</v>
      </c>
      <c r="MU332" s="16">
        <v>449445</v>
      </c>
      <c r="MV332" s="16">
        <v>166518</v>
      </c>
      <c r="MW332" s="16">
        <v>68049</v>
      </c>
      <c r="MX332" s="16">
        <v>19027</v>
      </c>
      <c r="MY332" s="16">
        <v>335401</v>
      </c>
      <c r="MZ332" s="16">
        <v>185298</v>
      </c>
      <c r="NA332" s="16">
        <v>45466</v>
      </c>
      <c r="NB332" s="16">
        <v>243689</v>
      </c>
      <c r="NC332" s="16">
        <v>34853</v>
      </c>
      <c r="ND332" s="16">
        <v>10639</v>
      </c>
      <c r="NE332" s="16">
        <v>5534</v>
      </c>
      <c r="NF332" s="16">
        <v>10201</v>
      </c>
      <c r="NG332" s="16">
        <v>50215</v>
      </c>
      <c r="NH332" s="16">
        <v>25990</v>
      </c>
      <c r="NI332" s="16">
        <v>12119</v>
      </c>
      <c r="NJ332" s="16">
        <v>101106</v>
      </c>
      <c r="NK332" s="16">
        <v>36061</v>
      </c>
      <c r="NL332" s="16">
        <v>12348</v>
      </c>
      <c r="NM332" s="16">
        <v>16814</v>
      </c>
      <c r="NN332" s="16">
        <v>3792</v>
      </c>
      <c r="NO332" s="16">
        <v>0</v>
      </c>
      <c r="NP332" s="16">
        <v>19874</v>
      </c>
      <c r="NQ332" s="16">
        <v>0</v>
      </c>
      <c r="NR332" s="17">
        <v>17248131</v>
      </c>
    </row>
    <row r="333" spans="1:382" ht="13.5" customHeight="1" x14ac:dyDescent="0.2">
      <c r="A333" s="2" t="s">
        <v>673</v>
      </c>
      <c r="B333" s="16">
        <v>0</v>
      </c>
      <c r="C333" s="16">
        <v>0</v>
      </c>
      <c r="D333" s="16">
        <v>0</v>
      </c>
      <c r="E333" s="16">
        <v>0</v>
      </c>
      <c r="F333" s="16">
        <v>0</v>
      </c>
      <c r="G333" s="16">
        <v>0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 s="16">
        <v>0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0</v>
      </c>
      <c r="AG333" s="16">
        <v>0</v>
      </c>
      <c r="AH333" s="16">
        <v>0</v>
      </c>
      <c r="AI333" s="16">
        <v>0</v>
      </c>
      <c r="AJ333" s="16">
        <v>0</v>
      </c>
      <c r="AK333" s="16">
        <v>0</v>
      </c>
      <c r="AL333" s="16">
        <v>0</v>
      </c>
      <c r="AM333" s="16">
        <v>0</v>
      </c>
      <c r="AN333" s="16">
        <v>0</v>
      </c>
      <c r="AO333" s="16">
        <v>0</v>
      </c>
      <c r="AP333" s="16">
        <v>0</v>
      </c>
      <c r="AQ333" s="16">
        <v>0</v>
      </c>
      <c r="AR333" s="16">
        <v>0</v>
      </c>
      <c r="AS333" s="16">
        <v>0</v>
      </c>
      <c r="AT333" s="16">
        <v>0</v>
      </c>
      <c r="AU333" s="16">
        <v>0</v>
      </c>
      <c r="AV333" s="16">
        <v>0</v>
      </c>
      <c r="AW333" s="16">
        <v>0</v>
      </c>
      <c r="AX333" s="16">
        <v>0</v>
      </c>
      <c r="AY333" s="16">
        <v>0</v>
      </c>
      <c r="AZ333" s="16">
        <v>0</v>
      </c>
      <c r="BA333" s="16">
        <v>0</v>
      </c>
      <c r="BB333" s="16">
        <v>0</v>
      </c>
      <c r="BC333" s="16">
        <v>0</v>
      </c>
      <c r="BD333" s="16">
        <v>0</v>
      </c>
      <c r="BE333" s="16">
        <v>0</v>
      </c>
      <c r="BF333" s="16">
        <v>0</v>
      </c>
      <c r="BG333" s="16">
        <v>0</v>
      </c>
      <c r="BH333" s="16">
        <v>0</v>
      </c>
      <c r="BI333" s="16">
        <v>0</v>
      </c>
      <c r="BJ333" s="16">
        <v>0</v>
      </c>
      <c r="BK333" s="16">
        <v>0</v>
      </c>
      <c r="BL333" s="16">
        <v>0</v>
      </c>
      <c r="BM333" s="16">
        <v>0</v>
      </c>
      <c r="BN333" s="16">
        <v>0</v>
      </c>
      <c r="BO333" s="16">
        <v>0</v>
      </c>
      <c r="BP333" s="16">
        <v>0</v>
      </c>
      <c r="BQ333" s="16">
        <v>0</v>
      </c>
      <c r="BR333" s="16">
        <v>0</v>
      </c>
      <c r="BS333" s="16">
        <v>0</v>
      </c>
      <c r="BT333" s="16">
        <v>0</v>
      </c>
      <c r="BU333" s="16">
        <v>0</v>
      </c>
      <c r="BV333" s="16">
        <v>0</v>
      </c>
      <c r="BW333" s="16">
        <v>0</v>
      </c>
      <c r="BX333" s="16">
        <v>0</v>
      </c>
      <c r="BY333" s="16">
        <v>0</v>
      </c>
      <c r="BZ333" s="16">
        <v>0</v>
      </c>
      <c r="CA333" s="16">
        <v>0</v>
      </c>
      <c r="CB333" s="16">
        <v>0</v>
      </c>
      <c r="CC333" s="16">
        <v>0</v>
      </c>
      <c r="CD333" s="16">
        <v>0</v>
      </c>
      <c r="CE333" s="16">
        <v>0</v>
      </c>
      <c r="CF333" s="16">
        <v>0</v>
      </c>
      <c r="CG333" s="16">
        <v>0</v>
      </c>
      <c r="CH333" s="16">
        <v>0</v>
      </c>
      <c r="CI333" s="16">
        <v>0</v>
      </c>
      <c r="CJ333" s="16">
        <v>0</v>
      </c>
      <c r="CK333" s="16">
        <v>0</v>
      </c>
      <c r="CL333" s="16">
        <v>0</v>
      </c>
      <c r="CM333" s="16">
        <v>0</v>
      </c>
      <c r="CN333" s="16">
        <v>0</v>
      </c>
      <c r="CO333" s="16">
        <v>0</v>
      </c>
      <c r="CP333" s="16">
        <v>0</v>
      </c>
      <c r="CQ333" s="16">
        <v>0</v>
      </c>
      <c r="CR333" s="16">
        <v>0</v>
      </c>
      <c r="CS333" s="16">
        <v>0</v>
      </c>
      <c r="CT333" s="16">
        <v>0</v>
      </c>
      <c r="CU333" s="16">
        <v>0</v>
      </c>
      <c r="CV333" s="16">
        <v>0</v>
      </c>
      <c r="CW333" s="16">
        <v>0</v>
      </c>
      <c r="CX333" s="16">
        <v>0</v>
      </c>
      <c r="CY333" s="16">
        <v>0</v>
      </c>
      <c r="CZ333" s="16">
        <v>0</v>
      </c>
      <c r="DA333" s="16">
        <v>0</v>
      </c>
      <c r="DB333" s="16">
        <v>0</v>
      </c>
      <c r="DC333" s="16">
        <v>0</v>
      </c>
      <c r="DD333" s="16">
        <v>0</v>
      </c>
      <c r="DE333" s="16">
        <v>0</v>
      </c>
      <c r="DF333" s="16">
        <v>0</v>
      </c>
      <c r="DG333" s="16">
        <v>0</v>
      </c>
      <c r="DH333" s="16">
        <v>0</v>
      </c>
      <c r="DI333" s="16">
        <v>0</v>
      </c>
      <c r="DJ333" s="16">
        <v>0</v>
      </c>
      <c r="DK333" s="16">
        <v>0</v>
      </c>
      <c r="DL333" s="16">
        <v>0</v>
      </c>
      <c r="DM333" s="16">
        <v>0</v>
      </c>
      <c r="DN333" s="16">
        <v>0</v>
      </c>
      <c r="DO333" s="16">
        <v>0</v>
      </c>
      <c r="DP333" s="16">
        <v>0</v>
      </c>
      <c r="DQ333" s="16">
        <v>0</v>
      </c>
      <c r="DR333" s="16">
        <v>0</v>
      </c>
      <c r="DS333" s="16">
        <v>0</v>
      </c>
      <c r="DT333" s="16">
        <v>0</v>
      </c>
      <c r="DU333" s="16">
        <v>0</v>
      </c>
      <c r="DV333" s="16">
        <v>0</v>
      </c>
      <c r="DW333" s="16">
        <v>0</v>
      </c>
      <c r="DX333" s="16">
        <v>0</v>
      </c>
      <c r="DY333" s="16">
        <v>0</v>
      </c>
      <c r="DZ333" s="16">
        <v>0</v>
      </c>
      <c r="EA333" s="16">
        <v>0</v>
      </c>
      <c r="EB333" s="16">
        <v>0</v>
      </c>
      <c r="EC333" s="16">
        <v>0</v>
      </c>
      <c r="ED333" s="16">
        <v>0</v>
      </c>
      <c r="EE333" s="16">
        <v>0</v>
      </c>
      <c r="EF333" s="16">
        <v>0</v>
      </c>
      <c r="EG333" s="16">
        <v>0</v>
      </c>
      <c r="EH333" s="16">
        <v>0</v>
      </c>
      <c r="EI333" s="16">
        <v>0</v>
      </c>
      <c r="EJ333" s="16">
        <v>0</v>
      </c>
      <c r="EK333" s="16">
        <v>0</v>
      </c>
      <c r="EL333" s="16">
        <v>0</v>
      </c>
      <c r="EM333" s="16">
        <v>0</v>
      </c>
      <c r="EN333" s="16">
        <v>0</v>
      </c>
      <c r="EO333" s="16">
        <v>0</v>
      </c>
      <c r="EP333" s="16">
        <v>0</v>
      </c>
      <c r="EQ333" s="16">
        <v>0</v>
      </c>
      <c r="ER333" s="16">
        <v>0</v>
      </c>
      <c r="ES333" s="16">
        <v>0</v>
      </c>
      <c r="ET333" s="16">
        <v>0</v>
      </c>
      <c r="EU333" s="16">
        <v>0</v>
      </c>
      <c r="EV333" s="16">
        <v>0</v>
      </c>
      <c r="EW333" s="16">
        <v>0</v>
      </c>
      <c r="EX333" s="16">
        <v>0</v>
      </c>
      <c r="EY333" s="16">
        <v>0</v>
      </c>
      <c r="EZ333" s="16">
        <v>0</v>
      </c>
      <c r="FA333" s="16">
        <v>0</v>
      </c>
      <c r="FB333" s="16">
        <v>0</v>
      </c>
      <c r="FC333" s="16">
        <v>0</v>
      </c>
      <c r="FD333" s="16">
        <v>0</v>
      </c>
      <c r="FE333" s="16">
        <v>0</v>
      </c>
      <c r="FF333" s="16">
        <v>0</v>
      </c>
      <c r="FG333" s="16">
        <v>0</v>
      </c>
      <c r="FH333" s="16">
        <v>0</v>
      </c>
      <c r="FI333" s="16">
        <v>0</v>
      </c>
      <c r="FJ333" s="16">
        <v>0</v>
      </c>
      <c r="FK333" s="16">
        <v>0</v>
      </c>
      <c r="FL333" s="16">
        <v>0</v>
      </c>
      <c r="FM333" s="16">
        <v>0</v>
      </c>
      <c r="FN333" s="16">
        <v>0</v>
      </c>
      <c r="FO333" s="16">
        <v>0</v>
      </c>
      <c r="FP333" s="16">
        <v>0</v>
      </c>
      <c r="FQ333" s="16">
        <v>0</v>
      </c>
      <c r="FR333" s="16">
        <v>0</v>
      </c>
      <c r="FS333" s="16">
        <v>0</v>
      </c>
      <c r="FT333" s="16">
        <v>0</v>
      </c>
      <c r="FU333" s="16">
        <v>0</v>
      </c>
      <c r="FV333" s="16">
        <v>0</v>
      </c>
      <c r="FW333" s="16">
        <v>0</v>
      </c>
      <c r="FX333" s="16">
        <v>0</v>
      </c>
      <c r="FY333" s="16">
        <v>0</v>
      </c>
      <c r="FZ333" s="16">
        <v>0</v>
      </c>
      <c r="GA333" s="16">
        <v>0</v>
      </c>
      <c r="GB333" s="16">
        <v>0</v>
      </c>
      <c r="GC333" s="16">
        <v>0</v>
      </c>
      <c r="GD333" s="16">
        <v>0</v>
      </c>
      <c r="GE333" s="16">
        <v>0</v>
      </c>
      <c r="GF333" s="16">
        <v>0</v>
      </c>
      <c r="GG333" s="16">
        <v>0</v>
      </c>
      <c r="GH333" s="16">
        <v>0</v>
      </c>
      <c r="GI333" s="16">
        <v>0</v>
      </c>
      <c r="GJ333" s="16">
        <v>0</v>
      </c>
      <c r="GK333" s="16">
        <v>0</v>
      </c>
      <c r="GL333" s="16">
        <v>0</v>
      </c>
      <c r="GM333" s="16">
        <v>0</v>
      </c>
      <c r="GN333" s="16">
        <v>0</v>
      </c>
      <c r="GO333" s="16">
        <v>0</v>
      </c>
      <c r="GP333" s="16">
        <v>0</v>
      </c>
      <c r="GQ333" s="16">
        <v>0</v>
      </c>
      <c r="GR333" s="16">
        <v>0</v>
      </c>
      <c r="GS333" s="16">
        <v>0</v>
      </c>
      <c r="GT333" s="16">
        <v>0</v>
      </c>
      <c r="GU333" s="16">
        <v>0</v>
      </c>
      <c r="GV333" s="16">
        <v>0</v>
      </c>
      <c r="GW333" s="16">
        <v>0</v>
      </c>
      <c r="GX333" s="16">
        <v>0</v>
      </c>
      <c r="GY333" s="16">
        <v>0</v>
      </c>
      <c r="GZ333" s="16">
        <v>0</v>
      </c>
      <c r="HA333" s="16">
        <v>0</v>
      </c>
      <c r="HB333" s="16">
        <v>0</v>
      </c>
      <c r="HC333" s="16">
        <v>0</v>
      </c>
      <c r="HD333" s="16">
        <v>0</v>
      </c>
      <c r="HE333" s="16">
        <v>0</v>
      </c>
      <c r="HF333" s="16">
        <v>0</v>
      </c>
      <c r="HG333" s="16">
        <v>0</v>
      </c>
      <c r="HH333" s="16">
        <v>0</v>
      </c>
      <c r="HI333" s="16">
        <v>0</v>
      </c>
      <c r="HJ333" s="16">
        <v>0</v>
      </c>
      <c r="HK333" s="16">
        <v>0</v>
      </c>
      <c r="HL333" s="16">
        <v>0</v>
      </c>
      <c r="HM333" s="16">
        <v>0</v>
      </c>
      <c r="HN333" s="16">
        <v>0</v>
      </c>
      <c r="HO333" s="16">
        <v>0</v>
      </c>
      <c r="HP333" s="16">
        <v>0</v>
      </c>
      <c r="HQ333" s="16">
        <v>0</v>
      </c>
      <c r="HR333" s="16">
        <v>0</v>
      </c>
      <c r="HS333" s="16">
        <v>0</v>
      </c>
      <c r="HT333" s="16">
        <v>0</v>
      </c>
      <c r="HU333" s="16">
        <v>0</v>
      </c>
      <c r="HV333" s="16">
        <v>0</v>
      </c>
      <c r="HW333" s="16">
        <v>0</v>
      </c>
      <c r="HX333" s="16">
        <v>0</v>
      </c>
      <c r="HY333" s="16">
        <v>0</v>
      </c>
      <c r="HZ333" s="16">
        <v>0</v>
      </c>
      <c r="IA333" s="16">
        <v>0</v>
      </c>
      <c r="IB333" s="16">
        <v>0</v>
      </c>
      <c r="IC333" s="16">
        <v>0</v>
      </c>
      <c r="ID333" s="16">
        <v>0</v>
      </c>
      <c r="IE333" s="16">
        <v>0</v>
      </c>
      <c r="IF333" s="16">
        <v>0</v>
      </c>
      <c r="IG333" s="16">
        <v>0</v>
      </c>
      <c r="IH333" s="16">
        <v>0</v>
      </c>
      <c r="II333" s="16">
        <v>0</v>
      </c>
      <c r="IJ333" s="16">
        <v>0</v>
      </c>
      <c r="IK333" s="16">
        <v>0</v>
      </c>
      <c r="IL333" s="16">
        <v>0</v>
      </c>
      <c r="IM333" s="16">
        <v>0</v>
      </c>
      <c r="IN333" s="16">
        <v>0</v>
      </c>
      <c r="IO333" s="16">
        <v>0</v>
      </c>
      <c r="IP333" s="16">
        <v>0</v>
      </c>
      <c r="IQ333" s="16">
        <v>0</v>
      </c>
      <c r="IR333" s="16">
        <v>0</v>
      </c>
      <c r="IS333" s="16">
        <v>0</v>
      </c>
      <c r="IT333" s="16">
        <v>0</v>
      </c>
      <c r="IU333" s="16">
        <v>0</v>
      </c>
      <c r="IV333" s="16">
        <v>0</v>
      </c>
      <c r="IW333" s="16">
        <v>0</v>
      </c>
      <c r="IX333" s="16">
        <v>0</v>
      </c>
      <c r="IY333" s="16">
        <v>0</v>
      </c>
      <c r="IZ333" s="16">
        <v>0</v>
      </c>
      <c r="JA333" s="16">
        <v>0</v>
      </c>
      <c r="JB333" s="16">
        <v>0</v>
      </c>
      <c r="JC333" s="16">
        <v>0</v>
      </c>
      <c r="JD333" s="16">
        <v>0</v>
      </c>
      <c r="JE333" s="16">
        <v>0</v>
      </c>
      <c r="JF333" s="16">
        <v>0</v>
      </c>
      <c r="JG333" s="16">
        <v>0</v>
      </c>
      <c r="JH333" s="16">
        <v>0</v>
      </c>
      <c r="JI333" s="16">
        <v>0</v>
      </c>
      <c r="JJ333" s="16">
        <v>0</v>
      </c>
      <c r="JK333" s="16">
        <v>0</v>
      </c>
      <c r="JL333" s="16">
        <v>0</v>
      </c>
      <c r="JM333" s="16">
        <v>0</v>
      </c>
      <c r="JN333" s="16">
        <v>0</v>
      </c>
      <c r="JO333" s="16">
        <v>0</v>
      </c>
      <c r="JP333" s="16">
        <v>0</v>
      </c>
      <c r="JQ333" s="16">
        <v>0</v>
      </c>
      <c r="JR333" s="16">
        <v>0</v>
      </c>
      <c r="JS333" s="16">
        <v>0</v>
      </c>
      <c r="JT333" s="16">
        <v>0</v>
      </c>
      <c r="JU333" s="16">
        <v>0</v>
      </c>
      <c r="JV333" s="16">
        <v>0</v>
      </c>
      <c r="JW333" s="16">
        <v>0</v>
      </c>
      <c r="JX333" s="16">
        <v>0</v>
      </c>
      <c r="JY333" s="16">
        <v>0</v>
      </c>
      <c r="JZ333" s="16">
        <v>0</v>
      </c>
      <c r="KA333" s="16">
        <v>0</v>
      </c>
      <c r="KB333" s="16">
        <v>0</v>
      </c>
      <c r="KC333" s="16">
        <v>0</v>
      </c>
      <c r="KD333" s="16">
        <v>0</v>
      </c>
      <c r="KE333" s="16">
        <v>0</v>
      </c>
      <c r="KF333" s="16">
        <v>0</v>
      </c>
      <c r="KG333" s="16">
        <v>0</v>
      </c>
      <c r="KH333" s="16">
        <v>0</v>
      </c>
      <c r="KI333" s="16">
        <v>0</v>
      </c>
      <c r="KJ333" s="16">
        <v>0</v>
      </c>
      <c r="KK333" s="16">
        <v>0</v>
      </c>
      <c r="KL333" s="16">
        <v>0</v>
      </c>
      <c r="KM333" s="16">
        <v>0</v>
      </c>
      <c r="KN333" s="16">
        <v>0</v>
      </c>
      <c r="KO333" s="16">
        <v>0</v>
      </c>
      <c r="KP333" s="16">
        <v>0</v>
      </c>
      <c r="KQ333" s="16">
        <v>0</v>
      </c>
      <c r="KR333" s="16">
        <v>0</v>
      </c>
      <c r="KS333" s="16">
        <v>0</v>
      </c>
      <c r="KT333" s="16">
        <v>0</v>
      </c>
      <c r="KU333" s="16">
        <v>0</v>
      </c>
      <c r="KV333" s="16">
        <v>0</v>
      </c>
      <c r="KW333" s="16">
        <v>0</v>
      </c>
      <c r="KX333" s="16">
        <v>0</v>
      </c>
      <c r="KY333" s="16">
        <v>0</v>
      </c>
      <c r="KZ333" s="16">
        <v>0</v>
      </c>
      <c r="LA333" s="16">
        <v>0</v>
      </c>
      <c r="LB333" s="16">
        <v>0</v>
      </c>
      <c r="LC333" s="16">
        <v>0</v>
      </c>
      <c r="LD333" s="16">
        <v>0</v>
      </c>
      <c r="LE333" s="16">
        <v>0</v>
      </c>
      <c r="LF333" s="16">
        <v>0</v>
      </c>
      <c r="LG333" s="16">
        <v>0</v>
      </c>
      <c r="LH333" s="16">
        <v>0</v>
      </c>
      <c r="LI333" s="16">
        <v>0</v>
      </c>
      <c r="LJ333" s="16">
        <v>0</v>
      </c>
      <c r="LK333" s="16">
        <v>0</v>
      </c>
      <c r="LL333" s="16">
        <v>0</v>
      </c>
      <c r="LM333" s="16">
        <v>0</v>
      </c>
      <c r="LN333" s="16">
        <v>0</v>
      </c>
      <c r="LO333" s="16">
        <v>0</v>
      </c>
      <c r="LP333" s="16">
        <v>0</v>
      </c>
      <c r="LQ333" s="16">
        <v>0</v>
      </c>
      <c r="LR333" s="16">
        <v>0</v>
      </c>
      <c r="LS333" s="16">
        <v>0</v>
      </c>
      <c r="LT333" s="16">
        <v>0</v>
      </c>
      <c r="LU333" s="16">
        <v>0</v>
      </c>
      <c r="LV333" s="16">
        <v>0</v>
      </c>
      <c r="LW333" s="16">
        <v>0</v>
      </c>
      <c r="LX333" s="16">
        <v>0</v>
      </c>
      <c r="LY333" s="16">
        <v>0</v>
      </c>
      <c r="LZ333" s="16">
        <v>0</v>
      </c>
      <c r="MA333" s="16">
        <v>0</v>
      </c>
      <c r="MB333" s="16">
        <v>0</v>
      </c>
      <c r="MC333" s="16">
        <v>0</v>
      </c>
      <c r="MD333" s="16">
        <v>0</v>
      </c>
      <c r="ME333" s="16">
        <v>0</v>
      </c>
      <c r="MF333" s="16">
        <v>0</v>
      </c>
      <c r="MG333" s="16">
        <v>0</v>
      </c>
      <c r="MH333" s="16">
        <v>0</v>
      </c>
      <c r="MI333" s="16">
        <v>0</v>
      </c>
      <c r="MJ333" s="16">
        <v>0</v>
      </c>
      <c r="MK333" s="16">
        <v>0</v>
      </c>
      <c r="ML333" s="16">
        <v>0</v>
      </c>
      <c r="MM333" s="16">
        <v>0</v>
      </c>
      <c r="MN333" s="16">
        <v>0</v>
      </c>
      <c r="MO333" s="16">
        <v>0</v>
      </c>
      <c r="MP333" s="16">
        <v>0</v>
      </c>
      <c r="MQ333" s="16">
        <v>0</v>
      </c>
      <c r="MR333" s="16">
        <v>0</v>
      </c>
      <c r="MS333" s="16">
        <v>0</v>
      </c>
      <c r="MT333" s="16">
        <v>0</v>
      </c>
      <c r="MU333" s="16">
        <v>0</v>
      </c>
      <c r="MV333" s="16">
        <v>0</v>
      </c>
      <c r="MW333" s="16">
        <v>0</v>
      </c>
      <c r="MX333" s="16">
        <v>0</v>
      </c>
      <c r="MY333" s="16">
        <v>0</v>
      </c>
      <c r="MZ333" s="16">
        <v>0</v>
      </c>
      <c r="NA333" s="16">
        <v>0</v>
      </c>
      <c r="NB333" s="16">
        <v>0</v>
      </c>
      <c r="NC333" s="16">
        <v>0</v>
      </c>
      <c r="ND333" s="16">
        <v>0</v>
      </c>
      <c r="NE333" s="16">
        <v>0</v>
      </c>
      <c r="NF333" s="16">
        <v>0</v>
      </c>
      <c r="NG333" s="16">
        <v>0</v>
      </c>
      <c r="NH333" s="16">
        <v>0</v>
      </c>
      <c r="NI333" s="16">
        <v>0</v>
      </c>
      <c r="NJ333" s="16">
        <v>0</v>
      </c>
      <c r="NK333" s="16">
        <v>0</v>
      </c>
      <c r="NL333" s="16">
        <v>0</v>
      </c>
      <c r="NM333" s="16">
        <v>0</v>
      </c>
      <c r="NN333" s="16">
        <v>0</v>
      </c>
      <c r="NO333" s="16">
        <v>0</v>
      </c>
      <c r="NP333" s="16">
        <v>0</v>
      </c>
      <c r="NQ333" s="16">
        <v>0</v>
      </c>
      <c r="NR333" s="17">
        <v>0</v>
      </c>
    </row>
    <row r="334" spans="1:382" ht="13.5" customHeight="1" x14ac:dyDescent="0.2">
      <c r="A334" s="2" t="s">
        <v>675</v>
      </c>
      <c r="B334" s="16">
        <v>0</v>
      </c>
      <c r="C334" s="16">
        <v>0</v>
      </c>
      <c r="D334" s="16">
        <v>0</v>
      </c>
      <c r="E334" s="16">
        <v>0</v>
      </c>
      <c r="F334" s="16">
        <v>0</v>
      </c>
      <c r="G334" s="16">
        <v>0</v>
      </c>
      <c r="H334" s="16">
        <v>0</v>
      </c>
      <c r="I334" s="16">
        <v>0</v>
      </c>
      <c r="J334" s="16">
        <v>0</v>
      </c>
      <c r="K334" s="16">
        <v>0</v>
      </c>
      <c r="L334" s="16">
        <v>0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0</v>
      </c>
      <c r="AG334" s="16">
        <v>0</v>
      </c>
      <c r="AH334" s="16">
        <v>0</v>
      </c>
      <c r="AI334" s="16">
        <v>0</v>
      </c>
      <c r="AJ334" s="16">
        <v>0</v>
      </c>
      <c r="AK334" s="16">
        <v>0</v>
      </c>
      <c r="AL334" s="16">
        <v>0</v>
      </c>
      <c r="AM334" s="16">
        <v>0</v>
      </c>
      <c r="AN334" s="16">
        <v>0</v>
      </c>
      <c r="AO334" s="16">
        <v>0</v>
      </c>
      <c r="AP334" s="16">
        <v>0</v>
      </c>
      <c r="AQ334" s="16">
        <v>0</v>
      </c>
      <c r="AR334" s="16">
        <v>0</v>
      </c>
      <c r="AS334" s="16">
        <v>0</v>
      </c>
      <c r="AT334" s="16">
        <v>0</v>
      </c>
      <c r="AU334" s="16">
        <v>0</v>
      </c>
      <c r="AV334" s="16">
        <v>0</v>
      </c>
      <c r="AW334" s="16">
        <v>0</v>
      </c>
      <c r="AX334" s="16">
        <v>0</v>
      </c>
      <c r="AY334" s="16">
        <v>0</v>
      </c>
      <c r="AZ334" s="16">
        <v>0</v>
      </c>
      <c r="BA334" s="16">
        <v>0</v>
      </c>
      <c r="BB334" s="16">
        <v>0</v>
      </c>
      <c r="BC334" s="16">
        <v>0</v>
      </c>
      <c r="BD334" s="16">
        <v>0</v>
      </c>
      <c r="BE334" s="16">
        <v>0</v>
      </c>
      <c r="BF334" s="16">
        <v>0</v>
      </c>
      <c r="BG334" s="16">
        <v>0</v>
      </c>
      <c r="BH334" s="16">
        <v>0</v>
      </c>
      <c r="BI334" s="16">
        <v>0</v>
      </c>
      <c r="BJ334" s="16">
        <v>0</v>
      </c>
      <c r="BK334" s="16">
        <v>0</v>
      </c>
      <c r="BL334" s="16">
        <v>0</v>
      </c>
      <c r="BM334" s="16">
        <v>0</v>
      </c>
      <c r="BN334" s="16">
        <v>0</v>
      </c>
      <c r="BO334" s="16">
        <v>0</v>
      </c>
      <c r="BP334" s="16">
        <v>0</v>
      </c>
      <c r="BQ334" s="16">
        <v>0</v>
      </c>
      <c r="BR334" s="16">
        <v>0</v>
      </c>
      <c r="BS334" s="16">
        <v>0</v>
      </c>
      <c r="BT334" s="16">
        <v>0</v>
      </c>
      <c r="BU334" s="16">
        <v>0</v>
      </c>
      <c r="BV334" s="16">
        <v>0</v>
      </c>
      <c r="BW334" s="16">
        <v>0</v>
      </c>
      <c r="BX334" s="16">
        <v>0</v>
      </c>
      <c r="BY334" s="16">
        <v>0</v>
      </c>
      <c r="BZ334" s="16">
        <v>0</v>
      </c>
      <c r="CA334" s="16">
        <v>0</v>
      </c>
      <c r="CB334" s="16">
        <v>0</v>
      </c>
      <c r="CC334" s="16">
        <v>0</v>
      </c>
      <c r="CD334" s="16">
        <v>0</v>
      </c>
      <c r="CE334" s="16">
        <v>0</v>
      </c>
      <c r="CF334" s="16">
        <v>0</v>
      </c>
      <c r="CG334" s="16">
        <v>0</v>
      </c>
      <c r="CH334" s="16">
        <v>0</v>
      </c>
      <c r="CI334" s="16">
        <v>0</v>
      </c>
      <c r="CJ334" s="16">
        <v>0</v>
      </c>
      <c r="CK334" s="16">
        <v>0</v>
      </c>
      <c r="CL334" s="16">
        <v>0</v>
      </c>
      <c r="CM334" s="16">
        <v>0</v>
      </c>
      <c r="CN334" s="16">
        <v>0</v>
      </c>
      <c r="CO334" s="16">
        <v>0</v>
      </c>
      <c r="CP334" s="16">
        <v>0</v>
      </c>
      <c r="CQ334" s="16">
        <v>0</v>
      </c>
      <c r="CR334" s="16">
        <v>0</v>
      </c>
      <c r="CS334" s="16">
        <v>0</v>
      </c>
      <c r="CT334" s="16">
        <v>0</v>
      </c>
      <c r="CU334" s="16">
        <v>0</v>
      </c>
      <c r="CV334" s="16">
        <v>0</v>
      </c>
      <c r="CW334" s="16">
        <v>0</v>
      </c>
      <c r="CX334" s="16">
        <v>0</v>
      </c>
      <c r="CY334" s="16">
        <v>0</v>
      </c>
      <c r="CZ334" s="16">
        <v>0</v>
      </c>
      <c r="DA334" s="16">
        <v>0</v>
      </c>
      <c r="DB334" s="16">
        <v>0</v>
      </c>
      <c r="DC334" s="16">
        <v>0</v>
      </c>
      <c r="DD334" s="16">
        <v>0</v>
      </c>
      <c r="DE334" s="16">
        <v>0</v>
      </c>
      <c r="DF334" s="16">
        <v>0</v>
      </c>
      <c r="DG334" s="16">
        <v>0</v>
      </c>
      <c r="DH334" s="16">
        <v>0</v>
      </c>
      <c r="DI334" s="16">
        <v>0</v>
      </c>
      <c r="DJ334" s="16">
        <v>0</v>
      </c>
      <c r="DK334" s="16">
        <v>0</v>
      </c>
      <c r="DL334" s="16">
        <v>0</v>
      </c>
      <c r="DM334" s="16">
        <v>0</v>
      </c>
      <c r="DN334" s="16">
        <v>0</v>
      </c>
      <c r="DO334" s="16">
        <v>0</v>
      </c>
      <c r="DP334" s="16">
        <v>0</v>
      </c>
      <c r="DQ334" s="16">
        <v>0</v>
      </c>
      <c r="DR334" s="16">
        <v>0</v>
      </c>
      <c r="DS334" s="16">
        <v>0</v>
      </c>
      <c r="DT334" s="16">
        <v>0</v>
      </c>
      <c r="DU334" s="16">
        <v>0</v>
      </c>
      <c r="DV334" s="16">
        <v>0</v>
      </c>
      <c r="DW334" s="16">
        <v>0</v>
      </c>
      <c r="DX334" s="16">
        <v>0</v>
      </c>
      <c r="DY334" s="16">
        <v>0</v>
      </c>
      <c r="DZ334" s="16">
        <v>0</v>
      </c>
      <c r="EA334" s="16">
        <v>0</v>
      </c>
      <c r="EB334" s="16">
        <v>0</v>
      </c>
      <c r="EC334" s="16">
        <v>0</v>
      </c>
      <c r="ED334" s="16">
        <v>0</v>
      </c>
      <c r="EE334" s="16">
        <v>0</v>
      </c>
      <c r="EF334" s="16">
        <v>0</v>
      </c>
      <c r="EG334" s="16">
        <v>0</v>
      </c>
      <c r="EH334" s="16">
        <v>0</v>
      </c>
      <c r="EI334" s="16">
        <v>0</v>
      </c>
      <c r="EJ334" s="16">
        <v>0</v>
      </c>
      <c r="EK334" s="16">
        <v>0</v>
      </c>
      <c r="EL334" s="16">
        <v>0</v>
      </c>
      <c r="EM334" s="16">
        <v>0</v>
      </c>
      <c r="EN334" s="16">
        <v>0</v>
      </c>
      <c r="EO334" s="16">
        <v>0</v>
      </c>
      <c r="EP334" s="16">
        <v>0</v>
      </c>
      <c r="EQ334" s="16">
        <v>0</v>
      </c>
      <c r="ER334" s="16">
        <v>0</v>
      </c>
      <c r="ES334" s="16">
        <v>0</v>
      </c>
      <c r="ET334" s="16">
        <v>0</v>
      </c>
      <c r="EU334" s="16">
        <v>0</v>
      </c>
      <c r="EV334" s="16">
        <v>0</v>
      </c>
      <c r="EW334" s="16">
        <v>0</v>
      </c>
      <c r="EX334" s="16">
        <v>0</v>
      </c>
      <c r="EY334" s="16">
        <v>0</v>
      </c>
      <c r="EZ334" s="16">
        <v>0</v>
      </c>
      <c r="FA334" s="16">
        <v>0</v>
      </c>
      <c r="FB334" s="16">
        <v>0</v>
      </c>
      <c r="FC334" s="16">
        <v>0</v>
      </c>
      <c r="FD334" s="16">
        <v>0</v>
      </c>
      <c r="FE334" s="16">
        <v>0</v>
      </c>
      <c r="FF334" s="16">
        <v>0</v>
      </c>
      <c r="FG334" s="16">
        <v>0</v>
      </c>
      <c r="FH334" s="16">
        <v>0</v>
      </c>
      <c r="FI334" s="16">
        <v>0</v>
      </c>
      <c r="FJ334" s="16">
        <v>0</v>
      </c>
      <c r="FK334" s="16">
        <v>0</v>
      </c>
      <c r="FL334" s="16">
        <v>0</v>
      </c>
      <c r="FM334" s="16">
        <v>0</v>
      </c>
      <c r="FN334" s="16">
        <v>0</v>
      </c>
      <c r="FO334" s="16">
        <v>0</v>
      </c>
      <c r="FP334" s="16">
        <v>0</v>
      </c>
      <c r="FQ334" s="16">
        <v>0</v>
      </c>
      <c r="FR334" s="16">
        <v>0</v>
      </c>
      <c r="FS334" s="16">
        <v>0</v>
      </c>
      <c r="FT334" s="16">
        <v>0</v>
      </c>
      <c r="FU334" s="16">
        <v>0</v>
      </c>
      <c r="FV334" s="16">
        <v>0</v>
      </c>
      <c r="FW334" s="16">
        <v>0</v>
      </c>
      <c r="FX334" s="16">
        <v>0</v>
      </c>
      <c r="FY334" s="16">
        <v>0</v>
      </c>
      <c r="FZ334" s="16">
        <v>0</v>
      </c>
      <c r="GA334" s="16">
        <v>0</v>
      </c>
      <c r="GB334" s="16">
        <v>0</v>
      </c>
      <c r="GC334" s="16">
        <v>0</v>
      </c>
      <c r="GD334" s="16">
        <v>0</v>
      </c>
      <c r="GE334" s="16">
        <v>0</v>
      </c>
      <c r="GF334" s="16">
        <v>0</v>
      </c>
      <c r="GG334" s="16">
        <v>0</v>
      </c>
      <c r="GH334" s="16">
        <v>0</v>
      </c>
      <c r="GI334" s="16">
        <v>0</v>
      </c>
      <c r="GJ334" s="16">
        <v>0</v>
      </c>
      <c r="GK334" s="16">
        <v>0</v>
      </c>
      <c r="GL334" s="16">
        <v>0</v>
      </c>
      <c r="GM334" s="16">
        <v>0</v>
      </c>
      <c r="GN334" s="16">
        <v>0</v>
      </c>
      <c r="GO334" s="16">
        <v>0</v>
      </c>
      <c r="GP334" s="16">
        <v>0</v>
      </c>
      <c r="GQ334" s="16">
        <v>0</v>
      </c>
      <c r="GR334" s="16">
        <v>0</v>
      </c>
      <c r="GS334" s="16">
        <v>0</v>
      </c>
      <c r="GT334" s="16">
        <v>0</v>
      </c>
      <c r="GU334" s="16">
        <v>0</v>
      </c>
      <c r="GV334" s="16">
        <v>0</v>
      </c>
      <c r="GW334" s="16">
        <v>0</v>
      </c>
      <c r="GX334" s="16">
        <v>0</v>
      </c>
      <c r="GY334" s="16">
        <v>0</v>
      </c>
      <c r="GZ334" s="16">
        <v>0</v>
      </c>
      <c r="HA334" s="16">
        <v>0</v>
      </c>
      <c r="HB334" s="16">
        <v>0</v>
      </c>
      <c r="HC334" s="16">
        <v>0</v>
      </c>
      <c r="HD334" s="16">
        <v>0</v>
      </c>
      <c r="HE334" s="16">
        <v>0</v>
      </c>
      <c r="HF334" s="16">
        <v>0</v>
      </c>
      <c r="HG334" s="16">
        <v>0</v>
      </c>
      <c r="HH334" s="16">
        <v>0</v>
      </c>
      <c r="HI334" s="16">
        <v>0</v>
      </c>
      <c r="HJ334" s="16">
        <v>0</v>
      </c>
      <c r="HK334" s="16">
        <v>0</v>
      </c>
      <c r="HL334" s="16">
        <v>0</v>
      </c>
      <c r="HM334" s="16">
        <v>0</v>
      </c>
      <c r="HN334" s="16">
        <v>0</v>
      </c>
      <c r="HO334" s="16">
        <v>0</v>
      </c>
      <c r="HP334" s="16">
        <v>0</v>
      </c>
      <c r="HQ334" s="16">
        <v>0</v>
      </c>
      <c r="HR334" s="16">
        <v>0</v>
      </c>
      <c r="HS334" s="16">
        <v>0</v>
      </c>
      <c r="HT334" s="16">
        <v>0</v>
      </c>
      <c r="HU334" s="16">
        <v>0</v>
      </c>
      <c r="HV334" s="16">
        <v>0</v>
      </c>
      <c r="HW334" s="16">
        <v>0</v>
      </c>
      <c r="HX334" s="16">
        <v>0</v>
      </c>
      <c r="HY334" s="16">
        <v>0</v>
      </c>
      <c r="HZ334" s="16">
        <v>0</v>
      </c>
      <c r="IA334" s="16">
        <v>0</v>
      </c>
      <c r="IB334" s="16">
        <v>0</v>
      </c>
      <c r="IC334" s="16">
        <v>0</v>
      </c>
      <c r="ID334" s="16">
        <v>0</v>
      </c>
      <c r="IE334" s="16">
        <v>0</v>
      </c>
      <c r="IF334" s="16">
        <v>0</v>
      </c>
      <c r="IG334" s="16">
        <v>0</v>
      </c>
      <c r="IH334" s="16">
        <v>0</v>
      </c>
      <c r="II334" s="16">
        <v>0</v>
      </c>
      <c r="IJ334" s="16">
        <v>0</v>
      </c>
      <c r="IK334" s="16">
        <v>0</v>
      </c>
      <c r="IL334" s="16">
        <v>0</v>
      </c>
      <c r="IM334" s="16">
        <v>0</v>
      </c>
      <c r="IN334" s="16">
        <v>0</v>
      </c>
      <c r="IO334" s="16">
        <v>0</v>
      </c>
      <c r="IP334" s="16">
        <v>0</v>
      </c>
      <c r="IQ334" s="16">
        <v>0</v>
      </c>
      <c r="IR334" s="16">
        <v>0</v>
      </c>
      <c r="IS334" s="16">
        <v>0</v>
      </c>
      <c r="IT334" s="16">
        <v>0</v>
      </c>
      <c r="IU334" s="16">
        <v>0</v>
      </c>
      <c r="IV334" s="16">
        <v>0</v>
      </c>
      <c r="IW334" s="16">
        <v>0</v>
      </c>
      <c r="IX334" s="16">
        <v>0</v>
      </c>
      <c r="IY334" s="16">
        <v>0</v>
      </c>
      <c r="IZ334" s="16">
        <v>0</v>
      </c>
      <c r="JA334" s="16">
        <v>0</v>
      </c>
      <c r="JB334" s="16">
        <v>0</v>
      </c>
      <c r="JC334" s="16">
        <v>0</v>
      </c>
      <c r="JD334" s="16">
        <v>0</v>
      </c>
      <c r="JE334" s="16">
        <v>0</v>
      </c>
      <c r="JF334" s="16">
        <v>0</v>
      </c>
      <c r="JG334" s="16">
        <v>0</v>
      </c>
      <c r="JH334" s="16">
        <v>0</v>
      </c>
      <c r="JI334" s="16">
        <v>0</v>
      </c>
      <c r="JJ334" s="16">
        <v>0</v>
      </c>
      <c r="JK334" s="16">
        <v>0</v>
      </c>
      <c r="JL334" s="16">
        <v>0</v>
      </c>
      <c r="JM334" s="16">
        <v>0</v>
      </c>
      <c r="JN334" s="16">
        <v>0</v>
      </c>
      <c r="JO334" s="16">
        <v>0</v>
      </c>
      <c r="JP334" s="16">
        <v>0</v>
      </c>
      <c r="JQ334" s="16">
        <v>0</v>
      </c>
      <c r="JR334" s="16">
        <v>0</v>
      </c>
      <c r="JS334" s="16">
        <v>0</v>
      </c>
      <c r="JT334" s="16">
        <v>0</v>
      </c>
      <c r="JU334" s="16">
        <v>0</v>
      </c>
      <c r="JV334" s="16">
        <v>0</v>
      </c>
      <c r="JW334" s="16">
        <v>0</v>
      </c>
      <c r="JX334" s="16">
        <v>0</v>
      </c>
      <c r="JY334" s="16">
        <v>0</v>
      </c>
      <c r="JZ334" s="16">
        <v>0</v>
      </c>
      <c r="KA334" s="16">
        <v>0</v>
      </c>
      <c r="KB334" s="16">
        <v>0</v>
      </c>
      <c r="KC334" s="16">
        <v>0</v>
      </c>
      <c r="KD334" s="16">
        <v>0</v>
      </c>
      <c r="KE334" s="16">
        <v>0</v>
      </c>
      <c r="KF334" s="16">
        <v>0</v>
      </c>
      <c r="KG334" s="16">
        <v>0</v>
      </c>
      <c r="KH334" s="16">
        <v>0</v>
      </c>
      <c r="KI334" s="16">
        <v>0</v>
      </c>
      <c r="KJ334" s="16">
        <v>0</v>
      </c>
      <c r="KK334" s="16">
        <v>0</v>
      </c>
      <c r="KL334" s="16">
        <v>0</v>
      </c>
      <c r="KM334" s="16">
        <v>0</v>
      </c>
      <c r="KN334" s="16">
        <v>0</v>
      </c>
      <c r="KO334" s="16">
        <v>0</v>
      </c>
      <c r="KP334" s="16">
        <v>0</v>
      </c>
      <c r="KQ334" s="16">
        <v>0</v>
      </c>
      <c r="KR334" s="16">
        <v>0</v>
      </c>
      <c r="KS334" s="16">
        <v>0</v>
      </c>
      <c r="KT334" s="16">
        <v>0</v>
      </c>
      <c r="KU334" s="16">
        <v>0</v>
      </c>
      <c r="KV334" s="16">
        <v>0</v>
      </c>
      <c r="KW334" s="16">
        <v>0</v>
      </c>
      <c r="KX334" s="16">
        <v>0</v>
      </c>
      <c r="KY334" s="16">
        <v>0</v>
      </c>
      <c r="KZ334" s="16">
        <v>0</v>
      </c>
      <c r="LA334" s="16">
        <v>0</v>
      </c>
      <c r="LB334" s="16">
        <v>0</v>
      </c>
      <c r="LC334" s="16">
        <v>0</v>
      </c>
      <c r="LD334" s="16">
        <v>0</v>
      </c>
      <c r="LE334" s="16">
        <v>0</v>
      </c>
      <c r="LF334" s="16">
        <v>0</v>
      </c>
      <c r="LG334" s="16">
        <v>0</v>
      </c>
      <c r="LH334" s="16">
        <v>0</v>
      </c>
      <c r="LI334" s="16">
        <v>0</v>
      </c>
      <c r="LJ334" s="16">
        <v>0</v>
      </c>
      <c r="LK334" s="16">
        <v>0</v>
      </c>
      <c r="LL334" s="16">
        <v>0</v>
      </c>
      <c r="LM334" s="16">
        <v>0</v>
      </c>
      <c r="LN334" s="16">
        <v>0</v>
      </c>
      <c r="LO334" s="16">
        <v>0</v>
      </c>
      <c r="LP334" s="16">
        <v>0</v>
      </c>
      <c r="LQ334" s="16">
        <v>0</v>
      </c>
      <c r="LR334" s="16">
        <v>0</v>
      </c>
      <c r="LS334" s="16">
        <v>0</v>
      </c>
      <c r="LT334" s="16">
        <v>0</v>
      </c>
      <c r="LU334" s="16">
        <v>0</v>
      </c>
      <c r="LV334" s="16">
        <v>0</v>
      </c>
      <c r="LW334" s="16">
        <v>0</v>
      </c>
      <c r="LX334" s="16">
        <v>0</v>
      </c>
      <c r="LY334" s="16">
        <v>0</v>
      </c>
      <c r="LZ334" s="16">
        <v>0</v>
      </c>
      <c r="MA334" s="16">
        <v>0</v>
      </c>
      <c r="MB334" s="16">
        <v>0</v>
      </c>
      <c r="MC334" s="16">
        <v>0</v>
      </c>
      <c r="MD334" s="16">
        <v>0</v>
      </c>
      <c r="ME334" s="16">
        <v>0</v>
      </c>
      <c r="MF334" s="16">
        <v>0</v>
      </c>
      <c r="MG334" s="16">
        <v>0</v>
      </c>
      <c r="MH334" s="16">
        <v>0</v>
      </c>
      <c r="MI334" s="16">
        <v>0</v>
      </c>
      <c r="MJ334" s="16">
        <v>0</v>
      </c>
      <c r="MK334" s="16">
        <v>0</v>
      </c>
      <c r="ML334" s="16">
        <v>0</v>
      </c>
      <c r="MM334" s="16">
        <v>0</v>
      </c>
      <c r="MN334" s="16">
        <v>0</v>
      </c>
      <c r="MO334" s="16">
        <v>0</v>
      </c>
      <c r="MP334" s="16">
        <v>0</v>
      </c>
      <c r="MQ334" s="16">
        <v>0</v>
      </c>
      <c r="MR334" s="16">
        <v>0</v>
      </c>
      <c r="MS334" s="16">
        <v>0</v>
      </c>
      <c r="MT334" s="16">
        <v>0</v>
      </c>
      <c r="MU334" s="16">
        <v>0</v>
      </c>
      <c r="MV334" s="16">
        <v>0</v>
      </c>
      <c r="MW334" s="16">
        <v>0</v>
      </c>
      <c r="MX334" s="16">
        <v>0</v>
      </c>
      <c r="MY334" s="16">
        <v>0</v>
      </c>
      <c r="MZ334" s="16">
        <v>0</v>
      </c>
      <c r="NA334" s="16">
        <v>0</v>
      </c>
      <c r="NB334" s="16">
        <v>0</v>
      </c>
      <c r="NC334" s="16">
        <v>0</v>
      </c>
      <c r="ND334" s="16">
        <v>0</v>
      </c>
      <c r="NE334" s="16">
        <v>0</v>
      </c>
      <c r="NF334" s="16">
        <v>0</v>
      </c>
      <c r="NG334" s="16">
        <v>0</v>
      </c>
      <c r="NH334" s="16">
        <v>0</v>
      </c>
      <c r="NI334" s="16">
        <v>0</v>
      </c>
      <c r="NJ334" s="16">
        <v>0</v>
      </c>
      <c r="NK334" s="16">
        <v>0</v>
      </c>
      <c r="NL334" s="16">
        <v>0</v>
      </c>
      <c r="NM334" s="16">
        <v>0</v>
      </c>
      <c r="NN334" s="16">
        <v>0</v>
      </c>
      <c r="NO334" s="16">
        <v>0</v>
      </c>
      <c r="NP334" s="16">
        <v>0</v>
      </c>
      <c r="NQ334" s="16">
        <v>0</v>
      </c>
      <c r="NR334" s="17">
        <v>0</v>
      </c>
    </row>
    <row r="335" spans="1:382" ht="13.5" customHeight="1" x14ac:dyDescent="0.2">
      <c r="A335" s="2" t="s">
        <v>677</v>
      </c>
      <c r="B335" s="16">
        <v>-6568</v>
      </c>
      <c r="C335" s="16">
        <v>-764</v>
      </c>
      <c r="D335" s="16">
        <v>-45051</v>
      </c>
      <c r="E335" s="16">
        <v>-78313</v>
      </c>
      <c r="F335" s="16">
        <v>-59082</v>
      </c>
      <c r="G335" s="16">
        <v>-2723</v>
      </c>
      <c r="H335" s="16">
        <v>-176</v>
      </c>
      <c r="I335" s="16">
        <v>-4741</v>
      </c>
      <c r="J335" s="16">
        <v>-154</v>
      </c>
      <c r="K335" s="16">
        <v>0</v>
      </c>
      <c r="L335" s="16">
        <v>-331</v>
      </c>
      <c r="M335" s="16">
        <v>-5329</v>
      </c>
      <c r="N335" s="16">
        <v>-357</v>
      </c>
      <c r="O335" s="16">
        <v>-28128</v>
      </c>
      <c r="P335" s="16">
        <v>-237703</v>
      </c>
      <c r="Q335" s="16">
        <v>-134628</v>
      </c>
      <c r="R335" s="16">
        <v>-150326</v>
      </c>
      <c r="S335" s="16">
        <v>-20312</v>
      </c>
      <c r="T335" s="16">
        <v>-2141</v>
      </c>
      <c r="U335" s="16">
        <v>-768</v>
      </c>
      <c r="V335" s="16">
        <v>-6</v>
      </c>
      <c r="W335" s="16">
        <v>-398</v>
      </c>
      <c r="X335" s="16">
        <v>-85418</v>
      </c>
      <c r="Y335" s="16">
        <v>-19509</v>
      </c>
      <c r="Z335" s="16">
        <v>-24541</v>
      </c>
      <c r="AA335" s="16">
        <v>38</v>
      </c>
      <c r="AB335" s="16">
        <v>0</v>
      </c>
      <c r="AC335" s="16">
        <v>0</v>
      </c>
      <c r="AD335" s="16">
        <v>0</v>
      </c>
      <c r="AE335" s="16">
        <v>101</v>
      </c>
      <c r="AF335" s="16">
        <v>88</v>
      </c>
      <c r="AG335" s="16">
        <v>2850</v>
      </c>
      <c r="AH335" s="16">
        <v>731</v>
      </c>
      <c r="AI335" s="16">
        <v>472</v>
      </c>
      <c r="AJ335" s="16">
        <v>2861</v>
      </c>
      <c r="AK335" s="16">
        <v>345</v>
      </c>
      <c r="AL335" s="16">
        <v>19415</v>
      </c>
      <c r="AM335" s="16">
        <v>3453</v>
      </c>
      <c r="AN335" s="16">
        <v>3849</v>
      </c>
      <c r="AO335" s="16">
        <v>6520</v>
      </c>
      <c r="AP335" s="16">
        <v>2270</v>
      </c>
      <c r="AQ335" s="16">
        <v>3694</v>
      </c>
      <c r="AR335" s="16">
        <v>0</v>
      </c>
      <c r="AS335" s="16">
        <v>215</v>
      </c>
      <c r="AT335" s="16">
        <v>495</v>
      </c>
      <c r="AU335" s="16">
        <v>14317</v>
      </c>
      <c r="AV335" s="16">
        <v>2628</v>
      </c>
      <c r="AW335" s="16">
        <v>10429</v>
      </c>
      <c r="AX335" s="16">
        <v>1514</v>
      </c>
      <c r="AY335" s="16">
        <v>7508</v>
      </c>
      <c r="AZ335" s="16">
        <v>4710</v>
      </c>
      <c r="BA335" s="16">
        <v>3635</v>
      </c>
      <c r="BB335" s="16">
        <v>7739</v>
      </c>
      <c r="BC335" s="16">
        <v>4956</v>
      </c>
      <c r="BD335" s="16">
        <v>91</v>
      </c>
      <c r="BE335" s="16">
        <v>286</v>
      </c>
      <c r="BF335" s="16">
        <v>1216</v>
      </c>
      <c r="BG335" s="16">
        <v>2844</v>
      </c>
      <c r="BH335" s="16">
        <v>2686</v>
      </c>
      <c r="BI335" s="16">
        <v>692</v>
      </c>
      <c r="BJ335" s="16">
        <v>2292</v>
      </c>
      <c r="BK335" s="16">
        <v>8149</v>
      </c>
      <c r="BL335" s="16">
        <v>8753</v>
      </c>
      <c r="BM335" s="16">
        <v>128</v>
      </c>
      <c r="BN335" s="16">
        <v>1231</v>
      </c>
      <c r="BO335" s="16">
        <v>8356</v>
      </c>
      <c r="BP335" s="16">
        <v>13039</v>
      </c>
      <c r="BQ335" s="16">
        <v>2151</v>
      </c>
      <c r="BR335" s="16">
        <v>5544</v>
      </c>
      <c r="BS335" s="16">
        <v>10668</v>
      </c>
      <c r="BT335" s="16">
        <v>2624</v>
      </c>
      <c r="BU335" s="16">
        <v>19635</v>
      </c>
      <c r="BV335" s="16">
        <v>263</v>
      </c>
      <c r="BW335" s="16">
        <v>3386</v>
      </c>
      <c r="BX335" s="16">
        <v>672</v>
      </c>
      <c r="BY335" s="16">
        <v>24</v>
      </c>
      <c r="BZ335" s="16">
        <v>4012</v>
      </c>
      <c r="CA335" s="16">
        <v>3994</v>
      </c>
      <c r="CB335" s="16">
        <v>282</v>
      </c>
      <c r="CC335" s="16">
        <v>5080</v>
      </c>
      <c r="CD335" s="16">
        <v>1106</v>
      </c>
      <c r="CE335" s="16">
        <v>1115</v>
      </c>
      <c r="CF335" s="16">
        <v>4613</v>
      </c>
      <c r="CG335" s="16">
        <v>1559</v>
      </c>
      <c r="CH335" s="16">
        <v>2251</v>
      </c>
      <c r="CI335" s="16">
        <v>62</v>
      </c>
      <c r="CJ335" s="16">
        <v>2086</v>
      </c>
      <c r="CK335" s="16">
        <v>4284</v>
      </c>
      <c r="CL335" s="16">
        <v>10267</v>
      </c>
      <c r="CM335" s="16">
        <v>3370</v>
      </c>
      <c r="CN335" s="16">
        <v>1601</v>
      </c>
      <c r="CO335" s="16">
        <v>3828</v>
      </c>
      <c r="CP335" s="16">
        <v>1370</v>
      </c>
      <c r="CQ335" s="16">
        <v>31011</v>
      </c>
      <c r="CR335" s="16">
        <v>517</v>
      </c>
      <c r="CS335" s="16">
        <v>24221</v>
      </c>
      <c r="CT335" s="16">
        <v>4232</v>
      </c>
      <c r="CU335" s="16">
        <v>29501</v>
      </c>
      <c r="CV335" s="16">
        <v>11329</v>
      </c>
      <c r="CW335" s="16">
        <v>79986</v>
      </c>
      <c r="CX335" s="16">
        <v>16633</v>
      </c>
      <c r="CY335" s="16">
        <v>6110</v>
      </c>
      <c r="CZ335" s="16">
        <v>14270</v>
      </c>
      <c r="DA335" s="16">
        <v>1591</v>
      </c>
      <c r="DB335" s="16">
        <v>121</v>
      </c>
      <c r="DC335" s="16">
        <v>963</v>
      </c>
      <c r="DD335" s="16">
        <v>38234</v>
      </c>
      <c r="DE335" s="16">
        <v>27108</v>
      </c>
      <c r="DF335" s="16">
        <v>32771</v>
      </c>
      <c r="DG335" s="16">
        <v>7323</v>
      </c>
      <c r="DH335" s="16">
        <v>39</v>
      </c>
      <c r="DI335" s="16">
        <v>6460</v>
      </c>
      <c r="DJ335" s="16">
        <v>26387</v>
      </c>
      <c r="DK335" s="16">
        <v>1894</v>
      </c>
      <c r="DL335" s="16">
        <v>6543</v>
      </c>
      <c r="DM335" s="16">
        <v>26419</v>
      </c>
      <c r="DN335" s="16">
        <v>3691</v>
      </c>
      <c r="DO335" s="16">
        <v>1404</v>
      </c>
      <c r="DP335" s="16">
        <v>4987</v>
      </c>
      <c r="DQ335" s="16">
        <v>700</v>
      </c>
      <c r="DR335" s="16">
        <v>4070</v>
      </c>
      <c r="DS335" s="16">
        <v>13939</v>
      </c>
      <c r="DT335" s="16">
        <v>6346</v>
      </c>
      <c r="DU335" s="16">
        <v>901</v>
      </c>
      <c r="DV335" s="16">
        <v>6711</v>
      </c>
      <c r="DW335" s="16">
        <v>9424</v>
      </c>
      <c r="DX335" s="16">
        <v>4416</v>
      </c>
      <c r="DY335" s="16">
        <v>934</v>
      </c>
      <c r="DZ335" s="16">
        <v>1843</v>
      </c>
      <c r="EA335" s="16">
        <v>49546</v>
      </c>
      <c r="EB335" s="16">
        <v>4183</v>
      </c>
      <c r="EC335" s="16">
        <v>4976</v>
      </c>
      <c r="ED335" s="16">
        <v>2556</v>
      </c>
      <c r="EE335" s="16">
        <v>873</v>
      </c>
      <c r="EF335" s="16">
        <v>174</v>
      </c>
      <c r="EG335" s="16">
        <v>4161</v>
      </c>
      <c r="EH335" s="16">
        <v>254</v>
      </c>
      <c r="EI335" s="16">
        <v>1700</v>
      </c>
      <c r="EJ335" s="16">
        <v>28</v>
      </c>
      <c r="EK335" s="16">
        <v>1455</v>
      </c>
      <c r="EL335" s="16">
        <v>1354</v>
      </c>
      <c r="EM335" s="16">
        <v>1325</v>
      </c>
      <c r="EN335" s="16">
        <v>7582</v>
      </c>
      <c r="EO335" s="16">
        <v>6430</v>
      </c>
      <c r="EP335" s="16">
        <v>695</v>
      </c>
      <c r="EQ335" s="16">
        <v>3213</v>
      </c>
      <c r="ER335" s="16">
        <v>703</v>
      </c>
      <c r="ES335" s="16">
        <v>5233</v>
      </c>
      <c r="ET335" s="16">
        <v>1875</v>
      </c>
      <c r="EU335" s="16">
        <v>3335</v>
      </c>
      <c r="EV335" s="16">
        <v>94</v>
      </c>
      <c r="EW335" s="16">
        <v>2587</v>
      </c>
      <c r="EX335" s="16">
        <v>7326</v>
      </c>
      <c r="EY335" s="16">
        <v>6481</v>
      </c>
      <c r="EZ335" s="16">
        <v>5736</v>
      </c>
      <c r="FA335" s="16">
        <v>14289</v>
      </c>
      <c r="FB335" s="16">
        <v>459</v>
      </c>
      <c r="FC335" s="16">
        <v>194</v>
      </c>
      <c r="FD335" s="16">
        <v>3215</v>
      </c>
      <c r="FE335" s="16">
        <v>37665</v>
      </c>
      <c r="FF335" s="16">
        <v>6496</v>
      </c>
      <c r="FG335" s="16">
        <v>847</v>
      </c>
      <c r="FH335" s="16">
        <v>99</v>
      </c>
      <c r="FI335" s="16">
        <v>4334</v>
      </c>
      <c r="FJ335" s="16">
        <v>60</v>
      </c>
      <c r="FK335" s="16">
        <v>9203</v>
      </c>
      <c r="FL335" s="16">
        <v>1899</v>
      </c>
      <c r="FM335" s="16">
        <v>469</v>
      </c>
      <c r="FN335" s="16">
        <v>4825</v>
      </c>
      <c r="FO335" s="16">
        <v>1888</v>
      </c>
      <c r="FP335" s="16">
        <v>6682</v>
      </c>
      <c r="FQ335" s="16">
        <v>43086</v>
      </c>
      <c r="FR335" s="16">
        <v>7017</v>
      </c>
      <c r="FS335" s="16">
        <v>4751</v>
      </c>
      <c r="FT335" s="16">
        <v>3330</v>
      </c>
      <c r="FU335" s="16">
        <v>1864</v>
      </c>
      <c r="FV335" s="16">
        <v>6843</v>
      </c>
      <c r="FW335" s="16">
        <v>757</v>
      </c>
      <c r="FX335" s="16">
        <v>29279</v>
      </c>
      <c r="FY335" s="16">
        <v>4843</v>
      </c>
      <c r="FZ335" s="16">
        <v>5824</v>
      </c>
      <c r="GA335" s="16">
        <v>545</v>
      </c>
      <c r="GB335" s="16">
        <v>1503</v>
      </c>
      <c r="GC335" s="16">
        <v>2151</v>
      </c>
      <c r="GD335" s="16">
        <v>23245</v>
      </c>
      <c r="GE335" s="16">
        <v>86</v>
      </c>
      <c r="GF335" s="16">
        <v>81138</v>
      </c>
      <c r="GG335" s="16">
        <v>663</v>
      </c>
      <c r="GH335" s="16">
        <v>178</v>
      </c>
      <c r="GI335" s="16">
        <v>1152</v>
      </c>
      <c r="GJ335" s="16">
        <v>2810</v>
      </c>
      <c r="GK335" s="16">
        <v>497</v>
      </c>
      <c r="GL335" s="16">
        <v>6567</v>
      </c>
      <c r="GM335" s="16">
        <v>161</v>
      </c>
      <c r="GN335" s="16">
        <v>6344</v>
      </c>
      <c r="GO335" s="16">
        <v>14566</v>
      </c>
      <c r="GP335" s="16">
        <v>274</v>
      </c>
      <c r="GQ335" s="16">
        <v>28007</v>
      </c>
      <c r="GR335" s="16">
        <v>3976</v>
      </c>
      <c r="GS335" s="16">
        <v>3139</v>
      </c>
      <c r="GT335" s="16">
        <v>424</v>
      </c>
      <c r="GU335" s="16">
        <v>19530</v>
      </c>
      <c r="GV335" s="16">
        <v>13813</v>
      </c>
      <c r="GW335" s="16">
        <v>10490</v>
      </c>
      <c r="GX335" s="16">
        <v>2456</v>
      </c>
      <c r="GY335" s="16">
        <v>245</v>
      </c>
      <c r="GZ335" s="16">
        <v>10591</v>
      </c>
      <c r="HA335" s="16">
        <v>560</v>
      </c>
      <c r="HB335" s="16">
        <v>899</v>
      </c>
      <c r="HC335" s="16">
        <v>32635</v>
      </c>
      <c r="HD335" s="16">
        <v>22192</v>
      </c>
      <c r="HE335" s="16">
        <v>27372</v>
      </c>
      <c r="HF335" s="16">
        <v>77</v>
      </c>
      <c r="HG335" s="16">
        <v>9162</v>
      </c>
      <c r="HH335" s="16">
        <v>1326</v>
      </c>
      <c r="HI335" s="16">
        <v>22274</v>
      </c>
      <c r="HJ335" s="16">
        <v>8221</v>
      </c>
      <c r="HK335" s="16">
        <v>3947</v>
      </c>
      <c r="HL335" s="16">
        <v>6341</v>
      </c>
      <c r="HM335" s="16">
        <v>6418</v>
      </c>
      <c r="HN335" s="16">
        <v>1367</v>
      </c>
      <c r="HO335" s="16">
        <v>1442</v>
      </c>
      <c r="HP335" s="16">
        <v>17445</v>
      </c>
      <c r="HQ335" s="16">
        <v>12817</v>
      </c>
      <c r="HR335" s="16">
        <v>36146</v>
      </c>
      <c r="HS335" s="16">
        <v>3857</v>
      </c>
      <c r="HT335" s="16">
        <v>1573</v>
      </c>
      <c r="HU335" s="16">
        <v>13993</v>
      </c>
      <c r="HV335" s="16">
        <v>5703</v>
      </c>
      <c r="HW335" s="16">
        <v>6203</v>
      </c>
      <c r="HX335" s="16">
        <v>26207</v>
      </c>
      <c r="HY335" s="16">
        <v>32192</v>
      </c>
      <c r="HZ335" s="16">
        <v>5231</v>
      </c>
      <c r="IA335" s="16">
        <v>913</v>
      </c>
      <c r="IB335" s="16">
        <v>2404</v>
      </c>
      <c r="IC335" s="16">
        <v>1768</v>
      </c>
      <c r="ID335" s="16">
        <v>9270</v>
      </c>
      <c r="IE335" s="16">
        <v>117</v>
      </c>
      <c r="IF335" s="16">
        <v>368</v>
      </c>
      <c r="IG335" s="16">
        <v>7589</v>
      </c>
      <c r="IH335" s="16">
        <v>12849</v>
      </c>
      <c r="II335" s="16">
        <v>2368</v>
      </c>
      <c r="IJ335" s="16">
        <v>7634</v>
      </c>
      <c r="IK335" s="16">
        <v>13432</v>
      </c>
      <c r="IL335" s="16">
        <v>1034</v>
      </c>
      <c r="IM335" s="16">
        <v>2387</v>
      </c>
      <c r="IN335" s="16">
        <v>2259</v>
      </c>
      <c r="IO335" s="16">
        <v>58333</v>
      </c>
      <c r="IP335" s="16">
        <v>3921</v>
      </c>
      <c r="IQ335" s="16">
        <v>895</v>
      </c>
      <c r="IR335" s="16">
        <v>18195</v>
      </c>
      <c r="IS335" s="16">
        <v>3049</v>
      </c>
      <c r="IT335" s="16">
        <v>3154</v>
      </c>
      <c r="IU335" s="16">
        <v>339</v>
      </c>
      <c r="IV335" s="16">
        <v>910</v>
      </c>
      <c r="IW335" s="16">
        <v>16633</v>
      </c>
      <c r="IX335" s="16">
        <v>3637</v>
      </c>
      <c r="IY335" s="16">
        <v>1818</v>
      </c>
      <c r="IZ335" s="16">
        <v>2519</v>
      </c>
      <c r="JA335" s="16">
        <v>4454</v>
      </c>
      <c r="JB335" s="16">
        <v>456</v>
      </c>
      <c r="JC335" s="16">
        <v>1474</v>
      </c>
      <c r="JD335" s="16">
        <v>1624</v>
      </c>
      <c r="JE335" s="16">
        <v>13311</v>
      </c>
      <c r="JF335" s="16">
        <v>15721</v>
      </c>
      <c r="JG335" s="16">
        <v>51166</v>
      </c>
      <c r="JH335" s="16">
        <v>4148</v>
      </c>
      <c r="JI335" s="16">
        <v>313</v>
      </c>
      <c r="JJ335" s="16">
        <v>13373</v>
      </c>
      <c r="JK335" s="16">
        <v>2144</v>
      </c>
      <c r="JL335" s="16">
        <v>1286</v>
      </c>
      <c r="JM335" s="16">
        <v>357</v>
      </c>
      <c r="JN335" s="16">
        <v>1667</v>
      </c>
      <c r="JO335" s="16">
        <v>3990</v>
      </c>
      <c r="JP335" s="16">
        <v>1206</v>
      </c>
      <c r="JQ335" s="16">
        <v>48</v>
      </c>
      <c r="JR335" s="16">
        <v>11710</v>
      </c>
      <c r="JS335" s="16">
        <v>6578</v>
      </c>
      <c r="JT335" s="16">
        <v>0</v>
      </c>
      <c r="JU335" s="16">
        <v>44666</v>
      </c>
      <c r="JV335" s="16">
        <v>47008</v>
      </c>
      <c r="JW335" s="16">
        <v>64918</v>
      </c>
      <c r="JX335" s="16">
        <v>169473</v>
      </c>
      <c r="JY335" s="16">
        <v>36698</v>
      </c>
      <c r="JZ335" s="16">
        <v>23308</v>
      </c>
      <c r="KA335" s="16">
        <v>8771</v>
      </c>
      <c r="KB335" s="16">
        <v>2534</v>
      </c>
      <c r="KC335" s="16">
        <v>4361</v>
      </c>
      <c r="KD335" s="16">
        <v>8040</v>
      </c>
      <c r="KE335" s="16">
        <v>2475</v>
      </c>
      <c r="KF335" s="16">
        <v>14841</v>
      </c>
      <c r="KG335" s="16">
        <v>3526</v>
      </c>
      <c r="KH335" s="16">
        <v>14629</v>
      </c>
      <c r="KI335" s="16">
        <v>22516</v>
      </c>
      <c r="KJ335" s="16">
        <v>16360</v>
      </c>
      <c r="KK335" s="16">
        <v>1352145</v>
      </c>
      <c r="KL335" s="16">
        <v>847</v>
      </c>
      <c r="KM335" s="16">
        <v>34403</v>
      </c>
      <c r="KN335" s="16">
        <v>136636</v>
      </c>
      <c r="KO335" s="16">
        <v>5673</v>
      </c>
      <c r="KP335" s="16">
        <v>6236</v>
      </c>
      <c r="KQ335" s="16">
        <v>1443</v>
      </c>
      <c r="KR335" s="16">
        <v>8745</v>
      </c>
      <c r="KS335" s="16">
        <v>6702</v>
      </c>
      <c r="KT335" s="16">
        <v>1978</v>
      </c>
      <c r="KU335" s="16">
        <v>9629</v>
      </c>
      <c r="KV335" s="16">
        <v>17240</v>
      </c>
      <c r="KW335" s="16">
        <v>52217</v>
      </c>
      <c r="KX335" s="16">
        <v>2602</v>
      </c>
      <c r="KY335" s="16">
        <v>27176</v>
      </c>
      <c r="KZ335" s="16">
        <v>298687</v>
      </c>
      <c r="LA335" s="16">
        <v>62069</v>
      </c>
      <c r="LB335" s="16">
        <v>12418</v>
      </c>
      <c r="LC335" s="16">
        <v>24333</v>
      </c>
      <c r="LD335" s="16">
        <v>31543</v>
      </c>
      <c r="LE335" s="16">
        <v>743</v>
      </c>
      <c r="LF335" s="16">
        <v>21747</v>
      </c>
      <c r="LG335" s="16">
        <v>1545</v>
      </c>
      <c r="LH335" s="16">
        <v>8591</v>
      </c>
      <c r="LI335" s="16">
        <v>2261</v>
      </c>
      <c r="LJ335" s="16">
        <v>2112</v>
      </c>
      <c r="LK335" s="16">
        <v>33290</v>
      </c>
      <c r="LL335" s="16">
        <v>6251</v>
      </c>
      <c r="LM335" s="16">
        <v>133833</v>
      </c>
      <c r="LN335" s="16">
        <v>29198</v>
      </c>
      <c r="LO335" s="16">
        <v>18455</v>
      </c>
      <c r="LP335" s="16">
        <v>30700</v>
      </c>
      <c r="LQ335" s="16">
        <v>1482</v>
      </c>
      <c r="LR335" s="16">
        <v>136394</v>
      </c>
      <c r="LS335" s="16">
        <v>11292</v>
      </c>
      <c r="LT335" s="16">
        <v>46241</v>
      </c>
      <c r="LU335" s="16">
        <v>1243867</v>
      </c>
      <c r="LV335" s="16">
        <v>223</v>
      </c>
      <c r="LW335" s="16">
        <v>2342725</v>
      </c>
      <c r="LX335" s="16">
        <v>53405</v>
      </c>
      <c r="LY335" s="16">
        <v>212814</v>
      </c>
      <c r="LZ335" s="16">
        <v>297399</v>
      </c>
      <c r="MA335" s="16">
        <v>70871</v>
      </c>
      <c r="MB335" s="16">
        <v>44957</v>
      </c>
      <c r="MC335" s="16">
        <v>18603</v>
      </c>
      <c r="MD335" s="16">
        <v>14592</v>
      </c>
      <c r="ME335" s="16">
        <v>27142</v>
      </c>
      <c r="MF335" s="16">
        <v>144126</v>
      </c>
      <c r="MG335" s="16">
        <v>152646</v>
      </c>
      <c r="MH335" s="16">
        <v>45603</v>
      </c>
      <c r="MI335" s="16">
        <v>38349</v>
      </c>
      <c r="MJ335" s="16">
        <v>131684</v>
      </c>
      <c r="MK335" s="16">
        <v>3918</v>
      </c>
      <c r="ML335" s="16">
        <v>30371</v>
      </c>
      <c r="MM335" s="16">
        <v>39605</v>
      </c>
      <c r="MN335" s="16">
        <v>152311</v>
      </c>
      <c r="MO335" s="16">
        <v>73646</v>
      </c>
      <c r="MP335" s="16">
        <v>46599</v>
      </c>
      <c r="MQ335" s="16">
        <v>83081</v>
      </c>
      <c r="MR335" s="16">
        <v>163175</v>
      </c>
      <c r="MS335" s="16">
        <v>134010</v>
      </c>
      <c r="MT335" s="16">
        <v>7122</v>
      </c>
      <c r="MU335" s="16">
        <v>122883</v>
      </c>
      <c r="MV335" s="16">
        <v>42757</v>
      </c>
      <c r="MW335" s="16">
        <v>96943</v>
      </c>
      <c r="MX335" s="16">
        <v>5202</v>
      </c>
      <c r="MY335" s="16">
        <v>86120</v>
      </c>
      <c r="MZ335" s="16">
        <v>773148</v>
      </c>
      <c r="NA335" s="16">
        <v>12431</v>
      </c>
      <c r="NB335" s="16">
        <v>62572</v>
      </c>
      <c r="NC335" s="16">
        <v>9529</v>
      </c>
      <c r="ND335" s="16">
        <v>23092</v>
      </c>
      <c r="NE335" s="16">
        <v>3879</v>
      </c>
      <c r="NF335" s="16">
        <v>10239</v>
      </c>
      <c r="NG335" s="16">
        <v>39009</v>
      </c>
      <c r="NH335" s="16">
        <v>10898</v>
      </c>
      <c r="NI335" s="16">
        <v>9503</v>
      </c>
      <c r="NJ335" s="16">
        <v>25961</v>
      </c>
      <c r="NK335" s="16">
        <v>58943</v>
      </c>
      <c r="NL335" s="16">
        <v>5767</v>
      </c>
      <c r="NM335" s="16">
        <v>20041</v>
      </c>
      <c r="NN335" s="16">
        <v>4465</v>
      </c>
      <c r="NO335" s="16">
        <v>0</v>
      </c>
      <c r="NP335" s="16">
        <v>26035</v>
      </c>
      <c r="NQ335" s="16">
        <v>0</v>
      </c>
      <c r="NR335" s="17">
        <v>11056312</v>
      </c>
    </row>
    <row r="336" spans="1:382" ht="13.5" customHeight="1" x14ac:dyDescent="0.2">
      <c r="A336" s="2" t="s">
        <v>679</v>
      </c>
      <c r="B336" s="16">
        <v>9081</v>
      </c>
      <c r="C336" s="16">
        <v>467</v>
      </c>
      <c r="D336" s="16">
        <v>1274</v>
      </c>
      <c r="E336" s="16">
        <v>2216</v>
      </c>
      <c r="F336" s="16">
        <v>14202</v>
      </c>
      <c r="G336" s="16">
        <v>5929</v>
      </c>
      <c r="H336" s="16">
        <v>574</v>
      </c>
      <c r="I336" s="16">
        <v>2918</v>
      </c>
      <c r="J336" s="16">
        <v>95</v>
      </c>
      <c r="K336" s="16">
        <v>0</v>
      </c>
      <c r="L336" s="16">
        <v>768</v>
      </c>
      <c r="M336" s="16">
        <v>969</v>
      </c>
      <c r="N336" s="16">
        <v>108</v>
      </c>
      <c r="O336" s="16">
        <v>3114</v>
      </c>
      <c r="P336" s="16">
        <v>6782</v>
      </c>
      <c r="Q336" s="16">
        <v>9729</v>
      </c>
      <c r="R336" s="16">
        <v>8179</v>
      </c>
      <c r="S336" s="16">
        <v>1169</v>
      </c>
      <c r="T336" s="16">
        <v>1651</v>
      </c>
      <c r="U336" s="16">
        <v>397</v>
      </c>
      <c r="V336" s="16">
        <v>852</v>
      </c>
      <c r="W336" s="16">
        <v>116</v>
      </c>
      <c r="X336" s="16">
        <v>7031</v>
      </c>
      <c r="Y336" s="16">
        <v>4152</v>
      </c>
      <c r="Z336" s="16">
        <v>2001</v>
      </c>
      <c r="AA336" s="16">
        <v>1088</v>
      </c>
      <c r="AB336" s="16">
        <v>0</v>
      </c>
      <c r="AC336" s="16">
        <v>0</v>
      </c>
      <c r="AD336" s="16">
        <v>0</v>
      </c>
      <c r="AE336" s="16">
        <v>106</v>
      </c>
      <c r="AF336" s="16">
        <v>247</v>
      </c>
      <c r="AG336" s="16">
        <v>4277</v>
      </c>
      <c r="AH336" s="16">
        <v>2030</v>
      </c>
      <c r="AI336" s="16">
        <v>436</v>
      </c>
      <c r="AJ336" s="16">
        <v>19004</v>
      </c>
      <c r="AK336" s="16">
        <v>7065</v>
      </c>
      <c r="AL336" s="16">
        <v>11953</v>
      </c>
      <c r="AM336" s="16">
        <v>10885</v>
      </c>
      <c r="AN336" s="16">
        <v>8744</v>
      </c>
      <c r="AO336" s="16">
        <v>7870</v>
      </c>
      <c r="AP336" s="16">
        <v>9889</v>
      </c>
      <c r="AQ336" s="16">
        <v>4719</v>
      </c>
      <c r="AR336" s="16">
        <v>0</v>
      </c>
      <c r="AS336" s="16">
        <v>2778</v>
      </c>
      <c r="AT336" s="16">
        <v>2098</v>
      </c>
      <c r="AU336" s="16">
        <v>15664</v>
      </c>
      <c r="AV336" s="16">
        <v>6734</v>
      </c>
      <c r="AW336" s="16">
        <v>13221</v>
      </c>
      <c r="AX336" s="16">
        <v>5639</v>
      </c>
      <c r="AY336" s="16">
        <v>9606</v>
      </c>
      <c r="AZ336" s="16">
        <v>5627</v>
      </c>
      <c r="BA336" s="16">
        <v>7721</v>
      </c>
      <c r="BB336" s="16">
        <v>15997</v>
      </c>
      <c r="BC336" s="16">
        <v>21913</v>
      </c>
      <c r="BD336" s="16">
        <v>634</v>
      </c>
      <c r="BE336" s="16">
        <v>2530</v>
      </c>
      <c r="BF336" s="16">
        <v>3875</v>
      </c>
      <c r="BG336" s="16">
        <v>1495</v>
      </c>
      <c r="BH336" s="16">
        <v>11438</v>
      </c>
      <c r="BI336" s="16">
        <v>7280</v>
      </c>
      <c r="BJ336" s="16">
        <v>4067</v>
      </c>
      <c r="BK336" s="16">
        <v>2663</v>
      </c>
      <c r="BL336" s="16">
        <v>9938</v>
      </c>
      <c r="BM336" s="16">
        <v>1311</v>
      </c>
      <c r="BN336" s="16">
        <v>3195</v>
      </c>
      <c r="BO336" s="16">
        <v>4296</v>
      </c>
      <c r="BP336" s="16">
        <v>10191</v>
      </c>
      <c r="BQ336" s="16">
        <v>3087</v>
      </c>
      <c r="BR336" s="16">
        <v>5430</v>
      </c>
      <c r="BS336" s="16">
        <v>26184</v>
      </c>
      <c r="BT336" s="16">
        <v>3891</v>
      </c>
      <c r="BU336" s="16">
        <v>10635</v>
      </c>
      <c r="BV336" s="16">
        <v>366</v>
      </c>
      <c r="BW336" s="16">
        <v>4183</v>
      </c>
      <c r="BX336" s="16">
        <v>3089</v>
      </c>
      <c r="BY336" s="16">
        <v>22</v>
      </c>
      <c r="BZ336" s="16">
        <v>4004</v>
      </c>
      <c r="CA336" s="16">
        <v>4226</v>
      </c>
      <c r="CB336" s="16">
        <v>411</v>
      </c>
      <c r="CC336" s="16">
        <v>4830</v>
      </c>
      <c r="CD336" s="16">
        <v>1457</v>
      </c>
      <c r="CE336" s="16">
        <v>1593</v>
      </c>
      <c r="CF336" s="16">
        <v>6597</v>
      </c>
      <c r="CG336" s="16">
        <v>2696</v>
      </c>
      <c r="CH336" s="16">
        <v>1655</v>
      </c>
      <c r="CI336" s="16">
        <v>223</v>
      </c>
      <c r="CJ336" s="16">
        <v>6866</v>
      </c>
      <c r="CK336" s="16">
        <v>8968</v>
      </c>
      <c r="CL336" s="16">
        <v>11557</v>
      </c>
      <c r="CM336" s="16">
        <v>4605</v>
      </c>
      <c r="CN336" s="16">
        <v>1664</v>
      </c>
      <c r="CO336" s="16">
        <v>5752</v>
      </c>
      <c r="CP336" s="16">
        <v>2875</v>
      </c>
      <c r="CQ336" s="16">
        <v>17316</v>
      </c>
      <c r="CR336" s="16">
        <v>872</v>
      </c>
      <c r="CS336" s="16">
        <v>25143</v>
      </c>
      <c r="CT336" s="16">
        <v>43166</v>
      </c>
      <c r="CU336" s="16">
        <v>30669</v>
      </c>
      <c r="CV336" s="16">
        <v>11810</v>
      </c>
      <c r="CW336" s="16">
        <v>83522</v>
      </c>
      <c r="CX336" s="16">
        <v>17286</v>
      </c>
      <c r="CY336" s="16">
        <v>6372</v>
      </c>
      <c r="CZ336" s="16">
        <v>14733</v>
      </c>
      <c r="DA336" s="16">
        <v>6372</v>
      </c>
      <c r="DB336" s="16">
        <v>9248</v>
      </c>
      <c r="DC336" s="16">
        <v>18153</v>
      </c>
      <c r="DD336" s="16">
        <v>39820</v>
      </c>
      <c r="DE336" s="16">
        <v>28237</v>
      </c>
      <c r="DF336" s="16">
        <v>14918</v>
      </c>
      <c r="DG336" s="16">
        <v>20270</v>
      </c>
      <c r="DH336" s="16">
        <v>31230</v>
      </c>
      <c r="DI336" s="16">
        <v>16655</v>
      </c>
      <c r="DJ336" s="16">
        <v>66171</v>
      </c>
      <c r="DK336" s="16">
        <v>6199</v>
      </c>
      <c r="DL336" s="16">
        <v>5191</v>
      </c>
      <c r="DM336" s="16">
        <v>60891</v>
      </c>
      <c r="DN336" s="16">
        <v>7958</v>
      </c>
      <c r="DO336" s="16">
        <v>3640</v>
      </c>
      <c r="DP336" s="16">
        <v>10625</v>
      </c>
      <c r="DQ336" s="16">
        <v>1332</v>
      </c>
      <c r="DR336" s="16">
        <v>7467</v>
      </c>
      <c r="DS336" s="16">
        <v>24931</v>
      </c>
      <c r="DT336" s="16">
        <v>6807</v>
      </c>
      <c r="DU336" s="16">
        <v>2545</v>
      </c>
      <c r="DV336" s="16">
        <v>28332</v>
      </c>
      <c r="DW336" s="16">
        <v>22783</v>
      </c>
      <c r="DX336" s="16">
        <v>8763</v>
      </c>
      <c r="DY336" s="16">
        <v>14489</v>
      </c>
      <c r="DZ336" s="16">
        <v>24176</v>
      </c>
      <c r="EA336" s="16">
        <v>33663</v>
      </c>
      <c r="EB336" s="16">
        <v>9848</v>
      </c>
      <c r="EC336" s="16">
        <v>10395</v>
      </c>
      <c r="ED336" s="16">
        <v>1704</v>
      </c>
      <c r="EE336" s="16">
        <v>1277</v>
      </c>
      <c r="EF336" s="16">
        <v>2234</v>
      </c>
      <c r="EG336" s="16">
        <v>7382</v>
      </c>
      <c r="EH336" s="16">
        <v>1287</v>
      </c>
      <c r="EI336" s="16">
        <v>1349</v>
      </c>
      <c r="EJ336" s="16">
        <v>906</v>
      </c>
      <c r="EK336" s="16">
        <v>2042</v>
      </c>
      <c r="EL336" s="16">
        <v>936</v>
      </c>
      <c r="EM336" s="16">
        <v>7189</v>
      </c>
      <c r="EN336" s="16">
        <v>19846</v>
      </c>
      <c r="EO336" s="16">
        <v>9058</v>
      </c>
      <c r="EP336" s="16">
        <v>2120</v>
      </c>
      <c r="EQ336" s="16">
        <v>2013</v>
      </c>
      <c r="ER336" s="16">
        <v>866</v>
      </c>
      <c r="ES336" s="16">
        <v>5996</v>
      </c>
      <c r="ET336" s="16">
        <v>4356</v>
      </c>
      <c r="EU336" s="16">
        <v>362</v>
      </c>
      <c r="EV336" s="16">
        <v>3072</v>
      </c>
      <c r="EW336" s="16">
        <v>8284</v>
      </c>
      <c r="EX336" s="16">
        <v>21031</v>
      </c>
      <c r="EY336" s="16">
        <v>6736</v>
      </c>
      <c r="EZ336" s="16">
        <v>5991</v>
      </c>
      <c r="FA336" s="16">
        <v>13064</v>
      </c>
      <c r="FB336" s="16">
        <v>18572</v>
      </c>
      <c r="FC336" s="16">
        <v>3895</v>
      </c>
      <c r="FD336" s="16">
        <v>18670</v>
      </c>
      <c r="FE336" s="16">
        <v>15454</v>
      </c>
      <c r="FF336" s="16">
        <v>26110</v>
      </c>
      <c r="FG336" s="16">
        <v>12793</v>
      </c>
      <c r="FH336" s="16">
        <v>8953</v>
      </c>
      <c r="FI336" s="16">
        <v>12575</v>
      </c>
      <c r="FJ336" s="16">
        <v>6357</v>
      </c>
      <c r="FK336" s="16">
        <v>9512</v>
      </c>
      <c r="FL336" s="16">
        <v>1731</v>
      </c>
      <c r="FM336" s="16">
        <v>11771</v>
      </c>
      <c r="FN336" s="16">
        <v>15050</v>
      </c>
      <c r="FO336" s="16">
        <v>5684</v>
      </c>
      <c r="FP336" s="16">
        <v>11180</v>
      </c>
      <c r="FQ336" s="16">
        <v>33930</v>
      </c>
      <c r="FR336" s="16">
        <v>17240</v>
      </c>
      <c r="FS336" s="16">
        <v>5530</v>
      </c>
      <c r="FT336" s="16">
        <v>6756</v>
      </c>
      <c r="FU336" s="16">
        <v>6077</v>
      </c>
      <c r="FV336" s="16">
        <v>9627</v>
      </c>
      <c r="FW336" s="16">
        <v>14482</v>
      </c>
      <c r="FX336" s="16">
        <v>27670</v>
      </c>
      <c r="FY336" s="16">
        <v>4220</v>
      </c>
      <c r="FZ336" s="16">
        <v>5951</v>
      </c>
      <c r="GA336" s="16">
        <v>4569</v>
      </c>
      <c r="GB336" s="16">
        <v>11317</v>
      </c>
      <c r="GC336" s="16">
        <v>5221</v>
      </c>
      <c r="GD336" s="16">
        <v>18372</v>
      </c>
      <c r="GE336" s="16">
        <v>12975</v>
      </c>
      <c r="GF336" s="16">
        <v>237906</v>
      </c>
      <c r="GG336" s="16">
        <v>14766</v>
      </c>
      <c r="GH336" s="16">
        <v>39811</v>
      </c>
      <c r="GI336" s="16">
        <v>14853</v>
      </c>
      <c r="GJ336" s="16">
        <v>9211</v>
      </c>
      <c r="GK336" s="16">
        <v>9449</v>
      </c>
      <c r="GL336" s="16">
        <v>7877</v>
      </c>
      <c r="GM336" s="16">
        <v>10670</v>
      </c>
      <c r="GN336" s="16">
        <v>9122</v>
      </c>
      <c r="GO336" s="16">
        <v>11175</v>
      </c>
      <c r="GP336" s="16">
        <v>30348</v>
      </c>
      <c r="GQ336" s="16">
        <v>29876</v>
      </c>
      <c r="GR336" s="16">
        <v>2163</v>
      </c>
      <c r="GS336" s="16">
        <v>3265</v>
      </c>
      <c r="GT336" s="16">
        <v>2293</v>
      </c>
      <c r="GU336" s="16">
        <v>23501</v>
      </c>
      <c r="GV336" s="16">
        <v>24462</v>
      </c>
      <c r="GW336" s="16">
        <v>10880</v>
      </c>
      <c r="GX336" s="16">
        <v>6853</v>
      </c>
      <c r="GY336" s="16">
        <v>160</v>
      </c>
      <c r="GZ336" s="16">
        <v>16861</v>
      </c>
      <c r="HA336" s="16">
        <v>5590</v>
      </c>
      <c r="HB336" s="16">
        <v>5649</v>
      </c>
      <c r="HC336" s="16">
        <v>21739</v>
      </c>
      <c r="HD336" s="16">
        <v>23074</v>
      </c>
      <c r="HE336" s="16">
        <v>62895</v>
      </c>
      <c r="HF336" s="16">
        <v>16888</v>
      </c>
      <c r="HG336" s="16">
        <v>9485</v>
      </c>
      <c r="HH336" s="16">
        <v>3747</v>
      </c>
      <c r="HI336" s="16">
        <v>20829</v>
      </c>
      <c r="HJ336" s="16">
        <v>3910</v>
      </c>
      <c r="HK336" s="16">
        <v>11983</v>
      </c>
      <c r="HL336" s="16">
        <v>31851</v>
      </c>
      <c r="HM336" s="16">
        <v>9885</v>
      </c>
      <c r="HN336" s="16">
        <v>14314</v>
      </c>
      <c r="HO336" s="16">
        <v>8003</v>
      </c>
      <c r="HP336" s="16">
        <v>11264</v>
      </c>
      <c r="HQ336" s="16">
        <v>19274</v>
      </c>
      <c r="HR336" s="16">
        <v>28021</v>
      </c>
      <c r="HS336" s="16">
        <v>13698</v>
      </c>
      <c r="HT336" s="16">
        <v>3832</v>
      </c>
      <c r="HU336" s="16">
        <v>16281</v>
      </c>
      <c r="HV336" s="16">
        <v>6609</v>
      </c>
      <c r="HW336" s="16">
        <v>14477</v>
      </c>
      <c r="HX336" s="16">
        <v>18412</v>
      </c>
      <c r="HY336" s="16">
        <v>21896</v>
      </c>
      <c r="HZ336" s="16">
        <v>25175</v>
      </c>
      <c r="IA336" s="16">
        <v>5159</v>
      </c>
      <c r="IB336" s="16">
        <v>1957</v>
      </c>
      <c r="IC336" s="16">
        <v>1046</v>
      </c>
      <c r="ID336" s="16">
        <v>6801</v>
      </c>
      <c r="IE336" s="16">
        <v>781</v>
      </c>
      <c r="IF336" s="16">
        <v>1812</v>
      </c>
      <c r="IG336" s="16">
        <v>15974</v>
      </c>
      <c r="IH336" s="16">
        <v>136461</v>
      </c>
      <c r="II336" s="16">
        <v>25232</v>
      </c>
      <c r="IJ336" s="16">
        <v>7960</v>
      </c>
      <c r="IK336" s="16">
        <v>14060</v>
      </c>
      <c r="IL336" s="16">
        <v>3520</v>
      </c>
      <c r="IM336" s="16">
        <v>1211</v>
      </c>
      <c r="IN336" s="16">
        <v>25268</v>
      </c>
      <c r="IO336" s="16">
        <v>159450</v>
      </c>
      <c r="IP336" s="16">
        <v>45611</v>
      </c>
      <c r="IQ336" s="16">
        <v>4267</v>
      </c>
      <c r="IR336" s="16">
        <v>15951</v>
      </c>
      <c r="IS336" s="16">
        <v>4781</v>
      </c>
      <c r="IT336" s="16">
        <v>10038</v>
      </c>
      <c r="IU336" s="16">
        <v>320</v>
      </c>
      <c r="IV336" s="16">
        <v>3787</v>
      </c>
      <c r="IW336" s="16">
        <v>11942</v>
      </c>
      <c r="IX336" s="16">
        <v>3653</v>
      </c>
      <c r="IY336" s="16">
        <v>3690</v>
      </c>
      <c r="IZ336" s="16">
        <v>1250</v>
      </c>
      <c r="JA336" s="16">
        <v>2751</v>
      </c>
      <c r="JB336" s="16">
        <v>398</v>
      </c>
      <c r="JC336" s="16">
        <v>859</v>
      </c>
      <c r="JD336" s="16">
        <v>2019</v>
      </c>
      <c r="JE336" s="16">
        <v>6220</v>
      </c>
      <c r="JF336" s="16">
        <v>5232</v>
      </c>
      <c r="JG336" s="16">
        <v>93327</v>
      </c>
      <c r="JH336" s="16">
        <v>10456</v>
      </c>
      <c r="JI336" s="16">
        <v>2668</v>
      </c>
      <c r="JJ336" s="16">
        <v>115379</v>
      </c>
      <c r="JK336" s="16">
        <v>18213</v>
      </c>
      <c r="JL336" s="16">
        <v>11088</v>
      </c>
      <c r="JM336" s="16">
        <v>3065</v>
      </c>
      <c r="JN336" s="16">
        <v>14432</v>
      </c>
      <c r="JO336" s="16">
        <v>54197</v>
      </c>
      <c r="JP336" s="16">
        <v>13442</v>
      </c>
      <c r="JQ336" s="16">
        <v>5137</v>
      </c>
      <c r="JR336" s="16">
        <v>13949</v>
      </c>
      <c r="JS336" s="16">
        <v>6503</v>
      </c>
      <c r="JT336" s="16">
        <v>0</v>
      </c>
      <c r="JU336" s="16">
        <v>19586</v>
      </c>
      <c r="JV336" s="16">
        <v>24402</v>
      </c>
      <c r="JW336" s="16">
        <v>179545</v>
      </c>
      <c r="JX336" s="16">
        <v>175792</v>
      </c>
      <c r="JY336" s="16">
        <v>38104</v>
      </c>
      <c r="JZ336" s="16">
        <v>24206</v>
      </c>
      <c r="KA336" s="16">
        <v>9110</v>
      </c>
      <c r="KB336" s="16">
        <v>2634</v>
      </c>
      <c r="KC336" s="16">
        <v>4528</v>
      </c>
      <c r="KD336" s="16">
        <v>8368</v>
      </c>
      <c r="KE336" s="16">
        <v>2545</v>
      </c>
      <c r="KF336" s="16">
        <v>15343</v>
      </c>
      <c r="KG336" s="16">
        <v>3635</v>
      </c>
      <c r="KH336" s="16">
        <v>15264</v>
      </c>
      <c r="KI336" s="16">
        <v>23382</v>
      </c>
      <c r="KJ336" s="16">
        <v>16874</v>
      </c>
      <c r="KK336" s="16">
        <v>627795</v>
      </c>
      <c r="KL336" s="16">
        <v>16799</v>
      </c>
      <c r="KM336" s="16">
        <v>30713</v>
      </c>
      <c r="KN336" s="16">
        <v>51270</v>
      </c>
      <c r="KO336" s="16">
        <v>6704</v>
      </c>
      <c r="KP336" s="16">
        <v>71671</v>
      </c>
      <c r="KQ336" s="16">
        <v>53243</v>
      </c>
      <c r="KR336" s="16">
        <v>19489</v>
      </c>
      <c r="KS336" s="16">
        <v>4360</v>
      </c>
      <c r="KT336" s="16">
        <v>4701</v>
      </c>
      <c r="KU336" s="16">
        <v>9716</v>
      </c>
      <c r="KV336" s="16">
        <v>32202</v>
      </c>
      <c r="KW336" s="16">
        <v>55944</v>
      </c>
      <c r="KX336" s="16">
        <v>3611</v>
      </c>
      <c r="KY336" s="16">
        <v>17692</v>
      </c>
      <c r="KZ336" s="16">
        <v>137901</v>
      </c>
      <c r="LA336" s="16">
        <v>40737</v>
      </c>
      <c r="LB336" s="16">
        <v>13660</v>
      </c>
      <c r="LC336" s="16">
        <v>22731</v>
      </c>
      <c r="LD336" s="16">
        <v>43066</v>
      </c>
      <c r="LE336" s="16">
        <v>12403</v>
      </c>
      <c r="LF336" s="16">
        <v>43524</v>
      </c>
      <c r="LG336" s="16">
        <v>3767</v>
      </c>
      <c r="LH336" s="16">
        <v>8929</v>
      </c>
      <c r="LI336" s="16">
        <v>6682</v>
      </c>
      <c r="LJ336" s="16">
        <v>10515</v>
      </c>
      <c r="LK336" s="16">
        <v>46053</v>
      </c>
      <c r="LL336" s="16">
        <v>22723</v>
      </c>
      <c r="LM336" s="16">
        <v>105962</v>
      </c>
      <c r="LN336" s="16">
        <v>43630</v>
      </c>
      <c r="LO336" s="16">
        <v>20258</v>
      </c>
      <c r="LP336" s="16">
        <v>29142</v>
      </c>
      <c r="LQ336" s="16">
        <v>4956</v>
      </c>
      <c r="LR336" s="16">
        <v>1927298</v>
      </c>
      <c r="LS336" s="16">
        <v>169703</v>
      </c>
      <c r="LT336" s="16">
        <v>764943</v>
      </c>
      <c r="LU336" s="16">
        <v>8411330</v>
      </c>
      <c r="LV336" s="16">
        <v>5911</v>
      </c>
      <c r="LW336" s="16">
        <v>9447272</v>
      </c>
      <c r="LX336" s="16">
        <v>2223887</v>
      </c>
      <c r="LY336" s="16">
        <v>456102</v>
      </c>
      <c r="LZ336" s="16">
        <v>250828</v>
      </c>
      <c r="MA336" s="16">
        <v>271315</v>
      </c>
      <c r="MB336" s="16">
        <v>134153</v>
      </c>
      <c r="MC336" s="16">
        <v>22168</v>
      </c>
      <c r="MD336" s="16">
        <v>23846</v>
      </c>
      <c r="ME336" s="16">
        <v>24673</v>
      </c>
      <c r="MF336" s="16">
        <v>149810</v>
      </c>
      <c r="MG336" s="16">
        <v>27515</v>
      </c>
      <c r="MH336" s="16">
        <v>152571</v>
      </c>
      <c r="MI336" s="16">
        <v>26001</v>
      </c>
      <c r="MJ336" s="16">
        <v>46695</v>
      </c>
      <c r="MK336" s="16">
        <v>17487</v>
      </c>
      <c r="ML336" s="16">
        <v>24071</v>
      </c>
      <c r="MM336" s="16">
        <v>26828</v>
      </c>
      <c r="MN336" s="16">
        <v>54175</v>
      </c>
      <c r="MO336" s="16">
        <v>37234</v>
      </c>
      <c r="MP336" s="16">
        <v>31008</v>
      </c>
      <c r="MQ336" s="16">
        <v>75297</v>
      </c>
      <c r="MR336" s="16">
        <v>217546</v>
      </c>
      <c r="MS336" s="16">
        <v>159686</v>
      </c>
      <c r="MT336" s="16">
        <v>10025</v>
      </c>
      <c r="MU336" s="16">
        <v>146427</v>
      </c>
      <c r="MV336" s="16">
        <v>69706</v>
      </c>
      <c r="MW336" s="16">
        <v>51558</v>
      </c>
      <c r="MX336" s="16">
        <v>6199</v>
      </c>
      <c r="MY336" s="16">
        <v>140164</v>
      </c>
      <c r="MZ336" s="16">
        <v>180693</v>
      </c>
      <c r="NA336" s="16">
        <v>14813</v>
      </c>
      <c r="NB336" s="16">
        <v>102085</v>
      </c>
      <c r="NC336" s="16">
        <v>11355</v>
      </c>
      <c r="ND336" s="16">
        <v>9726</v>
      </c>
      <c r="NE336" s="16">
        <v>4285</v>
      </c>
      <c r="NF336" s="16">
        <v>9362</v>
      </c>
      <c r="NG336" s="16">
        <v>43696</v>
      </c>
      <c r="NH336" s="16">
        <v>20264</v>
      </c>
      <c r="NI336" s="16">
        <v>9785</v>
      </c>
      <c r="NJ336" s="16">
        <v>42134</v>
      </c>
      <c r="NK336" s="16">
        <v>25771</v>
      </c>
      <c r="NL336" s="16">
        <v>8943</v>
      </c>
      <c r="NM336" s="16">
        <v>12115</v>
      </c>
      <c r="NN336" s="16">
        <v>2725</v>
      </c>
      <c r="NO336" s="16">
        <v>0</v>
      </c>
      <c r="NP336" s="16">
        <v>21110</v>
      </c>
      <c r="NQ336" s="16">
        <v>0</v>
      </c>
      <c r="NR336" s="17">
        <v>31895968</v>
      </c>
    </row>
    <row r="337" spans="1:382" ht="13.5" customHeight="1" x14ac:dyDescent="0.2">
      <c r="A337" s="2" t="s">
        <v>681</v>
      </c>
      <c r="B337" s="16">
        <v>0</v>
      </c>
      <c r="C337" s="16">
        <v>0</v>
      </c>
      <c r="D337" s="16">
        <v>0</v>
      </c>
      <c r="E337" s="16">
        <v>0</v>
      </c>
      <c r="F337" s="16">
        <v>0</v>
      </c>
      <c r="G337" s="16">
        <v>0</v>
      </c>
      <c r="H337" s="16">
        <v>0</v>
      </c>
      <c r="I337" s="16">
        <v>0</v>
      </c>
      <c r="J337" s="16">
        <v>0</v>
      </c>
      <c r="K337" s="16">
        <v>0</v>
      </c>
      <c r="L337" s="16">
        <v>0</v>
      </c>
      <c r="M337" s="16">
        <v>0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0</v>
      </c>
      <c r="AF337" s="16">
        <v>0</v>
      </c>
      <c r="AG337" s="16">
        <v>0</v>
      </c>
      <c r="AH337" s="16">
        <v>0</v>
      </c>
      <c r="AI337" s="16">
        <v>0</v>
      </c>
      <c r="AJ337" s="16">
        <v>0</v>
      </c>
      <c r="AK337" s="16">
        <v>0</v>
      </c>
      <c r="AL337" s="16">
        <v>0</v>
      </c>
      <c r="AM337" s="16">
        <v>0</v>
      </c>
      <c r="AN337" s="16">
        <v>0</v>
      </c>
      <c r="AO337" s="16">
        <v>0</v>
      </c>
      <c r="AP337" s="16">
        <v>0</v>
      </c>
      <c r="AQ337" s="16">
        <v>0</v>
      </c>
      <c r="AR337" s="16">
        <v>0</v>
      </c>
      <c r="AS337" s="16">
        <v>0</v>
      </c>
      <c r="AT337" s="16">
        <v>0</v>
      </c>
      <c r="AU337" s="16">
        <v>0</v>
      </c>
      <c r="AV337" s="16">
        <v>0</v>
      </c>
      <c r="AW337" s="16">
        <v>0</v>
      </c>
      <c r="AX337" s="16">
        <v>0</v>
      </c>
      <c r="AY337" s="16">
        <v>0</v>
      </c>
      <c r="AZ337" s="16">
        <v>0</v>
      </c>
      <c r="BA337" s="16">
        <v>0</v>
      </c>
      <c r="BB337" s="16">
        <v>0</v>
      </c>
      <c r="BC337" s="16">
        <v>0</v>
      </c>
      <c r="BD337" s="16">
        <v>0</v>
      </c>
      <c r="BE337" s="16">
        <v>0</v>
      </c>
      <c r="BF337" s="16">
        <v>0</v>
      </c>
      <c r="BG337" s="16">
        <v>0</v>
      </c>
      <c r="BH337" s="16">
        <v>0</v>
      </c>
      <c r="BI337" s="16">
        <v>0</v>
      </c>
      <c r="BJ337" s="16">
        <v>0</v>
      </c>
      <c r="BK337" s="16">
        <v>0</v>
      </c>
      <c r="BL337" s="16">
        <v>0</v>
      </c>
      <c r="BM337" s="16">
        <v>0</v>
      </c>
      <c r="BN337" s="16">
        <v>0</v>
      </c>
      <c r="BO337" s="16">
        <v>0</v>
      </c>
      <c r="BP337" s="16">
        <v>0</v>
      </c>
      <c r="BQ337" s="16">
        <v>0</v>
      </c>
      <c r="BR337" s="16">
        <v>0</v>
      </c>
      <c r="BS337" s="16">
        <v>0</v>
      </c>
      <c r="BT337" s="16">
        <v>0</v>
      </c>
      <c r="BU337" s="16">
        <v>0</v>
      </c>
      <c r="BV337" s="16">
        <v>0</v>
      </c>
      <c r="BW337" s="16">
        <v>0</v>
      </c>
      <c r="BX337" s="16">
        <v>0</v>
      </c>
      <c r="BY337" s="16">
        <v>0</v>
      </c>
      <c r="BZ337" s="16">
        <v>0</v>
      </c>
      <c r="CA337" s="16">
        <v>0</v>
      </c>
      <c r="CB337" s="16">
        <v>0</v>
      </c>
      <c r="CC337" s="16">
        <v>0</v>
      </c>
      <c r="CD337" s="16">
        <v>0</v>
      </c>
      <c r="CE337" s="16">
        <v>0</v>
      </c>
      <c r="CF337" s="16">
        <v>0</v>
      </c>
      <c r="CG337" s="16">
        <v>0</v>
      </c>
      <c r="CH337" s="16">
        <v>0</v>
      </c>
      <c r="CI337" s="16">
        <v>0</v>
      </c>
      <c r="CJ337" s="16">
        <v>0</v>
      </c>
      <c r="CK337" s="16">
        <v>0</v>
      </c>
      <c r="CL337" s="16">
        <v>0</v>
      </c>
      <c r="CM337" s="16">
        <v>0</v>
      </c>
      <c r="CN337" s="16">
        <v>0</v>
      </c>
      <c r="CO337" s="16">
        <v>0</v>
      </c>
      <c r="CP337" s="16">
        <v>0</v>
      </c>
      <c r="CQ337" s="16">
        <v>0</v>
      </c>
      <c r="CR337" s="16">
        <v>0</v>
      </c>
      <c r="CS337" s="16">
        <v>0</v>
      </c>
      <c r="CT337" s="16">
        <v>0</v>
      </c>
      <c r="CU337" s="16">
        <v>0</v>
      </c>
      <c r="CV337" s="16">
        <v>0</v>
      </c>
      <c r="CW337" s="16">
        <v>0</v>
      </c>
      <c r="CX337" s="16">
        <v>0</v>
      </c>
      <c r="CY337" s="16">
        <v>0</v>
      </c>
      <c r="CZ337" s="16">
        <v>0</v>
      </c>
      <c r="DA337" s="16">
        <v>0</v>
      </c>
      <c r="DB337" s="16">
        <v>0</v>
      </c>
      <c r="DC337" s="16">
        <v>0</v>
      </c>
      <c r="DD337" s="16">
        <v>0</v>
      </c>
      <c r="DE337" s="16">
        <v>0</v>
      </c>
      <c r="DF337" s="16">
        <v>0</v>
      </c>
      <c r="DG337" s="16">
        <v>0</v>
      </c>
      <c r="DH337" s="16">
        <v>0</v>
      </c>
      <c r="DI337" s="16">
        <v>0</v>
      </c>
      <c r="DJ337" s="16">
        <v>0</v>
      </c>
      <c r="DK337" s="16">
        <v>0</v>
      </c>
      <c r="DL337" s="16">
        <v>0</v>
      </c>
      <c r="DM337" s="16">
        <v>0</v>
      </c>
      <c r="DN337" s="16">
        <v>0</v>
      </c>
      <c r="DO337" s="16">
        <v>0</v>
      </c>
      <c r="DP337" s="16">
        <v>0</v>
      </c>
      <c r="DQ337" s="16">
        <v>0</v>
      </c>
      <c r="DR337" s="16">
        <v>0</v>
      </c>
      <c r="DS337" s="16">
        <v>0</v>
      </c>
      <c r="DT337" s="16">
        <v>0</v>
      </c>
      <c r="DU337" s="16">
        <v>0</v>
      </c>
      <c r="DV337" s="16">
        <v>0</v>
      </c>
      <c r="DW337" s="16">
        <v>0</v>
      </c>
      <c r="DX337" s="16">
        <v>0</v>
      </c>
      <c r="DY337" s="16">
        <v>0</v>
      </c>
      <c r="DZ337" s="16">
        <v>0</v>
      </c>
      <c r="EA337" s="16">
        <v>0</v>
      </c>
      <c r="EB337" s="16">
        <v>0</v>
      </c>
      <c r="EC337" s="16">
        <v>0</v>
      </c>
      <c r="ED337" s="16">
        <v>0</v>
      </c>
      <c r="EE337" s="16">
        <v>0</v>
      </c>
      <c r="EF337" s="16">
        <v>0</v>
      </c>
      <c r="EG337" s="16">
        <v>0</v>
      </c>
      <c r="EH337" s="16">
        <v>0</v>
      </c>
      <c r="EI337" s="16">
        <v>0</v>
      </c>
      <c r="EJ337" s="16">
        <v>0</v>
      </c>
      <c r="EK337" s="16">
        <v>0</v>
      </c>
      <c r="EL337" s="16">
        <v>0</v>
      </c>
      <c r="EM337" s="16">
        <v>0</v>
      </c>
      <c r="EN337" s="16">
        <v>0</v>
      </c>
      <c r="EO337" s="16">
        <v>0</v>
      </c>
      <c r="EP337" s="16">
        <v>0</v>
      </c>
      <c r="EQ337" s="16">
        <v>0</v>
      </c>
      <c r="ER337" s="16">
        <v>0</v>
      </c>
      <c r="ES337" s="16">
        <v>0</v>
      </c>
      <c r="ET337" s="16">
        <v>0</v>
      </c>
      <c r="EU337" s="16">
        <v>0</v>
      </c>
      <c r="EV337" s="16">
        <v>0</v>
      </c>
      <c r="EW337" s="16">
        <v>0</v>
      </c>
      <c r="EX337" s="16">
        <v>0</v>
      </c>
      <c r="EY337" s="16">
        <v>0</v>
      </c>
      <c r="EZ337" s="16">
        <v>0</v>
      </c>
      <c r="FA337" s="16">
        <v>0</v>
      </c>
      <c r="FB337" s="16">
        <v>0</v>
      </c>
      <c r="FC337" s="16">
        <v>0</v>
      </c>
      <c r="FD337" s="16">
        <v>0</v>
      </c>
      <c r="FE337" s="16">
        <v>0</v>
      </c>
      <c r="FF337" s="16">
        <v>0</v>
      </c>
      <c r="FG337" s="16">
        <v>0</v>
      </c>
      <c r="FH337" s="16">
        <v>0</v>
      </c>
      <c r="FI337" s="16">
        <v>0</v>
      </c>
      <c r="FJ337" s="16">
        <v>0</v>
      </c>
      <c r="FK337" s="16">
        <v>0</v>
      </c>
      <c r="FL337" s="16">
        <v>0</v>
      </c>
      <c r="FM337" s="16">
        <v>0</v>
      </c>
      <c r="FN337" s="16">
        <v>0</v>
      </c>
      <c r="FO337" s="16">
        <v>0</v>
      </c>
      <c r="FP337" s="16">
        <v>0</v>
      </c>
      <c r="FQ337" s="16">
        <v>0</v>
      </c>
      <c r="FR337" s="16">
        <v>0</v>
      </c>
      <c r="FS337" s="16">
        <v>0</v>
      </c>
      <c r="FT337" s="16">
        <v>0</v>
      </c>
      <c r="FU337" s="16">
        <v>0</v>
      </c>
      <c r="FV337" s="16">
        <v>0</v>
      </c>
      <c r="FW337" s="16">
        <v>0</v>
      </c>
      <c r="FX337" s="16">
        <v>0</v>
      </c>
      <c r="FY337" s="16">
        <v>0</v>
      </c>
      <c r="FZ337" s="16">
        <v>0</v>
      </c>
      <c r="GA337" s="16">
        <v>0</v>
      </c>
      <c r="GB337" s="16">
        <v>0</v>
      </c>
      <c r="GC337" s="16">
        <v>0</v>
      </c>
      <c r="GD337" s="16">
        <v>0</v>
      </c>
      <c r="GE337" s="16">
        <v>0</v>
      </c>
      <c r="GF337" s="16">
        <v>0</v>
      </c>
      <c r="GG337" s="16">
        <v>0</v>
      </c>
      <c r="GH337" s="16">
        <v>0</v>
      </c>
      <c r="GI337" s="16">
        <v>0</v>
      </c>
      <c r="GJ337" s="16">
        <v>0</v>
      </c>
      <c r="GK337" s="16">
        <v>0</v>
      </c>
      <c r="GL337" s="16">
        <v>0</v>
      </c>
      <c r="GM337" s="16">
        <v>0</v>
      </c>
      <c r="GN337" s="16">
        <v>0</v>
      </c>
      <c r="GO337" s="16">
        <v>0</v>
      </c>
      <c r="GP337" s="16">
        <v>0</v>
      </c>
      <c r="GQ337" s="16">
        <v>0</v>
      </c>
      <c r="GR337" s="16">
        <v>0</v>
      </c>
      <c r="GS337" s="16">
        <v>0</v>
      </c>
      <c r="GT337" s="16">
        <v>0</v>
      </c>
      <c r="GU337" s="16">
        <v>0</v>
      </c>
      <c r="GV337" s="16">
        <v>0</v>
      </c>
      <c r="GW337" s="16">
        <v>0</v>
      </c>
      <c r="GX337" s="16">
        <v>0</v>
      </c>
      <c r="GY337" s="16">
        <v>0</v>
      </c>
      <c r="GZ337" s="16">
        <v>0</v>
      </c>
      <c r="HA337" s="16">
        <v>0</v>
      </c>
      <c r="HB337" s="16">
        <v>0</v>
      </c>
      <c r="HC337" s="16">
        <v>0</v>
      </c>
      <c r="HD337" s="16">
        <v>0</v>
      </c>
      <c r="HE337" s="16">
        <v>0</v>
      </c>
      <c r="HF337" s="16">
        <v>0</v>
      </c>
      <c r="HG337" s="16">
        <v>0</v>
      </c>
      <c r="HH337" s="16">
        <v>0</v>
      </c>
      <c r="HI337" s="16">
        <v>0</v>
      </c>
      <c r="HJ337" s="16">
        <v>0</v>
      </c>
      <c r="HK337" s="16">
        <v>0</v>
      </c>
      <c r="HL337" s="16">
        <v>0</v>
      </c>
      <c r="HM337" s="16">
        <v>0</v>
      </c>
      <c r="HN337" s="16">
        <v>0</v>
      </c>
      <c r="HO337" s="16">
        <v>0</v>
      </c>
      <c r="HP337" s="16">
        <v>0</v>
      </c>
      <c r="HQ337" s="16">
        <v>0</v>
      </c>
      <c r="HR337" s="16">
        <v>0</v>
      </c>
      <c r="HS337" s="16">
        <v>0</v>
      </c>
      <c r="HT337" s="16">
        <v>0</v>
      </c>
      <c r="HU337" s="16">
        <v>0</v>
      </c>
      <c r="HV337" s="16">
        <v>0</v>
      </c>
      <c r="HW337" s="16">
        <v>0</v>
      </c>
      <c r="HX337" s="16">
        <v>0</v>
      </c>
      <c r="HY337" s="16">
        <v>0</v>
      </c>
      <c r="HZ337" s="16">
        <v>0</v>
      </c>
      <c r="IA337" s="16">
        <v>0</v>
      </c>
      <c r="IB337" s="16">
        <v>0</v>
      </c>
      <c r="IC337" s="16">
        <v>0</v>
      </c>
      <c r="ID337" s="16">
        <v>0</v>
      </c>
      <c r="IE337" s="16">
        <v>0</v>
      </c>
      <c r="IF337" s="16">
        <v>0</v>
      </c>
      <c r="IG337" s="16">
        <v>0</v>
      </c>
      <c r="IH337" s="16">
        <v>0</v>
      </c>
      <c r="II337" s="16">
        <v>0</v>
      </c>
      <c r="IJ337" s="16">
        <v>0</v>
      </c>
      <c r="IK337" s="16">
        <v>0</v>
      </c>
      <c r="IL337" s="16">
        <v>0</v>
      </c>
      <c r="IM337" s="16">
        <v>0</v>
      </c>
      <c r="IN337" s="16">
        <v>0</v>
      </c>
      <c r="IO337" s="16">
        <v>0</v>
      </c>
      <c r="IP337" s="16">
        <v>0</v>
      </c>
      <c r="IQ337" s="16">
        <v>0</v>
      </c>
      <c r="IR337" s="16">
        <v>0</v>
      </c>
      <c r="IS337" s="16">
        <v>0</v>
      </c>
      <c r="IT337" s="16">
        <v>0</v>
      </c>
      <c r="IU337" s="16">
        <v>0</v>
      </c>
      <c r="IV337" s="16">
        <v>0</v>
      </c>
      <c r="IW337" s="16">
        <v>0</v>
      </c>
      <c r="IX337" s="16">
        <v>0</v>
      </c>
      <c r="IY337" s="16">
        <v>0</v>
      </c>
      <c r="IZ337" s="16">
        <v>0</v>
      </c>
      <c r="JA337" s="16">
        <v>0</v>
      </c>
      <c r="JB337" s="16">
        <v>0</v>
      </c>
      <c r="JC337" s="16">
        <v>0</v>
      </c>
      <c r="JD337" s="16">
        <v>0</v>
      </c>
      <c r="JE337" s="16">
        <v>0</v>
      </c>
      <c r="JF337" s="16">
        <v>0</v>
      </c>
      <c r="JG337" s="16">
        <v>0</v>
      </c>
      <c r="JH337" s="16">
        <v>0</v>
      </c>
      <c r="JI337" s="16">
        <v>0</v>
      </c>
      <c r="JJ337" s="16">
        <v>0</v>
      </c>
      <c r="JK337" s="16">
        <v>0</v>
      </c>
      <c r="JL337" s="16">
        <v>0</v>
      </c>
      <c r="JM337" s="16">
        <v>0</v>
      </c>
      <c r="JN337" s="16">
        <v>0</v>
      </c>
      <c r="JO337" s="16">
        <v>0</v>
      </c>
      <c r="JP337" s="16">
        <v>0</v>
      </c>
      <c r="JQ337" s="16">
        <v>0</v>
      </c>
      <c r="JR337" s="16">
        <v>0</v>
      </c>
      <c r="JS337" s="16">
        <v>0</v>
      </c>
      <c r="JT337" s="16">
        <v>0</v>
      </c>
      <c r="JU337" s="16">
        <v>0</v>
      </c>
      <c r="JV337" s="16">
        <v>0</v>
      </c>
      <c r="JW337" s="16">
        <v>0</v>
      </c>
      <c r="JX337" s="16">
        <v>0</v>
      </c>
      <c r="JY337" s="16">
        <v>0</v>
      </c>
      <c r="JZ337" s="16">
        <v>0</v>
      </c>
      <c r="KA337" s="16">
        <v>0</v>
      </c>
      <c r="KB337" s="16">
        <v>0</v>
      </c>
      <c r="KC337" s="16">
        <v>0</v>
      </c>
      <c r="KD337" s="16">
        <v>0</v>
      </c>
      <c r="KE337" s="16">
        <v>0</v>
      </c>
      <c r="KF337" s="16">
        <v>0</v>
      </c>
      <c r="KG337" s="16">
        <v>0</v>
      </c>
      <c r="KH337" s="16">
        <v>0</v>
      </c>
      <c r="KI337" s="16">
        <v>0</v>
      </c>
      <c r="KJ337" s="16">
        <v>0</v>
      </c>
      <c r="KK337" s="16">
        <v>0</v>
      </c>
      <c r="KL337" s="16">
        <v>0</v>
      </c>
      <c r="KM337" s="16">
        <v>0</v>
      </c>
      <c r="KN337" s="16">
        <v>0</v>
      </c>
      <c r="KO337" s="16">
        <v>0</v>
      </c>
      <c r="KP337" s="16">
        <v>0</v>
      </c>
      <c r="KQ337" s="16">
        <v>0</v>
      </c>
      <c r="KR337" s="16">
        <v>0</v>
      </c>
      <c r="KS337" s="16">
        <v>0</v>
      </c>
      <c r="KT337" s="16">
        <v>0</v>
      </c>
      <c r="KU337" s="16">
        <v>0</v>
      </c>
      <c r="KV337" s="16">
        <v>0</v>
      </c>
      <c r="KW337" s="16">
        <v>0</v>
      </c>
      <c r="KX337" s="16">
        <v>0</v>
      </c>
      <c r="KY337" s="16">
        <v>0</v>
      </c>
      <c r="KZ337" s="16">
        <v>0</v>
      </c>
      <c r="LA337" s="16">
        <v>0</v>
      </c>
      <c r="LB337" s="16">
        <v>0</v>
      </c>
      <c r="LC337" s="16">
        <v>0</v>
      </c>
      <c r="LD337" s="16">
        <v>0</v>
      </c>
      <c r="LE337" s="16">
        <v>0</v>
      </c>
      <c r="LF337" s="16">
        <v>0</v>
      </c>
      <c r="LG337" s="16">
        <v>0</v>
      </c>
      <c r="LH337" s="16">
        <v>0</v>
      </c>
      <c r="LI337" s="16">
        <v>0</v>
      </c>
      <c r="LJ337" s="16">
        <v>0</v>
      </c>
      <c r="LK337" s="16">
        <v>0</v>
      </c>
      <c r="LL337" s="16">
        <v>0</v>
      </c>
      <c r="LM337" s="16">
        <v>0</v>
      </c>
      <c r="LN337" s="16">
        <v>0</v>
      </c>
      <c r="LO337" s="16">
        <v>0</v>
      </c>
      <c r="LP337" s="16">
        <v>0</v>
      </c>
      <c r="LQ337" s="16">
        <v>0</v>
      </c>
      <c r="LR337" s="16">
        <v>0</v>
      </c>
      <c r="LS337" s="16">
        <v>0</v>
      </c>
      <c r="LT337" s="16">
        <v>0</v>
      </c>
      <c r="LU337" s="16">
        <v>0</v>
      </c>
      <c r="LV337" s="16">
        <v>0</v>
      </c>
      <c r="LW337" s="16">
        <v>0</v>
      </c>
      <c r="LX337" s="16">
        <v>0</v>
      </c>
      <c r="LY337" s="16">
        <v>0</v>
      </c>
      <c r="LZ337" s="16">
        <v>0</v>
      </c>
      <c r="MA337" s="16">
        <v>0</v>
      </c>
      <c r="MB337" s="16">
        <v>0</v>
      </c>
      <c r="MC337" s="16">
        <v>0</v>
      </c>
      <c r="MD337" s="16">
        <v>0</v>
      </c>
      <c r="ME337" s="16">
        <v>0</v>
      </c>
      <c r="MF337" s="16">
        <v>0</v>
      </c>
      <c r="MG337" s="16">
        <v>0</v>
      </c>
      <c r="MH337" s="16">
        <v>0</v>
      </c>
      <c r="MI337" s="16">
        <v>0</v>
      </c>
      <c r="MJ337" s="16">
        <v>0</v>
      </c>
      <c r="MK337" s="16">
        <v>0</v>
      </c>
      <c r="ML337" s="16">
        <v>0</v>
      </c>
      <c r="MM337" s="16">
        <v>0</v>
      </c>
      <c r="MN337" s="16">
        <v>0</v>
      </c>
      <c r="MO337" s="16">
        <v>0</v>
      </c>
      <c r="MP337" s="16">
        <v>0</v>
      </c>
      <c r="MQ337" s="16">
        <v>0</v>
      </c>
      <c r="MR337" s="16">
        <v>0</v>
      </c>
      <c r="MS337" s="16">
        <v>0</v>
      </c>
      <c r="MT337" s="16">
        <v>0</v>
      </c>
      <c r="MU337" s="16">
        <v>0</v>
      </c>
      <c r="MV337" s="16">
        <v>0</v>
      </c>
      <c r="MW337" s="16">
        <v>0</v>
      </c>
      <c r="MX337" s="16">
        <v>0</v>
      </c>
      <c r="MY337" s="16">
        <v>0</v>
      </c>
      <c r="MZ337" s="16">
        <v>0</v>
      </c>
      <c r="NA337" s="16">
        <v>0</v>
      </c>
      <c r="NB337" s="16">
        <v>0</v>
      </c>
      <c r="NC337" s="16">
        <v>0</v>
      </c>
      <c r="ND337" s="16">
        <v>0</v>
      </c>
      <c r="NE337" s="16">
        <v>0</v>
      </c>
      <c r="NF337" s="16">
        <v>0</v>
      </c>
      <c r="NG337" s="16">
        <v>0</v>
      </c>
      <c r="NH337" s="16">
        <v>0</v>
      </c>
      <c r="NI337" s="16">
        <v>0</v>
      </c>
      <c r="NJ337" s="16">
        <v>0</v>
      </c>
      <c r="NK337" s="16">
        <v>0</v>
      </c>
      <c r="NL337" s="16">
        <v>0</v>
      </c>
      <c r="NM337" s="16">
        <v>0</v>
      </c>
      <c r="NN337" s="16">
        <v>0</v>
      </c>
      <c r="NO337" s="16">
        <v>0</v>
      </c>
      <c r="NP337" s="16">
        <v>0</v>
      </c>
      <c r="NQ337" s="16">
        <v>0</v>
      </c>
      <c r="NR337" s="17">
        <v>0</v>
      </c>
    </row>
    <row r="338" spans="1:382" ht="13.5" customHeight="1" x14ac:dyDescent="0.2">
      <c r="A338" s="2" t="s">
        <v>683</v>
      </c>
      <c r="B338" s="16">
        <v>86</v>
      </c>
      <c r="C338" s="16">
        <v>0</v>
      </c>
      <c r="D338" s="16">
        <v>129</v>
      </c>
      <c r="E338" s="16">
        <v>223</v>
      </c>
      <c r="F338" s="16">
        <v>739</v>
      </c>
      <c r="G338" s="16">
        <v>733</v>
      </c>
      <c r="H338" s="16">
        <v>73</v>
      </c>
      <c r="I338" s="16">
        <v>975</v>
      </c>
      <c r="J338" s="16">
        <v>12</v>
      </c>
      <c r="K338" s="16">
        <v>0</v>
      </c>
      <c r="L338" s="16">
        <v>1936</v>
      </c>
      <c r="M338" s="16">
        <v>1437</v>
      </c>
      <c r="N338" s="16">
        <v>6</v>
      </c>
      <c r="O338" s="16">
        <v>32</v>
      </c>
      <c r="P338" s="16">
        <v>654</v>
      </c>
      <c r="Q338" s="16">
        <v>1761</v>
      </c>
      <c r="R338" s="16">
        <v>3341</v>
      </c>
      <c r="S338" s="16">
        <v>756</v>
      </c>
      <c r="T338" s="16">
        <v>764</v>
      </c>
      <c r="U338" s="16">
        <v>188</v>
      </c>
      <c r="V338" s="16">
        <v>230</v>
      </c>
      <c r="W338" s="16">
        <v>7</v>
      </c>
      <c r="X338" s="16">
        <v>4573</v>
      </c>
      <c r="Y338" s="16">
        <v>1737</v>
      </c>
      <c r="Z338" s="16">
        <v>10263</v>
      </c>
      <c r="AA338" s="16">
        <v>108</v>
      </c>
      <c r="AB338" s="16">
        <v>0</v>
      </c>
      <c r="AC338" s="16">
        <v>0</v>
      </c>
      <c r="AD338" s="16">
        <v>0</v>
      </c>
      <c r="AE338" s="16">
        <v>158</v>
      </c>
      <c r="AF338" s="16">
        <v>732</v>
      </c>
      <c r="AG338" s="16">
        <v>3246</v>
      </c>
      <c r="AH338" s="16">
        <v>546</v>
      </c>
      <c r="AI338" s="16">
        <v>926</v>
      </c>
      <c r="AJ338" s="16">
        <v>14175</v>
      </c>
      <c r="AK338" s="16">
        <v>12639</v>
      </c>
      <c r="AL338" s="16">
        <v>2558</v>
      </c>
      <c r="AM338" s="16">
        <v>13207</v>
      </c>
      <c r="AN338" s="16">
        <v>1982</v>
      </c>
      <c r="AO338" s="16">
        <v>7359</v>
      </c>
      <c r="AP338" s="16">
        <v>1518</v>
      </c>
      <c r="AQ338" s="16">
        <v>887</v>
      </c>
      <c r="AR338" s="16">
        <v>0</v>
      </c>
      <c r="AS338" s="16">
        <v>486</v>
      </c>
      <c r="AT338" s="16">
        <v>1941</v>
      </c>
      <c r="AU338" s="16">
        <v>42398</v>
      </c>
      <c r="AV338" s="16">
        <v>14042</v>
      </c>
      <c r="AW338" s="16">
        <v>34886</v>
      </c>
      <c r="AX338" s="16">
        <v>8980</v>
      </c>
      <c r="AY338" s="16">
        <v>17273</v>
      </c>
      <c r="AZ338" s="16">
        <v>45894</v>
      </c>
      <c r="BA338" s="16">
        <v>45832</v>
      </c>
      <c r="BB338" s="16">
        <v>10682</v>
      </c>
      <c r="BC338" s="16">
        <v>23386</v>
      </c>
      <c r="BD338" s="16">
        <v>1578</v>
      </c>
      <c r="BE338" s="16">
        <v>2078</v>
      </c>
      <c r="BF338" s="16">
        <v>1583</v>
      </c>
      <c r="BG338" s="16">
        <v>4850</v>
      </c>
      <c r="BH338" s="16">
        <v>27359</v>
      </c>
      <c r="BI338" s="16">
        <v>1474</v>
      </c>
      <c r="BJ338" s="16">
        <v>954</v>
      </c>
      <c r="BK338" s="16">
        <v>2384</v>
      </c>
      <c r="BL338" s="16">
        <v>17451</v>
      </c>
      <c r="BM338" s="16">
        <v>14415</v>
      </c>
      <c r="BN338" s="16">
        <v>10280</v>
      </c>
      <c r="BO338" s="16">
        <v>9688</v>
      </c>
      <c r="BP338" s="16">
        <v>18809</v>
      </c>
      <c r="BQ338" s="16">
        <v>8839</v>
      </c>
      <c r="BR338" s="16">
        <v>1187</v>
      </c>
      <c r="BS338" s="16">
        <v>125433</v>
      </c>
      <c r="BT338" s="16">
        <v>882</v>
      </c>
      <c r="BU338" s="16">
        <v>918</v>
      </c>
      <c r="BV338" s="16">
        <v>317</v>
      </c>
      <c r="BW338" s="16">
        <v>36523</v>
      </c>
      <c r="BX338" s="16">
        <v>595</v>
      </c>
      <c r="BY338" s="16">
        <v>66</v>
      </c>
      <c r="BZ338" s="16">
        <v>5130</v>
      </c>
      <c r="CA338" s="16">
        <v>14225</v>
      </c>
      <c r="CB338" s="16">
        <v>1110</v>
      </c>
      <c r="CC338" s="16">
        <v>8998</v>
      </c>
      <c r="CD338" s="16">
        <v>3936</v>
      </c>
      <c r="CE338" s="16">
        <v>1996</v>
      </c>
      <c r="CF338" s="16">
        <v>13372</v>
      </c>
      <c r="CG338" s="16">
        <v>7807</v>
      </c>
      <c r="CH338" s="16">
        <v>9482</v>
      </c>
      <c r="CI338" s="16">
        <v>684</v>
      </c>
      <c r="CJ338" s="16">
        <v>10729</v>
      </c>
      <c r="CK338" s="16">
        <v>15067</v>
      </c>
      <c r="CL338" s="16">
        <v>14358</v>
      </c>
      <c r="CM338" s="16">
        <v>7435</v>
      </c>
      <c r="CN338" s="16">
        <v>2213</v>
      </c>
      <c r="CO338" s="16">
        <v>4753</v>
      </c>
      <c r="CP338" s="16">
        <v>5624</v>
      </c>
      <c r="CQ338" s="16">
        <v>79517</v>
      </c>
      <c r="CR338" s="16">
        <v>1196</v>
      </c>
      <c r="CS338" s="16">
        <v>4413</v>
      </c>
      <c r="CT338" s="16">
        <v>7535</v>
      </c>
      <c r="CU338" s="16">
        <v>17808</v>
      </c>
      <c r="CV338" s="16">
        <v>19382</v>
      </c>
      <c r="CW338" s="16">
        <v>21655</v>
      </c>
      <c r="CX338" s="16">
        <v>41050</v>
      </c>
      <c r="CY338" s="16">
        <v>3855</v>
      </c>
      <c r="CZ338" s="16">
        <v>5159</v>
      </c>
      <c r="DA338" s="16">
        <v>1051</v>
      </c>
      <c r="DB338" s="16">
        <v>2468</v>
      </c>
      <c r="DC338" s="16">
        <v>466</v>
      </c>
      <c r="DD338" s="16">
        <v>3418</v>
      </c>
      <c r="DE338" s="16">
        <v>1056</v>
      </c>
      <c r="DF338" s="16">
        <v>8987</v>
      </c>
      <c r="DG338" s="16">
        <v>7604</v>
      </c>
      <c r="DH338" s="16">
        <v>8240</v>
      </c>
      <c r="DI338" s="16">
        <v>2465</v>
      </c>
      <c r="DJ338" s="16">
        <v>47175</v>
      </c>
      <c r="DK338" s="16">
        <v>4589</v>
      </c>
      <c r="DL338" s="16">
        <v>4392</v>
      </c>
      <c r="DM338" s="16">
        <v>114736</v>
      </c>
      <c r="DN338" s="16">
        <v>8811</v>
      </c>
      <c r="DO338" s="16">
        <v>11412</v>
      </c>
      <c r="DP338" s="16">
        <v>3933</v>
      </c>
      <c r="DQ338" s="16">
        <v>2350</v>
      </c>
      <c r="DR338" s="16">
        <v>17395</v>
      </c>
      <c r="DS338" s="16">
        <v>53522</v>
      </c>
      <c r="DT338" s="16">
        <v>1852</v>
      </c>
      <c r="DU338" s="16">
        <v>2425</v>
      </c>
      <c r="DV338" s="16">
        <v>42231</v>
      </c>
      <c r="DW338" s="16">
        <v>15898</v>
      </c>
      <c r="DX338" s="16">
        <v>7522</v>
      </c>
      <c r="DY338" s="16">
        <v>12256</v>
      </c>
      <c r="DZ338" s="16">
        <v>16855</v>
      </c>
      <c r="EA338" s="16">
        <v>30560</v>
      </c>
      <c r="EB338" s="16">
        <v>10062</v>
      </c>
      <c r="EC338" s="16">
        <v>9288</v>
      </c>
      <c r="ED338" s="16">
        <v>1192</v>
      </c>
      <c r="EE338" s="16">
        <v>81</v>
      </c>
      <c r="EF338" s="16">
        <v>1383</v>
      </c>
      <c r="EG338" s="16">
        <v>2566</v>
      </c>
      <c r="EH338" s="16">
        <v>1687</v>
      </c>
      <c r="EI338" s="16">
        <v>4967</v>
      </c>
      <c r="EJ338" s="16">
        <v>1615</v>
      </c>
      <c r="EK338" s="16">
        <v>4272</v>
      </c>
      <c r="EL338" s="16">
        <v>1357</v>
      </c>
      <c r="EM338" s="16">
        <v>3282</v>
      </c>
      <c r="EN338" s="16">
        <v>14357</v>
      </c>
      <c r="EO338" s="16">
        <v>9486</v>
      </c>
      <c r="EP338" s="16">
        <v>3334</v>
      </c>
      <c r="EQ338" s="16">
        <v>3799</v>
      </c>
      <c r="ER338" s="16">
        <v>1691</v>
      </c>
      <c r="ES338" s="16">
        <v>3811</v>
      </c>
      <c r="ET338" s="16">
        <v>4712</v>
      </c>
      <c r="EU338" s="16">
        <v>10</v>
      </c>
      <c r="EV338" s="16">
        <v>903</v>
      </c>
      <c r="EW338" s="16">
        <v>279</v>
      </c>
      <c r="EX338" s="16">
        <v>17914</v>
      </c>
      <c r="EY338" s="16">
        <v>3857</v>
      </c>
      <c r="EZ338" s="16">
        <v>2024</v>
      </c>
      <c r="FA338" s="16">
        <v>781</v>
      </c>
      <c r="FB338" s="16">
        <v>241</v>
      </c>
      <c r="FC338" s="16">
        <v>353</v>
      </c>
      <c r="FD338" s="16">
        <v>10142</v>
      </c>
      <c r="FE338" s="16">
        <v>4375</v>
      </c>
      <c r="FF338" s="16">
        <v>1328</v>
      </c>
      <c r="FG338" s="16">
        <v>36684</v>
      </c>
      <c r="FH338" s="16">
        <v>9</v>
      </c>
      <c r="FI338" s="16">
        <v>2875</v>
      </c>
      <c r="FJ338" s="16">
        <v>614</v>
      </c>
      <c r="FK338" s="16">
        <v>10745</v>
      </c>
      <c r="FL338" s="16">
        <v>120</v>
      </c>
      <c r="FM338" s="16">
        <v>6826</v>
      </c>
      <c r="FN338" s="16">
        <v>6746</v>
      </c>
      <c r="FO338" s="16">
        <v>1536</v>
      </c>
      <c r="FP338" s="16">
        <v>14820</v>
      </c>
      <c r="FQ338" s="16">
        <v>16144</v>
      </c>
      <c r="FR338" s="16">
        <v>25241</v>
      </c>
      <c r="FS338" s="16">
        <v>2490</v>
      </c>
      <c r="FT338" s="16">
        <v>5284</v>
      </c>
      <c r="FU338" s="16">
        <v>3218</v>
      </c>
      <c r="FV338" s="16">
        <v>6362</v>
      </c>
      <c r="FW338" s="16">
        <v>16594</v>
      </c>
      <c r="FX338" s="16">
        <v>29349</v>
      </c>
      <c r="FY338" s="16">
        <v>7655</v>
      </c>
      <c r="FZ338" s="16">
        <v>7061</v>
      </c>
      <c r="GA338" s="16">
        <v>4652</v>
      </c>
      <c r="GB338" s="16">
        <v>26837</v>
      </c>
      <c r="GC338" s="16">
        <v>7828</v>
      </c>
      <c r="GD338" s="16">
        <v>6773</v>
      </c>
      <c r="GE338" s="16">
        <v>3613</v>
      </c>
      <c r="GF338" s="16">
        <v>38441</v>
      </c>
      <c r="GG338" s="16">
        <v>64</v>
      </c>
      <c r="GH338" s="16">
        <v>54784</v>
      </c>
      <c r="GI338" s="16">
        <v>17221</v>
      </c>
      <c r="GJ338" s="16">
        <v>10945</v>
      </c>
      <c r="GK338" s="16">
        <v>13471</v>
      </c>
      <c r="GL338" s="16">
        <v>56</v>
      </c>
      <c r="GM338" s="16">
        <v>61188</v>
      </c>
      <c r="GN338" s="16">
        <v>1840</v>
      </c>
      <c r="GO338" s="16">
        <v>12229</v>
      </c>
      <c r="GP338" s="16">
        <v>2456</v>
      </c>
      <c r="GQ338" s="16">
        <v>386</v>
      </c>
      <c r="GR338" s="16">
        <v>1284</v>
      </c>
      <c r="GS338" s="16">
        <v>836</v>
      </c>
      <c r="GT338" s="16">
        <v>2769</v>
      </c>
      <c r="GU338" s="16">
        <v>30731</v>
      </c>
      <c r="GV338" s="16">
        <v>20572</v>
      </c>
      <c r="GW338" s="16">
        <v>22128</v>
      </c>
      <c r="GX338" s="16">
        <v>2887</v>
      </c>
      <c r="GY338" s="16">
        <v>139</v>
      </c>
      <c r="GZ338" s="16">
        <v>24398</v>
      </c>
      <c r="HA338" s="16">
        <v>4139</v>
      </c>
      <c r="HB338" s="16">
        <v>1463</v>
      </c>
      <c r="HC338" s="16">
        <v>24327</v>
      </c>
      <c r="HD338" s="16">
        <v>24236</v>
      </c>
      <c r="HE338" s="16">
        <v>36112</v>
      </c>
      <c r="HF338" s="16">
        <v>43491</v>
      </c>
      <c r="HG338" s="16">
        <v>21678</v>
      </c>
      <c r="HH338" s="16">
        <v>16427</v>
      </c>
      <c r="HI338" s="16">
        <v>46951</v>
      </c>
      <c r="HJ338" s="16">
        <v>5436</v>
      </c>
      <c r="HK338" s="16">
        <v>24113</v>
      </c>
      <c r="HL338" s="16">
        <v>36855</v>
      </c>
      <c r="HM338" s="16">
        <v>4635</v>
      </c>
      <c r="HN338" s="16">
        <v>15903</v>
      </c>
      <c r="HO338" s="16">
        <v>7619</v>
      </c>
      <c r="HP338" s="16">
        <v>2103</v>
      </c>
      <c r="HQ338" s="16">
        <v>19161</v>
      </c>
      <c r="HR338" s="16">
        <v>18791</v>
      </c>
      <c r="HS338" s="16">
        <v>8400</v>
      </c>
      <c r="HT338" s="16">
        <v>1430</v>
      </c>
      <c r="HU338" s="16">
        <v>20594</v>
      </c>
      <c r="HV338" s="16">
        <v>5255</v>
      </c>
      <c r="HW338" s="16">
        <v>8139</v>
      </c>
      <c r="HX338" s="16">
        <v>13061</v>
      </c>
      <c r="HY338" s="16">
        <v>19720</v>
      </c>
      <c r="HZ338" s="16">
        <v>8103</v>
      </c>
      <c r="IA338" s="16">
        <v>2412</v>
      </c>
      <c r="IB338" s="16">
        <v>3532</v>
      </c>
      <c r="IC338" s="16">
        <v>1416</v>
      </c>
      <c r="ID338" s="16">
        <v>1072</v>
      </c>
      <c r="IE338" s="16">
        <v>690</v>
      </c>
      <c r="IF338" s="16">
        <v>1665</v>
      </c>
      <c r="IG338" s="16">
        <v>35110</v>
      </c>
      <c r="IH338" s="16">
        <v>93340</v>
      </c>
      <c r="II338" s="16">
        <v>12352</v>
      </c>
      <c r="IJ338" s="16">
        <v>510</v>
      </c>
      <c r="IK338" s="16">
        <v>356</v>
      </c>
      <c r="IL338" s="16">
        <v>1546</v>
      </c>
      <c r="IM338" s="16">
        <v>307</v>
      </c>
      <c r="IN338" s="16">
        <v>16791</v>
      </c>
      <c r="IO338" s="16">
        <v>106528</v>
      </c>
      <c r="IP338" s="16">
        <v>9773</v>
      </c>
      <c r="IQ338" s="16">
        <v>4970</v>
      </c>
      <c r="IR338" s="16">
        <v>4381</v>
      </c>
      <c r="IS338" s="16">
        <v>1493</v>
      </c>
      <c r="IT338" s="16">
        <v>979</v>
      </c>
      <c r="IU338" s="16">
        <v>310</v>
      </c>
      <c r="IV338" s="16">
        <v>3898</v>
      </c>
      <c r="IW338" s="16">
        <v>17672</v>
      </c>
      <c r="IX338" s="16">
        <v>13787</v>
      </c>
      <c r="IY338" s="16">
        <v>5060</v>
      </c>
      <c r="IZ338" s="16">
        <v>1220</v>
      </c>
      <c r="JA338" s="16">
        <v>9644</v>
      </c>
      <c r="JB338" s="16">
        <v>1138</v>
      </c>
      <c r="JC338" s="16">
        <v>1140</v>
      </c>
      <c r="JD338" s="16">
        <v>18379</v>
      </c>
      <c r="JE338" s="16">
        <v>39575</v>
      </c>
      <c r="JF338" s="16">
        <v>23764</v>
      </c>
      <c r="JG338" s="16">
        <v>274402</v>
      </c>
      <c r="JH338" s="16">
        <v>10927</v>
      </c>
      <c r="JI338" s="16">
        <v>9445</v>
      </c>
      <c r="JJ338" s="16">
        <v>7055</v>
      </c>
      <c r="JK338" s="16">
        <v>5697</v>
      </c>
      <c r="JL338" s="16">
        <v>401</v>
      </c>
      <c r="JM338" s="16">
        <v>1566</v>
      </c>
      <c r="JN338" s="16">
        <v>21457</v>
      </c>
      <c r="JO338" s="16">
        <v>361</v>
      </c>
      <c r="JP338" s="16">
        <v>1226</v>
      </c>
      <c r="JQ338" s="16">
        <v>3460</v>
      </c>
      <c r="JR338" s="16">
        <v>25124</v>
      </c>
      <c r="JS338" s="16">
        <v>8342</v>
      </c>
      <c r="JT338" s="16">
        <v>6</v>
      </c>
      <c r="JU338" s="16">
        <v>61662</v>
      </c>
      <c r="JV338" s="16">
        <v>275746</v>
      </c>
      <c r="JW338" s="16">
        <v>175022</v>
      </c>
      <c r="JX338" s="16">
        <v>54616</v>
      </c>
      <c r="JY338" s="16">
        <v>87351</v>
      </c>
      <c r="JZ338" s="16">
        <v>2720</v>
      </c>
      <c r="KA338" s="16">
        <v>3731</v>
      </c>
      <c r="KB338" s="16">
        <v>1556</v>
      </c>
      <c r="KC338" s="16">
        <v>4973</v>
      </c>
      <c r="KD338" s="16">
        <v>302</v>
      </c>
      <c r="KE338" s="16">
        <v>2991</v>
      </c>
      <c r="KF338" s="16">
        <v>18174</v>
      </c>
      <c r="KG338" s="16">
        <v>28344</v>
      </c>
      <c r="KH338" s="16">
        <v>14674</v>
      </c>
      <c r="KI338" s="16">
        <v>4568</v>
      </c>
      <c r="KJ338" s="16">
        <v>5981</v>
      </c>
      <c r="KK338" s="16">
        <v>18650046</v>
      </c>
      <c r="KL338" s="16">
        <v>799</v>
      </c>
      <c r="KM338" s="16">
        <v>38603</v>
      </c>
      <c r="KN338" s="16">
        <v>82690</v>
      </c>
      <c r="KO338" s="16">
        <v>11252</v>
      </c>
      <c r="KP338" s="16">
        <v>9354</v>
      </c>
      <c r="KQ338" s="16">
        <v>25465</v>
      </c>
      <c r="KR338" s="16">
        <v>45944</v>
      </c>
      <c r="KS338" s="16">
        <v>448</v>
      </c>
      <c r="KT338" s="16">
        <v>3310</v>
      </c>
      <c r="KU338" s="16">
        <v>138436</v>
      </c>
      <c r="KV338" s="16">
        <v>501688</v>
      </c>
      <c r="KW338" s="16">
        <v>662968</v>
      </c>
      <c r="KX338" s="16">
        <v>1724</v>
      </c>
      <c r="KY338" s="16">
        <v>156615</v>
      </c>
      <c r="KZ338" s="16">
        <v>5823478</v>
      </c>
      <c r="LA338" s="16">
        <v>2440285</v>
      </c>
      <c r="LB338" s="16">
        <v>758713</v>
      </c>
      <c r="LC338" s="16">
        <v>998445</v>
      </c>
      <c r="LD338" s="16">
        <v>279512</v>
      </c>
      <c r="LE338" s="16">
        <v>9535</v>
      </c>
      <c r="LF338" s="16">
        <v>154593</v>
      </c>
      <c r="LG338" s="16">
        <v>11038</v>
      </c>
      <c r="LH338" s="16">
        <v>17678</v>
      </c>
      <c r="LI338" s="16">
        <v>5369</v>
      </c>
      <c r="LJ338" s="16">
        <v>69172</v>
      </c>
      <c r="LK338" s="16">
        <v>192994</v>
      </c>
      <c r="LL338" s="16">
        <v>261483</v>
      </c>
      <c r="LM338" s="16">
        <v>466435</v>
      </c>
      <c r="LN338" s="16">
        <v>312833</v>
      </c>
      <c r="LO338" s="16">
        <v>104174</v>
      </c>
      <c r="LP338" s="16">
        <v>208981</v>
      </c>
      <c r="LQ338" s="16">
        <v>22236</v>
      </c>
      <c r="LR338" s="16">
        <v>726441</v>
      </c>
      <c r="LS338" s="16">
        <v>133549</v>
      </c>
      <c r="LT338" s="16">
        <v>434757</v>
      </c>
      <c r="LU338" s="16">
        <v>384983</v>
      </c>
      <c r="LV338" s="16">
        <v>933</v>
      </c>
      <c r="LW338" s="16">
        <v>536498</v>
      </c>
      <c r="LX338" s="16">
        <v>646577</v>
      </c>
      <c r="LY338" s="16">
        <v>0</v>
      </c>
      <c r="LZ338" s="16">
        <v>1116819</v>
      </c>
      <c r="MA338" s="16">
        <v>621058</v>
      </c>
      <c r="MB338" s="16">
        <v>324905</v>
      </c>
      <c r="MC338" s="16">
        <v>9993</v>
      </c>
      <c r="MD338" s="16">
        <v>17929</v>
      </c>
      <c r="ME338" s="16">
        <v>52245</v>
      </c>
      <c r="MF338" s="16">
        <v>79576</v>
      </c>
      <c r="MG338" s="16">
        <v>1037902</v>
      </c>
      <c r="MH338" s="16">
        <v>5857268</v>
      </c>
      <c r="MI338" s="16">
        <v>78229</v>
      </c>
      <c r="MJ338" s="16">
        <v>413932</v>
      </c>
      <c r="MK338" s="16">
        <v>217003</v>
      </c>
      <c r="ML338" s="16">
        <v>110682</v>
      </c>
      <c r="MM338" s="16">
        <v>289365</v>
      </c>
      <c r="MN338" s="16">
        <v>260586</v>
      </c>
      <c r="MO338" s="16">
        <v>125214</v>
      </c>
      <c r="MP338" s="16">
        <v>204144</v>
      </c>
      <c r="MQ338" s="16">
        <v>1328315</v>
      </c>
      <c r="MR338" s="16">
        <v>855966</v>
      </c>
      <c r="MS338" s="16">
        <v>141976</v>
      </c>
      <c r="MT338" s="16">
        <v>96537</v>
      </c>
      <c r="MU338" s="16">
        <v>734276</v>
      </c>
      <c r="MV338" s="16">
        <v>19067</v>
      </c>
      <c r="MW338" s="16">
        <v>2973750</v>
      </c>
      <c r="MX338" s="16">
        <v>1514</v>
      </c>
      <c r="MY338" s="16">
        <v>1418121</v>
      </c>
      <c r="MZ338" s="16">
        <v>2217846</v>
      </c>
      <c r="NA338" s="16">
        <v>161577</v>
      </c>
      <c r="NB338" s="16">
        <v>261343</v>
      </c>
      <c r="NC338" s="16">
        <v>66609</v>
      </c>
      <c r="ND338" s="16">
        <v>48037</v>
      </c>
      <c r="NE338" s="16">
        <v>64854</v>
      </c>
      <c r="NF338" s="16">
        <v>51604</v>
      </c>
      <c r="NG338" s="16">
        <v>231255</v>
      </c>
      <c r="NH338" s="16">
        <v>72356</v>
      </c>
      <c r="NI338" s="16">
        <v>185627</v>
      </c>
      <c r="NJ338" s="16">
        <v>537142</v>
      </c>
      <c r="NK338" s="16">
        <v>126185</v>
      </c>
      <c r="NL338" s="16">
        <v>58462</v>
      </c>
      <c r="NM338" s="16">
        <v>686921</v>
      </c>
      <c r="NN338" s="16">
        <v>61189</v>
      </c>
      <c r="NO338" s="16">
        <v>0</v>
      </c>
      <c r="NP338" s="16">
        <v>49126</v>
      </c>
      <c r="NQ338" s="16">
        <v>3331</v>
      </c>
      <c r="NR338" s="17">
        <v>62665069</v>
      </c>
    </row>
    <row r="339" spans="1:382" ht="13.5" customHeight="1" x14ac:dyDescent="0.2">
      <c r="A339" s="2" t="s">
        <v>685</v>
      </c>
      <c r="B339" s="16">
        <v>0</v>
      </c>
      <c r="C339" s="16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  <c r="AG339" s="16">
        <v>0</v>
      </c>
      <c r="AH339" s="16">
        <v>0</v>
      </c>
      <c r="AI339" s="16">
        <v>0</v>
      </c>
      <c r="AJ339" s="16">
        <v>0</v>
      </c>
      <c r="AK339" s="16">
        <v>0</v>
      </c>
      <c r="AL339" s="16">
        <v>0</v>
      </c>
      <c r="AM339" s="16">
        <v>0</v>
      </c>
      <c r="AN339" s="16">
        <v>0</v>
      </c>
      <c r="AO339" s="16">
        <v>0</v>
      </c>
      <c r="AP339" s="16">
        <v>0</v>
      </c>
      <c r="AQ339" s="16">
        <v>0</v>
      </c>
      <c r="AR339" s="16">
        <v>0</v>
      </c>
      <c r="AS339" s="16">
        <v>0</v>
      </c>
      <c r="AT339" s="16">
        <v>0</v>
      </c>
      <c r="AU339" s="16">
        <v>0</v>
      </c>
      <c r="AV339" s="16">
        <v>0</v>
      </c>
      <c r="AW339" s="16">
        <v>0</v>
      </c>
      <c r="AX339" s="16">
        <v>0</v>
      </c>
      <c r="AY339" s="16">
        <v>0</v>
      </c>
      <c r="AZ339" s="16">
        <v>0</v>
      </c>
      <c r="BA339" s="16">
        <v>0</v>
      </c>
      <c r="BB339" s="16">
        <v>0</v>
      </c>
      <c r="BC339" s="16">
        <v>0</v>
      </c>
      <c r="BD339" s="16">
        <v>0</v>
      </c>
      <c r="BE339" s="16">
        <v>0</v>
      </c>
      <c r="BF339" s="16">
        <v>0</v>
      </c>
      <c r="BG339" s="16">
        <v>0</v>
      </c>
      <c r="BH339" s="16">
        <v>0</v>
      </c>
      <c r="BI339" s="16">
        <v>0</v>
      </c>
      <c r="BJ339" s="16">
        <v>0</v>
      </c>
      <c r="BK339" s="16">
        <v>0</v>
      </c>
      <c r="BL339" s="16">
        <v>0</v>
      </c>
      <c r="BM339" s="16">
        <v>0</v>
      </c>
      <c r="BN339" s="16">
        <v>0</v>
      </c>
      <c r="BO339" s="16">
        <v>0</v>
      </c>
      <c r="BP339" s="16">
        <v>0</v>
      </c>
      <c r="BQ339" s="16">
        <v>0</v>
      </c>
      <c r="BR339" s="16">
        <v>0</v>
      </c>
      <c r="BS339" s="16">
        <v>0</v>
      </c>
      <c r="BT339" s="16">
        <v>0</v>
      </c>
      <c r="BU339" s="16">
        <v>0</v>
      </c>
      <c r="BV339" s="16">
        <v>0</v>
      </c>
      <c r="BW339" s="16">
        <v>0</v>
      </c>
      <c r="BX339" s="16">
        <v>0</v>
      </c>
      <c r="BY339" s="16">
        <v>0</v>
      </c>
      <c r="BZ339" s="16">
        <v>0</v>
      </c>
      <c r="CA339" s="16">
        <v>0</v>
      </c>
      <c r="CB339" s="16">
        <v>0</v>
      </c>
      <c r="CC339" s="16">
        <v>0</v>
      </c>
      <c r="CD339" s="16">
        <v>0</v>
      </c>
      <c r="CE339" s="16">
        <v>0</v>
      </c>
      <c r="CF339" s="16">
        <v>0</v>
      </c>
      <c r="CG339" s="16">
        <v>0</v>
      </c>
      <c r="CH339" s="16">
        <v>0</v>
      </c>
      <c r="CI339" s="16">
        <v>0</v>
      </c>
      <c r="CJ339" s="16">
        <v>0</v>
      </c>
      <c r="CK339" s="16">
        <v>0</v>
      </c>
      <c r="CL339" s="16">
        <v>0</v>
      </c>
      <c r="CM339" s="16">
        <v>0</v>
      </c>
      <c r="CN339" s="16">
        <v>0</v>
      </c>
      <c r="CO339" s="16">
        <v>0</v>
      </c>
      <c r="CP339" s="16">
        <v>0</v>
      </c>
      <c r="CQ339" s="16">
        <v>0</v>
      </c>
      <c r="CR339" s="16">
        <v>0</v>
      </c>
      <c r="CS339" s="16">
        <v>0</v>
      </c>
      <c r="CT339" s="16">
        <v>0</v>
      </c>
      <c r="CU339" s="16">
        <v>0</v>
      </c>
      <c r="CV339" s="16">
        <v>0</v>
      </c>
      <c r="CW339" s="16">
        <v>0</v>
      </c>
      <c r="CX339" s="16">
        <v>0</v>
      </c>
      <c r="CY339" s="16">
        <v>0</v>
      </c>
      <c r="CZ339" s="16">
        <v>0</v>
      </c>
      <c r="DA339" s="16">
        <v>0</v>
      </c>
      <c r="DB339" s="16">
        <v>0</v>
      </c>
      <c r="DC339" s="16">
        <v>0</v>
      </c>
      <c r="DD339" s="16">
        <v>0</v>
      </c>
      <c r="DE339" s="16">
        <v>0</v>
      </c>
      <c r="DF339" s="16">
        <v>0</v>
      </c>
      <c r="DG339" s="16">
        <v>0</v>
      </c>
      <c r="DH339" s="16">
        <v>0</v>
      </c>
      <c r="DI339" s="16">
        <v>0</v>
      </c>
      <c r="DJ339" s="16">
        <v>0</v>
      </c>
      <c r="DK339" s="16">
        <v>0</v>
      </c>
      <c r="DL339" s="16">
        <v>0</v>
      </c>
      <c r="DM339" s="16">
        <v>0</v>
      </c>
      <c r="DN339" s="16">
        <v>0</v>
      </c>
      <c r="DO339" s="16">
        <v>0</v>
      </c>
      <c r="DP339" s="16">
        <v>0</v>
      </c>
      <c r="DQ339" s="16">
        <v>0</v>
      </c>
      <c r="DR339" s="16">
        <v>0</v>
      </c>
      <c r="DS339" s="16">
        <v>0</v>
      </c>
      <c r="DT339" s="16">
        <v>0</v>
      </c>
      <c r="DU339" s="16">
        <v>0</v>
      </c>
      <c r="DV339" s="16">
        <v>0</v>
      </c>
      <c r="DW339" s="16">
        <v>0</v>
      </c>
      <c r="DX339" s="16">
        <v>0</v>
      </c>
      <c r="DY339" s="16">
        <v>0</v>
      </c>
      <c r="DZ339" s="16">
        <v>0</v>
      </c>
      <c r="EA339" s="16">
        <v>0</v>
      </c>
      <c r="EB339" s="16">
        <v>0</v>
      </c>
      <c r="EC339" s="16">
        <v>0</v>
      </c>
      <c r="ED339" s="16">
        <v>0</v>
      </c>
      <c r="EE339" s="16">
        <v>0</v>
      </c>
      <c r="EF339" s="16">
        <v>0</v>
      </c>
      <c r="EG339" s="16">
        <v>0</v>
      </c>
      <c r="EH339" s="16">
        <v>0</v>
      </c>
      <c r="EI339" s="16">
        <v>0</v>
      </c>
      <c r="EJ339" s="16">
        <v>0</v>
      </c>
      <c r="EK339" s="16">
        <v>0</v>
      </c>
      <c r="EL339" s="16">
        <v>0</v>
      </c>
      <c r="EM339" s="16">
        <v>0</v>
      </c>
      <c r="EN339" s="16">
        <v>0</v>
      </c>
      <c r="EO339" s="16">
        <v>0</v>
      </c>
      <c r="EP339" s="16">
        <v>0</v>
      </c>
      <c r="EQ339" s="16">
        <v>0</v>
      </c>
      <c r="ER339" s="16">
        <v>0</v>
      </c>
      <c r="ES339" s="16">
        <v>0</v>
      </c>
      <c r="ET339" s="16">
        <v>0</v>
      </c>
      <c r="EU339" s="16">
        <v>0</v>
      </c>
      <c r="EV339" s="16">
        <v>0</v>
      </c>
      <c r="EW339" s="16">
        <v>0</v>
      </c>
      <c r="EX339" s="16">
        <v>0</v>
      </c>
      <c r="EY339" s="16">
        <v>0</v>
      </c>
      <c r="EZ339" s="16">
        <v>0</v>
      </c>
      <c r="FA339" s="16">
        <v>0</v>
      </c>
      <c r="FB339" s="16">
        <v>0</v>
      </c>
      <c r="FC339" s="16">
        <v>0</v>
      </c>
      <c r="FD339" s="16">
        <v>0</v>
      </c>
      <c r="FE339" s="16">
        <v>0</v>
      </c>
      <c r="FF339" s="16">
        <v>0</v>
      </c>
      <c r="FG339" s="16">
        <v>0</v>
      </c>
      <c r="FH339" s="16">
        <v>0</v>
      </c>
      <c r="FI339" s="16">
        <v>0</v>
      </c>
      <c r="FJ339" s="16">
        <v>0</v>
      </c>
      <c r="FK339" s="16">
        <v>0</v>
      </c>
      <c r="FL339" s="16">
        <v>0</v>
      </c>
      <c r="FM339" s="16">
        <v>0</v>
      </c>
      <c r="FN339" s="16">
        <v>0</v>
      </c>
      <c r="FO339" s="16">
        <v>0</v>
      </c>
      <c r="FP339" s="16">
        <v>0</v>
      </c>
      <c r="FQ339" s="16">
        <v>0</v>
      </c>
      <c r="FR339" s="16">
        <v>0</v>
      </c>
      <c r="FS339" s="16">
        <v>0</v>
      </c>
      <c r="FT339" s="16">
        <v>0</v>
      </c>
      <c r="FU339" s="16">
        <v>0</v>
      </c>
      <c r="FV339" s="16">
        <v>0</v>
      </c>
      <c r="FW339" s="16">
        <v>0</v>
      </c>
      <c r="FX339" s="16">
        <v>0</v>
      </c>
      <c r="FY339" s="16">
        <v>0</v>
      </c>
      <c r="FZ339" s="16">
        <v>0</v>
      </c>
      <c r="GA339" s="16">
        <v>0</v>
      </c>
      <c r="GB339" s="16">
        <v>0</v>
      </c>
      <c r="GC339" s="16">
        <v>0</v>
      </c>
      <c r="GD339" s="16">
        <v>0</v>
      </c>
      <c r="GE339" s="16">
        <v>0</v>
      </c>
      <c r="GF339" s="16">
        <v>0</v>
      </c>
      <c r="GG339" s="16">
        <v>0</v>
      </c>
      <c r="GH339" s="16">
        <v>0</v>
      </c>
      <c r="GI339" s="16">
        <v>0</v>
      </c>
      <c r="GJ339" s="16">
        <v>0</v>
      </c>
      <c r="GK339" s="16">
        <v>0</v>
      </c>
      <c r="GL339" s="16">
        <v>0</v>
      </c>
      <c r="GM339" s="16">
        <v>0</v>
      </c>
      <c r="GN339" s="16">
        <v>0</v>
      </c>
      <c r="GO339" s="16">
        <v>0</v>
      </c>
      <c r="GP339" s="16">
        <v>0</v>
      </c>
      <c r="GQ339" s="16">
        <v>0</v>
      </c>
      <c r="GR339" s="16">
        <v>0</v>
      </c>
      <c r="GS339" s="16">
        <v>0</v>
      </c>
      <c r="GT339" s="16">
        <v>0</v>
      </c>
      <c r="GU339" s="16">
        <v>0</v>
      </c>
      <c r="GV339" s="16">
        <v>0</v>
      </c>
      <c r="GW339" s="16">
        <v>0</v>
      </c>
      <c r="GX339" s="16">
        <v>0</v>
      </c>
      <c r="GY339" s="16">
        <v>0</v>
      </c>
      <c r="GZ339" s="16">
        <v>0</v>
      </c>
      <c r="HA339" s="16">
        <v>0</v>
      </c>
      <c r="HB339" s="16">
        <v>0</v>
      </c>
      <c r="HC339" s="16">
        <v>0</v>
      </c>
      <c r="HD339" s="16">
        <v>0</v>
      </c>
      <c r="HE339" s="16">
        <v>0</v>
      </c>
      <c r="HF339" s="16">
        <v>0</v>
      </c>
      <c r="HG339" s="16">
        <v>0</v>
      </c>
      <c r="HH339" s="16">
        <v>0</v>
      </c>
      <c r="HI339" s="16">
        <v>0</v>
      </c>
      <c r="HJ339" s="16">
        <v>0</v>
      </c>
      <c r="HK339" s="16">
        <v>0</v>
      </c>
      <c r="HL339" s="16">
        <v>0</v>
      </c>
      <c r="HM339" s="16">
        <v>0</v>
      </c>
      <c r="HN339" s="16">
        <v>0</v>
      </c>
      <c r="HO339" s="16">
        <v>0</v>
      </c>
      <c r="HP339" s="16">
        <v>0</v>
      </c>
      <c r="HQ339" s="16">
        <v>0</v>
      </c>
      <c r="HR339" s="16">
        <v>0</v>
      </c>
      <c r="HS339" s="16">
        <v>0</v>
      </c>
      <c r="HT339" s="16">
        <v>0</v>
      </c>
      <c r="HU339" s="16">
        <v>0</v>
      </c>
      <c r="HV339" s="16">
        <v>0</v>
      </c>
      <c r="HW339" s="16">
        <v>0</v>
      </c>
      <c r="HX339" s="16">
        <v>0</v>
      </c>
      <c r="HY339" s="16">
        <v>0</v>
      </c>
      <c r="HZ339" s="16">
        <v>0</v>
      </c>
      <c r="IA339" s="16">
        <v>0</v>
      </c>
      <c r="IB339" s="16">
        <v>0</v>
      </c>
      <c r="IC339" s="16">
        <v>0</v>
      </c>
      <c r="ID339" s="16">
        <v>0</v>
      </c>
      <c r="IE339" s="16">
        <v>0</v>
      </c>
      <c r="IF339" s="16">
        <v>0</v>
      </c>
      <c r="IG339" s="16">
        <v>0</v>
      </c>
      <c r="IH339" s="16">
        <v>0</v>
      </c>
      <c r="II339" s="16">
        <v>0</v>
      </c>
      <c r="IJ339" s="16">
        <v>0</v>
      </c>
      <c r="IK339" s="16">
        <v>0</v>
      </c>
      <c r="IL339" s="16">
        <v>0</v>
      </c>
      <c r="IM339" s="16">
        <v>0</v>
      </c>
      <c r="IN339" s="16">
        <v>0</v>
      </c>
      <c r="IO339" s="16">
        <v>0</v>
      </c>
      <c r="IP339" s="16">
        <v>0</v>
      </c>
      <c r="IQ339" s="16">
        <v>0</v>
      </c>
      <c r="IR339" s="16">
        <v>0</v>
      </c>
      <c r="IS339" s="16">
        <v>0</v>
      </c>
      <c r="IT339" s="16">
        <v>0</v>
      </c>
      <c r="IU339" s="16">
        <v>0</v>
      </c>
      <c r="IV339" s="16">
        <v>0</v>
      </c>
      <c r="IW339" s="16">
        <v>0</v>
      </c>
      <c r="IX339" s="16">
        <v>0</v>
      </c>
      <c r="IY339" s="16">
        <v>0</v>
      </c>
      <c r="IZ339" s="16">
        <v>0</v>
      </c>
      <c r="JA339" s="16">
        <v>0</v>
      </c>
      <c r="JB339" s="16">
        <v>0</v>
      </c>
      <c r="JC339" s="16">
        <v>0</v>
      </c>
      <c r="JD339" s="16">
        <v>0</v>
      </c>
      <c r="JE339" s="16">
        <v>0</v>
      </c>
      <c r="JF339" s="16">
        <v>0</v>
      </c>
      <c r="JG339" s="16">
        <v>0</v>
      </c>
      <c r="JH339" s="16">
        <v>0</v>
      </c>
      <c r="JI339" s="16">
        <v>0</v>
      </c>
      <c r="JJ339" s="16">
        <v>0</v>
      </c>
      <c r="JK339" s="16">
        <v>0</v>
      </c>
      <c r="JL339" s="16">
        <v>0</v>
      </c>
      <c r="JM339" s="16">
        <v>0</v>
      </c>
      <c r="JN339" s="16">
        <v>0</v>
      </c>
      <c r="JO339" s="16">
        <v>0</v>
      </c>
      <c r="JP339" s="16">
        <v>0</v>
      </c>
      <c r="JQ339" s="16">
        <v>0</v>
      </c>
      <c r="JR339" s="16">
        <v>0</v>
      </c>
      <c r="JS339" s="16">
        <v>0</v>
      </c>
      <c r="JT339" s="16">
        <v>0</v>
      </c>
      <c r="JU339" s="16">
        <v>0</v>
      </c>
      <c r="JV339" s="16">
        <v>0</v>
      </c>
      <c r="JW339" s="16">
        <v>0</v>
      </c>
      <c r="JX339" s="16">
        <v>0</v>
      </c>
      <c r="JY339" s="16">
        <v>0</v>
      </c>
      <c r="JZ339" s="16">
        <v>0</v>
      </c>
      <c r="KA339" s="16">
        <v>0</v>
      </c>
      <c r="KB339" s="16">
        <v>0</v>
      </c>
      <c r="KC339" s="16">
        <v>0</v>
      </c>
      <c r="KD339" s="16">
        <v>0</v>
      </c>
      <c r="KE339" s="16">
        <v>0</v>
      </c>
      <c r="KF339" s="16">
        <v>0</v>
      </c>
      <c r="KG339" s="16">
        <v>0</v>
      </c>
      <c r="KH339" s="16">
        <v>0</v>
      </c>
      <c r="KI339" s="16">
        <v>0</v>
      </c>
      <c r="KJ339" s="16">
        <v>0</v>
      </c>
      <c r="KK339" s="16">
        <v>0</v>
      </c>
      <c r="KL339" s="16">
        <v>0</v>
      </c>
      <c r="KM339" s="16">
        <v>0</v>
      </c>
      <c r="KN339" s="16">
        <v>0</v>
      </c>
      <c r="KO339" s="16">
        <v>0</v>
      </c>
      <c r="KP339" s="16">
        <v>0</v>
      </c>
      <c r="KQ339" s="16">
        <v>0</v>
      </c>
      <c r="KR339" s="16">
        <v>0</v>
      </c>
      <c r="KS339" s="16">
        <v>0</v>
      </c>
      <c r="KT339" s="16">
        <v>0</v>
      </c>
      <c r="KU339" s="16">
        <v>0</v>
      </c>
      <c r="KV339" s="16">
        <v>0</v>
      </c>
      <c r="KW339" s="16">
        <v>0</v>
      </c>
      <c r="KX339" s="16">
        <v>0</v>
      </c>
      <c r="KY339" s="16">
        <v>0</v>
      </c>
      <c r="KZ339" s="16">
        <v>0</v>
      </c>
      <c r="LA339" s="16">
        <v>0</v>
      </c>
      <c r="LB339" s="16">
        <v>0</v>
      </c>
      <c r="LC339" s="16">
        <v>0</v>
      </c>
      <c r="LD339" s="16">
        <v>0</v>
      </c>
      <c r="LE339" s="16">
        <v>0</v>
      </c>
      <c r="LF339" s="16">
        <v>0</v>
      </c>
      <c r="LG339" s="16">
        <v>0</v>
      </c>
      <c r="LH339" s="16">
        <v>0</v>
      </c>
      <c r="LI339" s="16">
        <v>0</v>
      </c>
      <c r="LJ339" s="16">
        <v>0</v>
      </c>
      <c r="LK339" s="16">
        <v>0</v>
      </c>
      <c r="LL339" s="16">
        <v>0</v>
      </c>
      <c r="LM339" s="16">
        <v>0</v>
      </c>
      <c r="LN339" s="16">
        <v>0</v>
      </c>
      <c r="LO339" s="16">
        <v>0</v>
      </c>
      <c r="LP339" s="16">
        <v>0</v>
      </c>
      <c r="LQ339" s="16">
        <v>0</v>
      </c>
      <c r="LR339" s="16">
        <v>0</v>
      </c>
      <c r="LS339" s="16">
        <v>0</v>
      </c>
      <c r="LT339" s="16">
        <v>0</v>
      </c>
      <c r="LU339" s="16">
        <v>0</v>
      </c>
      <c r="LV339" s="16">
        <v>0</v>
      </c>
      <c r="LW339" s="16">
        <v>0</v>
      </c>
      <c r="LX339" s="16">
        <v>0</v>
      </c>
      <c r="LY339" s="16">
        <v>0</v>
      </c>
      <c r="LZ339" s="16">
        <v>0</v>
      </c>
      <c r="MA339" s="16">
        <v>0</v>
      </c>
      <c r="MB339" s="16">
        <v>0</v>
      </c>
      <c r="MC339" s="16">
        <v>0</v>
      </c>
      <c r="MD339" s="16">
        <v>0</v>
      </c>
      <c r="ME339" s="16">
        <v>0</v>
      </c>
      <c r="MF339" s="16">
        <v>0</v>
      </c>
      <c r="MG339" s="16">
        <v>0</v>
      </c>
      <c r="MH339" s="16">
        <v>0</v>
      </c>
      <c r="MI339" s="16">
        <v>0</v>
      </c>
      <c r="MJ339" s="16">
        <v>0</v>
      </c>
      <c r="MK339" s="16">
        <v>0</v>
      </c>
      <c r="ML339" s="16">
        <v>0</v>
      </c>
      <c r="MM339" s="16">
        <v>0</v>
      </c>
      <c r="MN339" s="16">
        <v>0</v>
      </c>
      <c r="MO339" s="16">
        <v>0</v>
      </c>
      <c r="MP339" s="16">
        <v>0</v>
      </c>
      <c r="MQ339" s="16">
        <v>0</v>
      </c>
      <c r="MR339" s="16">
        <v>0</v>
      </c>
      <c r="MS339" s="16">
        <v>0</v>
      </c>
      <c r="MT339" s="16">
        <v>0</v>
      </c>
      <c r="MU339" s="16">
        <v>0</v>
      </c>
      <c r="MV339" s="16">
        <v>0</v>
      </c>
      <c r="MW339" s="16">
        <v>0</v>
      </c>
      <c r="MX339" s="16">
        <v>0</v>
      </c>
      <c r="MY339" s="16">
        <v>0</v>
      </c>
      <c r="MZ339" s="16">
        <v>0</v>
      </c>
      <c r="NA339" s="16">
        <v>0</v>
      </c>
      <c r="NB339" s="16">
        <v>0</v>
      </c>
      <c r="NC339" s="16">
        <v>0</v>
      </c>
      <c r="ND339" s="16">
        <v>0</v>
      </c>
      <c r="NE339" s="16">
        <v>0</v>
      </c>
      <c r="NF339" s="16">
        <v>0</v>
      </c>
      <c r="NG339" s="16">
        <v>0</v>
      </c>
      <c r="NH339" s="16">
        <v>0</v>
      </c>
      <c r="NI339" s="16">
        <v>0</v>
      </c>
      <c r="NJ339" s="16">
        <v>0</v>
      </c>
      <c r="NK339" s="16">
        <v>0</v>
      </c>
      <c r="NL339" s="16">
        <v>0</v>
      </c>
      <c r="NM339" s="16">
        <v>0</v>
      </c>
      <c r="NN339" s="16">
        <v>0</v>
      </c>
      <c r="NO339" s="16">
        <v>0</v>
      </c>
      <c r="NP339" s="16">
        <v>0</v>
      </c>
      <c r="NQ339" s="16">
        <v>0</v>
      </c>
      <c r="NR339" s="17">
        <v>0</v>
      </c>
    </row>
    <row r="340" spans="1:382" ht="13.5" customHeight="1" x14ac:dyDescent="0.2">
      <c r="A340" s="2" t="s">
        <v>687</v>
      </c>
      <c r="B340" s="16">
        <v>57</v>
      </c>
      <c r="C340" s="16">
        <v>0</v>
      </c>
      <c r="D340" s="16">
        <v>0</v>
      </c>
      <c r="E340" s="16">
        <v>0</v>
      </c>
      <c r="F340" s="16">
        <v>62</v>
      </c>
      <c r="G340" s="16">
        <v>99</v>
      </c>
      <c r="H340" s="16">
        <v>4</v>
      </c>
      <c r="I340" s="16">
        <v>0</v>
      </c>
      <c r="J340" s="16">
        <v>0</v>
      </c>
      <c r="K340" s="16">
        <v>0</v>
      </c>
      <c r="L340" s="16">
        <v>404</v>
      </c>
      <c r="M340" s="16">
        <v>0</v>
      </c>
      <c r="N340" s="16">
        <v>0</v>
      </c>
      <c r="O340" s="16">
        <v>3</v>
      </c>
      <c r="P340" s="16">
        <v>395</v>
      </c>
      <c r="Q340" s="16">
        <v>1275</v>
      </c>
      <c r="R340" s="16">
        <v>1398</v>
      </c>
      <c r="S340" s="16">
        <v>0</v>
      </c>
      <c r="T340" s="16">
        <v>160</v>
      </c>
      <c r="U340" s="16">
        <v>0</v>
      </c>
      <c r="V340" s="16">
        <v>160</v>
      </c>
      <c r="W340" s="16">
        <v>0</v>
      </c>
      <c r="X340" s="16">
        <v>547</v>
      </c>
      <c r="Y340" s="16">
        <v>221</v>
      </c>
      <c r="Z340" s="16">
        <v>342</v>
      </c>
      <c r="AA340" s="16">
        <v>3</v>
      </c>
      <c r="AB340" s="16">
        <v>0</v>
      </c>
      <c r="AC340" s="16">
        <v>0</v>
      </c>
      <c r="AD340" s="16">
        <v>0</v>
      </c>
      <c r="AE340" s="16">
        <v>0</v>
      </c>
      <c r="AF340" s="16">
        <v>0</v>
      </c>
      <c r="AG340" s="16">
        <v>440</v>
      </c>
      <c r="AH340" s="16">
        <v>333</v>
      </c>
      <c r="AI340" s="16">
        <v>33</v>
      </c>
      <c r="AJ340" s="16">
        <v>31</v>
      </c>
      <c r="AK340" s="16">
        <v>23</v>
      </c>
      <c r="AL340" s="16">
        <v>29</v>
      </c>
      <c r="AM340" s="16">
        <v>42</v>
      </c>
      <c r="AN340" s="16">
        <v>166</v>
      </c>
      <c r="AO340" s="16">
        <v>0</v>
      </c>
      <c r="AP340" s="16">
        <v>2</v>
      </c>
      <c r="AQ340" s="16">
        <v>0</v>
      </c>
      <c r="AR340" s="16">
        <v>0</v>
      </c>
      <c r="AS340" s="16">
        <v>0</v>
      </c>
      <c r="AT340" s="16">
        <v>10</v>
      </c>
      <c r="AU340" s="16">
        <v>143</v>
      </c>
      <c r="AV340" s="16">
        <v>18</v>
      </c>
      <c r="AW340" s="16">
        <v>459</v>
      </c>
      <c r="AX340" s="16">
        <v>152</v>
      </c>
      <c r="AY340" s="16">
        <v>61</v>
      </c>
      <c r="AZ340" s="16">
        <v>3215</v>
      </c>
      <c r="BA340" s="16">
        <v>1039</v>
      </c>
      <c r="BB340" s="16">
        <v>1759</v>
      </c>
      <c r="BC340" s="16">
        <v>6270</v>
      </c>
      <c r="BD340" s="16">
        <v>145</v>
      </c>
      <c r="BE340" s="16">
        <v>55</v>
      </c>
      <c r="BF340" s="16">
        <v>4</v>
      </c>
      <c r="BG340" s="16">
        <v>11</v>
      </c>
      <c r="BH340" s="16">
        <v>2377</v>
      </c>
      <c r="BI340" s="16">
        <v>67</v>
      </c>
      <c r="BJ340" s="16">
        <v>120</v>
      </c>
      <c r="BK340" s="16">
        <v>68</v>
      </c>
      <c r="BL340" s="16">
        <v>1588</v>
      </c>
      <c r="BM340" s="16">
        <v>483</v>
      </c>
      <c r="BN340" s="16">
        <v>48</v>
      </c>
      <c r="BO340" s="16">
        <v>3137</v>
      </c>
      <c r="BP340" s="16">
        <v>2623</v>
      </c>
      <c r="BQ340" s="16">
        <v>240</v>
      </c>
      <c r="BR340" s="16">
        <v>131</v>
      </c>
      <c r="BS340" s="16">
        <v>625</v>
      </c>
      <c r="BT340" s="16">
        <v>9</v>
      </c>
      <c r="BU340" s="16">
        <v>0</v>
      </c>
      <c r="BV340" s="16">
        <v>0</v>
      </c>
      <c r="BW340" s="16">
        <v>225</v>
      </c>
      <c r="BX340" s="16">
        <v>74</v>
      </c>
      <c r="BY340" s="16">
        <v>0</v>
      </c>
      <c r="BZ340" s="16">
        <v>218</v>
      </c>
      <c r="CA340" s="16">
        <v>16</v>
      </c>
      <c r="CB340" s="16">
        <v>151</v>
      </c>
      <c r="CC340" s="16">
        <v>650</v>
      </c>
      <c r="CD340" s="16">
        <v>17</v>
      </c>
      <c r="CE340" s="16">
        <v>498</v>
      </c>
      <c r="CF340" s="16">
        <v>52</v>
      </c>
      <c r="CG340" s="16">
        <v>322</v>
      </c>
      <c r="CH340" s="16">
        <v>2385</v>
      </c>
      <c r="CI340" s="16">
        <v>7</v>
      </c>
      <c r="CJ340" s="16">
        <v>269</v>
      </c>
      <c r="CK340" s="16">
        <v>198</v>
      </c>
      <c r="CL340" s="16">
        <v>3148</v>
      </c>
      <c r="CM340" s="16">
        <v>6</v>
      </c>
      <c r="CN340" s="16">
        <v>62</v>
      </c>
      <c r="CO340" s="16">
        <v>189</v>
      </c>
      <c r="CP340" s="16">
        <v>67</v>
      </c>
      <c r="CQ340" s="16">
        <v>460</v>
      </c>
      <c r="CR340" s="16">
        <v>2</v>
      </c>
      <c r="CS340" s="16">
        <v>12</v>
      </c>
      <c r="CT340" s="16">
        <v>6</v>
      </c>
      <c r="CU340" s="16">
        <v>42</v>
      </c>
      <c r="CV340" s="16">
        <v>29</v>
      </c>
      <c r="CW340" s="16">
        <v>51</v>
      </c>
      <c r="CX340" s="16">
        <v>48</v>
      </c>
      <c r="CY340" s="16">
        <v>61</v>
      </c>
      <c r="CZ340" s="16">
        <v>28</v>
      </c>
      <c r="DA340" s="16">
        <v>3</v>
      </c>
      <c r="DB340" s="16">
        <v>66</v>
      </c>
      <c r="DC340" s="16">
        <v>0</v>
      </c>
      <c r="DD340" s="16">
        <v>1</v>
      </c>
      <c r="DE340" s="16">
        <v>368</v>
      </c>
      <c r="DF340" s="16">
        <v>1805</v>
      </c>
      <c r="DG340" s="16">
        <v>1253</v>
      </c>
      <c r="DH340" s="16">
        <v>215</v>
      </c>
      <c r="DI340" s="16">
        <v>600</v>
      </c>
      <c r="DJ340" s="16">
        <v>2029</v>
      </c>
      <c r="DK340" s="16">
        <v>31</v>
      </c>
      <c r="DL340" s="16">
        <v>331</v>
      </c>
      <c r="DM340" s="16">
        <v>2206</v>
      </c>
      <c r="DN340" s="16">
        <v>149</v>
      </c>
      <c r="DO340" s="16">
        <v>1222</v>
      </c>
      <c r="DP340" s="16">
        <v>476</v>
      </c>
      <c r="DQ340" s="16">
        <v>51</v>
      </c>
      <c r="DR340" s="16">
        <v>772</v>
      </c>
      <c r="DS340" s="16">
        <v>1714</v>
      </c>
      <c r="DT340" s="16">
        <v>86</v>
      </c>
      <c r="DU340" s="16">
        <v>144</v>
      </c>
      <c r="DV340" s="16">
        <v>1728</v>
      </c>
      <c r="DW340" s="16">
        <v>868</v>
      </c>
      <c r="DX340" s="16">
        <v>1187</v>
      </c>
      <c r="DY340" s="16">
        <v>848</v>
      </c>
      <c r="DZ340" s="16">
        <v>5333</v>
      </c>
      <c r="EA340" s="16">
        <v>1660</v>
      </c>
      <c r="EB340" s="16">
        <v>212</v>
      </c>
      <c r="EC340" s="16">
        <v>87</v>
      </c>
      <c r="ED340" s="16">
        <v>313</v>
      </c>
      <c r="EE340" s="16">
        <v>15</v>
      </c>
      <c r="EF340" s="16">
        <v>37</v>
      </c>
      <c r="EG340" s="16">
        <v>601</v>
      </c>
      <c r="EH340" s="16">
        <v>45</v>
      </c>
      <c r="EI340" s="16">
        <v>830</v>
      </c>
      <c r="EJ340" s="16">
        <v>98</v>
      </c>
      <c r="EK340" s="16">
        <v>49</v>
      </c>
      <c r="EL340" s="16">
        <v>113</v>
      </c>
      <c r="EM340" s="16">
        <v>149</v>
      </c>
      <c r="EN340" s="16">
        <v>1850</v>
      </c>
      <c r="EO340" s="16">
        <v>210</v>
      </c>
      <c r="EP340" s="16">
        <v>606</v>
      </c>
      <c r="EQ340" s="16">
        <v>309</v>
      </c>
      <c r="ER340" s="16">
        <v>360</v>
      </c>
      <c r="ES340" s="16">
        <v>262</v>
      </c>
      <c r="ET340" s="16">
        <v>629</v>
      </c>
      <c r="EU340" s="16">
        <v>5</v>
      </c>
      <c r="EV340" s="16">
        <v>0</v>
      </c>
      <c r="EW340" s="16">
        <v>198</v>
      </c>
      <c r="EX340" s="16">
        <v>1437</v>
      </c>
      <c r="EY340" s="16">
        <v>541</v>
      </c>
      <c r="EZ340" s="16">
        <v>3437</v>
      </c>
      <c r="FA340" s="16">
        <v>8192</v>
      </c>
      <c r="FB340" s="16">
        <v>31011</v>
      </c>
      <c r="FC340" s="16">
        <v>388</v>
      </c>
      <c r="FD340" s="16">
        <v>8186</v>
      </c>
      <c r="FE340" s="16">
        <v>6568</v>
      </c>
      <c r="FF340" s="16">
        <v>3432</v>
      </c>
      <c r="FG340" s="16">
        <v>12561</v>
      </c>
      <c r="FH340" s="16">
        <v>1</v>
      </c>
      <c r="FI340" s="16">
        <v>793</v>
      </c>
      <c r="FJ340" s="16">
        <v>87</v>
      </c>
      <c r="FK340" s="16">
        <v>5819</v>
      </c>
      <c r="FL340" s="16">
        <v>18</v>
      </c>
      <c r="FM340" s="16">
        <v>211</v>
      </c>
      <c r="FN340" s="16">
        <v>834</v>
      </c>
      <c r="FO340" s="16">
        <v>412</v>
      </c>
      <c r="FP340" s="16">
        <v>960</v>
      </c>
      <c r="FQ340" s="16">
        <v>7150</v>
      </c>
      <c r="FR340" s="16">
        <v>5526</v>
      </c>
      <c r="FS340" s="16">
        <v>2773</v>
      </c>
      <c r="FT340" s="16">
        <v>1133</v>
      </c>
      <c r="FU340" s="16">
        <v>3173</v>
      </c>
      <c r="FV340" s="16">
        <v>3611</v>
      </c>
      <c r="FW340" s="16">
        <v>8524</v>
      </c>
      <c r="FX340" s="16">
        <v>5689</v>
      </c>
      <c r="FY340" s="16">
        <v>335</v>
      </c>
      <c r="FZ340" s="16">
        <v>464</v>
      </c>
      <c r="GA340" s="16">
        <v>410</v>
      </c>
      <c r="GB340" s="16">
        <v>6333</v>
      </c>
      <c r="GC340" s="16">
        <v>212</v>
      </c>
      <c r="GD340" s="16">
        <v>1129</v>
      </c>
      <c r="GE340" s="16">
        <v>33</v>
      </c>
      <c r="GF340" s="16">
        <v>22587</v>
      </c>
      <c r="GG340" s="16">
        <v>357</v>
      </c>
      <c r="GH340" s="16">
        <v>22289</v>
      </c>
      <c r="GI340" s="16">
        <v>1409</v>
      </c>
      <c r="GJ340" s="16">
        <v>1574</v>
      </c>
      <c r="GK340" s="16">
        <v>342</v>
      </c>
      <c r="GL340" s="16">
        <v>10</v>
      </c>
      <c r="GM340" s="16">
        <v>1443</v>
      </c>
      <c r="GN340" s="16">
        <v>82</v>
      </c>
      <c r="GO340" s="16">
        <v>574</v>
      </c>
      <c r="GP340" s="16">
        <v>358</v>
      </c>
      <c r="GQ340" s="16">
        <v>54</v>
      </c>
      <c r="GR340" s="16">
        <v>277</v>
      </c>
      <c r="GS340" s="16">
        <v>74</v>
      </c>
      <c r="GT340" s="16">
        <v>69</v>
      </c>
      <c r="GU340" s="16">
        <v>248</v>
      </c>
      <c r="GV340" s="16">
        <v>604</v>
      </c>
      <c r="GW340" s="16">
        <v>141</v>
      </c>
      <c r="GX340" s="16">
        <v>103</v>
      </c>
      <c r="GY340" s="16">
        <v>4</v>
      </c>
      <c r="GZ340" s="16">
        <v>444</v>
      </c>
      <c r="HA340" s="16">
        <v>29</v>
      </c>
      <c r="HB340" s="16">
        <v>46</v>
      </c>
      <c r="HC340" s="16">
        <v>208</v>
      </c>
      <c r="HD340" s="16">
        <v>176</v>
      </c>
      <c r="HE340" s="16">
        <v>263</v>
      </c>
      <c r="HF340" s="16">
        <v>2956</v>
      </c>
      <c r="HG340" s="16">
        <v>51</v>
      </c>
      <c r="HH340" s="16">
        <v>156</v>
      </c>
      <c r="HI340" s="16">
        <v>1792</v>
      </c>
      <c r="HJ340" s="16">
        <v>139</v>
      </c>
      <c r="HK340" s="16">
        <v>2550</v>
      </c>
      <c r="HL340" s="16">
        <v>15808</v>
      </c>
      <c r="HM340" s="16">
        <v>127</v>
      </c>
      <c r="HN340" s="16">
        <v>639</v>
      </c>
      <c r="HO340" s="16">
        <v>898</v>
      </c>
      <c r="HP340" s="16">
        <v>893</v>
      </c>
      <c r="HQ340" s="16">
        <v>510</v>
      </c>
      <c r="HR340" s="16">
        <v>855</v>
      </c>
      <c r="HS340" s="16">
        <v>1468</v>
      </c>
      <c r="HT340" s="16">
        <v>47</v>
      </c>
      <c r="HU340" s="16">
        <v>2686</v>
      </c>
      <c r="HV340" s="16">
        <v>406</v>
      </c>
      <c r="HW340" s="16">
        <v>155</v>
      </c>
      <c r="HX340" s="16">
        <v>280</v>
      </c>
      <c r="HY340" s="16">
        <v>592</v>
      </c>
      <c r="HZ340" s="16">
        <v>318</v>
      </c>
      <c r="IA340" s="16">
        <v>182</v>
      </c>
      <c r="IB340" s="16">
        <v>504</v>
      </c>
      <c r="IC340" s="16">
        <v>133</v>
      </c>
      <c r="ID340" s="16">
        <v>178</v>
      </c>
      <c r="IE340" s="16">
        <v>13</v>
      </c>
      <c r="IF340" s="16">
        <v>156</v>
      </c>
      <c r="IG340" s="16">
        <v>300</v>
      </c>
      <c r="IH340" s="16">
        <v>17057</v>
      </c>
      <c r="II340" s="16">
        <v>2742</v>
      </c>
      <c r="IJ340" s="16">
        <v>667</v>
      </c>
      <c r="IK340" s="16">
        <v>403</v>
      </c>
      <c r="IL340" s="16">
        <v>161</v>
      </c>
      <c r="IM340" s="16">
        <v>5</v>
      </c>
      <c r="IN340" s="16">
        <v>7047</v>
      </c>
      <c r="IO340" s="16">
        <v>36234</v>
      </c>
      <c r="IP340" s="16">
        <v>1346</v>
      </c>
      <c r="IQ340" s="16">
        <v>215</v>
      </c>
      <c r="IR340" s="16">
        <v>371</v>
      </c>
      <c r="IS340" s="16">
        <v>62</v>
      </c>
      <c r="IT340" s="16">
        <v>12</v>
      </c>
      <c r="IU340" s="16">
        <v>1</v>
      </c>
      <c r="IV340" s="16">
        <v>612</v>
      </c>
      <c r="IW340" s="16">
        <v>972</v>
      </c>
      <c r="IX340" s="16">
        <v>1962</v>
      </c>
      <c r="IY340" s="16">
        <v>44</v>
      </c>
      <c r="IZ340" s="16">
        <v>11</v>
      </c>
      <c r="JA340" s="16">
        <v>363</v>
      </c>
      <c r="JB340" s="16">
        <v>10</v>
      </c>
      <c r="JC340" s="16">
        <v>31</v>
      </c>
      <c r="JD340" s="16">
        <v>63</v>
      </c>
      <c r="JE340" s="16">
        <v>8019</v>
      </c>
      <c r="JF340" s="16">
        <v>1620</v>
      </c>
      <c r="JG340" s="16">
        <v>156532</v>
      </c>
      <c r="JH340" s="16">
        <v>6445</v>
      </c>
      <c r="JI340" s="16">
        <v>499</v>
      </c>
      <c r="JJ340" s="16">
        <v>5755</v>
      </c>
      <c r="JK340" s="16">
        <v>1002</v>
      </c>
      <c r="JL340" s="16">
        <v>1320</v>
      </c>
      <c r="JM340" s="16">
        <v>886</v>
      </c>
      <c r="JN340" s="16">
        <v>10153</v>
      </c>
      <c r="JO340" s="16">
        <v>4445</v>
      </c>
      <c r="JP340" s="16">
        <v>2736</v>
      </c>
      <c r="JQ340" s="16">
        <v>5</v>
      </c>
      <c r="JR340" s="16">
        <v>6527</v>
      </c>
      <c r="JS340" s="16">
        <v>1452</v>
      </c>
      <c r="JT340" s="16">
        <v>0</v>
      </c>
      <c r="JU340" s="16">
        <v>4952</v>
      </c>
      <c r="JV340" s="16">
        <v>153012</v>
      </c>
      <c r="JW340" s="16">
        <v>54264</v>
      </c>
      <c r="JX340" s="16">
        <v>34678</v>
      </c>
      <c r="JY340" s="16">
        <v>13056</v>
      </c>
      <c r="JZ340" s="16">
        <v>530</v>
      </c>
      <c r="KA340" s="16">
        <v>9046</v>
      </c>
      <c r="KB340" s="16">
        <v>1337</v>
      </c>
      <c r="KC340" s="16">
        <v>3502</v>
      </c>
      <c r="KD340" s="16">
        <v>80</v>
      </c>
      <c r="KE340" s="16">
        <v>93</v>
      </c>
      <c r="KF340" s="16">
        <v>3689</v>
      </c>
      <c r="KG340" s="16">
        <v>2326</v>
      </c>
      <c r="KH340" s="16">
        <v>2626</v>
      </c>
      <c r="KI340" s="16">
        <v>2823</v>
      </c>
      <c r="KJ340" s="16">
        <v>160</v>
      </c>
      <c r="KK340" s="16">
        <v>908791</v>
      </c>
      <c r="KL340" s="16">
        <v>504</v>
      </c>
      <c r="KM340" s="16">
        <v>375</v>
      </c>
      <c r="KN340" s="16">
        <v>25958</v>
      </c>
      <c r="KO340" s="16">
        <v>1431</v>
      </c>
      <c r="KP340" s="16">
        <v>371</v>
      </c>
      <c r="KQ340" s="16">
        <v>1049</v>
      </c>
      <c r="KR340" s="16">
        <v>1429</v>
      </c>
      <c r="KS340" s="16">
        <v>1761</v>
      </c>
      <c r="KT340" s="16">
        <v>440</v>
      </c>
      <c r="KU340" s="16">
        <v>1054</v>
      </c>
      <c r="KV340" s="16">
        <v>14273</v>
      </c>
      <c r="KW340" s="16">
        <v>50042</v>
      </c>
      <c r="KX340" s="16">
        <v>180</v>
      </c>
      <c r="KY340" s="16">
        <v>6652</v>
      </c>
      <c r="KZ340" s="16">
        <v>299580</v>
      </c>
      <c r="LA340" s="16">
        <v>45986</v>
      </c>
      <c r="LB340" s="16">
        <v>10954</v>
      </c>
      <c r="LC340" s="16">
        <v>37527</v>
      </c>
      <c r="LD340" s="16">
        <v>14859</v>
      </c>
      <c r="LE340" s="16">
        <v>6306</v>
      </c>
      <c r="LF340" s="16">
        <v>3608</v>
      </c>
      <c r="LG340" s="16">
        <v>10387</v>
      </c>
      <c r="LH340" s="16">
        <v>19035</v>
      </c>
      <c r="LI340" s="16">
        <v>3106</v>
      </c>
      <c r="LJ340" s="16">
        <v>11237</v>
      </c>
      <c r="LK340" s="16">
        <v>152819</v>
      </c>
      <c r="LL340" s="16">
        <v>5196</v>
      </c>
      <c r="LM340" s="16">
        <v>47821</v>
      </c>
      <c r="LN340" s="16">
        <v>88750</v>
      </c>
      <c r="LO340" s="16">
        <v>888</v>
      </c>
      <c r="LP340" s="16">
        <v>21037</v>
      </c>
      <c r="LQ340" s="16">
        <v>749</v>
      </c>
      <c r="LR340" s="16">
        <v>56544</v>
      </c>
      <c r="LS340" s="16">
        <v>8059</v>
      </c>
      <c r="LT340" s="16">
        <v>179197</v>
      </c>
      <c r="LU340" s="16">
        <v>184342</v>
      </c>
      <c r="LV340" s="16">
        <v>527</v>
      </c>
      <c r="LW340" s="16">
        <v>203645</v>
      </c>
      <c r="LX340" s="16">
        <v>296285</v>
      </c>
      <c r="LY340" s="16">
        <v>2463814</v>
      </c>
      <c r="LZ340" s="16">
        <v>2303542</v>
      </c>
      <c r="MA340" s="16">
        <v>1042218</v>
      </c>
      <c r="MB340" s="16">
        <v>18390</v>
      </c>
      <c r="MC340" s="16">
        <v>6714</v>
      </c>
      <c r="MD340" s="16">
        <v>19974</v>
      </c>
      <c r="ME340" s="16">
        <v>6317</v>
      </c>
      <c r="MF340" s="16">
        <v>311209</v>
      </c>
      <c r="MG340" s="16">
        <v>17740</v>
      </c>
      <c r="MH340" s="16">
        <v>550001</v>
      </c>
      <c r="MI340" s="16">
        <v>583</v>
      </c>
      <c r="MJ340" s="16">
        <v>18076</v>
      </c>
      <c r="MK340" s="16">
        <v>40426</v>
      </c>
      <c r="ML340" s="16">
        <v>43792</v>
      </c>
      <c r="MM340" s="16">
        <v>12930</v>
      </c>
      <c r="MN340" s="16">
        <v>138457</v>
      </c>
      <c r="MO340" s="16">
        <v>7070</v>
      </c>
      <c r="MP340" s="16">
        <v>3535</v>
      </c>
      <c r="MQ340" s="16">
        <v>119142</v>
      </c>
      <c r="MR340" s="16">
        <v>63076</v>
      </c>
      <c r="MS340" s="16">
        <v>1664</v>
      </c>
      <c r="MT340" s="16">
        <v>4202</v>
      </c>
      <c r="MU340" s="16">
        <v>16359</v>
      </c>
      <c r="MV340" s="16">
        <v>1011</v>
      </c>
      <c r="MW340" s="16">
        <v>135964</v>
      </c>
      <c r="MX340" s="16">
        <v>13</v>
      </c>
      <c r="MY340" s="16">
        <v>484</v>
      </c>
      <c r="MZ340" s="16">
        <v>10078</v>
      </c>
      <c r="NA340" s="16">
        <v>4283</v>
      </c>
      <c r="NB340" s="16">
        <v>3711</v>
      </c>
      <c r="NC340" s="16">
        <v>3849</v>
      </c>
      <c r="ND340" s="16">
        <v>17250</v>
      </c>
      <c r="NE340" s="16">
        <v>6304</v>
      </c>
      <c r="NF340" s="16">
        <v>1885</v>
      </c>
      <c r="NG340" s="16">
        <v>54368</v>
      </c>
      <c r="NH340" s="16">
        <v>14875</v>
      </c>
      <c r="NI340" s="16">
        <v>31449</v>
      </c>
      <c r="NJ340" s="16">
        <v>40507</v>
      </c>
      <c r="NK340" s="16">
        <v>10980</v>
      </c>
      <c r="NL340" s="16">
        <v>7002</v>
      </c>
      <c r="NM340" s="16">
        <v>14603</v>
      </c>
      <c r="NN340" s="16">
        <v>8067</v>
      </c>
      <c r="NO340" s="16">
        <v>0</v>
      </c>
      <c r="NP340" s="16">
        <v>7361</v>
      </c>
      <c r="NQ340" s="16">
        <v>4</v>
      </c>
      <c r="NR340" s="17">
        <v>11162437</v>
      </c>
    </row>
    <row r="341" spans="1:382" ht="13.5" customHeight="1" x14ac:dyDescent="0.2">
      <c r="A341" s="2" t="s">
        <v>689</v>
      </c>
      <c r="B341" s="16">
        <v>0</v>
      </c>
      <c r="C341" s="16">
        <v>0</v>
      </c>
      <c r="D341" s="16">
        <v>0</v>
      </c>
      <c r="E341" s="16">
        <v>0</v>
      </c>
      <c r="F341" s="16">
        <v>0</v>
      </c>
      <c r="G341" s="16">
        <v>0</v>
      </c>
      <c r="H341" s="16">
        <v>0</v>
      </c>
      <c r="I341" s="16">
        <v>0</v>
      </c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0</v>
      </c>
      <c r="AG341" s="16">
        <v>0</v>
      </c>
      <c r="AH341" s="16">
        <v>0</v>
      </c>
      <c r="AI341" s="16">
        <v>0</v>
      </c>
      <c r="AJ341" s="16">
        <v>0</v>
      </c>
      <c r="AK341" s="16">
        <v>0</v>
      </c>
      <c r="AL341" s="16">
        <v>0</v>
      </c>
      <c r="AM341" s="16">
        <v>0</v>
      </c>
      <c r="AN341" s="16">
        <v>0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0</v>
      </c>
      <c r="AV341" s="16">
        <v>0</v>
      </c>
      <c r="AW341" s="16">
        <v>0</v>
      </c>
      <c r="AX341" s="16">
        <v>0</v>
      </c>
      <c r="AY341" s="16">
        <v>0</v>
      </c>
      <c r="AZ341" s="16">
        <v>0</v>
      </c>
      <c r="BA341" s="16">
        <v>0</v>
      </c>
      <c r="BB341" s="16">
        <v>0</v>
      </c>
      <c r="BC341" s="16">
        <v>0</v>
      </c>
      <c r="BD341" s="16">
        <v>0</v>
      </c>
      <c r="BE341" s="16">
        <v>0</v>
      </c>
      <c r="BF341" s="16">
        <v>0</v>
      </c>
      <c r="BG341" s="16">
        <v>0</v>
      </c>
      <c r="BH341" s="16">
        <v>0</v>
      </c>
      <c r="BI341" s="16">
        <v>0</v>
      </c>
      <c r="BJ341" s="16">
        <v>0</v>
      </c>
      <c r="BK341" s="16">
        <v>0</v>
      </c>
      <c r="BL341" s="16">
        <v>0</v>
      </c>
      <c r="BM341" s="16">
        <v>0</v>
      </c>
      <c r="BN341" s="16">
        <v>0</v>
      </c>
      <c r="BO341" s="16">
        <v>0</v>
      </c>
      <c r="BP341" s="16">
        <v>0</v>
      </c>
      <c r="BQ341" s="16">
        <v>0</v>
      </c>
      <c r="BR341" s="16">
        <v>0</v>
      </c>
      <c r="BS341" s="16">
        <v>0</v>
      </c>
      <c r="BT341" s="16">
        <v>0</v>
      </c>
      <c r="BU341" s="16">
        <v>0</v>
      </c>
      <c r="BV341" s="16">
        <v>0</v>
      </c>
      <c r="BW341" s="16">
        <v>0</v>
      </c>
      <c r="BX341" s="16">
        <v>0</v>
      </c>
      <c r="BY341" s="16">
        <v>0</v>
      </c>
      <c r="BZ341" s="16">
        <v>0</v>
      </c>
      <c r="CA341" s="16">
        <v>0</v>
      </c>
      <c r="CB341" s="16">
        <v>0</v>
      </c>
      <c r="CC341" s="16">
        <v>0</v>
      </c>
      <c r="CD341" s="16">
        <v>0</v>
      </c>
      <c r="CE341" s="16">
        <v>0</v>
      </c>
      <c r="CF341" s="16">
        <v>0</v>
      </c>
      <c r="CG341" s="16">
        <v>0</v>
      </c>
      <c r="CH341" s="16">
        <v>0</v>
      </c>
      <c r="CI341" s="16">
        <v>0</v>
      </c>
      <c r="CJ341" s="16">
        <v>0</v>
      </c>
      <c r="CK341" s="16">
        <v>0</v>
      </c>
      <c r="CL341" s="16">
        <v>0</v>
      </c>
      <c r="CM341" s="16">
        <v>0</v>
      </c>
      <c r="CN341" s="16">
        <v>0</v>
      </c>
      <c r="CO341" s="16">
        <v>0</v>
      </c>
      <c r="CP341" s="16">
        <v>0</v>
      </c>
      <c r="CQ341" s="16">
        <v>0</v>
      </c>
      <c r="CR341" s="16">
        <v>0</v>
      </c>
      <c r="CS341" s="16">
        <v>0</v>
      </c>
      <c r="CT341" s="16">
        <v>0</v>
      </c>
      <c r="CU341" s="16">
        <v>0</v>
      </c>
      <c r="CV341" s="16">
        <v>0</v>
      </c>
      <c r="CW341" s="16">
        <v>0</v>
      </c>
      <c r="CX341" s="16">
        <v>0</v>
      </c>
      <c r="CY341" s="16">
        <v>0</v>
      </c>
      <c r="CZ341" s="16">
        <v>0</v>
      </c>
      <c r="DA341" s="16">
        <v>0</v>
      </c>
      <c r="DB341" s="16">
        <v>0</v>
      </c>
      <c r="DC341" s="16">
        <v>0</v>
      </c>
      <c r="DD341" s="16">
        <v>0</v>
      </c>
      <c r="DE341" s="16">
        <v>0</v>
      </c>
      <c r="DF341" s="16">
        <v>0</v>
      </c>
      <c r="DG341" s="16">
        <v>0</v>
      </c>
      <c r="DH341" s="16">
        <v>0</v>
      </c>
      <c r="DI341" s="16">
        <v>0</v>
      </c>
      <c r="DJ341" s="16">
        <v>0</v>
      </c>
      <c r="DK341" s="16">
        <v>0</v>
      </c>
      <c r="DL341" s="16">
        <v>0</v>
      </c>
      <c r="DM341" s="16">
        <v>0</v>
      </c>
      <c r="DN341" s="16">
        <v>0</v>
      </c>
      <c r="DO341" s="16">
        <v>0</v>
      </c>
      <c r="DP341" s="16">
        <v>0</v>
      </c>
      <c r="DQ341" s="16">
        <v>0</v>
      </c>
      <c r="DR341" s="16">
        <v>0</v>
      </c>
      <c r="DS341" s="16">
        <v>0</v>
      </c>
      <c r="DT341" s="16">
        <v>0</v>
      </c>
      <c r="DU341" s="16">
        <v>0</v>
      </c>
      <c r="DV341" s="16">
        <v>0</v>
      </c>
      <c r="DW341" s="16">
        <v>0</v>
      </c>
      <c r="DX341" s="16">
        <v>0</v>
      </c>
      <c r="DY341" s="16">
        <v>0</v>
      </c>
      <c r="DZ341" s="16">
        <v>0</v>
      </c>
      <c r="EA341" s="16">
        <v>0</v>
      </c>
      <c r="EB341" s="16">
        <v>0</v>
      </c>
      <c r="EC341" s="16">
        <v>0</v>
      </c>
      <c r="ED341" s="16">
        <v>0</v>
      </c>
      <c r="EE341" s="16">
        <v>0</v>
      </c>
      <c r="EF341" s="16">
        <v>0</v>
      </c>
      <c r="EG341" s="16">
        <v>0</v>
      </c>
      <c r="EH341" s="16">
        <v>0</v>
      </c>
      <c r="EI341" s="16">
        <v>0</v>
      </c>
      <c r="EJ341" s="16">
        <v>0</v>
      </c>
      <c r="EK341" s="16">
        <v>0</v>
      </c>
      <c r="EL341" s="16">
        <v>0</v>
      </c>
      <c r="EM341" s="16">
        <v>0</v>
      </c>
      <c r="EN341" s="16">
        <v>0</v>
      </c>
      <c r="EO341" s="16">
        <v>0</v>
      </c>
      <c r="EP341" s="16">
        <v>0</v>
      </c>
      <c r="EQ341" s="16">
        <v>0</v>
      </c>
      <c r="ER341" s="16">
        <v>0</v>
      </c>
      <c r="ES341" s="16">
        <v>0</v>
      </c>
      <c r="ET341" s="16">
        <v>0</v>
      </c>
      <c r="EU341" s="16">
        <v>0</v>
      </c>
      <c r="EV341" s="16">
        <v>0</v>
      </c>
      <c r="EW341" s="16">
        <v>0</v>
      </c>
      <c r="EX341" s="16">
        <v>0</v>
      </c>
      <c r="EY341" s="16">
        <v>0</v>
      </c>
      <c r="EZ341" s="16">
        <v>0</v>
      </c>
      <c r="FA341" s="16">
        <v>0</v>
      </c>
      <c r="FB341" s="16">
        <v>0</v>
      </c>
      <c r="FC341" s="16">
        <v>0</v>
      </c>
      <c r="FD341" s="16">
        <v>0</v>
      </c>
      <c r="FE341" s="16">
        <v>0</v>
      </c>
      <c r="FF341" s="16">
        <v>0</v>
      </c>
      <c r="FG341" s="16">
        <v>0</v>
      </c>
      <c r="FH341" s="16">
        <v>0</v>
      </c>
      <c r="FI341" s="16">
        <v>0</v>
      </c>
      <c r="FJ341" s="16">
        <v>0</v>
      </c>
      <c r="FK341" s="16">
        <v>0</v>
      </c>
      <c r="FL341" s="16">
        <v>0</v>
      </c>
      <c r="FM341" s="16">
        <v>0</v>
      </c>
      <c r="FN341" s="16">
        <v>0</v>
      </c>
      <c r="FO341" s="16">
        <v>0</v>
      </c>
      <c r="FP341" s="16">
        <v>0</v>
      </c>
      <c r="FQ341" s="16">
        <v>0</v>
      </c>
      <c r="FR341" s="16">
        <v>0</v>
      </c>
      <c r="FS341" s="16">
        <v>0</v>
      </c>
      <c r="FT341" s="16">
        <v>0</v>
      </c>
      <c r="FU341" s="16">
        <v>0</v>
      </c>
      <c r="FV341" s="16">
        <v>0</v>
      </c>
      <c r="FW341" s="16">
        <v>0</v>
      </c>
      <c r="FX341" s="16">
        <v>0</v>
      </c>
      <c r="FY341" s="16">
        <v>0</v>
      </c>
      <c r="FZ341" s="16">
        <v>0</v>
      </c>
      <c r="GA341" s="16">
        <v>0</v>
      </c>
      <c r="GB341" s="16">
        <v>0</v>
      </c>
      <c r="GC341" s="16">
        <v>0</v>
      </c>
      <c r="GD341" s="16">
        <v>0</v>
      </c>
      <c r="GE341" s="16">
        <v>0</v>
      </c>
      <c r="GF341" s="16">
        <v>0</v>
      </c>
      <c r="GG341" s="16">
        <v>0</v>
      </c>
      <c r="GH341" s="16">
        <v>0</v>
      </c>
      <c r="GI341" s="16">
        <v>0</v>
      </c>
      <c r="GJ341" s="16">
        <v>0</v>
      </c>
      <c r="GK341" s="16">
        <v>0</v>
      </c>
      <c r="GL341" s="16">
        <v>0</v>
      </c>
      <c r="GM341" s="16">
        <v>0</v>
      </c>
      <c r="GN341" s="16">
        <v>0</v>
      </c>
      <c r="GO341" s="16">
        <v>0</v>
      </c>
      <c r="GP341" s="16">
        <v>0</v>
      </c>
      <c r="GQ341" s="16">
        <v>0</v>
      </c>
      <c r="GR341" s="16">
        <v>0</v>
      </c>
      <c r="GS341" s="16">
        <v>0</v>
      </c>
      <c r="GT341" s="16">
        <v>0</v>
      </c>
      <c r="GU341" s="16">
        <v>0</v>
      </c>
      <c r="GV341" s="16">
        <v>0</v>
      </c>
      <c r="GW341" s="16">
        <v>0</v>
      </c>
      <c r="GX341" s="16">
        <v>0</v>
      </c>
      <c r="GY341" s="16">
        <v>0</v>
      </c>
      <c r="GZ341" s="16">
        <v>0</v>
      </c>
      <c r="HA341" s="16">
        <v>0</v>
      </c>
      <c r="HB341" s="16">
        <v>0</v>
      </c>
      <c r="HC341" s="16">
        <v>0</v>
      </c>
      <c r="HD341" s="16">
        <v>0</v>
      </c>
      <c r="HE341" s="16">
        <v>0</v>
      </c>
      <c r="HF341" s="16">
        <v>0</v>
      </c>
      <c r="HG341" s="16">
        <v>0</v>
      </c>
      <c r="HH341" s="16">
        <v>0</v>
      </c>
      <c r="HI341" s="16">
        <v>0</v>
      </c>
      <c r="HJ341" s="16">
        <v>0</v>
      </c>
      <c r="HK341" s="16">
        <v>0</v>
      </c>
      <c r="HL341" s="16">
        <v>0</v>
      </c>
      <c r="HM341" s="16">
        <v>0</v>
      </c>
      <c r="HN341" s="16">
        <v>0</v>
      </c>
      <c r="HO341" s="16">
        <v>0</v>
      </c>
      <c r="HP341" s="16">
        <v>0</v>
      </c>
      <c r="HQ341" s="16">
        <v>0</v>
      </c>
      <c r="HR341" s="16">
        <v>0</v>
      </c>
      <c r="HS341" s="16">
        <v>0</v>
      </c>
      <c r="HT341" s="16">
        <v>0</v>
      </c>
      <c r="HU341" s="16">
        <v>0</v>
      </c>
      <c r="HV341" s="16">
        <v>0</v>
      </c>
      <c r="HW341" s="16">
        <v>0</v>
      </c>
      <c r="HX341" s="16">
        <v>0</v>
      </c>
      <c r="HY341" s="16">
        <v>0</v>
      </c>
      <c r="HZ341" s="16">
        <v>0</v>
      </c>
      <c r="IA341" s="16">
        <v>0</v>
      </c>
      <c r="IB341" s="16">
        <v>0</v>
      </c>
      <c r="IC341" s="16">
        <v>0</v>
      </c>
      <c r="ID341" s="16">
        <v>0</v>
      </c>
      <c r="IE341" s="16">
        <v>0</v>
      </c>
      <c r="IF341" s="16">
        <v>0</v>
      </c>
      <c r="IG341" s="16">
        <v>0</v>
      </c>
      <c r="IH341" s="16">
        <v>0</v>
      </c>
      <c r="II341" s="16">
        <v>0</v>
      </c>
      <c r="IJ341" s="16">
        <v>0</v>
      </c>
      <c r="IK341" s="16">
        <v>0</v>
      </c>
      <c r="IL341" s="16">
        <v>0</v>
      </c>
      <c r="IM341" s="16">
        <v>0</v>
      </c>
      <c r="IN341" s="16">
        <v>0</v>
      </c>
      <c r="IO341" s="16">
        <v>0</v>
      </c>
      <c r="IP341" s="16">
        <v>0</v>
      </c>
      <c r="IQ341" s="16">
        <v>0</v>
      </c>
      <c r="IR341" s="16">
        <v>0</v>
      </c>
      <c r="IS341" s="16">
        <v>0</v>
      </c>
      <c r="IT341" s="16">
        <v>0</v>
      </c>
      <c r="IU341" s="16">
        <v>0</v>
      </c>
      <c r="IV341" s="16">
        <v>0</v>
      </c>
      <c r="IW341" s="16">
        <v>0</v>
      </c>
      <c r="IX341" s="16">
        <v>0</v>
      </c>
      <c r="IY341" s="16">
        <v>0</v>
      </c>
      <c r="IZ341" s="16">
        <v>0</v>
      </c>
      <c r="JA341" s="16">
        <v>0</v>
      </c>
      <c r="JB341" s="16">
        <v>0</v>
      </c>
      <c r="JC341" s="16">
        <v>0</v>
      </c>
      <c r="JD341" s="16">
        <v>0</v>
      </c>
      <c r="JE341" s="16">
        <v>0</v>
      </c>
      <c r="JF341" s="16">
        <v>0</v>
      </c>
      <c r="JG341" s="16">
        <v>0</v>
      </c>
      <c r="JH341" s="16">
        <v>0</v>
      </c>
      <c r="JI341" s="16">
        <v>0</v>
      </c>
      <c r="JJ341" s="16">
        <v>0</v>
      </c>
      <c r="JK341" s="16">
        <v>0</v>
      </c>
      <c r="JL341" s="16">
        <v>0</v>
      </c>
      <c r="JM341" s="16">
        <v>0</v>
      </c>
      <c r="JN341" s="16">
        <v>0</v>
      </c>
      <c r="JO341" s="16">
        <v>0</v>
      </c>
      <c r="JP341" s="16">
        <v>0</v>
      </c>
      <c r="JQ341" s="16">
        <v>0</v>
      </c>
      <c r="JR341" s="16">
        <v>0</v>
      </c>
      <c r="JS341" s="16">
        <v>0</v>
      </c>
      <c r="JT341" s="16">
        <v>0</v>
      </c>
      <c r="JU341" s="16">
        <v>0</v>
      </c>
      <c r="JV341" s="16">
        <v>0</v>
      </c>
      <c r="JW341" s="16">
        <v>0</v>
      </c>
      <c r="JX341" s="16">
        <v>0</v>
      </c>
      <c r="JY341" s="16">
        <v>0</v>
      </c>
      <c r="JZ341" s="16">
        <v>0</v>
      </c>
      <c r="KA341" s="16">
        <v>0</v>
      </c>
      <c r="KB341" s="16">
        <v>0</v>
      </c>
      <c r="KC341" s="16">
        <v>0</v>
      </c>
      <c r="KD341" s="16">
        <v>0</v>
      </c>
      <c r="KE341" s="16">
        <v>0</v>
      </c>
      <c r="KF341" s="16">
        <v>0</v>
      </c>
      <c r="KG341" s="16">
        <v>0</v>
      </c>
      <c r="KH341" s="16">
        <v>0</v>
      </c>
      <c r="KI341" s="16">
        <v>0</v>
      </c>
      <c r="KJ341" s="16">
        <v>0</v>
      </c>
      <c r="KK341" s="16">
        <v>0</v>
      </c>
      <c r="KL341" s="16">
        <v>0</v>
      </c>
      <c r="KM341" s="16">
        <v>0</v>
      </c>
      <c r="KN341" s="16">
        <v>0</v>
      </c>
      <c r="KO341" s="16">
        <v>0</v>
      </c>
      <c r="KP341" s="16">
        <v>0</v>
      </c>
      <c r="KQ341" s="16">
        <v>0</v>
      </c>
      <c r="KR341" s="16">
        <v>0</v>
      </c>
      <c r="KS341" s="16">
        <v>0</v>
      </c>
      <c r="KT341" s="16">
        <v>0</v>
      </c>
      <c r="KU341" s="16">
        <v>0</v>
      </c>
      <c r="KV341" s="16">
        <v>0</v>
      </c>
      <c r="KW341" s="16">
        <v>0</v>
      </c>
      <c r="KX341" s="16">
        <v>0</v>
      </c>
      <c r="KY341" s="16">
        <v>0</v>
      </c>
      <c r="KZ341" s="16">
        <v>0</v>
      </c>
      <c r="LA341" s="16">
        <v>0</v>
      </c>
      <c r="LB341" s="16">
        <v>0</v>
      </c>
      <c r="LC341" s="16">
        <v>0</v>
      </c>
      <c r="LD341" s="16">
        <v>0</v>
      </c>
      <c r="LE341" s="16">
        <v>0</v>
      </c>
      <c r="LF341" s="16">
        <v>0</v>
      </c>
      <c r="LG341" s="16">
        <v>0</v>
      </c>
      <c r="LH341" s="16">
        <v>0</v>
      </c>
      <c r="LI341" s="16">
        <v>0</v>
      </c>
      <c r="LJ341" s="16">
        <v>0</v>
      </c>
      <c r="LK341" s="16">
        <v>0</v>
      </c>
      <c r="LL341" s="16">
        <v>0</v>
      </c>
      <c r="LM341" s="16">
        <v>0</v>
      </c>
      <c r="LN341" s="16">
        <v>0</v>
      </c>
      <c r="LO341" s="16">
        <v>0</v>
      </c>
      <c r="LP341" s="16">
        <v>0</v>
      </c>
      <c r="LQ341" s="16">
        <v>0</v>
      </c>
      <c r="LR341" s="16">
        <v>0</v>
      </c>
      <c r="LS341" s="16">
        <v>0</v>
      </c>
      <c r="LT341" s="16">
        <v>0</v>
      </c>
      <c r="LU341" s="16">
        <v>0</v>
      </c>
      <c r="LV341" s="16">
        <v>0</v>
      </c>
      <c r="LW341" s="16">
        <v>0</v>
      </c>
      <c r="LX341" s="16">
        <v>0</v>
      </c>
      <c r="LY341" s="16">
        <v>0</v>
      </c>
      <c r="LZ341" s="16">
        <v>0</v>
      </c>
      <c r="MA341" s="16">
        <v>0</v>
      </c>
      <c r="MB341" s="16">
        <v>0</v>
      </c>
      <c r="MC341" s="16">
        <v>0</v>
      </c>
      <c r="MD341" s="16">
        <v>0</v>
      </c>
      <c r="ME341" s="16">
        <v>0</v>
      </c>
      <c r="MF341" s="16">
        <v>0</v>
      </c>
      <c r="MG341" s="16">
        <v>0</v>
      </c>
      <c r="MH341" s="16">
        <v>0</v>
      </c>
      <c r="MI341" s="16">
        <v>0</v>
      </c>
      <c r="MJ341" s="16">
        <v>0</v>
      </c>
      <c r="MK341" s="16">
        <v>0</v>
      </c>
      <c r="ML341" s="16">
        <v>0</v>
      </c>
      <c r="MM341" s="16">
        <v>0</v>
      </c>
      <c r="MN341" s="16">
        <v>0</v>
      </c>
      <c r="MO341" s="16">
        <v>0</v>
      </c>
      <c r="MP341" s="16">
        <v>0</v>
      </c>
      <c r="MQ341" s="16">
        <v>0</v>
      </c>
      <c r="MR341" s="16">
        <v>0</v>
      </c>
      <c r="MS341" s="16">
        <v>0</v>
      </c>
      <c r="MT341" s="16">
        <v>0</v>
      </c>
      <c r="MU341" s="16">
        <v>0</v>
      </c>
      <c r="MV341" s="16">
        <v>0</v>
      </c>
      <c r="MW341" s="16">
        <v>0</v>
      </c>
      <c r="MX341" s="16">
        <v>0</v>
      </c>
      <c r="MY341" s="16">
        <v>0</v>
      </c>
      <c r="MZ341" s="16">
        <v>0</v>
      </c>
      <c r="NA341" s="16">
        <v>0</v>
      </c>
      <c r="NB341" s="16">
        <v>0</v>
      </c>
      <c r="NC341" s="16">
        <v>0</v>
      </c>
      <c r="ND341" s="16">
        <v>0</v>
      </c>
      <c r="NE341" s="16">
        <v>0</v>
      </c>
      <c r="NF341" s="16">
        <v>0</v>
      </c>
      <c r="NG341" s="16">
        <v>0</v>
      </c>
      <c r="NH341" s="16">
        <v>0</v>
      </c>
      <c r="NI341" s="16">
        <v>0</v>
      </c>
      <c r="NJ341" s="16">
        <v>0</v>
      </c>
      <c r="NK341" s="16">
        <v>0</v>
      </c>
      <c r="NL341" s="16">
        <v>0</v>
      </c>
      <c r="NM341" s="16">
        <v>0</v>
      </c>
      <c r="NN341" s="16">
        <v>0</v>
      </c>
      <c r="NO341" s="16">
        <v>0</v>
      </c>
      <c r="NP341" s="16">
        <v>0</v>
      </c>
      <c r="NQ341" s="16">
        <v>0</v>
      </c>
      <c r="NR341" s="17">
        <v>0</v>
      </c>
    </row>
    <row r="342" spans="1:382" ht="13.5" customHeight="1" x14ac:dyDescent="0.2">
      <c r="A342" s="2" t="s">
        <v>691</v>
      </c>
      <c r="B342" s="16">
        <v>0</v>
      </c>
      <c r="C342" s="16">
        <v>0</v>
      </c>
      <c r="D342" s="16">
        <v>0</v>
      </c>
      <c r="E342" s="16">
        <v>0</v>
      </c>
      <c r="F342" s="16">
        <v>0</v>
      </c>
      <c r="G342" s="16">
        <v>0</v>
      </c>
      <c r="H342" s="16">
        <v>0</v>
      </c>
      <c r="I342" s="16">
        <v>0</v>
      </c>
      <c r="J342" s="16">
        <v>0</v>
      </c>
      <c r="K342" s="16">
        <v>0</v>
      </c>
      <c r="L342" s="16">
        <v>0</v>
      </c>
      <c r="M342" s="16">
        <v>0</v>
      </c>
      <c r="N342" s="16">
        <v>0</v>
      </c>
      <c r="O342" s="16">
        <v>0</v>
      </c>
      <c r="P342" s="16">
        <v>0</v>
      </c>
      <c r="Q342" s="16">
        <v>0</v>
      </c>
      <c r="R342" s="16">
        <v>0</v>
      </c>
      <c r="S342" s="16">
        <v>0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0</v>
      </c>
      <c r="AF342" s="16">
        <v>0</v>
      </c>
      <c r="AG342" s="16">
        <v>0</v>
      </c>
      <c r="AH342" s="16">
        <v>0</v>
      </c>
      <c r="AI342" s="16">
        <v>0</v>
      </c>
      <c r="AJ342" s="16">
        <v>0</v>
      </c>
      <c r="AK342" s="16">
        <v>0</v>
      </c>
      <c r="AL342" s="16">
        <v>0</v>
      </c>
      <c r="AM342" s="16">
        <v>0</v>
      </c>
      <c r="AN342" s="16">
        <v>0</v>
      </c>
      <c r="AO342" s="16">
        <v>0</v>
      </c>
      <c r="AP342" s="16">
        <v>0</v>
      </c>
      <c r="AQ342" s="16">
        <v>0</v>
      </c>
      <c r="AR342" s="16">
        <v>0</v>
      </c>
      <c r="AS342" s="16">
        <v>0</v>
      </c>
      <c r="AT342" s="16">
        <v>0</v>
      </c>
      <c r="AU342" s="16">
        <v>0</v>
      </c>
      <c r="AV342" s="16">
        <v>0</v>
      </c>
      <c r="AW342" s="16">
        <v>0</v>
      </c>
      <c r="AX342" s="16">
        <v>0</v>
      </c>
      <c r="AY342" s="16">
        <v>0</v>
      </c>
      <c r="AZ342" s="16">
        <v>0</v>
      </c>
      <c r="BA342" s="16">
        <v>0</v>
      </c>
      <c r="BB342" s="16">
        <v>0</v>
      </c>
      <c r="BC342" s="16">
        <v>0</v>
      </c>
      <c r="BD342" s="16">
        <v>0</v>
      </c>
      <c r="BE342" s="16">
        <v>0</v>
      </c>
      <c r="BF342" s="16">
        <v>0</v>
      </c>
      <c r="BG342" s="16">
        <v>0</v>
      </c>
      <c r="BH342" s="16">
        <v>0</v>
      </c>
      <c r="BI342" s="16">
        <v>0</v>
      </c>
      <c r="BJ342" s="16">
        <v>0</v>
      </c>
      <c r="BK342" s="16">
        <v>0</v>
      </c>
      <c r="BL342" s="16">
        <v>0</v>
      </c>
      <c r="BM342" s="16">
        <v>0</v>
      </c>
      <c r="BN342" s="16">
        <v>0</v>
      </c>
      <c r="BO342" s="16">
        <v>0</v>
      </c>
      <c r="BP342" s="16">
        <v>0</v>
      </c>
      <c r="BQ342" s="16">
        <v>0</v>
      </c>
      <c r="BR342" s="16">
        <v>0</v>
      </c>
      <c r="BS342" s="16">
        <v>0</v>
      </c>
      <c r="BT342" s="16">
        <v>0</v>
      </c>
      <c r="BU342" s="16">
        <v>0</v>
      </c>
      <c r="BV342" s="16">
        <v>0</v>
      </c>
      <c r="BW342" s="16">
        <v>0</v>
      </c>
      <c r="BX342" s="16">
        <v>0</v>
      </c>
      <c r="BY342" s="16">
        <v>0</v>
      </c>
      <c r="BZ342" s="16">
        <v>0</v>
      </c>
      <c r="CA342" s="16">
        <v>0</v>
      </c>
      <c r="CB342" s="16">
        <v>0</v>
      </c>
      <c r="CC342" s="16">
        <v>0</v>
      </c>
      <c r="CD342" s="16">
        <v>0</v>
      </c>
      <c r="CE342" s="16">
        <v>0</v>
      </c>
      <c r="CF342" s="16">
        <v>0</v>
      </c>
      <c r="CG342" s="16">
        <v>0</v>
      </c>
      <c r="CH342" s="16">
        <v>0</v>
      </c>
      <c r="CI342" s="16">
        <v>0</v>
      </c>
      <c r="CJ342" s="16">
        <v>0</v>
      </c>
      <c r="CK342" s="16">
        <v>0</v>
      </c>
      <c r="CL342" s="16">
        <v>0</v>
      </c>
      <c r="CM342" s="16">
        <v>0</v>
      </c>
      <c r="CN342" s="16">
        <v>0</v>
      </c>
      <c r="CO342" s="16">
        <v>0</v>
      </c>
      <c r="CP342" s="16">
        <v>0</v>
      </c>
      <c r="CQ342" s="16">
        <v>0</v>
      </c>
      <c r="CR342" s="16">
        <v>0</v>
      </c>
      <c r="CS342" s="16">
        <v>0</v>
      </c>
      <c r="CT342" s="16">
        <v>0</v>
      </c>
      <c r="CU342" s="16">
        <v>0</v>
      </c>
      <c r="CV342" s="16">
        <v>0</v>
      </c>
      <c r="CW342" s="16">
        <v>0</v>
      </c>
      <c r="CX342" s="16">
        <v>0</v>
      </c>
      <c r="CY342" s="16">
        <v>0</v>
      </c>
      <c r="CZ342" s="16">
        <v>0</v>
      </c>
      <c r="DA342" s="16">
        <v>0</v>
      </c>
      <c r="DB342" s="16">
        <v>0</v>
      </c>
      <c r="DC342" s="16">
        <v>0</v>
      </c>
      <c r="DD342" s="16">
        <v>0</v>
      </c>
      <c r="DE342" s="16">
        <v>0</v>
      </c>
      <c r="DF342" s="16">
        <v>0</v>
      </c>
      <c r="DG342" s="16">
        <v>0</v>
      </c>
      <c r="DH342" s="16">
        <v>0</v>
      </c>
      <c r="DI342" s="16">
        <v>0</v>
      </c>
      <c r="DJ342" s="16">
        <v>0</v>
      </c>
      <c r="DK342" s="16">
        <v>0</v>
      </c>
      <c r="DL342" s="16">
        <v>0</v>
      </c>
      <c r="DM342" s="16">
        <v>0</v>
      </c>
      <c r="DN342" s="16">
        <v>0</v>
      </c>
      <c r="DO342" s="16">
        <v>0</v>
      </c>
      <c r="DP342" s="16">
        <v>0</v>
      </c>
      <c r="DQ342" s="16">
        <v>0</v>
      </c>
      <c r="DR342" s="16">
        <v>0</v>
      </c>
      <c r="DS342" s="16">
        <v>0</v>
      </c>
      <c r="DT342" s="16">
        <v>0</v>
      </c>
      <c r="DU342" s="16">
        <v>0</v>
      </c>
      <c r="DV342" s="16">
        <v>0</v>
      </c>
      <c r="DW342" s="16">
        <v>0</v>
      </c>
      <c r="DX342" s="16">
        <v>0</v>
      </c>
      <c r="DY342" s="16">
        <v>0</v>
      </c>
      <c r="DZ342" s="16">
        <v>0</v>
      </c>
      <c r="EA342" s="16">
        <v>0</v>
      </c>
      <c r="EB342" s="16">
        <v>0</v>
      </c>
      <c r="EC342" s="16">
        <v>0</v>
      </c>
      <c r="ED342" s="16">
        <v>0</v>
      </c>
      <c r="EE342" s="16">
        <v>0</v>
      </c>
      <c r="EF342" s="16">
        <v>0</v>
      </c>
      <c r="EG342" s="16">
        <v>0</v>
      </c>
      <c r="EH342" s="16">
        <v>0</v>
      </c>
      <c r="EI342" s="16">
        <v>0</v>
      </c>
      <c r="EJ342" s="16">
        <v>0</v>
      </c>
      <c r="EK342" s="16">
        <v>0</v>
      </c>
      <c r="EL342" s="16">
        <v>0</v>
      </c>
      <c r="EM342" s="16">
        <v>0</v>
      </c>
      <c r="EN342" s="16">
        <v>0</v>
      </c>
      <c r="EO342" s="16">
        <v>0</v>
      </c>
      <c r="EP342" s="16">
        <v>0</v>
      </c>
      <c r="EQ342" s="16">
        <v>0</v>
      </c>
      <c r="ER342" s="16">
        <v>0</v>
      </c>
      <c r="ES342" s="16">
        <v>0</v>
      </c>
      <c r="ET342" s="16">
        <v>0</v>
      </c>
      <c r="EU342" s="16">
        <v>0</v>
      </c>
      <c r="EV342" s="16">
        <v>0</v>
      </c>
      <c r="EW342" s="16">
        <v>0</v>
      </c>
      <c r="EX342" s="16">
        <v>0</v>
      </c>
      <c r="EY342" s="16">
        <v>0</v>
      </c>
      <c r="EZ342" s="16">
        <v>0</v>
      </c>
      <c r="FA342" s="16">
        <v>0</v>
      </c>
      <c r="FB342" s="16">
        <v>0</v>
      </c>
      <c r="FC342" s="16">
        <v>0</v>
      </c>
      <c r="FD342" s="16">
        <v>0</v>
      </c>
      <c r="FE342" s="16">
        <v>0</v>
      </c>
      <c r="FF342" s="16">
        <v>0</v>
      </c>
      <c r="FG342" s="16">
        <v>0</v>
      </c>
      <c r="FH342" s="16">
        <v>0</v>
      </c>
      <c r="FI342" s="16">
        <v>0</v>
      </c>
      <c r="FJ342" s="16">
        <v>0</v>
      </c>
      <c r="FK342" s="16">
        <v>0</v>
      </c>
      <c r="FL342" s="16">
        <v>0</v>
      </c>
      <c r="FM342" s="16">
        <v>0</v>
      </c>
      <c r="FN342" s="16">
        <v>0</v>
      </c>
      <c r="FO342" s="16">
        <v>0</v>
      </c>
      <c r="FP342" s="16">
        <v>0</v>
      </c>
      <c r="FQ342" s="16">
        <v>0</v>
      </c>
      <c r="FR342" s="16">
        <v>0</v>
      </c>
      <c r="FS342" s="16">
        <v>0</v>
      </c>
      <c r="FT342" s="16">
        <v>0</v>
      </c>
      <c r="FU342" s="16">
        <v>0</v>
      </c>
      <c r="FV342" s="16">
        <v>0</v>
      </c>
      <c r="FW342" s="16">
        <v>0</v>
      </c>
      <c r="FX342" s="16">
        <v>0</v>
      </c>
      <c r="FY342" s="16">
        <v>0</v>
      </c>
      <c r="FZ342" s="16">
        <v>0</v>
      </c>
      <c r="GA342" s="16">
        <v>0</v>
      </c>
      <c r="GB342" s="16">
        <v>0</v>
      </c>
      <c r="GC342" s="16">
        <v>0</v>
      </c>
      <c r="GD342" s="16">
        <v>0</v>
      </c>
      <c r="GE342" s="16">
        <v>0</v>
      </c>
      <c r="GF342" s="16">
        <v>0</v>
      </c>
      <c r="GG342" s="16">
        <v>0</v>
      </c>
      <c r="GH342" s="16">
        <v>0</v>
      </c>
      <c r="GI342" s="16">
        <v>0</v>
      </c>
      <c r="GJ342" s="16">
        <v>0</v>
      </c>
      <c r="GK342" s="16">
        <v>0</v>
      </c>
      <c r="GL342" s="16">
        <v>0</v>
      </c>
      <c r="GM342" s="16">
        <v>0</v>
      </c>
      <c r="GN342" s="16">
        <v>0</v>
      </c>
      <c r="GO342" s="16">
        <v>0</v>
      </c>
      <c r="GP342" s="16">
        <v>0</v>
      </c>
      <c r="GQ342" s="16">
        <v>0</v>
      </c>
      <c r="GR342" s="16">
        <v>0</v>
      </c>
      <c r="GS342" s="16">
        <v>0</v>
      </c>
      <c r="GT342" s="16">
        <v>0</v>
      </c>
      <c r="GU342" s="16">
        <v>0</v>
      </c>
      <c r="GV342" s="16">
        <v>0</v>
      </c>
      <c r="GW342" s="16">
        <v>0</v>
      </c>
      <c r="GX342" s="16">
        <v>0</v>
      </c>
      <c r="GY342" s="16">
        <v>0</v>
      </c>
      <c r="GZ342" s="16">
        <v>0</v>
      </c>
      <c r="HA342" s="16">
        <v>0</v>
      </c>
      <c r="HB342" s="16">
        <v>0</v>
      </c>
      <c r="HC342" s="16">
        <v>0</v>
      </c>
      <c r="HD342" s="16">
        <v>0</v>
      </c>
      <c r="HE342" s="16">
        <v>0</v>
      </c>
      <c r="HF342" s="16">
        <v>0</v>
      </c>
      <c r="HG342" s="16">
        <v>0</v>
      </c>
      <c r="HH342" s="16">
        <v>0</v>
      </c>
      <c r="HI342" s="16">
        <v>0</v>
      </c>
      <c r="HJ342" s="16">
        <v>0</v>
      </c>
      <c r="HK342" s="16">
        <v>0</v>
      </c>
      <c r="HL342" s="16">
        <v>0</v>
      </c>
      <c r="HM342" s="16">
        <v>0</v>
      </c>
      <c r="HN342" s="16">
        <v>0</v>
      </c>
      <c r="HO342" s="16">
        <v>0</v>
      </c>
      <c r="HP342" s="16">
        <v>0</v>
      </c>
      <c r="HQ342" s="16">
        <v>0</v>
      </c>
      <c r="HR342" s="16">
        <v>0</v>
      </c>
      <c r="HS342" s="16">
        <v>0</v>
      </c>
      <c r="HT342" s="16">
        <v>0</v>
      </c>
      <c r="HU342" s="16">
        <v>0</v>
      </c>
      <c r="HV342" s="16">
        <v>0</v>
      </c>
      <c r="HW342" s="16">
        <v>0</v>
      </c>
      <c r="HX342" s="16">
        <v>0</v>
      </c>
      <c r="HY342" s="16">
        <v>0</v>
      </c>
      <c r="HZ342" s="16">
        <v>0</v>
      </c>
      <c r="IA342" s="16">
        <v>0</v>
      </c>
      <c r="IB342" s="16">
        <v>0</v>
      </c>
      <c r="IC342" s="16">
        <v>0</v>
      </c>
      <c r="ID342" s="16">
        <v>0</v>
      </c>
      <c r="IE342" s="16">
        <v>0</v>
      </c>
      <c r="IF342" s="16">
        <v>0</v>
      </c>
      <c r="IG342" s="16">
        <v>0</v>
      </c>
      <c r="IH342" s="16">
        <v>0</v>
      </c>
      <c r="II342" s="16">
        <v>0</v>
      </c>
      <c r="IJ342" s="16">
        <v>0</v>
      </c>
      <c r="IK342" s="16">
        <v>0</v>
      </c>
      <c r="IL342" s="16">
        <v>0</v>
      </c>
      <c r="IM342" s="16">
        <v>0</v>
      </c>
      <c r="IN342" s="16">
        <v>0</v>
      </c>
      <c r="IO342" s="16">
        <v>0</v>
      </c>
      <c r="IP342" s="16">
        <v>0</v>
      </c>
      <c r="IQ342" s="16">
        <v>0</v>
      </c>
      <c r="IR342" s="16">
        <v>0</v>
      </c>
      <c r="IS342" s="16">
        <v>0</v>
      </c>
      <c r="IT342" s="16">
        <v>0</v>
      </c>
      <c r="IU342" s="16">
        <v>0</v>
      </c>
      <c r="IV342" s="16">
        <v>0</v>
      </c>
      <c r="IW342" s="16">
        <v>0</v>
      </c>
      <c r="IX342" s="16">
        <v>0</v>
      </c>
      <c r="IY342" s="16">
        <v>0</v>
      </c>
      <c r="IZ342" s="16">
        <v>0</v>
      </c>
      <c r="JA342" s="16">
        <v>0</v>
      </c>
      <c r="JB342" s="16">
        <v>0</v>
      </c>
      <c r="JC342" s="16">
        <v>0</v>
      </c>
      <c r="JD342" s="16">
        <v>0</v>
      </c>
      <c r="JE342" s="16">
        <v>0</v>
      </c>
      <c r="JF342" s="16">
        <v>0</v>
      </c>
      <c r="JG342" s="16">
        <v>0</v>
      </c>
      <c r="JH342" s="16">
        <v>0</v>
      </c>
      <c r="JI342" s="16">
        <v>0</v>
      </c>
      <c r="JJ342" s="16">
        <v>0</v>
      </c>
      <c r="JK342" s="16">
        <v>0</v>
      </c>
      <c r="JL342" s="16">
        <v>0</v>
      </c>
      <c r="JM342" s="16">
        <v>0</v>
      </c>
      <c r="JN342" s="16">
        <v>0</v>
      </c>
      <c r="JO342" s="16">
        <v>0</v>
      </c>
      <c r="JP342" s="16">
        <v>0</v>
      </c>
      <c r="JQ342" s="16">
        <v>0</v>
      </c>
      <c r="JR342" s="16">
        <v>0</v>
      </c>
      <c r="JS342" s="16">
        <v>0</v>
      </c>
      <c r="JT342" s="16">
        <v>0</v>
      </c>
      <c r="JU342" s="16">
        <v>0</v>
      </c>
      <c r="JV342" s="16">
        <v>0</v>
      </c>
      <c r="JW342" s="16">
        <v>0</v>
      </c>
      <c r="JX342" s="16">
        <v>0</v>
      </c>
      <c r="JY342" s="16">
        <v>0</v>
      </c>
      <c r="JZ342" s="16">
        <v>0</v>
      </c>
      <c r="KA342" s="16">
        <v>0</v>
      </c>
      <c r="KB342" s="16">
        <v>0</v>
      </c>
      <c r="KC342" s="16">
        <v>0</v>
      </c>
      <c r="KD342" s="16">
        <v>0</v>
      </c>
      <c r="KE342" s="16">
        <v>0</v>
      </c>
      <c r="KF342" s="16">
        <v>0</v>
      </c>
      <c r="KG342" s="16">
        <v>0</v>
      </c>
      <c r="KH342" s="16">
        <v>0</v>
      </c>
      <c r="KI342" s="16">
        <v>0</v>
      </c>
      <c r="KJ342" s="16">
        <v>0</v>
      </c>
      <c r="KK342" s="16">
        <v>0</v>
      </c>
      <c r="KL342" s="16">
        <v>0</v>
      </c>
      <c r="KM342" s="16">
        <v>0</v>
      </c>
      <c r="KN342" s="16">
        <v>0</v>
      </c>
      <c r="KO342" s="16">
        <v>0</v>
      </c>
      <c r="KP342" s="16">
        <v>0</v>
      </c>
      <c r="KQ342" s="16">
        <v>0</v>
      </c>
      <c r="KR342" s="16">
        <v>0</v>
      </c>
      <c r="KS342" s="16">
        <v>0</v>
      </c>
      <c r="KT342" s="16">
        <v>0</v>
      </c>
      <c r="KU342" s="16">
        <v>0</v>
      </c>
      <c r="KV342" s="16">
        <v>0</v>
      </c>
      <c r="KW342" s="16">
        <v>0</v>
      </c>
      <c r="KX342" s="16">
        <v>0</v>
      </c>
      <c r="KY342" s="16">
        <v>0</v>
      </c>
      <c r="KZ342" s="16">
        <v>0</v>
      </c>
      <c r="LA342" s="16">
        <v>0</v>
      </c>
      <c r="LB342" s="16">
        <v>0</v>
      </c>
      <c r="LC342" s="16">
        <v>0</v>
      </c>
      <c r="LD342" s="16">
        <v>0</v>
      </c>
      <c r="LE342" s="16">
        <v>0</v>
      </c>
      <c r="LF342" s="16">
        <v>0</v>
      </c>
      <c r="LG342" s="16">
        <v>0</v>
      </c>
      <c r="LH342" s="16">
        <v>0</v>
      </c>
      <c r="LI342" s="16">
        <v>0</v>
      </c>
      <c r="LJ342" s="16">
        <v>0</v>
      </c>
      <c r="LK342" s="16">
        <v>0</v>
      </c>
      <c r="LL342" s="16">
        <v>0</v>
      </c>
      <c r="LM342" s="16">
        <v>0</v>
      </c>
      <c r="LN342" s="16">
        <v>0</v>
      </c>
      <c r="LO342" s="16">
        <v>0</v>
      </c>
      <c r="LP342" s="16">
        <v>0</v>
      </c>
      <c r="LQ342" s="16">
        <v>0</v>
      </c>
      <c r="LR342" s="16">
        <v>0</v>
      </c>
      <c r="LS342" s="16">
        <v>0</v>
      </c>
      <c r="LT342" s="16">
        <v>0</v>
      </c>
      <c r="LU342" s="16">
        <v>0</v>
      </c>
      <c r="LV342" s="16">
        <v>0</v>
      </c>
      <c r="LW342" s="16">
        <v>0</v>
      </c>
      <c r="LX342" s="16">
        <v>0</v>
      </c>
      <c r="LY342" s="16">
        <v>0</v>
      </c>
      <c r="LZ342" s="16">
        <v>0</v>
      </c>
      <c r="MA342" s="16">
        <v>0</v>
      </c>
      <c r="MB342" s="16">
        <v>0</v>
      </c>
      <c r="MC342" s="16">
        <v>0</v>
      </c>
      <c r="MD342" s="16">
        <v>0</v>
      </c>
      <c r="ME342" s="16">
        <v>0</v>
      </c>
      <c r="MF342" s="16">
        <v>0</v>
      </c>
      <c r="MG342" s="16">
        <v>0</v>
      </c>
      <c r="MH342" s="16">
        <v>0</v>
      </c>
      <c r="MI342" s="16">
        <v>0</v>
      </c>
      <c r="MJ342" s="16">
        <v>0</v>
      </c>
      <c r="MK342" s="16">
        <v>0</v>
      </c>
      <c r="ML342" s="16">
        <v>0</v>
      </c>
      <c r="MM342" s="16">
        <v>0</v>
      </c>
      <c r="MN342" s="16">
        <v>0</v>
      </c>
      <c r="MO342" s="16">
        <v>0</v>
      </c>
      <c r="MP342" s="16">
        <v>0</v>
      </c>
      <c r="MQ342" s="16">
        <v>0</v>
      </c>
      <c r="MR342" s="16">
        <v>0</v>
      </c>
      <c r="MS342" s="16">
        <v>0</v>
      </c>
      <c r="MT342" s="16">
        <v>0</v>
      </c>
      <c r="MU342" s="16">
        <v>0</v>
      </c>
      <c r="MV342" s="16">
        <v>0</v>
      </c>
      <c r="MW342" s="16">
        <v>0</v>
      </c>
      <c r="MX342" s="16">
        <v>0</v>
      </c>
      <c r="MY342" s="16">
        <v>0</v>
      </c>
      <c r="MZ342" s="16">
        <v>0</v>
      </c>
      <c r="NA342" s="16">
        <v>0</v>
      </c>
      <c r="NB342" s="16">
        <v>0</v>
      </c>
      <c r="NC342" s="16">
        <v>0</v>
      </c>
      <c r="ND342" s="16">
        <v>0</v>
      </c>
      <c r="NE342" s="16">
        <v>0</v>
      </c>
      <c r="NF342" s="16">
        <v>0</v>
      </c>
      <c r="NG342" s="16">
        <v>0</v>
      </c>
      <c r="NH342" s="16">
        <v>0</v>
      </c>
      <c r="NI342" s="16">
        <v>0</v>
      </c>
      <c r="NJ342" s="16">
        <v>0</v>
      </c>
      <c r="NK342" s="16">
        <v>0</v>
      </c>
      <c r="NL342" s="16">
        <v>0</v>
      </c>
      <c r="NM342" s="16">
        <v>0</v>
      </c>
      <c r="NN342" s="16">
        <v>0</v>
      </c>
      <c r="NO342" s="16">
        <v>0</v>
      </c>
      <c r="NP342" s="16">
        <v>0</v>
      </c>
      <c r="NQ342" s="16">
        <v>0</v>
      </c>
      <c r="NR342" s="17">
        <v>0</v>
      </c>
    </row>
    <row r="343" spans="1:382" ht="13.5" customHeight="1" x14ac:dyDescent="0.2">
      <c r="A343" s="2" t="s">
        <v>693</v>
      </c>
      <c r="B343" s="16">
        <v>19</v>
      </c>
      <c r="C343" s="16">
        <v>0</v>
      </c>
      <c r="D343" s="16">
        <v>5</v>
      </c>
      <c r="E343" s="16">
        <v>0</v>
      </c>
      <c r="F343" s="16">
        <v>54</v>
      </c>
      <c r="G343" s="16">
        <v>0</v>
      </c>
      <c r="H343" s="16">
        <v>1</v>
      </c>
      <c r="I343" s="16">
        <v>300</v>
      </c>
      <c r="J343" s="16">
        <v>4</v>
      </c>
      <c r="K343" s="16">
        <v>0</v>
      </c>
      <c r="L343" s="16">
        <v>634</v>
      </c>
      <c r="M343" s="16">
        <v>132</v>
      </c>
      <c r="N343" s="16">
        <v>27</v>
      </c>
      <c r="O343" s="16">
        <v>0</v>
      </c>
      <c r="P343" s="16">
        <v>7</v>
      </c>
      <c r="Q343" s="16">
        <v>169</v>
      </c>
      <c r="R343" s="16">
        <v>158</v>
      </c>
      <c r="S343" s="16">
        <v>173</v>
      </c>
      <c r="T343" s="16">
        <v>0</v>
      </c>
      <c r="U343" s="16">
        <v>0</v>
      </c>
      <c r="V343" s="16">
        <v>0</v>
      </c>
      <c r="W343" s="16">
        <v>0</v>
      </c>
      <c r="X343" s="16">
        <v>3093</v>
      </c>
      <c r="Y343" s="16">
        <v>1050</v>
      </c>
      <c r="Z343" s="16">
        <v>774</v>
      </c>
      <c r="AA343" s="16">
        <v>0</v>
      </c>
      <c r="AB343" s="16">
        <v>0</v>
      </c>
      <c r="AC343" s="16">
        <v>0</v>
      </c>
      <c r="AD343" s="16">
        <v>0</v>
      </c>
      <c r="AE343" s="16">
        <v>0</v>
      </c>
      <c r="AF343" s="16">
        <v>0</v>
      </c>
      <c r="AG343" s="16">
        <v>241</v>
      </c>
      <c r="AH343" s="16">
        <v>0</v>
      </c>
      <c r="AI343" s="16">
        <v>1</v>
      </c>
      <c r="AJ343" s="16">
        <v>811</v>
      </c>
      <c r="AK343" s="16">
        <v>1131</v>
      </c>
      <c r="AL343" s="16">
        <v>1627</v>
      </c>
      <c r="AM343" s="16">
        <v>2971</v>
      </c>
      <c r="AN343" s="16">
        <v>795</v>
      </c>
      <c r="AO343" s="16">
        <v>1100</v>
      </c>
      <c r="AP343" s="16">
        <v>391</v>
      </c>
      <c r="AQ343" s="16">
        <v>3624</v>
      </c>
      <c r="AR343" s="16">
        <v>0</v>
      </c>
      <c r="AS343" s="16">
        <v>95</v>
      </c>
      <c r="AT343" s="16">
        <v>1650</v>
      </c>
      <c r="AU343" s="16">
        <v>1732</v>
      </c>
      <c r="AV343" s="16">
        <v>1711</v>
      </c>
      <c r="AW343" s="16">
        <v>27632</v>
      </c>
      <c r="AX343" s="16">
        <v>2604</v>
      </c>
      <c r="AY343" s="16">
        <v>5432</v>
      </c>
      <c r="AZ343" s="16">
        <v>11168</v>
      </c>
      <c r="BA343" s="16">
        <v>34215</v>
      </c>
      <c r="BB343" s="16">
        <v>4867</v>
      </c>
      <c r="BC343" s="16">
        <v>28588</v>
      </c>
      <c r="BD343" s="16">
        <v>578</v>
      </c>
      <c r="BE343" s="16">
        <v>348</v>
      </c>
      <c r="BF343" s="16">
        <v>201</v>
      </c>
      <c r="BG343" s="16">
        <v>1597</v>
      </c>
      <c r="BH343" s="16">
        <v>4351</v>
      </c>
      <c r="BI343" s="16">
        <v>531</v>
      </c>
      <c r="BJ343" s="16">
        <v>423</v>
      </c>
      <c r="BK343" s="16">
        <v>641</v>
      </c>
      <c r="BL343" s="16">
        <v>5036</v>
      </c>
      <c r="BM343" s="16">
        <v>3540</v>
      </c>
      <c r="BN343" s="16">
        <v>2126</v>
      </c>
      <c r="BO343" s="16">
        <v>1658</v>
      </c>
      <c r="BP343" s="16">
        <v>1933</v>
      </c>
      <c r="BQ343" s="16">
        <v>927</v>
      </c>
      <c r="BR343" s="16">
        <v>458</v>
      </c>
      <c r="BS343" s="16">
        <v>5393</v>
      </c>
      <c r="BT343" s="16">
        <v>99</v>
      </c>
      <c r="BU343" s="16">
        <v>49</v>
      </c>
      <c r="BV343" s="16">
        <v>162</v>
      </c>
      <c r="BW343" s="16">
        <v>1140</v>
      </c>
      <c r="BX343" s="16">
        <v>478</v>
      </c>
      <c r="BY343" s="16">
        <v>12</v>
      </c>
      <c r="BZ343" s="16">
        <v>453</v>
      </c>
      <c r="CA343" s="16">
        <v>609</v>
      </c>
      <c r="CB343" s="16">
        <v>107</v>
      </c>
      <c r="CC343" s="16">
        <v>855</v>
      </c>
      <c r="CD343" s="16">
        <v>400</v>
      </c>
      <c r="CE343" s="16">
        <v>327</v>
      </c>
      <c r="CF343" s="16">
        <v>1513</v>
      </c>
      <c r="CG343" s="16">
        <v>306</v>
      </c>
      <c r="CH343" s="16">
        <v>479</v>
      </c>
      <c r="CI343" s="16">
        <v>343</v>
      </c>
      <c r="CJ343" s="16">
        <v>612</v>
      </c>
      <c r="CK343" s="16">
        <v>2903</v>
      </c>
      <c r="CL343" s="16">
        <v>559</v>
      </c>
      <c r="CM343" s="16">
        <v>632</v>
      </c>
      <c r="CN343" s="16">
        <v>258</v>
      </c>
      <c r="CO343" s="16">
        <v>1825</v>
      </c>
      <c r="CP343" s="16">
        <v>2401</v>
      </c>
      <c r="CQ343" s="16">
        <v>9056</v>
      </c>
      <c r="CR343" s="16">
        <v>980</v>
      </c>
      <c r="CS343" s="16">
        <v>6141</v>
      </c>
      <c r="CT343" s="16">
        <v>7941</v>
      </c>
      <c r="CU343" s="16">
        <v>20191</v>
      </c>
      <c r="CV343" s="16">
        <v>9017</v>
      </c>
      <c r="CW343" s="16">
        <v>27657</v>
      </c>
      <c r="CX343" s="16">
        <v>11829</v>
      </c>
      <c r="CY343" s="16">
        <v>1547</v>
      </c>
      <c r="CZ343" s="16">
        <v>2544</v>
      </c>
      <c r="DA343" s="16">
        <v>13419</v>
      </c>
      <c r="DB343" s="16">
        <v>11301</v>
      </c>
      <c r="DC343" s="16">
        <v>3413</v>
      </c>
      <c r="DD343" s="16">
        <v>8470</v>
      </c>
      <c r="DE343" s="16">
        <v>2489</v>
      </c>
      <c r="DF343" s="16">
        <v>18120</v>
      </c>
      <c r="DG343" s="16">
        <v>16112</v>
      </c>
      <c r="DH343" s="16">
        <v>32448</v>
      </c>
      <c r="DI343" s="16">
        <v>12368</v>
      </c>
      <c r="DJ343" s="16">
        <v>77854</v>
      </c>
      <c r="DK343" s="16">
        <v>11212</v>
      </c>
      <c r="DL343" s="16">
        <v>10521</v>
      </c>
      <c r="DM343" s="16">
        <v>214488</v>
      </c>
      <c r="DN343" s="16">
        <v>13000</v>
      </c>
      <c r="DO343" s="16">
        <v>17320</v>
      </c>
      <c r="DP343" s="16">
        <v>26595</v>
      </c>
      <c r="DQ343" s="16">
        <v>9730</v>
      </c>
      <c r="DR343" s="16">
        <v>23522</v>
      </c>
      <c r="DS343" s="16">
        <v>70598</v>
      </c>
      <c r="DT343" s="16">
        <v>10054</v>
      </c>
      <c r="DU343" s="16">
        <v>11286</v>
      </c>
      <c r="DV343" s="16">
        <v>150613</v>
      </c>
      <c r="DW343" s="16">
        <v>27408</v>
      </c>
      <c r="DX343" s="16">
        <v>11726</v>
      </c>
      <c r="DY343" s="16">
        <v>10250</v>
      </c>
      <c r="DZ343" s="16">
        <v>68920</v>
      </c>
      <c r="EA343" s="16">
        <v>43119</v>
      </c>
      <c r="EB343" s="16">
        <v>9372</v>
      </c>
      <c r="EC343" s="16">
        <v>20905</v>
      </c>
      <c r="ED343" s="16">
        <v>927</v>
      </c>
      <c r="EE343" s="16">
        <v>0</v>
      </c>
      <c r="EF343" s="16">
        <v>4362</v>
      </c>
      <c r="EG343" s="16">
        <v>12870</v>
      </c>
      <c r="EH343" s="16">
        <v>1352</v>
      </c>
      <c r="EI343" s="16">
        <v>834</v>
      </c>
      <c r="EJ343" s="16">
        <v>1971</v>
      </c>
      <c r="EK343" s="16">
        <v>1456</v>
      </c>
      <c r="EL343" s="16">
        <v>619</v>
      </c>
      <c r="EM343" s="16">
        <v>3558</v>
      </c>
      <c r="EN343" s="16">
        <v>2134</v>
      </c>
      <c r="EO343" s="16">
        <v>7128</v>
      </c>
      <c r="EP343" s="16">
        <v>580</v>
      </c>
      <c r="EQ343" s="16">
        <v>392</v>
      </c>
      <c r="ER343" s="16">
        <v>1373</v>
      </c>
      <c r="ES343" s="16">
        <v>872</v>
      </c>
      <c r="ET343" s="16">
        <v>3089</v>
      </c>
      <c r="EU343" s="16">
        <v>150</v>
      </c>
      <c r="EV343" s="16">
        <v>2161</v>
      </c>
      <c r="EW343" s="16">
        <v>571</v>
      </c>
      <c r="EX343" s="16">
        <v>111973</v>
      </c>
      <c r="EY343" s="16">
        <v>47523</v>
      </c>
      <c r="EZ343" s="16">
        <v>16703</v>
      </c>
      <c r="FA343" s="16">
        <v>19454</v>
      </c>
      <c r="FB343" s="16">
        <v>49747</v>
      </c>
      <c r="FC343" s="16">
        <v>282</v>
      </c>
      <c r="FD343" s="16">
        <v>28419</v>
      </c>
      <c r="FE343" s="16">
        <v>110809</v>
      </c>
      <c r="FF343" s="16">
        <v>12217</v>
      </c>
      <c r="FG343" s="16">
        <v>3370</v>
      </c>
      <c r="FH343" s="16">
        <v>34</v>
      </c>
      <c r="FI343" s="16">
        <v>2125</v>
      </c>
      <c r="FJ343" s="16">
        <v>125</v>
      </c>
      <c r="FK343" s="16">
        <v>4389</v>
      </c>
      <c r="FL343" s="16">
        <v>23</v>
      </c>
      <c r="FM343" s="16">
        <v>5377</v>
      </c>
      <c r="FN343" s="16">
        <v>10708</v>
      </c>
      <c r="FO343" s="16">
        <v>1962</v>
      </c>
      <c r="FP343" s="16">
        <v>19603</v>
      </c>
      <c r="FQ343" s="16">
        <v>10372</v>
      </c>
      <c r="FR343" s="16">
        <v>32719</v>
      </c>
      <c r="FS343" s="16">
        <v>2477</v>
      </c>
      <c r="FT343" s="16">
        <v>5821</v>
      </c>
      <c r="FU343" s="16">
        <v>12581</v>
      </c>
      <c r="FV343" s="16">
        <v>15123</v>
      </c>
      <c r="FW343" s="16">
        <v>4834</v>
      </c>
      <c r="FX343" s="16">
        <v>22480</v>
      </c>
      <c r="FY343" s="16">
        <v>1882</v>
      </c>
      <c r="FZ343" s="16">
        <v>4577</v>
      </c>
      <c r="GA343" s="16">
        <v>5543</v>
      </c>
      <c r="GB343" s="16">
        <v>10587</v>
      </c>
      <c r="GC343" s="16">
        <v>1728</v>
      </c>
      <c r="GD343" s="16">
        <v>18894</v>
      </c>
      <c r="GE343" s="16">
        <v>94920</v>
      </c>
      <c r="GF343" s="16">
        <v>1166651</v>
      </c>
      <c r="GG343" s="16">
        <v>29494</v>
      </c>
      <c r="GH343" s="16">
        <v>84522</v>
      </c>
      <c r="GI343" s="16">
        <v>32237</v>
      </c>
      <c r="GJ343" s="16">
        <v>27550</v>
      </c>
      <c r="GK343" s="16">
        <v>31703</v>
      </c>
      <c r="GL343" s="16">
        <v>388</v>
      </c>
      <c r="GM343" s="16">
        <v>12207</v>
      </c>
      <c r="GN343" s="16">
        <v>8714</v>
      </c>
      <c r="GO343" s="16">
        <v>14069</v>
      </c>
      <c r="GP343" s="16">
        <v>31686</v>
      </c>
      <c r="GQ343" s="16">
        <v>107123</v>
      </c>
      <c r="GR343" s="16">
        <v>1642</v>
      </c>
      <c r="GS343" s="16">
        <v>7185</v>
      </c>
      <c r="GT343" s="16">
        <v>7877</v>
      </c>
      <c r="GU343" s="16">
        <v>59573</v>
      </c>
      <c r="GV343" s="16">
        <v>381559</v>
      </c>
      <c r="GW343" s="16">
        <v>70372</v>
      </c>
      <c r="GX343" s="16">
        <v>51321</v>
      </c>
      <c r="GY343" s="16">
        <v>150</v>
      </c>
      <c r="GZ343" s="16">
        <v>63523</v>
      </c>
      <c r="HA343" s="16">
        <v>11545</v>
      </c>
      <c r="HB343" s="16">
        <v>9466</v>
      </c>
      <c r="HC343" s="16">
        <v>40011</v>
      </c>
      <c r="HD343" s="16">
        <v>32134</v>
      </c>
      <c r="HE343" s="16">
        <v>121071</v>
      </c>
      <c r="HF343" s="16">
        <v>51980</v>
      </c>
      <c r="HG343" s="16">
        <v>2423</v>
      </c>
      <c r="HH343" s="16">
        <v>1609</v>
      </c>
      <c r="HI343" s="16">
        <v>12544</v>
      </c>
      <c r="HJ343" s="16">
        <v>6824</v>
      </c>
      <c r="HK343" s="16">
        <v>28558</v>
      </c>
      <c r="HL343" s="16">
        <v>184867</v>
      </c>
      <c r="HM343" s="16">
        <v>11546</v>
      </c>
      <c r="HN343" s="16">
        <v>51561</v>
      </c>
      <c r="HO343" s="16">
        <v>17224</v>
      </c>
      <c r="HP343" s="16">
        <v>12275</v>
      </c>
      <c r="HQ343" s="16">
        <v>35299</v>
      </c>
      <c r="HR343" s="16">
        <v>50916</v>
      </c>
      <c r="HS343" s="16">
        <v>20514</v>
      </c>
      <c r="HT343" s="16">
        <v>7661</v>
      </c>
      <c r="HU343" s="16">
        <v>37320</v>
      </c>
      <c r="HV343" s="16">
        <v>12454</v>
      </c>
      <c r="HW343" s="16">
        <v>45722</v>
      </c>
      <c r="HX343" s="16">
        <v>16478</v>
      </c>
      <c r="HY343" s="16">
        <v>20535</v>
      </c>
      <c r="HZ343" s="16">
        <v>88236</v>
      </c>
      <c r="IA343" s="16">
        <v>20962</v>
      </c>
      <c r="IB343" s="16">
        <v>5250</v>
      </c>
      <c r="IC343" s="16">
        <v>2308</v>
      </c>
      <c r="ID343" s="16">
        <v>12025</v>
      </c>
      <c r="IE343" s="16">
        <v>4456</v>
      </c>
      <c r="IF343" s="16">
        <v>6042</v>
      </c>
      <c r="IG343" s="16">
        <v>73726</v>
      </c>
      <c r="IH343" s="16">
        <v>200141</v>
      </c>
      <c r="II343" s="16">
        <v>0</v>
      </c>
      <c r="IJ343" s="16">
        <v>2082</v>
      </c>
      <c r="IK343" s="16">
        <v>2018</v>
      </c>
      <c r="IL343" s="16">
        <v>7378</v>
      </c>
      <c r="IM343" s="16">
        <v>961</v>
      </c>
      <c r="IN343" s="16">
        <v>139187</v>
      </c>
      <c r="IO343" s="16">
        <v>871564</v>
      </c>
      <c r="IP343" s="16">
        <v>40199</v>
      </c>
      <c r="IQ343" s="16">
        <v>13366</v>
      </c>
      <c r="IR343" s="16">
        <v>5513</v>
      </c>
      <c r="IS343" s="16">
        <v>14115</v>
      </c>
      <c r="IT343" s="16">
        <v>6563</v>
      </c>
      <c r="IU343" s="16">
        <v>125</v>
      </c>
      <c r="IV343" s="16">
        <v>10444</v>
      </c>
      <c r="IW343" s="16">
        <v>4770</v>
      </c>
      <c r="IX343" s="16">
        <v>2326</v>
      </c>
      <c r="IY343" s="16">
        <v>1912</v>
      </c>
      <c r="IZ343" s="16">
        <v>334</v>
      </c>
      <c r="JA343" s="16">
        <v>2797</v>
      </c>
      <c r="JB343" s="16">
        <v>381</v>
      </c>
      <c r="JC343" s="16">
        <v>466</v>
      </c>
      <c r="JD343" s="16">
        <v>604</v>
      </c>
      <c r="JE343" s="16">
        <v>3915</v>
      </c>
      <c r="JF343" s="16">
        <v>1184</v>
      </c>
      <c r="JG343" s="16">
        <v>0</v>
      </c>
      <c r="JH343" s="16">
        <v>1842</v>
      </c>
      <c r="JI343" s="16">
        <v>4686</v>
      </c>
      <c r="JJ343" s="16">
        <v>24496</v>
      </c>
      <c r="JK343" s="16">
        <v>15436</v>
      </c>
      <c r="JL343" s="16">
        <v>2104</v>
      </c>
      <c r="JM343" s="16">
        <v>1661</v>
      </c>
      <c r="JN343" s="16">
        <v>7764</v>
      </c>
      <c r="JO343" s="16">
        <v>915</v>
      </c>
      <c r="JP343" s="16">
        <v>1669</v>
      </c>
      <c r="JQ343" s="16">
        <v>2214</v>
      </c>
      <c r="JR343" s="16">
        <v>477</v>
      </c>
      <c r="JS343" s="16">
        <v>337</v>
      </c>
      <c r="JT343" s="16">
        <v>0</v>
      </c>
      <c r="JU343" s="16">
        <v>3027</v>
      </c>
      <c r="JV343" s="16">
        <v>3840</v>
      </c>
      <c r="JW343" s="16">
        <v>88250</v>
      </c>
      <c r="JX343" s="16">
        <v>68139</v>
      </c>
      <c r="JY343" s="16">
        <v>48576</v>
      </c>
      <c r="JZ343" s="16">
        <v>1546</v>
      </c>
      <c r="KA343" s="16">
        <v>7250</v>
      </c>
      <c r="KB343" s="16">
        <v>753</v>
      </c>
      <c r="KC343" s="16">
        <v>620</v>
      </c>
      <c r="KD343" s="16">
        <v>137</v>
      </c>
      <c r="KE343" s="16">
        <v>3049</v>
      </c>
      <c r="KF343" s="16">
        <v>24322</v>
      </c>
      <c r="KG343" s="16">
        <v>16679</v>
      </c>
      <c r="KH343" s="16">
        <v>6220</v>
      </c>
      <c r="KI343" s="16">
        <v>9298</v>
      </c>
      <c r="KJ343" s="16">
        <v>650</v>
      </c>
      <c r="KK343" s="16">
        <v>188211</v>
      </c>
      <c r="KL343" s="16">
        <v>581</v>
      </c>
      <c r="KM343" s="16">
        <v>3224</v>
      </c>
      <c r="KN343" s="16">
        <v>13564</v>
      </c>
      <c r="KO343" s="16">
        <v>706</v>
      </c>
      <c r="KP343" s="16">
        <v>0</v>
      </c>
      <c r="KQ343" s="16">
        <v>762</v>
      </c>
      <c r="KR343" s="16">
        <v>10025</v>
      </c>
      <c r="KS343" s="16">
        <v>0</v>
      </c>
      <c r="KT343" s="16">
        <v>5738</v>
      </c>
      <c r="KU343" s="16">
        <v>61</v>
      </c>
      <c r="KV343" s="16">
        <v>30682</v>
      </c>
      <c r="KW343" s="16">
        <v>70279</v>
      </c>
      <c r="KX343" s="16">
        <v>0</v>
      </c>
      <c r="KY343" s="16">
        <v>1198</v>
      </c>
      <c r="KZ343" s="16">
        <v>1465</v>
      </c>
      <c r="LA343" s="16">
        <v>255</v>
      </c>
      <c r="LB343" s="16">
        <v>7</v>
      </c>
      <c r="LC343" s="16">
        <v>0</v>
      </c>
      <c r="LD343" s="16">
        <v>724</v>
      </c>
      <c r="LE343" s="16">
        <v>29652</v>
      </c>
      <c r="LF343" s="16">
        <v>53854</v>
      </c>
      <c r="LG343" s="16">
        <v>10016</v>
      </c>
      <c r="LH343" s="16">
        <v>18736</v>
      </c>
      <c r="LI343" s="16">
        <v>2656</v>
      </c>
      <c r="LJ343" s="16">
        <v>29907</v>
      </c>
      <c r="LK343" s="16">
        <v>40525</v>
      </c>
      <c r="LL343" s="16">
        <v>71082</v>
      </c>
      <c r="LM343" s="16">
        <v>378990</v>
      </c>
      <c r="LN343" s="16">
        <v>13246</v>
      </c>
      <c r="LO343" s="16">
        <v>4963</v>
      </c>
      <c r="LP343" s="16">
        <v>3927</v>
      </c>
      <c r="LQ343" s="16">
        <v>633</v>
      </c>
      <c r="LR343" s="16">
        <v>2230</v>
      </c>
      <c r="LS343" s="16">
        <v>0</v>
      </c>
      <c r="LT343" s="16">
        <v>0</v>
      </c>
      <c r="LU343" s="16">
        <v>278</v>
      </c>
      <c r="LV343" s="16">
        <v>0</v>
      </c>
      <c r="LW343" s="16">
        <v>0</v>
      </c>
      <c r="LX343" s="16">
        <v>4908</v>
      </c>
      <c r="LY343" s="16">
        <v>0</v>
      </c>
      <c r="LZ343" s="16">
        <v>2902</v>
      </c>
      <c r="MA343" s="16">
        <v>16865</v>
      </c>
      <c r="MB343" s="16">
        <v>9447</v>
      </c>
      <c r="MC343" s="16">
        <v>0</v>
      </c>
      <c r="MD343" s="16">
        <v>6187</v>
      </c>
      <c r="ME343" s="16">
        <v>882900</v>
      </c>
      <c r="MF343" s="16">
        <v>88582</v>
      </c>
      <c r="MG343" s="16">
        <v>670</v>
      </c>
      <c r="MH343" s="16">
        <v>171239</v>
      </c>
      <c r="MI343" s="16">
        <v>2285</v>
      </c>
      <c r="MJ343" s="16">
        <v>165725</v>
      </c>
      <c r="MK343" s="16">
        <v>100007</v>
      </c>
      <c r="ML343" s="16">
        <v>60418</v>
      </c>
      <c r="MM343" s="16">
        <v>10551</v>
      </c>
      <c r="MN343" s="16">
        <v>1553</v>
      </c>
      <c r="MO343" s="16">
        <v>5304</v>
      </c>
      <c r="MP343" s="16">
        <v>4434</v>
      </c>
      <c r="MQ343" s="16">
        <v>12838</v>
      </c>
      <c r="MR343" s="16">
        <v>1715</v>
      </c>
      <c r="MS343" s="16">
        <v>0</v>
      </c>
      <c r="MT343" s="16">
        <v>0</v>
      </c>
      <c r="MU343" s="16">
        <v>0</v>
      </c>
      <c r="MV343" s="16">
        <v>1895</v>
      </c>
      <c r="MW343" s="16">
        <v>656</v>
      </c>
      <c r="MX343" s="16">
        <v>0</v>
      </c>
      <c r="MY343" s="16">
        <v>0</v>
      </c>
      <c r="MZ343" s="16">
        <v>633</v>
      </c>
      <c r="NA343" s="16">
        <v>0</v>
      </c>
      <c r="NB343" s="16">
        <v>0</v>
      </c>
      <c r="NC343" s="16">
        <v>0</v>
      </c>
      <c r="ND343" s="16">
        <v>415</v>
      </c>
      <c r="NE343" s="16">
        <v>0</v>
      </c>
      <c r="NF343" s="16">
        <v>3638</v>
      </c>
      <c r="NG343" s="16">
        <v>1193</v>
      </c>
      <c r="NH343" s="16">
        <v>459</v>
      </c>
      <c r="NI343" s="16">
        <v>945</v>
      </c>
      <c r="NJ343" s="16">
        <v>829</v>
      </c>
      <c r="NK343" s="16">
        <v>296</v>
      </c>
      <c r="NL343" s="16">
        <v>399</v>
      </c>
      <c r="NM343" s="16">
        <v>49</v>
      </c>
      <c r="NN343" s="16">
        <v>38</v>
      </c>
      <c r="NO343" s="16">
        <v>0</v>
      </c>
      <c r="NP343" s="16">
        <v>67</v>
      </c>
      <c r="NQ343" s="16">
        <v>24</v>
      </c>
      <c r="NR343" s="17">
        <v>9446198</v>
      </c>
    </row>
    <row r="344" spans="1:382" ht="13.5" customHeight="1" x14ac:dyDescent="0.2">
      <c r="A344" s="2" t="s">
        <v>695</v>
      </c>
      <c r="B344" s="16">
        <v>0</v>
      </c>
      <c r="C344" s="16">
        <v>0</v>
      </c>
      <c r="D344" s="16">
        <v>0</v>
      </c>
      <c r="E344" s="16">
        <v>0</v>
      </c>
      <c r="F344" s="16">
        <v>0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6">
        <v>0</v>
      </c>
      <c r="AF344" s="16">
        <v>0</v>
      </c>
      <c r="AG344" s="16">
        <v>0</v>
      </c>
      <c r="AH344" s="16">
        <v>0</v>
      </c>
      <c r="AI344" s="16">
        <v>0</v>
      </c>
      <c r="AJ344" s="16">
        <v>0</v>
      </c>
      <c r="AK344" s="16">
        <v>0</v>
      </c>
      <c r="AL344" s="16">
        <v>0</v>
      </c>
      <c r="AM344" s="16">
        <v>0</v>
      </c>
      <c r="AN344" s="16">
        <v>0</v>
      </c>
      <c r="AO344" s="16">
        <v>0</v>
      </c>
      <c r="AP344" s="16">
        <v>0</v>
      </c>
      <c r="AQ344" s="16">
        <v>0</v>
      </c>
      <c r="AR344" s="16">
        <v>0</v>
      </c>
      <c r="AS344" s="16">
        <v>0</v>
      </c>
      <c r="AT344" s="16">
        <v>0</v>
      </c>
      <c r="AU344" s="16">
        <v>0</v>
      </c>
      <c r="AV344" s="16">
        <v>0</v>
      </c>
      <c r="AW344" s="16">
        <v>0</v>
      </c>
      <c r="AX344" s="16">
        <v>0</v>
      </c>
      <c r="AY344" s="16">
        <v>0</v>
      </c>
      <c r="AZ344" s="16">
        <v>0</v>
      </c>
      <c r="BA344" s="16">
        <v>0</v>
      </c>
      <c r="BB344" s="16">
        <v>0</v>
      </c>
      <c r="BC344" s="16">
        <v>0</v>
      </c>
      <c r="BD344" s="16">
        <v>0</v>
      </c>
      <c r="BE344" s="16">
        <v>0</v>
      </c>
      <c r="BF344" s="16">
        <v>0</v>
      </c>
      <c r="BG344" s="16">
        <v>0</v>
      </c>
      <c r="BH344" s="16">
        <v>0</v>
      </c>
      <c r="BI344" s="16">
        <v>0</v>
      </c>
      <c r="BJ344" s="16">
        <v>0</v>
      </c>
      <c r="BK344" s="16">
        <v>0</v>
      </c>
      <c r="BL344" s="16">
        <v>0</v>
      </c>
      <c r="BM344" s="16">
        <v>0</v>
      </c>
      <c r="BN344" s="16">
        <v>0</v>
      </c>
      <c r="BO344" s="16">
        <v>0</v>
      </c>
      <c r="BP344" s="16">
        <v>0</v>
      </c>
      <c r="BQ344" s="16">
        <v>0</v>
      </c>
      <c r="BR344" s="16">
        <v>0</v>
      </c>
      <c r="BS344" s="16">
        <v>0</v>
      </c>
      <c r="BT344" s="16">
        <v>0</v>
      </c>
      <c r="BU344" s="16">
        <v>0</v>
      </c>
      <c r="BV344" s="16">
        <v>0</v>
      </c>
      <c r="BW344" s="16">
        <v>0</v>
      </c>
      <c r="BX344" s="16">
        <v>0</v>
      </c>
      <c r="BY344" s="16">
        <v>0</v>
      </c>
      <c r="BZ344" s="16">
        <v>0</v>
      </c>
      <c r="CA344" s="16">
        <v>0</v>
      </c>
      <c r="CB344" s="16">
        <v>0</v>
      </c>
      <c r="CC344" s="16">
        <v>0</v>
      </c>
      <c r="CD344" s="16">
        <v>0</v>
      </c>
      <c r="CE344" s="16">
        <v>0</v>
      </c>
      <c r="CF344" s="16">
        <v>0</v>
      </c>
      <c r="CG344" s="16">
        <v>0</v>
      </c>
      <c r="CH344" s="16">
        <v>0</v>
      </c>
      <c r="CI344" s="16">
        <v>0</v>
      </c>
      <c r="CJ344" s="16">
        <v>0</v>
      </c>
      <c r="CK344" s="16">
        <v>0</v>
      </c>
      <c r="CL344" s="16">
        <v>0</v>
      </c>
      <c r="CM344" s="16">
        <v>0</v>
      </c>
      <c r="CN344" s="16">
        <v>0</v>
      </c>
      <c r="CO344" s="16">
        <v>0</v>
      </c>
      <c r="CP344" s="16">
        <v>0</v>
      </c>
      <c r="CQ344" s="16">
        <v>0</v>
      </c>
      <c r="CR344" s="16">
        <v>0</v>
      </c>
      <c r="CS344" s="16">
        <v>0</v>
      </c>
      <c r="CT344" s="16">
        <v>0</v>
      </c>
      <c r="CU344" s="16">
        <v>0</v>
      </c>
      <c r="CV344" s="16">
        <v>0</v>
      </c>
      <c r="CW344" s="16">
        <v>0</v>
      </c>
      <c r="CX344" s="16">
        <v>0</v>
      </c>
      <c r="CY344" s="16">
        <v>0</v>
      </c>
      <c r="CZ344" s="16">
        <v>0</v>
      </c>
      <c r="DA344" s="16">
        <v>0</v>
      </c>
      <c r="DB344" s="16">
        <v>0</v>
      </c>
      <c r="DC344" s="16">
        <v>0</v>
      </c>
      <c r="DD344" s="16">
        <v>0</v>
      </c>
      <c r="DE344" s="16">
        <v>0</v>
      </c>
      <c r="DF344" s="16">
        <v>0</v>
      </c>
      <c r="DG344" s="16">
        <v>0</v>
      </c>
      <c r="DH344" s="16">
        <v>0</v>
      </c>
      <c r="DI344" s="16">
        <v>0</v>
      </c>
      <c r="DJ344" s="16">
        <v>0</v>
      </c>
      <c r="DK344" s="16">
        <v>0</v>
      </c>
      <c r="DL344" s="16">
        <v>0</v>
      </c>
      <c r="DM344" s="16">
        <v>0</v>
      </c>
      <c r="DN344" s="16">
        <v>0</v>
      </c>
      <c r="DO344" s="16">
        <v>0</v>
      </c>
      <c r="DP344" s="16">
        <v>0</v>
      </c>
      <c r="DQ344" s="16">
        <v>0</v>
      </c>
      <c r="DR344" s="16">
        <v>0</v>
      </c>
      <c r="DS344" s="16">
        <v>0</v>
      </c>
      <c r="DT344" s="16">
        <v>0</v>
      </c>
      <c r="DU344" s="16">
        <v>0</v>
      </c>
      <c r="DV344" s="16">
        <v>0</v>
      </c>
      <c r="DW344" s="16">
        <v>0</v>
      </c>
      <c r="DX344" s="16">
        <v>0</v>
      </c>
      <c r="DY344" s="16">
        <v>0</v>
      </c>
      <c r="DZ344" s="16">
        <v>0</v>
      </c>
      <c r="EA344" s="16">
        <v>0</v>
      </c>
      <c r="EB344" s="16">
        <v>0</v>
      </c>
      <c r="EC344" s="16">
        <v>0</v>
      </c>
      <c r="ED344" s="16">
        <v>0</v>
      </c>
      <c r="EE344" s="16">
        <v>0</v>
      </c>
      <c r="EF344" s="16">
        <v>0</v>
      </c>
      <c r="EG344" s="16">
        <v>0</v>
      </c>
      <c r="EH344" s="16">
        <v>0</v>
      </c>
      <c r="EI344" s="16">
        <v>0</v>
      </c>
      <c r="EJ344" s="16">
        <v>0</v>
      </c>
      <c r="EK344" s="16">
        <v>0</v>
      </c>
      <c r="EL344" s="16">
        <v>0</v>
      </c>
      <c r="EM344" s="16">
        <v>0</v>
      </c>
      <c r="EN344" s="16">
        <v>0</v>
      </c>
      <c r="EO344" s="16">
        <v>0</v>
      </c>
      <c r="EP344" s="16">
        <v>0</v>
      </c>
      <c r="EQ344" s="16">
        <v>0</v>
      </c>
      <c r="ER344" s="16">
        <v>0</v>
      </c>
      <c r="ES344" s="16">
        <v>0</v>
      </c>
      <c r="ET344" s="16">
        <v>0</v>
      </c>
      <c r="EU344" s="16">
        <v>0</v>
      </c>
      <c r="EV344" s="16">
        <v>0</v>
      </c>
      <c r="EW344" s="16">
        <v>0</v>
      </c>
      <c r="EX344" s="16">
        <v>0</v>
      </c>
      <c r="EY344" s="16">
        <v>0</v>
      </c>
      <c r="EZ344" s="16">
        <v>0</v>
      </c>
      <c r="FA344" s="16">
        <v>0</v>
      </c>
      <c r="FB344" s="16">
        <v>0</v>
      </c>
      <c r="FC344" s="16">
        <v>0</v>
      </c>
      <c r="FD344" s="16">
        <v>0</v>
      </c>
      <c r="FE344" s="16">
        <v>0</v>
      </c>
      <c r="FF344" s="16">
        <v>0</v>
      </c>
      <c r="FG344" s="16">
        <v>0</v>
      </c>
      <c r="FH344" s="16">
        <v>0</v>
      </c>
      <c r="FI344" s="16">
        <v>0</v>
      </c>
      <c r="FJ344" s="16">
        <v>0</v>
      </c>
      <c r="FK344" s="16">
        <v>0</v>
      </c>
      <c r="FL344" s="16">
        <v>0</v>
      </c>
      <c r="FM344" s="16">
        <v>0</v>
      </c>
      <c r="FN344" s="16">
        <v>0</v>
      </c>
      <c r="FO344" s="16">
        <v>0</v>
      </c>
      <c r="FP344" s="16">
        <v>0</v>
      </c>
      <c r="FQ344" s="16">
        <v>0</v>
      </c>
      <c r="FR344" s="16">
        <v>0</v>
      </c>
      <c r="FS344" s="16">
        <v>0</v>
      </c>
      <c r="FT344" s="16">
        <v>0</v>
      </c>
      <c r="FU344" s="16">
        <v>0</v>
      </c>
      <c r="FV344" s="16">
        <v>0</v>
      </c>
      <c r="FW344" s="16">
        <v>0</v>
      </c>
      <c r="FX344" s="16">
        <v>0</v>
      </c>
      <c r="FY344" s="16">
        <v>0</v>
      </c>
      <c r="FZ344" s="16">
        <v>0</v>
      </c>
      <c r="GA344" s="16">
        <v>0</v>
      </c>
      <c r="GB344" s="16">
        <v>0</v>
      </c>
      <c r="GC344" s="16">
        <v>0</v>
      </c>
      <c r="GD344" s="16">
        <v>0</v>
      </c>
      <c r="GE344" s="16">
        <v>0</v>
      </c>
      <c r="GF344" s="16">
        <v>0</v>
      </c>
      <c r="GG344" s="16">
        <v>0</v>
      </c>
      <c r="GH344" s="16">
        <v>0</v>
      </c>
      <c r="GI344" s="16">
        <v>0</v>
      </c>
      <c r="GJ344" s="16">
        <v>0</v>
      </c>
      <c r="GK344" s="16">
        <v>0</v>
      </c>
      <c r="GL344" s="16">
        <v>0</v>
      </c>
      <c r="GM344" s="16">
        <v>0</v>
      </c>
      <c r="GN344" s="16">
        <v>0</v>
      </c>
      <c r="GO344" s="16">
        <v>0</v>
      </c>
      <c r="GP344" s="16">
        <v>0</v>
      </c>
      <c r="GQ344" s="16">
        <v>0</v>
      </c>
      <c r="GR344" s="16">
        <v>0</v>
      </c>
      <c r="GS344" s="16">
        <v>0</v>
      </c>
      <c r="GT344" s="16">
        <v>0</v>
      </c>
      <c r="GU344" s="16">
        <v>0</v>
      </c>
      <c r="GV344" s="16">
        <v>0</v>
      </c>
      <c r="GW344" s="16">
        <v>0</v>
      </c>
      <c r="GX344" s="16">
        <v>0</v>
      </c>
      <c r="GY344" s="16">
        <v>0</v>
      </c>
      <c r="GZ344" s="16">
        <v>0</v>
      </c>
      <c r="HA344" s="16">
        <v>0</v>
      </c>
      <c r="HB344" s="16">
        <v>0</v>
      </c>
      <c r="HC344" s="16">
        <v>0</v>
      </c>
      <c r="HD344" s="16">
        <v>0</v>
      </c>
      <c r="HE344" s="16">
        <v>0</v>
      </c>
      <c r="HF344" s="16">
        <v>0</v>
      </c>
      <c r="HG344" s="16">
        <v>0</v>
      </c>
      <c r="HH344" s="16">
        <v>0</v>
      </c>
      <c r="HI344" s="16">
        <v>0</v>
      </c>
      <c r="HJ344" s="16">
        <v>0</v>
      </c>
      <c r="HK344" s="16">
        <v>0</v>
      </c>
      <c r="HL344" s="16">
        <v>0</v>
      </c>
      <c r="HM344" s="16">
        <v>0</v>
      </c>
      <c r="HN344" s="16">
        <v>0</v>
      </c>
      <c r="HO344" s="16">
        <v>0</v>
      </c>
      <c r="HP344" s="16">
        <v>0</v>
      </c>
      <c r="HQ344" s="16">
        <v>0</v>
      </c>
      <c r="HR344" s="16">
        <v>0</v>
      </c>
      <c r="HS344" s="16">
        <v>0</v>
      </c>
      <c r="HT344" s="16">
        <v>0</v>
      </c>
      <c r="HU344" s="16">
        <v>0</v>
      </c>
      <c r="HV344" s="16">
        <v>0</v>
      </c>
      <c r="HW344" s="16">
        <v>0</v>
      </c>
      <c r="HX344" s="16">
        <v>0</v>
      </c>
      <c r="HY344" s="16">
        <v>0</v>
      </c>
      <c r="HZ344" s="16">
        <v>0</v>
      </c>
      <c r="IA344" s="16">
        <v>0</v>
      </c>
      <c r="IB344" s="16">
        <v>0</v>
      </c>
      <c r="IC344" s="16">
        <v>0</v>
      </c>
      <c r="ID344" s="16">
        <v>0</v>
      </c>
      <c r="IE344" s="16">
        <v>0</v>
      </c>
      <c r="IF344" s="16">
        <v>0</v>
      </c>
      <c r="IG344" s="16">
        <v>0</v>
      </c>
      <c r="IH344" s="16">
        <v>0</v>
      </c>
      <c r="II344" s="16">
        <v>0</v>
      </c>
      <c r="IJ344" s="16">
        <v>0</v>
      </c>
      <c r="IK344" s="16">
        <v>0</v>
      </c>
      <c r="IL344" s="16">
        <v>0</v>
      </c>
      <c r="IM344" s="16">
        <v>0</v>
      </c>
      <c r="IN344" s="16">
        <v>0</v>
      </c>
      <c r="IO344" s="16">
        <v>0</v>
      </c>
      <c r="IP344" s="16">
        <v>0</v>
      </c>
      <c r="IQ344" s="16">
        <v>0</v>
      </c>
      <c r="IR344" s="16">
        <v>0</v>
      </c>
      <c r="IS344" s="16">
        <v>0</v>
      </c>
      <c r="IT344" s="16">
        <v>0</v>
      </c>
      <c r="IU344" s="16">
        <v>0</v>
      </c>
      <c r="IV344" s="16">
        <v>0</v>
      </c>
      <c r="IW344" s="16">
        <v>0</v>
      </c>
      <c r="IX344" s="16">
        <v>0</v>
      </c>
      <c r="IY344" s="16">
        <v>0</v>
      </c>
      <c r="IZ344" s="16">
        <v>0</v>
      </c>
      <c r="JA344" s="16">
        <v>0</v>
      </c>
      <c r="JB344" s="16">
        <v>0</v>
      </c>
      <c r="JC344" s="16">
        <v>0</v>
      </c>
      <c r="JD344" s="16">
        <v>0</v>
      </c>
      <c r="JE344" s="16">
        <v>0</v>
      </c>
      <c r="JF344" s="16">
        <v>0</v>
      </c>
      <c r="JG344" s="16">
        <v>0</v>
      </c>
      <c r="JH344" s="16">
        <v>0</v>
      </c>
      <c r="JI344" s="16">
        <v>0</v>
      </c>
      <c r="JJ344" s="16">
        <v>0</v>
      </c>
      <c r="JK344" s="16">
        <v>0</v>
      </c>
      <c r="JL344" s="16">
        <v>0</v>
      </c>
      <c r="JM344" s="16">
        <v>0</v>
      </c>
      <c r="JN344" s="16">
        <v>0</v>
      </c>
      <c r="JO344" s="16">
        <v>0</v>
      </c>
      <c r="JP344" s="16">
        <v>0</v>
      </c>
      <c r="JQ344" s="16">
        <v>0</v>
      </c>
      <c r="JR344" s="16">
        <v>0</v>
      </c>
      <c r="JS344" s="16">
        <v>0</v>
      </c>
      <c r="JT344" s="16">
        <v>0</v>
      </c>
      <c r="JU344" s="16">
        <v>0</v>
      </c>
      <c r="JV344" s="16">
        <v>0</v>
      </c>
      <c r="JW344" s="16">
        <v>0</v>
      </c>
      <c r="JX344" s="16">
        <v>0</v>
      </c>
      <c r="JY344" s="16">
        <v>0</v>
      </c>
      <c r="JZ344" s="16">
        <v>0</v>
      </c>
      <c r="KA344" s="16">
        <v>0</v>
      </c>
      <c r="KB344" s="16">
        <v>0</v>
      </c>
      <c r="KC344" s="16">
        <v>0</v>
      </c>
      <c r="KD344" s="16">
        <v>0</v>
      </c>
      <c r="KE344" s="16">
        <v>0</v>
      </c>
      <c r="KF344" s="16">
        <v>0</v>
      </c>
      <c r="KG344" s="16">
        <v>0</v>
      </c>
      <c r="KH344" s="16">
        <v>0</v>
      </c>
      <c r="KI344" s="16">
        <v>0</v>
      </c>
      <c r="KJ344" s="16">
        <v>0</v>
      </c>
      <c r="KK344" s="16">
        <v>0</v>
      </c>
      <c r="KL344" s="16">
        <v>0</v>
      </c>
      <c r="KM344" s="16">
        <v>0</v>
      </c>
      <c r="KN344" s="16">
        <v>0</v>
      </c>
      <c r="KO344" s="16">
        <v>0</v>
      </c>
      <c r="KP344" s="16">
        <v>0</v>
      </c>
      <c r="KQ344" s="16">
        <v>0</v>
      </c>
      <c r="KR344" s="16">
        <v>0</v>
      </c>
      <c r="KS344" s="16">
        <v>0</v>
      </c>
      <c r="KT344" s="16">
        <v>0</v>
      </c>
      <c r="KU344" s="16">
        <v>0</v>
      </c>
      <c r="KV344" s="16">
        <v>0</v>
      </c>
      <c r="KW344" s="16">
        <v>0</v>
      </c>
      <c r="KX344" s="16">
        <v>0</v>
      </c>
      <c r="KY344" s="16">
        <v>0</v>
      </c>
      <c r="KZ344" s="16">
        <v>0</v>
      </c>
      <c r="LA344" s="16">
        <v>0</v>
      </c>
      <c r="LB344" s="16">
        <v>0</v>
      </c>
      <c r="LC344" s="16">
        <v>0</v>
      </c>
      <c r="LD344" s="16">
        <v>0</v>
      </c>
      <c r="LE344" s="16">
        <v>0</v>
      </c>
      <c r="LF344" s="16">
        <v>0</v>
      </c>
      <c r="LG344" s="16">
        <v>0</v>
      </c>
      <c r="LH344" s="16">
        <v>0</v>
      </c>
      <c r="LI344" s="16">
        <v>0</v>
      </c>
      <c r="LJ344" s="16">
        <v>0</v>
      </c>
      <c r="LK344" s="16">
        <v>0</v>
      </c>
      <c r="LL344" s="16">
        <v>0</v>
      </c>
      <c r="LM344" s="16">
        <v>0</v>
      </c>
      <c r="LN344" s="16">
        <v>0</v>
      </c>
      <c r="LO344" s="16">
        <v>0</v>
      </c>
      <c r="LP344" s="16">
        <v>0</v>
      </c>
      <c r="LQ344" s="16">
        <v>0</v>
      </c>
      <c r="LR344" s="16">
        <v>0</v>
      </c>
      <c r="LS344" s="16">
        <v>0</v>
      </c>
      <c r="LT344" s="16">
        <v>0</v>
      </c>
      <c r="LU344" s="16">
        <v>0</v>
      </c>
      <c r="LV344" s="16">
        <v>0</v>
      </c>
      <c r="LW344" s="16">
        <v>0</v>
      </c>
      <c r="LX344" s="16">
        <v>0</v>
      </c>
      <c r="LY344" s="16">
        <v>0</v>
      </c>
      <c r="LZ344" s="16">
        <v>0</v>
      </c>
      <c r="MA344" s="16">
        <v>0</v>
      </c>
      <c r="MB344" s="16">
        <v>0</v>
      </c>
      <c r="MC344" s="16">
        <v>0</v>
      </c>
      <c r="MD344" s="16">
        <v>0</v>
      </c>
      <c r="ME344" s="16">
        <v>0</v>
      </c>
      <c r="MF344" s="16">
        <v>0</v>
      </c>
      <c r="MG344" s="16">
        <v>0</v>
      </c>
      <c r="MH344" s="16">
        <v>0</v>
      </c>
      <c r="MI344" s="16">
        <v>0</v>
      </c>
      <c r="MJ344" s="16">
        <v>0</v>
      </c>
      <c r="MK344" s="16">
        <v>0</v>
      </c>
      <c r="ML344" s="16">
        <v>0</v>
      </c>
      <c r="MM344" s="16">
        <v>0</v>
      </c>
      <c r="MN344" s="16">
        <v>0</v>
      </c>
      <c r="MO344" s="16">
        <v>0</v>
      </c>
      <c r="MP344" s="16">
        <v>0</v>
      </c>
      <c r="MQ344" s="16">
        <v>0</v>
      </c>
      <c r="MR344" s="16">
        <v>0</v>
      </c>
      <c r="MS344" s="16">
        <v>0</v>
      </c>
      <c r="MT344" s="16">
        <v>0</v>
      </c>
      <c r="MU344" s="16">
        <v>0</v>
      </c>
      <c r="MV344" s="16">
        <v>0</v>
      </c>
      <c r="MW344" s="16">
        <v>0</v>
      </c>
      <c r="MX344" s="16">
        <v>0</v>
      </c>
      <c r="MY344" s="16">
        <v>0</v>
      </c>
      <c r="MZ344" s="16">
        <v>0</v>
      </c>
      <c r="NA344" s="16">
        <v>0</v>
      </c>
      <c r="NB344" s="16">
        <v>0</v>
      </c>
      <c r="NC344" s="16">
        <v>0</v>
      </c>
      <c r="ND344" s="16">
        <v>0</v>
      </c>
      <c r="NE344" s="16">
        <v>0</v>
      </c>
      <c r="NF344" s="16">
        <v>0</v>
      </c>
      <c r="NG344" s="16">
        <v>0</v>
      </c>
      <c r="NH344" s="16">
        <v>0</v>
      </c>
      <c r="NI344" s="16">
        <v>0</v>
      </c>
      <c r="NJ344" s="16">
        <v>0</v>
      </c>
      <c r="NK344" s="16">
        <v>0</v>
      </c>
      <c r="NL344" s="16">
        <v>0</v>
      </c>
      <c r="NM344" s="16">
        <v>0</v>
      </c>
      <c r="NN344" s="16">
        <v>0</v>
      </c>
      <c r="NO344" s="16">
        <v>0</v>
      </c>
      <c r="NP344" s="16">
        <v>0</v>
      </c>
      <c r="NQ344" s="16">
        <v>0</v>
      </c>
      <c r="NR344" s="17">
        <v>0</v>
      </c>
    </row>
    <row r="345" spans="1:382" ht="13.5" customHeight="1" x14ac:dyDescent="0.2">
      <c r="A345" s="2" t="s">
        <v>697</v>
      </c>
      <c r="B345" s="16">
        <v>1219</v>
      </c>
      <c r="C345" s="16">
        <v>0</v>
      </c>
      <c r="D345" s="16">
        <v>0</v>
      </c>
      <c r="E345" s="16">
        <v>0</v>
      </c>
      <c r="F345" s="16">
        <v>578</v>
      </c>
      <c r="G345" s="16">
        <v>0</v>
      </c>
      <c r="H345" s="16">
        <v>117</v>
      </c>
      <c r="I345" s="16">
        <v>0</v>
      </c>
      <c r="J345" s="16">
        <v>0</v>
      </c>
      <c r="K345" s="16">
        <v>0</v>
      </c>
      <c r="L345" s="16">
        <v>305</v>
      </c>
      <c r="M345" s="16">
        <v>0</v>
      </c>
      <c r="N345" s="16">
        <v>0</v>
      </c>
      <c r="O345" s="16">
        <v>53</v>
      </c>
      <c r="P345" s="16">
        <v>1598</v>
      </c>
      <c r="Q345" s="16">
        <v>1863</v>
      </c>
      <c r="R345" s="16">
        <v>866</v>
      </c>
      <c r="S345" s="16">
        <v>740</v>
      </c>
      <c r="T345" s="16">
        <v>437</v>
      </c>
      <c r="U345" s="16">
        <v>168</v>
      </c>
      <c r="V345" s="16">
        <v>699</v>
      </c>
      <c r="W345" s="16">
        <v>145</v>
      </c>
      <c r="X345" s="16">
        <v>6623</v>
      </c>
      <c r="Y345" s="16">
        <v>12672</v>
      </c>
      <c r="Z345" s="16">
        <v>9941</v>
      </c>
      <c r="AA345" s="16">
        <v>278</v>
      </c>
      <c r="AB345" s="16">
        <v>0</v>
      </c>
      <c r="AC345" s="16">
        <v>0</v>
      </c>
      <c r="AD345" s="16">
        <v>0</v>
      </c>
      <c r="AE345" s="16">
        <v>569</v>
      </c>
      <c r="AF345" s="16">
        <v>121</v>
      </c>
      <c r="AG345" s="16">
        <v>7100</v>
      </c>
      <c r="AH345" s="16">
        <v>2169</v>
      </c>
      <c r="AI345" s="16">
        <v>2761</v>
      </c>
      <c r="AJ345" s="16">
        <v>19426</v>
      </c>
      <c r="AK345" s="16">
        <v>6734</v>
      </c>
      <c r="AL345" s="16">
        <v>1852</v>
      </c>
      <c r="AM345" s="16">
        <v>9299</v>
      </c>
      <c r="AN345" s="16">
        <v>11677</v>
      </c>
      <c r="AO345" s="16">
        <v>28851</v>
      </c>
      <c r="AP345" s="16">
        <v>2389</v>
      </c>
      <c r="AQ345" s="16">
        <v>1355</v>
      </c>
      <c r="AR345" s="16">
        <v>0</v>
      </c>
      <c r="AS345" s="16">
        <v>599</v>
      </c>
      <c r="AT345" s="16">
        <v>2394</v>
      </c>
      <c r="AU345" s="16">
        <v>4829</v>
      </c>
      <c r="AV345" s="16">
        <v>899</v>
      </c>
      <c r="AW345" s="16">
        <v>9112</v>
      </c>
      <c r="AX345" s="16">
        <v>5109</v>
      </c>
      <c r="AY345" s="16">
        <v>500</v>
      </c>
      <c r="AZ345" s="16">
        <v>50953</v>
      </c>
      <c r="BA345" s="16">
        <v>1415</v>
      </c>
      <c r="BB345" s="16">
        <v>3281</v>
      </c>
      <c r="BC345" s="16">
        <v>23869</v>
      </c>
      <c r="BD345" s="16">
        <v>706</v>
      </c>
      <c r="BE345" s="16">
        <v>1128</v>
      </c>
      <c r="BF345" s="16">
        <v>16737</v>
      </c>
      <c r="BG345" s="16">
        <v>5851</v>
      </c>
      <c r="BH345" s="16">
        <v>21427</v>
      </c>
      <c r="BI345" s="16">
        <v>1012</v>
      </c>
      <c r="BJ345" s="16">
        <v>1985</v>
      </c>
      <c r="BK345" s="16">
        <v>1974</v>
      </c>
      <c r="BL345" s="16">
        <v>15718</v>
      </c>
      <c r="BM345" s="16">
        <v>8786</v>
      </c>
      <c r="BN345" s="16">
        <v>4506</v>
      </c>
      <c r="BO345" s="16">
        <v>48425</v>
      </c>
      <c r="BP345" s="16">
        <v>34852</v>
      </c>
      <c r="BQ345" s="16">
        <v>1933</v>
      </c>
      <c r="BR345" s="16">
        <v>3643</v>
      </c>
      <c r="BS345" s="16">
        <v>30772</v>
      </c>
      <c r="BT345" s="16">
        <v>236</v>
      </c>
      <c r="BU345" s="16">
        <v>215</v>
      </c>
      <c r="BV345" s="16">
        <v>35</v>
      </c>
      <c r="BW345" s="16">
        <v>912</v>
      </c>
      <c r="BX345" s="16">
        <v>979</v>
      </c>
      <c r="BY345" s="16">
        <v>10</v>
      </c>
      <c r="BZ345" s="16">
        <v>6841</v>
      </c>
      <c r="CA345" s="16">
        <v>1904</v>
      </c>
      <c r="CB345" s="16">
        <v>2481</v>
      </c>
      <c r="CC345" s="16">
        <v>4146</v>
      </c>
      <c r="CD345" s="16">
        <v>1159</v>
      </c>
      <c r="CE345" s="16">
        <v>4225</v>
      </c>
      <c r="CF345" s="16">
        <v>3345</v>
      </c>
      <c r="CG345" s="16">
        <v>3901</v>
      </c>
      <c r="CH345" s="16">
        <v>12107</v>
      </c>
      <c r="CI345" s="16">
        <v>593</v>
      </c>
      <c r="CJ345" s="16">
        <v>9160</v>
      </c>
      <c r="CK345" s="16">
        <v>12858</v>
      </c>
      <c r="CL345" s="16">
        <v>7221</v>
      </c>
      <c r="CM345" s="16">
        <v>4638</v>
      </c>
      <c r="CN345" s="16">
        <v>3238</v>
      </c>
      <c r="CO345" s="16">
        <v>2594</v>
      </c>
      <c r="CP345" s="16">
        <v>5874</v>
      </c>
      <c r="CQ345" s="16">
        <v>9331</v>
      </c>
      <c r="CR345" s="16">
        <v>8978</v>
      </c>
      <c r="CS345" s="16">
        <v>26095</v>
      </c>
      <c r="CT345" s="16">
        <v>18519</v>
      </c>
      <c r="CU345" s="16">
        <v>30265</v>
      </c>
      <c r="CV345" s="16">
        <v>18991</v>
      </c>
      <c r="CW345" s="16">
        <v>53825</v>
      </c>
      <c r="CX345" s="16">
        <v>24757</v>
      </c>
      <c r="CY345" s="16">
        <v>3743</v>
      </c>
      <c r="CZ345" s="16">
        <v>9957</v>
      </c>
      <c r="DA345" s="16">
        <v>2945</v>
      </c>
      <c r="DB345" s="16">
        <v>8955</v>
      </c>
      <c r="DC345" s="16">
        <v>5492</v>
      </c>
      <c r="DD345" s="16">
        <v>24990</v>
      </c>
      <c r="DE345" s="16">
        <v>22092</v>
      </c>
      <c r="DF345" s="16">
        <v>71181</v>
      </c>
      <c r="DG345" s="16">
        <v>22710</v>
      </c>
      <c r="DH345" s="16">
        <v>35574</v>
      </c>
      <c r="DI345" s="16">
        <v>4019</v>
      </c>
      <c r="DJ345" s="16">
        <v>77795</v>
      </c>
      <c r="DK345" s="16">
        <v>36088</v>
      </c>
      <c r="DL345" s="16">
        <v>5286</v>
      </c>
      <c r="DM345" s="16">
        <v>133760</v>
      </c>
      <c r="DN345" s="16">
        <v>3419</v>
      </c>
      <c r="DO345" s="16">
        <v>7136</v>
      </c>
      <c r="DP345" s="16">
        <v>11762</v>
      </c>
      <c r="DQ345" s="16">
        <v>2010</v>
      </c>
      <c r="DR345" s="16">
        <v>17092</v>
      </c>
      <c r="DS345" s="16">
        <v>49130</v>
      </c>
      <c r="DT345" s="16">
        <v>2512</v>
      </c>
      <c r="DU345" s="16">
        <v>4925</v>
      </c>
      <c r="DV345" s="16">
        <v>36922</v>
      </c>
      <c r="DW345" s="16">
        <v>31231</v>
      </c>
      <c r="DX345" s="16">
        <v>11225</v>
      </c>
      <c r="DY345" s="16">
        <v>28094</v>
      </c>
      <c r="DZ345" s="16">
        <v>73816</v>
      </c>
      <c r="EA345" s="16">
        <v>38572</v>
      </c>
      <c r="EB345" s="16">
        <v>18912</v>
      </c>
      <c r="EC345" s="16">
        <v>22822</v>
      </c>
      <c r="ED345" s="16">
        <v>3784</v>
      </c>
      <c r="EE345" s="16">
        <v>993</v>
      </c>
      <c r="EF345" s="16">
        <v>273</v>
      </c>
      <c r="EG345" s="16">
        <v>2217</v>
      </c>
      <c r="EH345" s="16">
        <v>595</v>
      </c>
      <c r="EI345" s="16">
        <v>3948</v>
      </c>
      <c r="EJ345" s="16">
        <v>5830</v>
      </c>
      <c r="EK345" s="16">
        <v>1413</v>
      </c>
      <c r="EL345" s="16">
        <v>2874</v>
      </c>
      <c r="EM345" s="16">
        <v>3208</v>
      </c>
      <c r="EN345" s="16">
        <v>29126</v>
      </c>
      <c r="EO345" s="16">
        <v>19683</v>
      </c>
      <c r="EP345" s="16">
        <v>3050</v>
      </c>
      <c r="EQ345" s="16">
        <v>21646</v>
      </c>
      <c r="ER345" s="16">
        <v>8662</v>
      </c>
      <c r="ES345" s="16">
        <v>9846</v>
      </c>
      <c r="ET345" s="16">
        <v>15864</v>
      </c>
      <c r="EU345" s="16">
        <v>12</v>
      </c>
      <c r="EV345" s="16">
        <v>613</v>
      </c>
      <c r="EW345" s="16">
        <v>3617</v>
      </c>
      <c r="EX345" s="16">
        <v>56813</v>
      </c>
      <c r="EY345" s="16">
        <v>20570</v>
      </c>
      <c r="EZ345" s="16">
        <v>7206</v>
      </c>
      <c r="FA345" s="16">
        <v>10169</v>
      </c>
      <c r="FB345" s="16">
        <v>40951</v>
      </c>
      <c r="FC345" s="16">
        <v>3181</v>
      </c>
      <c r="FD345" s="16">
        <v>91783</v>
      </c>
      <c r="FE345" s="16">
        <v>16875</v>
      </c>
      <c r="FF345" s="16">
        <v>15692</v>
      </c>
      <c r="FG345" s="16">
        <v>13220</v>
      </c>
      <c r="FH345" s="16">
        <v>2153</v>
      </c>
      <c r="FI345" s="16">
        <v>2336</v>
      </c>
      <c r="FJ345" s="16">
        <v>559</v>
      </c>
      <c r="FK345" s="16">
        <v>4034</v>
      </c>
      <c r="FL345" s="16">
        <v>833</v>
      </c>
      <c r="FM345" s="16">
        <v>19672</v>
      </c>
      <c r="FN345" s="16">
        <v>10889</v>
      </c>
      <c r="FO345" s="16">
        <v>9619</v>
      </c>
      <c r="FP345" s="16">
        <v>14273</v>
      </c>
      <c r="FQ345" s="16">
        <v>87720</v>
      </c>
      <c r="FR345" s="16">
        <v>9965</v>
      </c>
      <c r="FS345" s="16">
        <v>7976</v>
      </c>
      <c r="FT345" s="16">
        <v>15761</v>
      </c>
      <c r="FU345" s="16">
        <v>9705</v>
      </c>
      <c r="FV345" s="16">
        <v>30398</v>
      </c>
      <c r="FW345" s="16">
        <v>24560</v>
      </c>
      <c r="FX345" s="16">
        <v>29418</v>
      </c>
      <c r="FY345" s="16">
        <v>2913</v>
      </c>
      <c r="FZ345" s="16">
        <v>4850</v>
      </c>
      <c r="GA345" s="16">
        <v>7862</v>
      </c>
      <c r="GB345" s="16">
        <v>11855</v>
      </c>
      <c r="GC345" s="16">
        <v>6065</v>
      </c>
      <c r="GD345" s="16">
        <v>13686</v>
      </c>
      <c r="GE345" s="16">
        <v>1481</v>
      </c>
      <c r="GF345" s="16">
        <v>108978</v>
      </c>
      <c r="GG345" s="16">
        <v>4379</v>
      </c>
      <c r="GH345" s="16">
        <v>93631</v>
      </c>
      <c r="GI345" s="16">
        <v>21788</v>
      </c>
      <c r="GJ345" s="16">
        <v>12519</v>
      </c>
      <c r="GK345" s="16">
        <v>13331</v>
      </c>
      <c r="GL345" s="16">
        <v>1671</v>
      </c>
      <c r="GM345" s="16">
        <v>31197</v>
      </c>
      <c r="GN345" s="16">
        <v>1927</v>
      </c>
      <c r="GO345" s="16">
        <v>4247</v>
      </c>
      <c r="GP345" s="16">
        <v>36172</v>
      </c>
      <c r="GQ345" s="16">
        <v>2885</v>
      </c>
      <c r="GR345" s="16">
        <v>4025</v>
      </c>
      <c r="GS345" s="16">
        <v>4796</v>
      </c>
      <c r="GT345" s="16">
        <v>662</v>
      </c>
      <c r="GU345" s="16">
        <v>31857</v>
      </c>
      <c r="GV345" s="16">
        <v>13662</v>
      </c>
      <c r="GW345" s="16">
        <v>31571</v>
      </c>
      <c r="GX345" s="16">
        <v>4539</v>
      </c>
      <c r="GY345" s="16">
        <v>126</v>
      </c>
      <c r="GZ345" s="16">
        <v>8309</v>
      </c>
      <c r="HA345" s="16">
        <v>3277</v>
      </c>
      <c r="HB345" s="16">
        <v>7177</v>
      </c>
      <c r="HC345" s="16">
        <v>5403</v>
      </c>
      <c r="HD345" s="16">
        <v>17012</v>
      </c>
      <c r="HE345" s="16">
        <v>10474</v>
      </c>
      <c r="HF345" s="16">
        <v>25204</v>
      </c>
      <c r="HG345" s="16">
        <v>2808</v>
      </c>
      <c r="HH345" s="16">
        <v>2953</v>
      </c>
      <c r="HI345" s="16">
        <v>15905</v>
      </c>
      <c r="HJ345" s="16">
        <v>2559</v>
      </c>
      <c r="HK345" s="16">
        <v>2899</v>
      </c>
      <c r="HL345" s="16">
        <v>21929</v>
      </c>
      <c r="HM345" s="16">
        <v>6108</v>
      </c>
      <c r="HN345" s="16">
        <v>10627</v>
      </c>
      <c r="HO345" s="16">
        <v>7772</v>
      </c>
      <c r="HP345" s="16">
        <v>9797</v>
      </c>
      <c r="HQ345" s="16">
        <v>45529</v>
      </c>
      <c r="HR345" s="16">
        <v>27957</v>
      </c>
      <c r="HS345" s="16">
        <v>23881</v>
      </c>
      <c r="HT345" s="16">
        <v>1298</v>
      </c>
      <c r="HU345" s="16">
        <v>9959</v>
      </c>
      <c r="HV345" s="16">
        <v>8699</v>
      </c>
      <c r="HW345" s="16">
        <v>9105</v>
      </c>
      <c r="HX345" s="16">
        <v>9040</v>
      </c>
      <c r="HY345" s="16">
        <v>9448</v>
      </c>
      <c r="HZ345" s="16">
        <v>28680</v>
      </c>
      <c r="IA345" s="16">
        <v>21433</v>
      </c>
      <c r="IB345" s="16">
        <v>5358</v>
      </c>
      <c r="IC345" s="16">
        <v>1428</v>
      </c>
      <c r="ID345" s="16">
        <v>4478</v>
      </c>
      <c r="IE345" s="16">
        <v>453</v>
      </c>
      <c r="IF345" s="16">
        <v>4098</v>
      </c>
      <c r="IG345" s="16">
        <v>21784</v>
      </c>
      <c r="IH345" s="16">
        <v>203953</v>
      </c>
      <c r="II345" s="16">
        <v>43449</v>
      </c>
      <c r="IJ345" s="16">
        <v>6489</v>
      </c>
      <c r="IK345" s="16">
        <v>6187</v>
      </c>
      <c r="IL345" s="16">
        <v>2031</v>
      </c>
      <c r="IM345" s="16">
        <v>2063</v>
      </c>
      <c r="IN345" s="16">
        <v>67964</v>
      </c>
      <c r="IO345" s="16">
        <v>184883</v>
      </c>
      <c r="IP345" s="16">
        <v>21153</v>
      </c>
      <c r="IQ345" s="16">
        <v>4669</v>
      </c>
      <c r="IR345" s="16">
        <v>32529</v>
      </c>
      <c r="IS345" s="16">
        <v>5371</v>
      </c>
      <c r="IT345" s="16">
        <v>11058</v>
      </c>
      <c r="IU345" s="16">
        <v>266</v>
      </c>
      <c r="IV345" s="16">
        <v>9282</v>
      </c>
      <c r="IW345" s="16">
        <v>3747</v>
      </c>
      <c r="IX345" s="16">
        <v>6175</v>
      </c>
      <c r="IY345" s="16">
        <v>3569</v>
      </c>
      <c r="IZ345" s="16">
        <v>694</v>
      </c>
      <c r="JA345" s="16">
        <v>10162</v>
      </c>
      <c r="JB345" s="16">
        <v>1330</v>
      </c>
      <c r="JC345" s="16">
        <v>4449</v>
      </c>
      <c r="JD345" s="16">
        <v>1822</v>
      </c>
      <c r="JE345" s="16">
        <v>12401</v>
      </c>
      <c r="JF345" s="16">
        <v>1455</v>
      </c>
      <c r="JG345" s="16">
        <v>773535</v>
      </c>
      <c r="JH345" s="16">
        <v>2989</v>
      </c>
      <c r="JI345" s="16">
        <v>4356</v>
      </c>
      <c r="JJ345" s="16">
        <v>13977</v>
      </c>
      <c r="JK345" s="16">
        <v>3086</v>
      </c>
      <c r="JL345" s="16">
        <v>1942</v>
      </c>
      <c r="JM345" s="16">
        <v>3656</v>
      </c>
      <c r="JN345" s="16">
        <v>44600</v>
      </c>
      <c r="JO345" s="16">
        <v>6121</v>
      </c>
      <c r="JP345" s="16">
        <v>2696</v>
      </c>
      <c r="JQ345" s="16">
        <v>3495</v>
      </c>
      <c r="JR345" s="16">
        <v>31069</v>
      </c>
      <c r="JS345" s="16">
        <v>8639</v>
      </c>
      <c r="JT345" s="16">
        <v>1</v>
      </c>
      <c r="JU345" s="16">
        <v>60597</v>
      </c>
      <c r="JV345" s="16">
        <v>225456</v>
      </c>
      <c r="JW345" s="16">
        <v>298663</v>
      </c>
      <c r="JX345" s="16">
        <v>344580</v>
      </c>
      <c r="JY345" s="16">
        <v>93657</v>
      </c>
      <c r="JZ345" s="16">
        <v>28246</v>
      </c>
      <c r="KA345" s="16">
        <v>21492</v>
      </c>
      <c r="KB345" s="16">
        <v>7107</v>
      </c>
      <c r="KC345" s="16">
        <v>17162</v>
      </c>
      <c r="KD345" s="16">
        <v>25845</v>
      </c>
      <c r="KE345" s="16">
        <v>7932</v>
      </c>
      <c r="KF345" s="16">
        <v>47403</v>
      </c>
      <c r="KG345" s="16">
        <v>15297</v>
      </c>
      <c r="KH345" s="16">
        <v>20441</v>
      </c>
      <c r="KI345" s="16">
        <v>56661</v>
      </c>
      <c r="KJ345" s="16">
        <v>38275</v>
      </c>
      <c r="KK345" s="16">
        <v>2942010</v>
      </c>
      <c r="KL345" s="16">
        <v>13438</v>
      </c>
      <c r="KM345" s="16">
        <v>41175</v>
      </c>
      <c r="KN345" s="16">
        <v>178664</v>
      </c>
      <c r="KO345" s="16">
        <v>12651</v>
      </c>
      <c r="KP345" s="16">
        <v>51303</v>
      </c>
      <c r="KQ345" s="16">
        <v>24195</v>
      </c>
      <c r="KR345" s="16">
        <v>32535</v>
      </c>
      <c r="KS345" s="16">
        <v>9456</v>
      </c>
      <c r="KT345" s="16">
        <v>696</v>
      </c>
      <c r="KU345" s="16">
        <v>59553</v>
      </c>
      <c r="KV345" s="16">
        <v>125827</v>
      </c>
      <c r="KW345" s="16">
        <v>197694</v>
      </c>
      <c r="KX345" s="16">
        <v>166</v>
      </c>
      <c r="KY345" s="16">
        <v>34519</v>
      </c>
      <c r="KZ345" s="16">
        <v>159142</v>
      </c>
      <c r="LA345" s="16">
        <v>30098</v>
      </c>
      <c r="LB345" s="16">
        <v>9088</v>
      </c>
      <c r="LC345" s="16">
        <v>24632</v>
      </c>
      <c r="LD345" s="16">
        <v>67328</v>
      </c>
      <c r="LE345" s="16">
        <v>71584</v>
      </c>
      <c r="LF345" s="16">
        <v>144895</v>
      </c>
      <c r="LG345" s="16">
        <v>53311</v>
      </c>
      <c r="LH345" s="16">
        <v>102767</v>
      </c>
      <c r="LI345" s="16">
        <v>12187</v>
      </c>
      <c r="LJ345" s="16">
        <v>44884</v>
      </c>
      <c r="LK345" s="16">
        <v>474770</v>
      </c>
      <c r="LL345" s="16">
        <v>114962</v>
      </c>
      <c r="LM345" s="16">
        <v>478988</v>
      </c>
      <c r="LN345" s="16">
        <v>218505</v>
      </c>
      <c r="LO345" s="16">
        <v>33616</v>
      </c>
      <c r="LP345" s="16">
        <v>72981</v>
      </c>
      <c r="LQ345" s="16">
        <v>2970</v>
      </c>
      <c r="LR345" s="16">
        <v>387567</v>
      </c>
      <c r="LS345" s="16">
        <v>36394</v>
      </c>
      <c r="LT345" s="16">
        <v>639235</v>
      </c>
      <c r="LU345" s="16">
        <v>286687</v>
      </c>
      <c r="LV345" s="16">
        <v>2027</v>
      </c>
      <c r="LW345" s="16">
        <v>464756</v>
      </c>
      <c r="LX345" s="16">
        <v>473325</v>
      </c>
      <c r="LY345" s="16">
        <v>0</v>
      </c>
      <c r="LZ345" s="16">
        <v>628491</v>
      </c>
      <c r="MA345" s="16">
        <v>925990</v>
      </c>
      <c r="MB345" s="16">
        <v>78556</v>
      </c>
      <c r="MC345" s="16">
        <v>46695</v>
      </c>
      <c r="MD345" s="16">
        <v>59963</v>
      </c>
      <c r="ME345" s="16">
        <v>12115</v>
      </c>
      <c r="MF345" s="16">
        <v>223694</v>
      </c>
      <c r="MG345" s="16">
        <v>198580</v>
      </c>
      <c r="MH345" s="16">
        <v>2014092</v>
      </c>
      <c r="MI345" s="16">
        <v>11167</v>
      </c>
      <c r="MJ345" s="16">
        <v>330118</v>
      </c>
      <c r="MK345" s="16">
        <v>342583</v>
      </c>
      <c r="ML345" s="16">
        <v>302882</v>
      </c>
      <c r="MM345" s="16">
        <v>351292</v>
      </c>
      <c r="MN345" s="16">
        <v>384917</v>
      </c>
      <c r="MO345" s="16">
        <v>309960</v>
      </c>
      <c r="MP345" s="16">
        <v>160580</v>
      </c>
      <c r="MQ345" s="16">
        <v>631238</v>
      </c>
      <c r="MR345" s="16">
        <v>276760</v>
      </c>
      <c r="MS345" s="16">
        <v>38422</v>
      </c>
      <c r="MT345" s="16">
        <v>13220</v>
      </c>
      <c r="MU345" s="16">
        <v>348010</v>
      </c>
      <c r="MV345" s="16">
        <v>20413</v>
      </c>
      <c r="MW345" s="16">
        <v>337051</v>
      </c>
      <c r="MX345" s="16">
        <v>1496</v>
      </c>
      <c r="MY345" s="16">
        <v>174245</v>
      </c>
      <c r="MZ345" s="16">
        <v>199614</v>
      </c>
      <c r="NA345" s="16">
        <v>23331</v>
      </c>
      <c r="NB345" s="16">
        <v>53964</v>
      </c>
      <c r="NC345" s="16">
        <v>11893</v>
      </c>
      <c r="ND345" s="16">
        <v>54645</v>
      </c>
      <c r="NE345" s="16">
        <v>5226</v>
      </c>
      <c r="NF345" s="16">
        <v>81319</v>
      </c>
      <c r="NG345" s="16">
        <v>282419</v>
      </c>
      <c r="NH345" s="16">
        <v>52816</v>
      </c>
      <c r="NI345" s="16">
        <v>51061</v>
      </c>
      <c r="NJ345" s="16">
        <v>46081</v>
      </c>
      <c r="NK345" s="16">
        <v>7346</v>
      </c>
      <c r="NL345" s="16">
        <v>9757</v>
      </c>
      <c r="NM345" s="16">
        <v>25535</v>
      </c>
      <c r="NN345" s="16">
        <v>113</v>
      </c>
      <c r="NO345" s="16">
        <v>0</v>
      </c>
      <c r="NP345" s="16">
        <v>22537</v>
      </c>
      <c r="NQ345" s="16">
        <v>432</v>
      </c>
      <c r="NR345" s="17">
        <v>23235048</v>
      </c>
    </row>
    <row r="346" spans="1:382" ht="13.5" customHeight="1" x14ac:dyDescent="0.2">
      <c r="A346" s="2" t="s">
        <v>699</v>
      </c>
      <c r="B346" s="16">
        <v>394</v>
      </c>
      <c r="C346" s="16">
        <v>196</v>
      </c>
      <c r="D346" s="16">
        <v>220</v>
      </c>
      <c r="E346" s="16">
        <v>1004</v>
      </c>
      <c r="F346" s="16">
        <v>4004</v>
      </c>
      <c r="G346" s="16">
        <v>2066</v>
      </c>
      <c r="H346" s="16">
        <v>328</v>
      </c>
      <c r="I346" s="16">
        <v>3052</v>
      </c>
      <c r="J346" s="16">
        <v>0</v>
      </c>
      <c r="K346" s="16">
        <v>0</v>
      </c>
      <c r="L346" s="16">
        <v>9344</v>
      </c>
      <c r="M346" s="16">
        <v>3480</v>
      </c>
      <c r="N346" s="16">
        <v>0</v>
      </c>
      <c r="O346" s="16">
        <v>0</v>
      </c>
      <c r="P346" s="16">
        <v>3177</v>
      </c>
      <c r="Q346" s="16">
        <v>74009</v>
      </c>
      <c r="R346" s="16">
        <v>54402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50605</v>
      </c>
      <c r="Y346" s="16">
        <v>5584</v>
      </c>
      <c r="Z346" s="16">
        <v>23313</v>
      </c>
      <c r="AA346" s="16">
        <v>12706</v>
      </c>
      <c r="AB346" s="16">
        <v>0</v>
      </c>
      <c r="AC346" s="16">
        <v>0</v>
      </c>
      <c r="AD346" s="16">
        <v>0</v>
      </c>
      <c r="AE346" s="16">
        <v>0</v>
      </c>
      <c r="AF346" s="16">
        <v>1940</v>
      </c>
      <c r="AG346" s="16">
        <v>84734</v>
      </c>
      <c r="AH346" s="16">
        <v>88696</v>
      </c>
      <c r="AI346" s="16">
        <v>13586</v>
      </c>
      <c r="AJ346" s="16">
        <v>485314</v>
      </c>
      <c r="AK346" s="16">
        <v>58252</v>
      </c>
      <c r="AL346" s="16">
        <v>287830</v>
      </c>
      <c r="AM346" s="16">
        <v>441623</v>
      </c>
      <c r="AN346" s="16">
        <v>173276</v>
      </c>
      <c r="AO346" s="16">
        <v>77060</v>
      </c>
      <c r="AP346" s="16">
        <v>16115</v>
      </c>
      <c r="AQ346" s="16">
        <v>360642</v>
      </c>
      <c r="AR346" s="16">
        <v>0</v>
      </c>
      <c r="AS346" s="16">
        <v>201889</v>
      </c>
      <c r="AT346" s="16">
        <v>168914</v>
      </c>
      <c r="AU346" s="16">
        <v>757902</v>
      </c>
      <c r="AV346" s="16">
        <v>543121</v>
      </c>
      <c r="AW346" s="16">
        <v>789981</v>
      </c>
      <c r="AX346" s="16">
        <v>386631</v>
      </c>
      <c r="AY346" s="16">
        <v>107561</v>
      </c>
      <c r="AZ346" s="16">
        <v>258543</v>
      </c>
      <c r="BA346" s="16">
        <v>418935</v>
      </c>
      <c r="BB346" s="16">
        <v>955746</v>
      </c>
      <c r="BC346" s="16">
        <v>558472</v>
      </c>
      <c r="BD346" s="16">
        <v>14670</v>
      </c>
      <c r="BE346" s="16">
        <v>81378</v>
      </c>
      <c r="BF346" s="16">
        <v>196585</v>
      </c>
      <c r="BG346" s="16">
        <v>19117</v>
      </c>
      <c r="BH346" s="16">
        <v>300388</v>
      </c>
      <c r="BI346" s="16">
        <v>253921</v>
      </c>
      <c r="BJ346" s="16">
        <v>78728</v>
      </c>
      <c r="BK346" s="16">
        <v>46854</v>
      </c>
      <c r="BL346" s="16">
        <v>235764</v>
      </c>
      <c r="BM346" s="16">
        <v>27925</v>
      </c>
      <c r="BN346" s="16">
        <v>33354</v>
      </c>
      <c r="BO346" s="16">
        <v>43264</v>
      </c>
      <c r="BP346" s="16">
        <v>131228</v>
      </c>
      <c r="BQ346" s="16">
        <v>70214</v>
      </c>
      <c r="BR346" s="16">
        <v>162837</v>
      </c>
      <c r="BS346" s="16">
        <v>183059</v>
      </c>
      <c r="BT346" s="16">
        <v>6012</v>
      </c>
      <c r="BU346" s="16">
        <v>438</v>
      </c>
      <c r="BV346" s="16">
        <v>108</v>
      </c>
      <c r="BW346" s="16">
        <v>27171</v>
      </c>
      <c r="BX346" s="16">
        <v>10519</v>
      </c>
      <c r="BY346" s="16">
        <v>9</v>
      </c>
      <c r="BZ346" s="16">
        <v>26390</v>
      </c>
      <c r="CA346" s="16">
        <v>27197</v>
      </c>
      <c r="CB346" s="16">
        <v>10</v>
      </c>
      <c r="CC346" s="16">
        <v>17666</v>
      </c>
      <c r="CD346" s="16">
        <v>40292</v>
      </c>
      <c r="CE346" s="16">
        <v>61280</v>
      </c>
      <c r="CF346" s="16">
        <v>78580</v>
      </c>
      <c r="CG346" s="16">
        <v>25987</v>
      </c>
      <c r="CH346" s="16">
        <v>6129</v>
      </c>
      <c r="CI346" s="16">
        <v>62</v>
      </c>
      <c r="CJ346" s="16">
        <v>179788</v>
      </c>
      <c r="CK346" s="16">
        <v>164348</v>
      </c>
      <c r="CL346" s="16">
        <v>33885</v>
      </c>
      <c r="CM346" s="16">
        <v>35291</v>
      </c>
      <c r="CN346" s="16">
        <v>20240</v>
      </c>
      <c r="CO346" s="16">
        <v>373272</v>
      </c>
      <c r="CP346" s="16">
        <v>57723</v>
      </c>
      <c r="CQ346" s="16">
        <v>143154</v>
      </c>
      <c r="CR346" s="16">
        <v>6555</v>
      </c>
      <c r="CS346" s="16">
        <v>191480</v>
      </c>
      <c r="CT346" s="16">
        <v>257405</v>
      </c>
      <c r="CU346" s="16">
        <v>255054</v>
      </c>
      <c r="CV346" s="16">
        <v>184578</v>
      </c>
      <c r="CW346" s="16">
        <v>578628</v>
      </c>
      <c r="CX346" s="16">
        <v>231950</v>
      </c>
      <c r="CY346" s="16">
        <v>69308</v>
      </c>
      <c r="CZ346" s="16">
        <v>98525</v>
      </c>
      <c r="DA346" s="16">
        <v>57337</v>
      </c>
      <c r="DB346" s="16">
        <v>234361</v>
      </c>
      <c r="DC346" s="16">
        <v>492393</v>
      </c>
      <c r="DD346" s="16">
        <v>1003456</v>
      </c>
      <c r="DE346" s="16">
        <v>507972</v>
      </c>
      <c r="DF346" s="16">
        <v>677005</v>
      </c>
      <c r="DG346" s="16">
        <v>447419</v>
      </c>
      <c r="DH346" s="16">
        <v>440256</v>
      </c>
      <c r="DI346" s="16">
        <v>53940</v>
      </c>
      <c r="DJ346" s="16">
        <v>1596924</v>
      </c>
      <c r="DK346" s="16">
        <v>295038</v>
      </c>
      <c r="DL346" s="16">
        <v>283990</v>
      </c>
      <c r="DM346" s="16">
        <v>3504587</v>
      </c>
      <c r="DN346" s="16">
        <v>134585</v>
      </c>
      <c r="DO346" s="16">
        <v>369923</v>
      </c>
      <c r="DP346" s="16">
        <v>141597</v>
      </c>
      <c r="DQ346" s="16">
        <v>10165</v>
      </c>
      <c r="DR346" s="16">
        <v>334962</v>
      </c>
      <c r="DS346" s="16">
        <v>1177956</v>
      </c>
      <c r="DT346" s="16">
        <v>53540</v>
      </c>
      <c r="DU346" s="16">
        <v>80959</v>
      </c>
      <c r="DV346" s="16">
        <v>814712</v>
      </c>
      <c r="DW346" s="16">
        <v>502796</v>
      </c>
      <c r="DX346" s="16">
        <v>320750</v>
      </c>
      <c r="DY346" s="16">
        <v>130976</v>
      </c>
      <c r="DZ346" s="16">
        <v>344841</v>
      </c>
      <c r="EA346" s="16">
        <v>182367</v>
      </c>
      <c r="EB346" s="16">
        <v>192227</v>
      </c>
      <c r="EC346" s="16">
        <v>18513</v>
      </c>
      <c r="ED346" s="16">
        <v>21614</v>
      </c>
      <c r="EE346" s="16">
        <v>21915</v>
      </c>
      <c r="EF346" s="16">
        <v>3024</v>
      </c>
      <c r="EG346" s="16">
        <v>118318</v>
      </c>
      <c r="EH346" s="16">
        <v>70736</v>
      </c>
      <c r="EI346" s="16">
        <v>7870</v>
      </c>
      <c r="EJ346" s="16">
        <v>3787</v>
      </c>
      <c r="EK346" s="16">
        <v>12580</v>
      </c>
      <c r="EL346" s="16">
        <v>16170</v>
      </c>
      <c r="EM346" s="16">
        <v>79742</v>
      </c>
      <c r="EN346" s="16">
        <v>590959</v>
      </c>
      <c r="EO346" s="16">
        <v>496243</v>
      </c>
      <c r="EP346" s="16">
        <v>25477</v>
      </c>
      <c r="EQ346" s="16">
        <v>21683</v>
      </c>
      <c r="ER346" s="16">
        <v>14866</v>
      </c>
      <c r="ES346" s="16">
        <v>46904</v>
      </c>
      <c r="ET346" s="16">
        <v>90353</v>
      </c>
      <c r="EU346" s="16">
        <v>10180</v>
      </c>
      <c r="EV346" s="16">
        <v>77523</v>
      </c>
      <c r="EW346" s="16">
        <v>174798</v>
      </c>
      <c r="EX346" s="16">
        <v>829082</v>
      </c>
      <c r="EY346" s="16">
        <v>143680</v>
      </c>
      <c r="EZ346" s="16">
        <v>84236</v>
      </c>
      <c r="FA346" s="16">
        <v>239529</v>
      </c>
      <c r="FB346" s="16">
        <v>581165</v>
      </c>
      <c r="FC346" s="16">
        <v>153132</v>
      </c>
      <c r="FD346" s="16">
        <v>613377</v>
      </c>
      <c r="FE346" s="16">
        <v>344896</v>
      </c>
      <c r="FF346" s="16">
        <v>194922</v>
      </c>
      <c r="FG346" s="16">
        <v>217746</v>
      </c>
      <c r="FH346" s="16">
        <v>8531</v>
      </c>
      <c r="FI346" s="16">
        <v>42654</v>
      </c>
      <c r="FJ346" s="16">
        <v>43643</v>
      </c>
      <c r="FK346" s="16">
        <v>101242</v>
      </c>
      <c r="FL346" s="16">
        <v>8104</v>
      </c>
      <c r="FM346" s="16">
        <v>420889</v>
      </c>
      <c r="FN346" s="16">
        <v>96985</v>
      </c>
      <c r="FO346" s="16">
        <v>21875</v>
      </c>
      <c r="FP346" s="16">
        <v>58920</v>
      </c>
      <c r="FQ346" s="16">
        <v>583759</v>
      </c>
      <c r="FR346" s="16">
        <v>476412</v>
      </c>
      <c r="FS346" s="16">
        <v>180270</v>
      </c>
      <c r="FT346" s="16">
        <v>176131</v>
      </c>
      <c r="FU346" s="16">
        <v>32574</v>
      </c>
      <c r="FV346" s="16">
        <v>54139</v>
      </c>
      <c r="FW346" s="16">
        <v>28234</v>
      </c>
      <c r="FX346" s="16">
        <v>121632</v>
      </c>
      <c r="FY346" s="16">
        <v>68714</v>
      </c>
      <c r="FZ346" s="16">
        <v>45016</v>
      </c>
      <c r="GA346" s="16">
        <v>2552</v>
      </c>
      <c r="GB346" s="16">
        <v>104647</v>
      </c>
      <c r="GC346" s="16">
        <v>330942</v>
      </c>
      <c r="GD346" s="16">
        <v>255888</v>
      </c>
      <c r="GE346" s="16">
        <v>151022</v>
      </c>
      <c r="GF346" s="16">
        <v>858678</v>
      </c>
      <c r="GG346" s="16">
        <v>48972</v>
      </c>
      <c r="GH346" s="16">
        <v>213014</v>
      </c>
      <c r="GI346" s="16">
        <v>254561</v>
      </c>
      <c r="GJ346" s="16">
        <v>44060</v>
      </c>
      <c r="GK346" s="16">
        <v>224976</v>
      </c>
      <c r="GL346" s="16">
        <v>61418</v>
      </c>
      <c r="GM346" s="16">
        <v>106642</v>
      </c>
      <c r="GN346" s="16">
        <v>140126</v>
      </c>
      <c r="GO346" s="16">
        <v>82474</v>
      </c>
      <c r="GP346" s="16">
        <v>808774</v>
      </c>
      <c r="GQ346" s="16">
        <v>54421</v>
      </c>
      <c r="GR346" s="16">
        <v>228944</v>
      </c>
      <c r="GS346" s="16">
        <v>51639</v>
      </c>
      <c r="GT346" s="16">
        <v>129103</v>
      </c>
      <c r="GU346" s="16">
        <v>398252</v>
      </c>
      <c r="GV346" s="16">
        <v>194164</v>
      </c>
      <c r="GW346" s="16">
        <v>174950</v>
      </c>
      <c r="GX346" s="16">
        <v>100122</v>
      </c>
      <c r="GY346" s="16">
        <v>2620</v>
      </c>
      <c r="GZ346" s="16">
        <v>504623</v>
      </c>
      <c r="HA346" s="16">
        <v>220209</v>
      </c>
      <c r="HB346" s="16">
        <v>168016</v>
      </c>
      <c r="HC346" s="16">
        <v>368302</v>
      </c>
      <c r="HD346" s="16">
        <v>389843</v>
      </c>
      <c r="HE346" s="16">
        <v>694391</v>
      </c>
      <c r="HF346" s="16">
        <v>784870</v>
      </c>
      <c r="HG346" s="16">
        <v>230840</v>
      </c>
      <c r="HH346" s="16">
        <v>56313</v>
      </c>
      <c r="HI346" s="16">
        <v>268816</v>
      </c>
      <c r="HJ346" s="16">
        <v>25790</v>
      </c>
      <c r="HK346" s="16">
        <v>171600</v>
      </c>
      <c r="HL346" s="16">
        <v>442912</v>
      </c>
      <c r="HM346" s="16">
        <v>115648</v>
      </c>
      <c r="HN346" s="16">
        <v>272792</v>
      </c>
      <c r="HO346" s="16">
        <v>122473</v>
      </c>
      <c r="HP346" s="16">
        <v>90490</v>
      </c>
      <c r="HQ346" s="16">
        <v>580150</v>
      </c>
      <c r="HR346" s="16">
        <v>271875</v>
      </c>
      <c r="HS346" s="16">
        <v>559721</v>
      </c>
      <c r="HT346" s="16">
        <v>536423</v>
      </c>
      <c r="HU346" s="16">
        <v>390270</v>
      </c>
      <c r="HV346" s="16">
        <v>32898</v>
      </c>
      <c r="HW346" s="16">
        <v>291254</v>
      </c>
      <c r="HX346" s="16">
        <v>99496</v>
      </c>
      <c r="HY346" s="16">
        <v>158024</v>
      </c>
      <c r="HZ346" s="16">
        <v>146522</v>
      </c>
      <c r="IA346" s="16">
        <v>209015</v>
      </c>
      <c r="IB346" s="16">
        <v>153252</v>
      </c>
      <c r="IC346" s="16">
        <v>793</v>
      </c>
      <c r="ID346" s="16">
        <v>60959</v>
      </c>
      <c r="IE346" s="16">
        <v>13685</v>
      </c>
      <c r="IF346" s="16">
        <v>11844</v>
      </c>
      <c r="IG346" s="16">
        <v>211688</v>
      </c>
      <c r="IH346" s="16">
        <v>1734579</v>
      </c>
      <c r="II346" s="16">
        <v>245721</v>
      </c>
      <c r="IJ346" s="16">
        <v>116594</v>
      </c>
      <c r="IK346" s="16">
        <v>198099</v>
      </c>
      <c r="IL346" s="16">
        <v>66402</v>
      </c>
      <c r="IM346" s="16">
        <v>3953</v>
      </c>
      <c r="IN346" s="16">
        <v>300973</v>
      </c>
      <c r="IO346" s="16">
        <v>1084178</v>
      </c>
      <c r="IP346" s="16">
        <v>785640</v>
      </c>
      <c r="IQ346" s="16">
        <v>245144</v>
      </c>
      <c r="IR346" s="16">
        <v>117339</v>
      </c>
      <c r="IS346" s="16">
        <v>150805</v>
      </c>
      <c r="IT346" s="16">
        <v>18826</v>
      </c>
      <c r="IU346" s="16">
        <v>1329</v>
      </c>
      <c r="IV346" s="16">
        <v>108845</v>
      </c>
      <c r="IW346" s="16">
        <v>484560</v>
      </c>
      <c r="IX346" s="16">
        <v>114519</v>
      </c>
      <c r="IY346" s="16">
        <v>43495</v>
      </c>
      <c r="IZ346" s="16">
        <v>20963</v>
      </c>
      <c r="JA346" s="16">
        <v>61454</v>
      </c>
      <c r="JB346" s="16">
        <v>8130</v>
      </c>
      <c r="JC346" s="16">
        <v>2310</v>
      </c>
      <c r="JD346" s="16">
        <v>22662</v>
      </c>
      <c r="JE346" s="16">
        <v>7547</v>
      </c>
      <c r="JF346" s="16">
        <v>81058</v>
      </c>
      <c r="JG346" s="16">
        <v>2010889</v>
      </c>
      <c r="JH346" s="16">
        <v>130079</v>
      </c>
      <c r="JI346" s="16">
        <v>333233</v>
      </c>
      <c r="JJ346" s="16">
        <v>461173</v>
      </c>
      <c r="JK346" s="16">
        <v>626525</v>
      </c>
      <c r="JL346" s="16">
        <v>23272</v>
      </c>
      <c r="JM346" s="16">
        <v>0</v>
      </c>
      <c r="JN346" s="16">
        <v>0</v>
      </c>
      <c r="JO346" s="16">
        <v>6471</v>
      </c>
      <c r="JP346" s="16">
        <v>38179</v>
      </c>
      <c r="JQ346" s="16">
        <v>78189</v>
      </c>
      <c r="JR346" s="16">
        <v>288091</v>
      </c>
      <c r="JS346" s="16">
        <v>264641</v>
      </c>
      <c r="JT346" s="16">
        <v>1</v>
      </c>
      <c r="JU346" s="16">
        <v>248174</v>
      </c>
      <c r="JV346" s="16">
        <v>323567</v>
      </c>
      <c r="JW346" s="16">
        <v>910306</v>
      </c>
      <c r="JX346" s="16">
        <v>618934</v>
      </c>
      <c r="JY346" s="16">
        <v>192534</v>
      </c>
      <c r="JZ346" s="16">
        <v>126649</v>
      </c>
      <c r="KA346" s="16">
        <v>40120</v>
      </c>
      <c r="KB346" s="16">
        <v>12338</v>
      </c>
      <c r="KC346" s="16">
        <v>23936</v>
      </c>
      <c r="KD346" s="16">
        <v>45863</v>
      </c>
      <c r="KE346" s="16">
        <v>12309</v>
      </c>
      <c r="KF346" s="16">
        <v>78278</v>
      </c>
      <c r="KG346" s="16">
        <v>21214</v>
      </c>
      <c r="KH346" s="16">
        <v>64903</v>
      </c>
      <c r="KI346" s="16">
        <v>122201</v>
      </c>
      <c r="KJ346" s="16">
        <v>76535</v>
      </c>
      <c r="KK346" s="16">
        <v>12380907</v>
      </c>
      <c r="KL346" s="16">
        <v>1434</v>
      </c>
      <c r="KM346" s="16">
        <v>22637</v>
      </c>
      <c r="KN346" s="16">
        <v>204162</v>
      </c>
      <c r="KO346" s="16">
        <v>50821</v>
      </c>
      <c r="KP346" s="16">
        <v>155338</v>
      </c>
      <c r="KQ346" s="16">
        <v>31118</v>
      </c>
      <c r="KR346" s="16">
        <v>72627</v>
      </c>
      <c r="KS346" s="16">
        <v>5693</v>
      </c>
      <c r="KT346" s="16">
        <v>1380</v>
      </c>
      <c r="KU346" s="16">
        <v>138316</v>
      </c>
      <c r="KV346" s="16">
        <v>4221170</v>
      </c>
      <c r="KW346" s="16">
        <v>346014</v>
      </c>
      <c r="KX346" s="16">
        <v>956</v>
      </c>
      <c r="KY346" s="16">
        <v>1086444</v>
      </c>
      <c r="KZ346" s="16">
        <v>1644371</v>
      </c>
      <c r="LA346" s="16">
        <v>701098</v>
      </c>
      <c r="LB346" s="16">
        <v>15390</v>
      </c>
      <c r="LC346" s="16">
        <v>886386</v>
      </c>
      <c r="LD346" s="16">
        <v>411770</v>
      </c>
      <c r="LE346" s="16">
        <v>449139</v>
      </c>
      <c r="LF346" s="16">
        <v>868305</v>
      </c>
      <c r="LG346" s="16">
        <v>21866</v>
      </c>
      <c r="LH346" s="16">
        <v>33227</v>
      </c>
      <c r="LI346" s="16">
        <v>66527</v>
      </c>
      <c r="LJ346" s="16">
        <v>192709</v>
      </c>
      <c r="LK346" s="16">
        <v>276187</v>
      </c>
      <c r="LL346" s="16">
        <v>193378</v>
      </c>
      <c r="LM346" s="16">
        <v>778456</v>
      </c>
      <c r="LN346" s="16">
        <v>118206</v>
      </c>
      <c r="LO346" s="16">
        <v>215910</v>
      </c>
      <c r="LP346" s="16">
        <v>99239</v>
      </c>
      <c r="LQ346" s="16">
        <v>50910</v>
      </c>
      <c r="LR346" s="16">
        <v>1259982</v>
      </c>
      <c r="LS346" s="16">
        <v>88566</v>
      </c>
      <c r="LT346" s="16">
        <v>716551</v>
      </c>
      <c r="LU346" s="16">
        <v>535528</v>
      </c>
      <c r="LV346" s="16">
        <v>7414</v>
      </c>
      <c r="LW346" s="16">
        <v>386469</v>
      </c>
      <c r="LX346" s="16">
        <v>365609</v>
      </c>
      <c r="LY346" s="16">
        <v>0</v>
      </c>
      <c r="LZ346" s="16">
        <v>897189</v>
      </c>
      <c r="MA346" s="16">
        <v>371796</v>
      </c>
      <c r="MB346" s="16">
        <v>271484</v>
      </c>
      <c r="MC346" s="16">
        <v>2397</v>
      </c>
      <c r="MD346" s="16">
        <v>41441</v>
      </c>
      <c r="ME346" s="16">
        <v>6851</v>
      </c>
      <c r="MF346" s="16">
        <v>3676125</v>
      </c>
      <c r="MG346" s="16">
        <v>33685</v>
      </c>
      <c r="MH346" s="16">
        <v>3093675</v>
      </c>
      <c r="MI346" s="16">
        <v>31287</v>
      </c>
      <c r="MJ346" s="16">
        <v>118497</v>
      </c>
      <c r="MK346" s="16">
        <v>116932</v>
      </c>
      <c r="ML346" s="16">
        <v>59440</v>
      </c>
      <c r="MM346" s="16">
        <v>196845</v>
      </c>
      <c r="MN346" s="16">
        <v>994635</v>
      </c>
      <c r="MO346" s="16">
        <v>365501</v>
      </c>
      <c r="MP346" s="16">
        <v>100274</v>
      </c>
      <c r="MQ346" s="16">
        <v>2479299</v>
      </c>
      <c r="MR346" s="16">
        <v>553840</v>
      </c>
      <c r="MS346" s="16">
        <v>9403</v>
      </c>
      <c r="MT346" s="16">
        <v>6696</v>
      </c>
      <c r="MU346" s="16">
        <v>1258509</v>
      </c>
      <c r="MV346" s="16">
        <v>107818</v>
      </c>
      <c r="MW346" s="16">
        <v>358716</v>
      </c>
      <c r="MX346" s="16">
        <v>1275</v>
      </c>
      <c r="MY346" s="16">
        <v>13843</v>
      </c>
      <c r="MZ346" s="16">
        <v>145391</v>
      </c>
      <c r="NA346" s="16">
        <v>192163</v>
      </c>
      <c r="NB346" s="16">
        <v>62113</v>
      </c>
      <c r="NC346" s="16">
        <v>20337</v>
      </c>
      <c r="ND346" s="16">
        <v>18264</v>
      </c>
      <c r="NE346" s="16">
        <v>36767</v>
      </c>
      <c r="NF346" s="16">
        <v>42300</v>
      </c>
      <c r="NG346" s="16">
        <v>139078</v>
      </c>
      <c r="NH346" s="16">
        <v>59557</v>
      </c>
      <c r="NI346" s="16">
        <v>308986</v>
      </c>
      <c r="NJ346" s="16">
        <v>57134</v>
      </c>
      <c r="NK346" s="16">
        <v>179404</v>
      </c>
      <c r="NL346" s="16">
        <v>1269154</v>
      </c>
      <c r="NM346" s="16">
        <v>10086</v>
      </c>
      <c r="NN346" s="16">
        <v>14241</v>
      </c>
      <c r="NO346" s="16">
        <v>0</v>
      </c>
      <c r="NP346" s="16">
        <v>25323</v>
      </c>
      <c r="NQ346" s="16">
        <v>5440</v>
      </c>
      <c r="NR346" s="17">
        <v>108592633</v>
      </c>
    </row>
    <row r="347" spans="1:382" ht="13.5" customHeight="1" x14ac:dyDescent="0.2">
      <c r="A347" s="2" t="s">
        <v>701</v>
      </c>
      <c r="B347" s="16">
        <v>1807</v>
      </c>
      <c r="C347" s="16">
        <v>0</v>
      </c>
      <c r="D347" s="16">
        <v>1719</v>
      </c>
      <c r="E347" s="16">
        <v>0</v>
      </c>
      <c r="F347" s="16">
        <v>2159</v>
      </c>
      <c r="G347" s="16">
        <v>1604</v>
      </c>
      <c r="H347" s="16">
        <v>45</v>
      </c>
      <c r="I347" s="16">
        <v>4</v>
      </c>
      <c r="J347" s="16">
        <v>0</v>
      </c>
      <c r="K347" s="16">
        <v>0</v>
      </c>
      <c r="L347" s="16">
        <v>2427</v>
      </c>
      <c r="M347" s="16">
        <v>8</v>
      </c>
      <c r="N347" s="16">
        <v>0</v>
      </c>
      <c r="O347" s="16">
        <v>21</v>
      </c>
      <c r="P347" s="16">
        <v>402</v>
      </c>
      <c r="Q347" s="16">
        <v>846</v>
      </c>
      <c r="R347" s="16">
        <v>834</v>
      </c>
      <c r="S347" s="16">
        <v>606</v>
      </c>
      <c r="T347" s="16">
        <v>178</v>
      </c>
      <c r="U347" s="16">
        <v>9</v>
      </c>
      <c r="V347" s="16">
        <v>0</v>
      </c>
      <c r="W347" s="16">
        <v>0</v>
      </c>
      <c r="X347" s="16">
        <v>518</v>
      </c>
      <c r="Y347" s="16">
        <v>314</v>
      </c>
      <c r="Z347" s="16">
        <v>4314</v>
      </c>
      <c r="AA347" s="16">
        <v>5</v>
      </c>
      <c r="AB347" s="16">
        <v>0</v>
      </c>
      <c r="AC347" s="16">
        <v>0</v>
      </c>
      <c r="AD347" s="16">
        <v>0</v>
      </c>
      <c r="AE347" s="16">
        <v>121</v>
      </c>
      <c r="AF347" s="16">
        <v>9</v>
      </c>
      <c r="AG347" s="16">
        <v>629</v>
      </c>
      <c r="AH347" s="16">
        <v>230</v>
      </c>
      <c r="AI347" s="16">
        <v>151</v>
      </c>
      <c r="AJ347" s="16">
        <v>36739</v>
      </c>
      <c r="AK347" s="16">
        <v>14693</v>
      </c>
      <c r="AL347" s="16">
        <v>10505</v>
      </c>
      <c r="AM347" s="16">
        <v>22486</v>
      </c>
      <c r="AN347" s="16">
        <v>15812</v>
      </c>
      <c r="AO347" s="16">
        <v>13703</v>
      </c>
      <c r="AP347" s="16">
        <v>11309</v>
      </c>
      <c r="AQ347" s="16">
        <v>4734</v>
      </c>
      <c r="AR347" s="16">
        <v>0</v>
      </c>
      <c r="AS347" s="16">
        <v>2868</v>
      </c>
      <c r="AT347" s="16">
        <v>2875</v>
      </c>
      <c r="AU347" s="16">
        <v>21582</v>
      </c>
      <c r="AV347" s="16">
        <v>9352</v>
      </c>
      <c r="AW347" s="16">
        <v>20455</v>
      </c>
      <c r="AX347" s="16">
        <v>8864</v>
      </c>
      <c r="AY347" s="16">
        <v>7780</v>
      </c>
      <c r="AZ347" s="16">
        <v>57590</v>
      </c>
      <c r="BA347" s="16">
        <v>79930</v>
      </c>
      <c r="BB347" s="16">
        <v>21522</v>
      </c>
      <c r="BC347" s="16">
        <v>5069</v>
      </c>
      <c r="BD347" s="16">
        <v>47</v>
      </c>
      <c r="BE347" s="16">
        <v>32418</v>
      </c>
      <c r="BF347" s="16">
        <v>87468</v>
      </c>
      <c r="BG347" s="16">
        <v>11544</v>
      </c>
      <c r="BH347" s="16">
        <v>65355</v>
      </c>
      <c r="BI347" s="16">
        <v>42076</v>
      </c>
      <c r="BJ347" s="16">
        <v>300</v>
      </c>
      <c r="BK347" s="16">
        <v>152</v>
      </c>
      <c r="BL347" s="16">
        <v>910</v>
      </c>
      <c r="BM347" s="16">
        <v>188</v>
      </c>
      <c r="BN347" s="16">
        <v>488</v>
      </c>
      <c r="BO347" s="16">
        <v>830</v>
      </c>
      <c r="BP347" s="16">
        <v>12914</v>
      </c>
      <c r="BQ347" s="16">
        <v>1699</v>
      </c>
      <c r="BR347" s="16">
        <v>1663</v>
      </c>
      <c r="BS347" s="16">
        <v>54699</v>
      </c>
      <c r="BT347" s="16">
        <v>865</v>
      </c>
      <c r="BU347" s="16">
        <v>1102</v>
      </c>
      <c r="BV347" s="16">
        <v>644</v>
      </c>
      <c r="BW347" s="16">
        <v>4413</v>
      </c>
      <c r="BX347" s="16">
        <v>91</v>
      </c>
      <c r="BY347" s="16">
        <v>9</v>
      </c>
      <c r="BZ347" s="16">
        <v>7290</v>
      </c>
      <c r="CA347" s="16">
        <v>14311</v>
      </c>
      <c r="CB347" s="16">
        <v>1744</v>
      </c>
      <c r="CC347" s="16">
        <v>591</v>
      </c>
      <c r="CD347" s="16">
        <v>287</v>
      </c>
      <c r="CE347" s="16">
        <v>334</v>
      </c>
      <c r="CF347" s="16">
        <v>607</v>
      </c>
      <c r="CG347" s="16">
        <v>794</v>
      </c>
      <c r="CH347" s="16">
        <v>4262</v>
      </c>
      <c r="CI347" s="16">
        <v>247</v>
      </c>
      <c r="CJ347" s="16">
        <v>4980</v>
      </c>
      <c r="CK347" s="16">
        <v>2366</v>
      </c>
      <c r="CL347" s="16">
        <v>5239</v>
      </c>
      <c r="CM347" s="16">
        <v>2762</v>
      </c>
      <c r="CN347" s="16">
        <v>3362</v>
      </c>
      <c r="CO347" s="16">
        <v>30770</v>
      </c>
      <c r="CP347" s="16">
        <v>7228</v>
      </c>
      <c r="CQ347" s="16">
        <v>15042</v>
      </c>
      <c r="CR347" s="16">
        <v>136</v>
      </c>
      <c r="CS347" s="16">
        <v>319</v>
      </c>
      <c r="CT347" s="16">
        <v>1337</v>
      </c>
      <c r="CU347" s="16">
        <v>3487</v>
      </c>
      <c r="CV347" s="16">
        <v>1564</v>
      </c>
      <c r="CW347" s="16">
        <v>4118</v>
      </c>
      <c r="CX347" s="16">
        <v>1908</v>
      </c>
      <c r="CY347" s="16">
        <v>292</v>
      </c>
      <c r="CZ347" s="16">
        <v>2070</v>
      </c>
      <c r="DA347" s="16">
        <v>481</v>
      </c>
      <c r="DB347" s="16">
        <v>1365</v>
      </c>
      <c r="DC347" s="16">
        <v>399</v>
      </c>
      <c r="DD347" s="16">
        <v>507</v>
      </c>
      <c r="DE347" s="16">
        <v>366</v>
      </c>
      <c r="DF347" s="16">
        <v>336</v>
      </c>
      <c r="DG347" s="16">
        <v>510</v>
      </c>
      <c r="DH347" s="16">
        <v>692</v>
      </c>
      <c r="DI347" s="16">
        <v>61</v>
      </c>
      <c r="DJ347" s="16">
        <v>1065</v>
      </c>
      <c r="DK347" s="16">
        <v>113</v>
      </c>
      <c r="DL347" s="16">
        <v>106</v>
      </c>
      <c r="DM347" s="16">
        <v>248425</v>
      </c>
      <c r="DN347" s="16">
        <v>6077</v>
      </c>
      <c r="DO347" s="16">
        <v>8746</v>
      </c>
      <c r="DP347" s="16">
        <v>13364</v>
      </c>
      <c r="DQ347" s="16">
        <v>920</v>
      </c>
      <c r="DR347" s="16">
        <v>35295</v>
      </c>
      <c r="DS347" s="16">
        <v>91323</v>
      </c>
      <c r="DT347" s="16">
        <v>2257</v>
      </c>
      <c r="DU347" s="16">
        <v>218</v>
      </c>
      <c r="DV347" s="16">
        <v>10542</v>
      </c>
      <c r="DW347" s="16">
        <v>8963</v>
      </c>
      <c r="DX347" s="16">
        <v>13161</v>
      </c>
      <c r="DY347" s="16">
        <v>10094</v>
      </c>
      <c r="DZ347" s="16">
        <v>7737</v>
      </c>
      <c r="EA347" s="16">
        <v>18788</v>
      </c>
      <c r="EB347" s="16">
        <v>82132</v>
      </c>
      <c r="EC347" s="16">
        <v>319</v>
      </c>
      <c r="ED347" s="16">
        <v>33</v>
      </c>
      <c r="EE347" s="16">
        <v>2685</v>
      </c>
      <c r="EF347" s="16">
        <v>918</v>
      </c>
      <c r="EG347" s="16">
        <v>930</v>
      </c>
      <c r="EH347" s="16">
        <v>853</v>
      </c>
      <c r="EI347" s="16">
        <v>3246</v>
      </c>
      <c r="EJ347" s="16">
        <v>451</v>
      </c>
      <c r="EK347" s="16">
        <v>1030</v>
      </c>
      <c r="EL347" s="16">
        <v>1429</v>
      </c>
      <c r="EM347" s="16">
        <v>165</v>
      </c>
      <c r="EN347" s="16">
        <v>3916</v>
      </c>
      <c r="EO347" s="16">
        <v>8583</v>
      </c>
      <c r="EP347" s="16">
        <v>188</v>
      </c>
      <c r="EQ347" s="16">
        <v>1032</v>
      </c>
      <c r="ER347" s="16">
        <v>515</v>
      </c>
      <c r="ES347" s="16">
        <v>876</v>
      </c>
      <c r="ET347" s="16">
        <v>2345</v>
      </c>
      <c r="EU347" s="16">
        <v>14</v>
      </c>
      <c r="EV347" s="16">
        <v>258</v>
      </c>
      <c r="EW347" s="16">
        <v>1140</v>
      </c>
      <c r="EX347" s="16">
        <v>1204</v>
      </c>
      <c r="EY347" s="16">
        <v>652</v>
      </c>
      <c r="EZ347" s="16">
        <v>108</v>
      </c>
      <c r="FA347" s="16">
        <v>9</v>
      </c>
      <c r="FB347" s="16">
        <v>311</v>
      </c>
      <c r="FC347" s="16">
        <v>948</v>
      </c>
      <c r="FD347" s="16">
        <v>3880</v>
      </c>
      <c r="FE347" s="16">
        <v>406</v>
      </c>
      <c r="FF347" s="16">
        <v>789</v>
      </c>
      <c r="FG347" s="16">
        <v>1710</v>
      </c>
      <c r="FH347" s="16">
        <v>18</v>
      </c>
      <c r="FI347" s="16">
        <v>410</v>
      </c>
      <c r="FJ347" s="16">
        <v>257</v>
      </c>
      <c r="FK347" s="16">
        <v>49</v>
      </c>
      <c r="FL347" s="16">
        <v>37</v>
      </c>
      <c r="FM347" s="16">
        <v>972</v>
      </c>
      <c r="FN347" s="16">
        <v>2156</v>
      </c>
      <c r="FO347" s="16">
        <v>751</v>
      </c>
      <c r="FP347" s="16">
        <v>2657</v>
      </c>
      <c r="FQ347" s="16">
        <v>3130</v>
      </c>
      <c r="FR347" s="16">
        <v>2853</v>
      </c>
      <c r="FS347" s="16">
        <v>97</v>
      </c>
      <c r="FT347" s="16">
        <v>939</v>
      </c>
      <c r="FU347" s="16">
        <v>1337</v>
      </c>
      <c r="FV347" s="16">
        <v>1112</v>
      </c>
      <c r="FW347" s="16">
        <v>3461</v>
      </c>
      <c r="FX347" s="16">
        <v>11016</v>
      </c>
      <c r="FY347" s="16">
        <v>22621</v>
      </c>
      <c r="FZ347" s="16">
        <v>6229</v>
      </c>
      <c r="GA347" s="16">
        <v>420</v>
      </c>
      <c r="GB347" s="16">
        <v>2119</v>
      </c>
      <c r="GC347" s="16">
        <v>1817</v>
      </c>
      <c r="GD347" s="16">
        <v>9807</v>
      </c>
      <c r="GE347" s="16">
        <v>4683</v>
      </c>
      <c r="GF347" s="16">
        <v>32390</v>
      </c>
      <c r="GG347" s="16">
        <v>13489</v>
      </c>
      <c r="GH347" s="16">
        <v>24922</v>
      </c>
      <c r="GI347" s="16">
        <v>8229</v>
      </c>
      <c r="GJ347" s="16">
        <v>4073</v>
      </c>
      <c r="GK347" s="16">
        <v>4267</v>
      </c>
      <c r="GL347" s="16">
        <v>3535</v>
      </c>
      <c r="GM347" s="16">
        <v>1837</v>
      </c>
      <c r="GN347" s="16">
        <v>13063</v>
      </c>
      <c r="GO347" s="16">
        <v>3262</v>
      </c>
      <c r="GP347" s="16">
        <v>174544</v>
      </c>
      <c r="GQ347" s="16">
        <v>16022</v>
      </c>
      <c r="GR347" s="16">
        <v>87850</v>
      </c>
      <c r="GS347" s="16">
        <v>2623</v>
      </c>
      <c r="GT347" s="16">
        <v>3557</v>
      </c>
      <c r="GU347" s="16">
        <v>20646</v>
      </c>
      <c r="GV347" s="16">
        <v>4194</v>
      </c>
      <c r="GW347" s="16">
        <v>10201</v>
      </c>
      <c r="GX347" s="16">
        <v>3758</v>
      </c>
      <c r="GY347" s="16">
        <v>762</v>
      </c>
      <c r="GZ347" s="16">
        <v>4643</v>
      </c>
      <c r="HA347" s="16">
        <v>3396</v>
      </c>
      <c r="HB347" s="16">
        <v>3378</v>
      </c>
      <c r="HC347" s="16">
        <v>8461</v>
      </c>
      <c r="HD347" s="16">
        <v>11507</v>
      </c>
      <c r="HE347" s="16">
        <v>44652</v>
      </c>
      <c r="HF347" s="16">
        <v>3826</v>
      </c>
      <c r="HG347" s="16">
        <v>84673</v>
      </c>
      <c r="HH347" s="16">
        <v>27380</v>
      </c>
      <c r="HI347" s="16">
        <v>66730</v>
      </c>
      <c r="HJ347" s="16">
        <v>2623</v>
      </c>
      <c r="HK347" s="16">
        <v>9478</v>
      </c>
      <c r="HL347" s="16">
        <v>7025</v>
      </c>
      <c r="HM347" s="16">
        <v>5405</v>
      </c>
      <c r="HN347" s="16">
        <v>6093</v>
      </c>
      <c r="HO347" s="16">
        <v>197</v>
      </c>
      <c r="HP347" s="16">
        <v>135</v>
      </c>
      <c r="HQ347" s="16">
        <v>16226</v>
      </c>
      <c r="HR347" s="16">
        <v>53182</v>
      </c>
      <c r="HS347" s="16">
        <v>29255</v>
      </c>
      <c r="HT347" s="16">
        <v>2092</v>
      </c>
      <c r="HU347" s="16">
        <v>1745</v>
      </c>
      <c r="HV347" s="16">
        <v>727</v>
      </c>
      <c r="HW347" s="16">
        <v>1586</v>
      </c>
      <c r="HX347" s="16">
        <v>1382</v>
      </c>
      <c r="HY347" s="16">
        <v>1698</v>
      </c>
      <c r="HZ347" s="16">
        <v>2241</v>
      </c>
      <c r="IA347" s="16">
        <v>790</v>
      </c>
      <c r="IB347" s="16">
        <v>130</v>
      </c>
      <c r="IC347" s="16">
        <v>342</v>
      </c>
      <c r="ID347" s="16">
        <v>320</v>
      </c>
      <c r="IE347" s="16">
        <v>110</v>
      </c>
      <c r="IF347" s="16">
        <v>176</v>
      </c>
      <c r="IG347" s="16">
        <v>1759</v>
      </c>
      <c r="IH347" s="16">
        <v>195369</v>
      </c>
      <c r="II347" s="16">
        <v>10068</v>
      </c>
      <c r="IJ347" s="16">
        <v>740</v>
      </c>
      <c r="IK347" s="16">
        <v>970</v>
      </c>
      <c r="IL347" s="16">
        <v>333</v>
      </c>
      <c r="IM347" s="16">
        <v>362</v>
      </c>
      <c r="IN347" s="16">
        <v>1932</v>
      </c>
      <c r="IO347" s="16">
        <v>32019</v>
      </c>
      <c r="IP347" s="16">
        <v>5554</v>
      </c>
      <c r="IQ347" s="16">
        <v>1327</v>
      </c>
      <c r="IR347" s="16">
        <v>926</v>
      </c>
      <c r="IS347" s="16">
        <v>749</v>
      </c>
      <c r="IT347" s="16">
        <v>8548</v>
      </c>
      <c r="IU347" s="16">
        <v>843</v>
      </c>
      <c r="IV347" s="16">
        <v>4652</v>
      </c>
      <c r="IW347" s="16">
        <v>20803</v>
      </c>
      <c r="IX347" s="16">
        <v>5676</v>
      </c>
      <c r="IY347" s="16">
        <v>11252</v>
      </c>
      <c r="IZ347" s="16">
        <v>3307</v>
      </c>
      <c r="JA347" s="16">
        <v>11928</v>
      </c>
      <c r="JB347" s="16">
        <v>3463</v>
      </c>
      <c r="JC347" s="16">
        <v>2576</v>
      </c>
      <c r="JD347" s="16">
        <v>9326</v>
      </c>
      <c r="JE347" s="16">
        <v>10872</v>
      </c>
      <c r="JF347" s="16">
        <v>28851</v>
      </c>
      <c r="JG347" s="16">
        <v>40922</v>
      </c>
      <c r="JH347" s="16">
        <v>6086</v>
      </c>
      <c r="JI347" s="16">
        <v>986</v>
      </c>
      <c r="JJ347" s="16">
        <v>30489</v>
      </c>
      <c r="JK347" s="16">
        <v>5699</v>
      </c>
      <c r="JL347" s="16">
        <v>1879</v>
      </c>
      <c r="JM347" s="16">
        <v>242</v>
      </c>
      <c r="JN347" s="16">
        <v>6098</v>
      </c>
      <c r="JO347" s="16">
        <v>5023</v>
      </c>
      <c r="JP347" s="16">
        <v>3383</v>
      </c>
      <c r="JQ347" s="16">
        <v>5313</v>
      </c>
      <c r="JR347" s="16">
        <v>9538</v>
      </c>
      <c r="JS347" s="16">
        <v>2801</v>
      </c>
      <c r="JT347" s="16">
        <v>1</v>
      </c>
      <c r="JU347" s="16">
        <v>25688</v>
      </c>
      <c r="JV347" s="16">
        <v>36646</v>
      </c>
      <c r="JW347" s="16">
        <v>230397</v>
      </c>
      <c r="JX347" s="16">
        <v>241107</v>
      </c>
      <c r="JY347" s="16">
        <v>56543</v>
      </c>
      <c r="JZ347" s="16">
        <v>30963</v>
      </c>
      <c r="KA347" s="16">
        <v>10642</v>
      </c>
      <c r="KB347" s="16">
        <v>3225</v>
      </c>
      <c r="KC347" s="16">
        <v>5377</v>
      </c>
      <c r="KD347" s="16">
        <v>11219</v>
      </c>
      <c r="KE347" s="16">
        <v>3308</v>
      </c>
      <c r="KF347" s="16">
        <v>18573</v>
      </c>
      <c r="KG347" s="16">
        <v>3873</v>
      </c>
      <c r="KH347" s="16">
        <v>18034</v>
      </c>
      <c r="KI347" s="16">
        <v>31357</v>
      </c>
      <c r="KJ347" s="16">
        <v>22526</v>
      </c>
      <c r="KK347" s="16">
        <v>5476015</v>
      </c>
      <c r="KL347" s="16">
        <v>2552</v>
      </c>
      <c r="KM347" s="16">
        <v>10374</v>
      </c>
      <c r="KN347" s="16">
        <v>13478</v>
      </c>
      <c r="KO347" s="16">
        <v>1289</v>
      </c>
      <c r="KP347" s="16">
        <v>2011</v>
      </c>
      <c r="KQ347" s="16">
        <v>19648</v>
      </c>
      <c r="KR347" s="16">
        <v>2620</v>
      </c>
      <c r="KS347" s="16">
        <v>658</v>
      </c>
      <c r="KT347" s="16">
        <v>753</v>
      </c>
      <c r="KU347" s="16">
        <v>2629</v>
      </c>
      <c r="KV347" s="16">
        <v>14309</v>
      </c>
      <c r="KW347" s="16">
        <v>10674</v>
      </c>
      <c r="KX347" s="16">
        <v>2701</v>
      </c>
      <c r="KY347" s="16">
        <v>47732</v>
      </c>
      <c r="KZ347" s="16">
        <v>161243</v>
      </c>
      <c r="LA347" s="16">
        <v>46873</v>
      </c>
      <c r="LB347" s="16">
        <v>18155</v>
      </c>
      <c r="LC347" s="16">
        <v>89157</v>
      </c>
      <c r="LD347" s="16">
        <v>153527</v>
      </c>
      <c r="LE347" s="16">
        <v>174858</v>
      </c>
      <c r="LF347" s="16">
        <v>238160</v>
      </c>
      <c r="LG347" s="16">
        <v>3983</v>
      </c>
      <c r="LH347" s="16">
        <v>2238</v>
      </c>
      <c r="LI347" s="16">
        <v>4306</v>
      </c>
      <c r="LJ347" s="16">
        <v>32219</v>
      </c>
      <c r="LK347" s="16">
        <v>892612</v>
      </c>
      <c r="LL347" s="16">
        <v>1210097</v>
      </c>
      <c r="LM347" s="16">
        <v>419801</v>
      </c>
      <c r="LN347" s="16">
        <v>10905</v>
      </c>
      <c r="LO347" s="16">
        <v>249142</v>
      </c>
      <c r="LP347" s="16">
        <v>287480</v>
      </c>
      <c r="LQ347" s="16">
        <v>17100</v>
      </c>
      <c r="LR347" s="16">
        <v>244824</v>
      </c>
      <c r="LS347" s="16">
        <v>19346</v>
      </c>
      <c r="LT347" s="16">
        <v>61267</v>
      </c>
      <c r="LU347" s="16">
        <v>35846</v>
      </c>
      <c r="LV347" s="16">
        <v>1866</v>
      </c>
      <c r="LW347" s="16">
        <v>59543</v>
      </c>
      <c r="LX347" s="16">
        <v>37808</v>
      </c>
      <c r="LY347" s="16">
        <v>128577</v>
      </c>
      <c r="LZ347" s="16">
        <v>60416</v>
      </c>
      <c r="MA347" s="16">
        <v>130601</v>
      </c>
      <c r="MB347" s="16">
        <v>4931</v>
      </c>
      <c r="MC347" s="16">
        <v>13589</v>
      </c>
      <c r="MD347" s="16">
        <v>7579</v>
      </c>
      <c r="ME347" s="16">
        <v>6244</v>
      </c>
      <c r="MF347" s="16">
        <v>22660</v>
      </c>
      <c r="MG347" s="16">
        <v>13291</v>
      </c>
      <c r="MH347" s="16">
        <v>839650</v>
      </c>
      <c r="MI347" s="16">
        <v>13246</v>
      </c>
      <c r="MJ347" s="16">
        <v>22183</v>
      </c>
      <c r="MK347" s="16">
        <v>10448</v>
      </c>
      <c r="ML347" s="16">
        <v>11492</v>
      </c>
      <c r="MM347" s="16">
        <v>16039</v>
      </c>
      <c r="MN347" s="16">
        <v>57563</v>
      </c>
      <c r="MO347" s="16">
        <v>16773</v>
      </c>
      <c r="MP347" s="16">
        <v>28465</v>
      </c>
      <c r="MQ347" s="16">
        <v>119758</v>
      </c>
      <c r="MR347" s="16">
        <v>193965</v>
      </c>
      <c r="MS347" s="16">
        <v>240466</v>
      </c>
      <c r="MT347" s="16">
        <v>12219</v>
      </c>
      <c r="MU347" s="16">
        <v>24626</v>
      </c>
      <c r="MV347" s="16">
        <v>22535</v>
      </c>
      <c r="MW347" s="16">
        <v>429205</v>
      </c>
      <c r="MX347" s="16">
        <v>21082</v>
      </c>
      <c r="MY347" s="16">
        <v>5997</v>
      </c>
      <c r="MZ347" s="16">
        <v>21701</v>
      </c>
      <c r="NA347" s="16">
        <v>35535</v>
      </c>
      <c r="NB347" s="16">
        <v>3063</v>
      </c>
      <c r="NC347" s="16">
        <v>52906</v>
      </c>
      <c r="ND347" s="16">
        <v>7950</v>
      </c>
      <c r="NE347" s="16">
        <v>2436</v>
      </c>
      <c r="NF347" s="16">
        <v>199330</v>
      </c>
      <c r="NG347" s="16">
        <v>86664</v>
      </c>
      <c r="NH347" s="16">
        <v>67445</v>
      </c>
      <c r="NI347" s="16">
        <v>28328</v>
      </c>
      <c r="NJ347" s="16">
        <v>14639</v>
      </c>
      <c r="NK347" s="16">
        <v>70021</v>
      </c>
      <c r="NL347" s="16">
        <v>32998</v>
      </c>
      <c r="NM347" s="16">
        <v>21992</v>
      </c>
      <c r="NN347" s="16">
        <v>4819</v>
      </c>
      <c r="NO347" s="16">
        <v>0</v>
      </c>
      <c r="NP347" s="16">
        <v>100185</v>
      </c>
      <c r="NQ347" s="16">
        <v>358</v>
      </c>
      <c r="NR347" s="17">
        <v>16888824</v>
      </c>
    </row>
    <row r="348" spans="1:382" ht="13.5" customHeight="1" x14ac:dyDescent="0.2">
      <c r="A348" s="2" t="s">
        <v>703</v>
      </c>
      <c r="B348" s="16">
        <v>0</v>
      </c>
      <c r="C348" s="16">
        <v>0</v>
      </c>
      <c r="D348" s="16">
        <v>0</v>
      </c>
      <c r="E348" s="16">
        <v>0</v>
      </c>
      <c r="F348" s="16">
        <v>0</v>
      </c>
      <c r="G348" s="16">
        <v>0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6">
        <v>0</v>
      </c>
      <c r="AF348" s="16">
        <v>0</v>
      </c>
      <c r="AG348" s="16">
        <v>0</v>
      </c>
      <c r="AH348" s="16">
        <v>0</v>
      </c>
      <c r="AI348" s="16">
        <v>0</v>
      </c>
      <c r="AJ348" s="16">
        <v>0</v>
      </c>
      <c r="AK348" s="16">
        <v>1812</v>
      </c>
      <c r="AL348" s="16">
        <v>234</v>
      </c>
      <c r="AM348" s="16">
        <v>154</v>
      </c>
      <c r="AN348" s="16">
        <v>1343</v>
      </c>
      <c r="AO348" s="16">
        <v>227</v>
      </c>
      <c r="AP348" s="16">
        <v>0</v>
      </c>
      <c r="AQ348" s="16">
        <v>0</v>
      </c>
      <c r="AR348" s="16">
        <v>0</v>
      </c>
      <c r="AS348" s="16">
        <v>0</v>
      </c>
      <c r="AT348" s="16">
        <v>432</v>
      </c>
      <c r="AU348" s="16">
        <v>1984</v>
      </c>
      <c r="AV348" s="16">
        <v>479</v>
      </c>
      <c r="AW348" s="16">
        <v>807</v>
      </c>
      <c r="AX348" s="16">
        <v>178</v>
      </c>
      <c r="AY348" s="16">
        <v>283</v>
      </c>
      <c r="AZ348" s="16">
        <v>696</v>
      </c>
      <c r="BA348" s="16">
        <v>1727</v>
      </c>
      <c r="BB348" s="16">
        <v>1281</v>
      </c>
      <c r="BC348" s="16">
        <v>126</v>
      </c>
      <c r="BD348" s="16">
        <v>0</v>
      </c>
      <c r="BE348" s="16">
        <v>0</v>
      </c>
      <c r="BF348" s="16">
        <v>0</v>
      </c>
      <c r="BG348" s="16">
        <v>194</v>
      </c>
      <c r="BH348" s="16">
        <v>1690</v>
      </c>
      <c r="BI348" s="16">
        <v>0</v>
      </c>
      <c r="BJ348" s="16">
        <v>128</v>
      </c>
      <c r="BK348" s="16">
        <v>0</v>
      </c>
      <c r="BL348" s="16">
        <v>156</v>
      </c>
      <c r="BM348" s="16">
        <v>0</v>
      </c>
      <c r="BN348" s="16">
        <v>0</v>
      </c>
      <c r="BO348" s="16">
        <v>0</v>
      </c>
      <c r="BP348" s="16">
        <v>0</v>
      </c>
      <c r="BQ348" s="16">
        <v>0</v>
      </c>
      <c r="BR348" s="16">
        <v>105</v>
      </c>
      <c r="BS348" s="16">
        <v>0</v>
      </c>
      <c r="BT348" s="16">
        <v>0</v>
      </c>
      <c r="BU348" s="16">
        <v>0</v>
      </c>
      <c r="BV348" s="16">
        <v>0</v>
      </c>
      <c r="BW348" s="16">
        <v>90</v>
      </c>
      <c r="BX348" s="16">
        <v>0</v>
      </c>
      <c r="BY348" s="16">
        <v>0</v>
      </c>
      <c r="BZ348" s="16">
        <v>0</v>
      </c>
      <c r="CA348" s="16">
        <v>50</v>
      </c>
      <c r="CB348" s="16">
        <v>0</v>
      </c>
      <c r="CC348" s="16">
        <v>0</v>
      </c>
      <c r="CD348" s="16">
        <v>0</v>
      </c>
      <c r="CE348" s="16">
        <v>20</v>
      </c>
      <c r="CF348" s="16">
        <v>35</v>
      </c>
      <c r="CG348" s="16">
        <v>39</v>
      </c>
      <c r="CH348" s="16">
        <v>0</v>
      </c>
      <c r="CI348" s="16">
        <v>0</v>
      </c>
      <c r="CJ348" s="16">
        <v>0</v>
      </c>
      <c r="CK348" s="16">
        <v>0</v>
      </c>
      <c r="CL348" s="16">
        <v>153</v>
      </c>
      <c r="CM348" s="16">
        <v>0</v>
      </c>
      <c r="CN348" s="16">
        <v>0</v>
      </c>
      <c r="CO348" s="16">
        <v>0</v>
      </c>
      <c r="CP348" s="16">
        <v>0</v>
      </c>
      <c r="CQ348" s="16">
        <v>79</v>
      </c>
      <c r="CR348" s="16">
        <v>0</v>
      </c>
      <c r="CS348" s="16">
        <v>0</v>
      </c>
      <c r="CT348" s="16">
        <v>0</v>
      </c>
      <c r="CU348" s="16">
        <v>0</v>
      </c>
      <c r="CV348" s="16">
        <v>0</v>
      </c>
      <c r="CW348" s="16">
        <v>0</v>
      </c>
      <c r="CX348" s="16">
        <v>0</v>
      </c>
      <c r="CY348" s="16">
        <v>0</v>
      </c>
      <c r="CZ348" s="16">
        <v>0</v>
      </c>
      <c r="DA348" s="16">
        <v>0</v>
      </c>
      <c r="DB348" s="16">
        <v>0</v>
      </c>
      <c r="DC348" s="16">
        <v>0</v>
      </c>
      <c r="DD348" s="16">
        <v>0</v>
      </c>
      <c r="DE348" s="16">
        <v>0</v>
      </c>
      <c r="DF348" s="16">
        <v>0</v>
      </c>
      <c r="DG348" s="16">
        <v>0</v>
      </c>
      <c r="DH348" s="16">
        <v>16</v>
      </c>
      <c r="DI348" s="16">
        <v>0</v>
      </c>
      <c r="DJ348" s="16">
        <v>50</v>
      </c>
      <c r="DK348" s="16">
        <v>0</v>
      </c>
      <c r="DL348" s="16">
        <v>0</v>
      </c>
      <c r="DM348" s="16">
        <v>0</v>
      </c>
      <c r="DN348" s="16">
        <v>7</v>
      </c>
      <c r="DO348" s="16">
        <v>0</v>
      </c>
      <c r="DP348" s="16">
        <v>0</v>
      </c>
      <c r="DQ348" s="16">
        <v>0</v>
      </c>
      <c r="DR348" s="16">
        <v>0</v>
      </c>
      <c r="DS348" s="16">
        <v>288</v>
      </c>
      <c r="DT348" s="16">
        <v>0</v>
      </c>
      <c r="DU348" s="16">
        <v>0</v>
      </c>
      <c r="DV348" s="16">
        <v>8</v>
      </c>
      <c r="DW348" s="16">
        <v>0</v>
      </c>
      <c r="DX348" s="16">
        <v>17</v>
      </c>
      <c r="DY348" s="16">
        <v>0</v>
      </c>
      <c r="DZ348" s="16">
        <v>363</v>
      </c>
      <c r="EA348" s="16">
        <v>993</v>
      </c>
      <c r="EB348" s="16">
        <v>0</v>
      </c>
      <c r="EC348" s="16">
        <v>0</v>
      </c>
      <c r="ED348" s="16">
        <v>0</v>
      </c>
      <c r="EE348" s="16">
        <v>0</v>
      </c>
      <c r="EF348" s="16">
        <v>600</v>
      </c>
      <c r="EG348" s="16">
        <v>130</v>
      </c>
      <c r="EH348" s="16">
        <v>615</v>
      </c>
      <c r="EI348" s="16">
        <v>319</v>
      </c>
      <c r="EJ348" s="16">
        <v>855</v>
      </c>
      <c r="EK348" s="16">
        <v>0</v>
      </c>
      <c r="EL348" s="16">
        <v>127</v>
      </c>
      <c r="EM348" s="16">
        <v>8</v>
      </c>
      <c r="EN348" s="16">
        <v>568</v>
      </c>
      <c r="EO348" s="16">
        <v>2785</v>
      </c>
      <c r="EP348" s="16">
        <v>111</v>
      </c>
      <c r="EQ348" s="16">
        <v>1641</v>
      </c>
      <c r="ER348" s="16">
        <v>17</v>
      </c>
      <c r="ES348" s="16">
        <v>840</v>
      </c>
      <c r="ET348" s="16">
        <v>19</v>
      </c>
      <c r="EU348" s="16">
        <v>0</v>
      </c>
      <c r="EV348" s="16">
        <v>111</v>
      </c>
      <c r="EW348" s="16">
        <v>16</v>
      </c>
      <c r="EX348" s="16">
        <v>392</v>
      </c>
      <c r="EY348" s="16">
        <v>15</v>
      </c>
      <c r="EZ348" s="16">
        <v>0</v>
      </c>
      <c r="FA348" s="16">
        <v>0</v>
      </c>
      <c r="FB348" s="16">
        <v>42</v>
      </c>
      <c r="FC348" s="16">
        <v>0</v>
      </c>
      <c r="FD348" s="16">
        <v>1758</v>
      </c>
      <c r="FE348" s="16">
        <v>3</v>
      </c>
      <c r="FF348" s="16">
        <v>156</v>
      </c>
      <c r="FG348" s="16">
        <v>184</v>
      </c>
      <c r="FH348" s="16">
        <v>0</v>
      </c>
      <c r="FI348" s="16">
        <v>285</v>
      </c>
      <c r="FJ348" s="16">
        <v>12</v>
      </c>
      <c r="FK348" s="16">
        <v>0</v>
      </c>
      <c r="FL348" s="16">
        <v>0</v>
      </c>
      <c r="FM348" s="16">
        <v>62</v>
      </c>
      <c r="FN348" s="16">
        <v>365</v>
      </c>
      <c r="FO348" s="16">
        <v>51</v>
      </c>
      <c r="FP348" s="16">
        <v>658</v>
      </c>
      <c r="FQ348" s="16">
        <v>1749</v>
      </c>
      <c r="FR348" s="16">
        <v>1855</v>
      </c>
      <c r="FS348" s="16">
        <v>1217</v>
      </c>
      <c r="FT348" s="16">
        <v>1196</v>
      </c>
      <c r="FU348" s="16">
        <v>155</v>
      </c>
      <c r="FV348" s="16">
        <v>996</v>
      </c>
      <c r="FW348" s="16">
        <v>2486</v>
      </c>
      <c r="FX348" s="16">
        <v>5280</v>
      </c>
      <c r="FY348" s="16">
        <v>132</v>
      </c>
      <c r="FZ348" s="16">
        <v>309</v>
      </c>
      <c r="GA348" s="16">
        <v>56</v>
      </c>
      <c r="GB348" s="16">
        <v>645</v>
      </c>
      <c r="GC348" s="16">
        <v>878</v>
      </c>
      <c r="GD348" s="16">
        <v>1491</v>
      </c>
      <c r="GE348" s="16">
        <v>0</v>
      </c>
      <c r="GF348" s="16">
        <v>0</v>
      </c>
      <c r="GG348" s="16">
        <v>0</v>
      </c>
      <c r="GH348" s="16">
        <v>0</v>
      </c>
      <c r="GI348" s="16">
        <v>0</v>
      </c>
      <c r="GJ348" s="16">
        <v>0</v>
      </c>
      <c r="GK348" s="16">
        <v>0</v>
      </c>
      <c r="GL348" s="16">
        <v>0</v>
      </c>
      <c r="GM348" s="16">
        <v>0</v>
      </c>
      <c r="GN348" s="16">
        <v>0</v>
      </c>
      <c r="GO348" s="16">
        <v>0</v>
      </c>
      <c r="GP348" s="16">
        <v>0</v>
      </c>
      <c r="GQ348" s="16">
        <v>0</v>
      </c>
      <c r="GR348" s="16">
        <v>3530</v>
      </c>
      <c r="GS348" s="16">
        <v>0</v>
      </c>
      <c r="GT348" s="16">
        <v>0</v>
      </c>
      <c r="GU348" s="16">
        <v>0</v>
      </c>
      <c r="GV348" s="16">
        <v>0</v>
      </c>
      <c r="GW348" s="16">
        <v>53</v>
      </c>
      <c r="GX348" s="16">
        <v>0</v>
      </c>
      <c r="GY348" s="16">
        <v>0</v>
      </c>
      <c r="GZ348" s="16">
        <v>2200</v>
      </c>
      <c r="HA348" s="16">
        <v>0</v>
      </c>
      <c r="HB348" s="16">
        <v>0</v>
      </c>
      <c r="HC348" s="16">
        <v>0</v>
      </c>
      <c r="HD348" s="16">
        <v>0</v>
      </c>
      <c r="HE348" s="16">
        <v>0</v>
      </c>
      <c r="HF348" s="16">
        <v>0</v>
      </c>
      <c r="HG348" s="16">
        <v>3667</v>
      </c>
      <c r="HH348" s="16">
        <v>0</v>
      </c>
      <c r="HI348" s="16">
        <v>3217</v>
      </c>
      <c r="HJ348" s="16">
        <v>0</v>
      </c>
      <c r="HK348" s="16">
        <v>0</v>
      </c>
      <c r="HL348" s="16">
        <v>0</v>
      </c>
      <c r="HM348" s="16">
        <v>417</v>
      </c>
      <c r="HN348" s="16">
        <v>2459</v>
      </c>
      <c r="HO348" s="16">
        <v>1762</v>
      </c>
      <c r="HP348" s="16">
        <v>99</v>
      </c>
      <c r="HQ348" s="16">
        <v>4685</v>
      </c>
      <c r="HR348" s="16">
        <v>2498</v>
      </c>
      <c r="HS348" s="16">
        <v>304</v>
      </c>
      <c r="HT348" s="16">
        <v>77</v>
      </c>
      <c r="HU348" s="16">
        <v>3415</v>
      </c>
      <c r="HV348" s="16">
        <v>120</v>
      </c>
      <c r="HW348" s="16">
        <v>1121</v>
      </c>
      <c r="HX348" s="16">
        <v>636</v>
      </c>
      <c r="HY348" s="16">
        <v>3427</v>
      </c>
      <c r="HZ348" s="16">
        <v>1901</v>
      </c>
      <c r="IA348" s="16">
        <v>1721</v>
      </c>
      <c r="IB348" s="16">
        <v>23</v>
      </c>
      <c r="IC348" s="16">
        <v>1535</v>
      </c>
      <c r="ID348" s="16">
        <v>2555</v>
      </c>
      <c r="IE348" s="16">
        <v>1</v>
      </c>
      <c r="IF348" s="16">
        <v>30</v>
      </c>
      <c r="IG348" s="16">
        <v>5923</v>
      </c>
      <c r="IH348" s="16">
        <v>0</v>
      </c>
      <c r="II348" s="16">
        <v>0</v>
      </c>
      <c r="IJ348" s="16">
        <v>0</v>
      </c>
      <c r="IK348" s="16">
        <v>0</v>
      </c>
      <c r="IL348" s="16">
        <v>0</v>
      </c>
      <c r="IM348" s="16">
        <v>0</v>
      </c>
      <c r="IN348" s="16">
        <v>0</v>
      </c>
      <c r="IO348" s="16">
        <v>0</v>
      </c>
      <c r="IP348" s="16">
        <v>0</v>
      </c>
      <c r="IQ348" s="16">
        <v>0</v>
      </c>
      <c r="IR348" s="16">
        <v>294</v>
      </c>
      <c r="IS348" s="16">
        <v>0</v>
      </c>
      <c r="IT348" s="16">
        <v>0</v>
      </c>
      <c r="IU348" s="16">
        <v>0</v>
      </c>
      <c r="IV348" s="16">
        <v>0</v>
      </c>
      <c r="IW348" s="16">
        <v>606</v>
      </c>
      <c r="IX348" s="16">
        <v>29</v>
      </c>
      <c r="IY348" s="16">
        <v>275</v>
      </c>
      <c r="IZ348" s="16">
        <v>0</v>
      </c>
      <c r="JA348" s="16">
        <v>6</v>
      </c>
      <c r="JB348" s="16">
        <v>0</v>
      </c>
      <c r="JC348" s="16">
        <v>0</v>
      </c>
      <c r="JD348" s="16">
        <v>0</v>
      </c>
      <c r="JE348" s="16">
        <v>120</v>
      </c>
      <c r="JF348" s="16">
        <v>0</v>
      </c>
      <c r="JG348" s="16">
        <v>4398</v>
      </c>
      <c r="JH348" s="16">
        <v>1925</v>
      </c>
      <c r="JI348" s="16">
        <v>0</v>
      </c>
      <c r="JJ348" s="16">
        <v>0</v>
      </c>
      <c r="JK348" s="16">
        <v>0</v>
      </c>
      <c r="JL348" s="16">
        <v>0</v>
      </c>
      <c r="JM348" s="16">
        <v>0</v>
      </c>
      <c r="JN348" s="16">
        <v>0</v>
      </c>
      <c r="JO348" s="16">
        <v>0</v>
      </c>
      <c r="JP348" s="16">
        <v>3865</v>
      </c>
      <c r="JQ348" s="16">
        <v>0</v>
      </c>
      <c r="JR348" s="16">
        <v>13175</v>
      </c>
      <c r="JS348" s="16">
        <v>2426</v>
      </c>
      <c r="JT348" s="16">
        <v>1</v>
      </c>
      <c r="JU348" s="16">
        <v>13679</v>
      </c>
      <c r="JV348" s="16">
        <v>5850</v>
      </c>
      <c r="JW348" s="16">
        <v>8282151</v>
      </c>
      <c r="JX348" s="16">
        <v>9404148</v>
      </c>
      <c r="JY348" s="16">
        <v>337804</v>
      </c>
      <c r="JZ348" s="16">
        <v>1041351</v>
      </c>
      <c r="KA348" s="16">
        <v>385783</v>
      </c>
      <c r="KB348" s="16">
        <v>131430</v>
      </c>
      <c r="KC348" s="16">
        <v>196155</v>
      </c>
      <c r="KD348" s="16">
        <v>278230</v>
      </c>
      <c r="KE348" s="16">
        <v>101962</v>
      </c>
      <c r="KF348" s="16">
        <v>1032078</v>
      </c>
      <c r="KG348" s="16">
        <v>160959</v>
      </c>
      <c r="KH348" s="16">
        <v>402334</v>
      </c>
      <c r="KI348" s="16">
        <v>1085970</v>
      </c>
      <c r="KJ348" s="16">
        <v>651992</v>
      </c>
      <c r="KK348" s="16">
        <v>6995</v>
      </c>
      <c r="KL348" s="16">
        <v>0</v>
      </c>
      <c r="KM348" s="16">
        <v>3207</v>
      </c>
      <c r="KN348" s="16">
        <v>0</v>
      </c>
      <c r="KO348" s="16">
        <v>1578</v>
      </c>
      <c r="KP348" s="16">
        <v>0</v>
      </c>
      <c r="KQ348" s="16">
        <v>0</v>
      </c>
      <c r="KR348" s="16">
        <v>0</v>
      </c>
      <c r="KS348" s="16">
        <v>4738</v>
      </c>
      <c r="KT348" s="16">
        <v>0</v>
      </c>
      <c r="KU348" s="16">
        <v>0</v>
      </c>
      <c r="KV348" s="16">
        <v>0</v>
      </c>
      <c r="KW348" s="16">
        <v>0</v>
      </c>
      <c r="KX348" s="16">
        <v>0</v>
      </c>
      <c r="KY348" s="16">
        <v>0</v>
      </c>
      <c r="KZ348" s="16">
        <v>299</v>
      </c>
      <c r="LA348" s="16">
        <v>395</v>
      </c>
      <c r="LB348" s="16">
        <v>0</v>
      </c>
      <c r="LC348" s="16">
        <v>170</v>
      </c>
      <c r="LD348" s="16">
        <v>8944</v>
      </c>
      <c r="LE348" s="16">
        <v>0</v>
      </c>
      <c r="LF348" s="16">
        <v>7250</v>
      </c>
      <c r="LG348" s="16">
        <v>0</v>
      </c>
      <c r="LH348" s="16">
        <v>0</v>
      </c>
      <c r="LI348" s="16">
        <v>0</v>
      </c>
      <c r="LJ348" s="16">
        <v>0</v>
      </c>
      <c r="LK348" s="16">
        <v>5130</v>
      </c>
      <c r="LL348" s="16">
        <v>3072</v>
      </c>
      <c r="LM348" s="16">
        <v>10239</v>
      </c>
      <c r="LN348" s="16">
        <v>2720</v>
      </c>
      <c r="LO348" s="16">
        <v>2048</v>
      </c>
      <c r="LP348" s="16">
        <v>4571</v>
      </c>
      <c r="LQ348" s="16">
        <v>0</v>
      </c>
      <c r="LR348" s="16">
        <v>0</v>
      </c>
      <c r="LS348" s="16">
        <v>0</v>
      </c>
      <c r="LT348" s="16">
        <v>0</v>
      </c>
      <c r="LU348" s="16">
        <v>0</v>
      </c>
      <c r="LV348" s="16">
        <v>0</v>
      </c>
      <c r="LW348" s="16">
        <v>0</v>
      </c>
      <c r="LX348" s="16">
        <v>0</v>
      </c>
      <c r="LY348" s="16">
        <v>0</v>
      </c>
      <c r="LZ348" s="16">
        <v>5371</v>
      </c>
      <c r="MA348" s="16">
        <v>163792</v>
      </c>
      <c r="MB348" s="16">
        <v>10752</v>
      </c>
      <c r="MC348" s="16">
        <v>14763</v>
      </c>
      <c r="MD348" s="16">
        <v>29838</v>
      </c>
      <c r="ME348" s="16">
        <v>20655</v>
      </c>
      <c r="MF348" s="16">
        <v>10174</v>
      </c>
      <c r="MG348" s="16">
        <v>4563</v>
      </c>
      <c r="MH348" s="16">
        <v>319132</v>
      </c>
      <c r="MI348" s="16">
        <v>5039</v>
      </c>
      <c r="MJ348" s="16">
        <v>1185410</v>
      </c>
      <c r="MK348" s="16">
        <v>71745</v>
      </c>
      <c r="ML348" s="16">
        <v>22558</v>
      </c>
      <c r="MM348" s="16">
        <v>3635</v>
      </c>
      <c r="MN348" s="16">
        <v>3774</v>
      </c>
      <c r="MO348" s="16">
        <v>11840</v>
      </c>
      <c r="MP348" s="16">
        <v>6317</v>
      </c>
      <c r="MQ348" s="16">
        <v>7525</v>
      </c>
      <c r="MR348" s="16">
        <v>874320</v>
      </c>
      <c r="MS348" s="16">
        <v>15695</v>
      </c>
      <c r="MT348" s="16">
        <v>16</v>
      </c>
      <c r="MU348" s="16">
        <v>12031</v>
      </c>
      <c r="MV348" s="16">
        <v>0</v>
      </c>
      <c r="MW348" s="16">
        <v>0</v>
      </c>
      <c r="MX348" s="16">
        <v>19</v>
      </c>
      <c r="MY348" s="16">
        <v>0</v>
      </c>
      <c r="MZ348" s="16">
        <v>5</v>
      </c>
      <c r="NA348" s="16">
        <v>4503</v>
      </c>
      <c r="NB348" s="16">
        <v>0</v>
      </c>
      <c r="NC348" s="16">
        <v>2718</v>
      </c>
      <c r="ND348" s="16">
        <v>1625</v>
      </c>
      <c r="NE348" s="16">
        <v>1883</v>
      </c>
      <c r="NF348" s="16">
        <v>173</v>
      </c>
      <c r="NG348" s="16">
        <v>285</v>
      </c>
      <c r="NH348" s="16">
        <v>0</v>
      </c>
      <c r="NI348" s="16">
        <v>0</v>
      </c>
      <c r="NJ348" s="16">
        <v>0</v>
      </c>
      <c r="NK348" s="16">
        <v>1959</v>
      </c>
      <c r="NL348" s="16">
        <v>0</v>
      </c>
      <c r="NM348" s="16">
        <v>44</v>
      </c>
      <c r="NN348" s="16">
        <v>0</v>
      </c>
      <c r="NO348" s="16">
        <v>0</v>
      </c>
      <c r="NP348" s="16">
        <v>11</v>
      </c>
      <c r="NQ348" s="16">
        <v>577</v>
      </c>
      <c r="NR348" s="17">
        <v>26507909</v>
      </c>
    </row>
    <row r="349" spans="1:382" ht="13.5" customHeight="1" x14ac:dyDescent="0.2">
      <c r="A349" s="2" t="s">
        <v>705</v>
      </c>
      <c r="B349" s="16">
        <v>254</v>
      </c>
      <c r="C349" s="16">
        <v>1</v>
      </c>
      <c r="D349" s="16">
        <v>262</v>
      </c>
      <c r="E349" s="16">
        <v>225</v>
      </c>
      <c r="F349" s="16">
        <v>1074</v>
      </c>
      <c r="G349" s="16">
        <v>176</v>
      </c>
      <c r="H349" s="16">
        <v>313</v>
      </c>
      <c r="I349" s="16">
        <v>151</v>
      </c>
      <c r="J349" s="16">
        <v>4</v>
      </c>
      <c r="K349" s="16">
        <v>0</v>
      </c>
      <c r="L349" s="16">
        <v>205</v>
      </c>
      <c r="M349" s="16">
        <v>64</v>
      </c>
      <c r="N349" s="16">
        <v>0</v>
      </c>
      <c r="O349" s="16">
        <v>31</v>
      </c>
      <c r="P349" s="16">
        <v>331</v>
      </c>
      <c r="Q349" s="16">
        <v>2065</v>
      </c>
      <c r="R349" s="16">
        <v>962</v>
      </c>
      <c r="S349" s="16">
        <v>118</v>
      </c>
      <c r="T349" s="16">
        <v>895</v>
      </c>
      <c r="U349" s="16">
        <v>409</v>
      </c>
      <c r="V349" s="16">
        <v>1498</v>
      </c>
      <c r="W349" s="16">
        <v>5</v>
      </c>
      <c r="X349" s="16">
        <v>7467</v>
      </c>
      <c r="Y349" s="16">
        <v>12997</v>
      </c>
      <c r="Z349" s="16">
        <v>11623</v>
      </c>
      <c r="AA349" s="16">
        <v>1653</v>
      </c>
      <c r="AB349" s="16">
        <v>0</v>
      </c>
      <c r="AC349" s="16">
        <v>0</v>
      </c>
      <c r="AD349" s="16">
        <v>0</v>
      </c>
      <c r="AE349" s="16">
        <v>43</v>
      </c>
      <c r="AF349" s="16">
        <v>77</v>
      </c>
      <c r="AG349" s="16">
        <v>20323</v>
      </c>
      <c r="AH349" s="16">
        <v>6562</v>
      </c>
      <c r="AI349" s="16">
        <v>1818</v>
      </c>
      <c r="AJ349" s="16">
        <v>51985</v>
      </c>
      <c r="AK349" s="16">
        <v>8701</v>
      </c>
      <c r="AL349" s="16">
        <v>663</v>
      </c>
      <c r="AM349" s="16">
        <v>2430</v>
      </c>
      <c r="AN349" s="16">
        <v>1060</v>
      </c>
      <c r="AO349" s="16">
        <v>2341</v>
      </c>
      <c r="AP349" s="16">
        <v>325</v>
      </c>
      <c r="AQ349" s="16">
        <v>720</v>
      </c>
      <c r="AR349" s="16">
        <v>0</v>
      </c>
      <c r="AS349" s="16">
        <v>134</v>
      </c>
      <c r="AT349" s="16">
        <v>444</v>
      </c>
      <c r="AU349" s="16">
        <v>3294</v>
      </c>
      <c r="AV349" s="16">
        <v>1833</v>
      </c>
      <c r="AW349" s="16">
        <v>15054</v>
      </c>
      <c r="AX349" s="16">
        <v>3282</v>
      </c>
      <c r="AY349" s="16">
        <v>329</v>
      </c>
      <c r="AZ349" s="16">
        <v>2741</v>
      </c>
      <c r="BA349" s="16">
        <v>16082</v>
      </c>
      <c r="BB349" s="16">
        <v>6115</v>
      </c>
      <c r="BC349" s="16">
        <v>11308</v>
      </c>
      <c r="BD349" s="16">
        <v>942</v>
      </c>
      <c r="BE349" s="16">
        <v>2989</v>
      </c>
      <c r="BF349" s="16">
        <v>1580</v>
      </c>
      <c r="BG349" s="16">
        <v>4032</v>
      </c>
      <c r="BH349" s="16">
        <v>6730</v>
      </c>
      <c r="BI349" s="16">
        <v>260</v>
      </c>
      <c r="BJ349" s="16">
        <v>779</v>
      </c>
      <c r="BK349" s="16">
        <v>3141</v>
      </c>
      <c r="BL349" s="16">
        <v>13522</v>
      </c>
      <c r="BM349" s="16">
        <v>2390</v>
      </c>
      <c r="BN349" s="16">
        <v>1365</v>
      </c>
      <c r="BO349" s="16">
        <v>15674</v>
      </c>
      <c r="BP349" s="16">
        <v>3517</v>
      </c>
      <c r="BQ349" s="16">
        <v>261</v>
      </c>
      <c r="BR349" s="16">
        <v>803</v>
      </c>
      <c r="BS349" s="16">
        <v>3629</v>
      </c>
      <c r="BT349" s="16">
        <v>170</v>
      </c>
      <c r="BU349" s="16">
        <v>29</v>
      </c>
      <c r="BV349" s="16">
        <v>21</v>
      </c>
      <c r="BW349" s="16">
        <v>5983</v>
      </c>
      <c r="BX349" s="16">
        <v>1479</v>
      </c>
      <c r="BY349" s="16">
        <v>1</v>
      </c>
      <c r="BZ349" s="16">
        <v>739</v>
      </c>
      <c r="CA349" s="16">
        <v>625</v>
      </c>
      <c r="CB349" s="16">
        <v>87</v>
      </c>
      <c r="CC349" s="16">
        <v>2885</v>
      </c>
      <c r="CD349" s="16">
        <v>1096</v>
      </c>
      <c r="CE349" s="16">
        <v>716</v>
      </c>
      <c r="CF349" s="16">
        <v>5360</v>
      </c>
      <c r="CG349" s="16">
        <v>1509</v>
      </c>
      <c r="CH349" s="16">
        <v>880</v>
      </c>
      <c r="CI349" s="16">
        <v>432</v>
      </c>
      <c r="CJ349" s="16">
        <v>2576</v>
      </c>
      <c r="CK349" s="16">
        <v>2984</v>
      </c>
      <c r="CL349" s="16">
        <v>1208</v>
      </c>
      <c r="CM349" s="16">
        <v>1978</v>
      </c>
      <c r="CN349" s="16">
        <v>817</v>
      </c>
      <c r="CO349" s="16">
        <v>2388</v>
      </c>
      <c r="CP349" s="16">
        <v>1781</v>
      </c>
      <c r="CQ349" s="16">
        <v>6721</v>
      </c>
      <c r="CR349" s="16">
        <v>4899</v>
      </c>
      <c r="CS349" s="16">
        <v>41353</v>
      </c>
      <c r="CT349" s="16">
        <v>47886</v>
      </c>
      <c r="CU349" s="16">
        <v>127481</v>
      </c>
      <c r="CV349" s="16">
        <v>55251</v>
      </c>
      <c r="CW349" s="16">
        <v>127330</v>
      </c>
      <c r="CX349" s="16">
        <v>81737</v>
      </c>
      <c r="CY349" s="16">
        <v>17310</v>
      </c>
      <c r="CZ349" s="16">
        <v>16281</v>
      </c>
      <c r="DA349" s="16">
        <v>2223</v>
      </c>
      <c r="DB349" s="16">
        <v>23495</v>
      </c>
      <c r="DC349" s="16">
        <v>47040</v>
      </c>
      <c r="DD349" s="16">
        <v>61251</v>
      </c>
      <c r="DE349" s="16">
        <v>3886</v>
      </c>
      <c r="DF349" s="16">
        <v>38816</v>
      </c>
      <c r="DG349" s="16">
        <v>10804</v>
      </c>
      <c r="DH349" s="16">
        <v>46170</v>
      </c>
      <c r="DI349" s="16">
        <v>7622</v>
      </c>
      <c r="DJ349" s="16">
        <v>160017</v>
      </c>
      <c r="DK349" s="16">
        <v>16836</v>
      </c>
      <c r="DL349" s="16">
        <v>16337</v>
      </c>
      <c r="DM349" s="16">
        <v>50572</v>
      </c>
      <c r="DN349" s="16">
        <v>14219</v>
      </c>
      <c r="DO349" s="16">
        <v>15142</v>
      </c>
      <c r="DP349" s="16">
        <v>16352</v>
      </c>
      <c r="DQ349" s="16">
        <v>1794</v>
      </c>
      <c r="DR349" s="16">
        <v>26313</v>
      </c>
      <c r="DS349" s="16">
        <v>41314</v>
      </c>
      <c r="DT349" s="16">
        <v>12656</v>
      </c>
      <c r="DU349" s="16">
        <v>5099</v>
      </c>
      <c r="DV349" s="16">
        <v>37381</v>
      </c>
      <c r="DW349" s="16">
        <v>41314</v>
      </c>
      <c r="DX349" s="16">
        <v>37598</v>
      </c>
      <c r="DY349" s="16">
        <v>45524</v>
      </c>
      <c r="DZ349" s="16">
        <v>57163</v>
      </c>
      <c r="EA349" s="16">
        <v>33482</v>
      </c>
      <c r="EB349" s="16">
        <v>19606</v>
      </c>
      <c r="EC349" s="16">
        <v>27559</v>
      </c>
      <c r="ED349" s="16">
        <v>15367</v>
      </c>
      <c r="EE349" s="16">
        <v>538</v>
      </c>
      <c r="EF349" s="16">
        <v>3106</v>
      </c>
      <c r="EG349" s="16">
        <v>25941</v>
      </c>
      <c r="EH349" s="16">
        <v>3107</v>
      </c>
      <c r="EI349" s="16">
        <v>7012</v>
      </c>
      <c r="EJ349" s="16">
        <v>5871</v>
      </c>
      <c r="EK349" s="16">
        <v>2872</v>
      </c>
      <c r="EL349" s="16">
        <v>2128</v>
      </c>
      <c r="EM349" s="16">
        <v>5461</v>
      </c>
      <c r="EN349" s="16">
        <v>44466</v>
      </c>
      <c r="EO349" s="16">
        <v>33491</v>
      </c>
      <c r="EP349" s="16">
        <v>5426</v>
      </c>
      <c r="EQ349" s="16">
        <v>8292</v>
      </c>
      <c r="ER349" s="16">
        <v>3568</v>
      </c>
      <c r="ES349" s="16">
        <v>25505</v>
      </c>
      <c r="ET349" s="16">
        <v>10954</v>
      </c>
      <c r="EU349" s="16">
        <v>192</v>
      </c>
      <c r="EV349" s="16">
        <v>958</v>
      </c>
      <c r="EW349" s="16">
        <v>6156</v>
      </c>
      <c r="EX349" s="16">
        <v>120017</v>
      </c>
      <c r="EY349" s="16">
        <v>28693</v>
      </c>
      <c r="EZ349" s="16">
        <v>25768</v>
      </c>
      <c r="FA349" s="16">
        <v>59839</v>
      </c>
      <c r="FB349" s="16">
        <v>179294</v>
      </c>
      <c r="FC349" s="16">
        <v>14765</v>
      </c>
      <c r="FD349" s="16">
        <v>130984</v>
      </c>
      <c r="FE349" s="16">
        <v>84748</v>
      </c>
      <c r="FF349" s="16">
        <v>37941</v>
      </c>
      <c r="FG349" s="16">
        <v>117408</v>
      </c>
      <c r="FH349" s="16">
        <v>7543</v>
      </c>
      <c r="FI349" s="16">
        <v>32810</v>
      </c>
      <c r="FJ349" s="16">
        <v>13266</v>
      </c>
      <c r="FK349" s="16">
        <v>94246</v>
      </c>
      <c r="FL349" s="16">
        <v>2168</v>
      </c>
      <c r="FM349" s="16">
        <v>49372</v>
      </c>
      <c r="FN349" s="16">
        <v>61013</v>
      </c>
      <c r="FO349" s="16">
        <v>8986</v>
      </c>
      <c r="FP349" s="16">
        <v>68374</v>
      </c>
      <c r="FQ349" s="16">
        <v>120731</v>
      </c>
      <c r="FR349" s="16">
        <v>64777</v>
      </c>
      <c r="FS349" s="16">
        <v>34019</v>
      </c>
      <c r="FT349" s="16">
        <v>46276</v>
      </c>
      <c r="FU349" s="16">
        <v>69282</v>
      </c>
      <c r="FV349" s="16">
        <v>88159</v>
      </c>
      <c r="FW349" s="16">
        <v>61753</v>
      </c>
      <c r="FX349" s="16">
        <v>116068</v>
      </c>
      <c r="FY349" s="16">
        <v>13373</v>
      </c>
      <c r="FZ349" s="16">
        <v>32629</v>
      </c>
      <c r="GA349" s="16">
        <v>11528</v>
      </c>
      <c r="GB349" s="16">
        <v>30570</v>
      </c>
      <c r="GC349" s="16">
        <v>44637</v>
      </c>
      <c r="GD349" s="16">
        <v>50191</v>
      </c>
      <c r="GE349" s="16">
        <v>46546</v>
      </c>
      <c r="GF349" s="16">
        <v>907701</v>
      </c>
      <c r="GG349" s="16">
        <v>39152</v>
      </c>
      <c r="GH349" s="16">
        <v>591213</v>
      </c>
      <c r="GI349" s="16">
        <v>88787</v>
      </c>
      <c r="GJ349" s="16">
        <v>49664</v>
      </c>
      <c r="GK349" s="16">
        <v>37768</v>
      </c>
      <c r="GL349" s="16">
        <v>5812</v>
      </c>
      <c r="GM349" s="16">
        <v>30424</v>
      </c>
      <c r="GN349" s="16">
        <v>3418</v>
      </c>
      <c r="GO349" s="16">
        <v>30747</v>
      </c>
      <c r="GP349" s="16">
        <v>222499</v>
      </c>
      <c r="GQ349" s="16">
        <v>3791</v>
      </c>
      <c r="GR349" s="16">
        <v>25072</v>
      </c>
      <c r="GS349" s="16">
        <v>6411</v>
      </c>
      <c r="GT349" s="16">
        <v>15945</v>
      </c>
      <c r="GU349" s="16">
        <v>83953</v>
      </c>
      <c r="GV349" s="16">
        <v>51340</v>
      </c>
      <c r="GW349" s="16">
        <v>63919</v>
      </c>
      <c r="GX349" s="16">
        <v>20070</v>
      </c>
      <c r="GY349" s="16">
        <v>154</v>
      </c>
      <c r="GZ349" s="16">
        <v>76417</v>
      </c>
      <c r="HA349" s="16">
        <v>26260</v>
      </c>
      <c r="HB349" s="16">
        <v>16502</v>
      </c>
      <c r="HC349" s="16">
        <v>32354</v>
      </c>
      <c r="HD349" s="16">
        <v>57287</v>
      </c>
      <c r="HE349" s="16">
        <v>117256</v>
      </c>
      <c r="HF349" s="16">
        <v>74158</v>
      </c>
      <c r="HG349" s="16">
        <v>14850</v>
      </c>
      <c r="HH349" s="16">
        <v>16961</v>
      </c>
      <c r="HI349" s="16">
        <v>46686</v>
      </c>
      <c r="HJ349" s="16">
        <v>3553</v>
      </c>
      <c r="HK349" s="16">
        <v>30346</v>
      </c>
      <c r="HL349" s="16">
        <v>126658</v>
      </c>
      <c r="HM349" s="16">
        <v>45508</v>
      </c>
      <c r="HN349" s="16">
        <v>167479</v>
      </c>
      <c r="HO349" s="16">
        <v>47207</v>
      </c>
      <c r="HP349" s="16">
        <v>27198</v>
      </c>
      <c r="HQ349" s="16">
        <v>63073</v>
      </c>
      <c r="HR349" s="16">
        <v>64422</v>
      </c>
      <c r="HS349" s="16">
        <v>25557</v>
      </c>
      <c r="HT349" s="16">
        <v>4234</v>
      </c>
      <c r="HU349" s="16">
        <v>58589</v>
      </c>
      <c r="HV349" s="16">
        <v>27519</v>
      </c>
      <c r="HW349" s="16">
        <v>39594</v>
      </c>
      <c r="HX349" s="16">
        <v>45434</v>
      </c>
      <c r="HY349" s="16">
        <v>82347</v>
      </c>
      <c r="HZ349" s="16">
        <v>65517</v>
      </c>
      <c r="IA349" s="16">
        <v>18745</v>
      </c>
      <c r="IB349" s="16">
        <v>7069</v>
      </c>
      <c r="IC349" s="16">
        <v>6637</v>
      </c>
      <c r="ID349" s="16">
        <v>7111</v>
      </c>
      <c r="IE349" s="16">
        <v>3832</v>
      </c>
      <c r="IF349" s="16">
        <v>8998</v>
      </c>
      <c r="IG349" s="16">
        <v>44025</v>
      </c>
      <c r="IH349" s="16">
        <v>636368</v>
      </c>
      <c r="II349" s="16">
        <v>64200</v>
      </c>
      <c r="IJ349" s="16">
        <v>48992</v>
      </c>
      <c r="IK349" s="16">
        <v>3508</v>
      </c>
      <c r="IL349" s="16">
        <v>11677</v>
      </c>
      <c r="IM349" s="16">
        <v>986</v>
      </c>
      <c r="IN349" s="16">
        <v>465634</v>
      </c>
      <c r="IO349" s="16">
        <v>794177</v>
      </c>
      <c r="IP349" s="16">
        <v>73464</v>
      </c>
      <c r="IQ349" s="16">
        <v>20040</v>
      </c>
      <c r="IR349" s="16">
        <v>25857</v>
      </c>
      <c r="IS349" s="16">
        <v>18525</v>
      </c>
      <c r="IT349" s="16">
        <v>3648</v>
      </c>
      <c r="IU349" s="16">
        <v>1221</v>
      </c>
      <c r="IV349" s="16">
        <v>23320</v>
      </c>
      <c r="IW349" s="16">
        <v>39034</v>
      </c>
      <c r="IX349" s="16">
        <v>21724</v>
      </c>
      <c r="IY349" s="16">
        <v>2399</v>
      </c>
      <c r="IZ349" s="16">
        <v>1524</v>
      </c>
      <c r="JA349" s="16">
        <v>10388</v>
      </c>
      <c r="JB349" s="16">
        <v>3859</v>
      </c>
      <c r="JC349" s="16">
        <v>2368</v>
      </c>
      <c r="JD349" s="16">
        <v>7345</v>
      </c>
      <c r="JE349" s="16">
        <v>22823</v>
      </c>
      <c r="JF349" s="16">
        <v>15347</v>
      </c>
      <c r="JG349" s="16">
        <v>105684</v>
      </c>
      <c r="JH349" s="16">
        <v>1904</v>
      </c>
      <c r="JI349" s="16">
        <v>69836</v>
      </c>
      <c r="JJ349" s="16">
        <v>29397</v>
      </c>
      <c r="JK349" s="16">
        <v>66056</v>
      </c>
      <c r="JL349" s="16">
        <v>3139</v>
      </c>
      <c r="JM349" s="16">
        <v>8685</v>
      </c>
      <c r="JN349" s="16">
        <v>131454</v>
      </c>
      <c r="JO349" s="16">
        <v>2322</v>
      </c>
      <c r="JP349" s="16">
        <v>60351</v>
      </c>
      <c r="JQ349" s="16">
        <v>6787</v>
      </c>
      <c r="JR349" s="16">
        <v>29340</v>
      </c>
      <c r="JS349" s="16">
        <v>5498</v>
      </c>
      <c r="JT349" s="16">
        <v>1</v>
      </c>
      <c r="JU349" s="16">
        <v>70892</v>
      </c>
      <c r="JV349" s="16">
        <v>491877</v>
      </c>
      <c r="JW349" s="16">
        <v>45537</v>
      </c>
      <c r="JX349" s="16">
        <v>25127</v>
      </c>
      <c r="JY349" s="16">
        <v>85548</v>
      </c>
      <c r="JZ349" s="16">
        <v>25576</v>
      </c>
      <c r="KA349" s="16">
        <v>62169</v>
      </c>
      <c r="KB349" s="16">
        <v>34873</v>
      </c>
      <c r="KC349" s="16">
        <v>23230</v>
      </c>
      <c r="KD349" s="16">
        <v>24283</v>
      </c>
      <c r="KE349" s="16">
        <v>12616</v>
      </c>
      <c r="KF349" s="16">
        <v>65097</v>
      </c>
      <c r="KG349" s="16">
        <v>24197</v>
      </c>
      <c r="KH349" s="16">
        <v>29921</v>
      </c>
      <c r="KI349" s="16">
        <v>45234</v>
      </c>
      <c r="KJ349" s="16">
        <v>12786</v>
      </c>
      <c r="KK349" s="16">
        <v>297043</v>
      </c>
      <c r="KL349" s="16">
        <v>696</v>
      </c>
      <c r="KM349" s="16">
        <v>18157</v>
      </c>
      <c r="KN349" s="16">
        <v>24181</v>
      </c>
      <c r="KO349" s="16">
        <v>4949</v>
      </c>
      <c r="KP349" s="16">
        <v>7662</v>
      </c>
      <c r="KQ349" s="16">
        <v>4262</v>
      </c>
      <c r="KR349" s="16">
        <v>3594</v>
      </c>
      <c r="KS349" s="16">
        <v>11312</v>
      </c>
      <c r="KT349" s="16">
        <v>3075</v>
      </c>
      <c r="KU349" s="16">
        <v>9103</v>
      </c>
      <c r="KV349" s="16">
        <v>18160</v>
      </c>
      <c r="KW349" s="16">
        <v>34310</v>
      </c>
      <c r="KX349" s="16">
        <v>2593</v>
      </c>
      <c r="KY349" s="16">
        <v>12740</v>
      </c>
      <c r="KZ349" s="16">
        <v>131836</v>
      </c>
      <c r="LA349" s="16">
        <v>20567</v>
      </c>
      <c r="LB349" s="16">
        <v>7328</v>
      </c>
      <c r="LC349" s="16">
        <v>15717</v>
      </c>
      <c r="LD349" s="16">
        <v>60146</v>
      </c>
      <c r="LE349" s="16">
        <v>86939</v>
      </c>
      <c r="LF349" s="16">
        <v>251811</v>
      </c>
      <c r="LG349" s="16">
        <v>71211</v>
      </c>
      <c r="LH349" s="16">
        <v>100181</v>
      </c>
      <c r="LI349" s="16">
        <v>18695</v>
      </c>
      <c r="LJ349" s="16">
        <v>54311</v>
      </c>
      <c r="LK349" s="16">
        <v>139400</v>
      </c>
      <c r="LL349" s="16">
        <v>122489</v>
      </c>
      <c r="LM349" s="16">
        <v>214793</v>
      </c>
      <c r="LN349" s="16">
        <v>91354</v>
      </c>
      <c r="LO349" s="16">
        <v>42678</v>
      </c>
      <c r="LP349" s="16">
        <v>24547</v>
      </c>
      <c r="LQ349" s="16">
        <v>4183</v>
      </c>
      <c r="LR349" s="16">
        <v>54686</v>
      </c>
      <c r="LS349" s="16">
        <v>6524</v>
      </c>
      <c r="LT349" s="16">
        <v>19551</v>
      </c>
      <c r="LU349" s="16">
        <v>10377</v>
      </c>
      <c r="LV349" s="16">
        <v>50</v>
      </c>
      <c r="LW349" s="16">
        <v>13570</v>
      </c>
      <c r="LX349" s="16">
        <v>11815</v>
      </c>
      <c r="LY349" s="16">
        <v>0</v>
      </c>
      <c r="LZ349" s="16">
        <v>29379</v>
      </c>
      <c r="MA349" s="16">
        <v>34045</v>
      </c>
      <c r="MB349" s="16">
        <v>33691</v>
      </c>
      <c r="MC349" s="16">
        <v>129984</v>
      </c>
      <c r="MD349" s="16">
        <v>98846</v>
      </c>
      <c r="ME349" s="16">
        <v>40527</v>
      </c>
      <c r="MF349" s="16">
        <v>312292</v>
      </c>
      <c r="MG349" s="16">
        <v>16589</v>
      </c>
      <c r="MH349" s="16">
        <v>95638</v>
      </c>
      <c r="MI349" s="16">
        <v>7936</v>
      </c>
      <c r="MJ349" s="16">
        <v>76379</v>
      </c>
      <c r="MK349" s="16">
        <v>844516</v>
      </c>
      <c r="ML349" s="16">
        <v>150764</v>
      </c>
      <c r="MM349" s="16">
        <v>29504</v>
      </c>
      <c r="MN349" s="16">
        <v>131972</v>
      </c>
      <c r="MO349" s="16">
        <v>32167</v>
      </c>
      <c r="MP349" s="16">
        <v>11440</v>
      </c>
      <c r="MQ349" s="16">
        <v>19910</v>
      </c>
      <c r="MR349" s="16">
        <v>261490</v>
      </c>
      <c r="MS349" s="16">
        <v>24586</v>
      </c>
      <c r="MT349" s="16">
        <v>1627</v>
      </c>
      <c r="MU349" s="16">
        <v>18900</v>
      </c>
      <c r="MV349" s="16">
        <v>11638</v>
      </c>
      <c r="MW349" s="16">
        <v>22985</v>
      </c>
      <c r="MX349" s="16">
        <v>2743</v>
      </c>
      <c r="MY349" s="16">
        <v>25699</v>
      </c>
      <c r="MZ349" s="16">
        <v>11467</v>
      </c>
      <c r="NA349" s="16">
        <v>8160</v>
      </c>
      <c r="NB349" s="16">
        <v>3378</v>
      </c>
      <c r="NC349" s="16">
        <v>3562</v>
      </c>
      <c r="ND349" s="16">
        <v>3022</v>
      </c>
      <c r="NE349" s="16">
        <v>1311</v>
      </c>
      <c r="NF349" s="16">
        <v>2993</v>
      </c>
      <c r="NG349" s="16">
        <v>4626</v>
      </c>
      <c r="NH349" s="16">
        <v>2874</v>
      </c>
      <c r="NI349" s="16">
        <v>6674</v>
      </c>
      <c r="NJ349" s="16">
        <v>5949</v>
      </c>
      <c r="NK349" s="16">
        <v>3410</v>
      </c>
      <c r="NL349" s="16">
        <v>2400</v>
      </c>
      <c r="NM349" s="16">
        <v>5664</v>
      </c>
      <c r="NN349" s="16">
        <v>864</v>
      </c>
      <c r="NO349" s="16">
        <v>0</v>
      </c>
      <c r="NP349" s="16">
        <v>1823</v>
      </c>
      <c r="NQ349" s="16">
        <v>66</v>
      </c>
      <c r="NR349" s="17">
        <v>16174978</v>
      </c>
    </row>
    <row r="350" spans="1:382" ht="13.5" customHeight="1" x14ac:dyDescent="0.2">
      <c r="A350" s="2" t="s">
        <v>707</v>
      </c>
      <c r="B350" s="16">
        <v>85</v>
      </c>
      <c r="C350" s="16">
        <v>0</v>
      </c>
      <c r="D350" s="16">
        <v>0</v>
      </c>
      <c r="E350" s="16">
        <v>0</v>
      </c>
      <c r="F350" s="16">
        <v>326</v>
      </c>
      <c r="G350" s="16">
        <v>37</v>
      </c>
      <c r="H350" s="16">
        <v>73</v>
      </c>
      <c r="I350" s="16">
        <v>48</v>
      </c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13</v>
      </c>
      <c r="P350" s="16">
        <v>145</v>
      </c>
      <c r="Q350" s="16">
        <v>987</v>
      </c>
      <c r="R350" s="16">
        <v>270</v>
      </c>
      <c r="S350" s="16">
        <v>0</v>
      </c>
      <c r="T350" s="16">
        <v>1027</v>
      </c>
      <c r="U350" s="16">
        <v>260</v>
      </c>
      <c r="V350" s="16">
        <v>0</v>
      </c>
      <c r="W350" s="16">
        <v>0</v>
      </c>
      <c r="X350" s="16">
        <v>1069</v>
      </c>
      <c r="Y350" s="16">
        <v>1921</v>
      </c>
      <c r="Z350" s="16">
        <v>10201</v>
      </c>
      <c r="AA350" s="16">
        <v>-653</v>
      </c>
      <c r="AB350" s="16">
        <v>0</v>
      </c>
      <c r="AC350" s="16">
        <v>0</v>
      </c>
      <c r="AD350" s="16">
        <v>0</v>
      </c>
      <c r="AE350" s="16">
        <v>-21</v>
      </c>
      <c r="AF350" s="16">
        <v>-11</v>
      </c>
      <c r="AG350" s="16">
        <v>9428</v>
      </c>
      <c r="AH350" s="16">
        <v>-759</v>
      </c>
      <c r="AI350" s="16">
        <v>-358</v>
      </c>
      <c r="AJ350" s="16">
        <v>159396</v>
      </c>
      <c r="AK350" s="16">
        <v>26316</v>
      </c>
      <c r="AL350" s="16">
        <v>2945</v>
      </c>
      <c r="AM350" s="16">
        <v>9475</v>
      </c>
      <c r="AN350" s="16">
        <v>19088</v>
      </c>
      <c r="AO350" s="16">
        <v>31763</v>
      </c>
      <c r="AP350" s="16">
        <v>5083</v>
      </c>
      <c r="AQ350" s="16">
        <v>10720</v>
      </c>
      <c r="AR350" s="16">
        <v>0</v>
      </c>
      <c r="AS350" s="16">
        <v>1931</v>
      </c>
      <c r="AT350" s="16">
        <v>5993</v>
      </c>
      <c r="AU350" s="16">
        <v>5234</v>
      </c>
      <c r="AV350" s="16">
        <v>4157</v>
      </c>
      <c r="AW350" s="16">
        <v>17241</v>
      </c>
      <c r="AX350" s="16">
        <v>11989</v>
      </c>
      <c r="AY350" s="16">
        <v>5377</v>
      </c>
      <c r="AZ350" s="16">
        <v>15534</v>
      </c>
      <c r="BA350" s="16">
        <v>16192</v>
      </c>
      <c r="BB350" s="16">
        <v>12810</v>
      </c>
      <c r="BC350" s="16">
        <v>62554</v>
      </c>
      <c r="BD350" s="16">
        <v>1358</v>
      </c>
      <c r="BE350" s="16">
        <v>2877</v>
      </c>
      <c r="BF350" s="16">
        <v>3151</v>
      </c>
      <c r="BG350" s="16">
        <v>4011</v>
      </c>
      <c r="BH350" s="16">
        <v>19759</v>
      </c>
      <c r="BI350" s="16">
        <v>1819</v>
      </c>
      <c r="BJ350" s="16">
        <v>920</v>
      </c>
      <c r="BK350" s="16">
        <v>3476</v>
      </c>
      <c r="BL350" s="16">
        <v>20369</v>
      </c>
      <c r="BM350" s="16">
        <v>6494</v>
      </c>
      <c r="BN350" s="16">
        <v>5602</v>
      </c>
      <c r="BO350" s="16">
        <v>21483</v>
      </c>
      <c r="BP350" s="16">
        <v>24471</v>
      </c>
      <c r="BQ350" s="16">
        <v>1226</v>
      </c>
      <c r="BR350" s="16">
        <v>1489</v>
      </c>
      <c r="BS350" s="16">
        <v>16570</v>
      </c>
      <c r="BT350" s="16">
        <v>260</v>
      </c>
      <c r="BU350" s="16">
        <v>204</v>
      </c>
      <c r="BV350" s="16">
        <v>172</v>
      </c>
      <c r="BW350" s="16">
        <v>6347</v>
      </c>
      <c r="BX350" s="16">
        <v>1200</v>
      </c>
      <c r="BY350" s="16">
        <v>12</v>
      </c>
      <c r="BZ350" s="16">
        <v>4370</v>
      </c>
      <c r="CA350" s="16">
        <v>1516</v>
      </c>
      <c r="CB350" s="16">
        <v>1054</v>
      </c>
      <c r="CC350" s="16">
        <v>6083</v>
      </c>
      <c r="CD350" s="16">
        <v>6045</v>
      </c>
      <c r="CE350" s="16">
        <v>3593</v>
      </c>
      <c r="CF350" s="16">
        <v>8963</v>
      </c>
      <c r="CG350" s="16">
        <v>9225</v>
      </c>
      <c r="CH350" s="16">
        <v>8450</v>
      </c>
      <c r="CI350" s="16">
        <v>349</v>
      </c>
      <c r="CJ350" s="16">
        <v>13688</v>
      </c>
      <c r="CK350" s="16">
        <v>16284</v>
      </c>
      <c r="CL350" s="16">
        <v>4109</v>
      </c>
      <c r="CM350" s="16">
        <v>11484</v>
      </c>
      <c r="CN350" s="16">
        <v>2918</v>
      </c>
      <c r="CO350" s="16">
        <v>5899</v>
      </c>
      <c r="CP350" s="16">
        <v>6484</v>
      </c>
      <c r="CQ350" s="16">
        <v>48619</v>
      </c>
      <c r="CR350" s="16">
        <v>27687</v>
      </c>
      <c r="CS350" s="16">
        <v>43398</v>
      </c>
      <c r="CT350" s="16">
        <v>24437</v>
      </c>
      <c r="CU350" s="16">
        <v>68123</v>
      </c>
      <c r="CV350" s="16">
        <v>44415</v>
      </c>
      <c r="CW350" s="16">
        <v>63843</v>
      </c>
      <c r="CX350" s="16">
        <v>52906</v>
      </c>
      <c r="CY350" s="16">
        <v>9645</v>
      </c>
      <c r="CZ350" s="16">
        <v>16545</v>
      </c>
      <c r="DA350" s="16">
        <v>2286</v>
      </c>
      <c r="DB350" s="16">
        <v>28667</v>
      </c>
      <c r="DC350" s="16">
        <v>8021</v>
      </c>
      <c r="DD350" s="16">
        <v>41448</v>
      </c>
      <c r="DE350" s="16">
        <v>5206</v>
      </c>
      <c r="DF350" s="16">
        <v>51795</v>
      </c>
      <c r="DG350" s="16">
        <v>13943</v>
      </c>
      <c r="DH350" s="16">
        <v>29790</v>
      </c>
      <c r="DI350" s="16">
        <v>6323</v>
      </c>
      <c r="DJ350" s="16">
        <v>138933</v>
      </c>
      <c r="DK350" s="16">
        <v>10541</v>
      </c>
      <c r="DL350" s="16">
        <v>13766</v>
      </c>
      <c r="DM350" s="16">
        <v>49274</v>
      </c>
      <c r="DN350" s="16">
        <v>9779</v>
      </c>
      <c r="DO350" s="16">
        <v>15253</v>
      </c>
      <c r="DP350" s="16">
        <v>13946</v>
      </c>
      <c r="DQ350" s="16">
        <v>2067</v>
      </c>
      <c r="DR350" s="16">
        <v>21477</v>
      </c>
      <c r="DS350" s="16">
        <v>107005</v>
      </c>
      <c r="DT350" s="16">
        <v>8918</v>
      </c>
      <c r="DU350" s="16">
        <v>5410</v>
      </c>
      <c r="DV350" s="16">
        <v>57024</v>
      </c>
      <c r="DW350" s="16">
        <v>64448</v>
      </c>
      <c r="DX350" s="16">
        <v>41028</v>
      </c>
      <c r="DY350" s="16">
        <v>53064</v>
      </c>
      <c r="DZ350" s="16">
        <v>177291</v>
      </c>
      <c r="EA350" s="16">
        <v>63563</v>
      </c>
      <c r="EB350" s="16">
        <v>13322</v>
      </c>
      <c r="EC350" s="16">
        <v>19144</v>
      </c>
      <c r="ED350" s="16">
        <v>4321</v>
      </c>
      <c r="EE350" s="16">
        <v>353</v>
      </c>
      <c r="EF350" s="16">
        <v>2995</v>
      </c>
      <c r="EG350" s="16">
        <v>15245</v>
      </c>
      <c r="EH350" s="16">
        <v>3232</v>
      </c>
      <c r="EI350" s="16">
        <v>3377</v>
      </c>
      <c r="EJ350" s="16">
        <v>2389</v>
      </c>
      <c r="EK350" s="16">
        <v>1911</v>
      </c>
      <c r="EL350" s="16">
        <v>1966</v>
      </c>
      <c r="EM350" s="16">
        <v>2888</v>
      </c>
      <c r="EN350" s="16">
        <v>26761</v>
      </c>
      <c r="EO350" s="16">
        <v>20811</v>
      </c>
      <c r="EP350" s="16">
        <v>3412</v>
      </c>
      <c r="EQ350" s="16">
        <v>5935</v>
      </c>
      <c r="ER350" s="16">
        <v>2317</v>
      </c>
      <c r="ES350" s="16">
        <v>15893</v>
      </c>
      <c r="ET350" s="16">
        <v>7752</v>
      </c>
      <c r="EU350" s="16">
        <v>74</v>
      </c>
      <c r="EV350" s="16">
        <v>778</v>
      </c>
      <c r="EW350" s="16">
        <v>2862</v>
      </c>
      <c r="EX350" s="16">
        <v>72356</v>
      </c>
      <c r="EY350" s="16">
        <v>23461</v>
      </c>
      <c r="EZ350" s="16">
        <v>26212</v>
      </c>
      <c r="FA350" s="16">
        <v>30155</v>
      </c>
      <c r="FB350" s="16">
        <v>110368</v>
      </c>
      <c r="FC350" s="16">
        <v>13096</v>
      </c>
      <c r="FD350" s="16">
        <v>110852</v>
      </c>
      <c r="FE350" s="16">
        <v>48069</v>
      </c>
      <c r="FF350" s="16">
        <v>20109</v>
      </c>
      <c r="FG350" s="16">
        <v>80227</v>
      </c>
      <c r="FH350" s="16">
        <v>1757</v>
      </c>
      <c r="FI350" s="16">
        <v>13642</v>
      </c>
      <c r="FJ350" s="16">
        <v>3843</v>
      </c>
      <c r="FK350" s="16">
        <v>44544</v>
      </c>
      <c r="FL350" s="16">
        <v>1919</v>
      </c>
      <c r="FM350" s="16">
        <v>31845</v>
      </c>
      <c r="FN350" s="16">
        <v>8007</v>
      </c>
      <c r="FO350" s="16">
        <v>15450</v>
      </c>
      <c r="FP350" s="16">
        <v>31016</v>
      </c>
      <c r="FQ350" s="16">
        <v>30112</v>
      </c>
      <c r="FR350" s="16">
        <v>15651</v>
      </c>
      <c r="FS350" s="16">
        <v>22543</v>
      </c>
      <c r="FT350" s="16">
        <v>17504</v>
      </c>
      <c r="FU350" s="16">
        <v>45459</v>
      </c>
      <c r="FV350" s="16">
        <v>56334</v>
      </c>
      <c r="FW350" s="16">
        <v>42710</v>
      </c>
      <c r="FX350" s="16">
        <v>84125</v>
      </c>
      <c r="FY350" s="16">
        <v>7836</v>
      </c>
      <c r="FZ350" s="16">
        <v>21146</v>
      </c>
      <c r="GA350" s="16">
        <v>6852</v>
      </c>
      <c r="GB350" s="16">
        <v>19683</v>
      </c>
      <c r="GC350" s="16">
        <v>27755</v>
      </c>
      <c r="GD350" s="16">
        <v>44197</v>
      </c>
      <c r="GE350" s="16">
        <v>7415</v>
      </c>
      <c r="GF350" s="16">
        <v>423537</v>
      </c>
      <c r="GG350" s="16">
        <v>44394</v>
      </c>
      <c r="GH350" s="16">
        <v>147308</v>
      </c>
      <c r="GI350" s="16">
        <v>30548</v>
      </c>
      <c r="GJ350" s="16">
        <v>37200</v>
      </c>
      <c r="GK350" s="16">
        <v>25878</v>
      </c>
      <c r="GL350" s="16">
        <v>161</v>
      </c>
      <c r="GM350" s="16">
        <v>40384</v>
      </c>
      <c r="GN350" s="16">
        <v>2441</v>
      </c>
      <c r="GO350" s="16">
        <v>25806</v>
      </c>
      <c r="GP350" s="16">
        <v>344872</v>
      </c>
      <c r="GQ350" s="16">
        <v>3038</v>
      </c>
      <c r="GR350" s="16">
        <v>10913</v>
      </c>
      <c r="GS350" s="16">
        <v>4253</v>
      </c>
      <c r="GT350" s="16">
        <v>7402</v>
      </c>
      <c r="GU350" s="16">
        <v>43817</v>
      </c>
      <c r="GV350" s="16">
        <v>56817</v>
      </c>
      <c r="GW350" s="16">
        <v>47432</v>
      </c>
      <c r="GX350" s="16">
        <v>15535</v>
      </c>
      <c r="GY350" s="16">
        <v>1508</v>
      </c>
      <c r="GZ350" s="16">
        <v>58014</v>
      </c>
      <c r="HA350" s="16">
        <v>14971</v>
      </c>
      <c r="HB350" s="16">
        <v>11671</v>
      </c>
      <c r="HC350" s="16">
        <v>25726</v>
      </c>
      <c r="HD350" s="16">
        <v>44490</v>
      </c>
      <c r="HE350" s="16">
        <v>82214</v>
      </c>
      <c r="HF350" s="16">
        <v>58466</v>
      </c>
      <c r="HG350" s="16">
        <v>13101</v>
      </c>
      <c r="HH350" s="16">
        <v>8868</v>
      </c>
      <c r="HI350" s="16">
        <v>37494</v>
      </c>
      <c r="HJ350" s="16">
        <v>2961</v>
      </c>
      <c r="HK350" s="16">
        <v>21741</v>
      </c>
      <c r="HL350" s="16">
        <v>61926</v>
      </c>
      <c r="HM350" s="16">
        <v>28832</v>
      </c>
      <c r="HN350" s="16">
        <v>107076</v>
      </c>
      <c r="HO350" s="16">
        <v>25090</v>
      </c>
      <c r="HP350" s="16">
        <v>22584</v>
      </c>
      <c r="HQ350" s="16">
        <v>89040</v>
      </c>
      <c r="HR350" s="16">
        <v>40118</v>
      </c>
      <c r="HS350" s="16">
        <v>20203</v>
      </c>
      <c r="HT350" s="16">
        <v>3036</v>
      </c>
      <c r="HU350" s="16">
        <v>58637</v>
      </c>
      <c r="HV350" s="16">
        <v>23025</v>
      </c>
      <c r="HW350" s="16">
        <v>50981</v>
      </c>
      <c r="HX350" s="16">
        <v>31500</v>
      </c>
      <c r="HY350" s="16">
        <v>67678</v>
      </c>
      <c r="HZ350" s="16">
        <v>71592</v>
      </c>
      <c r="IA350" s="16">
        <v>19226</v>
      </c>
      <c r="IB350" s="16">
        <v>5429</v>
      </c>
      <c r="IC350" s="16">
        <v>3982</v>
      </c>
      <c r="ID350" s="16">
        <v>6720</v>
      </c>
      <c r="IE350" s="16">
        <v>2310</v>
      </c>
      <c r="IF350" s="16">
        <v>5925</v>
      </c>
      <c r="IG350" s="16">
        <v>36360</v>
      </c>
      <c r="IH350" s="16">
        <v>610637</v>
      </c>
      <c r="II350" s="16">
        <v>125132</v>
      </c>
      <c r="IJ350" s="16">
        <v>57140</v>
      </c>
      <c r="IK350" s="16">
        <v>35982</v>
      </c>
      <c r="IL350" s="16">
        <v>24907</v>
      </c>
      <c r="IM350" s="16">
        <v>2542</v>
      </c>
      <c r="IN350" s="16">
        <v>383772</v>
      </c>
      <c r="IO350" s="16">
        <v>358572</v>
      </c>
      <c r="IP350" s="16">
        <v>163294</v>
      </c>
      <c r="IQ350" s="16">
        <v>10655</v>
      </c>
      <c r="IR350" s="16">
        <v>48220</v>
      </c>
      <c r="IS350" s="16">
        <v>11157</v>
      </c>
      <c r="IT350" s="16">
        <v>18366</v>
      </c>
      <c r="IU350" s="16">
        <v>462</v>
      </c>
      <c r="IV350" s="16">
        <v>20429</v>
      </c>
      <c r="IW350" s="16">
        <v>27088</v>
      </c>
      <c r="IX350" s="16">
        <v>15308</v>
      </c>
      <c r="IY350" s="16">
        <v>2178</v>
      </c>
      <c r="IZ350" s="16">
        <v>891</v>
      </c>
      <c r="JA350" s="16">
        <v>4941</v>
      </c>
      <c r="JB350" s="16">
        <v>639</v>
      </c>
      <c r="JC350" s="16">
        <v>1588</v>
      </c>
      <c r="JD350" s="16">
        <v>3228</v>
      </c>
      <c r="JE350" s="16">
        <v>15729</v>
      </c>
      <c r="JF350" s="16">
        <v>37436</v>
      </c>
      <c r="JG350" s="16">
        <v>202095</v>
      </c>
      <c r="JH350" s="16">
        <v>14355</v>
      </c>
      <c r="JI350" s="16">
        <v>38445</v>
      </c>
      <c r="JJ350" s="16">
        <v>20011</v>
      </c>
      <c r="JK350" s="16">
        <v>68819</v>
      </c>
      <c r="JL350" s="16">
        <v>2528</v>
      </c>
      <c r="JM350" s="16">
        <v>1648</v>
      </c>
      <c r="JN350" s="16">
        <v>27148</v>
      </c>
      <c r="JO350" s="16">
        <v>1270</v>
      </c>
      <c r="JP350" s="16">
        <v>27720</v>
      </c>
      <c r="JQ350" s="16">
        <v>4972</v>
      </c>
      <c r="JR350" s="16">
        <v>27524</v>
      </c>
      <c r="JS350" s="16">
        <v>6606</v>
      </c>
      <c r="JT350" s="16">
        <v>1</v>
      </c>
      <c r="JU350" s="16">
        <v>64829</v>
      </c>
      <c r="JV350" s="16">
        <v>496003</v>
      </c>
      <c r="JW350" s="16">
        <v>27272</v>
      </c>
      <c r="JX350" s="16">
        <v>15207</v>
      </c>
      <c r="JY350" s="16">
        <v>16612</v>
      </c>
      <c r="JZ350" s="16">
        <v>12695</v>
      </c>
      <c r="KA350" s="16">
        <v>6753</v>
      </c>
      <c r="KB350" s="16">
        <v>8628</v>
      </c>
      <c r="KC350" s="16">
        <v>13898</v>
      </c>
      <c r="KD350" s="16">
        <v>681</v>
      </c>
      <c r="KE350" s="16">
        <v>2733</v>
      </c>
      <c r="KF350" s="16">
        <v>22207</v>
      </c>
      <c r="KG350" s="16">
        <v>3870</v>
      </c>
      <c r="KH350" s="16">
        <v>20135</v>
      </c>
      <c r="KI350" s="16">
        <v>37044</v>
      </c>
      <c r="KJ350" s="16">
        <v>18419</v>
      </c>
      <c r="KK350" s="16">
        <v>516494</v>
      </c>
      <c r="KL350" s="16">
        <v>2243</v>
      </c>
      <c r="KM350" s="16">
        <v>20426</v>
      </c>
      <c r="KN350" s="16">
        <v>15160</v>
      </c>
      <c r="KO350" s="16">
        <v>2026</v>
      </c>
      <c r="KP350" s="16">
        <v>2900</v>
      </c>
      <c r="KQ350" s="16">
        <v>1844</v>
      </c>
      <c r="KR350" s="16">
        <v>993</v>
      </c>
      <c r="KS350" s="16">
        <v>4009</v>
      </c>
      <c r="KT350" s="16">
        <v>36</v>
      </c>
      <c r="KU350" s="16">
        <v>7562</v>
      </c>
      <c r="KV350" s="16">
        <v>458</v>
      </c>
      <c r="KW350" s="16">
        <v>4667</v>
      </c>
      <c r="KX350" s="16">
        <v>1423</v>
      </c>
      <c r="KY350" s="16">
        <v>8930</v>
      </c>
      <c r="KZ350" s="16">
        <v>133247</v>
      </c>
      <c r="LA350" s="16">
        <v>27545</v>
      </c>
      <c r="LB350" s="16">
        <v>11041</v>
      </c>
      <c r="LC350" s="16">
        <v>1446</v>
      </c>
      <c r="LD350" s="16">
        <v>5340</v>
      </c>
      <c r="LE350" s="16">
        <v>40853</v>
      </c>
      <c r="LF350" s="16">
        <v>12070</v>
      </c>
      <c r="LG350" s="16">
        <v>9952</v>
      </c>
      <c r="LH350" s="16">
        <v>18716</v>
      </c>
      <c r="LI350" s="16">
        <v>5655</v>
      </c>
      <c r="LJ350" s="16">
        <v>24543</v>
      </c>
      <c r="LK350" s="16">
        <v>114366</v>
      </c>
      <c r="LL350" s="16">
        <v>116647</v>
      </c>
      <c r="LM350" s="16">
        <v>191843</v>
      </c>
      <c r="LN350" s="16">
        <v>95843</v>
      </c>
      <c r="LO350" s="16">
        <v>11296</v>
      </c>
      <c r="LP350" s="16">
        <v>24674</v>
      </c>
      <c r="LQ350" s="16">
        <v>2802</v>
      </c>
      <c r="LR350" s="16">
        <v>63746</v>
      </c>
      <c r="LS350" s="16">
        <v>7614</v>
      </c>
      <c r="LT350" s="16">
        <v>69079</v>
      </c>
      <c r="LU350" s="16">
        <v>31580</v>
      </c>
      <c r="LV350" s="16">
        <v>5</v>
      </c>
      <c r="LW350" s="16">
        <v>22331</v>
      </c>
      <c r="LX350" s="16">
        <v>13627</v>
      </c>
      <c r="LY350" s="16">
        <v>55857</v>
      </c>
      <c r="LZ350" s="16">
        <v>13093</v>
      </c>
      <c r="MA350" s="16">
        <v>245070</v>
      </c>
      <c r="MB350" s="16">
        <v>20590</v>
      </c>
      <c r="MC350" s="16">
        <v>221091</v>
      </c>
      <c r="MD350" s="16">
        <v>87838</v>
      </c>
      <c r="ME350" s="16">
        <v>107051</v>
      </c>
      <c r="MF350" s="16">
        <v>938221</v>
      </c>
      <c r="MG350" s="16">
        <v>52104</v>
      </c>
      <c r="MH350" s="16">
        <v>106577</v>
      </c>
      <c r="MI350" s="16">
        <v>59909</v>
      </c>
      <c r="MJ350" s="16">
        <v>129620</v>
      </c>
      <c r="MK350" s="16">
        <v>213541</v>
      </c>
      <c r="ML350" s="16">
        <v>1127653</v>
      </c>
      <c r="MM350" s="16">
        <v>132894</v>
      </c>
      <c r="MN350" s="16">
        <v>411044</v>
      </c>
      <c r="MO350" s="16">
        <v>108178</v>
      </c>
      <c r="MP350" s="16">
        <v>84856</v>
      </c>
      <c r="MQ350" s="16">
        <v>113217</v>
      </c>
      <c r="MR350" s="16">
        <v>289550</v>
      </c>
      <c r="MS350" s="16">
        <v>185340</v>
      </c>
      <c r="MT350" s="16">
        <v>3378</v>
      </c>
      <c r="MU350" s="16">
        <v>369562</v>
      </c>
      <c r="MV350" s="16">
        <v>167667</v>
      </c>
      <c r="MW350" s="16">
        <v>456485</v>
      </c>
      <c r="MX350" s="16">
        <v>53946</v>
      </c>
      <c r="MY350" s="16">
        <v>105027</v>
      </c>
      <c r="MZ350" s="16">
        <v>346883</v>
      </c>
      <c r="NA350" s="16">
        <v>40087</v>
      </c>
      <c r="NB350" s="16">
        <v>0</v>
      </c>
      <c r="NC350" s="16">
        <v>40762</v>
      </c>
      <c r="ND350" s="16">
        <v>0</v>
      </c>
      <c r="NE350" s="16">
        <v>1118</v>
      </c>
      <c r="NF350" s="16">
        <v>1599</v>
      </c>
      <c r="NG350" s="16">
        <v>3367</v>
      </c>
      <c r="NH350" s="16">
        <v>935</v>
      </c>
      <c r="NI350" s="16">
        <v>0</v>
      </c>
      <c r="NJ350" s="16">
        <v>2565</v>
      </c>
      <c r="NK350" s="16">
        <v>829</v>
      </c>
      <c r="NL350" s="16">
        <v>154</v>
      </c>
      <c r="NM350" s="16">
        <v>1912</v>
      </c>
      <c r="NN350" s="16">
        <v>164</v>
      </c>
      <c r="NO350" s="16">
        <v>0</v>
      </c>
      <c r="NP350" s="16">
        <v>2279</v>
      </c>
      <c r="NQ350" s="16">
        <v>2</v>
      </c>
      <c r="NR350" s="17">
        <v>17047241</v>
      </c>
    </row>
    <row r="351" spans="1:382" ht="13.5" customHeight="1" x14ac:dyDescent="0.2">
      <c r="A351" s="2" t="s">
        <v>709</v>
      </c>
      <c r="B351" s="16">
        <v>2343</v>
      </c>
      <c r="C351" s="16">
        <v>363</v>
      </c>
      <c r="D351" s="16">
        <v>2693</v>
      </c>
      <c r="E351" s="16">
        <v>2586</v>
      </c>
      <c r="F351" s="16">
        <v>4903</v>
      </c>
      <c r="G351" s="16">
        <v>4173</v>
      </c>
      <c r="H351" s="16">
        <v>86</v>
      </c>
      <c r="I351" s="16">
        <v>208</v>
      </c>
      <c r="J351" s="16">
        <v>3</v>
      </c>
      <c r="K351" s="16">
        <v>0</v>
      </c>
      <c r="L351" s="16">
        <v>616</v>
      </c>
      <c r="M351" s="16">
        <v>56</v>
      </c>
      <c r="N351" s="16">
        <v>0</v>
      </c>
      <c r="O351" s="16">
        <v>31949</v>
      </c>
      <c r="P351" s="16">
        <v>238663</v>
      </c>
      <c r="Q351" s="16">
        <v>336203</v>
      </c>
      <c r="R351" s="16">
        <v>186200</v>
      </c>
      <c r="S351" s="16">
        <v>55547</v>
      </c>
      <c r="T351" s="16">
        <v>514</v>
      </c>
      <c r="U351" s="16">
        <v>115</v>
      </c>
      <c r="V351" s="16">
        <v>2035</v>
      </c>
      <c r="W351" s="16">
        <v>1</v>
      </c>
      <c r="X351" s="16">
        <v>2689</v>
      </c>
      <c r="Y351" s="16">
        <v>871</v>
      </c>
      <c r="Z351" s="16">
        <v>2447</v>
      </c>
      <c r="AA351" s="16">
        <v>36</v>
      </c>
      <c r="AB351" s="16">
        <v>0</v>
      </c>
      <c r="AC351" s="16">
        <v>0</v>
      </c>
      <c r="AD351" s="16">
        <v>0</v>
      </c>
      <c r="AE351" s="16">
        <v>9</v>
      </c>
      <c r="AF351" s="16">
        <v>111</v>
      </c>
      <c r="AG351" s="16">
        <v>2384</v>
      </c>
      <c r="AH351" s="16">
        <v>521</v>
      </c>
      <c r="AI351" s="16">
        <v>356</v>
      </c>
      <c r="AJ351" s="16">
        <v>44479</v>
      </c>
      <c r="AK351" s="16">
        <v>6454</v>
      </c>
      <c r="AL351" s="16">
        <v>302</v>
      </c>
      <c r="AM351" s="16">
        <v>1225</v>
      </c>
      <c r="AN351" s="16">
        <v>2311</v>
      </c>
      <c r="AO351" s="16">
        <v>3498</v>
      </c>
      <c r="AP351" s="16">
        <v>508</v>
      </c>
      <c r="AQ351" s="16">
        <v>404</v>
      </c>
      <c r="AR351" s="16">
        <v>0</v>
      </c>
      <c r="AS351" s="16">
        <v>61</v>
      </c>
      <c r="AT351" s="16">
        <v>505</v>
      </c>
      <c r="AU351" s="16">
        <v>1274</v>
      </c>
      <c r="AV351" s="16">
        <v>1444</v>
      </c>
      <c r="AW351" s="16">
        <v>5840</v>
      </c>
      <c r="AX351" s="16">
        <v>1316</v>
      </c>
      <c r="AY351" s="16">
        <v>504</v>
      </c>
      <c r="AZ351" s="16">
        <v>3148</v>
      </c>
      <c r="BA351" s="16">
        <v>4703</v>
      </c>
      <c r="BB351" s="16">
        <v>3154</v>
      </c>
      <c r="BC351" s="16">
        <v>21296</v>
      </c>
      <c r="BD351" s="16">
        <v>634</v>
      </c>
      <c r="BE351" s="16">
        <v>1140</v>
      </c>
      <c r="BF351" s="16">
        <v>1538</v>
      </c>
      <c r="BG351" s="16">
        <v>649</v>
      </c>
      <c r="BH351" s="16">
        <v>4570</v>
      </c>
      <c r="BI351" s="16">
        <v>426</v>
      </c>
      <c r="BJ351" s="16">
        <v>141</v>
      </c>
      <c r="BK351" s="16">
        <v>484</v>
      </c>
      <c r="BL351" s="16">
        <v>3790</v>
      </c>
      <c r="BM351" s="16">
        <v>853</v>
      </c>
      <c r="BN351" s="16">
        <v>3566</v>
      </c>
      <c r="BO351" s="16">
        <v>2954</v>
      </c>
      <c r="BP351" s="16">
        <v>7091</v>
      </c>
      <c r="BQ351" s="16">
        <v>624</v>
      </c>
      <c r="BR351" s="16">
        <v>108</v>
      </c>
      <c r="BS351" s="16">
        <v>210657</v>
      </c>
      <c r="BT351" s="16">
        <v>493</v>
      </c>
      <c r="BU351" s="16">
        <v>401</v>
      </c>
      <c r="BV351" s="16">
        <v>462</v>
      </c>
      <c r="BW351" s="16">
        <v>4842</v>
      </c>
      <c r="BX351" s="16">
        <v>2928</v>
      </c>
      <c r="BY351" s="16">
        <v>23</v>
      </c>
      <c r="BZ351" s="16">
        <v>45229</v>
      </c>
      <c r="CA351" s="16">
        <v>16692</v>
      </c>
      <c r="CB351" s="16">
        <v>1524</v>
      </c>
      <c r="CC351" s="16">
        <v>4062</v>
      </c>
      <c r="CD351" s="16">
        <v>800</v>
      </c>
      <c r="CE351" s="16">
        <v>418</v>
      </c>
      <c r="CF351" s="16">
        <v>939</v>
      </c>
      <c r="CG351" s="16">
        <v>2274</v>
      </c>
      <c r="CH351" s="16">
        <v>1582</v>
      </c>
      <c r="CI351" s="16">
        <v>77</v>
      </c>
      <c r="CJ351" s="16">
        <v>3384</v>
      </c>
      <c r="CK351" s="16">
        <v>5393</v>
      </c>
      <c r="CL351" s="16">
        <v>1515</v>
      </c>
      <c r="CM351" s="16">
        <v>15286</v>
      </c>
      <c r="CN351" s="16">
        <v>4176</v>
      </c>
      <c r="CO351" s="16">
        <v>5798</v>
      </c>
      <c r="CP351" s="16">
        <v>9901</v>
      </c>
      <c r="CQ351" s="16">
        <v>18026</v>
      </c>
      <c r="CR351" s="16">
        <v>2737</v>
      </c>
      <c r="CS351" s="16">
        <v>4765</v>
      </c>
      <c r="CT351" s="16">
        <v>7905</v>
      </c>
      <c r="CU351" s="16">
        <v>19752</v>
      </c>
      <c r="CV351" s="16">
        <v>7241</v>
      </c>
      <c r="CW351" s="16">
        <v>20620</v>
      </c>
      <c r="CX351" s="16">
        <v>13691</v>
      </c>
      <c r="CY351" s="16">
        <v>1576</v>
      </c>
      <c r="CZ351" s="16">
        <v>2018</v>
      </c>
      <c r="DA351" s="16">
        <v>304</v>
      </c>
      <c r="DB351" s="16">
        <v>2213</v>
      </c>
      <c r="DC351" s="16">
        <v>268</v>
      </c>
      <c r="DD351" s="16">
        <v>2842</v>
      </c>
      <c r="DE351" s="16">
        <v>8037</v>
      </c>
      <c r="DF351" s="16">
        <v>6741</v>
      </c>
      <c r="DG351" s="16">
        <v>1280</v>
      </c>
      <c r="DH351" s="16">
        <v>5366</v>
      </c>
      <c r="DI351" s="16">
        <v>1003</v>
      </c>
      <c r="DJ351" s="16">
        <v>42878</v>
      </c>
      <c r="DK351" s="16">
        <v>1105</v>
      </c>
      <c r="DL351" s="16">
        <v>1553</v>
      </c>
      <c r="DM351" s="16">
        <v>3400</v>
      </c>
      <c r="DN351" s="16">
        <v>1592</v>
      </c>
      <c r="DO351" s="16">
        <v>1714</v>
      </c>
      <c r="DP351" s="16">
        <v>2060</v>
      </c>
      <c r="DQ351" s="16">
        <v>294</v>
      </c>
      <c r="DR351" s="16">
        <v>27304</v>
      </c>
      <c r="DS351" s="16">
        <v>61654</v>
      </c>
      <c r="DT351" s="16">
        <v>7038</v>
      </c>
      <c r="DU351" s="16">
        <v>6893</v>
      </c>
      <c r="DV351" s="16">
        <v>16691</v>
      </c>
      <c r="DW351" s="16">
        <v>41029</v>
      </c>
      <c r="DX351" s="16">
        <v>16952</v>
      </c>
      <c r="DY351" s="16">
        <v>47124</v>
      </c>
      <c r="DZ351" s="16">
        <v>160198</v>
      </c>
      <c r="EA351" s="16">
        <v>71648</v>
      </c>
      <c r="EB351" s="16">
        <v>7690</v>
      </c>
      <c r="EC351" s="16">
        <v>11999</v>
      </c>
      <c r="ED351" s="16">
        <v>3421</v>
      </c>
      <c r="EE351" s="16">
        <v>1725</v>
      </c>
      <c r="EF351" s="16">
        <v>3115</v>
      </c>
      <c r="EG351" s="16">
        <v>16986</v>
      </c>
      <c r="EH351" s="16">
        <v>2339</v>
      </c>
      <c r="EI351" s="16">
        <v>4481</v>
      </c>
      <c r="EJ351" s="16">
        <v>2895</v>
      </c>
      <c r="EK351" s="16">
        <v>1597</v>
      </c>
      <c r="EL351" s="16">
        <v>2258</v>
      </c>
      <c r="EM351" s="16">
        <v>527</v>
      </c>
      <c r="EN351" s="16">
        <v>2998</v>
      </c>
      <c r="EO351" s="16">
        <v>1468</v>
      </c>
      <c r="EP351" s="16">
        <v>317</v>
      </c>
      <c r="EQ351" s="16">
        <v>906</v>
      </c>
      <c r="ER351" s="16">
        <v>208</v>
      </c>
      <c r="ES351" s="16">
        <v>1560</v>
      </c>
      <c r="ET351" s="16">
        <v>850</v>
      </c>
      <c r="EU351" s="16">
        <v>31</v>
      </c>
      <c r="EV351" s="16">
        <v>50</v>
      </c>
      <c r="EW351" s="16">
        <v>2979</v>
      </c>
      <c r="EX351" s="16">
        <v>48820</v>
      </c>
      <c r="EY351" s="16">
        <v>15823</v>
      </c>
      <c r="EZ351" s="16">
        <v>7510</v>
      </c>
      <c r="FA351" s="16">
        <v>16000</v>
      </c>
      <c r="FB351" s="16">
        <v>34250</v>
      </c>
      <c r="FC351" s="16">
        <v>4378</v>
      </c>
      <c r="FD351" s="16">
        <v>23576</v>
      </c>
      <c r="FE351" s="16">
        <v>29163</v>
      </c>
      <c r="FF351" s="16">
        <v>5977</v>
      </c>
      <c r="FG351" s="16">
        <v>8520</v>
      </c>
      <c r="FH351" s="16">
        <v>6146</v>
      </c>
      <c r="FI351" s="16">
        <v>9416</v>
      </c>
      <c r="FJ351" s="16">
        <v>1173</v>
      </c>
      <c r="FK351" s="16">
        <v>12894</v>
      </c>
      <c r="FL351" s="16">
        <v>310</v>
      </c>
      <c r="FM351" s="16">
        <v>4833</v>
      </c>
      <c r="FN351" s="16">
        <v>12317</v>
      </c>
      <c r="FO351" s="16">
        <v>1133</v>
      </c>
      <c r="FP351" s="16">
        <v>8008</v>
      </c>
      <c r="FQ351" s="16">
        <v>16682</v>
      </c>
      <c r="FR351" s="16">
        <v>19603</v>
      </c>
      <c r="FS351" s="16">
        <v>2266</v>
      </c>
      <c r="FT351" s="16">
        <v>12540</v>
      </c>
      <c r="FU351" s="16">
        <v>8491</v>
      </c>
      <c r="FV351" s="16">
        <v>9280</v>
      </c>
      <c r="FW351" s="16">
        <v>7115</v>
      </c>
      <c r="FX351" s="16">
        <v>17645</v>
      </c>
      <c r="FY351" s="16">
        <v>1093</v>
      </c>
      <c r="FZ351" s="16">
        <v>3879</v>
      </c>
      <c r="GA351" s="16">
        <v>1906</v>
      </c>
      <c r="GB351" s="16">
        <v>5431</v>
      </c>
      <c r="GC351" s="16">
        <v>2671</v>
      </c>
      <c r="GD351" s="16">
        <v>2711</v>
      </c>
      <c r="GE351" s="16">
        <v>7748</v>
      </c>
      <c r="GF351" s="16">
        <v>93338</v>
      </c>
      <c r="GG351" s="16">
        <v>8509</v>
      </c>
      <c r="GH351" s="16">
        <v>46874</v>
      </c>
      <c r="GI351" s="16">
        <v>50420</v>
      </c>
      <c r="GJ351" s="16">
        <v>27320</v>
      </c>
      <c r="GK351" s="16">
        <v>12276</v>
      </c>
      <c r="GL351" s="16">
        <v>1786</v>
      </c>
      <c r="GM351" s="16">
        <v>17813</v>
      </c>
      <c r="GN351" s="16">
        <v>2936</v>
      </c>
      <c r="GO351" s="16">
        <v>18635</v>
      </c>
      <c r="GP351" s="16">
        <v>109609</v>
      </c>
      <c r="GQ351" s="16">
        <v>10067</v>
      </c>
      <c r="GR351" s="16">
        <v>23422</v>
      </c>
      <c r="GS351" s="16">
        <v>35108</v>
      </c>
      <c r="GT351" s="16">
        <v>9281</v>
      </c>
      <c r="GU351" s="16">
        <v>41594</v>
      </c>
      <c r="GV351" s="16">
        <v>18408</v>
      </c>
      <c r="GW351" s="16">
        <v>20335</v>
      </c>
      <c r="GX351" s="16">
        <v>9132</v>
      </c>
      <c r="GY351" s="16">
        <v>98</v>
      </c>
      <c r="GZ351" s="16">
        <v>32593</v>
      </c>
      <c r="HA351" s="16">
        <v>14542</v>
      </c>
      <c r="HB351" s="16">
        <v>13768</v>
      </c>
      <c r="HC351" s="16">
        <v>17117</v>
      </c>
      <c r="HD351" s="16">
        <v>41427</v>
      </c>
      <c r="HE351" s="16">
        <v>76496</v>
      </c>
      <c r="HF351" s="16">
        <v>85601</v>
      </c>
      <c r="HG351" s="16">
        <v>7619</v>
      </c>
      <c r="HH351" s="16">
        <v>6530</v>
      </c>
      <c r="HI351" s="16">
        <v>24726</v>
      </c>
      <c r="HJ351" s="16">
        <v>3035</v>
      </c>
      <c r="HK351" s="16">
        <v>29251</v>
      </c>
      <c r="HL351" s="16">
        <v>84209</v>
      </c>
      <c r="HM351" s="16">
        <v>33089</v>
      </c>
      <c r="HN351" s="16">
        <v>118740</v>
      </c>
      <c r="HO351" s="16">
        <v>10854</v>
      </c>
      <c r="HP351" s="16">
        <v>2064</v>
      </c>
      <c r="HQ351" s="16">
        <v>70154</v>
      </c>
      <c r="HR351" s="16">
        <v>59028</v>
      </c>
      <c r="HS351" s="16">
        <v>19651</v>
      </c>
      <c r="HT351" s="16">
        <v>1588</v>
      </c>
      <c r="HU351" s="16">
        <v>54306</v>
      </c>
      <c r="HV351" s="16">
        <v>20323</v>
      </c>
      <c r="HW351" s="16">
        <v>40014</v>
      </c>
      <c r="HX351" s="16">
        <v>23118</v>
      </c>
      <c r="HY351" s="16">
        <v>55389</v>
      </c>
      <c r="HZ351" s="16">
        <v>44454</v>
      </c>
      <c r="IA351" s="16">
        <v>14485</v>
      </c>
      <c r="IB351" s="16">
        <v>4356</v>
      </c>
      <c r="IC351" s="16">
        <v>3431</v>
      </c>
      <c r="ID351" s="16">
        <v>2471</v>
      </c>
      <c r="IE351" s="16">
        <v>2219</v>
      </c>
      <c r="IF351" s="16">
        <v>3699</v>
      </c>
      <c r="IG351" s="16">
        <v>33808</v>
      </c>
      <c r="IH351" s="16">
        <v>426181</v>
      </c>
      <c r="II351" s="16">
        <v>2261</v>
      </c>
      <c r="IJ351" s="16">
        <v>1180</v>
      </c>
      <c r="IK351" s="16">
        <v>761</v>
      </c>
      <c r="IL351" s="16">
        <v>7085</v>
      </c>
      <c r="IM351" s="16">
        <v>698</v>
      </c>
      <c r="IN351" s="16">
        <v>107094</v>
      </c>
      <c r="IO351" s="16">
        <v>450526</v>
      </c>
      <c r="IP351" s="16">
        <v>116234</v>
      </c>
      <c r="IQ351" s="16">
        <v>12097</v>
      </c>
      <c r="IR351" s="16">
        <v>26835</v>
      </c>
      <c r="IS351" s="16">
        <v>7803</v>
      </c>
      <c r="IT351" s="16">
        <v>2841</v>
      </c>
      <c r="IU351" s="16">
        <v>801</v>
      </c>
      <c r="IV351" s="16">
        <v>7857</v>
      </c>
      <c r="IW351" s="16">
        <v>28509</v>
      </c>
      <c r="IX351" s="16">
        <v>22542</v>
      </c>
      <c r="IY351" s="16">
        <v>1733</v>
      </c>
      <c r="IZ351" s="16">
        <v>1105</v>
      </c>
      <c r="JA351" s="16">
        <v>7068</v>
      </c>
      <c r="JB351" s="16">
        <v>1034</v>
      </c>
      <c r="JC351" s="16">
        <v>1959</v>
      </c>
      <c r="JD351" s="16">
        <v>7097</v>
      </c>
      <c r="JE351" s="16">
        <v>20715</v>
      </c>
      <c r="JF351" s="16">
        <v>12487</v>
      </c>
      <c r="JG351" s="16">
        <v>502943</v>
      </c>
      <c r="JH351" s="16">
        <v>5645</v>
      </c>
      <c r="JI351" s="16">
        <v>4401</v>
      </c>
      <c r="JJ351" s="16">
        <v>3641</v>
      </c>
      <c r="JK351" s="16">
        <v>6551</v>
      </c>
      <c r="JL351" s="16">
        <v>372</v>
      </c>
      <c r="JM351" s="16">
        <v>1367</v>
      </c>
      <c r="JN351" s="16">
        <v>14722</v>
      </c>
      <c r="JO351" s="16">
        <v>332</v>
      </c>
      <c r="JP351" s="16">
        <v>4527</v>
      </c>
      <c r="JQ351" s="16">
        <v>5629</v>
      </c>
      <c r="JR351" s="16">
        <v>7981</v>
      </c>
      <c r="JS351" s="16">
        <v>749</v>
      </c>
      <c r="JT351" s="16">
        <v>0</v>
      </c>
      <c r="JU351" s="16">
        <v>9157</v>
      </c>
      <c r="JV351" s="16">
        <v>52148</v>
      </c>
      <c r="JW351" s="16">
        <v>11497</v>
      </c>
      <c r="JX351" s="16">
        <v>26646</v>
      </c>
      <c r="JY351" s="16">
        <v>21116</v>
      </c>
      <c r="JZ351" s="16">
        <v>1087</v>
      </c>
      <c r="KA351" s="16">
        <v>3649</v>
      </c>
      <c r="KB351" s="16">
        <v>668</v>
      </c>
      <c r="KC351" s="16">
        <v>904</v>
      </c>
      <c r="KD351" s="16">
        <v>46</v>
      </c>
      <c r="KE351" s="16">
        <v>157</v>
      </c>
      <c r="KF351" s="16">
        <v>4345</v>
      </c>
      <c r="KG351" s="16">
        <v>2592</v>
      </c>
      <c r="KH351" s="16">
        <v>805</v>
      </c>
      <c r="KI351" s="16">
        <v>2631</v>
      </c>
      <c r="KJ351" s="16">
        <v>124</v>
      </c>
      <c r="KK351" s="16">
        <v>1016091</v>
      </c>
      <c r="KL351" s="16">
        <v>55117</v>
      </c>
      <c r="KM351" s="16">
        <v>48627</v>
      </c>
      <c r="KN351" s="16">
        <v>26229</v>
      </c>
      <c r="KO351" s="16">
        <v>1294</v>
      </c>
      <c r="KP351" s="16">
        <v>5772</v>
      </c>
      <c r="KQ351" s="16">
        <v>29187</v>
      </c>
      <c r="KR351" s="16">
        <v>3909</v>
      </c>
      <c r="KS351" s="16">
        <v>25</v>
      </c>
      <c r="KT351" s="16">
        <v>2371</v>
      </c>
      <c r="KU351" s="16">
        <v>8311</v>
      </c>
      <c r="KV351" s="16">
        <v>17889</v>
      </c>
      <c r="KW351" s="16">
        <v>66438</v>
      </c>
      <c r="KX351" s="16">
        <v>6843</v>
      </c>
      <c r="KY351" s="16">
        <v>15581</v>
      </c>
      <c r="KZ351" s="16">
        <v>154581</v>
      </c>
      <c r="LA351" s="16">
        <v>26331</v>
      </c>
      <c r="LB351" s="16">
        <v>8160</v>
      </c>
      <c r="LC351" s="16">
        <v>19507</v>
      </c>
      <c r="LD351" s="16">
        <v>41575</v>
      </c>
      <c r="LE351" s="16">
        <v>38413</v>
      </c>
      <c r="LF351" s="16">
        <v>75197</v>
      </c>
      <c r="LG351" s="16">
        <v>23974</v>
      </c>
      <c r="LH351" s="16">
        <v>34291</v>
      </c>
      <c r="LI351" s="16">
        <v>106718</v>
      </c>
      <c r="LJ351" s="16">
        <v>608697</v>
      </c>
      <c r="LK351" s="16">
        <v>176829</v>
      </c>
      <c r="LL351" s="16">
        <v>315040</v>
      </c>
      <c r="LM351" s="16">
        <v>424277</v>
      </c>
      <c r="LN351" s="16">
        <v>298671</v>
      </c>
      <c r="LO351" s="16">
        <v>161875</v>
      </c>
      <c r="LP351" s="16">
        <v>1254132</v>
      </c>
      <c r="LQ351" s="16">
        <v>150312</v>
      </c>
      <c r="LR351" s="16">
        <v>106663</v>
      </c>
      <c r="LS351" s="16">
        <v>12755</v>
      </c>
      <c r="LT351" s="16">
        <v>103529</v>
      </c>
      <c r="LU351" s="16">
        <v>37183</v>
      </c>
      <c r="LV351" s="16">
        <v>101</v>
      </c>
      <c r="LW351" s="16">
        <v>87791</v>
      </c>
      <c r="LX351" s="16">
        <v>50044</v>
      </c>
      <c r="LY351" s="16">
        <v>0</v>
      </c>
      <c r="LZ351" s="16">
        <v>34112</v>
      </c>
      <c r="MA351" s="16">
        <v>33810</v>
      </c>
      <c r="MB351" s="16">
        <v>20802</v>
      </c>
      <c r="MC351" s="16">
        <v>169592</v>
      </c>
      <c r="MD351" s="16">
        <v>125269</v>
      </c>
      <c r="ME351" s="16">
        <v>35996</v>
      </c>
      <c r="MF351" s="16">
        <v>1083421</v>
      </c>
      <c r="MG351" s="16">
        <v>42313</v>
      </c>
      <c r="MH351" s="16">
        <v>1454641</v>
      </c>
      <c r="MI351" s="16">
        <v>669406</v>
      </c>
      <c r="MJ351" s="16">
        <v>103725</v>
      </c>
      <c r="MK351" s="16">
        <v>61741</v>
      </c>
      <c r="ML351" s="16">
        <v>171127</v>
      </c>
      <c r="MM351" s="16">
        <v>490898</v>
      </c>
      <c r="MN351" s="16">
        <v>117674</v>
      </c>
      <c r="MO351" s="16">
        <v>62271</v>
      </c>
      <c r="MP351" s="16">
        <v>22806</v>
      </c>
      <c r="MQ351" s="16">
        <v>181573</v>
      </c>
      <c r="MR351" s="16">
        <v>383326</v>
      </c>
      <c r="MS351" s="16">
        <v>91613</v>
      </c>
      <c r="MT351" s="16">
        <v>3815</v>
      </c>
      <c r="MU351" s="16">
        <v>559400</v>
      </c>
      <c r="MV351" s="16">
        <v>25356</v>
      </c>
      <c r="MW351" s="16">
        <v>47222</v>
      </c>
      <c r="MX351" s="16">
        <v>4073</v>
      </c>
      <c r="MY351" s="16">
        <v>10270</v>
      </c>
      <c r="MZ351" s="16">
        <v>28285</v>
      </c>
      <c r="NA351" s="16">
        <v>25739</v>
      </c>
      <c r="NB351" s="16">
        <v>3992</v>
      </c>
      <c r="NC351" s="16">
        <v>53741</v>
      </c>
      <c r="ND351" s="16">
        <v>42975</v>
      </c>
      <c r="NE351" s="16">
        <v>2151</v>
      </c>
      <c r="NF351" s="16">
        <v>35973</v>
      </c>
      <c r="NG351" s="16">
        <v>18234</v>
      </c>
      <c r="NH351" s="16">
        <v>55871</v>
      </c>
      <c r="NI351" s="16">
        <v>7995</v>
      </c>
      <c r="NJ351" s="16">
        <v>15603</v>
      </c>
      <c r="NK351" s="16">
        <v>5281</v>
      </c>
      <c r="NL351" s="16">
        <v>5801</v>
      </c>
      <c r="NM351" s="16">
        <v>15464</v>
      </c>
      <c r="NN351" s="16">
        <v>1075</v>
      </c>
      <c r="NO351" s="16">
        <v>0</v>
      </c>
      <c r="NP351" s="16">
        <v>28150</v>
      </c>
      <c r="NQ351" s="16">
        <v>450</v>
      </c>
      <c r="NR351" s="17">
        <v>17981164</v>
      </c>
    </row>
    <row r="352" spans="1:382" ht="13.5" customHeight="1" x14ac:dyDescent="0.2">
      <c r="A352" s="2" t="s">
        <v>711</v>
      </c>
      <c r="B352" s="16">
        <v>2035</v>
      </c>
      <c r="C352" s="16">
        <v>1</v>
      </c>
      <c r="D352" s="16">
        <v>415</v>
      </c>
      <c r="E352" s="16">
        <v>379</v>
      </c>
      <c r="F352" s="16">
        <v>524</v>
      </c>
      <c r="G352" s="16">
        <v>131</v>
      </c>
      <c r="H352" s="16">
        <v>7</v>
      </c>
      <c r="I352" s="16">
        <v>404</v>
      </c>
      <c r="J352" s="16">
        <v>1</v>
      </c>
      <c r="K352" s="16">
        <v>0</v>
      </c>
      <c r="L352" s="16">
        <v>80</v>
      </c>
      <c r="M352" s="16">
        <v>14</v>
      </c>
      <c r="N352" s="16">
        <v>26</v>
      </c>
      <c r="O352" s="16">
        <v>28</v>
      </c>
      <c r="P352" s="16">
        <v>1502</v>
      </c>
      <c r="Q352" s="16">
        <v>6916</v>
      </c>
      <c r="R352" s="16">
        <v>1751</v>
      </c>
      <c r="S352" s="16">
        <v>20</v>
      </c>
      <c r="T352" s="16">
        <v>175</v>
      </c>
      <c r="U352" s="16">
        <v>25</v>
      </c>
      <c r="V352" s="16">
        <v>44</v>
      </c>
      <c r="W352" s="16">
        <v>3</v>
      </c>
      <c r="X352" s="16">
        <v>47716</v>
      </c>
      <c r="Y352" s="16">
        <v>11722</v>
      </c>
      <c r="Z352" s="16">
        <v>7900</v>
      </c>
      <c r="AA352" s="16">
        <v>8</v>
      </c>
      <c r="AB352" s="16">
        <v>0</v>
      </c>
      <c r="AC352" s="16">
        <v>0</v>
      </c>
      <c r="AD352" s="16">
        <v>0</v>
      </c>
      <c r="AE352" s="16">
        <v>2696</v>
      </c>
      <c r="AF352" s="16">
        <v>0</v>
      </c>
      <c r="AG352" s="16">
        <v>191436</v>
      </c>
      <c r="AH352" s="16">
        <v>31542</v>
      </c>
      <c r="AI352" s="16">
        <v>14518</v>
      </c>
      <c r="AJ352" s="16">
        <v>69192</v>
      </c>
      <c r="AK352" s="16">
        <v>9654</v>
      </c>
      <c r="AL352" s="16">
        <v>974</v>
      </c>
      <c r="AM352" s="16">
        <v>12349</v>
      </c>
      <c r="AN352" s="16">
        <v>1727</v>
      </c>
      <c r="AO352" s="16">
        <v>2973</v>
      </c>
      <c r="AP352" s="16">
        <v>0</v>
      </c>
      <c r="AQ352" s="16">
        <v>394</v>
      </c>
      <c r="AR352" s="16">
        <v>0</v>
      </c>
      <c r="AS352" s="16">
        <v>47</v>
      </c>
      <c r="AT352" s="16">
        <v>2884</v>
      </c>
      <c r="AU352" s="16">
        <v>12441</v>
      </c>
      <c r="AV352" s="16">
        <v>3661</v>
      </c>
      <c r="AW352" s="16">
        <v>16939</v>
      </c>
      <c r="AX352" s="16">
        <v>963</v>
      </c>
      <c r="AY352" s="16">
        <v>45</v>
      </c>
      <c r="AZ352" s="16">
        <v>1563</v>
      </c>
      <c r="BA352" s="16">
        <v>7323</v>
      </c>
      <c r="BB352" s="16">
        <v>6787</v>
      </c>
      <c r="BC352" s="16">
        <v>28605</v>
      </c>
      <c r="BD352" s="16">
        <v>169</v>
      </c>
      <c r="BE352" s="16">
        <v>3008</v>
      </c>
      <c r="BF352" s="16">
        <v>2620</v>
      </c>
      <c r="BG352" s="16">
        <v>743</v>
      </c>
      <c r="BH352" s="16">
        <v>6340</v>
      </c>
      <c r="BI352" s="16">
        <v>1483</v>
      </c>
      <c r="BJ352" s="16">
        <v>1432</v>
      </c>
      <c r="BK352" s="16">
        <v>406</v>
      </c>
      <c r="BL352" s="16">
        <v>20396</v>
      </c>
      <c r="BM352" s="16">
        <v>2073</v>
      </c>
      <c r="BN352" s="16">
        <v>20336</v>
      </c>
      <c r="BO352" s="16">
        <v>27145</v>
      </c>
      <c r="BP352" s="16">
        <v>4566</v>
      </c>
      <c r="BQ352" s="16">
        <v>414</v>
      </c>
      <c r="BR352" s="16">
        <v>328</v>
      </c>
      <c r="BS352" s="16">
        <v>13254</v>
      </c>
      <c r="BT352" s="16">
        <v>30</v>
      </c>
      <c r="BU352" s="16">
        <v>10</v>
      </c>
      <c r="BV352" s="16">
        <v>0</v>
      </c>
      <c r="BW352" s="16">
        <v>1363</v>
      </c>
      <c r="BX352" s="16">
        <v>60</v>
      </c>
      <c r="BY352" s="16">
        <v>0</v>
      </c>
      <c r="BZ352" s="16">
        <v>638</v>
      </c>
      <c r="CA352" s="16">
        <v>375</v>
      </c>
      <c r="CB352" s="16">
        <v>0</v>
      </c>
      <c r="CC352" s="16">
        <v>7678</v>
      </c>
      <c r="CD352" s="16">
        <v>917</v>
      </c>
      <c r="CE352" s="16">
        <v>2104</v>
      </c>
      <c r="CF352" s="16">
        <v>5433</v>
      </c>
      <c r="CG352" s="16">
        <v>1238</v>
      </c>
      <c r="CH352" s="16">
        <v>7746</v>
      </c>
      <c r="CI352" s="16">
        <v>403</v>
      </c>
      <c r="CJ352" s="16">
        <v>8845</v>
      </c>
      <c r="CK352" s="16">
        <v>17133</v>
      </c>
      <c r="CL352" s="16">
        <v>18350</v>
      </c>
      <c r="CM352" s="16">
        <v>12400</v>
      </c>
      <c r="CN352" s="16">
        <v>1578</v>
      </c>
      <c r="CO352" s="16">
        <v>1589</v>
      </c>
      <c r="CP352" s="16">
        <v>9368</v>
      </c>
      <c r="CQ352" s="16">
        <v>113610</v>
      </c>
      <c r="CR352" s="16">
        <v>22859</v>
      </c>
      <c r="CS352" s="16">
        <v>17448</v>
      </c>
      <c r="CT352" s="16">
        <v>21286</v>
      </c>
      <c r="CU352" s="16">
        <v>31315</v>
      </c>
      <c r="CV352" s="16">
        <v>7379</v>
      </c>
      <c r="CW352" s="16">
        <v>48824</v>
      </c>
      <c r="CX352" s="16">
        <v>37730</v>
      </c>
      <c r="CY352" s="16">
        <v>3493</v>
      </c>
      <c r="CZ352" s="16">
        <v>1300</v>
      </c>
      <c r="DA352" s="16">
        <v>373</v>
      </c>
      <c r="DB352" s="16">
        <v>1972</v>
      </c>
      <c r="DC352" s="16">
        <v>42</v>
      </c>
      <c r="DD352" s="16">
        <v>300</v>
      </c>
      <c r="DE352" s="16">
        <v>295</v>
      </c>
      <c r="DF352" s="16">
        <v>22136</v>
      </c>
      <c r="DG352" s="16">
        <v>4811</v>
      </c>
      <c r="DH352" s="16">
        <v>1876</v>
      </c>
      <c r="DI352" s="16">
        <v>2623</v>
      </c>
      <c r="DJ352" s="16">
        <v>31633</v>
      </c>
      <c r="DK352" s="16">
        <v>450</v>
      </c>
      <c r="DL352" s="16">
        <v>3340</v>
      </c>
      <c r="DM352" s="16">
        <v>19348</v>
      </c>
      <c r="DN352" s="16">
        <v>1995</v>
      </c>
      <c r="DO352" s="16">
        <v>8182</v>
      </c>
      <c r="DP352" s="16">
        <v>3154</v>
      </c>
      <c r="DQ352" s="16">
        <v>174</v>
      </c>
      <c r="DR352" s="16">
        <v>2053</v>
      </c>
      <c r="DS352" s="16">
        <v>38729</v>
      </c>
      <c r="DT352" s="16">
        <v>1163</v>
      </c>
      <c r="DU352" s="16">
        <v>1373</v>
      </c>
      <c r="DV352" s="16">
        <v>11134</v>
      </c>
      <c r="DW352" s="16">
        <v>56336</v>
      </c>
      <c r="DX352" s="16">
        <v>25736</v>
      </c>
      <c r="DY352" s="16">
        <v>28424</v>
      </c>
      <c r="DZ352" s="16">
        <v>167963</v>
      </c>
      <c r="EA352" s="16">
        <v>59608</v>
      </c>
      <c r="EB352" s="16">
        <v>430</v>
      </c>
      <c r="EC352" s="16">
        <v>27829</v>
      </c>
      <c r="ED352" s="16">
        <v>1315</v>
      </c>
      <c r="EE352" s="16">
        <v>1</v>
      </c>
      <c r="EF352" s="16">
        <v>2086</v>
      </c>
      <c r="EG352" s="16">
        <v>17161</v>
      </c>
      <c r="EH352" s="16">
        <v>1772</v>
      </c>
      <c r="EI352" s="16">
        <v>3843</v>
      </c>
      <c r="EJ352" s="16">
        <v>4059</v>
      </c>
      <c r="EK352" s="16">
        <v>1124</v>
      </c>
      <c r="EL352" s="16">
        <v>674</v>
      </c>
      <c r="EM352" s="16">
        <v>5934</v>
      </c>
      <c r="EN352" s="16">
        <v>26079</v>
      </c>
      <c r="EO352" s="16">
        <v>11742</v>
      </c>
      <c r="EP352" s="16">
        <v>669</v>
      </c>
      <c r="EQ352" s="16">
        <v>19379</v>
      </c>
      <c r="ER352" s="16">
        <v>90</v>
      </c>
      <c r="ES352" s="16">
        <v>2801</v>
      </c>
      <c r="ET352" s="16">
        <v>12580</v>
      </c>
      <c r="EU352" s="16">
        <v>137</v>
      </c>
      <c r="EV352" s="16">
        <v>45</v>
      </c>
      <c r="EW352" s="16">
        <v>707</v>
      </c>
      <c r="EX352" s="16">
        <v>209279</v>
      </c>
      <c r="EY352" s="16">
        <v>75051</v>
      </c>
      <c r="EZ352" s="16">
        <v>22218</v>
      </c>
      <c r="FA352" s="16">
        <v>11287</v>
      </c>
      <c r="FB352" s="16">
        <v>72073</v>
      </c>
      <c r="FC352" s="16">
        <v>10766</v>
      </c>
      <c r="FD352" s="16">
        <v>93421</v>
      </c>
      <c r="FE352" s="16">
        <v>56371</v>
      </c>
      <c r="FF352" s="16">
        <v>10154</v>
      </c>
      <c r="FG352" s="16">
        <v>24847</v>
      </c>
      <c r="FH352" s="16">
        <v>53</v>
      </c>
      <c r="FI352" s="16">
        <v>8377</v>
      </c>
      <c r="FJ352" s="16">
        <v>179</v>
      </c>
      <c r="FK352" s="16">
        <v>3517</v>
      </c>
      <c r="FL352" s="16">
        <v>12</v>
      </c>
      <c r="FM352" s="16">
        <v>5202</v>
      </c>
      <c r="FN352" s="16">
        <v>14951</v>
      </c>
      <c r="FO352" s="16">
        <v>587</v>
      </c>
      <c r="FP352" s="16">
        <v>19868</v>
      </c>
      <c r="FQ352" s="16">
        <v>21726</v>
      </c>
      <c r="FR352" s="16">
        <v>30227</v>
      </c>
      <c r="FS352" s="16">
        <v>4724</v>
      </c>
      <c r="FT352" s="16">
        <v>9684</v>
      </c>
      <c r="FU352" s="16">
        <v>33134</v>
      </c>
      <c r="FV352" s="16">
        <v>10717</v>
      </c>
      <c r="FW352" s="16">
        <v>10482</v>
      </c>
      <c r="FX352" s="16">
        <v>94143</v>
      </c>
      <c r="FY352" s="16">
        <v>5060</v>
      </c>
      <c r="FZ352" s="16">
        <v>20617</v>
      </c>
      <c r="GA352" s="16">
        <v>5761</v>
      </c>
      <c r="GB352" s="16">
        <v>13369</v>
      </c>
      <c r="GC352" s="16">
        <v>18415</v>
      </c>
      <c r="GD352" s="16">
        <v>23751</v>
      </c>
      <c r="GE352" s="16">
        <v>3487</v>
      </c>
      <c r="GF352" s="16">
        <v>640385</v>
      </c>
      <c r="GG352" s="16">
        <v>28197</v>
      </c>
      <c r="GH352" s="16">
        <v>126753</v>
      </c>
      <c r="GI352" s="16">
        <v>57329</v>
      </c>
      <c r="GJ352" s="16">
        <v>25736</v>
      </c>
      <c r="GK352" s="16">
        <v>28470</v>
      </c>
      <c r="GL352" s="16">
        <v>11451</v>
      </c>
      <c r="GM352" s="16">
        <v>85191</v>
      </c>
      <c r="GN352" s="16">
        <v>8758</v>
      </c>
      <c r="GO352" s="16">
        <v>16607</v>
      </c>
      <c r="GP352" s="16">
        <v>206779</v>
      </c>
      <c r="GQ352" s="16">
        <v>10279</v>
      </c>
      <c r="GR352" s="16">
        <v>34814</v>
      </c>
      <c r="GS352" s="16">
        <v>31373</v>
      </c>
      <c r="GT352" s="16">
        <v>16321</v>
      </c>
      <c r="GU352" s="16">
        <v>10361</v>
      </c>
      <c r="GV352" s="16">
        <v>9388</v>
      </c>
      <c r="GW352" s="16">
        <v>6959</v>
      </c>
      <c r="GX352" s="16">
        <v>3054</v>
      </c>
      <c r="GY352" s="16">
        <v>58</v>
      </c>
      <c r="GZ352" s="16">
        <v>16402</v>
      </c>
      <c r="HA352" s="16">
        <v>3716</v>
      </c>
      <c r="HB352" s="16">
        <v>2597</v>
      </c>
      <c r="HC352" s="16">
        <v>54860</v>
      </c>
      <c r="HD352" s="16">
        <v>60432</v>
      </c>
      <c r="HE352" s="16">
        <v>14854</v>
      </c>
      <c r="HF352" s="16">
        <v>80153</v>
      </c>
      <c r="HG352" s="16">
        <v>5705</v>
      </c>
      <c r="HH352" s="16">
        <v>5747</v>
      </c>
      <c r="HI352" s="16">
        <v>10725</v>
      </c>
      <c r="HJ352" s="16">
        <v>19225</v>
      </c>
      <c r="HK352" s="16">
        <v>6262</v>
      </c>
      <c r="HL352" s="16">
        <v>50631</v>
      </c>
      <c r="HM352" s="16">
        <v>7771</v>
      </c>
      <c r="HN352" s="16">
        <v>62537</v>
      </c>
      <c r="HO352" s="16">
        <v>2013</v>
      </c>
      <c r="HP352" s="16">
        <v>12354</v>
      </c>
      <c r="HQ352" s="16">
        <v>82804</v>
      </c>
      <c r="HR352" s="16">
        <v>24994</v>
      </c>
      <c r="HS352" s="16">
        <v>4083</v>
      </c>
      <c r="HT352" s="16">
        <v>831</v>
      </c>
      <c r="HU352" s="16">
        <v>8850</v>
      </c>
      <c r="HV352" s="16">
        <v>18998</v>
      </c>
      <c r="HW352" s="16">
        <v>23085</v>
      </c>
      <c r="HX352" s="16">
        <v>5734</v>
      </c>
      <c r="HY352" s="16">
        <v>34273</v>
      </c>
      <c r="HZ352" s="16">
        <v>8492</v>
      </c>
      <c r="IA352" s="16">
        <v>4542</v>
      </c>
      <c r="IB352" s="16">
        <v>35</v>
      </c>
      <c r="IC352" s="16">
        <v>285</v>
      </c>
      <c r="ID352" s="16">
        <v>627</v>
      </c>
      <c r="IE352" s="16">
        <v>364</v>
      </c>
      <c r="IF352" s="16">
        <v>815</v>
      </c>
      <c r="IG352" s="16">
        <v>2916</v>
      </c>
      <c r="IH352" s="16">
        <v>482428</v>
      </c>
      <c r="II352" s="16">
        <v>15225</v>
      </c>
      <c r="IJ352" s="16">
        <v>35751</v>
      </c>
      <c r="IK352" s="16">
        <v>37454</v>
      </c>
      <c r="IL352" s="16">
        <v>22017</v>
      </c>
      <c r="IM352" s="16">
        <v>2836</v>
      </c>
      <c r="IN352" s="16">
        <v>93945</v>
      </c>
      <c r="IO352" s="16">
        <v>353731</v>
      </c>
      <c r="IP352" s="16">
        <v>83712</v>
      </c>
      <c r="IQ352" s="16">
        <v>45201</v>
      </c>
      <c r="IR352" s="16">
        <v>50739</v>
      </c>
      <c r="IS352" s="16">
        <v>15340</v>
      </c>
      <c r="IT352" s="16">
        <v>30996</v>
      </c>
      <c r="IU352" s="16">
        <v>10871</v>
      </c>
      <c r="IV352" s="16">
        <v>26753</v>
      </c>
      <c r="IW352" s="16">
        <v>7088</v>
      </c>
      <c r="IX352" s="16">
        <v>2946</v>
      </c>
      <c r="IY352" s="16">
        <v>958</v>
      </c>
      <c r="IZ352" s="16">
        <v>279</v>
      </c>
      <c r="JA352" s="16">
        <v>6408</v>
      </c>
      <c r="JB352" s="16">
        <v>203</v>
      </c>
      <c r="JC352" s="16">
        <v>426</v>
      </c>
      <c r="JD352" s="16">
        <v>818</v>
      </c>
      <c r="JE352" s="16">
        <v>2379</v>
      </c>
      <c r="JF352" s="16">
        <v>565</v>
      </c>
      <c r="JG352" s="16">
        <v>1010731</v>
      </c>
      <c r="JH352" s="16">
        <v>2321</v>
      </c>
      <c r="JI352" s="16">
        <v>62743</v>
      </c>
      <c r="JJ352" s="16">
        <v>53478</v>
      </c>
      <c r="JK352" s="16">
        <v>18288</v>
      </c>
      <c r="JL352" s="16">
        <v>11155</v>
      </c>
      <c r="JM352" s="16">
        <v>16840</v>
      </c>
      <c r="JN352" s="16">
        <v>180526</v>
      </c>
      <c r="JO352" s="16">
        <v>20130</v>
      </c>
      <c r="JP352" s="16">
        <v>13873</v>
      </c>
      <c r="JQ352" s="16">
        <v>4098</v>
      </c>
      <c r="JR352" s="16">
        <v>46106</v>
      </c>
      <c r="JS352" s="16">
        <v>6944</v>
      </c>
      <c r="JT352" s="16">
        <v>2</v>
      </c>
      <c r="JU352" s="16">
        <v>67348</v>
      </c>
      <c r="JV352" s="16">
        <v>717772</v>
      </c>
      <c r="JW352" s="16">
        <v>1186077</v>
      </c>
      <c r="JX352" s="16">
        <v>1106382</v>
      </c>
      <c r="JY352" s="16">
        <v>269480</v>
      </c>
      <c r="JZ352" s="16">
        <v>213473</v>
      </c>
      <c r="KA352" s="16">
        <v>43044</v>
      </c>
      <c r="KB352" s="16">
        <v>15854</v>
      </c>
      <c r="KC352" s="16">
        <v>30575</v>
      </c>
      <c r="KD352" s="16">
        <v>35505</v>
      </c>
      <c r="KE352" s="16">
        <v>16746</v>
      </c>
      <c r="KF352" s="16">
        <v>62406</v>
      </c>
      <c r="KG352" s="16">
        <v>18431</v>
      </c>
      <c r="KH352" s="16">
        <v>55118</v>
      </c>
      <c r="KI352" s="16">
        <v>134362</v>
      </c>
      <c r="KJ352" s="16">
        <v>69473</v>
      </c>
      <c r="KK352" s="16">
        <v>1684672</v>
      </c>
      <c r="KL352" s="16">
        <v>22393</v>
      </c>
      <c r="KM352" s="16">
        <v>54760</v>
      </c>
      <c r="KN352" s="16">
        <v>99078</v>
      </c>
      <c r="KO352" s="16">
        <v>157663</v>
      </c>
      <c r="KP352" s="16">
        <v>1476674</v>
      </c>
      <c r="KQ352" s="16">
        <v>2568090</v>
      </c>
      <c r="KR352" s="16">
        <v>17731</v>
      </c>
      <c r="KS352" s="16">
        <v>26720</v>
      </c>
      <c r="KT352" s="16">
        <v>16962</v>
      </c>
      <c r="KU352" s="16">
        <v>43386</v>
      </c>
      <c r="KV352" s="16">
        <v>132137</v>
      </c>
      <c r="KW352" s="16">
        <v>676996</v>
      </c>
      <c r="KX352" s="16">
        <v>1025</v>
      </c>
      <c r="KY352" s="16">
        <v>62122</v>
      </c>
      <c r="KZ352" s="16">
        <v>29894</v>
      </c>
      <c r="LA352" s="16">
        <v>67</v>
      </c>
      <c r="LB352" s="16">
        <v>32</v>
      </c>
      <c r="LC352" s="16">
        <v>51</v>
      </c>
      <c r="LD352" s="16">
        <v>4355</v>
      </c>
      <c r="LE352" s="16">
        <v>132870</v>
      </c>
      <c r="LF352" s="16">
        <v>250215</v>
      </c>
      <c r="LG352" s="16">
        <v>32018</v>
      </c>
      <c r="LH352" s="16">
        <v>52389</v>
      </c>
      <c r="LI352" s="16">
        <v>14985</v>
      </c>
      <c r="LJ352" s="16">
        <v>46755</v>
      </c>
      <c r="LK352" s="16">
        <v>289941</v>
      </c>
      <c r="LL352" s="16">
        <v>145478</v>
      </c>
      <c r="LM352" s="16">
        <v>309247</v>
      </c>
      <c r="LN352" s="16">
        <v>188888</v>
      </c>
      <c r="LO352" s="16">
        <v>62996</v>
      </c>
      <c r="LP352" s="16">
        <v>94450</v>
      </c>
      <c r="LQ352" s="16">
        <v>2997</v>
      </c>
      <c r="LR352" s="16">
        <v>188230</v>
      </c>
      <c r="LS352" s="16">
        <v>37931</v>
      </c>
      <c r="LT352" s="16">
        <v>131914</v>
      </c>
      <c r="LU352" s="16">
        <v>107885</v>
      </c>
      <c r="LV352" s="16">
        <v>440</v>
      </c>
      <c r="LW352" s="16">
        <v>206190</v>
      </c>
      <c r="LX352" s="16">
        <v>115162</v>
      </c>
      <c r="LY352" s="16">
        <v>1480216</v>
      </c>
      <c r="LZ352" s="16">
        <v>274171</v>
      </c>
      <c r="MA352" s="16">
        <v>15108</v>
      </c>
      <c r="MB352" s="16">
        <v>51114</v>
      </c>
      <c r="MC352" s="16">
        <v>350757</v>
      </c>
      <c r="MD352" s="16">
        <v>1391512</v>
      </c>
      <c r="ME352" s="16">
        <v>37949</v>
      </c>
      <c r="MF352" s="16">
        <v>609719</v>
      </c>
      <c r="MG352" s="16">
        <v>92390</v>
      </c>
      <c r="MH352" s="16">
        <v>2129678</v>
      </c>
      <c r="MI352" s="16">
        <v>749943</v>
      </c>
      <c r="MJ352" s="16">
        <v>403194</v>
      </c>
      <c r="MK352" s="16">
        <v>150987</v>
      </c>
      <c r="ML352" s="16">
        <v>176523</v>
      </c>
      <c r="MM352" s="16">
        <v>19099</v>
      </c>
      <c r="MN352" s="16">
        <v>8354786</v>
      </c>
      <c r="MO352" s="16">
        <v>70062</v>
      </c>
      <c r="MP352" s="16">
        <v>63036</v>
      </c>
      <c r="MQ352" s="16">
        <v>38127</v>
      </c>
      <c r="MR352" s="16">
        <v>1274211</v>
      </c>
      <c r="MS352" s="16">
        <v>300427</v>
      </c>
      <c r="MT352" s="16">
        <v>28754</v>
      </c>
      <c r="MU352" s="16">
        <v>225761</v>
      </c>
      <c r="MV352" s="16">
        <v>92669</v>
      </c>
      <c r="MW352" s="16">
        <v>159841</v>
      </c>
      <c r="MX352" s="16">
        <v>29559</v>
      </c>
      <c r="MY352" s="16">
        <v>525263</v>
      </c>
      <c r="MZ352" s="16">
        <v>424967</v>
      </c>
      <c r="NA352" s="16">
        <v>77259</v>
      </c>
      <c r="NB352" s="16">
        <v>42602</v>
      </c>
      <c r="NC352" s="16">
        <v>41377</v>
      </c>
      <c r="ND352" s="16">
        <v>3310</v>
      </c>
      <c r="NE352" s="16">
        <v>5732</v>
      </c>
      <c r="NF352" s="16">
        <v>7355</v>
      </c>
      <c r="NG352" s="16">
        <v>219347</v>
      </c>
      <c r="NH352" s="16">
        <v>134149</v>
      </c>
      <c r="NI352" s="16">
        <v>128</v>
      </c>
      <c r="NJ352" s="16">
        <v>26161</v>
      </c>
      <c r="NK352" s="16">
        <v>11580</v>
      </c>
      <c r="NL352" s="16">
        <v>5284</v>
      </c>
      <c r="NM352" s="16">
        <v>7076</v>
      </c>
      <c r="NN352" s="16">
        <v>8280</v>
      </c>
      <c r="NO352" s="16">
        <v>0</v>
      </c>
      <c r="NP352" s="16">
        <v>7681</v>
      </c>
      <c r="NQ352" s="16">
        <v>163</v>
      </c>
      <c r="NR352" s="17">
        <v>41004366</v>
      </c>
    </row>
    <row r="353" spans="1:382" ht="13.5" customHeight="1" x14ac:dyDescent="0.2">
      <c r="A353" s="2" t="s">
        <v>713</v>
      </c>
      <c r="B353" s="16">
        <v>0</v>
      </c>
      <c r="C353" s="16">
        <v>0</v>
      </c>
      <c r="D353" s="16">
        <v>0</v>
      </c>
      <c r="E353" s="16">
        <v>0</v>
      </c>
      <c r="F353" s="16">
        <v>0</v>
      </c>
      <c r="G353" s="16">
        <v>0</v>
      </c>
      <c r="H353" s="16">
        <v>156</v>
      </c>
      <c r="I353" s="16">
        <v>0</v>
      </c>
      <c r="J353" s="16">
        <v>0</v>
      </c>
      <c r="K353" s="16">
        <v>0</v>
      </c>
      <c r="L353" s="16">
        <v>380</v>
      </c>
      <c r="M353" s="16">
        <v>0</v>
      </c>
      <c r="N353" s="16">
        <v>0</v>
      </c>
      <c r="O353" s="16">
        <v>16</v>
      </c>
      <c r="P353" s="16">
        <v>868</v>
      </c>
      <c r="Q353" s="16">
        <v>1379</v>
      </c>
      <c r="R353" s="16">
        <v>1736</v>
      </c>
      <c r="S353" s="16">
        <v>0</v>
      </c>
      <c r="T353" s="16">
        <v>97</v>
      </c>
      <c r="U353" s="16">
        <v>0</v>
      </c>
      <c r="V353" s="16">
        <v>0</v>
      </c>
      <c r="W353" s="16">
        <v>0</v>
      </c>
      <c r="X353" s="16">
        <v>9042</v>
      </c>
      <c r="Y353" s="16">
        <v>5108</v>
      </c>
      <c r="Z353" s="16">
        <v>12930</v>
      </c>
      <c r="AA353" s="16">
        <v>114</v>
      </c>
      <c r="AB353" s="16">
        <v>0</v>
      </c>
      <c r="AC353" s="16">
        <v>0</v>
      </c>
      <c r="AD353" s="16">
        <v>0</v>
      </c>
      <c r="AE353" s="16">
        <v>36</v>
      </c>
      <c r="AF353" s="16">
        <v>0</v>
      </c>
      <c r="AG353" s="16">
        <v>3487</v>
      </c>
      <c r="AH353" s="16">
        <v>964</v>
      </c>
      <c r="AI353" s="16">
        <v>621</v>
      </c>
      <c r="AJ353" s="16">
        <v>30718</v>
      </c>
      <c r="AK353" s="16">
        <v>15358</v>
      </c>
      <c r="AL353" s="16">
        <v>384</v>
      </c>
      <c r="AM353" s="16">
        <v>3777</v>
      </c>
      <c r="AN353" s="16">
        <v>149</v>
      </c>
      <c r="AO353" s="16">
        <v>1537</v>
      </c>
      <c r="AP353" s="16">
        <v>247</v>
      </c>
      <c r="AQ353" s="16">
        <v>0</v>
      </c>
      <c r="AR353" s="16">
        <v>0</v>
      </c>
      <c r="AS353" s="16">
        <v>28</v>
      </c>
      <c r="AT353" s="16">
        <v>1013</v>
      </c>
      <c r="AU353" s="16">
        <v>3876</v>
      </c>
      <c r="AV353" s="16">
        <v>6792</v>
      </c>
      <c r="AW353" s="16">
        <v>11251</v>
      </c>
      <c r="AX353" s="16">
        <v>4286</v>
      </c>
      <c r="AY353" s="16">
        <v>6907</v>
      </c>
      <c r="AZ353" s="16">
        <v>10264</v>
      </c>
      <c r="BA353" s="16">
        <v>842</v>
      </c>
      <c r="BB353" s="16">
        <v>3419</v>
      </c>
      <c r="BC353" s="16">
        <v>12856</v>
      </c>
      <c r="BD353" s="16">
        <v>1</v>
      </c>
      <c r="BE353" s="16">
        <v>66</v>
      </c>
      <c r="BF353" s="16">
        <v>1298</v>
      </c>
      <c r="BG353" s="16">
        <v>0</v>
      </c>
      <c r="BH353" s="16">
        <v>196</v>
      </c>
      <c r="BI353" s="16">
        <v>1523</v>
      </c>
      <c r="BJ353" s="16">
        <v>61</v>
      </c>
      <c r="BK353" s="16">
        <v>218</v>
      </c>
      <c r="BL353" s="16">
        <v>1022</v>
      </c>
      <c r="BM353" s="16">
        <v>37</v>
      </c>
      <c r="BN353" s="16">
        <v>4343</v>
      </c>
      <c r="BO353" s="16">
        <v>6307</v>
      </c>
      <c r="BP353" s="16">
        <v>312</v>
      </c>
      <c r="BQ353" s="16">
        <v>71</v>
      </c>
      <c r="BR353" s="16">
        <v>27</v>
      </c>
      <c r="BS353" s="16">
        <v>971</v>
      </c>
      <c r="BT353" s="16">
        <v>51</v>
      </c>
      <c r="BU353" s="16">
        <v>0</v>
      </c>
      <c r="BV353" s="16">
        <v>133</v>
      </c>
      <c r="BW353" s="16">
        <v>151</v>
      </c>
      <c r="BX353" s="16">
        <v>310</v>
      </c>
      <c r="BY353" s="16">
        <v>0</v>
      </c>
      <c r="BZ353" s="16">
        <v>1</v>
      </c>
      <c r="CA353" s="16">
        <v>15</v>
      </c>
      <c r="CB353" s="16">
        <v>0</v>
      </c>
      <c r="CC353" s="16">
        <v>869</v>
      </c>
      <c r="CD353" s="16">
        <v>98</v>
      </c>
      <c r="CE353" s="16">
        <v>1253</v>
      </c>
      <c r="CF353" s="16">
        <v>2792</v>
      </c>
      <c r="CG353" s="16">
        <v>1900</v>
      </c>
      <c r="CH353" s="16">
        <v>5318</v>
      </c>
      <c r="CI353" s="16">
        <v>169</v>
      </c>
      <c r="CJ353" s="16">
        <v>8893</v>
      </c>
      <c r="CK353" s="16">
        <v>17651</v>
      </c>
      <c r="CL353" s="16">
        <v>2098</v>
      </c>
      <c r="CM353" s="16">
        <v>5410</v>
      </c>
      <c r="CN353" s="16">
        <v>1462</v>
      </c>
      <c r="CO353" s="16">
        <v>5279</v>
      </c>
      <c r="CP353" s="16">
        <v>6793</v>
      </c>
      <c r="CQ353" s="16">
        <v>22216</v>
      </c>
      <c r="CR353" s="16">
        <v>5476</v>
      </c>
      <c r="CS353" s="16">
        <v>30531</v>
      </c>
      <c r="CT353" s="16">
        <v>17521</v>
      </c>
      <c r="CU353" s="16">
        <v>31551</v>
      </c>
      <c r="CV353" s="16">
        <v>14103</v>
      </c>
      <c r="CW353" s="16">
        <v>48013</v>
      </c>
      <c r="CX353" s="16">
        <v>25444</v>
      </c>
      <c r="CY353" s="16">
        <v>5802</v>
      </c>
      <c r="CZ353" s="16">
        <v>14387</v>
      </c>
      <c r="DA353" s="16">
        <v>4644</v>
      </c>
      <c r="DB353" s="16">
        <v>12618</v>
      </c>
      <c r="DC353" s="16">
        <v>7782</v>
      </c>
      <c r="DD353" s="16">
        <v>12402</v>
      </c>
      <c r="DE353" s="16">
        <v>14752</v>
      </c>
      <c r="DF353" s="16">
        <v>14226</v>
      </c>
      <c r="DG353" s="16">
        <v>7192</v>
      </c>
      <c r="DH353" s="16">
        <v>19175</v>
      </c>
      <c r="DI353" s="16">
        <v>3532</v>
      </c>
      <c r="DJ353" s="16">
        <v>41574</v>
      </c>
      <c r="DK353" s="16">
        <v>4865</v>
      </c>
      <c r="DL353" s="16">
        <v>998</v>
      </c>
      <c r="DM353" s="16">
        <v>53515</v>
      </c>
      <c r="DN353" s="16">
        <v>2524</v>
      </c>
      <c r="DO353" s="16">
        <v>2583</v>
      </c>
      <c r="DP353" s="16">
        <v>5167</v>
      </c>
      <c r="DQ353" s="16">
        <v>496</v>
      </c>
      <c r="DR353" s="16">
        <v>10090</v>
      </c>
      <c r="DS353" s="16">
        <v>20210</v>
      </c>
      <c r="DT353" s="16">
        <v>299</v>
      </c>
      <c r="DU353" s="16">
        <v>579</v>
      </c>
      <c r="DV353" s="16">
        <v>25514</v>
      </c>
      <c r="DW353" s="16">
        <v>117229</v>
      </c>
      <c r="DX353" s="16">
        <v>13299</v>
      </c>
      <c r="DY353" s="16">
        <v>14921</v>
      </c>
      <c r="DZ353" s="16">
        <v>76150</v>
      </c>
      <c r="EA353" s="16">
        <v>30890</v>
      </c>
      <c r="EB353" s="16">
        <v>160</v>
      </c>
      <c r="EC353" s="16">
        <v>6116</v>
      </c>
      <c r="ED353" s="16">
        <v>597</v>
      </c>
      <c r="EE353" s="16">
        <v>539</v>
      </c>
      <c r="EF353" s="16">
        <v>1114</v>
      </c>
      <c r="EG353" s="16">
        <v>9197</v>
      </c>
      <c r="EH353" s="16">
        <v>839</v>
      </c>
      <c r="EI353" s="16">
        <v>279</v>
      </c>
      <c r="EJ353" s="16">
        <v>2536</v>
      </c>
      <c r="EK353" s="16">
        <v>3049</v>
      </c>
      <c r="EL353" s="16">
        <v>183</v>
      </c>
      <c r="EM353" s="16">
        <v>2227</v>
      </c>
      <c r="EN353" s="16">
        <v>24671</v>
      </c>
      <c r="EO353" s="16">
        <v>13799</v>
      </c>
      <c r="EP353" s="16">
        <v>1369</v>
      </c>
      <c r="EQ353" s="16">
        <v>5515</v>
      </c>
      <c r="ER353" s="16">
        <v>963</v>
      </c>
      <c r="ES353" s="16">
        <v>761</v>
      </c>
      <c r="ET353" s="16">
        <v>5728</v>
      </c>
      <c r="EU353" s="16">
        <v>722</v>
      </c>
      <c r="EV353" s="16">
        <v>7851</v>
      </c>
      <c r="EW353" s="16">
        <v>10560</v>
      </c>
      <c r="EX353" s="16">
        <v>98337</v>
      </c>
      <c r="EY353" s="16">
        <v>25664</v>
      </c>
      <c r="EZ353" s="16">
        <v>13273</v>
      </c>
      <c r="FA353" s="16">
        <v>27263</v>
      </c>
      <c r="FB353" s="16">
        <v>63983</v>
      </c>
      <c r="FC353" s="16">
        <v>11439</v>
      </c>
      <c r="FD353" s="16">
        <v>102356</v>
      </c>
      <c r="FE353" s="16">
        <v>50532</v>
      </c>
      <c r="FF353" s="16">
        <v>47813</v>
      </c>
      <c r="FG353" s="16">
        <v>51838</v>
      </c>
      <c r="FH353" s="16">
        <v>4455</v>
      </c>
      <c r="FI353" s="16">
        <v>25491</v>
      </c>
      <c r="FJ353" s="16">
        <v>9136</v>
      </c>
      <c r="FK353" s="16">
        <v>22083</v>
      </c>
      <c r="FL353" s="16">
        <v>1887</v>
      </c>
      <c r="FM353" s="16">
        <v>25370</v>
      </c>
      <c r="FN353" s="16">
        <v>21129</v>
      </c>
      <c r="FO353" s="16">
        <v>6783</v>
      </c>
      <c r="FP353" s="16">
        <v>16175</v>
      </c>
      <c r="FQ353" s="16">
        <v>1337</v>
      </c>
      <c r="FR353" s="16">
        <v>3672</v>
      </c>
      <c r="FS353" s="16">
        <v>403</v>
      </c>
      <c r="FT353" s="16">
        <v>5284</v>
      </c>
      <c r="FU353" s="16">
        <v>9640</v>
      </c>
      <c r="FV353" s="16">
        <v>48552</v>
      </c>
      <c r="FW353" s="16">
        <v>90318</v>
      </c>
      <c r="FX353" s="16">
        <v>53417</v>
      </c>
      <c r="FY353" s="16">
        <v>3505</v>
      </c>
      <c r="FZ353" s="16">
        <v>3405</v>
      </c>
      <c r="GA353" s="16">
        <v>15964</v>
      </c>
      <c r="GB353" s="16">
        <v>19210</v>
      </c>
      <c r="GC353" s="16">
        <v>11690</v>
      </c>
      <c r="GD353" s="16">
        <v>7501</v>
      </c>
      <c r="GE353" s="16">
        <v>364</v>
      </c>
      <c r="GF353" s="16">
        <v>69302</v>
      </c>
      <c r="GG353" s="16">
        <v>7002</v>
      </c>
      <c r="GH353" s="16">
        <v>85976</v>
      </c>
      <c r="GI353" s="16">
        <v>36291</v>
      </c>
      <c r="GJ353" s="16">
        <v>5151</v>
      </c>
      <c r="GK353" s="16">
        <v>4647</v>
      </c>
      <c r="GL353" s="16">
        <v>1345</v>
      </c>
      <c r="GM353" s="16">
        <v>4325</v>
      </c>
      <c r="GN353" s="16">
        <v>598</v>
      </c>
      <c r="GO353" s="16">
        <v>5822</v>
      </c>
      <c r="GP353" s="16">
        <v>9154</v>
      </c>
      <c r="GQ353" s="16">
        <v>1463</v>
      </c>
      <c r="GR353" s="16">
        <v>9547</v>
      </c>
      <c r="GS353" s="16">
        <v>1566</v>
      </c>
      <c r="GT353" s="16">
        <v>3044</v>
      </c>
      <c r="GU353" s="16">
        <v>16094</v>
      </c>
      <c r="GV353" s="16">
        <v>13065</v>
      </c>
      <c r="GW353" s="16">
        <v>10952</v>
      </c>
      <c r="GX353" s="16">
        <v>2667</v>
      </c>
      <c r="GY353" s="16">
        <v>17</v>
      </c>
      <c r="GZ353" s="16">
        <v>33696</v>
      </c>
      <c r="HA353" s="16">
        <v>6210</v>
      </c>
      <c r="HB353" s="16">
        <v>4653</v>
      </c>
      <c r="HC353" s="16">
        <v>22573</v>
      </c>
      <c r="HD353" s="16">
        <v>29276</v>
      </c>
      <c r="HE353" s="16">
        <v>11097</v>
      </c>
      <c r="HF353" s="16">
        <v>14539</v>
      </c>
      <c r="HG353" s="16">
        <v>30288</v>
      </c>
      <c r="HH353" s="16">
        <v>1924</v>
      </c>
      <c r="HI353" s="16">
        <v>14192</v>
      </c>
      <c r="HJ353" s="16">
        <v>3960</v>
      </c>
      <c r="HK353" s="16">
        <v>13182</v>
      </c>
      <c r="HL353" s="16">
        <v>48723</v>
      </c>
      <c r="HM353" s="16">
        <v>15648</v>
      </c>
      <c r="HN353" s="16">
        <v>38807</v>
      </c>
      <c r="HO353" s="16">
        <v>4293</v>
      </c>
      <c r="HP353" s="16">
        <v>2572</v>
      </c>
      <c r="HQ353" s="16">
        <v>20701</v>
      </c>
      <c r="HR353" s="16">
        <v>16725</v>
      </c>
      <c r="HS353" s="16">
        <v>10338</v>
      </c>
      <c r="HT353" s="16">
        <v>136</v>
      </c>
      <c r="HU353" s="16">
        <v>30605</v>
      </c>
      <c r="HV353" s="16">
        <v>1998</v>
      </c>
      <c r="HW353" s="16">
        <v>3213</v>
      </c>
      <c r="HX353" s="16">
        <v>11667</v>
      </c>
      <c r="HY353" s="16">
        <v>26156</v>
      </c>
      <c r="HZ353" s="16">
        <v>5085</v>
      </c>
      <c r="IA353" s="16">
        <v>2181</v>
      </c>
      <c r="IB353" s="16">
        <v>273</v>
      </c>
      <c r="IC353" s="16">
        <v>958</v>
      </c>
      <c r="ID353" s="16">
        <v>1033</v>
      </c>
      <c r="IE353" s="16">
        <v>1243</v>
      </c>
      <c r="IF353" s="16">
        <v>1273</v>
      </c>
      <c r="IG353" s="16">
        <v>27871</v>
      </c>
      <c r="IH353" s="16">
        <v>64624</v>
      </c>
      <c r="II353" s="16">
        <v>3322</v>
      </c>
      <c r="IJ353" s="16">
        <v>368</v>
      </c>
      <c r="IK353" s="16">
        <v>380</v>
      </c>
      <c r="IL353" s="16">
        <v>5</v>
      </c>
      <c r="IM353" s="16">
        <v>64</v>
      </c>
      <c r="IN353" s="16">
        <v>24157</v>
      </c>
      <c r="IO353" s="16">
        <v>51425</v>
      </c>
      <c r="IP353" s="16">
        <v>13452</v>
      </c>
      <c r="IQ353" s="16">
        <v>1607</v>
      </c>
      <c r="IR353" s="16">
        <v>2692</v>
      </c>
      <c r="IS353" s="16">
        <v>12321</v>
      </c>
      <c r="IT353" s="16">
        <v>1131</v>
      </c>
      <c r="IU353" s="16">
        <v>197</v>
      </c>
      <c r="IV353" s="16">
        <v>2777</v>
      </c>
      <c r="IW353" s="16">
        <v>7534</v>
      </c>
      <c r="IX353" s="16">
        <v>9015</v>
      </c>
      <c r="IY353" s="16">
        <v>3703</v>
      </c>
      <c r="IZ353" s="16">
        <v>76</v>
      </c>
      <c r="JA353" s="16">
        <v>670</v>
      </c>
      <c r="JB353" s="16">
        <v>1054</v>
      </c>
      <c r="JC353" s="16">
        <v>3569</v>
      </c>
      <c r="JD353" s="16">
        <v>11768</v>
      </c>
      <c r="JE353" s="16">
        <v>1986</v>
      </c>
      <c r="JF353" s="16">
        <v>7371</v>
      </c>
      <c r="JG353" s="16">
        <v>630171</v>
      </c>
      <c r="JH353" s="16">
        <v>8082</v>
      </c>
      <c r="JI353" s="16">
        <v>19254</v>
      </c>
      <c r="JJ353" s="16">
        <v>83580</v>
      </c>
      <c r="JK353" s="16">
        <v>135504</v>
      </c>
      <c r="JL353" s="16">
        <v>317</v>
      </c>
      <c r="JM353" s="16">
        <v>2921</v>
      </c>
      <c r="JN353" s="16">
        <v>31440</v>
      </c>
      <c r="JO353" s="16">
        <v>1318</v>
      </c>
      <c r="JP353" s="16">
        <v>1019</v>
      </c>
      <c r="JQ353" s="16">
        <v>9855</v>
      </c>
      <c r="JR353" s="16">
        <v>33373</v>
      </c>
      <c r="JS353" s="16">
        <v>8339</v>
      </c>
      <c r="JT353" s="16">
        <v>1</v>
      </c>
      <c r="JU353" s="16">
        <v>90541</v>
      </c>
      <c r="JV353" s="16">
        <v>209917</v>
      </c>
      <c r="JW353" s="16">
        <v>51886</v>
      </c>
      <c r="JX353" s="16">
        <v>37372</v>
      </c>
      <c r="JY353" s="16">
        <v>58328</v>
      </c>
      <c r="JZ353" s="16">
        <v>1759</v>
      </c>
      <c r="KA353" s="16">
        <v>1222</v>
      </c>
      <c r="KB353" s="16">
        <v>2088</v>
      </c>
      <c r="KC353" s="16">
        <v>1597</v>
      </c>
      <c r="KD353" s="16">
        <v>94</v>
      </c>
      <c r="KE353" s="16">
        <v>3592</v>
      </c>
      <c r="KF353" s="16">
        <v>3902</v>
      </c>
      <c r="KG353" s="16">
        <v>2303</v>
      </c>
      <c r="KH353" s="16">
        <v>2141</v>
      </c>
      <c r="KI353" s="16">
        <v>14162</v>
      </c>
      <c r="KJ353" s="16">
        <v>1151</v>
      </c>
      <c r="KK353" s="16">
        <v>2159419</v>
      </c>
      <c r="KL353" s="16">
        <v>31117</v>
      </c>
      <c r="KM353" s="16">
        <v>29514</v>
      </c>
      <c r="KN353" s="16">
        <v>61783</v>
      </c>
      <c r="KO353" s="16">
        <v>11249</v>
      </c>
      <c r="KP353" s="16">
        <v>3140</v>
      </c>
      <c r="KQ353" s="16">
        <v>6522</v>
      </c>
      <c r="KR353" s="16">
        <v>93259</v>
      </c>
      <c r="KS353" s="16">
        <v>25466</v>
      </c>
      <c r="KT353" s="16">
        <v>37590</v>
      </c>
      <c r="KU353" s="16">
        <v>142768</v>
      </c>
      <c r="KV353" s="16">
        <v>867936</v>
      </c>
      <c r="KW353" s="16">
        <v>472006</v>
      </c>
      <c r="KX353" s="16">
        <v>6330</v>
      </c>
      <c r="KY353" s="16">
        <v>68522</v>
      </c>
      <c r="KZ353" s="16">
        <v>390744</v>
      </c>
      <c r="LA353" s="16">
        <v>76990</v>
      </c>
      <c r="LB353" s="16">
        <v>30004</v>
      </c>
      <c r="LC353" s="16">
        <v>42328</v>
      </c>
      <c r="LD353" s="16">
        <v>75609</v>
      </c>
      <c r="LE353" s="16">
        <v>32305</v>
      </c>
      <c r="LF353" s="16">
        <v>71881</v>
      </c>
      <c r="LG353" s="16">
        <v>45635</v>
      </c>
      <c r="LH353" s="16">
        <v>71775</v>
      </c>
      <c r="LI353" s="16">
        <v>2335</v>
      </c>
      <c r="LJ353" s="16">
        <v>16458</v>
      </c>
      <c r="LK353" s="16">
        <v>104694</v>
      </c>
      <c r="LL353" s="16">
        <v>46505</v>
      </c>
      <c r="LM353" s="16">
        <v>154948</v>
      </c>
      <c r="LN353" s="16">
        <v>97970</v>
      </c>
      <c r="LO353" s="16">
        <v>59029</v>
      </c>
      <c r="LP353" s="16">
        <v>62714</v>
      </c>
      <c r="LQ353" s="16">
        <v>79707</v>
      </c>
      <c r="LR353" s="16">
        <v>301812</v>
      </c>
      <c r="LS353" s="16">
        <v>25304</v>
      </c>
      <c r="LT353" s="16">
        <v>715078</v>
      </c>
      <c r="LU353" s="16">
        <v>405218</v>
      </c>
      <c r="LV353" s="16">
        <v>3023</v>
      </c>
      <c r="LW353" s="16">
        <v>755061</v>
      </c>
      <c r="LX353" s="16">
        <v>365531</v>
      </c>
      <c r="LY353" s="16">
        <v>1076324</v>
      </c>
      <c r="LZ353" s="16">
        <v>1336935</v>
      </c>
      <c r="MA353" s="16">
        <v>255831</v>
      </c>
      <c r="MB353" s="16">
        <v>2964113</v>
      </c>
      <c r="MC353" s="16">
        <v>97509</v>
      </c>
      <c r="MD353" s="16">
        <v>68303</v>
      </c>
      <c r="ME353" s="16">
        <v>24906</v>
      </c>
      <c r="MF353" s="16">
        <v>176806</v>
      </c>
      <c r="MG353" s="16">
        <v>31990</v>
      </c>
      <c r="MH353" s="16">
        <v>1756965</v>
      </c>
      <c r="MI353" s="16">
        <v>4324</v>
      </c>
      <c r="MJ353" s="16">
        <v>39842</v>
      </c>
      <c r="MK353" s="16">
        <v>31782</v>
      </c>
      <c r="ML353" s="16">
        <v>50628</v>
      </c>
      <c r="MM353" s="16">
        <v>74387</v>
      </c>
      <c r="MN353" s="16">
        <v>322649</v>
      </c>
      <c r="MO353" s="16">
        <v>235048</v>
      </c>
      <c r="MP353" s="16">
        <v>77544</v>
      </c>
      <c r="MQ353" s="16">
        <v>312611</v>
      </c>
      <c r="MR353" s="16">
        <v>1950866</v>
      </c>
      <c r="MS353" s="16">
        <v>330395</v>
      </c>
      <c r="MT353" s="16">
        <v>66160</v>
      </c>
      <c r="MU353" s="16">
        <v>1238075</v>
      </c>
      <c r="MV353" s="16">
        <v>184723</v>
      </c>
      <c r="MW353" s="16">
        <v>207483</v>
      </c>
      <c r="MX353" s="16">
        <v>26889</v>
      </c>
      <c r="MY353" s="16">
        <v>139151</v>
      </c>
      <c r="MZ353" s="16">
        <v>307330</v>
      </c>
      <c r="NA353" s="16">
        <v>135081</v>
      </c>
      <c r="NB353" s="16">
        <v>85835</v>
      </c>
      <c r="NC353" s="16">
        <v>263486</v>
      </c>
      <c r="ND353" s="16">
        <v>123314</v>
      </c>
      <c r="NE353" s="16">
        <v>32805</v>
      </c>
      <c r="NF353" s="16">
        <v>49666</v>
      </c>
      <c r="NG353" s="16">
        <v>224983</v>
      </c>
      <c r="NH353" s="16">
        <v>145496</v>
      </c>
      <c r="NI353" s="16">
        <v>93303</v>
      </c>
      <c r="NJ353" s="16">
        <v>120973</v>
      </c>
      <c r="NK353" s="16">
        <v>18319</v>
      </c>
      <c r="NL353" s="16">
        <v>7423</v>
      </c>
      <c r="NM353" s="16">
        <v>33206</v>
      </c>
      <c r="NN353" s="16">
        <v>7108</v>
      </c>
      <c r="NO353" s="16">
        <v>0</v>
      </c>
      <c r="NP353" s="16">
        <v>7896</v>
      </c>
      <c r="NQ353" s="16">
        <v>3244</v>
      </c>
      <c r="NR353" s="17">
        <v>27166651</v>
      </c>
    </row>
    <row r="354" spans="1:382" ht="13.5" customHeight="1" x14ac:dyDescent="0.2">
      <c r="A354" s="2" t="s">
        <v>715</v>
      </c>
      <c r="B354" s="16">
        <v>1160</v>
      </c>
      <c r="C354" s="16">
        <v>30</v>
      </c>
      <c r="D354" s="16">
        <v>339</v>
      </c>
      <c r="E354" s="16">
        <v>737</v>
      </c>
      <c r="F354" s="16">
        <v>5807</v>
      </c>
      <c r="G354" s="16">
        <v>2765</v>
      </c>
      <c r="H354" s="16">
        <v>326</v>
      </c>
      <c r="I354" s="16">
        <v>596</v>
      </c>
      <c r="J354" s="16">
        <v>42</v>
      </c>
      <c r="K354" s="16">
        <v>0</v>
      </c>
      <c r="L354" s="16">
        <v>299</v>
      </c>
      <c r="M354" s="16">
        <v>428</v>
      </c>
      <c r="N354" s="16">
        <v>3</v>
      </c>
      <c r="O354" s="16">
        <v>74</v>
      </c>
      <c r="P354" s="16">
        <v>652</v>
      </c>
      <c r="Q354" s="16">
        <v>940</v>
      </c>
      <c r="R354" s="16">
        <v>894</v>
      </c>
      <c r="S354" s="16">
        <v>271</v>
      </c>
      <c r="T354" s="16">
        <v>236</v>
      </c>
      <c r="U354" s="16">
        <v>238</v>
      </c>
      <c r="V354" s="16">
        <v>241</v>
      </c>
      <c r="W354" s="16">
        <v>39</v>
      </c>
      <c r="X354" s="16">
        <v>12289</v>
      </c>
      <c r="Y354" s="16">
        <v>12623</v>
      </c>
      <c r="Z354" s="16">
        <v>2829</v>
      </c>
      <c r="AA354" s="16">
        <v>197</v>
      </c>
      <c r="AB354" s="16">
        <v>0</v>
      </c>
      <c r="AC354" s="16">
        <v>0</v>
      </c>
      <c r="AD354" s="16">
        <v>0</v>
      </c>
      <c r="AE354" s="16">
        <v>8</v>
      </c>
      <c r="AF354" s="16">
        <v>11</v>
      </c>
      <c r="AG354" s="16">
        <v>2693</v>
      </c>
      <c r="AH354" s="16">
        <v>268</v>
      </c>
      <c r="AI354" s="16">
        <v>82</v>
      </c>
      <c r="AJ354" s="16">
        <v>74141</v>
      </c>
      <c r="AK354" s="16">
        <v>18300</v>
      </c>
      <c r="AL354" s="16">
        <v>10215</v>
      </c>
      <c r="AM354" s="16">
        <v>24408</v>
      </c>
      <c r="AN354" s="16">
        <v>9068</v>
      </c>
      <c r="AO354" s="16">
        <v>9462</v>
      </c>
      <c r="AP354" s="16">
        <v>4429</v>
      </c>
      <c r="AQ354" s="16">
        <v>2279</v>
      </c>
      <c r="AR354" s="16">
        <v>0</v>
      </c>
      <c r="AS354" s="16">
        <v>1795</v>
      </c>
      <c r="AT354" s="16">
        <v>4379</v>
      </c>
      <c r="AU354" s="16">
        <v>18714</v>
      </c>
      <c r="AV354" s="16">
        <v>5032</v>
      </c>
      <c r="AW354" s="16">
        <v>6889</v>
      </c>
      <c r="AX354" s="16">
        <v>4110</v>
      </c>
      <c r="AY354" s="16">
        <v>11700</v>
      </c>
      <c r="AZ354" s="16">
        <v>16353</v>
      </c>
      <c r="BA354" s="16">
        <v>20133</v>
      </c>
      <c r="BB354" s="16">
        <v>25931</v>
      </c>
      <c r="BC354" s="16">
        <v>36667</v>
      </c>
      <c r="BD354" s="16">
        <v>2214</v>
      </c>
      <c r="BE354" s="16">
        <v>4868</v>
      </c>
      <c r="BF354" s="16">
        <v>7137</v>
      </c>
      <c r="BG354" s="16">
        <v>5095</v>
      </c>
      <c r="BH354" s="16">
        <v>9028</v>
      </c>
      <c r="BI354" s="16">
        <v>15019</v>
      </c>
      <c r="BJ354" s="16">
        <v>2714</v>
      </c>
      <c r="BK354" s="16">
        <v>1819</v>
      </c>
      <c r="BL354" s="16">
        <v>7322</v>
      </c>
      <c r="BM354" s="16">
        <v>1557</v>
      </c>
      <c r="BN354" s="16">
        <v>11792</v>
      </c>
      <c r="BO354" s="16">
        <v>4121</v>
      </c>
      <c r="BP354" s="16">
        <v>7644</v>
      </c>
      <c r="BQ354" s="16">
        <v>2114</v>
      </c>
      <c r="BR354" s="16">
        <v>2982</v>
      </c>
      <c r="BS354" s="16">
        <v>40719</v>
      </c>
      <c r="BT354" s="16">
        <v>577</v>
      </c>
      <c r="BU354" s="16">
        <v>198</v>
      </c>
      <c r="BV354" s="16">
        <v>155</v>
      </c>
      <c r="BW354" s="16">
        <v>3346</v>
      </c>
      <c r="BX354" s="16">
        <v>1514</v>
      </c>
      <c r="BY354" s="16">
        <v>17</v>
      </c>
      <c r="BZ354" s="16">
        <v>2374</v>
      </c>
      <c r="CA354" s="16">
        <v>2628</v>
      </c>
      <c r="CB354" s="16">
        <v>316</v>
      </c>
      <c r="CC354" s="16">
        <v>6132</v>
      </c>
      <c r="CD354" s="16">
        <v>3363</v>
      </c>
      <c r="CE354" s="16">
        <v>2291</v>
      </c>
      <c r="CF354" s="16">
        <v>11846</v>
      </c>
      <c r="CG354" s="16">
        <v>11259</v>
      </c>
      <c r="CH354" s="16">
        <v>5222</v>
      </c>
      <c r="CI354" s="16">
        <v>1376</v>
      </c>
      <c r="CJ354" s="16">
        <v>18892</v>
      </c>
      <c r="CK354" s="16">
        <v>27913</v>
      </c>
      <c r="CL354" s="16">
        <v>10691</v>
      </c>
      <c r="CM354" s="16">
        <v>6776</v>
      </c>
      <c r="CN354" s="16">
        <v>2454</v>
      </c>
      <c r="CO354" s="16">
        <v>3807</v>
      </c>
      <c r="CP354" s="16">
        <v>11752</v>
      </c>
      <c r="CQ354" s="16">
        <v>54900</v>
      </c>
      <c r="CR354" s="16">
        <v>758</v>
      </c>
      <c r="CS354" s="16">
        <v>20081</v>
      </c>
      <c r="CT354" s="16">
        <v>24085</v>
      </c>
      <c r="CU354" s="16">
        <v>29366</v>
      </c>
      <c r="CV354" s="16">
        <v>8424</v>
      </c>
      <c r="CW354" s="16">
        <v>53355</v>
      </c>
      <c r="CX354" s="16">
        <v>13937</v>
      </c>
      <c r="CY354" s="16">
        <v>3367</v>
      </c>
      <c r="CZ354" s="16">
        <v>9267</v>
      </c>
      <c r="DA354" s="16">
        <v>3081</v>
      </c>
      <c r="DB354" s="16">
        <v>8644</v>
      </c>
      <c r="DC354" s="16">
        <v>8579</v>
      </c>
      <c r="DD354" s="16">
        <v>13695</v>
      </c>
      <c r="DE354" s="16">
        <v>16512</v>
      </c>
      <c r="DF354" s="16">
        <v>24306</v>
      </c>
      <c r="DG354" s="16">
        <v>11047</v>
      </c>
      <c r="DH354" s="16">
        <v>22061</v>
      </c>
      <c r="DI354" s="16">
        <v>4001</v>
      </c>
      <c r="DJ354" s="16">
        <v>45528</v>
      </c>
      <c r="DK354" s="16">
        <v>4809</v>
      </c>
      <c r="DL354" s="16">
        <v>3939</v>
      </c>
      <c r="DM354" s="16">
        <v>52392</v>
      </c>
      <c r="DN354" s="16">
        <v>5152</v>
      </c>
      <c r="DO354" s="16">
        <v>3736</v>
      </c>
      <c r="DP354" s="16">
        <v>9629</v>
      </c>
      <c r="DQ354" s="16">
        <v>1537</v>
      </c>
      <c r="DR354" s="16">
        <v>11545</v>
      </c>
      <c r="DS354" s="16">
        <v>22021</v>
      </c>
      <c r="DT354" s="16">
        <v>4135</v>
      </c>
      <c r="DU354" s="16">
        <v>2477</v>
      </c>
      <c r="DV354" s="16">
        <v>26382</v>
      </c>
      <c r="DW354" s="16">
        <v>24518</v>
      </c>
      <c r="DX354" s="16">
        <v>8523</v>
      </c>
      <c r="DY354" s="16">
        <v>20448</v>
      </c>
      <c r="DZ354" s="16">
        <v>52589</v>
      </c>
      <c r="EA354" s="16">
        <v>23271</v>
      </c>
      <c r="EB354" s="16">
        <v>11933</v>
      </c>
      <c r="EC354" s="16">
        <v>16746</v>
      </c>
      <c r="ED354" s="16">
        <v>2067</v>
      </c>
      <c r="EE354" s="16">
        <v>936</v>
      </c>
      <c r="EF354" s="16">
        <v>5975</v>
      </c>
      <c r="EG354" s="16">
        <v>15831</v>
      </c>
      <c r="EH354" s="16">
        <v>4066</v>
      </c>
      <c r="EI354" s="16">
        <v>6661</v>
      </c>
      <c r="EJ354" s="16">
        <v>4019</v>
      </c>
      <c r="EK354" s="16">
        <v>6531</v>
      </c>
      <c r="EL354" s="16">
        <v>2503</v>
      </c>
      <c r="EM354" s="16">
        <v>5568</v>
      </c>
      <c r="EN354" s="16">
        <v>17851</v>
      </c>
      <c r="EO354" s="16">
        <v>10693</v>
      </c>
      <c r="EP354" s="16">
        <v>4489</v>
      </c>
      <c r="EQ354" s="16">
        <v>7874</v>
      </c>
      <c r="ER354" s="16">
        <v>3271</v>
      </c>
      <c r="ES354" s="16">
        <v>7643</v>
      </c>
      <c r="ET354" s="16">
        <v>13100</v>
      </c>
      <c r="EU354" s="16">
        <v>1542</v>
      </c>
      <c r="EV354" s="16">
        <v>5463</v>
      </c>
      <c r="EW354" s="16">
        <v>12117</v>
      </c>
      <c r="EX354" s="16">
        <v>56865</v>
      </c>
      <c r="EY354" s="16">
        <v>11908</v>
      </c>
      <c r="EZ354" s="16">
        <v>7957</v>
      </c>
      <c r="FA354" s="16">
        <v>19989</v>
      </c>
      <c r="FB354" s="16">
        <v>45524</v>
      </c>
      <c r="FC354" s="16">
        <v>9589</v>
      </c>
      <c r="FD354" s="16">
        <v>50263</v>
      </c>
      <c r="FE354" s="16">
        <v>39381</v>
      </c>
      <c r="FF354" s="16">
        <v>13173</v>
      </c>
      <c r="FG354" s="16">
        <v>45072</v>
      </c>
      <c r="FH354" s="16">
        <v>7123</v>
      </c>
      <c r="FI354" s="16">
        <v>24754</v>
      </c>
      <c r="FJ354" s="16">
        <v>7851</v>
      </c>
      <c r="FK354" s="16">
        <v>22855</v>
      </c>
      <c r="FL354" s="16">
        <v>1943</v>
      </c>
      <c r="FM354" s="16">
        <v>25988</v>
      </c>
      <c r="FN354" s="16">
        <v>31771</v>
      </c>
      <c r="FO354" s="16">
        <v>11255</v>
      </c>
      <c r="FP354" s="16">
        <v>30691</v>
      </c>
      <c r="FQ354" s="16">
        <v>54785</v>
      </c>
      <c r="FR354" s="16">
        <v>48167</v>
      </c>
      <c r="FS354" s="16">
        <v>12916</v>
      </c>
      <c r="FT354" s="16">
        <v>17591</v>
      </c>
      <c r="FU354" s="16">
        <v>18499</v>
      </c>
      <c r="FV354" s="16">
        <v>34794</v>
      </c>
      <c r="FW354" s="16">
        <v>44463</v>
      </c>
      <c r="FX354" s="16">
        <v>92410</v>
      </c>
      <c r="FY354" s="16">
        <v>8770</v>
      </c>
      <c r="FZ354" s="16">
        <v>16931</v>
      </c>
      <c r="GA354" s="16">
        <v>8588</v>
      </c>
      <c r="GB354" s="16">
        <v>41015</v>
      </c>
      <c r="GC354" s="16">
        <v>11124</v>
      </c>
      <c r="GD354" s="16">
        <v>33959</v>
      </c>
      <c r="GE354" s="16">
        <v>43117</v>
      </c>
      <c r="GF354" s="16">
        <v>65133</v>
      </c>
      <c r="GG354" s="16">
        <v>12227</v>
      </c>
      <c r="GH354" s="16">
        <v>144079</v>
      </c>
      <c r="GI354" s="16">
        <v>49690</v>
      </c>
      <c r="GJ354" s="16">
        <v>37300</v>
      </c>
      <c r="GK354" s="16">
        <v>36122</v>
      </c>
      <c r="GL354" s="16">
        <v>12244</v>
      </c>
      <c r="GM354" s="16">
        <v>65855</v>
      </c>
      <c r="GN354" s="16">
        <v>18644</v>
      </c>
      <c r="GO354" s="16">
        <v>21719</v>
      </c>
      <c r="GP354" s="16">
        <v>55786</v>
      </c>
      <c r="GQ354" s="16">
        <v>4542</v>
      </c>
      <c r="GR354" s="16">
        <v>19994</v>
      </c>
      <c r="GS354" s="16">
        <v>13047</v>
      </c>
      <c r="GT354" s="16">
        <v>19048</v>
      </c>
      <c r="GU354" s="16">
        <v>57571</v>
      </c>
      <c r="GV354" s="16">
        <v>56012</v>
      </c>
      <c r="GW354" s="16">
        <v>34505</v>
      </c>
      <c r="GX354" s="16">
        <v>13633</v>
      </c>
      <c r="GY354" s="16">
        <v>573</v>
      </c>
      <c r="GZ354" s="16">
        <v>15219</v>
      </c>
      <c r="HA354" s="16">
        <v>6091</v>
      </c>
      <c r="HB354" s="16">
        <v>7318</v>
      </c>
      <c r="HC354" s="16">
        <v>19925</v>
      </c>
      <c r="HD354" s="16">
        <v>24576</v>
      </c>
      <c r="HE354" s="16">
        <v>31703</v>
      </c>
      <c r="HF354" s="16">
        <v>20852</v>
      </c>
      <c r="HG354" s="16">
        <v>8124</v>
      </c>
      <c r="HH354" s="16">
        <v>6002</v>
      </c>
      <c r="HI354" s="16">
        <v>13676</v>
      </c>
      <c r="HJ354" s="16">
        <v>3003</v>
      </c>
      <c r="HK354" s="16">
        <v>17308</v>
      </c>
      <c r="HL354" s="16">
        <v>63449</v>
      </c>
      <c r="HM354" s="16">
        <v>13018</v>
      </c>
      <c r="HN354" s="16">
        <v>21619</v>
      </c>
      <c r="HO354" s="16">
        <v>8999</v>
      </c>
      <c r="HP354" s="16">
        <v>9178</v>
      </c>
      <c r="HQ354" s="16">
        <v>19772</v>
      </c>
      <c r="HR354" s="16">
        <v>23150</v>
      </c>
      <c r="HS354" s="16">
        <v>12423</v>
      </c>
      <c r="HT354" s="16">
        <v>1847</v>
      </c>
      <c r="HU354" s="16">
        <v>18634</v>
      </c>
      <c r="HV354" s="16">
        <v>6456</v>
      </c>
      <c r="HW354" s="16">
        <v>16625</v>
      </c>
      <c r="HX354" s="16">
        <v>17617</v>
      </c>
      <c r="HY354" s="16">
        <v>25882</v>
      </c>
      <c r="HZ354" s="16">
        <v>25833</v>
      </c>
      <c r="IA354" s="16">
        <v>5464</v>
      </c>
      <c r="IB354" s="16">
        <v>1621</v>
      </c>
      <c r="IC354" s="16">
        <v>1774</v>
      </c>
      <c r="ID354" s="16">
        <v>4016</v>
      </c>
      <c r="IE354" s="16">
        <v>963</v>
      </c>
      <c r="IF354" s="16">
        <v>2644</v>
      </c>
      <c r="IG354" s="16">
        <v>21373</v>
      </c>
      <c r="IH354" s="16">
        <v>534513</v>
      </c>
      <c r="II354" s="16">
        <v>39042</v>
      </c>
      <c r="IJ354" s="16">
        <v>35963</v>
      </c>
      <c r="IK354" s="16">
        <v>34726</v>
      </c>
      <c r="IL354" s="16">
        <v>16377</v>
      </c>
      <c r="IM354" s="16">
        <v>2353</v>
      </c>
      <c r="IN354" s="16">
        <v>19098</v>
      </c>
      <c r="IO354" s="16">
        <v>510223</v>
      </c>
      <c r="IP354" s="16">
        <v>882689</v>
      </c>
      <c r="IQ354" s="16">
        <v>205476</v>
      </c>
      <c r="IR354" s="16">
        <v>570366</v>
      </c>
      <c r="IS354" s="16">
        <v>9229</v>
      </c>
      <c r="IT354" s="16">
        <v>16655</v>
      </c>
      <c r="IU354" s="16">
        <v>1119</v>
      </c>
      <c r="IV354" s="16">
        <v>12633</v>
      </c>
      <c r="IW354" s="16">
        <v>9312</v>
      </c>
      <c r="IX354" s="16">
        <v>10514</v>
      </c>
      <c r="IY354" s="16">
        <v>8591</v>
      </c>
      <c r="IZ354" s="16">
        <v>1131</v>
      </c>
      <c r="JA354" s="16">
        <v>8139</v>
      </c>
      <c r="JB354" s="16">
        <v>1844</v>
      </c>
      <c r="JC354" s="16">
        <v>2856</v>
      </c>
      <c r="JD354" s="16">
        <v>8434</v>
      </c>
      <c r="JE354" s="16">
        <v>18748</v>
      </c>
      <c r="JF354" s="16">
        <v>14793</v>
      </c>
      <c r="JG354" s="16">
        <v>1328391</v>
      </c>
      <c r="JH354" s="16">
        <v>6625</v>
      </c>
      <c r="JI354" s="16">
        <v>20871</v>
      </c>
      <c r="JJ354" s="16">
        <v>93410</v>
      </c>
      <c r="JK354" s="16">
        <v>32208</v>
      </c>
      <c r="JL354" s="16">
        <v>7867</v>
      </c>
      <c r="JM354" s="16">
        <v>3270</v>
      </c>
      <c r="JN354" s="16">
        <v>44049</v>
      </c>
      <c r="JO354" s="16">
        <v>2507</v>
      </c>
      <c r="JP354" s="16">
        <v>7028</v>
      </c>
      <c r="JQ354" s="16">
        <v>1919</v>
      </c>
      <c r="JR354" s="16">
        <v>206</v>
      </c>
      <c r="JS354" s="16">
        <v>54</v>
      </c>
      <c r="JT354" s="16">
        <v>2</v>
      </c>
      <c r="JU354" s="16">
        <v>275</v>
      </c>
      <c r="JV354" s="16">
        <v>503</v>
      </c>
      <c r="JW354" s="16">
        <v>1688005</v>
      </c>
      <c r="JX354" s="16">
        <v>2090102</v>
      </c>
      <c r="JY354" s="16">
        <v>683378</v>
      </c>
      <c r="JZ354" s="16">
        <v>198162</v>
      </c>
      <c r="KA354" s="16">
        <v>101091</v>
      </c>
      <c r="KB354" s="16">
        <v>29309</v>
      </c>
      <c r="KC354" s="16">
        <v>37598</v>
      </c>
      <c r="KD354" s="16">
        <v>55069</v>
      </c>
      <c r="KE354" s="16">
        <v>23543</v>
      </c>
      <c r="KF354" s="16">
        <v>123198</v>
      </c>
      <c r="KG354" s="16">
        <v>27292</v>
      </c>
      <c r="KH354" s="16">
        <v>56553</v>
      </c>
      <c r="KI354" s="16">
        <v>193447</v>
      </c>
      <c r="KJ354" s="16">
        <v>72407</v>
      </c>
      <c r="KK354" s="16">
        <v>2772342</v>
      </c>
      <c r="KL354" s="16">
        <v>63326</v>
      </c>
      <c r="KM354" s="16">
        <v>99617</v>
      </c>
      <c r="KN354" s="16">
        <v>177162</v>
      </c>
      <c r="KO354" s="16">
        <v>15584</v>
      </c>
      <c r="KP354" s="16">
        <v>44231</v>
      </c>
      <c r="KQ354" s="16">
        <v>118977</v>
      </c>
      <c r="KR354" s="16">
        <v>42869</v>
      </c>
      <c r="KS354" s="16">
        <v>12527</v>
      </c>
      <c r="KT354" s="16">
        <v>14513</v>
      </c>
      <c r="KU354" s="16">
        <v>29356</v>
      </c>
      <c r="KV354" s="16">
        <v>117201</v>
      </c>
      <c r="KW354" s="16">
        <v>151043</v>
      </c>
      <c r="KX354" s="16">
        <v>4610</v>
      </c>
      <c r="KY354" s="16">
        <v>90854</v>
      </c>
      <c r="KZ354" s="16">
        <v>622984</v>
      </c>
      <c r="LA354" s="16">
        <v>157980</v>
      </c>
      <c r="LB354" s="16">
        <v>79672</v>
      </c>
      <c r="LC354" s="16">
        <v>81403</v>
      </c>
      <c r="LD354" s="16">
        <v>121196</v>
      </c>
      <c r="LE354" s="16">
        <v>59700</v>
      </c>
      <c r="LF354" s="16">
        <v>144943</v>
      </c>
      <c r="LG354" s="16">
        <v>18268</v>
      </c>
      <c r="LH354" s="16">
        <v>28328</v>
      </c>
      <c r="LI354" s="16">
        <v>15098</v>
      </c>
      <c r="LJ354" s="16">
        <v>49411</v>
      </c>
      <c r="LK354" s="16">
        <v>132155</v>
      </c>
      <c r="LL354" s="16">
        <v>119031</v>
      </c>
      <c r="LM354" s="16">
        <v>392840</v>
      </c>
      <c r="LN354" s="16">
        <v>22131</v>
      </c>
      <c r="LO354" s="16">
        <v>57003</v>
      </c>
      <c r="LP354" s="16">
        <v>74403</v>
      </c>
      <c r="LQ354" s="16">
        <v>11724</v>
      </c>
      <c r="LR354" s="16">
        <v>474205</v>
      </c>
      <c r="LS354" s="16">
        <v>58646</v>
      </c>
      <c r="LT354" s="16">
        <v>230248</v>
      </c>
      <c r="LU354" s="16">
        <v>182785</v>
      </c>
      <c r="LV354" s="16">
        <v>1107</v>
      </c>
      <c r="LW354" s="16">
        <v>217389</v>
      </c>
      <c r="LX354" s="16">
        <v>220691</v>
      </c>
      <c r="LY354" s="16">
        <v>0</v>
      </c>
      <c r="LZ354" s="16">
        <v>97560</v>
      </c>
      <c r="MA354" s="16">
        <v>117442</v>
      </c>
      <c r="MB354" s="16">
        <v>88000</v>
      </c>
      <c r="MC354" s="16">
        <v>12946</v>
      </c>
      <c r="MD354" s="16">
        <v>6545</v>
      </c>
      <c r="ME354" s="16">
        <v>6833</v>
      </c>
      <c r="MF354" s="16">
        <v>162910</v>
      </c>
      <c r="MG354" s="16">
        <v>26624</v>
      </c>
      <c r="MH354" s="16">
        <v>2921358</v>
      </c>
      <c r="MI354" s="16">
        <v>12345</v>
      </c>
      <c r="MJ354" s="16">
        <v>35322</v>
      </c>
      <c r="MK354" s="16">
        <v>18488</v>
      </c>
      <c r="ML354" s="16">
        <v>25321</v>
      </c>
      <c r="MM354" s="16">
        <v>16155</v>
      </c>
      <c r="MN354" s="16">
        <v>190327</v>
      </c>
      <c r="MO354" s="16">
        <v>539436</v>
      </c>
      <c r="MP354" s="16">
        <v>446796</v>
      </c>
      <c r="MQ354" s="16">
        <v>322215</v>
      </c>
      <c r="MR354" s="16">
        <v>938725</v>
      </c>
      <c r="MS354" s="16">
        <v>101293</v>
      </c>
      <c r="MT354" s="16">
        <v>36036</v>
      </c>
      <c r="MU354" s="16">
        <v>164576</v>
      </c>
      <c r="MV354" s="16">
        <v>16687</v>
      </c>
      <c r="MW354" s="16">
        <v>303595</v>
      </c>
      <c r="MX354" s="16">
        <v>9546</v>
      </c>
      <c r="MY354" s="16">
        <v>6650</v>
      </c>
      <c r="MZ354" s="16">
        <v>39845</v>
      </c>
      <c r="NA354" s="16">
        <v>755743</v>
      </c>
      <c r="NB354" s="16">
        <v>41989</v>
      </c>
      <c r="NC354" s="16">
        <v>28912</v>
      </c>
      <c r="ND354" s="16">
        <v>115192</v>
      </c>
      <c r="NE354" s="16">
        <v>28419</v>
      </c>
      <c r="NF354" s="16">
        <v>33683</v>
      </c>
      <c r="NG354" s="16">
        <v>260232</v>
      </c>
      <c r="NH354" s="16">
        <v>59464</v>
      </c>
      <c r="NI354" s="16">
        <v>7006</v>
      </c>
      <c r="NJ354" s="16">
        <v>25121</v>
      </c>
      <c r="NK354" s="16">
        <v>22373</v>
      </c>
      <c r="NL354" s="16">
        <v>9190</v>
      </c>
      <c r="NM354" s="16">
        <v>15156</v>
      </c>
      <c r="NN354" s="16">
        <v>3166</v>
      </c>
      <c r="NO354" s="16">
        <v>0</v>
      </c>
      <c r="NP354" s="16">
        <v>11445</v>
      </c>
      <c r="NQ354" s="16">
        <v>609</v>
      </c>
      <c r="NR354" s="17">
        <v>28928093</v>
      </c>
    </row>
    <row r="355" spans="1:382" ht="13.5" customHeight="1" x14ac:dyDescent="0.2">
      <c r="A355" s="2" t="s">
        <v>717</v>
      </c>
      <c r="B355" s="16">
        <v>276</v>
      </c>
      <c r="C355" s="16">
        <v>4</v>
      </c>
      <c r="D355" s="16">
        <v>23</v>
      </c>
      <c r="E355" s="16">
        <v>25</v>
      </c>
      <c r="F355" s="16">
        <v>2833</v>
      </c>
      <c r="G355" s="16">
        <v>93</v>
      </c>
      <c r="H355" s="16">
        <v>432</v>
      </c>
      <c r="I355" s="16">
        <v>241</v>
      </c>
      <c r="J355" s="16">
        <v>2</v>
      </c>
      <c r="K355" s="16">
        <v>0</v>
      </c>
      <c r="L355" s="16">
        <v>1170</v>
      </c>
      <c r="M355" s="16">
        <v>18</v>
      </c>
      <c r="N355" s="16">
        <v>0</v>
      </c>
      <c r="O355" s="16">
        <v>6</v>
      </c>
      <c r="P355" s="16">
        <v>105</v>
      </c>
      <c r="Q355" s="16">
        <v>18353</v>
      </c>
      <c r="R355" s="16">
        <v>38630</v>
      </c>
      <c r="S355" s="16">
        <v>6</v>
      </c>
      <c r="T355" s="16">
        <v>421</v>
      </c>
      <c r="U355" s="16">
        <v>52</v>
      </c>
      <c r="V355" s="16">
        <v>12</v>
      </c>
      <c r="W355" s="16">
        <v>1</v>
      </c>
      <c r="X355" s="16">
        <v>6220</v>
      </c>
      <c r="Y355" s="16">
        <v>2989</v>
      </c>
      <c r="Z355" s="16">
        <v>3306</v>
      </c>
      <c r="AA355" s="16">
        <v>178</v>
      </c>
      <c r="AB355" s="16">
        <v>0</v>
      </c>
      <c r="AC355" s="16">
        <v>0</v>
      </c>
      <c r="AD355" s="16">
        <v>0</v>
      </c>
      <c r="AE355" s="16">
        <v>49</v>
      </c>
      <c r="AF355" s="16">
        <v>185</v>
      </c>
      <c r="AG355" s="16">
        <v>6207</v>
      </c>
      <c r="AH355" s="16">
        <v>607</v>
      </c>
      <c r="AI355" s="16">
        <v>285</v>
      </c>
      <c r="AJ355" s="16">
        <v>17396</v>
      </c>
      <c r="AK355" s="16">
        <v>179</v>
      </c>
      <c r="AL355" s="16">
        <v>1192</v>
      </c>
      <c r="AM355" s="16">
        <v>3764</v>
      </c>
      <c r="AN355" s="16">
        <v>8350</v>
      </c>
      <c r="AO355" s="16">
        <v>19823</v>
      </c>
      <c r="AP355" s="16">
        <v>364</v>
      </c>
      <c r="AQ355" s="16">
        <v>2894</v>
      </c>
      <c r="AR355" s="16">
        <v>0</v>
      </c>
      <c r="AS355" s="16">
        <v>1657</v>
      </c>
      <c r="AT355" s="16">
        <v>3395</v>
      </c>
      <c r="AU355" s="16">
        <v>6212</v>
      </c>
      <c r="AV355" s="16">
        <v>5738</v>
      </c>
      <c r="AW355" s="16">
        <v>8496</v>
      </c>
      <c r="AX355" s="16">
        <v>3024</v>
      </c>
      <c r="AY355" s="16">
        <v>650</v>
      </c>
      <c r="AZ355" s="16">
        <v>2015</v>
      </c>
      <c r="BA355" s="16">
        <v>5549</v>
      </c>
      <c r="BB355" s="16">
        <v>3759</v>
      </c>
      <c r="BC355" s="16">
        <v>70209</v>
      </c>
      <c r="BD355" s="16">
        <v>1169</v>
      </c>
      <c r="BE355" s="16">
        <v>1875</v>
      </c>
      <c r="BF355" s="16">
        <v>4791</v>
      </c>
      <c r="BG355" s="16">
        <v>2070</v>
      </c>
      <c r="BH355" s="16">
        <v>4037</v>
      </c>
      <c r="BI355" s="16">
        <v>53079</v>
      </c>
      <c r="BJ355" s="16">
        <v>399</v>
      </c>
      <c r="BK355" s="16">
        <v>636</v>
      </c>
      <c r="BL355" s="16">
        <v>11941</v>
      </c>
      <c r="BM355" s="16">
        <v>2818</v>
      </c>
      <c r="BN355" s="16">
        <v>16908</v>
      </c>
      <c r="BO355" s="16">
        <v>36132</v>
      </c>
      <c r="BP355" s="16">
        <v>34728</v>
      </c>
      <c r="BQ355" s="16">
        <v>2546</v>
      </c>
      <c r="BR355" s="16">
        <v>313</v>
      </c>
      <c r="BS355" s="16">
        <v>146519</v>
      </c>
      <c r="BT355" s="16">
        <v>1149</v>
      </c>
      <c r="BU355" s="16">
        <v>1147</v>
      </c>
      <c r="BV355" s="16">
        <v>445</v>
      </c>
      <c r="BW355" s="16">
        <v>8663</v>
      </c>
      <c r="BX355" s="16">
        <v>3750</v>
      </c>
      <c r="BY355" s="16">
        <v>21</v>
      </c>
      <c r="BZ355" s="16">
        <v>47403</v>
      </c>
      <c r="CA355" s="16">
        <v>7444</v>
      </c>
      <c r="CB355" s="16">
        <v>440</v>
      </c>
      <c r="CC355" s="16">
        <v>7555</v>
      </c>
      <c r="CD355" s="16">
        <v>1338</v>
      </c>
      <c r="CE355" s="16">
        <v>1457</v>
      </c>
      <c r="CF355" s="16">
        <v>1600</v>
      </c>
      <c r="CG355" s="16">
        <v>4464</v>
      </c>
      <c r="CH355" s="16">
        <v>2183</v>
      </c>
      <c r="CI355" s="16">
        <v>297</v>
      </c>
      <c r="CJ355" s="16">
        <v>16368</v>
      </c>
      <c r="CK355" s="16">
        <v>39250</v>
      </c>
      <c r="CL355" s="16">
        <v>6114</v>
      </c>
      <c r="CM355" s="16">
        <v>11660</v>
      </c>
      <c r="CN355" s="16">
        <v>2158</v>
      </c>
      <c r="CO355" s="16">
        <v>3350</v>
      </c>
      <c r="CP355" s="16">
        <v>14368</v>
      </c>
      <c r="CQ355" s="16">
        <v>78028</v>
      </c>
      <c r="CR355" s="16">
        <v>4942</v>
      </c>
      <c r="CS355" s="16">
        <v>36240</v>
      </c>
      <c r="CT355" s="16">
        <v>18764</v>
      </c>
      <c r="CU355" s="16">
        <v>36983</v>
      </c>
      <c r="CV355" s="16">
        <v>19829</v>
      </c>
      <c r="CW355" s="16">
        <v>41609</v>
      </c>
      <c r="CX355" s="16">
        <v>60038</v>
      </c>
      <c r="CY355" s="16">
        <v>6113</v>
      </c>
      <c r="CZ355" s="16">
        <v>3435</v>
      </c>
      <c r="DA355" s="16">
        <v>944</v>
      </c>
      <c r="DB355" s="16">
        <v>3993</v>
      </c>
      <c r="DC355" s="16">
        <v>903</v>
      </c>
      <c r="DD355" s="16">
        <v>25502</v>
      </c>
      <c r="DE355" s="16">
        <v>18682</v>
      </c>
      <c r="DF355" s="16">
        <v>48541</v>
      </c>
      <c r="DG355" s="16">
        <v>5395</v>
      </c>
      <c r="DH355" s="16">
        <v>15254</v>
      </c>
      <c r="DI355" s="16">
        <v>4054</v>
      </c>
      <c r="DJ355" s="16">
        <v>83193</v>
      </c>
      <c r="DK355" s="16">
        <v>4161</v>
      </c>
      <c r="DL355" s="16">
        <v>7242</v>
      </c>
      <c r="DM355" s="16">
        <v>40539</v>
      </c>
      <c r="DN355" s="16">
        <v>7693</v>
      </c>
      <c r="DO355" s="16">
        <v>8200</v>
      </c>
      <c r="DP355" s="16">
        <v>7559</v>
      </c>
      <c r="DQ355" s="16">
        <v>890</v>
      </c>
      <c r="DR355" s="16">
        <v>14054</v>
      </c>
      <c r="DS355" s="16">
        <v>59351</v>
      </c>
      <c r="DT355" s="16">
        <v>1029</v>
      </c>
      <c r="DU355" s="16">
        <v>3252</v>
      </c>
      <c r="DV355" s="16">
        <v>14115</v>
      </c>
      <c r="DW355" s="16">
        <v>11566</v>
      </c>
      <c r="DX355" s="16">
        <v>11698</v>
      </c>
      <c r="DY355" s="16">
        <v>13379</v>
      </c>
      <c r="DZ355" s="16">
        <v>38084</v>
      </c>
      <c r="EA355" s="16">
        <v>15180</v>
      </c>
      <c r="EB355" s="16">
        <v>401</v>
      </c>
      <c r="EC355" s="16">
        <v>4343</v>
      </c>
      <c r="ED355" s="16">
        <v>605</v>
      </c>
      <c r="EE355" s="16">
        <v>593</v>
      </c>
      <c r="EF355" s="16">
        <v>2713</v>
      </c>
      <c r="EG355" s="16">
        <v>9496</v>
      </c>
      <c r="EH355" s="16">
        <v>986</v>
      </c>
      <c r="EI355" s="16">
        <v>2057</v>
      </c>
      <c r="EJ355" s="16">
        <v>690</v>
      </c>
      <c r="EK355" s="16">
        <v>4146</v>
      </c>
      <c r="EL355" s="16">
        <v>135</v>
      </c>
      <c r="EM355" s="16">
        <v>3582</v>
      </c>
      <c r="EN355" s="16">
        <v>8718</v>
      </c>
      <c r="EO355" s="16">
        <v>71</v>
      </c>
      <c r="EP355" s="16">
        <v>523</v>
      </c>
      <c r="EQ355" s="16">
        <v>3604</v>
      </c>
      <c r="ER355" s="16">
        <v>72</v>
      </c>
      <c r="ES355" s="16">
        <v>393</v>
      </c>
      <c r="ET355" s="16">
        <v>4144</v>
      </c>
      <c r="EU355" s="16">
        <v>2146</v>
      </c>
      <c r="EV355" s="16">
        <v>7439</v>
      </c>
      <c r="EW355" s="16">
        <v>16648</v>
      </c>
      <c r="EX355" s="16">
        <v>75204</v>
      </c>
      <c r="EY355" s="16">
        <v>16235</v>
      </c>
      <c r="EZ355" s="16">
        <v>10559</v>
      </c>
      <c r="FA355" s="16">
        <v>25634</v>
      </c>
      <c r="FB355" s="16">
        <v>59059</v>
      </c>
      <c r="FC355" s="16">
        <v>13052</v>
      </c>
      <c r="FD355" s="16">
        <v>66514</v>
      </c>
      <c r="FE355" s="16">
        <v>44776</v>
      </c>
      <c r="FF355" s="16">
        <v>38708</v>
      </c>
      <c r="FG355" s="16">
        <v>61224</v>
      </c>
      <c r="FH355" s="16">
        <v>140</v>
      </c>
      <c r="FI355" s="16">
        <v>8164</v>
      </c>
      <c r="FJ355" s="16">
        <v>5064</v>
      </c>
      <c r="FK355" s="16">
        <v>49852</v>
      </c>
      <c r="FL355" s="16">
        <v>1321</v>
      </c>
      <c r="FM355" s="16">
        <v>26520</v>
      </c>
      <c r="FN355" s="16">
        <v>32857</v>
      </c>
      <c r="FO355" s="16">
        <v>11706</v>
      </c>
      <c r="FP355" s="16">
        <v>17174</v>
      </c>
      <c r="FQ355" s="16">
        <v>65898</v>
      </c>
      <c r="FR355" s="16">
        <v>55927</v>
      </c>
      <c r="FS355" s="16">
        <v>9505</v>
      </c>
      <c r="FT355" s="16">
        <v>7760</v>
      </c>
      <c r="FU355" s="16">
        <v>15479</v>
      </c>
      <c r="FV355" s="16">
        <v>68969</v>
      </c>
      <c r="FW355" s="16">
        <v>17983</v>
      </c>
      <c r="FX355" s="16">
        <v>83535</v>
      </c>
      <c r="FY355" s="16">
        <v>3861</v>
      </c>
      <c r="FZ355" s="16">
        <v>16856</v>
      </c>
      <c r="GA355" s="16">
        <v>8524</v>
      </c>
      <c r="GB355" s="16">
        <v>17339</v>
      </c>
      <c r="GC355" s="16">
        <v>10499</v>
      </c>
      <c r="GD355" s="16">
        <v>7866</v>
      </c>
      <c r="GE355" s="16">
        <v>2510</v>
      </c>
      <c r="GF355" s="16">
        <v>71972</v>
      </c>
      <c r="GG355" s="16">
        <v>17473</v>
      </c>
      <c r="GH355" s="16">
        <v>85852</v>
      </c>
      <c r="GI355" s="16">
        <v>22703</v>
      </c>
      <c r="GJ355" s="16">
        <v>23755</v>
      </c>
      <c r="GK355" s="16">
        <v>8379</v>
      </c>
      <c r="GL355" s="16">
        <v>2930</v>
      </c>
      <c r="GM355" s="16">
        <v>6945</v>
      </c>
      <c r="GN355" s="16">
        <v>791</v>
      </c>
      <c r="GO355" s="16">
        <v>8946</v>
      </c>
      <c r="GP355" s="16">
        <v>36632</v>
      </c>
      <c r="GQ355" s="16">
        <v>878</v>
      </c>
      <c r="GR355" s="16">
        <v>21789</v>
      </c>
      <c r="GS355" s="16">
        <v>5157</v>
      </c>
      <c r="GT355" s="16">
        <v>7329</v>
      </c>
      <c r="GU355" s="16">
        <v>15828</v>
      </c>
      <c r="GV355" s="16">
        <v>6076</v>
      </c>
      <c r="GW355" s="16">
        <v>4373</v>
      </c>
      <c r="GX355" s="16">
        <v>5221</v>
      </c>
      <c r="GY355" s="16">
        <v>172</v>
      </c>
      <c r="GZ355" s="16">
        <v>27221</v>
      </c>
      <c r="HA355" s="16">
        <v>10452</v>
      </c>
      <c r="HB355" s="16">
        <v>10301</v>
      </c>
      <c r="HC355" s="16">
        <v>11515</v>
      </c>
      <c r="HD355" s="16">
        <v>29493</v>
      </c>
      <c r="HE355" s="16">
        <v>6123</v>
      </c>
      <c r="HF355" s="16">
        <v>43267</v>
      </c>
      <c r="HG355" s="16">
        <v>12881</v>
      </c>
      <c r="HH355" s="16">
        <v>4255</v>
      </c>
      <c r="HI355" s="16">
        <v>16643</v>
      </c>
      <c r="HJ355" s="16">
        <v>5503</v>
      </c>
      <c r="HK355" s="16">
        <v>17450</v>
      </c>
      <c r="HL355" s="16">
        <v>15197</v>
      </c>
      <c r="HM355" s="16">
        <v>20959</v>
      </c>
      <c r="HN355" s="16">
        <v>12026</v>
      </c>
      <c r="HO355" s="16">
        <v>5373</v>
      </c>
      <c r="HP355" s="16">
        <v>1217</v>
      </c>
      <c r="HQ355" s="16">
        <v>4711</v>
      </c>
      <c r="HR355" s="16">
        <v>18961</v>
      </c>
      <c r="HS355" s="16">
        <v>7510</v>
      </c>
      <c r="HT355" s="16">
        <v>1870</v>
      </c>
      <c r="HU355" s="16">
        <v>9342</v>
      </c>
      <c r="HV355" s="16">
        <v>4937</v>
      </c>
      <c r="HW355" s="16">
        <v>3483</v>
      </c>
      <c r="HX355" s="16">
        <v>2803</v>
      </c>
      <c r="HY355" s="16">
        <v>8145</v>
      </c>
      <c r="HZ355" s="16">
        <v>1563</v>
      </c>
      <c r="IA355" s="16">
        <v>617</v>
      </c>
      <c r="IB355" s="16">
        <v>466</v>
      </c>
      <c r="IC355" s="16">
        <v>863</v>
      </c>
      <c r="ID355" s="16">
        <v>271</v>
      </c>
      <c r="IE355" s="16">
        <v>235</v>
      </c>
      <c r="IF355" s="16">
        <v>327</v>
      </c>
      <c r="IG355" s="16">
        <v>1938</v>
      </c>
      <c r="IH355" s="16">
        <v>69495</v>
      </c>
      <c r="II355" s="16">
        <v>1875</v>
      </c>
      <c r="IJ355" s="16">
        <v>476</v>
      </c>
      <c r="IK355" s="16">
        <v>555</v>
      </c>
      <c r="IL355" s="16">
        <v>2757</v>
      </c>
      <c r="IM355" s="16">
        <v>108</v>
      </c>
      <c r="IN355" s="16">
        <v>25217</v>
      </c>
      <c r="IO355" s="16">
        <v>30657</v>
      </c>
      <c r="IP355" s="16">
        <v>85564</v>
      </c>
      <c r="IQ355" s="16">
        <v>29872</v>
      </c>
      <c r="IR355" s="16">
        <v>7618</v>
      </c>
      <c r="IS355" s="16">
        <v>7188</v>
      </c>
      <c r="IT355" s="16">
        <v>4961</v>
      </c>
      <c r="IU355" s="16">
        <v>776</v>
      </c>
      <c r="IV355" s="16">
        <v>2344</v>
      </c>
      <c r="IW355" s="16">
        <v>5052</v>
      </c>
      <c r="IX355" s="16">
        <v>2722</v>
      </c>
      <c r="IY355" s="16">
        <v>1360</v>
      </c>
      <c r="IZ355" s="16">
        <v>212</v>
      </c>
      <c r="JA355" s="16">
        <v>1072</v>
      </c>
      <c r="JB355" s="16">
        <v>1254</v>
      </c>
      <c r="JC355" s="16">
        <v>2270</v>
      </c>
      <c r="JD355" s="16">
        <v>28099</v>
      </c>
      <c r="JE355" s="16">
        <v>10365</v>
      </c>
      <c r="JF355" s="16">
        <v>10639</v>
      </c>
      <c r="JG355" s="16">
        <v>1198486</v>
      </c>
      <c r="JH355" s="16">
        <v>32863</v>
      </c>
      <c r="JI355" s="16">
        <v>8872</v>
      </c>
      <c r="JJ355" s="16">
        <v>175628</v>
      </c>
      <c r="JK355" s="16">
        <v>27784</v>
      </c>
      <c r="JL355" s="16">
        <v>16754</v>
      </c>
      <c r="JM355" s="16">
        <v>10512</v>
      </c>
      <c r="JN355" s="16">
        <v>138132</v>
      </c>
      <c r="JO355" s="16">
        <v>84319</v>
      </c>
      <c r="JP355" s="16">
        <v>32742</v>
      </c>
      <c r="JQ355" s="16">
        <v>29544</v>
      </c>
      <c r="JR355" s="16">
        <v>34247</v>
      </c>
      <c r="JS355" s="16">
        <v>5030</v>
      </c>
      <c r="JT355" s="16">
        <v>1</v>
      </c>
      <c r="JU355" s="16">
        <v>45139</v>
      </c>
      <c r="JV355" s="16">
        <v>284449</v>
      </c>
      <c r="JW355" s="16">
        <v>231464</v>
      </c>
      <c r="JX355" s="16">
        <v>174666</v>
      </c>
      <c r="JY355" s="16">
        <v>81839</v>
      </c>
      <c r="JZ355" s="16">
        <v>57965</v>
      </c>
      <c r="KA355" s="16">
        <v>39937</v>
      </c>
      <c r="KB355" s="16">
        <v>8280</v>
      </c>
      <c r="KC355" s="16">
        <v>16696</v>
      </c>
      <c r="KD355" s="16">
        <v>24485</v>
      </c>
      <c r="KE355" s="16">
        <v>9557</v>
      </c>
      <c r="KF355" s="16">
        <v>57076</v>
      </c>
      <c r="KG355" s="16">
        <v>33242</v>
      </c>
      <c r="KH355" s="16">
        <v>38114</v>
      </c>
      <c r="KI355" s="16">
        <v>109015</v>
      </c>
      <c r="KJ355" s="16">
        <v>47807</v>
      </c>
      <c r="KK355" s="16">
        <v>6445782</v>
      </c>
      <c r="KL355" s="16">
        <v>13143</v>
      </c>
      <c r="KM355" s="16">
        <v>140642</v>
      </c>
      <c r="KN355" s="16">
        <v>93492</v>
      </c>
      <c r="KO355" s="16">
        <v>9359</v>
      </c>
      <c r="KP355" s="16">
        <v>943</v>
      </c>
      <c r="KQ355" s="16">
        <v>96180</v>
      </c>
      <c r="KR355" s="16">
        <v>130927</v>
      </c>
      <c r="KS355" s="16">
        <v>27552</v>
      </c>
      <c r="KT355" s="16">
        <v>57850</v>
      </c>
      <c r="KU355" s="16">
        <v>118372</v>
      </c>
      <c r="KV355" s="16">
        <v>634990</v>
      </c>
      <c r="KW355" s="16">
        <v>1964645</v>
      </c>
      <c r="KX355" s="16">
        <v>12189</v>
      </c>
      <c r="KY355" s="16">
        <v>772255</v>
      </c>
      <c r="KZ355" s="16">
        <v>115814</v>
      </c>
      <c r="LA355" s="16">
        <v>40529</v>
      </c>
      <c r="LB355" s="16">
        <v>4318</v>
      </c>
      <c r="LC355" s="16">
        <v>30155</v>
      </c>
      <c r="LD355" s="16">
        <v>12775</v>
      </c>
      <c r="LE355" s="16">
        <v>403579</v>
      </c>
      <c r="LF355" s="16">
        <v>834204</v>
      </c>
      <c r="LG355" s="16">
        <v>132646</v>
      </c>
      <c r="LH355" s="16">
        <v>197744</v>
      </c>
      <c r="LI355" s="16">
        <v>25869</v>
      </c>
      <c r="LJ355" s="16">
        <v>41589</v>
      </c>
      <c r="LK355" s="16">
        <v>425167</v>
      </c>
      <c r="LL355" s="16">
        <v>962577</v>
      </c>
      <c r="LM355" s="16">
        <v>202879</v>
      </c>
      <c r="LN355" s="16">
        <v>1415866</v>
      </c>
      <c r="LO355" s="16">
        <v>132481</v>
      </c>
      <c r="LP355" s="16">
        <v>1317293</v>
      </c>
      <c r="LQ355" s="16">
        <v>8735</v>
      </c>
      <c r="LR355" s="16">
        <v>807689</v>
      </c>
      <c r="LS355" s="16">
        <v>45210</v>
      </c>
      <c r="LT355" s="16">
        <v>2038131</v>
      </c>
      <c r="LU355" s="16">
        <v>518964</v>
      </c>
      <c r="LV355" s="16">
        <v>2874</v>
      </c>
      <c r="LW355" s="16">
        <v>1095863</v>
      </c>
      <c r="LX355" s="16">
        <v>711883</v>
      </c>
      <c r="LY355" s="16">
        <v>0</v>
      </c>
      <c r="LZ355" s="16">
        <v>94731</v>
      </c>
      <c r="MA355" s="16">
        <v>92967</v>
      </c>
      <c r="MB355" s="16">
        <v>4059083</v>
      </c>
      <c r="MC355" s="16">
        <v>178021</v>
      </c>
      <c r="MD355" s="16">
        <v>224702</v>
      </c>
      <c r="ME355" s="16">
        <v>17433</v>
      </c>
      <c r="MF355" s="16">
        <v>506129</v>
      </c>
      <c r="MG355" s="16">
        <v>67278</v>
      </c>
      <c r="MH355" s="16">
        <v>3933983</v>
      </c>
      <c r="MI355" s="16">
        <v>14426</v>
      </c>
      <c r="MJ355" s="16">
        <v>161523</v>
      </c>
      <c r="MK355" s="16">
        <v>89331</v>
      </c>
      <c r="ML355" s="16">
        <v>120551</v>
      </c>
      <c r="MM355" s="16">
        <v>160021</v>
      </c>
      <c r="MN355" s="16">
        <v>436838</v>
      </c>
      <c r="MO355" s="16">
        <v>225035</v>
      </c>
      <c r="MP355" s="16">
        <v>164638</v>
      </c>
      <c r="MQ355" s="16">
        <v>1002607</v>
      </c>
      <c r="MR355" s="16">
        <v>787880</v>
      </c>
      <c r="MS355" s="16">
        <v>90169</v>
      </c>
      <c r="MT355" s="16">
        <v>55535</v>
      </c>
      <c r="MU355" s="16">
        <v>657584</v>
      </c>
      <c r="MV355" s="16">
        <v>222537</v>
      </c>
      <c r="MW355" s="16">
        <v>412710</v>
      </c>
      <c r="MX355" s="16">
        <v>16940</v>
      </c>
      <c r="MY355" s="16">
        <v>9530</v>
      </c>
      <c r="MZ355" s="16">
        <v>50178</v>
      </c>
      <c r="NA355" s="16">
        <v>400272</v>
      </c>
      <c r="NB355" s="16">
        <v>32725</v>
      </c>
      <c r="NC355" s="16">
        <v>110613</v>
      </c>
      <c r="ND355" s="16">
        <v>519627</v>
      </c>
      <c r="NE355" s="16">
        <v>31298</v>
      </c>
      <c r="NF355" s="16">
        <v>194936</v>
      </c>
      <c r="NG355" s="16">
        <v>437956</v>
      </c>
      <c r="NH355" s="16">
        <v>402049</v>
      </c>
      <c r="NI355" s="16">
        <v>119221</v>
      </c>
      <c r="NJ355" s="16">
        <v>108005</v>
      </c>
      <c r="NK355" s="16">
        <v>36569</v>
      </c>
      <c r="NL355" s="16">
        <v>37886</v>
      </c>
      <c r="NM355" s="16">
        <v>98469</v>
      </c>
      <c r="NN355" s="16">
        <v>16828</v>
      </c>
      <c r="NO355" s="16">
        <v>0</v>
      </c>
      <c r="NP355" s="16">
        <v>63945</v>
      </c>
      <c r="NQ355" s="16">
        <v>1232</v>
      </c>
      <c r="NR355" s="17">
        <v>45115611</v>
      </c>
    </row>
    <row r="356" spans="1:382" ht="13.5" customHeight="1" x14ac:dyDescent="0.2">
      <c r="A356" s="2" t="s">
        <v>719</v>
      </c>
      <c r="B356" s="16">
        <v>0</v>
      </c>
      <c r="C356" s="16">
        <v>0</v>
      </c>
      <c r="D356" s="16">
        <v>0</v>
      </c>
      <c r="E356" s="16">
        <v>0</v>
      </c>
      <c r="F356" s="16">
        <v>0</v>
      </c>
      <c r="G356" s="16">
        <v>0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109126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0</v>
      </c>
      <c r="AG356" s="16">
        <v>0</v>
      </c>
      <c r="AH356" s="16">
        <v>0</v>
      </c>
      <c r="AI356" s="16">
        <v>0</v>
      </c>
      <c r="AJ356" s="16">
        <v>0</v>
      </c>
      <c r="AK356" s="16">
        <v>0</v>
      </c>
      <c r="AL356" s="16">
        <v>0</v>
      </c>
      <c r="AM356" s="16">
        <v>0</v>
      </c>
      <c r="AN356" s="16">
        <v>0</v>
      </c>
      <c r="AO356" s="16">
        <v>0</v>
      </c>
      <c r="AP356" s="16">
        <v>0</v>
      </c>
      <c r="AQ356" s="16">
        <v>0</v>
      </c>
      <c r="AR356" s="16">
        <v>0</v>
      </c>
      <c r="AS356" s="16">
        <v>0</v>
      </c>
      <c r="AT356" s="16">
        <v>0</v>
      </c>
      <c r="AU356" s="16">
        <v>0</v>
      </c>
      <c r="AV356" s="16">
        <v>0</v>
      </c>
      <c r="AW356" s="16">
        <v>0</v>
      </c>
      <c r="AX356" s="16">
        <v>0</v>
      </c>
      <c r="AY356" s="16">
        <v>0</v>
      </c>
      <c r="AZ356" s="16">
        <v>0</v>
      </c>
      <c r="BA356" s="16">
        <v>0</v>
      </c>
      <c r="BB356" s="16">
        <v>0</v>
      </c>
      <c r="BC356" s="16">
        <v>0</v>
      </c>
      <c r="BD356" s="16">
        <v>0</v>
      </c>
      <c r="BE356" s="16">
        <v>0</v>
      </c>
      <c r="BF356" s="16">
        <v>0</v>
      </c>
      <c r="BG356" s="16">
        <v>0</v>
      </c>
      <c r="BH356" s="16">
        <v>0</v>
      </c>
      <c r="BI356" s="16">
        <v>0</v>
      </c>
      <c r="BJ356" s="16">
        <v>0</v>
      </c>
      <c r="BK356" s="16">
        <v>0</v>
      </c>
      <c r="BL356" s="16">
        <v>0</v>
      </c>
      <c r="BM356" s="16">
        <v>0</v>
      </c>
      <c r="BN356" s="16">
        <v>0</v>
      </c>
      <c r="BO356" s="16">
        <v>0</v>
      </c>
      <c r="BP356" s="16">
        <v>0</v>
      </c>
      <c r="BQ356" s="16">
        <v>0</v>
      </c>
      <c r="BR356" s="16">
        <v>0</v>
      </c>
      <c r="BS356" s="16">
        <v>0</v>
      </c>
      <c r="BT356" s="16">
        <v>0</v>
      </c>
      <c r="BU356" s="16">
        <v>0</v>
      </c>
      <c r="BV356" s="16">
        <v>0</v>
      </c>
      <c r="BW356" s="16">
        <v>0</v>
      </c>
      <c r="BX356" s="16">
        <v>0</v>
      </c>
      <c r="BY356" s="16">
        <v>0</v>
      </c>
      <c r="BZ356" s="16">
        <v>0</v>
      </c>
      <c r="CA356" s="16">
        <v>0</v>
      </c>
      <c r="CB356" s="16">
        <v>0</v>
      </c>
      <c r="CC356" s="16">
        <v>0</v>
      </c>
      <c r="CD356" s="16">
        <v>0</v>
      </c>
      <c r="CE356" s="16">
        <v>0</v>
      </c>
      <c r="CF356" s="16">
        <v>0</v>
      </c>
      <c r="CG356" s="16">
        <v>0</v>
      </c>
      <c r="CH356" s="16">
        <v>0</v>
      </c>
      <c r="CI356" s="16">
        <v>0</v>
      </c>
      <c r="CJ356" s="16">
        <v>0</v>
      </c>
      <c r="CK356" s="16">
        <v>0</v>
      </c>
      <c r="CL356" s="16">
        <v>0</v>
      </c>
      <c r="CM356" s="16">
        <v>0</v>
      </c>
      <c r="CN356" s="16">
        <v>0</v>
      </c>
      <c r="CO356" s="16">
        <v>0</v>
      </c>
      <c r="CP356" s="16">
        <v>0</v>
      </c>
      <c r="CQ356" s="16">
        <v>0</v>
      </c>
      <c r="CR356" s="16">
        <v>0</v>
      </c>
      <c r="CS356" s="16">
        <v>0</v>
      </c>
      <c r="CT356" s="16">
        <v>0</v>
      </c>
      <c r="CU356" s="16">
        <v>0</v>
      </c>
      <c r="CV356" s="16">
        <v>0</v>
      </c>
      <c r="CW356" s="16">
        <v>0</v>
      </c>
      <c r="CX356" s="16">
        <v>0</v>
      </c>
      <c r="CY356" s="16">
        <v>0</v>
      </c>
      <c r="CZ356" s="16">
        <v>0</v>
      </c>
      <c r="DA356" s="16">
        <v>0</v>
      </c>
      <c r="DB356" s="16">
        <v>0</v>
      </c>
      <c r="DC356" s="16">
        <v>0</v>
      </c>
      <c r="DD356" s="16">
        <v>0</v>
      </c>
      <c r="DE356" s="16">
        <v>0</v>
      </c>
      <c r="DF356" s="16">
        <v>0</v>
      </c>
      <c r="DG356" s="16">
        <v>0</v>
      </c>
      <c r="DH356" s="16">
        <v>0</v>
      </c>
      <c r="DI356" s="16">
        <v>0</v>
      </c>
      <c r="DJ356" s="16">
        <v>0</v>
      </c>
      <c r="DK356" s="16">
        <v>0</v>
      </c>
      <c r="DL356" s="16">
        <v>0</v>
      </c>
      <c r="DM356" s="16">
        <v>0</v>
      </c>
      <c r="DN356" s="16">
        <v>0</v>
      </c>
      <c r="DO356" s="16">
        <v>0</v>
      </c>
      <c r="DP356" s="16">
        <v>0</v>
      </c>
      <c r="DQ356" s="16">
        <v>0</v>
      </c>
      <c r="DR356" s="16">
        <v>0</v>
      </c>
      <c r="DS356" s="16">
        <v>0</v>
      </c>
      <c r="DT356" s="16">
        <v>0</v>
      </c>
      <c r="DU356" s="16">
        <v>0</v>
      </c>
      <c r="DV356" s="16">
        <v>0</v>
      </c>
      <c r="DW356" s="16">
        <v>0</v>
      </c>
      <c r="DX356" s="16">
        <v>0</v>
      </c>
      <c r="DY356" s="16">
        <v>0</v>
      </c>
      <c r="DZ356" s="16">
        <v>0</v>
      </c>
      <c r="EA356" s="16">
        <v>0</v>
      </c>
      <c r="EB356" s="16">
        <v>0</v>
      </c>
      <c r="EC356" s="16">
        <v>0</v>
      </c>
      <c r="ED356" s="16">
        <v>0</v>
      </c>
      <c r="EE356" s="16">
        <v>0</v>
      </c>
      <c r="EF356" s="16">
        <v>0</v>
      </c>
      <c r="EG356" s="16">
        <v>0</v>
      </c>
      <c r="EH356" s="16">
        <v>0</v>
      </c>
      <c r="EI356" s="16">
        <v>0</v>
      </c>
      <c r="EJ356" s="16">
        <v>0</v>
      </c>
      <c r="EK356" s="16">
        <v>0</v>
      </c>
      <c r="EL356" s="16">
        <v>0</v>
      </c>
      <c r="EM356" s="16">
        <v>0</v>
      </c>
      <c r="EN356" s="16">
        <v>0</v>
      </c>
      <c r="EO356" s="16">
        <v>0</v>
      </c>
      <c r="EP356" s="16">
        <v>0</v>
      </c>
      <c r="EQ356" s="16">
        <v>0</v>
      </c>
      <c r="ER356" s="16">
        <v>0</v>
      </c>
      <c r="ES356" s="16">
        <v>0</v>
      </c>
      <c r="ET356" s="16">
        <v>0</v>
      </c>
      <c r="EU356" s="16">
        <v>0</v>
      </c>
      <c r="EV356" s="16">
        <v>0</v>
      </c>
      <c r="EW356" s="16">
        <v>0</v>
      </c>
      <c r="EX356" s="16">
        <v>0</v>
      </c>
      <c r="EY356" s="16">
        <v>0</v>
      </c>
      <c r="EZ356" s="16">
        <v>0</v>
      </c>
      <c r="FA356" s="16">
        <v>0</v>
      </c>
      <c r="FB356" s="16">
        <v>0</v>
      </c>
      <c r="FC356" s="16">
        <v>0</v>
      </c>
      <c r="FD356" s="16">
        <v>0</v>
      </c>
      <c r="FE356" s="16">
        <v>0</v>
      </c>
      <c r="FF356" s="16">
        <v>0</v>
      </c>
      <c r="FG356" s="16">
        <v>0</v>
      </c>
      <c r="FH356" s="16">
        <v>0</v>
      </c>
      <c r="FI356" s="16">
        <v>0</v>
      </c>
      <c r="FJ356" s="16">
        <v>0</v>
      </c>
      <c r="FK356" s="16">
        <v>0</v>
      </c>
      <c r="FL356" s="16">
        <v>0</v>
      </c>
      <c r="FM356" s="16">
        <v>0</v>
      </c>
      <c r="FN356" s="16">
        <v>0</v>
      </c>
      <c r="FO356" s="16">
        <v>0</v>
      </c>
      <c r="FP356" s="16">
        <v>0</v>
      </c>
      <c r="FQ356" s="16">
        <v>0</v>
      </c>
      <c r="FR356" s="16">
        <v>0</v>
      </c>
      <c r="FS356" s="16">
        <v>0</v>
      </c>
      <c r="FT356" s="16">
        <v>0</v>
      </c>
      <c r="FU356" s="16">
        <v>0</v>
      </c>
      <c r="FV356" s="16">
        <v>0</v>
      </c>
      <c r="FW356" s="16">
        <v>0</v>
      </c>
      <c r="FX356" s="16">
        <v>0</v>
      </c>
      <c r="FY356" s="16">
        <v>0</v>
      </c>
      <c r="FZ356" s="16">
        <v>0</v>
      </c>
      <c r="GA356" s="16">
        <v>0</v>
      </c>
      <c r="GB356" s="16">
        <v>0</v>
      </c>
      <c r="GC356" s="16">
        <v>0</v>
      </c>
      <c r="GD356" s="16">
        <v>0</v>
      </c>
      <c r="GE356" s="16">
        <v>0</v>
      </c>
      <c r="GF356" s="16">
        <v>0</v>
      </c>
      <c r="GG356" s="16">
        <v>0</v>
      </c>
      <c r="GH356" s="16">
        <v>0</v>
      </c>
      <c r="GI356" s="16">
        <v>0</v>
      </c>
      <c r="GJ356" s="16">
        <v>0</v>
      </c>
      <c r="GK356" s="16">
        <v>0</v>
      </c>
      <c r="GL356" s="16">
        <v>0</v>
      </c>
      <c r="GM356" s="16">
        <v>0</v>
      </c>
      <c r="GN356" s="16">
        <v>0</v>
      </c>
      <c r="GO356" s="16">
        <v>0</v>
      </c>
      <c r="GP356" s="16">
        <v>0</v>
      </c>
      <c r="GQ356" s="16">
        <v>0</v>
      </c>
      <c r="GR356" s="16">
        <v>0</v>
      </c>
      <c r="GS356" s="16">
        <v>0</v>
      </c>
      <c r="GT356" s="16">
        <v>0</v>
      </c>
      <c r="GU356" s="16">
        <v>0</v>
      </c>
      <c r="GV356" s="16">
        <v>0</v>
      </c>
      <c r="GW356" s="16">
        <v>0</v>
      </c>
      <c r="GX356" s="16">
        <v>0</v>
      </c>
      <c r="GY356" s="16">
        <v>0</v>
      </c>
      <c r="GZ356" s="16">
        <v>0</v>
      </c>
      <c r="HA356" s="16">
        <v>0</v>
      </c>
      <c r="HB356" s="16">
        <v>0</v>
      </c>
      <c r="HC356" s="16">
        <v>0</v>
      </c>
      <c r="HD356" s="16">
        <v>0</v>
      </c>
      <c r="HE356" s="16">
        <v>0</v>
      </c>
      <c r="HF356" s="16">
        <v>0</v>
      </c>
      <c r="HG356" s="16">
        <v>0</v>
      </c>
      <c r="HH356" s="16">
        <v>0</v>
      </c>
      <c r="HI356" s="16">
        <v>0</v>
      </c>
      <c r="HJ356" s="16">
        <v>0</v>
      </c>
      <c r="HK356" s="16">
        <v>0</v>
      </c>
      <c r="HL356" s="16">
        <v>0</v>
      </c>
      <c r="HM356" s="16">
        <v>0</v>
      </c>
      <c r="HN356" s="16">
        <v>0</v>
      </c>
      <c r="HO356" s="16">
        <v>0</v>
      </c>
      <c r="HP356" s="16">
        <v>0</v>
      </c>
      <c r="HQ356" s="16">
        <v>0</v>
      </c>
      <c r="HR356" s="16">
        <v>0</v>
      </c>
      <c r="HS356" s="16">
        <v>0</v>
      </c>
      <c r="HT356" s="16">
        <v>0</v>
      </c>
      <c r="HU356" s="16">
        <v>0</v>
      </c>
      <c r="HV356" s="16">
        <v>0</v>
      </c>
      <c r="HW356" s="16">
        <v>0</v>
      </c>
      <c r="HX356" s="16">
        <v>0</v>
      </c>
      <c r="HY356" s="16">
        <v>0</v>
      </c>
      <c r="HZ356" s="16">
        <v>0</v>
      </c>
      <c r="IA356" s="16">
        <v>0</v>
      </c>
      <c r="IB356" s="16">
        <v>0</v>
      </c>
      <c r="IC356" s="16">
        <v>0</v>
      </c>
      <c r="ID356" s="16">
        <v>0</v>
      </c>
      <c r="IE356" s="16">
        <v>0</v>
      </c>
      <c r="IF356" s="16">
        <v>0</v>
      </c>
      <c r="IG356" s="16">
        <v>0</v>
      </c>
      <c r="IH356" s="16">
        <v>0</v>
      </c>
      <c r="II356" s="16">
        <v>0</v>
      </c>
      <c r="IJ356" s="16">
        <v>0</v>
      </c>
      <c r="IK356" s="16">
        <v>0</v>
      </c>
      <c r="IL356" s="16">
        <v>0</v>
      </c>
      <c r="IM356" s="16">
        <v>0</v>
      </c>
      <c r="IN356" s="16">
        <v>0</v>
      </c>
      <c r="IO356" s="16">
        <v>0</v>
      </c>
      <c r="IP356" s="16">
        <v>0</v>
      </c>
      <c r="IQ356" s="16">
        <v>0</v>
      </c>
      <c r="IR356" s="16">
        <v>0</v>
      </c>
      <c r="IS356" s="16">
        <v>0</v>
      </c>
      <c r="IT356" s="16">
        <v>0</v>
      </c>
      <c r="IU356" s="16">
        <v>0</v>
      </c>
      <c r="IV356" s="16">
        <v>0</v>
      </c>
      <c r="IW356" s="16">
        <v>0</v>
      </c>
      <c r="IX356" s="16">
        <v>0</v>
      </c>
      <c r="IY356" s="16">
        <v>0</v>
      </c>
      <c r="IZ356" s="16">
        <v>0</v>
      </c>
      <c r="JA356" s="16">
        <v>0</v>
      </c>
      <c r="JB356" s="16">
        <v>0</v>
      </c>
      <c r="JC356" s="16">
        <v>0</v>
      </c>
      <c r="JD356" s="16">
        <v>0</v>
      </c>
      <c r="JE356" s="16">
        <v>0</v>
      </c>
      <c r="JF356" s="16">
        <v>0</v>
      </c>
      <c r="JG356" s="16">
        <v>0</v>
      </c>
      <c r="JH356" s="16">
        <v>0</v>
      </c>
      <c r="JI356" s="16">
        <v>0</v>
      </c>
      <c r="JJ356" s="16">
        <v>0</v>
      </c>
      <c r="JK356" s="16">
        <v>0</v>
      </c>
      <c r="JL356" s="16">
        <v>0</v>
      </c>
      <c r="JM356" s="16">
        <v>0</v>
      </c>
      <c r="JN356" s="16">
        <v>0</v>
      </c>
      <c r="JO356" s="16">
        <v>0</v>
      </c>
      <c r="JP356" s="16">
        <v>0</v>
      </c>
      <c r="JQ356" s="16">
        <v>0</v>
      </c>
      <c r="JR356" s="16">
        <v>0</v>
      </c>
      <c r="JS356" s="16">
        <v>0</v>
      </c>
      <c r="JT356" s="16">
        <v>0</v>
      </c>
      <c r="JU356" s="16">
        <v>0</v>
      </c>
      <c r="JV356" s="16">
        <v>0</v>
      </c>
      <c r="JW356" s="16">
        <v>0</v>
      </c>
      <c r="JX356" s="16">
        <v>0</v>
      </c>
      <c r="JY356" s="16">
        <v>0</v>
      </c>
      <c r="JZ356" s="16">
        <v>0</v>
      </c>
      <c r="KA356" s="16">
        <v>0</v>
      </c>
      <c r="KB356" s="16">
        <v>0</v>
      </c>
      <c r="KC356" s="16">
        <v>0</v>
      </c>
      <c r="KD356" s="16">
        <v>0</v>
      </c>
      <c r="KE356" s="16">
        <v>0</v>
      </c>
      <c r="KF356" s="16">
        <v>0</v>
      </c>
      <c r="KG356" s="16">
        <v>0</v>
      </c>
      <c r="KH356" s="16">
        <v>0</v>
      </c>
      <c r="KI356" s="16">
        <v>0</v>
      </c>
      <c r="KJ356" s="16">
        <v>0</v>
      </c>
      <c r="KK356" s="16">
        <v>0</v>
      </c>
      <c r="KL356" s="16">
        <v>0</v>
      </c>
      <c r="KM356" s="16">
        <v>0</v>
      </c>
      <c r="KN356" s="16">
        <v>0</v>
      </c>
      <c r="KO356" s="16">
        <v>0</v>
      </c>
      <c r="KP356" s="16">
        <v>0</v>
      </c>
      <c r="KQ356" s="16">
        <v>658474</v>
      </c>
      <c r="KR356" s="16">
        <v>0</v>
      </c>
      <c r="KS356" s="16">
        <v>0</v>
      </c>
      <c r="KT356" s="16">
        <v>0</v>
      </c>
      <c r="KU356" s="16">
        <v>0</v>
      </c>
      <c r="KV356" s="16">
        <v>0</v>
      </c>
      <c r="KW356" s="16">
        <v>0</v>
      </c>
      <c r="KX356" s="16">
        <v>0</v>
      </c>
      <c r="KY356" s="16">
        <v>0</v>
      </c>
      <c r="KZ356" s="16">
        <v>0</v>
      </c>
      <c r="LA356" s="16">
        <v>0</v>
      </c>
      <c r="LB356" s="16">
        <v>0</v>
      </c>
      <c r="LC356" s="16">
        <v>0</v>
      </c>
      <c r="LD356" s="16">
        <v>0</v>
      </c>
      <c r="LE356" s="16">
        <v>0</v>
      </c>
      <c r="LF356" s="16">
        <v>0</v>
      </c>
      <c r="LG356" s="16">
        <v>0</v>
      </c>
      <c r="LH356" s="16">
        <v>0</v>
      </c>
      <c r="LI356" s="16">
        <v>0</v>
      </c>
      <c r="LJ356" s="16">
        <v>0</v>
      </c>
      <c r="LK356" s="16">
        <v>0</v>
      </c>
      <c r="LL356" s="16">
        <v>0</v>
      </c>
      <c r="LM356" s="16">
        <v>0</v>
      </c>
      <c r="LN356" s="16">
        <v>0</v>
      </c>
      <c r="LO356" s="16">
        <v>0</v>
      </c>
      <c r="LP356" s="16">
        <v>0</v>
      </c>
      <c r="LQ356" s="16">
        <v>0</v>
      </c>
      <c r="LR356" s="16">
        <v>0</v>
      </c>
      <c r="LS356" s="16">
        <v>0</v>
      </c>
      <c r="LT356" s="16">
        <v>0</v>
      </c>
      <c r="LU356" s="16">
        <v>0</v>
      </c>
      <c r="LV356" s="16">
        <v>0</v>
      </c>
      <c r="LW356" s="16">
        <v>0</v>
      </c>
      <c r="LX356" s="16">
        <v>0</v>
      </c>
      <c r="LY356" s="16">
        <v>0</v>
      </c>
      <c r="LZ356" s="16">
        <v>0</v>
      </c>
      <c r="MA356" s="16">
        <v>0</v>
      </c>
      <c r="MB356" s="16">
        <v>0</v>
      </c>
      <c r="MC356" s="16">
        <v>0</v>
      </c>
      <c r="MD356" s="16">
        <v>0</v>
      </c>
      <c r="ME356" s="16">
        <v>0</v>
      </c>
      <c r="MF356" s="16">
        <v>0</v>
      </c>
      <c r="MG356" s="16">
        <v>0</v>
      </c>
      <c r="MH356" s="16">
        <v>0</v>
      </c>
      <c r="MI356" s="16">
        <v>0</v>
      </c>
      <c r="MJ356" s="16">
        <v>0</v>
      </c>
      <c r="MK356" s="16">
        <v>0</v>
      </c>
      <c r="ML356" s="16">
        <v>0</v>
      </c>
      <c r="MM356" s="16">
        <v>0</v>
      </c>
      <c r="MN356" s="16">
        <v>0</v>
      </c>
      <c r="MO356" s="16">
        <v>0</v>
      </c>
      <c r="MP356" s="16">
        <v>0</v>
      </c>
      <c r="MQ356" s="16">
        <v>0</v>
      </c>
      <c r="MR356" s="16">
        <v>0</v>
      </c>
      <c r="MS356" s="16">
        <v>0</v>
      </c>
      <c r="MT356" s="16">
        <v>0</v>
      </c>
      <c r="MU356" s="16">
        <v>0</v>
      </c>
      <c r="MV356" s="16">
        <v>0</v>
      </c>
      <c r="MW356" s="16">
        <v>0</v>
      </c>
      <c r="MX356" s="16">
        <v>0</v>
      </c>
      <c r="MY356" s="16">
        <v>0</v>
      </c>
      <c r="MZ356" s="16">
        <v>0</v>
      </c>
      <c r="NA356" s="16">
        <v>0</v>
      </c>
      <c r="NB356" s="16">
        <v>0</v>
      </c>
      <c r="NC356" s="16">
        <v>0</v>
      </c>
      <c r="ND356" s="16">
        <v>0</v>
      </c>
      <c r="NE356" s="16">
        <v>0</v>
      </c>
      <c r="NF356" s="16">
        <v>0</v>
      </c>
      <c r="NG356" s="16">
        <v>0</v>
      </c>
      <c r="NH356" s="16">
        <v>0</v>
      </c>
      <c r="NI356" s="16">
        <v>0</v>
      </c>
      <c r="NJ356" s="16">
        <v>0</v>
      </c>
      <c r="NK356" s="16">
        <v>0</v>
      </c>
      <c r="NL356" s="16">
        <v>0</v>
      </c>
      <c r="NM356" s="16">
        <v>0</v>
      </c>
      <c r="NN356" s="16">
        <v>0</v>
      </c>
      <c r="NO356" s="16">
        <v>0</v>
      </c>
      <c r="NP356" s="16">
        <v>0</v>
      </c>
      <c r="NQ356" s="16">
        <v>947836</v>
      </c>
      <c r="NR356" s="17">
        <v>1715436</v>
      </c>
    </row>
    <row r="357" spans="1:382" ht="13.5" customHeight="1" x14ac:dyDescent="0.2">
      <c r="A357" s="2" t="s">
        <v>721</v>
      </c>
      <c r="B357" s="16">
        <v>0</v>
      </c>
      <c r="C357" s="16">
        <v>0</v>
      </c>
      <c r="D357" s="16">
        <v>0</v>
      </c>
      <c r="E357" s="16">
        <v>0</v>
      </c>
      <c r="F357" s="16">
        <v>0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16">
        <v>0</v>
      </c>
      <c r="AF357" s="16">
        <v>0</v>
      </c>
      <c r="AG357" s="16">
        <v>0</v>
      </c>
      <c r="AH357" s="16">
        <v>0</v>
      </c>
      <c r="AI357" s="16">
        <v>0</v>
      </c>
      <c r="AJ357" s="16">
        <v>0</v>
      </c>
      <c r="AK357" s="16">
        <v>0</v>
      </c>
      <c r="AL357" s="16">
        <v>0</v>
      </c>
      <c r="AM357" s="16">
        <v>0</v>
      </c>
      <c r="AN357" s="16">
        <v>0</v>
      </c>
      <c r="AO357" s="16">
        <v>0</v>
      </c>
      <c r="AP357" s="16">
        <v>0</v>
      </c>
      <c r="AQ357" s="16">
        <v>0</v>
      </c>
      <c r="AR357" s="16">
        <v>0</v>
      </c>
      <c r="AS357" s="16">
        <v>0</v>
      </c>
      <c r="AT357" s="16">
        <v>0</v>
      </c>
      <c r="AU357" s="16">
        <v>0</v>
      </c>
      <c r="AV357" s="16">
        <v>0</v>
      </c>
      <c r="AW357" s="16">
        <v>0</v>
      </c>
      <c r="AX357" s="16">
        <v>0</v>
      </c>
      <c r="AY357" s="16">
        <v>0</v>
      </c>
      <c r="AZ357" s="16">
        <v>0</v>
      </c>
      <c r="BA357" s="16">
        <v>0</v>
      </c>
      <c r="BB357" s="16">
        <v>0</v>
      </c>
      <c r="BC357" s="16">
        <v>0</v>
      </c>
      <c r="BD357" s="16">
        <v>0</v>
      </c>
      <c r="BE357" s="16">
        <v>0</v>
      </c>
      <c r="BF357" s="16">
        <v>0</v>
      </c>
      <c r="BG357" s="16">
        <v>0</v>
      </c>
      <c r="BH357" s="16">
        <v>0</v>
      </c>
      <c r="BI357" s="16">
        <v>0</v>
      </c>
      <c r="BJ357" s="16">
        <v>0</v>
      </c>
      <c r="BK357" s="16">
        <v>0</v>
      </c>
      <c r="BL357" s="16">
        <v>0</v>
      </c>
      <c r="BM357" s="16">
        <v>0</v>
      </c>
      <c r="BN357" s="16">
        <v>0</v>
      </c>
      <c r="BO357" s="16">
        <v>0</v>
      </c>
      <c r="BP357" s="16">
        <v>0</v>
      </c>
      <c r="BQ357" s="16">
        <v>0</v>
      </c>
      <c r="BR357" s="16">
        <v>0</v>
      </c>
      <c r="BS357" s="16">
        <v>0</v>
      </c>
      <c r="BT357" s="16">
        <v>0</v>
      </c>
      <c r="BU357" s="16">
        <v>0</v>
      </c>
      <c r="BV357" s="16">
        <v>0</v>
      </c>
      <c r="BW357" s="16">
        <v>0</v>
      </c>
      <c r="BX357" s="16">
        <v>0</v>
      </c>
      <c r="BY357" s="16">
        <v>0</v>
      </c>
      <c r="BZ357" s="16">
        <v>0</v>
      </c>
      <c r="CA357" s="16">
        <v>0</v>
      </c>
      <c r="CB357" s="16">
        <v>0</v>
      </c>
      <c r="CC357" s="16">
        <v>0</v>
      </c>
      <c r="CD357" s="16">
        <v>0</v>
      </c>
      <c r="CE357" s="16">
        <v>0</v>
      </c>
      <c r="CF357" s="16">
        <v>0</v>
      </c>
      <c r="CG357" s="16">
        <v>0</v>
      </c>
      <c r="CH357" s="16">
        <v>0</v>
      </c>
      <c r="CI357" s="16">
        <v>0</v>
      </c>
      <c r="CJ357" s="16">
        <v>0</v>
      </c>
      <c r="CK357" s="16">
        <v>0</v>
      </c>
      <c r="CL357" s="16">
        <v>0</v>
      </c>
      <c r="CM357" s="16">
        <v>0</v>
      </c>
      <c r="CN357" s="16">
        <v>0</v>
      </c>
      <c r="CO357" s="16">
        <v>0</v>
      </c>
      <c r="CP357" s="16">
        <v>0</v>
      </c>
      <c r="CQ357" s="16">
        <v>0</v>
      </c>
      <c r="CR357" s="16">
        <v>0</v>
      </c>
      <c r="CS357" s="16">
        <v>0</v>
      </c>
      <c r="CT357" s="16">
        <v>0</v>
      </c>
      <c r="CU357" s="16">
        <v>0</v>
      </c>
      <c r="CV357" s="16">
        <v>0</v>
      </c>
      <c r="CW357" s="16">
        <v>0</v>
      </c>
      <c r="CX357" s="16">
        <v>0</v>
      </c>
      <c r="CY357" s="16">
        <v>0</v>
      </c>
      <c r="CZ357" s="16">
        <v>0</v>
      </c>
      <c r="DA357" s="16">
        <v>0</v>
      </c>
      <c r="DB357" s="16">
        <v>0</v>
      </c>
      <c r="DC357" s="16">
        <v>0</v>
      </c>
      <c r="DD357" s="16">
        <v>0</v>
      </c>
      <c r="DE357" s="16">
        <v>0</v>
      </c>
      <c r="DF357" s="16">
        <v>0</v>
      </c>
      <c r="DG357" s="16">
        <v>0</v>
      </c>
      <c r="DH357" s="16">
        <v>0</v>
      </c>
      <c r="DI357" s="16">
        <v>0</v>
      </c>
      <c r="DJ357" s="16">
        <v>0</v>
      </c>
      <c r="DK357" s="16">
        <v>0</v>
      </c>
      <c r="DL357" s="16">
        <v>0</v>
      </c>
      <c r="DM357" s="16">
        <v>0</v>
      </c>
      <c r="DN357" s="16">
        <v>0</v>
      </c>
      <c r="DO357" s="16">
        <v>0</v>
      </c>
      <c r="DP357" s="16">
        <v>0</v>
      </c>
      <c r="DQ357" s="16">
        <v>0</v>
      </c>
      <c r="DR357" s="16">
        <v>0</v>
      </c>
      <c r="DS357" s="16">
        <v>0</v>
      </c>
      <c r="DT357" s="16">
        <v>0</v>
      </c>
      <c r="DU357" s="16">
        <v>0</v>
      </c>
      <c r="DV357" s="16">
        <v>0</v>
      </c>
      <c r="DW357" s="16">
        <v>0</v>
      </c>
      <c r="DX357" s="16">
        <v>0</v>
      </c>
      <c r="DY357" s="16">
        <v>0</v>
      </c>
      <c r="DZ357" s="16">
        <v>0</v>
      </c>
      <c r="EA357" s="16">
        <v>0</v>
      </c>
      <c r="EB357" s="16">
        <v>0</v>
      </c>
      <c r="EC357" s="16">
        <v>0</v>
      </c>
      <c r="ED357" s="16">
        <v>0</v>
      </c>
      <c r="EE357" s="16">
        <v>0</v>
      </c>
      <c r="EF357" s="16">
        <v>0</v>
      </c>
      <c r="EG357" s="16">
        <v>0</v>
      </c>
      <c r="EH357" s="16">
        <v>0</v>
      </c>
      <c r="EI357" s="16">
        <v>0</v>
      </c>
      <c r="EJ357" s="16">
        <v>0</v>
      </c>
      <c r="EK357" s="16">
        <v>0</v>
      </c>
      <c r="EL357" s="16">
        <v>0</v>
      </c>
      <c r="EM357" s="16">
        <v>0</v>
      </c>
      <c r="EN357" s="16">
        <v>0</v>
      </c>
      <c r="EO357" s="16">
        <v>0</v>
      </c>
      <c r="EP357" s="16">
        <v>0</v>
      </c>
      <c r="EQ357" s="16">
        <v>0</v>
      </c>
      <c r="ER357" s="16">
        <v>0</v>
      </c>
      <c r="ES357" s="16">
        <v>0</v>
      </c>
      <c r="ET357" s="16">
        <v>0</v>
      </c>
      <c r="EU357" s="16">
        <v>0</v>
      </c>
      <c r="EV357" s="16">
        <v>0</v>
      </c>
      <c r="EW357" s="16">
        <v>0</v>
      </c>
      <c r="EX357" s="16">
        <v>0</v>
      </c>
      <c r="EY357" s="16">
        <v>0</v>
      </c>
      <c r="EZ357" s="16">
        <v>0</v>
      </c>
      <c r="FA357" s="16">
        <v>0</v>
      </c>
      <c r="FB357" s="16">
        <v>0</v>
      </c>
      <c r="FC357" s="16">
        <v>0</v>
      </c>
      <c r="FD357" s="16">
        <v>0</v>
      </c>
      <c r="FE357" s="16">
        <v>0</v>
      </c>
      <c r="FF357" s="16">
        <v>0</v>
      </c>
      <c r="FG357" s="16">
        <v>0</v>
      </c>
      <c r="FH357" s="16">
        <v>0</v>
      </c>
      <c r="FI357" s="16">
        <v>0</v>
      </c>
      <c r="FJ357" s="16">
        <v>0</v>
      </c>
      <c r="FK357" s="16">
        <v>0</v>
      </c>
      <c r="FL357" s="16">
        <v>0</v>
      </c>
      <c r="FM357" s="16">
        <v>0</v>
      </c>
      <c r="FN357" s="16">
        <v>0</v>
      </c>
      <c r="FO357" s="16">
        <v>0</v>
      </c>
      <c r="FP357" s="16">
        <v>0</v>
      </c>
      <c r="FQ357" s="16">
        <v>0</v>
      </c>
      <c r="FR357" s="16">
        <v>0</v>
      </c>
      <c r="FS357" s="16">
        <v>0</v>
      </c>
      <c r="FT357" s="16">
        <v>0</v>
      </c>
      <c r="FU357" s="16">
        <v>0</v>
      </c>
      <c r="FV357" s="16">
        <v>0</v>
      </c>
      <c r="FW357" s="16">
        <v>0</v>
      </c>
      <c r="FX357" s="16">
        <v>0</v>
      </c>
      <c r="FY357" s="16">
        <v>0</v>
      </c>
      <c r="FZ357" s="16">
        <v>0</v>
      </c>
      <c r="GA357" s="16">
        <v>0</v>
      </c>
      <c r="GB357" s="16">
        <v>0</v>
      </c>
      <c r="GC357" s="16">
        <v>0</v>
      </c>
      <c r="GD357" s="16">
        <v>0</v>
      </c>
      <c r="GE357" s="16">
        <v>0</v>
      </c>
      <c r="GF357" s="16">
        <v>0</v>
      </c>
      <c r="GG357" s="16">
        <v>0</v>
      </c>
      <c r="GH357" s="16">
        <v>0</v>
      </c>
      <c r="GI357" s="16">
        <v>0</v>
      </c>
      <c r="GJ357" s="16">
        <v>0</v>
      </c>
      <c r="GK357" s="16">
        <v>0</v>
      </c>
      <c r="GL357" s="16">
        <v>0</v>
      </c>
      <c r="GM357" s="16">
        <v>0</v>
      </c>
      <c r="GN357" s="16">
        <v>0</v>
      </c>
      <c r="GO357" s="16">
        <v>0</v>
      </c>
      <c r="GP357" s="16">
        <v>0</v>
      </c>
      <c r="GQ357" s="16">
        <v>0</v>
      </c>
      <c r="GR357" s="16">
        <v>0</v>
      </c>
      <c r="GS357" s="16">
        <v>0</v>
      </c>
      <c r="GT357" s="16">
        <v>0</v>
      </c>
      <c r="GU357" s="16">
        <v>0</v>
      </c>
      <c r="GV357" s="16">
        <v>0</v>
      </c>
      <c r="GW357" s="16">
        <v>0</v>
      </c>
      <c r="GX357" s="16">
        <v>0</v>
      </c>
      <c r="GY357" s="16">
        <v>0</v>
      </c>
      <c r="GZ357" s="16">
        <v>0</v>
      </c>
      <c r="HA357" s="16">
        <v>0</v>
      </c>
      <c r="HB357" s="16">
        <v>0</v>
      </c>
      <c r="HC357" s="16">
        <v>0</v>
      </c>
      <c r="HD357" s="16">
        <v>0</v>
      </c>
      <c r="HE357" s="16">
        <v>0</v>
      </c>
      <c r="HF357" s="16">
        <v>0</v>
      </c>
      <c r="HG357" s="16">
        <v>0</v>
      </c>
      <c r="HH357" s="16">
        <v>0</v>
      </c>
      <c r="HI357" s="16">
        <v>0</v>
      </c>
      <c r="HJ357" s="16">
        <v>0</v>
      </c>
      <c r="HK357" s="16">
        <v>0</v>
      </c>
      <c r="HL357" s="16">
        <v>0</v>
      </c>
      <c r="HM357" s="16">
        <v>0</v>
      </c>
      <c r="HN357" s="16">
        <v>0</v>
      </c>
      <c r="HO357" s="16">
        <v>0</v>
      </c>
      <c r="HP357" s="16">
        <v>0</v>
      </c>
      <c r="HQ357" s="16">
        <v>0</v>
      </c>
      <c r="HR357" s="16">
        <v>0</v>
      </c>
      <c r="HS357" s="16">
        <v>0</v>
      </c>
      <c r="HT357" s="16">
        <v>0</v>
      </c>
      <c r="HU357" s="16">
        <v>0</v>
      </c>
      <c r="HV357" s="16">
        <v>0</v>
      </c>
      <c r="HW357" s="16">
        <v>0</v>
      </c>
      <c r="HX357" s="16">
        <v>0</v>
      </c>
      <c r="HY357" s="16">
        <v>0</v>
      </c>
      <c r="HZ357" s="16">
        <v>0</v>
      </c>
      <c r="IA357" s="16">
        <v>0</v>
      </c>
      <c r="IB357" s="16">
        <v>0</v>
      </c>
      <c r="IC357" s="16">
        <v>0</v>
      </c>
      <c r="ID357" s="16">
        <v>0</v>
      </c>
      <c r="IE357" s="16">
        <v>0</v>
      </c>
      <c r="IF357" s="16">
        <v>0</v>
      </c>
      <c r="IG357" s="16">
        <v>0</v>
      </c>
      <c r="IH357" s="16">
        <v>0</v>
      </c>
      <c r="II357" s="16">
        <v>0</v>
      </c>
      <c r="IJ357" s="16">
        <v>0</v>
      </c>
      <c r="IK357" s="16">
        <v>0</v>
      </c>
      <c r="IL357" s="16">
        <v>0</v>
      </c>
      <c r="IM357" s="16">
        <v>0</v>
      </c>
      <c r="IN357" s="16">
        <v>0</v>
      </c>
      <c r="IO357" s="16">
        <v>0</v>
      </c>
      <c r="IP357" s="16">
        <v>0</v>
      </c>
      <c r="IQ357" s="16">
        <v>0</v>
      </c>
      <c r="IR357" s="16">
        <v>0</v>
      </c>
      <c r="IS357" s="16">
        <v>0</v>
      </c>
      <c r="IT357" s="16">
        <v>0</v>
      </c>
      <c r="IU357" s="16">
        <v>0</v>
      </c>
      <c r="IV357" s="16">
        <v>0</v>
      </c>
      <c r="IW357" s="16">
        <v>0</v>
      </c>
      <c r="IX357" s="16">
        <v>0</v>
      </c>
      <c r="IY357" s="16">
        <v>0</v>
      </c>
      <c r="IZ357" s="16">
        <v>0</v>
      </c>
      <c r="JA357" s="16">
        <v>0</v>
      </c>
      <c r="JB357" s="16">
        <v>0</v>
      </c>
      <c r="JC357" s="16">
        <v>0</v>
      </c>
      <c r="JD357" s="16">
        <v>0</v>
      </c>
      <c r="JE357" s="16">
        <v>0</v>
      </c>
      <c r="JF357" s="16">
        <v>0</v>
      </c>
      <c r="JG357" s="16">
        <v>0</v>
      </c>
      <c r="JH357" s="16">
        <v>0</v>
      </c>
      <c r="JI357" s="16">
        <v>0</v>
      </c>
      <c r="JJ357" s="16">
        <v>0</v>
      </c>
      <c r="JK357" s="16">
        <v>0</v>
      </c>
      <c r="JL357" s="16">
        <v>0</v>
      </c>
      <c r="JM357" s="16">
        <v>0</v>
      </c>
      <c r="JN357" s="16">
        <v>0</v>
      </c>
      <c r="JO357" s="16">
        <v>0</v>
      </c>
      <c r="JP357" s="16">
        <v>0</v>
      </c>
      <c r="JQ357" s="16">
        <v>0</v>
      </c>
      <c r="JR357" s="16">
        <v>0</v>
      </c>
      <c r="JS357" s="16">
        <v>0</v>
      </c>
      <c r="JT357" s="16">
        <v>0</v>
      </c>
      <c r="JU357" s="16">
        <v>0</v>
      </c>
      <c r="JV357" s="16">
        <v>0</v>
      </c>
      <c r="JW357" s="16">
        <v>0</v>
      </c>
      <c r="JX357" s="16">
        <v>0</v>
      </c>
      <c r="JY357" s="16">
        <v>0</v>
      </c>
      <c r="JZ357" s="16">
        <v>0</v>
      </c>
      <c r="KA357" s="16">
        <v>0</v>
      </c>
      <c r="KB357" s="16">
        <v>0</v>
      </c>
      <c r="KC357" s="16">
        <v>0</v>
      </c>
      <c r="KD357" s="16">
        <v>0</v>
      </c>
      <c r="KE357" s="16">
        <v>0</v>
      </c>
      <c r="KF357" s="16">
        <v>0</v>
      </c>
      <c r="KG357" s="16">
        <v>0</v>
      </c>
      <c r="KH357" s="16">
        <v>0</v>
      </c>
      <c r="KI357" s="16">
        <v>0</v>
      </c>
      <c r="KJ357" s="16">
        <v>0</v>
      </c>
      <c r="KK357" s="16">
        <v>0</v>
      </c>
      <c r="KL357" s="16">
        <v>0</v>
      </c>
      <c r="KM357" s="16">
        <v>0</v>
      </c>
      <c r="KN357" s="16">
        <v>0</v>
      </c>
      <c r="KO357" s="16">
        <v>0</v>
      </c>
      <c r="KP357" s="16">
        <v>0</v>
      </c>
      <c r="KQ357" s="16">
        <v>0</v>
      </c>
      <c r="KR357" s="16">
        <v>0</v>
      </c>
      <c r="KS357" s="16">
        <v>0</v>
      </c>
      <c r="KT357" s="16">
        <v>0</v>
      </c>
      <c r="KU357" s="16">
        <v>0</v>
      </c>
      <c r="KV357" s="16">
        <v>0</v>
      </c>
      <c r="KW357" s="16">
        <v>0</v>
      </c>
      <c r="KX357" s="16">
        <v>0</v>
      </c>
      <c r="KY357" s="16">
        <v>0</v>
      </c>
      <c r="KZ357" s="16">
        <v>0</v>
      </c>
      <c r="LA357" s="16">
        <v>0</v>
      </c>
      <c r="LB357" s="16">
        <v>0</v>
      </c>
      <c r="LC357" s="16">
        <v>0</v>
      </c>
      <c r="LD357" s="16">
        <v>0</v>
      </c>
      <c r="LE357" s="16">
        <v>0</v>
      </c>
      <c r="LF357" s="16">
        <v>0</v>
      </c>
      <c r="LG357" s="16">
        <v>0</v>
      </c>
      <c r="LH357" s="16">
        <v>0</v>
      </c>
      <c r="LI357" s="16">
        <v>0</v>
      </c>
      <c r="LJ357" s="16">
        <v>0</v>
      </c>
      <c r="LK357" s="16">
        <v>0</v>
      </c>
      <c r="LL357" s="16">
        <v>0</v>
      </c>
      <c r="LM357" s="16">
        <v>0</v>
      </c>
      <c r="LN357" s="16">
        <v>0</v>
      </c>
      <c r="LO357" s="16">
        <v>0</v>
      </c>
      <c r="LP357" s="16">
        <v>0</v>
      </c>
      <c r="LQ357" s="16">
        <v>0</v>
      </c>
      <c r="LR357" s="16">
        <v>0</v>
      </c>
      <c r="LS357" s="16">
        <v>0</v>
      </c>
      <c r="LT357" s="16">
        <v>0</v>
      </c>
      <c r="LU357" s="16">
        <v>0</v>
      </c>
      <c r="LV357" s="16">
        <v>0</v>
      </c>
      <c r="LW357" s="16">
        <v>0</v>
      </c>
      <c r="LX357" s="16">
        <v>0</v>
      </c>
      <c r="LY357" s="16">
        <v>0</v>
      </c>
      <c r="LZ357" s="16">
        <v>0</v>
      </c>
      <c r="MA357" s="16">
        <v>0</v>
      </c>
      <c r="MB357" s="16">
        <v>0</v>
      </c>
      <c r="MC357" s="16">
        <v>0</v>
      </c>
      <c r="MD357" s="16">
        <v>0</v>
      </c>
      <c r="ME357" s="16">
        <v>0</v>
      </c>
      <c r="MF357" s="16">
        <v>0</v>
      </c>
      <c r="MG357" s="16">
        <v>0</v>
      </c>
      <c r="MH357" s="16">
        <v>0</v>
      </c>
      <c r="MI357" s="16">
        <v>0</v>
      </c>
      <c r="MJ357" s="16">
        <v>0</v>
      </c>
      <c r="MK357" s="16">
        <v>0</v>
      </c>
      <c r="ML357" s="16">
        <v>0</v>
      </c>
      <c r="MM357" s="16">
        <v>0</v>
      </c>
      <c r="MN357" s="16">
        <v>0</v>
      </c>
      <c r="MO357" s="16">
        <v>0</v>
      </c>
      <c r="MP357" s="16">
        <v>0</v>
      </c>
      <c r="MQ357" s="16">
        <v>0</v>
      </c>
      <c r="MR357" s="16">
        <v>0</v>
      </c>
      <c r="MS357" s="16">
        <v>0</v>
      </c>
      <c r="MT357" s="16">
        <v>0</v>
      </c>
      <c r="MU357" s="16">
        <v>0</v>
      </c>
      <c r="MV357" s="16">
        <v>0</v>
      </c>
      <c r="MW357" s="16">
        <v>0</v>
      </c>
      <c r="MX357" s="16">
        <v>0</v>
      </c>
      <c r="MY357" s="16">
        <v>0</v>
      </c>
      <c r="MZ357" s="16">
        <v>0</v>
      </c>
      <c r="NA357" s="16">
        <v>0</v>
      </c>
      <c r="NB357" s="16">
        <v>0</v>
      </c>
      <c r="NC357" s="16">
        <v>0</v>
      </c>
      <c r="ND357" s="16">
        <v>0</v>
      </c>
      <c r="NE357" s="16">
        <v>0</v>
      </c>
      <c r="NF357" s="16">
        <v>0</v>
      </c>
      <c r="NG357" s="16">
        <v>0</v>
      </c>
      <c r="NH357" s="16">
        <v>0</v>
      </c>
      <c r="NI357" s="16">
        <v>0</v>
      </c>
      <c r="NJ357" s="16">
        <v>0</v>
      </c>
      <c r="NK357" s="16">
        <v>0</v>
      </c>
      <c r="NL357" s="16">
        <v>0</v>
      </c>
      <c r="NM357" s="16">
        <v>0</v>
      </c>
      <c r="NN357" s="16">
        <v>0</v>
      </c>
      <c r="NO357" s="16">
        <v>0</v>
      </c>
      <c r="NP357" s="16">
        <v>0</v>
      </c>
      <c r="NQ357" s="16">
        <v>3378255</v>
      </c>
      <c r="NR357" s="17">
        <v>3378255</v>
      </c>
    </row>
    <row r="358" spans="1:382" ht="13.5" customHeight="1" x14ac:dyDescent="0.2">
      <c r="A358" s="2" t="s">
        <v>723</v>
      </c>
      <c r="B358" s="16">
        <v>0</v>
      </c>
      <c r="C358" s="16">
        <v>0</v>
      </c>
      <c r="D358" s="16">
        <v>0</v>
      </c>
      <c r="E358" s="16">
        <v>0</v>
      </c>
      <c r="F358" s="16">
        <v>0</v>
      </c>
      <c r="G358" s="16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  <c r="AC358" s="16">
        <v>0</v>
      </c>
      <c r="AD358" s="16">
        <v>0</v>
      </c>
      <c r="AE358" s="16">
        <v>0</v>
      </c>
      <c r="AF358" s="16">
        <v>0</v>
      </c>
      <c r="AG358" s="16">
        <v>0</v>
      </c>
      <c r="AH358" s="16">
        <v>0</v>
      </c>
      <c r="AI358" s="16">
        <v>0</v>
      </c>
      <c r="AJ358" s="16">
        <v>0</v>
      </c>
      <c r="AK358" s="16">
        <v>0</v>
      </c>
      <c r="AL358" s="16">
        <v>0</v>
      </c>
      <c r="AM358" s="16">
        <v>0</v>
      </c>
      <c r="AN358" s="16">
        <v>0</v>
      </c>
      <c r="AO358" s="16">
        <v>0</v>
      </c>
      <c r="AP358" s="16">
        <v>0</v>
      </c>
      <c r="AQ358" s="16">
        <v>0</v>
      </c>
      <c r="AR358" s="16">
        <v>0</v>
      </c>
      <c r="AS358" s="16">
        <v>0</v>
      </c>
      <c r="AT358" s="16">
        <v>0</v>
      </c>
      <c r="AU358" s="16">
        <v>0</v>
      </c>
      <c r="AV358" s="16">
        <v>0</v>
      </c>
      <c r="AW358" s="16">
        <v>0</v>
      </c>
      <c r="AX358" s="16">
        <v>0</v>
      </c>
      <c r="AY358" s="16">
        <v>0</v>
      </c>
      <c r="AZ358" s="16">
        <v>0</v>
      </c>
      <c r="BA358" s="16">
        <v>0</v>
      </c>
      <c r="BB358" s="16">
        <v>0</v>
      </c>
      <c r="BC358" s="16">
        <v>0</v>
      </c>
      <c r="BD358" s="16">
        <v>0</v>
      </c>
      <c r="BE358" s="16">
        <v>0</v>
      </c>
      <c r="BF358" s="16">
        <v>0</v>
      </c>
      <c r="BG358" s="16">
        <v>0</v>
      </c>
      <c r="BH358" s="16">
        <v>0</v>
      </c>
      <c r="BI358" s="16">
        <v>0</v>
      </c>
      <c r="BJ358" s="16">
        <v>0</v>
      </c>
      <c r="BK358" s="16">
        <v>0</v>
      </c>
      <c r="BL358" s="16">
        <v>0</v>
      </c>
      <c r="BM358" s="16">
        <v>0</v>
      </c>
      <c r="BN358" s="16">
        <v>0</v>
      </c>
      <c r="BO358" s="16">
        <v>0</v>
      </c>
      <c r="BP358" s="16">
        <v>0</v>
      </c>
      <c r="BQ358" s="16">
        <v>0</v>
      </c>
      <c r="BR358" s="16">
        <v>0</v>
      </c>
      <c r="BS358" s="16">
        <v>0</v>
      </c>
      <c r="BT358" s="16">
        <v>0</v>
      </c>
      <c r="BU358" s="16">
        <v>0</v>
      </c>
      <c r="BV358" s="16">
        <v>0</v>
      </c>
      <c r="BW358" s="16">
        <v>0</v>
      </c>
      <c r="BX358" s="16">
        <v>0</v>
      </c>
      <c r="BY358" s="16">
        <v>0</v>
      </c>
      <c r="BZ358" s="16">
        <v>0</v>
      </c>
      <c r="CA358" s="16">
        <v>0</v>
      </c>
      <c r="CB358" s="16">
        <v>0</v>
      </c>
      <c r="CC358" s="16">
        <v>0</v>
      </c>
      <c r="CD358" s="16">
        <v>0</v>
      </c>
      <c r="CE358" s="16">
        <v>0</v>
      </c>
      <c r="CF358" s="16">
        <v>0</v>
      </c>
      <c r="CG358" s="16">
        <v>0</v>
      </c>
      <c r="CH358" s="16">
        <v>0</v>
      </c>
      <c r="CI358" s="16">
        <v>0</v>
      </c>
      <c r="CJ358" s="16">
        <v>0</v>
      </c>
      <c r="CK358" s="16">
        <v>0</v>
      </c>
      <c r="CL358" s="16">
        <v>0</v>
      </c>
      <c r="CM358" s="16">
        <v>0</v>
      </c>
      <c r="CN358" s="16">
        <v>0</v>
      </c>
      <c r="CO358" s="16">
        <v>0</v>
      </c>
      <c r="CP358" s="16">
        <v>0</v>
      </c>
      <c r="CQ358" s="16">
        <v>0</v>
      </c>
      <c r="CR358" s="16">
        <v>0</v>
      </c>
      <c r="CS358" s="16">
        <v>0</v>
      </c>
      <c r="CT358" s="16">
        <v>0</v>
      </c>
      <c r="CU358" s="16">
        <v>0</v>
      </c>
      <c r="CV358" s="16">
        <v>0</v>
      </c>
      <c r="CW358" s="16">
        <v>0</v>
      </c>
      <c r="CX358" s="16">
        <v>0</v>
      </c>
      <c r="CY358" s="16">
        <v>0</v>
      </c>
      <c r="CZ358" s="16">
        <v>0</v>
      </c>
      <c r="DA358" s="16">
        <v>0</v>
      </c>
      <c r="DB358" s="16">
        <v>0</v>
      </c>
      <c r="DC358" s="16">
        <v>0</v>
      </c>
      <c r="DD358" s="16">
        <v>0</v>
      </c>
      <c r="DE358" s="16">
        <v>0</v>
      </c>
      <c r="DF358" s="16">
        <v>0</v>
      </c>
      <c r="DG358" s="16">
        <v>0</v>
      </c>
      <c r="DH358" s="16">
        <v>0</v>
      </c>
      <c r="DI358" s="16">
        <v>0</v>
      </c>
      <c r="DJ358" s="16">
        <v>0</v>
      </c>
      <c r="DK358" s="16">
        <v>0</v>
      </c>
      <c r="DL358" s="16">
        <v>0</v>
      </c>
      <c r="DM358" s="16">
        <v>0</v>
      </c>
      <c r="DN358" s="16">
        <v>0</v>
      </c>
      <c r="DO358" s="16">
        <v>0</v>
      </c>
      <c r="DP358" s="16">
        <v>0</v>
      </c>
      <c r="DQ358" s="16">
        <v>0</v>
      </c>
      <c r="DR358" s="16">
        <v>0</v>
      </c>
      <c r="DS358" s="16">
        <v>0</v>
      </c>
      <c r="DT358" s="16">
        <v>0</v>
      </c>
      <c r="DU358" s="16">
        <v>0</v>
      </c>
      <c r="DV358" s="16">
        <v>0</v>
      </c>
      <c r="DW358" s="16">
        <v>0</v>
      </c>
      <c r="DX358" s="16">
        <v>0</v>
      </c>
      <c r="DY358" s="16">
        <v>0</v>
      </c>
      <c r="DZ358" s="16">
        <v>0</v>
      </c>
      <c r="EA358" s="16">
        <v>0</v>
      </c>
      <c r="EB358" s="16">
        <v>0</v>
      </c>
      <c r="EC358" s="16">
        <v>0</v>
      </c>
      <c r="ED358" s="16">
        <v>0</v>
      </c>
      <c r="EE358" s="16">
        <v>0</v>
      </c>
      <c r="EF358" s="16">
        <v>0</v>
      </c>
      <c r="EG358" s="16">
        <v>0</v>
      </c>
      <c r="EH358" s="16">
        <v>0</v>
      </c>
      <c r="EI358" s="16">
        <v>0</v>
      </c>
      <c r="EJ358" s="16">
        <v>0</v>
      </c>
      <c r="EK358" s="16">
        <v>0</v>
      </c>
      <c r="EL358" s="16">
        <v>0</v>
      </c>
      <c r="EM358" s="16">
        <v>0</v>
      </c>
      <c r="EN358" s="16">
        <v>0</v>
      </c>
      <c r="EO358" s="16">
        <v>0</v>
      </c>
      <c r="EP358" s="16">
        <v>0</v>
      </c>
      <c r="EQ358" s="16">
        <v>0</v>
      </c>
      <c r="ER358" s="16">
        <v>0</v>
      </c>
      <c r="ES358" s="16">
        <v>0</v>
      </c>
      <c r="ET358" s="16">
        <v>0</v>
      </c>
      <c r="EU358" s="16">
        <v>0</v>
      </c>
      <c r="EV358" s="16">
        <v>0</v>
      </c>
      <c r="EW358" s="16">
        <v>0</v>
      </c>
      <c r="EX358" s="16">
        <v>0</v>
      </c>
      <c r="EY358" s="16">
        <v>0</v>
      </c>
      <c r="EZ358" s="16">
        <v>0</v>
      </c>
      <c r="FA358" s="16">
        <v>0</v>
      </c>
      <c r="FB358" s="16">
        <v>0</v>
      </c>
      <c r="FC358" s="16">
        <v>0</v>
      </c>
      <c r="FD358" s="16">
        <v>0</v>
      </c>
      <c r="FE358" s="16">
        <v>0</v>
      </c>
      <c r="FF358" s="16">
        <v>0</v>
      </c>
      <c r="FG358" s="16">
        <v>0</v>
      </c>
      <c r="FH358" s="16">
        <v>0</v>
      </c>
      <c r="FI358" s="16">
        <v>0</v>
      </c>
      <c r="FJ358" s="16">
        <v>0</v>
      </c>
      <c r="FK358" s="16">
        <v>0</v>
      </c>
      <c r="FL358" s="16">
        <v>0</v>
      </c>
      <c r="FM358" s="16">
        <v>0</v>
      </c>
      <c r="FN358" s="16">
        <v>0</v>
      </c>
      <c r="FO358" s="16">
        <v>0</v>
      </c>
      <c r="FP358" s="16">
        <v>0</v>
      </c>
      <c r="FQ358" s="16">
        <v>0</v>
      </c>
      <c r="FR358" s="16">
        <v>0</v>
      </c>
      <c r="FS358" s="16">
        <v>0</v>
      </c>
      <c r="FT358" s="16">
        <v>0</v>
      </c>
      <c r="FU358" s="16">
        <v>0</v>
      </c>
      <c r="FV358" s="16">
        <v>0</v>
      </c>
      <c r="FW358" s="16">
        <v>0</v>
      </c>
      <c r="FX358" s="16">
        <v>0</v>
      </c>
      <c r="FY358" s="16">
        <v>0</v>
      </c>
      <c r="FZ358" s="16">
        <v>0</v>
      </c>
      <c r="GA358" s="16">
        <v>0</v>
      </c>
      <c r="GB358" s="16">
        <v>0</v>
      </c>
      <c r="GC358" s="16">
        <v>0</v>
      </c>
      <c r="GD358" s="16">
        <v>0</v>
      </c>
      <c r="GE358" s="16">
        <v>0</v>
      </c>
      <c r="GF358" s="16">
        <v>0</v>
      </c>
      <c r="GG358" s="16">
        <v>0</v>
      </c>
      <c r="GH358" s="16">
        <v>0</v>
      </c>
      <c r="GI358" s="16">
        <v>0</v>
      </c>
      <c r="GJ358" s="16">
        <v>0</v>
      </c>
      <c r="GK358" s="16">
        <v>0</v>
      </c>
      <c r="GL358" s="16">
        <v>0</v>
      </c>
      <c r="GM358" s="16">
        <v>0</v>
      </c>
      <c r="GN358" s="16">
        <v>0</v>
      </c>
      <c r="GO358" s="16">
        <v>0</v>
      </c>
      <c r="GP358" s="16">
        <v>0</v>
      </c>
      <c r="GQ358" s="16">
        <v>0</v>
      </c>
      <c r="GR358" s="16">
        <v>0</v>
      </c>
      <c r="GS358" s="16">
        <v>0</v>
      </c>
      <c r="GT358" s="16">
        <v>0</v>
      </c>
      <c r="GU358" s="16">
        <v>0</v>
      </c>
      <c r="GV358" s="16">
        <v>0</v>
      </c>
      <c r="GW358" s="16">
        <v>0</v>
      </c>
      <c r="GX358" s="16">
        <v>0</v>
      </c>
      <c r="GY358" s="16">
        <v>0</v>
      </c>
      <c r="GZ358" s="16">
        <v>0</v>
      </c>
      <c r="HA358" s="16">
        <v>0</v>
      </c>
      <c r="HB358" s="16">
        <v>0</v>
      </c>
      <c r="HC358" s="16">
        <v>0</v>
      </c>
      <c r="HD358" s="16">
        <v>0</v>
      </c>
      <c r="HE358" s="16">
        <v>0</v>
      </c>
      <c r="HF358" s="16">
        <v>0</v>
      </c>
      <c r="HG358" s="16">
        <v>0</v>
      </c>
      <c r="HH358" s="16">
        <v>0</v>
      </c>
      <c r="HI358" s="16">
        <v>0</v>
      </c>
      <c r="HJ358" s="16">
        <v>0</v>
      </c>
      <c r="HK358" s="16">
        <v>0</v>
      </c>
      <c r="HL358" s="16">
        <v>0</v>
      </c>
      <c r="HM358" s="16">
        <v>0</v>
      </c>
      <c r="HN358" s="16">
        <v>0</v>
      </c>
      <c r="HO358" s="16">
        <v>0</v>
      </c>
      <c r="HP358" s="16">
        <v>0</v>
      </c>
      <c r="HQ358" s="16">
        <v>0</v>
      </c>
      <c r="HR358" s="16">
        <v>0</v>
      </c>
      <c r="HS358" s="16">
        <v>0</v>
      </c>
      <c r="HT358" s="16">
        <v>0</v>
      </c>
      <c r="HU358" s="16">
        <v>0</v>
      </c>
      <c r="HV358" s="16">
        <v>0</v>
      </c>
      <c r="HW358" s="16">
        <v>0</v>
      </c>
      <c r="HX358" s="16">
        <v>0</v>
      </c>
      <c r="HY358" s="16">
        <v>0</v>
      </c>
      <c r="HZ358" s="16">
        <v>0</v>
      </c>
      <c r="IA358" s="16">
        <v>0</v>
      </c>
      <c r="IB358" s="16">
        <v>0</v>
      </c>
      <c r="IC358" s="16">
        <v>0</v>
      </c>
      <c r="ID358" s="16">
        <v>0</v>
      </c>
      <c r="IE358" s="16">
        <v>0</v>
      </c>
      <c r="IF358" s="16">
        <v>0</v>
      </c>
      <c r="IG358" s="16">
        <v>0</v>
      </c>
      <c r="IH358" s="16">
        <v>0</v>
      </c>
      <c r="II358" s="16">
        <v>0</v>
      </c>
      <c r="IJ358" s="16">
        <v>0</v>
      </c>
      <c r="IK358" s="16">
        <v>0</v>
      </c>
      <c r="IL358" s="16">
        <v>0</v>
      </c>
      <c r="IM358" s="16">
        <v>0</v>
      </c>
      <c r="IN358" s="16">
        <v>0</v>
      </c>
      <c r="IO358" s="16">
        <v>0</v>
      </c>
      <c r="IP358" s="16">
        <v>0</v>
      </c>
      <c r="IQ358" s="16">
        <v>0</v>
      </c>
      <c r="IR358" s="16">
        <v>0</v>
      </c>
      <c r="IS358" s="16">
        <v>0</v>
      </c>
      <c r="IT358" s="16">
        <v>0</v>
      </c>
      <c r="IU358" s="16">
        <v>0</v>
      </c>
      <c r="IV358" s="16">
        <v>0</v>
      </c>
      <c r="IW358" s="16">
        <v>0</v>
      </c>
      <c r="IX358" s="16">
        <v>0</v>
      </c>
      <c r="IY358" s="16">
        <v>0</v>
      </c>
      <c r="IZ358" s="16">
        <v>0</v>
      </c>
      <c r="JA358" s="16">
        <v>0</v>
      </c>
      <c r="JB358" s="16">
        <v>0</v>
      </c>
      <c r="JC358" s="16">
        <v>0</v>
      </c>
      <c r="JD358" s="16">
        <v>0</v>
      </c>
      <c r="JE358" s="16">
        <v>0</v>
      </c>
      <c r="JF358" s="16">
        <v>0</v>
      </c>
      <c r="JG358" s="16">
        <v>0</v>
      </c>
      <c r="JH358" s="16">
        <v>0</v>
      </c>
      <c r="JI358" s="16">
        <v>0</v>
      </c>
      <c r="JJ358" s="16">
        <v>0</v>
      </c>
      <c r="JK358" s="16">
        <v>0</v>
      </c>
      <c r="JL358" s="16">
        <v>0</v>
      </c>
      <c r="JM358" s="16">
        <v>0</v>
      </c>
      <c r="JN358" s="16">
        <v>0</v>
      </c>
      <c r="JO358" s="16">
        <v>0</v>
      </c>
      <c r="JP358" s="16">
        <v>0</v>
      </c>
      <c r="JQ358" s="16">
        <v>0</v>
      </c>
      <c r="JR358" s="16">
        <v>0</v>
      </c>
      <c r="JS358" s="16">
        <v>0</v>
      </c>
      <c r="JT358" s="16">
        <v>0</v>
      </c>
      <c r="JU358" s="16">
        <v>0</v>
      </c>
      <c r="JV358" s="16">
        <v>0</v>
      </c>
      <c r="JW358" s="16">
        <v>0</v>
      </c>
      <c r="JX358" s="16">
        <v>0</v>
      </c>
      <c r="JY358" s="16">
        <v>0</v>
      </c>
      <c r="JZ358" s="16">
        <v>0</v>
      </c>
      <c r="KA358" s="16">
        <v>0</v>
      </c>
      <c r="KB358" s="16">
        <v>0</v>
      </c>
      <c r="KC358" s="16">
        <v>0</v>
      </c>
      <c r="KD358" s="16">
        <v>0</v>
      </c>
      <c r="KE358" s="16">
        <v>0</v>
      </c>
      <c r="KF358" s="16">
        <v>0</v>
      </c>
      <c r="KG358" s="16">
        <v>0</v>
      </c>
      <c r="KH358" s="16">
        <v>0</v>
      </c>
      <c r="KI358" s="16">
        <v>0</v>
      </c>
      <c r="KJ358" s="16">
        <v>0</v>
      </c>
      <c r="KK358" s="16">
        <v>0</v>
      </c>
      <c r="KL358" s="16">
        <v>0</v>
      </c>
      <c r="KM358" s="16">
        <v>0</v>
      </c>
      <c r="KN358" s="16">
        <v>0</v>
      </c>
      <c r="KO358" s="16">
        <v>0</v>
      </c>
      <c r="KP358" s="16">
        <v>0</v>
      </c>
      <c r="KQ358" s="16">
        <v>0</v>
      </c>
      <c r="KR358" s="16">
        <v>0</v>
      </c>
      <c r="KS358" s="16">
        <v>0</v>
      </c>
      <c r="KT358" s="16">
        <v>0</v>
      </c>
      <c r="KU358" s="16">
        <v>0</v>
      </c>
      <c r="KV358" s="16">
        <v>0</v>
      </c>
      <c r="KW358" s="16">
        <v>0</v>
      </c>
      <c r="KX358" s="16">
        <v>0</v>
      </c>
      <c r="KY358" s="16">
        <v>0</v>
      </c>
      <c r="KZ358" s="16">
        <v>0</v>
      </c>
      <c r="LA358" s="16">
        <v>0</v>
      </c>
      <c r="LB358" s="16">
        <v>0</v>
      </c>
      <c r="LC358" s="16">
        <v>0</v>
      </c>
      <c r="LD358" s="16">
        <v>0</v>
      </c>
      <c r="LE358" s="16">
        <v>0</v>
      </c>
      <c r="LF358" s="16">
        <v>0</v>
      </c>
      <c r="LG358" s="16">
        <v>0</v>
      </c>
      <c r="LH358" s="16">
        <v>0</v>
      </c>
      <c r="LI358" s="16">
        <v>0</v>
      </c>
      <c r="LJ358" s="16">
        <v>0</v>
      </c>
      <c r="LK358" s="16">
        <v>0</v>
      </c>
      <c r="LL358" s="16">
        <v>0</v>
      </c>
      <c r="LM358" s="16">
        <v>0</v>
      </c>
      <c r="LN358" s="16">
        <v>0</v>
      </c>
      <c r="LO358" s="16">
        <v>0</v>
      </c>
      <c r="LP358" s="16">
        <v>0</v>
      </c>
      <c r="LQ358" s="16">
        <v>0</v>
      </c>
      <c r="LR358" s="16">
        <v>0</v>
      </c>
      <c r="LS358" s="16">
        <v>0</v>
      </c>
      <c r="LT358" s="16">
        <v>0</v>
      </c>
      <c r="LU358" s="16">
        <v>0</v>
      </c>
      <c r="LV358" s="16">
        <v>0</v>
      </c>
      <c r="LW358" s="16">
        <v>0</v>
      </c>
      <c r="LX358" s="16">
        <v>0</v>
      </c>
      <c r="LY358" s="16">
        <v>0</v>
      </c>
      <c r="LZ358" s="16">
        <v>0</v>
      </c>
      <c r="MA358" s="16">
        <v>0</v>
      </c>
      <c r="MB358" s="16">
        <v>0</v>
      </c>
      <c r="MC358" s="16">
        <v>0</v>
      </c>
      <c r="MD358" s="16">
        <v>0</v>
      </c>
      <c r="ME358" s="16">
        <v>0</v>
      </c>
      <c r="MF358" s="16">
        <v>0</v>
      </c>
      <c r="MG358" s="16">
        <v>0</v>
      </c>
      <c r="MH358" s="16">
        <v>0</v>
      </c>
      <c r="MI358" s="16">
        <v>0</v>
      </c>
      <c r="MJ358" s="16">
        <v>0</v>
      </c>
      <c r="MK358" s="16">
        <v>0</v>
      </c>
      <c r="ML358" s="16">
        <v>0</v>
      </c>
      <c r="MM358" s="16">
        <v>0</v>
      </c>
      <c r="MN358" s="16">
        <v>0</v>
      </c>
      <c r="MO358" s="16">
        <v>0</v>
      </c>
      <c r="MP358" s="16">
        <v>0</v>
      </c>
      <c r="MQ358" s="16">
        <v>0</v>
      </c>
      <c r="MR358" s="16">
        <v>0</v>
      </c>
      <c r="MS358" s="16">
        <v>0</v>
      </c>
      <c r="MT358" s="16">
        <v>0</v>
      </c>
      <c r="MU358" s="16">
        <v>0</v>
      </c>
      <c r="MV358" s="16">
        <v>0</v>
      </c>
      <c r="MW358" s="16">
        <v>0</v>
      </c>
      <c r="MX358" s="16">
        <v>0</v>
      </c>
      <c r="MY358" s="16">
        <v>0</v>
      </c>
      <c r="MZ358" s="16">
        <v>0</v>
      </c>
      <c r="NA358" s="16">
        <v>0</v>
      </c>
      <c r="NB358" s="16">
        <v>0</v>
      </c>
      <c r="NC358" s="16">
        <v>0</v>
      </c>
      <c r="ND358" s="16">
        <v>0</v>
      </c>
      <c r="NE358" s="16">
        <v>0</v>
      </c>
      <c r="NF358" s="16">
        <v>0</v>
      </c>
      <c r="NG358" s="16">
        <v>0</v>
      </c>
      <c r="NH358" s="16">
        <v>0</v>
      </c>
      <c r="NI358" s="16">
        <v>0</v>
      </c>
      <c r="NJ358" s="16">
        <v>0</v>
      </c>
      <c r="NK358" s="16">
        <v>0</v>
      </c>
      <c r="NL358" s="16">
        <v>0</v>
      </c>
      <c r="NM358" s="16">
        <v>0</v>
      </c>
      <c r="NN358" s="16">
        <v>0</v>
      </c>
      <c r="NO358" s="16">
        <v>0</v>
      </c>
      <c r="NP358" s="16">
        <v>0</v>
      </c>
      <c r="NQ358" s="16">
        <v>0</v>
      </c>
      <c r="NR358" s="17">
        <v>0</v>
      </c>
    </row>
    <row r="359" spans="1:382" ht="13.5" customHeight="1" x14ac:dyDescent="0.2">
      <c r="A359" s="2" t="s">
        <v>725</v>
      </c>
      <c r="B359" s="16">
        <v>0</v>
      </c>
      <c r="C359" s="16">
        <v>0</v>
      </c>
      <c r="D359" s="16">
        <v>0</v>
      </c>
      <c r="E359" s="16">
        <v>0</v>
      </c>
      <c r="F359" s="16">
        <v>0</v>
      </c>
      <c r="G359" s="16">
        <v>0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  <c r="AC359" s="16">
        <v>0</v>
      </c>
      <c r="AD359" s="16">
        <v>0</v>
      </c>
      <c r="AE359" s="16">
        <v>0</v>
      </c>
      <c r="AF359" s="16">
        <v>0</v>
      </c>
      <c r="AG359" s="16">
        <v>0</v>
      </c>
      <c r="AH359" s="16">
        <v>0</v>
      </c>
      <c r="AI359" s="16">
        <v>0</v>
      </c>
      <c r="AJ359" s="16">
        <v>0</v>
      </c>
      <c r="AK359" s="16">
        <v>0</v>
      </c>
      <c r="AL359" s="16">
        <v>0</v>
      </c>
      <c r="AM359" s="16">
        <v>0</v>
      </c>
      <c r="AN359" s="16">
        <v>0</v>
      </c>
      <c r="AO359" s="16">
        <v>0</v>
      </c>
      <c r="AP359" s="16">
        <v>0</v>
      </c>
      <c r="AQ359" s="16">
        <v>0</v>
      </c>
      <c r="AR359" s="16">
        <v>0</v>
      </c>
      <c r="AS359" s="16">
        <v>0</v>
      </c>
      <c r="AT359" s="16">
        <v>0</v>
      </c>
      <c r="AU359" s="16">
        <v>0</v>
      </c>
      <c r="AV359" s="16">
        <v>0</v>
      </c>
      <c r="AW359" s="16">
        <v>0</v>
      </c>
      <c r="AX359" s="16">
        <v>0</v>
      </c>
      <c r="AY359" s="16">
        <v>0</v>
      </c>
      <c r="AZ359" s="16">
        <v>0</v>
      </c>
      <c r="BA359" s="16">
        <v>0</v>
      </c>
      <c r="BB359" s="16">
        <v>0</v>
      </c>
      <c r="BC359" s="16">
        <v>0</v>
      </c>
      <c r="BD359" s="16">
        <v>0</v>
      </c>
      <c r="BE359" s="16">
        <v>0</v>
      </c>
      <c r="BF359" s="16">
        <v>0</v>
      </c>
      <c r="BG359" s="16">
        <v>0</v>
      </c>
      <c r="BH359" s="16">
        <v>0</v>
      </c>
      <c r="BI359" s="16">
        <v>0</v>
      </c>
      <c r="BJ359" s="16">
        <v>0</v>
      </c>
      <c r="BK359" s="16">
        <v>0</v>
      </c>
      <c r="BL359" s="16">
        <v>0</v>
      </c>
      <c r="BM359" s="16">
        <v>0</v>
      </c>
      <c r="BN359" s="16">
        <v>0</v>
      </c>
      <c r="BO359" s="16">
        <v>0</v>
      </c>
      <c r="BP359" s="16">
        <v>0</v>
      </c>
      <c r="BQ359" s="16">
        <v>0</v>
      </c>
      <c r="BR359" s="16">
        <v>0</v>
      </c>
      <c r="BS359" s="16">
        <v>0</v>
      </c>
      <c r="BT359" s="16">
        <v>0</v>
      </c>
      <c r="BU359" s="16">
        <v>0</v>
      </c>
      <c r="BV359" s="16">
        <v>0</v>
      </c>
      <c r="BW359" s="16">
        <v>0</v>
      </c>
      <c r="BX359" s="16">
        <v>0</v>
      </c>
      <c r="BY359" s="16">
        <v>0</v>
      </c>
      <c r="BZ359" s="16">
        <v>0</v>
      </c>
      <c r="CA359" s="16">
        <v>0</v>
      </c>
      <c r="CB359" s="16">
        <v>0</v>
      </c>
      <c r="CC359" s="16">
        <v>0</v>
      </c>
      <c r="CD359" s="16">
        <v>0</v>
      </c>
      <c r="CE359" s="16">
        <v>0</v>
      </c>
      <c r="CF359" s="16">
        <v>0</v>
      </c>
      <c r="CG359" s="16">
        <v>0</v>
      </c>
      <c r="CH359" s="16">
        <v>0</v>
      </c>
      <c r="CI359" s="16">
        <v>0</v>
      </c>
      <c r="CJ359" s="16">
        <v>0</v>
      </c>
      <c r="CK359" s="16">
        <v>0</v>
      </c>
      <c r="CL359" s="16">
        <v>0</v>
      </c>
      <c r="CM359" s="16">
        <v>0</v>
      </c>
      <c r="CN359" s="16">
        <v>0</v>
      </c>
      <c r="CO359" s="16">
        <v>0</v>
      </c>
      <c r="CP359" s="16">
        <v>0</v>
      </c>
      <c r="CQ359" s="16">
        <v>0</v>
      </c>
      <c r="CR359" s="16">
        <v>0</v>
      </c>
      <c r="CS359" s="16">
        <v>0</v>
      </c>
      <c r="CT359" s="16">
        <v>0</v>
      </c>
      <c r="CU359" s="16">
        <v>0</v>
      </c>
      <c r="CV359" s="16">
        <v>0</v>
      </c>
      <c r="CW359" s="16">
        <v>0</v>
      </c>
      <c r="CX359" s="16">
        <v>0</v>
      </c>
      <c r="CY359" s="16">
        <v>0</v>
      </c>
      <c r="CZ359" s="16">
        <v>0</v>
      </c>
      <c r="DA359" s="16">
        <v>0</v>
      </c>
      <c r="DB359" s="16">
        <v>0</v>
      </c>
      <c r="DC359" s="16">
        <v>0</v>
      </c>
      <c r="DD359" s="16">
        <v>0</v>
      </c>
      <c r="DE359" s="16">
        <v>0</v>
      </c>
      <c r="DF359" s="16">
        <v>0</v>
      </c>
      <c r="DG359" s="16">
        <v>0</v>
      </c>
      <c r="DH359" s="16">
        <v>0</v>
      </c>
      <c r="DI359" s="16">
        <v>0</v>
      </c>
      <c r="DJ359" s="16">
        <v>0</v>
      </c>
      <c r="DK359" s="16">
        <v>0</v>
      </c>
      <c r="DL359" s="16">
        <v>0</v>
      </c>
      <c r="DM359" s="16">
        <v>0</v>
      </c>
      <c r="DN359" s="16">
        <v>0</v>
      </c>
      <c r="DO359" s="16">
        <v>0</v>
      </c>
      <c r="DP359" s="16">
        <v>0</v>
      </c>
      <c r="DQ359" s="16">
        <v>0</v>
      </c>
      <c r="DR359" s="16">
        <v>0</v>
      </c>
      <c r="DS359" s="16">
        <v>0</v>
      </c>
      <c r="DT359" s="16">
        <v>0</v>
      </c>
      <c r="DU359" s="16">
        <v>0</v>
      </c>
      <c r="DV359" s="16">
        <v>0</v>
      </c>
      <c r="DW359" s="16">
        <v>0</v>
      </c>
      <c r="DX359" s="16">
        <v>0</v>
      </c>
      <c r="DY359" s="16">
        <v>0</v>
      </c>
      <c r="DZ359" s="16">
        <v>0</v>
      </c>
      <c r="EA359" s="16">
        <v>0</v>
      </c>
      <c r="EB359" s="16">
        <v>0</v>
      </c>
      <c r="EC359" s="16">
        <v>0</v>
      </c>
      <c r="ED359" s="16">
        <v>0</v>
      </c>
      <c r="EE359" s="16">
        <v>0</v>
      </c>
      <c r="EF359" s="16">
        <v>0</v>
      </c>
      <c r="EG359" s="16">
        <v>0</v>
      </c>
      <c r="EH359" s="16">
        <v>0</v>
      </c>
      <c r="EI359" s="16">
        <v>0</v>
      </c>
      <c r="EJ359" s="16">
        <v>0</v>
      </c>
      <c r="EK359" s="16">
        <v>0</v>
      </c>
      <c r="EL359" s="16">
        <v>0</v>
      </c>
      <c r="EM359" s="16">
        <v>0</v>
      </c>
      <c r="EN359" s="16">
        <v>0</v>
      </c>
      <c r="EO359" s="16">
        <v>0</v>
      </c>
      <c r="EP359" s="16">
        <v>0</v>
      </c>
      <c r="EQ359" s="16">
        <v>0</v>
      </c>
      <c r="ER359" s="16">
        <v>0</v>
      </c>
      <c r="ES359" s="16">
        <v>0</v>
      </c>
      <c r="ET359" s="16">
        <v>0</v>
      </c>
      <c r="EU359" s="16">
        <v>0</v>
      </c>
      <c r="EV359" s="16">
        <v>0</v>
      </c>
      <c r="EW359" s="16">
        <v>0</v>
      </c>
      <c r="EX359" s="16">
        <v>0</v>
      </c>
      <c r="EY359" s="16">
        <v>0</v>
      </c>
      <c r="EZ359" s="16">
        <v>0</v>
      </c>
      <c r="FA359" s="16">
        <v>0</v>
      </c>
      <c r="FB359" s="16">
        <v>0</v>
      </c>
      <c r="FC359" s="16">
        <v>0</v>
      </c>
      <c r="FD359" s="16">
        <v>0</v>
      </c>
      <c r="FE359" s="16">
        <v>0</v>
      </c>
      <c r="FF359" s="16">
        <v>0</v>
      </c>
      <c r="FG359" s="16">
        <v>0</v>
      </c>
      <c r="FH359" s="16">
        <v>0</v>
      </c>
      <c r="FI359" s="16">
        <v>0</v>
      </c>
      <c r="FJ359" s="16">
        <v>0</v>
      </c>
      <c r="FK359" s="16">
        <v>0</v>
      </c>
      <c r="FL359" s="16">
        <v>0</v>
      </c>
      <c r="FM359" s="16">
        <v>0</v>
      </c>
      <c r="FN359" s="16">
        <v>0</v>
      </c>
      <c r="FO359" s="16">
        <v>0</v>
      </c>
      <c r="FP359" s="16">
        <v>0</v>
      </c>
      <c r="FQ359" s="16">
        <v>0</v>
      </c>
      <c r="FR359" s="16">
        <v>0</v>
      </c>
      <c r="FS359" s="16">
        <v>0</v>
      </c>
      <c r="FT359" s="16">
        <v>0</v>
      </c>
      <c r="FU359" s="16">
        <v>0</v>
      </c>
      <c r="FV359" s="16">
        <v>0</v>
      </c>
      <c r="FW359" s="16">
        <v>0</v>
      </c>
      <c r="FX359" s="16">
        <v>0</v>
      </c>
      <c r="FY359" s="16">
        <v>0</v>
      </c>
      <c r="FZ359" s="16">
        <v>0</v>
      </c>
      <c r="GA359" s="16">
        <v>0</v>
      </c>
      <c r="GB359" s="16">
        <v>0</v>
      </c>
      <c r="GC359" s="16">
        <v>0</v>
      </c>
      <c r="GD359" s="16">
        <v>0</v>
      </c>
      <c r="GE359" s="16">
        <v>0</v>
      </c>
      <c r="GF359" s="16">
        <v>0</v>
      </c>
      <c r="GG359" s="16">
        <v>0</v>
      </c>
      <c r="GH359" s="16">
        <v>0</v>
      </c>
      <c r="GI359" s="16">
        <v>0</v>
      </c>
      <c r="GJ359" s="16">
        <v>0</v>
      </c>
      <c r="GK359" s="16">
        <v>0</v>
      </c>
      <c r="GL359" s="16">
        <v>0</v>
      </c>
      <c r="GM359" s="16">
        <v>0</v>
      </c>
      <c r="GN359" s="16">
        <v>0</v>
      </c>
      <c r="GO359" s="16">
        <v>0</v>
      </c>
      <c r="GP359" s="16">
        <v>0</v>
      </c>
      <c r="GQ359" s="16">
        <v>0</v>
      </c>
      <c r="GR359" s="16">
        <v>0</v>
      </c>
      <c r="GS359" s="16">
        <v>0</v>
      </c>
      <c r="GT359" s="16">
        <v>0</v>
      </c>
      <c r="GU359" s="16">
        <v>0</v>
      </c>
      <c r="GV359" s="16">
        <v>0</v>
      </c>
      <c r="GW359" s="16">
        <v>0</v>
      </c>
      <c r="GX359" s="16">
        <v>0</v>
      </c>
      <c r="GY359" s="16">
        <v>0</v>
      </c>
      <c r="GZ359" s="16">
        <v>0</v>
      </c>
      <c r="HA359" s="16">
        <v>0</v>
      </c>
      <c r="HB359" s="16">
        <v>0</v>
      </c>
      <c r="HC359" s="16">
        <v>0</v>
      </c>
      <c r="HD359" s="16">
        <v>0</v>
      </c>
      <c r="HE359" s="16">
        <v>0</v>
      </c>
      <c r="HF359" s="16">
        <v>0</v>
      </c>
      <c r="HG359" s="16">
        <v>0</v>
      </c>
      <c r="HH359" s="16">
        <v>0</v>
      </c>
      <c r="HI359" s="16">
        <v>0</v>
      </c>
      <c r="HJ359" s="16">
        <v>0</v>
      </c>
      <c r="HK359" s="16">
        <v>0</v>
      </c>
      <c r="HL359" s="16">
        <v>0</v>
      </c>
      <c r="HM359" s="16">
        <v>0</v>
      </c>
      <c r="HN359" s="16">
        <v>0</v>
      </c>
      <c r="HO359" s="16">
        <v>0</v>
      </c>
      <c r="HP359" s="16">
        <v>0</v>
      </c>
      <c r="HQ359" s="16">
        <v>0</v>
      </c>
      <c r="HR359" s="16">
        <v>0</v>
      </c>
      <c r="HS359" s="16">
        <v>0</v>
      </c>
      <c r="HT359" s="16">
        <v>0</v>
      </c>
      <c r="HU359" s="16">
        <v>0</v>
      </c>
      <c r="HV359" s="16">
        <v>0</v>
      </c>
      <c r="HW359" s="16">
        <v>0</v>
      </c>
      <c r="HX359" s="16">
        <v>0</v>
      </c>
      <c r="HY359" s="16">
        <v>0</v>
      </c>
      <c r="HZ359" s="16">
        <v>0</v>
      </c>
      <c r="IA359" s="16">
        <v>0</v>
      </c>
      <c r="IB359" s="16">
        <v>0</v>
      </c>
      <c r="IC359" s="16">
        <v>0</v>
      </c>
      <c r="ID359" s="16">
        <v>0</v>
      </c>
      <c r="IE359" s="16">
        <v>0</v>
      </c>
      <c r="IF359" s="16">
        <v>0</v>
      </c>
      <c r="IG359" s="16">
        <v>0</v>
      </c>
      <c r="IH359" s="16">
        <v>0</v>
      </c>
      <c r="II359" s="16">
        <v>0</v>
      </c>
      <c r="IJ359" s="16">
        <v>0</v>
      </c>
      <c r="IK359" s="16">
        <v>0</v>
      </c>
      <c r="IL359" s="16">
        <v>0</v>
      </c>
      <c r="IM359" s="16">
        <v>0</v>
      </c>
      <c r="IN359" s="16">
        <v>0</v>
      </c>
      <c r="IO359" s="16">
        <v>0</v>
      </c>
      <c r="IP359" s="16">
        <v>0</v>
      </c>
      <c r="IQ359" s="16">
        <v>0</v>
      </c>
      <c r="IR359" s="16">
        <v>0</v>
      </c>
      <c r="IS359" s="16">
        <v>0</v>
      </c>
      <c r="IT359" s="16">
        <v>0</v>
      </c>
      <c r="IU359" s="16">
        <v>0</v>
      </c>
      <c r="IV359" s="16">
        <v>0</v>
      </c>
      <c r="IW359" s="16">
        <v>0</v>
      </c>
      <c r="IX359" s="16">
        <v>0</v>
      </c>
      <c r="IY359" s="16">
        <v>0</v>
      </c>
      <c r="IZ359" s="16">
        <v>0</v>
      </c>
      <c r="JA359" s="16">
        <v>0</v>
      </c>
      <c r="JB359" s="16">
        <v>0</v>
      </c>
      <c r="JC359" s="16">
        <v>0</v>
      </c>
      <c r="JD359" s="16">
        <v>0</v>
      </c>
      <c r="JE359" s="16">
        <v>0</v>
      </c>
      <c r="JF359" s="16">
        <v>0</v>
      </c>
      <c r="JG359" s="16">
        <v>0</v>
      </c>
      <c r="JH359" s="16">
        <v>0</v>
      </c>
      <c r="JI359" s="16">
        <v>0</v>
      </c>
      <c r="JJ359" s="16">
        <v>0</v>
      </c>
      <c r="JK359" s="16">
        <v>0</v>
      </c>
      <c r="JL359" s="16">
        <v>0</v>
      </c>
      <c r="JM359" s="16">
        <v>0</v>
      </c>
      <c r="JN359" s="16">
        <v>0</v>
      </c>
      <c r="JO359" s="16">
        <v>0</v>
      </c>
      <c r="JP359" s="16">
        <v>0</v>
      </c>
      <c r="JQ359" s="16">
        <v>0</v>
      </c>
      <c r="JR359" s="16">
        <v>0</v>
      </c>
      <c r="JS359" s="16">
        <v>0</v>
      </c>
      <c r="JT359" s="16">
        <v>0</v>
      </c>
      <c r="JU359" s="16">
        <v>0</v>
      </c>
      <c r="JV359" s="16">
        <v>0</v>
      </c>
      <c r="JW359" s="16">
        <v>0</v>
      </c>
      <c r="JX359" s="16">
        <v>0</v>
      </c>
      <c r="JY359" s="16">
        <v>0</v>
      </c>
      <c r="JZ359" s="16">
        <v>0</v>
      </c>
      <c r="KA359" s="16">
        <v>0</v>
      </c>
      <c r="KB359" s="16">
        <v>0</v>
      </c>
      <c r="KC359" s="16">
        <v>0</v>
      </c>
      <c r="KD359" s="16">
        <v>0</v>
      </c>
      <c r="KE359" s="16">
        <v>0</v>
      </c>
      <c r="KF359" s="16">
        <v>0</v>
      </c>
      <c r="KG359" s="16">
        <v>0</v>
      </c>
      <c r="KH359" s="16">
        <v>0</v>
      </c>
      <c r="KI359" s="16">
        <v>0</v>
      </c>
      <c r="KJ359" s="16">
        <v>0</v>
      </c>
      <c r="KK359" s="16">
        <v>0</v>
      </c>
      <c r="KL359" s="16">
        <v>0</v>
      </c>
      <c r="KM359" s="16">
        <v>0</v>
      </c>
      <c r="KN359" s="16">
        <v>0</v>
      </c>
      <c r="KO359" s="16">
        <v>0</v>
      </c>
      <c r="KP359" s="16">
        <v>0</v>
      </c>
      <c r="KQ359" s="16">
        <v>0</v>
      </c>
      <c r="KR359" s="16">
        <v>0</v>
      </c>
      <c r="KS359" s="16">
        <v>0</v>
      </c>
      <c r="KT359" s="16">
        <v>0</v>
      </c>
      <c r="KU359" s="16">
        <v>0</v>
      </c>
      <c r="KV359" s="16">
        <v>0</v>
      </c>
      <c r="KW359" s="16">
        <v>0</v>
      </c>
      <c r="KX359" s="16">
        <v>0</v>
      </c>
      <c r="KY359" s="16">
        <v>0</v>
      </c>
      <c r="KZ359" s="16">
        <v>0</v>
      </c>
      <c r="LA359" s="16">
        <v>0</v>
      </c>
      <c r="LB359" s="16">
        <v>0</v>
      </c>
      <c r="LC359" s="16">
        <v>0</v>
      </c>
      <c r="LD359" s="16">
        <v>0</v>
      </c>
      <c r="LE359" s="16">
        <v>0</v>
      </c>
      <c r="LF359" s="16">
        <v>0</v>
      </c>
      <c r="LG359" s="16">
        <v>0</v>
      </c>
      <c r="LH359" s="16">
        <v>0</v>
      </c>
      <c r="LI359" s="16">
        <v>0</v>
      </c>
      <c r="LJ359" s="16">
        <v>0</v>
      </c>
      <c r="LK359" s="16">
        <v>0</v>
      </c>
      <c r="LL359" s="16">
        <v>0</v>
      </c>
      <c r="LM359" s="16">
        <v>0</v>
      </c>
      <c r="LN359" s="16">
        <v>0</v>
      </c>
      <c r="LO359" s="16">
        <v>0</v>
      </c>
      <c r="LP359" s="16">
        <v>0</v>
      </c>
      <c r="LQ359" s="16">
        <v>0</v>
      </c>
      <c r="LR359" s="16">
        <v>0</v>
      </c>
      <c r="LS359" s="16">
        <v>0</v>
      </c>
      <c r="LT359" s="16">
        <v>0</v>
      </c>
      <c r="LU359" s="16">
        <v>0</v>
      </c>
      <c r="LV359" s="16">
        <v>0</v>
      </c>
      <c r="LW359" s="16">
        <v>0</v>
      </c>
      <c r="LX359" s="16">
        <v>0</v>
      </c>
      <c r="LY359" s="16">
        <v>0</v>
      </c>
      <c r="LZ359" s="16">
        <v>0</v>
      </c>
      <c r="MA359" s="16">
        <v>0</v>
      </c>
      <c r="MB359" s="16">
        <v>0</v>
      </c>
      <c r="MC359" s="16">
        <v>0</v>
      </c>
      <c r="MD359" s="16">
        <v>0</v>
      </c>
      <c r="ME359" s="16">
        <v>0</v>
      </c>
      <c r="MF359" s="16">
        <v>0</v>
      </c>
      <c r="MG359" s="16">
        <v>0</v>
      </c>
      <c r="MH359" s="16">
        <v>0</v>
      </c>
      <c r="MI359" s="16">
        <v>0</v>
      </c>
      <c r="MJ359" s="16">
        <v>0</v>
      </c>
      <c r="MK359" s="16">
        <v>0</v>
      </c>
      <c r="ML359" s="16">
        <v>0</v>
      </c>
      <c r="MM359" s="16">
        <v>0</v>
      </c>
      <c r="MN359" s="16">
        <v>0</v>
      </c>
      <c r="MO359" s="16">
        <v>0</v>
      </c>
      <c r="MP359" s="16">
        <v>0</v>
      </c>
      <c r="MQ359" s="16">
        <v>0</v>
      </c>
      <c r="MR359" s="16">
        <v>0</v>
      </c>
      <c r="MS359" s="16">
        <v>0</v>
      </c>
      <c r="MT359" s="16">
        <v>0</v>
      </c>
      <c r="MU359" s="16">
        <v>0</v>
      </c>
      <c r="MV359" s="16">
        <v>0</v>
      </c>
      <c r="MW359" s="16">
        <v>0</v>
      </c>
      <c r="MX359" s="16">
        <v>0</v>
      </c>
      <c r="MY359" s="16">
        <v>0</v>
      </c>
      <c r="MZ359" s="16">
        <v>0</v>
      </c>
      <c r="NA359" s="16">
        <v>0</v>
      </c>
      <c r="NB359" s="16">
        <v>0</v>
      </c>
      <c r="NC359" s="16">
        <v>0</v>
      </c>
      <c r="ND359" s="16">
        <v>0</v>
      </c>
      <c r="NE359" s="16">
        <v>0</v>
      </c>
      <c r="NF359" s="16">
        <v>0</v>
      </c>
      <c r="NG359" s="16">
        <v>0</v>
      </c>
      <c r="NH359" s="16">
        <v>0</v>
      </c>
      <c r="NI359" s="16">
        <v>0</v>
      </c>
      <c r="NJ359" s="16">
        <v>0</v>
      </c>
      <c r="NK359" s="16">
        <v>0</v>
      </c>
      <c r="NL359" s="16">
        <v>0</v>
      </c>
      <c r="NM359" s="16">
        <v>0</v>
      </c>
      <c r="NN359" s="16">
        <v>0</v>
      </c>
      <c r="NO359" s="16">
        <v>0</v>
      </c>
      <c r="NP359" s="16">
        <v>0</v>
      </c>
      <c r="NQ359" s="16">
        <v>0</v>
      </c>
      <c r="NR359" s="17">
        <v>0</v>
      </c>
    </row>
    <row r="360" spans="1:382" ht="13.5" customHeight="1" x14ac:dyDescent="0.2">
      <c r="A360" s="2" t="s">
        <v>727</v>
      </c>
      <c r="B360" s="16">
        <v>0</v>
      </c>
      <c r="C360" s="16">
        <v>0</v>
      </c>
      <c r="D360" s="16">
        <v>0</v>
      </c>
      <c r="E360" s="16">
        <v>0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6">
        <v>0</v>
      </c>
      <c r="AF360" s="16">
        <v>0</v>
      </c>
      <c r="AG360" s="16">
        <v>0</v>
      </c>
      <c r="AH360" s="16">
        <v>0</v>
      </c>
      <c r="AI360" s="16">
        <v>0</v>
      </c>
      <c r="AJ360" s="16">
        <v>0</v>
      </c>
      <c r="AK360" s="16">
        <v>0</v>
      </c>
      <c r="AL360" s="16">
        <v>0</v>
      </c>
      <c r="AM360" s="16">
        <v>0</v>
      </c>
      <c r="AN360" s="16">
        <v>0</v>
      </c>
      <c r="AO360" s="16">
        <v>0</v>
      </c>
      <c r="AP360" s="16">
        <v>0</v>
      </c>
      <c r="AQ360" s="16">
        <v>0</v>
      </c>
      <c r="AR360" s="16">
        <v>0</v>
      </c>
      <c r="AS360" s="16">
        <v>0</v>
      </c>
      <c r="AT360" s="16">
        <v>0</v>
      </c>
      <c r="AU360" s="16">
        <v>0</v>
      </c>
      <c r="AV360" s="16">
        <v>0</v>
      </c>
      <c r="AW360" s="16">
        <v>0</v>
      </c>
      <c r="AX360" s="16">
        <v>0</v>
      </c>
      <c r="AY360" s="16">
        <v>0</v>
      </c>
      <c r="AZ360" s="16">
        <v>0</v>
      </c>
      <c r="BA360" s="16">
        <v>0</v>
      </c>
      <c r="BB360" s="16">
        <v>0</v>
      </c>
      <c r="BC360" s="16">
        <v>0</v>
      </c>
      <c r="BD360" s="16">
        <v>0</v>
      </c>
      <c r="BE360" s="16">
        <v>0</v>
      </c>
      <c r="BF360" s="16">
        <v>0</v>
      </c>
      <c r="BG360" s="16">
        <v>0</v>
      </c>
      <c r="BH360" s="16">
        <v>0</v>
      </c>
      <c r="BI360" s="16">
        <v>0</v>
      </c>
      <c r="BJ360" s="16">
        <v>0</v>
      </c>
      <c r="BK360" s="16">
        <v>0</v>
      </c>
      <c r="BL360" s="16">
        <v>0</v>
      </c>
      <c r="BM360" s="16">
        <v>0</v>
      </c>
      <c r="BN360" s="16">
        <v>0</v>
      </c>
      <c r="BO360" s="16">
        <v>0</v>
      </c>
      <c r="BP360" s="16">
        <v>0</v>
      </c>
      <c r="BQ360" s="16">
        <v>0</v>
      </c>
      <c r="BR360" s="16">
        <v>0</v>
      </c>
      <c r="BS360" s="16">
        <v>0</v>
      </c>
      <c r="BT360" s="16">
        <v>0</v>
      </c>
      <c r="BU360" s="16">
        <v>0</v>
      </c>
      <c r="BV360" s="16">
        <v>0</v>
      </c>
      <c r="BW360" s="16">
        <v>0</v>
      </c>
      <c r="BX360" s="16">
        <v>0</v>
      </c>
      <c r="BY360" s="16">
        <v>0</v>
      </c>
      <c r="BZ360" s="16">
        <v>0</v>
      </c>
      <c r="CA360" s="16">
        <v>0</v>
      </c>
      <c r="CB360" s="16">
        <v>0</v>
      </c>
      <c r="CC360" s="16">
        <v>0</v>
      </c>
      <c r="CD360" s="16">
        <v>0</v>
      </c>
      <c r="CE360" s="16">
        <v>0</v>
      </c>
      <c r="CF360" s="16">
        <v>0</v>
      </c>
      <c r="CG360" s="16">
        <v>0</v>
      </c>
      <c r="CH360" s="16">
        <v>0</v>
      </c>
      <c r="CI360" s="16">
        <v>0</v>
      </c>
      <c r="CJ360" s="16">
        <v>0</v>
      </c>
      <c r="CK360" s="16">
        <v>0</v>
      </c>
      <c r="CL360" s="16">
        <v>0</v>
      </c>
      <c r="CM360" s="16">
        <v>0</v>
      </c>
      <c r="CN360" s="16">
        <v>0</v>
      </c>
      <c r="CO360" s="16">
        <v>0</v>
      </c>
      <c r="CP360" s="16">
        <v>0</v>
      </c>
      <c r="CQ360" s="16">
        <v>0</v>
      </c>
      <c r="CR360" s="16">
        <v>0</v>
      </c>
      <c r="CS360" s="16">
        <v>0</v>
      </c>
      <c r="CT360" s="16">
        <v>0</v>
      </c>
      <c r="CU360" s="16">
        <v>0</v>
      </c>
      <c r="CV360" s="16">
        <v>0</v>
      </c>
      <c r="CW360" s="16">
        <v>0</v>
      </c>
      <c r="CX360" s="16">
        <v>0</v>
      </c>
      <c r="CY360" s="16">
        <v>0</v>
      </c>
      <c r="CZ360" s="16">
        <v>0</v>
      </c>
      <c r="DA360" s="16">
        <v>0</v>
      </c>
      <c r="DB360" s="16">
        <v>0</v>
      </c>
      <c r="DC360" s="16">
        <v>0</v>
      </c>
      <c r="DD360" s="16">
        <v>0</v>
      </c>
      <c r="DE360" s="16">
        <v>0</v>
      </c>
      <c r="DF360" s="16">
        <v>0</v>
      </c>
      <c r="DG360" s="16">
        <v>0</v>
      </c>
      <c r="DH360" s="16">
        <v>0</v>
      </c>
      <c r="DI360" s="16">
        <v>0</v>
      </c>
      <c r="DJ360" s="16">
        <v>0</v>
      </c>
      <c r="DK360" s="16">
        <v>0</v>
      </c>
      <c r="DL360" s="16">
        <v>0</v>
      </c>
      <c r="DM360" s="16">
        <v>0</v>
      </c>
      <c r="DN360" s="16">
        <v>0</v>
      </c>
      <c r="DO360" s="16">
        <v>0</v>
      </c>
      <c r="DP360" s="16">
        <v>0</v>
      </c>
      <c r="DQ360" s="16">
        <v>0</v>
      </c>
      <c r="DR360" s="16">
        <v>0</v>
      </c>
      <c r="DS360" s="16">
        <v>0</v>
      </c>
      <c r="DT360" s="16">
        <v>0</v>
      </c>
      <c r="DU360" s="16">
        <v>0</v>
      </c>
      <c r="DV360" s="16">
        <v>0</v>
      </c>
      <c r="DW360" s="16">
        <v>0</v>
      </c>
      <c r="DX360" s="16">
        <v>0</v>
      </c>
      <c r="DY360" s="16">
        <v>0</v>
      </c>
      <c r="DZ360" s="16">
        <v>0</v>
      </c>
      <c r="EA360" s="16">
        <v>0</v>
      </c>
      <c r="EB360" s="16">
        <v>0</v>
      </c>
      <c r="EC360" s="16">
        <v>0</v>
      </c>
      <c r="ED360" s="16">
        <v>0</v>
      </c>
      <c r="EE360" s="16">
        <v>0</v>
      </c>
      <c r="EF360" s="16">
        <v>0</v>
      </c>
      <c r="EG360" s="16">
        <v>0</v>
      </c>
      <c r="EH360" s="16">
        <v>0</v>
      </c>
      <c r="EI360" s="16">
        <v>0</v>
      </c>
      <c r="EJ360" s="16">
        <v>0</v>
      </c>
      <c r="EK360" s="16">
        <v>0</v>
      </c>
      <c r="EL360" s="16">
        <v>0</v>
      </c>
      <c r="EM360" s="16">
        <v>0</v>
      </c>
      <c r="EN360" s="16">
        <v>0</v>
      </c>
      <c r="EO360" s="16">
        <v>0</v>
      </c>
      <c r="EP360" s="16">
        <v>0</v>
      </c>
      <c r="EQ360" s="16">
        <v>0</v>
      </c>
      <c r="ER360" s="16">
        <v>0</v>
      </c>
      <c r="ES360" s="16">
        <v>0</v>
      </c>
      <c r="ET360" s="16">
        <v>0</v>
      </c>
      <c r="EU360" s="16">
        <v>0</v>
      </c>
      <c r="EV360" s="16">
        <v>0</v>
      </c>
      <c r="EW360" s="16">
        <v>0</v>
      </c>
      <c r="EX360" s="16">
        <v>0</v>
      </c>
      <c r="EY360" s="16">
        <v>0</v>
      </c>
      <c r="EZ360" s="16">
        <v>0</v>
      </c>
      <c r="FA360" s="16">
        <v>0</v>
      </c>
      <c r="FB360" s="16">
        <v>0</v>
      </c>
      <c r="FC360" s="16">
        <v>0</v>
      </c>
      <c r="FD360" s="16">
        <v>0</v>
      </c>
      <c r="FE360" s="16">
        <v>0</v>
      </c>
      <c r="FF360" s="16">
        <v>0</v>
      </c>
      <c r="FG360" s="16">
        <v>0</v>
      </c>
      <c r="FH360" s="16">
        <v>0</v>
      </c>
      <c r="FI360" s="16">
        <v>0</v>
      </c>
      <c r="FJ360" s="16">
        <v>0</v>
      </c>
      <c r="FK360" s="16">
        <v>0</v>
      </c>
      <c r="FL360" s="16">
        <v>0</v>
      </c>
      <c r="FM360" s="16">
        <v>0</v>
      </c>
      <c r="FN360" s="16">
        <v>0</v>
      </c>
      <c r="FO360" s="16">
        <v>0</v>
      </c>
      <c r="FP360" s="16">
        <v>0</v>
      </c>
      <c r="FQ360" s="16">
        <v>0</v>
      </c>
      <c r="FR360" s="16">
        <v>0</v>
      </c>
      <c r="FS360" s="16">
        <v>0</v>
      </c>
      <c r="FT360" s="16">
        <v>0</v>
      </c>
      <c r="FU360" s="16">
        <v>0</v>
      </c>
      <c r="FV360" s="16">
        <v>0</v>
      </c>
      <c r="FW360" s="16">
        <v>0</v>
      </c>
      <c r="FX360" s="16">
        <v>0</v>
      </c>
      <c r="FY360" s="16">
        <v>0</v>
      </c>
      <c r="FZ360" s="16">
        <v>0</v>
      </c>
      <c r="GA360" s="16">
        <v>0</v>
      </c>
      <c r="GB360" s="16">
        <v>0</v>
      </c>
      <c r="GC360" s="16">
        <v>0</v>
      </c>
      <c r="GD360" s="16">
        <v>0</v>
      </c>
      <c r="GE360" s="16">
        <v>0</v>
      </c>
      <c r="GF360" s="16">
        <v>0</v>
      </c>
      <c r="GG360" s="16">
        <v>0</v>
      </c>
      <c r="GH360" s="16">
        <v>0</v>
      </c>
      <c r="GI360" s="16">
        <v>0</v>
      </c>
      <c r="GJ360" s="16">
        <v>0</v>
      </c>
      <c r="GK360" s="16">
        <v>0</v>
      </c>
      <c r="GL360" s="16">
        <v>0</v>
      </c>
      <c r="GM360" s="16">
        <v>0</v>
      </c>
      <c r="GN360" s="16">
        <v>0</v>
      </c>
      <c r="GO360" s="16">
        <v>0</v>
      </c>
      <c r="GP360" s="16">
        <v>0</v>
      </c>
      <c r="GQ360" s="16">
        <v>0</v>
      </c>
      <c r="GR360" s="16">
        <v>0</v>
      </c>
      <c r="GS360" s="16">
        <v>0</v>
      </c>
      <c r="GT360" s="16">
        <v>0</v>
      </c>
      <c r="GU360" s="16">
        <v>0</v>
      </c>
      <c r="GV360" s="16">
        <v>0</v>
      </c>
      <c r="GW360" s="16">
        <v>0</v>
      </c>
      <c r="GX360" s="16">
        <v>0</v>
      </c>
      <c r="GY360" s="16">
        <v>0</v>
      </c>
      <c r="GZ360" s="16">
        <v>0</v>
      </c>
      <c r="HA360" s="16">
        <v>0</v>
      </c>
      <c r="HB360" s="16">
        <v>0</v>
      </c>
      <c r="HC360" s="16">
        <v>0</v>
      </c>
      <c r="HD360" s="16">
        <v>0</v>
      </c>
      <c r="HE360" s="16">
        <v>0</v>
      </c>
      <c r="HF360" s="16">
        <v>0</v>
      </c>
      <c r="HG360" s="16">
        <v>0</v>
      </c>
      <c r="HH360" s="16">
        <v>0</v>
      </c>
      <c r="HI360" s="16">
        <v>0</v>
      </c>
      <c r="HJ360" s="16">
        <v>0</v>
      </c>
      <c r="HK360" s="16">
        <v>0</v>
      </c>
      <c r="HL360" s="16">
        <v>0</v>
      </c>
      <c r="HM360" s="16">
        <v>0</v>
      </c>
      <c r="HN360" s="16">
        <v>0</v>
      </c>
      <c r="HO360" s="16">
        <v>0</v>
      </c>
      <c r="HP360" s="16">
        <v>0</v>
      </c>
      <c r="HQ360" s="16">
        <v>0</v>
      </c>
      <c r="HR360" s="16">
        <v>0</v>
      </c>
      <c r="HS360" s="16">
        <v>0</v>
      </c>
      <c r="HT360" s="16">
        <v>0</v>
      </c>
      <c r="HU360" s="16">
        <v>0</v>
      </c>
      <c r="HV360" s="16">
        <v>0</v>
      </c>
      <c r="HW360" s="16">
        <v>0</v>
      </c>
      <c r="HX360" s="16">
        <v>0</v>
      </c>
      <c r="HY360" s="16">
        <v>0</v>
      </c>
      <c r="HZ360" s="16">
        <v>0</v>
      </c>
      <c r="IA360" s="16">
        <v>0</v>
      </c>
      <c r="IB360" s="16">
        <v>0</v>
      </c>
      <c r="IC360" s="16">
        <v>0</v>
      </c>
      <c r="ID360" s="16">
        <v>0</v>
      </c>
      <c r="IE360" s="16">
        <v>0</v>
      </c>
      <c r="IF360" s="16">
        <v>0</v>
      </c>
      <c r="IG360" s="16">
        <v>0</v>
      </c>
      <c r="IH360" s="16">
        <v>0</v>
      </c>
      <c r="II360" s="16">
        <v>0</v>
      </c>
      <c r="IJ360" s="16">
        <v>0</v>
      </c>
      <c r="IK360" s="16">
        <v>0</v>
      </c>
      <c r="IL360" s="16">
        <v>0</v>
      </c>
      <c r="IM360" s="16">
        <v>0</v>
      </c>
      <c r="IN360" s="16">
        <v>0</v>
      </c>
      <c r="IO360" s="16">
        <v>0</v>
      </c>
      <c r="IP360" s="16">
        <v>0</v>
      </c>
      <c r="IQ360" s="16">
        <v>0</v>
      </c>
      <c r="IR360" s="16">
        <v>0</v>
      </c>
      <c r="IS360" s="16">
        <v>0</v>
      </c>
      <c r="IT360" s="16">
        <v>0</v>
      </c>
      <c r="IU360" s="16">
        <v>0</v>
      </c>
      <c r="IV360" s="16">
        <v>0</v>
      </c>
      <c r="IW360" s="16">
        <v>0</v>
      </c>
      <c r="IX360" s="16">
        <v>0</v>
      </c>
      <c r="IY360" s="16">
        <v>0</v>
      </c>
      <c r="IZ360" s="16">
        <v>0</v>
      </c>
      <c r="JA360" s="16">
        <v>0</v>
      </c>
      <c r="JB360" s="16">
        <v>0</v>
      </c>
      <c r="JC360" s="16">
        <v>0</v>
      </c>
      <c r="JD360" s="16">
        <v>0</v>
      </c>
      <c r="JE360" s="16">
        <v>0</v>
      </c>
      <c r="JF360" s="16">
        <v>0</v>
      </c>
      <c r="JG360" s="16">
        <v>0</v>
      </c>
      <c r="JH360" s="16">
        <v>0</v>
      </c>
      <c r="JI360" s="16">
        <v>0</v>
      </c>
      <c r="JJ360" s="16">
        <v>0</v>
      </c>
      <c r="JK360" s="16">
        <v>0</v>
      </c>
      <c r="JL360" s="16">
        <v>0</v>
      </c>
      <c r="JM360" s="16">
        <v>0</v>
      </c>
      <c r="JN360" s="16">
        <v>0</v>
      </c>
      <c r="JO360" s="16">
        <v>0</v>
      </c>
      <c r="JP360" s="16">
        <v>0</v>
      </c>
      <c r="JQ360" s="16">
        <v>0</v>
      </c>
      <c r="JR360" s="16">
        <v>0</v>
      </c>
      <c r="JS360" s="16">
        <v>0</v>
      </c>
      <c r="JT360" s="16">
        <v>0</v>
      </c>
      <c r="JU360" s="16">
        <v>0</v>
      </c>
      <c r="JV360" s="16">
        <v>0</v>
      </c>
      <c r="JW360" s="16">
        <v>0</v>
      </c>
      <c r="JX360" s="16">
        <v>0</v>
      </c>
      <c r="JY360" s="16">
        <v>0</v>
      </c>
      <c r="JZ360" s="16">
        <v>0</v>
      </c>
      <c r="KA360" s="16">
        <v>0</v>
      </c>
      <c r="KB360" s="16">
        <v>0</v>
      </c>
      <c r="KC360" s="16">
        <v>0</v>
      </c>
      <c r="KD360" s="16">
        <v>0</v>
      </c>
      <c r="KE360" s="16">
        <v>0</v>
      </c>
      <c r="KF360" s="16">
        <v>0</v>
      </c>
      <c r="KG360" s="16">
        <v>0</v>
      </c>
      <c r="KH360" s="16">
        <v>0</v>
      </c>
      <c r="KI360" s="16">
        <v>0</v>
      </c>
      <c r="KJ360" s="16">
        <v>0</v>
      </c>
      <c r="KK360" s="16">
        <v>0</v>
      </c>
      <c r="KL360" s="16">
        <v>0</v>
      </c>
      <c r="KM360" s="16">
        <v>0</v>
      </c>
      <c r="KN360" s="16">
        <v>0</v>
      </c>
      <c r="KO360" s="16">
        <v>0</v>
      </c>
      <c r="KP360" s="16">
        <v>0</v>
      </c>
      <c r="KQ360" s="16">
        <v>0</v>
      </c>
      <c r="KR360" s="16">
        <v>0</v>
      </c>
      <c r="KS360" s="16">
        <v>0</v>
      </c>
      <c r="KT360" s="16">
        <v>0</v>
      </c>
      <c r="KU360" s="16">
        <v>0</v>
      </c>
      <c r="KV360" s="16">
        <v>0</v>
      </c>
      <c r="KW360" s="16">
        <v>0</v>
      </c>
      <c r="KX360" s="16">
        <v>0</v>
      </c>
      <c r="KY360" s="16">
        <v>0</v>
      </c>
      <c r="KZ360" s="16">
        <v>0</v>
      </c>
      <c r="LA360" s="16">
        <v>0</v>
      </c>
      <c r="LB360" s="16">
        <v>0</v>
      </c>
      <c r="LC360" s="16">
        <v>0</v>
      </c>
      <c r="LD360" s="16">
        <v>0</v>
      </c>
      <c r="LE360" s="16">
        <v>0</v>
      </c>
      <c r="LF360" s="16">
        <v>0</v>
      </c>
      <c r="LG360" s="16">
        <v>0</v>
      </c>
      <c r="LH360" s="16">
        <v>0</v>
      </c>
      <c r="LI360" s="16">
        <v>0</v>
      </c>
      <c r="LJ360" s="16">
        <v>0</v>
      </c>
      <c r="LK360" s="16">
        <v>0</v>
      </c>
      <c r="LL360" s="16">
        <v>0</v>
      </c>
      <c r="LM360" s="16">
        <v>0</v>
      </c>
      <c r="LN360" s="16">
        <v>0</v>
      </c>
      <c r="LO360" s="16">
        <v>0</v>
      </c>
      <c r="LP360" s="16">
        <v>0</v>
      </c>
      <c r="LQ360" s="16">
        <v>0</v>
      </c>
      <c r="LR360" s="16">
        <v>0</v>
      </c>
      <c r="LS360" s="16">
        <v>0</v>
      </c>
      <c r="LT360" s="16">
        <v>0</v>
      </c>
      <c r="LU360" s="16">
        <v>0</v>
      </c>
      <c r="LV360" s="16">
        <v>0</v>
      </c>
      <c r="LW360" s="16">
        <v>0</v>
      </c>
      <c r="LX360" s="16">
        <v>0</v>
      </c>
      <c r="LY360" s="16">
        <v>0</v>
      </c>
      <c r="LZ360" s="16">
        <v>0</v>
      </c>
      <c r="MA360" s="16">
        <v>0</v>
      </c>
      <c r="MB360" s="16">
        <v>0</v>
      </c>
      <c r="MC360" s="16">
        <v>0</v>
      </c>
      <c r="MD360" s="16">
        <v>0</v>
      </c>
      <c r="ME360" s="16">
        <v>0</v>
      </c>
      <c r="MF360" s="16">
        <v>0</v>
      </c>
      <c r="MG360" s="16">
        <v>0</v>
      </c>
      <c r="MH360" s="16">
        <v>0</v>
      </c>
      <c r="MI360" s="16">
        <v>0</v>
      </c>
      <c r="MJ360" s="16">
        <v>0</v>
      </c>
      <c r="MK360" s="16">
        <v>0</v>
      </c>
      <c r="ML360" s="16">
        <v>0</v>
      </c>
      <c r="MM360" s="16">
        <v>0</v>
      </c>
      <c r="MN360" s="16">
        <v>0</v>
      </c>
      <c r="MO360" s="16">
        <v>0</v>
      </c>
      <c r="MP360" s="16">
        <v>0</v>
      </c>
      <c r="MQ360" s="16">
        <v>0</v>
      </c>
      <c r="MR360" s="16">
        <v>0</v>
      </c>
      <c r="MS360" s="16">
        <v>0</v>
      </c>
      <c r="MT360" s="16">
        <v>0</v>
      </c>
      <c r="MU360" s="16">
        <v>0</v>
      </c>
      <c r="MV360" s="16">
        <v>0</v>
      </c>
      <c r="MW360" s="16">
        <v>0</v>
      </c>
      <c r="MX360" s="16">
        <v>0</v>
      </c>
      <c r="MY360" s="16">
        <v>0</v>
      </c>
      <c r="MZ360" s="16">
        <v>0</v>
      </c>
      <c r="NA360" s="16">
        <v>0</v>
      </c>
      <c r="NB360" s="16">
        <v>0</v>
      </c>
      <c r="NC360" s="16">
        <v>0</v>
      </c>
      <c r="ND360" s="16">
        <v>0</v>
      </c>
      <c r="NE360" s="16">
        <v>0</v>
      </c>
      <c r="NF360" s="16">
        <v>0</v>
      </c>
      <c r="NG360" s="16">
        <v>0</v>
      </c>
      <c r="NH360" s="16">
        <v>0</v>
      </c>
      <c r="NI360" s="16">
        <v>0</v>
      </c>
      <c r="NJ360" s="16">
        <v>0</v>
      </c>
      <c r="NK360" s="16">
        <v>0</v>
      </c>
      <c r="NL360" s="16">
        <v>0</v>
      </c>
      <c r="NM360" s="16">
        <v>0</v>
      </c>
      <c r="NN360" s="16">
        <v>0</v>
      </c>
      <c r="NO360" s="16">
        <v>0</v>
      </c>
      <c r="NP360" s="16">
        <v>0</v>
      </c>
      <c r="NQ360" s="16">
        <v>0</v>
      </c>
      <c r="NR360" s="17">
        <v>0</v>
      </c>
    </row>
    <row r="361" spans="1:382" ht="13.5" customHeight="1" x14ac:dyDescent="0.2">
      <c r="A361" s="2" t="s">
        <v>729</v>
      </c>
      <c r="B361" s="16">
        <v>78</v>
      </c>
      <c r="C361" s="16">
        <v>4</v>
      </c>
      <c r="D361" s="16">
        <v>28</v>
      </c>
      <c r="E361" s="16">
        <v>33</v>
      </c>
      <c r="F361" s="16">
        <v>208</v>
      </c>
      <c r="G361" s="16">
        <v>80</v>
      </c>
      <c r="H361" s="16">
        <v>50</v>
      </c>
      <c r="I361" s="16">
        <v>42</v>
      </c>
      <c r="J361" s="16">
        <v>1</v>
      </c>
      <c r="K361" s="16">
        <v>0</v>
      </c>
      <c r="L361" s="16">
        <v>60</v>
      </c>
      <c r="M361" s="16">
        <v>23</v>
      </c>
      <c r="N361" s="16">
        <v>0</v>
      </c>
      <c r="O361" s="16">
        <v>3</v>
      </c>
      <c r="P361" s="16">
        <v>22</v>
      </c>
      <c r="Q361" s="16">
        <v>55</v>
      </c>
      <c r="R361" s="16">
        <v>736</v>
      </c>
      <c r="S361" s="16">
        <v>8</v>
      </c>
      <c r="T361" s="16">
        <v>8</v>
      </c>
      <c r="U361" s="16">
        <v>0</v>
      </c>
      <c r="V361" s="16">
        <v>218</v>
      </c>
      <c r="W361" s="16">
        <v>61</v>
      </c>
      <c r="X361" s="16">
        <v>73</v>
      </c>
      <c r="Y361" s="16">
        <v>10</v>
      </c>
      <c r="Z361" s="16">
        <v>1453</v>
      </c>
      <c r="AA361" s="16">
        <v>86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  <c r="AG361" s="16">
        <v>518</v>
      </c>
      <c r="AH361" s="16">
        <v>514</v>
      </c>
      <c r="AI361" s="16">
        <v>2</v>
      </c>
      <c r="AJ361" s="16">
        <v>432</v>
      </c>
      <c r="AK361" s="16">
        <v>1195</v>
      </c>
      <c r="AL361" s="16">
        <v>526</v>
      </c>
      <c r="AM361" s="16">
        <v>3553</v>
      </c>
      <c r="AN361" s="16">
        <v>273</v>
      </c>
      <c r="AO361" s="16">
        <v>73</v>
      </c>
      <c r="AP361" s="16">
        <v>1</v>
      </c>
      <c r="AQ361" s="16">
        <v>1089</v>
      </c>
      <c r="AR361" s="16">
        <v>0</v>
      </c>
      <c r="AS361" s="16">
        <v>300</v>
      </c>
      <c r="AT361" s="16">
        <v>1824</v>
      </c>
      <c r="AU361" s="16">
        <v>2362</v>
      </c>
      <c r="AV361" s="16">
        <v>2637</v>
      </c>
      <c r="AW361" s="16">
        <v>4499</v>
      </c>
      <c r="AX361" s="16">
        <v>1042</v>
      </c>
      <c r="AY361" s="16">
        <v>37</v>
      </c>
      <c r="AZ361" s="16">
        <v>4524</v>
      </c>
      <c r="BA361" s="16">
        <v>5328</v>
      </c>
      <c r="BB361" s="16">
        <v>3278</v>
      </c>
      <c r="BC361" s="16">
        <v>4425</v>
      </c>
      <c r="BD361" s="16">
        <v>17</v>
      </c>
      <c r="BE361" s="16">
        <v>314</v>
      </c>
      <c r="BF361" s="16">
        <v>1195</v>
      </c>
      <c r="BG361" s="16">
        <v>1186</v>
      </c>
      <c r="BH361" s="16">
        <v>986</v>
      </c>
      <c r="BI361" s="16">
        <v>748</v>
      </c>
      <c r="BJ361" s="16">
        <v>721</v>
      </c>
      <c r="BK361" s="16">
        <v>295</v>
      </c>
      <c r="BL361" s="16">
        <v>167</v>
      </c>
      <c r="BM361" s="16">
        <v>100</v>
      </c>
      <c r="BN361" s="16">
        <v>2461</v>
      </c>
      <c r="BO361" s="16">
        <v>1438</v>
      </c>
      <c r="BP361" s="16">
        <v>2101</v>
      </c>
      <c r="BQ361" s="16">
        <v>485</v>
      </c>
      <c r="BR361" s="16">
        <v>40</v>
      </c>
      <c r="BS361" s="16">
        <v>855</v>
      </c>
      <c r="BT361" s="16">
        <v>101</v>
      </c>
      <c r="BU361" s="16">
        <v>11</v>
      </c>
      <c r="BV361" s="16">
        <v>1</v>
      </c>
      <c r="BW361" s="16">
        <v>508</v>
      </c>
      <c r="BX361" s="16">
        <v>110</v>
      </c>
      <c r="BY361" s="16">
        <v>3</v>
      </c>
      <c r="BZ361" s="16">
        <v>413</v>
      </c>
      <c r="CA361" s="16">
        <v>313</v>
      </c>
      <c r="CB361" s="16">
        <v>707</v>
      </c>
      <c r="CC361" s="16">
        <v>842</v>
      </c>
      <c r="CD361" s="16">
        <v>298</v>
      </c>
      <c r="CE361" s="16">
        <v>1635</v>
      </c>
      <c r="CF361" s="16">
        <v>1565</v>
      </c>
      <c r="CG361" s="16">
        <v>757</v>
      </c>
      <c r="CH361" s="16">
        <v>381</v>
      </c>
      <c r="CI361" s="16">
        <v>485</v>
      </c>
      <c r="CJ361" s="16">
        <v>726</v>
      </c>
      <c r="CK361" s="16">
        <v>3983</v>
      </c>
      <c r="CL361" s="16">
        <v>1702</v>
      </c>
      <c r="CM361" s="16">
        <v>1264</v>
      </c>
      <c r="CN361" s="16">
        <v>1248</v>
      </c>
      <c r="CO361" s="16">
        <v>1465</v>
      </c>
      <c r="CP361" s="16">
        <v>1772</v>
      </c>
      <c r="CQ361" s="16">
        <v>4631</v>
      </c>
      <c r="CR361" s="16">
        <v>42</v>
      </c>
      <c r="CS361" s="16">
        <v>1845</v>
      </c>
      <c r="CT361" s="16">
        <v>1163</v>
      </c>
      <c r="CU361" s="16">
        <v>2357</v>
      </c>
      <c r="CV361" s="16">
        <v>4859</v>
      </c>
      <c r="CW361" s="16">
        <v>3837</v>
      </c>
      <c r="CX361" s="16">
        <v>4028</v>
      </c>
      <c r="CY361" s="16">
        <v>1024</v>
      </c>
      <c r="CZ361" s="16">
        <v>3845</v>
      </c>
      <c r="DA361" s="16">
        <v>1051</v>
      </c>
      <c r="DB361" s="16">
        <v>7884</v>
      </c>
      <c r="DC361" s="16">
        <v>542</v>
      </c>
      <c r="DD361" s="16">
        <v>2286</v>
      </c>
      <c r="DE361" s="16">
        <v>452</v>
      </c>
      <c r="DF361" s="16">
        <v>2585</v>
      </c>
      <c r="DG361" s="16">
        <v>2449</v>
      </c>
      <c r="DH361" s="16">
        <v>3477</v>
      </c>
      <c r="DI361" s="16">
        <v>2188</v>
      </c>
      <c r="DJ361" s="16">
        <v>7989</v>
      </c>
      <c r="DK361" s="16">
        <v>2589</v>
      </c>
      <c r="DL361" s="16">
        <v>3566</v>
      </c>
      <c r="DM361" s="16">
        <v>6259</v>
      </c>
      <c r="DN361" s="16">
        <v>656</v>
      </c>
      <c r="DO361" s="16">
        <v>5913</v>
      </c>
      <c r="DP361" s="16">
        <v>2192</v>
      </c>
      <c r="DQ361" s="16">
        <v>913</v>
      </c>
      <c r="DR361" s="16">
        <v>11121</v>
      </c>
      <c r="DS361" s="16">
        <v>8261</v>
      </c>
      <c r="DT361" s="16">
        <v>709</v>
      </c>
      <c r="DU361" s="16">
        <v>1817</v>
      </c>
      <c r="DV361" s="16">
        <v>12909</v>
      </c>
      <c r="DW361" s="16">
        <v>11028</v>
      </c>
      <c r="DX361" s="16">
        <v>8119</v>
      </c>
      <c r="DY361" s="16">
        <v>7849</v>
      </c>
      <c r="DZ361" s="16">
        <v>17508</v>
      </c>
      <c r="EA361" s="16">
        <v>5666</v>
      </c>
      <c r="EB361" s="16">
        <v>2128</v>
      </c>
      <c r="EC361" s="16">
        <v>3516</v>
      </c>
      <c r="ED361" s="16">
        <v>709</v>
      </c>
      <c r="EE361" s="16">
        <v>46</v>
      </c>
      <c r="EF361" s="16">
        <v>611</v>
      </c>
      <c r="EG361" s="16">
        <v>3520</v>
      </c>
      <c r="EH361" s="16">
        <v>694</v>
      </c>
      <c r="EI361" s="16">
        <v>984</v>
      </c>
      <c r="EJ361" s="16">
        <v>414</v>
      </c>
      <c r="EK361" s="16">
        <v>1404</v>
      </c>
      <c r="EL361" s="16">
        <v>606</v>
      </c>
      <c r="EM361" s="16">
        <v>1710</v>
      </c>
      <c r="EN361" s="16">
        <v>3845</v>
      </c>
      <c r="EO361" s="16">
        <v>2199</v>
      </c>
      <c r="EP361" s="16">
        <v>1301</v>
      </c>
      <c r="EQ361" s="16">
        <v>269</v>
      </c>
      <c r="ER361" s="16">
        <v>599</v>
      </c>
      <c r="ES361" s="16">
        <v>1490</v>
      </c>
      <c r="ET361" s="16">
        <v>325</v>
      </c>
      <c r="EU361" s="16">
        <v>17</v>
      </c>
      <c r="EV361" s="16">
        <v>49</v>
      </c>
      <c r="EW361" s="16">
        <v>1132</v>
      </c>
      <c r="EX361" s="16">
        <v>10485</v>
      </c>
      <c r="EY361" s="16">
        <v>3012</v>
      </c>
      <c r="EZ361" s="16">
        <v>1091</v>
      </c>
      <c r="FA361" s="16">
        <v>4548</v>
      </c>
      <c r="FB361" s="16">
        <v>8809</v>
      </c>
      <c r="FC361" s="16">
        <v>3525</v>
      </c>
      <c r="FD361" s="16">
        <v>6522</v>
      </c>
      <c r="FE361" s="16">
        <v>11336</v>
      </c>
      <c r="FF361" s="16">
        <v>4399</v>
      </c>
      <c r="FG361" s="16">
        <v>581</v>
      </c>
      <c r="FH361" s="16">
        <v>29</v>
      </c>
      <c r="FI361" s="16">
        <v>2990</v>
      </c>
      <c r="FJ361" s="16">
        <v>71</v>
      </c>
      <c r="FK361" s="16">
        <v>871</v>
      </c>
      <c r="FL361" s="16">
        <v>145</v>
      </c>
      <c r="FM361" s="16">
        <v>4870</v>
      </c>
      <c r="FN361" s="16">
        <v>6705</v>
      </c>
      <c r="FO361" s="16">
        <v>2724</v>
      </c>
      <c r="FP361" s="16">
        <v>7635</v>
      </c>
      <c r="FQ361" s="16">
        <v>7823</v>
      </c>
      <c r="FR361" s="16">
        <v>7693</v>
      </c>
      <c r="FS361" s="16">
        <v>4327</v>
      </c>
      <c r="FT361" s="16">
        <v>2334</v>
      </c>
      <c r="FU361" s="16">
        <v>11235</v>
      </c>
      <c r="FV361" s="16">
        <v>10964</v>
      </c>
      <c r="FW361" s="16">
        <v>15339</v>
      </c>
      <c r="FX361" s="16">
        <v>15657</v>
      </c>
      <c r="FY361" s="16">
        <v>1061</v>
      </c>
      <c r="FZ361" s="16">
        <v>5496</v>
      </c>
      <c r="GA361" s="16">
        <v>4032</v>
      </c>
      <c r="GB361" s="16">
        <v>13629</v>
      </c>
      <c r="GC361" s="16">
        <v>4582</v>
      </c>
      <c r="GD361" s="16">
        <v>2840</v>
      </c>
      <c r="GE361" s="16">
        <v>1590</v>
      </c>
      <c r="GF361" s="16">
        <v>7447</v>
      </c>
      <c r="GG361" s="16">
        <v>285</v>
      </c>
      <c r="GH361" s="16">
        <v>19113</v>
      </c>
      <c r="GI361" s="16">
        <v>8900</v>
      </c>
      <c r="GJ361" s="16">
        <v>5501</v>
      </c>
      <c r="GK361" s="16">
        <v>4239</v>
      </c>
      <c r="GL361" s="16">
        <v>34</v>
      </c>
      <c r="GM361" s="16">
        <v>2160</v>
      </c>
      <c r="GN361" s="16">
        <v>182</v>
      </c>
      <c r="GO361" s="16">
        <v>1206</v>
      </c>
      <c r="GP361" s="16">
        <v>732</v>
      </c>
      <c r="GQ361" s="16">
        <v>73</v>
      </c>
      <c r="GR361" s="16">
        <v>1468</v>
      </c>
      <c r="GS361" s="16">
        <v>246</v>
      </c>
      <c r="GT361" s="16">
        <v>909</v>
      </c>
      <c r="GU361" s="16">
        <v>4879</v>
      </c>
      <c r="GV361" s="16">
        <v>7339</v>
      </c>
      <c r="GW361" s="16">
        <v>16942</v>
      </c>
      <c r="GX361" s="16">
        <v>645</v>
      </c>
      <c r="GY361" s="16">
        <v>6</v>
      </c>
      <c r="GZ361" s="16">
        <v>9023</v>
      </c>
      <c r="HA361" s="16">
        <v>4968</v>
      </c>
      <c r="HB361" s="16">
        <v>4582</v>
      </c>
      <c r="HC361" s="16">
        <v>8160</v>
      </c>
      <c r="HD361" s="16">
        <v>9605</v>
      </c>
      <c r="HE361" s="16">
        <v>8937</v>
      </c>
      <c r="HF361" s="16">
        <v>12310</v>
      </c>
      <c r="HG361" s="16">
        <v>1074</v>
      </c>
      <c r="HH361" s="16">
        <v>754</v>
      </c>
      <c r="HI361" s="16">
        <v>2949</v>
      </c>
      <c r="HJ361" s="16">
        <v>1397</v>
      </c>
      <c r="HK361" s="16">
        <v>4909</v>
      </c>
      <c r="HL361" s="16">
        <v>9014</v>
      </c>
      <c r="HM361" s="16">
        <v>7512</v>
      </c>
      <c r="HN361" s="16">
        <v>11853</v>
      </c>
      <c r="HO361" s="16">
        <v>3771</v>
      </c>
      <c r="HP361" s="16">
        <v>10313</v>
      </c>
      <c r="HQ361" s="16">
        <v>6750</v>
      </c>
      <c r="HR361" s="16">
        <v>8139</v>
      </c>
      <c r="HS361" s="16">
        <v>6645</v>
      </c>
      <c r="HT361" s="16">
        <v>717</v>
      </c>
      <c r="HU361" s="16">
        <v>8595</v>
      </c>
      <c r="HV361" s="16">
        <v>1583</v>
      </c>
      <c r="HW361" s="16">
        <v>5644</v>
      </c>
      <c r="HX361" s="16">
        <v>4485</v>
      </c>
      <c r="HY361" s="16">
        <v>6325</v>
      </c>
      <c r="HZ361" s="16">
        <v>14960</v>
      </c>
      <c r="IA361" s="16">
        <v>3990</v>
      </c>
      <c r="IB361" s="16">
        <v>324</v>
      </c>
      <c r="IC361" s="16">
        <v>104</v>
      </c>
      <c r="ID361" s="16">
        <v>252</v>
      </c>
      <c r="IE361" s="16">
        <v>179</v>
      </c>
      <c r="IF361" s="16">
        <v>234</v>
      </c>
      <c r="IG361" s="16">
        <v>562</v>
      </c>
      <c r="IH361" s="16">
        <v>16968</v>
      </c>
      <c r="II361" s="16">
        <v>484</v>
      </c>
      <c r="IJ361" s="16">
        <v>2120</v>
      </c>
      <c r="IK361" s="16">
        <v>174</v>
      </c>
      <c r="IL361" s="16">
        <v>217</v>
      </c>
      <c r="IM361" s="16">
        <v>445</v>
      </c>
      <c r="IN361" s="16">
        <v>14853</v>
      </c>
      <c r="IO361" s="16">
        <v>19151</v>
      </c>
      <c r="IP361" s="16">
        <v>3248</v>
      </c>
      <c r="IQ361" s="16">
        <v>5534</v>
      </c>
      <c r="IR361" s="16">
        <v>245</v>
      </c>
      <c r="IS361" s="16">
        <v>758</v>
      </c>
      <c r="IT361" s="16">
        <v>334</v>
      </c>
      <c r="IU361" s="16">
        <v>240</v>
      </c>
      <c r="IV361" s="16">
        <v>740</v>
      </c>
      <c r="IW361" s="16">
        <v>737</v>
      </c>
      <c r="IX361" s="16">
        <v>810</v>
      </c>
      <c r="IY361" s="16">
        <v>196</v>
      </c>
      <c r="IZ361" s="16">
        <v>95</v>
      </c>
      <c r="JA361" s="16">
        <v>703</v>
      </c>
      <c r="JB361" s="16">
        <v>715</v>
      </c>
      <c r="JC361" s="16">
        <v>156</v>
      </c>
      <c r="JD361" s="16">
        <v>183</v>
      </c>
      <c r="JE361" s="16">
        <v>641</v>
      </c>
      <c r="JF361" s="16">
        <v>257</v>
      </c>
      <c r="JG361" s="16">
        <v>239844</v>
      </c>
      <c r="JH361" s="16">
        <v>12544</v>
      </c>
      <c r="JI361" s="16">
        <v>1708</v>
      </c>
      <c r="JJ361" s="16">
        <v>2726</v>
      </c>
      <c r="JK361" s="16">
        <v>5443</v>
      </c>
      <c r="JL361" s="16">
        <v>2029</v>
      </c>
      <c r="JM361" s="16">
        <v>406</v>
      </c>
      <c r="JN361" s="16">
        <v>8996</v>
      </c>
      <c r="JO361" s="16">
        <v>82</v>
      </c>
      <c r="JP361" s="16">
        <v>4455</v>
      </c>
      <c r="JQ361" s="16">
        <v>3185</v>
      </c>
      <c r="JR361" s="16">
        <v>9448</v>
      </c>
      <c r="JS361" s="16">
        <v>51</v>
      </c>
      <c r="JT361" s="16">
        <v>5</v>
      </c>
      <c r="JU361" s="16">
        <v>6304</v>
      </c>
      <c r="JV361" s="16">
        <v>6318</v>
      </c>
      <c r="JW361" s="16">
        <v>9326</v>
      </c>
      <c r="JX361" s="16">
        <v>21129</v>
      </c>
      <c r="JY361" s="16">
        <v>27654</v>
      </c>
      <c r="JZ361" s="16">
        <v>1749</v>
      </c>
      <c r="KA361" s="16">
        <v>1834</v>
      </c>
      <c r="KB361" s="16">
        <v>806</v>
      </c>
      <c r="KC361" s="16">
        <v>2852</v>
      </c>
      <c r="KD361" s="16">
        <v>160</v>
      </c>
      <c r="KE361" s="16">
        <v>102</v>
      </c>
      <c r="KF361" s="16">
        <v>2285</v>
      </c>
      <c r="KG361" s="16">
        <v>899</v>
      </c>
      <c r="KH361" s="16">
        <v>2482</v>
      </c>
      <c r="KI361" s="16">
        <v>2362</v>
      </c>
      <c r="KJ361" s="16">
        <v>234</v>
      </c>
      <c r="KK361" s="16">
        <v>864077</v>
      </c>
      <c r="KL361" s="16">
        <v>593</v>
      </c>
      <c r="KM361" s="16">
        <v>1184</v>
      </c>
      <c r="KN361" s="16">
        <v>7163</v>
      </c>
      <c r="KO361" s="16">
        <v>741</v>
      </c>
      <c r="KP361" s="16">
        <v>906</v>
      </c>
      <c r="KQ361" s="16">
        <v>3991</v>
      </c>
      <c r="KR361" s="16">
        <v>3457</v>
      </c>
      <c r="KS361" s="16">
        <v>128</v>
      </c>
      <c r="KT361" s="16">
        <v>494</v>
      </c>
      <c r="KU361" s="16">
        <v>3659</v>
      </c>
      <c r="KV361" s="16">
        <v>19941</v>
      </c>
      <c r="KW361" s="16">
        <v>23312</v>
      </c>
      <c r="KX361" s="16">
        <v>366</v>
      </c>
      <c r="KY361" s="16">
        <v>3561</v>
      </c>
      <c r="KZ361" s="16">
        <v>46911</v>
      </c>
      <c r="LA361" s="16">
        <v>9702</v>
      </c>
      <c r="LB361" s="16">
        <v>3613</v>
      </c>
      <c r="LC361" s="16">
        <v>11728</v>
      </c>
      <c r="LD361" s="16">
        <v>21563</v>
      </c>
      <c r="LE361" s="16">
        <v>9345</v>
      </c>
      <c r="LF361" s="16">
        <v>8227</v>
      </c>
      <c r="LG361" s="16">
        <v>11296</v>
      </c>
      <c r="LH361" s="16">
        <v>16790</v>
      </c>
      <c r="LI361" s="16">
        <v>4153</v>
      </c>
      <c r="LJ361" s="16">
        <v>7595</v>
      </c>
      <c r="LK361" s="16">
        <v>17628</v>
      </c>
      <c r="LL361" s="16">
        <v>19536</v>
      </c>
      <c r="LM361" s="16">
        <v>18889</v>
      </c>
      <c r="LN361" s="16">
        <v>19369</v>
      </c>
      <c r="LO361" s="16">
        <v>3994</v>
      </c>
      <c r="LP361" s="16">
        <v>11396</v>
      </c>
      <c r="LQ361" s="16">
        <v>1754</v>
      </c>
      <c r="LR361" s="16">
        <v>68088</v>
      </c>
      <c r="LS361" s="16">
        <v>4963</v>
      </c>
      <c r="LT361" s="16">
        <v>81544</v>
      </c>
      <c r="LU361" s="16">
        <v>47948</v>
      </c>
      <c r="LV361" s="16">
        <v>205</v>
      </c>
      <c r="LW361" s="16">
        <v>85923</v>
      </c>
      <c r="LX361" s="16">
        <v>51234</v>
      </c>
      <c r="LY361" s="16">
        <v>0</v>
      </c>
      <c r="LZ361" s="16">
        <v>107435</v>
      </c>
      <c r="MA361" s="16">
        <v>60073</v>
      </c>
      <c r="MB361" s="16">
        <v>16952</v>
      </c>
      <c r="MC361" s="16">
        <v>5426</v>
      </c>
      <c r="MD361" s="16">
        <v>7322</v>
      </c>
      <c r="ME361" s="16">
        <v>4433</v>
      </c>
      <c r="MF361" s="16">
        <v>155810</v>
      </c>
      <c r="MG361" s="16">
        <v>38633</v>
      </c>
      <c r="MH361" s="16">
        <v>103835</v>
      </c>
      <c r="MI361" s="16">
        <v>1989</v>
      </c>
      <c r="MJ361" s="16">
        <v>15487</v>
      </c>
      <c r="MK361" s="16">
        <v>28537</v>
      </c>
      <c r="ML361" s="16">
        <v>27617</v>
      </c>
      <c r="MM361" s="16">
        <v>32190</v>
      </c>
      <c r="MN361" s="16">
        <v>17822</v>
      </c>
      <c r="MO361" s="16">
        <v>21274</v>
      </c>
      <c r="MP361" s="16">
        <v>14026</v>
      </c>
      <c r="MQ361" s="16">
        <v>30275</v>
      </c>
      <c r="MR361" s="16">
        <v>10542</v>
      </c>
      <c r="MS361" s="16">
        <v>0</v>
      </c>
      <c r="MT361" s="16">
        <v>4656</v>
      </c>
      <c r="MU361" s="16">
        <v>3813</v>
      </c>
      <c r="MV361" s="16">
        <v>33330</v>
      </c>
      <c r="MW361" s="16">
        <v>39010</v>
      </c>
      <c r="MX361" s="16">
        <v>0</v>
      </c>
      <c r="MY361" s="16">
        <v>929</v>
      </c>
      <c r="MZ361" s="16">
        <v>8797</v>
      </c>
      <c r="NA361" s="16">
        <v>7106</v>
      </c>
      <c r="NB361" s="16">
        <v>7208</v>
      </c>
      <c r="NC361" s="16">
        <v>0</v>
      </c>
      <c r="ND361" s="16">
        <v>8</v>
      </c>
      <c r="NE361" s="16">
        <v>885</v>
      </c>
      <c r="NF361" s="16">
        <v>7363</v>
      </c>
      <c r="NG361" s="16">
        <v>6083</v>
      </c>
      <c r="NH361" s="16">
        <v>6662</v>
      </c>
      <c r="NI361" s="16">
        <v>12686</v>
      </c>
      <c r="NJ361" s="16">
        <v>28828</v>
      </c>
      <c r="NK361" s="16">
        <v>7592</v>
      </c>
      <c r="NL361" s="16">
        <v>22343</v>
      </c>
      <c r="NM361" s="16">
        <v>18808</v>
      </c>
      <c r="NN361" s="16">
        <v>3426</v>
      </c>
      <c r="NO361" s="16">
        <v>0</v>
      </c>
      <c r="NP361" s="16">
        <v>200</v>
      </c>
      <c r="NQ361" s="16">
        <v>676</v>
      </c>
      <c r="NR361" s="17">
        <v>3604699</v>
      </c>
    </row>
    <row r="362" spans="1:382" ht="13.5" customHeight="1" x14ac:dyDescent="0.2">
      <c r="A362" s="2" t="s">
        <v>731</v>
      </c>
      <c r="B362" s="16">
        <v>16</v>
      </c>
      <c r="C362" s="16">
        <v>4</v>
      </c>
      <c r="D362" s="16">
        <v>9</v>
      </c>
      <c r="E362" s="16">
        <v>16</v>
      </c>
      <c r="F362" s="16">
        <v>8</v>
      </c>
      <c r="G362" s="16">
        <v>5</v>
      </c>
      <c r="H362" s="16">
        <v>4</v>
      </c>
      <c r="I362" s="16">
        <v>11</v>
      </c>
      <c r="J362" s="16">
        <v>1</v>
      </c>
      <c r="K362" s="16">
        <v>0</v>
      </c>
      <c r="L362" s="16">
        <v>13</v>
      </c>
      <c r="M362" s="16">
        <v>5</v>
      </c>
      <c r="N362" s="16">
        <v>0</v>
      </c>
      <c r="O362" s="16">
        <v>12</v>
      </c>
      <c r="P362" s="16">
        <v>70</v>
      </c>
      <c r="Q362" s="16">
        <v>128</v>
      </c>
      <c r="R362" s="16">
        <v>70</v>
      </c>
      <c r="S362" s="16">
        <v>48</v>
      </c>
      <c r="T362" s="16">
        <v>16</v>
      </c>
      <c r="U362" s="16">
        <v>0</v>
      </c>
      <c r="V362" s="16">
        <v>9</v>
      </c>
      <c r="W362" s="16">
        <v>0</v>
      </c>
      <c r="X362" s="16">
        <v>91</v>
      </c>
      <c r="Y362" s="16">
        <v>401</v>
      </c>
      <c r="Z362" s="16">
        <v>48</v>
      </c>
      <c r="AA362" s="16">
        <v>2</v>
      </c>
      <c r="AB362" s="16">
        <v>0</v>
      </c>
      <c r="AC362" s="16">
        <v>0</v>
      </c>
      <c r="AD362" s="16">
        <v>0</v>
      </c>
      <c r="AE362" s="16">
        <v>0</v>
      </c>
      <c r="AF362" s="16">
        <v>0</v>
      </c>
      <c r="AG362" s="16">
        <v>32</v>
      </c>
      <c r="AH362" s="16">
        <v>71</v>
      </c>
      <c r="AI362" s="16">
        <v>1</v>
      </c>
      <c r="AJ362" s="16">
        <v>208</v>
      </c>
      <c r="AK362" s="16">
        <v>20</v>
      </c>
      <c r="AL362" s="16">
        <v>1</v>
      </c>
      <c r="AM362" s="16">
        <v>28</v>
      </c>
      <c r="AN362" s="16">
        <v>116</v>
      </c>
      <c r="AO362" s="16">
        <v>10</v>
      </c>
      <c r="AP362" s="16">
        <v>20</v>
      </c>
      <c r="AQ362" s="16">
        <v>16</v>
      </c>
      <c r="AR362" s="16">
        <v>0</v>
      </c>
      <c r="AS362" s="16">
        <v>5</v>
      </c>
      <c r="AT362" s="16">
        <v>16</v>
      </c>
      <c r="AU362" s="16">
        <v>40</v>
      </c>
      <c r="AV362" s="16">
        <v>2</v>
      </c>
      <c r="AW362" s="16">
        <v>29</v>
      </c>
      <c r="AX362" s="16">
        <v>9</v>
      </c>
      <c r="AY362" s="16">
        <v>50</v>
      </c>
      <c r="AZ362" s="16">
        <v>52</v>
      </c>
      <c r="BA362" s="16">
        <v>75</v>
      </c>
      <c r="BB362" s="16">
        <v>34</v>
      </c>
      <c r="BC362" s="16">
        <v>48</v>
      </c>
      <c r="BD362" s="16">
        <v>10</v>
      </c>
      <c r="BE362" s="16">
        <v>15</v>
      </c>
      <c r="BF362" s="16">
        <v>76</v>
      </c>
      <c r="BG362" s="16">
        <v>22</v>
      </c>
      <c r="BH362" s="16">
        <v>136</v>
      </c>
      <c r="BI362" s="16">
        <v>1</v>
      </c>
      <c r="BJ362" s="16">
        <v>5</v>
      </c>
      <c r="BK362" s="16">
        <v>36</v>
      </c>
      <c r="BL362" s="16">
        <v>56</v>
      </c>
      <c r="BM362" s="16">
        <v>2</v>
      </c>
      <c r="BN362" s="16">
        <v>3</v>
      </c>
      <c r="BO362" s="16">
        <v>18</v>
      </c>
      <c r="BP362" s="16">
        <v>164</v>
      </c>
      <c r="BQ362" s="16">
        <v>17</v>
      </c>
      <c r="BR362" s="16">
        <v>17</v>
      </c>
      <c r="BS362" s="16">
        <v>175</v>
      </c>
      <c r="BT362" s="16">
        <v>2</v>
      </c>
      <c r="BU362" s="16">
        <v>1</v>
      </c>
      <c r="BV362" s="16">
        <v>0</v>
      </c>
      <c r="BW362" s="16">
        <v>50</v>
      </c>
      <c r="BX362" s="16">
        <v>3</v>
      </c>
      <c r="BY362" s="16">
        <v>0</v>
      </c>
      <c r="BZ362" s="16">
        <v>14</v>
      </c>
      <c r="CA362" s="16">
        <v>5</v>
      </c>
      <c r="CB362" s="16">
        <v>0</v>
      </c>
      <c r="CC362" s="16">
        <v>30</v>
      </c>
      <c r="CD362" s="16">
        <v>2</v>
      </c>
      <c r="CE362" s="16">
        <v>1</v>
      </c>
      <c r="CF362" s="16">
        <v>2</v>
      </c>
      <c r="CG362" s="16">
        <v>29</v>
      </c>
      <c r="CH362" s="16">
        <v>51</v>
      </c>
      <c r="CI362" s="16">
        <v>7</v>
      </c>
      <c r="CJ362" s="16">
        <v>18</v>
      </c>
      <c r="CK362" s="16">
        <v>45</v>
      </c>
      <c r="CL362" s="16">
        <v>62</v>
      </c>
      <c r="CM362" s="16">
        <v>72</v>
      </c>
      <c r="CN362" s="16">
        <v>5</v>
      </c>
      <c r="CO362" s="16">
        <v>59</v>
      </c>
      <c r="CP362" s="16">
        <v>46</v>
      </c>
      <c r="CQ362" s="16">
        <v>63</v>
      </c>
      <c r="CR362" s="16">
        <v>2</v>
      </c>
      <c r="CS362" s="16">
        <v>16</v>
      </c>
      <c r="CT362" s="16">
        <v>7</v>
      </c>
      <c r="CU362" s="16">
        <v>35</v>
      </c>
      <c r="CV362" s="16">
        <v>54</v>
      </c>
      <c r="CW362" s="16">
        <v>20</v>
      </c>
      <c r="CX362" s="16">
        <v>47</v>
      </c>
      <c r="CY362" s="16">
        <v>7</v>
      </c>
      <c r="CZ362" s="16">
        <v>8</v>
      </c>
      <c r="DA362" s="16">
        <v>1</v>
      </c>
      <c r="DB362" s="16">
        <v>4</v>
      </c>
      <c r="DC362" s="16">
        <v>2</v>
      </c>
      <c r="DD362" s="16">
        <v>2</v>
      </c>
      <c r="DE362" s="16">
        <v>3</v>
      </c>
      <c r="DF362" s="16">
        <v>10</v>
      </c>
      <c r="DG362" s="16">
        <v>12</v>
      </c>
      <c r="DH362" s="16">
        <v>11</v>
      </c>
      <c r="DI362" s="16">
        <v>32</v>
      </c>
      <c r="DJ362" s="16">
        <v>56</v>
      </c>
      <c r="DK362" s="16">
        <v>14</v>
      </c>
      <c r="DL362" s="16">
        <v>12</v>
      </c>
      <c r="DM362" s="16">
        <v>378</v>
      </c>
      <c r="DN362" s="16">
        <v>1</v>
      </c>
      <c r="DO362" s="16">
        <v>62</v>
      </c>
      <c r="DP362" s="16">
        <v>22</v>
      </c>
      <c r="DQ362" s="16">
        <v>5</v>
      </c>
      <c r="DR362" s="16">
        <v>115</v>
      </c>
      <c r="DS362" s="16">
        <v>112</v>
      </c>
      <c r="DT362" s="16">
        <v>16</v>
      </c>
      <c r="DU362" s="16">
        <v>8</v>
      </c>
      <c r="DV362" s="16">
        <v>78</v>
      </c>
      <c r="DW362" s="16">
        <v>85</v>
      </c>
      <c r="DX362" s="16">
        <v>82</v>
      </c>
      <c r="DY362" s="16">
        <v>67</v>
      </c>
      <c r="DZ362" s="16">
        <v>196</v>
      </c>
      <c r="EA362" s="16">
        <v>124</v>
      </c>
      <c r="EB362" s="16">
        <v>104</v>
      </c>
      <c r="EC362" s="16">
        <v>58</v>
      </c>
      <c r="ED362" s="16">
        <v>8</v>
      </c>
      <c r="EE362" s="16">
        <v>1</v>
      </c>
      <c r="EF362" s="16">
        <v>13</v>
      </c>
      <c r="EG362" s="16">
        <v>102</v>
      </c>
      <c r="EH362" s="16">
        <v>9</v>
      </c>
      <c r="EI362" s="16">
        <v>148</v>
      </c>
      <c r="EJ362" s="16">
        <v>23</v>
      </c>
      <c r="EK362" s="16">
        <v>28</v>
      </c>
      <c r="EL362" s="16">
        <v>7</v>
      </c>
      <c r="EM362" s="16">
        <v>49</v>
      </c>
      <c r="EN362" s="16">
        <v>105</v>
      </c>
      <c r="EO362" s="16">
        <v>77</v>
      </c>
      <c r="EP362" s="16">
        <v>2</v>
      </c>
      <c r="EQ362" s="16">
        <v>23</v>
      </c>
      <c r="ER362" s="16">
        <v>17</v>
      </c>
      <c r="ES362" s="16">
        <v>7</v>
      </c>
      <c r="ET362" s="16">
        <v>44</v>
      </c>
      <c r="EU362" s="16">
        <v>0</v>
      </c>
      <c r="EV362" s="16">
        <v>11</v>
      </c>
      <c r="EW362" s="16">
        <v>5</v>
      </c>
      <c r="EX362" s="16">
        <v>78</v>
      </c>
      <c r="EY362" s="16">
        <v>91</v>
      </c>
      <c r="EZ362" s="16">
        <v>39</v>
      </c>
      <c r="FA362" s="16">
        <v>65</v>
      </c>
      <c r="FB362" s="16">
        <v>134</v>
      </c>
      <c r="FC362" s="16">
        <v>6</v>
      </c>
      <c r="FD362" s="16">
        <v>78</v>
      </c>
      <c r="FE362" s="16">
        <v>95</v>
      </c>
      <c r="FF362" s="16">
        <v>14</v>
      </c>
      <c r="FG362" s="16">
        <v>107</v>
      </c>
      <c r="FH362" s="16">
        <v>0</v>
      </c>
      <c r="FI362" s="16">
        <v>47</v>
      </c>
      <c r="FJ362" s="16">
        <v>1</v>
      </c>
      <c r="FK362" s="16">
        <v>3</v>
      </c>
      <c r="FL362" s="16">
        <v>0</v>
      </c>
      <c r="FM362" s="16">
        <v>11</v>
      </c>
      <c r="FN362" s="16">
        <v>1</v>
      </c>
      <c r="FO362" s="16">
        <v>1</v>
      </c>
      <c r="FP362" s="16">
        <v>84</v>
      </c>
      <c r="FQ362" s="16">
        <v>235</v>
      </c>
      <c r="FR362" s="16">
        <v>204</v>
      </c>
      <c r="FS362" s="16">
        <v>212</v>
      </c>
      <c r="FT362" s="16">
        <v>38</v>
      </c>
      <c r="FU362" s="16">
        <v>123</v>
      </c>
      <c r="FV362" s="16">
        <v>85</v>
      </c>
      <c r="FW362" s="16">
        <v>256</v>
      </c>
      <c r="FX362" s="16">
        <v>281</v>
      </c>
      <c r="FY362" s="16">
        <v>48</v>
      </c>
      <c r="FZ362" s="16">
        <v>419</v>
      </c>
      <c r="GA362" s="16">
        <v>22</v>
      </c>
      <c r="GB362" s="16">
        <v>226</v>
      </c>
      <c r="GC362" s="16">
        <v>43</v>
      </c>
      <c r="GD362" s="16">
        <v>122</v>
      </c>
      <c r="GE362" s="16">
        <v>9</v>
      </c>
      <c r="GF362" s="16">
        <v>53</v>
      </c>
      <c r="GG362" s="16">
        <v>2</v>
      </c>
      <c r="GH362" s="16">
        <v>176</v>
      </c>
      <c r="GI362" s="16">
        <v>62</v>
      </c>
      <c r="GJ362" s="16">
        <v>61</v>
      </c>
      <c r="GK362" s="16">
        <v>49</v>
      </c>
      <c r="GL362" s="16">
        <v>1</v>
      </c>
      <c r="GM362" s="16">
        <v>26</v>
      </c>
      <c r="GN362" s="16">
        <v>4</v>
      </c>
      <c r="GO362" s="16">
        <v>41</v>
      </c>
      <c r="GP362" s="16">
        <v>17</v>
      </c>
      <c r="GQ362" s="16">
        <v>2</v>
      </c>
      <c r="GR362" s="16">
        <v>14</v>
      </c>
      <c r="GS362" s="16">
        <v>3</v>
      </c>
      <c r="GT362" s="16">
        <v>20</v>
      </c>
      <c r="GU362" s="16">
        <v>44</v>
      </c>
      <c r="GV362" s="16">
        <v>104</v>
      </c>
      <c r="GW362" s="16">
        <v>67</v>
      </c>
      <c r="GX362" s="16">
        <v>22</v>
      </c>
      <c r="GY362" s="16">
        <v>1</v>
      </c>
      <c r="GZ362" s="16">
        <v>40</v>
      </c>
      <c r="HA362" s="16">
        <v>39</v>
      </c>
      <c r="HB362" s="16">
        <v>6</v>
      </c>
      <c r="HC362" s="16">
        <v>39</v>
      </c>
      <c r="HD362" s="16">
        <v>28</v>
      </c>
      <c r="HE362" s="16">
        <v>90</v>
      </c>
      <c r="HF362" s="16">
        <v>109</v>
      </c>
      <c r="HG362" s="16">
        <v>8</v>
      </c>
      <c r="HH362" s="16">
        <v>9</v>
      </c>
      <c r="HI362" s="16">
        <v>41</v>
      </c>
      <c r="HJ362" s="16">
        <v>22</v>
      </c>
      <c r="HK362" s="16">
        <v>67</v>
      </c>
      <c r="HL362" s="16">
        <v>138</v>
      </c>
      <c r="HM362" s="16">
        <v>32</v>
      </c>
      <c r="HN362" s="16">
        <v>380</v>
      </c>
      <c r="HO362" s="16">
        <v>61</v>
      </c>
      <c r="HP362" s="16">
        <v>146</v>
      </c>
      <c r="HQ362" s="16">
        <v>167</v>
      </c>
      <c r="HR362" s="16">
        <v>393</v>
      </c>
      <c r="HS362" s="16">
        <v>95</v>
      </c>
      <c r="HT362" s="16">
        <v>3</v>
      </c>
      <c r="HU362" s="16">
        <v>283</v>
      </c>
      <c r="HV362" s="16">
        <v>74</v>
      </c>
      <c r="HW362" s="16">
        <v>210</v>
      </c>
      <c r="HX362" s="16">
        <v>109</v>
      </c>
      <c r="HY362" s="16">
        <v>243</v>
      </c>
      <c r="HZ362" s="16">
        <v>295</v>
      </c>
      <c r="IA362" s="16">
        <v>74</v>
      </c>
      <c r="IB362" s="16">
        <v>77</v>
      </c>
      <c r="IC362" s="16">
        <v>13</v>
      </c>
      <c r="ID362" s="16">
        <v>9</v>
      </c>
      <c r="IE362" s="16">
        <v>22</v>
      </c>
      <c r="IF362" s="16">
        <v>14</v>
      </c>
      <c r="IG362" s="16">
        <v>110</v>
      </c>
      <c r="IH362" s="16">
        <v>289</v>
      </c>
      <c r="II362" s="16">
        <v>7</v>
      </c>
      <c r="IJ362" s="16">
        <v>118</v>
      </c>
      <c r="IK362" s="16">
        <v>28</v>
      </c>
      <c r="IL362" s="16">
        <v>102</v>
      </c>
      <c r="IM362" s="16">
        <v>6</v>
      </c>
      <c r="IN362" s="16">
        <v>315</v>
      </c>
      <c r="IO362" s="16">
        <v>410</v>
      </c>
      <c r="IP362" s="16">
        <v>87</v>
      </c>
      <c r="IQ362" s="16">
        <v>110</v>
      </c>
      <c r="IR362" s="16">
        <v>62</v>
      </c>
      <c r="IS362" s="16">
        <v>44</v>
      </c>
      <c r="IT362" s="16">
        <v>8</v>
      </c>
      <c r="IU362" s="16">
        <v>1</v>
      </c>
      <c r="IV362" s="16">
        <v>30</v>
      </c>
      <c r="IW362" s="16">
        <v>70</v>
      </c>
      <c r="IX362" s="16">
        <v>100</v>
      </c>
      <c r="IY362" s="16">
        <v>19</v>
      </c>
      <c r="IZ362" s="16">
        <v>5</v>
      </c>
      <c r="JA362" s="16">
        <v>63</v>
      </c>
      <c r="JB362" s="16">
        <v>8</v>
      </c>
      <c r="JC362" s="16">
        <v>1</v>
      </c>
      <c r="JD362" s="16">
        <v>7</v>
      </c>
      <c r="JE362" s="16">
        <v>96</v>
      </c>
      <c r="JF362" s="16">
        <v>93</v>
      </c>
      <c r="JG362" s="16">
        <v>1631</v>
      </c>
      <c r="JH362" s="16">
        <v>42</v>
      </c>
      <c r="JI362" s="16">
        <v>44</v>
      </c>
      <c r="JJ362" s="16">
        <v>58</v>
      </c>
      <c r="JK362" s="16">
        <v>35</v>
      </c>
      <c r="JL362" s="16">
        <v>1</v>
      </c>
      <c r="JM362" s="16">
        <v>0</v>
      </c>
      <c r="JN362" s="16">
        <v>0</v>
      </c>
      <c r="JO362" s="16">
        <v>2</v>
      </c>
      <c r="JP362" s="16">
        <v>56</v>
      </c>
      <c r="JQ362" s="16">
        <v>74</v>
      </c>
      <c r="JR362" s="16">
        <v>265</v>
      </c>
      <c r="JS362" s="16">
        <v>16</v>
      </c>
      <c r="JT362" s="16">
        <v>0</v>
      </c>
      <c r="JU362" s="16">
        <v>405</v>
      </c>
      <c r="JV362" s="16">
        <v>202</v>
      </c>
      <c r="JW362" s="16">
        <v>784</v>
      </c>
      <c r="JX362" s="16">
        <v>1130</v>
      </c>
      <c r="JY362" s="16">
        <v>87</v>
      </c>
      <c r="JZ362" s="16">
        <v>27</v>
      </c>
      <c r="KA362" s="16">
        <v>40</v>
      </c>
      <c r="KB362" s="16">
        <v>1</v>
      </c>
      <c r="KC362" s="16">
        <v>17</v>
      </c>
      <c r="KD362" s="16">
        <v>1</v>
      </c>
      <c r="KE362" s="16">
        <v>28</v>
      </c>
      <c r="KF362" s="16">
        <v>23</v>
      </c>
      <c r="KG362" s="16">
        <v>30</v>
      </c>
      <c r="KH362" s="16">
        <v>43</v>
      </c>
      <c r="KI362" s="16">
        <v>6</v>
      </c>
      <c r="KJ362" s="16">
        <v>1</v>
      </c>
      <c r="KK362" s="16">
        <v>16895</v>
      </c>
      <c r="KL362" s="16">
        <v>181</v>
      </c>
      <c r="KM362" s="16">
        <v>176</v>
      </c>
      <c r="KN362" s="16">
        <v>495</v>
      </c>
      <c r="KO362" s="16">
        <v>16</v>
      </c>
      <c r="KP362" s="16">
        <v>2</v>
      </c>
      <c r="KQ362" s="16">
        <v>18</v>
      </c>
      <c r="KR362" s="16">
        <v>5</v>
      </c>
      <c r="KS362" s="16">
        <v>17</v>
      </c>
      <c r="KT362" s="16">
        <v>7</v>
      </c>
      <c r="KU362" s="16">
        <v>103</v>
      </c>
      <c r="KV362" s="16">
        <v>35</v>
      </c>
      <c r="KW362" s="16">
        <v>232</v>
      </c>
      <c r="KX362" s="16">
        <v>1</v>
      </c>
      <c r="KY362" s="16">
        <v>135</v>
      </c>
      <c r="KZ362" s="16">
        <v>2261</v>
      </c>
      <c r="LA362" s="16">
        <v>290</v>
      </c>
      <c r="LB362" s="16">
        <v>193</v>
      </c>
      <c r="LC362" s="16">
        <v>215</v>
      </c>
      <c r="LD362" s="16">
        <v>502</v>
      </c>
      <c r="LE362" s="16">
        <v>101</v>
      </c>
      <c r="LF362" s="16">
        <v>52</v>
      </c>
      <c r="LG362" s="16">
        <v>114</v>
      </c>
      <c r="LH362" s="16">
        <v>157</v>
      </c>
      <c r="LI362" s="16">
        <v>58</v>
      </c>
      <c r="LJ362" s="16">
        <v>184</v>
      </c>
      <c r="LK362" s="16">
        <v>69</v>
      </c>
      <c r="LL362" s="16">
        <v>115</v>
      </c>
      <c r="LM362" s="16">
        <v>553</v>
      </c>
      <c r="LN362" s="16">
        <v>888</v>
      </c>
      <c r="LO362" s="16">
        <v>234</v>
      </c>
      <c r="LP362" s="16">
        <v>353</v>
      </c>
      <c r="LQ362" s="16">
        <v>36</v>
      </c>
      <c r="LR362" s="16">
        <v>593</v>
      </c>
      <c r="LS362" s="16">
        <v>46</v>
      </c>
      <c r="LT362" s="16">
        <v>397</v>
      </c>
      <c r="LU362" s="16">
        <v>1072</v>
      </c>
      <c r="LV362" s="16">
        <v>6</v>
      </c>
      <c r="LW362" s="16">
        <v>389</v>
      </c>
      <c r="LX362" s="16">
        <v>263</v>
      </c>
      <c r="LY362" s="16">
        <v>0</v>
      </c>
      <c r="LZ362" s="16">
        <v>500</v>
      </c>
      <c r="MA362" s="16">
        <v>603</v>
      </c>
      <c r="MB362" s="16">
        <v>78</v>
      </c>
      <c r="MC362" s="16">
        <v>182</v>
      </c>
      <c r="MD362" s="16">
        <v>78</v>
      </c>
      <c r="ME362" s="16">
        <v>155</v>
      </c>
      <c r="MF362" s="16">
        <v>339</v>
      </c>
      <c r="MG362" s="16">
        <v>178</v>
      </c>
      <c r="MH362" s="16">
        <v>7740</v>
      </c>
      <c r="MI362" s="16">
        <v>55</v>
      </c>
      <c r="MJ362" s="16">
        <v>497</v>
      </c>
      <c r="MK362" s="16">
        <v>591</v>
      </c>
      <c r="ML362" s="16">
        <v>698</v>
      </c>
      <c r="MM362" s="16">
        <v>803</v>
      </c>
      <c r="MN362" s="16">
        <v>357</v>
      </c>
      <c r="MO362" s="16">
        <v>504</v>
      </c>
      <c r="MP362" s="16">
        <v>1218</v>
      </c>
      <c r="MQ362" s="16">
        <v>605</v>
      </c>
      <c r="MR362" s="16">
        <v>15904</v>
      </c>
      <c r="MS362" s="16">
        <v>38307</v>
      </c>
      <c r="MT362" s="16">
        <v>0</v>
      </c>
      <c r="MU362" s="16">
        <v>422</v>
      </c>
      <c r="MV362" s="16">
        <v>4030</v>
      </c>
      <c r="MW362" s="16">
        <v>0</v>
      </c>
      <c r="MX362" s="16">
        <v>19723</v>
      </c>
      <c r="MY362" s="16">
        <v>0</v>
      </c>
      <c r="MZ362" s="16">
        <v>6928</v>
      </c>
      <c r="NA362" s="16">
        <v>4636</v>
      </c>
      <c r="NB362" s="16">
        <v>418</v>
      </c>
      <c r="NC362" s="16">
        <v>95</v>
      </c>
      <c r="ND362" s="16">
        <v>539</v>
      </c>
      <c r="NE362" s="16">
        <v>81</v>
      </c>
      <c r="NF362" s="16">
        <v>284</v>
      </c>
      <c r="NG362" s="16">
        <v>1548</v>
      </c>
      <c r="NH362" s="16">
        <v>23</v>
      </c>
      <c r="NI362" s="16">
        <v>49</v>
      </c>
      <c r="NJ362" s="16">
        <v>105</v>
      </c>
      <c r="NK362" s="16">
        <v>263</v>
      </c>
      <c r="NL362" s="16">
        <v>116</v>
      </c>
      <c r="NM362" s="16">
        <v>216</v>
      </c>
      <c r="NN362" s="16">
        <v>35</v>
      </c>
      <c r="NO362" s="16">
        <v>0</v>
      </c>
      <c r="NP362" s="16">
        <v>103</v>
      </c>
      <c r="NQ362" s="16">
        <v>17</v>
      </c>
      <c r="NR362" s="17">
        <v>156740</v>
      </c>
    </row>
    <row r="363" spans="1:382" ht="13.5" customHeight="1" x14ac:dyDescent="0.2">
      <c r="A363" s="2" t="s">
        <v>733</v>
      </c>
      <c r="B363" s="16">
        <v>2205</v>
      </c>
      <c r="C363" s="16">
        <v>190</v>
      </c>
      <c r="D363" s="16">
        <v>928</v>
      </c>
      <c r="E363" s="16">
        <v>1232</v>
      </c>
      <c r="F363" s="16">
        <v>6401</v>
      </c>
      <c r="G363" s="16">
        <v>2514</v>
      </c>
      <c r="H363" s="16">
        <v>190</v>
      </c>
      <c r="I363" s="16">
        <v>1348</v>
      </c>
      <c r="J363" s="16">
        <v>79</v>
      </c>
      <c r="K363" s="16">
        <v>0</v>
      </c>
      <c r="L363" s="16">
        <v>475</v>
      </c>
      <c r="M363" s="16">
        <v>743</v>
      </c>
      <c r="N363" s="16">
        <v>9</v>
      </c>
      <c r="O363" s="16">
        <v>476</v>
      </c>
      <c r="P363" s="16">
        <v>3131</v>
      </c>
      <c r="Q363" s="16">
        <v>5803</v>
      </c>
      <c r="R363" s="16">
        <v>3606</v>
      </c>
      <c r="S363" s="16">
        <v>1481</v>
      </c>
      <c r="T363" s="16">
        <v>566</v>
      </c>
      <c r="U363" s="16">
        <v>201</v>
      </c>
      <c r="V363" s="16">
        <v>572</v>
      </c>
      <c r="W363" s="16">
        <v>57</v>
      </c>
      <c r="X363" s="16">
        <v>5491</v>
      </c>
      <c r="Y363" s="16">
        <v>14077</v>
      </c>
      <c r="Z363" s="16">
        <v>3029</v>
      </c>
      <c r="AA363" s="16">
        <v>295</v>
      </c>
      <c r="AB363" s="16">
        <v>0</v>
      </c>
      <c r="AC363" s="16">
        <v>0</v>
      </c>
      <c r="AD363" s="16">
        <v>0</v>
      </c>
      <c r="AE363" s="16">
        <v>23</v>
      </c>
      <c r="AF363" s="16">
        <v>21</v>
      </c>
      <c r="AG363" s="16">
        <v>4243</v>
      </c>
      <c r="AH363" s="16">
        <v>6477</v>
      </c>
      <c r="AI363" s="16">
        <v>124</v>
      </c>
      <c r="AJ363" s="16">
        <v>23480</v>
      </c>
      <c r="AK363" s="16">
        <v>3793</v>
      </c>
      <c r="AL363" s="16">
        <v>967</v>
      </c>
      <c r="AM363" s="16">
        <v>2464</v>
      </c>
      <c r="AN363" s="16">
        <v>4244</v>
      </c>
      <c r="AO363" s="16">
        <v>6191</v>
      </c>
      <c r="AP363" s="16">
        <v>1285</v>
      </c>
      <c r="AQ363" s="16">
        <v>1522</v>
      </c>
      <c r="AR363" s="16">
        <v>0</v>
      </c>
      <c r="AS363" s="16">
        <v>385</v>
      </c>
      <c r="AT363" s="16">
        <v>497</v>
      </c>
      <c r="AU363" s="16">
        <v>5086</v>
      </c>
      <c r="AV363" s="16">
        <v>517</v>
      </c>
      <c r="AW363" s="16">
        <v>5353</v>
      </c>
      <c r="AX363" s="16">
        <v>2749</v>
      </c>
      <c r="AY363" s="16">
        <v>3253</v>
      </c>
      <c r="AZ363" s="16">
        <v>3950</v>
      </c>
      <c r="BA363" s="16">
        <v>5092</v>
      </c>
      <c r="BB363" s="16">
        <v>5351</v>
      </c>
      <c r="BC363" s="16">
        <v>4555</v>
      </c>
      <c r="BD363" s="16">
        <v>314</v>
      </c>
      <c r="BE363" s="16">
        <v>1147</v>
      </c>
      <c r="BF363" s="16">
        <v>2378</v>
      </c>
      <c r="BG363" s="16">
        <v>986</v>
      </c>
      <c r="BH363" s="16">
        <v>4104</v>
      </c>
      <c r="BI363" s="16">
        <v>1345</v>
      </c>
      <c r="BJ363" s="16">
        <v>692</v>
      </c>
      <c r="BK363" s="16">
        <v>2409</v>
      </c>
      <c r="BL363" s="16">
        <v>3465</v>
      </c>
      <c r="BM363" s="16">
        <v>333</v>
      </c>
      <c r="BN363" s="16">
        <v>6130</v>
      </c>
      <c r="BO363" s="16">
        <v>2283</v>
      </c>
      <c r="BP363" s="16">
        <v>5926</v>
      </c>
      <c r="BQ363" s="16">
        <v>1067</v>
      </c>
      <c r="BR363" s="16">
        <v>1220</v>
      </c>
      <c r="BS363" s="16">
        <v>6689</v>
      </c>
      <c r="BT363" s="16">
        <v>174</v>
      </c>
      <c r="BU363" s="16">
        <v>45</v>
      </c>
      <c r="BV363" s="16">
        <v>29</v>
      </c>
      <c r="BW363" s="16">
        <v>3358</v>
      </c>
      <c r="BX363" s="16">
        <v>282</v>
      </c>
      <c r="BY363" s="16">
        <v>1</v>
      </c>
      <c r="BZ363" s="16">
        <v>816</v>
      </c>
      <c r="CA363" s="16">
        <v>771</v>
      </c>
      <c r="CB363" s="16">
        <v>44</v>
      </c>
      <c r="CC363" s="16">
        <v>4794</v>
      </c>
      <c r="CD363" s="16">
        <v>307</v>
      </c>
      <c r="CE363" s="16">
        <v>1159</v>
      </c>
      <c r="CF363" s="16">
        <v>8082</v>
      </c>
      <c r="CG363" s="16">
        <v>4574</v>
      </c>
      <c r="CH363" s="16">
        <v>4605</v>
      </c>
      <c r="CI363" s="16">
        <v>251</v>
      </c>
      <c r="CJ363" s="16">
        <v>2513</v>
      </c>
      <c r="CK363" s="16">
        <v>3733</v>
      </c>
      <c r="CL363" s="16">
        <v>3594</v>
      </c>
      <c r="CM363" s="16">
        <v>3640</v>
      </c>
      <c r="CN363" s="16">
        <v>1248</v>
      </c>
      <c r="CO363" s="16">
        <v>2872</v>
      </c>
      <c r="CP363" s="16">
        <v>2107</v>
      </c>
      <c r="CQ363" s="16">
        <v>5412</v>
      </c>
      <c r="CR363" s="16">
        <v>124</v>
      </c>
      <c r="CS363" s="16">
        <v>1311</v>
      </c>
      <c r="CT363" s="16">
        <v>977</v>
      </c>
      <c r="CU363" s="16">
        <v>3932</v>
      </c>
      <c r="CV363" s="16">
        <v>5375</v>
      </c>
      <c r="CW363" s="16">
        <v>3324</v>
      </c>
      <c r="CX363" s="16">
        <v>4367</v>
      </c>
      <c r="CY363" s="16">
        <v>698</v>
      </c>
      <c r="CZ363" s="16">
        <v>1223</v>
      </c>
      <c r="DA363" s="16">
        <v>288</v>
      </c>
      <c r="DB363" s="16">
        <v>858</v>
      </c>
      <c r="DC363" s="16">
        <v>828</v>
      </c>
      <c r="DD363" s="16">
        <v>1410</v>
      </c>
      <c r="DE363" s="16">
        <v>575</v>
      </c>
      <c r="DF363" s="16">
        <v>2003</v>
      </c>
      <c r="DG363" s="16">
        <v>3340</v>
      </c>
      <c r="DH363" s="16">
        <v>3189</v>
      </c>
      <c r="DI363" s="16">
        <v>1495</v>
      </c>
      <c r="DJ363" s="16">
        <v>7818</v>
      </c>
      <c r="DK363" s="16">
        <v>1012</v>
      </c>
      <c r="DL363" s="16">
        <v>1115</v>
      </c>
      <c r="DM363" s="16">
        <v>27070</v>
      </c>
      <c r="DN363" s="16">
        <v>1431</v>
      </c>
      <c r="DO363" s="16">
        <v>2826</v>
      </c>
      <c r="DP363" s="16">
        <v>1569</v>
      </c>
      <c r="DQ363" s="16">
        <v>783</v>
      </c>
      <c r="DR363" s="16">
        <v>3881</v>
      </c>
      <c r="DS363" s="16">
        <v>9339</v>
      </c>
      <c r="DT363" s="16">
        <v>917</v>
      </c>
      <c r="DU363" s="16">
        <v>1085</v>
      </c>
      <c r="DV363" s="16">
        <v>8670</v>
      </c>
      <c r="DW363" s="16">
        <v>5669</v>
      </c>
      <c r="DX363" s="16">
        <v>7738</v>
      </c>
      <c r="DY363" s="16">
        <v>9339</v>
      </c>
      <c r="DZ363" s="16">
        <v>18255</v>
      </c>
      <c r="EA363" s="16">
        <v>9385</v>
      </c>
      <c r="EB363" s="16">
        <v>4877</v>
      </c>
      <c r="EC363" s="16">
        <v>4196</v>
      </c>
      <c r="ED363" s="16">
        <v>491</v>
      </c>
      <c r="EE363" s="16">
        <v>64</v>
      </c>
      <c r="EF363" s="16">
        <v>601</v>
      </c>
      <c r="EG363" s="16">
        <v>3457</v>
      </c>
      <c r="EH363" s="16">
        <v>720</v>
      </c>
      <c r="EI363" s="16">
        <v>3379</v>
      </c>
      <c r="EJ363" s="16">
        <v>878</v>
      </c>
      <c r="EK363" s="16">
        <v>1458</v>
      </c>
      <c r="EL363" s="16">
        <v>353</v>
      </c>
      <c r="EM363" s="16">
        <v>1568</v>
      </c>
      <c r="EN363" s="16">
        <v>4957</v>
      </c>
      <c r="EO363" s="16">
        <v>3386</v>
      </c>
      <c r="EP363" s="16">
        <v>628</v>
      </c>
      <c r="EQ363" s="16">
        <v>1959</v>
      </c>
      <c r="ER363" s="16">
        <v>516</v>
      </c>
      <c r="ES363" s="16">
        <v>446</v>
      </c>
      <c r="ET363" s="16">
        <v>2509</v>
      </c>
      <c r="EU363" s="16">
        <v>75</v>
      </c>
      <c r="EV363" s="16">
        <v>337</v>
      </c>
      <c r="EW363" s="16">
        <v>533</v>
      </c>
      <c r="EX363" s="16">
        <v>8646</v>
      </c>
      <c r="EY363" s="16">
        <v>5880</v>
      </c>
      <c r="EZ363" s="16">
        <v>3390</v>
      </c>
      <c r="FA363" s="16">
        <v>2443</v>
      </c>
      <c r="FB363" s="16">
        <v>7410</v>
      </c>
      <c r="FC363" s="16">
        <v>500</v>
      </c>
      <c r="FD363" s="16">
        <v>10221</v>
      </c>
      <c r="FE363" s="16">
        <v>6538</v>
      </c>
      <c r="FF363" s="16">
        <v>1683</v>
      </c>
      <c r="FG363" s="16">
        <v>4744</v>
      </c>
      <c r="FH363" s="16">
        <v>14</v>
      </c>
      <c r="FI363" s="16">
        <v>2470</v>
      </c>
      <c r="FJ363" s="16">
        <v>77</v>
      </c>
      <c r="FK363" s="16">
        <v>6892</v>
      </c>
      <c r="FL363" s="16">
        <v>38</v>
      </c>
      <c r="FM363" s="16">
        <v>2631</v>
      </c>
      <c r="FN363" s="16">
        <v>4117</v>
      </c>
      <c r="FO363" s="16">
        <v>1127</v>
      </c>
      <c r="FP363" s="16">
        <v>9524</v>
      </c>
      <c r="FQ363" s="16">
        <v>10158</v>
      </c>
      <c r="FR363" s="16">
        <v>11926</v>
      </c>
      <c r="FS363" s="16">
        <v>7654</v>
      </c>
      <c r="FT363" s="16">
        <v>3777</v>
      </c>
      <c r="FU363" s="16">
        <v>4642</v>
      </c>
      <c r="FV363" s="16">
        <v>6096</v>
      </c>
      <c r="FW363" s="16">
        <v>12265</v>
      </c>
      <c r="FX363" s="16">
        <v>18583</v>
      </c>
      <c r="FY363" s="16">
        <v>1815</v>
      </c>
      <c r="FZ363" s="16">
        <v>16538</v>
      </c>
      <c r="GA363" s="16">
        <v>2589</v>
      </c>
      <c r="GB363" s="16">
        <v>4661</v>
      </c>
      <c r="GC363" s="16">
        <v>6569</v>
      </c>
      <c r="GD363" s="16">
        <v>5915</v>
      </c>
      <c r="GE363" s="16">
        <v>1467</v>
      </c>
      <c r="GF363" s="16">
        <v>23434</v>
      </c>
      <c r="GG363" s="16">
        <v>864</v>
      </c>
      <c r="GH363" s="16">
        <v>15762</v>
      </c>
      <c r="GI363" s="16">
        <v>10864</v>
      </c>
      <c r="GJ363" s="16">
        <v>4155</v>
      </c>
      <c r="GK363" s="16">
        <v>4204</v>
      </c>
      <c r="GL363" s="16">
        <v>216</v>
      </c>
      <c r="GM363" s="16">
        <v>4445</v>
      </c>
      <c r="GN363" s="16">
        <v>938</v>
      </c>
      <c r="GO363" s="16">
        <v>1995</v>
      </c>
      <c r="GP363" s="16">
        <v>3446</v>
      </c>
      <c r="GQ363" s="16">
        <v>182</v>
      </c>
      <c r="GR363" s="16">
        <v>2966</v>
      </c>
      <c r="GS363" s="16">
        <v>471</v>
      </c>
      <c r="GT363" s="16">
        <v>892</v>
      </c>
      <c r="GU363" s="16">
        <v>9032</v>
      </c>
      <c r="GV363" s="16">
        <v>9141</v>
      </c>
      <c r="GW363" s="16">
        <v>7568</v>
      </c>
      <c r="GX363" s="16">
        <v>2757</v>
      </c>
      <c r="GY363" s="16">
        <v>40</v>
      </c>
      <c r="GZ363" s="16">
        <v>5144</v>
      </c>
      <c r="HA363" s="16">
        <v>3997</v>
      </c>
      <c r="HB363" s="16">
        <v>2872</v>
      </c>
      <c r="HC363" s="16">
        <v>10505</v>
      </c>
      <c r="HD363" s="16">
        <v>12815</v>
      </c>
      <c r="HE363" s="16">
        <v>5530</v>
      </c>
      <c r="HF363" s="16">
        <v>12216</v>
      </c>
      <c r="HG363" s="16">
        <v>1597</v>
      </c>
      <c r="HH363" s="16">
        <v>2005</v>
      </c>
      <c r="HI363" s="16">
        <v>6127</v>
      </c>
      <c r="HJ363" s="16">
        <v>1240</v>
      </c>
      <c r="HK363" s="16">
        <v>4422</v>
      </c>
      <c r="HL363" s="16">
        <v>18033</v>
      </c>
      <c r="HM363" s="16">
        <v>6437</v>
      </c>
      <c r="HN363" s="16">
        <v>13340</v>
      </c>
      <c r="HO363" s="16">
        <v>9412</v>
      </c>
      <c r="HP363" s="16">
        <v>6640</v>
      </c>
      <c r="HQ363" s="16">
        <v>15175</v>
      </c>
      <c r="HR363" s="16">
        <v>12763</v>
      </c>
      <c r="HS363" s="16">
        <v>5136</v>
      </c>
      <c r="HT363" s="16">
        <v>436</v>
      </c>
      <c r="HU363" s="16">
        <v>8981</v>
      </c>
      <c r="HV363" s="16">
        <v>4629</v>
      </c>
      <c r="HW363" s="16">
        <v>13001</v>
      </c>
      <c r="HX363" s="16">
        <v>7309</v>
      </c>
      <c r="HY363" s="16">
        <v>10017</v>
      </c>
      <c r="HZ363" s="16">
        <v>14054</v>
      </c>
      <c r="IA363" s="16">
        <v>4382</v>
      </c>
      <c r="IB363" s="16">
        <v>2455</v>
      </c>
      <c r="IC363" s="16">
        <v>723</v>
      </c>
      <c r="ID363" s="16">
        <v>682</v>
      </c>
      <c r="IE363" s="16">
        <v>869</v>
      </c>
      <c r="IF363" s="16">
        <v>558</v>
      </c>
      <c r="IG363" s="16">
        <v>7216</v>
      </c>
      <c r="IH363" s="16">
        <v>58108</v>
      </c>
      <c r="II363" s="16">
        <v>1707</v>
      </c>
      <c r="IJ363" s="16">
        <v>7576</v>
      </c>
      <c r="IK363" s="16">
        <v>1781</v>
      </c>
      <c r="IL363" s="16">
        <v>3181</v>
      </c>
      <c r="IM363" s="16">
        <v>295</v>
      </c>
      <c r="IN363" s="16">
        <v>32650</v>
      </c>
      <c r="IO363" s="16">
        <v>58837</v>
      </c>
      <c r="IP363" s="16">
        <v>8614</v>
      </c>
      <c r="IQ363" s="16">
        <v>3272</v>
      </c>
      <c r="IR363" s="16">
        <v>6448</v>
      </c>
      <c r="IS363" s="16">
        <v>2320</v>
      </c>
      <c r="IT363" s="16">
        <v>1132</v>
      </c>
      <c r="IU363" s="16">
        <v>166</v>
      </c>
      <c r="IV363" s="16">
        <v>1904</v>
      </c>
      <c r="IW363" s="16">
        <v>6452</v>
      </c>
      <c r="IX363" s="16">
        <v>3119</v>
      </c>
      <c r="IY363" s="16">
        <v>769</v>
      </c>
      <c r="IZ363" s="16">
        <v>192</v>
      </c>
      <c r="JA363" s="16">
        <v>1811</v>
      </c>
      <c r="JB363" s="16">
        <v>255</v>
      </c>
      <c r="JC363" s="16">
        <v>311</v>
      </c>
      <c r="JD363" s="16">
        <v>756</v>
      </c>
      <c r="JE363" s="16">
        <v>3343</v>
      </c>
      <c r="JF363" s="16">
        <v>2486</v>
      </c>
      <c r="JG363" s="16">
        <v>147038</v>
      </c>
      <c r="JH363" s="16">
        <v>4948</v>
      </c>
      <c r="JI363" s="16">
        <v>1352</v>
      </c>
      <c r="JJ363" s="16">
        <v>8685</v>
      </c>
      <c r="JK363" s="16">
        <v>5280</v>
      </c>
      <c r="JL363" s="16">
        <v>254</v>
      </c>
      <c r="JM363" s="16">
        <v>192</v>
      </c>
      <c r="JN363" s="16">
        <v>3248</v>
      </c>
      <c r="JO363" s="16">
        <v>787</v>
      </c>
      <c r="JP363" s="16">
        <v>3939</v>
      </c>
      <c r="JQ363" s="16">
        <v>2617</v>
      </c>
      <c r="JR363" s="16">
        <v>9914</v>
      </c>
      <c r="JS363" s="16">
        <v>4088</v>
      </c>
      <c r="JT363" s="16">
        <v>2</v>
      </c>
      <c r="JU363" s="16">
        <v>27742</v>
      </c>
      <c r="JV363" s="16">
        <v>69952</v>
      </c>
      <c r="JW363" s="16">
        <v>85393</v>
      </c>
      <c r="JX363" s="16">
        <v>124859</v>
      </c>
      <c r="JY363" s="16">
        <v>33700</v>
      </c>
      <c r="JZ363" s="16">
        <v>4451</v>
      </c>
      <c r="KA363" s="16">
        <v>7005</v>
      </c>
      <c r="KB363" s="16">
        <v>3377</v>
      </c>
      <c r="KC363" s="16">
        <v>5102</v>
      </c>
      <c r="KD363" s="16">
        <v>2916</v>
      </c>
      <c r="KE363" s="16">
        <v>2110</v>
      </c>
      <c r="KF363" s="16">
        <v>7589</v>
      </c>
      <c r="KG363" s="16">
        <v>5954</v>
      </c>
      <c r="KH363" s="16">
        <v>4223</v>
      </c>
      <c r="KI363" s="16">
        <v>7534</v>
      </c>
      <c r="KJ363" s="16">
        <v>3574</v>
      </c>
      <c r="KK363" s="16">
        <v>857581</v>
      </c>
      <c r="KL363" s="16">
        <v>6153</v>
      </c>
      <c r="KM363" s="16">
        <v>16091</v>
      </c>
      <c r="KN363" s="16">
        <v>24219</v>
      </c>
      <c r="KO363" s="16">
        <v>2765</v>
      </c>
      <c r="KP363" s="16">
        <v>1108</v>
      </c>
      <c r="KQ363" s="16">
        <v>3151</v>
      </c>
      <c r="KR363" s="16">
        <v>3865</v>
      </c>
      <c r="KS363" s="16">
        <v>1135</v>
      </c>
      <c r="KT363" s="16">
        <v>1861</v>
      </c>
      <c r="KU363" s="16">
        <v>9000</v>
      </c>
      <c r="KV363" s="16">
        <v>11758</v>
      </c>
      <c r="KW363" s="16">
        <v>11280</v>
      </c>
      <c r="KX363" s="16">
        <v>805</v>
      </c>
      <c r="KY363" s="16">
        <v>11924</v>
      </c>
      <c r="KZ363" s="16">
        <v>255180</v>
      </c>
      <c r="LA363" s="16">
        <v>53072</v>
      </c>
      <c r="LB363" s="16">
        <v>9086</v>
      </c>
      <c r="LC363" s="16">
        <v>10153</v>
      </c>
      <c r="LD363" s="16">
        <v>58139</v>
      </c>
      <c r="LE363" s="16">
        <v>6724</v>
      </c>
      <c r="LF363" s="16">
        <v>5887</v>
      </c>
      <c r="LG363" s="16">
        <v>3101</v>
      </c>
      <c r="LH363" s="16">
        <v>5400</v>
      </c>
      <c r="LI363" s="16">
        <v>4174</v>
      </c>
      <c r="LJ363" s="16">
        <v>10759</v>
      </c>
      <c r="LK363" s="16">
        <v>10617</v>
      </c>
      <c r="LL363" s="16">
        <v>18054</v>
      </c>
      <c r="LM363" s="16">
        <v>49262</v>
      </c>
      <c r="LN363" s="16">
        <v>47286</v>
      </c>
      <c r="LO363" s="16">
        <v>9178</v>
      </c>
      <c r="LP363" s="16">
        <v>27921</v>
      </c>
      <c r="LQ363" s="16">
        <v>3078</v>
      </c>
      <c r="LR363" s="16">
        <v>81480</v>
      </c>
      <c r="LS363" s="16">
        <v>6047</v>
      </c>
      <c r="LT363" s="16">
        <v>48154</v>
      </c>
      <c r="LU363" s="16">
        <v>74207</v>
      </c>
      <c r="LV363" s="16">
        <v>485</v>
      </c>
      <c r="LW363" s="16">
        <v>36889</v>
      </c>
      <c r="LX363" s="16">
        <v>50594</v>
      </c>
      <c r="LY363" s="16">
        <v>0</v>
      </c>
      <c r="LZ363" s="16">
        <v>45781</v>
      </c>
      <c r="MA363" s="16">
        <v>47352</v>
      </c>
      <c r="MB363" s="16">
        <v>13488</v>
      </c>
      <c r="MC363" s="16">
        <v>6441</v>
      </c>
      <c r="MD363" s="16">
        <v>5415</v>
      </c>
      <c r="ME363" s="16">
        <v>12394</v>
      </c>
      <c r="MF363" s="16">
        <v>45406</v>
      </c>
      <c r="MG363" s="16">
        <v>19132</v>
      </c>
      <c r="MH363" s="16">
        <v>291797</v>
      </c>
      <c r="MI363" s="16">
        <v>5210</v>
      </c>
      <c r="MJ363" s="16">
        <v>27790</v>
      </c>
      <c r="MK363" s="16">
        <v>26152</v>
      </c>
      <c r="ML363" s="16">
        <v>32229</v>
      </c>
      <c r="MM363" s="16">
        <v>40706</v>
      </c>
      <c r="MN363" s="16">
        <v>20283</v>
      </c>
      <c r="MO363" s="16">
        <v>44184</v>
      </c>
      <c r="MP363" s="16">
        <v>71768</v>
      </c>
      <c r="MQ363" s="16">
        <v>51780</v>
      </c>
      <c r="MR363" s="16">
        <v>9664</v>
      </c>
      <c r="MS363" s="16">
        <v>194</v>
      </c>
      <c r="MT363" s="16">
        <v>415</v>
      </c>
      <c r="MU363" s="16">
        <v>25374</v>
      </c>
      <c r="MV363" s="16">
        <v>90658</v>
      </c>
      <c r="MW363" s="16">
        <v>82807</v>
      </c>
      <c r="MX363" s="16">
        <v>2314</v>
      </c>
      <c r="MY363" s="16">
        <v>80028</v>
      </c>
      <c r="MZ363" s="16">
        <v>68123</v>
      </c>
      <c r="NA363" s="16">
        <v>15</v>
      </c>
      <c r="NB363" s="16">
        <v>122624</v>
      </c>
      <c r="NC363" s="16">
        <v>50</v>
      </c>
      <c r="ND363" s="16">
        <v>18702</v>
      </c>
      <c r="NE363" s="16">
        <v>6777</v>
      </c>
      <c r="NF363" s="16">
        <v>20643</v>
      </c>
      <c r="NG363" s="16">
        <v>44549</v>
      </c>
      <c r="NH363" s="16">
        <v>4077</v>
      </c>
      <c r="NI363" s="16">
        <v>13507</v>
      </c>
      <c r="NJ363" s="16">
        <v>25936</v>
      </c>
      <c r="NK363" s="16">
        <v>10760</v>
      </c>
      <c r="NL363" s="16">
        <v>15814</v>
      </c>
      <c r="NM363" s="16">
        <v>15679</v>
      </c>
      <c r="NN363" s="16">
        <v>4983</v>
      </c>
      <c r="NO363" s="16">
        <v>0</v>
      </c>
      <c r="NP363" s="16">
        <v>25555</v>
      </c>
      <c r="NQ363" s="16">
        <v>582</v>
      </c>
      <c r="NR363" s="17">
        <v>5099388</v>
      </c>
    </row>
    <row r="364" spans="1:382" ht="13.5" customHeight="1" x14ac:dyDescent="0.2">
      <c r="A364" s="2" t="s">
        <v>735</v>
      </c>
      <c r="B364" s="16">
        <v>1305</v>
      </c>
      <c r="C364" s="16">
        <v>130</v>
      </c>
      <c r="D364" s="16">
        <v>568</v>
      </c>
      <c r="E364" s="16">
        <v>765</v>
      </c>
      <c r="F364" s="16">
        <v>3278</v>
      </c>
      <c r="G364" s="16">
        <v>1284</v>
      </c>
      <c r="H364" s="16">
        <v>106</v>
      </c>
      <c r="I364" s="16">
        <v>809</v>
      </c>
      <c r="J364" s="16">
        <v>52</v>
      </c>
      <c r="K364" s="16">
        <v>0</v>
      </c>
      <c r="L364" s="16">
        <v>299</v>
      </c>
      <c r="M364" s="16">
        <v>408</v>
      </c>
      <c r="N364" s="16">
        <v>7</v>
      </c>
      <c r="O364" s="16">
        <v>253</v>
      </c>
      <c r="P364" s="16">
        <v>1603</v>
      </c>
      <c r="Q364" s="16">
        <v>3083</v>
      </c>
      <c r="R364" s="16">
        <v>1827</v>
      </c>
      <c r="S364" s="16">
        <v>943</v>
      </c>
      <c r="T364" s="16">
        <v>395</v>
      </c>
      <c r="U364" s="16">
        <v>36</v>
      </c>
      <c r="V364" s="16">
        <v>363</v>
      </c>
      <c r="W364" s="16">
        <v>32</v>
      </c>
      <c r="X364" s="16">
        <v>2571</v>
      </c>
      <c r="Y364" s="16">
        <v>7416</v>
      </c>
      <c r="Z364" s="16">
        <v>1029</v>
      </c>
      <c r="AA364" s="16">
        <v>68</v>
      </c>
      <c r="AB364" s="16">
        <v>0</v>
      </c>
      <c r="AC364" s="16">
        <v>0</v>
      </c>
      <c r="AD364" s="16">
        <v>0</v>
      </c>
      <c r="AE364" s="16">
        <v>9</v>
      </c>
      <c r="AF364" s="16">
        <v>11</v>
      </c>
      <c r="AG364" s="16">
        <v>1149</v>
      </c>
      <c r="AH364" s="16">
        <v>1907</v>
      </c>
      <c r="AI364" s="16">
        <v>64</v>
      </c>
      <c r="AJ364" s="16">
        <v>8406</v>
      </c>
      <c r="AK364" s="16">
        <v>985</v>
      </c>
      <c r="AL364" s="16">
        <v>304</v>
      </c>
      <c r="AM364" s="16">
        <v>1369</v>
      </c>
      <c r="AN364" s="16">
        <v>2479</v>
      </c>
      <c r="AO364" s="16">
        <v>794</v>
      </c>
      <c r="AP364" s="16">
        <v>713</v>
      </c>
      <c r="AQ364" s="16">
        <v>513</v>
      </c>
      <c r="AR364" s="16">
        <v>0</v>
      </c>
      <c r="AS364" s="16">
        <v>211</v>
      </c>
      <c r="AT364" s="16">
        <v>358</v>
      </c>
      <c r="AU364" s="16">
        <v>2316</v>
      </c>
      <c r="AV364" s="16">
        <v>275</v>
      </c>
      <c r="AW364" s="16">
        <v>1689</v>
      </c>
      <c r="AX364" s="16">
        <v>483</v>
      </c>
      <c r="AY364" s="16">
        <v>1944</v>
      </c>
      <c r="AZ364" s="16">
        <v>1918</v>
      </c>
      <c r="BA364" s="16">
        <v>1815</v>
      </c>
      <c r="BB364" s="16">
        <v>1851</v>
      </c>
      <c r="BC364" s="16">
        <v>1682</v>
      </c>
      <c r="BD364" s="16">
        <v>225</v>
      </c>
      <c r="BE364" s="16">
        <v>444</v>
      </c>
      <c r="BF364" s="16">
        <v>1534</v>
      </c>
      <c r="BG364" s="16">
        <v>711</v>
      </c>
      <c r="BH364" s="16">
        <v>2779</v>
      </c>
      <c r="BI364" s="16">
        <v>577</v>
      </c>
      <c r="BJ364" s="16">
        <v>352</v>
      </c>
      <c r="BK364" s="16">
        <v>1235</v>
      </c>
      <c r="BL364" s="16">
        <v>2405</v>
      </c>
      <c r="BM364" s="16">
        <v>182</v>
      </c>
      <c r="BN364" s="16">
        <v>792</v>
      </c>
      <c r="BO364" s="16">
        <v>952</v>
      </c>
      <c r="BP364" s="16">
        <v>3329</v>
      </c>
      <c r="BQ364" s="16">
        <v>678</v>
      </c>
      <c r="BR364" s="16">
        <v>827</v>
      </c>
      <c r="BS364" s="16">
        <v>4074</v>
      </c>
      <c r="BT364" s="16">
        <v>100</v>
      </c>
      <c r="BU364" s="16">
        <v>24</v>
      </c>
      <c r="BV364" s="16">
        <v>18</v>
      </c>
      <c r="BW364" s="16">
        <v>1872</v>
      </c>
      <c r="BX364" s="16">
        <v>133</v>
      </c>
      <c r="BY364" s="16">
        <v>1</v>
      </c>
      <c r="BZ364" s="16">
        <v>590</v>
      </c>
      <c r="CA364" s="16">
        <v>353</v>
      </c>
      <c r="CB364" s="16">
        <v>24</v>
      </c>
      <c r="CC364" s="16">
        <v>1329</v>
      </c>
      <c r="CD364" s="16">
        <v>149</v>
      </c>
      <c r="CE364" s="16">
        <v>161</v>
      </c>
      <c r="CF364" s="16">
        <v>862</v>
      </c>
      <c r="CG364" s="16">
        <v>1288</v>
      </c>
      <c r="CH364" s="16">
        <v>1864</v>
      </c>
      <c r="CI364" s="16">
        <v>158</v>
      </c>
      <c r="CJ364" s="16">
        <v>1061</v>
      </c>
      <c r="CK364" s="16">
        <v>2049</v>
      </c>
      <c r="CL364" s="16">
        <v>2469</v>
      </c>
      <c r="CM364" s="16">
        <v>2494</v>
      </c>
      <c r="CN364" s="16">
        <v>260</v>
      </c>
      <c r="CO364" s="16">
        <v>1532</v>
      </c>
      <c r="CP364" s="16">
        <v>1182</v>
      </c>
      <c r="CQ364" s="16">
        <v>3250</v>
      </c>
      <c r="CR364" s="16">
        <v>84</v>
      </c>
      <c r="CS364" s="16">
        <v>783</v>
      </c>
      <c r="CT364" s="16">
        <v>410</v>
      </c>
      <c r="CU364" s="16">
        <v>1702</v>
      </c>
      <c r="CV364" s="16">
        <v>2098</v>
      </c>
      <c r="CW364" s="16">
        <v>1466</v>
      </c>
      <c r="CX364" s="16">
        <v>1976</v>
      </c>
      <c r="CY364" s="16">
        <v>315</v>
      </c>
      <c r="CZ364" s="16">
        <v>481</v>
      </c>
      <c r="DA364" s="16">
        <v>140</v>
      </c>
      <c r="DB364" s="16">
        <v>294</v>
      </c>
      <c r="DC364" s="16">
        <v>459</v>
      </c>
      <c r="DD364" s="16">
        <v>716</v>
      </c>
      <c r="DE364" s="16">
        <v>333</v>
      </c>
      <c r="DF364" s="16">
        <v>848</v>
      </c>
      <c r="DG364" s="16">
        <v>1065</v>
      </c>
      <c r="DH364" s="16">
        <v>1440</v>
      </c>
      <c r="DI364" s="16">
        <v>1068</v>
      </c>
      <c r="DJ364" s="16">
        <v>4247</v>
      </c>
      <c r="DK364" s="16">
        <v>690</v>
      </c>
      <c r="DL364" s="16">
        <v>665</v>
      </c>
      <c r="DM364" s="16">
        <v>16297</v>
      </c>
      <c r="DN364" s="16">
        <v>322</v>
      </c>
      <c r="DO364" s="16">
        <v>2108</v>
      </c>
      <c r="DP364" s="16">
        <v>929</v>
      </c>
      <c r="DQ364" s="16">
        <v>192</v>
      </c>
      <c r="DR364" s="16">
        <v>2578</v>
      </c>
      <c r="DS364" s="16">
        <v>5319</v>
      </c>
      <c r="DT364" s="16">
        <v>642</v>
      </c>
      <c r="DU364" s="16">
        <v>371</v>
      </c>
      <c r="DV364" s="16">
        <v>4172</v>
      </c>
      <c r="DW364" s="16">
        <v>3891</v>
      </c>
      <c r="DX364" s="16">
        <v>3269</v>
      </c>
      <c r="DY364" s="16">
        <v>3300</v>
      </c>
      <c r="DZ364" s="16">
        <v>8686</v>
      </c>
      <c r="EA364" s="16">
        <v>5006</v>
      </c>
      <c r="EB364" s="16">
        <v>3573</v>
      </c>
      <c r="EC364" s="16">
        <v>2554</v>
      </c>
      <c r="ED364" s="16">
        <v>344</v>
      </c>
      <c r="EE364" s="16">
        <v>37</v>
      </c>
      <c r="EF364" s="16">
        <v>361</v>
      </c>
      <c r="EG364" s="16">
        <v>2163</v>
      </c>
      <c r="EH364" s="16">
        <v>299</v>
      </c>
      <c r="EI364" s="16">
        <v>2635</v>
      </c>
      <c r="EJ364" s="16">
        <v>481</v>
      </c>
      <c r="EK364" s="16">
        <v>642</v>
      </c>
      <c r="EL364" s="16">
        <v>259</v>
      </c>
      <c r="EM364" s="16">
        <v>1073</v>
      </c>
      <c r="EN364" s="16">
        <v>2469</v>
      </c>
      <c r="EO364" s="16">
        <v>1857</v>
      </c>
      <c r="EP364" s="16">
        <v>132</v>
      </c>
      <c r="EQ364" s="16">
        <v>576</v>
      </c>
      <c r="ER364" s="16">
        <v>371</v>
      </c>
      <c r="ES364" s="16">
        <v>307</v>
      </c>
      <c r="ET364" s="16">
        <v>1185</v>
      </c>
      <c r="EU364" s="16">
        <v>43</v>
      </c>
      <c r="EV364" s="16">
        <v>298</v>
      </c>
      <c r="EW364" s="16">
        <v>275</v>
      </c>
      <c r="EX364" s="16">
        <v>3729</v>
      </c>
      <c r="EY364" s="16">
        <v>2114</v>
      </c>
      <c r="EZ364" s="16">
        <v>1481</v>
      </c>
      <c r="FA364" s="16">
        <v>1587</v>
      </c>
      <c r="FB364" s="16">
        <v>4961</v>
      </c>
      <c r="FC364" s="16">
        <v>300</v>
      </c>
      <c r="FD364" s="16">
        <v>3461</v>
      </c>
      <c r="FE364" s="16">
        <v>3382</v>
      </c>
      <c r="FF364" s="16">
        <v>694</v>
      </c>
      <c r="FG364" s="16">
        <v>3596</v>
      </c>
      <c r="FH364" s="16">
        <v>7</v>
      </c>
      <c r="FI364" s="16">
        <v>1581</v>
      </c>
      <c r="FJ364" s="16">
        <v>39</v>
      </c>
      <c r="FK364" s="16">
        <v>792</v>
      </c>
      <c r="FL364" s="16">
        <v>21</v>
      </c>
      <c r="FM364" s="16">
        <v>656</v>
      </c>
      <c r="FN364" s="16">
        <v>610</v>
      </c>
      <c r="FO364" s="16">
        <v>187</v>
      </c>
      <c r="FP364" s="16">
        <v>2537</v>
      </c>
      <c r="FQ364" s="16">
        <v>5199</v>
      </c>
      <c r="FR364" s="16">
        <v>5092</v>
      </c>
      <c r="FS364" s="16">
        <v>4204</v>
      </c>
      <c r="FT364" s="16">
        <v>1819</v>
      </c>
      <c r="FU364" s="16">
        <v>2746</v>
      </c>
      <c r="FV364" s="16">
        <v>2680</v>
      </c>
      <c r="FW364" s="16">
        <v>7041</v>
      </c>
      <c r="FX364" s="16">
        <v>8564</v>
      </c>
      <c r="FY364" s="16">
        <v>1109</v>
      </c>
      <c r="FZ364" s="16">
        <v>8258</v>
      </c>
      <c r="GA364" s="16">
        <v>744</v>
      </c>
      <c r="GB364" s="16">
        <v>5385</v>
      </c>
      <c r="GC364" s="16">
        <v>1466</v>
      </c>
      <c r="GD364" s="16">
        <v>3591</v>
      </c>
      <c r="GE364" s="16">
        <v>663</v>
      </c>
      <c r="GF364" s="16">
        <v>9112</v>
      </c>
      <c r="GG364" s="16">
        <v>294</v>
      </c>
      <c r="GH364" s="16">
        <v>10012</v>
      </c>
      <c r="GI364" s="16">
        <v>3676</v>
      </c>
      <c r="GJ364" s="16">
        <v>2566</v>
      </c>
      <c r="GK364" s="16">
        <v>2566</v>
      </c>
      <c r="GL364" s="16">
        <v>121</v>
      </c>
      <c r="GM364" s="16">
        <v>2648</v>
      </c>
      <c r="GN364" s="16">
        <v>534</v>
      </c>
      <c r="GO364" s="16">
        <v>1468</v>
      </c>
      <c r="GP364" s="16">
        <v>1226</v>
      </c>
      <c r="GQ364" s="16">
        <v>114</v>
      </c>
      <c r="GR364" s="16">
        <v>905</v>
      </c>
      <c r="GS364" s="16">
        <v>253</v>
      </c>
      <c r="GT364" s="16">
        <v>584</v>
      </c>
      <c r="GU364" s="16">
        <v>2593</v>
      </c>
      <c r="GV364" s="16">
        <v>3322</v>
      </c>
      <c r="GW364" s="16">
        <v>2162</v>
      </c>
      <c r="GX364" s="16">
        <v>840</v>
      </c>
      <c r="GY364" s="16">
        <v>20</v>
      </c>
      <c r="GZ364" s="16">
        <v>2366</v>
      </c>
      <c r="HA364" s="16">
        <v>1755</v>
      </c>
      <c r="HB364" s="16">
        <v>621</v>
      </c>
      <c r="HC364" s="16">
        <v>2726</v>
      </c>
      <c r="HD364" s="16">
        <v>2613</v>
      </c>
      <c r="HE364" s="16">
        <v>3616</v>
      </c>
      <c r="HF364" s="16">
        <v>4696</v>
      </c>
      <c r="HG364" s="16">
        <v>671</v>
      </c>
      <c r="HH364" s="16">
        <v>693</v>
      </c>
      <c r="HI364" s="16">
        <v>2311</v>
      </c>
      <c r="HJ364" s="16">
        <v>753</v>
      </c>
      <c r="HK364" s="16">
        <v>2639</v>
      </c>
      <c r="HL364" s="16">
        <v>6031</v>
      </c>
      <c r="HM364" s="16">
        <v>1502</v>
      </c>
      <c r="HN364" s="16">
        <v>8124</v>
      </c>
      <c r="HO364" s="16">
        <v>2158</v>
      </c>
      <c r="HP364" s="16">
        <v>3268</v>
      </c>
      <c r="HQ364" s="16">
        <v>4497</v>
      </c>
      <c r="HR364" s="16">
        <v>7976</v>
      </c>
      <c r="HS364" s="16">
        <v>2552</v>
      </c>
      <c r="HT364" s="16">
        <v>255</v>
      </c>
      <c r="HU364" s="16">
        <v>6034</v>
      </c>
      <c r="HV364" s="16">
        <v>1725</v>
      </c>
      <c r="HW364" s="16">
        <v>4853</v>
      </c>
      <c r="HX364" s="16">
        <v>3128</v>
      </c>
      <c r="HY364" s="16">
        <v>6029</v>
      </c>
      <c r="HZ364" s="16">
        <v>7252</v>
      </c>
      <c r="IA364" s="16">
        <v>1800</v>
      </c>
      <c r="IB364" s="16">
        <v>1449</v>
      </c>
      <c r="IC364" s="16">
        <v>354</v>
      </c>
      <c r="ID364" s="16">
        <v>458</v>
      </c>
      <c r="IE364" s="16">
        <v>444</v>
      </c>
      <c r="IF364" s="16">
        <v>376</v>
      </c>
      <c r="IG364" s="16">
        <v>3512</v>
      </c>
      <c r="IH364" s="16">
        <v>15667</v>
      </c>
      <c r="II364" s="16">
        <v>445</v>
      </c>
      <c r="IJ364" s="16">
        <v>4133</v>
      </c>
      <c r="IK364" s="16">
        <v>1206</v>
      </c>
      <c r="IL364" s="16">
        <v>1996</v>
      </c>
      <c r="IM364" s="16">
        <v>164</v>
      </c>
      <c r="IN364" s="16">
        <v>11888</v>
      </c>
      <c r="IO364" s="16">
        <v>40507</v>
      </c>
      <c r="IP364" s="16">
        <v>2340</v>
      </c>
      <c r="IQ364" s="16">
        <v>2777</v>
      </c>
      <c r="IR364" s="16">
        <v>2469</v>
      </c>
      <c r="IS364" s="16">
        <v>1227</v>
      </c>
      <c r="IT364" s="16">
        <v>553</v>
      </c>
      <c r="IU364" s="16">
        <v>61</v>
      </c>
      <c r="IV364" s="16">
        <v>1138</v>
      </c>
      <c r="IW364" s="16">
        <v>2240</v>
      </c>
      <c r="IX364" s="16">
        <v>1953</v>
      </c>
      <c r="IY364" s="16">
        <v>464</v>
      </c>
      <c r="IZ364" s="16">
        <v>123</v>
      </c>
      <c r="JA364" s="16">
        <v>1305</v>
      </c>
      <c r="JB364" s="16">
        <v>155</v>
      </c>
      <c r="JC364" s="16">
        <v>122</v>
      </c>
      <c r="JD364" s="16">
        <v>296</v>
      </c>
      <c r="JE364" s="16">
        <v>2179</v>
      </c>
      <c r="JF364" s="16">
        <v>1855</v>
      </c>
      <c r="JG364" s="16">
        <v>51834</v>
      </c>
      <c r="JH364" s="16">
        <v>2155</v>
      </c>
      <c r="JI364" s="16">
        <v>1222</v>
      </c>
      <c r="JJ364" s="16">
        <v>4381</v>
      </c>
      <c r="JK364" s="16">
        <v>2197</v>
      </c>
      <c r="JL364" s="16">
        <v>143</v>
      </c>
      <c r="JM364" s="16">
        <v>132</v>
      </c>
      <c r="JN364" s="16">
        <v>1671</v>
      </c>
      <c r="JO364" s="16">
        <v>448</v>
      </c>
      <c r="JP364" s="16">
        <v>2700</v>
      </c>
      <c r="JQ364" s="16">
        <v>1838</v>
      </c>
      <c r="JR364" s="16">
        <v>5151</v>
      </c>
      <c r="JS364" s="16">
        <v>1034</v>
      </c>
      <c r="JT364" s="16">
        <v>1</v>
      </c>
      <c r="JU364" s="16">
        <v>9213</v>
      </c>
      <c r="JV364" s="16">
        <v>9169</v>
      </c>
      <c r="JW364" s="16">
        <v>35532</v>
      </c>
      <c r="JX364" s="16">
        <v>35841</v>
      </c>
      <c r="JY364" s="16">
        <v>6703</v>
      </c>
      <c r="JZ364" s="16">
        <v>2596</v>
      </c>
      <c r="KA364" s="16">
        <v>2136</v>
      </c>
      <c r="KB364" s="16">
        <v>407</v>
      </c>
      <c r="KC364" s="16">
        <v>1746</v>
      </c>
      <c r="KD364" s="16">
        <v>1384</v>
      </c>
      <c r="KE364" s="16">
        <v>1094</v>
      </c>
      <c r="KF364" s="16">
        <v>2669</v>
      </c>
      <c r="KG364" s="16">
        <v>1146</v>
      </c>
      <c r="KH364" s="16">
        <v>1557</v>
      </c>
      <c r="KI364" s="16">
        <v>2222</v>
      </c>
      <c r="KJ364" s="16">
        <v>1071</v>
      </c>
      <c r="KK364" s="16">
        <v>421029</v>
      </c>
      <c r="KL364" s="16">
        <v>4901</v>
      </c>
      <c r="KM364" s="16">
        <v>7778</v>
      </c>
      <c r="KN364" s="16">
        <v>11288</v>
      </c>
      <c r="KO364" s="16">
        <v>855</v>
      </c>
      <c r="KP364" s="16">
        <v>294</v>
      </c>
      <c r="KQ364" s="16">
        <v>793</v>
      </c>
      <c r="KR364" s="16">
        <v>733</v>
      </c>
      <c r="KS364" s="16">
        <v>768</v>
      </c>
      <c r="KT364" s="16">
        <v>525</v>
      </c>
      <c r="KU364" s="16">
        <v>2518</v>
      </c>
      <c r="KV364" s="16">
        <v>2537</v>
      </c>
      <c r="KW364" s="16">
        <v>6036</v>
      </c>
      <c r="KX364" s="16">
        <v>157</v>
      </c>
      <c r="KY364" s="16">
        <v>3567</v>
      </c>
      <c r="KZ364" s="16">
        <v>64564</v>
      </c>
      <c r="LA364" s="16">
        <v>11258</v>
      </c>
      <c r="LB364" s="16">
        <v>5352</v>
      </c>
      <c r="LC364" s="16">
        <v>6110</v>
      </c>
      <c r="LD364" s="16">
        <v>14448</v>
      </c>
      <c r="LE364" s="16">
        <v>4063</v>
      </c>
      <c r="LF364" s="16">
        <v>3191</v>
      </c>
      <c r="LG364" s="16">
        <v>2146</v>
      </c>
      <c r="LH364" s="16">
        <v>3578</v>
      </c>
      <c r="LI364" s="16">
        <v>1428</v>
      </c>
      <c r="LJ364" s="16">
        <v>3895</v>
      </c>
      <c r="LK364" s="16">
        <v>4218</v>
      </c>
      <c r="LL364" s="16">
        <v>7301</v>
      </c>
      <c r="LM364" s="16">
        <v>30218</v>
      </c>
      <c r="LN364" s="16">
        <v>21508</v>
      </c>
      <c r="LO364" s="16">
        <v>5033</v>
      </c>
      <c r="LP364" s="16">
        <v>12894</v>
      </c>
      <c r="LQ364" s="16">
        <v>1279</v>
      </c>
      <c r="LR364" s="16">
        <v>37265</v>
      </c>
      <c r="LS364" s="16">
        <v>2851</v>
      </c>
      <c r="LT364" s="16">
        <v>18074</v>
      </c>
      <c r="LU364" s="16">
        <v>37143</v>
      </c>
      <c r="LV364" s="16">
        <v>284</v>
      </c>
      <c r="LW364" s="16">
        <v>15434</v>
      </c>
      <c r="LX364" s="16">
        <v>15658</v>
      </c>
      <c r="LY364" s="16">
        <v>34090</v>
      </c>
      <c r="LZ364" s="16">
        <v>42299</v>
      </c>
      <c r="MA364" s="16">
        <v>31166</v>
      </c>
      <c r="MB364" s="16">
        <v>9002</v>
      </c>
      <c r="MC364" s="16">
        <v>6288</v>
      </c>
      <c r="MD364" s="16">
        <v>2032</v>
      </c>
      <c r="ME364" s="16">
        <v>5899</v>
      </c>
      <c r="MF364" s="16">
        <v>23833</v>
      </c>
      <c r="MG364" s="16">
        <v>8219</v>
      </c>
      <c r="MH364" s="16">
        <v>143536</v>
      </c>
      <c r="MI364" s="16">
        <v>2440</v>
      </c>
      <c r="MJ364" s="16">
        <v>13659</v>
      </c>
      <c r="MK364" s="16">
        <v>14005</v>
      </c>
      <c r="ML364" s="16">
        <v>17257</v>
      </c>
      <c r="MM364" s="16">
        <v>17982</v>
      </c>
      <c r="MN364" s="16">
        <v>12098</v>
      </c>
      <c r="MO364" s="16">
        <v>20199</v>
      </c>
      <c r="MP364" s="16">
        <v>30192</v>
      </c>
      <c r="MQ364" s="16">
        <v>19761</v>
      </c>
      <c r="MR364" s="16">
        <v>5242</v>
      </c>
      <c r="MS364" s="16">
        <v>3904</v>
      </c>
      <c r="MT364" s="16">
        <v>399</v>
      </c>
      <c r="MU364" s="16">
        <v>8220</v>
      </c>
      <c r="MV364" s="16">
        <v>19631</v>
      </c>
      <c r="MW364" s="16">
        <v>62992</v>
      </c>
      <c r="MX364" s="16">
        <v>1360</v>
      </c>
      <c r="MY364" s="16">
        <v>64899</v>
      </c>
      <c r="MZ364" s="16">
        <v>157331</v>
      </c>
      <c r="NA364" s="16">
        <v>282</v>
      </c>
      <c r="NB364" s="16">
        <v>19636</v>
      </c>
      <c r="NC364" s="16">
        <v>6</v>
      </c>
      <c r="ND364" s="16">
        <v>16463</v>
      </c>
      <c r="NE364" s="16">
        <v>3887</v>
      </c>
      <c r="NF364" s="16">
        <v>15886</v>
      </c>
      <c r="NG364" s="16">
        <v>64535</v>
      </c>
      <c r="NH364" s="16">
        <v>5437</v>
      </c>
      <c r="NI364" s="16">
        <v>5351</v>
      </c>
      <c r="NJ364" s="16">
        <v>6440</v>
      </c>
      <c r="NK364" s="16">
        <v>11274</v>
      </c>
      <c r="NL364" s="16">
        <v>6877</v>
      </c>
      <c r="NM364" s="16">
        <v>10047</v>
      </c>
      <c r="NN364" s="16">
        <v>1341</v>
      </c>
      <c r="NO364" s="16">
        <v>0</v>
      </c>
      <c r="NP364" s="16">
        <v>12060</v>
      </c>
      <c r="NQ364" s="16">
        <v>254</v>
      </c>
      <c r="NR364" s="17">
        <v>2478378</v>
      </c>
    </row>
    <row r="365" spans="1:382" ht="13.5" customHeight="1" x14ac:dyDescent="0.2">
      <c r="A365" s="2" t="s">
        <v>737</v>
      </c>
      <c r="B365" s="16">
        <v>0</v>
      </c>
      <c r="C365" s="16">
        <v>0</v>
      </c>
      <c r="D365" s="16">
        <v>0</v>
      </c>
      <c r="E365" s="16">
        <v>0</v>
      </c>
      <c r="F365" s="16">
        <v>0</v>
      </c>
      <c r="G365" s="16">
        <v>0</v>
      </c>
      <c r="H365" s="16">
        <v>0</v>
      </c>
      <c r="I365" s="16">
        <v>0</v>
      </c>
      <c r="J365" s="16">
        <v>0</v>
      </c>
      <c r="K365" s="16">
        <v>0</v>
      </c>
      <c r="L365" s="16">
        <v>0</v>
      </c>
      <c r="M365" s="16">
        <v>0</v>
      </c>
      <c r="N365" s="16">
        <v>0</v>
      </c>
      <c r="O365" s="16">
        <v>0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  <c r="AG365" s="16">
        <v>0</v>
      </c>
      <c r="AH365" s="16">
        <v>0</v>
      </c>
      <c r="AI365" s="16">
        <v>0</v>
      </c>
      <c r="AJ365" s="16">
        <v>0</v>
      </c>
      <c r="AK365" s="16">
        <v>0</v>
      </c>
      <c r="AL365" s="16">
        <v>0</v>
      </c>
      <c r="AM365" s="16">
        <v>0</v>
      </c>
      <c r="AN365" s="16">
        <v>0</v>
      </c>
      <c r="AO365" s="16">
        <v>0</v>
      </c>
      <c r="AP365" s="16">
        <v>0</v>
      </c>
      <c r="AQ365" s="16">
        <v>0</v>
      </c>
      <c r="AR365" s="16">
        <v>0</v>
      </c>
      <c r="AS365" s="16">
        <v>0</v>
      </c>
      <c r="AT365" s="16">
        <v>0</v>
      </c>
      <c r="AU365" s="16">
        <v>0</v>
      </c>
      <c r="AV365" s="16">
        <v>0</v>
      </c>
      <c r="AW365" s="16">
        <v>0</v>
      </c>
      <c r="AX365" s="16">
        <v>0</v>
      </c>
      <c r="AY365" s="16">
        <v>0</v>
      </c>
      <c r="AZ365" s="16">
        <v>0</v>
      </c>
      <c r="BA365" s="16">
        <v>0</v>
      </c>
      <c r="BB365" s="16">
        <v>0</v>
      </c>
      <c r="BC365" s="16">
        <v>0</v>
      </c>
      <c r="BD365" s="16">
        <v>0</v>
      </c>
      <c r="BE365" s="16">
        <v>0</v>
      </c>
      <c r="BF365" s="16">
        <v>0</v>
      </c>
      <c r="BG365" s="16">
        <v>0</v>
      </c>
      <c r="BH365" s="16">
        <v>0</v>
      </c>
      <c r="BI365" s="16">
        <v>0</v>
      </c>
      <c r="BJ365" s="16">
        <v>0</v>
      </c>
      <c r="BK365" s="16">
        <v>0</v>
      </c>
      <c r="BL365" s="16">
        <v>0</v>
      </c>
      <c r="BM365" s="16">
        <v>0</v>
      </c>
      <c r="BN365" s="16">
        <v>0</v>
      </c>
      <c r="BO365" s="16">
        <v>0</v>
      </c>
      <c r="BP365" s="16">
        <v>0</v>
      </c>
      <c r="BQ365" s="16">
        <v>0</v>
      </c>
      <c r="BR365" s="16">
        <v>0</v>
      </c>
      <c r="BS365" s="16">
        <v>0</v>
      </c>
      <c r="BT365" s="16">
        <v>0</v>
      </c>
      <c r="BU365" s="16">
        <v>0</v>
      </c>
      <c r="BV365" s="16">
        <v>0</v>
      </c>
      <c r="BW365" s="16">
        <v>0</v>
      </c>
      <c r="BX365" s="16">
        <v>0</v>
      </c>
      <c r="BY365" s="16">
        <v>0</v>
      </c>
      <c r="BZ365" s="16">
        <v>0</v>
      </c>
      <c r="CA365" s="16">
        <v>0</v>
      </c>
      <c r="CB365" s="16">
        <v>0</v>
      </c>
      <c r="CC365" s="16">
        <v>0</v>
      </c>
      <c r="CD365" s="16">
        <v>0</v>
      </c>
      <c r="CE365" s="16">
        <v>0</v>
      </c>
      <c r="CF365" s="16">
        <v>0</v>
      </c>
      <c r="CG365" s="16">
        <v>0</v>
      </c>
      <c r="CH365" s="16">
        <v>0</v>
      </c>
      <c r="CI365" s="16">
        <v>0</v>
      </c>
      <c r="CJ365" s="16">
        <v>0</v>
      </c>
      <c r="CK365" s="16">
        <v>0</v>
      </c>
      <c r="CL365" s="16">
        <v>0</v>
      </c>
      <c r="CM365" s="16">
        <v>0</v>
      </c>
      <c r="CN365" s="16">
        <v>0</v>
      </c>
      <c r="CO365" s="16">
        <v>0</v>
      </c>
      <c r="CP365" s="16">
        <v>0</v>
      </c>
      <c r="CQ365" s="16">
        <v>0</v>
      </c>
      <c r="CR365" s="16">
        <v>0</v>
      </c>
      <c r="CS365" s="16">
        <v>0</v>
      </c>
      <c r="CT365" s="16">
        <v>0</v>
      </c>
      <c r="CU365" s="16">
        <v>0</v>
      </c>
      <c r="CV365" s="16">
        <v>0</v>
      </c>
      <c r="CW365" s="16">
        <v>0</v>
      </c>
      <c r="CX365" s="16">
        <v>0</v>
      </c>
      <c r="CY365" s="16">
        <v>0</v>
      </c>
      <c r="CZ365" s="16">
        <v>0</v>
      </c>
      <c r="DA365" s="16">
        <v>0</v>
      </c>
      <c r="DB365" s="16">
        <v>0</v>
      </c>
      <c r="DC365" s="16">
        <v>0</v>
      </c>
      <c r="DD365" s="16">
        <v>0</v>
      </c>
      <c r="DE365" s="16">
        <v>0</v>
      </c>
      <c r="DF365" s="16">
        <v>0</v>
      </c>
      <c r="DG365" s="16">
        <v>0</v>
      </c>
      <c r="DH365" s="16">
        <v>0</v>
      </c>
      <c r="DI365" s="16">
        <v>0</v>
      </c>
      <c r="DJ365" s="16">
        <v>0</v>
      </c>
      <c r="DK365" s="16">
        <v>0</v>
      </c>
      <c r="DL365" s="16">
        <v>0</v>
      </c>
      <c r="DM365" s="16">
        <v>0</v>
      </c>
      <c r="DN365" s="16">
        <v>0</v>
      </c>
      <c r="DO365" s="16">
        <v>0</v>
      </c>
      <c r="DP365" s="16">
        <v>0</v>
      </c>
      <c r="DQ365" s="16">
        <v>0</v>
      </c>
      <c r="DR365" s="16">
        <v>0</v>
      </c>
      <c r="DS365" s="16">
        <v>0</v>
      </c>
      <c r="DT365" s="16">
        <v>0</v>
      </c>
      <c r="DU365" s="16">
        <v>0</v>
      </c>
      <c r="DV365" s="16">
        <v>0</v>
      </c>
      <c r="DW365" s="16">
        <v>0</v>
      </c>
      <c r="DX365" s="16">
        <v>0</v>
      </c>
      <c r="DY365" s="16">
        <v>0</v>
      </c>
      <c r="DZ365" s="16">
        <v>0</v>
      </c>
      <c r="EA365" s="16">
        <v>0</v>
      </c>
      <c r="EB365" s="16">
        <v>0</v>
      </c>
      <c r="EC365" s="16">
        <v>0</v>
      </c>
      <c r="ED365" s="16">
        <v>0</v>
      </c>
      <c r="EE365" s="16">
        <v>0</v>
      </c>
      <c r="EF365" s="16">
        <v>0</v>
      </c>
      <c r="EG365" s="16">
        <v>0</v>
      </c>
      <c r="EH365" s="16">
        <v>0</v>
      </c>
      <c r="EI365" s="16">
        <v>0</v>
      </c>
      <c r="EJ365" s="16">
        <v>0</v>
      </c>
      <c r="EK365" s="16">
        <v>0</v>
      </c>
      <c r="EL365" s="16">
        <v>0</v>
      </c>
      <c r="EM365" s="16">
        <v>0</v>
      </c>
      <c r="EN365" s="16">
        <v>0</v>
      </c>
      <c r="EO365" s="16">
        <v>0</v>
      </c>
      <c r="EP365" s="16">
        <v>0</v>
      </c>
      <c r="EQ365" s="16">
        <v>0</v>
      </c>
      <c r="ER365" s="16">
        <v>0</v>
      </c>
      <c r="ES365" s="16">
        <v>0</v>
      </c>
      <c r="ET365" s="16">
        <v>0</v>
      </c>
      <c r="EU365" s="16">
        <v>0</v>
      </c>
      <c r="EV365" s="16">
        <v>0</v>
      </c>
      <c r="EW365" s="16">
        <v>0</v>
      </c>
      <c r="EX365" s="16">
        <v>0</v>
      </c>
      <c r="EY365" s="16">
        <v>0</v>
      </c>
      <c r="EZ365" s="16">
        <v>0</v>
      </c>
      <c r="FA365" s="16">
        <v>0</v>
      </c>
      <c r="FB365" s="16">
        <v>0</v>
      </c>
      <c r="FC365" s="16">
        <v>0</v>
      </c>
      <c r="FD365" s="16">
        <v>0</v>
      </c>
      <c r="FE365" s="16">
        <v>0</v>
      </c>
      <c r="FF365" s="16">
        <v>0</v>
      </c>
      <c r="FG365" s="16">
        <v>0</v>
      </c>
      <c r="FH365" s="16">
        <v>0</v>
      </c>
      <c r="FI365" s="16">
        <v>0</v>
      </c>
      <c r="FJ365" s="16">
        <v>0</v>
      </c>
      <c r="FK365" s="16">
        <v>0</v>
      </c>
      <c r="FL365" s="16">
        <v>0</v>
      </c>
      <c r="FM365" s="16">
        <v>0</v>
      </c>
      <c r="FN365" s="16">
        <v>0</v>
      </c>
      <c r="FO365" s="16">
        <v>0</v>
      </c>
      <c r="FP365" s="16">
        <v>0</v>
      </c>
      <c r="FQ365" s="16">
        <v>0</v>
      </c>
      <c r="FR365" s="16">
        <v>0</v>
      </c>
      <c r="FS365" s="16">
        <v>0</v>
      </c>
      <c r="FT365" s="16">
        <v>0</v>
      </c>
      <c r="FU365" s="16">
        <v>0</v>
      </c>
      <c r="FV365" s="16">
        <v>0</v>
      </c>
      <c r="FW365" s="16">
        <v>0</v>
      </c>
      <c r="FX365" s="16">
        <v>0</v>
      </c>
      <c r="FY365" s="16">
        <v>0</v>
      </c>
      <c r="FZ365" s="16">
        <v>0</v>
      </c>
      <c r="GA365" s="16">
        <v>0</v>
      </c>
      <c r="GB365" s="16">
        <v>0</v>
      </c>
      <c r="GC365" s="16">
        <v>0</v>
      </c>
      <c r="GD365" s="16">
        <v>0</v>
      </c>
      <c r="GE365" s="16">
        <v>0</v>
      </c>
      <c r="GF365" s="16">
        <v>0</v>
      </c>
      <c r="GG365" s="16">
        <v>0</v>
      </c>
      <c r="GH365" s="16">
        <v>0</v>
      </c>
      <c r="GI365" s="16">
        <v>0</v>
      </c>
      <c r="GJ365" s="16">
        <v>0</v>
      </c>
      <c r="GK365" s="16">
        <v>0</v>
      </c>
      <c r="GL365" s="16">
        <v>0</v>
      </c>
      <c r="GM365" s="16">
        <v>0</v>
      </c>
      <c r="GN365" s="16">
        <v>0</v>
      </c>
      <c r="GO365" s="16">
        <v>0</v>
      </c>
      <c r="GP365" s="16">
        <v>0</v>
      </c>
      <c r="GQ365" s="16">
        <v>0</v>
      </c>
      <c r="GR365" s="16">
        <v>0</v>
      </c>
      <c r="GS365" s="16">
        <v>0</v>
      </c>
      <c r="GT365" s="16">
        <v>0</v>
      </c>
      <c r="GU365" s="16">
        <v>0</v>
      </c>
      <c r="GV365" s="16">
        <v>0</v>
      </c>
      <c r="GW365" s="16">
        <v>0</v>
      </c>
      <c r="GX365" s="16">
        <v>0</v>
      </c>
      <c r="GY365" s="16">
        <v>0</v>
      </c>
      <c r="GZ365" s="16">
        <v>0</v>
      </c>
      <c r="HA365" s="16">
        <v>0</v>
      </c>
      <c r="HB365" s="16">
        <v>0</v>
      </c>
      <c r="HC365" s="16">
        <v>0</v>
      </c>
      <c r="HD365" s="16">
        <v>0</v>
      </c>
      <c r="HE365" s="16">
        <v>0</v>
      </c>
      <c r="HF365" s="16">
        <v>0</v>
      </c>
      <c r="HG365" s="16">
        <v>0</v>
      </c>
      <c r="HH365" s="16">
        <v>0</v>
      </c>
      <c r="HI365" s="16">
        <v>0</v>
      </c>
      <c r="HJ365" s="16">
        <v>0</v>
      </c>
      <c r="HK365" s="16">
        <v>0</v>
      </c>
      <c r="HL365" s="16">
        <v>0</v>
      </c>
      <c r="HM365" s="16">
        <v>0</v>
      </c>
      <c r="HN365" s="16">
        <v>0</v>
      </c>
      <c r="HO365" s="16">
        <v>0</v>
      </c>
      <c r="HP365" s="16">
        <v>0</v>
      </c>
      <c r="HQ365" s="16">
        <v>0</v>
      </c>
      <c r="HR365" s="16">
        <v>0</v>
      </c>
      <c r="HS365" s="16">
        <v>0</v>
      </c>
      <c r="HT365" s="16">
        <v>0</v>
      </c>
      <c r="HU365" s="16">
        <v>0</v>
      </c>
      <c r="HV365" s="16">
        <v>0</v>
      </c>
      <c r="HW365" s="16">
        <v>0</v>
      </c>
      <c r="HX365" s="16">
        <v>0</v>
      </c>
      <c r="HY365" s="16">
        <v>0</v>
      </c>
      <c r="HZ365" s="16">
        <v>0</v>
      </c>
      <c r="IA365" s="16">
        <v>0</v>
      </c>
      <c r="IB365" s="16">
        <v>0</v>
      </c>
      <c r="IC365" s="16">
        <v>0</v>
      </c>
      <c r="ID365" s="16">
        <v>0</v>
      </c>
      <c r="IE365" s="16">
        <v>0</v>
      </c>
      <c r="IF365" s="16">
        <v>0</v>
      </c>
      <c r="IG365" s="16">
        <v>0</v>
      </c>
      <c r="IH365" s="16">
        <v>0</v>
      </c>
      <c r="II365" s="16">
        <v>0</v>
      </c>
      <c r="IJ365" s="16">
        <v>0</v>
      </c>
      <c r="IK365" s="16">
        <v>0</v>
      </c>
      <c r="IL365" s="16">
        <v>0</v>
      </c>
      <c r="IM365" s="16">
        <v>0</v>
      </c>
      <c r="IN365" s="16">
        <v>0</v>
      </c>
      <c r="IO365" s="16">
        <v>0</v>
      </c>
      <c r="IP365" s="16">
        <v>0</v>
      </c>
      <c r="IQ365" s="16">
        <v>0</v>
      </c>
      <c r="IR365" s="16">
        <v>0</v>
      </c>
      <c r="IS365" s="16">
        <v>0</v>
      </c>
      <c r="IT365" s="16">
        <v>0</v>
      </c>
      <c r="IU365" s="16">
        <v>0</v>
      </c>
      <c r="IV365" s="16">
        <v>0</v>
      </c>
      <c r="IW365" s="16">
        <v>0</v>
      </c>
      <c r="IX365" s="16">
        <v>0</v>
      </c>
      <c r="IY365" s="16">
        <v>0</v>
      </c>
      <c r="IZ365" s="16">
        <v>0</v>
      </c>
      <c r="JA365" s="16">
        <v>0</v>
      </c>
      <c r="JB365" s="16">
        <v>0</v>
      </c>
      <c r="JC365" s="16">
        <v>0</v>
      </c>
      <c r="JD365" s="16">
        <v>0</v>
      </c>
      <c r="JE365" s="16">
        <v>0</v>
      </c>
      <c r="JF365" s="16">
        <v>0</v>
      </c>
      <c r="JG365" s="16">
        <v>0</v>
      </c>
      <c r="JH365" s="16">
        <v>0</v>
      </c>
      <c r="JI365" s="16">
        <v>0</v>
      </c>
      <c r="JJ365" s="16">
        <v>0</v>
      </c>
      <c r="JK365" s="16">
        <v>0</v>
      </c>
      <c r="JL365" s="16">
        <v>0</v>
      </c>
      <c r="JM365" s="16">
        <v>0</v>
      </c>
      <c r="JN365" s="16">
        <v>0</v>
      </c>
      <c r="JO365" s="16">
        <v>0</v>
      </c>
      <c r="JP365" s="16">
        <v>0</v>
      </c>
      <c r="JQ365" s="16">
        <v>0</v>
      </c>
      <c r="JR365" s="16">
        <v>0</v>
      </c>
      <c r="JS365" s="16">
        <v>0</v>
      </c>
      <c r="JT365" s="16">
        <v>0</v>
      </c>
      <c r="JU365" s="16">
        <v>0</v>
      </c>
      <c r="JV365" s="16">
        <v>0</v>
      </c>
      <c r="JW365" s="16">
        <v>0</v>
      </c>
      <c r="JX365" s="16">
        <v>0</v>
      </c>
      <c r="JY365" s="16">
        <v>0</v>
      </c>
      <c r="JZ365" s="16">
        <v>0</v>
      </c>
      <c r="KA365" s="16">
        <v>0</v>
      </c>
      <c r="KB365" s="16">
        <v>0</v>
      </c>
      <c r="KC365" s="16">
        <v>0</v>
      </c>
      <c r="KD365" s="16">
        <v>0</v>
      </c>
      <c r="KE365" s="16">
        <v>0</v>
      </c>
      <c r="KF365" s="16">
        <v>0</v>
      </c>
      <c r="KG365" s="16">
        <v>0</v>
      </c>
      <c r="KH365" s="16">
        <v>0</v>
      </c>
      <c r="KI365" s="16">
        <v>0</v>
      </c>
      <c r="KJ365" s="16">
        <v>0</v>
      </c>
      <c r="KK365" s="16">
        <v>0</v>
      </c>
      <c r="KL365" s="16">
        <v>0</v>
      </c>
      <c r="KM365" s="16">
        <v>0</v>
      </c>
      <c r="KN365" s="16">
        <v>0</v>
      </c>
      <c r="KO365" s="16">
        <v>0</v>
      </c>
      <c r="KP365" s="16">
        <v>0</v>
      </c>
      <c r="KQ365" s="16">
        <v>0</v>
      </c>
      <c r="KR365" s="16">
        <v>0</v>
      </c>
      <c r="KS365" s="16">
        <v>0</v>
      </c>
      <c r="KT365" s="16">
        <v>0</v>
      </c>
      <c r="KU365" s="16">
        <v>0</v>
      </c>
      <c r="KV365" s="16">
        <v>0</v>
      </c>
      <c r="KW365" s="16">
        <v>0</v>
      </c>
      <c r="KX365" s="16">
        <v>0</v>
      </c>
      <c r="KY365" s="16">
        <v>0</v>
      </c>
      <c r="KZ365" s="16">
        <v>0</v>
      </c>
      <c r="LA365" s="16">
        <v>0</v>
      </c>
      <c r="LB365" s="16">
        <v>0</v>
      </c>
      <c r="LC365" s="16">
        <v>0</v>
      </c>
      <c r="LD365" s="16">
        <v>0</v>
      </c>
      <c r="LE365" s="16">
        <v>0</v>
      </c>
      <c r="LF365" s="16">
        <v>0</v>
      </c>
      <c r="LG365" s="16">
        <v>0</v>
      </c>
      <c r="LH365" s="16">
        <v>0</v>
      </c>
      <c r="LI365" s="16">
        <v>0</v>
      </c>
      <c r="LJ365" s="16">
        <v>0</v>
      </c>
      <c r="LK365" s="16">
        <v>0</v>
      </c>
      <c r="LL365" s="16">
        <v>0</v>
      </c>
      <c r="LM365" s="16">
        <v>0</v>
      </c>
      <c r="LN365" s="16">
        <v>0</v>
      </c>
      <c r="LO365" s="16">
        <v>0</v>
      </c>
      <c r="LP365" s="16">
        <v>0</v>
      </c>
      <c r="LQ365" s="16">
        <v>0</v>
      </c>
      <c r="LR365" s="16">
        <v>0</v>
      </c>
      <c r="LS365" s="16">
        <v>0</v>
      </c>
      <c r="LT365" s="16">
        <v>0</v>
      </c>
      <c r="LU365" s="16">
        <v>0</v>
      </c>
      <c r="LV365" s="16">
        <v>0</v>
      </c>
      <c r="LW365" s="16">
        <v>0</v>
      </c>
      <c r="LX365" s="16">
        <v>0</v>
      </c>
      <c r="LY365" s="16">
        <v>0</v>
      </c>
      <c r="LZ365" s="16">
        <v>0</v>
      </c>
      <c r="MA365" s="16">
        <v>0</v>
      </c>
      <c r="MB365" s="16">
        <v>0</v>
      </c>
      <c r="MC365" s="16">
        <v>0</v>
      </c>
      <c r="MD365" s="16">
        <v>0</v>
      </c>
      <c r="ME365" s="16">
        <v>0</v>
      </c>
      <c r="MF365" s="16">
        <v>0</v>
      </c>
      <c r="MG365" s="16">
        <v>0</v>
      </c>
      <c r="MH365" s="16">
        <v>0</v>
      </c>
      <c r="MI365" s="16">
        <v>0</v>
      </c>
      <c r="MJ365" s="16">
        <v>0</v>
      </c>
      <c r="MK365" s="16">
        <v>0</v>
      </c>
      <c r="ML365" s="16">
        <v>0</v>
      </c>
      <c r="MM365" s="16">
        <v>0</v>
      </c>
      <c r="MN365" s="16">
        <v>0</v>
      </c>
      <c r="MO365" s="16">
        <v>0</v>
      </c>
      <c r="MP365" s="16">
        <v>0</v>
      </c>
      <c r="MQ365" s="16">
        <v>0</v>
      </c>
      <c r="MR365" s="16">
        <v>0</v>
      </c>
      <c r="MS365" s="16">
        <v>0</v>
      </c>
      <c r="MT365" s="16">
        <v>0</v>
      </c>
      <c r="MU365" s="16">
        <v>0</v>
      </c>
      <c r="MV365" s="16">
        <v>0</v>
      </c>
      <c r="MW365" s="16">
        <v>0</v>
      </c>
      <c r="MX365" s="16">
        <v>0</v>
      </c>
      <c r="MY365" s="16">
        <v>0</v>
      </c>
      <c r="MZ365" s="16">
        <v>0</v>
      </c>
      <c r="NA365" s="16">
        <v>0</v>
      </c>
      <c r="NB365" s="16">
        <v>0</v>
      </c>
      <c r="NC365" s="16">
        <v>0</v>
      </c>
      <c r="ND365" s="16">
        <v>0</v>
      </c>
      <c r="NE365" s="16">
        <v>0</v>
      </c>
      <c r="NF365" s="16">
        <v>0</v>
      </c>
      <c r="NG365" s="16">
        <v>0</v>
      </c>
      <c r="NH365" s="16">
        <v>0</v>
      </c>
      <c r="NI365" s="16">
        <v>0</v>
      </c>
      <c r="NJ365" s="16">
        <v>0</v>
      </c>
      <c r="NK365" s="16">
        <v>0</v>
      </c>
      <c r="NL365" s="16">
        <v>0</v>
      </c>
      <c r="NM365" s="16">
        <v>0</v>
      </c>
      <c r="NN365" s="16">
        <v>0</v>
      </c>
      <c r="NO365" s="16">
        <v>0</v>
      </c>
      <c r="NP365" s="16">
        <v>0</v>
      </c>
      <c r="NQ365" s="16">
        <v>0</v>
      </c>
      <c r="NR365" s="17">
        <v>0</v>
      </c>
    </row>
    <row r="366" spans="1:382" ht="13.5" customHeight="1" x14ac:dyDescent="0.2">
      <c r="A366" s="2" t="s">
        <v>739</v>
      </c>
      <c r="B366" s="16">
        <v>0</v>
      </c>
      <c r="C366" s="16">
        <v>0</v>
      </c>
      <c r="D366" s="16">
        <v>0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  <c r="AG366" s="16">
        <v>0</v>
      </c>
      <c r="AH366" s="16">
        <v>0</v>
      </c>
      <c r="AI366" s="16">
        <v>0</v>
      </c>
      <c r="AJ366" s="16">
        <v>0</v>
      </c>
      <c r="AK366" s="16">
        <v>0</v>
      </c>
      <c r="AL366" s="16">
        <v>0</v>
      </c>
      <c r="AM366" s="16">
        <v>0</v>
      </c>
      <c r="AN366" s="16">
        <v>0</v>
      </c>
      <c r="AO366" s="16">
        <v>0</v>
      </c>
      <c r="AP366" s="16">
        <v>0</v>
      </c>
      <c r="AQ366" s="16">
        <v>0</v>
      </c>
      <c r="AR366" s="16">
        <v>0</v>
      </c>
      <c r="AS366" s="16">
        <v>0</v>
      </c>
      <c r="AT366" s="16">
        <v>0</v>
      </c>
      <c r="AU366" s="16">
        <v>0</v>
      </c>
      <c r="AV366" s="16">
        <v>0</v>
      </c>
      <c r="AW366" s="16">
        <v>0</v>
      </c>
      <c r="AX366" s="16">
        <v>0</v>
      </c>
      <c r="AY366" s="16">
        <v>0</v>
      </c>
      <c r="AZ366" s="16">
        <v>0</v>
      </c>
      <c r="BA366" s="16">
        <v>0</v>
      </c>
      <c r="BB366" s="16">
        <v>0</v>
      </c>
      <c r="BC366" s="16">
        <v>0</v>
      </c>
      <c r="BD366" s="16">
        <v>0</v>
      </c>
      <c r="BE366" s="16">
        <v>0</v>
      </c>
      <c r="BF366" s="16">
        <v>0</v>
      </c>
      <c r="BG366" s="16">
        <v>0</v>
      </c>
      <c r="BH366" s="16">
        <v>0</v>
      </c>
      <c r="BI366" s="16">
        <v>0</v>
      </c>
      <c r="BJ366" s="16">
        <v>0</v>
      </c>
      <c r="BK366" s="16">
        <v>0</v>
      </c>
      <c r="BL366" s="16">
        <v>0</v>
      </c>
      <c r="BM366" s="16">
        <v>0</v>
      </c>
      <c r="BN366" s="16">
        <v>0</v>
      </c>
      <c r="BO366" s="16">
        <v>0</v>
      </c>
      <c r="BP366" s="16">
        <v>0</v>
      </c>
      <c r="BQ366" s="16">
        <v>0</v>
      </c>
      <c r="BR366" s="16">
        <v>0</v>
      </c>
      <c r="BS366" s="16">
        <v>0</v>
      </c>
      <c r="BT366" s="16">
        <v>0</v>
      </c>
      <c r="BU366" s="16">
        <v>0</v>
      </c>
      <c r="BV366" s="16">
        <v>0</v>
      </c>
      <c r="BW366" s="16">
        <v>0</v>
      </c>
      <c r="BX366" s="16">
        <v>0</v>
      </c>
      <c r="BY366" s="16">
        <v>0</v>
      </c>
      <c r="BZ366" s="16">
        <v>0</v>
      </c>
      <c r="CA366" s="16">
        <v>0</v>
      </c>
      <c r="CB366" s="16">
        <v>0</v>
      </c>
      <c r="CC366" s="16">
        <v>0</v>
      </c>
      <c r="CD366" s="16">
        <v>0</v>
      </c>
      <c r="CE366" s="16">
        <v>0</v>
      </c>
      <c r="CF366" s="16">
        <v>0</v>
      </c>
      <c r="CG366" s="16">
        <v>0</v>
      </c>
      <c r="CH366" s="16">
        <v>0</v>
      </c>
      <c r="CI366" s="16">
        <v>0</v>
      </c>
      <c r="CJ366" s="16">
        <v>0</v>
      </c>
      <c r="CK366" s="16">
        <v>0</v>
      </c>
      <c r="CL366" s="16">
        <v>0</v>
      </c>
      <c r="CM366" s="16">
        <v>0</v>
      </c>
      <c r="CN366" s="16">
        <v>0</v>
      </c>
      <c r="CO366" s="16">
        <v>0</v>
      </c>
      <c r="CP366" s="16">
        <v>0</v>
      </c>
      <c r="CQ366" s="16">
        <v>0</v>
      </c>
      <c r="CR366" s="16">
        <v>0</v>
      </c>
      <c r="CS366" s="16">
        <v>0</v>
      </c>
      <c r="CT366" s="16">
        <v>0</v>
      </c>
      <c r="CU366" s="16">
        <v>0</v>
      </c>
      <c r="CV366" s="16">
        <v>0</v>
      </c>
      <c r="CW366" s="16">
        <v>0</v>
      </c>
      <c r="CX366" s="16">
        <v>0</v>
      </c>
      <c r="CY366" s="16">
        <v>0</v>
      </c>
      <c r="CZ366" s="16">
        <v>0</v>
      </c>
      <c r="DA366" s="16">
        <v>0</v>
      </c>
      <c r="DB366" s="16">
        <v>0</v>
      </c>
      <c r="DC366" s="16">
        <v>0</v>
      </c>
      <c r="DD366" s="16">
        <v>0</v>
      </c>
      <c r="DE366" s="16">
        <v>0</v>
      </c>
      <c r="DF366" s="16">
        <v>0</v>
      </c>
      <c r="DG366" s="16">
        <v>0</v>
      </c>
      <c r="DH366" s="16">
        <v>0</v>
      </c>
      <c r="DI366" s="16">
        <v>0</v>
      </c>
      <c r="DJ366" s="16">
        <v>0</v>
      </c>
      <c r="DK366" s="16">
        <v>0</v>
      </c>
      <c r="DL366" s="16">
        <v>0</v>
      </c>
      <c r="DM366" s="16">
        <v>0</v>
      </c>
      <c r="DN366" s="16">
        <v>0</v>
      </c>
      <c r="DO366" s="16">
        <v>0</v>
      </c>
      <c r="DP366" s="16">
        <v>0</v>
      </c>
      <c r="DQ366" s="16">
        <v>0</v>
      </c>
      <c r="DR366" s="16">
        <v>0</v>
      </c>
      <c r="DS366" s="16">
        <v>0</v>
      </c>
      <c r="DT366" s="16">
        <v>0</v>
      </c>
      <c r="DU366" s="16">
        <v>0</v>
      </c>
      <c r="DV366" s="16">
        <v>0</v>
      </c>
      <c r="DW366" s="16">
        <v>0</v>
      </c>
      <c r="DX366" s="16">
        <v>0</v>
      </c>
      <c r="DY366" s="16">
        <v>0</v>
      </c>
      <c r="DZ366" s="16">
        <v>0</v>
      </c>
      <c r="EA366" s="16">
        <v>0</v>
      </c>
      <c r="EB366" s="16">
        <v>0</v>
      </c>
      <c r="EC366" s="16">
        <v>0</v>
      </c>
      <c r="ED366" s="16">
        <v>0</v>
      </c>
      <c r="EE366" s="16">
        <v>0</v>
      </c>
      <c r="EF366" s="16">
        <v>0</v>
      </c>
      <c r="EG366" s="16">
        <v>0</v>
      </c>
      <c r="EH366" s="16">
        <v>0</v>
      </c>
      <c r="EI366" s="16">
        <v>0</v>
      </c>
      <c r="EJ366" s="16">
        <v>0</v>
      </c>
      <c r="EK366" s="16">
        <v>0</v>
      </c>
      <c r="EL366" s="16">
        <v>0</v>
      </c>
      <c r="EM366" s="16">
        <v>0</v>
      </c>
      <c r="EN366" s="16">
        <v>0</v>
      </c>
      <c r="EO366" s="16">
        <v>0</v>
      </c>
      <c r="EP366" s="16">
        <v>0</v>
      </c>
      <c r="EQ366" s="16">
        <v>0</v>
      </c>
      <c r="ER366" s="16">
        <v>0</v>
      </c>
      <c r="ES366" s="16">
        <v>0</v>
      </c>
      <c r="ET366" s="16">
        <v>0</v>
      </c>
      <c r="EU366" s="16">
        <v>0</v>
      </c>
      <c r="EV366" s="16">
        <v>0</v>
      </c>
      <c r="EW366" s="16">
        <v>0</v>
      </c>
      <c r="EX366" s="16">
        <v>0</v>
      </c>
      <c r="EY366" s="16">
        <v>0</v>
      </c>
      <c r="EZ366" s="16">
        <v>0</v>
      </c>
      <c r="FA366" s="16">
        <v>0</v>
      </c>
      <c r="FB366" s="16">
        <v>0</v>
      </c>
      <c r="FC366" s="16">
        <v>0</v>
      </c>
      <c r="FD366" s="16">
        <v>0</v>
      </c>
      <c r="FE366" s="16">
        <v>0</v>
      </c>
      <c r="FF366" s="16">
        <v>0</v>
      </c>
      <c r="FG366" s="16">
        <v>0</v>
      </c>
      <c r="FH366" s="16">
        <v>0</v>
      </c>
      <c r="FI366" s="16">
        <v>0</v>
      </c>
      <c r="FJ366" s="16">
        <v>0</v>
      </c>
      <c r="FK366" s="16">
        <v>0</v>
      </c>
      <c r="FL366" s="16">
        <v>0</v>
      </c>
      <c r="FM366" s="16">
        <v>0</v>
      </c>
      <c r="FN366" s="16">
        <v>0</v>
      </c>
      <c r="FO366" s="16">
        <v>0</v>
      </c>
      <c r="FP366" s="16">
        <v>0</v>
      </c>
      <c r="FQ366" s="16">
        <v>0</v>
      </c>
      <c r="FR366" s="16">
        <v>0</v>
      </c>
      <c r="FS366" s="16">
        <v>0</v>
      </c>
      <c r="FT366" s="16">
        <v>0</v>
      </c>
      <c r="FU366" s="16">
        <v>0</v>
      </c>
      <c r="FV366" s="16">
        <v>0</v>
      </c>
      <c r="FW366" s="16">
        <v>0</v>
      </c>
      <c r="FX366" s="16">
        <v>0</v>
      </c>
      <c r="FY366" s="16">
        <v>0</v>
      </c>
      <c r="FZ366" s="16">
        <v>0</v>
      </c>
      <c r="GA366" s="16">
        <v>0</v>
      </c>
      <c r="GB366" s="16">
        <v>0</v>
      </c>
      <c r="GC366" s="16">
        <v>0</v>
      </c>
      <c r="GD366" s="16">
        <v>0</v>
      </c>
      <c r="GE366" s="16">
        <v>0</v>
      </c>
      <c r="GF366" s="16">
        <v>0</v>
      </c>
      <c r="GG366" s="16">
        <v>0</v>
      </c>
      <c r="GH366" s="16">
        <v>0</v>
      </c>
      <c r="GI366" s="16">
        <v>0</v>
      </c>
      <c r="GJ366" s="16">
        <v>0</v>
      </c>
      <c r="GK366" s="16">
        <v>0</v>
      </c>
      <c r="GL366" s="16">
        <v>0</v>
      </c>
      <c r="GM366" s="16">
        <v>0</v>
      </c>
      <c r="GN366" s="16">
        <v>0</v>
      </c>
      <c r="GO366" s="16">
        <v>0</v>
      </c>
      <c r="GP366" s="16">
        <v>0</v>
      </c>
      <c r="GQ366" s="16">
        <v>0</v>
      </c>
      <c r="GR366" s="16">
        <v>0</v>
      </c>
      <c r="GS366" s="16">
        <v>0</v>
      </c>
      <c r="GT366" s="16">
        <v>0</v>
      </c>
      <c r="GU366" s="16">
        <v>0</v>
      </c>
      <c r="GV366" s="16">
        <v>0</v>
      </c>
      <c r="GW366" s="16">
        <v>0</v>
      </c>
      <c r="GX366" s="16">
        <v>0</v>
      </c>
      <c r="GY366" s="16">
        <v>0</v>
      </c>
      <c r="GZ366" s="16">
        <v>0</v>
      </c>
      <c r="HA366" s="16">
        <v>0</v>
      </c>
      <c r="HB366" s="16">
        <v>0</v>
      </c>
      <c r="HC366" s="16">
        <v>0</v>
      </c>
      <c r="HD366" s="16">
        <v>0</v>
      </c>
      <c r="HE366" s="16">
        <v>0</v>
      </c>
      <c r="HF366" s="16">
        <v>0</v>
      </c>
      <c r="HG366" s="16">
        <v>0</v>
      </c>
      <c r="HH366" s="16">
        <v>0</v>
      </c>
      <c r="HI366" s="16">
        <v>0</v>
      </c>
      <c r="HJ366" s="16">
        <v>0</v>
      </c>
      <c r="HK366" s="16">
        <v>0</v>
      </c>
      <c r="HL366" s="16">
        <v>0</v>
      </c>
      <c r="HM366" s="16">
        <v>0</v>
      </c>
      <c r="HN366" s="16">
        <v>0</v>
      </c>
      <c r="HO366" s="16">
        <v>0</v>
      </c>
      <c r="HP366" s="16">
        <v>0</v>
      </c>
      <c r="HQ366" s="16">
        <v>0</v>
      </c>
      <c r="HR366" s="16">
        <v>0</v>
      </c>
      <c r="HS366" s="16">
        <v>0</v>
      </c>
      <c r="HT366" s="16">
        <v>0</v>
      </c>
      <c r="HU366" s="16">
        <v>0</v>
      </c>
      <c r="HV366" s="16">
        <v>0</v>
      </c>
      <c r="HW366" s="16">
        <v>0</v>
      </c>
      <c r="HX366" s="16">
        <v>0</v>
      </c>
      <c r="HY366" s="16">
        <v>0</v>
      </c>
      <c r="HZ366" s="16">
        <v>0</v>
      </c>
      <c r="IA366" s="16">
        <v>0</v>
      </c>
      <c r="IB366" s="16">
        <v>0</v>
      </c>
      <c r="IC366" s="16">
        <v>0</v>
      </c>
      <c r="ID366" s="16">
        <v>0</v>
      </c>
      <c r="IE366" s="16">
        <v>0</v>
      </c>
      <c r="IF366" s="16">
        <v>0</v>
      </c>
      <c r="IG366" s="16">
        <v>0</v>
      </c>
      <c r="IH366" s="16">
        <v>0</v>
      </c>
      <c r="II366" s="16">
        <v>0</v>
      </c>
      <c r="IJ366" s="16">
        <v>0</v>
      </c>
      <c r="IK366" s="16">
        <v>0</v>
      </c>
      <c r="IL366" s="16">
        <v>0</v>
      </c>
      <c r="IM366" s="16">
        <v>0</v>
      </c>
      <c r="IN366" s="16">
        <v>0</v>
      </c>
      <c r="IO366" s="16">
        <v>0</v>
      </c>
      <c r="IP366" s="16">
        <v>0</v>
      </c>
      <c r="IQ366" s="16">
        <v>0</v>
      </c>
      <c r="IR366" s="16">
        <v>0</v>
      </c>
      <c r="IS366" s="16">
        <v>0</v>
      </c>
      <c r="IT366" s="16">
        <v>0</v>
      </c>
      <c r="IU366" s="16">
        <v>0</v>
      </c>
      <c r="IV366" s="16">
        <v>0</v>
      </c>
      <c r="IW366" s="16">
        <v>0</v>
      </c>
      <c r="IX366" s="16">
        <v>0</v>
      </c>
      <c r="IY366" s="16">
        <v>0</v>
      </c>
      <c r="IZ366" s="16">
        <v>0</v>
      </c>
      <c r="JA366" s="16">
        <v>0</v>
      </c>
      <c r="JB366" s="16">
        <v>0</v>
      </c>
      <c r="JC366" s="16">
        <v>0</v>
      </c>
      <c r="JD366" s="16">
        <v>0</v>
      </c>
      <c r="JE366" s="16">
        <v>0</v>
      </c>
      <c r="JF366" s="16">
        <v>0</v>
      </c>
      <c r="JG366" s="16">
        <v>0</v>
      </c>
      <c r="JH366" s="16">
        <v>0</v>
      </c>
      <c r="JI366" s="16">
        <v>0</v>
      </c>
      <c r="JJ366" s="16">
        <v>0</v>
      </c>
      <c r="JK366" s="16">
        <v>0</v>
      </c>
      <c r="JL366" s="16">
        <v>0</v>
      </c>
      <c r="JM366" s="16">
        <v>0</v>
      </c>
      <c r="JN366" s="16">
        <v>0</v>
      </c>
      <c r="JO366" s="16">
        <v>0</v>
      </c>
      <c r="JP366" s="16">
        <v>0</v>
      </c>
      <c r="JQ366" s="16">
        <v>0</v>
      </c>
      <c r="JR366" s="16">
        <v>0</v>
      </c>
      <c r="JS366" s="16">
        <v>0</v>
      </c>
      <c r="JT366" s="16">
        <v>0</v>
      </c>
      <c r="JU366" s="16">
        <v>0</v>
      </c>
      <c r="JV366" s="16">
        <v>0</v>
      </c>
      <c r="JW366" s="16">
        <v>0</v>
      </c>
      <c r="JX366" s="16">
        <v>0</v>
      </c>
      <c r="JY366" s="16">
        <v>0</v>
      </c>
      <c r="JZ366" s="16">
        <v>0</v>
      </c>
      <c r="KA366" s="16">
        <v>0</v>
      </c>
      <c r="KB366" s="16">
        <v>0</v>
      </c>
      <c r="KC366" s="16">
        <v>0</v>
      </c>
      <c r="KD366" s="16">
        <v>0</v>
      </c>
      <c r="KE366" s="16">
        <v>0</v>
      </c>
      <c r="KF366" s="16">
        <v>0</v>
      </c>
      <c r="KG366" s="16">
        <v>0</v>
      </c>
      <c r="KH366" s="16">
        <v>0</v>
      </c>
      <c r="KI366" s="16">
        <v>0</v>
      </c>
      <c r="KJ366" s="16">
        <v>0</v>
      </c>
      <c r="KK366" s="16">
        <v>0</v>
      </c>
      <c r="KL366" s="16">
        <v>0</v>
      </c>
      <c r="KM366" s="16">
        <v>0</v>
      </c>
      <c r="KN366" s="16">
        <v>0</v>
      </c>
      <c r="KO366" s="16">
        <v>0</v>
      </c>
      <c r="KP366" s="16">
        <v>0</v>
      </c>
      <c r="KQ366" s="16">
        <v>0</v>
      </c>
      <c r="KR366" s="16">
        <v>0</v>
      </c>
      <c r="KS366" s="16">
        <v>0</v>
      </c>
      <c r="KT366" s="16">
        <v>0</v>
      </c>
      <c r="KU366" s="16">
        <v>0</v>
      </c>
      <c r="KV366" s="16">
        <v>0</v>
      </c>
      <c r="KW366" s="16">
        <v>0</v>
      </c>
      <c r="KX366" s="16">
        <v>0</v>
      </c>
      <c r="KY366" s="16">
        <v>0</v>
      </c>
      <c r="KZ366" s="16">
        <v>0</v>
      </c>
      <c r="LA366" s="16">
        <v>0</v>
      </c>
      <c r="LB366" s="16">
        <v>0</v>
      </c>
      <c r="LC366" s="16">
        <v>0</v>
      </c>
      <c r="LD366" s="16">
        <v>0</v>
      </c>
      <c r="LE366" s="16">
        <v>0</v>
      </c>
      <c r="LF366" s="16">
        <v>0</v>
      </c>
      <c r="LG366" s="16">
        <v>0</v>
      </c>
      <c r="LH366" s="16">
        <v>0</v>
      </c>
      <c r="LI366" s="16">
        <v>0</v>
      </c>
      <c r="LJ366" s="16">
        <v>0</v>
      </c>
      <c r="LK366" s="16">
        <v>0</v>
      </c>
      <c r="LL366" s="16">
        <v>0</v>
      </c>
      <c r="LM366" s="16">
        <v>0</v>
      </c>
      <c r="LN366" s="16">
        <v>0</v>
      </c>
      <c r="LO366" s="16">
        <v>0</v>
      </c>
      <c r="LP366" s="16">
        <v>0</v>
      </c>
      <c r="LQ366" s="16">
        <v>0</v>
      </c>
      <c r="LR366" s="16">
        <v>0</v>
      </c>
      <c r="LS366" s="16">
        <v>0</v>
      </c>
      <c r="LT366" s="16">
        <v>0</v>
      </c>
      <c r="LU366" s="16">
        <v>0</v>
      </c>
      <c r="LV366" s="16">
        <v>0</v>
      </c>
      <c r="LW366" s="16">
        <v>0</v>
      </c>
      <c r="LX366" s="16">
        <v>0</v>
      </c>
      <c r="LY366" s="16">
        <v>0</v>
      </c>
      <c r="LZ366" s="16">
        <v>0</v>
      </c>
      <c r="MA366" s="16">
        <v>0</v>
      </c>
      <c r="MB366" s="16">
        <v>0</v>
      </c>
      <c r="MC366" s="16">
        <v>0</v>
      </c>
      <c r="MD366" s="16">
        <v>0</v>
      </c>
      <c r="ME366" s="16">
        <v>0</v>
      </c>
      <c r="MF366" s="16">
        <v>0</v>
      </c>
      <c r="MG366" s="16">
        <v>0</v>
      </c>
      <c r="MH366" s="16">
        <v>0</v>
      </c>
      <c r="MI366" s="16">
        <v>0</v>
      </c>
      <c r="MJ366" s="16">
        <v>0</v>
      </c>
      <c r="MK366" s="16">
        <v>0</v>
      </c>
      <c r="ML366" s="16">
        <v>0</v>
      </c>
      <c r="MM366" s="16">
        <v>0</v>
      </c>
      <c r="MN366" s="16">
        <v>0</v>
      </c>
      <c r="MO366" s="16">
        <v>0</v>
      </c>
      <c r="MP366" s="16">
        <v>0</v>
      </c>
      <c r="MQ366" s="16">
        <v>0</v>
      </c>
      <c r="MR366" s="16">
        <v>0</v>
      </c>
      <c r="MS366" s="16">
        <v>0</v>
      </c>
      <c r="MT366" s="16">
        <v>0</v>
      </c>
      <c r="MU366" s="16">
        <v>0</v>
      </c>
      <c r="MV366" s="16">
        <v>0</v>
      </c>
      <c r="MW366" s="16">
        <v>0</v>
      </c>
      <c r="MX366" s="16">
        <v>0</v>
      </c>
      <c r="MY366" s="16">
        <v>0</v>
      </c>
      <c r="MZ366" s="16">
        <v>0</v>
      </c>
      <c r="NA366" s="16">
        <v>0</v>
      </c>
      <c r="NB366" s="16">
        <v>0</v>
      </c>
      <c r="NC366" s="16">
        <v>0</v>
      </c>
      <c r="ND366" s="16">
        <v>0</v>
      </c>
      <c r="NE366" s="16">
        <v>0</v>
      </c>
      <c r="NF366" s="16">
        <v>0</v>
      </c>
      <c r="NG366" s="16">
        <v>0</v>
      </c>
      <c r="NH366" s="16">
        <v>0</v>
      </c>
      <c r="NI366" s="16">
        <v>0</v>
      </c>
      <c r="NJ366" s="16">
        <v>0</v>
      </c>
      <c r="NK366" s="16">
        <v>0</v>
      </c>
      <c r="NL366" s="16">
        <v>0</v>
      </c>
      <c r="NM366" s="16">
        <v>0</v>
      </c>
      <c r="NN366" s="16">
        <v>0</v>
      </c>
      <c r="NO366" s="16">
        <v>0</v>
      </c>
      <c r="NP366" s="16">
        <v>0</v>
      </c>
      <c r="NQ366" s="16">
        <v>0</v>
      </c>
      <c r="NR366" s="17">
        <v>0</v>
      </c>
    </row>
    <row r="367" spans="1:382" ht="13.5" customHeight="1" x14ac:dyDescent="0.2">
      <c r="A367" s="2" t="s">
        <v>741</v>
      </c>
      <c r="B367" s="16">
        <v>18</v>
      </c>
      <c r="C367" s="16">
        <v>1</v>
      </c>
      <c r="D367" s="16">
        <v>22</v>
      </c>
      <c r="E367" s="16">
        <v>13</v>
      </c>
      <c r="F367" s="16">
        <v>43</v>
      </c>
      <c r="G367" s="16">
        <v>15</v>
      </c>
      <c r="H367" s="16">
        <v>1</v>
      </c>
      <c r="I367" s="16">
        <v>5</v>
      </c>
      <c r="J367" s="16">
        <v>1</v>
      </c>
      <c r="K367" s="16">
        <v>0</v>
      </c>
      <c r="L367" s="16">
        <v>103</v>
      </c>
      <c r="M367" s="16">
        <v>4</v>
      </c>
      <c r="N367" s="16">
        <v>2</v>
      </c>
      <c r="O367" s="16">
        <v>1</v>
      </c>
      <c r="P367" s="16">
        <v>15</v>
      </c>
      <c r="Q367" s="16">
        <v>67</v>
      </c>
      <c r="R367" s="16">
        <v>78</v>
      </c>
      <c r="S367" s="16">
        <v>7</v>
      </c>
      <c r="T367" s="16">
        <v>64</v>
      </c>
      <c r="U367" s="16">
        <v>17</v>
      </c>
      <c r="V367" s="16">
        <v>39</v>
      </c>
      <c r="W367" s="16">
        <v>1</v>
      </c>
      <c r="X367" s="16">
        <v>262</v>
      </c>
      <c r="Y367" s="16">
        <v>234</v>
      </c>
      <c r="Z367" s="16">
        <v>356</v>
      </c>
      <c r="AA367" s="16">
        <v>8</v>
      </c>
      <c r="AB367" s="16">
        <v>0</v>
      </c>
      <c r="AC367" s="16">
        <v>0</v>
      </c>
      <c r="AD367" s="16">
        <v>0</v>
      </c>
      <c r="AE367" s="16">
        <v>5</v>
      </c>
      <c r="AF367" s="16">
        <v>16</v>
      </c>
      <c r="AG367" s="16">
        <v>379</v>
      </c>
      <c r="AH367" s="16">
        <v>264</v>
      </c>
      <c r="AI367" s="16">
        <v>71</v>
      </c>
      <c r="AJ367" s="16">
        <v>441</v>
      </c>
      <c r="AK367" s="16">
        <v>143</v>
      </c>
      <c r="AL367" s="16">
        <v>19</v>
      </c>
      <c r="AM367" s="16">
        <v>49</v>
      </c>
      <c r="AN367" s="16">
        <v>29</v>
      </c>
      <c r="AO367" s="16">
        <v>62</v>
      </c>
      <c r="AP367" s="16">
        <v>5</v>
      </c>
      <c r="AQ367" s="16">
        <v>16</v>
      </c>
      <c r="AR367" s="16">
        <v>0</v>
      </c>
      <c r="AS367" s="16">
        <v>1</v>
      </c>
      <c r="AT367" s="16">
        <v>18</v>
      </c>
      <c r="AU367" s="16">
        <v>29</v>
      </c>
      <c r="AV367" s="16">
        <v>39</v>
      </c>
      <c r="AW367" s="16">
        <v>177</v>
      </c>
      <c r="AX367" s="16">
        <v>38</v>
      </c>
      <c r="AY367" s="16">
        <v>14</v>
      </c>
      <c r="AZ367" s="16">
        <v>78</v>
      </c>
      <c r="BA367" s="16">
        <v>72</v>
      </c>
      <c r="BB367" s="16">
        <v>36</v>
      </c>
      <c r="BC367" s="16">
        <v>545</v>
      </c>
      <c r="BD367" s="16">
        <v>6</v>
      </c>
      <c r="BE367" s="16">
        <v>60</v>
      </c>
      <c r="BF367" s="16">
        <v>100</v>
      </c>
      <c r="BG367" s="16">
        <v>75</v>
      </c>
      <c r="BH367" s="16">
        <v>115</v>
      </c>
      <c r="BI367" s="16">
        <v>43</v>
      </c>
      <c r="BJ367" s="16">
        <v>11</v>
      </c>
      <c r="BK367" s="16">
        <v>34</v>
      </c>
      <c r="BL367" s="16">
        <v>205</v>
      </c>
      <c r="BM367" s="16">
        <v>51</v>
      </c>
      <c r="BN367" s="16">
        <v>123</v>
      </c>
      <c r="BO367" s="16">
        <v>208</v>
      </c>
      <c r="BP367" s="16">
        <v>464</v>
      </c>
      <c r="BQ367" s="16">
        <v>56</v>
      </c>
      <c r="BR367" s="16">
        <v>23</v>
      </c>
      <c r="BS367" s="16">
        <v>268</v>
      </c>
      <c r="BT367" s="16">
        <v>4</v>
      </c>
      <c r="BU367" s="16">
        <v>1</v>
      </c>
      <c r="BV367" s="16">
        <v>0</v>
      </c>
      <c r="BW367" s="16">
        <v>61</v>
      </c>
      <c r="BX367" s="16">
        <v>21</v>
      </c>
      <c r="BY367" s="16">
        <v>0</v>
      </c>
      <c r="BZ367" s="16">
        <v>51</v>
      </c>
      <c r="CA367" s="16">
        <v>16</v>
      </c>
      <c r="CB367" s="16">
        <v>6</v>
      </c>
      <c r="CC367" s="16">
        <v>261</v>
      </c>
      <c r="CD367" s="16">
        <v>63</v>
      </c>
      <c r="CE367" s="16">
        <v>30</v>
      </c>
      <c r="CF367" s="16">
        <v>231</v>
      </c>
      <c r="CG367" s="16">
        <v>75</v>
      </c>
      <c r="CH367" s="16">
        <v>72</v>
      </c>
      <c r="CI367" s="16">
        <v>4</v>
      </c>
      <c r="CJ367" s="16">
        <v>71</v>
      </c>
      <c r="CK367" s="16">
        <v>130</v>
      </c>
      <c r="CL367" s="16">
        <v>82</v>
      </c>
      <c r="CM367" s="16">
        <v>118</v>
      </c>
      <c r="CN367" s="16">
        <v>24</v>
      </c>
      <c r="CO367" s="16">
        <v>49</v>
      </c>
      <c r="CP367" s="16">
        <v>70</v>
      </c>
      <c r="CQ367" s="16">
        <v>862</v>
      </c>
      <c r="CR367" s="16">
        <v>53</v>
      </c>
      <c r="CS367" s="16">
        <v>70</v>
      </c>
      <c r="CT367" s="16">
        <v>72</v>
      </c>
      <c r="CU367" s="16">
        <v>238</v>
      </c>
      <c r="CV367" s="16">
        <v>112</v>
      </c>
      <c r="CW367" s="16">
        <v>208</v>
      </c>
      <c r="CX367" s="16">
        <v>249</v>
      </c>
      <c r="CY367" s="16">
        <v>28</v>
      </c>
      <c r="CZ367" s="16">
        <v>43</v>
      </c>
      <c r="DA367" s="16">
        <v>7</v>
      </c>
      <c r="DB367" s="16">
        <v>34</v>
      </c>
      <c r="DC367" s="16">
        <v>12</v>
      </c>
      <c r="DD367" s="16">
        <v>38</v>
      </c>
      <c r="DE367" s="16">
        <v>23</v>
      </c>
      <c r="DF367" s="16">
        <v>98</v>
      </c>
      <c r="DG367" s="16">
        <v>104</v>
      </c>
      <c r="DH367" s="16">
        <v>138</v>
      </c>
      <c r="DI367" s="16">
        <v>29</v>
      </c>
      <c r="DJ367" s="16">
        <v>483</v>
      </c>
      <c r="DK367" s="16">
        <v>40</v>
      </c>
      <c r="DL367" s="16">
        <v>40</v>
      </c>
      <c r="DM367" s="16">
        <v>696</v>
      </c>
      <c r="DN367" s="16">
        <v>49</v>
      </c>
      <c r="DO367" s="16">
        <v>98</v>
      </c>
      <c r="DP367" s="16">
        <v>89</v>
      </c>
      <c r="DQ367" s="16">
        <v>25</v>
      </c>
      <c r="DR367" s="16">
        <v>135</v>
      </c>
      <c r="DS367" s="16">
        <v>315</v>
      </c>
      <c r="DT367" s="16">
        <v>41</v>
      </c>
      <c r="DU367" s="16">
        <v>48</v>
      </c>
      <c r="DV367" s="16">
        <v>197</v>
      </c>
      <c r="DW367" s="16">
        <v>297</v>
      </c>
      <c r="DX367" s="16">
        <v>222</v>
      </c>
      <c r="DY367" s="16">
        <v>300</v>
      </c>
      <c r="DZ367" s="16">
        <v>1200</v>
      </c>
      <c r="EA367" s="16">
        <v>381</v>
      </c>
      <c r="EB367" s="16">
        <v>67</v>
      </c>
      <c r="EC367" s="16">
        <v>119</v>
      </c>
      <c r="ED367" s="16">
        <v>31</v>
      </c>
      <c r="EE367" s="16">
        <v>9</v>
      </c>
      <c r="EF367" s="16">
        <v>12</v>
      </c>
      <c r="EG367" s="16">
        <v>105</v>
      </c>
      <c r="EH367" s="16">
        <v>13</v>
      </c>
      <c r="EI367" s="16">
        <v>144</v>
      </c>
      <c r="EJ367" s="16">
        <v>31</v>
      </c>
      <c r="EK367" s="16">
        <v>41</v>
      </c>
      <c r="EL367" s="16">
        <v>23</v>
      </c>
      <c r="EM367" s="16">
        <v>34</v>
      </c>
      <c r="EN367" s="16">
        <v>211</v>
      </c>
      <c r="EO367" s="16">
        <v>133</v>
      </c>
      <c r="EP367" s="16">
        <v>31</v>
      </c>
      <c r="EQ367" s="16">
        <v>85</v>
      </c>
      <c r="ER367" s="16">
        <v>21</v>
      </c>
      <c r="ES367" s="16">
        <v>90</v>
      </c>
      <c r="ET367" s="16">
        <v>89</v>
      </c>
      <c r="EU367" s="16">
        <v>2</v>
      </c>
      <c r="EV367" s="16">
        <v>8</v>
      </c>
      <c r="EW367" s="16">
        <v>12</v>
      </c>
      <c r="EX367" s="16">
        <v>462</v>
      </c>
      <c r="EY367" s="16">
        <v>152</v>
      </c>
      <c r="EZ367" s="16">
        <v>168</v>
      </c>
      <c r="FA367" s="16">
        <v>106</v>
      </c>
      <c r="FB367" s="16">
        <v>354</v>
      </c>
      <c r="FC367" s="16">
        <v>22</v>
      </c>
      <c r="FD367" s="16">
        <v>354</v>
      </c>
      <c r="FE367" s="16">
        <v>418</v>
      </c>
      <c r="FF367" s="16">
        <v>122</v>
      </c>
      <c r="FG367" s="16">
        <v>376</v>
      </c>
      <c r="FH367" s="16">
        <v>5</v>
      </c>
      <c r="FI367" s="16">
        <v>200</v>
      </c>
      <c r="FJ367" s="16">
        <v>14</v>
      </c>
      <c r="FK367" s="16">
        <v>292</v>
      </c>
      <c r="FL367" s="16">
        <v>14</v>
      </c>
      <c r="FM367" s="16">
        <v>137</v>
      </c>
      <c r="FN367" s="16">
        <v>203</v>
      </c>
      <c r="FO367" s="16">
        <v>137</v>
      </c>
      <c r="FP367" s="16">
        <v>222</v>
      </c>
      <c r="FQ367" s="16">
        <v>670</v>
      </c>
      <c r="FR367" s="16">
        <v>300</v>
      </c>
      <c r="FS367" s="16">
        <v>170</v>
      </c>
      <c r="FT367" s="16">
        <v>73</v>
      </c>
      <c r="FU367" s="16">
        <v>585</v>
      </c>
      <c r="FV367" s="16">
        <v>275</v>
      </c>
      <c r="FW367" s="16">
        <v>576</v>
      </c>
      <c r="FX367" s="16">
        <v>739</v>
      </c>
      <c r="FY367" s="16">
        <v>69</v>
      </c>
      <c r="FZ367" s="16">
        <v>174</v>
      </c>
      <c r="GA367" s="16">
        <v>49</v>
      </c>
      <c r="GB367" s="16">
        <v>867</v>
      </c>
      <c r="GC367" s="16">
        <v>106</v>
      </c>
      <c r="GD367" s="16">
        <v>194</v>
      </c>
      <c r="GE367" s="16">
        <v>15</v>
      </c>
      <c r="GF367" s="16">
        <v>69</v>
      </c>
      <c r="GG367" s="16">
        <v>12</v>
      </c>
      <c r="GH367" s="16">
        <v>302</v>
      </c>
      <c r="GI367" s="16">
        <v>319</v>
      </c>
      <c r="GJ367" s="16">
        <v>112</v>
      </c>
      <c r="GK367" s="16">
        <v>66</v>
      </c>
      <c r="GL367" s="16">
        <v>4</v>
      </c>
      <c r="GM367" s="16">
        <v>99</v>
      </c>
      <c r="GN367" s="16">
        <v>12</v>
      </c>
      <c r="GO367" s="16">
        <v>74</v>
      </c>
      <c r="GP367" s="16">
        <v>243</v>
      </c>
      <c r="GQ367" s="16">
        <v>12</v>
      </c>
      <c r="GR367" s="16">
        <v>80</v>
      </c>
      <c r="GS367" s="16">
        <v>37</v>
      </c>
      <c r="GT367" s="16">
        <v>53</v>
      </c>
      <c r="GU367" s="16">
        <v>199</v>
      </c>
      <c r="GV367" s="16">
        <v>191</v>
      </c>
      <c r="GW367" s="16">
        <v>179</v>
      </c>
      <c r="GX367" s="16">
        <v>58</v>
      </c>
      <c r="GY367" s="16">
        <v>1</v>
      </c>
      <c r="GZ367" s="16">
        <v>140</v>
      </c>
      <c r="HA367" s="16">
        <v>53</v>
      </c>
      <c r="HB367" s="16">
        <v>55</v>
      </c>
      <c r="HC367" s="16">
        <v>193</v>
      </c>
      <c r="HD367" s="16">
        <v>277</v>
      </c>
      <c r="HE367" s="16">
        <v>221</v>
      </c>
      <c r="HF367" s="16">
        <v>311</v>
      </c>
      <c r="HG367" s="16">
        <v>28</v>
      </c>
      <c r="HH367" s="16">
        <v>39</v>
      </c>
      <c r="HI367" s="16">
        <v>132</v>
      </c>
      <c r="HJ367" s="16">
        <v>32</v>
      </c>
      <c r="HK367" s="16">
        <v>147</v>
      </c>
      <c r="HL367" s="16">
        <v>447</v>
      </c>
      <c r="HM367" s="16">
        <v>82</v>
      </c>
      <c r="HN367" s="16">
        <v>1019</v>
      </c>
      <c r="HO367" s="16">
        <v>93</v>
      </c>
      <c r="HP367" s="16">
        <v>73</v>
      </c>
      <c r="HQ367" s="16">
        <v>407</v>
      </c>
      <c r="HR367" s="16">
        <v>486</v>
      </c>
      <c r="HS367" s="16">
        <v>148</v>
      </c>
      <c r="HT367" s="16">
        <v>12</v>
      </c>
      <c r="HU367" s="16">
        <v>364</v>
      </c>
      <c r="HV367" s="16">
        <v>77</v>
      </c>
      <c r="HW367" s="16">
        <v>192</v>
      </c>
      <c r="HX367" s="16">
        <v>133</v>
      </c>
      <c r="HY367" s="16">
        <v>315</v>
      </c>
      <c r="HZ367" s="16">
        <v>366</v>
      </c>
      <c r="IA367" s="16">
        <v>105</v>
      </c>
      <c r="IB367" s="16">
        <v>28</v>
      </c>
      <c r="IC367" s="16">
        <v>36</v>
      </c>
      <c r="ID367" s="16">
        <v>27</v>
      </c>
      <c r="IE367" s="16">
        <v>19</v>
      </c>
      <c r="IF367" s="16">
        <v>36</v>
      </c>
      <c r="IG367" s="16">
        <v>145</v>
      </c>
      <c r="IH367" s="16">
        <v>372</v>
      </c>
      <c r="II367" s="16">
        <v>34</v>
      </c>
      <c r="IJ367" s="16">
        <v>2</v>
      </c>
      <c r="IK367" s="16">
        <v>2</v>
      </c>
      <c r="IL367" s="16">
        <v>15</v>
      </c>
      <c r="IM367" s="16">
        <v>4</v>
      </c>
      <c r="IN367" s="16">
        <v>821</v>
      </c>
      <c r="IO367" s="16">
        <v>762</v>
      </c>
      <c r="IP367" s="16">
        <v>137</v>
      </c>
      <c r="IQ367" s="16">
        <v>94</v>
      </c>
      <c r="IR367" s="16">
        <v>53</v>
      </c>
      <c r="IS367" s="16">
        <v>54</v>
      </c>
      <c r="IT367" s="16">
        <v>11</v>
      </c>
      <c r="IU367" s="16">
        <v>3</v>
      </c>
      <c r="IV367" s="16">
        <v>87</v>
      </c>
      <c r="IW367" s="16">
        <v>154</v>
      </c>
      <c r="IX367" s="16">
        <v>94</v>
      </c>
      <c r="IY367" s="16">
        <v>15</v>
      </c>
      <c r="IZ367" s="16">
        <v>12</v>
      </c>
      <c r="JA367" s="16">
        <v>45</v>
      </c>
      <c r="JB367" s="16">
        <v>7</v>
      </c>
      <c r="JC367" s="16">
        <v>7</v>
      </c>
      <c r="JD367" s="16">
        <v>17</v>
      </c>
      <c r="JE367" s="16">
        <v>138</v>
      </c>
      <c r="JF367" s="16">
        <v>44</v>
      </c>
      <c r="JG367" s="16">
        <v>4047</v>
      </c>
      <c r="JH367" s="16">
        <v>188</v>
      </c>
      <c r="JI367" s="16">
        <v>85</v>
      </c>
      <c r="JJ367" s="16">
        <v>79</v>
      </c>
      <c r="JK367" s="16">
        <v>95</v>
      </c>
      <c r="JL367" s="16">
        <v>27</v>
      </c>
      <c r="JM367" s="16">
        <v>43</v>
      </c>
      <c r="JN367" s="16">
        <v>140</v>
      </c>
      <c r="JO367" s="16">
        <v>9</v>
      </c>
      <c r="JP367" s="16">
        <v>89</v>
      </c>
      <c r="JQ367" s="16">
        <v>86</v>
      </c>
      <c r="JR367" s="16">
        <v>275</v>
      </c>
      <c r="JS367" s="16">
        <v>105</v>
      </c>
      <c r="JT367" s="16">
        <v>0</v>
      </c>
      <c r="JU367" s="16">
        <v>1258</v>
      </c>
      <c r="JV367" s="16">
        <v>851</v>
      </c>
      <c r="JW367" s="16">
        <v>1439</v>
      </c>
      <c r="JX367" s="16">
        <v>1641</v>
      </c>
      <c r="JY367" s="16">
        <v>912</v>
      </c>
      <c r="JZ367" s="16">
        <v>39</v>
      </c>
      <c r="KA367" s="16">
        <v>90</v>
      </c>
      <c r="KB367" s="16">
        <v>64</v>
      </c>
      <c r="KC367" s="16">
        <v>55</v>
      </c>
      <c r="KD367" s="16">
        <v>1</v>
      </c>
      <c r="KE367" s="16">
        <v>15</v>
      </c>
      <c r="KF367" s="16">
        <v>131</v>
      </c>
      <c r="KG367" s="16">
        <v>79</v>
      </c>
      <c r="KH367" s="16">
        <v>45</v>
      </c>
      <c r="KI367" s="16">
        <v>53</v>
      </c>
      <c r="KJ367" s="16">
        <v>14</v>
      </c>
      <c r="KK367" s="16">
        <v>14653</v>
      </c>
      <c r="KL367" s="16">
        <v>26</v>
      </c>
      <c r="KM367" s="16">
        <v>308</v>
      </c>
      <c r="KN367" s="16">
        <v>126</v>
      </c>
      <c r="KO367" s="16">
        <v>174</v>
      </c>
      <c r="KP367" s="16">
        <v>46</v>
      </c>
      <c r="KQ367" s="16">
        <v>222</v>
      </c>
      <c r="KR367" s="16">
        <v>644</v>
      </c>
      <c r="KS367" s="16">
        <v>11</v>
      </c>
      <c r="KT367" s="16">
        <v>25</v>
      </c>
      <c r="KU367" s="16">
        <v>675</v>
      </c>
      <c r="KV367" s="16">
        <v>1770</v>
      </c>
      <c r="KW367" s="16">
        <v>2250</v>
      </c>
      <c r="KX367" s="16">
        <v>11</v>
      </c>
      <c r="KY367" s="16">
        <v>466</v>
      </c>
      <c r="KZ367" s="16">
        <v>5179</v>
      </c>
      <c r="LA367" s="16">
        <v>1022</v>
      </c>
      <c r="LB367" s="16">
        <v>233</v>
      </c>
      <c r="LC367" s="16">
        <v>201</v>
      </c>
      <c r="LD367" s="16">
        <v>530</v>
      </c>
      <c r="LE367" s="16">
        <v>471</v>
      </c>
      <c r="LF367" s="16">
        <v>412</v>
      </c>
      <c r="LG367" s="16">
        <v>204</v>
      </c>
      <c r="LH367" s="16">
        <v>302</v>
      </c>
      <c r="LI367" s="16">
        <v>157</v>
      </c>
      <c r="LJ367" s="16">
        <v>944</v>
      </c>
      <c r="LK367" s="16">
        <v>783</v>
      </c>
      <c r="LL367" s="16">
        <v>1898</v>
      </c>
      <c r="LM367" s="16">
        <v>8723</v>
      </c>
      <c r="LN367" s="16">
        <v>1579</v>
      </c>
      <c r="LO367" s="16">
        <v>743</v>
      </c>
      <c r="LP367" s="16">
        <v>379</v>
      </c>
      <c r="LQ367" s="16">
        <v>115</v>
      </c>
      <c r="LR367" s="16">
        <v>3301</v>
      </c>
      <c r="LS367" s="16">
        <v>227</v>
      </c>
      <c r="LT367" s="16">
        <v>1926</v>
      </c>
      <c r="LU367" s="16">
        <v>1800</v>
      </c>
      <c r="LV367" s="16">
        <v>8</v>
      </c>
      <c r="LW367" s="16">
        <v>3628</v>
      </c>
      <c r="LX367" s="16">
        <v>2121</v>
      </c>
      <c r="LY367" s="16">
        <v>0</v>
      </c>
      <c r="LZ367" s="16">
        <v>6251</v>
      </c>
      <c r="MA367" s="16">
        <v>6651</v>
      </c>
      <c r="MB367" s="16">
        <v>1856</v>
      </c>
      <c r="MC367" s="16">
        <v>1423</v>
      </c>
      <c r="MD367" s="16">
        <v>836</v>
      </c>
      <c r="ME367" s="16">
        <v>1047</v>
      </c>
      <c r="MF367" s="16">
        <v>1511</v>
      </c>
      <c r="MG367" s="16">
        <v>957</v>
      </c>
      <c r="MH367" s="16">
        <v>10617</v>
      </c>
      <c r="MI367" s="16">
        <v>146</v>
      </c>
      <c r="MJ367" s="16">
        <v>856</v>
      </c>
      <c r="MK367" s="16">
        <v>840</v>
      </c>
      <c r="ML367" s="16">
        <v>2987</v>
      </c>
      <c r="MM367" s="16">
        <v>2289</v>
      </c>
      <c r="MN367" s="16">
        <v>1167</v>
      </c>
      <c r="MO367" s="16">
        <v>806</v>
      </c>
      <c r="MP367" s="16">
        <v>1366</v>
      </c>
      <c r="MQ367" s="16">
        <v>1271</v>
      </c>
      <c r="MR367" s="16">
        <v>979</v>
      </c>
      <c r="MS367" s="16">
        <v>119</v>
      </c>
      <c r="MT367" s="16">
        <v>118</v>
      </c>
      <c r="MU367" s="16">
        <v>540</v>
      </c>
      <c r="MV367" s="16">
        <v>1444</v>
      </c>
      <c r="MW367" s="16">
        <v>4509</v>
      </c>
      <c r="MX367" s="16">
        <v>1</v>
      </c>
      <c r="MY367" s="16">
        <v>369</v>
      </c>
      <c r="MZ367" s="16">
        <v>2423</v>
      </c>
      <c r="NA367" s="16">
        <v>38</v>
      </c>
      <c r="NB367" s="16">
        <v>1326</v>
      </c>
      <c r="NC367" s="16">
        <v>5387</v>
      </c>
      <c r="ND367" s="16">
        <v>254</v>
      </c>
      <c r="NE367" s="16">
        <v>74</v>
      </c>
      <c r="NF367" s="16">
        <v>1120</v>
      </c>
      <c r="NG367" s="16">
        <v>1962</v>
      </c>
      <c r="NH367" s="16">
        <v>1827</v>
      </c>
      <c r="NI367" s="16">
        <v>2881</v>
      </c>
      <c r="NJ367" s="16">
        <v>1938</v>
      </c>
      <c r="NK367" s="16">
        <v>918</v>
      </c>
      <c r="NL367" s="16">
        <v>803</v>
      </c>
      <c r="NM367" s="16">
        <v>884</v>
      </c>
      <c r="NN367" s="16">
        <v>114</v>
      </c>
      <c r="NO367" s="16">
        <v>0</v>
      </c>
      <c r="NP367" s="16">
        <v>306</v>
      </c>
      <c r="NQ367" s="16">
        <v>292</v>
      </c>
      <c r="NR367" s="17">
        <v>179305</v>
      </c>
    </row>
    <row r="368" spans="1:382" ht="13.5" customHeight="1" x14ac:dyDescent="0.2">
      <c r="A368" s="2" t="s">
        <v>743</v>
      </c>
      <c r="B368" s="16">
        <v>110</v>
      </c>
      <c r="C368" s="16">
        <v>5</v>
      </c>
      <c r="D368" s="16">
        <v>41</v>
      </c>
      <c r="E368" s="16">
        <v>34</v>
      </c>
      <c r="F368" s="16">
        <v>282</v>
      </c>
      <c r="G368" s="16">
        <v>133</v>
      </c>
      <c r="H368" s="16">
        <v>23</v>
      </c>
      <c r="I368" s="16">
        <v>51</v>
      </c>
      <c r="J368" s="16">
        <v>2</v>
      </c>
      <c r="K368" s="16">
        <v>0</v>
      </c>
      <c r="L368" s="16">
        <v>6</v>
      </c>
      <c r="M368" s="16">
        <v>22</v>
      </c>
      <c r="N368" s="16">
        <v>0</v>
      </c>
      <c r="O368" s="16">
        <v>7</v>
      </c>
      <c r="P368" s="16">
        <v>54</v>
      </c>
      <c r="Q368" s="16">
        <v>85</v>
      </c>
      <c r="R368" s="16">
        <v>68</v>
      </c>
      <c r="S368" s="16">
        <v>12</v>
      </c>
      <c r="T368" s="16">
        <v>10</v>
      </c>
      <c r="U368" s="16">
        <v>2</v>
      </c>
      <c r="V368" s="16">
        <v>17</v>
      </c>
      <c r="W368" s="16">
        <v>4</v>
      </c>
      <c r="X368" s="16">
        <v>116</v>
      </c>
      <c r="Y368" s="16">
        <v>79</v>
      </c>
      <c r="Z368" s="16">
        <v>68</v>
      </c>
      <c r="AA368" s="16">
        <v>1</v>
      </c>
      <c r="AB368" s="16">
        <v>0</v>
      </c>
      <c r="AC368" s="16">
        <v>0</v>
      </c>
      <c r="AD368" s="16">
        <v>0</v>
      </c>
      <c r="AE368" s="16">
        <v>0</v>
      </c>
      <c r="AF368" s="16">
        <v>0</v>
      </c>
      <c r="AG368" s="16">
        <v>90</v>
      </c>
      <c r="AH368" s="16">
        <v>82</v>
      </c>
      <c r="AI368" s="16">
        <v>14</v>
      </c>
      <c r="AJ368" s="16">
        <v>90</v>
      </c>
      <c r="AK368" s="16">
        <v>15</v>
      </c>
      <c r="AL368" s="16">
        <v>10</v>
      </c>
      <c r="AM368" s="16">
        <v>42</v>
      </c>
      <c r="AN368" s="16">
        <v>34</v>
      </c>
      <c r="AO368" s="16">
        <v>16</v>
      </c>
      <c r="AP368" s="16">
        <v>15</v>
      </c>
      <c r="AQ368" s="16">
        <v>9</v>
      </c>
      <c r="AR368" s="16">
        <v>0</v>
      </c>
      <c r="AS368" s="16">
        <v>14</v>
      </c>
      <c r="AT368" s="16">
        <v>9</v>
      </c>
      <c r="AU368" s="16">
        <v>48</v>
      </c>
      <c r="AV368" s="16">
        <v>15</v>
      </c>
      <c r="AW368" s="16">
        <v>33</v>
      </c>
      <c r="AX368" s="16">
        <v>7</v>
      </c>
      <c r="AY368" s="16">
        <v>14</v>
      </c>
      <c r="AZ368" s="16">
        <v>14</v>
      </c>
      <c r="BA368" s="16">
        <v>7</v>
      </c>
      <c r="BB368" s="16">
        <v>20</v>
      </c>
      <c r="BC368" s="16">
        <v>57</v>
      </c>
      <c r="BD368" s="16">
        <v>5</v>
      </c>
      <c r="BE368" s="16">
        <v>32</v>
      </c>
      <c r="BF368" s="16">
        <v>45</v>
      </c>
      <c r="BG368" s="16">
        <v>27</v>
      </c>
      <c r="BH368" s="16">
        <v>32</v>
      </c>
      <c r="BI368" s="16">
        <v>50</v>
      </c>
      <c r="BJ368" s="16">
        <v>18</v>
      </c>
      <c r="BK368" s="16">
        <v>11</v>
      </c>
      <c r="BL368" s="16">
        <v>89</v>
      </c>
      <c r="BM368" s="16">
        <v>10</v>
      </c>
      <c r="BN368" s="16">
        <v>81</v>
      </c>
      <c r="BO368" s="16">
        <v>56</v>
      </c>
      <c r="BP368" s="16">
        <v>116</v>
      </c>
      <c r="BQ368" s="16">
        <v>65</v>
      </c>
      <c r="BR368" s="16">
        <v>55</v>
      </c>
      <c r="BS368" s="16">
        <v>147</v>
      </c>
      <c r="BT368" s="16">
        <v>4</v>
      </c>
      <c r="BU368" s="16">
        <v>2</v>
      </c>
      <c r="BV368" s="16">
        <v>1</v>
      </c>
      <c r="BW368" s="16">
        <v>44</v>
      </c>
      <c r="BX368" s="16">
        <v>6</v>
      </c>
      <c r="BY368" s="16">
        <v>0</v>
      </c>
      <c r="BZ368" s="16">
        <v>14</v>
      </c>
      <c r="CA368" s="16">
        <v>16</v>
      </c>
      <c r="CB368" s="16">
        <v>3</v>
      </c>
      <c r="CC368" s="16">
        <v>34</v>
      </c>
      <c r="CD368" s="16">
        <v>8</v>
      </c>
      <c r="CE368" s="16">
        <v>7</v>
      </c>
      <c r="CF368" s="16">
        <v>47</v>
      </c>
      <c r="CG368" s="16">
        <v>19</v>
      </c>
      <c r="CH368" s="16">
        <v>9</v>
      </c>
      <c r="CI368" s="16">
        <v>7</v>
      </c>
      <c r="CJ368" s="16">
        <v>42</v>
      </c>
      <c r="CK368" s="16">
        <v>47</v>
      </c>
      <c r="CL368" s="16">
        <v>49</v>
      </c>
      <c r="CM368" s="16">
        <v>39</v>
      </c>
      <c r="CN368" s="16">
        <v>9</v>
      </c>
      <c r="CO368" s="16">
        <v>37</v>
      </c>
      <c r="CP368" s="16">
        <v>47</v>
      </c>
      <c r="CQ368" s="16">
        <v>207</v>
      </c>
      <c r="CR368" s="16">
        <v>15</v>
      </c>
      <c r="CS368" s="16">
        <v>33</v>
      </c>
      <c r="CT368" s="16">
        <v>16</v>
      </c>
      <c r="CU368" s="16">
        <v>47</v>
      </c>
      <c r="CV368" s="16">
        <v>35</v>
      </c>
      <c r="CW368" s="16">
        <v>73</v>
      </c>
      <c r="CX368" s="16">
        <v>62</v>
      </c>
      <c r="CY368" s="16">
        <v>9</v>
      </c>
      <c r="CZ368" s="16">
        <v>24</v>
      </c>
      <c r="DA368" s="16">
        <v>10</v>
      </c>
      <c r="DB368" s="16">
        <v>11</v>
      </c>
      <c r="DC368" s="16">
        <v>32</v>
      </c>
      <c r="DD368" s="16">
        <v>41</v>
      </c>
      <c r="DE368" s="16">
        <v>35</v>
      </c>
      <c r="DF368" s="16">
        <v>45</v>
      </c>
      <c r="DG368" s="16">
        <v>41</v>
      </c>
      <c r="DH368" s="16">
        <v>87</v>
      </c>
      <c r="DI368" s="16">
        <v>11</v>
      </c>
      <c r="DJ368" s="16">
        <v>236</v>
      </c>
      <c r="DK368" s="16">
        <v>22</v>
      </c>
      <c r="DL368" s="16">
        <v>25</v>
      </c>
      <c r="DM368" s="16">
        <v>648</v>
      </c>
      <c r="DN368" s="16">
        <v>21</v>
      </c>
      <c r="DO368" s="16">
        <v>28</v>
      </c>
      <c r="DP368" s="16">
        <v>49</v>
      </c>
      <c r="DQ368" s="16">
        <v>10</v>
      </c>
      <c r="DR368" s="16">
        <v>56</v>
      </c>
      <c r="DS368" s="16">
        <v>145</v>
      </c>
      <c r="DT368" s="16">
        <v>19</v>
      </c>
      <c r="DU368" s="16">
        <v>16</v>
      </c>
      <c r="DV368" s="16">
        <v>119</v>
      </c>
      <c r="DW368" s="16">
        <v>98</v>
      </c>
      <c r="DX368" s="16">
        <v>182</v>
      </c>
      <c r="DY368" s="16">
        <v>28</v>
      </c>
      <c r="DZ368" s="16">
        <v>76</v>
      </c>
      <c r="EA368" s="16">
        <v>34</v>
      </c>
      <c r="EB368" s="16">
        <v>50</v>
      </c>
      <c r="EC368" s="16">
        <v>57</v>
      </c>
      <c r="ED368" s="16">
        <v>9</v>
      </c>
      <c r="EE368" s="16">
        <v>4</v>
      </c>
      <c r="EF368" s="16">
        <v>12</v>
      </c>
      <c r="EG368" s="16">
        <v>45</v>
      </c>
      <c r="EH368" s="16">
        <v>6</v>
      </c>
      <c r="EI368" s="16">
        <v>60</v>
      </c>
      <c r="EJ368" s="16">
        <v>7</v>
      </c>
      <c r="EK368" s="16">
        <v>24</v>
      </c>
      <c r="EL368" s="16">
        <v>7</v>
      </c>
      <c r="EM368" s="16">
        <v>30</v>
      </c>
      <c r="EN368" s="16">
        <v>69</v>
      </c>
      <c r="EO368" s="16">
        <v>37</v>
      </c>
      <c r="EP368" s="16">
        <v>9</v>
      </c>
      <c r="EQ368" s="16">
        <v>27</v>
      </c>
      <c r="ER368" s="16">
        <v>5</v>
      </c>
      <c r="ES368" s="16">
        <v>9</v>
      </c>
      <c r="ET368" s="16">
        <v>33</v>
      </c>
      <c r="EU368" s="16">
        <v>24</v>
      </c>
      <c r="EV368" s="16">
        <v>2</v>
      </c>
      <c r="EW368" s="16">
        <v>81</v>
      </c>
      <c r="EX368" s="16">
        <v>112</v>
      </c>
      <c r="EY368" s="16">
        <v>34</v>
      </c>
      <c r="EZ368" s="16">
        <v>19</v>
      </c>
      <c r="FA368" s="16">
        <v>46</v>
      </c>
      <c r="FB368" s="16">
        <v>95</v>
      </c>
      <c r="FC368" s="16">
        <v>18</v>
      </c>
      <c r="FD368" s="16">
        <v>34</v>
      </c>
      <c r="FE368" s="16">
        <v>52</v>
      </c>
      <c r="FF368" s="16">
        <v>58</v>
      </c>
      <c r="FG368" s="16">
        <v>51</v>
      </c>
      <c r="FH368" s="16">
        <v>2</v>
      </c>
      <c r="FI368" s="16">
        <v>43</v>
      </c>
      <c r="FJ368" s="16">
        <v>4</v>
      </c>
      <c r="FK368" s="16">
        <v>19</v>
      </c>
      <c r="FL368" s="16">
        <v>21</v>
      </c>
      <c r="FM368" s="16">
        <v>33</v>
      </c>
      <c r="FN368" s="16">
        <v>37</v>
      </c>
      <c r="FO368" s="16">
        <v>24</v>
      </c>
      <c r="FP368" s="16">
        <v>49</v>
      </c>
      <c r="FQ368" s="16">
        <v>68</v>
      </c>
      <c r="FR368" s="16">
        <v>114</v>
      </c>
      <c r="FS368" s="16">
        <v>46</v>
      </c>
      <c r="FT368" s="16">
        <v>60</v>
      </c>
      <c r="FU368" s="16">
        <v>56</v>
      </c>
      <c r="FV368" s="16">
        <v>66</v>
      </c>
      <c r="FW368" s="16">
        <v>120</v>
      </c>
      <c r="FX368" s="16">
        <v>193</v>
      </c>
      <c r="FY368" s="16">
        <v>20</v>
      </c>
      <c r="FZ368" s="16">
        <v>49</v>
      </c>
      <c r="GA368" s="16">
        <v>20</v>
      </c>
      <c r="GB368" s="16">
        <v>351</v>
      </c>
      <c r="GC368" s="16">
        <v>28</v>
      </c>
      <c r="GD368" s="16">
        <v>158</v>
      </c>
      <c r="GE368" s="16">
        <v>15</v>
      </c>
      <c r="GF368" s="16">
        <v>420</v>
      </c>
      <c r="GG368" s="16">
        <v>14</v>
      </c>
      <c r="GH368" s="16">
        <v>291</v>
      </c>
      <c r="GI368" s="16">
        <v>105</v>
      </c>
      <c r="GJ368" s="16">
        <v>39</v>
      </c>
      <c r="GK368" s="16">
        <v>94</v>
      </c>
      <c r="GL368" s="16">
        <v>14</v>
      </c>
      <c r="GM368" s="16">
        <v>163</v>
      </c>
      <c r="GN368" s="16">
        <v>34</v>
      </c>
      <c r="GO368" s="16">
        <v>36</v>
      </c>
      <c r="GP368" s="16">
        <v>198</v>
      </c>
      <c r="GQ368" s="16">
        <v>4</v>
      </c>
      <c r="GR368" s="16">
        <v>27</v>
      </c>
      <c r="GS368" s="16">
        <v>44</v>
      </c>
      <c r="GT368" s="16">
        <v>18</v>
      </c>
      <c r="GU368" s="16">
        <v>86</v>
      </c>
      <c r="GV368" s="16">
        <v>74</v>
      </c>
      <c r="GW368" s="16">
        <v>52</v>
      </c>
      <c r="GX368" s="16">
        <v>34</v>
      </c>
      <c r="GY368" s="16">
        <v>2</v>
      </c>
      <c r="GZ368" s="16">
        <v>70</v>
      </c>
      <c r="HA368" s="16">
        <v>26</v>
      </c>
      <c r="HB368" s="16">
        <v>28</v>
      </c>
      <c r="HC368" s="16">
        <v>93</v>
      </c>
      <c r="HD368" s="16">
        <v>92</v>
      </c>
      <c r="HE368" s="16">
        <v>35</v>
      </c>
      <c r="HF368" s="16">
        <v>83</v>
      </c>
      <c r="HG368" s="16">
        <v>34</v>
      </c>
      <c r="HH368" s="16">
        <v>33</v>
      </c>
      <c r="HI368" s="16">
        <v>77</v>
      </c>
      <c r="HJ368" s="16">
        <v>9</v>
      </c>
      <c r="HK368" s="16">
        <v>49</v>
      </c>
      <c r="HL368" s="16">
        <v>95</v>
      </c>
      <c r="HM368" s="16">
        <v>40</v>
      </c>
      <c r="HN368" s="16">
        <v>93</v>
      </c>
      <c r="HO368" s="16">
        <v>47</v>
      </c>
      <c r="HP368" s="16">
        <v>47</v>
      </c>
      <c r="HQ368" s="16">
        <v>105</v>
      </c>
      <c r="HR368" s="16">
        <v>109</v>
      </c>
      <c r="HS368" s="16">
        <v>69</v>
      </c>
      <c r="HT368" s="16">
        <v>15</v>
      </c>
      <c r="HU368" s="16">
        <v>84</v>
      </c>
      <c r="HV368" s="16">
        <v>25</v>
      </c>
      <c r="HW368" s="16">
        <v>69</v>
      </c>
      <c r="HX368" s="16">
        <v>112</v>
      </c>
      <c r="HY368" s="16">
        <v>128</v>
      </c>
      <c r="HZ368" s="16">
        <v>168</v>
      </c>
      <c r="IA368" s="16">
        <v>37</v>
      </c>
      <c r="IB368" s="16">
        <v>6</v>
      </c>
      <c r="IC368" s="16">
        <v>21</v>
      </c>
      <c r="ID368" s="16">
        <v>21</v>
      </c>
      <c r="IE368" s="16">
        <v>3</v>
      </c>
      <c r="IF368" s="16">
        <v>15</v>
      </c>
      <c r="IG368" s="16">
        <v>130</v>
      </c>
      <c r="IH368" s="16">
        <v>188</v>
      </c>
      <c r="II368" s="16">
        <v>14</v>
      </c>
      <c r="IJ368" s="16">
        <v>15</v>
      </c>
      <c r="IK368" s="16">
        <v>24</v>
      </c>
      <c r="IL368" s="16">
        <v>10</v>
      </c>
      <c r="IM368" s="16">
        <v>0</v>
      </c>
      <c r="IN368" s="16">
        <v>41</v>
      </c>
      <c r="IO368" s="16">
        <v>321</v>
      </c>
      <c r="IP368" s="16">
        <v>59</v>
      </c>
      <c r="IQ368" s="16">
        <v>6</v>
      </c>
      <c r="IR368" s="16">
        <v>27</v>
      </c>
      <c r="IS368" s="16">
        <v>8</v>
      </c>
      <c r="IT368" s="16">
        <v>16</v>
      </c>
      <c r="IU368" s="16">
        <v>2</v>
      </c>
      <c r="IV368" s="16">
        <v>4</v>
      </c>
      <c r="IW368" s="16">
        <v>44</v>
      </c>
      <c r="IX368" s="16">
        <v>17</v>
      </c>
      <c r="IY368" s="16">
        <v>37</v>
      </c>
      <c r="IZ368" s="16">
        <v>2</v>
      </c>
      <c r="JA368" s="16">
        <v>15</v>
      </c>
      <c r="JB368" s="16">
        <v>3</v>
      </c>
      <c r="JC368" s="16">
        <v>9</v>
      </c>
      <c r="JD368" s="16">
        <v>8</v>
      </c>
      <c r="JE368" s="16">
        <v>41</v>
      </c>
      <c r="JF368" s="16">
        <v>15</v>
      </c>
      <c r="JG368" s="16">
        <v>1209</v>
      </c>
      <c r="JH368" s="16">
        <v>67</v>
      </c>
      <c r="JI368" s="16">
        <v>13</v>
      </c>
      <c r="JJ368" s="16">
        <v>140</v>
      </c>
      <c r="JK368" s="16">
        <v>94</v>
      </c>
      <c r="JL368" s="16">
        <v>9</v>
      </c>
      <c r="JM368" s="16">
        <v>7</v>
      </c>
      <c r="JN368" s="16">
        <v>145</v>
      </c>
      <c r="JO368" s="16">
        <v>28</v>
      </c>
      <c r="JP368" s="16">
        <v>73</v>
      </c>
      <c r="JQ368" s="16">
        <v>66</v>
      </c>
      <c r="JR368" s="16">
        <v>121</v>
      </c>
      <c r="JS368" s="16">
        <v>33</v>
      </c>
      <c r="JT368" s="16">
        <v>0</v>
      </c>
      <c r="JU368" s="16">
        <v>202</v>
      </c>
      <c r="JV368" s="16">
        <v>313</v>
      </c>
      <c r="JW368" s="16">
        <v>540</v>
      </c>
      <c r="JX368" s="16">
        <v>527</v>
      </c>
      <c r="JY368" s="16">
        <v>164</v>
      </c>
      <c r="JZ368" s="16">
        <v>90</v>
      </c>
      <c r="KA368" s="16">
        <v>14</v>
      </c>
      <c r="KB368" s="16">
        <v>17</v>
      </c>
      <c r="KC368" s="16">
        <v>56</v>
      </c>
      <c r="KD368" s="16">
        <v>43</v>
      </c>
      <c r="KE368" s="16">
        <v>18</v>
      </c>
      <c r="KF368" s="16">
        <v>53</v>
      </c>
      <c r="KG368" s="16">
        <v>17</v>
      </c>
      <c r="KH368" s="16">
        <v>21</v>
      </c>
      <c r="KI368" s="16">
        <v>67</v>
      </c>
      <c r="KJ368" s="16">
        <v>146</v>
      </c>
      <c r="KK368" s="16">
        <v>5537</v>
      </c>
      <c r="KL368" s="16">
        <v>46</v>
      </c>
      <c r="KM368" s="16">
        <v>181</v>
      </c>
      <c r="KN368" s="16">
        <v>252</v>
      </c>
      <c r="KO368" s="16">
        <v>27</v>
      </c>
      <c r="KP368" s="16">
        <v>18</v>
      </c>
      <c r="KQ368" s="16">
        <v>77</v>
      </c>
      <c r="KR368" s="16">
        <v>36</v>
      </c>
      <c r="KS368" s="16">
        <v>42</v>
      </c>
      <c r="KT368" s="16">
        <v>14</v>
      </c>
      <c r="KU368" s="16">
        <v>117</v>
      </c>
      <c r="KV368" s="16">
        <v>75</v>
      </c>
      <c r="KW368" s="16">
        <v>290</v>
      </c>
      <c r="KX368" s="16">
        <v>5</v>
      </c>
      <c r="KY368" s="16">
        <v>57</v>
      </c>
      <c r="KZ368" s="16">
        <v>257</v>
      </c>
      <c r="LA368" s="16">
        <v>35</v>
      </c>
      <c r="LB368" s="16">
        <v>61</v>
      </c>
      <c r="LC368" s="16">
        <v>77</v>
      </c>
      <c r="LD368" s="16">
        <v>190</v>
      </c>
      <c r="LE368" s="16">
        <v>334</v>
      </c>
      <c r="LF368" s="16">
        <v>84</v>
      </c>
      <c r="LG368" s="16">
        <v>50</v>
      </c>
      <c r="LH368" s="16">
        <v>272</v>
      </c>
      <c r="LI368" s="16">
        <v>41472</v>
      </c>
      <c r="LJ368" s="16">
        <v>102661</v>
      </c>
      <c r="LK368" s="16">
        <v>328</v>
      </c>
      <c r="LL368" s="16">
        <v>353</v>
      </c>
      <c r="LM368" s="16">
        <v>1184</v>
      </c>
      <c r="LN368" s="16">
        <v>386</v>
      </c>
      <c r="LO368" s="16">
        <v>236445</v>
      </c>
      <c r="LP368" s="16">
        <v>853349</v>
      </c>
      <c r="LQ368" s="16">
        <v>8</v>
      </c>
      <c r="LR368" s="16">
        <v>8006</v>
      </c>
      <c r="LS368" s="16">
        <v>1435</v>
      </c>
      <c r="LT368" s="16">
        <v>4098</v>
      </c>
      <c r="LU368" s="16">
        <v>401</v>
      </c>
      <c r="LV368" s="16">
        <v>9</v>
      </c>
      <c r="LW368" s="16">
        <v>369</v>
      </c>
      <c r="LX368" s="16">
        <v>440</v>
      </c>
      <c r="LY368" s="16">
        <v>0</v>
      </c>
      <c r="LZ368" s="16">
        <v>2909</v>
      </c>
      <c r="MA368" s="16">
        <v>425</v>
      </c>
      <c r="MB368" s="16">
        <v>241</v>
      </c>
      <c r="MC368" s="16">
        <v>316</v>
      </c>
      <c r="MD368" s="16">
        <v>14</v>
      </c>
      <c r="ME368" s="16">
        <v>84</v>
      </c>
      <c r="MF368" s="16">
        <v>2051</v>
      </c>
      <c r="MG368" s="16">
        <v>326</v>
      </c>
      <c r="MH368" s="16">
        <v>63242</v>
      </c>
      <c r="MI368" s="16">
        <v>167607</v>
      </c>
      <c r="MJ368" s="16">
        <v>511</v>
      </c>
      <c r="MK368" s="16">
        <v>363</v>
      </c>
      <c r="ML368" s="16">
        <v>463</v>
      </c>
      <c r="MM368" s="16">
        <v>468250</v>
      </c>
      <c r="MN368" s="16">
        <v>266</v>
      </c>
      <c r="MO368" s="16">
        <v>160</v>
      </c>
      <c r="MP368" s="16">
        <v>390</v>
      </c>
      <c r="MQ368" s="16">
        <v>9079</v>
      </c>
      <c r="MR368" s="16">
        <v>41927</v>
      </c>
      <c r="MS368" s="16">
        <v>61379</v>
      </c>
      <c r="MT368" s="16">
        <v>2416</v>
      </c>
      <c r="MU368" s="16">
        <v>388276</v>
      </c>
      <c r="MV368" s="16">
        <v>0</v>
      </c>
      <c r="MW368" s="16">
        <v>83</v>
      </c>
      <c r="MX368" s="16">
        <v>3464</v>
      </c>
      <c r="MY368" s="16">
        <v>0</v>
      </c>
      <c r="MZ368" s="16">
        <v>1318</v>
      </c>
      <c r="NA368" s="16">
        <v>34764</v>
      </c>
      <c r="NB368" s="16">
        <v>0</v>
      </c>
      <c r="NC368" s="16">
        <v>47643</v>
      </c>
      <c r="ND368" s="16">
        <v>372799</v>
      </c>
      <c r="NE368" s="16">
        <v>16545</v>
      </c>
      <c r="NF368" s="16">
        <v>142</v>
      </c>
      <c r="NG368" s="16">
        <v>10523</v>
      </c>
      <c r="NH368" s="16">
        <v>37082</v>
      </c>
      <c r="NI368" s="16">
        <v>461</v>
      </c>
      <c r="NJ368" s="16">
        <v>46130</v>
      </c>
      <c r="NK368" s="16">
        <v>234</v>
      </c>
      <c r="NL368" s="16">
        <v>63</v>
      </c>
      <c r="NM368" s="16">
        <v>157</v>
      </c>
      <c r="NN368" s="16">
        <v>66</v>
      </c>
      <c r="NO368" s="16">
        <v>0</v>
      </c>
      <c r="NP368" s="16">
        <v>146</v>
      </c>
      <c r="NQ368" s="16">
        <v>145</v>
      </c>
      <c r="NR368" s="17">
        <v>3059159</v>
      </c>
    </row>
    <row r="369" spans="1:382" ht="13.5" customHeight="1" x14ac:dyDescent="0.2">
      <c r="A369" s="2" t="s">
        <v>745</v>
      </c>
      <c r="B369" s="16">
        <v>85</v>
      </c>
      <c r="C369" s="16">
        <v>3</v>
      </c>
      <c r="D369" s="16">
        <v>40</v>
      </c>
      <c r="E369" s="16">
        <v>34</v>
      </c>
      <c r="F369" s="16">
        <v>225</v>
      </c>
      <c r="G369" s="16">
        <v>93</v>
      </c>
      <c r="H369" s="16">
        <v>5</v>
      </c>
      <c r="I369" s="16">
        <v>41</v>
      </c>
      <c r="J369" s="16">
        <v>1</v>
      </c>
      <c r="K369" s="16">
        <v>0</v>
      </c>
      <c r="L369" s="16">
        <v>110</v>
      </c>
      <c r="M369" s="16">
        <v>20</v>
      </c>
      <c r="N369" s="16">
        <v>0</v>
      </c>
      <c r="O369" s="16">
        <v>4</v>
      </c>
      <c r="P369" s="16">
        <v>60</v>
      </c>
      <c r="Q369" s="16">
        <v>239</v>
      </c>
      <c r="R369" s="16">
        <v>175</v>
      </c>
      <c r="S369" s="16">
        <v>21</v>
      </c>
      <c r="T369" s="16">
        <v>116</v>
      </c>
      <c r="U369" s="16">
        <v>46</v>
      </c>
      <c r="V369" s="16">
        <v>141</v>
      </c>
      <c r="W369" s="16">
        <v>2</v>
      </c>
      <c r="X369" s="16">
        <v>394</v>
      </c>
      <c r="Y369" s="16">
        <v>387</v>
      </c>
      <c r="Z369" s="16">
        <v>704</v>
      </c>
      <c r="AA369" s="16">
        <v>21</v>
      </c>
      <c r="AB369" s="16">
        <v>0</v>
      </c>
      <c r="AC369" s="16">
        <v>0</v>
      </c>
      <c r="AD369" s="16">
        <v>0</v>
      </c>
      <c r="AE369" s="16">
        <v>2</v>
      </c>
      <c r="AF369" s="16">
        <v>0</v>
      </c>
      <c r="AG369" s="16">
        <v>638</v>
      </c>
      <c r="AH369" s="16">
        <v>394</v>
      </c>
      <c r="AI369" s="16">
        <v>156</v>
      </c>
      <c r="AJ369" s="16">
        <v>2746</v>
      </c>
      <c r="AK369" s="16">
        <v>282</v>
      </c>
      <c r="AL369" s="16">
        <v>16</v>
      </c>
      <c r="AM369" s="16">
        <v>95</v>
      </c>
      <c r="AN369" s="16">
        <v>133</v>
      </c>
      <c r="AO369" s="16">
        <v>185</v>
      </c>
      <c r="AP369" s="16">
        <v>14</v>
      </c>
      <c r="AQ369" s="16">
        <v>46</v>
      </c>
      <c r="AR369" s="16">
        <v>0</v>
      </c>
      <c r="AS369" s="16">
        <v>13</v>
      </c>
      <c r="AT369" s="16">
        <v>58</v>
      </c>
      <c r="AU369" s="16">
        <v>56</v>
      </c>
      <c r="AV369" s="16">
        <v>51</v>
      </c>
      <c r="AW369" s="16">
        <v>347</v>
      </c>
      <c r="AX369" s="16">
        <v>62</v>
      </c>
      <c r="AY369" s="16">
        <v>38</v>
      </c>
      <c r="AZ369" s="16">
        <v>139</v>
      </c>
      <c r="BA369" s="16">
        <v>94</v>
      </c>
      <c r="BB369" s="16">
        <v>53</v>
      </c>
      <c r="BC369" s="16">
        <v>1282</v>
      </c>
      <c r="BD369" s="16">
        <v>10</v>
      </c>
      <c r="BE369" s="16">
        <v>112</v>
      </c>
      <c r="BF369" s="16">
        <v>212</v>
      </c>
      <c r="BG369" s="16">
        <v>151</v>
      </c>
      <c r="BH369" s="16">
        <v>217</v>
      </c>
      <c r="BI369" s="16">
        <v>74</v>
      </c>
      <c r="BJ369" s="16">
        <v>19</v>
      </c>
      <c r="BK369" s="16">
        <v>59</v>
      </c>
      <c r="BL369" s="16">
        <v>425</v>
      </c>
      <c r="BM369" s="16">
        <v>109</v>
      </c>
      <c r="BN369" s="16">
        <v>203</v>
      </c>
      <c r="BO369" s="16">
        <v>501</v>
      </c>
      <c r="BP369" s="16">
        <v>981</v>
      </c>
      <c r="BQ369" s="16">
        <v>75</v>
      </c>
      <c r="BR369" s="16">
        <v>30</v>
      </c>
      <c r="BS369" s="16">
        <v>601</v>
      </c>
      <c r="BT369" s="16">
        <v>4</v>
      </c>
      <c r="BU369" s="16">
        <v>1</v>
      </c>
      <c r="BV369" s="16">
        <v>0</v>
      </c>
      <c r="BW369" s="16">
        <v>83</v>
      </c>
      <c r="BX369" s="16">
        <v>21</v>
      </c>
      <c r="BY369" s="16">
        <v>0</v>
      </c>
      <c r="BZ369" s="16">
        <v>123</v>
      </c>
      <c r="CA369" s="16">
        <v>38</v>
      </c>
      <c r="CB369" s="16">
        <v>16</v>
      </c>
      <c r="CC369" s="16">
        <v>418</v>
      </c>
      <c r="CD369" s="16">
        <v>116</v>
      </c>
      <c r="CE369" s="16">
        <v>57</v>
      </c>
      <c r="CF369" s="16">
        <v>408</v>
      </c>
      <c r="CG369" s="16">
        <v>177</v>
      </c>
      <c r="CH369" s="16">
        <v>164</v>
      </c>
      <c r="CI369" s="16">
        <v>7</v>
      </c>
      <c r="CJ369" s="16">
        <v>176</v>
      </c>
      <c r="CK369" s="16">
        <v>304</v>
      </c>
      <c r="CL369" s="16">
        <v>134</v>
      </c>
      <c r="CM369" s="16">
        <v>273</v>
      </c>
      <c r="CN369" s="16">
        <v>40</v>
      </c>
      <c r="CO369" s="16">
        <v>113</v>
      </c>
      <c r="CP369" s="16">
        <v>149</v>
      </c>
      <c r="CQ369" s="16">
        <v>1903</v>
      </c>
      <c r="CR369" s="16">
        <v>134</v>
      </c>
      <c r="CS369" s="16">
        <v>126</v>
      </c>
      <c r="CT369" s="16">
        <v>202</v>
      </c>
      <c r="CU369" s="16">
        <v>554</v>
      </c>
      <c r="CV369" s="16">
        <v>232</v>
      </c>
      <c r="CW369" s="16">
        <v>506</v>
      </c>
      <c r="CX369" s="16">
        <v>458</v>
      </c>
      <c r="CY369" s="16">
        <v>54</v>
      </c>
      <c r="CZ369" s="16">
        <v>71</v>
      </c>
      <c r="DA369" s="16">
        <v>19</v>
      </c>
      <c r="DB369" s="16">
        <v>95</v>
      </c>
      <c r="DC369" s="16">
        <v>22</v>
      </c>
      <c r="DD369" s="16">
        <v>114</v>
      </c>
      <c r="DE369" s="16">
        <v>49</v>
      </c>
      <c r="DF369" s="16">
        <v>253</v>
      </c>
      <c r="DG369" s="16">
        <v>229</v>
      </c>
      <c r="DH369" s="16">
        <v>332</v>
      </c>
      <c r="DI369" s="16">
        <v>62</v>
      </c>
      <c r="DJ369" s="16">
        <v>2235</v>
      </c>
      <c r="DK369" s="16">
        <v>103</v>
      </c>
      <c r="DL369" s="16">
        <v>106</v>
      </c>
      <c r="DM369" s="16">
        <v>1181</v>
      </c>
      <c r="DN369" s="16">
        <v>73</v>
      </c>
      <c r="DO369" s="16">
        <v>187</v>
      </c>
      <c r="DP369" s="16">
        <v>209</v>
      </c>
      <c r="DQ369" s="16">
        <v>42</v>
      </c>
      <c r="DR369" s="16">
        <v>289</v>
      </c>
      <c r="DS369" s="16">
        <v>665</v>
      </c>
      <c r="DT369" s="16">
        <v>96</v>
      </c>
      <c r="DU369" s="16">
        <v>95</v>
      </c>
      <c r="DV369" s="16">
        <v>361</v>
      </c>
      <c r="DW369" s="16">
        <v>662</v>
      </c>
      <c r="DX369" s="16">
        <v>493</v>
      </c>
      <c r="DY369" s="16">
        <v>693</v>
      </c>
      <c r="DZ369" s="16">
        <v>2552</v>
      </c>
      <c r="EA369" s="16">
        <v>837</v>
      </c>
      <c r="EB369" s="16">
        <v>128</v>
      </c>
      <c r="EC369" s="16">
        <v>197</v>
      </c>
      <c r="ED369" s="16">
        <v>53</v>
      </c>
      <c r="EE369" s="16">
        <v>18</v>
      </c>
      <c r="EF369" s="16">
        <v>29</v>
      </c>
      <c r="EG369" s="16">
        <v>187</v>
      </c>
      <c r="EH369" s="16">
        <v>27</v>
      </c>
      <c r="EI369" s="16">
        <v>285</v>
      </c>
      <c r="EJ369" s="16">
        <v>75</v>
      </c>
      <c r="EK369" s="16">
        <v>58</v>
      </c>
      <c r="EL369" s="16">
        <v>54</v>
      </c>
      <c r="EM369" s="16">
        <v>62</v>
      </c>
      <c r="EN369" s="16">
        <v>441</v>
      </c>
      <c r="EO369" s="16">
        <v>320</v>
      </c>
      <c r="EP369" s="16">
        <v>62</v>
      </c>
      <c r="EQ369" s="16">
        <v>169</v>
      </c>
      <c r="ER369" s="16">
        <v>35</v>
      </c>
      <c r="ES369" s="16">
        <v>244</v>
      </c>
      <c r="ET369" s="16">
        <v>205</v>
      </c>
      <c r="EU369" s="16">
        <v>1</v>
      </c>
      <c r="EV369" s="16">
        <v>7</v>
      </c>
      <c r="EW369" s="16">
        <v>20</v>
      </c>
      <c r="EX369" s="16">
        <v>2669</v>
      </c>
      <c r="EY369" s="16">
        <v>1228</v>
      </c>
      <c r="EZ369" s="16">
        <v>393</v>
      </c>
      <c r="FA369" s="16">
        <v>129</v>
      </c>
      <c r="FB369" s="16">
        <v>434</v>
      </c>
      <c r="FC369" s="16">
        <v>40</v>
      </c>
      <c r="FD369" s="16">
        <v>884</v>
      </c>
      <c r="FE369" s="16">
        <v>791</v>
      </c>
      <c r="FF369" s="16">
        <v>357</v>
      </c>
      <c r="FG369" s="16">
        <v>914</v>
      </c>
      <c r="FH369" s="16">
        <v>4</v>
      </c>
      <c r="FI369" s="16">
        <v>323</v>
      </c>
      <c r="FJ369" s="16">
        <v>33</v>
      </c>
      <c r="FK369" s="16">
        <v>724</v>
      </c>
      <c r="FL369" s="16">
        <v>32</v>
      </c>
      <c r="FM369" s="16">
        <v>328</v>
      </c>
      <c r="FN369" s="16">
        <v>482</v>
      </c>
      <c r="FO369" s="16">
        <v>406</v>
      </c>
      <c r="FP369" s="16">
        <v>476</v>
      </c>
      <c r="FQ369" s="16">
        <v>1501</v>
      </c>
      <c r="FR369" s="16">
        <v>438</v>
      </c>
      <c r="FS369" s="16">
        <v>374</v>
      </c>
      <c r="FT369" s="16">
        <v>171</v>
      </c>
      <c r="FU369" s="16">
        <v>1393</v>
      </c>
      <c r="FV369" s="16">
        <v>707</v>
      </c>
      <c r="FW369" s="16">
        <v>1016</v>
      </c>
      <c r="FX369" s="16">
        <v>1684</v>
      </c>
      <c r="FY369" s="16">
        <v>148</v>
      </c>
      <c r="FZ369" s="16">
        <v>364</v>
      </c>
      <c r="GA369" s="16">
        <v>111</v>
      </c>
      <c r="GB369" s="16">
        <v>1366</v>
      </c>
      <c r="GC369" s="16">
        <v>243</v>
      </c>
      <c r="GD369" s="16">
        <v>358</v>
      </c>
      <c r="GE369" s="16">
        <v>38</v>
      </c>
      <c r="GF369" s="16">
        <v>420</v>
      </c>
      <c r="GG369" s="16">
        <v>31</v>
      </c>
      <c r="GH369" s="16">
        <v>600</v>
      </c>
      <c r="GI369" s="16">
        <v>378</v>
      </c>
      <c r="GJ369" s="16">
        <v>248</v>
      </c>
      <c r="GK369" s="16">
        <v>142</v>
      </c>
      <c r="GL369" s="16">
        <v>11</v>
      </c>
      <c r="GM369" s="16">
        <v>251</v>
      </c>
      <c r="GN369" s="16">
        <v>39</v>
      </c>
      <c r="GO369" s="16">
        <v>136</v>
      </c>
      <c r="GP369" s="16">
        <v>332</v>
      </c>
      <c r="GQ369" s="16">
        <v>20</v>
      </c>
      <c r="GR369" s="16">
        <v>204</v>
      </c>
      <c r="GS369" s="16">
        <v>62</v>
      </c>
      <c r="GT369" s="16">
        <v>90</v>
      </c>
      <c r="GU369" s="16">
        <v>481</v>
      </c>
      <c r="GV369" s="16">
        <v>298</v>
      </c>
      <c r="GW369" s="16">
        <v>415</v>
      </c>
      <c r="GX369" s="16">
        <v>116</v>
      </c>
      <c r="GY369" s="16">
        <v>1</v>
      </c>
      <c r="GZ369" s="16">
        <v>293</v>
      </c>
      <c r="HA369" s="16">
        <v>127</v>
      </c>
      <c r="HB369" s="16">
        <v>124</v>
      </c>
      <c r="HC369" s="16">
        <v>295</v>
      </c>
      <c r="HD369" s="16">
        <v>536</v>
      </c>
      <c r="HE369" s="16">
        <v>496</v>
      </c>
      <c r="HF369" s="16">
        <v>704</v>
      </c>
      <c r="HG369" s="16">
        <v>65</v>
      </c>
      <c r="HH369" s="16">
        <v>79</v>
      </c>
      <c r="HI369" s="16">
        <v>274</v>
      </c>
      <c r="HJ369" s="16">
        <v>34</v>
      </c>
      <c r="HK369" s="16">
        <v>313</v>
      </c>
      <c r="HL369" s="16">
        <v>853</v>
      </c>
      <c r="HM369" s="16">
        <v>214</v>
      </c>
      <c r="HN369" s="16">
        <v>2894</v>
      </c>
      <c r="HO369" s="16">
        <v>167</v>
      </c>
      <c r="HP369" s="16">
        <v>87</v>
      </c>
      <c r="HQ369" s="16">
        <v>861</v>
      </c>
      <c r="HR369" s="16">
        <v>1014</v>
      </c>
      <c r="HS369" s="16">
        <v>283</v>
      </c>
      <c r="HT369" s="16">
        <v>17</v>
      </c>
      <c r="HU369" s="16">
        <v>785</v>
      </c>
      <c r="HV369" s="16">
        <v>162</v>
      </c>
      <c r="HW369" s="16">
        <v>404</v>
      </c>
      <c r="HX369" s="16">
        <v>286</v>
      </c>
      <c r="HY369" s="16">
        <v>680</v>
      </c>
      <c r="HZ369" s="16">
        <v>836</v>
      </c>
      <c r="IA369" s="16">
        <v>255</v>
      </c>
      <c r="IB369" s="16">
        <v>46</v>
      </c>
      <c r="IC369" s="16">
        <v>56</v>
      </c>
      <c r="ID369" s="16">
        <v>42</v>
      </c>
      <c r="IE369" s="16">
        <v>24</v>
      </c>
      <c r="IF369" s="16">
        <v>48</v>
      </c>
      <c r="IG369" s="16">
        <v>367</v>
      </c>
      <c r="IH369" s="16">
        <v>989</v>
      </c>
      <c r="II369" s="16">
        <v>85</v>
      </c>
      <c r="IJ369" s="16">
        <v>10</v>
      </c>
      <c r="IK369" s="16">
        <v>11</v>
      </c>
      <c r="IL369" s="16">
        <v>35</v>
      </c>
      <c r="IM369" s="16">
        <v>3</v>
      </c>
      <c r="IN369" s="16">
        <v>2356</v>
      </c>
      <c r="IO369" s="16">
        <v>1415</v>
      </c>
      <c r="IP369" s="16">
        <v>257</v>
      </c>
      <c r="IQ369" s="16">
        <v>222</v>
      </c>
      <c r="IR369" s="16">
        <v>105</v>
      </c>
      <c r="IS369" s="16">
        <v>76</v>
      </c>
      <c r="IT369" s="16">
        <v>27</v>
      </c>
      <c r="IU369" s="16">
        <v>6</v>
      </c>
      <c r="IV369" s="16">
        <v>147</v>
      </c>
      <c r="IW369" s="16">
        <v>303</v>
      </c>
      <c r="IX369" s="16">
        <v>216</v>
      </c>
      <c r="IY369" s="16">
        <v>21</v>
      </c>
      <c r="IZ369" s="16">
        <v>10</v>
      </c>
      <c r="JA369" s="16">
        <v>79</v>
      </c>
      <c r="JB369" s="16">
        <v>11</v>
      </c>
      <c r="JC369" s="16">
        <v>19</v>
      </c>
      <c r="JD369" s="16">
        <v>42</v>
      </c>
      <c r="JE369" s="16">
        <v>296</v>
      </c>
      <c r="JF369" s="16">
        <v>95</v>
      </c>
      <c r="JG369" s="16">
        <v>3405</v>
      </c>
      <c r="JH369" s="16">
        <v>314</v>
      </c>
      <c r="JI369" s="16">
        <v>215</v>
      </c>
      <c r="JJ369" s="16">
        <v>282</v>
      </c>
      <c r="JK369" s="16">
        <v>196</v>
      </c>
      <c r="JL369" s="16">
        <v>61</v>
      </c>
      <c r="JM369" s="16">
        <v>59</v>
      </c>
      <c r="JN369" s="16">
        <v>914</v>
      </c>
      <c r="JO369" s="16">
        <v>21</v>
      </c>
      <c r="JP369" s="16">
        <v>261</v>
      </c>
      <c r="JQ369" s="16">
        <v>176</v>
      </c>
      <c r="JR369" s="16">
        <v>340</v>
      </c>
      <c r="JS369" s="16">
        <v>180</v>
      </c>
      <c r="JT369" s="16">
        <v>0</v>
      </c>
      <c r="JU369" s="16">
        <v>2434</v>
      </c>
      <c r="JV369" s="16">
        <v>1518</v>
      </c>
      <c r="JW369" s="16">
        <v>2164</v>
      </c>
      <c r="JX369" s="16">
        <v>1763</v>
      </c>
      <c r="JY369" s="16">
        <v>1638</v>
      </c>
      <c r="JZ369" s="16">
        <v>82</v>
      </c>
      <c r="KA369" s="16">
        <v>163</v>
      </c>
      <c r="KB369" s="16">
        <v>156</v>
      </c>
      <c r="KC369" s="16">
        <v>113</v>
      </c>
      <c r="KD369" s="16">
        <v>9</v>
      </c>
      <c r="KE369" s="16">
        <v>29</v>
      </c>
      <c r="KF369" s="16">
        <v>213</v>
      </c>
      <c r="KG369" s="16">
        <v>218</v>
      </c>
      <c r="KH369" s="16">
        <v>76</v>
      </c>
      <c r="KI369" s="16">
        <v>223</v>
      </c>
      <c r="KJ369" s="16">
        <v>22</v>
      </c>
      <c r="KK369" s="16">
        <v>17847</v>
      </c>
      <c r="KL369" s="16">
        <v>39</v>
      </c>
      <c r="KM369" s="16">
        <v>902</v>
      </c>
      <c r="KN369" s="16">
        <v>1670</v>
      </c>
      <c r="KO369" s="16">
        <v>454</v>
      </c>
      <c r="KP369" s="16">
        <v>102</v>
      </c>
      <c r="KQ369" s="16">
        <v>83</v>
      </c>
      <c r="KR369" s="16">
        <v>1776</v>
      </c>
      <c r="KS369" s="16">
        <v>20</v>
      </c>
      <c r="KT369" s="16">
        <v>40</v>
      </c>
      <c r="KU369" s="16">
        <v>1628</v>
      </c>
      <c r="KV369" s="16">
        <v>5287</v>
      </c>
      <c r="KW369" s="16">
        <v>6547</v>
      </c>
      <c r="KX369" s="16">
        <v>14</v>
      </c>
      <c r="KY369" s="16">
        <v>1168</v>
      </c>
      <c r="KZ369" s="16">
        <v>2049</v>
      </c>
      <c r="LA369" s="16">
        <v>782</v>
      </c>
      <c r="LB369" s="16">
        <v>639</v>
      </c>
      <c r="LC369" s="16">
        <v>613</v>
      </c>
      <c r="LD369" s="16">
        <v>832</v>
      </c>
      <c r="LE369" s="16">
        <v>1290</v>
      </c>
      <c r="LF369" s="16">
        <v>50</v>
      </c>
      <c r="LG369" s="16">
        <v>288</v>
      </c>
      <c r="LH369" s="16">
        <v>433</v>
      </c>
      <c r="LI369" s="16">
        <v>276</v>
      </c>
      <c r="LJ369" s="16">
        <v>2167</v>
      </c>
      <c r="LK369" s="16">
        <v>2196</v>
      </c>
      <c r="LL369" s="16">
        <v>4487</v>
      </c>
      <c r="LM369" s="16">
        <v>10596</v>
      </c>
      <c r="LN369" s="16">
        <v>3778</v>
      </c>
      <c r="LO369" s="16">
        <v>1427</v>
      </c>
      <c r="LP369" s="16">
        <v>751</v>
      </c>
      <c r="LQ369" s="16">
        <v>346</v>
      </c>
      <c r="LR369" s="16">
        <v>8041</v>
      </c>
      <c r="LS369" s="16">
        <v>149</v>
      </c>
      <c r="LT369" s="16">
        <v>11034</v>
      </c>
      <c r="LU369" s="16">
        <v>4347</v>
      </c>
      <c r="LV369" s="16">
        <v>26</v>
      </c>
      <c r="LW369" s="16">
        <v>8793</v>
      </c>
      <c r="LX369" s="16">
        <v>3521</v>
      </c>
      <c r="LY369" s="16">
        <v>0</v>
      </c>
      <c r="LZ369" s="16">
        <v>12227</v>
      </c>
      <c r="MA369" s="16">
        <v>7356</v>
      </c>
      <c r="MB369" s="16">
        <v>3410</v>
      </c>
      <c r="MC369" s="16">
        <v>1468</v>
      </c>
      <c r="MD369" s="16">
        <v>2027</v>
      </c>
      <c r="ME369" s="16">
        <v>2638</v>
      </c>
      <c r="MF369" s="16">
        <v>14357</v>
      </c>
      <c r="MG369" s="16">
        <v>1851</v>
      </c>
      <c r="MH369" s="16">
        <v>65824</v>
      </c>
      <c r="MI369" s="16">
        <v>325</v>
      </c>
      <c r="MJ369" s="16">
        <v>4804</v>
      </c>
      <c r="MK369" s="16">
        <v>1687</v>
      </c>
      <c r="ML369" s="16">
        <v>3578</v>
      </c>
      <c r="MM369" s="16">
        <v>4201</v>
      </c>
      <c r="MN369" s="16">
        <v>2860</v>
      </c>
      <c r="MO369" s="16">
        <v>1875</v>
      </c>
      <c r="MP369" s="16">
        <v>3659</v>
      </c>
      <c r="MQ369" s="16">
        <v>17180</v>
      </c>
      <c r="MR369" s="16">
        <v>10912</v>
      </c>
      <c r="MS369" s="16">
        <v>3347</v>
      </c>
      <c r="MT369" s="16">
        <v>482</v>
      </c>
      <c r="MU369" s="16">
        <v>109623</v>
      </c>
      <c r="MV369" s="16">
        <v>6810</v>
      </c>
      <c r="MW369" s="16">
        <v>10674</v>
      </c>
      <c r="MX369" s="16">
        <v>278</v>
      </c>
      <c r="MY369" s="16">
        <v>1849</v>
      </c>
      <c r="MZ369" s="16">
        <v>4885</v>
      </c>
      <c r="NA369" s="16">
        <v>2334</v>
      </c>
      <c r="NB369" s="16">
        <v>4947</v>
      </c>
      <c r="NC369" s="16">
        <v>4889</v>
      </c>
      <c r="ND369" s="16">
        <v>550</v>
      </c>
      <c r="NE369" s="16">
        <v>170</v>
      </c>
      <c r="NF369" s="16">
        <v>3215</v>
      </c>
      <c r="NG369" s="16">
        <v>3598</v>
      </c>
      <c r="NH369" s="16">
        <v>4431</v>
      </c>
      <c r="NI369" s="16">
        <v>9289</v>
      </c>
      <c r="NJ369" s="16">
        <v>19925</v>
      </c>
      <c r="NK369" s="16">
        <v>1824</v>
      </c>
      <c r="NL369" s="16">
        <v>2285</v>
      </c>
      <c r="NM369" s="16">
        <v>2075</v>
      </c>
      <c r="NN369" s="16">
        <v>214</v>
      </c>
      <c r="NO369" s="16">
        <v>0</v>
      </c>
      <c r="NP369" s="16">
        <v>515</v>
      </c>
      <c r="NQ369" s="16">
        <v>30</v>
      </c>
      <c r="NR369" s="17">
        <v>565041</v>
      </c>
    </row>
    <row r="370" spans="1:382" ht="13.5" customHeight="1" x14ac:dyDescent="0.2">
      <c r="A370" s="2" t="s">
        <v>747</v>
      </c>
      <c r="B370" s="16">
        <v>53</v>
      </c>
      <c r="C370" s="16">
        <v>2</v>
      </c>
      <c r="D370" s="16">
        <v>18</v>
      </c>
      <c r="E370" s="16">
        <v>18</v>
      </c>
      <c r="F370" s="16">
        <v>144</v>
      </c>
      <c r="G370" s="16">
        <v>51</v>
      </c>
      <c r="H370" s="16">
        <v>17</v>
      </c>
      <c r="I370" s="16">
        <v>35</v>
      </c>
      <c r="J370" s="16">
        <v>2</v>
      </c>
      <c r="K370" s="16">
        <v>0</v>
      </c>
      <c r="L370" s="16">
        <v>693</v>
      </c>
      <c r="M370" s="16">
        <v>10</v>
      </c>
      <c r="N370" s="16">
        <v>0</v>
      </c>
      <c r="O370" s="16">
        <v>2</v>
      </c>
      <c r="P370" s="16">
        <v>18</v>
      </c>
      <c r="Q370" s="16">
        <v>76</v>
      </c>
      <c r="R370" s="16">
        <v>57</v>
      </c>
      <c r="S370" s="16">
        <v>4</v>
      </c>
      <c r="T370" s="16">
        <v>101</v>
      </c>
      <c r="U370" s="16">
        <v>2</v>
      </c>
      <c r="V370" s="16">
        <v>8</v>
      </c>
      <c r="W370" s="16">
        <v>2</v>
      </c>
      <c r="X370" s="16">
        <v>1601</v>
      </c>
      <c r="Y370" s="16">
        <v>33</v>
      </c>
      <c r="Z370" s="16">
        <v>591</v>
      </c>
      <c r="AA370" s="16">
        <v>4</v>
      </c>
      <c r="AB370" s="16">
        <v>0</v>
      </c>
      <c r="AC370" s="16">
        <v>0</v>
      </c>
      <c r="AD370" s="16">
        <v>0</v>
      </c>
      <c r="AE370" s="16">
        <v>1</v>
      </c>
      <c r="AF370" s="16">
        <v>8</v>
      </c>
      <c r="AG370" s="16">
        <v>651</v>
      </c>
      <c r="AH370" s="16">
        <v>41</v>
      </c>
      <c r="AI370" s="16">
        <v>12</v>
      </c>
      <c r="AJ370" s="16">
        <v>813</v>
      </c>
      <c r="AK370" s="16">
        <v>12</v>
      </c>
      <c r="AL370" s="16">
        <v>53</v>
      </c>
      <c r="AM370" s="16">
        <v>164</v>
      </c>
      <c r="AN370" s="16">
        <v>4</v>
      </c>
      <c r="AO370" s="16">
        <v>0</v>
      </c>
      <c r="AP370" s="16">
        <v>1</v>
      </c>
      <c r="AQ370" s="16">
        <v>5</v>
      </c>
      <c r="AR370" s="16">
        <v>0</v>
      </c>
      <c r="AS370" s="16">
        <v>5</v>
      </c>
      <c r="AT370" s="16">
        <v>2</v>
      </c>
      <c r="AU370" s="16">
        <v>262</v>
      </c>
      <c r="AV370" s="16">
        <v>344</v>
      </c>
      <c r="AW370" s="16">
        <v>1207</v>
      </c>
      <c r="AX370" s="16">
        <v>268</v>
      </c>
      <c r="AY370" s="16">
        <v>0</v>
      </c>
      <c r="AZ370" s="16">
        <v>693</v>
      </c>
      <c r="BA370" s="16">
        <v>1147</v>
      </c>
      <c r="BB370" s="16">
        <v>788</v>
      </c>
      <c r="BC370" s="16">
        <v>1509</v>
      </c>
      <c r="BD370" s="16">
        <v>190</v>
      </c>
      <c r="BE370" s="16">
        <v>233</v>
      </c>
      <c r="BF370" s="16">
        <v>301</v>
      </c>
      <c r="BG370" s="16">
        <v>81</v>
      </c>
      <c r="BH370" s="16">
        <v>817</v>
      </c>
      <c r="BI370" s="16">
        <v>363</v>
      </c>
      <c r="BJ370" s="16">
        <v>20</v>
      </c>
      <c r="BK370" s="16">
        <v>27</v>
      </c>
      <c r="BL370" s="16">
        <v>668</v>
      </c>
      <c r="BM370" s="16">
        <v>121</v>
      </c>
      <c r="BN370" s="16">
        <v>1172</v>
      </c>
      <c r="BO370" s="16">
        <v>799</v>
      </c>
      <c r="BP370" s="16">
        <v>1225</v>
      </c>
      <c r="BQ370" s="16">
        <v>189</v>
      </c>
      <c r="BR370" s="16">
        <v>18</v>
      </c>
      <c r="BS370" s="16">
        <v>3986</v>
      </c>
      <c r="BT370" s="16">
        <v>42</v>
      </c>
      <c r="BU370" s="16">
        <v>48</v>
      </c>
      <c r="BV370" s="16">
        <v>0</v>
      </c>
      <c r="BW370" s="16">
        <v>361</v>
      </c>
      <c r="BX370" s="16">
        <v>295</v>
      </c>
      <c r="BY370" s="16">
        <v>0</v>
      </c>
      <c r="BZ370" s="16">
        <v>923</v>
      </c>
      <c r="CA370" s="16">
        <v>164</v>
      </c>
      <c r="CB370" s="16">
        <v>18</v>
      </c>
      <c r="CC370" s="16">
        <v>900</v>
      </c>
      <c r="CD370" s="16">
        <v>57</v>
      </c>
      <c r="CE370" s="16">
        <v>62</v>
      </c>
      <c r="CF370" s="16">
        <v>71</v>
      </c>
      <c r="CG370" s="16">
        <v>393</v>
      </c>
      <c r="CH370" s="16">
        <v>470</v>
      </c>
      <c r="CI370" s="16">
        <v>13</v>
      </c>
      <c r="CJ370" s="16">
        <v>616</v>
      </c>
      <c r="CK370" s="16">
        <v>970</v>
      </c>
      <c r="CL370" s="16">
        <v>358</v>
      </c>
      <c r="CM370" s="16">
        <v>431</v>
      </c>
      <c r="CN370" s="16">
        <v>92</v>
      </c>
      <c r="CO370" s="16">
        <v>236</v>
      </c>
      <c r="CP370" s="16">
        <v>747</v>
      </c>
      <c r="CQ370" s="16">
        <v>2861</v>
      </c>
      <c r="CR370" s="16">
        <v>302</v>
      </c>
      <c r="CS370" s="16">
        <v>1108</v>
      </c>
      <c r="CT370" s="16">
        <v>574</v>
      </c>
      <c r="CU370" s="16">
        <v>1346</v>
      </c>
      <c r="CV370" s="16">
        <v>772</v>
      </c>
      <c r="CW370" s="16">
        <v>1480</v>
      </c>
      <c r="CX370" s="16">
        <v>1164</v>
      </c>
      <c r="CY370" s="16">
        <v>223</v>
      </c>
      <c r="CZ370" s="16">
        <v>146</v>
      </c>
      <c r="DA370" s="16">
        <v>31</v>
      </c>
      <c r="DB370" s="16">
        <v>148</v>
      </c>
      <c r="DC370" s="16">
        <v>43</v>
      </c>
      <c r="DD370" s="16">
        <v>729</v>
      </c>
      <c r="DE370" s="16">
        <v>371</v>
      </c>
      <c r="DF370" s="16">
        <v>1936</v>
      </c>
      <c r="DG370" s="16">
        <v>229</v>
      </c>
      <c r="DH370" s="16">
        <v>690</v>
      </c>
      <c r="DI370" s="16">
        <v>164</v>
      </c>
      <c r="DJ370" s="16">
        <v>2098</v>
      </c>
      <c r="DK370" s="16">
        <v>178</v>
      </c>
      <c r="DL370" s="16">
        <v>304</v>
      </c>
      <c r="DM370" s="16">
        <v>683</v>
      </c>
      <c r="DN370" s="16">
        <v>326</v>
      </c>
      <c r="DO370" s="16">
        <v>369</v>
      </c>
      <c r="DP370" s="16">
        <v>315</v>
      </c>
      <c r="DQ370" s="16">
        <v>38</v>
      </c>
      <c r="DR370" s="16">
        <v>3938</v>
      </c>
      <c r="DS370" s="16">
        <v>9367</v>
      </c>
      <c r="DT370" s="16">
        <v>45</v>
      </c>
      <c r="DU370" s="16">
        <v>135</v>
      </c>
      <c r="DV370" s="16">
        <v>1353</v>
      </c>
      <c r="DW370" s="16">
        <v>1039</v>
      </c>
      <c r="DX370" s="16">
        <v>512</v>
      </c>
      <c r="DY370" s="16">
        <v>597</v>
      </c>
      <c r="DZ370" s="16">
        <v>2861</v>
      </c>
      <c r="EA370" s="16">
        <v>1922</v>
      </c>
      <c r="EB370" s="16">
        <v>22</v>
      </c>
      <c r="EC370" s="16">
        <v>187</v>
      </c>
      <c r="ED370" s="16">
        <v>26</v>
      </c>
      <c r="EE370" s="16">
        <v>15</v>
      </c>
      <c r="EF370" s="16">
        <v>270</v>
      </c>
      <c r="EG370" s="16">
        <v>2770</v>
      </c>
      <c r="EH370" s="16">
        <v>226</v>
      </c>
      <c r="EI370" s="16">
        <v>84</v>
      </c>
      <c r="EJ370" s="16">
        <v>651</v>
      </c>
      <c r="EK370" s="16">
        <v>170</v>
      </c>
      <c r="EL370" s="16">
        <v>5</v>
      </c>
      <c r="EM370" s="16">
        <v>138</v>
      </c>
      <c r="EN370" s="16">
        <v>542</v>
      </c>
      <c r="EO370" s="16">
        <v>12</v>
      </c>
      <c r="EP370" s="16">
        <v>22</v>
      </c>
      <c r="EQ370" s="16">
        <v>263</v>
      </c>
      <c r="ER370" s="16">
        <v>5</v>
      </c>
      <c r="ES370" s="16">
        <v>19</v>
      </c>
      <c r="ET370" s="16">
        <v>185</v>
      </c>
      <c r="EU370" s="16">
        <v>3</v>
      </c>
      <c r="EV370" s="16">
        <v>5</v>
      </c>
      <c r="EW370" s="16">
        <v>171</v>
      </c>
      <c r="EX370" s="16">
        <v>2788</v>
      </c>
      <c r="EY370" s="16">
        <v>1238</v>
      </c>
      <c r="EZ370" s="16">
        <v>2098</v>
      </c>
      <c r="FA370" s="16">
        <v>639</v>
      </c>
      <c r="FB370" s="16">
        <v>2116</v>
      </c>
      <c r="FC370" s="16">
        <v>4</v>
      </c>
      <c r="FD370" s="16">
        <v>2409</v>
      </c>
      <c r="FE370" s="16">
        <v>764</v>
      </c>
      <c r="FF370" s="16">
        <v>1766</v>
      </c>
      <c r="FG370" s="16">
        <v>2257</v>
      </c>
      <c r="FH370" s="16">
        <v>5</v>
      </c>
      <c r="FI370" s="16">
        <v>3591</v>
      </c>
      <c r="FJ370" s="16">
        <v>200</v>
      </c>
      <c r="FK370" s="16">
        <v>2194</v>
      </c>
      <c r="FL370" s="16">
        <v>68</v>
      </c>
      <c r="FM370" s="16">
        <v>2032</v>
      </c>
      <c r="FN370" s="16">
        <v>3970</v>
      </c>
      <c r="FO370" s="16">
        <v>1028</v>
      </c>
      <c r="FP370" s="16">
        <v>1596</v>
      </c>
      <c r="FQ370" s="16">
        <v>3591</v>
      </c>
      <c r="FR370" s="16">
        <v>1357</v>
      </c>
      <c r="FS370" s="16">
        <v>386</v>
      </c>
      <c r="FT370" s="16">
        <v>356</v>
      </c>
      <c r="FU370" s="16">
        <v>2948</v>
      </c>
      <c r="FV370" s="16">
        <v>2219</v>
      </c>
      <c r="FW370" s="16">
        <v>1306</v>
      </c>
      <c r="FX370" s="16">
        <v>6374</v>
      </c>
      <c r="FY370" s="16">
        <v>164</v>
      </c>
      <c r="FZ370" s="16">
        <v>728</v>
      </c>
      <c r="GA370" s="16">
        <v>328</v>
      </c>
      <c r="GB370" s="16">
        <v>1012</v>
      </c>
      <c r="GC370" s="16">
        <v>444</v>
      </c>
      <c r="GD370" s="16">
        <v>371</v>
      </c>
      <c r="GE370" s="16">
        <v>104</v>
      </c>
      <c r="GF370" s="16">
        <v>4593</v>
      </c>
      <c r="GG370" s="16">
        <v>205</v>
      </c>
      <c r="GH370" s="16">
        <v>4423</v>
      </c>
      <c r="GI370" s="16">
        <v>991</v>
      </c>
      <c r="GJ370" s="16">
        <v>1076</v>
      </c>
      <c r="GK370" s="16">
        <v>395</v>
      </c>
      <c r="GL370" s="16">
        <v>7</v>
      </c>
      <c r="GM370" s="16">
        <v>474</v>
      </c>
      <c r="GN370" s="16">
        <v>44</v>
      </c>
      <c r="GO370" s="16">
        <v>404</v>
      </c>
      <c r="GP370" s="16">
        <v>85</v>
      </c>
      <c r="GQ370" s="16">
        <v>14</v>
      </c>
      <c r="GR370" s="16">
        <v>847</v>
      </c>
      <c r="GS370" s="16">
        <v>218</v>
      </c>
      <c r="GT370" s="16">
        <v>271</v>
      </c>
      <c r="GU370" s="16">
        <v>721</v>
      </c>
      <c r="GV370" s="16">
        <v>294</v>
      </c>
      <c r="GW370" s="16">
        <v>200</v>
      </c>
      <c r="GX370" s="16">
        <v>217</v>
      </c>
      <c r="GY370" s="16">
        <v>7</v>
      </c>
      <c r="GZ370" s="16">
        <v>2434</v>
      </c>
      <c r="HA370" s="16">
        <v>424</v>
      </c>
      <c r="HB370" s="16">
        <v>428</v>
      </c>
      <c r="HC370" s="16">
        <v>1148</v>
      </c>
      <c r="HD370" s="16">
        <v>2364</v>
      </c>
      <c r="HE370" s="16">
        <v>286</v>
      </c>
      <c r="HF370" s="16">
        <v>1985</v>
      </c>
      <c r="HG370" s="16">
        <v>581</v>
      </c>
      <c r="HH370" s="16">
        <v>188</v>
      </c>
      <c r="HI370" s="16">
        <v>740</v>
      </c>
      <c r="HJ370" s="16">
        <v>229</v>
      </c>
      <c r="HK370" s="16">
        <v>739</v>
      </c>
      <c r="HL370" s="16">
        <v>1860</v>
      </c>
      <c r="HM370" s="16">
        <v>1011</v>
      </c>
      <c r="HN370" s="16">
        <v>538</v>
      </c>
      <c r="HO370" s="16">
        <v>237</v>
      </c>
      <c r="HP370" s="16">
        <v>62</v>
      </c>
      <c r="HQ370" s="16">
        <v>213</v>
      </c>
      <c r="HR370" s="16">
        <v>1280</v>
      </c>
      <c r="HS370" s="16">
        <v>342</v>
      </c>
      <c r="HT370" s="16">
        <v>81</v>
      </c>
      <c r="HU370" s="16">
        <v>410</v>
      </c>
      <c r="HV370" s="16">
        <v>213</v>
      </c>
      <c r="HW370" s="16">
        <v>157</v>
      </c>
      <c r="HX370" s="16">
        <v>129</v>
      </c>
      <c r="HY370" s="16">
        <v>373</v>
      </c>
      <c r="HZ370" s="16">
        <v>110</v>
      </c>
      <c r="IA370" s="16">
        <v>37</v>
      </c>
      <c r="IB370" s="16">
        <v>20</v>
      </c>
      <c r="IC370" s="16">
        <v>35</v>
      </c>
      <c r="ID370" s="16">
        <v>13</v>
      </c>
      <c r="IE370" s="16">
        <v>11</v>
      </c>
      <c r="IF370" s="16">
        <v>16</v>
      </c>
      <c r="IG370" s="16">
        <v>104</v>
      </c>
      <c r="IH370" s="16">
        <v>914</v>
      </c>
      <c r="II370" s="16">
        <v>108</v>
      </c>
      <c r="IJ370" s="16">
        <v>24</v>
      </c>
      <c r="IK370" s="16">
        <v>25</v>
      </c>
      <c r="IL370" s="16">
        <v>114</v>
      </c>
      <c r="IM370" s="16">
        <v>5</v>
      </c>
      <c r="IN370" s="16">
        <v>1044</v>
      </c>
      <c r="IO370" s="16">
        <v>489</v>
      </c>
      <c r="IP370" s="16">
        <v>1239</v>
      </c>
      <c r="IQ370" s="16">
        <v>2169</v>
      </c>
      <c r="IR370" s="16">
        <v>294</v>
      </c>
      <c r="IS370" s="16">
        <v>310</v>
      </c>
      <c r="IT370" s="16">
        <v>180</v>
      </c>
      <c r="IU370" s="16">
        <v>31</v>
      </c>
      <c r="IV370" s="16">
        <v>101</v>
      </c>
      <c r="IW370" s="16">
        <v>378</v>
      </c>
      <c r="IX370" s="16">
        <v>720</v>
      </c>
      <c r="IY370" s="16">
        <v>65</v>
      </c>
      <c r="IZ370" s="16">
        <v>9</v>
      </c>
      <c r="JA370" s="16">
        <v>50</v>
      </c>
      <c r="JB370" s="16">
        <v>52</v>
      </c>
      <c r="JC370" s="16">
        <v>108</v>
      </c>
      <c r="JD370" s="16">
        <v>1175</v>
      </c>
      <c r="JE370" s="16">
        <v>452</v>
      </c>
      <c r="JF370" s="16">
        <v>460</v>
      </c>
      <c r="JG370" s="16">
        <v>17516</v>
      </c>
      <c r="JH370" s="16">
        <v>1323</v>
      </c>
      <c r="JI370" s="16">
        <v>1033</v>
      </c>
      <c r="JJ370" s="16">
        <v>2430</v>
      </c>
      <c r="JK370" s="16">
        <v>1513</v>
      </c>
      <c r="JL370" s="16">
        <v>99</v>
      </c>
      <c r="JM370" s="16">
        <v>307</v>
      </c>
      <c r="JN370" s="16">
        <v>5074</v>
      </c>
      <c r="JO370" s="16">
        <v>409</v>
      </c>
      <c r="JP370" s="16">
        <v>1436</v>
      </c>
      <c r="JQ370" s="16">
        <v>1318</v>
      </c>
      <c r="JR370" s="16">
        <v>1978</v>
      </c>
      <c r="JS370" s="16">
        <v>257</v>
      </c>
      <c r="JT370" s="16">
        <v>0</v>
      </c>
      <c r="JU370" s="16">
        <v>2859</v>
      </c>
      <c r="JV370" s="16">
        <v>1061</v>
      </c>
      <c r="JW370" s="16">
        <v>7438</v>
      </c>
      <c r="JX370" s="16">
        <v>6152</v>
      </c>
      <c r="JY370" s="16">
        <v>3763</v>
      </c>
      <c r="JZ370" s="16">
        <v>266</v>
      </c>
      <c r="KA370" s="16">
        <v>367</v>
      </c>
      <c r="KB370" s="16">
        <v>27</v>
      </c>
      <c r="KC370" s="16">
        <v>395</v>
      </c>
      <c r="KD370" s="16">
        <v>12</v>
      </c>
      <c r="KE370" s="16">
        <v>21</v>
      </c>
      <c r="KF370" s="16">
        <v>190</v>
      </c>
      <c r="KG370" s="16">
        <v>313</v>
      </c>
      <c r="KH370" s="16">
        <v>85</v>
      </c>
      <c r="KI370" s="16">
        <v>1044</v>
      </c>
      <c r="KJ370" s="16">
        <v>32</v>
      </c>
      <c r="KK370" s="16">
        <v>30725</v>
      </c>
      <c r="KL370" s="16">
        <v>534</v>
      </c>
      <c r="KM370" s="16">
        <v>1921</v>
      </c>
      <c r="KN370" s="16">
        <v>3413</v>
      </c>
      <c r="KO370" s="16">
        <v>15674</v>
      </c>
      <c r="KP370" s="16">
        <v>1793</v>
      </c>
      <c r="KQ370" s="16">
        <v>261419</v>
      </c>
      <c r="KR370" s="16">
        <v>4894</v>
      </c>
      <c r="KS370" s="16">
        <v>35</v>
      </c>
      <c r="KT370" s="16">
        <v>1908</v>
      </c>
      <c r="KU370" s="16">
        <v>2026</v>
      </c>
      <c r="KV370" s="16">
        <v>5368</v>
      </c>
      <c r="KW370" s="16">
        <v>9108</v>
      </c>
      <c r="KX370" s="16">
        <v>155</v>
      </c>
      <c r="KY370" s="16">
        <v>8211</v>
      </c>
      <c r="KZ370" s="16">
        <v>4932</v>
      </c>
      <c r="LA370" s="16">
        <v>1786</v>
      </c>
      <c r="LB370" s="16">
        <v>193</v>
      </c>
      <c r="LC370" s="16">
        <v>1400</v>
      </c>
      <c r="LD370" s="16">
        <v>545</v>
      </c>
      <c r="LE370" s="16">
        <v>2417</v>
      </c>
      <c r="LF370" s="16">
        <v>5535</v>
      </c>
      <c r="LG370" s="16">
        <v>2102</v>
      </c>
      <c r="LH370" s="16">
        <v>2824</v>
      </c>
      <c r="LI370" s="16">
        <v>784</v>
      </c>
      <c r="LJ370" s="16">
        <v>1677</v>
      </c>
      <c r="LK370" s="16">
        <v>6588</v>
      </c>
      <c r="LL370" s="16">
        <v>8086</v>
      </c>
      <c r="LM370" s="16">
        <v>7784</v>
      </c>
      <c r="LN370" s="16">
        <v>8768</v>
      </c>
      <c r="LO370" s="16">
        <v>5689</v>
      </c>
      <c r="LP370" s="16">
        <v>4034</v>
      </c>
      <c r="LQ370" s="16">
        <v>302</v>
      </c>
      <c r="LR370" s="16">
        <v>3300</v>
      </c>
      <c r="LS370" s="16">
        <v>4496</v>
      </c>
      <c r="LT370" s="16">
        <v>12642</v>
      </c>
      <c r="LU370" s="16">
        <v>8250</v>
      </c>
      <c r="LV370" s="16">
        <v>198</v>
      </c>
      <c r="LW370" s="16">
        <v>12028</v>
      </c>
      <c r="LX370" s="16">
        <v>9552</v>
      </c>
      <c r="LY370" s="16">
        <v>0</v>
      </c>
      <c r="LZ370" s="16">
        <v>4091</v>
      </c>
      <c r="MA370" s="16">
        <v>10329</v>
      </c>
      <c r="MB370" s="16">
        <v>981</v>
      </c>
      <c r="MC370" s="16">
        <v>2279</v>
      </c>
      <c r="MD370" s="16">
        <v>4878</v>
      </c>
      <c r="ME370" s="16">
        <v>575</v>
      </c>
      <c r="MF370" s="16">
        <v>5660</v>
      </c>
      <c r="MG370" s="16">
        <v>1734</v>
      </c>
      <c r="MH370" s="16">
        <v>71021</v>
      </c>
      <c r="MI370" s="16">
        <v>8858</v>
      </c>
      <c r="MJ370" s="16">
        <v>1667</v>
      </c>
      <c r="MK370" s="16">
        <v>3201</v>
      </c>
      <c r="ML370" s="16">
        <v>5756</v>
      </c>
      <c r="MM370" s="16">
        <v>6850</v>
      </c>
      <c r="MN370" s="16">
        <v>3089</v>
      </c>
      <c r="MO370" s="16">
        <v>7836</v>
      </c>
      <c r="MP370" s="16">
        <v>3741</v>
      </c>
      <c r="MQ370" s="16">
        <v>5514</v>
      </c>
      <c r="MR370" s="16">
        <v>32063</v>
      </c>
      <c r="MS370" s="16">
        <v>181</v>
      </c>
      <c r="MT370" s="16">
        <v>3282</v>
      </c>
      <c r="MU370" s="16">
        <v>4722</v>
      </c>
      <c r="MV370" s="16">
        <v>0</v>
      </c>
      <c r="MW370" s="16">
        <v>52</v>
      </c>
      <c r="MX370" s="16">
        <v>14</v>
      </c>
      <c r="MY370" s="16">
        <v>0</v>
      </c>
      <c r="MZ370" s="16">
        <v>255</v>
      </c>
      <c r="NA370" s="16">
        <v>389</v>
      </c>
      <c r="NB370" s="16">
        <v>0</v>
      </c>
      <c r="NC370" s="16">
        <v>86</v>
      </c>
      <c r="ND370" s="16">
        <v>14836</v>
      </c>
      <c r="NE370" s="16">
        <v>982</v>
      </c>
      <c r="NF370" s="16">
        <v>1497047</v>
      </c>
      <c r="NG370" s="16">
        <v>16829</v>
      </c>
      <c r="NH370" s="16">
        <v>9368</v>
      </c>
      <c r="NI370" s="16">
        <v>5568</v>
      </c>
      <c r="NJ370" s="16">
        <v>5406</v>
      </c>
      <c r="NK370" s="16">
        <v>354</v>
      </c>
      <c r="NL370" s="16">
        <v>1500</v>
      </c>
      <c r="NM370" s="16">
        <v>3513</v>
      </c>
      <c r="NN370" s="16">
        <v>193</v>
      </c>
      <c r="NO370" s="16">
        <v>0</v>
      </c>
      <c r="NP370" s="16">
        <v>1696</v>
      </c>
      <c r="NQ370" s="16">
        <v>233</v>
      </c>
      <c r="NR370" s="17">
        <v>2440891</v>
      </c>
    </row>
    <row r="371" spans="1:382" ht="13.5" customHeight="1" x14ac:dyDescent="0.2">
      <c r="A371" s="2" t="s">
        <v>749</v>
      </c>
      <c r="B371" s="16">
        <v>903</v>
      </c>
      <c r="C371" s="16">
        <v>6</v>
      </c>
      <c r="D371" s="16">
        <v>1062</v>
      </c>
      <c r="E371" s="16">
        <v>695</v>
      </c>
      <c r="F371" s="16">
        <v>2392</v>
      </c>
      <c r="G371" s="16">
        <v>976</v>
      </c>
      <c r="H371" s="16">
        <v>75</v>
      </c>
      <c r="I371" s="16">
        <v>338</v>
      </c>
      <c r="J371" s="16">
        <v>9</v>
      </c>
      <c r="K371" s="16">
        <v>0</v>
      </c>
      <c r="L371" s="16">
        <v>3379</v>
      </c>
      <c r="M371" s="16">
        <v>212</v>
      </c>
      <c r="N371" s="16">
        <v>68</v>
      </c>
      <c r="O371" s="16">
        <v>57</v>
      </c>
      <c r="P371" s="16">
        <v>1060</v>
      </c>
      <c r="Q371" s="16">
        <v>4932</v>
      </c>
      <c r="R371" s="16">
        <v>3941</v>
      </c>
      <c r="S371" s="16">
        <v>413</v>
      </c>
      <c r="T371" s="16">
        <v>2789</v>
      </c>
      <c r="U371" s="16">
        <v>1171</v>
      </c>
      <c r="V371" s="16">
        <v>3080</v>
      </c>
      <c r="W371" s="16">
        <v>17</v>
      </c>
      <c r="X371" s="16">
        <v>8351</v>
      </c>
      <c r="Y371" s="16">
        <v>9495</v>
      </c>
      <c r="Z371" s="16">
        <v>2661</v>
      </c>
      <c r="AA371" s="16">
        <v>401</v>
      </c>
      <c r="AB371" s="16">
        <v>0</v>
      </c>
      <c r="AC371" s="16">
        <v>0</v>
      </c>
      <c r="AD371" s="16">
        <v>0</v>
      </c>
      <c r="AE371" s="16">
        <v>173</v>
      </c>
      <c r="AF371" s="16">
        <v>24</v>
      </c>
      <c r="AG371" s="16">
        <v>15352</v>
      </c>
      <c r="AH371" s="16">
        <v>10434</v>
      </c>
      <c r="AI371" s="16">
        <v>3359</v>
      </c>
      <c r="AJ371" s="16">
        <v>18311</v>
      </c>
      <c r="AK371" s="16">
        <v>6474</v>
      </c>
      <c r="AL371" s="16">
        <v>386</v>
      </c>
      <c r="AM371" s="16">
        <v>2080</v>
      </c>
      <c r="AN371" s="16">
        <v>1712</v>
      </c>
      <c r="AO371" s="16">
        <v>3669</v>
      </c>
      <c r="AP371" s="16">
        <v>326</v>
      </c>
      <c r="AQ371" s="16">
        <v>857</v>
      </c>
      <c r="AR371" s="16">
        <v>0</v>
      </c>
      <c r="AS371" s="16">
        <v>118</v>
      </c>
      <c r="AT371" s="16">
        <v>1040</v>
      </c>
      <c r="AU371" s="16">
        <v>1164</v>
      </c>
      <c r="AV371" s="16">
        <v>1352</v>
      </c>
      <c r="AW371" s="16">
        <v>7877</v>
      </c>
      <c r="AX371" s="16">
        <v>1249</v>
      </c>
      <c r="AY371" s="16">
        <v>846</v>
      </c>
      <c r="AZ371" s="16">
        <v>3341</v>
      </c>
      <c r="BA371" s="16">
        <v>2614</v>
      </c>
      <c r="BB371" s="16">
        <v>1461</v>
      </c>
      <c r="BC371" s="16">
        <v>25952</v>
      </c>
      <c r="BD371" s="16">
        <v>244</v>
      </c>
      <c r="BE371" s="16">
        <v>2492</v>
      </c>
      <c r="BF371" s="16">
        <v>4547</v>
      </c>
      <c r="BG371" s="16">
        <v>3308</v>
      </c>
      <c r="BH371" s="16">
        <v>4991</v>
      </c>
      <c r="BI371" s="16">
        <v>952</v>
      </c>
      <c r="BJ371" s="16">
        <v>359</v>
      </c>
      <c r="BK371" s="16">
        <v>1260</v>
      </c>
      <c r="BL371" s="16">
        <v>9165</v>
      </c>
      <c r="BM371" s="16">
        <v>2306</v>
      </c>
      <c r="BN371" s="16">
        <v>4496</v>
      </c>
      <c r="BO371" s="16">
        <v>10312</v>
      </c>
      <c r="BP371" s="16">
        <v>21178</v>
      </c>
      <c r="BQ371" s="16">
        <v>1985</v>
      </c>
      <c r="BR371" s="16">
        <v>591</v>
      </c>
      <c r="BS371" s="16">
        <v>12643</v>
      </c>
      <c r="BT371" s="16">
        <v>82</v>
      </c>
      <c r="BU371" s="16">
        <v>58</v>
      </c>
      <c r="BV371" s="16">
        <v>47</v>
      </c>
      <c r="BW371" s="16">
        <v>2088</v>
      </c>
      <c r="BX371" s="16">
        <v>517</v>
      </c>
      <c r="BY371" s="16">
        <v>0</v>
      </c>
      <c r="BZ371" s="16">
        <v>2439</v>
      </c>
      <c r="CA371" s="16">
        <v>691</v>
      </c>
      <c r="CB371" s="16">
        <v>305</v>
      </c>
      <c r="CC371" s="16">
        <v>10316</v>
      </c>
      <c r="CD371" s="16">
        <v>2511</v>
      </c>
      <c r="CE371" s="16">
        <v>1089</v>
      </c>
      <c r="CF371" s="16">
        <v>9424</v>
      </c>
      <c r="CG371" s="16">
        <v>3640</v>
      </c>
      <c r="CH371" s="16">
        <v>3415</v>
      </c>
      <c r="CI371" s="16">
        <v>153</v>
      </c>
      <c r="CJ371" s="16">
        <v>3396</v>
      </c>
      <c r="CK371" s="16">
        <v>6104</v>
      </c>
      <c r="CL371" s="16">
        <v>3090</v>
      </c>
      <c r="CM371" s="16">
        <v>5690</v>
      </c>
      <c r="CN371" s="16">
        <v>840</v>
      </c>
      <c r="CO371" s="16">
        <v>2184</v>
      </c>
      <c r="CP371" s="16">
        <v>3069</v>
      </c>
      <c r="CQ371" s="16">
        <v>13562</v>
      </c>
      <c r="CR371" s="16">
        <v>2614</v>
      </c>
      <c r="CS371" s="16">
        <v>2714</v>
      </c>
      <c r="CT371" s="16">
        <v>3691</v>
      </c>
      <c r="CU371" s="16">
        <v>11371</v>
      </c>
      <c r="CV371" s="16">
        <v>4700</v>
      </c>
      <c r="CW371" s="16">
        <v>9795</v>
      </c>
      <c r="CX371" s="16">
        <v>10129</v>
      </c>
      <c r="CY371" s="16">
        <v>1025</v>
      </c>
      <c r="CZ371" s="16">
        <v>1311</v>
      </c>
      <c r="DA371" s="16">
        <v>259</v>
      </c>
      <c r="DB371" s="16">
        <v>1693</v>
      </c>
      <c r="DC371" s="16">
        <v>154</v>
      </c>
      <c r="DD371" s="16">
        <v>1737</v>
      </c>
      <c r="DE371" s="16">
        <v>731</v>
      </c>
      <c r="DF371" s="16">
        <v>4658</v>
      </c>
      <c r="DG371" s="16">
        <v>4674</v>
      </c>
      <c r="DH371" s="16">
        <v>6078</v>
      </c>
      <c r="DI371" s="16">
        <v>1322</v>
      </c>
      <c r="DJ371" s="16">
        <v>29694</v>
      </c>
      <c r="DK371" s="16">
        <v>1858</v>
      </c>
      <c r="DL371" s="16">
        <v>1974</v>
      </c>
      <c r="DM371" s="16">
        <v>26397</v>
      </c>
      <c r="DN371" s="16">
        <v>1541</v>
      </c>
      <c r="DO371" s="16">
        <v>3930</v>
      </c>
      <c r="DP371" s="16">
        <v>4076</v>
      </c>
      <c r="DQ371" s="16">
        <v>829</v>
      </c>
      <c r="DR371" s="16">
        <v>5999</v>
      </c>
      <c r="DS371" s="16">
        <v>13691</v>
      </c>
      <c r="DT371" s="16">
        <v>1903</v>
      </c>
      <c r="DU371" s="16">
        <v>1820</v>
      </c>
      <c r="DV371" s="16">
        <v>7787</v>
      </c>
      <c r="DW371" s="16">
        <v>13667</v>
      </c>
      <c r="DX371" s="16">
        <v>10488</v>
      </c>
      <c r="DY371" s="16">
        <v>14385</v>
      </c>
      <c r="DZ371" s="16">
        <v>55376</v>
      </c>
      <c r="EA371" s="16">
        <v>17750</v>
      </c>
      <c r="EB371" s="16">
        <v>2757</v>
      </c>
      <c r="EC371" s="16">
        <v>4813</v>
      </c>
      <c r="ED371" s="16">
        <v>1152</v>
      </c>
      <c r="EE371" s="16">
        <v>312</v>
      </c>
      <c r="EF371" s="16">
        <v>528</v>
      </c>
      <c r="EG371" s="16">
        <v>4218</v>
      </c>
      <c r="EH371" s="16">
        <v>543</v>
      </c>
      <c r="EI371" s="16">
        <v>6377</v>
      </c>
      <c r="EJ371" s="16">
        <v>1553</v>
      </c>
      <c r="EK371" s="16">
        <v>1426</v>
      </c>
      <c r="EL371" s="16">
        <v>1097</v>
      </c>
      <c r="EM371" s="16">
        <v>1276</v>
      </c>
      <c r="EN371" s="16">
        <v>9360</v>
      </c>
      <c r="EO371" s="16">
        <v>6556</v>
      </c>
      <c r="EP371" s="16">
        <v>1341</v>
      </c>
      <c r="EQ371" s="16">
        <v>3740</v>
      </c>
      <c r="ER371" s="16">
        <v>708</v>
      </c>
      <c r="ES371" s="16">
        <v>4789</v>
      </c>
      <c r="ET371" s="16">
        <v>4245</v>
      </c>
      <c r="EU371" s="16">
        <v>7</v>
      </c>
      <c r="EV371" s="16">
        <v>326</v>
      </c>
      <c r="EW371" s="16">
        <v>435</v>
      </c>
      <c r="EX371" s="16">
        <v>42200</v>
      </c>
      <c r="EY371" s="16">
        <v>8259</v>
      </c>
      <c r="EZ371" s="16">
        <v>8039</v>
      </c>
      <c r="FA371" s="16">
        <v>3266</v>
      </c>
      <c r="FB371" s="16">
        <v>11928</v>
      </c>
      <c r="FC371" s="16">
        <v>768</v>
      </c>
      <c r="FD371" s="16">
        <v>18185</v>
      </c>
      <c r="FE371" s="16">
        <v>17931</v>
      </c>
      <c r="FF371" s="16">
        <v>6616</v>
      </c>
      <c r="FG371" s="16">
        <v>8968</v>
      </c>
      <c r="FH371" s="16">
        <v>19</v>
      </c>
      <c r="FI371" s="16">
        <v>14921</v>
      </c>
      <c r="FJ371" s="16">
        <v>618</v>
      </c>
      <c r="FK371" s="16">
        <v>14695</v>
      </c>
      <c r="FL371" s="16">
        <v>682</v>
      </c>
      <c r="FM371" s="16">
        <v>6577</v>
      </c>
      <c r="FN371" s="16">
        <v>9994</v>
      </c>
      <c r="FO371" s="16">
        <v>7642</v>
      </c>
      <c r="FP371" s="16">
        <v>10354</v>
      </c>
      <c r="FQ371" s="16">
        <v>18754</v>
      </c>
      <c r="FR371" s="16">
        <v>11211</v>
      </c>
      <c r="FS371" s="16">
        <v>7937</v>
      </c>
      <c r="FT371" s="16">
        <v>3266</v>
      </c>
      <c r="FU371" s="16">
        <v>29319</v>
      </c>
      <c r="FV371" s="16">
        <v>14386</v>
      </c>
      <c r="FW371" s="16">
        <v>23531</v>
      </c>
      <c r="FX371" s="16">
        <v>35303</v>
      </c>
      <c r="FY371" s="16">
        <v>3271</v>
      </c>
      <c r="FZ371" s="16">
        <v>7982</v>
      </c>
      <c r="GA371" s="16">
        <v>2237</v>
      </c>
      <c r="GB371" s="16">
        <v>13763</v>
      </c>
      <c r="GC371" s="16">
        <v>5113</v>
      </c>
      <c r="GD371" s="16">
        <v>7828</v>
      </c>
      <c r="GE371" s="16">
        <v>667</v>
      </c>
      <c r="GF371" s="16">
        <v>4075</v>
      </c>
      <c r="GG371" s="16">
        <v>124</v>
      </c>
      <c r="GH371" s="16">
        <v>11578</v>
      </c>
      <c r="GI371" s="16">
        <v>7616</v>
      </c>
      <c r="GJ371" s="16">
        <v>5314</v>
      </c>
      <c r="GK371" s="16">
        <v>2722</v>
      </c>
      <c r="GL371" s="16">
        <v>116</v>
      </c>
      <c r="GM371" s="16">
        <v>4308</v>
      </c>
      <c r="GN371" s="16">
        <v>556</v>
      </c>
      <c r="GO371" s="16">
        <v>3188</v>
      </c>
      <c r="GP371" s="16">
        <v>5743</v>
      </c>
      <c r="GQ371" s="16">
        <v>377</v>
      </c>
      <c r="GR371" s="16">
        <v>4056</v>
      </c>
      <c r="GS371" s="16">
        <v>1220</v>
      </c>
      <c r="GT371" s="16">
        <v>1959</v>
      </c>
      <c r="GU371" s="16">
        <v>9611</v>
      </c>
      <c r="GV371" s="16">
        <v>7262</v>
      </c>
      <c r="GW371" s="16">
        <v>8629</v>
      </c>
      <c r="GX371" s="16">
        <v>2442</v>
      </c>
      <c r="GY371" s="16">
        <v>33</v>
      </c>
      <c r="GZ371" s="16">
        <v>6058</v>
      </c>
      <c r="HA371" s="16">
        <v>2512</v>
      </c>
      <c r="HB371" s="16">
        <v>2534</v>
      </c>
      <c r="HC371" s="16">
        <v>7115</v>
      </c>
      <c r="HD371" s="16">
        <v>11754</v>
      </c>
      <c r="HE371" s="16">
        <v>10183</v>
      </c>
      <c r="HF371" s="16">
        <v>14645</v>
      </c>
      <c r="HG371" s="16">
        <v>1183</v>
      </c>
      <c r="HH371" s="16">
        <v>1603</v>
      </c>
      <c r="HI371" s="16">
        <v>5725</v>
      </c>
      <c r="HJ371" s="16">
        <v>1087</v>
      </c>
      <c r="HK371" s="16">
        <v>6937</v>
      </c>
      <c r="HL371" s="16">
        <v>19617</v>
      </c>
      <c r="HM371" s="16">
        <v>4265</v>
      </c>
      <c r="HN371" s="16">
        <v>30374</v>
      </c>
      <c r="HO371" s="16">
        <v>3869</v>
      </c>
      <c r="HP371" s="16">
        <v>2572</v>
      </c>
      <c r="HQ371" s="16">
        <v>18800</v>
      </c>
      <c r="HR371" s="16">
        <v>22367</v>
      </c>
      <c r="HS371" s="16">
        <v>6411</v>
      </c>
      <c r="HT371" s="16">
        <v>271</v>
      </c>
      <c r="HU371" s="16">
        <v>16751</v>
      </c>
      <c r="HV371" s="16">
        <v>3316</v>
      </c>
      <c r="HW371" s="16">
        <v>8717</v>
      </c>
      <c r="HX371" s="16">
        <v>6000</v>
      </c>
      <c r="HY371" s="16">
        <v>14634</v>
      </c>
      <c r="HZ371" s="16">
        <v>16952</v>
      </c>
      <c r="IA371" s="16">
        <v>5087</v>
      </c>
      <c r="IB371" s="16">
        <v>1134</v>
      </c>
      <c r="IC371" s="16">
        <v>1322</v>
      </c>
      <c r="ID371" s="16">
        <v>998</v>
      </c>
      <c r="IE371" s="16">
        <v>586</v>
      </c>
      <c r="IF371" s="16">
        <v>1190</v>
      </c>
      <c r="IG371" s="16">
        <v>7399</v>
      </c>
      <c r="IH371" s="16">
        <v>18703</v>
      </c>
      <c r="II371" s="16">
        <v>603</v>
      </c>
      <c r="IJ371" s="16">
        <v>100</v>
      </c>
      <c r="IK371" s="16">
        <v>109</v>
      </c>
      <c r="IL371" s="16">
        <v>719</v>
      </c>
      <c r="IM371" s="16">
        <v>192</v>
      </c>
      <c r="IN371" s="16">
        <v>18578</v>
      </c>
      <c r="IO371" s="16">
        <v>17923</v>
      </c>
      <c r="IP371" s="16">
        <v>5898</v>
      </c>
      <c r="IQ371" s="16">
        <v>4733</v>
      </c>
      <c r="IR371" s="16">
        <v>2044</v>
      </c>
      <c r="IS371" s="16">
        <v>1797</v>
      </c>
      <c r="IT371" s="16">
        <v>435</v>
      </c>
      <c r="IU371" s="16">
        <v>131</v>
      </c>
      <c r="IV371" s="16">
        <v>3280</v>
      </c>
      <c r="IW371" s="16">
        <v>6635</v>
      </c>
      <c r="IX371" s="16">
        <v>4606</v>
      </c>
      <c r="IY371" s="16">
        <v>512</v>
      </c>
      <c r="IZ371" s="16">
        <v>192</v>
      </c>
      <c r="JA371" s="16">
        <v>1687</v>
      </c>
      <c r="JB371" s="16">
        <v>281</v>
      </c>
      <c r="JC371" s="16">
        <v>357</v>
      </c>
      <c r="JD371" s="16">
        <v>879</v>
      </c>
      <c r="JE371" s="16">
        <v>6281</v>
      </c>
      <c r="JF371" s="16">
        <v>2065</v>
      </c>
      <c r="JG371" s="16">
        <v>191090</v>
      </c>
      <c r="JH371" s="16">
        <v>7393</v>
      </c>
      <c r="JI371" s="16">
        <v>4381</v>
      </c>
      <c r="JJ371" s="16">
        <v>3801</v>
      </c>
      <c r="JK371" s="16">
        <v>3633</v>
      </c>
      <c r="JL371" s="16">
        <v>1304</v>
      </c>
      <c r="JM371" s="16">
        <v>862</v>
      </c>
      <c r="JN371" s="16">
        <v>16598</v>
      </c>
      <c r="JO371" s="16">
        <v>103</v>
      </c>
      <c r="JP371" s="16">
        <v>4557</v>
      </c>
      <c r="JQ371" s="16">
        <v>3911</v>
      </c>
      <c r="JR371" s="16">
        <v>12338</v>
      </c>
      <c r="JS371" s="16">
        <v>4344</v>
      </c>
      <c r="JT371" s="16">
        <v>1</v>
      </c>
      <c r="JU371" s="16">
        <v>36179</v>
      </c>
      <c r="JV371" s="16">
        <v>36875</v>
      </c>
      <c r="JW371" s="16">
        <v>56167</v>
      </c>
      <c r="JX371" s="16">
        <v>42856</v>
      </c>
      <c r="JY371" s="16">
        <v>39825</v>
      </c>
      <c r="JZ371" s="16">
        <v>1494</v>
      </c>
      <c r="KA371" s="16">
        <v>3234</v>
      </c>
      <c r="KB371" s="16">
        <v>3167</v>
      </c>
      <c r="KC371" s="16">
        <v>2644</v>
      </c>
      <c r="KD371" s="16">
        <v>88</v>
      </c>
      <c r="KE371" s="16">
        <v>606</v>
      </c>
      <c r="KF371" s="16">
        <v>5063</v>
      </c>
      <c r="KG371" s="16">
        <v>4199</v>
      </c>
      <c r="KH371" s="16">
        <v>1739</v>
      </c>
      <c r="KI371" s="16">
        <v>4653</v>
      </c>
      <c r="KJ371" s="16">
        <v>401</v>
      </c>
      <c r="KK371" s="16">
        <v>168951</v>
      </c>
      <c r="KL371" s="16">
        <v>964</v>
      </c>
      <c r="KM371" s="16">
        <v>18435</v>
      </c>
      <c r="KN371" s="16">
        <v>4000</v>
      </c>
      <c r="KO371" s="16">
        <v>9063</v>
      </c>
      <c r="KP371" s="16">
        <v>837</v>
      </c>
      <c r="KQ371" s="16">
        <v>1630</v>
      </c>
      <c r="KR371" s="16">
        <v>12527</v>
      </c>
      <c r="KS371" s="16">
        <v>234</v>
      </c>
      <c r="KT371" s="16">
        <v>643</v>
      </c>
      <c r="KU371" s="16">
        <v>33206</v>
      </c>
      <c r="KV371" s="16">
        <v>18761</v>
      </c>
      <c r="KW371" s="16">
        <v>120554</v>
      </c>
      <c r="KX371" s="16">
        <v>370</v>
      </c>
      <c r="KY371" s="16">
        <v>23556</v>
      </c>
      <c r="KZ371" s="16">
        <v>58677</v>
      </c>
      <c r="LA371" s="16">
        <v>2720</v>
      </c>
      <c r="LB371" s="16">
        <v>4851</v>
      </c>
      <c r="LC371" s="16">
        <v>2088</v>
      </c>
      <c r="LD371" s="16">
        <v>20398</v>
      </c>
      <c r="LE371" s="16">
        <v>22424</v>
      </c>
      <c r="LF371" s="16">
        <v>13513</v>
      </c>
      <c r="LG371" s="16">
        <v>6721</v>
      </c>
      <c r="LH371" s="16">
        <v>9767</v>
      </c>
      <c r="LI371" s="16">
        <v>35112</v>
      </c>
      <c r="LJ371" s="16">
        <v>127722</v>
      </c>
      <c r="LK371" s="16">
        <v>177788</v>
      </c>
      <c r="LL371" s="16">
        <v>91302</v>
      </c>
      <c r="LM371" s="16">
        <v>40594</v>
      </c>
      <c r="LN371" s="16">
        <v>76918</v>
      </c>
      <c r="LO371" s="16">
        <v>32976</v>
      </c>
      <c r="LP371" s="16">
        <v>16214</v>
      </c>
      <c r="LQ371" s="16">
        <v>6455</v>
      </c>
      <c r="LR371" s="16">
        <v>116233</v>
      </c>
      <c r="LS371" s="16">
        <v>10110</v>
      </c>
      <c r="LT371" s="16">
        <v>118013</v>
      </c>
      <c r="LU371" s="16">
        <v>68536</v>
      </c>
      <c r="LV371" s="16">
        <v>470</v>
      </c>
      <c r="LW371" s="16">
        <v>82592</v>
      </c>
      <c r="LX371" s="16">
        <v>35921</v>
      </c>
      <c r="LY371" s="16">
        <v>0</v>
      </c>
      <c r="LZ371" s="16">
        <v>26646</v>
      </c>
      <c r="MA371" s="16">
        <v>119952</v>
      </c>
      <c r="MB371" s="16">
        <v>25969</v>
      </c>
      <c r="MC371" s="16">
        <v>24631</v>
      </c>
      <c r="MD371" s="16">
        <v>20645</v>
      </c>
      <c r="ME371" s="16">
        <v>55828</v>
      </c>
      <c r="MF371" s="16">
        <v>64134</v>
      </c>
      <c r="MG371" s="16">
        <v>25099</v>
      </c>
      <c r="MH371" s="16">
        <v>334420</v>
      </c>
      <c r="MI371" s="16">
        <v>6822</v>
      </c>
      <c r="MJ371" s="16">
        <v>13365</v>
      </c>
      <c r="MK371" s="16">
        <v>26513</v>
      </c>
      <c r="ML371" s="16">
        <v>44602</v>
      </c>
      <c r="MM371" s="16">
        <v>172707</v>
      </c>
      <c r="MN371" s="16">
        <v>38067</v>
      </c>
      <c r="MO371" s="16">
        <v>73409</v>
      </c>
      <c r="MP371" s="16">
        <v>128908</v>
      </c>
      <c r="MQ371" s="16">
        <v>177236</v>
      </c>
      <c r="MR371" s="16">
        <v>1484</v>
      </c>
      <c r="MS371" s="16">
        <v>1373</v>
      </c>
      <c r="MT371" s="16">
        <v>6571</v>
      </c>
      <c r="MU371" s="16">
        <v>38822</v>
      </c>
      <c r="MV371" s="16">
        <v>120677</v>
      </c>
      <c r="MW371" s="16">
        <v>379132</v>
      </c>
      <c r="MX371" s="16">
        <v>78</v>
      </c>
      <c r="MY371" s="16">
        <v>37056</v>
      </c>
      <c r="MZ371" s="16">
        <v>103962</v>
      </c>
      <c r="NA371" s="16">
        <v>395</v>
      </c>
      <c r="NB371" s="16">
        <v>111508</v>
      </c>
      <c r="NC371" s="16">
        <v>377</v>
      </c>
      <c r="ND371" s="16">
        <v>19049</v>
      </c>
      <c r="NE371" s="16">
        <v>3659</v>
      </c>
      <c r="NF371" s="16">
        <v>17768</v>
      </c>
      <c r="NG371" s="16">
        <v>513483</v>
      </c>
      <c r="NH371" s="16">
        <v>43506</v>
      </c>
      <c r="NI371" s="16">
        <v>52130</v>
      </c>
      <c r="NJ371" s="16">
        <v>70228</v>
      </c>
      <c r="NK371" s="16">
        <v>40361</v>
      </c>
      <c r="NL371" s="16">
        <v>17360</v>
      </c>
      <c r="NM371" s="16">
        <v>9485</v>
      </c>
      <c r="NN371" s="16">
        <v>4647</v>
      </c>
      <c r="NO371" s="16">
        <v>0</v>
      </c>
      <c r="NP371" s="16">
        <v>12636</v>
      </c>
      <c r="NQ371" s="16">
        <v>745</v>
      </c>
      <c r="NR371" s="17">
        <v>6544237</v>
      </c>
    </row>
    <row r="372" spans="1:382" ht="13.5" customHeight="1" x14ac:dyDescent="0.2">
      <c r="A372" s="2" t="s">
        <v>751</v>
      </c>
      <c r="B372" s="16">
        <v>169</v>
      </c>
      <c r="C372" s="16">
        <v>5</v>
      </c>
      <c r="D372" s="16">
        <v>162</v>
      </c>
      <c r="E372" s="16">
        <v>178</v>
      </c>
      <c r="F372" s="16">
        <v>885</v>
      </c>
      <c r="G372" s="16">
        <v>298</v>
      </c>
      <c r="H372" s="16">
        <v>17</v>
      </c>
      <c r="I372" s="16">
        <v>127</v>
      </c>
      <c r="J372" s="16">
        <v>7</v>
      </c>
      <c r="K372" s="16">
        <v>0</v>
      </c>
      <c r="L372" s="16">
        <v>571</v>
      </c>
      <c r="M372" s="16">
        <v>94</v>
      </c>
      <c r="N372" s="16">
        <v>7</v>
      </c>
      <c r="O372" s="16">
        <v>14</v>
      </c>
      <c r="P372" s="16">
        <v>122</v>
      </c>
      <c r="Q372" s="16">
        <v>445</v>
      </c>
      <c r="R372" s="16">
        <v>477</v>
      </c>
      <c r="S372" s="16">
        <v>73</v>
      </c>
      <c r="T372" s="16">
        <v>361</v>
      </c>
      <c r="U372" s="16">
        <v>114</v>
      </c>
      <c r="V372" s="16">
        <v>219</v>
      </c>
      <c r="W372" s="16">
        <v>6</v>
      </c>
      <c r="X372" s="16">
        <v>1758</v>
      </c>
      <c r="Y372" s="16">
        <v>1322</v>
      </c>
      <c r="Z372" s="16">
        <v>1027</v>
      </c>
      <c r="AA372" s="16">
        <v>57</v>
      </c>
      <c r="AB372" s="16">
        <v>0</v>
      </c>
      <c r="AC372" s="16">
        <v>0</v>
      </c>
      <c r="AD372" s="16">
        <v>0</v>
      </c>
      <c r="AE372" s="16">
        <v>18</v>
      </c>
      <c r="AF372" s="16">
        <v>15</v>
      </c>
      <c r="AG372" s="16">
        <v>1984</v>
      </c>
      <c r="AH372" s="16">
        <v>1465</v>
      </c>
      <c r="AI372" s="16">
        <v>380</v>
      </c>
      <c r="AJ372" s="16">
        <v>4034</v>
      </c>
      <c r="AK372" s="16">
        <v>828</v>
      </c>
      <c r="AL372" s="16">
        <v>202</v>
      </c>
      <c r="AM372" s="16">
        <v>587</v>
      </c>
      <c r="AN372" s="16">
        <v>534</v>
      </c>
      <c r="AO372" s="16">
        <v>496</v>
      </c>
      <c r="AP372" s="16">
        <v>112</v>
      </c>
      <c r="AQ372" s="16">
        <v>144</v>
      </c>
      <c r="AR372" s="16">
        <v>0</v>
      </c>
      <c r="AS372" s="16">
        <v>31</v>
      </c>
      <c r="AT372" s="16">
        <v>142</v>
      </c>
      <c r="AU372" s="16">
        <v>999</v>
      </c>
      <c r="AV372" s="16">
        <v>396</v>
      </c>
      <c r="AW372" s="16">
        <v>1242</v>
      </c>
      <c r="AX372" s="16">
        <v>293</v>
      </c>
      <c r="AY372" s="16">
        <v>431</v>
      </c>
      <c r="AZ372" s="16">
        <v>510</v>
      </c>
      <c r="BA372" s="16">
        <v>570</v>
      </c>
      <c r="BB372" s="16">
        <v>731</v>
      </c>
      <c r="BC372" s="16">
        <v>2919</v>
      </c>
      <c r="BD372" s="16">
        <v>46</v>
      </c>
      <c r="BE372" s="16">
        <v>344</v>
      </c>
      <c r="BF372" s="16">
        <v>536</v>
      </c>
      <c r="BG372" s="16">
        <v>426</v>
      </c>
      <c r="BH372" s="16">
        <v>1018</v>
      </c>
      <c r="BI372" s="16">
        <v>238</v>
      </c>
      <c r="BJ372" s="16">
        <v>173</v>
      </c>
      <c r="BK372" s="16">
        <v>217</v>
      </c>
      <c r="BL372" s="16">
        <v>1533</v>
      </c>
      <c r="BM372" s="16">
        <v>328</v>
      </c>
      <c r="BN372" s="16">
        <v>723</v>
      </c>
      <c r="BO372" s="16">
        <v>1197</v>
      </c>
      <c r="BP372" s="16">
        <v>2597</v>
      </c>
      <c r="BQ372" s="16">
        <v>404</v>
      </c>
      <c r="BR372" s="16">
        <v>292</v>
      </c>
      <c r="BS372" s="16">
        <v>1796</v>
      </c>
      <c r="BT372" s="16">
        <v>27</v>
      </c>
      <c r="BU372" s="16">
        <v>13</v>
      </c>
      <c r="BV372" s="16">
        <v>11</v>
      </c>
      <c r="BW372" s="16">
        <v>460</v>
      </c>
      <c r="BX372" s="16">
        <v>99</v>
      </c>
      <c r="BY372" s="16">
        <v>1</v>
      </c>
      <c r="BZ372" s="16">
        <v>283</v>
      </c>
      <c r="CA372" s="16">
        <v>175</v>
      </c>
      <c r="CB372" s="16">
        <v>40</v>
      </c>
      <c r="CC372" s="16">
        <v>1413</v>
      </c>
      <c r="CD372" s="16">
        <v>323</v>
      </c>
      <c r="CE372" s="16">
        <v>156</v>
      </c>
      <c r="CF372" s="16">
        <v>1267</v>
      </c>
      <c r="CG372" s="16">
        <v>549</v>
      </c>
      <c r="CH372" s="16">
        <v>381</v>
      </c>
      <c r="CI372" s="16">
        <v>27</v>
      </c>
      <c r="CJ372" s="16">
        <v>523</v>
      </c>
      <c r="CK372" s="16">
        <v>912</v>
      </c>
      <c r="CL372" s="16">
        <v>810</v>
      </c>
      <c r="CM372" s="16">
        <v>801</v>
      </c>
      <c r="CN372" s="16">
        <v>149</v>
      </c>
      <c r="CO372" s="16">
        <v>398</v>
      </c>
      <c r="CP372" s="16">
        <v>519</v>
      </c>
      <c r="CQ372" s="16">
        <v>4997</v>
      </c>
      <c r="CR372" s="16">
        <v>231</v>
      </c>
      <c r="CS372" s="16">
        <v>386</v>
      </c>
      <c r="CT372" s="16">
        <v>338</v>
      </c>
      <c r="CU372" s="16">
        <v>1152</v>
      </c>
      <c r="CV372" s="16">
        <v>520</v>
      </c>
      <c r="CW372" s="16">
        <v>1041</v>
      </c>
      <c r="CX372" s="16">
        <v>1247</v>
      </c>
      <c r="CY372" s="16">
        <v>113</v>
      </c>
      <c r="CZ372" s="16">
        <v>171</v>
      </c>
      <c r="DA372" s="16">
        <v>61</v>
      </c>
      <c r="DB372" s="16">
        <v>196</v>
      </c>
      <c r="DC372" s="16">
        <v>136</v>
      </c>
      <c r="DD372" s="16">
        <v>303</v>
      </c>
      <c r="DE372" s="16">
        <v>243</v>
      </c>
      <c r="DF372" s="16">
        <v>622</v>
      </c>
      <c r="DG372" s="16">
        <v>664</v>
      </c>
      <c r="DH372" s="16">
        <v>1157</v>
      </c>
      <c r="DI372" s="16">
        <v>227</v>
      </c>
      <c r="DJ372" s="16">
        <v>4081</v>
      </c>
      <c r="DK372" s="16">
        <v>254</v>
      </c>
      <c r="DL372" s="16">
        <v>317</v>
      </c>
      <c r="DM372" s="16">
        <v>5221</v>
      </c>
      <c r="DN372" s="16">
        <v>320</v>
      </c>
      <c r="DO372" s="16">
        <v>527</v>
      </c>
      <c r="DP372" s="16">
        <v>697</v>
      </c>
      <c r="DQ372" s="16">
        <v>122</v>
      </c>
      <c r="DR372" s="16">
        <v>929</v>
      </c>
      <c r="DS372" s="16">
        <v>1971</v>
      </c>
      <c r="DT372" s="16">
        <v>285</v>
      </c>
      <c r="DU372" s="16">
        <v>237</v>
      </c>
      <c r="DV372" s="16">
        <v>1676</v>
      </c>
      <c r="DW372" s="16">
        <v>2228</v>
      </c>
      <c r="DX372" s="16">
        <v>1433</v>
      </c>
      <c r="DY372" s="16">
        <v>2082</v>
      </c>
      <c r="DZ372" s="16">
        <v>7294</v>
      </c>
      <c r="EA372" s="16">
        <v>2531</v>
      </c>
      <c r="EB372" s="16">
        <v>674</v>
      </c>
      <c r="EC372" s="16">
        <v>1182</v>
      </c>
      <c r="ED372" s="16">
        <v>200</v>
      </c>
      <c r="EE372" s="16">
        <v>39</v>
      </c>
      <c r="EF372" s="16">
        <v>121</v>
      </c>
      <c r="EG372" s="16">
        <v>708</v>
      </c>
      <c r="EH372" s="16">
        <v>131</v>
      </c>
      <c r="EI372" s="16">
        <v>820</v>
      </c>
      <c r="EJ372" s="16">
        <v>224</v>
      </c>
      <c r="EK372" s="16">
        <v>288</v>
      </c>
      <c r="EL372" s="16">
        <v>151</v>
      </c>
      <c r="EM372" s="16">
        <v>250</v>
      </c>
      <c r="EN372" s="16">
        <v>1363</v>
      </c>
      <c r="EO372" s="16">
        <v>991</v>
      </c>
      <c r="EP372" s="16">
        <v>215</v>
      </c>
      <c r="EQ372" s="16">
        <v>517</v>
      </c>
      <c r="ER372" s="16">
        <v>126</v>
      </c>
      <c r="ES372" s="16">
        <v>490</v>
      </c>
      <c r="ET372" s="16">
        <v>629</v>
      </c>
      <c r="EU372" s="16">
        <v>25</v>
      </c>
      <c r="EV372" s="16">
        <v>41</v>
      </c>
      <c r="EW372" s="16">
        <v>157</v>
      </c>
      <c r="EX372" s="16">
        <v>2485</v>
      </c>
      <c r="EY372" s="16">
        <v>669</v>
      </c>
      <c r="EZ372" s="16">
        <v>869</v>
      </c>
      <c r="FA372" s="16">
        <v>643</v>
      </c>
      <c r="FB372" s="16">
        <v>2126</v>
      </c>
      <c r="FC372" s="16">
        <v>204</v>
      </c>
      <c r="FD372" s="16">
        <v>2298</v>
      </c>
      <c r="FE372" s="16">
        <v>2179</v>
      </c>
      <c r="FF372" s="16">
        <v>749</v>
      </c>
      <c r="FG372" s="16">
        <v>2094</v>
      </c>
      <c r="FH372" s="16">
        <v>7</v>
      </c>
      <c r="FI372" s="16">
        <v>1048</v>
      </c>
      <c r="FJ372" s="16">
        <v>100</v>
      </c>
      <c r="FK372" s="16">
        <v>1543</v>
      </c>
      <c r="FL372" s="16">
        <v>95</v>
      </c>
      <c r="FM372" s="16">
        <v>772</v>
      </c>
      <c r="FN372" s="16">
        <v>1289</v>
      </c>
      <c r="FO372" s="16">
        <v>696</v>
      </c>
      <c r="FP372" s="16">
        <v>1563</v>
      </c>
      <c r="FQ372" s="16">
        <v>2563</v>
      </c>
      <c r="FR372" s="16">
        <v>2490</v>
      </c>
      <c r="FS372" s="16">
        <v>1062</v>
      </c>
      <c r="FT372" s="16">
        <v>588</v>
      </c>
      <c r="FU372" s="16">
        <v>2943</v>
      </c>
      <c r="FV372" s="16">
        <v>1815</v>
      </c>
      <c r="FW372" s="16">
        <v>4568</v>
      </c>
      <c r="FX372" s="16">
        <v>5471</v>
      </c>
      <c r="FY372" s="16">
        <v>512</v>
      </c>
      <c r="FZ372" s="16">
        <v>1135</v>
      </c>
      <c r="GA372" s="16">
        <v>388</v>
      </c>
      <c r="GB372" s="16">
        <v>2621</v>
      </c>
      <c r="GC372" s="16">
        <v>746</v>
      </c>
      <c r="GD372" s="16">
        <v>1584</v>
      </c>
      <c r="GE372" s="16">
        <v>441</v>
      </c>
      <c r="GF372" s="16">
        <v>4810</v>
      </c>
      <c r="GG372" s="16">
        <v>275</v>
      </c>
      <c r="GH372" s="16">
        <v>3580</v>
      </c>
      <c r="GI372" s="16">
        <v>1657</v>
      </c>
      <c r="GJ372" s="16">
        <v>1149</v>
      </c>
      <c r="GK372" s="16">
        <v>900</v>
      </c>
      <c r="GL372" s="16">
        <v>74</v>
      </c>
      <c r="GM372" s="16">
        <v>1130</v>
      </c>
      <c r="GN372" s="16">
        <v>219</v>
      </c>
      <c r="GO372" s="16">
        <v>571</v>
      </c>
      <c r="GP372" s="16">
        <v>1356</v>
      </c>
      <c r="GQ372" s="16">
        <v>87</v>
      </c>
      <c r="GR372" s="16">
        <v>569</v>
      </c>
      <c r="GS372" s="16">
        <v>220</v>
      </c>
      <c r="GT372" s="16">
        <v>302</v>
      </c>
      <c r="GU372" s="16">
        <v>1905</v>
      </c>
      <c r="GV372" s="16">
        <v>1600</v>
      </c>
      <c r="GW372" s="16">
        <v>1324</v>
      </c>
      <c r="GX372" s="16">
        <v>436</v>
      </c>
      <c r="GY372" s="16">
        <v>12</v>
      </c>
      <c r="GZ372" s="16">
        <v>1144</v>
      </c>
      <c r="HA372" s="16">
        <v>510</v>
      </c>
      <c r="HB372" s="16">
        <v>436</v>
      </c>
      <c r="HC372" s="16">
        <v>1528</v>
      </c>
      <c r="HD372" s="16">
        <v>2218</v>
      </c>
      <c r="HE372" s="16">
        <v>2050</v>
      </c>
      <c r="HF372" s="16">
        <v>1952</v>
      </c>
      <c r="HG372" s="16">
        <v>360</v>
      </c>
      <c r="HH372" s="16">
        <v>342</v>
      </c>
      <c r="HI372" s="16">
        <v>1062</v>
      </c>
      <c r="HJ372" s="16">
        <v>236</v>
      </c>
      <c r="HK372" s="16">
        <v>1204</v>
      </c>
      <c r="HL372" s="16">
        <v>3059</v>
      </c>
      <c r="HM372" s="16">
        <v>906</v>
      </c>
      <c r="HN372" s="16">
        <v>5589</v>
      </c>
      <c r="HO372" s="16">
        <v>979</v>
      </c>
      <c r="HP372" s="16">
        <v>830</v>
      </c>
      <c r="HQ372" s="16">
        <v>2652</v>
      </c>
      <c r="HR372" s="16">
        <v>3141</v>
      </c>
      <c r="HS372" s="16">
        <v>1402</v>
      </c>
      <c r="HT372" s="16">
        <v>139</v>
      </c>
      <c r="HU372" s="16">
        <v>2663</v>
      </c>
      <c r="HV372" s="16">
        <v>603</v>
      </c>
      <c r="HW372" s="16">
        <v>1581</v>
      </c>
      <c r="HX372" s="16">
        <v>1375</v>
      </c>
      <c r="HY372" s="16">
        <v>2987</v>
      </c>
      <c r="HZ372" s="16">
        <v>2996</v>
      </c>
      <c r="IA372" s="16">
        <v>744</v>
      </c>
      <c r="IB372" s="16">
        <v>229</v>
      </c>
      <c r="IC372" s="16">
        <v>230</v>
      </c>
      <c r="ID372" s="16">
        <v>296</v>
      </c>
      <c r="IE372" s="16">
        <v>119</v>
      </c>
      <c r="IF372" s="16">
        <v>242</v>
      </c>
      <c r="IG372" s="16">
        <v>1865</v>
      </c>
      <c r="IH372" s="16">
        <v>5615</v>
      </c>
      <c r="II372" s="16">
        <v>662</v>
      </c>
      <c r="IJ372" s="16">
        <v>380</v>
      </c>
      <c r="IK372" s="16">
        <v>304</v>
      </c>
      <c r="IL372" s="16">
        <v>212</v>
      </c>
      <c r="IM372" s="16">
        <v>9</v>
      </c>
      <c r="IN372" s="16">
        <v>4801</v>
      </c>
      <c r="IO372" s="16">
        <v>7315</v>
      </c>
      <c r="IP372" s="16">
        <v>605</v>
      </c>
      <c r="IQ372" s="16">
        <v>358</v>
      </c>
      <c r="IR372" s="16">
        <v>461</v>
      </c>
      <c r="IS372" s="16">
        <v>193</v>
      </c>
      <c r="IT372" s="16">
        <v>270</v>
      </c>
      <c r="IU372" s="16">
        <v>14</v>
      </c>
      <c r="IV372" s="16">
        <v>527</v>
      </c>
      <c r="IW372" s="16">
        <v>1323</v>
      </c>
      <c r="IX372" s="16">
        <v>604</v>
      </c>
      <c r="IY372" s="16">
        <v>195</v>
      </c>
      <c r="IZ372" s="16">
        <v>40</v>
      </c>
      <c r="JA372" s="16">
        <v>318</v>
      </c>
      <c r="JB372" s="16">
        <v>75</v>
      </c>
      <c r="JC372" s="16">
        <v>86</v>
      </c>
      <c r="JD372" s="16">
        <v>182</v>
      </c>
      <c r="JE372" s="16">
        <v>960</v>
      </c>
      <c r="JF372" s="16">
        <v>460</v>
      </c>
      <c r="JG372" s="16">
        <v>42185</v>
      </c>
      <c r="JH372" s="16">
        <v>1663</v>
      </c>
      <c r="JI372" s="16">
        <v>389</v>
      </c>
      <c r="JJ372" s="16">
        <v>1276</v>
      </c>
      <c r="JK372" s="16">
        <v>638</v>
      </c>
      <c r="JL372" s="16">
        <v>239</v>
      </c>
      <c r="JM372" s="16">
        <v>78</v>
      </c>
      <c r="JN372" s="16">
        <v>1456</v>
      </c>
      <c r="JO372" s="16">
        <v>125</v>
      </c>
      <c r="JP372" s="16">
        <v>624</v>
      </c>
      <c r="JQ372" s="16">
        <v>1058</v>
      </c>
      <c r="JR372" s="16">
        <v>1514</v>
      </c>
      <c r="JS372" s="16">
        <v>1079</v>
      </c>
      <c r="JT372" s="16">
        <v>0</v>
      </c>
      <c r="JU372" s="16">
        <v>5788</v>
      </c>
      <c r="JV372" s="16">
        <v>5107</v>
      </c>
      <c r="JW372" s="16">
        <v>22143</v>
      </c>
      <c r="JX372" s="16">
        <v>19490</v>
      </c>
      <c r="JY372" s="16">
        <v>7811</v>
      </c>
      <c r="JZ372" s="16">
        <v>2135</v>
      </c>
      <c r="KA372" s="16">
        <v>978</v>
      </c>
      <c r="KB372" s="16">
        <v>484</v>
      </c>
      <c r="KC372" s="16">
        <v>716</v>
      </c>
      <c r="KD372" s="16">
        <v>892</v>
      </c>
      <c r="KE372" s="16">
        <v>302</v>
      </c>
      <c r="KF372" s="16">
        <v>1936</v>
      </c>
      <c r="KG372" s="16">
        <v>703</v>
      </c>
      <c r="KH372" s="16">
        <v>1470</v>
      </c>
      <c r="KI372" s="16">
        <v>2574</v>
      </c>
      <c r="KJ372" s="16">
        <v>1273</v>
      </c>
      <c r="KK372" s="16">
        <v>151163</v>
      </c>
      <c r="KL372" s="16">
        <v>113</v>
      </c>
      <c r="KM372" s="16">
        <v>4862</v>
      </c>
      <c r="KN372" s="16">
        <v>3747</v>
      </c>
      <c r="KO372" s="16">
        <v>983</v>
      </c>
      <c r="KP372" s="16">
        <v>213</v>
      </c>
      <c r="KQ372" s="16">
        <v>931</v>
      </c>
      <c r="KR372" s="16">
        <v>2238</v>
      </c>
      <c r="KS372" s="16">
        <v>258</v>
      </c>
      <c r="KT372" s="16">
        <v>186</v>
      </c>
      <c r="KU372" s="16">
        <v>3639</v>
      </c>
      <c r="KV372" s="16">
        <v>9148</v>
      </c>
      <c r="KW372" s="16">
        <v>19414</v>
      </c>
      <c r="KX372" s="16">
        <v>143</v>
      </c>
      <c r="KY372" s="16">
        <v>2947</v>
      </c>
      <c r="KZ372" s="16">
        <v>14815</v>
      </c>
      <c r="LA372" s="16">
        <v>2787</v>
      </c>
      <c r="LB372" s="16">
        <v>1223</v>
      </c>
      <c r="LC372" s="16">
        <v>1943</v>
      </c>
      <c r="LD372" s="16">
        <v>5153</v>
      </c>
      <c r="LE372" s="16">
        <v>3339</v>
      </c>
      <c r="LF372" s="16">
        <v>848</v>
      </c>
      <c r="LG372" s="16">
        <v>950</v>
      </c>
      <c r="LH372" s="16">
        <v>1672</v>
      </c>
      <c r="LI372" s="16">
        <v>1092</v>
      </c>
      <c r="LJ372" s="16">
        <v>4803</v>
      </c>
      <c r="LK372" s="16">
        <v>5678</v>
      </c>
      <c r="LL372" s="16">
        <v>10554</v>
      </c>
      <c r="LM372" s="16">
        <v>22063</v>
      </c>
      <c r="LN372" s="16">
        <v>10499</v>
      </c>
      <c r="LO372" s="16">
        <v>4523</v>
      </c>
      <c r="LP372" s="16">
        <v>2857</v>
      </c>
      <c r="LQ372" s="16">
        <v>562</v>
      </c>
      <c r="LR372" s="16">
        <v>27044</v>
      </c>
      <c r="LS372" s="16">
        <v>1829</v>
      </c>
      <c r="LT372" s="16">
        <v>9266</v>
      </c>
      <c r="LU372" s="16">
        <v>9276</v>
      </c>
      <c r="LV372" s="16">
        <v>73</v>
      </c>
      <c r="LW372" s="16">
        <v>18031</v>
      </c>
      <c r="LX372" s="16">
        <v>11858</v>
      </c>
      <c r="LY372" s="16">
        <v>0</v>
      </c>
      <c r="LZ372" s="16">
        <v>26074</v>
      </c>
      <c r="MA372" s="16">
        <v>7891</v>
      </c>
      <c r="MB372" s="16">
        <v>6428</v>
      </c>
      <c r="MC372" s="16">
        <v>2214</v>
      </c>
      <c r="MD372" s="16">
        <v>3909</v>
      </c>
      <c r="ME372" s="16">
        <v>5185</v>
      </c>
      <c r="MF372" s="16">
        <v>45607</v>
      </c>
      <c r="MG372" s="16">
        <v>9762</v>
      </c>
      <c r="MH372" s="16">
        <v>98437</v>
      </c>
      <c r="MI372" s="16">
        <v>1234</v>
      </c>
      <c r="MJ372" s="16">
        <v>11078</v>
      </c>
      <c r="MK372" s="16">
        <v>6375</v>
      </c>
      <c r="ML372" s="16">
        <v>9883</v>
      </c>
      <c r="MM372" s="16">
        <v>6963</v>
      </c>
      <c r="MN372" s="16">
        <v>7858</v>
      </c>
      <c r="MO372" s="16">
        <v>8843</v>
      </c>
      <c r="MP372" s="16">
        <v>23945</v>
      </c>
      <c r="MQ372" s="16">
        <v>16853</v>
      </c>
      <c r="MR372" s="16">
        <v>0</v>
      </c>
      <c r="MS372" s="16">
        <v>0</v>
      </c>
      <c r="MT372" s="16">
        <v>0</v>
      </c>
      <c r="MU372" s="16">
        <v>1160</v>
      </c>
      <c r="MV372" s="16">
        <v>11212</v>
      </c>
      <c r="MW372" s="16">
        <v>25541</v>
      </c>
      <c r="MX372" s="16">
        <v>0</v>
      </c>
      <c r="MY372" s="16">
        <v>2927</v>
      </c>
      <c r="MZ372" s="16">
        <v>16417</v>
      </c>
      <c r="NA372" s="16">
        <v>0</v>
      </c>
      <c r="NB372" s="16">
        <v>9122</v>
      </c>
      <c r="NC372" s="16">
        <v>1324</v>
      </c>
      <c r="ND372" s="16">
        <v>1698</v>
      </c>
      <c r="NE372" s="16">
        <v>716</v>
      </c>
      <c r="NF372" s="16">
        <v>3297</v>
      </c>
      <c r="NG372" s="16">
        <v>14174</v>
      </c>
      <c r="NH372" s="16">
        <v>21023</v>
      </c>
      <c r="NI372" s="16">
        <v>6222</v>
      </c>
      <c r="NJ372" s="16">
        <v>26899</v>
      </c>
      <c r="NK372" s="16">
        <v>6221</v>
      </c>
      <c r="NL372" s="16">
        <v>4480</v>
      </c>
      <c r="NM372" s="16">
        <v>5459</v>
      </c>
      <c r="NN372" s="16">
        <v>764</v>
      </c>
      <c r="NO372" s="16">
        <v>0</v>
      </c>
      <c r="NP372" s="16">
        <v>2831</v>
      </c>
      <c r="NQ372" s="16">
        <v>159</v>
      </c>
      <c r="NR372" s="17">
        <v>1209339</v>
      </c>
    </row>
    <row r="373" spans="1:382" ht="13.5" customHeight="1" x14ac:dyDescent="0.2">
      <c r="A373" s="2" t="s">
        <v>753</v>
      </c>
      <c r="B373" s="16">
        <v>1557</v>
      </c>
      <c r="C373" s="16">
        <v>141</v>
      </c>
      <c r="D373" s="16">
        <v>0</v>
      </c>
      <c r="E373" s="16">
        <v>0</v>
      </c>
      <c r="F373" s="16">
        <v>2191</v>
      </c>
      <c r="G373" s="16">
        <v>626</v>
      </c>
      <c r="H373" s="16">
        <v>211</v>
      </c>
      <c r="I373" s="16">
        <v>0</v>
      </c>
      <c r="J373" s="16">
        <v>0</v>
      </c>
      <c r="K373" s="16">
        <v>0</v>
      </c>
      <c r="L373" s="16">
        <v>1011</v>
      </c>
      <c r="M373" s="16">
        <v>0</v>
      </c>
      <c r="N373" s="16">
        <v>0</v>
      </c>
      <c r="O373" s="16">
        <v>321</v>
      </c>
      <c r="P373" s="16">
        <v>3590</v>
      </c>
      <c r="Q373" s="16">
        <v>3491</v>
      </c>
      <c r="R373" s="16">
        <v>1652</v>
      </c>
      <c r="S373" s="16">
        <v>1243</v>
      </c>
      <c r="T373" s="16">
        <v>92</v>
      </c>
      <c r="U373" s="16">
        <v>0</v>
      </c>
      <c r="V373" s="16">
        <v>340</v>
      </c>
      <c r="W373" s="16">
        <v>8</v>
      </c>
      <c r="X373" s="16">
        <v>4362</v>
      </c>
      <c r="Y373" s="16">
        <v>6732</v>
      </c>
      <c r="Z373" s="16">
        <v>1762</v>
      </c>
      <c r="AA373" s="16">
        <v>134</v>
      </c>
      <c r="AB373" s="16">
        <v>0</v>
      </c>
      <c r="AC373" s="16">
        <v>0</v>
      </c>
      <c r="AD373" s="16">
        <v>0</v>
      </c>
      <c r="AE373" s="16">
        <v>11</v>
      </c>
      <c r="AF373" s="16">
        <v>24</v>
      </c>
      <c r="AG373" s="16">
        <v>3376</v>
      </c>
      <c r="AH373" s="16">
        <v>548</v>
      </c>
      <c r="AI373" s="16">
        <v>812</v>
      </c>
      <c r="AJ373" s="16">
        <v>18571</v>
      </c>
      <c r="AK373" s="16">
        <v>34106</v>
      </c>
      <c r="AL373" s="16">
        <v>410</v>
      </c>
      <c r="AM373" s="16">
        <v>3061</v>
      </c>
      <c r="AN373" s="16">
        <v>927</v>
      </c>
      <c r="AO373" s="16">
        <v>5327</v>
      </c>
      <c r="AP373" s="16">
        <v>14</v>
      </c>
      <c r="AQ373" s="16">
        <v>152</v>
      </c>
      <c r="AR373" s="16">
        <v>0</v>
      </c>
      <c r="AS373" s="16">
        <v>35</v>
      </c>
      <c r="AT373" s="16">
        <v>454</v>
      </c>
      <c r="AU373" s="16">
        <v>2578</v>
      </c>
      <c r="AV373" s="16">
        <v>2710</v>
      </c>
      <c r="AW373" s="16">
        <v>3299</v>
      </c>
      <c r="AX373" s="16">
        <v>1696</v>
      </c>
      <c r="AY373" s="16">
        <v>169</v>
      </c>
      <c r="AZ373" s="16">
        <v>1166</v>
      </c>
      <c r="BA373" s="16">
        <v>1131</v>
      </c>
      <c r="BB373" s="16">
        <v>452</v>
      </c>
      <c r="BC373" s="16">
        <v>13717</v>
      </c>
      <c r="BD373" s="16">
        <v>1149</v>
      </c>
      <c r="BE373" s="16">
        <v>3086</v>
      </c>
      <c r="BF373" s="16">
        <v>1026</v>
      </c>
      <c r="BG373" s="16">
        <v>3079</v>
      </c>
      <c r="BH373" s="16">
        <v>3533</v>
      </c>
      <c r="BI373" s="16">
        <v>684</v>
      </c>
      <c r="BJ373" s="16">
        <v>1285</v>
      </c>
      <c r="BK373" s="16">
        <v>999</v>
      </c>
      <c r="BL373" s="16">
        <v>9782</v>
      </c>
      <c r="BM373" s="16">
        <v>827</v>
      </c>
      <c r="BN373" s="16">
        <v>2636</v>
      </c>
      <c r="BO373" s="16">
        <v>12546</v>
      </c>
      <c r="BP373" s="16">
        <v>5545</v>
      </c>
      <c r="BQ373" s="16">
        <v>847</v>
      </c>
      <c r="BR373" s="16">
        <v>447</v>
      </c>
      <c r="BS373" s="16">
        <v>3709</v>
      </c>
      <c r="BT373" s="16">
        <v>193</v>
      </c>
      <c r="BU373" s="16">
        <v>195</v>
      </c>
      <c r="BV373" s="16">
        <v>32</v>
      </c>
      <c r="BW373" s="16">
        <v>3180</v>
      </c>
      <c r="BX373" s="16">
        <v>800</v>
      </c>
      <c r="BY373" s="16">
        <v>9</v>
      </c>
      <c r="BZ373" s="16">
        <v>1696</v>
      </c>
      <c r="CA373" s="16">
        <v>718</v>
      </c>
      <c r="CB373" s="16">
        <v>26</v>
      </c>
      <c r="CC373" s="16">
        <v>2723</v>
      </c>
      <c r="CD373" s="16">
        <v>1299</v>
      </c>
      <c r="CE373" s="16">
        <v>1116</v>
      </c>
      <c r="CF373" s="16">
        <v>4075</v>
      </c>
      <c r="CG373" s="16">
        <v>1125</v>
      </c>
      <c r="CH373" s="16">
        <v>2492</v>
      </c>
      <c r="CI373" s="16">
        <v>1128</v>
      </c>
      <c r="CJ373" s="16">
        <v>6887</v>
      </c>
      <c r="CK373" s="16">
        <v>5564</v>
      </c>
      <c r="CL373" s="16">
        <v>884</v>
      </c>
      <c r="CM373" s="16">
        <v>2879</v>
      </c>
      <c r="CN373" s="16">
        <v>915</v>
      </c>
      <c r="CO373" s="16">
        <v>1065</v>
      </c>
      <c r="CP373" s="16">
        <v>1665</v>
      </c>
      <c r="CQ373" s="16">
        <v>5464</v>
      </c>
      <c r="CR373" s="16">
        <v>22644</v>
      </c>
      <c r="CS373" s="16">
        <v>6286</v>
      </c>
      <c r="CT373" s="16">
        <v>8347</v>
      </c>
      <c r="CU373" s="16">
        <v>5272</v>
      </c>
      <c r="CV373" s="16">
        <v>9496</v>
      </c>
      <c r="CW373" s="16">
        <v>21790</v>
      </c>
      <c r="CX373" s="16">
        <v>6165</v>
      </c>
      <c r="CY373" s="16">
        <v>4231</v>
      </c>
      <c r="CZ373" s="16">
        <v>3157</v>
      </c>
      <c r="DA373" s="16">
        <v>410</v>
      </c>
      <c r="DB373" s="16">
        <v>1087</v>
      </c>
      <c r="DC373" s="16">
        <v>193</v>
      </c>
      <c r="DD373" s="16">
        <v>1500</v>
      </c>
      <c r="DE373" s="16">
        <v>5180</v>
      </c>
      <c r="DF373" s="16">
        <v>9235</v>
      </c>
      <c r="DG373" s="16">
        <v>8489</v>
      </c>
      <c r="DH373" s="16">
        <v>4737</v>
      </c>
      <c r="DI373" s="16">
        <v>1533</v>
      </c>
      <c r="DJ373" s="16">
        <v>24710</v>
      </c>
      <c r="DK373" s="16">
        <v>2017</v>
      </c>
      <c r="DL373" s="16">
        <v>2375</v>
      </c>
      <c r="DM373" s="16">
        <v>33942</v>
      </c>
      <c r="DN373" s="16">
        <v>1521</v>
      </c>
      <c r="DO373" s="16">
        <v>4210</v>
      </c>
      <c r="DP373" s="16">
        <v>2428</v>
      </c>
      <c r="DQ373" s="16">
        <v>760</v>
      </c>
      <c r="DR373" s="16">
        <v>2408</v>
      </c>
      <c r="DS373" s="16">
        <v>3980</v>
      </c>
      <c r="DT373" s="16">
        <v>1083</v>
      </c>
      <c r="DU373" s="16">
        <v>1184</v>
      </c>
      <c r="DV373" s="16">
        <v>2891</v>
      </c>
      <c r="DW373" s="16">
        <v>5023</v>
      </c>
      <c r="DX373" s="16">
        <v>2972</v>
      </c>
      <c r="DY373" s="16">
        <v>3379</v>
      </c>
      <c r="DZ373" s="16">
        <v>11020</v>
      </c>
      <c r="EA373" s="16">
        <v>5547</v>
      </c>
      <c r="EB373" s="16">
        <v>3381</v>
      </c>
      <c r="EC373" s="16">
        <v>7022</v>
      </c>
      <c r="ED373" s="16">
        <v>1099</v>
      </c>
      <c r="EE373" s="16">
        <v>295</v>
      </c>
      <c r="EF373" s="16">
        <v>564</v>
      </c>
      <c r="EG373" s="16">
        <v>3687</v>
      </c>
      <c r="EH373" s="16">
        <v>753</v>
      </c>
      <c r="EI373" s="16">
        <v>4378</v>
      </c>
      <c r="EJ373" s="16">
        <v>2335</v>
      </c>
      <c r="EK373" s="16">
        <v>1028</v>
      </c>
      <c r="EL373" s="16">
        <v>1168</v>
      </c>
      <c r="EM373" s="16">
        <v>2080</v>
      </c>
      <c r="EN373" s="16">
        <v>33027</v>
      </c>
      <c r="EO373" s="16">
        <v>7720</v>
      </c>
      <c r="EP373" s="16">
        <v>1008</v>
      </c>
      <c r="EQ373" s="16">
        <v>3690</v>
      </c>
      <c r="ER373" s="16">
        <v>2493</v>
      </c>
      <c r="ES373" s="16">
        <v>4842</v>
      </c>
      <c r="ET373" s="16">
        <v>3851</v>
      </c>
      <c r="EU373" s="16">
        <v>1091</v>
      </c>
      <c r="EV373" s="16">
        <v>2193</v>
      </c>
      <c r="EW373" s="16">
        <v>2292</v>
      </c>
      <c r="EX373" s="16">
        <v>39158</v>
      </c>
      <c r="EY373" s="16">
        <v>7964</v>
      </c>
      <c r="EZ373" s="16">
        <v>3843</v>
      </c>
      <c r="FA373" s="16">
        <v>9538</v>
      </c>
      <c r="FB373" s="16">
        <v>22665</v>
      </c>
      <c r="FC373" s="16">
        <v>207</v>
      </c>
      <c r="FD373" s="16">
        <v>25866</v>
      </c>
      <c r="FE373" s="16">
        <v>8669</v>
      </c>
      <c r="FF373" s="16">
        <v>13067</v>
      </c>
      <c r="FG373" s="16">
        <v>19055</v>
      </c>
      <c r="FH373" s="16">
        <v>1176</v>
      </c>
      <c r="FI373" s="16">
        <v>4877</v>
      </c>
      <c r="FJ373" s="16">
        <v>154</v>
      </c>
      <c r="FK373" s="16">
        <v>6561</v>
      </c>
      <c r="FL373" s="16">
        <v>44</v>
      </c>
      <c r="FM373" s="16">
        <v>3914</v>
      </c>
      <c r="FN373" s="16">
        <v>11851</v>
      </c>
      <c r="FO373" s="16">
        <v>938</v>
      </c>
      <c r="FP373" s="16">
        <v>18610</v>
      </c>
      <c r="FQ373" s="16">
        <v>15328</v>
      </c>
      <c r="FR373" s="16">
        <v>7771</v>
      </c>
      <c r="FS373" s="16">
        <v>1384</v>
      </c>
      <c r="FT373" s="16">
        <v>11729</v>
      </c>
      <c r="FU373" s="16">
        <v>25925</v>
      </c>
      <c r="FV373" s="16">
        <v>16152</v>
      </c>
      <c r="FW373" s="16">
        <v>11638</v>
      </c>
      <c r="FX373" s="16">
        <v>22584</v>
      </c>
      <c r="FY373" s="16">
        <v>2895</v>
      </c>
      <c r="FZ373" s="16">
        <v>8685</v>
      </c>
      <c r="GA373" s="16">
        <v>2534</v>
      </c>
      <c r="GB373" s="16">
        <v>10204</v>
      </c>
      <c r="GC373" s="16">
        <v>5251</v>
      </c>
      <c r="GD373" s="16">
        <v>6587</v>
      </c>
      <c r="GE373" s="16">
        <v>192</v>
      </c>
      <c r="GF373" s="16">
        <v>18293</v>
      </c>
      <c r="GG373" s="16">
        <v>3083</v>
      </c>
      <c r="GH373" s="16">
        <v>9115</v>
      </c>
      <c r="GI373" s="16">
        <v>4698</v>
      </c>
      <c r="GJ373" s="16">
        <v>4742</v>
      </c>
      <c r="GK373" s="16">
        <v>2655</v>
      </c>
      <c r="GL373" s="16">
        <v>30</v>
      </c>
      <c r="GM373" s="16">
        <v>1972</v>
      </c>
      <c r="GN373" s="16">
        <v>187</v>
      </c>
      <c r="GO373" s="16">
        <v>2218</v>
      </c>
      <c r="GP373" s="16">
        <v>3685</v>
      </c>
      <c r="GQ373" s="16">
        <v>193</v>
      </c>
      <c r="GR373" s="16">
        <v>1763</v>
      </c>
      <c r="GS373" s="16">
        <v>374</v>
      </c>
      <c r="GT373" s="16">
        <v>936</v>
      </c>
      <c r="GU373" s="16">
        <v>3713</v>
      </c>
      <c r="GV373" s="16">
        <v>3769</v>
      </c>
      <c r="GW373" s="16">
        <v>6484</v>
      </c>
      <c r="GX373" s="16">
        <v>1825</v>
      </c>
      <c r="GY373" s="16">
        <v>56</v>
      </c>
      <c r="GZ373" s="16">
        <v>4937</v>
      </c>
      <c r="HA373" s="16">
        <v>3032</v>
      </c>
      <c r="HB373" s="16">
        <v>2703</v>
      </c>
      <c r="HC373" s="16">
        <v>7648</v>
      </c>
      <c r="HD373" s="16">
        <v>15122</v>
      </c>
      <c r="HE373" s="16">
        <v>13590</v>
      </c>
      <c r="HF373" s="16">
        <v>9495</v>
      </c>
      <c r="HG373" s="16">
        <v>1101</v>
      </c>
      <c r="HH373" s="16">
        <v>356</v>
      </c>
      <c r="HI373" s="16">
        <v>5196</v>
      </c>
      <c r="HJ373" s="16">
        <v>3775</v>
      </c>
      <c r="HK373" s="16">
        <v>12482</v>
      </c>
      <c r="HL373" s="16">
        <v>40954</v>
      </c>
      <c r="HM373" s="16">
        <v>8449</v>
      </c>
      <c r="HN373" s="16">
        <v>6839</v>
      </c>
      <c r="HO373" s="16">
        <v>2041</v>
      </c>
      <c r="HP373" s="16">
        <v>3862</v>
      </c>
      <c r="HQ373" s="16">
        <v>12695</v>
      </c>
      <c r="HR373" s="16">
        <v>9718</v>
      </c>
      <c r="HS373" s="16">
        <v>28329</v>
      </c>
      <c r="HT373" s="16">
        <v>445</v>
      </c>
      <c r="HU373" s="16">
        <v>7526</v>
      </c>
      <c r="HV373" s="16">
        <v>6586</v>
      </c>
      <c r="HW373" s="16">
        <v>3726</v>
      </c>
      <c r="HX373" s="16">
        <v>8247</v>
      </c>
      <c r="HY373" s="16">
        <v>11051</v>
      </c>
      <c r="HZ373" s="16">
        <v>5455</v>
      </c>
      <c r="IA373" s="16">
        <v>1964</v>
      </c>
      <c r="IB373" s="16">
        <v>2811</v>
      </c>
      <c r="IC373" s="16">
        <v>1497</v>
      </c>
      <c r="ID373" s="16">
        <v>393</v>
      </c>
      <c r="IE373" s="16">
        <v>436</v>
      </c>
      <c r="IF373" s="16">
        <v>470</v>
      </c>
      <c r="IG373" s="16">
        <v>1462</v>
      </c>
      <c r="IH373" s="16">
        <v>53753</v>
      </c>
      <c r="II373" s="16">
        <v>2833</v>
      </c>
      <c r="IJ373" s="16">
        <v>5341</v>
      </c>
      <c r="IK373" s="16">
        <v>4357</v>
      </c>
      <c r="IL373" s="16">
        <v>1184</v>
      </c>
      <c r="IM373" s="16">
        <v>402</v>
      </c>
      <c r="IN373" s="16">
        <v>13097</v>
      </c>
      <c r="IO373" s="16">
        <v>25918</v>
      </c>
      <c r="IP373" s="16">
        <v>4952</v>
      </c>
      <c r="IQ373" s="16">
        <v>3745</v>
      </c>
      <c r="IR373" s="16">
        <v>2261</v>
      </c>
      <c r="IS373" s="16">
        <v>2533</v>
      </c>
      <c r="IT373" s="16">
        <v>377</v>
      </c>
      <c r="IU373" s="16">
        <v>344</v>
      </c>
      <c r="IV373" s="16">
        <v>1777</v>
      </c>
      <c r="IW373" s="16">
        <v>3683</v>
      </c>
      <c r="IX373" s="16">
        <v>4158</v>
      </c>
      <c r="IY373" s="16">
        <v>554</v>
      </c>
      <c r="IZ373" s="16">
        <v>89</v>
      </c>
      <c r="JA373" s="16">
        <v>1919</v>
      </c>
      <c r="JB373" s="16">
        <v>33</v>
      </c>
      <c r="JC373" s="16">
        <v>985</v>
      </c>
      <c r="JD373" s="16">
        <v>867</v>
      </c>
      <c r="JE373" s="16">
        <v>1919</v>
      </c>
      <c r="JF373" s="16">
        <v>1302</v>
      </c>
      <c r="JG373" s="16">
        <v>146730</v>
      </c>
      <c r="JH373" s="16">
        <v>769</v>
      </c>
      <c r="JI373" s="16">
        <v>2674</v>
      </c>
      <c r="JJ373" s="16">
        <v>6697</v>
      </c>
      <c r="JK373" s="16">
        <v>4416</v>
      </c>
      <c r="JL373" s="16">
        <v>806</v>
      </c>
      <c r="JM373" s="16">
        <v>772</v>
      </c>
      <c r="JN373" s="16">
        <v>10317</v>
      </c>
      <c r="JO373" s="16">
        <v>3769</v>
      </c>
      <c r="JP373" s="16">
        <v>1998</v>
      </c>
      <c r="JQ373" s="16">
        <v>3498</v>
      </c>
      <c r="JR373" s="16">
        <v>4580</v>
      </c>
      <c r="JS373" s="16">
        <v>1795</v>
      </c>
      <c r="JT373" s="16">
        <v>1</v>
      </c>
      <c r="JU373" s="16">
        <v>13689</v>
      </c>
      <c r="JV373" s="16">
        <v>33094</v>
      </c>
      <c r="JW373" s="16">
        <v>37356</v>
      </c>
      <c r="JX373" s="16">
        <v>34516</v>
      </c>
      <c r="JY373" s="16">
        <v>7432</v>
      </c>
      <c r="JZ373" s="16">
        <v>1721</v>
      </c>
      <c r="KA373" s="16">
        <v>3623</v>
      </c>
      <c r="KB373" s="16">
        <v>9749</v>
      </c>
      <c r="KC373" s="16">
        <v>4687</v>
      </c>
      <c r="KD373" s="16">
        <v>5779</v>
      </c>
      <c r="KE373" s="16">
        <v>896</v>
      </c>
      <c r="KF373" s="16">
        <v>9378</v>
      </c>
      <c r="KG373" s="16">
        <v>3044</v>
      </c>
      <c r="KH373" s="16">
        <v>4408</v>
      </c>
      <c r="KI373" s="16">
        <v>7984</v>
      </c>
      <c r="KJ373" s="16">
        <v>854</v>
      </c>
      <c r="KK373" s="16">
        <v>682688</v>
      </c>
      <c r="KL373" s="16">
        <v>32</v>
      </c>
      <c r="KM373" s="16">
        <v>23101</v>
      </c>
      <c r="KN373" s="16">
        <v>23570</v>
      </c>
      <c r="KO373" s="16">
        <v>4743</v>
      </c>
      <c r="KP373" s="16">
        <v>4828</v>
      </c>
      <c r="KQ373" s="16">
        <v>5044</v>
      </c>
      <c r="KR373" s="16">
        <v>22962</v>
      </c>
      <c r="KS373" s="16">
        <v>4934</v>
      </c>
      <c r="KT373" s="16">
        <v>235</v>
      </c>
      <c r="KU373" s="16">
        <v>68959</v>
      </c>
      <c r="KV373" s="16">
        <v>67496</v>
      </c>
      <c r="KW373" s="16">
        <v>151588</v>
      </c>
      <c r="KX373" s="16">
        <v>632</v>
      </c>
      <c r="KY373" s="16">
        <v>18503</v>
      </c>
      <c r="KZ373" s="16">
        <v>96156</v>
      </c>
      <c r="LA373" s="16">
        <v>21371</v>
      </c>
      <c r="LB373" s="16">
        <v>2883</v>
      </c>
      <c r="LC373" s="16">
        <v>7828</v>
      </c>
      <c r="LD373" s="16">
        <v>17948</v>
      </c>
      <c r="LE373" s="16">
        <v>3976</v>
      </c>
      <c r="LF373" s="16">
        <v>9721</v>
      </c>
      <c r="LG373" s="16">
        <v>4783</v>
      </c>
      <c r="LH373" s="16">
        <v>4751</v>
      </c>
      <c r="LI373" s="16">
        <v>16258</v>
      </c>
      <c r="LJ373" s="16">
        <v>23987</v>
      </c>
      <c r="LK373" s="16">
        <v>49149</v>
      </c>
      <c r="LL373" s="16">
        <v>17427</v>
      </c>
      <c r="LM373" s="16">
        <v>58180</v>
      </c>
      <c r="LN373" s="16">
        <v>66504</v>
      </c>
      <c r="LO373" s="16">
        <v>8395</v>
      </c>
      <c r="LP373" s="16">
        <v>22472</v>
      </c>
      <c r="LQ373" s="16">
        <v>1043</v>
      </c>
      <c r="LR373" s="16">
        <v>53658</v>
      </c>
      <c r="LS373" s="16">
        <v>3438</v>
      </c>
      <c r="LT373" s="16">
        <v>109728</v>
      </c>
      <c r="LU373" s="16">
        <v>98675</v>
      </c>
      <c r="LV373" s="16">
        <v>527</v>
      </c>
      <c r="LW373" s="16">
        <v>213705</v>
      </c>
      <c r="LX373" s="16">
        <v>98581</v>
      </c>
      <c r="LY373" s="16">
        <v>0</v>
      </c>
      <c r="LZ373" s="16">
        <v>43464</v>
      </c>
      <c r="MA373" s="16">
        <v>9525</v>
      </c>
      <c r="MB373" s="16">
        <v>35626</v>
      </c>
      <c r="MC373" s="16">
        <v>17499</v>
      </c>
      <c r="MD373" s="16">
        <v>45879</v>
      </c>
      <c r="ME373" s="16">
        <v>4346</v>
      </c>
      <c r="MF373" s="16">
        <v>126812</v>
      </c>
      <c r="MG373" s="16">
        <v>141476</v>
      </c>
      <c r="MH373" s="16">
        <v>617409</v>
      </c>
      <c r="MI373" s="16">
        <v>3691</v>
      </c>
      <c r="MJ373" s="16">
        <v>56751</v>
      </c>
      <c r="MK373" s="16">
        <v>35694</v>
      </c>
      <c r="ML373" s="16">
        <v>45484</v>
      </c>
      <c r="MM373" s="16">
        <v>42192</v>
      </c>
      <c r="MN373" s="16">
        <v>28510</v>
      </c>
      <c r="MO373" s="16">
        <v>23166</v>
      </c>
      <c r="MP373" s="16">
        <v>1263</v>
      </c>
      <c r="MQ373" s="16">
        <v>74544</v>
      </c>
      <c r="MR373" s="16">
        <v>88170</v>
      </c>
      <c r="MS373" s="16">
        <v>51525</v>
      </c>
      <c r="MT373" s="16">
        <v>27387</v>
      </c>
      <c r="MU373" s="16">
        <v>48376</v>
      </c>
      <c r="MV373" s="16">
        <v>140976</v>
      </c>
      <c r="MW373" s="16">
        <v>532898</v>
      </c>
      <c r="MX373" s="16">
        <v>4450</v>
      </c>
      <c r="MY373" s="16">
        <v>16693</v>
      </c>
      <c r="MZ373" s="16">
        <v>86793</v>
      </c>
      <c r="NA373" s="16">
        <v>36074</v>
      </c>
      <c r="NB373" s="16">
        <v>148</v>
      </c>
      <c r="NC373" s="16">
        <v>10802</v>
      </c>
      <c r="ND373" s="16">
        <v>35695</v>
      </c>
      <c r="NE373" s="16">
        <v>3971</v>
      </c>
      <c r="NF373" s="16">
        <v>20770</v>
      </c>
      <c r="NG373" s="16">
        <v>55417</v>
      </c>
      <c r="NH373" s="16">
        <v>13656</v>
      </c>
      <c r="NI373" s="16">
        <v>34370</v>
      </c>
      <c r="NJ373" s="16">
        <v>2865</v>
      </c>
      <c r="NK373" s="16">
        <v>5503</v>
      </c>
      <c r="NL373" s="16">
        <v>2201</v>
      </c>
      <c r="NM373" s="16">
        <v>25080</v>
      </c>
      <c r="NN373" s="16">
        <v>4514</v>
      </c>
      <c r="NO373" s="16">
        <v>0</v>
      </c>
      <c r="NP373" s="16">
        <v>11586</v>
      </c>
      <c r="NQ373" s="16">
        <v>425</v>
      </c>
      <c r="NR373" s="17">
        <v>6413469</v>
      </c>
    </row>
    <row r="374" spans="1:382" ht="13.5" customHeight="1" x14ac:dyDescent="0.2">
      <c r="A374" s="2" t="s">
        <v>755</v>
      </c>
      <c r="B374" s="16">
        <v>0</v>
      </c>
      <c r="C374" s="16">
        <v>0</v>
      </c>
      <c r="D374" s="16">
        <v>0</v>
      </c>
      <c r="E374" s="16">
        <v>0</v>
      </c>
      <c r="F374" s="16">
        <v>0</v>
      </c>
      <c r="G374" s="16">
        <v>0</v>
      </c>
      <c r="H374" s="16">
        <v>0</v>
      </c>
      <c r="I374" s="16">
        <v>0</v>
      </c>
      <c r="J374" s="16">
        <v>0</v>
      </c>
      <c r="K374" s="16">
        <v>0</v>
      </c>
      <c r="L374" s="16">
        <v>0</v>
      </c>
      <c r="M374" s="16">
        <v>0</v>
      </c>
      <c r="N374" s="16">
        <v>0</v>
      </c>
      <c r="O374" s="16">
        <v>0</v>
      </c>
      <c r="P374" s="16">
        <v>0</v>
      </c>
      <c r="Q374" s="16">
        <v>0</v>
      </c>
      <c r="R374" s="16">
        <v>0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  <c r="AC374" s="16">
        <v>0</v>
      </c>
      <c r="AD374" s="16">
        <v>0</v>
      </c>
      <c r="AE374" s="16">
        <v>0</v>
      </c>
      <c r="AF374" s="16">
        <v>0</v>
      </c>
      <c r="AG374" s="16">
        <v>0</v>
      </c>
      <c r="AH374" s="16">
        <v>0</v>
      </c>
      <c r="AI374" s="16">
        <v>0</v>
      </c>
      <c r="AJ374" s="16">
        <v>0</v>
      </c>
      <c r="AK374" s="16">
        <v>0</v>
      </c>
      <c r="AL374" s="16">
        <v>0</v>
      </c>
      <c r="AM374" s="16">
        <v>0</v>
      </c>
      <c r="AN374" s="16">
        <v>0</v>
      </c>
      <c r="AO374" s="16">
        <v>0</v>
      </c>
      <c r="AP374" s="16">
        <v>0</v>
      </c>
      <c r="AQ374" s="16">
        <v>0</v>
      </c>
      <c r="AR374" s="16">
        <v>0</v>
      </c>
      <c r="AS374" s="16">
        <v>0</v>
      </c>
      <c r="AT374" s="16">
        <v>0</v>
      </c>
      <c r="AU374" s="16">
        <v>0</v>
      </c>
      <c r="AV374" s="16">
        <v>0</v>
      </c>
      <c r="AW374" s="16">
        <v>0</v>
      </c>
      <c r="AX374" s="16">
        <v>0</v>
      </c>
      <c r="AY374" s="16">
        <v>0</v>
      </c>
      <c r="AZ374" s="16">
        <v>0</v>
      </c>
      <c r="BA374" s="16">
        <v>0</v>
      </c>
      <c r="BB374" s="16">
        <v>0</v>
      </c>
      <c r="BC374" s="16">
        <v>0</v>
      </c>
      <c r="BD374" s="16">
        <v>0</v>
      </c>
      <c r="BE374" s="16">
        <v>0</v>
      </c>
      <c r="BF374" s="16">
        <v>0</v>
      </c>
      <c r="BG374" s="16">
        <v>0</v>
      </c>
      <c r="BH374" s="16">
        <v>0</v>
      </c>
      <c r="BI374" s="16">
        <v>0</v>
      </c>
      <c r="BJ374" s="16">
        <v>0</v>
      </c>
      <c r="BK374" s="16">
        <v>0</v>
      </c>
      <c r="BL374" s="16">
        <v>0</v>
      </c>
      <c r="BM374" s="16">
        <v>0</v>
      </c>
      <c r="BN374" s="16">
        <v>0</v>
      </c>
      <c r="BO374" s="16">
        <v>0</v>
      </c>
      <c r="BP374" s="16">
        <v>0</v>
      </c>
      <c r="BQ374" s="16">
        <v>0</v>
      </c>
      <c r="BR374" s="16">
        <v>0</v>
      </c>
      <c r="BS374" s="16">
        <v>0</v>
      </c>
      <c r="BT374" s="16">
        <v>0</v>
      </c>
      <c r="BU374" s="16">
        <v>0</v>
      </c>
      <c r="BV374" s="16">
        <v>0</v>
      </c>
      <c r="BW374" s="16">
        <v>0</v>
      </c>
      <c r="BX374" s="16">
        <v>0</v>
      </c>
      <c r="BY374" s="16">
        <v>0</v>
      </c>
      <c r="BZ374" s="16">
        <v>0</v>
      </c>
      <c r="CA374" s="16">
        <v>0</v>
      </c>
      <c r="CB374" s="16">
        <v>0</v>
      </c>
      <c r="CC374" s="16">
        <v>0</v>
      </c>
      <c r="CD374" s="16">
        <v>0</v>
      </c>
      <c r="CE374" s="16">
        <v>0</v>
      </c>
      <c r="CF374" s="16">
        <v>0</v>
      </c>
      <c r="CG374" s="16">
        <v>0</v>
      </c>
      <c r="CH374" s="16">
        <v>0</v>
      </c>
      <c r="CI374" s="16">
        <v>0</v>
      </c>
      <c r="CJ374" s="16">
        <v>0</v>
      </c>
      <c r="CK374" s="16">
        <v>0</v>
      </c>
      <c r="CL374" s="16">
        <v>0</v>
      </c>
      <c r="CM374" s="16">
        <v>0</v>
      </c>
      <c r="CN374" s="16">
        <v>0</v>
      </c>
      <c r="CO374" s="16">
        <v>0</v>
      </c>
      <c r="CP374" s="16">
        <v>0</v>
      </c>
      <c r="CQ374" s="16">
        <v>0</v>
      </c>
      <c r="CR374" s="16">
        <v>0</v>
      </c>
      <c r="CS374" s="16">
        <v>0</v>
      </c>
      <c r="CT374" s="16">
        <v>0</v>
      </c>
      <c r="CU374" s="16">
        <v>0</v>
      </c>
      <c r="CV374" s="16">
        <v>0</v>
      </c>
      <c r="CW374" s="16">
        <v>0</v>
      </c>
      <c r="CX374" s="16">
        <v>0</v>
      </c>
      <c r="CY374" s="16">
        <v>0</v>
      </c>
      <c r="CZ374" s="16">
        <v>0</v>
      </c>
      <c r="DA374" s="16">
        <v>0</v>
      </c>
      <c r="DB374" s="16">
        <v>0</v>
      </c>
      <c r="DC374" s="16">
        <v>0</v>
      </c>
      <c r="DD374" s="16">
        <v>0</v>
      </c>
      <c r="DE374" s="16">
        <v>0</v>
      </c>
      <c r="DF374" s="16">
        <v>0</v>
      </c>
      <c r="DG374" s="16">
        <v>0</v>
      </c>
      <c r="DH374" s="16">
        <v>0</v>
      </c>
      <c r="DI374" s="16">
        <v>0</v>
      </c>
      <c r="DJ374" s="16">
        <v>0</v>
      </c>
      <c r="DK374" s="16">
        <v>0</v>
      </c>
      <c r="DL374" s="16">
        <v>0</v>
      </c>
      <c r="DM374" s="16">
        <v>0</v>
      </c>
      <c r="DN374" s="16">
        <v>0</v>
      </c>
      <c r="DO374" s="16">
        <v>0</v>
      </c>
      <c r="DP374" s="16">
        <v>0</v>
      </c>
      <c r="DQ374" s="16">
        <v>0</v>
      </c>
      <c r="DR374" s="16">
        <v>0</v>
      </c>
      <c r="DS374" s="16">
        <v>0</v>
      </c>
      <c r="DT374" s="16">
        <v>0</v>
      </c>
      <c r="DU374" s="16">
        <v>0</v>
      </c>
      <c r="DV374" s="16">
        <v>0</v>
      </c>
      <c r="DW374" s="16">
        <v>0</v>
      </c>
      <c r="DX374" s="16">
        <v>0</v>
      </c>
      <c r="DY374" s="16">
        <v>0</v>
      </c>
      <c r="DZ374" s="16">
        <v>0</v>
      </c>
      <c r="EA374" s="16">
        <v>0</v>
      </c>
      <c r="EB374" s="16">
        <v>0</v>
      </c>
      <c r="EC374" s="16">
        <v>0</v>
      </c>
      <c r="ED374" s="16">
        <v>0</v>
      </c>
      <c r="EE374" s="16">
        <v>0</v>
      </c>
      <c r="EF374" s="16">
        <v>0</v>
      </c>
      <c r="EG374" s="16">
        <v>0</v>
      </c>
      <c r="EH374" s="16">
        <v>0</v>
      </c>
      <c r="EI374" s="16">
        <v>0</v>
      </c>
      <c r="EJ374" s="16">
        <v>0</v>
      </c>
      <c r="EK374" s="16">
        <v>0</v>
      </c>
      <c r="EL374" s="16">
        <v>0</v>
      </c>
      <c r="EM374" s="16">
        <v>0</v>
      </c>
      <c r="EN374" s="16">
        <v>0</v>
      </c>
      <c r="EO374" s="16">
        <v>0</v>
      </c>
      <c r="EP374" s="16">
        <v>0</v>
      </c>
      <c r="EQ374" s="16">
        <v>0</v>
      </c>
      <c r="ER374" s="16">
        <v>0</v>
      </c>
      <c r="ES374" s="16">
        <v>0</v>
      </c>
      <c r="ET374" s="16">
        <v>0</v>
      </c>
      <c r="EU374" s="16">
        <v>0</v>
      </c>
      <c r="EV374" s="16">
        <v>0</v>
      </c>
      <c r="EW374" s="16">
        <v>0</v>
      </c>
      <c r="EX374" s="16">
        <v>0</v>
      </c>
      <c r="EY374" s="16">
        <v>0</v>
      </c>
      <c r="EZ374" s="16">
        <v>0</v>
      </c>
      <c r="FA374" s="16">
        <v>0</v>
      </c>
      <c r="FB374" s="16">
        <v>0</v>
      </c>
      <c r="FC374" s="16">
        <v>0</v>
      </c>
      <c r="FD374" s="16">
        <v>0</v>
      </c>
      <c r="FE374" s="16">
        <v>0</v>
      </c>
      <c r="FF374" s="16">
        <v>0</v>
      </c>
      <c r="FG374" s="16">
        <v>0</v>
      </c>
      <c r="FH374" s="16">
        <v>0</v>
      </c>
      <c r="FI374" s="16">
        <v>0</v>
      </c>
      <c r="FJ374" s="16">
        <v>0</v>
      </c>
      <c r="FK374" s="16">
        <v>0</v>
      </c>
      <c r="FL374" s="16">
        <v>0</v>
      </c>
      <c r="FM374" s="16">
        <v>0</v>
      </c>
      <c r="FN374" s="16">
        <v>0</v>
      </c>
      <c r="FO374" s="16">
        <v>0</v>
      </c>
      <c r="FP374" s="16">
        <v>0</v>
      </c>
      <c r="FQ374" s="16">
        <v>0</v>
      </c>
      <c r="FR374" s="16">
        <v>0</v>
      </c>
      <c r="FS374" s="16">
        <v>0</v>
      </c>
      <c r="FT374" s="16">
        <v>0</v>
      </c>
      <c r="FU374" s="16">
        <v>0</v>
      </c>
      <c r="FV374" s="16">
        <v>0</v>
      </c>
      <c r="FW374" s="16">
        <v>0</v>
      </c>
      <c r="FX374" s="16">
        <v>0</v>
      </c>
      <c r="FY374" s="16">
        <v>0</v>
      </c>
      <c r="FZ374" s="16">
        <v>0</v>
      </c>
      <c r="GA374" s="16">
        <v>0</v>
      </c>
      <c r="GB374" s="16">
        <v>0</v>
      </c>
      <c r="GC374" s="16">
        <v>0</v>
      </c>
      <c r="GD374" s="16">
        <v>0</v>
      </c>
      <c r="GE374" s="16">
        <v>0</v>
      </c>
      <c r="GF374" s="16">
        <v>0</v>
      </c>
      <c r="GG374" s="16">
        <v>0</v>
      </c>
      <c r="GH374" s="16">
        <v>0</v>
      </c>
      <c r="GI374" s="16">
        <v>0</v>
      </c>
      <c r="GJ374" s="16">
        <v>0</v>
      </c>
      <c r="GK374" s="16">
        <v>0</v>
      </c>
      <c r="GL374" s="16">
        <v>0</v>
      </c>
      <c r="GM374" s="16">
        <v>0</v>
      </c>
      <c r="GN374" s="16">
        <v>0</v>
      </c>
      <c r="GO374" s="16">
        <v>0</v>
      </c>
      <c r="GP374" s="16">
        <v>0</v>
      </c>
      <c r="GQ374" s="16">
        <v>0</v>
      </c>
      <c r="GR374" s="16">
        <v>0</v>
      </c>
      <c r="GS374" s="16">
        <v>0</v>
      </c>
      <c r="GT374" s="16">
        <v>0</v>
      </c>
      <c r="GU374" s="16">
        <v>0</v>
      </c>
      <c r="GV374" s="16">
        <v>0</v>
      </c>
      <c r="GW374" s="16">
        <v>0</v>
      </c>
      <c r="GX374" s="16">
        <v>0</v>
      </c>
      <c r="GY374" s="16">
        <v>0</v>
      </c>
      <c r="GZ374" s="16">
        <v>0</v>
      </c>
      <c r="HA374" s="16">
        <v>0</v>
      </c>
      <c r="HB374" s="16">
        <v>0</v>
      </c>
      <c r="HC374" s="16">
        <v>0</v>
      </c>
      <c r="HD374" s="16">
        <v>0</v>
      </c>
      <c r="HE374" s="16">
        <v>0</v>
      </c>
      <c r="HF374" s="16">
        <v>0</v>
      </c>
      <c r="HG374" s="16">
        <v>0</v>
      </c>
      <c r="HH374" s="16">
        <v>0</v>
      </c>
      <c r="HI374" s="16">
        <v>0</v>
      </c>
      <c r="HJ374" s="16">
        <v>0</v>
      </c>
      <c r="HK374" s="16">
        <v>0</v>
      </c>
      <c r="HL374" s="16">
        <v>0</v>
      </c>
      <c r="HM374" s="16">
        <v>0</v>
      </c>
      <c r="HN374" s="16">
        <v>0</v>
      </c>
      <c r="HO374" s="16">
        <v>0</v>
      </c>
      <c r="HP374" s="16">
        <v>0</v>
      </c>
      <c r="HQ374" s="16">
        <v>0</v>
      </c>
      <c r="HR374" s="16">
        <v>0</v>
      </c>
      <c r="HS374" s="16">
        <v>0</v>
      </c>
      <c r="HT374" s="16">
        <v>0</v>
      </c>
      <c r="HU374" s="16">
        <v>0</v>
      </c>
      <c r="HV374" s="16">
        <v>0</v>
      </c>
      <c r="HW374" s="16">
        <v>0</v>
      </c>
      <c r="HX374" s="16">
        <v>0</v>
      </c>
      <c r="HY374" s="16">
        <v>0</v>
      </c>
      <c r="HZ374" s="16">
        <v>0</v>
      </c>
      <c r="IA374" s="16">
        <v>0</v>
      </c>
      <c r="IB374" s="16">
        <v>0</v>
      </c>
      <c r="IC374" s="16">
        <v>0</v>
      </c>
      <c r="ID374" s="16">
        <v>0</v>
      </c>
      <c r="IE374" s="16">
        <v>0</v>
      </c>
      <c r="IF374" s="16">
        <v>0</v>
      </c>
      <c r="IG374" s="16">
        <v>0</v>
      </c>
      <c r="IH374" s="16">
        <v>0</v>
      </c>
      <c r="II374" s="16">
        <v>0</v>
      </c>
      <c r="IJ374" s="16">
        <v>0</v>
      </c>
      <c r="IK374" s="16">
        <v>0</v>
      </c>
      <c r="IL374" s="16">
        <v>0</v>
      </c>
      <c r="IM374" s="16">
        <v>0</v>
      </c>
      <c r="IN374" s="16">
        <v>0</v>
      </c>
      <c r="IO374" s="16">
        <v>0</v>
      </c>
      <c r="IP374" s="16">
        <v>0</v>
      </c>
      <c r="IQ374" s="16">
        <v>0</v>
      </c>
      <c r="IR374" s="16">
        <v>0</v>
      </c>
      <c r="IS374" s="16">
        <v>0</v>
      </c>
      <c r="IT374" s="16">
        <v>0</v>
      </c>
      <c r="IU374" s="16">
        <v>0</v>
      </c>
      <c r="IV374" s="16">
        <v>0</v>
      </c>
      <c r="IW374" s="16">
        <v>0</v>
      </c>
      <c r="IX374" s="16">
        <v>0</v>
      </c>
      <c r="IY374" s="16">
        <v>0</v>
      </c>
      <c r="IZ374" s="16">
        <v>0</v>
      </c>
      <c r="JA374" s="16">
        <v>0</v>
      </c>
      <c r="JB374" s="16">
        <v>0</v>
      </c>
      <c r="JC374" s="16">
        <v>0</v>
      </c>
      <c r="JD374" s="16">
        <v>0</v>
      </c>
      <c r="JE374" s="16">
        <v>0</v>
      </c>
      <c r="JF374" s="16">
        <v>0</v>
      </c>
      <c r="JG374" s="16">
        <v>0</v>
      </c>
      <c r="JH374" s="16">
        <v>0</v>
      </c>
      <c r="JI374" s="16">
        <v>0</v>
      </c>
      <c r="JJ374" s="16">
        <v>0</v>
      </c>
      <c r="JK374" s="16">
        <v>0</v>
      </c>
      <c r="JL374" s="16">
        <v>0</v>
      </c>
      <c r="JM374" s="16">
        <v>0</v>
      </c>
      <c r="JN374" s="16">
        <v>0</v>
      </c>
      <c r="JO374" s="16">
        <v>0</v>
      </c>
      <c r="JP374" s="16">
        <v>0</v>
      </c>
      <c r="JQ374" s="16">
        <v>0</v>
      </c>
      <c r="JR374" s="16">
        <v>0</v>
      </c>
      <c r="JS374" s="16">
        <v>0</v>
      </c>
      <c r="JT374" s="16">
        <v>0</v>
      </c>
      <c r="JU374" s="16">
        <v>0</v>
      </c>
      <c r="JV374" s="16">
        <v>0</v>
      </c>
      <c r="JW374" s="16">
        <v>0</v>
      </c>
      <c r="JX374" s="16">
        <v>0</v>
      </c>
      <c r="JY374" s="16">
        <v>0</v>
      </c>
      <c r="JZ374" s="16">
        <v>0</v>
      </c>
      <c r="KA374" s="16">
        <v>0</v>
      </c>
      <c r="KB374" s="16">
        <v>0</v>
      </c>
      <c r="KC374" s="16">
        <v>0</v>
      </c>
      <c r="KD374" s="16">
        <v>0</v>
      </c>
      <c r="KE374" s="16">
        <v>0</v>
      </c>
      <c r="KF374" s="16">
        <v>0</v>
      </c>
      <c r="KG374" s="16">
        <v>0</v>
      </c>
      <c r="KH374" s="16">
        <v>0</v>
      </c>
      <c r="KI374" s="16">
        <v>0</v>
      </c>
      <c r="KJ374" s="16">
        <v>0</v>
      </c>
      <c r="KK374" s="16">
        <v>0</v>
      </c>
      <c r="KL374" s="16">
        <v>0</v>
      </c>
      <c r="KM374" s="16">
        <v>0</v>
      </c>
      <c r="KN374" s="16">
        <v>0</v>
      </c>
      <c r="KO374" s="16">
        <v>0</v>
      </c>
      <c r="KP374" s="16">
        <v>0</v>
      </c>
      <c r="KQ374" s="16">
        <v>0</v>
      </c>
      <c r="KR374" s="16">
        <v>0</v>
      </c>
      <c r="KS374" s="16">
        <v>0</v>
      </c>
      <c r="KT374" s="16">
        <v>0</v>
      </c>
      <c r="KU374" s="16">
        <v>0</v>
      </c>
      <c r="KV374" s="16">
        <v>0</v>
      </c>
      <c r="KW374" s="16">
        <v>0</v>
      </c>
      <c r="KX374" s="16">
        <v>0</v>
      </c>
      <c r="KY374" s="16">
        <v>0</v>
      </c>
      <c r="KZ374" s="16">
        <v>0</v>
      </c>
      <c r="LA374" s="16">
        <v>0</v>
      </c>
      <c r="LB374" s="16">
        <v>0</v>
      </c>
      <c r="LC374" s="16">
        <v>0</v>
      </c>
      <c r="LD374" s="16">
        <v>0</v>
      </c>
      <c r="LE374" s="16">
        <v>0</v>
      </c>
      <c r="LF374" s="16">
        <v>0</v>
      </c>
      <c r="LG374" s="16">
        <v>0</v>
      </c>
      <c r="LH374" s="16">
        <v>0</v>
      </c>
      <c r="LI374" s="16">
        <v>0</v>
      </c>
      <c r="LJ374" s="16">
        <v>0</v>
      </c>
      <c r="LK374" s="16">
        <v>0</v>
      </c>
      <c r="LL374" s="16">
        <v>0</v>
      </c>
      <c r="LM374" s="16">
        <v>0</v>
      </c>
      <c r="LN374" s="16">
        <v>0</v>
      </c>
      <c r="LO374" s="16">
        <v>0</v>
      </c>
      <c r="LP374" s="16">
        <v>0</v>
      </c>
      <c r="LQ374" s="16">
        <v>0</v>
      </c>
      <c r="LR374" s="16">
        <v>0</v>
      </c>
      <c r="LS374" s="16">
        <v>0</v>
      </c>
      <c r="LT374" s="16">
        <v>0</v>
      </c>
      <c r="LU374" s="16">
        <v>0</v>
      </c>
      <c r="LV374" s="16">
        <v>0</v>
      </c>
      <c r="LW374" s="16">
        <v>0</v>
      </c>
      <c r="LX374" s="16">
        <v>0</v>
      </c>
      <c r="LY374" s="16">
        <v>0</v>
      </c>
      <c r="LZ374" s="16">
        <v>0</v>
      </c>
      <c r="MA374" s="16">
        <v>0</v>
      </c>
      <c r="MB374" s="16">
        <v>0</v>
      </c>
      <c r="MC374" s="16">
        <v>0</v>
      </c>
      <c r="MD374" s="16">
        <v>0</v>
      </c>
      <c r="ME374" s="16">
        <v>0</v>
      </c>
      <c r="MF374" s="16">
        <v>0</v>
      </c>
      <c r="MG374" s="16">
        <v>0</v>
      </c>
      <c r="MH374" s="16">
        <v>0</v>
      </c>
      <c r="MI374" s="16">
        <v>0</v>
      </c>
      <c r="MJ374" s="16">
        <v>0</v>
      </c>
      <c r="MK374" s="16">
        <v>0</v>
      </c>
      <c r="ML374" s="16">
        <v>0</v>
      </c>
      <c r="MM374" s="16">
        <v>0</v>
      </c>
      <c r="MN374" s="16">
        <v>0</v>
      </c>
      <c r="MO374" s="16">
        <v>0</v>
      </c>
      <c r="MP374" s="16">
        <v>0</v>
      </c>
      <c r="MQ374" s="16">
        <v>0</v>
      </c>
      <c r="MR374" s="16">
        <v>0</v>
      </c>
      <c r="MS374" s="16">
        <v>0</v>
      </c>
      <c r="MT374" s="16">
        <v>0</v>
      </c>
      <c r="MU374" s="16">
        <v>0</v>
      </c>
      <c r="MV374" s="16">
        <v>0</v>
      </c>
      <c r="MW374" s="16">
        <v>0</v>
      </c>
      <c r="MX374" s="16">
        <v>0</v>
      </c>
      <c r="MY374" s="16">
        <v>0</v>
      </c>
      <c r="MZ374" s="16">
        <v>0</v>
      </c>
      <c r="NA374" s="16">
        <v>0</v>
      </c>
      <c r="NB374" s="16">
        <v>0</v>
      </c>
      <c r="NC374" s="16">
        <v>0</v>
      </c>
      <c r="ND374" s="16">
        <v>0</v>
      </c>
      <c r="NE374" s="16">
        <v>0</v>
      </c>
      <c r="NF374" s="16">
        <v>0</v>
      </c>
      <c r="NG374" s="16">
        <v>0</v>
      </c>
      <c r="NH374" s="16">
        <v>0</v>
      </c>
      <c r="NI374" s="16">
        <v>0</v>
      </c>
      <c r="NJ374" s="16">
        <v>0</v>
      </c>
      <c r="NK374" s="16">
        <v>0</v>
      </c>
      <c r="NL374" s="16">
        <v>0</v>
      </c>
      <c r="NM374" s="16">
        <v>0</v>
      </c>
      <c r="NN374" s="16">
        <v>0</v>
      </c>
      <c r="NO374" s="16">
        <v>0</v>
      </c>
      <c r="NP374" s="16">
        <v>0</v>
      </c>
      <c r="NQ374" s="16">
        <v>0</v>
      </c>
      <c r="NR374" s="17">
        <v>0</v>
      </c>
    </row>
    <row r="375" spans="1:382" ht="13.5" customHeight="1" x14ac:dyDescent="0.2">
      <c r="A375" s="2" t="s">
        <v>757</v>
      </c>
      <c r="B375" s="16">
        <v>787</v>
      </c>
      <c r="C375" s="16">
        <v>429</v>
      </c>
      <c r="D375" s="16">
        <v>1285</v>
      </c>
      <c r="E375" s="16">
        <v>746</v>
      </c>
      <c r="F375" s="16">
        <v>7628</v>
      </c>
      <c r="G375" s="16">
        <v>276</v>
      </c>
      <c r="H375" s="16">
        <v>18</v>
      </c>
      <c r="I375" s="16">
        <v>46</v>
      </c>
      <c r="J375" s="16">
        <v>1</v>
      </c>
      <c r="K375" s="16">
        <v>0</v>
      </c>
      <c r="L375" s="16">
        <v>1598</v>
      </c>
      <c r="M375" s="16">
        <v>506</v>
      </c>
      <c r="N375" s="16">
        <v>0</v>
      </c>
      <c r="O375" s="16">
        <v>100</v>
      </c>
      <c r="P375" s="16">
        <v>1951</v>
      </c>
      <c r="Q375" s="16">
        <v>3262</v>
      </c>
      <c r="R375" s="16">
        <v>159</v>
      </c>
      <c r="S375" s="16">
        <v>9</v>
      </c>
      <c r="T375" s="16">
        <v>752</v>
      </c>
      <c r="U375" s="16">
        <v>636</v>
      </c>
      <c r="V375" s="16">
        <v>3381</v>
      </c>
      <c r="W375" s="16">
        <v>2</v>
      </c>
      <c r="X375" s="16">
        <v>141</v>
      </c>
      <c r="Y375" s="16">
        <v>579</v>
      </c>
      <c r="Z375" s="16">
        <v>1932</v>
      </c>
      <c r="AA375" s="16">
        <v>357</v>
      </c>
      <c r="AB375" s="16">
        <v>0</v>
      </c>
      <c r="AC375" s="16">
        <v>0</v>
      </c>
      <c r="AD375" s="16">
        <v>0</v>
      </c>
      <c r="AE375" s="16">
        <v>681</v>
      </c>
      <c r="AF375" s="16">
        <v>320</v>
      </c>
      <c r="AG375" s="16">
        <v>9121</v>
      </c>
      <c r="AH375" s="16">
        <v>5278</v>
      </c>
      <c r="AI375" s="16">
        <v>1631</v>
      </c>
      <c r="AJ375" s="16">
        <v>35281</v>
      </c>
      <c r="AK375" s="16">
        <v>33693</v>
      </c>
      <c r="AL375" s="16">
        <v>265</v>
      </c>
      <c r="AM375" s="16">
        <v>2080</v>
      </c>
      <c r="AN375" s="16">
        <v>1647</v>
      </c>
      <c r="AO375" s="16">
        <v>8295</v>
      </c>
      <c r="AP375" s="16">
        <v>29</v>
      </c>
      <c r="AQ375" s="16">
        <v>2166</v>
      </c>
      <c r="AR375" s="16">
        <v>0</v>
      </c>
      <c r="AS375" s="16">
        <v>1664</v>
      </c>
      <c r="AT375" s="16">
        <v>858</v>
      </c>
      <c r="AU375" s="16">
        <v>959</v>
      </c>
      <c r="AV375" s="16">
        <v>1598</v>
      </c>
      <c r="AW375" s="16">
        <v>3925</v>
      </c>
      <c r="AX375" s="16">
        <v>2626</v>
      </c>
      <c r="AY375" s="16">
        <v>1082</v>
      </c>
      <c r="AZ375" s="16">
        <v>813</v>
      </c>
      <c r="BA375" s="16">
        <v>4942</v>
      </c>
      <c r="BB375" s="16">
        <v>1156</v>
      </c>
      <c r="BC375" s="16">
        <v>14560</v>
      </c>
      <c r="BD375" s="16">
        <v>91</v>
      </c>
      <c r="BE375" s="16">
        <v>343</v>
      </c>
      <c r="BF375" s="16">
        <v>151</v>
      </c>
      <c r="BG375" s="16">
        <v>610</v>
      </c>
      <c r="BH375" s="16">
        <v>10562</v>
      </c>
      <c r="BI375" s="16">
        <v>2201</v>
      </c>
      <c r="BJ375" s="16">
        <v>738</v>
      </c>
      <c r="BK375" s="16">
        <v>293</v>
      </c>
      <c r="BL375" s="16">
        <v>1514</v>
      </c>
      <c r="BM375" s="16">
        <v>610</v>
      </c>
      <c r="BN375" s="16">
        <v>433</v>
      </c>
      <c r="BO375" s="16">
        <v>7022</v>
      </c>
      <c r="BP375" s="16">
        <v>1657</v>
      </c>
      <c r="BQ375" s="16">
        <v>484</v>
      </c>
      <c r="BR375" s="16">
        <v>3604</v>
      </c>
      <c r="BS375" s="16">
        <v>12925</v>
      </c>
      <c r="BT375" s="16">
        <v>183</v>
      </c>
      <c r="BU375" s="16">
        <v>110</v>
      </c>
      <c r="BV375" s="16">
        <v>88</v>
      </c>
      <c r="BW375" s="16">
        <v>2956</v>
      </c>
      <c r="BX375" s="16">
        <v>111</v>
      </c>
      <c r="BY375" s="16">
        <v>54</v>
      </c>
      <c r="BZ375" s="16">
        <v>836</v>
      </c>
      <c r="CA375" s="16">
        <v>258</v>
      </c>
      <c r="CB375" s="16">
        <v>444</v>
      </c>
      <c r="CC375" s="16">
        <v>4632</v>
      </c>
      <c r="CD375" s="16">
        <v>3257</v>
      </c>
      <c r="CE375" s="16">
        <v>1236</v>
      </c>
      <c r="CF375" s="16">
        <v>3250</v>
      </c>
      <c r="CG375" s="16">
        <v>443</v>
      </c>
      <c r="CH375" s="16">
        <v>2218</v>
      </c>
      <c r="CI375" s="16">
        <v>709</v>
      </c>
      <c r="CJ375" s="16">
        <v>1344</v>
      </c>
      <c r="CK375" s="16">
        <v>4219</v>
      </c>
      <c r="CL375" s="16">
        <v>664</v>
      </c>
      <c r="CM375" s="16">
        <v>911</v>
      </c>
      <c r="CN375" s="16">
        <v>499</v>
      </c>
      <c r="CO375" s="16">
        <v>1057</v>
      </c>
      <c r="CP375" s="16">
        <v>1232</v>
      </c>
      <c r="CQ375" s="16">
        <v>5279</v>
      </c>
      <c r="CR375" s="16">
        <v>2651</v>
      </c>
      <c r="CS375" s="16">
        <v>7876</v>
      </c>
      <c r="CT375" s="16">
        <v>5760</v>
      </c>
      <c r="CU375" s="16">
        <v>8221</v>
      </c>
      <c r="CV375" s="16">
        <v>5659</v>
      </c>
      <c r="CW375" s="16">
        <v>3636</v>
      </c>
      <c r="CX375" s="16">
        <v>2255</v>
      </c>
      <c r="CY375" s="16">
        <v>468</v>
      </c>
      <c r="CZ375" s="16">
        <v>534</v>
      </c>
      <c r="DA375" s="16">
        <v>138</v>
      </c>
      <c r="DB375" s="16">
        <v>689</v>
      </c>
      <c r="DC375" s="16">
        <v>26</v>
      </c>
      <c r="DD375" s="16">
        <v>79</v>
      </c>
      <c r="DE375" s="16">
        <v>502</v>
      </c>
      <c r="DF375" s="16">
        <v>4460</v>
      </c>
      <c r="DG375" s="16">
        <v>9367</v>
      </c>
      <c r="DH375" s="16">
        <v>1480</v>
      </c>
      <c r="DI375" s="16">
        <v>686</v>
      </c>
      <c r="DJ375" s="16">
        <v>704</v>
      </c>
      <c r="DK375" s="16">
        <v>133</v>
      </c>
      <c r="DL375" s="16">
        <v>1063</v>
      </c>
      <c r="DM375" s="16">
        <v>3143</v>
      </c>
      <c r="DN375" s="16">
        <v>2502</v>
      </c>
      <c r="DO375" s="16">
        <v>962</v>
      </c>
      <c r="DP375" s="16">
        <v>1058</v>
      </c>
      <c r="DQ375" s="16">
        <v>721</v>
      </c>
      <c r="DR375" s="16">
        <v>4915</v>
      </c>
      <c r="DS375" s="16">
        <v>9132</v>
      </c>
      <c r="DT375" s="16">
        <v>311</v>
      </c>
      <c r="DU375" s="16">
        <v>5362</v>
      </c>
      <c r="DV375" s="16">
        <v>3536</v>
      </c>
      <c r="DW375" s="16">
        <v>30958</v>
      </c>
      <c r="DX375" s="16">
        <v>4535</v>
      </c>
      <c r="DY375" s="16">
        <v>3131</v>
      </c>
      <c r="DZ375" s="16">
        <v>25872</v>
      </c>
      <c r="EA375" s="16">
        <v>3379</v>
      </c>
      <c r="EB375" s="16">
        <v>710</v>
      </c>
      <c r="EC375" s="16">
        <v>1075</v>
      </c>
      <c r="ED375" s="16">
        <v>314</v>
      </c>
      <c r="EE375" s="16">
        <v>24</v>
      </c>
      <c r="EF375" s="16">
        <v>150</v>
      </c>
      <c r="EG375" s="16">
        <v>1395</v>
      </c>
      <c r="EH375" s="16">
        <v>149</v>
      </c>
      <c r="EI375" s="16">
        <v>1005</v>
      </c>
      <c r="EJ375" s="16">
        <v>671</v>
      </c>
      <c r="EK375" s="16">
        <v>422</v>
      </c>
      <c r="EL375" s="16">
        <v>670</v>
      </c>
      <c r="EM375" s="16">
        <v>1435</v>
      </c>
      <c r="EN375" s="16">
        <v>26178</v>
      </c>
      <c r="EO375" s="16">
        <v>9585</v>
      </c>
      <c r="EP375" s="16">
        <v>929</v>
      </c>
      <c r="EQ375" s="16">
        <v>1770</v>
      </c>
      <c r="ER375" s="16">
        <v>201</v>
      </c>
      <c r="ES375" s="16">
        <v>1208</v>
      </c>
      <c r="ET375" s="16">
        <v>1999</v>
      </c>
      <c r="EU375" s="16">
        <v>4</v>
      </c>
      <c r="EV375" s="16">
        <v>30</v>
      </c>
      <c r="EW375" s="16">
        <v>198</v>
      </c>
      <c r="EX375" s="16">
        <v>38559</v>
      </c>
      <c r="EY375" s="16">
        <v>6060</v>
      </c>
      <c r="EZ375" s="16">
        <v>2102</v>
      </c>
      <c r="FA375" s="16">
        <v>5160</v>
      </c>
      <c r="FB375" s="16">
        <v>18839</v>
      </c>
      <c r="FC375" s="16">
        <v>138</v>
      </c>
      <c r="FD375" s="16">
        <v>4872</v>
      </c>
      <c r="FE375" s="16">
        <v>3316</v>
      </c>
      <c r="FF375" s="16">
        <v>441</v>
      </c>
      <c r="FG375" s="16">
        <v>327</v>
      </c>
      <c r="FH375" s="16">
        <v>7</v>
      </c>
      <c r="FI375" s="16">
        <v>2960</v>
      </c>
      <c r="FJ375" s="16">
        <v>229</v>
      </c>
      <c r="FK375" s="16">
        <v>3161</v>
      </c>
      <c r="FL375" s="16">
        <v>380</v>
      </c>
      <c r="FM375" s="16">
        <v>6230</v>
      </c>
      <c r="FN375" s="16">
        <v>2988</v>
      </c>
      <c r="FO375" s="16">
        <v>1532</v>
      </c>
      <c r="FP375" s="16">
        <v>5775</v>
      </c>
      <c r="FQ375" s="16">
        <v>18646</v>
      </c>
      <c r="FR375" s="16">
        <v>14394</v>
      </c>
      <c r="FS375" s="16">
        <v>4429</v>
      </c>
      <c r="FT375" s="16">
        <v>698</v>
      </c>
      <c r="FU375" s="16">
        <v>20615</v>
      </c>
      <c r="FV375" s="16">
        <v>18040</v>
      </c>
      <c r="FW375" s="16">
        <v>20042</v>
      </c>
      <c r="FX375" s="16">
        <v>18091</v>
      </c>
      <c r="FY375" s="16">
        <v>891</v>
      </c>
      <c r="FZ375" s="16">
        <v>2041</v>
      </c>
      <c r="GA375" s="16">
        <v>3354</v>
      </c>
      <c r="GB375" s="16">
        <v>5016</v>
      </c>
      <c r="GC375" s="16">
        <v>2515</v>
      </c>
      <c r="GD375" s="16">
        <v>7456</v>
      </c>
      <c r="GE375" s="16">
        <v>72</v>
      </c>
      <c r="GF375" s="16">
        <v>435</v>
      </c>
      <c r="GG375" s="16">
        <v>34</v>
      </c>
      <c r="GH375" s="16">
        <v>861</v>
      </c>
      <c r="GI375" s="16">
        <v>2481</v>
      </c>
      <c r="GJ375" s="16">
        <v>564</v>
      </c>
      <c r="GK375" s="16">
        <v>733</v>
      </c>
      <c r="GL375" s="16">
        <v>1078</v>
      </c>
      <c r="GM375" s="16">
        <v>13914</v>
      </c>
      <c r="GN375" s="16">
        <v>4152</v>
      </c>
      <c r="GO375" s="16">
        <v>723</v>
      </c>
      <c r="GP375" s="16">
        <v>4503</v>
      </c>
      <c r="GQ375" s="16">
        <v>43</v>
      </c>
      <c r="GR375" s="16">
        <v>304</v>
      </c>
      <c r="GS375" s="16">
        <v>137</v>
      </c>
      <c r="GT375" s="16">
        <v>455</v>
      </c>
      <c r="GU375" s="16">
        <v>1250</v>
      </c>
      <c r="GV375" s="16">
        <v>4587</v>
      </c>
      <c r="GW375" s="16">
        <v>6459</v>
      </c>
      <c r="GX375" s="16">
        <v>276</v>
      </c>
      <c r="GY375" s="16">
        <v>5</v>
      </c>
      <c r="GZ375" s="16">
        <v>7305</v>
      </c>
      <c r="HA375" s="16">
        <v>234</v>
      </c>
      <c r="HB375" s="16">
        <v>1053</v>
      </c>
      <c r="HC375" s="16">
        <v>1613</v>
      </c>
      <c r="HD375" s="16">
        <v>2219</v>
      </c>
      <c r="HE375" s="16">
        <v>6848</v>
      </c>
      <c r="HF375" s="16">
        <v>12270</v>
      </c>
      <c r="HG375" s="16">
        <v>265</v>
      </c>
      <c r="HH375" s="16">
        <v>394</v>
      </c>
      <c r="HI375" s="16">
        <v>1987</v>
      </c>
      <c r="HJ375" s="16">
        <v>444</v>
      </c>
      <c r="HK375" s="16">
        <v>1617</v>
      </c>
      <c r="HL375" s="16">
        <v>26649</v>
      </c>
      <c r="HM375" s="16">
        <v>9642</v>
      </c>
      <c r="HN375" s="16">
        <v>10844</v>
      </c>
      <c r="HO375" s="16">
        <v>7795</v>
      </c>
      <c r="HP375" s="16">
        <v>5854</v>
      </c>
      <c r="HQ375" s="16">
        <v>15636</v>
      </c>
      <c r="HR375" s="16">
        <v>7037</v>
      </c>
      <c r="HS375" s="16">
        <v>1849</v>
      </c>
      <c r="HT375" s="16">
        <v>87</v>
      </c>
      <c r="HU375" s="16">
        <v>11594</v>
      </c>
      <c r="HV375" s="16">
        <v>29536</v>
      </c>
      <c r="HW375" s="16">
        <v>11294</v>
      </c>
      <c r="HX375" s="16">
        <v>12312</v>
      </c>
      <c r="HY375" s="16">
        <v>6622</v>
      </c>
      <c r="HZ375" s="16">
        <v>5714</v>
      </c>
      <c r="IA375" s="16">
        <v>1286</v>
      </c>
      <c r="IB375" s="16">
        <v>144</v>
      </c>
      <c r="IC375" s="16">
        <v>402</v>
      </c>
      <c r="ID375" s="16">
        <v>792</v>
      </c>
      <c r="IE375" s="16">
        <v>169</v>
      </c>
      <c r="IF375" s="16">
        <v>289</v>
      </c>
      <c r="IG375" s="16">
        <v>720</v>
      </c>
      <c r="IH375" s="16">
        <v>42545</v>
      </c>
      <c r="II375" s="16">
        <v>1211</v>
      </c>
      <c r="IJ375" s="16">
        <v>613</v>
      </c>
      <c r="IK375" s="16">
        <v>858</v>
      </c>
      <c r="IL375" s="16">
        <v>962</v>
      </c>
      <c r="IM375" s="16">
        <v>82</v>
      </c>
      <c r="IN375" s="16">
        <v>83000</v>
      </c>
      <c r="IO375" s="16">
        <v>22514</v>
      </c>
      <c r="IP375" s="16">
        <v>777</v>
      </c>
      <c r="IQ375" s="16">
        <v>1835</v>
      </c>
      <c r="IR375" s="16">
        <v>1333</v>
      </c>
      <c r="IS375" s="16">
        <v>1863</v>
      </c>
      <c r="IT375" s="16">
        <v>47</v>
      </c>
      <c r="IU375" s="16">
        <v>103</v>
      </c>
      <c r="IV375" s="16">
        <v>797</v>
      </c>
      <c r="IW375" s="16">
        <v>3783</v>
      </c>
      <c r="IX375" s="16">
        <v>1571</v>
      </c>
      <c r="IY375" s="16">
        <v>414</v>
      </c>
      <c r="IZ375" s="16">
        <v>119</v>
      </c>
      <c r="JA375" s="16">
        <v>958</v>
      </c>
      <c r="JB375" s="16">
        <v>111</v>
      </c>
      <c r="JC375" s="16">
        <v>121</v>
      </c>
      <c r="JD375" s="16">
        <v>303</v>
      </c>
      <c r="JE375" s="16">
        <v>2526</v>
      </c>
      <c r="JF375" s="16">
        <v>2618</v>
      </c>
      <c r="JG375" s="16">
        <v>270182</v>
      </c>
      <c r="JH375" s="16">
        <v>15158</v>
      </c>
      <c r="JI375" s="16">
        <v>908</v>
      </c>
      <c r="JJ375" s="16">
        <v>786</v>
      </c>
      <c r="JK375" s="16">
        <v>791</v>
      </c>
      <c r="JL375" s="16">
        <v>46</v>
      </c>
      <c r="JM375" s="16">
        <v>9</v>
      </c>
      <c r="JN375" s="16">
        <v>217</v>
      </c>
      <c r="JO375" s="16">
        <v>62</v>
      </c>
      <c r="JP375" s="16">
        <v>401</v>
      </c>
      <c r="JQ375" s="16">
        <v>236</v>
      </c>
      <c r="JR375" s="16">
        <v>28393</v>
      </c>
      <c r="JS375" s="16">
        <v>23416</v>
      </c>
      <c r="JT375" s="16">
        <v>11</v>
      </c>
      <c r="JU375" s="16">
        <v>135854</v>
      </c>
      <c r="JV375" s="16">
        <v>63593</v>
      </c>
      <c r="JW375" s="16">
        <v>93449</v>
      </c>
      <c r="JX375" s="16">
        <v>76001</v>
      </c>
      <c r="JY375" s="16">
        <v>56411</v>
      </c>
      <c r="JZ375" s="16">
        <v>14200</v>
      </c>
      <c r="KA375" s="16">
        <v>12021</v>
      </c>
      <c r="KB375" s="16">
        <v>16933</v>
      </c>
      <c r="KC375" s="16">
        <v>7420</v>
      </c>
      <c r="KD375" s="16">
        <v>596</v>
      </c>
      <c r="KE375" s="16">
        <v>10296</v>
      </c>
      <c r="KF375" s="16">
        <v>18058</v>
      </c>
      <c r="KG375" s="16">
        <v>9191</v>
      </c>
      <c r="KH375" s="16">
        <v>6795</v>
      </c>
      <c r="KI375" s="16">
        <v>10802</v>
      </c>
      <c r="KJ375" s="16">
        <v>11312</v>
      </c>
      <c r="KK375" s="16">
        <v>221669</v>
      </c>
      <c r="KL375" s="16">
        <v>410</v>
      </c>
      <c r="KM375" s="16">
        <v>613453</v>
      </c>
      <c r="KN375" s="16">
        <v>893631</v>
      </c>
      <c r="KO375" s="16">
        <v>2398</v>
      </c>
      <c r="KP375" s="16">
        <v>342</v>
      </c>
      <c r="KQ375" s="16">
        <v>456</v>
      </c>
      <c r="KR375" s="16">
        <v>17622</v>
      </c>
      <c r="KS375" s="16">
        <v>108</v>
      </c>
      <c r="KT375" s="16">
        <v>982</v>
      </c>
      <c r="KU375" s="16">
        <v>24370</v>
      </c>
      <c r="KV375" s="16">
        <v>39525</v>
      </c>
      <c r="KW375" s="16">
        <v>117581</v>
      </c>
      <c r="KX375" s="16">
        <v>5829</v>
      </c>
      <c r="KY375" s="16">
        <v>932332</v>
      </c>
      <c r="KZ375" s="16">
        <v>29341</v>
      </c>
      <c r="LA375" s="16">
        <v>1932</v>
      </c>
      <c r="LB375" s="16">
        <v>822</v>
      </c>
      <c r="LC375" s="16">
        <v>1483</v>
      </c>
      <c r="LD375" s="16">
        <v>1125</v>
      </c>
      <c r="LE375" s="16">
        <v>2871</v>
      </c>
      <c r="LF375" s="16">
        <v>7267</v>
      </c>
      <c r="LG375" s="16">
        <v>8793</v>
      </c>
      <c r="LH375" s="16">
        <v>12864</v>
      </c>
      <c r="LI375" s="16">
        <v>7869</v>
      </c>
      <c r="LJ375" s="16">
        <v>19640</v>
      </c>
      <c r="LK375" s="16">
        <v>23688</v>
      </c>
      <c r="LL375" s="16">
        <v>20710</v>
      </c>
      <c r="LM375" s="16">
        <v>38555</v>
      </c>
      <c r="LN375" s="16">
        <v>15091</v>
      </c>
      <c r="LO375" s="16">
        <v>6910</v>
      </c>
      <c r="LP375" s="16">
        <v>13556</v>
      </c>
      <c r="LQ375" s="16">
        <v>4415</v>
      </c>
      <c r="LR375" s="16">
        <v>25815</v>
      </c>
      <c r="LS375" s="16">
        <v>1567</v>
      </c>
      <c r="LT375" s="16">
        <v>26613</v>
      </c>
      <c r="LU375" s="16">
        <v>9252</v>
      </c>
      <c r="LV375" s="16">
        <v>52</v>
      </c>
      <c r="LW375" s="16">
        <v>50079</v>
      </c>
      <c r="LX375" s="16">
        <v>18556</v>
      </c>
      <c r="LY375" s="16">
        <v>0</v>
      </c>
      <c r="LZ375" s="16">
        <v>41297</v>
      </c>
      <c r="MA375" s="16">
        <v>48729</v>
      </c>
      <c r="MB375" s="16">
        <v>9836</v>
      </c>
      <c r="MC375" s="16">
        <v>26021</v>
      </c>
      <c r="MD375" s="16">
        <v>16041</v>
      </c>
      <c r="ME375" s="16">
        <v>5723</v>
      </c>
      <c r="MF375" s="16">
        <v>46548</v>
      </c>
      <c r="MG375" s="16">
        <v>11011</v>
      </c>
      <c r="MH375" s="16">
        <v>421670</v>
      </c>
      <c r="MI375" s="16">
        <v>807</v>
      </c>
      <c r="MJ375" s="16">
        <v>11301</v>
      </c>
      <c r="MK375" s="16">
        <v>18560</v>
      </c>
      <c r="ML375" s="16">
        <v>18039</v>
      </c>
      <c r="MM375" s="16">
        <v>21372</v>
      </c>
      <c r="MN375" s="16">
        <v>868083</v>
      </c>
      <c r="MO375" s="16">
        <v>16465</v>
      </c>
      <c r="MP375" s="16">
        <v>47985</v>
      </c>
      <c r="MQ375" s="16">
        <v>39432</v>
      </c>
      <c r="MR375" s="16">
        <v>83971</v>
      </c>
      <c r="MS375" s="16">
        <v>73862</v>
      </c>
      <c r="MT375" s="16">
        <v>1839</v>
      </c>
      <c r="MU375" s="16">
        <v>129092</v>
      </c>
      <c r="MV375" s="16">
        <v>48466</v>
      </c>
      <c r="MW375" s="16">
        <v>109279</v>
      </c>
      <c r="MX375" s="16">
        <v>1934</v>
      </c>
      <c r="MY375" s="16">
        <v>15450</v>
      </c>
      <c r="MZ375" s="16">
        <v>23914</v>
      </c>
      <c r="NA375" s="16">
        <v>5737</v>
      </c>
      <c r="NB375" s="16">
        <v>8270</v>
      </c>
      <c r="NC375" s="16">
        <v>11043</v>
      </c>
      <c r="ND375" s="16">
        <v>2653</v>
      </c>
      <c r="NE375" s="16">
        <v>556</v>
      </c>
      <c r="NF375" s="16">
        <v>6961</v>
      </c>
      <c r="NG375" s="16">
        <v>29745</v>
      </c>
      <c r="NH375" s="16">
        <v>4762</v>
      </c>
      <c r="NI375" s="16">
        <v>8210</v>
      </c>
      <c r="NJ375" s="16">
        <v>19281</v>
      </c>
      <c r="NK375" s="16">
        <v>26411</v>
      </c>
      <c r="NL375" s="16">
        <v>30759</v>
      </c>
      <c r="NM375" s="16">
        <v>15160</v>
      </c>
      <c r="NN375" s="16">
        <v>2119</v>
      </c>
      <c r="NO375" s="16">
        <v>0</v>
      </c>
      <c r="NP375" s="16">
        <v>6222</v>
      </c>
      <c r="NQ375" s="16">
        <v>81</v>
      </c>
      <c r="NR375" s="17">
        <v>7540274</v>
      </c>
    </row>
    <row r="376" spans="1:382" ht="13.5" customHeight="1" x14ac:dyDescent="0.2">
      <c r="A376" s="2" t="s">
        <v>759</v>
      </c>
      <c r="B376" s="16">
        <v>2704</v>
      </c>
      <c r="C376" s="16">
        <v>141</v>
      </c>
      <c r="D376" s="16">
        <v>473</v>
      </c>
      <c r="E376" s="16">
        <v>807</v>
      </c>
      <c r="F376" s="16">
        <v>6539</v>
      </c>
      <c r="G376" s="16">
        <v>3694</v>
      </c>
      <c r="H376" s="16">
        <v>268</v>
      </c>
      <c r="I376" s="16">
        <v>771</v>
      </c>
      <c r="J376" s="16">
        <v>85</v>
      </c>
      <c r="K376" s="16">
        <v>0</v>
      </c>
      <c r="L376" s="16">
        <v>208</v>
      </c>
      <c r="M376" s="16">
        <v>290</v>
      </c>
      <c r="N376" s="16">
        <v>2</v>
      </c>
      <c r="O376" s="16">
        <v>849</v>
      </c>
      <c r="P376" s="16">
        <v>1480</v>
      </c>
      <c r="Q376" s="16">
        <v>2607</v>
      </c>
      <c r="R376" s="16">
        <v>3001</v>
      </c>
      <c r="S376" s="16">
        <v>452</v>
      </c>
      <c r="T376" s="16">
        <v>152</v>
      </c>
      <c r="U376" s="16">
        <v>18</v>
      </c>
      <c r="V376" s="16">
        <v>852</v>
      </c>
      <c r="W376" s="16">
        <v>27</v>
      </c>
      <c r="X376" s="16">
        <v>2204</v>
      </c>
      <c r="Y376" s="16">
        <v>3574</v>
      </c>
      <c r="Z376" s="16">
        <v>893</v>
      </c>
      <c r="AA376" s="16">
        <v>34</v>
      </c>
      <c r="AB376" s="16">
        <v>0</v>
      </c>
      <c r="AC376" s="16">
        <v>0</v>
      </c>
      <c r="AD376" s="16">
        <v>0</v>
      </c>
      <c r="AE376" s="16">
        <v>2</v>
      </c>
      <c r="AF376" s="16">
        <v>1</v>
      </c>
      <c r="AG376" s="16">
        <v>1362</v>
      </c>
      <c r="AH376" s="16">
        <v>1419</v>
      </c>
      <c r="AI376" s="16">
        <v>108</v>
      </c>
      <c r="AJ376" s="16">
        <v>5032</v>
      </c>
      <c r="AK376" s="16">
        <v>4177</v>
      </c>
      <c r="AL376" s="16">
        <v>1323</v>
      </c>
      <c r="AM376" s="16">
        <v>1354</v>
      </c>
      <c r="AN376" s="16">
        <v>1320</v>
      </c>
      <c r="AO376" s="16">
        <v>1033</v>
      </c>
      <c r="AP376" s="16">
        <v>203</v>
      </c>
      <c r="AQ376" s="16">
        <v>479</v>
      </c>
      <c r="AR376" s="16">
        <v>0</v>
      </c>
      <c r="AS376" s="16">
        <v>230</v>
      </c>
      <c r="AT376" s="16">
        <v>334</v>
      </c>
      <c r="AU376" s="16">
        <v>2220</v>
      </c>
      <c r="AV376" s="16">
        <v>434</v>
      </c>
      <c r="AW376" s="16">
        <v>1406</v>
      </c>
      <c r="AX376" s="16">
        <v>238</v>
      </c>
      <c r="AY376" s="16">
        <v>2600</v>
      </c>
      <c r="AZ376" s="16">
        <v>1201</v>
      </c>
      <c r="BA376" s="16">
        <v>1497</v>
      </c>
      <c r="BB376" s="16">
        <v>1092</v>
      </c>
      <c r="BC376" s="16">
        <v>1679</v>
      </c>
      <c r="BD376" s="16">
        <v>50</v>
      </c>
      <c r="BE376" s="16">
        <v>1161</v>
      </c>
      <c r="BF376" s="16">
        <v>1849</v>
      </c>
      <c r="BG376" s="16">
        <v>319</v>
      </c>
      <c r="BH376" s="16">
        <v>954</v>
      </c>
      <c r="BI376" s="16">
        <v>1120</v>
      </c>
      <c r="BJ376" s="16">
        <v>247</v>
      </c>
      <c r="BK376" s="16">
        <v>252</v>
      </c>
      <c r="BL376" s="16">
        <v>859</v>
      </c>
      <c r="BM376" s="16">
        <v>178</v>
      </c>
      <c r="BN376" s="16">
        <v>438</v>
      </c>
      <c r="BO376" s="16">
        <v>270</v>
      </c>
      <c r="BP376" s="16">
        <v>612</v>
      </c>
      <c r="BQ376" s="16">
        <v>191</v>
      </c>
      <c r="BR376" s="16">
        <v>376</v>
      </c>
      <c r="BS376" s="16">
        <v>937</v>
      </c>
      <c r="BT376" s="16">
        <v>254</v>
      </c>
      <c r="BU376" s="16">
        <v>11</v>
      </c>
      <c r="BV376" s="16">
        <v>6</v>
      </c>
      <c r="BW376" s="16">
        <v>1148</v>
      </c>
      <c r="BX376" s="16">
        <v>85</v>
      </c>
      <c r="BY376" s="16">
        <v>0</v>
      </c>
      <c r="BZ376" s="16">
        <v>691</v>
      </c>
      <c r="CA376" s="16">
        <v>165</v>
      </c>
      <c r="CB376" s="16">
        <v>1384</v>
      </c>
      <c r="CC376" s="16">
        <v>1049</v>
      </c>
      <c r="CD376" s="16">
        <v>181</v>
      </c>
      <c r="CE376" s="16">
        <v>591</v>
      </c>
      <c r="CF376" s="16">
        <v>926</v>
      </c>
      <c r="CG376" s="16">
        <v>316</v>
      </c>
      <c r="CH376" s="16">
        <v>347</v>
      </c>
      <c r="CI376" s="16">
        <v>52</v>
      </c>
      <c r="CJ376" s="16">
        <v>1565</v>
      </c>
      <c r="CK376" s="16">
        <v>2822</v>
      </c>
      <c r="CL376" s="16">
        <v>1561</v>
      </c>
      <c r="CM376" s="16">
        <v>1067</v>
      </c>
      <c r="CN376" s="16">
        <v>180</v>
      </c>
      <c r="CO376" s="16">
        <v>1159</v>
      </c>
      <c r="CP376" s="16">
        <v>588</v>
      </c>
      <c r="CQ376" s="16">
        <v>5547</v>
      </c>
      <c r="CR376" s="16">
        <v>106</v>
      </c>
      <c r="CS376" s="16">
        <v>1077</v>
      </c>
      <c r="CT376" s="16">
        <v>1175</v>
      </c>
      <c r="CU376" s="16">
        <v>2523</v>
      </c>
      <c r="CV376" s="16">
        <v>1612</v>
      </c>
      <c r="CW376" s="16">
        <v>3179</v>
      </c>
      <c r="CX376" s="16">
        <v>1741</v>
      </c>
      <c r="CY376" s="16">
        <v>423</v>
      </c>
      <c r="CZ376" s="16">
        <v>915</v>
      </c>
      <c r="DA376" s="16">
        <v>736</v>
      </c>
      <c r="DB376" s="16">
        <v>1094</v>
      </c>
      <c r="DC376" s="16">
        <v>1053</v>
      </c>
      <c r="DD376" s="16">
        <v>1191</v>
      </c>
      <c r="DE376" s="16">
        <v>1515</v>
      </c>
      <c r="DF376" s="16">
        <v>2233</v>
      </c>
      <c r="DG376" s="16">
        <v>2517</v>
      </c>
      <c r="DH376" s="16">
        <v>3091</v>
      </c>
      <c r="DI376" s="16">
        <v>377</v>
      </c>
      <c r="DJ376" s="16">
        <v>6282</v>
      </c>
      <c r="DK376" s="16">
        <v>623</v>
      </c>
      <c r="DL376" s="16">
        <v>250</v>
      </c>
      <c r="DM376" s="16">
        <v>6990</v>
      </c>
      <c r="DN376" s="16">
        <v>813</v>
      </c>
      <c r="DO376" s="16">
        <v>484</v>
      </c>
      <c r="DP376" s="16">
        <v>1336</v>
      </c>
      <c r="DQ376" s="16">
        <v>106</v>
      </c>
      <c r="DR376" s="16">
        <v>2654</v>
      </c>
      <c r="DS376" s="16">
        <v>4831</v>
      </c>
      <c r="DT376" s="16">
        <v>493</v>
      </c>
      <c r="DU376" s="16">
        <v>174</v>
      </c>
      <c r="DV376" s="16">
        <v>3654</v>
      </c>
      <c r="DW376" s="16">
        <v>2966</v>
      </c>
      <c r="DX376" s="16">
        <v>1983</v>
      </c>
      <c r="DY376" s="16">
        <v>3282</v>
      </c>
      <c r="DZ376" s="16">
        <v>6283</v>
      </c>
      <c r="EA376" s="16">
        <v>3518</v>
      </c>
      <c r="EB376" s="16">
        <v>2000</v>
      </c>
      <c r="EC376" s="16">
        <v>2910</v>
      </c>
      <c r="ED376" s="16">
        <v>265</v>
      </c>
      <c r="EE376" s="16">
        <v>24</v>
      </c>
      <c r="EF376" s="16">
        <v>166</v>
      </c>
      <c r="EG376" s="16">
        <v>548</v>
      </c>
      <c r="EH376" s="16">
        <v>134</v>
      </c>
      <c r="EI376" s="16">
        <v>332</v>
      </c>
      <c r="EJ376" s="16">
        <v>116</v>
      </c>
      <c r="EK376" s="16">
        <v>335</v>
      </c>
      <c r="EL376" s="16">
        <v>50</v>
      </c>
      <c r="EM376" s="16">
        <v>1190</v>
      </c>
      <c r="EN376" s="16">
        <v>2608</v>
      </c>
      <c r="EO376" s="16">
        <v>1165</v>
      </c>
      <c r="EP376" s="16">
        <v>283</v>
      </c>
      <c r="EQ376" s="16">
        <v>192</v>
      </c>
      <c r="ER376" s="16">
        <v>103</v>
      </c>
      <c r="ES376" s="16">
        <v>200</v>
      </c>
      <c r="ET376" s="16">
        <v>1359</v>
      </c>
      <c r="EU376" s="16">
        <v>17</v>
      </c>
      <c r="EV376" s="16">
        <v>8</v>
      </c>
      <c r="EW376" s="16">
        <v>35</v>
      </c>
      <c r="EX376" s="16">
        <v>1799</v>
      </c>
      <c r="EY376" s="16">
        <v>634</v>
      </c>
      <c r="EZ376" s="16">
        <v>603</v>
      </c>
      <c r="FA376" s="16">
        <v>1012</v>
      </c>
      <c r="FB376" s="16">
        <v>2562</v>
      </c>
      <c r="FC376" s="16">
        <v>117</v>
      </c>
      <c r="FD376" s="16">
        <v>5889</v>
      </c>
      <c r="FE376" s="16">
        <v>947</v>
      </c>
      <c r="FF376" s="16">
        <v>533</v>
      </c>
      <c r="FG376" s="16">
        <v>519</v>
      </c>
      <c r="FH376" s="16">
        <v>369</v>
      </c>
      <c r="FI376" s="16">
        <v>940</v>
      </c>
      <c r="FJ376" s="16">
        <v>21</v>
      </c>
      <c r="FK376" s="16">
        <v>640</v>
      </c>
      <c r="FL376" s="16">
        <v>11</v>
      </c>
      <c r="FM376" s="16">
        <v>259</v>
      </c>
      <c r="FN376" s="16">
        <v>423</v>
      </c>
      <c r="FO376" s="16">
        <v>655</v>
      </c>
      <c r="FP376" s="16">
        <v>1430</v>
      </c>
      <c r="FQ376" s="16">
        <v>2942</v>
      </c>
      <c r="FR376" s="16">
        <v>1892</v>
      </c>
      <c r="FS376" s="16">
        <v>4951</v>
      </c>
      <c r="FT376" s="16">
        <v>975</v>
      </c>
      <c r="FU376" s="16">
        <v>4141</v>
      </c>
      <c r="FV376" s="16">
        <v>2593</v>
      </c>
      <c r="FW376" s="16">
        <v>2580</v>
      </c>
      <c r="FX376" s="16">
        <v>3465</v>
      </c>
      <c r="FY376" s="16">
        <v>418</v>
      </c>
      <c r="FZ376" s="16">
        <v>1747</v>
      </c>
      <c r="GA376" s="16">
        <v>498</v>
      </c>
      <c r="GB376" s="16">
        <v>6988</v>
      </c>
      <c r="GC376" s="16">
        <v>858</v>
      </c>
      <c r="GD376" s="16">
        <v>1368</v>
      </c>
      <c r="GE376" s="16">
        <v>213</v>
      </c>
      <c r="GF376" s="16">
        <v>5133</v>
      </c>
      <c r="GG376" s="16">
        <v>300</v>
      </c>
      <c r="GH376" s="16">
        <v>3251</v>
      </c>
      <c r="GI376" s="16">
        <v>1294</v>
      </c>
      <c r="GJ376" s="16">
        <v>546</v>
      </c>
      <c r="GK376" s="16">
        <v>789</v>
      </c>
      <c r="GL376" s="16">
        <v>8285</v>
      </c>
      <c r="GM376" s="16">
        <v>21166</v>
      </c>
      <c r="GN376" s="16">
        <v>17397</v>
      </c>
      <c r="GO376" s="16">
        <v>13817</v>
      </c>
      <c r="GP376" s="16">
        <v>153288</v>
      </c>
      <c r="GQ376" s="16">
        <v>19637</v>
      </c>
      <c r="GR376" s="16">
        <v>22148</v>
      </c>
      <c r="GS376" s="16">
        <v>10911</v>
      </c>
      <c r="GT376" s="16">
        <v>13515</v>
      </c>
      <c r="GU376" s="16">
        <v>3441</v>
      </c>
      <c r="GV376" s="16">
        <v>1976</v>
      </c>
      <c r="GW376" s="16">
        <v>842</v>
      </c>
      <c r="GX376" s="16">
        <v>501</v>
      </c>
      <c r="GY376" s="16">
        <v>15</v>
      </c>
      <c r="GZ376" s="16">
        <v>1183</v>
      </c>
      <c r="HA376" s="16">
        <v>431</v>
      </c>
      <c r="HB376" s="16">
        <v>342</v>
      </c>
      <c r="HC376" s="16">
        <v>1809</v>
      </c>
      <c r="HD376" s="16">
        <v>1906</v>
      </c>
      <c r="HE376" s="16">
        <v>563</v>
      </c>
      <c r="HF376" s="16">
        <v>2646</v>
      </c>
      <c r="HG376" s="16">
        <v>28252</v>
      </c>
      <c r="HH376" s="16">
        <v>12031</v>
      </c>
      <c r="HI376" s="16">
        <v>35944</v>
      </c>
      <c r="HJ376" s="16">
        <v>199</v>
      </c>
      <c r="HK376" s="16">
        <v>781</v>
      </c>
      <c r="HL376" s="16">
        <v>2507</v>
      </c>
      <c r="HM376" s="16">
        <v>708</v>
      </c>
      <c r="HN376" s="16">
        <v>1399</v>
      </c>
      <c r="HO376" s="16">
        <v>822</v>
      </c>
      <c r="HP376" s="16">
        <v>640</v>
      </c>
      <c r="HQ376" s="16">
        <v>7783</v>
      </c>
      <c r="HR376" s="16">
        <v>67403</v>
      </c>
      <c r="HS376" s="16">
        <v>14917</v>
      </c>
      <c r="HT376" s="16">
        <v>4713</v>
      </c>
      <c r="HU376" s="16">
        <v>930</v>
      </c>
      <c r="HV376" s="16">
        <v>634</v>
      </c>
      <c r="HW376" s="16">
        <v>1104</v>
      </c>
      <c r="HX376" s="16">
        <v>955</v>
      </c>
      <c r="HY376" s="16">
        <v>1734</v>
      </c>
      <c r="HZ376" s="16">
        <v>1671</v>
      </c>
      <c r="IA376" s="16">
        <v>440</v>
      </c>
      <c r="IB376" s="16">
        <v>185</v>
      </c>
      <c r="IC376" s="16">
        <v>134</v>
      </c>
      <c r="ID376" s="16">
        <v>88</v>
      </c>
      <c r="IE376" s="16">
        <v>69</v>
      </c>
      <c r="IF376" s="16">
        <v>97</v>
      </c>
      <c r="IG376" s="16">
        <v>851</v>
      </c>
      <c r="IH376" s="16">
        <v>3742</v>
      </c>
      <c r="II376" s="16">
        <v>103</v>
      </c>
      <c r="IJ376" s="16">
        <v>544</v>
      </c>
      <c r="IK376" s="16">
        <v>215</v>
      </c>
      <c r="IL376" s="16">
        <v>270</v>
      </c>
      <c r="IM376" s="16">
        <v>165</v>
      </c>
      <c r="IN376" s="16">
        <v>2022</v>
      </c>
      <c r="IO376" s="16">
        <v>3693</v>
      </c>
      <c r="IP376" s="16">
        <v>599</v>
      </c>
      <c r="IQ376" s="16">
        <v>853</v>
      </c>
      <c r="IR376" s="16">
        <v>466</v>
      </c>
      <c r="IS376" s="16">
        <v>1116</v>
      </c>
      <c r="IT376" s="16">
        <v>212</v>
      </c>
      <c r="IU376" s="16">
        <v>10</v>
      </c>
      <c r="IV376" s="16">
        <v>299</v>
      </c>
      <c r="IW376" s="16">
        <v>711</v>
      </c>
      <c r="IX376" s="16">
        <v>1899</v>
      </c>
      <c r="IY376" s="16">
        <v>58</v>
      </c>
      <c r="IZ376" s="16">
        <v>65</v>
      </c>
      <c r="JA376" s="16">
        <v>231</v>
      </c>
      <c r="JB376" s="16">
        <v>29</v>
      </c>
      <c r="JC376" s="16">
        <v>75</v>
      </c>
      <c r="JD376" s="16">
        <v>122</v>
      </c>
      <c r="JE376" s="16">
        <v>554</v>
      </c>
      <c r="JF376" s="16">
        <v>724</v>
      </c>
      <c r="JG376" s="16">
        <v>46538</v>
      </c>
      <c r="JH376" s="16">
        <v>10691</v>
      </c>
      <c r="JI376" s="16">
        <v>513</v>
      </c>
      <c r="JJ376" s="16">
        <v>12896</v>
      </c>
      <c r="JK376" s="16">
        <v>2553</v>
      </c>
      <c r="JL376" s="16">
        <v>1109</v>
      </c>
      <c r="JM376" s="16">
        <v>264</v>
      </c>
      <c r="JN376" s="16">
        <v>2271</v>
      </c>
      <c r="JO376" s="16">
        <v>3421</v>
      </c>
      <c r="JP376" s="16">
        <v>2458</v>
      </c>
      <c r="JQ376" s="16">
        <v>353</v>
      </c>
      <c r="JR376" s="16">
        <v>2671</v>
      </c>
      <c r="JS376" s="16">
        <v>1195</v>
      </c>
      <c r="JT376" s="16">
        <v>4</v>
      </c>
      <c r="JU376" s="16">
        <v>7157</v>
      </c>
      <c r="JV376" s="16">
        <v>11804</v>
      </c>
      <c r="JW376" s="16">
        <v>20138</v>
      </c>
      <c r="JX376" s="16">
        <v>21384</v>
      </c>
      <c r="JY376" s="16">
        <v>3812</v>
      </c>
      <c r="JZ376" s="16">
        <v>510</v>
      </c>
      <c r="KA376" s="16">
        <v>587</v>
      </c>
      <c r="KB376" s="16">
        <v>230</v>
      </c>
      <c r="KC376" s="16">
        <v>672</v>
      </c>
      <c r="KD376" s="16">
        <v>244</v>
      </c>
      <c r="KE376" s="16">
        <v>131</v>
      </c>
      <c r="KF376" s="16">
        <v>1115</v>
      </c>
      <c r="KG376" s="16">
        <v>387</v>
      </c>
      <c r="KH376" s="16">
        <v>1201</v>
      </c>
      <c r="KI376" s="16">
        <v>808</v>
      </c>
      <c r="KJ376" s="16">
        <v>348</v>
      </c>
      <c r="KK376" s="16">
        <v>1685274</v>
      </c>
      <c r="KL376" s="16">
        <v>3071</v>
      </c>
      <c r="KM376" s="16">
        <v>2533</v>
      </c>
      <c r="KN376" s="16">
        <v>5472</v>
      </c>
      <c r="KO376" s="16">
        <v>328</v>
      </c>
      <c r="KP376" s="16">
        <v>786</v>
      </c>
      <c r="KQ376" s="16">
        <v>2530</v>
      </c>
      <c r="KR376" s="16">
        <v>5217</v>
      </c>
      <c r="KS376" s="16">
        <v>196</v>
      </c>
      <c r="KT376" s="16">
        <v>267</v>
      </c>
      <c r="KU376" s="16">
        <v>2598</v>
      </c>
      <c r="KV376" s="16">
        <v>16160</v>
      </c>
      <c r="KW376" s="16">
        <v>16476</v>
      </c>
      <c r="KX376" s="16">
        <v>1218</v>
      </c>
      <c r="KY376" s="16">
        <v>4888</v>
      </c>
      <c r="KZ376" s="16">
        <v>33654</v>
      </c>
      <c r="LA376" s="16">
        <v>8528</v>
      </c>
      <c r="LB376" s="16">
        <v>3200</v>
      </c>
      <c r="LC376" s="16">
        <v>3474</v>
      </c>
      <c r="LD376" s="16">
        <v>10782</v>
      </c>
      <c r="LE376" s="16">
        <v>14454</v>
      </c>
      <c r="LF376" s="16">
        <v>37096</v>
      </c>
      <c r="LG376" s="16">
        <v>1726</v>
      </c>
      <c r="LH376" s="16">
        <v>8609</v>
      </c>
      <c r="LI376" s="16">
        <v>3543</v>
      </c>
      <c r="LJ376" s="16">
        <v>3842</v>
      </c>
      <c r="LK376" s="16">
        <v>12074</v>
      </c>
      <c r="LL376" s="16">
        <v>8989</v>
      </c>
      <c r="LM376" s="16">
        <v>30683</v>
      </c>
      <c r="LN376" s="16">
        <v>13610</v>
      </c>
      <c r="LO376" s="16">
        <v>4884</v>
      </c>
      <c r="LP376" s="16">
        <v>10738</v>
      </c>
      <c r="LQ376" s="16">
        <v>1585</v>
      </c>
      <c r="LR376" s="16">
        <v>25412</v>
      </c>
      <c r="LS376" s="16">
        <v>2989</v>
      </c>
      <c r="LT376" s="16">
        <v>11449</v>
      </c>
      <c r="LU376" s="16">
        <v>15748</v>
      </c>
      <c r="LV376" s="16">
        <v>100</v>
      </c>
      <c r="LW376" s="16">
        <v>12762</v>
      </c>
      <c r="LX376" s="16">
        <v>7483</v>
      </c>
      <c r="LY376" s="16">
        <v>23206</v>
      </c>
      <c r="LZ376" s="16">
        <v>96109</v>
      </c>
      <c r="MA376" s="16">
        <v>32202</v>
      </c>
      <c r="MB376" s="16">
        <v>21872</v>
      </c>
      <c r="MC376" s="16">
        <v>7110</v>
      </c>
      <c r="MD376" s="16">
        <v>3199</v>
      </c>
      <c r="ME376" s="16">
        <v>3483</v>
      </c>
      <c r="MF376" s="16">
        <v>52975</v>
      </c>
      <c r="MG376" s="16">
        <v>16371</v>
      </c>
      <c r="MH376" s="16">
        <v>353513</v>
      </c>
      <c r="MI376" s="16">
        <v>1805</v>
      </c>
      <c r="MJ376" s="16">
        <v>17931</v>
      </c>
      <c r="MK376" s="16">
        <v>43341</v>
      </c>
      <c r="ML376" s="16">
        <v>26060</v>
      </c>
      <c r="MM376" s="16">
        <v>13619</v>
      </c>
      <c r="MN376" s="16">
        <v>86213</v>
      </c>
      <c r="MO376" s="16">
        <v>22289</v>
      </c>
      <c r="MP376" s="16">
        <v>58473</v>
      </c>
      <c r="MQ376" s="16">
        <v>23513</v>
      </c>
      <c r="MR376" s="16">
        <v>5049</v>
      </c>
      <c r="MS376" s="16">
        <v>2575</v>
      </c>
      <c r="MT376" s="16">
        <v>2404</v>
      </c>
      <c r="MU376" s="16">
        <v>6421</v>
      </c>
      <c r="MV376" s="16">
        <v>9513</v>
      </c>
      <c r="MW376" s="16">
        <v>22706</v>
      </c>
      <c r="MX376" s="16">
        <v>223</v>
      </c>
      <c r="MY376" s="16">
        <v>150</v>
      </c>
      <c r="MZ376" s="16">
        <v>9787</v>
      </c>
      <c r="NA376" s="16">
        <v>682</v>
      </c>
      <c r="NB376" s="16">
        <v>33681</v>
      </c>
      <c r="NC376" s="16">
        <v>1255</v>
      </c>
      <c r="ND376" s="16">
        <v>7636</v>
      </c>
      <c r="NE376" s="16">
        <v>10987</v>
      </c>
      <c r="NF376" s="16">
        <v>14414</v>
      </c>
      <c r="NG376" s="16">
        <v>26684</v>
      </c>
      <c r="NH376" s="16">
        <v>11230</v>
      </c>
      <c r="NI376" s="16">
        <v>2502</v>
      </c>
      <c r="NJ376" s="16">
        <v>8705</v>
      </c>
      <c r="NK376" s="16">
        <v>29028</v>
      </c>
      <c r="NL376" s="16">
        <v>201597</v>
      </c>
      <c r="NM376" s="16">
        <v>9500</v>
      </c>
      <c r="NN376" s="16">
        <v>6002</v>
      </c>
      <c r="NO376" s="16">
        <v>0</v>
      </c>
      <c r="NP376" s="16">
        <v>18396</v>
      </c>
      <c r="NQ376" s="16">
        <v>110</v>
      </c>
      <c r="NR376" s="17">
        <v>4286003</v>
      </c>
    </row>
    <row r="377" spans="1:382" ht="13.5" customHeight="1" x14ac:dyDescent="0.2">
      <c r="A377" s="2" t="s">
        <v>761</v>
      </c>
      <c r="B377" s="16">
        <v>99</v>
      </c>
      <c r="C377" s="16">
        <v>9</v>
      </c>
      <c r="D377" s="16">
        <v>55</v>
      </c>
      <c r="E377" s="16">
        <v>62</v>
      </c>
      <c r="F377" s="16">
        <v>281</v>
      </c>
      <c r="G377" s="16">
        <v>112</v>
      </c>
      <c r="H377" s="16">
        <v>8</v>
      </c>
      <c r="I377" s="16">
        <v>55</v>
      </c>
      <c r="J377" s="16">
        <v>2</v>
      </c>
      <c r="K377" s="16">
        <v>0</v>
      </c>
      <c r="L377" s="16">
        <v>81</v>
      </c>
      <c r="M377" s="16">
        <v>32</v>
      </c>
      <c r="N377" s="16">
        <v>2</v>
      </c>
      <c r="O377" s="16">
        <v>20</v>
      </c>
      <c r="P377" s="16">
        <v>144</v>
      </c>
      <c r="Q377" s="16">
        <v>320</v>
      </c>
      <c r="R377" s="16">
        <v>213</v>
      </c>
      <c r="S377" s="16">
        <v>66</v>
      </c>
      <c r="T377" s="16">
        <v>70</v>
      </c>
      <c r="U377" s="16">
        <v>30</v>
      </c>
      <c r="V377" s="16">
        <v>80</v>
      </c>
      <c r="W377" s="16">
        <v>1</v>
      </c>
      <c r="X377" s="16">
        <v>414</v>
      </c>
      <c r="Y377" s="16">
        <v>744</v>
      </c>
      <c r="Z377" s="16">
        <v>464</v>
      </c>
      <c r="AA377" s="16">
        <v>25</v>
      </c>
      <c r="AB377" s="16">
        <v>0</v>
      </c>
      <c r="AC377" s="16">
        <v>0</v>
      </c>
      <c r="AD377" s="16">
        <v>0</v>
      </c>
      <c r="AE377" s="16">
        <v>2</v>
      </c>
      <c r="AF377" s="16">
        <v>2</v>
      </c>
      <c r="AG377" s="16">
        <v>448</v>
      </c>
      <c r="AH377" s="16">
        <v>424</v>
      </c>
      <c r="AI377" s="16">
        <v>75</v>
      </c>
      <c r="AJ377" s="16">
        <v>2310</v>
      </c>
      <c r="AK377" s="16">
        <v>288</v>
      </c>
      <c r="AL377" s="16">
        <v>43</v>
      </c>
      <c r="AM377" s="16">
        <v>138</v>
      </c>
      <c r="AN377" s="16">
        <v>194</v>
      </c>
      <c r="AO377" s="16">
        <v>316</v>
      </c>
      <c r="AP377" s="16">
        <v>58</v>
      </c>
      <c r="AQ377" s="16">
        <v>111</v>
      </c>
      <c r="AR377" s="16">
        <v>0</v>
      </c>
      <c r="AS377" s="16">
        <v>23</v>
      </c>
      <c r="AT377" s="16">
        <v>62</v>
      </c>
      <c r="AU377" s="16">
        <v>194</v>
      </c>
      <c r="AV377" s="16">
        <v>49</v>
      </c>
      <c r="AW377" s="16">
        <v>405</v>
      </c>
      <c r="AX377" s="16">
        <v>142</v>
      </c>
      <c r="AY377" s="16">
        <v>142</v>
      </c>
      <c r="AZ377" s="16">
        <v>206</v>
      </c>
      <c r="BA377" s="16">
        <v>231</v>
      </c>
      <c r="BB377" s="16">
        <v>219</v>
      </c>
      <c r="BC377" s="16">
        <v>852</v>
      </c>
      <c r="BD377" s="16">
        <v>15</v>
      </c>
      <c r="BE377" s="16">
        <v>93</v>
      </c>
      <c r="BF377" s="16">
        <v>171</v>
      </c>
      <c r="BG377" s="16">
        <v>98</v>
      </c>
      <c r="BH377" s="16">
        <v>247</v>
      </c>
      <c r="BI377" s="16">
        <v>61</v>
      </c>
      <c r="BJ377" s="16">
        <v>29</v>
      </c>
      <c r="BK377" s="16">
        <v>101</v>
      </c>
      <c r="BL377" s="16">
        <v>313</v>
      </c>
      <c r="BM377" s="16">
        <v>60</v>
      </c>
      <c r="BN377" s="16">
        <v>281</v>
      </c>
      <c r="BO377" s="16">
        <v>295</v>
      </c>
      <c r="BP377" s="16">
        <v>674</v>
      </c>
      <c r="BQ377" s="16">
        <v>78</v>
      </c>
      <c r="BR377" s="16">
        <v>57</v>
      </c>
      <c r="BS377" s="16">
        <v>468</v>
      </c>
      <c r="BT377" s="16">
        <v>7</v>
      </c>
      <c r="BU377" s="16">
        <v>3</v>
      </c>
      <c r="BV377" s="16">
        <v>2</v>
      </c>
      <c r="BW377" s="16">
        <v>147</v>
      </c>
      <c r="BX377" s="16">
        <v>19</v>
      </c>
      <c r="BY377" s="16">
        <v>0</v>
      </c>
      <c r="BZ377" s="16">
        <v>76</v>
      </c>
      <c r="CA377" s="16">
        <v>39</v>
      </c>
      <c r="CB377" s="16">
        <v>7</v>
      </c>
      <c r="CC377" s="16">
        <v>352</v>
      </c>
      <c r="CD377" s="16">
        <v>66</v>
      </c>
      <c r="CE377" s="16">
        <v>69</v>
      </c>
      <c r="CF377" s="16">
        <v>452</v>
      </c>
      <c r="CG377" s="16">
        <v>231</v>
      </c>
      <c r="CH377" s="16">
        <v>230</v>
      </c>
      <c r="CI377" s="16">
        <v>10</v>
      </c>
      <c r="CJ377" s="16">
        <v>157</v>
      </c>
      <c r="CK377" s="16">
        <v>260</v>
      </c>
      <c r="CL377" s="16">
        <v>177</v>
      </c>
      <c r="CM377" s="16">
        <v>247</v>
      </c>
      <c r="CN377" s="16">
        <v>59</v>
      </c>
      <c r="CO377" s="16">
        <v>158</v>
      </c>
      <c r="CP377" s="16">
        <v>134</v>
      </c>
      <c r="CQ377" s="16">
        <v>1033</v>
      </c>
      <c r="CR377" s="16">
        <v>64</v>
      </c>
      <c r="CS377" s="16">
        <v>103</v>
      </c>
      <c r="CT377" s="16">
        <v>122</v>
      </c>
      <c r="CU377" s="16">
        <v>399</v>
      </c>
      <c r="CV377" s="16">
        <v>282</v>
      </c>
      <c r="CW377" s="16">
        <v>357</v>
      </c>
      <c r="CX377" s="16">
        <v>367</v>
      </c>
      <c r="CY377" s="16">
        <v>48</v>
      </c>
      <c r="CZ377" s="16">
        <v>76</v>
      </c>
      <c r="DA377" s="16">
        <v>16</v>
      </c>
      <c r="DB377" s="16">
        <v>94</v>
      </c>
      <c r="DC377" s="16">
        <v>32</v>
      </c>
      <c r="DD377" s="16">
        <v>132</v>
      </c>
      <c r="DE377" s="16">
        <v>40</v>
      </c>
      <c r="DF377" s="16">
        <v>202</v>
      </c>
      <c r="DG377" s="16">
        <v>235</v>
      </c>
      <c r="DH377" s="16">
        <v>270</v>
      </c>
      <c r="DI377" s="16">
        <v>76</v>
      </c>
      <c r="DJ377" s="16">
        <v>2932</v>
      </c>
      <c r="DK377" s="16">
        <v>88</v>
      </c>
      <c r="DL377" s="16">
        <v>112</v>
      </c>
      <c r="DM377" s="16">
        <v>1528</v>
      </c>
      <c r="DN377" s="16">
        <v>83</v>
      </c>
      <c r="DO377" s="16">
        <v>219</v>
      </c>
      <c r="DP377" s="16">
        <v>160</v>
      </c>
      <c r="DQ377" s="16">
        <v>44</v>
      </c>
      <c r="DR377" s="16">
        <v>258</v>
      </c>
      <c r="DS377" s="16">
        <v>627</v>
      </c>
      <c r="DT377" s="16">
        <v>72</v>
      </c>
      <c r="DU377" s="16">
        <v>78</v>
      </c>
      <c r="DV377" s="16">
        <v>473</v>
      </c>
      <c r="DW377" s="16">
        <v>537</v>
      </c>
      <c r="DX377" s="16">
        <v>541</v>
      </c>
      <c r="DY377" s="16">
        <v>631</v>
      </c>
      <c r="DZ377" s="16">
        <v>1800</v>
      </c>
      <c r="EA377" s="16">
        <v>703</v>
      </c>
      <c r="EB377" s="16">
        <v>215</v>
      </c>
      <c r="EC377" s="16">
        <v>224</v>
      </c>
      <c r="ED377" s="16">
        <v>41</v>
      </c>
      <c r="EE377" s="16">
        <v>11</v>
      </c>
      <c r="EF377" s="16">
        <v>30</v>
      </c>
      <c r="EG377" s="16">
        <v>196</v>
      </c>
      <c r="EH377" s="16">
        <v>36</v>
      </c>
      <c r="EI377" s="16">
        <v>235</v>
      </c>
      <c r="EJ377" s="16">
        <v>64</v>
      </c>
      <c r="EK377" s="16">
        <v>73</v>
      </c>
      <c r="EL377" s="16">
        <v>35</v>
      </c>
      <c r="EM377" s="16">
        <v>77</v>
      </c>
      <c r="EN377" s="16">
        <v>420</v>
      </c>
      <c r="EO377" s="16">
        <v>307</v>
      </c>
      <c r="EP377" s="16">
        <v>51</v>
      </c>
      <c r="EQ377" s="16">
        <v>145</v>
      </c>
      <c r="ER377" s="16">
        <v>32</v>
      </c>
      <c r="ES377" s="16">
        <v>129</v>
      </c>
      <c r="ET377" s="16">
        <v>184</v>
      </c>
      <c r="EU377" s="16">
        <v>2</v>
      </c>
      <c r="EV377" s="16">
        <v>6</v>
      </c>
      <c r="EW377" s="16">
        <v>20</v>
      </c>
      <c r="EX377" s="16">
        <v>472</v>
      </c>
      <c r="EY377" s="16">
        <v>317</v>
      </c>
      <c r="EZ377" s="16">
        <v>298</v>
      </c>
      <c r="FA377" s="16">
        <v>250</v>
      </c>
      <c r="FB377" s="16">
        <v>384</v>
      </c>
      <c r="FC377" s="16">
        <v>38</v>
      </c>
      <c r="FD377" s="16">
        <v>776</v>
      </c>
      <c r="FE377" s="16">
        <v>602</v>
      </c>
      <c r="FF377" s="16">
        <v>229</v>
      </c>
      <c r="FG377" s="16">
        <v>588</v>
      </c>
      <c r="FH377" s="16">
        <v>1</v>
      </c>
      <c r="FI377" s="16">
        <v>244</v>
      </c>
      <c r="FJ377" s="16">
        <v>17</v>
      </c>
      <c r="FK377" s="16">
        <v>566</v>
      </c>
      <c r="FL377" s="16">
        <v>17</v>
      </c>
      <c r="FM377" s="16">
        <v>276</v>
      </c>
      <c r="FN377" s="16">
        <v>358</v>
      </c>
      <c r="FO377" s="16">
        <v>222</v>
      </c>
      <c r="FP377" s="16">
        <v>530</v>
      </c>
      <c r="FQ377" s="16">
        <v>1072</v>
      </c>
      <c r="FR377" s="16">
        <v>669</v>
      </c>
      <c r="FS377" s="16">
        <v>463</v>
      </c>
      <c r="FT377" s="16">
        <v>201</v>
      </c>
      <c r="FU377" s="16">
        <v>785</v>
      </c>
      <c r="FV377" s="16">
        <v>513</v>
      </c>
      <c r="FW377" s="16">
        <v>849</v>
      </c>
      <c r="FX377" s="16">
        <v>1377</v>
      </c>
      <c r="FY377" s="16">
        <v>138</v>
      </c>
      <c r="FZ377" s="16">
        <v>713</v>
      </c>
      <c r="GA377" s="16">
        <v>130</v>
      </c>
      <c r="GB377" s="16">
        <v>792</v>
      </c>
      <c r="GC377" s="16">
        <v>361</v>
      </c>
      <c r="GD377" s="16">
        <v>363</v>
      </c>
      <c r="GE377" s="16">
        <v>65</v>
      </c>
      <c r="GF377" s="16">
        <v>894</v>
      </c>
      <c r="GG377" s="16">
        <v>30</v>
      </c>
      <c r="GH377" s="16">
        <v>779</v>
      </c>
      <c r="GI377" s="16">
        <v>523</v>
      </c>
      <c r="GJ377" s="16">
        <v>258</v>
      </c>
      <c r="GK377" s="16">
        <v>201</v>
      </c>
      <c r="GL377" s="16">
        <v>9</v>
      </c>
      <c r="GM377" s="16">
        <v>264</v>
      </c>
      <c r="GN377" s="16">
        <v>42</v>
      </c>
      <c r="GO377" s="16">
        <v>136</v>
      </c>
      <c r="GP377" s="16">
        <v>247</v>
      </c>
      <c r="GQ377" s="16">
        <v>14</v>
      </c>
      <c r="GR377" s="16">
        <v>183</v>
      </c>
      <c r="GS377" s="16">
        <v>43</v>
      </c>
      <c r="GT377" s="16">
        <v>64</v>
      </c>
      <c r="GU377" s="16">
        <v>529</v>
      </c>
      <c r="GV377" s="16">
        <v>448</v>
      </c>
      <c r="GW377" s="16">
        <v>440</v>
      </c>
      <c r="GX377" s="16">
        <v>139</v>
      </c>
      <c r="GY377" s="16">
        <v>1</v>
      </c>
      <c r="GZ377" s="16">
        <v>307</v>
      </c>
      <c r="HA377" s="16">
        <v>208</v>
      </c>
      <c r="HB377" s="16">
        <v>150</v>
      </c>
      <c r="HC377" s="16">
        <v>482</v>
      </c>
      <c r="HD377" s="16">
        <v>674</v>
      </c>
      <c r="HE377" s="16">
        <v>457</v>
      </c>
      <c r="HF377" s="16">
        <v>746</v>
      </c>
      <c r="HG377" s="16">
        <v>83</v>
      </c>
      <c r="HH377" s="16">
        <v>97</v>
      </c>
      <c r="HI377" s="16">
        <v>324</v>
      </c>
      <c r="HJ377" s="16">
        <v>61</v>
      </c>
      <c r="HK377" s="16">
        <v>296</v>
      </c>
      <c r="HL377" s="16">
        <v>1011</v>
      </c>
      <c r="HM377" s="16">
        <v>307</v>
      </c>
      <c r="HN377" s="16">
        <v>1784</v>
      </c>
      <c r="HO377" s="16">
        <v>399</v>
      </c>
      <c r="HP377" s="16">
        <v>264</v>
      </c>
      <c r="HQ377" s="16">
        <v>915</v>
      </c>
      <c r="HR377" s="16">
        <v>917</v>
      </c>
      <c r="HS377" s="16">
        <v>336</v>
      </c>
      <c r="HT377" s="16">
        <v>22</v>
      </c>
      <c r="HU377" s="16">
        <v>701</v>
      </c>
      <c r="HV377" s="16">
        <v>223</v>
      </c>
      <c r="HW377" s="16">
        <v>632</v>
      </c>
      <c r="HX377" s="16">
        <v>363</v>
      </c>
      <c r="HY377" s="16">
        <v>639</v>
      </c>
      <c r="HZ377" s="16">
        <v>869</v>
      </c>
      <c r="IA377" s="16">
        <v>265</v>
      </c>
      <c r="IB377" s="16">
        <v>109</v>
      </c>
      <c r="IC377" s="16">
        <v>48</v>
      </c>
      <c r="ID377" s="16">
        <v>44</v>
      </c>
      <c r="IE377" s="16">
        <v>42</v>
      </c>
      <c r="IF377" s="16">
        <v>40</v>
      </c>
      <c r="IG377" s="16">
        <v>413</v>
      </c>
      <c r="IH377" s="16">
        <v>2306</v>
      </c>
      <c r="II377" s="16">
        <v>242</v>
      </c>
      <c r="IJ377" s="16">
        <v>253</v>
      </c>
      <c r="IK377" s="16">
        <v>57</v>
      </c>
      <c r="IL377" s="16">
        <v>119</v>
      </c>
      <c r="IM377" s="16">
        <v>1</v>
      </c>
      <c r="IN377" s="16">
        <v>2108</v>
      </c>
      <c r="IO377" s="16">
        <v>2576</v>
      </c>
      <c r="IP377" s="16">
        <v>136</v>
      </c>
      <c r="IQ377" s="16">
        <v>119</v>
      </c>
      <c r="IR377" s="16">
        <v>251</v>
      </c>
      <c r="IS377" s="16">
        <v>53</v>
      </c>
      <c r="IT377" s="16">
        <v>46</v>
      </c>
      <c r="IU377" s="16">
        <v>1</v>
      </c>
      <c r="IV377" s="16">
        <v>144</v>
      </c>
      <c r="IW377" s="16">
        <v>386</v>
      </c>
      <c r="IX377" s="16">
        <v>207</v>
      </c>
      <c r="IY377" s="16">
        <v>39</v>
      </c>
      <c r="IZ377" s="16">
        <v>11</v>
      </c>
      <c r="JA377" s="16">
        <v>97</v>
      </c>
      <c r="JB377" s="16">
        <v>14</v>
      </c>
      <c r="JC377" s="16">
        <v>18</v>
      </c>
      <c r="JD377" s="16">
        <v>44</v>
      </c>
      <c r="JE377" s="16">
        <v>238</v>
      </c>
      <c r="JF377" s="16">
        <v>127</v>
      </c>
      <c r="JG377" s="16">
        <v>11546</v>
      </c>
      <c r="JH377" s="16">
        <v>301</v>
      </c>
      <c r="JI377" s="16">
        <v>139</v>
      </c>
      <c r="JJ377" s="16">
        <v>366</v>
      </c>
      <c r="JK377" s="16">
        <v>273</v>
      </c>
      <c r="JL377" s="16">
        <v>39</v>
      </c>
      <c r="JM377" s="16">
        <v>27</v>
      </c>
      <c r="JN377" s="16">
        <v>444</v>
      </c>
      <c r="JO377" s="16">
        <v>26</v>
      </c>
      <c r="JP377" s="16">
        <v>230</v>
      </c>
      <c r="JQ377" s="16">
        <v>186</v>
      </c>
      <c r="JR377" s="16">
        <v>369</v>
      </c>
      <c r="JS377" s="16">
        <v>292</v>
      </c>
      <c r="JT377" s="16">
        <v>0</v>
      </c>
      <c r="JU377" s="16">
        <v>2399</v>
      </c>
      <c r="JV377" s="16">
        <v>3570</v>
      </c>
      <c r="JW377" s="16">
        <v>4352</v>
      </c>
      <c r="JX377" s="16">
        <v>4912</v>
      </c>
      <c r="JY377" s="16">
        <v>2066</v>
      </c>
      <c r="JZ377" s="16">
        <v>176</v>
      </c>
      <c r="KA377" s="16">
        <v>318</v>
      </c>
      <c r="KB377" s="16">
        <v>180</v>
      </c>
      <c r="KC377" s="16">
        <v>256</v>
      </c>
      <c r="KD377" s="16">
        <v>118</v>
      </c>
      <c r="KE377" s="16">
        <v>81</v>
      </c>
      <c r="KF377" s="16">
        <v>339</v>
      </c>
      <c r="KG377" s="16">
        <v>281</v>
      </c>
      <c r="KH377" s="16">
        <v>170</v>
      </c>
      <c r="KI377" s="16">
        <v>350</v>
      </c>
      <c r="KJ377" s="16">
        <v>131</v>
      </c>
      <c r="KK377" s="16">
        <v>56839</v>
      </c>
      <c r="KL377" s="16">
        <v>17</v>
      </c>
      <c r="KM377" s="16">
        <v>1885</v>
      </c>
      <c r="KN377" s="16">
        <v>1091</v>
      </c>
      <c r="KO377" s="16">
        <v>302</v>
      </c>
      <c r="KP377" s="16">
        <v>44</v>
      </c>
      <c r="KQ377" s="16">
        <v>2263</v>
      </c>
      <c r="KR377" s="16">
        <v>935</v>
      </c>
      <c r="KS377" s="16">
        <v>46</v>
      </c>
      <c r="KT377" s="16">
        <v>69</v>
      </c>
      <c r="KU377" s="16">
        <v>1059</v>
      </c>
      <c r="KV377" s="16">
        <v>3179</v>
      </c>
      <c r="KW377" s="16">
        <v>5812</v>
      </c>
      <c r="KX377" s="16">
        <v>40</v>
      </c>
      <c r="KY377" s="16">
        <v>565</v>
      </c>
      <c r="KZ377" s="16">
        <v>17272</v>
      </c>
      <c r="LA377" s="16">
        <v>4177</v>
      </c>
      <c r="LB377" s="16">
        <v>1445</v>
      </c>
      <c r="LC377" s="16">
        <v>1306</v>
      </c>
      <c r="LD377" s="16">
        <v>13535</v>
      </c>
      <c r="LE377" s="16">
        <v>800</v>
      </c>
      <c r="LF377" s="16">
        <v>191</v>
      </c>
      <c r="LG377" s="16">
        <v>229</v>
      </c>
      <c r="LH377" s="16">
        <v>371</v>
      </c>
      <c r="LI377" s="16">
        <v>293</v>
      </c>
      <c r="LJ377" s="16">
        <v>1377</v>
      </c>
      <c r="LK377" s="16">
        <v>1346</v>
      </c>
      <c r="LL377" s="16">
        <v>2626</v>
      </c>
      <c r="LM377" s="16">
        <v>8590</v>
      </c>
      <c r="LN377" s="16">
        <v>3264</v>
      </c>
      <c r="LO377" s="16">
        <v>1036</v>
      </c>
      <c r="LP377" s="16">
        <v>1373</v>
      </c>
      <c r="LQ377" s="16">
        <v>237</v>
      </c>
      <c r="LR377" s="16">
        <v>3688</v>
      </c>
      <c r="LS377" s="16">
        <v>303</v>
      </c>
      <c r="LT377" s="16">
        <v>2250</v>
      </c>
      <c r="LU377" s="16">
        <v>3854</v>
      </c>
      <c r="LV377" s="16">
        <v>31</v>
      </c>
      <c r="LW377" s="16">
        <v>2949</v>
      </c>
      <c r="LX377" s="16">
        <v>2665</v>
      </c>
      <c r="LY377" s="16">
        <v>0</v>
      </c>
      <c r="LZ377" s="16">
        <v>7119</v>
      </c>
      <c r="MA377" s="16">
        <v>2117</v>
      </c>
      <c r="MB377" s="16">
        <v>778</v>
      </c>
      <c r="MC377" s="16">
        <v>446</v>
      </c>
      <c r="MD377" s="16">
        <v>538</v>
      </c>
      <c r="ME377" s="16">
        <v>1911</v>
      </c>
      <c r="MF377" s="16">
        <v>3155</v>
      </c>
      <c r="MG377" s="16">
        <v>1572</v>
      </c>
      <c r="MH377" s="16">
        <v>11623</v>
      </c>
      <c r="MI377" s="16">
        <v>2017</v>
      </c>
      <c r="MJ377" s="16">
        <v>1509</v>
      </c>
      <c r="MK377" s="16">
        <v>1411</v>
      </c>
      <c r="ML377" s="16">
        <v>1779</v>
      </c>
      <c r="MM377" s="16">
        <v>1732</v>
      </c>
      <c r="MN377" s="16">
        <v>1621</v>
      </c>
      <c r="MO377" s="16">
        <v>1845</v>
      </c>
      <c r="MP377" s="16">
        <v>4913</v>
      </c>
      <c r="MQ377" s="16">
        <v>8309</v>
      </c>
      <c r="MR377" s="16">
        <v>53</v>
      </c>
      <c r="MS377" s="16">
        <v>143</v>
      </c>
      <c r="MT377" s="16">
        <v>0</v>
      </c>
      <c r="MU377" s="16">
        <v>1812</v>
      </c>
      <c r="MV377" s="16">
        <v>13621</v>
      </c>
      <c r="MW377" s="16">
        <v>38006</v>
      </c>
      <c r="MX377" s="16">
        <v>1</v>
      </c>
      <c r="MY377" s="16">
        <v>3824</v>
      </c>
      <c r="MZ377" s="16">
        <v>13199</v>
      </c>
      <c r="NA377" s="16">
        <v>0</v>
      </c>
      <c r="NB377" s="16">
        <v>8187</v>
      </c>
      <c r="NC377" s="16">
        <v>4</v>
      </c>
      <c r="ND377" s="16">
        <v>54972</v>
      </c>
      <c r="NE377" s="16">
        <v>6945</v>
      </c>
      <c r="NF377" s="16">
        <v>4472</v>
      </c>
      <c r="NG377" s="16">
        <v>15270</v>
      </c>
      <c r="NH377" s="16">
        <v>34222</v>
      </c>
      <c r="NI377" s="16">
        <v>18960</v>
      </c>
      <c r="NJ377" s="16">
        <v>4667</v>
      </c>
      <c r="NK377" s="16">
        <v>644</v>
      </c>
      <c r="NL377" s="16">
        <v>976</v>
      </c>
      <c r="NM377" s="16">
        <v>13075</v>
      </c>
      <c r="NN377" s="16">
        <v>253</v>
      </c>
      <c r="NO377" s="16">
        <v>0</v>
      </c>
      <c r="NP377" s="16">
        <v>1164</v>
      </c>
      <c r="NQ377" s="16">
        <v>2</v>
      </c>
      <c r="NR377" s="17">
        <v>549532</v>
      </c>
    </row>
    <row r="378" spans="1:382" ht="13.5" customHeight="1" x14ac:dyDescent="0.2">
      <c r="A378" s="2" t="s">
        <v>763</v>
      </c>
      <c r="B378" s="16">
        <v>0</v>
      </c>
      <c r="C378" s="16">
        <v>0</v>
      </c>
      <c r="D378" s="16">
        <v>0</v>
      </c>
      <c r="E378" s="16">
        <v>0</v>
      </c>
      <c r="F378" s="16">
        <v>0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69</v>
      </c>
      <c r="Y378" s="16">
        <v>0</v>
      </c>
      <c r="Z378" s="16">
        <v>476</v>
      </c>
      <c r="AA378" s="16">
        <v>96</v>
      </c>
      <c r="AB378" s="16">
        <v>0</v>
      </c>
      <c r="AC378" s="16">
        <v>0</v>
      </c>
      <c r="AD378" s="16">
        <v>0</v>
      </c>
      <c r="AE378" s="16">
        <v>0</v>
      </c>
      <c r="AF378" s="16">
        <v>0</v>
      </c>
      <c r="AG378" s="16">
        <v>68</v>
      </c>
      <c r="AH378" s="16">
        <v>1522</v>
      </c>
      <c r="AI378" s="16">
        <v>0</v>
      </c>
      <c r="AJ378" s="16">
        <v>0</v>
      </c>
      <c r="AK378" s="16">
        <v>0</v>
      </c>
      <c r="AL378" s="16">
        <v>0</v>
      </c>
      <c r="AM378" s="16">
        <v>481</v>
      </c>
      <c r="AN378" s="16">
        <v>108</v>
      </c>
      <c r="AO378" s="16">
        <v>0</v>
      </c>
      <c r="AP378" s="16">
        <v>0</v>
      </c>
      <c r="AQ378" s="16">
        <v>0</v>
      </c>
      <c r="AR378" s="16">
        <v>0</v>
      </c>
      <c r="AS378" s="16">
        <v>0</v>
      </c>
      <c r="AT378" s="16">
        <v>0</v>
      </c>
      <c r="AU378" s="16">
        <v>94</v>
      </c>
      <c r="AV378" s="16">
        <v>97</v>
      </c>
      <c r="AW378" s="16">
        <v>260</v>
      </c>
      <c r="AX378" s="16">
        <v>0</v>
      </c>
      <c r="AY378" s="16">
        <v>0</v>
      </c>
      <c r="AZ378" s="16">
        <v>0</v>
      </c>
      <c r="BA378" s="16">
        <v>304</v>
      </c>
      <c r="BB378" s="16">
        <v>262</v>
      </c>
      <c r="BC378" s="16">
        <v>0</v>
      </c>
      <c r="BD378" s="16">
        <v>0</v>
      </c>
      <c r="BE378" s="16">
        <v>0</v>
      </c>
      <c r="BF378" s="16">
        <v>0</v>
      </c>
      <c r="BG378" s="16">
        <v>0</v>
      </c>
      <c r="BH378" s="16">
        <v>0</v>
      </c>
      <c r="BI378" s="16">
        <v>0</v>
      </c>
      <c r="BJ378" s="16">
        <v>0</v>
      </c>
      <c r="BK378" s="16">
        <v>0</v>
      </c>
      <c r="BL378" s="16">
        <v>0</v>
      </c>
      <c r="BM378" s="16">
        <v>0</v>
      </c>
      <c r="BN378" s="16">
        <v>0</v>
      </c>
      <c r="BO378" s="16">
        <v>0</v>
      </c>
      <c r="BP378" s="16">
        <v>0</v>
      </c>
      <c r="BQ378" s="16">
        <v>49</v>
      </c>
      <c r="BR378" s="16">
        <v>0</v>
      </c>
      <c r="BS378" s="16">
        <v>2569</v>
      </c>
      <c r="BT378" s="16">
        <v>11</v>
      </c>
      <c r="BU378" s="16">
        <v>0</v>
      </c>
      <c r="BV378" s="16">
        <v>0</v>
      </c>
      <c r="BW378" s="16">
        <v>0</v>
      </c>
      <c r="BX378" s="16">
        <v>0</v>
      </c>
      <c r="BY378" s="16">
        <v>0</v>
      </c>
      <c r="BZ378" s="16">
        <v>0</v>
      </c>
      <c r="CA378" s="16">
        <v>0</v>
      </c>
      <c r="CB378" s="16">
        <v>0</v>
      </c>
      <c r="CC378" s="16">
        <v>0</v>
      </c>
      <c r="CD378" s="16">
        <v>0</v>
      </c>
      <c r="CE378" s="16">
        <v>0</v>
      </c>
      <c r="CF378" s="16">
        <v>0</v>
      </c>
      <c r="CG378" s="16">
        <v>0</v>
      </c>
      <c r="CH378" s="16">
        <v>0</v>
      </c>
      <c r="CI378" s="16">
        <v>0</v>
      </c>
      <c r="CJ378" s="16">
        <v>0</v>
      </c>
      <c r="CK378" s="16">
        <v>0</v>
      </c>
      <c r="CL378" s="16">
        <v>0</v>
      </c>
      <c r="CM378" s="16">
        <v>0</v>
      </c>
      <c r="CN378" s="16">
        <v>0</v>
      </c>
      <c r="CO378" s="16">
        <v>0</v>
      </c>
      <c r="CP378" s="16">
        <v>107</v>
      </c>
      <c r="CQ378" s="16">
        <v>9109</v>
      </c>
      <c r="CR378" s="16">
        <v>0</v>
      </c>
      <c r="CS378" s="16">
        <v>0</v>
      </c>
      <c r="CT378" s="16">
        <v>0</v>
      </c>
      <c r="CU378" s="16">
        <v>0</v>
      </c>
      <c r="CV378" s="16">
        <v>0</v>
      </c>
      <c r="CW378" s="16">
        <v>0</v>
      </c>
      <c r="CX378" s="16">
        <v>0</v>
      </c>
      <c r="CY378" s="16">
        <v>0</v>
      </c>
      <c r="CZ378" s="16">
        <v>0</v>
      </c>
      <c r="DA378" s="16">
        <v>0</v>
      </c>
      <c r="DB378" s="16">
        <v>0</v>
      </c>
      <c r="DC378" s="16">
        <v>0</v>
      </c>
      <c r="DD378" s="16">
        <v>0</v>
      </c>
      <c r="DE378" s="16">
        <v>0</v>
      </c>
      <c r="DF378" s="16">
        <v>0</v>
      </c>
      <c r="DG378" s="16">
        <v>0</v>
      </c>
      <c r="DH378" s="16">
        <v>429</v>
      </c>
      <c r="DI378" s="16">
        <v>0</v>
      </c>
      <c r="DJ378" s="16">
        <v>0</v>
      </c>
      <c r="DK378" s="16">
        <v>0</v>
      </c>
      <c r="DL378" s="16">
        <v>0</v>
      </c>
      <c r="DM378" s="16">
        <v>652</v>
      </c>
      <c r="DN378" s="16">
        <v>0</v>
      </c>
      <c r="DO378" s="16">
        <v>9</v>
      </c>
      <c r="DP378" s="16">
        <v>372</v>
      </c>
      <c r="DQ378" s="16">
        <v>186</v>
      </c>
      <c r="DR378" s="16">
        <v>0</v>
      </c>
      <c r="DS378" s="16">
        <v>0</v>
      </c>
      <c r="DT378" s="16">
        <v>191</v>
      </c>
      <c r="DU378" s="16">
        <v>97</v>
      </c>
      <c r="DV378" s="16">
        <v>191</v>
      </c>
      <c r="DW378" s="16">
        <v>0</v>
      </c>
      <c r="DX378" s="16">
        <v>0</v>
      </c>
      <c r="DY378" s="16">
        <v>0</v>
      </c>
      <c r="DZ378" s="16">
        <v>0</v>
      </c>
      <c r="EA378" s="16">
        <v>0</v>
      </c>
      <c r="EB378" s="16">
        <v>95</v>
      </c>
      <c r="EC378" s="16">
        <v>0</v>
      </c>
      <c r="ED378" s="16">
        <v>0</v>
      </c>
      <c r="EE378" s="16">
        <v>0</v>
      </c>
      <c r="EF378" s="16">
        <v>0</v>
      </c>
      <c r="EG378" s="16">
        <v>0</v>
      </c>
      <c r="EH378" s="16">
        <v>0</v>
      </c>
      <c r="EI378" s="16">
        <v>0</v>
      </c>
      <c r="EJ378" s="16">
        <v>0</v>
      </c>
      <c r="EK378" s="16">
        <v>0</v>
      </c>
      <c r="EL378" s="16">
        <v>0</v>
      </c>
      <c r="EM378" s="16">
        <v>0</v>
      </c>
      <c r="EN378" s="16">
        <v>0</v>
      </c>
      <c r="EO378" s="16">
        <v>0</v>
      </c>
      <c r="EP378" s="16">
        <v>0</v>
      </c>
      <c r="EQ378" s="16">
        <v>0</v>
      </c>
      <c r="ER378" s="16">
        <v>0</v>
      </c>
      <c r="ES378" s="16">
        <v>0</v>
      </c>
      <c r="ET378" s="16">
        <v>0</v>
      </c>
      <c r="EU378" s="16">
        <v>0</v>
      </c>
      <c r="EV378" s="16">
        <v>0</v>
      </c>
      <c r="EW378" s="16">
        <v>0</v>
      </c>
      <c r="EX378" s="16">
        <v>0</v>
      </c>
      <c r="EY378" s="16">
        <v>0</v>
      </c>
      <c r="EZ378" s="16">
        <v>0</v>
      </c>
      <c r="FA378" s="16">
        <v>0</v>
      </c>
      <c r="FB378" s="16">
        <v>0</v>
      </c>
      <c r="FC378" s="16">
        <v>0</v>
      </c>
      <c r="FD378" s="16">
        <v>0</v>
      </c>
      <c r="FE378" s="16">
        <v>0</v>
      </c>
      <c r="FF378" s="16">
        <v>0</v>
      </c>
      <c r="FG378" s="16">
        <v>0</v>
      </c>
      <c r="FH378" s="16">
        <v>0</v>
      </c>
      <c r="FI378" s="16">
        <v>0</v>
      </c>
      <c r="FJ378" s="16">
        <v>0</v>
      </c>
      <c r="FK378" s="16">
        <v>0</v>
      </c>
      <c r="FL378" s="16">
        <v>0</v>
      </c>
      <c r="FM378" s="16">
        <v>0</v>
      </c>
      <c r="FN378" s="16">
        <v>0</v>
      </c>
      <c r="FO378" s="16">
        <v>0</v>
      </c>
      <c r="FP378" s="16">
        <v>0</v>
      </c>
      <c r="FQ378" s="16">
        <v>0</v>
      </c>
      <c r="FR378" s="16">
        <v>0</v>
      </c>
      <c r="FS378" s="16">
        <v>0</v>
      </c>
      <c r="FT378" s="16">
        <v>0</v>
      </c>
      <c r="FU378" s="16">
        <v>0</v>
      </c>
      <c r="FV378" s="16">
        <v>0</v>
      </c>
      <c r="FW378" s="16">
        <v>0</v>
      </c>
      <c r="FX378" s="16">
        <v>0</v>
      </c>
      <c r="FY378" s="16">
        <v>1</v>
      </c>
      <c r="FZ378" s="16">
        <v>0</v>
      </c>
      <c r="GA378" s="16">
        <v>4</v>
      </c>
      <c r="GB378" s="16">
        <v>591</v>
      </c>
      <c r="GC378" s="16">
        <v>0</v>
      </c>
      <c r="GD378" s="16">
        <v>31</v>
      </c>
      <c r="GE378" s="16">
        <v>24</v>
      </c>
      <c r="GF378" s="16">
        <v>366</v>
      </c>
      <c r="GG378" s="16">
        <v>0</v>
      </c>
      <c r="GH378" s="16">
        <v>0</v>
      </c>
      <c r="GI378" s="16">
        <v>0</v>
      </c>
      <c r="GJ378" s="16">
        <v>9</v>
      </c>
      <c r="GK378" s="16">
        <v>12</v>
      </c>
      <c r="GL378" s="16">
        <v>0</v>
      </c>
      <c r="GM378" s="16">
        <v>0</v>
      </c>
      <c r="GN378" s="16">
        <v>0</v>
      </c>
      <c r="GO378" s="16">
        <v>23</v>
      </c>
      <c r="GP378" s="16">
        <v>0</v>
      </c>
      <c r="GQ378" s="16">
        <v>0</v>
      </c>
      <c r="GR378" s="16">
        <v>0</v>
      </c>
      <c r="GS378" s="16">
        <v>0</v>
      </c>
      <c r="GT378" s="16">
        <v>0</v>
      </c>
      <c r="GU378" s="16">
        <v>0</v>
      </c>
      <c r="GV378" s="16">
        <v>0</v>
      </c>
      <c r="GW378" s="16">
        <v>0</v>
      </c>
      <c r="GX378" s="16">
        <v>0</v>
      </c>
      <c r="GY378" s="16">
        <v>0</v>
      </c>
      <c r="GZ378" s="16">
        <v>454</v>
      </c>
      <c r="HA378" s="16">
        <v>81</v>
      </c>
      <c r="HB378" s="16">
        <v>22</v>
      </c>
      <c r="HC378" s="16">
        <v>780</v>
      </c>
      <c r="HD378" s="16">
        <v>1190</v>
      </c>
      <c r="HE378" s="16">
        <v>0</v>
      </c>
      <c r="HF378" s="16">
        <v>1478</v>
      </c>
      <c r="HG378" s="16">
        <v>0</v>
      </c>
      <c r="HH378" s="16">
        <v>0</v>
      </c>
      <c r="HI378" s="16">
        <v>5</v>
      </c>
      <c r="HJ378" s="16">
        <v>0</v>
      </c>
      <c r="HK378" s="16">
        <v>0</v>
      </c>
      <c r="HL378" s="16">
        <v>704</v>
      </c>
      <c r="HM378" s="16">
        <v>0</v>
      </c>
      <c r="HN378" s="16">
        <v>293</v>
      </c>
      <c r="HO378" s="16">
        <v>517</v>
      </c>
      <c r="HP378" s="16">
        <v>123</v>
      </c>
      <c r="HQ378" s="16">
        <v>1554</v>
      </c>
      <c r="HR378" s="16">
        <v>0</v>
      </c>
      <c r="HS378" s="16">
        <v>0</v>
      </c>
      <c r="HT378" s="16">
        <v>0</v>
      </c>
      <c r="HU378" s="16">
        <v>0</v>
      </c>
      <c r="HV378" s="16">
        <v>0</v>
      </c>
      <c r="HW378" s="16">
        <v>145</v>
      </c>
      <c r="HX378" s="16">
        <v>125</v>
      </c>
      <c r="HY378" s="16">
        <v>0</v>
      </c>
      <c r="HZ378" s="16">
        <v>0</v>
      </c>
      <c r="IA378" s="16">
        <v>0</v>
      </c>
      <c r="IB378" s="16">
        <v>0</v>
      </c>
      <c r="IC378" s="16">
        <v>3</v>
      </c>
      <c r="ID378" s="16">
        <v>1</v>
      </c>
      <c r="IE378" s="16">
        <v>0</v>
      </c>
      <c r="IF378" s="16">
        <v>1</v>
      </c>
      <c r="IG378" s="16">
        <v>7</v>
      </c>
      <c r="IH378" s="16">
        <v>4676</v>
      </c>
      <c r="II378" s="16">
        <v>434</v>
      </c>
      <c r="IJ378" s="16">
        <v>75</v>
      </c>
      <c r="IK378" s="16">
        <v>58</v>
      </c>
      <c r="IL378" s="16">
        <v>742</v>
      </c>
      <c r="IM378" s="16">
        <v>0</v>
      </c>
      <c r="IN378" s="16">
        <v>6700</v>
      </c>
      <c r="IO378" s="16">
        <v>0</v>
      </c>
      <c r="IP378" s="16">
        <v>158</v>
      </c>
      <c r="IQ378" s="16">
        <v>0</v>
      </c>
      <c r="IR378" s="16">
        <v>2</v>
      </c>
      <c r="IS378" s="16">
        <v>441</v>
      </c>
      <c r="IT378" s="16">
        <v>0</v>
      </c>
      <c r="IU378" s="16">
        <v>0</v>
      </c>
      <c r="IV378" s="16">
        <v>14</v>
      </c>
      <c r="IW378" s="16">
        <v>0</v>
      </c>
      <c r="IX378" s="16">
        <v>0</v>
      </c>
      <c r="IY378" s="16">
        <v>0</v>
      </c>
      <c r="IZ378" s="16">
        <v>0</v>
      </c>
      <c r="JA378" s="16">
        <v>0</v>
      </c>
      <c r="JB378" s="16">
        <v>0</v>
      </c>
      <c r="JC378" s="16">
        <v>0</v>
      </c>
      <c r="JD378" s="16">
        <v>0</v>
      </c>
      <c r="JE378" s="16">
        <v>0</v>
      </c>
      <c r="JF378" s="16">
        <v>296</v>
      </c>
      <c r="JG378" s="16">
        <v>24061</v>
      </c>
      <c r="JH378" s="16">
        <v>0</v>
      </c>
      <c r="JI378" s="16">
        <v>0</v>
      </c>
      <c r="JJ378" s="16">
        <v>0</v>
      </c>
      <c r="JK378" s="16">
        <v>0</v>
      </c>
      <c r="JL378" s="16">
        <v>0</v>
      </c>
      <c r="JM378" s="16">
        <v>0</v>
      </c>
      <c r="JN378" s="16">
        <v>0</v>
      </c>
      <c r="JO378" s="16">
        <v>0</v>
      </c>
      <c r="JP378" s="16">
        <v>0</v>
      </c>
      <c r="JQ378" s="16">
        <v>491</v>
      </c>
      <c r="JR378" s="16">
        <v>531</v>
      </c>
      <c r="JS378" s="16">
        <v>223</v>
      </c>
      <c r="JT378" s="16">
        <v>0</v>
      </c>
      <c r="JU378" s="16">
        <v>2501</v>
      </c>
      <c r="JV378" s="16">
        <v>5613</v>
      </c>
      <c r="JW378" s="16">
        <v>16447</v>
      </c>
      <c r="JX378" s="16">
        <v>2815</v>
      </c>
      <c r="JY378" s="16">
        <v>952</v>
      </c>
      <c r="JZ378" s="16">
        <v>25</v>
      </c>
      <c r="KA378" s="16">
        <v>2622</v>
      </c>
      <c r="KB378" s="16">
        <v>3</v>
      </c>
      <c r="KC378" s="16">
        <v>0</v>
      </c>
      <c r="KD378" s="16">
        <v>5</v>
      </c>
      <c r="KE378" s="16">
        <v>1</v>
      </c>
      <c r="KF378" s="16">
        <v>370</v>
      </c>
      <c r="KG378" s="16">
        <v>19</v>
      </c>
      <c r="KH378" s="16">
        <v>88</v>
      </c>
      <c r="KI378" s="16">
        <v>1701</v>
      </c>
      <c r="KJ378" s="16">
        <v>34</v>
      </c>
      <c r="KK378" s="16">
        <v>89846</v>
      </c>
      <c r="KL378" s="16">
        <v>2400</v>
      </c>
      <c r="KM378" s="16">
        <v>16088</v>
      </c>
      <c r="KN378" s="16">
        <v>7222</v>
      </c>
      <c r="KO378" s="16">
        <v>6089</v>
      </c>
      <c r="KP378" s="16">
        <v>817</v>
      </c>
      <c r="KQ378" s="16">
        <v>1737</v>
      </c>
      <c r="KR378" s="16">
        <v>29332</v>
      </c>
      <c r="KS378" s="16">
        <v>13</v>
      </c>
      <c r="KT378" s="16">
        <v>100</v>
      </c>
      <c r="KU378" s="16">
        <v>5270</v>
      </c>
      <c r="KV378" s="16">
        <v>40621</v>
      </c>
      <c r="KW378" s="16">
        <v>9090</v>
      </c>
      <c r="KX378" s="16">
        <v>172</v>
      </c>
      <c r="KY378" s="16">
        <v>9446</v>
      </c>
      <c r="KZ378" s="16">
        <v>93087</v>
      </c>
      <c r="LA378" s="16">
        <v>32565</v>
      </c>
      <c r="LB378" s="16">
        <v>7634</v>
      </c>
      <c r="LC378" s="16">
        <v>9204</v>
      </c>
      <c r="LD378" s="16">
        <v>110050</v>
      </c>
      <c r="LE378" s="16">
        <v>0</v>
      </c>
      <c r="LF378" s="16">
        <v>0</v>
      </c>
      <c r="LG378" s="16">
        <v>813</v>
      </c>
      <c r="LH378" s="16">
        <v>2231</v>
      </c>
      <c r="LI378" s="16">
        <v>9</v>
      </c>
      <c r="LJ378" s="16">
        <v>30</v>
      </c>
      <c r="LK378" s="16">
        <v>0</v>
      </c>
      <c r="LL378" s="16">
        <v>3549</v>
      </c>
      <c r="LM378" s="16">
        <v>3015</v>
      </c>
      <c r="LN378" s="16">
        <v>4826</v>
      </c>
      <c r="LO378" s="16">
        <v>741</v>
      </c>
      <c r="LP378" s="16">
        <v>5083</v>
      </c>
      <c r="LQ378" s="16">
        <v>390</v>
      </c>
      <c r="LR378" s="16">
        <v>12453</v>
      </c>
      <c r="LS378" s="16">
        <v>5750</v>
      </c>
      <c r="LT378" s="16">
        <v>6574</v>
      </c>
      <c r="LU378" s="16">
        <v>10919</v>
      </c>
      <c r="LV378" s="16">
        <v>311</v>
      </c>
      <c r="LW378" s="16">
        <v>26490</v>
      </c>
      <c r="LX378" s="16">
        <v>8465</v>
      </c>
      <c r="LY378" s="16">
        <v>0</v>
      </c>
      <c r="LZ378" s="16">
        <v>0</v>
      </c>
      <c r="MA378" s="16">
        <v>0</v>
      </c>
      <c r="MB378" s="16">
        <v>3758</v>
      </c>
      <c r="MC378" s="16">
        <v>8701</v>
      </c>
      <c r="MD378" s="16">
        <v>2778</v>
      </c>
      <c r="ME378" s="16">
        <v>380</v>
      </c>
      <c r="MF378" s="16">
        <v>63566</v>
      </c>
      <c r="MG378" s="16">
        <v>0</v>
      </c>
      <c r="MH378" s="16">
        <v>48622</v>
      </c>
      <c r="MI378" s="16">
        <v>0</v>
      </c>
      <c r="MJ378" s="16">
        <v>3163</v>
      </c>
      <c r="MK378" s="16">
        <v>34</v>
      </c>
      <c r="ML378" s="16">
        <v>0</v>
      </c>
      <c r="MM378" s="16">
        <v>2011</v>
      </c>
      <c r="MN378" s="16">
        <v>21138</v>
      </c>
      <c r="MO378" s="16">
        <v>8339</v>
      </c>
      <c r="MP378" s="16">
        <v>18667</v>
      </c>
      <c r="MQ378" s="16">
        <v>3917</v>
      </c>
      <c r="MR378" s="16">
        <v>6411</v>
      </c>
      <c r="MS378" s="16">
        <v>3903</v>
      </c>
      <c r="MT378" s="16">
        <v>1649</v>
      </c>
      <c r="MU378" s="16">
        <v>50043</v>
      </c>
      <c r="MV378" s="16">
        <v>79754</v>
      </c>
      <c r="MW378" s="16">
        <v>29781</v>
      </c>
      <c r="MX378" s="16">
        <v>1693</v>
      </c>
      <c r="MY378" s="16">
        <v>29905</v>
      </c>
      <c r="MZ378" s="16">
        <v>94209</v>
      </c>
      <c r="NA378" s="16">
        <v>1296</v>
      </c>
      <c r="NB378" s="16">
        <v>3831</v>
      </c>
      <c r="NC378" s="16">
        <v>820</v>
      </c>
      <c r="ND378" s="16">
        <v>8502</v>
      </c>
      <c r="NE378" s="16">
        <v>486</v>
      </c>
      <c r="NF378" s="16">
        <v>671</v>
      </c>
      <c r="NG378" s="16">
        <v>59388</v>
      </c>
      <c r="NH378" s="16">
        <v>16289</v>
      </c>
      <c r="NI378" s="16">
        <v>1405</v>
      </c>
      <c r="NJ378" s="16">
        <v>4753</v>
      </c>
      <c r="NK378" s="16">
        <v>360</v>
      </c>
      <c r="NL378" s="16">
        <v>0</v>
      </c>
      <c r="NM378" s="16">
        <v>4796</v>
      </c>
      <c r="NN378" s="16">
        <v>0</v>
      </c>
      <c r="NO378" s="16">
        <v>0</v>
      </c>
      <c r="NP378" s="16">
        <v>4220</v>
      </c>
      <c r="NQ378" s="16">
        <v>172</v>
      </c>
      <c r="NR378" s="17">
        <v>1250389</v>
      </c>
    </row>
    <row r="379" spans="1:382" ht="13.5" customHeight="1" x14ac:dyDescent="0.2">
      <c r="A379" s="2" t="s">
        <v>765</v>
      </c>
      <c r="B379" s="16">
        <v>0</v>
      </c>
      <c r="C379" s="16">
        <v>0</v>
      </c>
      <c r="D379" s="16">
        <v>0</v>
      </c>
      <c r="E379" s="16">
        <v>0</v>
      </c>
      <c r="F379" s="16">
        <v>0</v>
      </c>
      <c r="G379" s="16">
        <v>0</v>
      </c>
      <c r="H379" s="16">
        <v>0</v>
      </c>
      <c r="I379" s="16">
        <v>0</v>
      </c>
      <c r="J379" s="16">
        <v>0</v>
      </c>
      <c r="K379" s="16">
        <v>0</v>
      </c>
      <c r="L379" s="16">
        <v>0</v>
      </c>
      <c r="M379" s="16">
        <v>0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0</v>
      </c>
      <c r="AF379" s="16">
        <v>0</v>
      </c>
      <c r="AG379" s="16">
        <v>0</v>
      </c>
      <c r="AH379" s="16">
        <v>0</v>
      </c>
      <c r="AI379" s="16">
        <v>0</v>
      </c>
      <c r="AJ379" s="16">
        <v>0</v>
      </c>
      <c r="AK379" s="16">
        <v>0</v>
      </c>
      <c r="AL379" s="16">
        <v>0</v>
      </c>
      <c r="AM379" s="16">
        <v>0</v>
      </c>
      <c r="AN379" s="16">
        <v>0</v>
      </c>
      <c r="AO379" s="16">
        <v>0</v>
      </c>
      <c r="AP379" s="16">
        <v>0</v>
      </c>
      <c r="AQ379" s="16">
        <v>0</v>
      </c>
      <c r="AR379" s="16">
        <v>0</v>
      </c>
      <c r="AS379" s="16">
        <v>0</v>
      </c>
      <c r="AT379" s="16">
        <v>0</v>
      </c>
      <c r="AU379" s="16">
        <v>0</v>
      </c>
      <c r="AV379" s="16">
        <v>0</v>
      </c>
      <c r="AW379" s="16">
        <v>0</v>
      </c>
      <c r="AX379" s="16">
        <v>0</v>
      </c>
      <c r="AY379" s="16">
        <v>0</v>
      </c>
      <c r="AZ379" s="16">
        <v>0</v>
      </c>
      <c r="BA379" s="16">
        <v>0</v>
      </c>
      <c r="BB379" s="16">
        <v>0</v>
      </c>
      <c r="BC379" s="16">
        <v>0</v>
      </c>
      <c r="BD379" s="16">
        <v>0</v>
      </c>
      <c r="BE379" s="16">
        <v>0</v>
      </c>
      <c r="BF379" s="16">
        <v>0</v>
      </c>
      <c r="BG379" s="16">
        <v>0</v>
      </c>
      <c r="BH379" s="16">
        <v>0</v>
      </c>
      <c r="BI379" s="16">
        <v>0</v>
      </c>
      <c r="BJ379" s="16">
        <v>0</v>
      </c>
      <c r="BK379" s="16">
        <v>0</v>
      </c>
      <c r="BL379" s="16">
        <v>0</v>
      </c>
      <c r="BM379" s="16">
        <v>0</v>
      </c>
      <c r="BN379" s="16">
        <v>0</v>
      </c>
      <c r="BO379" s="16">
        <v>0</v>
      </c>
      <c r="BP379" s="16">
        <v>0</v>
      </c>
      <c r="BQ379" s="16">
        <v>0</v>
      </c>
      <c r="BR379" s="16">
        <v>0</v>
      </c>
      <c r="BS379" s="16">
        <v>0</v>
      </c>
      <c r="BT379" s="16">
        <v>0</v>
      </c>
      <c r="BU379" s="16">
        <v>0</v>
      </c>
      <c r="BV379" s="16">
        <v>0</v>
      </c>
      <c r="BW379" s="16">
        <v>0</v>
      </c>
      <c r="BX379" s="16">
        <v>0</v>
      </c>
      <c r="BY379" s="16">
        <v>0</v>
      </c>
      <c r="BZ379" s="16">
        <v>0</v>
      </c>
      <c r="CA379" s="16">
        <v>0</v>
      </c>
      <c r="CB379" s="16">
        <v>0</v>
      </c>
      <c r="CC379" s="16">
        <v>0</v>
      </c>
      <c r="CD379" s="16">
        <v>0</v>
      </c>
      <c r="CE379" s="16">
        <v>0</v>
      </c>
      <c r="CF379" s="16">
        <v>0</v>
      </c>
      <c r="CG379" s="16">
        <v>0</v>
      </c>
      <c r="CH379" s="16">
        <v>0</v>
      </c>
      <c r="CI379" s="16">
        <v>0</v>
      </c>
      <c r="CJ379" s="16">
        <v>0</v>
      </c>
      <c r="CK379" s="16">
        <v>0</v>
      </c>
      <c r="CL379" s="16">
        <v>0</v>
      </c>
      <c r="CM379" s="16">
        <v>0</v>
      </c>
      <c r="CN379" s="16">
        <v>0</v>
      </c>
      <c r="CO379" s="16">
        <v>0</v>
      </c>
      <c r="CP379" s="16">
        <v>0</v>
      </c>
      <c r="CQ379" s="16">
        <v>0</v>
      </c>
      <c r="CR379" s="16">
        <v>0</v>
      </c>
      <c r="CS379" s="16">
        <v>0</v>
      </c>
      <c r="CT379" s="16">
        <v>0</v>
      </c>
      <c r="CU379" s="16">
        <v>0</v>
      </c>
      <c r="CV379" s="16">
        <v>0</v>
      </c>
      <c r="CW379" s="16">
        <v>0</v>
      </c>
      <c r="CX379" s="16">
        <v>0</v>
      </c>
      <c r="CY379" s="16">
        <v>0</v>
      </c>
      <c r="CZ379" s="16">
        <v>0</v>
      </c>
      <c r="DA379" s="16">
        <v>0</v>
      </c>
      <c r="DB379" s="16">
        <v>0</v>
      </c>
      <c r="DC379" s="16">
        <v>0</v>
      </c>
      <c r="DD379" s="16">
        <v>0</v>
      </c>
      <c r="DE379" s="16">
        <v>0</v>
      </c>
      <c r="DF379" s="16">
        <v>0</v>
      </c>
      <c r="DG379" s="16">
        <v>0</v>
      </c>
      <c r="DH379" s="16">
        <v>0</v>
      </c>
      <c r="DI379" s="16">
        <v>0</v>
      </c>
      <c r="DJ379" s="16">
        <v>0</v>
      </c>
      <c r="DK379" s="16">
        <v>0</v>
      </c>
      <c r="DL379" s="16">
        <v>0</v>
      </c>
      <c r="DM379" s="16">
        <v>0</v>
      </c>
      <c r="DN379" s="16">
        <v>0</v>
      </c>
      <c r="DO379" s="16">
        <v>0</v>
      </c>
      <c r="DP379" s="16">
        <v>0</v>
      </c>
      <c r="DQ379" s="16">
        <v>0</v>
      </c>
      <c r="DR379" s="16">
        <v>0</v>
      </c>
      <c r="DS379" s="16">
        <v>0</v>
      </c>
      <c r="DT379" s="16">
        <v>0</v>
      </c>
      <c r="DU379" s="16">
        <v>0</v>
      </c>
      <c r="DV379" s="16">
        <v>0</v>
      </c>
      <c r="DW379" s="16">
        <v>0</v>
      </c>
      <c r="DX379" s="16">
        <v>0</v>
      </c>
      <c r="DY379" s="16">
        <v>0</v>
      </c>
      <c r="DZ379" s="16">
        <v>0</v>
      </c>
      <c r="EA379" s="16">
        <v>0</v>
      </c>
      <c r="EB379" s="16">
        <v>0</v>
      </c>
      <c r="EC379" s="16">
        <v>0</v>
      </c>
      <c r="ED379" s="16">
        <v>0</v>
      </c>
      <c r="EE379" s="16">
        <v>0</v>
      </c>
      <c r="EF379" s="16">
        <v>0</v>
      </c>
      <c r="EG379" s="16">
        <v>0</v>
      </c>
      <c r="EH379" s="16">
        <v>0</v>
      </c>
      <c r="EI379" s="16">
        <v>0</v>
      </c>
      <c r="EJ379" s="16">
        <v>0</v>
      </c>
      <c r="EK379" s="16">
        <v>0</v>
      </c>
      <c r="EL379" s="16">
        <v>0</v>
      </c>
      <c r="EM379" s="16">
        <v>0</v>
      </c>
      <c r="EN379" s="16">
        <v>0</v>
      </c>
      <c r="EO379" s="16">
        <v>0</v>
      </c>
      <c r="EP379" s="16">
        <v>0</v>
      </c>
      <c r="EQ379" s="16">
        <v>0</v>
      </c>
      <c r="ER379" s="16">
        <v>0</v>
      </c>
      <c r="ES379" s="16">
        <v>0</v>
      </c>
      <c r="ET379" s="16">
        <v>0</v>
      </c>
      <c r="EU379" s="16">
        <v>0</v>
      </c>
      <c r="EV379" s="16">
        <v>0</v>
      </c>
      <c r="EW379" s="16">
        <v>0</v>
      </c>
      <c r="EX379" s="16">
        <v>0</v>
      </c>
      <c r="EY379" s="16">
        <v>0</v>
      </c>
      <c r="EZ379" s="16">
        <v>0</v>
      </c>
      <c r="FA379" s="16">
        <v>0</v>
      </c>
      <c r="FB379" s="16">
        <v>0</v>
      </c>
      <c r="FC379" s="16">
        <v>0</v>
      </c>
      <c r="FD379" s="16">
        <v>0</v>
      </c>
      <c r="FE379" s="16">
        <v>0</v>
      </c>
      <c r="FF379" s="16">
        <v>0</v>
      </c>
      <c r="FG379" s="16">
        <v>0</v>
      </c>
      <c r="FH379" s="16">
        <v>0</v>
      </c>
      <c r="FI379" s="16">
        <v>0</v>
      </c>
      <c r="FJ379" s="16">
        <v>0</v>
      </c>
      <c r="FK379" s="16">
        <v>0</v>
      </c>
      <c r="FL379" s="16">
        <v>0</v>
      </c>
      <c r="FM379" s="16">
        <v>0</v>
      </c>
      <c r="FN379" s="16">
        <v>0</v>
      </c>
      <c r="FO379" s="16">
        <v>0</v>
      </c>
      <c r="FP379" s="16">
        <v>0</v>
      </c>
      <c r="FQ379" s="16">
        <v>0</v>
      </c>
      <c r="FR379" s="16">
        <v>0</v>
      </c>
      <c r="FS379" s="16">
        <v>0</v>
      </c>
      <c r="FT379" s="16">
        <v>0</v>
      </c>
      <c r="FU379" s="16">
        <v>0</v>
      </c>
      <c r="FV379" s="16">
        <v>0</v>
      </c>
      <c r="FW379" s="16">
        <v>0</v>
      </c>
      <c r="FX379" s="16">
        <v>0</v>
      </c>
      <c r="FY379" s="16">
        <v>0</v>
      </c>
      <c r="FZ379" s="16">
        <v>0</v>
      </c>
      <c r="GA379" s="16">
        <v>0</v>
      </c>
      <c r="GB379" s="16">
        <v>0</v>
      </c>
      <c r="GC379" s="16">
        <v>0</v>
      </c>
      <c r="GD379" s="16">
        <v>0</v>
      </c>
      <c r="GE379" s="16">
        <v>0</v>
      </c>
      <c r="GF379" s="16">
        <v>0</v>
      </c>
      <c r="GG379" s="16">
        <v>0</v>
      </c>
      <c r="GH379" s="16">
        <v>0</v>
      </c>
      <c r="GI379" s="16">
        <v>0</v>
      </c>
      <c r="GJ379" s="16">
        <v>0</v>
      </c>
      <c r="GK379" s="16">
        <v>0</v>
      </c>
      <c r="GL379" s="16">
        <v>0</v>
      </c>
      <c r="GM379" s="16">
        <v>0</v>
      </c>
      <c r="GN379" s="16">
        <v>0</v>
      </c>
      <c r="GO379" s="16">
        <v>0</v>
      </c>
      <c r="GP379" s="16">
        <v>0</v>
      </c>
      <c r="GQ379" s="16">
        <v>0</v>
      </c>
      <c r="GR379" s="16">
        <v>0</v>
      </c>
      <c r="GS379" s="16">
        <v>0</v>
      </c>
      <c r="GT379" s="16">
        <v>0</v>
      </c>
      <c r="GU379" s="16">
        <v>0</v>
      </c>
      <c r="GV379" s="16">
        <v>0</v>
      </c>
      <c r="GW379" s="16">
        <v>0</v>
      </c>
      <c r="GX379" s="16">
        <v>0</v>
      </c>
      <c r="GY379" s="16">
        <v>0</v>
      </c>
      <c r="GZ379" s="16">
        <v>0</v>
      </c>
      <c r="HA379" s="16">
        <v>0</v>
      </c>
      <c r="HB379" s="16">
        <v>0</v>
      </c>
      <c r="HC379" s="16">
        <v>0</v>
      </c>
      <c r="HD379" s="16">
        <v>0</v>
      </c>
      <c r="HE379" s="16">
        <v>0</v>
      </c>
      <c r="HF379" s="16">
        <v>0</v>
      </c>
      <c r="HG379" s="16">
        <v>0</v>
      </c>
      <c r="HH379" s="16">
        <v>0</v>
      </c>
      <c r="HI379" s="16">
        <v>0</v>
      </c>
      <c r="HJ379" s="16">
        <v>0</v>
      </c>
      <c r="HK379" s="16">
        <v>0</v>
      </c>
      <c r="HL379" s="16">
        <v>0</v>
      </c>
      <c r="HM379" s="16">
        <v>0</v>
      </c>
      <c r="HN379" s="16">
        <v>0</v>
      </c>
      <c r="HO379" s="16">
        <v>0</v>
      </c>
      <c r="HP379" s="16">
        <v>0</v>
      </c>
      <c r="HQ379" s="16">
        <v>0</v>
      </c>
      <c r="HR379" s="16">
        <v>0</v>
      </c>
      <c r="HS379" s="16">
        <v>0</v>
      </c>
      <c r="HT379" s="16">
        <v>0</v>
      </c>
      <c r="HU379" s="16">
        <v>0</v>
      </c>
      <c r="HV379" s="16">
        <v>0</v>
      </c>
      <c r="HW379" s="16">
        <v>0</v>
      </c>
      <c r="HX379" s="16">
        <v>0</v>
      </c>
      <c r="HY379" s="16">
        <v>0</v>
      </c>
      <c r="HZ379" s="16">
        <v>0</v>
      </c>
      <c r="IA379" s="16">
        <v>0</v>
      </c>
      <c r="IB379" s="16">
        <v>0</v>
      </c>
      <c r="IC379" s="16">
        <v>0</v>
      </c>
      <c r="ID379" s="16">
        <v>0</v>
      </c>
      <c r="IE379" s="16">
        <v>0</v>
      </c>
      <c r="IF379" s="16">
        <v>0</v>
      </c>
      <c r="IG379" s="16">
        <v>0</v>
      </c>
      <c r="IH379" s="16">
        <v>0</v>
      </c>
      <c r="II379" s="16">
        <v>0</v>
      </c>
      <c r="IJ379" s="16">
        <v>0</v>
      </c>
      <c r="IK379" s="16">
        <v>0</v>
      </c>
      <c r="IL379" s="16">
        <v>0</v>
      </c>
      <c r="IM379" s="16">
        <v>0</v>
      </c>
      <c r="IN379" s="16">
        <v>0</v>
      </c>
      <c r="IO379" s="16">
        <v>0</v>
      </c>
      <c r="IP379" s="16">
        <v>0</v>
      </c>
      <c r="IQ379" s="16">
        <v>0</v>
      </c>
      <c r="IR379" s="16">
        <v>0</v>
      </c>
      <c r="IS379" s="16">
        <v>0</v>
      </c>
      <c r="IT379" s="16">
        <v>0</v>
      </c>
      <c r="IU379" s="16">
        <v>0</v>
      </c>
      <c r="IV379" s="16">
        <v>0</v>
      </c>
      <c r="IW379" s="16">
        <v>0</v>
      </c>
      <c r="IX379" s="16">
        <v>0</v>
      </c>
      <c r="IY379" s="16">
        <v>0</v>
      </c>
      <c r="IZ379" s="16">
        <v>0</v>
      </c>
      <c r="JA379" s="16">
        <v>0</v>
      </c>
      <c r="JB379" s="16">
        <v>0</v>
      </c>
      <c r="JC379" s="16">
        <v>0</v>
      </c>
      <c r="JD379" s="16">
        <v>0</v>
      </c>
      <c r="JE379" s="16">
        <v>0</v>
      </c>
      <c r="JF379" s="16">
        <v>0</v>
      </c>
      <c r="JG379" s="16">
        <v>0</v>
      </c>
      <c r="JH379" s="16">
        <v>0</v>
      </c>
      <c r="JI379" s="16">
        <v>0</v>
      </c>
      <c r="JJ379" s="16">
        <v>0</v>
      </c>
      <c r="JK379" s="16">
        <v>0</v>
      </c>
      <c r="JL379" s="16">
        <v>0</v>
      </c>
      <c r="JM379" s="16">
        <v>0</v>
      </c>
      <c r="JN379" s="16">
        <v>0</v>
      </c>
      <c r="JO379" s="16">
        <v>0</v>
      </c>
      <c r="JP379" s="16">
        <v>0</v>
      </c>
      <c r="JQ379" s="16">
        <v>0</v>
      </c>
      <c r="JR379" s="16">
        <v>0</v>
      </c>
      <c r="JS379" s="16">
        <v>0</v>
      </c>
      <c r="JT379" s="16">
        <v>0</v>
      </c>
      <c r="JU379" s="16">
        <v>0</v>
      </c>
      <c r="JV379" s="16">
        <v>0</v>
      </c>
      <c r="JW379" s="16">
        <v>0</v>
      </c>
      <c r="JX379" s="16">
        <v>0</v>
      </c>
      <c r="JY379" s="16">
        <v>0</v>
      </c>
      <c r="JZ379" s="16">
        <v>0</v>
      </c>
      <c r="KA379" s="16">
        <v>0</v>
      </c>
      <c r="KB379" s="16">
        <v>0</v>
      </c>
      <c r="KC379" s="16">
        <v>0</v>
      </c>
      <c r="KD379" s="16">
        <v>0</v>
      </c>
      <c r="KE379" s="16">
        <v>0</v>
      </c>
      <c r="KF379" s="16">
        <v>0</v>
      </c>
      <c r="KG379" s="16">
        <v>0</v>
      </c>
      <c r="KH379" s="16">
        <v>0</v>
      </c>
      <c r="KI379" s="16">
        <v>0</v>
      </c>
      <c r="KJ379" s="16">
        <v>0</v>
      </c>
      <c r="KK379" s="16">
        <v>0</v>
      </c>
      <c r="KL379" s="16">
        <v>0</v>
      </c>
      <c r="KM379" s="16">
        <v>0</v>
      </c>
      <c r="KN379" s="16">
        <v>0</v>
      </c>
      <c r="KO379" s="16">
        <v>0</v>
      </c>
      <c r="KP379" s="16">
        <v>0</v>
      </c>
      <c r="KQ379" s="16">
        <v>0</v>
      </c>
      <c r="KR379" s="16">
        <v>0</v>
      </c>
      <c r="KS379" s="16">
        <v>0</v>
      </c>
      <c r="KT379" s="16">
        <v>0</v>
      </c>
      <c r="KU379" s="16">
        <v>0</v>
      </c>
      <c r="KV379" s="16">
        <v>0</v>
      </c>
      <c r="KW379" s="16">
        <v>0</v>
      </c>
      <c r="KX379" s="16">
        <v>0</v>
      </c>
      <c r="KY379" s="16">
        <v>0</v>
      </c>
      <c r="KZ379" s="16">
        <v>0</v>
      </c>
      <c r="LA379" s="16">
        <v>0</v>
      </c>
      <c r="LB379" s="16">
        <v>0</v>
      </c>
      <c r="LC379" s="16">
        <v>0</v>
      </c>
      <c r="LD379" s="16">
        <v>0</v>
      </c>
      <c r="LE379" s="16">
        <v>0</v>
      </c>
      <c r="LF379" s="16">
        <v>0</v>
      </c>
      <c r="LG379" s="16">
        <v>0</v>
      </c>
      <c r="LH379" s="16">
        <v>0</v>
      </c>
      <c r="LI379" s="16">
        <v>0</v>
      </c>
      <c r="LJ379" s="16">
        <v>0</v>
      </c>
      <c r="LK379" s="16">
        <v>0</v>
      </c>
      <c r="LL379" s="16">
        <v>0</v>
      </c>
      <c r="LM379" s="16">
        <v>0</v>
      </c>
      <c r="LN379" s="16">
        <v>0</v>
      </c>
      <c r="LO379" s="16">
        <v>0</v>
      </c>
      <c r="LP379" s="16">
        <v>0</v>
      </c>
      <c r="LQ379" s="16">
        <v>0</v>
      </c>
      <c r="LR379" s="16">
        <v>0</v>
      </c>
      <c r="LS379" s="16">
        <v>0</v>
      </c>
      <c r="LT379" s="16">
        <v>0</v>
      </c>
      <c r="LU379" s="16">
        <v>0</v>
      </c>
      <c r="LV379" s="16">
        <v>0</v>
      </c>
      <c r="LW379" s="16">
        <v>0</v>
      </c>
      <c r="LX379" s="16">
        <v>0</v>
      </c>
      <c r="LY379" s="16">
        <v>0</v>
      </c>
      <c r="LZ379" s="16">
        <v>0</v>
      </c>
      <c r="MA379" s="16">
        <v>0</v>
      </c>
      <c r="MB379" s="16">
        <v>0</v>
      </c>
      <c r="MC379" s="16">
        <v>0</v>
      </c>
      <c r="MD379" s="16">
        <v>0</v>
      </c>
      <c r="ME379" s="16">
        <v>0</v>
      </c>
      <c r="MF379" s="16">
        <v>0</v>
      </c>
      <c r="MG379" s="16">
        <v>0</v>
      </c>
      <c r="MH379" s="16">
        <v>0</v>
      </c>
      <c r="MI379" s="16">
        <v>0</v>
      </c>
      <c r="MJ379" s="16">
        <v>0</v>
      </c>
      <c r="MK379" s="16">
        <v>0</v>
      </c>
      <c r="ML379" s="16">
        <v>0</v>
      </c>
      <c r="MM379" s="16">
        <v>0</v>
      </c>
      <c r="MN379" s="16">
        <v>0</v>
      </c>
      <c r="MO379" s="16">
        <v>0</v>
      </c>
      <c r="MP379" s="16">
        <v>0</v>
      </c>
      <c r="MQ379" s="16">
        <v>0</v>
      </c>
      <c r="MR379" s="16">
        <v>0</v>
      </c>
      <c r="MS379" s="16">
        <v>0</v>
      </c>
      <c r="MT379" s="16">
        <v>0</v>
      </c>
      <c r="MU379" s="16">
        <v>0</v>
      </c>
      <c r="MV379" s="16">
        <v>0</v>
      </c>
      <c r="MW379" s="16">
        <v>0</v>
      </c>
      <c r="MX379" s="16">
        <v>0</v>
      </c>
      <c r="MY379" s="16">
        <v>0</v>
      </c>
      <c r="MZ379" s="16">
        <v>0</v>
      </c>
      <c r="NA379" s="16">
        <v>0</v>
      </c>
      <c r="NB379" s="16">
        <v>0</v>
      </c>
      <c r="NC379" s="16">
        <v>0</v>
      </c>
      <c r="ND379" s="16">
        <v>0</v>
      </c>
      <c r="NE379" s="16">
        <v>0</v>
      </c>
      <c r="NF379" s="16">
        <v>0</v>
      </c>
      <c r="NG379" s="16">
        <v>0</v>
      </c>
      <c r="NH379" s="16">
        <v>0</v>
      </c>
      <c r="NI379" s="16">
        <v>0</v>
      </c>
      <c r="NJ379" s="16">
        <v>0</v>
      </c>
      <c r="NK379" s="16">
        <v>0</v>
      </c>
      <c r="NL379" s="16">
        <v>0</v>
      </c>
      <c r="NM379" s="16">
        <v>0</v>
      </c>
      <c r="NN379" s="16">
        <v>0</v>
      </c>
      <c r="NO379" s="16">
        <v>0</v>
      </c>
      <c r="NP379" s="16">
        <v>0</v>
      </c>
      <c r="NQ379" s="16">
        <v>0</v>
      </c>
      <c r="NR379" s="17">
        <v>0</v>
      </c>
    </row>
    <row r="380" spans="1:382" ht="13.5" customHeight="1" x14ac:dyDescent="0.2">
      <c r="A380" s="2" t="s">
        <v>767</v>
      </c>
      <c r="B380" s="16">
        <v>253</v>
      </c>
      <c r="C380" s="16">
        <v>10</v>
      </c>
      <c r="D380" s="16">
        <v>141</v>
      </c>
      <c r="E380" s="16">
        <v>83</v>
      </c>
      <c r="F380" s="16">
        <v>671</v>
      </c>
      <c r="G380" s="16">
        <v>366</v>
      </c>
      <c r="H380" s="16">
        <v>13</v>
      </c>
      <c r="I380" s="16">
        <v>92</v>
      </c>
      <c r="J380" s="16">
        <v>4</v>
      </c>
      <c r="K380" s="16">
        <v>0</v>
      </c>
      <c r="L380" s="16">
        <v>258</v>
      </c>
      <c r="M380" s="16">
        <v>50</v>
      </c>
      <c r="N380" s="16">
        <v>0</v>
      </c>
      <c r="O380" s="16">
        <v>27</v>
      </c>
      <c r="P380" s="16">
        <v>254</v>
      </c>
      <c r="Q380" s="16">
        <v>764</v>
      </c>
      <c r="R380" s="16">
        <v>506</v>
      </c>
      <c r="S380" s="16">
        <v>111</v>
      </c>
      <c r="T380" s="16">
        <v>279</v>
      </c>
      <c r="U380" s="16">
        <v>120</v>
      </c>
      <c r="V380" s="16">
        <v>325</v>
      </c>
      <c r="W380" s="16">
        <v>5</v>
      </c>
      <c r="X380" s="16">
        <v>1188</v>
      </c>
      <c r="Y380" s="16">
        <v>1602</v>
      </c>
      <c r="Z380" s="16">
        <v>1164</v>
      </c>
      <c r="AA380" s="16">
        <v>62</v>
      </c>
      <c r="AB380" s="16">
        <v>0</v>
      </c>
      <c r="AC380" s="16">
        <v>0</v>
      </c>
      <c r="AD380" s="16">
        <v>0</v>
      </c>
      <c r="AE380" s="16">
        <v>8</v>
      </c>
      <c r="AF380" s="16">
        <v>0</v>
      </c>
      <c r="AG380" s="16">
        <v>1686</v>
      </c>
      <c r="AH380" s="16">
        <v>1123</v>
      </c>
      <c r="AI380" s="16">
        <v>380</v>
      </c>
      <c r="AJ380" s="16">
        <v>8128</v>
      </c>
      <c r="AK380" s="16">
        <v>870</v>
      </c>
      <c r="AL380" s="16">
        <v>86</v>
      </c>
      <c r="AM380" s="16">
        <v>325</v>
      </c>
      <c r="AN380" s="16">
        <v>2550</v>
      </c>
      <c r="AO380" s="16">
        <v>773</v>
      </c>
      <c r="AP380" s="16">
        <v>101</v>
      </c>
      <c r="AQ380" s="16">
        <v>184</v>
      </c>
      <c r="AR380" s="16">
        <v>0</v>
      </c>
      <c r="AS380" s="16">
        <v>34</v>
      </c>
      <c r="AT380" s="16">
        <v>182</v>
      </c>
      <c r="AU380" s="16">
        <v>349</v>
      </c>
      <c r="AV380" s="16">
        <v>151</v>
      </c>
      <c r="AW380" s="16">
        <v>1080</v>
      </c>
      <c r="AX380" s="16">
        <v>258</v>
      </c>
      <c r="AY380" s="16">
        <v>678</v>
      </c>
      <c r="AZ380" s="16">
        <v>516</v>
      </c>
      <c r="BA380" s="16">
        <v>453</v>
      </c>
      <c r="BB380" s="16">
        <v>384</v>
      </c>
      <c r="BC380" s="16">
        <v>3315</v>
      </c>
      <c r="BD380" s="16">
        <v>40</v>
      </c>
      <c r="BE380" s="16">
        <v>292</v>
      </c>
      <c r="BF380" s="16">
        <v>587</v>
      </c>
      <c r="BG380" s="16">
        <v>389</v>
      </c>
      <c r="BH380" s="16">
        <v>719</v>
      </c>
      <c r="BI380" s="16">
        <v>179</v>
      </c>
      <c r="BJ380" s="16">
        <v>67</v>
      </c>
      <c r="BK380" s="16">
        <v>248</v>
      </c>
      <c r="BL380" s="16">
        <v>1129</v>
      </c>
      <c r="BM380" s="16">
        <v>271</v>
      </c>
      <c r="BN380" s="16">
        <v>726</v>
      </c>
      <c r="BO380" s="16">
        <v>1329</v>
      </c>
      <c r="BP380" s="16">
        <v>2687</v>
      </c>
      <c r="BQ380" s="16">
        <v>213</v>
      </c>
      <c r="BR380" s="16">
        <v>106</v>
      </c>
      <c r="BS380" s="16">
        <v>1746</v>
      </c>
      <c r="BT380" s="16">
        <v>15</v>
      </c>
      <c r="BU380" s="16">
        <v>4</v>
      </c>
      <c r="BV380" s="16">
        <v>1</v>
      </c>
      <c r="BW380" s="16">
        <v>315</v>
      </c>
      <c r="BX380" s="16">
        <v>63</v>
      </c>
      <c r="BY380" s="16">
        <v>0</v>
      </c>
      <c r="BZ380" s="16">
        <v>336</v>
      </c>
      <c r="CA380" s="16">
        <v>112</v>
      </c>
      <c r="CB380" s="16">
        <v>41</v>
      </c>
      <c r="CC380" s="16">
        <v>1179</v>
      </c>
      <c r="CD380" s="16">
        <v>302</v>
      </c>
      <c r="CE380" s="16">
        <v>178</v>
      </c>
      <c r="CF380" s="16">
        <v>1271</v>
      </c>
      <c r="CG380" s="16">
        <v>630</v>
      </c>
      <c r="CH380" s="16">
        <v>622</v>
      </c>
      <c r="CI380" s="16">
        <v>21</v>
      </c>
      <c r="CJ380" s="16">
        <v>501</v>
      </c>
      <c r="CK380" s="16">
        <v>888</v>
      </c>
      <c r="CL380" s="16">
        <v>436</v>
      </c>
      <c r="CM380" s="16">
        <v>837</v>
      </c>
      <c r="CN380" s="16">
        <v>149</v>
      </c>
      <c r="CO380" s="16">
        <v>360</v>
      </c>
      <c r="CP380" s="16">
        <v>429</v>
      </c>
      <c r="CQ380" s="16">
        <v>3183</v>
      </c>
      <c r="CR380" s="16">
        <v>340</v>
      </c>
      <c r="CS380" s="16">
        <v>311</v>
      </c>
      <c r="CT380" s="16">
        <v>504</v>
      </c>
      <c r="CU380" s="16">
        <v>1448</v>
      </c>
      <c r="CV380" s="16">
        <v>757</v>
      </c>
      <c r="CW380" s="16">
        <v>1266</v>
      </c>
      <c r="CX380" s="16">
        <v>1188</v>
      </c>
      <c r="CY380" s="16">
        <v>154</v>
      </c>
      <c r="CZ380" s="16">
        <v>191</v>
      </c>
      <c r="DA380" s="16">
        <v>42</v>
      </c>
      <c r="DB380" s="16">
        <v>254</v>
      </c>
      <c r="DC380" s="16">
        <v>49</v>
      </c>
      <c r="DD380" s="16">
        <v>270</v>
      </c>
      <c r="DE380" s="16">
        <v>119</v>
      </c>
      <c r="DF380" s="16">
        <v>661</v>
      </c>
      <c r="DG380" s="16">
        <v>666</v>
      </c>
      <c r="DH380" s="16">
        <v>883</v>
      </c>
      <c r="DI380" s="16">
        <v>226</v>
      </c>
      <c r="DJ380" s="16">
        <v>2544</v>
      </c>
      <c r="DK380" s="16">
        <v>256</v>
      </c>
      <c r="DL380" s="16">
        <v>285</v>
      </c>
      <c r="DM380" s="16">
        <v>3640</v>
      </c>
      <c r="DN380" s="16">
        <v>219</v>
      </c>
      <c r="DO380" s="16">
        <v>573</v>
      </c>
      <c r="DP380" s="16">
        <v>537</v>
      </c>
      <c r="DQ380" s="16">
        <v>128</v>
      </c>
      <c r="DR380" s="16">
        <v>821</v>
      </c>
      <c r="DS380" s="16">
        <v>1873</v>
      </c>
      <c r="DT380" s="16">
        <v>268</v>
      </c>
      <c r="DU380" s="16">
        <v>274</v>
      </c>
      <c r="DV380" s="16">
        <v>1102</v>
      </c>
      <c r="DW380" s="16">
        <v>1797</v>
      </c>
      <c r="DX380" s="16">
        <v>1533</v>
      </c>
      <c r="DY380" s="16">
        <v>2142</v>
      </c>
      <c r="DZ380" s="16">
        <v>7009</v>
      </c>
      <c r="EA380" s="16">
        <v>2455</v>
      </c>
      <c r="EB380" s="16">
        <v>487</v>
      </c>
      <c r="EC380" s="16">
        <v>616</v>
      </c>
      <c r="ED380" s="16">
        <v>146</v>
      </c>
      <c r="EE380" s="16">
        <v>42</v>
      </c>
      <c r="EF380" s="16">
        <v>84</v>
      </c>
      <c r="EG380" s="16">
        <v>560</v>
      </c>
      <c r="EH380" s="16">
        <v>87</v>
      </c>
      <c r="EI380" s="16">
        <v>837</v>
      </c>
      <c r="EJ380" s="16">
        <v>236</v>
      </c>
      <c r="EK380" s="16">
        <v>182</v>
      </c>
      <c r="EL380" s="16">
        <v>147</v>
      </c>
      <c r="EM380" s="16">
        <v>180</v>
      </c>
      <c r="EN380" s="16">
        <v>1249</v>
      </c>
      <c r="EO380" s="16">
        <v>948</v>
      </c>
      <c r="EP380" s="16">
        <v>184</v>
      </c>
      <c r="EQ380" s="16">
        <v>495</v>
      </c>
      <c r="ER380" s="16">
        <v>108</v>
      </c>
      <c r="ES380" s="16">
        <v>641</v>
      </c>
      <c r="ET380" s="16">
        <v>613</v>
      </c>
      <c r="EU380" s="16">
        <v>4</v>
      </c>
      <c r="EV380" s="16">
        <v>33</v>
      </c>
      <c r="EW380" s="16">
        <v>31</v>
      </c>
      <c r="EX380" s="16">
        <v>5299</v>
      </c>
      <c r="EY380" s="16">
        <v>1385</v>
      </c>
      <c r="EZ380" s="16">
        <v>1087</v>
      </c>
      <c r="FA380" s="16">
        <v>874</v>
      </c>
      <c r="FB380" s="16">
        <v>5870</v>
      </c>
      <c r="FC380" s="16">
        <v>104</v>
      </c>
      <c r="FD380" s="16">
        <v>2694</v>
      </c>
      <c r="FE380" s="16">
        <v>2096</v>
      </c>
      <c r="FF380" s="16">
        <v>1003</v>
      </c>
      <c r="FG380" s="16">
        <v>2524</v>
      </c>
      <c r="FH380" s="16">
        <v>3</v>
      </c>
      <c r="FI380" s="16">
        <v>856</v>
      </c>
      <c r="FJ380" s="16">
        <v>77</v>
      </c>
      <c r="FK380" s="16">
        <v>2096</v>
      </c>
      <c r="FL380" s="16">
        <v>84</v>
      </c>
      <c r="FM380" s="16">
        <v>930</v>
      </c>
      <c r="FN380" s="16">
        <v>1385</v>
      </c>
      <c r="FO380" s="16">
        <v>1103</v>
      </c>
      <c r="FP380" s="16">
        <v>1581</v>
      </c>
      <c r="FQ380" s="16">
        <v>4239</v>
      </c>
      <c r="FR380" s="16">
        <v>1484</v>
      </c>
      <c r="FS380" s="16">
        <v>1232</v>
      </c>
      <c r="FT380" s="16">
        <v>532</v>
      </c>
      <c r="FU380" s="16">
        <v>3720</v>
      </c>
      <c r="FV380" s="16">
        <v>2035</v>
      </c>
      <c r="FW380" s="16">
        <v>2837</v>
      </c>
      <c r="FX380" s="16">
        <v>4946</v>
      </c>
      <c r="FY380" s="16">
        <v>446</v>
      </c>
      <c r="FZ380" s="16">
        <v>1597</v>
      </c>
      <c r="GA380" s="16">
        <v>368</v>
      </c>
      <c r="GB380" s="16">
        <v>3332</v>
      </c>
      <c r="GC380" s="16">
        <v>892</v>
      </c>
      <c r="GD380" s="16">
        <v>1016</v>
      </c>
      <c r="GE380" s="16">
        <v>142</v>
      </c>
      <c r="GF380" s="16">
        <v>1584</v>
      </c>
      <c r="GG380" s="16">
        <v>136</v>
      </c>
      <c r="GH380" s="16">
        <v>1747</v>
      </c>
      <c r="GI380" s="16">
        <v>1317</v>
      </c>
      <c r="GJ380" s="16">
        <v>804</v>
      </c>
      <c r="GK380" s="16">
        <v>459</v>
      </c>
      <c r="GL380" s="16">
        <v>26</v>
      </c>
      <c r="GM380" s="16">
        <v>673</v>
      </c>
      <c r="GN380" s="16">
        <v>104</v>
      </c>
      <c r="GO380" s="16">
        <v>436</v>
      </c>
      <c r="GP380" s="16">
        <v>857</v>
      </c>
      <c r="GQ380" s="16">
        <v>51</v>
      </c>
      <c r="GR380" s="16">
        <v>619</v>
      </c>
      <c r="GS380" s="16">
        <v>165</v>
      </c>
      <c r="GT380" s="16">
        <v>234</v>
      </c>
      <c r="GU380" s="16">
        <v>1552</v>
      </c>
      <c r="GV380" s="16">
        <v>1051</v>
      </c>
      <c r="GW380" s="16">
        <v>1317</v>
      </c>
      <c r="GX380" s="16">
        <v>367</v>
      </c>
      <c r="GY380" s="16">
        <v>5</v>
      </c>
      <c r="GZ380" s="16">
        <v>832</v>
      </c>
      <c r="HA380" s="16">
        <v>456</v>
      </c>
      <c r="HB380" s="16">
        <v>416</v>
      </c>
      <c r="HC380" s="16">
        <v>1056</v>
      </c>
      <c r="HD380" s="16">
        <v>1806</v>
      </c>
      <c r="HE380" s="16">
        <v>1512</v>
      </c>
      <c r="HF380" s="16">
        <v>2216</v>
      </c>
      <c r="HG380" s="16">
        <v>210</v>
      </c>
      <c r="HH380" s="16">
        <v>249</v>
      </c>
      <c r="HI380" s="16">
        <v>882</v>
      </c>
      <c r="HJ380" s="16">
        <v>150</v>
      </c>
      <c r="HK380" s="16">
        <v>991</v>
      </c>
      <c r="HL380" s="16">
        <v>2883</v>
      </c>
      <c r="HM380" s="16">
        <v>807</v>
      </c>
      <c r="HN380" s="16">
        <v>8065</v>
      </c>
      <c r="HO380" s="16">
        <v>790</v>
      </c>
      <c r="HP380" s="16">
        <v>474</v>
      </c>
      <c r="HQ380" s="16">
        <v>2802</v>
      </c>
      <c r="HR380" s="16">
        <v>3088</v>
      </c>
      <c r="HS380" s="16">
        <v>931</v>
      </c>
      <c r="HT380" s="16">
        <v>45</v>
      </c>
      <c r="HU380" s="16">
        <v>2287</v>
      </c>
      <c r="HV380" s="16">
        <v>567</v>
      </c>
      <c r="HW380" s="16">
        <v>1543</v>
      </c>
      <c r="HX380" s="16">
        <v>970</v>
      </c>
      <c r="HY380" s="16">
        <v>2112</v>
      </c>
      <c r="HZ380" s="16">
        <v>2624</v>
      </c>
      <c r="IA380" s="16">
        <v>815</v>
      </c>
      <c r="IB380" s="16">
        <v>238</v>
      </c>
      <c r="IC380" s="16">
        <v>160</v>
      </c>
      <c r="ID380" s="16">
        <v>118</v>
      </c>
      <c r="IE380" s="16">
        <v>100</v>
      </c>
      <c r="IF380" s="16">
        <v>142</v>
      </c>
      <c r="IG380" s="16">
        <v>1257</v>
      </c>
      <c r="IH380" s="16">
        <v>9174</v>
      </c>
      <c r="II380" s="16">
        <v>859</v>
      </c>
      <c r="IJ380" s="16">
        <v>352</v>
      </c>
      <c r="IK380" s="16">
        <v>84</v>
      </c>
      <c r="IL380" s="16">
        <v>216</v>
      </c>
      <c r="IM380" s="16">
        <v>5</v>
      </c>
      <c r="IN380" s="16">
        <v>9976</v>
      </c>
      <c r="IO380" s="16">
        <v>10558</v>
      </c>
      <c r="IP380" s="16">
        <v>632</v>
      </c>
      <c r="IQ380" s="16">
        <v>560</v>
      </c>
      <c r="IR380" s="16">
        <v>536</v>
      </c>
      <c r="IS380" s="16">
        <v>203</v>
      </c>
      <c r="IT380" s="16">
        <v>98</v>
      </c>
      <c r="IU380" s="16">
        <v>17</v>
      </c>
      <c r="IV380" s="16">
        <v>422</v>
      </c>
      <c r="IW380" s="16">
        <v>999</v>
      </c>
      <c r="IX380" s="16">
        <v>684</v>
      </c>
      <c r="IY380" s="16">
        <v>80</v>
      </c>
      <c r="IZ380" s="16">
        <v>28</v>
      </c>
      <c r="JA380" s="16">
        <v>274</v>
      </c>
      <c r="JB380" s="16">
        <v>40</v>
      </c>
      <c r="JC380" s="16">
        <v>52</v>
      </c>
      <c r="JD380" s="16">
        <v>134</v>
      </c>
      <c r="JE380" s="16">
        <v>839</v>
      </c>
      <c r="JF380" s="16">
        <v>347</v>
      </c>
      <c r="JG380" s="16">
        <v>98389</v>
      </c>
      <c r="JH380" s="16">
        <v>897</v>
      </c>
      <c r="JI380" s="16">
        <v>538</v>
      </c>
      <c r="JJ380" s="16">
        <v>854</v>
      </c>
      <c r="JK380" s="16">
        <v>577</v>
      </c>
      <c r="JL380" s="16">
        <v>160</v>
      </c>
      <c r="JM380" s="16">
        <v>139</v>
      </c>
      <c r="JN380" s="16">
        <v>2111</v>
      </c>
      <c r="JO380" s="16">
        <v>42</v>
      </c>
      <c r="JP380" s="16">
        <v>726</v>
      </c>
      <c r="JQ380" s="16">
        <v>538</v>
      </c>
      <c r="JR380" s="16">
        <v>546</v>
      </c>
      <c r="JS380" s="16">
        <v>645</v>
      </c>
      <c r="JT380" s="16">
        <v>0</v>
      </c>
      <c r="JU380" s="16">
        <v>7455</v>
      </c>
      <c r="JV380" s="16">
        <v>7134</v>
      </c>
      <c r="JW380" s="16">
        <v>9170</v>
      </c>
      <c r="JX380" s="16">
        <v>9373</v>
      </c>
      <c r="JY380" s="16">
        <v>5685</v>
      </c>
      <c r="JZ380" s="16">
        <v>367</v>
      </c>
      <c r="KA380" s="16">
        <v>839</v>
      </c>
      <c r="KB380" s="16">
        <v>537</v>
      </c>
      <c r="KC380" s="16">
        <v>534</v>
      </c>
      <c r="KD380" s="16">
        <v>150</v>
      </c>
      <c r="KE380" s="16">
        <v>156</v>
      </c>
      <c r="KF380" s="16">
        <v>797</v>
      </c>
      <c r="KG380" s="16">
        <v>791</v>
      </c>
      <c r="KH380" s="16">
        <v>349</v>
      </c>
      <c r="KI380" s="16">
        <v>867</v>
      </c>
      <c r="KJ380" s="16">
        <v>195</v>
      </c>
      <c r="KK380" s="16">
        <v>822614</v>
      </c>
      <c r="KL380" s="16">
        <v>42</v>
      </c>
      <c r="KM380" s="16">
        <v>1486</v>
      </c>
      <c r="KN380" s="16">
        <v>2857</v>
      </c>
      <c r="KO380" s="16">
        <v>1265</v>
      </c>
      <c r="KP380" s="16">
        <v>271</v>
      </c>
      <c r="KQ380" s="16">
        <v>290</v>
      </c>
      <c r="KR380" s="16">
        <v>4702</v>
      </c>
      <c r="KS380" s="16">
        <v>82</v>
      </c>
      <c r="KT380" s="16">
        <v>143</v>
      </c>
      <c r="KU380" s="16">
        <v>4494</v>
      </c>
      <c r="KV380" s="16">
        <v>14213</v>
      </c>
      <c r="KW380" s="16">
        <v>24102</v>
      </c>
      <c r="KX380" s="16">
        <v>69</v>
      </c>
      <c r="KY380" s="16">
        <v>849</v>
      </c>
      <c r="KZ380" s="16">
        <v>46538</v>
      </c>
      <c r="LA380" s="16">
        <v>11441</v>
      </c>
      <c r="LB380" s="16">
        <v>5676</v>
      </c>
      <c r="LC380" s="16">
        <v>5175</v>
      </c>
      <c r="LD380" s="16">
        <v>47419</v>
      </c>
      <c r="LE380" s="16">
        <v>3313</v>
      </c>
      <c r="LF380" s="16">
        <v>259</v>
      </c>
      <c r="LG380" s="16">
        <v>808</v>
      </c>
      <c r="LH380" s="16">
        <v>1196</v>
      </c>
      <c r="LI380" s="16">
        <v>873</v>
      </c>
      <c r="LJ380" s="16">
        <v>5987</v>
      </c>
      <c r="LK380" s="16">
        <v>5980</v>
      </c>
      <c r="LL380" s="16">
        <v>11856</v>
      </c>
      <c r="LM380" s="16">
        <v>19130</v>
      </c>
      <c r="LN380" s="16">
        <v>11269</v>
      </c>
      <c r="LO380" s="16">
        <v>3959</v>
      </c>
      <c r="LP380" s="16">
        <v>3098</v>
      </c>
      <c r="LQ380" s="16">
        <v>991</v>
      </c>
      <c r="LR380" s="16">
        <v>11090</v>
      </c>
      <c r="LS380" s="16">
        <v>543</v>
      </c>
      <c r="LT380" s="16">
        <v>3896</v>
      </c>
      <c r="LU380" s="16">
        <v>13908</v>
      </c>
      <c r="LV380" s="16">
        <v>79</v>
      </c>
      <c r="LW380" s="16">
        <v>17205</v>
      </c>
      <c r="LX380" s="16">
        <v>11396</v>
      </c>
      <c r="LY380" s="16">
        <v>6812</v>
      </c>
      <c r="LZ380" s="16">
        <v>31418</v>
      </c>
      <c r="MA380" s="16">
        <v>18115</v>
      </c>
      <c r="MB380" s="16">
        <v>8428</v>
      </c>
      <c r="MC380" s="16">
        <v>1982</v>
      </c>
      <c r="MD380" s="16">
        <v>5505</v>
      </c>
      <c r="ME380" s="16">
        <v>6192</v>
      </c>
      <c r="MF380" s="16">
        <v>61555</v>
      </c>
      <c r="MG380" s="16">
        <v>5328</v>
      </c>
      <c r="MH380" s="16">
        <v>82823</v>
      </c>
      <c r="MI380" s="16">
        <v>1046</v>
      </c>
      <c r="MJ380" s="16">
        <v>17752</v>
      </c>
      <c r="MK380" s="16">
        <v>18616</v>
      </c>
      <c r="ML380" s="16">
        <v>16431</v>
      </c>
      <c r="MM380" s="16">
        <v>10302</v>
      </c>
      <c r="MN380" s="16">
        <v>7912</v>
      </c>
      <c r="MO380" s="16">
        <v>24127</v>
      </c>
      <c r="MP380" s="16">
        <v>21978</v>
      </c>
      <c r="MQ380" s="16">
        <v>47028</v>
      </c>
      <c r="MR380" s="16">
        <v>6526</v>
      </c>
      <c r="MS380" s="16">
        <v>87</v>
      </c>
      <c r="MT380" s="16">
        <v>0</v>
      </c>
      <c r="MU380" s="16">
        <v>1845</v>
      </c>
      <c r="MV380" s="16">
        <v>19240</v>
      </c>
      <c r="MW380" s="16">
        <v>32447</v>
      </c>
      <c r="MX380" s="16">
        <v>0</v>
      </c>
      <c r="MY380" s="16">
        <v>5158</v>
      </c>
      <c r="MZ380" s="16">
        <v>16144</v>
      </c>
      <c r="NA380" s="16">
        <v>10</v>
      </c>
      <c r="NB380" s="16">
        <v>17472</v>
      </c>
      <c r="NC380" s="16">
        <v>0</v>
      </c>
      <c r="ND380" s="16">
        <v>2212</v>
      </c>
      <c r="NE380" s="16">
        <v>2866</v>
      </c>
      <c r="NF380" s="16">
        <v>8986</v>
      </c>
      <c r="NG380" s="16">
        <v>10447</v>
      </c>
      <c r="NH380" s="16">
        <v>26869</v>
      </c>
      <c r="NI380" s="16">
        <v>25003</v>
      </c>
      <c r="NJ380" s="16">
        <v>52172</v>
      </c>
      <c r="NK380" s="16">
        <v>4942</v>
      </c>
      <c r="NL380" s="16">
        <v>6553</v>
      </c>
      <c r="NM380" s="16">
        <v>5765</v>
      </c>
      <c r="NN380" s="16">
        <v>684</v>
      </c>
      <c r="NO380" s="16">
        <v>0</v>
      </c>
      <c r="NP380" s="16">
        <v>10381</v>
      </c>
      <c r="NQ380" s="16">
        <v>53</v>
      </c>
      <c r="NR380" s="17">
        <v>2173731</v>
      </c>
    </row>
    <row r="381" spans="1:382" ht="13.5" customHeight="1" x14ac:dyDescent="0.2">
      <c r="A381" s="2" t="s">
        <v>769</v>
      </c>
      <c r="B381" s="16">
        <v>5651</v>
      </c>
      <c r="C381" s="16">
        <v>805</v>
      </c>
      <c r="D381" s="16">
        <v>6264</v>
      </c>
      <c r="E381" s="16">
        <v>5194</v>
      </c>
      <c r="F381" s="16">
        <v>55892</v>
      </c>
      <c r="G381" s="16">
        <v>11778</v>
      </c>
      <c r="H381" s="16">
        <v>636</v>
      </c>
      <c r="I381" s="16">
        <v>14492</v>
      </c>
      <c r="J381" s="16">
        <v>757</v>
      </c>
      <c r="K381" s="16">
        <v>0</v>
      </c>
      <c r="L381" s="16">
        <v>1898</v>
      </c>
      <c r="M381" s="16">
        <v>10381</v>
      </c>
      <c r="N381" s="16">
        <v>6</v>
      </c>
      <c r="O381" s="16">
        <v>335</v>
      </c>
      <c r="P381" s="16">
        <v>31658</v>
      </c>
      <c r="Q381" s="16">
        <v>42742</v>
      </c>
      <c r="R381" s="16">
        <v>19047</v>
      </c>
      <c r="S381" s="16">
        <v>1318</v>
      </c>
      <c r="T381" s="16">
        <v>1000</v>
      </c>
      <c r="U381" s="16">
        <v>942</v>
      </c>
      <c r="V381" s="16">
        <v>2349</v>
      </c>
      <c r="W381" s="16">
        <v>79</v>
      </c>
      <c r="X381" s="16">
        <v>39183</v>
      </c>
      <c r="Y381" s="16">
        <v>16788</v>
      </c>
      <c r="Z381" s="16">
        <v>219</v>
      </c>
      <c r="AA381" s="16">
        <v>587</v>
      </c>
      <c r="AB381" s="16">
        <v>0</v>
      </c>
      <c r="AC381" s="16">
        <v>0</v>
      </c>
      <c r="AD381" s="16">
        <v>0</v>
      </c>
      <c r="AE381" s="16">
        <v>19</v>
      </c>
      <c r="AF381" s="16">
        <v>240</v>
      </c>
      <c r="AG381" s="16">
        <v>5084</v>
      </c>
      <c r="AH381" s="16">
        <v>3553</v>
      </c>
      <c r="AI381" s="16">
        <v>6480</v>
      </c>
      <c r="AJ381" s="16">
        <v>10656</v>
      </c>
      <c r="AK381" s="16">
        <v>2320</v>
      </c>
      <c r="AL381" s="16">
        <v>1120</v>
      </c>
      <c r="AM381" s="16">
        <v>8297</v>
      </c>
      <c r="AN381" s="16">
        <v>1612</v>
      </c>
      <c r="AO381" s="16">
        <v>1151</v>
      </c>
      <c r="AP381" s="16">
        <v>885</v>
      </c>
      <c r="AQ381" s="16">
        <v>7093</v>
      </c>
      <c r="AR381" s="16">
        <v>0</v>
      </c>
      <c r="AS381" s="16">
        <v>4313</v>
      </c>
      <c r="AT381" s="16">
        <v>962</v>
      </c>
      <c r="AU381" s="16">
        <v>5686</v>
      </c>
      <c r="AV381" s="16">
        <v>833</v>
      </c>
      <c r="AW381" s="16">
        <v>4624</v>
      </c>
      <c r="AX381" s="16">
        <v>313</v>
      </c>
      <c r="AY381" s="16">
        <v>7023</v>
      </c>
      <c r="AZ381" s="16">
        <v>1509</v>
      </c>
      <c r="BA381" s="16">
        <v>2903</v>
      </c>
      <c r="BB381" s="16">
        <v>2594</v>
      </c>
      <c r="BC381" s="16">
        <v>3208</v>
      </c>
      <c r="BD381" s="16">
        <v>451</v>
      </c>
      <c r="BE381" s="16">
        <v>812</v>
      </c>
      <c r="BF381" s="16">
        <v>6576</v>
      </c>
      <c r="BG381" s="16">
        <v>320</v>
      </c>
      <c r="BH381" s="16">
        <v>2437</v>
      </c>
      <c r="BI381" s="16">
        <v>5588</v>
      </c>
      <c r="BJ381" s="16">
        <v>809</v>
      </c>
      <c r="BK381" s="16">
        <v>565</v>
      </c>
      <c r="BL381" s="16">
        <v>2900</v>
      </c>
      <c r="BM381" s="16">
        <v>482</v>
      </c>
      <c r="BN381" s="16">
        <v>1457</v>
      </c>
      <c r="BO381" s="16">
        <v>2463</v>
      </c>
      <c r="BP381" s="16">
        <v>485</v>
      </c>
      <c r="BQ381" s="16">
        <v>701</v>
      </c>
      <c r="BR381" s="16">
        <v>510</v>
      </c>
      <c r="BS381" s="16">
        <v>3025</v>
      </c>
      <c r="BT381" s="16">
        <v>98</v>
      </c>
      <c r="BU381" s="16">
        <v>8</v>
      </c>
      <c r="BV381" s="16">
        <v>0</v>
      </c>
      <c r="BW381" s="16">
        <v>3176</v>
      </c>
      <c r="BX381" s="16">
        <v>143</v>
      </c>
      <c r="BY381" s="16">
        <v>9</v>
      </c>
      <c r="BZ381" s="16">
        <v>852</v>
      </c>
      <c r="CA381" s="16">
        <v>535</v>
      </c>
      <c r="CB381" s="16">
        <v>265</v>
      </c>
      <c r="CC381" s="16">
        <v>8404</v>
      </c>
      <c r="CD381" s="16">
        <v>2406</v>
      </c>
      <c r="CE381" s="16">
        <v>1578</v>
      </c>
      <c r="CF381" s="16">
        <v>2407</v>
      </c>
      <c r="CG381" s="16">
        <v>456</v>
      </c>
      <c r="CH381" s="16">
        <v>1425</v>
      </c>
      <c r="CI381" s="16">
        <v>1951</v>
      </c>
      <c r="CJ381" s="16">
        <v>5508</v>
      </c>
      <c r="CK381" s="16">
        <v>11534</v>
      </c>
      <c r="CL381" s="16">
        <v>10589</v>
      </c>
      <c r="CM381" s="16">
        <v>870</v>
      </c>
      <c r="CN381" s="16">
        <v>1302</v>
      </c>
      <c r="CO381" s="16">
        <v>5479</v>
      </c>
      <c r="CP381" s="16">
        <v>5598</v>
      </c>
      <c r="CQ381" s="16">
        <v>15885</v>
      </c>
      <c r="CR381" s="16">
        <v>321</v>
      </c>
      <c r="CS381" s="16">
        <v>3850</v>
      </c>
      <c r="CT381" s="16">
        <v>2855</v>
      </c>
      <c r="CU381" s="16">
        <v>14728</v>
      </c>
      <c r="CV381" s="16">
        <v>7572</v>
      </c>
      <c r="CW381" s="16">
        <v>65536</v>
      </c>
      <c r="CX381" s="16">
        <v>25913</v>
      </c>
      <c r="CY381" s="16">
        <v>942</v>
      </c>
      <c r="CZ381" s="16">
        <v>9462</v>
      </c>
      <c r="DA381" s="16">
        <v>793</v>
      </c>
      <c r="DB381" s="16">
        <v>5766</v>
      </c>
      <c r="DC381" s="16">
        <v>2880</v>
      </c>
      <c r="DD381" s="16">
        <v>11663</v>
      </c>
      <c r="DE381" s="16">
        <v>2366</v>
      </c>
      <c r="DF381" s="16">
        <v>13214</v>
      </c>
      <c r="DG381" s="16">
        <v>3449</v>
      </c>
      <c r="DH381" s="16">
        <v>7669</v>
      </c>
      <c r="DI381" s="16">
        <v>912</v>
      </c>
      <c r="DJ381" s="16">
        <v>69709</v>
      </c>
      <c r="DK381" s="16">
        <v>4784</v>
      </c>
      <c r="DL381" s="16">
        <v>6900</v>
      </c>
      <c r="DM381" s="16">
        <v>562755</v>
      </c>
      <c r="DN381" s="16">
        <v>4092</v>
      </c>
      <c r="DO381" s="16">
        <v>2976</v>
      </c>
      <c r="DP381" s="16">
        <v>9816</v>
      </c>
      <c r="DQ381" s="16">
        <v>1083</v>
      </c>
      <c r="DR381" s="16">
        <v>2783</v>
      </c>
      <c r="DS381" s="16">
        <v>19053</v>
      </c>
      <c r="DT381" s="16">
        <v>2775</v>
      </c>
      <c r="DU381" s="16">
        <v>793</v>
      </c>
      <c r="DV381" s="16">
        <v>3545</v>
      </c>
      <c r="DW381" s="16">
        <v>17277</v>
      </c>
      <c r="DX381" s="16">
        <v>6915</v>
      </c>
      <c r="DY381" s="16">
        <v>4146</v>
      </c>
      <c r="DZ381" s="16">
        <v>11136</v>
      </c>
      <c r="EA381" s="16">
        <v>14321</v>
      </c>
      <c r="EB381" s="16">
        <v>443</v>
      </c>
      <c r="EC381" s="16">
        <v>4687</v>
      </c>
      <c r="ED381" s="16">
        <v>510</v>
      </c>
      <c r="EE381" s="16">
        <v>10</v>
      </c>
      <c r="EF381" s="16">
        <v>211</v>
      </c>
      <c r="EG381" s="16">
        <v>5017</v>
      </c>
      <c r="EH381" s="16">
        <v>1158</v>
      </c>
      <c r="EI381" s="16">
        <v>44</v>
      </c>
      <c r="EJ381" s="16">
        <v>186</v>
      </c>
      <c r="EK381" s="16">
        <v>531</v>
      </c>
      <c r="EL381" s="16">
        <v>65</v>
      </c>
      <c r="EM381" s="16">
        <v>1967</v>
      </c>
      <c r="EN381" s="16">
        <v>2246</v>
      </c>
      <c r="EO381" s="16">
        <v>2878</v>
      </c>
      <c r="EP381" s="16">
        <v>464</v>
      </c>
      <c r="EQ381" s="16">
        <v>545</v>
      </c>
      <c r="ER381" s="16">
        <v>236</v>
      </c>
      <c r="ES381" s="16">
        <v>478</v>
      </c>
      <c r="ET381" s="16">
        <v>7111</v>
      </c>
      <c r="EU381" s="16">
        <v>69</v>
      </c>
      <c r="EV381" s="16">
        <v>669</v>
      </c>
      <c r="EW381" s="16">
        <v>241</v>
      </c>
      <c r="EX381" s="16">
        <v>7060</v>
      </c>
      <c r="EY381" s="16">
        <v>2914</v>
      </c>
      <c r="EZ381" s="16">
        <v>265</v>
      </c>
      <c r="FA381" s="16">
        <v>994</v>
      </c>
      <c r="FB381" s="16">
        <v>3822</v>
      </c>
      <c r="FC381" s="16">
        <v>172</v>
      </c>
      <c r="FD381" s="16">
        <v>4108</v>
      </c>
      <c r="FE381" s="16">
        <v>742</v>
      </c>
      <c r="FF381" s="16">
        <v>871</v>
      </c>
      <c r="FG381" s="16">
        <v>1496</v>
      </c>
      <c r="FH381" s="16">
        <v>334</v>
      </c>
      <c r="FI381" s="16">
        <v>653</v>
      </c>
      <c r="FJ381" s="16">
        <v>288</v>
      </c>
      <c r="FK381" s="16">
        <v>1538</v>
      </c>
      <c r="FL381" s="16">
        <v>193</v>
      </c>
      <c r="FM381" s="16">
        <v>1351</v>
      </c>
      <c r="FN381" s="16">
        <v>5961</v>
      </c>
      <c r="FO381" s="16">
        <v>973</v>
      </c>
      <c r="FP381" s="16">
        <v>7861</v>
      </c>
      <c r="FQ381" s="16">
        <v>4076</v>
      </c>
      <c r="FR381" s="16">
        <v>7052</v>
      </c>
      <c r="FS381" s="16">
        <v>3480</v>
      </c>
      <c r="FT381" s="16">
        <v>5177</v>
      </c>
      <c r="FU381" s="16">
        <v>4043</v>
      </c>
      <c r="FV381" s="16">
        <v>10557</v>
      </c>
      <c r="FW381" s="16">
        <v>9750</v>
      </c>
      <c r="FX381" s="16">
        <v>23984</v>
      </c>
      <c r="FY381" s="16">
        <v>2789</v>
      </c>
      <c r="FZ381" s="16">
        <v>8242</v>
      </c>
      <c r="GA381" s="16">
        <v>1195</v>
      </c>
      <c r="GB381" s="16">
        <v>29521</v>
      </c>
      <c r="GC381" s="16">
        <v>3428</v>
      </c>
      <c r="GD381" s="16">
        <v>18324</v>
      </c>
      <c r="GE381" s="16">
        <v>826</v>
      </c>
      <c r="GF381" s="16">
        <v>28342</v>
      </c>
      <c r="GG381" s="16">
        <v>5</v>
      </c>
      <c r="GH381" s="16">
        <v>13642</v>
      </c>
      <c r="GI381" s="16">
        <v>1576</v>
      </c>
      <c r="GJ381" s="16">
        <v>1703</v>
      </c>
      <c r="GK381" s="16">
        <v>2052</v>
      </c>
      <c r="GL381" s="16">
        <v>2</v>
      </c>
      <c r="GM381" s="16">
        <v>35</v>
      </c>
      <c r="GN381" s="16">
        <v>311</v>
      </c>
      <c r="GO381" s="16">
        <v>6</v>
      </c>
      <c r="GP381" s="16">
        <v>48</v>
      </c>
      <c r="GQ381" s="16">
        <v>16</v>
      </c>
      <c r="GR381" s="16">
        <v>500</v>
      </c>
      <c r="GS381" s="16">
        <v>35</v>
      </c>
      <c r="GT381" s="16">
        <v>273</v>
      </c>
      <c r="GU381" s="16">
        <v>4733</v>
      </c>
      <c r="GV381" s="16">
        <v>6292</v>
      </c>
      <c r="GW381" s="16">
        <v>2523</v>
      </c>
      <c r="GX381" s="16">
        <v>690</v>
      </c>
      <c r="GY381" s="16">
        <v>91</v>
      </c>
      <c r="GZ381" s="16">
        <v>5689</v>
      </c>
      <c r="HA381" s="16">
        <v>4135</v>
      </c>
      <c r="HB381" s="16">
        <v>2188</v>
      </c>
      <c r="HC381" s="16">
        <v>9159</v>
      </c>
      <c r="HD381" s="16">
        <v>4658</v>
      </c>
      <c r="HE381" s="16">
        <v>658</v>
      </c>
      <c r="HF381" s="16">
        <v>9882</v>
      </c>
      <c r="HG381" s="16">
        <v>2989</v>
      </c>
      <c r="HH381" s="16">
        <v>1989</v>
      </c>
      <c r="HI381" s="16">
        <v>4990</v>
      </c>
      <c r="HJ381" s="16">
        <v>516</v>
      </c>
      <c r="HK381" s="16">
        <v>1230</v>
      </c>
      <c r="HL381" s="16">
        <v>6645</v>
      </c>
      <c r="HM381" s="16">
        <v>3026</v>
      </c>
      <c r="HN381" s="16">
        <v>12459</v>
      </c>
      <c r="HO381" s="16">
        <v>2847</v>
      </c>
      <c r="HP381" s="16">
        <v>5416</v>
      </c>
      <c r="HQ381" s="16">
        <v>2959</v>
      </c>
      <c r="HR381" s="16">
        <v>2599</v>
      </c>
      <c r="HS381" s="16">
        <v>2245</v>
      </c>
      <c r="HT381" s="16">
        <v>681</v>
      </c>
      <c r="HU381" s="16">
        <v>3073</v>
      </c>
      <c r="HV381" s="16">
        <v>1290</v>
      </c>
      <c r="HW381" s="16">
        <v>2427</v>
      </c>
      <c r="HX381" s="16">
        <v>9141</v>
      </c>
      <c r="HY381" s="16">
        <v>12385</v>
      </c>
      <c r="HZ381" s="16">
        <v>12882</v>
      </c>
      <c r="IA381" s="16">
        <v>1417</v>
      </c>
      <c r="IB381" s="16">
        <v>297</v>
      </c>
      <c r="IC381" s="16">
        <v>86</v>
      </c>
      <c r="ID381" s="16">
        <v>596</v>
      </c>
      <c r="IE381" s="16">
        <v>90</v>
      </c>
      <c r="IF381" s="16">
        <v>1044</v>
      </c>
      <c r="IG381" s="16">
        <v>14376</v>
      </c>
      <c r="IH381" s="16">
        <v>3545</v>
      </c>
      <c r="II381" s="16">
        <v>493</v>
      </c>
      <c r="IJ381" s="16">
        <v>369</v>
      </c>
      <c r="IK381" s="16">
        <v>2761</v>
      </c>
      <c r="IL381" s="16">
        <v>953</v>
      </c>
      <c r="IM381" s="16">
        <v>5505</v>
      </c>
      <c r="IN381" s="16">
        <v>1216</v>
      </c>
      <c r="IO381" s="16">
        <v>4435</v>
      </c>
      <c r="IP381" s="16">
        <v>339</v>
      </c>
      <c r="IQ381" s="16">
        <v>58</v>
      </c>
      <c r="IR381" s="16">
        <v>182</v>
      </c>
      <c r="IS381" s="16">
        <v>212</v>
      </c>
      <c r="IT381" s="16">
        <v>941</v>
      </c>
      <c r="IU381" s="16">
        <v>8</v>
      </c>
      <c r="IV381" s="16">
        <v>2941</v>
      </c>
      <c r="IW381" s="16">
        <v>9227</v>
      </c>
      <c r="IX381" s="16">
        <v>804</v>
      </c>
      <c r="IY381" s="16">
        <v>829</v>
      </c>
      <c r="IZ381" s="16">
        <v>100</v>
      </c>
      <c r="JA381" s="16">
        <v>1627</v>
      </c>
      <c r="JB381" s="16">
        <v>31</v>
      </c>
      <c r="JC381" s="16">
        <v>513</v>
      </c>
      <c r="JD381" s="16">
        <v>471</v>
      </c>
      <c r="JE381" s="16">
        <v>4193</v>
      </c>
      <c r="JF381" s="16">
        <v>1153</v>
      </c>
      <c r="JG381" s="16">
        <v>431213</v>
      </c>
      <c r="JH381" s="16">
        <v>2341</v>
      </c>
      <c r="JI381" s="16">
        <v>19</v>
      </c>
      <c r="JJ381" s="16">
        <v>22941</v>
      </c>
      <c r="JK381" s="16">
        <v>2530</v>
      </c>
      <c r="JL381" s="16">
        <v>676</v>
      </c>
      <c r="JM381" s="16">
        <v>1201</v>
      </c>
      <c r="JN381" s="16">
        <v>8608</v>
      </c>
      <c r="JO381" s="16">
        <v>20153</v>
      </c>
      <c r="JP381" s="16">
        <v>86317</v>
      </c>
      <c r="JQ381" s="16">
        <v>1855</v>
      </c>
      <c r="JR381" s="16">
        <v>10033</v>
      </c>
      <c r="JS381" s="16">
        <v>3395</v>
      </c>
      <c r="JT381" s="16">
        <v>17</v>
      </c>
      <c r="JU381" s="16">
        <v>24996</v>
      </c>
      <c r="JV381" s="16">
        <v>652</v>
      </c>
      <c r="JW381" s="16">
        <v>5876</v>
      </c>
      <c r="JX381" s="16">
        <v>6523</v>
      </c>
      <c r="JY381" s="16">
        <v>4232</v>
      </c>
      <c r="JZ381" s="16">
        <v>6029</v>
      </c>
      <c r="KA381" s="16">
        <v>869</v>
      </c>
      <c r="KB381" s="16">
        <v>103</v>
      </c>
      <c r="KC381" s="16">
        <v>563</v>
      </c>
      <c r="KD381" s="16">
        <v>3071</v>
      </c>
      <c r="KE381" s="16">
        <v>226</v>
      </c>
      <c r="KF381" s="16">
        <v>2687</v>
      </c>
      <c r="KG381" s="16">
        <v>345</v>
      </c>
      <c r="KH381" s="16">
        <v>324</v>
      </c>
      <c r="KI381" s="16">
        <v>823</v>
      </c>
      <c r="KJ381" s="16">
        <v>594</v>
      </c>
      <c r="KK381" s="16">
        <v>492128</v>
      </c>
      <c r="KL381" s="16">
        <v>58</v>
      </c>
      <c r="KM381" s="16">
        <v>1666</v>
      </c>
      <c r="KN381" s="16">
        <v>397</v>
      </c>
      <c r="KO381" s="16">
        <v>1244</v>
      </c>
      <c r="KP381" s="16">
        <v>2731</v>
      </c>
      <c r="KQ381" s="16">
        <v>11068</v>
      </c>
      <c r="KR381" s="16">
        <v>2014</v>
      </c>
      <c r="KS381" s="16">
        <v>3416</v>
      </c>
      <c r="KT381" s="16">
        <v>4176</v>
      </c>
      <c r="KU381" s="16">
        <v>8331</v>
      </c>
      <c r="KV381" s="16">
        <v>9252</v>
      </c>
      <c r="KW381" s="16">
        <v>5300</v>
      </c>
      <c r="KX381" s="16">
        <v>178</v>
      </c>
      <c r="KY381" s="16">
        <v>5386</v>
      </c>
      <c r="KZ381" s="16">
        <v>111169</v>
      </c>
      <c r="LA381" s="16">
        <v>67569</v>
      </c>
      <c r="LB381" s="16">
        <v>16095</v>
      </c>
      <c r="LC381" s="16">
        <v>47818</v>
      </c>
      <c r="LD381" s="16">
        <v>7827</v>
      </c>
      <c r="LE381" s="16">
        <v>4085</v>
      </c>
      <c r="LF381" s="16">
        <v>858</v>
      </c>
      <c r="LG381" s="16">
        <v>119</v>
      </c>
      <c r="LH381" s="16">
        <v>6489</v>
      </c>
      <c r="LI381" s="16">
        <v>6</v>
      </c>
      <c r="LJ381" s="16">
        <v>120</v>
      </c>
      <c r="LK381" s="16">
        <v>8077</v>
      </c>
      <c r="LL381" s="16">
        <v>77419</v>
      </c>
      <c r="LM381" s="16">
        <v>309241</v>
      </c>
      <c r="LN381" s="16">
        <v>18881</v>
      </c>
      <c r="LO381" s="16">
        <v>345</v>
      </c>
      <c r="LP381" s="16">
        <v>2320</v>
      </c>
      <c r="LQ381" s="16">
        <v>375</v>
      </c>
      <c r="LR381" s="16">
        <v>26836</v>
      </c>
      <c r="LS381" s="16">
        <v>5951</v>
      </c>
      <c r="LT381" s="16">
        <v>7142</v>
      </c>
      <c r="LU381" s="16">
        <v>2663</v>
      </c>
      <c r="LV381" s="16">
        <v>400</v>
      </c>
      <c r="LW381" s="16">
        <v>5391</v>
      </c>
      <c r="LX381" s="16">
        <v>10256</v>
      </c>
      <c r="LY381" s="16">
        <v>217460</v>
      </c>
      <c r="LZ381" s="16">
        <v>29874</v>
      </c>
      <c r="MA381" s="16">
        <v>236126</v>
      </c>
      <c r="MB381" s="16">
        <v>53713</v>
      </c>
      <c r="MC381" s="16">
        <v>20510</v>
      </c>
      <c r="MD381" s="16">
        <v>11838</v>
      </c>
      <c r="ME381" s="16">
        <v>449</v>
      </c>
      <c r="MF381" s="16">
        <v>16863</v>
      </c>
      <c r="MG381" s="16">
        <v>48221</v>
      </c>
      <c r="MH381" s="16">
        <v>77594</v>
      </c>
      <c r="MI381" s="16">
        <v>1616</v>
      </c>
      <c r="MJ381" s="16">
        <v>24109</v>
      </c>
      <c r="MK381" s="16">
        <v>16365</v>
      </c>
      <c r="ML381" s="16">
        <v>886</v>
      </c>
      <c r="MM381" s="16">
        <v>21105</v>
      </c>
      <c r="MN381" s="16">
        <v>34437</v>
      </c>
      <c r="MO381" s="16">
        <v>31662</v>
      </c>
      <c r="MP381" s="16">
        <v>46399</v>
      </c>
      <c r="MQ381" s="16">
        <v>67341</v>
      </c>
      <c r="MR381" s="16">
        <v>4275</v>
      </c>
      <c r="MS381" s="16">
        <v>26644</v>
      </c>
      <c r="MT381" s="16">
        <v>14983</v>
      </c>
      <c r="MU381" s="16">
        <v>31752</v>
      </c>
      <c r="MV381" s="16">
        <v>1855</v>
      </c>
      <c r="MW381" s="16">
        <v>3086</v>
      </c>
      <c r="MX381" s="16">
        <v>64255</v>
      </c>
      <c r="MY381" s="16">
        <v>386</v>
      </c>
      <c r="MZ381" s="16">
        <v>288056</v>
      </c>
      <c r="NA381" s="16">
        <v>8096</v>
      </c>
      <c r="NB381" s="16">
        <v>13008</v>
      </c>
      <c r="NC381" s="16">
        <v>46982</v>
      </c>
      <c r="ND381" s="16">
        <v>416</v>
      </c>
      <c r="NE381" s="16">
        <v>2008</v>
      </c>
      <c r="NF381" s="16">
        <v>40234</v>
      </c>
      <c r="NG381" s="16">
        <v>11304</v>
      </c>
      <c r="NH381" s="16">
        <v>708</v>
      </c>
      <c r="NI381" s="16">
        <v>10947</v>
      </c>
      <c r="NJ381" s="16">
        <v>15933</v>
      </c>
      <c r="NK381" s="16">
        <v>1498</v>
      </c>
      <c r="NL381" s="16">
        <v>1377</v>
      </c>
      <c r="NM381" s="16">
        <v>7818</v>
      </c>
      <c r="NN381" s="16">
        <v>4092</v>
      </c>
      <c r="NO381" s="16">
        <v>0</v>
      </c>
      <c r="NP381" s="16">
        <v>12529</v>
      </c>
      <c r="NQ381" s="16">
        <v>109679</v>
      </c>
      <c r="NR381" s="17">
        <v>5455437</v>
      </c>
    </row>
    <row r="382" spans="1:382" ht="13.5" customHeight="1" x14ac:dyDescent="0.2">
      <c r="A382" s="3" t="s">
        <v>771</v>
      </c>
      <c r="B382" s="18">
        <v>1903724</v>
      </c>
      <c r="C382" s="18">
        <v>127230</v>
      </c>
      <c r="D382" s="18">
        <v>316402</v>
      </c>
      <c r="E382" s="18">
        <v>536603</v>
      </c>
      <c r="F382" s="18">
        <v>5674977</v>
      </c>
      <c r="G382" s="18">
        <v>1974069</v>
      </c>
      <c r="H382" s="18">
        <v>279664</v>
      </c>
      <c r="I382" s="18">
        <v>548527</v>
      </c>
      <c r="J382" s="18">
        <v>25443</v>
      </c>
      <c r="K382" s="18">
        <v>0</v>
      </c>
      <c r="L382" s="18">
        <v>380706</v>
      </c>
      <c r="M382" s="18">
        <v>249979</v>
      </c>
      <c r="N382" s="18">
        <v>4189</v>
      </c>
      <c r="O382" s="18">
        <v>1872513</v>
      </c>
      <c r="P382" s="18">
        <v>4436720</v>
      </c>
      <c r="Q382" s="18">
        <v>6689096</v>
      </c>
      <c r="R382" s="18">
        <v>6234966</v>
      </c>
      <c r="S382" s="18">
        <v>685210</v>
      </c>
      <c r="T382" s="18">
        <v>274373</v>
      </c>
      <c r="U382" s="18">
        <v>224626</v>
      </c>
      <c r="V382" s="18">
        <v>239016</v>
      </c>
      <c r="W382" s="18">
        <v>54160</v>
      </c>
      <c r="X382" s="18">
        <v>3121725</v>
      </c>
      <c r="Y382" s="18">
        <v>2569144</v>
      </c>
      <c r="Z382" s="18">
        <v>743466</v>
      </c>
      <c r="AA382" s="18">
        <v>148879</v>
      </c>
      <c r="AB382" s="18">
        <v>0</v>
      </c>
      <c r="AC382" s="18">
        <v>0</v>
      </c>
      <c r="AD382" s="18">
        <v>0</v>
      </c>
      <c r="AE382" s="18">
        <v>54557</v>
      </c>
      <c r="AF382" s="18">
        <v>34438</v>
      </c>
      <c r="AG382" s="18">
        <v>1730497</v>
      </c>
      <c r="AH382" s="18">
        <v>955037</v>
      </c>
      <c r="AI382" s="18">
        <v>246083</v>
      </c>
      <c r="AJ382" s="18">
        <v>16134007</v>
      </c>
      <c r="AK382" s="18">
        <v>5606226</v>
      </c>
      <c r="AL382" s="18">
        <v>5300170</v>
      </c>
      <c r="AM382" s="18">
        <v>7771915</v>
      </c>
      <c r="AN382" s="18">
        <v>6009775</v>
      </c>
      <c r="AO382" s="18">
        <v>5035521</v>
      </c>
      <c r="AP382" s="18">
        <v>7988004</v>
      </c>
      <c r="AQ382" s="18">
        <v>2697512</v>
      </c>
      <c r="AR382" s="18">
        <v>0</v>
      </c>
      <c r="AS382" s="18">
        <v>1451020</v>
      </c>
      <c r="AT382" s="18">
        <v>1612703</v>
      </c>
      <c r="AU382" s="18">
        <v>9382235</v>
      </c>
      <c r="AV382" s="18">
        <v>4063553</v>
      </c>
      <c r="AW382" s="18">
        <v>8085444</v>
      </c>
      <c r="AX382" s="18">
        <v>4308964</v>
      </c>
      <c r="AY382" s="18">
        <v>5962785</v>
      </c>
      <c r="AZ382" s="18">
        <v>3190966</v>
      </c>
      <c r="BA382" s="18">
        <v>4324270</v>
      </c>
      <c r="BB382" s="18">
        <v>10073647</v>
      </c>
      <c r="BC382" s="18">
        <v>15294545</v>
      </c>
      <c r="BD382" s="18">
        <v>399174</v>
      </c>
      <c r="BE382" s="18">
        <v>1652355</v>
      </c>
      <c r="BF382" s="18">
        <v>1932055</v>
      </c>
      <c r="BG382" s="18">
        <v>851416</v>
      </c>
      <c r="BH382" s="18">
        <v>7663058</v>
      </c>
      <c r="BI382" s="18">
        <v>2665713</v>
      </c>
      <c r="BJ382" s="18">
        <v>1344686</v>
      </c>
      <c r="BK382" s="18">
        <v>888412</v>
      </c>
      <c r="BL382" s="18">
        <v>6143046</v>
      </c>
      <c r="BM382" s="18">
        <v>926621</v>
      </c>
      <c r="BN382" s="18">
        <v>2568524</v>
      </c>
      <c r="BO382" s="18">
        <v>1590821</v>
      </c>
      <c r="BP382" s="18">
        <v>5826488</v>
      </c>
      <c r="BQ382" s="18">
        <v>1645923</v>
      </c>
      <c r="BR382" s="18">
        <v>3040705</v>
      </c>
      <c r="BS382" s="18">
        <v>20859003</v>
      </c>
      <c r="BT382" s="18">
        <v>2867230</v>
      </c>
      <c r="BU382" s="18">
        <v>236170</v>
      </c>
      <c r="BV382" s="18">
        <v>143670</v>
      </c>
      <c r="BW382" s="18">
        <v>2689915</v>
      </c>
      <c r="BX382" s="18">
        <v>2103656</v>
      </c>
      <c r="BY382" s="18">
        <v>12260</v>
      </c>
      <c r="BZ382" s="18">
        <v>1745335</v>
      </c>
      <c r="CA382" s="18">
        <v>2368858</v>
      </c>
      <c r="CB382" s="18">
        <v>297590</v>
      </c>
      <c r="CC382" s="18">
        <v>2076829</v>
      </c>
      <c r="CD382" s="18">
        <v>887498</v>
      </c>
      <c r="CE382" s="18">
        <v>887434</v>
      </c>
      <c r="CF382" s="18">
        <v>1742114</v>
      </c>
      <c r="CG382" s="18">
        <v>1760772</v>
      </c>
      <c r="CH382" s="18">
        <v>892710</v>
      </c>
      <c r="CI382" s="18">
        <v>199272</v>
      </c>
      <c r="CJ382" s="18">
        <v>3808496</v>
      </c>
      <c r="CK382" s="18">
        <v>5388329</v>
      </c>
      <c r="CL382" s="18">
        <v>5959444</v>
      </c>
      <c r="CM382" s="18">
        <v>2989374</v>
      </c>
      <c r="CN382" s="18">
        <v>796805</v>
      </c>
      <c r="CO382" s="18">
        <v>2502636</v>
      </c>
      <c r="CP382" s="18">
        <v>1753010</v>
      </c>
      <c r="CQ382" s="18">
        <v>8056215</v>
      </c>
      <c r="CR382" s="18">
        <v>418405</v>
      </c>
      <c r="CS382" s="18">
        <v>14544068</v>
      </c>
      <c r="CT382" s="18">
        <v>21638477</v>
      </c>
      <c r="CU382" s="18">
        <v>17676583</v>
      </c>
      <c r="CV382" s="18">
        <v>6769552</v>
      </c>
      <c r="CW382" s="18">
        <v>48926091</v>
      </c>
      <c r="CX382" s="18">
        <v>10027699</v>
      </c>
      <c r="CY382" s="18">
        <v>3691702</v>
      </c>
      <c r="CZ382" s="18">
        <v>8515602</v>
      </c>
      <c r="DA382" s="18">
        <v>3345541</v>
      </c>
      <c r="DB382" s="18">
        <v>8019672</v>
      </c>
      <c r="DC382" s="18">
        <v>14659933</v>
      </c>
      <c r="DD382" s="18">
        <v>23056710</v>
      </c>
      <c r="DE382" s="18">
        <v>15752293</v>
      </c>
      <c r="DF382" s="18">
        <v>12210215</v>
      </c>
      <c r="DG382" s="18">
        <v>6449364</v>
      </c>
      <c r="DH382" s="18">
        <v>22963066</v>
      </c>
      <c r="DI382" s="18">
        <v>1941020</v>
      </c>
      <c r="DJ382" s="18">
        <v>37450335</v>
      </c>
      <c r="DK382" s="18">
        <v>3764617</v>
      </c>
      <c r="DL382" s="18">
        <v>3072537</v>
      </c>
      <c r="DM382" s="18">
        <v>24782957</v>
      </c>
      <c r="DN382" s="18">
        <v>3267433</v>
      </c>
      <c r="DO382" s="18">
        <v>2507229</v>
      </c>
      <c r="DP382" s="18">
        <v>5194075</v>
      </c>
      <c r="DQ382" s="18">
        <v>708042</v>
      </c>
      <c r="DR382" s="18">
        <v>4700689</v>
      </c>
      <c r="DS382" s="18">
        <v>10497361</v>
      </c>
      <c r="DT382" s="18">
        <v>2299094</v>
      </c>
      <c r="DU382" s="18">
        <v>1190906</v>
      </c>
      <c r="DV382" s="18">
        <v>16441656</v>
      </c>
      <c r="DW382" s="18">
        <v>13534064</v>
      </c>
      <c r="DX382" s="18">
        <v>5236379</v>
      </c>
      <c r="DY382" s="18">
        <v>9908116</v>
      </c>
      <c r="DZ382" s="18">
        <v>18401758</v>
      </c>
      <c r="EA382" s="18">
        <v>13100911</v>
      </c>
      <c r="EB382" s="18">
        <v>4702418</v>
      </c>
      <c r="EC382" s="18">
        <v>6944825</v>
      </c>
      <c r="ED382" s="18">
        <v>827808</v>
      </c>
      <c r="EE382" s="18">
        <v>451097</v>
      </c>
      <c r="EF382" s="18">
        <v>1490292</v>
      </c>
      <c r="EG382" s="18">
        <v>3282762</v>
      </c>
      <c r="EH382" s="18">
        <v>739438</v>
      </c>
      <c r="EI382" s="18">
        <v>630190</v>
      </c>
      <c r="EJ382" s="18">
        <v>591616</v>
      </c>
      <c r="EK382" s="18">
        <v>1074812</v>
      </c>
      <c r="EL382" s="18">
        <v>341413</v>
      </c>
      <c r="EM382" s="18">
        <v>3623419</v>
      </c>
      <c r="EN382" s="18">
        <v>11892024</v>
      </c>
      <c r="EO382" s="18">
        <v>5345913</v>
      </c>
      <c r="EP382" s="18">
        <v>1179228</v>
      </c>
      <c r="EQ382" s="18">
        <v>1169846</v>
      </c>
      <c r="ER382" s="18">
        <v>518531</v>
      </c>
      <c r="ES382" s="18">
        <v>2449079</v>
      </c>
      <c r="ET382" s="18">
        <v>2625015</v>
      </c>
      <c r="EU382" s="18">
        <v>341300</v>
      </c>
      <c r="EV382" s="18">
        <v>2286508</v>
      </c>
      <c r="EW382" s="18">
        <v>2602971</v>
      </c>
      <c r="EX382" s="18">
        <v>12278361</v>
      </c>
      <c r="EY382" s="18">
        <v>2954415</v>
      </c>
      <c r="EZ382" s="18">
        <v>2931960</v>
      </c>
      <c r="FA382" s="18">
        <v>6916376</v>
      </c>
      <c r="FB382" s="18">
        <v>13977619</v>
      </c>
      <c r="FC382" s="18">
        <v>2974927</v>
      </c>
      <c r="FD382" s="18">
        <v>12170184</v>
      </c>
      <c r="FE382" s="18">
        <v>12335442</v>
      </c>
      <c r="FF382" s="18">
        <v>15921952</v>
      </c>
      <c r="FG382" s="18">
        <v>11543346</v>
      </c>
      <c r="FH382" s="18">
        <v>8345945</v>
      </c>
      <c r="FI382" s="18">
        <v>5410255</v>
      </c>
      <c r="FJ382" s="18">
        <v>5417096</v>
      </c>
      <c r="FK382" s="18">
        <v>5562350</v>
      </c>
      <c r="FL382" s="18">
        <v>1067120</v>
      </c>
      <c r="FM382" s="18">
        <v>10135611</v>
      </c>
      <c r="FN382" s="18">
        <v>9405260</v>
      </c>
      <c r="FO382" s="18">
        <v>3805757</v>
      </c>
      <c r="FP382" s="18">
        <v>6092764</v>
      </c>
      <c r="FQ382" s="18">
        <v>13660247</v>
      </c>
      <c r="FR382" s="18">
        <v>11945135</v>
      </c>
      <c r="FS382" s="18">
        <v>3044085</v>
      </c>
      <c r="FT382" s="18">
        <v>4267783</v>
      </c>
      <c r="FU382" s="18">
        <v>3712874</v>
      </c>
      <c r="FV382" s="18">
        <v>6090449</v>
      </c>
      <c r="FW382" s="18">
        <v>8331255</v>
      </c>
      <c r="FX382" s="18">
        <v>15186148</v>
      </c>
      <c r="FY382" s="18">
        <v>1987739</v>
      </c>
      <c r="FZ382" s="18">
        <v>3451137</v>
      </c>
      <c r="GA382" s="18">
        <v>2547058</v>
      </c>
      <c r="GB382" s="18">
        <v>7355554</v>
      </c>
      <c r="GC382" s="18">
        <v>3121569</v>
      </c>
      <c r="GD382" s="18">
        <v>7310135</v>
      </c>
      <c r="GE382" s="18">
        <v>8058350</v>
      </c>
      <c r="GF382" s="18">
        <v>65527686</v>
      </c>
      <c r="GG382" s="18">
        <v>9130640</v>
      </c>
      <c r="GH382" s="18">
        <v>31862683</v>
      </c>
      <c r="GI382" s="18">
        <v>10594016</v>
      </c>
      <c r="GJ382" s="18">
        <v>5034803</v>
      </c>
      <c r="GK382" s="18">
        <v>6717020</v>
      </c>
      <c r="GL382" s="18">
        <v>1323429</v>
      </c>
      <c r="GM382" s="18">
        <v>8224292</v>
      </c>
      <c r="GN382" s="18">
        <v>2815338</v>
      </c>
      <c r="GO382" s="18">
        <v>2567344</v>
      </c>
      <c r="GP382" s="18">
        <v>25458059</v>
      </c>
      <c r="GQ382" s="18">
        <v>8509710</v>
      </c>
      <c r="GR382" s="18">
        <v>1799082</v>
      </c>
      <c r="GS382" s="18">
        <v>1813021</v>
      </c>
      <c r="GT382" s="18">
        <v>1760403</v>
      </c>
      <c r="GU382" s="18">
        <v>8375195</v>
      </c>
      <c r="GV382" s="18">
        <v>12484560</v>
      </c>
      <c r="GW382" s="18">
        <v>5557993</v>
      </c>
      <c r="GX382" s="18">
        <v>4049033</v>
      </c>
      <c r="GY382" s="18">
        <v>74557</v>
      </c>
      <c r="GZ382" s="18">
        <v>9813078</v>
      </c>
      <c r="HA382" s="18">
        <v>3864637</v>
      </c>
      <c r="HB382" s="18">
        <v>3889457</v>
      </c>
      <c r="HC382" s="18">
        <v>9400087</v>
      </c>
      <c r="HD382" s="18">
        <v>10765244</v>
      </c>
      <c r="HE382" s="18">
        <v>37036394</v>
      </c>
      <c r="HF382" s="18">
        <v>14213969</v>
      </c>
      <c r="HG382" s="18">
        <v>4673139</v>
      </c>
      <c r="HH382" s="18">
        <v>2657239</v>
      </c>
      <c r="HI382" s="18">
        <v>6528635</v>
      </c>
      <c r="HJ382" s="18">
        <v>1299510</v>
      </c>
      <c r="HK382" s="18">
        <v>7985484</v>
      </c>
      <c r="HL382" s="18">
        <v>22961822</v>
      </c>
      <c r="HM382" s="18">
        <v>6296233</v>
      </c>
      <c r="HN382" s="18">
        <v>10785390</v>
      </c>
      <c r="HO382" s="18">
        <v>5483896</v>
      </c>
      <c r="HP382" s="18">
        <v>4289757</v>
      </c>
      <c r="HQ382" s="18">
        <v>12236721</v>
      </c>
      <c r="HR382" s="18">
        <v>13789082</v>
      </c>
      <c r="HS382" s="18">
        <v>8706543</v>
      </c>
      <c r="HT382" s="18">
        <v>1418367</v>
      </c>
      <c r="HU382" s="18">
        <v>9559329</v>
      </c>
      <c r="HV382" s="18">
        <v>3708371</v>
      </c>
      <c r="HW382" s="18">
        <v>8962937</v>
      </c>
      <c r="HX382" s="18">
        <v>7454721</v>
      </c>
      <c r="HY382" s="18">
        <v>10285518</v>
      </c>
      <c r="HZ382" s="18">
        <v>16026737</v>
      </c>
      <c r="IA382" s="18">
        <v>3604539</v>
      </c>
      <c r="IB382" s="18">
        <v>1100407</v>
      </c>
      <c r="IC382" s="18">
        <v>495889</v>
      </c>
      <c r="ID382" s="18">
        <v>2240322</v>
      </c>
      <c r="IE382" s="18">
        <v>454760</v>
      </c>
      <c r="IF382" s="18">
        <v>1261654</v>
      </c>
      <c r="IG382" s="18">
        <v>10499088</v>
      </c>
      <c r="IH382" s="18">
        <v>85366398</v>
      </c>
      <c r="II382" s="18">
        <v>17158453</v>
      </c>
      <c r="IJ382" s="18">
        <v>4054572</v>
      </c>
      <c r="IK382" s="18">
        <v>7619139</v>
      </c>
      <c r="IL382" s="18">
        <v>2716550</v>
      </c>
      <c r="IM382" s="18">
        <v>421242</v>
      </c>
      <c r="IN382" s="18">
        <v>17996419</v>
      </c>
      <c r="IO382" s="18">
        <v>89216639</v>
      </c>
      <c r="IP382" s="18">
        <v>25539703</v>
      </c>
      <c r="IQ382" s="18">
        <v>3667663</v>
      </c>
      <c r="IR382" s="18">
        <v>5876908</v>
      </c>
      <c r="IS382" s="18">
        <v>2821544</v>
      </c>
      <c r="IT382" s="18">
        <v>4513925</v>
      </c>
      <c r="IU382" s="18">
        <v>156598</v>
      </c>
      <c r="IV382" s="18">
        <v>2757698</v>
      </c>
      <c r="IW382" s="18">
        <v>6836131</v>
      </c>
      <c r="IX382" s="18">
        <v>2032572</v>
      </c>
      <c r="IY382" s="18">
        <v>2723425</v>
      </c>
      <c r="IZ382" s="18">
        <v>524951</v>
      </c>
      <c r="JA382" s="18">
        <v>1346753</v>
      </c>
      <c r="JB382" s="18">
        <v>214028</v>
      </c>
      <c r="JC382" s="18">
        <v>355985</v>
      </c>
      <c r="JD382" s="18">
        <v>1433288</v>
      </c>
      <c r="JE382" s="18">
        <v>3222281</v>
      </c>
      <c r="JF382" s="18">
        <v>2416383</v>
      </c>
      <c r="JG382" s="18">
        <v>47842480</v>
      </c>
      <c r="JH382" s="18">
        <v>3281772</v>
      </c>
      <c r="JI382" s="18">
        <v>866147</v>
      </c>
      <c r="JJ382" s="18">
        <v>56369795</v>
      </c>
      <c r="JK382" s="18">
        <v>3461206</v>
      </c>
      <c r="JL382" s="18">
        <v>4238194</v>
      </c>
      <c r="JM382" s="18">
        <v>839132</v>
      </c>
      <c r="JN382" s="18">
        <v>6105048</v>
      </c>
      <c r="JO382" s="18">
        <v>41033443</v>
      </c>
      <c r="JP382" s="18">
        <v>7736288</v>
      </c>
      <c r="JQ382" s="18">
        <v>2498380</v>
      </c>
      <c r="JR382" s="18">
        <v>5580741</v>
      </c>
      <c r="JS382" s="18">
        <v>1921349</v>
      </c>
      <c r="JT382" s="18">
        <v>283</v>
      </c>
      <c r="JU382" s="18">
        <v>7088593</v>
      </c>
      <c r="JV382" s="18">
        <v>5942848</v>
      </c>
      <c r="JW382" s="18">
        <v>65145619</v>
      </c>
      <c r="JX382" s="18">
        <v>71580098</v>
      </c>
      <c r="JY382" s="18">
        <v>15055918</v>
      </c>
      <c r="JZ382" s="18">
        <v>9916845</v>
      </c>
      <c r="KA382" s="18">
        <v>3527712</v>
      </c>
      <c r="KB382" s="18">
        <v>1073973</v>
      </c>
      <c r="KC382" s="18">
        <v>1766531</v>
      </c>
      <c r="KD382" s="18">
        <v>3184926</v>
      </c>
      <c r="KE382" s="18">
        <v>970851</v>
      </c>
      <c r="KF382" s="18">
        <v>6237948</v>
      </c>
      <c r="KG382" s="18">
        <v>1457457</v>
      </c>
      <c r="KH382" s="18">
        <v>5526326</v>
      </c>
      <c r="KI382" s="18">
        <v>8154656</v>
      </c>
      <c r="KJ382" s="18">
        <v>5652656</v>
      </c>
      <c r="KK382" s="18">
        <v>184102011</v>
      </c>
      <c r="KL382" s="18">
        <v>2951746</v>
      </c>
      <c r="KM382" s="18">
        <v>8578436</v>
      </c>
      <c r="KN382" s="18">
        <v>22261242</v>
      </c>
      <c r="KO382" s="18">
        <v>1452624</v>
      </c>
      <c r="KP382" s="18">
        <v>24443203</v>
      </c>
      <c r="KQ382" s="18">
        <v>19843278</v>
      </c>
      <c r="KR382" s="18">
        <v>2247919</v>
      </c>
      <c r="KS382" s="18">
        <v>733422</v>
      </c>
      <c r="KT382" s="18">
        <v>633221</v>
      </c>
      <c r="KU382" s="18">
        <v>3230722</v>
      </c>
      <c r="KV382" s="18">
        <v>15431375</v>
      </c>
      <c r="KW382" s="18">
        <v>12826890</v>
      </c>
      <c r="KX382" s="18">
        <v>403550</v>
      </c>
      <c r="KY382" s="18">
        <v>10140615</v>
      </c>
      <c r="KZ382" s="18">
        <v>87733223</v>
      </c>
      <c r="LA382" s="18">
        <v>28782363</v>
      </c>
      <c r="LB382" s="18">
        <v>10676176</v>
      </c>
      <c r="LC382" s="18">
        <v>13905812</v>
      </c>
      <c r="LD382" s="18">
        <v>9565187</v>
      </c>
      <c r="LE382" s="18">
        <v>4306828</v>
      </c>
      <c r="LF382" s="18">
        <v>12960806</v>
      </c>
      <c r="LG382" s="18">
        <v>1871033</v>
      </c>
      <c r="LH382" s="18">
        <v>2692613</v>
      </c>
      <c r="LI382" s="18">
        <v>1581551</v>
      </c>
      <c r="LJ382" s="18">
        <v>6025671</v>
      </c>
      <c r="LK382" s="18">
        <v>13908198</v>
      </c>
      <c r="LL382" s="18">
        <v>7573947</v>
      </c>
      <c r="LM382" s="18">
        <v>16549488</v>
      </c>
      <c r="LN382" s="18">
        <v>17834039</v>
      </c>
      <c r="LO382" s="18">
        <v>6994201</v>
      </c>
      <c r="LP382" s="18">
        <v>10250690</v>
      </c>
      <c r="LQ382" s="18">
        <v>1514225</v>
      </c>
      <c r="LR382" s="18">
        <v>18767662</v>
      </c>
      <c r="LS382" s="18">
        <v>2851611</v>
      </c>
      <c r="LT382" s="18">
        <v>15050389</v>
      </c>
      <c r="LU382" s="18">
        <v>16724852</v>
      </c>
      <c r="LV382" s="18">
        <v>172538</v>
      </c>
      <c r="LW382" s="18">
        <v>19766381</v>
      </c>
      <c r="LX382" s="18">
        <v>13345114</v>
      </c>
      <c r="LY382" s="18">
        <v>37821541</v>
      </c>
      <c r="LZ382" s="18">
        <v>20316644</v>
      </c>
      <c r="MA382" s="18">
        <v>9214376</v>
      </c>
      <c r="MB382" s="18">
        <v>13703070</v>
      </c>
      <c r="MC382" s="18">
        <v>6114079</v>
      </c>
      <c r="MD382" s="18">
        <v>5748595</v>
      </c>
      <c r="ME382" s="18">
        <v>2002093</v>
      </c>
      <c r="MF382" s="18">
        <v>32858943</v>
      </c>
      <c r="MG382" s="18">
        <v>5717933</v>
      </c>
      <c r="MH382" s="18">
        <v>77498293</v>
      </c>
      <c r="MI382" s="18">
        <v>13226026</v>
      </c>
      <c r="MJ382" s="18">
        <v>6655466</v>
      </c>
      <c r="MK382" s="18">
        <v>6310976</v>
      </c>
      <c r="ML382" s="18">
        <v>5136405</v>
      </c>
      <c r="MM382" s="18">
        <v>9728832</v>
      </c>
      <c r="MN382" s="18">
        <v>22364606</v>
      </c>
      <c r="MO382" s="18">
        <v>8893151</v>
      </c>
      <c r="MP382" s="18">
        <v>6945591</v>
      </c>
      <c r="MQ382" s="18">
        <v>17888613</v>
      </c>
      <c r="MR382" s="18">
        <v>36805570</v>
      </c>
      <c r="MS382" s="18">
        <v>14006635</v>
      </c>
      <c r="MT382" s="18">
        <v>1431716</v>
      </c>
      <c r="MU382" s="18">
        <v>20105111</v>
      </c>
      <c r="MV382" s="18">
        <v>8179830</v>
      </c>
      <c r="MW382" s="18">
        <v>22731987</v>
      </c>
      <c r="MX382" s="18">
        <v>1569687</v>
      </c>
      <c r="MY382" s="18">
        <v>21772329</v>
      </c>
      <c r="MZ382" s="18">
        <v>49284413</v>
      </c>
      <c r="NA382" s="18">
        <v>4869413</v>
      </c>
      <c r="NB382" s="18">
        <v>13087669</v>
      </c>
      <c r="NC382" s="18">
        <v>3419565</v>
      </c>
      <c r="ND382" s="18">
        <v>3544292</v>
      </c>
      <c r="NE382" s="18">
        <v>1121551</v>
      </c>
      <c r="NF382" s="18">
        <v>3896860</v>
      </c>
      <c r="NG382" s="18">
        <v>9248534</v>
      </c>
      <c r="NH382" s="18">
        <v>7290246</v>
      </c>
      <c r="NI382" s="18">
        <v>3852909</v>
      </c>
      <c r="NJ382" s="18">
        <v>10214376</v>
      </c>
      <c r="NK382" s="18">
        <v>15147347</v>
      </c>
      <c r="NL382" s="18">
        <v>5055190</v>
      </c>
      <c r="NM382" s="18">
        <v>5909999</v>
      </c>
      <c r="NN382" s="18">
        <v>1285193</v>
      </c>
      <c r="NO382" s="18">
        <v>0</v>
      </c>
      <c r="NP382" s="18">
        <v>3382591</v>
      </c>
      <c r="NQ382" s="18">
        <v>5019959</v>
      </c>
      <c r="NR382" s="19">
        <v>3403421158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integrated</vt:lpstr>
      <vt:lpstr>topdown</vt:lpstr>
      <vt:lpstr>growthrate</vt:lpstr>
      <vt:lpstr>producerprice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이 영주</cp:lastModifiedBy>
  <dcterms:created xsi:type="dcterms:W3CDTF">2025-10-22T02:21:57Z</dcterms:created>
  <dcterms:modified xsi:type="dcterms:W3CDTF">2025-10-23T14:11:54Z</dcterms:modified>
</cp:coreProperties>
</file>