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1" sheetId="1" r:id="rId4"/>
    <sheet state="visible" name="scenario1cbam" sheetId="2" r:id="rId5"/>
    <sheet state="visible" name="scenario2" sheetId="3" r:id="rId6"/>
    <sheet state="visible" name="scenario2cbam" sheetId="4" r:id="rId7"/>
    <sheet state="visible" name="raw data1" sheetId="5" r:id="rId8"/>
    <sheet state="visible" name="raw data1cbam" sheetId="6" r:id="rId9"/>
    <sheet state="visible" name="raw data2" sheetId="7" r:id="rId10"/>
    <sheet state="visible" name="raw data2cbam" sheetId="8" r:id="rId11"/>
    <sheet state="visible" name="parameters" sheetId="9" r:id="rId12"/>
    <sheet state="visible" name="h2portion" sheetId="10" r:id="rId13"/>
  </sheets>
  <definedNames/>
  <calcPr/>
  <extLst>
    <ext uri="GoogleSheetsCustomDataVersion2">
      <go:sheetsCustomData xmlns:go="http://customooxmlschemas.google.com/" r:id="rId14" roundtripDataChecksum="kjW5UWoIk+7FdnvSCNimk6ZHTqDXyRdRkvw4425KBDk="/>
    </ext>
  </extLst>
</workbook>
</file>

<file path=xl/sharedStrings.xml><?xml version="1.0" encoding="utf-8"?>
<sst xmlns="http://schemas.openxmlformats.org/spreadsheetml/2006/main" count="230" uniqueCount="57">
  <si>
    <t>input</t>
  </si>
  <si>
    <t>sector</t>
  </si>
  <si>
    <t>iotable_2023.xlsx</t>
  </si>
  <si>
    <t>1610</t>
  </si>
  <si>
    <t>4506</t>
  </si>
  <si>
    <t>hydrogentable.xlsx</t>
  </si>
  <si>
    <t>H2S</t>
  </si>
  <si>
    <t>H2T</t>
  </si>
  <si>
    <t>Consumption(조강생산량 100만톤 고정 기준)</t>
  </si>
  <si>
    <t>reference</t>
  </si>
  <si>
    <t>PLANiT</t>
  </si>
  <si>
    <t>석탄사용감소</t>
  </si>
  <si>
    <t>수소사용증가</t>
  </si>
  <si>
    <t>재생전력증가</t>
  </si>
  <si>
    <t>Coal_BB</t>
  </si>
  <si>
    <t>Coal_BX</t>
  </si>
  <si>
    <t>Coal_total</t>
  </si>
  <si>
    <t>Hydrogen H2</t>
  </si>
  <si>
    <t>Electricity_H2</t>
  </si>
  <si>
    <t>Electricity EAF</t>
  </si>
  <si>
    <t>Total</t>
  </si>
  <si>
    <t>석탄감소량</t>
  </si>
  <si>
    <t>석탄감소량_누적</t>
  </si>
  <si>
    <t>부생가스전력전환</t>
  </si>
  <si>
    <t>전기로전력</t>
  </si>
  <si>
    <t>수소생산용</t>
  </si>
  <si>
    <t>총합</t>
  </si>
  <si>
    <t>unit</t>
  </si>
  <si>
    <t>GJ</t>
  </si>
  <si>
    <t>백만원</t>
  </si>
  <si>
    <t>유연탄(원료용) 순발열량</t>
  </si>
  <si>
    <t>unit conversion</t>
  </si>
  <si>
    <t>그린수소 생산에 필요한 전력량</t>
  </si>
  <si>
    <t>부생가스 에너지 사용량</t>
  </si>
  <si>
    <t>고로 비율_
scenario1</t>
  </si>
  <si>
    <t>고로 비율_
scenario2</t>
  </si>
  <si>
    <t>석탄가격</t>
  </si>
  <si>
    <t>수소가격</t>
  </si>
  <si>
    <t>재생전력가격</t>
  </si>
  <si>
    <t>출처</t>
  </si>
  <si>
    <t>IPCC</t>
  </si>
  <si>
    <t>universal</t>
  </si>
  <si>
    <t>IEA, Comparison of the emissions intensity of different hydrogen production routes, 2021</t>
  </si>
  <si>
    <t>US DOE, Hydrogen storage</t>
  </si>
  <si>
    <t>2024POSCO ESG factbook</t>
  </si>
  <si>
    <t>PLANIT</t>
  </si>
  <si>
    <t>ton/GJ</t>
  </si>
  <si>
    <t>kWh/GJ</t>
  </si>
  <si>
    <t>kWh/kgH2</t>
  </si>
  <si>
    <t>kgH2/GJ</t>
  </si>
  <si>
    <t>kWh</t>
  </si>
  <si>
    <t>천원/ton</t>
  </si>
  <si>
    <t>천원/GJ</t>
  </si>
  <si>
    <t>천원/kWh</t>
  </si>
  <si>
    <t>hydrogentable_2020.xlsx</t>
  </si>
  <si>
    <t>H2P</t>
  </si>
  <si>
    <t>H2U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</si>
</sst>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0.0000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0.0"/>
      <color theme="1"/>
      <name val="Malgun Gothic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Aptos Narrow"/>
    </font>
    <font>
      <u/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8">
    <border/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1" fillId="0" fontId="2" numFmtId="49" xfId="0" applyBorder="1" applyFont="1" applyNumberFormat="1"/>
    <xf borderId="0" fillId="0" fontId="3" numFmtId="0" xfId="0" applyFont="1"/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2" fontId="3" numFmtId="0" xfId="0" applyBorder="1" applyFill="1" applyFont="1"/>
    <xf borderId="6" fillId="0" fontId="1" numFmtId="0" xfId="0" applyBorder="1" applyFont="1"/>
    <xf borderId="7" fillId="0" fontId="1" numFmtId="0" xfId="0" applyBorder="1" applyFont="1"/>
    <xf borderId="8" fillId="2" fontId="3" numFmtId="0" xfId="0" applyBorder="1" applyFont="1"/>
    <xf borderId="7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0" fillId="0" fontId="1" numFmtId="0" xfId="0" applyAlignment="1" applyFont="1">
      <alignment horizontal="center"/>
    </xf>
    <xf borderId="0" fillId="0" fontId="4" numFmtId="164" xfId="0" applyFont="1" applyNumberFormat="1"/>
    <xf borderId="0" fillId="0" fontId="3" numFmtId="164" xfId="0" applyFont="1" applyNumberFormat="1"/>
    <xf borderId="10" fillId="0" fontId="3" numFmtId="164" xfId="0" applyBorder="1" applyFont="1" applyNumberFormat="1"/>
    <xf borderId="11" fillId="0" fontId="3" numFmtId="164" xfId="0" applyBorder="1" applyFont="1" applyNumberFormat="1"/>
    <xf borderId="15" fillId="0" fontId="3" numFmtId="164" xfId="0" applyBorder="1" applyFont="1" applyNumberFormat="1"/>
    <xf borderId="16" fillId="0" fontId="3" numFmtId="164" xfId="0" applyBorder="1" applyFont="1" applyNumberFormat="1"/>
    <xf borderId="17" fillId="0" fontId="3" numFmtId="164" xfId="0" applyBorder="1" applyFont="1" applyNumberFormat="1"/>
    <xf borderId="0" fillId="0" fontId="4" numFmtId="4" xfId="0" applyFont="1" applyNumberFormat="1"/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right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5" numFmtId="0" xfId="0" applyAlignment="1" applyFont="1">
      <alignment horizontal="right"/>
    </xf>
    <xf borderId="0" fillId="0" fontId="5" numFmtId="165" xfId="0" applyAlignment="1" applyFont="1" applyNumberForma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Fuel consumption (Scenario 1)</a:t>
            </a:r>
          </a:p>
        </c:rich>
      </c:tx>
      <c:overlay val="0"/>
    </c:title>
    <c:plotArea>
      <c:layout/>
      <c:lineChart>
        <c:ser>
          <c:idx val="0"/>
          <c:order val="0"/>
          <c:tx>
            <c:v>Coal_total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'raw data1'!$A$6:$A$31</c:f>
            </c:strRef>
          </c:cat>
          <c:val>
            <c:numRef>
              <c:f>'raw data1'!$D$6:$D$31</c:f>
              <c:numCache/>
            </c:numRef>
          </c:val>
          <c:smooth val="0"/>
        </c:ser>
        <c:ser>
          <c:idx val="1"/>
          <c:order val="1"/>
          <c:tx>
            <c:v>Hydrogen H2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'raw data1'!$A$6:$A$31</c:f>
            </c:strRef>
          </c:cat>
          <c:val>
            <c:numRef>
              <c:f>'raw data1'!$E$6:$E$31</c:f>
              <c:numCache/>
            </c:numRef>
          </c:val>
          <c:smooth val="0"/>
        </c:ser>
        <c:ser>
          <c:idx val="2"/>
          <c:order val="2"/>
          <c:tx>
            <c:v>Electricity_H2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'raw data1'!$A$6:$A$31</c:f>
            </c:strRef>
          </c:cat>
          <c:val>
            <c:numRef>
              <c:f>'raw data1'!$F$6:$F$31</c:f>
              <c:numCache/>
            </c:numRef>
          </c:val>
          <c:smooth val="0"/>
        </c:ser>
        <c:ser>
          <c:idx val="3"/>
          <c:order val="3"/>
          <c:tx>
            <c:v>Electricity EAF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'raw data1'!$A$6:$A$31</c:f>
            </c:strRef>
          </c:cat>
          <c:val>
            <c:numRef>
              <c:f>'raw data1'!$G$6:$G$31</c:f>
              <c:numCache/>
            </c:numRef>
          </c:val>
          <c:smooth val="0"/>
        </c:ser>
        <c:axId val="1345483106"/>
        <c:axId val="1981928492"/>
      </c:lineChart>
      <c:catAx>
        <c:axId val="1345483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1928492"/>
      </c:catAx>
      <c:valAx>
        <c:axId val="1981928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548310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Fuel consumption (Scenario 1)</a:t>
            </a:r>
          </a:p>
        </c:rich>
      </c:tx>
      <c:overlay val="0"/>
    </c:title>
    <c:plotArea>
      <c:layout/>
      <c:lineChart>
        <c:ser>
          <c:idx val="0"/>
          <c:order val="0"/>
          <c:tx>
            <c:v>Coal_total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'raw data1cbam'!$A$6:$A$31</c:f>
            </c:strRef>
          </c:cat>
          <c:val>
            <c:numRef>
              <c:f>'raw data1cbam'!$D$6:$D$31</c:f>
              <c:numCache/>
            </c:numRef>
          </c:val>
          <c:smooth val="0"/>
        </c:ser>
        <c:ser>
          <c:idx val="1"/>
          <c:order val="1"/>
          <c:tx>
            <c:v>Hydrogen H2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'raw data1cbam'!$A$6:$A$31</c:f>
            </c:strRef>
          </c:cat>
          <c:val>
            <c:numRef>
              <c:f>'raw data1cbam'!$E$6:$E$31</c:f>
              <c:numCache/>
            </c:numRef>
          </c:val>
          <c:smooth val="0"/>
        </c:ser>
        <c:ser>
          <c:idx val="2"/>
          <c:order val="2"/>
          <c:tx>
            <c:v>Electricity_H2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'raw data1cbam'!$A$6:$A$31</c:f>
            </c:strRef>
          </c:cat>
          <c:val>
            <c:numRef>
              <c:f>'raw data1cbam'!$F$6:$F$31</c:f>
              <c:numCache/>
            </c:numRef>
          </c:val>
          <c:smooth val="0"/>
        </c:ser>
        <c:ser>
          <c:idx val="3"/>
          <c:order val="3"/>
          <c:tx>
            <c:v>Electricity EAF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'raw data1cbam'!$A$6:$A$31</c:f>
            </c:strRef>
          </c:cat>
          <c:val>
            <c:numRef>
              <c:f>'raw data1cbam'!$G$6:$G$31</c:f>
              <c:numCache/>
            </c:numRef>
          </c:val>
          <c:smooth val="0"/>
        </c:ser>
        <c:axId val="1457783661"/>
        <c:axId val="1227670683"/>
      </c:lineChart>
      <c:catAx>
        <c:axId val="1457783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7670683"/>
      </c:catAx>
      <c:valAx>
        <c:axId val="1227670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778366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Fuel consumption(Scenario 2)</a:t>
            </a:r>
          </a:p>
        </c:rich>
      </c:tx>
      <c:overlay val="0"/>
    </c:title>
    <c:plotArea>
      <c:layout/>
      <c:lineChart>
        <c:ser>
          <c:idx val="0"/>
          <c:order val="0"/>
          <c:tx>
            <c:v>Coal_total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'raw data2'!$A$6:$A$31</c:f>
            </c:strRef>
          </c:cat>
          <c:val>
            <c:numRef>
              <c:f>'raw data2'!$D$6:$D$31</c:f>
              <c:numCache/>
            </c:numRef>
          </c:val>
          <c:smooth val="0"/>
        </c:ser>
        <c:ser>
          <c:idx val="1"/>
          <c:order val="1"/>
          <c:tx>
            <c:v>Hydrogen H2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'raw data2'!$A$6:$A$31</c:f>
            </c:strRef>
          </c:cat>
          <c:val>
            <c:numRef>
              <c:f>'raw data2'!$E$6:$E$31</c:f>
              <c:numCache/>
            </c:numRef>
          </c:val>
          <c:smooth val="0"/>
        </c:ser>
        <c:ser>
          <c:idx val="2"/>
          <c:order val="2"/>
          <c:tx>
            <c:v>Electricity_H2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'raw data2'!$A$6:$A$31</c:f>
            </c:strRef>
          </c:cat>
          <c:val>
            <c:numRef>
              <c:f>'raw data2'!$F$6:$F$31</c:f>
              <c:numCache/>
            </c:numRef>
          </c:val>
          <c:smooth val="0"/>
        </c:ser>
        <c:ser>
          <c:idx val="3"/>
          <c:order val="3"/>
          <c:tx>
            <c:v>Electricity EAF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'raw data2'!$A$6:$A$31</c:f>
            </c:strRef>
          </c:cat>
          <c:val>
            <c:numRef>
              <c:f>'raw data2'!$G$6:$G$31</c:f>
              <c:numCache/>
            </c:numRef>
          </c:val>
          <c:smooth val="0"/>
        </c:ser>
        <c:axId val="2057925911"/>
        <c:axId val="727843491"/>
      </c:lineChart>
      <c:catAx>
        <c:axId val="2057925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7843491"/>
      </c:catAx>
      <c:valAx>
        <c:axId val="727843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792591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Fuel consumption(Scenario 2)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'raw data2cbam'!$A$6:$A$31</c:f>
            </c:strRef>
          </c:cat>
          <c:val>
            <c:numRef>
              <c:f>'raw data2cbam'!$D$6:$D$31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'raw data2cbam'!$A$6:$A$31</c:f>
            </c:strRef>
          </c:cat>
          <c:val>
            <c:numRef>
              <c:f>'raw data2cbam'!$E$6:$E$31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'raw data2cbam'!$A$6:$A$31</c:f>
            </c:strRef>
          </c:cat>
          <c:val>
            <c:numRef>
              <c:f>'raw data2cbam'!$F$6:$F$31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'raw data2cbam'!$A$6:$A$31</c:f>
            </c:strRef>
          </c:cat>
          <c:val>
            <c:numRef>
              <c:f>'raw data2cbam'!$G$6:$G$31</c:f>
              <c:numCache/>
            </c:numRef>
          </c:val>
          <c:smooth val="0"/>
        </c:ser>
        <c:axId val="1361934181"/>
        <c:axId val="333845587"/>
      </c:lineChart>
      <c:catAx>
        <c:axId val="1361934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3845587"/>
      </c:catAx>
      <c:valAx>
        <c:axId val="333845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193418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31</xdr:row>
      <xdr:rowOff>85725</xdr:rowOff>
    </xdr:from>
    <xdr:ext cx="5257800" cy="2695575"/>
    <xdr:graphicFrame>
      <xdr:nvGraphicFramePr>
        <xdr:cNvPr id="14604777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31</xdr:row>
      <xdr:rowOff>85725</xdr:rowOff>
    </xdr:from>
    <xdr:ext cx="5257800" cy="2695575"/>
    <xdr:graphicFrame>
      <xdr:nvGraphicFramePr>
        <xdr:cNvPr id="53882835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781050</xdr:colOff>
      <xdr:row>32</xdr:row>
      <xdr:rowOff>57150</xdr:rowOff>
    </xdr:from>
    <xdr:ext cx="5238750" cy="2838450"/>
    <xdr:graphicFrame>
      <xdr:nvGraphicFramePr>
        <xdr:cNvPr id="70627654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31</xdr:row>
      <xdr:rowOff>152400</xdr:rowOff>
    </xdr:from>
    <xdr:ext cx="5238750" cy="2838450"/>
    <xdr:graphicFrame>
      <xdr:nvGraphicFramePr>
        <xdr:cNvPr id="63475561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nergy.gov/eere/fuelcells/hydrogen-storage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44"/>
    <col customWidth="1" min="3" max="27" width="14.0"/>
  </cols>
  <sheetData>
    <row r="1" ht="15.75" customHeight="1">
      <c r="A1" s="1" t="s">
        <v>0</v>
      </c>
      <c r="B1" s="1" t="s">
        <v>1</v>
      </c>
      <c r="C1" s="1">
        <v>2026.0</v>
      </c>
      <c r="D1" s="1">
        <v>2027.0</v>
      </c>
      <c r="E1" s="1">
        <v>2028.0</v>
      </c>
      <c r="F1" s="1">
        <v>2029.0</v>
      </c>
      <c r="G1" s="1">
        <v>2030.0</v>
      </c>
      <c r="H1" s="1">
        <v>2031.0</v>
      </c>
      <c r="I1" s="1">
        <v>2032.0</v>
      </c>
      <c r="J1" s="1">
        <v>2033.0</v>
      </c>
      <c r="K1" s="1">
        <v>2034.0</v>
      </c>
      <c r="L1" s="1">
        <v>2035.0</v>
      </c>
      <c r="M1" s="1">
        <v>2036.0</v>
      </c>
      <c r="N1" s="1">
        <v>2037.0</v>
      </c>
      <c r="O1" s="1">
        <v>2038.0</v>
      </c>
      <c r="P1" s="1">
        <v>2039.0</v>
      </c>
      <c r="Q1" s="1">
        <v>2040.0</v>
      </c>
      <c r="R1" s="1">
        <v>2041.0</v>
      </c>
      <c r="S1" s="1">
        <v>2042.0</v>
      </c>
      <c r="T1" s="1">
        <v>2043.0</v>
      </c>
      <c r="U1" s="1">
        <v>2044.0</v>
      </c>
      <c r="V1" s="1">
        <v>2045.0</v>
      </c>
      <c r="W1" s="1">
        <v>2046.0</v>
      </c>
      <c r="X1" s="1">
        <v>2047.0</v>
      </c>
      <c r="Y1" s="1">
        <v>2048.0</v>
      </c>
      <c r="Z1" s="1">
        <v>2049.0</v>
      </c>
      <c r="AA1" s="1">
        <v>2050.0</v>
      </c>
    </row>
    <row r="2" ht="15.75" customHeight="1">
      <c r="A2" s="1" t="s">
        <v>2</v>
      </c>
      <c r="B2" s="2" t="s">
        <v>3</v>
      </c>
      <c r="C2" s="3">
        <f>'raw data1'!M7</f>
        <v>-660838.1061</v>
      </c>
      <c r="D2" s="3">
        <f>'raw data1'!M8</f>
        <v>-1206552.716</v>
      </c>
      <c r="E2" s="3">
        <f>'raw data1'!M9</f>
        <v>-1206552.716</v>
      </c>
      <c r="F2" s="3">
        <f>'raw data1'!M10</f>
        <v>-1424838.582</v>
      </c>
      <c r="G2" s="3">
        <f>'raw data1'!M11</f>
        <v>-3275105.803</v>
      </c>
      <c r="H2" s="3">
        <f>'raw data1'!M12</f>
        <v>-3275105.803</v>
      </c>
      <c r="I2" s="3">
        <f>'raw data1'!M13</f>
        <v>-3275105.803</v>
      </c>
      <c r="J2" s="3">
        <f>'raw data1'!M14</f>
        <v>-4307280.037</v>
      </c>
      <c r="K2" s="3">
        <f>'raw data1'!M15</f>
        <v>-4307280.037</v>
      </c>
      <c r="L2" s="3">
        <f>'raw data1'!M16</f>
        <v>-5613889.453</v>
      </c>
      <c r="M2" s="3">
        <f>'raw data1'!M17</f>
        <v>-6471522.154</v>
      </c>
      <c r="N2" s="3">
        <f>'raw data1'!M18</f>
        <v>-7221269.63</v>
      </c>
      <c r="O2" s="3">
        <f>'raw data1'!M19</f>
        <v>-7221269.63</v>
      </c>
      <c r="P2" s="3">
        <f>'raw data1'!M20</f>
        <v>-7221269.63</v>
      </c>
      <c r="Q2" s="3">
        <f>'raw data1'!M21</f>
        <v>-7879478.098</v>
      </c>
      <c r="R2" s="3">
        <f>'raw data1'!M22</f>
        <v>-7879478.098</v>
      </c>
      <c r="S2" s="3">
        <f>'raw data1'!M23</f>
        <v>-8605977.602</v>
      </c>
      <c r="T2" s="3">
        <f>'raw data1'!M24</f>
        <v>-8605977.602</v>
      </c>
      <c r="U2" s="3">
        <f>'raw data1'!M25</f>
        <v>-9296878.707</v>
      </c>
      <c r="V2" s="3">
        <f>'raw data1'!M26</f>
        <v>-9296878.707</v>
      </c>
      <c r="W2" s="3">
        <f>'raw data1'!M27</f>
        <v>-9885161.621</v>
      </c>
      <c r="X2" s="3">
        <f>'raw data1'!M28</f>
        <v>-9885161.621</v>
      </c>
      <c r="Y2" s="3">
        <f>'raw data1'!M29</f>
        <v>-9885161.621</v>
      </c>
      <c r="Z2" s="3">
        <f>'raw data1'!M30</f>
        <v>-9885161.621</v>
      </c>
      <c r="AA2" s="3">
        <f>'raw data1'!M31</f>
        <v>-9885161.621</v>
      </c>
    </row>
    <row r="3" ht="15.75" customHeight="1">
      <c r="A3" s="1" t="s">
        <v>2</v>
      </c>
      <c r="B3" s="2" t="s">
        <v>4</v>
      </c>
      <c r="C3" s="3">
        <f>VLOOKUP(C1,'raw data1'!$A$6:$R$31,18)</f>
        <v>1781493.385</v>
      </c>
      <c r="D3" s="3">
        <f>VLOOKUP(D1,'raw data1'!$A$6:$R$31,18)</f>
        <v>2531553.385</v>
      </c>
      <c r="E3" s="3">
        <f>VLOOKUP(E1,'raw data1'!$A$6:$R$31,18)</f>
        <v>2672195.239</v>
      </c>
      <c r="F3" s="3">
        <f>VLOOKUP(F1,'raw data1'!$A$6:$R$31,18)</f>
        <v>3146197.094</v>
      </c>
      <c r="G3" s="3">
        <f>VLOOKUP(G1,'raw data1'!$A$6:$R$31,18)</f>
        <v>8343141.095</v>
      </c>
      <c r="H3" s="3">
        <f>VLOOKUP(H1,'raw data1'!$A$6:$R$31,18)</f>
        <v>8343141.095</v>
      </c>
      <c r="I3" s="3">
        <f>VLOOKUP(I1,'raw data1'!$A$6:$R$31,18)</f>
        <v>5529016.528</v>
      </c>
      <c r="J3" s="3">
        <f>VLOOKUP(J1,'raw data1'!$A$6:$R$31,18)</f>
        <v>8030259.561</v>
      </c>
      <c r="K3" s="3">
        <f>VLOOKUP(K1,'raw data1'!$A$6:$R$31,18)</f>
        <v>8379401.281</v>
      </c>
      <c r="L3" s="3">
        <f>VLOOKUP(L1,'raw data1'!$A$6:$R$31,18)</f>
        <v>11824342.39</v>
      </c>
      <c r="M3" s="3">
        <f>VLOOKUP(M1,'raw data1'!$A$6:$R$31,18)</f>
        <v>13856364.17</v>
      </c>
      <c r="N3" s="3">
        <f>VLOOKUP(N1,'raw data1'!$A$6:$R$31,18)</f>
        <v>15632769.38</v>
      </c>
      <c r="O3" s="3">
        <f>VLOOKUP(O1,'raw data1'!$A$6:$R$31,18)</f>
        <v>15632769.38</v>
      </c>
      <c r="P3" s="3">
        <f>VLOOKUP(P1,'raw data1'!$A$6:$R$31,18)</f>
        <v>15632769.38</v>
      </c>
      <c r="Q3" s="3">
        <f>VLOOKUP(Q1,'raw data1'!$A$6:$R$31,18)</f>
        <v>17192287.74</v>
      </c>
      <c r="R3" s="3">
        <f>VLOOKUP(R1,'raw data1'!$A$6:$R$31,18)</f>
        <v>17192287.74</v>
      </c>
      <c r="S3" s="3">
        <f>VLOOKUP(S1,'raw data1'!$A$6:$R$31,18)</f>
        <v>18913610.65</v>
      </c>
      <c r="T3" s="3">
        <f>VLOOKUP(T1,'raw data1'!$A$6:$R$31,18)</f>
        <v>18913610.65</v>
      </c>
      <c r="U3" s="3">
        <f>VLOOKUP(U1,'raw data1'!$A$6:$R$31,18)</f>
        <v>20550588.92</v>
      </c>
      <c r="V3" s="3">
        <f>VLOOKUP(V1,'raw data1'!$A$6:$R$31,18)</f>
        <v>20550588.92</v>
      </c>
      <c r="W3" s="3">
        <f>VLOOKUP(W1,'raw data1'!$A$6:$R$31,18)</f>
        <v>21944430</v>
      </c>
      <c r="X3" s="3">
        <f>VLOOKUP(X1,'raw data1'!$A$6:$R$31,18)</f>
        <v>21944430</v>
      </c>
      <c r="Y3" s="3">
        <f>VLOOKUP(Y1,'raw data1'!$A$6:$R$31,18)</f>
        <v>21944430</v>
      </c>
      <c r="Z3" s="3">
        <f>VLOOKUP(Z1,'raw data1'!$A$6:$R$31,18)</f>
        <v>21944430</v>
      </c>
      <c r="AA3" s="3">
        <f>VLOOKUP(AA1,'raw data1'!$A$6:$R$31,18)</f>
        <v>21944430</v>
      </c>
    </row>
    <row r="4" ht="15.75" customHeight="1">
      <c r="A4" s="1" t="s">
        <v>5</v>
      </c>
      <c r="B4" s="4" t="s">
        <v>6</v>
      </c>
      <c r="C4" s="3">
        <f>(VLOOKUP(C1,'raw data1'!$A$6:$N$31,14))*HLOOKUP(C1,h2portion!$C$1:$AB$5,3)/HLOOKUP(C1,h2portion!$C$1:$AB$5,2)</f>
        <v>0</v>
      </c>
      <c r="D4" s="3">
        <f>(VLOOKUP(D1,'raw data1'!$A$6:$N$31,14))*HLOOKUP(D1,h2portion!$C$1:$AB$5,3)/HLOOKUP(D1,h2portion!$C$1:$AB$5,2)</f>
        <v>0</v>
      </c>
      <c r="E4" s="3">
        <f>(VLOOKUP(E1,'raw data1'!$A$6:$N$31,14))*HLOOKUP(E1,h2portion!$C$1:$AB$5,3)/HLOOKUP(E1,h2portion!$C$1:$AB$5,2)</f>
        <v>0</v>
      </c>
      <c r="F4" s="3">
        <f>(VLOOKUP(F1,'raw data1'!$A$6:$N$31,14))*HLOOKUP(F1,h2portion!$C$1:$AB$5,3)/HLOOKUP(F1,h2portion!$C$1:$AB$5,2)</f>
        <v>0</v>
      </c>
      <c r="G4" s="3">
        <f>(VLOOKUP(G1,'raw data1'!$A$6:$N$31,14))*HLOOKUP(G1,h2portion!$C$1:$AB$5,3)/HLOOKUP(G1,h2portion!$C$1:$AB$5,2)</f>
        <v>1517752.761</v>
      </c>
      <c r="H4" s="3">
        <f>(VLOOKUP(H1,'raw data1'!$A$6:$N$31,14))*HLOOKUP(H1,h2portion!$C$1:$AB$5,3)/HLOOKUP(H1,h2portion!$C$1:$AB$5,2)</f>
        <v>1191235.115</v>
      </c>
      <c r="I4" s="3">
        <f>(VLOOKUP(I1,'raw data1'!$A$6:$N$31,14))*HLOOKUP(I1,h2portion!$C$1:$AB$5,3)/HLOOKUP(I1,h2portion!$C$1:$AB$5,2)</f>
        <v>1618921.761</v>
      </c>
      <c r="J4" s="3">
        <f>(VLOOKUP(J1,'raw data1'!$A$6:$N$31,14))*HLOOKUP(J1,h2portion!$C$1:$AB$5,3)/HLOOKUP(J1,h2portion!$C$1:$AB$5,2)</f>
        <v>2655807.156</v>
      </c>
      <c r="K4" s="3">
        <f>(VLOOKUP(K1,'raw data1'!$A$6:$N$31,14))*HLOOKUP(K1,h2portion!$C$1:$AB$5,3)/HLOOKUP(K1,h2portion!$C$1:$AB$5,2)</f>
        <v>2639820.144</v>
      </c>
      <c r="L4" s="3">
        <f>(VLOOKUP(L1,'raw data1'!$A$6:$N$31,14))*HLOOKUP(L1,h2portion!$C$1:$AB$5,3)/HLOOKUP(L1,h2portion!$C$1:$AB$5,2)</f>
        <v>3941302.573</v>
      </c>
      <c r="M4" s="3">
        <f>(VLOOKUP(M1,'raw data1'!$A$6:$N$31,14))*HLOOKUP(M1,h2portion!$C$1:$AB$5,3)/HLOOKUP(M1,h2portion!$C$1:$AB$5,2)</f>
        <v>4752159.268</v>
      </c>
      <c r="N4" s="3">
        <f>(VLOOKUP(N1,'raw data1'!$A$6:$N$31,14))*HLOOKUP(N1,h2portion!$C$1:$AB$5,3)/HLOOKUP(N1,h2portion!$C$1:$AB$5,2)</f>
        <v>5157451.719</v>
      </c>
      <c r="O4" s="3">
        <f>(VLOOKUP(O1,'raw data1'!$A$6:$N$31,14))*HLOOKUP(O1,h2portion!$C$1:$AB$5,3)/HLOOKUP(O1,h2portion!$C$1:$AB$5,2)</f>
        <v>4934547.414</v>
      </c>
      <c r="P4" s="3">
        <f>(VLOOKUP(P1,'raw data1'!$A$6:$N$31,14))*HLOOKUP(P1,h2portion!$C$1:$AB$5,3)/HLOOKUP(P1,h2portion!$C$1:$AB$5,2)</f>
        <v>4721856.595</v>
      </c>
      <c r="Q4" s="3">
        <f>(VLOOKUP(Q1,'raw data1'!$A$6:$N$31,14))*HLOOKUP(Q1,h2portion!$C$1:$AB$5,3)/HLOOKUP(Q1,h2portion!$C$1:$AB$5,2)</f>
        <v>5063669.185</v>
      </c>
      <c r="R4" s="3">
        <f>(VLOOKUP(R1,'raw data1'!$A$6:$N$31,14))*HLOOKUP(R1,h2portion!$C$1:$AB$5,3)/HLOOKUP(R1,h2portion!$C$1:$AB$5,2)</f>
        <v>4476331.133</v>
      </c>
      <c r="S4" s="3">
        <f>(VLOOKUP(S1,'raw data1'!$A$6:$N$31,14))*HLOOKUP(S1,h2portion!$C$1:$AB$5,3)/HLOOKUP(S1,h2portion!$C$1:$AB$5,2)</f>
        <v>4793899.894</v>
      </c>
      <c r="T4" s="3">
        <f>(VLOOKUP(T1,'raw data1'!$A$6:$N$31,14))*HLOOKUP(T1,h2portion!$C$1:$AB$5,3)/HLOOKUP(T1,h2portion!$C$1:$AB$5,2)</f>
        <v>4590125.847</v>
      </c>
      <c r="U4" s="3">
        <f>(VLOOKUP(U1,'raw data1'!$A$6:$N$31,14))*HLOOKUP(U1,h2portion!$C$1:$AB$5,3)/HLOOKUP(U1,h2portion!$C$1:$AB$5,2)</f>
        <v>4838720.539</v>
      </c>
      <c r="V4" s="3">
        <f>(VLOOKUP(V1,'raw data1'!$A$6:$N$31,14))*HLOOKUP(V1,h2portion!$C$1:$AB$5,3)/HLOOKUP(V1,h2portion!$C$1:$AB$5,2)</f>
        <v>4634299.921</v>
      </c>
      <c r="W4" s="3">
        <f>(VLOOKUP(W1,'raw data1'!$A$6:$N$31,14))*HLOOKUP(W1,h2portion!$C$1:$AB$5,3)/HLOOKUP(W1,h2portion!$C$1:$AB$5,2)</f>
        <v>4785369.298</v>
      </c>
      <c r="X4" s="3">
        <f>(VLOOKUP(X1,'raw data1'!$A$6:$N$31,14))*HLOOKUP(X1,h2portion!$C$1:$AB$5,3)/HLOOKUP(X1,h2portion!$C$1:$AB$5,2)</f>
        <v>4583158.654</v>
      </c>
      <c r="Y4" s="3">
        <f>(VLOOKUP(Y1,'raw data1'!$A$6:$N$31,14))*HLOOKUP(Y1,h2portion!$C$1:$AB$5,3)/HLOOKUP(Y1,h2portion!$C$1:$AB$5,2)</f>
        <v>4390027.171</v>
      </c>
      <c r="Z4" s="3">
        <f>(VLOOKUP(Z1,'raw data1'!$A$6:$N$31,14))*HLOOKUP(Z1,h2portion!$C$1:$AB$5,3)/HLOOKUP(Z1,h2portion!$C$1:$AB$5,2)</f>
        <v>4205148.84</v>
      </c>
      <c r="AA4" s="3">
        <f>(VLOOKUP(AA1,'raw data1'!$A$6:$N$31,14))*HLOOKUP(AA1,h2portion!$C$1:$AB$5,3)/HLOOKUP(AA1,h2portion!$C$1:$AB$5,2)</f>
        <v>4028524.652</v>
      </c>
    </row>
    <row r="5" ht="15.75" customHeight="1">
      <c r="A5" s="1" t="s">
        <v>5</v>
      </c>
      <c r="B5" s="4" t="s">
        <v>7</v>
      </c>
      <c r="C5" s="3">
        <f>(VLOOKUP(C1,'raw data1'!$A$6:$N$31,14))*HLOOKUP(C1,h2portion!$C$1:$AB$5,4)/HLOOKUP(C1,h2portion!$C$1:$AB$5,2)</f>
        <v>0</v>
      </c>
      <c r="D5" s="3">
        <f>(VLOOKUP(D1,'raw data1'!$A$6:$N$31,14))*HLOOKUP(D1,h2portion!$C$1:$AB$5,4)/HLOOKUP(D1,h2portion!$C$1:$AB$5,2)</f>
        <v>0</v>
      </c>
      <c r="E5" s="3">
        <f>(VLOOKUP(E1,'raw data1'!$A$6:$N$31,14))*HLOOKUP(E1,h2portion!$C$1:$AB$5,4)/HLOOKUP(E1,h2portion!$C$1:$AB$5,2)</f>
        <v>0</v>
      </c>
      <c r="F5" s="3">
        <f>(VLOOKUP(F1,'raw data1'!$A$6:$N$31,14))*HLOOKUP(F1,h2portion!$C$1:$AB$5,4)/HLOOKUP(F1,h2portion!$C$1:$AB$5,2)</f>
        <v>0</v>
      </c>
      <c r="G5" s="3">
        <f>(VLOOKUP(G1,'raw data1'!$A$6:$N$31,14))*HLOOKUP(G1,h2portion!$C$1:$AB$5,4)/HLOOKUP(G1,h2portion!$C$1:$AB$5,2)</f>
        <v>1634502.974</v>
      </c>
      <c r="H5" s="3">
        <f>(VLOOKUP(H1,'raw data1'!$A$6:$N$31,14))*HLOOKUP(H1,h2portion!$C$1:$AB$5,4)/HLOOKUP(H1,h2portion!$C$1:$AB$5,2)</f>
        <v>1509821.251</v>
      </c>
      <c r="I5" s="3">
        <f>(VLOOKUP(I1,'raw data1'!$A$6:$N$31,14))*HLOOKUP(I1,h2portion!$C$1:$AB$5,4)/HLOOKUP(I1,h2portion!$C$1:$AB$5,2)</f>
        <v>2051889.209</v>
      </c>
      <c r="J5" s="3">
        <f>(VLOOKUP(J1,'raw data1'!$A$6:$N$31,14))*HLOOKUP(J1,h2portion!$C$1:$AB$5,4)/HLOOKUP(J1,h2portion!$C$1:$AB$5,2)</f>
        <v>3366081.163</v>
      </c>
      <c r="K5" s="3">
        <f>(VLOOKUP(K1,'raw data1'!$A$6:$N$31,14))*HLOOKUP(K1,h2portion!$C$1:$AB$5,4)/HLOOKUP(K1,h2portion!$C$1:$AB$5,2)</f>
        <v>3345818.555</v>
      </c>
      <c r="L5" s="3">
        <f>(VLOOKUP(L1,'raw data1'!$A$6:$N$31,14))*HLOOKUP(L1,h2portion!$C$1:$AB$5,4)/HLOOKUP(L1,h2portion!$C$1:$AB$5,2)</f>
        <v>4995371.866</v>
      </c>
      <c r="M5" s="3">
        <f>(VLOOKUP(M1,'raw data1'!$A$6:$N$31,14))*HLOOKUP(M1,h2portion!$C$1:$AB$5,4)/HLOOKUP(M1,h2portion!$C$1:$AB$5,2)</f>
        <v>6023085.584</v>
      </c>
      <c r="N5" s="3">
        <f>(VLOOKUP(N1,'raw data1'!$A$6:$N$31,14))*HLOOKUP(N1,h2portion!$C$1:$AB$5,4)/HLOOKUP(N1,h2portion!$C$1:$AB$5,2)</f>
        <v>6536770.202</v>
      </c>
      <c r="O5" s="3">
        <f>(VLOOKUP(O1,'raw data1'!$A$6:$N$31,14))*HLOOKUP(O1,h2portion!$C$1:$AB$5,4)/HLOOKUP(O1,h2portion!$C$1:$AB$5,2)</f>
        <v>6254251.956</v>
      </c>
      <c r="P5" s="3">
        <f>(VLOOKUP(P1,'raw data1'!$A$6:$N$31,14))*HLOOKUP(P1,h2portion!$C$1:$AB$5,4)/HLOOKUP(P1,h2portion!$C$1:$AB$5,2)</f>
        <v>5984678.708</v>
      </c>
      <c r="Q5" s="3">
        <f>(VLOOKUP(Q1,'raw data1'!$A$6:$N$31,14))*HLOOKUP(Q1,h2portion!$C$1:$AB$5,4)/HLOOKUP(Q1,h2portion!$C$1:$AB$5,2)</f>
        <v>6417906.292</v>
      </c>
      <c r="R5" s="3">
        <f>(VLOOKUP(R1,'raw data1'!$A$6:$N$31,14))*HLOOKUP(R1,h2portion!$C$1:$AB$5,4)/HLOOKUP(R1,h2portion!$C$1:$AB$5,2)</f>
        <v>5093756.117</v>
      </c>
      <c r="S5" s="3">
        <f>(VLOOKUP(S1,'raw data1'!$A$6:$N$31,14))*HLOOKUP(S1,h2portion!$C$1:$AB$5,4)/HLOOKUP(S1,h2portion!$C$1:$AB$5,2)</f>
        <v>5455127.465</v>
      </c>
      <c r="T5" s="3">
        <f>(VLOOKUP(T1,'raw data1'!$A$6:$N$31,14))*HLOOKUP(T1,h2portion!$C$1:$AB$5,4)/HLOOKUP(T1,h2portion!$C$1:$AB$5,2)</f>
        <v>5223246.653</v>
      </c>
      <c r="U5" s="3">
        <f>(VLOOKUP(U1,'raw data1'!$A$6:$N$31,14))*HLOOKUP(U1,h2portion!$C$1:$AB$5,4)/HLOOKUP(U1,h2portion!$C$1:$AB$5,2)</f>
        <v>5506130.268</v>
      </c>
      <c r="V5" s="3">
        <f>(VLOOKUP(V1,'raw data1'!$A$6:$N$31,14))*HLOOKUP(V1,h2portion!$C$1:$AB$5,4)/HLOOKUP(V1,h2portion!$C$1:$AB$5,2)</f>
        <v>5273513.704</v>
      </c>
      <c r="W5" s="3">
        <f>(VLOOKUP(W1,'raw data1'!$A$6:$N$31,14))*HLOOKUP(W1,h2portion!$C$1:$AB$5,4)/HLOOKUP(W1,h2portion!$C$1:$AB$5,2)</f>
        <v>5445420.235</v>
      </c>
      <c r="X5" s="3">
        <f>(VLOOKUP(X1,'raw data1'!$A$6:$N$31,14))*HLOOKUP(X1,h2portion!$C$1:$AB$5,4)/HLOOKUP(X1,h2portion!$C$1:$AB$5,2)</f>
        <v>5215318.468</v>
      </c>
      <c r="Y5" s="3">
        <f>(VLOOKUP(Y1,'raw data1'!$A$6:$N$31,14))*HLOOKUP(Y1,h2portion!$C$1:$AB$5,4)/HLOOKUP(Y1,h2portion!$C$1:$AB$5,2)</f>
        <v>4995548.16</v>
      </c>
      <c r="Z5" s="3">
        <f>(VLOOKUP(Z1,'raw data1'!$A$6:$N$31,14))*HLOOKUP(Z1,h2portion!$C$1:$AB$5,4)/HLOOKUP(Z1,h2portion!$C$1:$AB$5,2)</f>
        <v>4785169.37</v>
      </c>
      <c r="AA5" s="3">
        <f>(VLOOKUP(AA1,'raw data1'!$A$6:$N$31,14))*HLOOKUP(AA1,h2portion!$C$1:$AB$5,4)/HLOOKUP(AA1,h2portion!$C$1:$AB$5,2)</f>
        <v>4584183.224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44"/>
    <col customWidth="1" min="3" max="27" width="14.0"/>
  </cols>
  <sheetData>
    <row r="1" ht="15.75" customHeight="1">
      <c r="A1" s="1" t="s">
        <v>0</v>
      </c>
      <c r="B1" s="1" t="s">
        <v>1</v>
      </c>
      <c r="C1" s="1">
        <v>2026.0</v>
      </c>
      <c r="D1" s="1">
        <v>2027.0</v>
      </c>
      <c r="E1" s="1">
        <v>2028.0</v>
      </c>
      <c r="F1" s="1">
        <v>2029.0</v>
      </c>
      <c r="G1" s="1">
        <v>2030.0</v>
      </c>
      <c r="H1" s="1">
        <v>2031.0</v>
      </c>
      <c r="I1" s="1">
        <v>2032.0</v>
      </c>
      <c r="J1" s="1">
        <v>2033.0</v>
      </c>
      <c r="K1" s="1">
        <v>2034.0</v>
      </c>
      <c r="L1" s="1">
        <v>2035.0</v>
      </c>
      <c r="M1" s="1">
        <v>2036.0</v>
      </c>
      <c r="N1" s="1">
        <v>2037.0</v>
      </c>
      <c r="O1" s="1">
        <v>2038.0</v>
      </c>
      <c r="P1" s="1">
        <v>2039.0</v>
      </c>
      <c r="Q1" s="1">
        <v>2040.0</v>
      </c>
      <c r="R1" s="1">
        <v>2041.0</v>
      </c>
      <c r="S1" s="1">
        <v>2042.0</v>
      </c>
      <c r="T1" s="1">
        <v>2043.0</v>
      </c>
      <c r="U1" s="1">
        <v>2044.0</v>
      </c>
      <c r="V1" s="1">
        <v>2045.0</v>
      </c>
      <c r="W1" s="1">
        <v>2046.0</v>
      </c>
      <c r="X1" s="1">
        <v>2047.0</v>
      </c>
      <c r="Y1" s="1">
        <v>2048.0</v>
      </c>
      <c r="Z1" s="1">
        <v>2049.0</v>
      </c>
      <c r="AA1" s="1">
        <v>2050.0</v>
      </c>
    </row>
    <row r="2" ht="15.75" customHeight="1">
      <c r="A2" s="1" t="s">
        <v>2</v>
      </c>
      <c r="B2" s="2" t="s">
        <v>3</v>
      </c>
      <c r="C2" s="3">
        <f>'raw data1cbam'!M7</f>
        <v>-822809.8052</v>
      </c>
      <c r="D2" s="3">
        <f>'raw data1cbam'!M8</f>
        <v>-1523590.147</v>
      </c>
      <c r="E2" s="3">
        <f>'raw data1cbam'!M9</f>
        <v>-1688232.964</v>
      </c>
      <c r="F2" s="3">
        <f>'raw data1cbam'!M10</f>
        <v>-2054907.441</v>
      </c>
      <c r="G2" s="3">
        <f>'raw data1cbam'!M11</f>
        <v>-3653431.96</v>
      </c>
      <c r="H2" s="3">
        <f>'raw data1cbam'!M12</f>
        <v>-3653431.96</v>
      </c>
      <c r="I2" s="3">
        <f>'raw data1cbam'!M13</f>
        <v>-3653431.96</v>
      </c>
      <c r="J2" s="3">
        <f>'raw data1cbam'!M14</f>
        <v>-4630510.453</v>
      </c>
      <c r="K2" s="3">
        <f>'raw data1cbam'!M15</f>
        <v>-4630510.453</v>
      </c>
      <c r="L2" s="3">
        <f>'raw data1cbam'!M16</f>
        <v>-5841971.207</v>
      </c>
      <c r="M2" s="3">
        <f>'raw data1cbam'!M17</f>
        <v>-6653824.903</v>
      </c>
      <c r="N2" s="3">
        <f>'raw data1cbam'!M18</f>
        <v>-7363552.108</v>
      </c>
      <c r="O2" s="3">
        <f>'raw data1cbam'!M19</f>
        <v>-7363552.108</v>
      </c>
      <c r="P2" s="3">
        <f>'raw data1cbam'!M20</f>
        <v>-7363552.108</v>
      </c>
      <c r="Q2" s="3">
        <f>'raw data1cbam'!M21</f>
        <v>-7986626.504</v>
      </c>
      <c r="R2" s="3">
        <f>'raw data1cbam'!M22</f>
        <v>-7986626.504</v>
      </c>
      <c r="S2" s="3">
        <f>'raw data1cbam'!M23</f>
        <v>-8674346.675</v>
      </c>
      <c r="T2" s="3">
        <f>'raw data1cbam'!M24</f>
        <v>-8674346.675</v>
      </c>
      <c r="U2" s="3">
        <f>'raw data1cbam'!M25</f>
        <v>-9328368.631</v>
      </c>
      <c r="V2" s="3">
        <f>'raw data1cbam'!M26</f>
        <v>-9328368.631</v>
      </c>
      <c r="W2" s="3">
        <f>'raw data1cbam'!M27</f>
        <v>-9885249.983</v>
      </c>
      <c r="X2" s="3">
        <f>'raw data1cbam'!M28</f>
        <v>-9885249.983</v>
      </c>
      <c r="Y2" s="3">
        <f>'raw data1cbam'!M29</f>
        <v>-9885249.983</v>
      </c>
      <c r="Z2" s="3">
        <f>'raw data1cbam'!M30</f>
        <v>-9885249.983</v>
      </c>
      <c r="AA2" s="3">
        <f>'raw data1cbam'!M31</f>
        <v>-9885249.983</v>
      </c>
    </row>
    <row r="3" ht="15.75" customHeight="1">
      <c r="A3" s="1" t="s">
        <v>2</v>
      </c>
      <c r="B3" s="2" t="s">
        <v>4</v>
      </c>
      <c r="C3" s="3">
        <f>VLOOKUP(C1,'raw data1cbam'!$A$6:$R$31,18)</f>
        <v>1781493.385</v>
      </c>
      <c r="D3" s="3">
        <f>VLOOKUP(D1,'raw data1cbam'!$A$6:$R$31,18)</f>
        <v>2531553.385</v>
      </c>
      <c r="E3" s="3">
        <f>VLOOKUP(E1,'raw data1cbam'!$A$6:$R$31,18)</f>
        <v>2672195.239</v>
      </c>
      <c r="F3" s="3">
        <f>VLOOKUP(F1,'raw data1cbam'!$A$6:$R$31,18)</f>
        <v>3146197.094</v>
      </c>
      <c r="G3" s="3">
        <f>VLOOKUP(G1,'raw data1cbam'!$A$6:$R$31,18)</f>
        <v>6326337.16</v>
      </c>
      <c r="H3" s="3">
        <f>VLOOKUP(H1,'raw data1cbam'!$A$6:$R$31,18)</f>
        <v>6326337.16</v>
      </c>
      <c r="I3" s="3">
        <f>VLOOKUP(I1,'raw data1cbam'!$A$6:$R$31,18)</f>
        <v>6627591.31</v>
      </c>
      <c r="J3" s="3">
        <f>VLOOKUP(J1,'raw data1cbam'!$A$6:$R$31,18)</f>
        <v>9178345.313</v>
      </c>
      <c r="K3" s="3">
        <f>VLOOKUP(K1,'raw data1cbam'!$A$6:$R$31,18)</f>
        <v>9577403.805</v>
      </c>
      <c r="L3" s="3">
        <f>VLOOKUP(L1,'raw data1cbam'!$A$6:$R$31,18)</f>
        <v>13071677.94</v>
      </c>
      <c r="M3" s="3">
        <f>VLOOKUP(M1,'raw data1cbam'!$A$6:$R$31,18)</f>
        <v>15103316.56</v>
      </c>
      <c r="N3" s="3">
        <f>VLOOKUP(N1,'raw data1cbam'!$A$6:$R$31,18)</f>
        <v>16879386.81</v>
      </c>
      <c r="O3" s="3">
        <f>VLOOKUP(O1,'raw data1cbam'!$A$6:$R$31,18)</f>
        <v>16879386.81</v>
      </c>
      <c r="P3" s="3">
        <f>VLOOKUP(P1,'raw data1cbam'!$A$6:$R$31,18)</f>
        <v>16879386.81</v>
      </c>
      <c r="Q3" s="3">
        <f>VLOOKUP(Q1,'raw data1cbam'!$A$6:$R$31,18)</f>
        <v>18438611.11</v>
      </c>
      <c r="R3" s="3">
        <f>VLOOKUP(R1,'raw data1cbam'!$A$6:$R$31,18)</f>
        <v>18438611.11</v>
      </c>
      <c r="S3" s="3">
        <f>VLOOKUP(S1,'raw data1cbam'!$A$6:$R$31,18)</f>
        <v>20159609.44</v>
      </c>
      <c r="T3" s="3">
        <f>VLOOKUP(T1,'raw data1cbam'!$A$6:$R$31,18)</f>
        <v>20159609.44</v>
      </c>
      <c r="U3" s="3">
        <f>VLOOKUP(U1,'raw data1cbam'!$A$6:$R$31,18)</f>
        <v>21796279.04</v>
      </c>
      <c r="V3" s="3">
        <f>VLOOKUP(V1,'raw data1cbam'!$A$6:$R$31,18)</f>
        <v>21796279.04</v>
      </c>
      <c r="W3" s="3">
        <f>VLOOKUP(W1,'raw data1cbam'!$A$6:$R$31,18)</f>
        <v>23189857.3</v>
      </c>
      <c r="X3" s="3">
        <f>VLOOKUP(X1,'raw data1cbam'!$A$6:$R$31,18)</f>
        <v>23189857.3</v>
      </c>
      <c r="Y3" s="3">
        <f>VLOOKUP(Y1,'raw data1cbam'!$A$6:$R$31,18)</f>
        <v>23189857.3</v>
      </c>
      <c r="Z3" s="3">
        <f>VLOOKUP(Z1,'raw data1cbam'!$A$6:$R$31,18)</f>
        <v>23189857.3</v>
      </c>
      <c r="AA3" s="3">
        <f>VLOOKUP(AA1,'raw data1cbam'!$A$6:$R$31,18)</f>
        <v>23189857.3</v>
      </c>
    </row>
    <row r="4" ht="15.75" customHeight="1">
      <c r="A4" s="1" t="s">
        <v>5</v>
      </c>
      <c r="B4" s="4" t="s">
        <v>6</v>
      </c>
      <c r="C4" s="3">
        <f>(VLOOKUP(C1,'raw data1cbam'!$A$6:$N$31,14))*HLOOKUP(C1,h2portion!$C$1:$AB$5,3)/HLOOKUP(C1,h2portion!$C$1:$AB$5,2)</f>
        <v>0</v>
      </c>
      <c r="D4" s="3">
        <f>(VLOOKUP(D1,'raw data1cbam'!$A$6:$N$31,14))*HLOOKUP(D1,h2portion!$C$1:$AB$5,3)/HLOOKUP(D1,h2portion!$C$1:$AB$5,2)</f>
        <v>0</v>
      </c>
      <c r="E4" s="3">
        <f>(VLOOKUP(E1,'raw data1cbam'!$A$6:$N$31,14))*HLOOKUP(E1,h2portion!$C$1:$AB$5,3)/HLOOKUP(E1,h2portion!$C$1:$AB$5,2)</f>
        <v>0</v>
      </c>
      <c r="F4" s="3">
        <f>(VLOOKUP(F1,'raw data1cbam'!$A$6:$N$31,14))*HLOOKUP(F1,h2portion!$C$1:$AB$5,3)/HLOOKUP(F1,h2portion!$C$1:$AB$5,2)</f>
        <v>0</v>
      </c>
      <c r="G4" s="3">
        <f>(VLOOKUP(G1,'raw data1cbam'!$A$6:$N$31,14))*HLOOKUP(G1,h2portion!$C$1:$AB$5,3)/HLOOKUP(G1,h2portion!$C$1:$AB$5,2)</f>
        <v>2124186.093</v>
      </c>
      <c r="H4" s="3">
        <f>(VLOOKUP(H1,'raw data1cbam'!$A$6:$N$31,14))*HLOOKUP(H1,h2portion!$C$1:$AB$5,3)/HLOOKUP(H1,h2portion!$C$1:$AB$5,2)</f>
        <v>1667205.048</v>
      </c>
      <c r="I4" s="3">
        <f>(VLOOKUP(I1,'raw data1cbam'!$A$6:$N$31,14))*HLOOKUP(I1,h2portion!$C$1:$AB$5,3)/HLOOKUP(I1,h2portion!$C$1:$AB$5,2)</f>
        <v>1618616.496</v>
      </c>
      <c r="J4" s="3">
        <f>(VLOOKUP(J1,'raw data1cbam'!$A$6:$N$31,14))*HLOOKUP(J1,h2portion!$C$1:$AB$5,3)/HLOOKUP(J1,h2portion!$C$1:$AB$5,2)</f>
        <v>2655306.375</v>
      </c>
      <c r="K4" s="3">
        <f>(VLOOKUP(K1,'raw data1cbam'!$A$6:$N$31,14))*HLOOKUP(K1,h2portion!$C$1:$AB$5,3)/HLOOKUP(K1,h2portion!$C$1:$AB$5,2)</f>
        <v>2639322.378</v>
      </c>
      <c r="L4" s="3">
        <f>(VLOOKUP(L1,'raw data1cbam'!$A$6:$N$31,14))*HLOOKUP(L1,h2portion!$C$1:$AB$5,3)/HLOOKUP(L1,h2portion!$C$1:$AB$5,2)</f>
        <v>3940559.398</v>
      </c>
      <c r="M4" s="3">
        <f>(VLOOKUP(M1,'raw data1cbam'!$A$6:$N$31,14))*HLOOKUP(M1,h2portion!$C$1:$AB$5,3)/HLOOKUP(M1,h2portion!$C$1:$AB$5,2)</f>
        <v>4751263.198</v>
      </c>
      <c r="N4" s="3">
        <f>(VLOOKUP(N1,'raw data1cbam'!$A$6:$N$31,14))*HLOOKUP(N1,h2portion!$C$1:$AB$5,3)/HLOOKUP(N1,h2portion!$C$1:$AB$5,2)</f>
        <v>5156479.227</v>
      </c>
      <c r="O4" s="3">
        <f>(VLOOKUP(O1,'raw data1cbam'!$A$6:$N$31,14))*HLOOKUP(O1,h2portion!$C$1:$AB$5,3)/HLOOKUP(O1,h2portion!$C$1:$AB$5,2)</f>
        <v>4933616.953</v>
      </c>
      <c r="P4" s="3">
        <f>(VLOOKUP(P1,'raw data1cbam'!$A$6:$N$31,14))*HLOOKUP(P1,h2portion!$C$1:$AB$5,3)/HLOOKUP(P1,h2portion!$C$1:$AB$5,2)</f>
        <v>4720966.239</v>
      </c>
      <c r="Q4" s="3">
        <f>(VLOOKUP(Q1,'raw data1cbam'!$A$6:$N$31,14))*HLOOKUP(Q1,h2portion!$C$1:$AB$5,3)/HLOOKUP(Q1,h2portion!$C$1:$AB$5,2)</f>
        <v>5062714.376</v>
      </c>
      <c r="R4" s="3">
        <f>(VLOOKUP(R1,'raw data1cbam'!$A$6:$N$31,14))*HLOOKUP(R1,h2portion!$C$1:$AB$5,3)/HLOOKUP(R1,h2portion!$C$1:$AB$5,2)</f>
        <v>4475487.073</v>
      </c>
      <c r="S4" s="3">
        <f>(VLOOKUP(S1,'raw data1cbam'!$A$6:$N$31,14))*HLOOKUP(S1,h2portion!$C$1:$AB$5,3)/HLOOKUP(S1,h2portion!$C$1:$AB$5,2)</f>
        <v>4792995.953</v>
      </c>
      <c r="T4" s="3">
        <f>(VLOOKUP(T1,'raw data1cbam'!$A$6:$N$31,14))*HLOOKUP(T1,h2portion!$C$1:$AB$5,3)/HLOOKUP(T1,h2portion!$C$1:$AB$5,2)</f>
        <v>4589260.33</v>
      </c>
      <c r="U4" s="3">
        <f>(VLOOKUP(U1,'raw data1cbam'!$A$6:$N$31,14))*HLOOKUP(U1,h2portion!$C$1:$AB$5,3)/HLOOKUP(U1,h2portion!$C$1:$AB$5,2)</f>
        <v>4837808.147</v>
      </c>
      <c r="V4" s="3">
        <f>(VLOOKUP(V1,'raw data1cbam'!$A$6:$N$31,14))*HLOOKUP(V1,h2portion!$C$1:$AB$5,3)/HLOOKUP(V1,h2portion!$C$1:$AB$5,2)</f>
        <v>4633426.075</v>
      </c>
      <c r="W4" s="3">
        <f>(VLOOKUP(W1,'raw data1cbam'!$A$6:$N$31,14))*HLOOKUP(W1,h2portion!$C$1:$AB$5,3)/HLOOKUP(W1,h2portion!$C$1:$AB$5,2)</f>
        <v>4784466.965</v>
      </c>
      <c r="X4" s="3">
        <f>(VLOOKUP(X1,'raw data1cbam'!$A$6:$N$31,14))*HLOOKUP(X1,h2portion!$C$1:$AB$5,3)/HLOOKUP(X1,h2portion!$C$1:$AB$5,2)</f>
        <v>4582294.451</v>
      </c>
      <c r="Y4" s="3">
        <f>(VLOOKUP(Y1,'raw data1cbam'!$A$6:$N$31,14))*HLOOKUP(Y1,h2portion!$C$1:$AB$5,3)/HLOOKUP(Y1,h2portion!$C$1:$AB$5,2)</f>
        <v>4389199.385</v>
      </c>
      <c r="Z4" s="3">
        <f>(VLOOKUP(Z1,'raw data1cbam'!$A$6:$N$31,14))*HLOOKUP(Z1,h2portion!$C$1:$AB$5,3)/HLOOKUP(Z1,h2portion!$C$1:$AB$5,2)</f>
        <v>4204355.914</v>
      </c>
      <c r="AA4" s="3">
        <f>(VLOOKUP(AA1,'raw data1cbam'!$A$6:$N$31,14))*HLOOKUP(AA1,h2portion!$C$1:$AB$5,3)/HLOOKUP(AA1,h2portion!$C$1:$AB$5,2)</f>
        <v>4027765.03</v>
      </c>
    </row>
    <row r="5" ht="15.75" customHeight="1">
      <c r="A5" s="1" t="s">
        <v>5</v>
      </c>
      <c r="B5" s="4" t="s">
        <v>7</v>
      </c>
      <c r="C5" s="3">
        <f>(VLOOKUP(C1,'raw data1cbam'!$A$6:$N$31,14))*HLOOKUP(C1,h2portion!$C$1:$AB$5,4)/HLOOKUP(C1,h2portion!$C$1:$AB$5,2)</f>
        <v>0</v>
      </c>
      <c r="D5" s="3">
        <f>(VLOOKUP(D1,'raw data1cbam'!$A$6:$N$31,14))*HLOOKUP(D1,h2portion!$C$1:$AB$5,4)/HLOOKUP(D1,h2portion!$C$1:$AB$5,2)</f>
        <v>0</v>
      </c>
      <c r="E5" s="3">
        <f>(VLOOKUP(E1,'raw data1cbam'!$A$6:$N$31,14))*HLOOKUP(E1,h2portion!$C$1:$AB$5,4)/HLOOKUP(E1,h2portion!$C$1:$AB$5,2)</f>
        <v>0</v>
      </c>
      <c r="F5" s="3">
        <f>(VLOOKUP(F1,'raw data1cbam'!$A$6:$N$31,14))*HLOOKUP(F1,h2portion!$C$1:$AB$5,4)/HLOOKUP(F1,h2portion!$C$1:$AB$5,2)</f>
        <v>0</v>
      </c>
      <c r="G5" s="3">
        <f>(VLOOKUP(G1,'raw data1cbam'!$A$6:$N$31,14))*HLOOKUP(G1,h2portion!$C$1:$AB$5,4)/HLOOKUP(G1,h2portion!$C$1:$AB$5,2)</f>
        <v>2287585.023</v>
      </c>
      <c r="H5" s="3">
        <f>(VLOOKUP(H1,'raw data1cbam'!$A$6:$N$31,14))*HLOOKUP(H1,h2portion!$C$1:$AB$5,4)/HLOOKUP(H1,h2portion!$C$1:$AB$5,2)</f>
        <v>2113085.468</v>
      </c>
      <c r="I5" s="3">
        <f>(VLOOKUP(I1,'raw data1cbam'!$A$6:$N$31,14))*HLOOKUP(I1,h2portion!$C$1:$AB$5,4)/HLOOKUP(I1,h2portion!$C$1:$AB$5,2)</f>
        <v>2051502.304</v>
      </c>
      <c r="J5" s="3">
        <f>(VLOOKUP(J1,'raw data1cbam'!$A$6:$N$31,14))*HLOOKUP(J1,h2portion!$C$1:$AB$5,4)/HLOOKUP(J1,h2portion!$C$1:$AB$5,2)</f>
        <v>3365446.453</v>
      </c>
      <c r="K5" s="3">
        <f>(VLOOKUP(K1,'raw data1cbam'!$A$6:$N$31,14))*HLOOKUP(K1,h2portion!$C$1:$AB$5,4)/HLOOKUP(K1,h2portion!$C$1:$AB$5,2)</f>
        <v>3345187.665</v>
      </c>
      <c r="L5" s="3">
        <f>(VLOOKUP(L1,'raw data1cbam'!$A$6:$N$31,14))*HLOOKUP(L1,h2portion!$C$1:$AB$5,4)/HLOOKUP(L1,h2portion!$C$1:$AB$5,2)</f>
        <v>4994429.935</v>
      </c>
      <c r="M5" s="3">
        <f>(VLOOKUP(M1,'raw data1cbam'!$A$6:$N$31,14))*HLOOKUP(M1,h2portion!$C$1:$AB$5,4)/HLOOKUP(M1,h2portion!$C$1:$AB$5,2)</f>
        <v>6021949.867</v>
      </c>
      <c r="N5" s="3">
        <f>(VLOOKUP(N1,'raw data1cbam'!$A$6:$N$31,14))*HLOOKUP(N1,h2portion!$C$1:$AB$5,4)/HLOOKUP(N1,h2portion!$C$1:$AB$5,2)</f>
        <v>6535537.624</v>
      </c>
      <c r="O5" s="3">
        <f>(VLOOKUP(O1,'raw data1cbam'!$A$6:$N$31,14))*HLOOKUP(O1,h2portion!$C$1:$AB$5,4)/HLOOKUP(O1,h2portion!$C$1:$AB$5,2)</f>
        <v>6253072.65</v>
      </c>
      <c r="P5" s="3">
        <f>(VLOOKUP(P1,'raw data1cbam'!$A$6:$N$31,14))*HLOOKUP(P1,h2portion!$C$1:$AB$5,4)/HLOOKUP(P1,h2portion!$C$1:$AB$5,2)</f>
        <v>5983550.233</v>
      </c>
      <c r="Q5" s="3">
        <f>(VLOOKUP(Q1,'raw data1cbam'!$A$6:$N$31,14))*HLOOKUP(Q1,h2portion!$C$1:$AB$5,4)/HLOOKUP(Q1,h2portion!$C$1:$AB$5,2)</f>
        <v>6416696.127</v>
      </c>
      <c r="R5" s="3">
        <f>(VLOOKUP(R1,'raw data1cbam'!$A$6:$N$31,14))*HLOOKUP(R1,h2portion!$C$1:$AB$5,4)/HLOOKUP(R1,h2portion!$C$1:$AB$5,2)</f>
        <v>5092795.635</v>
      </c>
      <c r="S5" s="3">
        <f>(VLOOKUP(S1,'raw data1cbam'!$A$6:$N$31,14))*HLOOKUP(S1,h2portion!$C$1:$AB$5,4)/HLOOKUP(S1,h2portion!$C$1:$AB$5,2)</f>
        <v>5454098.843</v>
      </c>
      <c r="T5" s="3">
        <f>(VLOOKUP(T1,'raw data1cbam'!$A$6:$N$31,14))*HLOOKUP(T1,h2portion!$C$1:$AB$5,4)/HLOOKUP(T1,h2portion!$C$1:$AB$5,2)</f>
        <v>5222261.755</v>
      </c>
      <c r="U5" s="3">
        <f>(VLOOKUP(U1,'raw data1cbam'!$A$6:$N$31,14))*HLOOKUP(U1,h2portion!$C$1:$AB$5,4)/HLOOKUP(U1,h2portion!$C$1:$AB$5,2)</f>
        <v>5505092.029</v>
      </c>
      <c r="V5" s="3">
        <f>(VLOOKUP(V1,'raw data1cbam'!$A$6:$N$31,14))*HLOOKUP(V1,h2portion!$C$1:$AB$5,4)/HLOOKUP(V1,h2portion!$C$1:$AB$5,2)</f>
        <v>5272519.327</v>
      </c>
      <c r="W5" s="3">
        <f>(VLOOKUP(W1,'raw data1cbam'!$A$6:$N$31,14))*HLOOKUP(W1,h2portion!$C$1:$AB$5,4)/HLOOKUP(W1,h2portion!$C$1:$AB$5,2)</f>
        <v>5444393.443</v>
      </c>
      <c r="X5" s="3">
        <f>(VLOOKUP(X1,'raw data1cbam'!$A$6:$N$31,14))*HLOOKUP(X1,h2portion!$C$1:$AB$5,4)/HLOOKUP(X1,h2portion!$C$1:$AB$5,2)</f>
        <v>5214335.065</v>
      </c>
      <c r="Y5" s="3">
        <f>(VLOOKUP(Y1,'raw data1cbam'!$A$6:$N$31,14))*HLOOKUP(Y1,h2portion!$C$1:$AB$5,4)/HLOOKUP(Y1,h2portion!$C$1:$AB$5,2)</f>
        <v>4994606.196</v>
      </c>
      <c r="Z5" s="3">
        <f>(VLOOKUP(Z1,'raw data1cbam'!$A$6:$N$31,14))*HLOOKUP(Z1,h2portion!$C$1:$AB$5,4)/HLOOKUP(Z1,h2portion!$C$1:$AB$5,2)</f>
        <v>4784267.075</v>
      </c>
      <c r="AA5" s="3">
        <f>(VLOOKUP(AA1,'raw data1cbam'!$A$6:$N$31,14))*HLOOKUP(AA1,h2portion!$C$1:$AB$5,4)/HLOOKUP(AA1,h2portion!$C$1:$AB$5,2)</f>
        <v>4583318.828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44"/>
    <col customWidth="1" min="3" max="27" width="16.33"/>
  </cols>
  <sheetData>
    <row r="1" ht="15.75" customHeight="1">
      <c r="A1" s="1" t="s">
        <v>0</v>
      </c>
      <c r="B1" s="1" t="s">
        <v>1</v>
      </c>
      <c r="C1" s="1">
        <v>2026.0</v>
      </c>
      <c r="D1" s="1">
        <v>2027.0</v>
      </c>
      <c r="E1" s="1">
        <v>2028.0</v>
      </c>
      <c r="F1" s="1">
        <v>2029.0</v>
      </c>
      <c r="G1" s="1">
        <v>2030.0</v>
      </c>
      <c r="H1" s="1">
        <v>2031.0</v>
      </c>
      <c r="I1" s="1">
        <v>2032.0</v>
      </c>
      <c r="J1" s="1">
        <v>2033.0</v>
      </c>
      <c r="K1" s="1">
        <v>2034.0</v>
      </c>
      <c r="L1" s="1">
        <v>2035.0</v>
      </c>
      <c r="M1" s="1">
        <v>2036.0</v>
      </c>
      <c r="N1" s="1">
        <v>2037.0</v>
      </c>
      <c r="O1" s="1">
        <v>2038.0</v>
      </c>
      <c r="P1" s="1">
        <v>2039.0</v>
      </c>
      <c r="Q1" s="1">
        <v>2040.0</v>
      </c>
      <c r="R1" s="1">
        <v>2041.0</v>
      </c>
      <c r="S1" s="1">
        <v>2042.0</v>
      </c>
      <c r="T1" s="1">
        <v>2043.0</v>
      </c>
      <c r="U1" s="1">
        <v>2044.0</v>
      </c>
      <c r="V1" s="1">
        <v>2045.0</v>
      </c>
      <c r="W1" s="1">
        <v>2046.0</v>
      </c>
      <c r="X1" s="1">
        <v>2047.0</v>
      </c>
      <c r="Y1" s="1">
        <v>2048.0</v>
      </c>
      <c r="Z1" s="1">
        <v>2049.0</v>
      </c>
      <c r="AA1" s="1">
        <v>2050.0</v>
      </c>
    </row>
    <row r="2" ht="15.75" customHeight="1">
      <c r="A2" s="1" t="s">
        <v>2</v>
      </c>
      <c r="B2" s="2" t="s">
        <v>3</v>
      </c>
      <c r="C2" s="3">
        <f>'raw data2'!M7</f>
        <v>-661199.4587</v>
      </c>
      <c r="D2" s="3">
        <f>'raw data2'!M8</f>
        <v>-710789.4153</v>
      </c>
      <c r="E2" s="3">
        <f>'raw data2'!M9</f>
        <v>-760379.3719</v>
      </c>
      <c r="F2" s="3">
        <f>'raw data2'!M10</f>
        <v>-809969.3285</v>
      </c>
      <c r="G2" s="3">
        <f>'raw data2'!M11</f>
        <v>-859559.2851</v>
      </c>
      <c r="H2" s="3">
        <f>'raw data2'!M12</f>
        <v>-1018247.157</v>
      </c>
      <c r="I2" s="3">
        <f>'raw data2'!M13</f>
        <v>-1176935.03</v>
      </c>
      <c r="J2" s="3">
        <f>'raw data2'!M14</f>
        <v>-1633162.656</v>
      </c>
      <c r="K2" s="3">
        <f>'raw data2'!M15</f>
        <v>-2089390.282</v>
      </c>
      <c r="L2" s="3">
        <f>'raw data2'!M16</f>
        <v>-2644797.835</v>
      </c>
      <c r="M2" s="3">
        <f>'raw data2'!M17</f>
        <v>-3636597.023</v>
      </c>
      <c r="N2" s="3">
        <f>'raw data2'!M18</f>
        <v>-3636597.023</v>
      </c>
      <c r="O2" s="3">
        <f>'raw data2'!M19</f>
        <v>-3735776.936</v>
      </c>
      <c r="P2" s="3">
        <f>'raw data2'!M20</f>
        <v>-3735776.936</v>
      </c>
      <c r="Q2" s="3">
        <f>'raw data2'!M21</f>
        <v>-3636597.023</v>
      </c>
      <c r="R2" s="3">
        <f>'raw data2'!M22</f>
        <v>-3735776.936</v>
      </c>
      <c r="S2" s="3">
        <f>'raw data2'!M23</f>
        <v>-3834956.849</v>
      </c>
      <c r="T2" s="3">
        <f>'raw data2'!M24</f>
        <v>-4264736.506</v>
      </c>
      <c r="U2" s="3">
        <f>'raw data2'!M25</f>
        <v>-4694516.149</v>
      </c>
      <c r="V2" s="3">
        <f>'raw data2'!M26</f>
        <v>-5124295.805</v>
      </c>
      <c r="W2" s="3">
        <f>'raw data2'!M27</f>
        <v>-5223475.718</v>
      </c>
      <c r="X2" s="3">
        <f>'raw data2'!M28</f>
        <v>-5322655.631</v>
      </c>
      <c r="Y2" s="3">
        <f>'raw data2'!M29</f>
        <v>-5818555.226</v>
      </c>
      <c r="Z2" s="3">
        <f>'raw data2'!M30</f>
        <v>-6314454.82</v>
      </c>
      <c r="AA2" s="3">
        <f>'raw data2'!M31</f>
        <v>-6611994.587</v>
      </c>
    </row>
    <row r="3" ht="15.75" customHeight="1">
      <c r="A3" s="1" t="s">
        <v>2</v>
      </c>
      <c r="B3" s="2" t="s">
        <v>4</v>
      </c>
      <c r="C3" s="3">
        <f>VLOOKUP(C1,'raw data2'!$A$6:$R$31,18)</f>
        <v>4611807.602</v>
      </c>
      <c r="D3" s="3">
        <f>VLOOKUP(D1,'raw data2'!$A$6:$R$31,18)</f>
        <v>4678949.973</v>
      </c>
      <c r="E3" s="3">
        <f>VLOOKUP(E1,'raw data2'!$A$6:$R$31,18)</f>
        <v>5009764.141</v>
      </c>
      <c r="F3" s="3">
        <f>VLOOKUP(F1,'raw data2'!$A$6:$R$31,18)</f>
        <v>5348038.572</v>
      </c>
      <c r="G3" s="3">
        <f>VLOOKUP(G1,'raw data2'!$A$6:$R$31,18)</f>
        <v>5693773.267</v>
      </c>
      <c r="H3" s="3">
        <f>VLOOKUP(H1,'raw data2'!$A$6:$R$31,18)</f>
        <v>5944438.118</v>
      </c>
      <c r="I3" s="3">
        <f>VLOOKUP(I1,'raw data2'!$A$6:$R$31,18)</f>
        <v>6490107.873</v>
      </c>
      <c r="J3" s="3">
        <f>VLOOKUP(J1,'raw data2'!$A$6:$R$31,18)</f>
        <v>7673425.961</v>
      </c>
      <c r="K3" s="3">
        <f>VLOOKUP(K1,'raw data2'!$A$6:$R$31,18)</f>
        <v>8933988.673</v>
      </c>
      <c r="L3" s="3">
        <f>VLOOKUP(L1,'raw data2'!$A$6:$R$31,18)</f>
        <v>10494178.36</v>
      </c>
      <c r="M3" s="3">
        <f>VLOOKUP(M1,'raw data2'!$A$6:$R$31,18)</f>
        <v>12538623.38</v>
      </c>
      <c r="N3" s="3">
        <f>VLOOKUP(N1,'raw data2'!$A$6:$R$31,18)</f>
        <v>12718002.53</v>
      </c>
      <c r="O3" s="3">
        <f>VLOOKUP(O1,'raw data2'!$A$6:$R$31,18)</f>
        <v>13083888.27</v>
      </c>
      <c r="P3" s="3">
        <f>VLOOKUP(P1,'raw data2'!$A$6:$R$31,18)</f>
        <v>13263267.43</v>
      </c>
      <c r="Q3" s="3">
        <f>VLOOKUP(Q1,'raw data2'!$A$6:$R$31,18)</f>
        <v>13076760.84</v>
      </c>
      <c r="R3" s="3">
        <f>VLOOKUP(R1,'raw data2'!$A$6:$R$31,18)</f>
        <v>13352957.06</v>
      </c>
      <c r="S3" s="3">
        <f>VLOOKUP(S1,'raw data2'!$A$6:$R$31,18)</f>
        <v>13629153.17</v>
      </c>
      <c r="T3" s="3">
        <f>VLOOKUP(T1,'raw data2'!$A$6:$R$31,18)</f>
        <v>14527038</v>
      </c>
      <c r="U3" s="3">
        <f>VLOOKUP(U1,'raw data2'!$A$6:$R$31,18)</f>
        <v>15424922.73</v>
      </c>
      <c r="V3" s="3">
        <f>VLOOKUP(V1,'raw data2'!$A$6:$R$31,18)</f>
        <v>16233117.94</v>
      </c>
      <c r="W3" s="3">
        <f>VLOOKUP(W1,'raw data2'!$A$6:$R$31,18)</f>
        <v>16419624.53</v>
      </c>
      <c r="X3" s="3">
        <f>VLOOKUP(X1,'raw data2'!$A$6:$R$31,18)</f>
        <v>16606131.11</v>
      </c>
      <c r="Y3" s="3">
        <f>VLOOKUP(Y1,'raw data2'!$A$6:$R$31,18)</f>
        <v>17682167.32</v>
      </c>
      <c r="Z3" s="3">
        <f>VLOOKUP(Z1,'raw data2'!$A$6:$R$31,18)</f>
        <v>18758203.64</v>
      </c>
      <c r="AA3" s="3">
        <f>VLOOKUP(AA1,'raw data2'!$A$6:$R$31,18)</f>
        <v>19389475.04</v>
      </c>
    </row>
    <row r="4" ht="15.75" customHeight="1">
      <c r="A4" s="1" t="s">
        <v>5</v>
      </c>
      <c r="B4" s="4" t="s">
        <v>6</v>
      </c>
      <c r="C4" s="3">
        <f>(VLOOKUP(C1,'raw data2'!$A$6:$N$31,14))*HLOOKUP(C1,h2portion!$C$1:$AB$5,3)/HLOOKUP(C1,h2portion!$C$1:$AB$5,2)</f>
        <v>0</v>
      </c>
      <c r="D4" s="3">
        <f>(VLOOKUP(D1,'raw data2'!$A$6:$N$31,14))*HLOOKUP(D1,h2portion!$C$1:$AB$5,3)/HLOOKUP(D1,h2portion!$C$1:$AB$5,2)</f>
        <v>0</v>
      </c>
      <c r="E4" s="3">
        <f>(VLOOKUP(E1,'raw data2'!$A$6:$N$31,14))*HLOOKUP(E1,h2portion!$C$1:$AB$5,3)/HLOOKUP(E1,h2portion!$C$1:$AB$5,2)</f>
        <v>0</v>
      </c>
      <c r="F4" s="3">
        <f>(VLOOKUP(F1,'raw data2'!$A$6:$N$31,14))*HLOOKUP(F1,h2portion!$C$1:$AB$5,3)/HLOOKUP(F1,h2portion!$C$1:$AB$5,2)</f>
        <v>0</v>
      </c>
      <c r="G4" s="3">
        <f>(VLOOKUP(G1,'raw data2'!$A$6:$N$31,14))*HLOOKUP(G1,h2portion!$C$1:$AB$5,3)/HLOOKUP(G1,h2portion!$C$1:$AB$5,2)</f>
        <v>0</v>
      </c>
      <c r="H4" s="3">
        <f>(VLOOKUP(H1,'raw data2'!$A$6:$N$31,14))*HLOOKUP(H1,h2portion!$C$1:$AB$5,3)/HLOOKUP(H1,h2portion!$C$1:$AB$5,2)</f>
        <v>0</v>
      </c>
      <c r="I4" s="3">
        <f>(VLOOKUP(I1,'raw data2'!$A$6:$N$31,14))*HLOOKUP(I1,h2portion!$C$1:$AB$5,3)/HLOOKUP(I1,h2portion!$C$1:$AB$5,2)</f>
        <v>0</v>
      </c>
      <c r="J4" s="3">
        <f>(VLOOKUP(J1,'raw data2'!$A$6:$N$31,14))*HLOOKUP(J1,h2portion!$C$1:$AB$5,3)/HLOOKUP(J1,h2portion!$C$1:$AB$5,2)</f>
        <v>293111.1165</v>
      </c>
      <c r="K4" s="3">
        <f>(VLOOKUP(K1,'raw data2'!$A$6:$N$31,14))*HLOOKUP(K1,h2portion!$C$1:$AB$5,3)/HLOOKUP(K1,h2portion!$C$1:$AB$5,2)</f>
        <v>582693.3843</v>
      </c>
      <c r="L4" s="3">
        <f>(VLOOKUP(L1,'raw data2'!$A$6:$N$31,14))*HLOOKUP(L1,h2portion!$C$1:$AB$5,3)/HLOOKUP(L1,h2portion!$C$1:$AB$5,2)</f>
        <v>958876.9932</v>
      </c>
      <c r="M4" s="3">
        <f>(VLOOKUP(M1,'raw data2'!$A$6:$N$31,14))*HLOOKUP(M1,h2portion!$C$1:$AB$5,3)/HLOOKUP(M1,h2portion!$C$1:$AB$5,2)</f>
        <v>1418813.957</v>
      </c>
      <c r="N4" s="3">
        <f>(VLOOKUP(N1,'raw data2'!$A$6:$N$31,14))*HLOOKUP(N1,h2portion!$C$1:$AB$5,3)/HLOOKUP(N1,h2portion!$C$1:$AB$5,2)</f>
        <v>1771440.734</v>
      </c>
      <c r="O4" s="3">
        <f>(VLOOKUP(O1,'raw data2'!$A$6:$N$31,14))*HLOOKUP(O1,h2portion!$C$1:$AB$5,3)/HLOOKUP(O1,h2portion!$C$1:$AB$5,2)</f>
        <v>2118599.158</v>
      </c>
      <c r="P4" s="3">
        <f>(VLOOKUP(P1,'raw data2'!$A$6:$N$31,14))*HLOOKUP(P1,h2portion!$C$1:$AB$5,3)/HLOOKUP(P1,h2portion!$C$1:$AB$5,2)</f>
        <v>2432738.948</v>
      </c>
      <c r="Q4" s="3">
        <f>(VLOOKUP(Q1,'raw data2'!$A$6:$N$31,14))*HLOOKUP(Q1,h2portion!$C$1:$AB$5,3)/HLOOKUP(Q1,h2portion!$C$1:$AB$5,2)</f>
        <v>2328420.978</v>
      </c>
      <c r="R4" s="3">
        <f>(VLOOKUP(R1,'raw data2'!$A$6:$N$31,14))*HLOOKUP(R1,h2portion!$C$1:$AB$5,3)/HLOOKUP(R1,h2portion!$C$1:$AB$5,2)</f>
        <v>2229874.862</v>
      </c>
      <c r="S4" s="3">
        <f>(VLOOKUP(S1,'raw data2'!$A$6:$N$31,14))*HLOOKUP(S1,h2portion!$C$1:$AB$5,3)/HLOOKUP(S1,h2portion!$C$1:$AB$5,2)</f>
        <v>2299010.638</v>
      </c>
      <c r="T4" s="3">
        <f>(VLOOKUP(T1,'raw data2'!$A$6:$N$31,14))*HLOOKUP(T1,h2portion!$C$1:$AB$5,3)/HLOOKUP(T1,h2portion!$C$1:$AB$5,2)</f>
        <v>2358521.488</v>
      </c>
      <c r="U4" s="3">
        <f>(VLOOKUP(U1,'raw data2'!$A$6:$N$31,14))*HLOOKUP(U1,h2portion!$C$1:$AB$5,3)/HLOOKUP(U1,h2portion!$C$1:$AB$5,2)</f>
        <v>2409027.346</v>
      </c>
      <c r="V4" s="3">
        <f>(VLOOKUP(V1,'raw data2'!$A$6:$N$31,14))*HLOOKUP(V1,h2portion!$C$1:$AB$5,3)/HLOOKUP(V1,h2portion!$C$1:$AB$5,2)</f>
        <v>2307253.571</v>
      </c>
      <c r="W4" s="3">
        <f>(VLOOKUP(W1,'raw data2'!$A$6:$N$31,14))*HLOOKUP(W1,h2portion!$C$1:$AB$5,3)/HLOOKUP(W1,h2portion!$C$1:$AB$5,2)</f>
        <v>2210053.898</v>
      </c>
      <c r="X4" s="3">
        <f>(VLOOKUP(X1,'raw data2'!$A$6:$N$31,14))*HLOOKUP(X1,h2portion!$C$1:$AB$5,3)/HLOOKUP(X1,h2portion!$C$1:$AB$5,2)</f>
        <v>2116665.824</v>
      </c>
      <c r="Y4" s="3">
        <f>(VLOOKUP(Y1,'raw data2'!$A$6:$N$31,14))*HLOOKUP(Y1,h2portion!$C$1:$AB$5,3)/HLOOKUP(Y1,h2portion!$C$1:$AB$5,2)</f>
        <v>2230217.917</v>
      </c>
      <c r="Z4" s="3">
        <f>(VLOOKUP(Z1,'raw data2'!$A$6:$N$31,14))*HLOOKUP(Z1,h2portion!$C$1:$AB$5,3)/HLOOKUP(Z1,h2portion!$C$1:$AB$5,2)</f>
        <v>2330504.92</v>
      </c>
      <c r="AA4" s="3">
        <f>(VLOOKUP(AA1,'raw data2'!$A$6:$N$31,14))*HLOOKUP(AA1,h2portion!$C$1:$AB$5,3)/HLOOKUP(AA1,h2portion!$C$1:$AB$5,2)</f>
        <v>2325645.121</v>
      </c>
    </row>
    <row r="5" ht="15.75" customHeight="1">
      <c r="A5" s="1" t="s">
        <v>5</v>
      </c>
      <c r="B5" s="4" t="s">
        <v>7</v>
      </c>
      <c r="C5" s="3">
        <f>(VLOOKUP(C1,'raw data2'!$A$6:$N$31,14))*HLOOKUP(C1,h2portion!$C$1:$AB$5,4)/HLOOKUP(C1,h2portion!$C$1:$AB$5,2)</f>
        <v>0</v>
      </c>
      <c r="D5" s="3">
        <f>(VLOOKUP(D1,'raw data2'!$A$6:$N$31,14))*HLOOKUP(D1,h2portion!$C$1:$AB$5,4)/HLOOKUP(D1,h2portion!$C$1:$AB$5,2)</f>
        <v>0</v>
      </c>
      <c r="E5" s="3">
        <f>(VLOOKUP(E1,'raw data2'!$A$6:$N$31,14))*HLOOKUP(E1,h2portion!$C$1:$AB$5,4)/HLOOKUP(E1,h2portion!$C$1:$AB$5,2)</f>
        <v>0</v>
      </c>
      <c r="F5" s="3">
        <f>(VLOOKUP(F1,'raw data2'!$A$6:$N$31,14))*HLOOKUP(F1,h2portion!$C$1:$AB$5,4)/HLOOKUP(F1,h2portion!$C$1:$AB$5,2)</f>
        <v>0</v>
      </c>
      <c r="G5" s="3">
        <f>(VLOOKUP(G1,'raw data2'!$A$6:$N$31,14))*HLOOKUP(G1,h2portion!$C$1:$AB$5,4)/HLOOKUP(G1,h2portion!$C$1:$AB$5,2)</f>
        <v>0</v>
      </c>
      <c r="H5" s="3">
        <f>(VLOOKUP(H1,'raw data2'!$A$6:$N$31,14))*HLOOKUP(H1,h2portion!$C$1:$AB$5,4)/HLOOKUP(H1,h2portion!$C$1:$AB$5,2)</f>
        <v>0</v>
      </c>
      <c r="I5" s="3">
        <f>(VLOOKUP(I1,'raw data2'!$A$6:$N$31,14))*HLOOKUP(I1,h2portion!$C$1:$AB$5,4)/HLOOKUP(I1,h2portion!$C$1:$AB$5,2)</f>
        <v>0</v>
      </c>
      <c r="J5" s="3">
        <f>(VLOOKUP(J1,'raw data2'!$A$6:$N$31,14))*HLOOKUP(J1,h2portion!$C$1:$AB$5,4)/HLOOKUP(J1,h2portion!$C$1:$AB$5,2)</f>
        <v>371501.2989</v>
      </c>
      <c r="K5" s="3">
        <f>(VLOOKUP(K1,'raw data2'!$A$6:$N$31,14))*HLOOKUP(K1,h2portion!$C$1:$AB$5,4)/HLOOKUP(K1,h2portion!$C$1:$AB$5,2)</f>
        <v>738529.9871</v>
      </c>
      <c r="L5" s="3">
        <f>(VLOOKUP(L1,'raw data2'!$A$6:$N$31,14))*HLOOKUP(L1,h2portion!$C$1:$AB$5,4)/HLOOKUP(L1,h2portion!$C$1:$AB$5,2)</f>
        <v>1215320.84</v>
      </c>
      <c r="M5" s="3">
        <f>(VLOOKUP(M1,'raw data2'!$A$6:$N$31,14))*HLOOKUP(M1,h2portion!$C$1:$AB$5,4)/HLOOKUP(M1,h2portion!$C$1:$AB$5,2)</f>
        <v>1798264.201</v>
      </c>
      <c r="N5" s="3">
        <f>(VLOOKUP(N1,'raw data2'!$A$6:$N$31,14))*HLOOKUP(N1,h2portion!$C$1:$AB$5,4)/HLOOKUP(N1,h2portion!$C$1:$AB$5,2)</f>
        <v>2245198.14</v>
      </c>
      <c r="O5" s="3">
        <f>(VLOOKUP(O1,'raw data2'!$A$6:$N$31,14))*HLOOKUP(O1,h2portion!$C$1:$AB$5,4)/HLOOKUP(O1,h2portion!$C$1:$AB$5,2)</f>
        <v>2685201.258</v>
      </c>
      <c r="P5" s="3">
        <f>(VLOOKUP(P1,'raw data2'!$A$6:$N$31,14))*HLOOKUP(P1,h2portion!$C$1:$AB$5,4)/HLOOKUP(P1,h2portion!$C$1:$AB$5,2)</f>
        <v>3083355.179</v>
      </c>
      <c r="Q5" s="3">
        <f>(VLOOKUP(Q1,'raw data2'!$A$6:$N$31,14))*HLOOKUP(Q1,h2portion!$C$1:$AB$5,4)/HLOOKUP(Q1,h2portion!$C$1:$AB$5,2)</f>
        <v>2951138.216</v>
      </c>
      <c r="R5" s="3">
        <f>(VLOOKUP(R1,'raw data2'!$A$6:$N$31,14))*HLOOKUP(R1,h2portion!$C$1:$AB$5,4)/HLOOKUP(R1,h2portion!$C$1:$AB$5,2)</f>
        <v>2537443.809</v>
      </c>
      <c r="S5" s="3">
        <f>(VLOOKUP(S1,'raw data2'!$A$6:$N$31,14))*HLOOKUP(S1,h2portion!$C$1:$AB$5,4)/HLOOKUP(S1,h2portion!$C$1:$AB$5,2)</f>
        <v>2616115.554</v>
      </c>
      <c r="T5" s="3">
        <f>(VLOOKUP(T1,'raw data2'!$A$6:$N$31,14))*HLOOKUP(T1,h2portion!$C$1:$AB$5,4)/HLOOKUP(T1,h2portion!$C$1:$AB$5,2)</f>
        <v>2683834.796</v>
      </c>
      <c r="U5" s="3">
        <f>(VLOOKUP(U1,'raw data2'!$A$6:$N$31,14))*HLOOKUP(U1,h2portion!$C$1:$AB$5,4)/HLOOKUP(U1,h2portion!$C$1:$AB$5,2)</f>
        <v>2741306.98</v>
      </c>
      <c r="V5" s="3">
        <f>(VLOOKUP(V1,'raw data2'!$A$6:$N$31,14))*HLOOKUP(V1,h2portion!$C$1:$AB$5,4)/HLOOKUP(V1,h2portion!$C$1:$AB$5,2)</f>
        <v>2625495.443</v>
      </c>
      <c r="W5" s="3">
        <f>(VLOOKUP(W1,'raw data2'!$A$6:$N$31,14))*HLOOKUP(W1,h2portion!$C$1:$AB$5,4)/HLOOKUP(W1,h2portion!$C$1:$AB$5,2)</f>
        <v>2514888.918</v>
      </c>
      <c r="X5" s="3">
        <f>(VLOOKUP(X1,'raw data2'!$A$6:$N$31,14))*HLOOKUP(X1,h2portion!$C$1:$AB$5,4)/HLOOKUP(X1,h2portion!$C$1:$AB$5,2)</f>
        <v>2408619.731</v>
      </c>
      <c r="Y5" s="3">
        <f>(VLOOKUP(Y1,'raw data2'!$A$6:$N$31,14))*HLOOKUP(Y1,h2portion!$C$1:$AB$5,4)/HLOOKUP(Y1,h2portion!$C$1:$AB$5,2)</f>
        <v>2537834.181</v>
      </c>
      <c r="Z5" s="3">
        <f>(VLOOKUP(Z1,'raw data2'!$A$6:$N$31,14))*HLOOKUP(Z1,h2portion!$C$1:$AB$5,4)/HLOOKUP(Z1,h2portion!$C$1:$AB$5,2)</f>
        <v>2651953.875</v>
      </c>
      <c r="AA5" s="3">
        <f>(VLOOKUP(AA1,'raw data2'!$A$6:$N$31,14))*HLOOKUP(AA1,h2portion!$C$1:$AB$5,4)/HLOOKUP(AA1,h2portion!$C$1:$AB$5,2)</f>
        <v>2646423.759</v>
      </c>
    </row>
    <row r="6" ht="15.75" customHeight="1">
      <c r="C6" s="3"/>
    </row>
    <row r="7" ht="15.75" customHeight="1">
      <c r="C7" s="3"/>
    </row>
    <row r="8" ht="15.75" customHeight="1">
      <c r="C8" s="3"/>
    </row>
    <row r="9" ht="15.75" customHeight="1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C12" s="3"/>
    </row>
    <row r="13" ht="15.75" customHeight="1">
      <c r="C13" s="3"/>
    </row>
    <row r="14" ht="15.75" customHeight="1">
      <c r="C14" s="3"/>
    </row>
    <row r="15" ht="15.75" customHeight="1">
      <c r="C15" s="3"/>
    </row>
    <row r="16" ht="15.75" customHeight="1">
      <c r="C16" s="3"/>
    </row>
    <row r="17" ht="15.75" customHeight="1">
      <c r="C17" s="3"/>
    </row>
    <row r="18" ht="15.75" customHeight="1">
      <c r="C18" s="3"/>
    </row>
    <row r="19" ht="15.75" customHeight="1">
      <c r="C19" s="3"/>
    </row>
    <row r="20" ht="15.75" customHeight="1">
      <c r="C20" s="3"/>
    </row>
    <row r="21" ht="15.75" customHeight="1">
      <c r="C21" s="3"/>
    </row>
    <row r="22" ht="15.75" customHeight="1">
      <c r="C22" s="3"/>
    </row>
    <row r="23" ht="15.75" customHeight="1">
      <c r="C23" s="3"/>
    </row>
    <row r="24" ht="15.75" customHeight="1">
      <c r="C24" s="3"/>
    </row>
    <row r="25" ht="15.75" customHeight="1">
      <c r="C25" s="3"/>
    </row>
    <row r="26" ht="15.75" customHeight="1">
      <c r="C26" s="3"/>
    </row>
    <row r="27" ht="15.75" customHeight="1">
      <c r="C27" s="3"/>
    </row>
    <row r="28" ht="15.75" customHeight="1">
      <c r="C28" s="3"/>
    </row>
    <row r="29" ht="15.75" customHeight="1">
      <c r="C29" s="3"/>
    </row>
    <row r="30" ht="15.75" customHeight="1">
      <c r="C30" s="3"/>
    </row>
    <row r="31" ht="15.75" customHeight="1">
      <c r="C31" s="3"/>
    </row>
    <row r="32" ht="15.75" customHeight="1">
      <c r="C32" s="3"/>
    </row>
    <row r="33" ht="15.75" customHeight="1">
      <c r="C33" s="3"/>
    </row>
    <row r="34" ht="15.75" customHeight="1">
      <c r="C34" s="3"/>
    </row>
    <row r="35" ht="15.75" customHeight="1">
      <c r="C35" s="3"/>
    </row>
    <row r="36" ht="15.75" customHeight="1">
      <c r="C36" s="3"/>
    </row>
    <row r="37" ht="15.75" customHeight="1">
      <c r="C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44"/>
    <col customWidth="1" min="3" max="27" width="16.33"/>
  </cols>
  <sheetData>
    <row r="1" ht="15.75" customHeight="1">
      <c r="A1" s="1" t="s">
        <v>0</v>
      </c>
      <c r="B1" s="1" t="s">
        <v>1</v>
      </c>
      <c r="C1" s="1">
        <v>2026.0</v>
      </c>
      <c r="D1" s="1">
        <v>2027.0</v>
      </c>
      <c r="E1" s="1">
        <v>2028.0</v>
      </c>
      <c r="F1" s="1">
        <v>2029.0</v>
      </c>
      <c r="G1" s="1">
        <v>2030.0</v>
      </c>
      <c r="H1" s="1">
        <v>2031.0</v>
      </c>
      <c r="I1" s="1">
        <v>2032.0</v>
      </c>
      <c r="J1" s="1">
        <v>2033.0</v>
      </c>
      <c r="K1" s="1">
        <v>2034.0</v>
      </c>
      <c r="L1" s="1">
        <v>2035.0</v>
      </c>
      <c r="M1" s="1">
        <v>2036.0</v>
      </c>
      <c r="N1" s="1">
        <v>2037.0</v>
      </c>
      <c r="O1" s="1">
        <v>2038.0</v>
      </c>
      <c r="P1" s="1">
        <v>2039.0</v>
      </c>
      <c r="Q1" s="1">
        <v>2040.0</v>
      </c>
      <c r="R1" s="1">
        <v>2041.0</v>
      </c>
      <c r="S1" s="1">
        <v>2042.0</v>
      </c>
      <c r="T1" s="1">
        <v>2043.0</v>
      </c>
      <c r="U1" s="1">
        <v>2044.0</v>
      </c>
      <c r="V1" s="1">
        <v>2045.0</v>
      </c>
      <c r="W1" s="1">
        <v>2046.0</v>
      </c>
      <c r="X1" s="1">
        <v>2047.0</v>
      </c>
      <c r="Y1" s="1">
        <v>2048.0</v>
      </c>
      <c r="Z1" s="1">
        <v>2049.0</v>
      </c>
      <c r="AA1" s="1">
        <v>2050.0</v>
      </c>
    </row>
    <row r="2" ht="15.75" customHeight="1">
      <c r="A2" s="1" t="s">
        <v>2</v>
      </c>
      <c r="B2" s="2" t="s">
        <v>3</v>
      </c>
      <c r="C2" s="3">
        <f>'raw data2cbam'!M7</f>
        <v>-890489.6581</v>
      </c>
      <c r="D2" s="3">
        <f>'raw data2cbam'!M8</f>
        <v>-1085959.671</v>
      </c>
      <c r="E2" s="3">
        <f>'raw data2cbam'!M9</f>
        <v>-1279570.06</v>
      </c>
      <c r="F2" s="3">
        <f>'raw data2cbam'!M10</f>
        <v>-1471320.825</v>
      </c>
      <c r="G2" s="3">
        <f>'raw data2cbam'!M11</f>
        <v>-1661211.968</v>
      </c>
      <c r="H2" s="3">
        <f>'raw data2cbam'!M12</f>
        <v>-1803396.299</v>
      </c>
      <c r="I2" s="3">
        <f>'raw data2cbam'!M13</f>
        <v>-1945580.631</v>
      </c>
      <c r="J2" s="3">
        <f>'raw data2cbam'!M14</f>
        <v>-2354360.584</v>
      </c>
      <c r="K2" s="3">
        <f>'raw data2cbam'!M15</f>
        <v>-2763140.538</v>
      </c>
      <c r="L2" s="3">
        <f>'raw data2cbam'!M16</f>
        <v>-3260785.698</v>
      </c>
      <c r="M2" s="3">
        <f>'raw data2cbam'!M17</f>
        <v>-4149437.771</v>
      </c>
      <c r="N2" s="3">
        <f>'raw data2cbam'!M18</f>
        <v>-4149437.771</v>
      </c>
      <c r="O2" s="3">
        <f>'raw data2cbam'!M19</f>
        <v>-4218627.894</v>
      </c>
      <c r="P2" s="3">
        <f>'raw data2cbam'!M20</f>
        <v>-4189115.269</v>
      </c>
      <c r="Q2" s="3">
        <f>'raw data2cbam'!M21</f>
        <v>-4070737.437</v>
      </c>
      <c r="R2" s="3">
        <f>'raw data2cbam'!M22</f>
        <v>-4159602.644</v>
      </c>
      <c r="S2" s="3">
        <f>'raw data2cbam'!M23</f>
        <v>-4248467.851</v>
      </c>
      <c r="T2" s="3">
        <f>'raw data2cbam'!M24</f>
        <v>-4633550.416</v>
      </c>
      <c r="U2" s="3">
        <f>'raw data2cbam'!M25</f>
        <v>-5018632.981</v>
      </c>
      <c r="V2" s="3">
        <f>'raw data2cbam'!M26</f>
        <v>-5403715.545</v>
      </c>
      <c r="W2" s="3">
        <f>'raw data2cbam'!M27</f>
        <v>-5443393.044</v>
      </c>
      <c r="X2" s="3">
        <f>'raw data2cbam'!M28</f>
        <v>-5433882.834</v>
      </c>
      <c r="Y2" s="3">
        <f>'raw data2cbam'!M29</f>
        <v>-5829021.161</v>
      </c>
      <c r="Z2" s="3">
        <f>'raw data2cbam'!M30</f>
        <v>-6322534.906</v>
      </c>
      <c r="AA2" s="3">
        <f>'raw data2cbam'!M31</f>
        <v>-6618643.153</v>
      </c>
    </row>
    <row r="3" ht="15.75" customHeight="1">
      <c r="A3" s="1" t="s">
        <v>2</v>
      </c>
      <c r="B3" s="2" t="s">
        <v>4</v>
      </c>
      <c r="C3" s="3">
        <f>VLOOKUP(C1,'raw data2cbam'!$A$6:$R$31,18)</f>
        <v>4611807.602</v>
      </c>
      <c r="D3" s="3">
        <f>VLOOKUP(D1,'raw data2cbam'!$A$6:$R$31,18)</f>
        <v>4678949.973</v>
      </c>
      <c r="E3" s="3">
        <f>VLOOKUP(E1,'raw data2cbam'!$A$6:$R$31,18)</f>
        <v>5009764.141</v>
      </c>
      <c r="F3" s="3">
        <f>VLOOKUP(F1,'raw data2cbam'!$A$6:$R$31,18)</f>
        <v>5348038.572</v>
      </c>
      <c r="G3" s="3">
        <f>VLOOKUP(G1,'raw data2cbam'!$A$6:$R$31,18)</f>
        <v>5693773.267</v>
      </c>
      <c r="H3" s="3">
        <f>VLOOKUP(H1,'raw data2cbam'!$A$6:$R$31,18)</f>
        <v>5944438.118</v>
      </c>
      <c r="I3" s="3">
        <f>VLOOKUP(I1,'raw data2cbam'!$A$6:$R$31,18)</f>
        <v>6490107.873</v>
      </c>
      <c r="J3" s="3">
        <f>VLOOKUP(J1,'raw data2cbam'!$A$6:$R$31,18)</f>
        <v>7673425.941</v>
      </c>
      <c r="K3" s="3">
        <f>VLOOKUP(K1,'raw data2cbam'!$A$6:$R$31,18)</f>
        <v>8933988.633</v>
      </c>
      <c r="L3" s="3">
        <f>VLOOKUP(L1,'raw data2cbam'!$A$6:$R$31,18)</f>
        <v>10494178.36</v>
      </c>
      <c r="M3" s="3">
        <f>VLOOKUP(M1,'raw data2cbam'!$A$6:$R$31,18)</f>
        <v>12538623.38</v>
      </c>
      <c r="N3" s="3">
        <f>VLOOKUP(N1,'raw data2cbam'!$A$6:$R$31,18)</f>
        <v>12718002.53</v>
      </c>
      <c r="O3" s="3">
        <f>VLOOKUP(O1,'raw data2cbam'!$A$6:$R$31,18)</f>
        <v>13083888.27</v>
      </c>
      <c r="P3" s="3">
        <f>VLOOKUP(P1,'raw data2cbam'!$A$6:$R$31,18)</f>
        <v>13263267.43</v>
      </c>
      <c r="Q3" s="3">
        <f>VLOOKUP(Q1,'raw data2cbam'!$A$6:$R$31,18)</f>
        <v>13076760.84</v>
      </c>
      <c r="R3" s="3">
        <f>VLOOKUP(R1,'raw data2cbam'!$A$6:$R$31,18)</f>
        <v>13352957</v>
      </c>
      <c r="S3" s="3">
        <f>VLOOKUP(S1,'raw data2cbam'!$A$6:$R$31,18)</f>
        <v>13629153.17</v>
      </c>
      <c r="T3" s="3">
        <f>VLOOKUP(T1,'raw data2cbam'!$A$6:$R$31,18)</f>
        <v>14527037.95</v>
      </c>
      <c r="U3" s="3">
        <f>VLOOKUP(U1,'raw data2cbam'!$A$6:$R$31,18)</f>
        <v>15424922.73</v>
      </c>
      <c r="V3" s="3">
        <f>VLOOKUP(V1,'raw data2cbam'!$A$6:$R$31,18)</f>
        <v>16233117.94</v>
      </c>
      <c r="W3" s="3">
        <f>VLOOKUP(W1,'raw data2cbam'!$A$6:$R$31,18)</f>
        <v>16419624.53</v>
      </c>
      <c r="X3" s="3">
        <f>VLOOKUP(X1,'raw data2cbam'!$A$6:$R$31,18)</f>
        <v>16606131.11</v>
      </c>
      <c r="Y3" s="3">
        <f>VLOOKUP(Y1,'raw data2cbam'!$A$6:$R$31,18)</f>
        <v>17682167.37</v>
      </c>
      <c r="Z3" s="3">
        <f>VLOOKUP(Z1,'raw data2cbam'!$A$6:$R$31,18)</f>
        <v>18758203.62</v>
      </c>
      <c r="AA3" s="3">
        <f>VLOOKUP(AA1,'raw data2cbam'!$A$6:$R$31,18)</f>
        <v>19389475.04</v>
      </c>
    </row>
    <row r="4" ht="15.75" customHeight="1">
      <c r="A4" s="1" t="s">
        <v>5</v>
      </c>
      <c r="B4" s="4" t="s">
        <v>6</v>
      </c>
      <c r="C4" s="3">
        <f>(VLOOKUP(C1,'raw data2cbam'!$A$6:$N$31,14))*HLOOKUP(C1,h2portion!$C$1:$AB$5,3)/HLOOKUP(C1,h2portion!$C$1:$AB$5,2)</f>
        <v>0</v>
      </c>
      <c r="D4" s="3">
        <f>(VLOOKUP(D1,'raw data2cbam'!$A$6:$N$31,14))*HLOOKUP(D1,h2portion!$C$1:$AB$5,3)/HLOOKUP(D1,h2portion!$C$1:$AB$5,2)</f>
        <v>0</v>
      </c>
      <c r="E4" s="3">
        <f>(VLOOKUP(E1,'raw data2cbam'!$A$6:$N$31,14))*HLOOKUP(E1,h2portion!$C$1:$AB$5,3)/HLOOKUP(E1,h2portion!$C$1:$AB$5,2)</f>
        <v>0</v>
      </c>
      <c r="F4" s="3">
        <f>(VLOOKUP(F1,'raw data2cbam'!$A$6:$N$31,14))*HLOOKUP(F1,h2portion!$C$1:$AB$5,3)/HLOOKUP(F1,h2portion!$C$1:$AB$5,2)</f>
        <v>0</v>
      </c>
      <c r="G4" s="3">
        <f>(VLOOKUP(G1,'raw data2cbam'!$A$6:$N$31,14))*HLOOKUP(G1,h2portion!$C$1:$AB$5,3)/HLOOKUP(G1,h2portion!$C$1:$AB$5,2)</f>
        <v>0</v>
      </c>
      <c r="H4" s="3">
        <f>(VLOOKUP(H1,'raw data2cbam'!$A$6:$N$31,14))*HLOOKUP(H1,h2portion!$C$1:$AB$5,3)/HLOOKUP(H1,h2portion!$C$1:$AB$5,2)</f>
        <v>0</v>
      </c>
      <c r="I4" s="3">
        <f>(VLOOKUP(I1,'raw data2cbam'!$A$6:$N$31,14))*HLOOKUP(I1,h2portion!$C$1:$AB$5,3)/HLOOKUP(I1,h2portion!$C$1:$AB$5,2)</f>
        <v>0</v>
      </c>
      <c r="J4" s="3">
        <f>(VLOOKUP(J1,'raw data2cbam'!$A$6:$N$31,14))*HLOOKUP(J1,h2portion!$C$1:$AB$5,3)/HLOOKUP(J1,h2portion!$C$1:$AB$5,2)</f>
        <v>293111.1205</v>
      </c>
      <c r="K4" s="3">
        <f>(VLOOKUP(K1,'raw data2cbam'!$A$6:$N$31,14))*HLOOKUP(K1,h2portion!$C$1:$AB$5,3)/HLOOKUP(K1,h2portion!$C$1:$AB$5,2)</f>
        <v>582693.3921</v>
      </c>
      <c r="L4" s="3">
        <f>(VLOOKUP(L1,'raw data2cbam'!$A$6:$N$31,14))*HLOOKUP(L1,h2portion!$C$1:$AB$5,3)/HLOOKUP(L1,h2portion!$C$1:$AB$5,2)</f>
        <v>958876.9932</v>
      </c>
      <c r="M4" s="3">
        <f>(VLOOKUP(M1,'raw data2cbam'!$A$6:$N$31,14))*HLOOKUP(M1,h2portion!$C$1:$AB$5,3)/HLOOKUP(M1,h2portion!$C$1:$AB$5,2)</f>
        <v>1418813.957</v>
      </c>
      <c r="N4" s="3">
        <f>(VLOOKUP(N1,'raw data2cbam'!$A$6:$N$31,14))*HLOOKUP(N1,h2portion!$C$1:$AB$5,3)/HLOOKUP(N1,h2portion!$C$1:$AB$5,2)</f>
        <v>1771440.734</v>
      </c>
      <c r="O4" s="3">
        <f>(VLOOKUP(O1,'raw data2cbam'!$A$6:$N$31,14))*HLOOKUP(O1,h2portion!$C$1:$AB$5,3)/HLOOKUP(O1,h2portion!$C$1:$AB$5,2)</f>
        <v>2118599.158</v>
      </c>
      <c r="P4" s="3">
        <f>(VLOOKUP(P1,'raw data2cbam'!$A$6:$N$31,14))*HLOOKUP(P1,h2portion!$C$1:$AB$5,3)/HLOOKUP(P1,h2portion!$C$1:$AB$5,2)</f>
        <v>2432738.948</v>
      </c>
      <c r="Q4" s="3">
        <f>(VLOOKUP(Q1,'raw data2cbam'!$A$6:$N$31,14))*HLOOKUP(Q1,h2portion!$C$1:$AB$5,3)/HLOOKUP(Q1,h2portion!$C$1:$AB$5,2)</f>
        <v>2328420.978</v>
      </c>
      <c r="R4" s="3">
        <f>(VLOOKUP(R1,'raw data2cbam'!$A$6:$N$31,14))*HLOOKUP(R1,h2portion!$C$1:$AB$5,3)/HLOOKUP(R1,h2portion!$C$1:$AB$5,2)</f>
        <v>2229874.855</v>
      </c>
      <c r="S4" s="3">
        <f>(VLOOKUP(S1,'raw data2cbam'!$A$6:$N$31,14))*HLOOKUP(S1,h2portion!$C$1:$AB$5,3)/HLOOKUP(S1,h2portion!$C$1:$AB$5,2)</f>
        <v>2299010.638</v>
      </c>
      <c r="T4" s="3">
        <f>(VLOOKUP(T1,'raw data2cbam'!$A$6:$N$31,14))*HLOOKUP(T1,h2portion!$C$1:$AB$5,3)/HLOOKUP(T1,h2portion!$C$1:$AB$5,2)</f>
        <v>2358521.481</v>
      </c>
      <c r="U4" s="3">
        <f>(VLOOKUP(U1,'raw data2cbam'!$A$6:$N$31,14))*HLOOKUP(U1,h2portion!$C$1:$AB$5,3)/HLOOKUP(U1,h2portion!$C$1:$AB$5,2)</f>
        <v>2409027.346</v>
      </c>
      <c r="V4" s="3">
        <f>(VLOOKUP(V1,'raw data2cbam'!$A$6:$N$31,14))*HLOOKUP(V1,h2portion!$C$1:$AB$5,3)/HLOOKUP(V1,h2portion!$C$1:$AB$5,2)</f>
        <v>2307253.571</v>
      </c>
      <c r="W4" s="3">
        <f>(VLOOKUP(W1,'raw data2cbam'!$A$6:$N$31,14))*HLOOKUP(W1,h2portion!$C$1:$AB$5,3)/HLOOKUP(W1,h2portion!$C$1:$AB$5,2)</f>
        <v>2210053.898</v>
      </c>
      <c r="X4" s="3">
        <f>(VLOOKUP(X1,'raw data2cbam'!$A$6:$N$31,14))*HLOOKUP(X1,h2portion!$C$1:$AB$5,3)/HLOOKUP(X1,h2portion!$C$1:$AB$5,2)</f>
        <v>2116665.824</v>
      </c>
      <c r="Y4" s="3">
        <f>(VLOOKUP(Y1,'raw data2cbam'!$A$6:$N$31,14))*HLOOKUP(Y1,h2portion!$C$1:$AB$5,3)/HLOOKUP(Y1,h2portion!$C$1:$AB$5,2)</f>
        <v>2230217.913</v>
      </c>
      <c r="Z4" s="3">
        <f>(VLOOKUP(Z1,'raw data2cbam'!$A$6:$N$31,14))*HLOOKUP(Z1,h2portion!$C$1:$AB$5,3)/HLOOKUP(Z1,h2portion!$C$1:$AB$5,2)</f>
        <v>2330504.922</v>
      </c>
      <c r="AA4" s="3">
        <f>(VLOOKUP(AA1,'raw data2cbam'!$A$6:$N$31,14))*HLOOKUP(AA1,h2portion!$C$1:$AB$5,3)/HLOOKUP(AA1,h2portion!$C$1:$AB$5,2)</f>
        <v>2325645.121</v>
      </c>
    </row>
    <row r="5" ht="15.75" customHeight="1">
      <c r="A5" s="1" t="s">
        <v>5</v>
      </c>
      <c r="B5" s="4" t="s">
        <v>7</v>
      </c>
      <c r="C5" s="3">
        <f>(VLOOKUP(C1,'raw data2cbam'!$A$6:$N$31,14))*HLOOKUP(C1,h2portion!$C$1:$AB$5,4)/HLOOKUP(C1,h2portion!$C$1:$AB$5,2)</f>
        <v>0</v>
      </c>
      <c r="D5" s="3">
        <f>(VLOOKUP(D1,'raw data2cbam'!$A$6:$N$31,14))*HLOOKUP(D1,h2portion!$C$1:$AB$5,4)/HLOOKUP(D1,h2portion!$C$1:$AB$5,2)</f>
        <v>0</v>
      </c>
      <c r="E5" s="3">
        <f>(VLOOKUP(E1,'raw data2cbam'!$A$6:$N$31,14))*HLOOKUP(E1,h2portion!$C$1:$AB$5,4)/HLOOKUP(E1,h2portion!$C$1:$AB$5,2)</f>
        <v>0</v>
      </c>
      <c r="F5" s="3">
        <f>(VLOOKUP(F1,'raw data2cbam'!$A$6:$N$31,14))*HLOOKUP(F1,h2portion!$C$1:$AB$5,4)/HLOOKUP(F1,h2portion!$C$1:$AB$5,2)</f>
        <v>0</v>
      </c>
      <c r="G5" s="3">
        <f>(VLOOKUP(G1,'raw data2cbam'!$A$6:$N$31,14))*HLOOKUP(G1,h2portion!$C$1:$AB$5,4)/HLOOKUP(G1,h2portion!$C$1:$AB$5,2)</f>
        <v>0</v>
      </c>
      <c r="H5" s="3">
        <f>(VLOOKUP(H1,'raw data2cbam'!$A$6:$N$31,14))*HLOOKUP(H1,h2portion!$C$1:$AB$5,4)/HLOOKUP(H1,h2portion!$C$1:$AB$5,2)</f>
        <v>0</v>
      </c>
      <c r="I5" s="3">
        <f>(VLOOKUP(I1,'raw data2cbam'!$A$6:$N$31,14))*HLOOKUP(I1,h2portion!$C$1:$AB$5,4)/HLOOKUP(I1,h2portion!$C$1:$AB$5,2)</f>
        <v>0</v>
      </c>
      <c r="J5" s="3">
        <f>(VLOOKUP(J1,'raw data2cbam'!$A$6:$N$31,14))*HLOOKUP(J1,h2portion!$C$1:$AB$5,4)/HLOOKUP(J1,h2portion!$C$1:$AB$5,2)</f>
        <v>371501.3038</v>
      </c>
      <c r="K5" s="3">
        <f>(VLOOKUP(K1,'raw data2cbam'!$A$6:$N$31,14))*HLOOKUP(K1,h2portion!$C$1:$AB$5,4)/HLOOKUP(K1,h2portion!$C$1:$AB$5,2)</f>
        <v>738529.997</v>
      </c>
      <c r="L5" s="3">
        <f>(VLOOKUP(L1,'raw data2cbam'!$A$6:$N$31,14))*HLOOKUP(L1,h2portion!$C$1:$AB$5,4)/HLOOKUP(L1,h2portion!$C$1:$AB$5,2)</f>
        <v>1215320.84</v>
      </c>
      <c r="M5" s="3">
        <f>(VLOOKUP(M1,'raw data2cbam'!$A$6:$N$31,14))*HLOOKUP(M1,h2portion!$C$1:$AB$5,4)/HLOOKUP(M1,h2portion!$C$1:$AB$5,2)</f>
        <v>1798264.201</v>
      </c>
      <c r="N5" s="3">
        <f>(VLOOKUP(N1,'raw data2cbam'!$A$6:$N$31,14))*HLOOKUP(N1,h2portion!$C$1:$AB$5,4)/HLOOKUP(N1,h2portion!$C$1:$AB$5,2)</f>
        <v>2245198.14</v>
      </c>
      <c r="O5" s="3">
        <f>(VLOOKUP(O1,'raw data2cbam'!$A$6:$N$31,14))*HLOOKUP(O1,h2portion!$C$1:$AB$5,4)/HLOOKUP(O1,h2portion!$C$1:$AB$5,2)</f>
        <v>2685201.258</v>
      </c>
      <c r="P5" s="3">
        <f>(VLOOKUP(P1,'raw data2cbam'!$A$6:$N$31,14))*HLOOKUP(P1,h2portion!$C$1:$AB$5,4)/HLOOKUP(P1,h2portion!$C$1:$AB$5,2)</f>
        <v>3083355.179</v>
      </c>
      <c r="Q5" s="3">
        <f>(VLOOKUP(Q1,'raw data2cbam'!$A$6:$N$31,14))*HLOOKUP(Q1,h2portion!$C$1:$AB$5,4)/HLOOKUP(Q1,h2portion!$C$1:$AB$5,2)</f>
        <v>2951138.216</v>
      </c>
      <c r="R5" s="3">
        <f>(VLOOKUP(R1,'raw data2cbam'!$A$6:$N$31,14))*HLOOKUP(R1,h2portion!$C$1:$AB$5,4)/HLOOKUP(R1,h2portion!$C$1:$AB$5,2)</f>
        <v>2537443.801</v>
      </c>
      <c r="S5" s="3">
        <f>(VLOOKUP(S1,'raw data2cbam'!$A$6:$N$31,14))*HLOOKUP(S1,h2portion!$C$1:$AB$5,4)/HLOOKUP(S1,h2portion!$C$1:$AB$5,2)</f>
        <v>2616115.554</v>
      </c>
      <c r="T5" s="3">
        <f>(VLOOKUP(T1,'raw data2cbam'!$A$6:$N$31,14))*HLOOKUP(T1,h2portion!$C$1:$AB$5,4)/HLOOKUP(T1,h2portion!$C$1:$AB$5,2)</f>
        <v>2683834.789</v>
      </c>
      <c r="U5" s="3">
        <f>(VLOOKUP(U1,'raw data2cbam'!$A$6:$N$31,14))*HLOOKUP(U1,h2portion!$C$1:$AB$5,4)/HLOOKUP(U1,h2portion!$C$1:$AB$5,2)</f>
        <v>2741306.98</v>
      </c>
      <c r="V5" s="3">
        <f>(VLOOKUP(V1,'raw data2cbam'!$A$6:$N$31,14))*HLOOKUP(V1,h2portion!$C$1:$AB$5,4)/HLOOKUP(V1,h2portion!$C$1:$AB$5,2)</f>
        <v>2625495.443</v>
      </c>
      <c r="W5" s="3">
        <f>(VLOOKUP(W1,'raw data2cbam'!$A$6:$N$31,14))*HLOOKUP(W1,h2portion!$C$1:$AB$5,4)/HLOOKUP(W1,h2portion!$C$1:$AB$5,2)</f>
        <v>2514888.918</v>
      </c>
      <c r="X5" s="3">
        <f>(VLOOKUP(X1,'raw data2cbam'!$A$6:$N$31,14))*HLOOKUP(X1,h2portion!$C$1:$AB$5,4)/HLOOKUP(X1,h2portion!$C$1:$AB$5,2)</f>
        <v>2408619.731</v>
      </c>
      <c r="Y5" s="3">
        <f>(VLOOKUP(Y1,'raw data2cbam'!$A$6:$N$31,14))*HLOOKUP(Y1,h2portion!$C$1:$AB$5,4)/HLOOKUP(Y1,h2portion!$C$1:$AB$5,2)</f>
        <v>2537834.177</v>
      </c>
      <c r="Z5" s="3">
        <f>(VLOOKUP(Z1,'raw data2cbam'!$A$6:$N$31,14))*HLOOKUP(Z1,h2portion!$C$1:$AB$5,4)/HLOOKUP(Z1,h2portion!$C$1:$AB$5,2)</f>
        <v>2651953.877</v>
      </c>
      <c r="AA5" s="3">
        <f>(VLOOKUP(AA1,'raw data2cbam'!$A$6:$N$31,14))*HLOOKUP(AA1,h2portion!$C$1:$AB$5,4)/HLOOKUP(AA1,h2portion!$C$1:$AB$5,2)</f>
        <v>2646423.759</v>
      </c>
    </row>
    <row r="6" ht="15.75" customHeight="1">
      <c r="C6" s="3"/>
    </row>
    <row r="7" ht="15.75" customHeight="1">
      <c r="C7" s="3"/>
    </row>
    <row r="8" ht="15.75" customHeight="1">
      <c r="C8" s="3"/>
    </row>
    <row r="9" ht="15.75" customHeight="1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C12" s="3"/>
    </row>
    <row r="13" ht="15.75" customHeight="1">
      <c r="C13" s="3"/>
    </row>
    <row r="14" ht="15.75" customHeight="1">
      <c r="C14" s="3"/>
    </row>
    <row r="15" ht="15.75" customHeight="1">
      <c r="C15" s="3"/>
    </row>
    <row r="16" ht="15.75" customHeight="1">
      <c r="C16" s="3"/>
    </row>
    <row r="17" ht="15.75" customHeight="1">
      <c r="C17" s="3"/>
    </row>
    <row r="18" ht="15.75" customHeight="1">
      <c r="C18" s="3"/>
    </row>
    <row r="19" ht="15.75" customHeight="1">
      <c r="C19" s="3"/>
    </row>
    <row r="20" ht="15.75" customHeight="1">
      <c r="C20" s="3"/>
    </row>
    <row r="21" ht="15.75" customHeight="1">
      <c r="C21" s="3"/>
    </row>
    <row r="22" ht="15.75" customHeight="1">
      <c r="C22" s="3"/>
    </row>
    <row r="23" ht="15.75" customHeight="1">
      <c r="C23" s="3"/>
    </row>
    <row r="24" ht="15.75" customHeight="1">
      <c r="C24" s="3"/>
    </row>
    <row r="25" ht="15.75" customHeight="1">
      <c r="C25" s="3"/>
    </row>
    <row r="26" ht="15.75" customHeight="1">
      <c r="C26" s="3"/>
    </row>
    <row r="27" ht="15.75" customHeight="1">
      <c r="C27" s="3"/>
    </row>
    <row r="28" ht="15.75" customHeight="1">
      <c r="C28" s="3"/>
    </row>
    <row r="29" ht="15.75" customHeight="1">
      <c r="C29" s="3"/>
    </row>
    <row r="30" ht="15.75" customHeight="1">
      <c r="C30" s="3"/>
    </row>
    <row r="31" ht="15.75" customHeight="1">
      <c r="C31" s="3"/>
    </row>
    <row r="32" ht="15.75" customHeight="1">
      <c r="C32" s="3"/>
    </row>
    <row r="33" ht="15.75" customHeight="1">
      <c r="C33" s="3"/>
    </row>
    <row r="34" ht="15.75" customHeight="1">
      <c r="C34" s="3"/>
    </row>
    <row r="35" ht="15.75" customHeight="1">
      <c r="C35" s="3"/>
    </row>
    <row r="36" ht="15.75" customHeight="1">
      <c r="C36" s="3"/>
    </row>
    <row r="37" ht="15.75" customHeight="1">
      <c r="C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4.67"/>
    <col customWidth="1" min="3" max="3" width="13.67"/>
    <col customWidth="1" min="4" max="4" width="15.33"/>
    <col customWidth="1" min="5" max="6" width="14.67"/>
    <col customWidth="1" min="7" max="7" width="13.67"/>
    <col customWidth="1" min="8" max="8" width="14.67"/>
    <col customWidth="1" min="9" max="9" width="10.44"/>
    <col customWidth="1" min="10" max="11" width="14.67"/>
    <col customWidth="1" min="12" max="12" width="10.44"/>
    <col customWidth="1" min="13" max="13" width="13.11"/>
    <col customWidth="1" min="14" max="14" width="13.67"/>
    <col customWidth="1" min="15" max="16" width="12.67"/>
    <col customWidth="1" min="17" max="18" width="13.67"/>
    <col customWidth="1" min="19" max="26" width="10.44"/>
  </cols>
  <sheetData>
    <row r="1" ht="15.75" customHeight="1">
      <c r="B1" s="5" t="s">
        <v>8</v>
      </c>
      <c r="C1" s="5"/>
      <c r="D1" s="5">
        <v>4.0</v>
      </c>
      <c r="E1" s="5">
        <v>5.0</v>
      </c>
      <c r="F1" s="5">
        <v>6.0</v>
      </c>
      <c r="G1" s="5">
        <v>7.0</v>
      </c>
      <c r="H1" s="5">
        <v>8.0</v>
      </c>
      <c r="I1" s="5">
        <v>9.0</v>
      </c>
      <c r="J1" s="5">
        <v>10.0</v>
      </c>
      <c r="K1" s="5">
        <v>11.0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</row>
    <row r="2" ht="15.75" customHeight="1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</row>
    <row r="3" ht="15.75" customHeight="1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</row>
    <row r="4" ht="15.75" customHeight="1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</row>
    <row r="5" ht="15.75" customHeight="1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</row>
    <row r="6" ht="15.75" customHeight="1">
      <c r="A6" s="20">
        <v>2025.0</v>
      </c>
      <c r="B6" s="21">
        <v>6.55860717432E8</v>
      </c>
      <c r="C6" s="21">
        <v>4.8082610148E7</v>
      </c>
      <c r="D6" s="21">
        <f t="shared" ref="D6:D31" si="1">SUM(B6:C6)</f>
        <v>703943327.6</v>
      </c>
      <c r="E6" s="21">
        <v>0.0</v>
      </c>
      <c r="F6" s="21">
        <v>0.0</v>
      </c>
      <c r="G6" s="21">
        <v>0.0</v>
      </c>
      <c r="H6" s="21">
        <f t="shared" ref="H6:H31" si="2">SUM(D6:G6)</f>
        <v>703943327.6</v>
      </c>
      <c r="I6" s="22"/>
      <c r="J6" s="22"/>
      <c r="K6" s="22"/>
      <c r="L6" s="22"/>
      <c r="M6" s="23"/>
      <c r="N6" s="22">
        <f>E6*parameters!K7/1000</f>
        <v>0</v>
      </c>
      <c r="O6" s="22">
        <f>parameters!$G$7*(1-parameters!$H$7)*parameters!L7/1000</f>
        <v>974131.5301</v>
      </c>
      <c r="P6" s="22">
        <f>G6*parameters!$C$7*parameters!L7/1000</f>
        <v>0</v>
      </c>
      <c r="Q6" s="22">
        <f>F6*parameters!$E$7*parameters!$D$7*parameters!L7/1000</f>
        <v>0</v>
      </c>
      <c r="R6" s="24">
        <f t="shared" ref="R6:R31" si="3">O6+P6+Q6</f>
        <v>974131.5301</v>
      </c>
    </row>
    <row r="7" ht="15.75" customHeight="1">
      <c r="A7" s="20">
        <v>2026.0</v>
      </c>
      <c r="B7" s="21">
        <v>6.118422453157588E8</v>
      </c>
      <c r="C7" s="21">
        <v>4.504139894832639E7</v>
      </c>
      <c r="D7" s="21">
        <f t="shared" si="1"/>
        <v>656883644.3</v>
      </c>
      <c r="E7" s="21">
        <v>0.0</v>
      </c>
      <c r="F7" s="21">
        <v>0.0</v>
      </c>
      <c r="G7" s="21">
        <v>1.5E7</v>
      </c>
      <c r="H7" s="21">
        <f t="shared" si="2"/>
        <v>671883644.3</v>
      </c>
      <c r="I7" s="22"/>
      <c r="J7" s="22">
        <f t="shared" ref="J7:J31" si="4">(B6+C6)-(B7+C7)</f>
        <v>47059683.32</v>
      </c>
      <c r="K7" s="22">
        <f>J7</f>
        <v>47059683.32</v>
      </c>
      <c r="L7" s="22"/>
      <c r="M7" s="23">
        <f>-K7*parameters!$B$7*parameters!J8/1000</f>
        <v>-660838.1061</v>
      </c>
      <c r="N7" s="22">
        <f>E7*parameters!K8/1000</f>
        <v>0</v>
      </c>
      <c r="O7" s="22">
        <f>parameters!$G$7*(1-parameters!$H$7)*parameters!L8/1000</f>
        <v>1031433.385</v>
      </c>
      <c r="P7" s="22">
        <f>G7*parameters!$C$7*parameters!L8/1000</f>
        <v>750060</v>
      </c>
      <c r="Q7" s="22">
        <f>F7*parameters!$E$7*parameters!$D$7*parameters!L8/1000</f>
        <v>0</v>
      </c>
      <c r="R7" s="24">
        <f t="shared" si="3"/>
        <v>1781493.385</v>
      </c>
    </row>
    <row r="8" ht="15.75" customHeight="1">
      <c r="A8" s="20">
        <v>2027.0</v>
      </c>
      <c r="B8" s="21">
        <v>5.756454485581396E8</v>
      </c>
      <c r="C8" s="21">
        <v>4.237670077387698E7</v>
      </c>
      <c r="D8" s="21">
        <f t="shared" si="1"/>
        <v>618022149.3</v>
      </c>
      <c r="E8" s="21">
        <v>0.0</v>
      </c>
      <c r="F8" s="21">
        <v>0.0</v>
      </c>
      <c r="G8" s="21">
        <v>3.0E7</v>
      </c>
      <c r="H8" s="21">
        <f t="shared" si="2"/>
        <v>648022149.3</v>
      </c>
      <c r="I8" s="22"/>
      <c r="J8" s="22">
        <f t="shared" si="4"/>
        <v>38861494.93</v>
      </c>
      <c r="K8" s="22">
        <f t="shared" ref="K8:K31" si="5">K7+J8</f>
        <v>85921178.25</v>
      </c>
      <c r="L8" s="22"/>
      <c r="M8" s="23">
        <f>-K8*parameters!$B$7*parameters!J8/1000</f>
        <v>-1206552.716</v>
      </c>
      <c r="N8" s="22">
        <f>E8*parameters!K9/1000</f>
        <v>0</v>
      </c>
      <c r="O8" s="22">
        <f>parameters!$G$7*(1-parameters!$H$7)*parameters!L9/1000</f>
        <v>1031433.385</v>
      </c>
      <c r="P8" s="22">
        <f>G8*parameters!$C$7*parameters!L9/1000</f>
        <v>1500120</v>
      </c>
      <c r="Q8" s="22">
        <f>F8*parameters!$E$7*parameters!$D$7*parameters!L9/1000</f>
        <v>0</v>
      </c>
      <c r="R8" s="24">
        <f t="shared" si="3"/>
        <v>2531553.385</v>
      </c>
    </row>
    <row r="9" ht="15.75" customHeight="1">
      <c r="A9" s="20">
        <v>2028.0</v>
      </c>
      <c r="B9" s="21">
        <v>5.756454485581396E8</v>
      </c>
      <c r="C9" s="21">
        <v>4.237670077387698E7</v>
      </c>
      <c r="D9" s="21">
        <f t="shared" si="1"/>
        <v>618022149.3</v>
      </c>
      <c r="E9" s="21">
        <v>0.0</v>
      </c>
      <c r="F9" s="21">
        <v>0.0</v>
      </c>
      <c r="G9" s="21">
        <v>3.0E7</v>
      </c>
      <c r="H9" s="21">
        <f t="shared" si="2"/>
        <v>648022149.3</v>
      </c>
      <c r="I9" s="22"/>
      <c r="J9" s="22">
        <f t="shared" si="4"/>
        <v>0</v>
      </c>
      <c r="K9" s="22">
        <f t="shared" si="5"/>
        <v>85921178.25</v>
      </c>
      <c r="L9" s="22"/>
      <c r="M9" s="23">
        <f>-K9*parameters!$B$7*parameters!J9/1000</f>
        <v>-1206552.716</v>
      </c>
      <c r="N9" s="22">
        <f>E9*parameters!K10/1000</f>
        <v>0</v>
      </c>
      <c r="O9" s="22">
        <f>parameters!$G$7*(1-parameters!$H$7)*parameters!L10/1000</f>
        <v>1088735.239</v>
      </c>
      <c r="P9" s="22">
        <f>G9*parameters!$C$7*parameters!L10/1000</f>
        <v>1583460</v>
      </c>
      <c r="Q9" s="22">
        <f>F9*parameters!$E$7*parameters!$D$7*parameters!L10/1000</f>
        <v>0</v>
      </c>
      <c r="R9" s="24">
        <f t="shared" si="3"/>
        <v>2672195.239</v>
      </c>
    </row>
    <row r="10" ht="15.75" customHeight="1">
      <c r="A10" s="20">
        <v>2029.0</v>
      </c>
      <c r="B10" s="21">
        <v>5.611666924358393E8</v>
      </c>
      <c r="C10" s="21">
        <v>4.131085735084911E7</v>
      </c>
      <c r="D10" s="21">
        <f t="shared" si="1"/>
        <v>602477549.8</v>
      </c>
      <c r="E10" s="21">
        <v>0.0</v>
      </c>
      <c r="F10" s="21">
        <v>0.0</v>
      </c>
      <c r="G10" s="21">
        <v>3.6E7</v>
      </c>
      <c r="H10" s="21">
        <f t="shared" si="2"/>
        <v>638477549.8</v>
      </c>
      <c r="I10" s="22"/>
      <c r="J10" s="22">
        <f t="shared" si="4"/>
        <v>15544599.55</v>
      </c>
      <c r="K10" s="22">
        <f t="shared" si="5"/>
        <v>101465777.8</v>
      </c>
      <c r="L10" s="22"/>
      <c r="M10" s="23">
        <f>-K10*parameters!$B$7*parameters!J10/1000</f>
        <v>-1424838.582</v>
      </c>
      <c r="N10" s="22">
        <f>E10*parameters!K11/1000</f>
        <v>0</v>
      </c>
      <c r="O10" s="22">
        <f>parameters!$G$7*(1-parameters!$H$7)*parameters!L11/1000</f>
        <v>1146037.094</v>
      </c>
      <c r="P10" s="22">
        <f>G10*parameters!$C$7*parameters!L11/1000</f>
        <v>2000160</v>
      </c>
      <c r="Q10" s="22">
        <f>F10*parameters!$E$7*parameters!$D$7*parameters!L11/1000</f>
        <v>0</v>
      </c>
      <c r="R10" s="24">
        <f t="shared" si="3"/>
        <v>3146197.094</v>
      </c>
    </row>
    <row r="11" ht="15.75" customHeight="1">
      <c r="A11" s="20">
        <v>2030.0</v>
      </c>
      <c r="B11" s="21">
        <v>4.294052387913955E8</v>
      </c>
      <c r="C11" s="21">
        <v>4.131085735084911E7</v>
      </c>
      <c r="D11" s="21">
        <f t="shared" si="1"/>
        <v>470716096.1</v>
      </c>
      <c r="E11" s="21">
        <v>5.759812273278842E7</v>
      </c>
      <c r="F11" s="21">
        <v>5.759812273278844E7</v>
      </c>
      <c r="G11" s="21">
        <v>3.6E7</v>
      </c>
      <c r="H11" s="21">
        <f t="shared" si="2"/>
        <v>621912341.6</v>
      </c>
      <c r="I11" s="22"/>
      <c r="J11" s="22">
        <f t="shared" si="4"/>
        <v>131761453.6</v>
      </c>
      <c r="K11" s="22">
        <f t="shared" si="5"/>
        <v>233227231.4</v>
      </c>
      <c r="L11" s="22"/>
      <c r="M11" s="23">
        <f>-K11*parameters!$B$7*parameters!J11/1000</f>
        <v>-3275105.803</v>
      </c>
      <c r="N11" s="22">
        <f>E11*parameters!K12/1000</f>
        <v>4976477.804</v>
      </c>
      <c r="O11" s="22">
        <f>parameters!$G$7*(1-parameters!$H$7)*parameters!L12/1000</f>
        <v>1203338.949</v>
      </c>
      <c r="P11" s="22">
        <f>G11*parameters!$C$7*parameters!L12/1000</f>
        <v>2100168</v>
      </c>
      <c r="Q11" s="22">
        <f>F11*parameters!$E$7*parameters!$D$7*parameters!L12/1000</f>
        <v>5039634.146</v>
      </c>
      <c r="R11" s="24">
        <f t="shared" si="3"/>
        <v>8343141.095</v>
      </c>
    </row>
    <row r="12" ht="15.75" customHeight="1">
      <c r="A12" s="20">
        <v>2031.0</v>
      </c>
      <c r="B12" s="21">
        <v>4.294052387913954E8</v>
      </c>
      <c r="C12" s="21">
        <v>4.131085735084911E7</v>
      </c>
      <c r="D12" s="21">
        <f t="shared" si="1"/>
        <v>470716096.1</v>
      </c>
      <c r="E12" s="21">
        <v>5.759812273278842E7</v>
      </c>
      <c r="F12" s="21">
        <v>5.759812273278844E7</v>
      </c>
      <c r="G12" s="21">
        <v>3.6E7</v>
      </c>
      <c r="H12" s="21">
        <f t="shared" si="2"/>
        <v>621912341.6</v>
      </c>
      <c r="I12" s="22"/>
      <c r="J12" s="22">
        <f t="shared" si="4"/>
        <v>0.00000005960464478</v>
      </c>
      <c r="K12" s="22">
        <f t="shared" si="5"/>
        <v>233227231.4</v>
      </c>
      <c r="L12" s="22"/>
      <c r="M12" s="23">
        <f>-K12*parameters!$B$7*parameters!J12/1000</f>
        <v>-3275105.803</v>
      </c>
      <c r="N12" s="22">
        <f>E12*parameters!K13/1000</f>
        <v>4792643.604</v>
      </c>
      <c r="O12" s="22">
        <f>parameters!$G$7*(1-parameters!$H$7)*parameters!L13/1000</f>
        <v>1203338.949</v>
      </c>
      <c r="P12" s="22">
        <f>G12*parameters!$C$7*parameters!L13/1000</f>
        <v>2100168</v>
      </c>
      <c r="Q12" s="22">
        <f>F12*parameters!$E$7*parameters!$D$7*parameters!L13/1000</f>
        <v>5039634.146</v>
      </c>
      <c r="R12" s="24">
        <f t="shared" si="3"/>
        <v>8343141.095</v>
      </c>
    </row>
    <row r="13" ht="15.75" customHeight="1">
      <c r="A13" s="20">
        <v>2032.0</v>
      </c>
      <c r="B13" s="21">
        <v>4.294052387913954E8</v>
      </c>
      <c r="C13" s="21">
        <v>4.131085735084911E7</v>
      </c>
      <c r="D13" s="21">
        <f t="shared" si="1"/>
        <v>470716096.1</v>
      </c>
      <c r="E13" s="21">
        <v>8.062723322380084E7</v>
      </c>
      <c r="F13" s="21">
        <v>3.455452852448606E7</v>
      </c>
      <c r="G13" s="21">
        <v>1.801498751040799E7</v>
      </c>
      <c r="H13" s="21">
        <f t="shared" si="2"/>
        <v>603912845.4</v>
      </c>
      <c r="I13" s="22"/>
      <c r="J13" s="22">
        <f t="shared" si="4"/>
        <v>0</v>
      </c>
      <c r="K13" s="22">
        <f t="shared" si="5"/>
        <v>233227231.4</v>
      </c>
      <c r="L13" s="22"/>
      <c r="M13" s="23">
        <f>-K13*parameters!$B$7*parameters!J13/1000</f>
        <v>-3275105.803</v>
      </c>
      <c r="N13" s="22">
        <f>E13*parameters!K14/1000</f>
        <v>6513336.389</v>
      </c>
      <c r="O13" s="22">
        <f>parameters!$G$7*(1-parameters!$H$7)*parameters!L14/1000</f>
        <v>1260640.804</v>
      </c>
      <c r="P13" s="22">
        <f>G13*parameters!$C$7*parameters!L14/1000</f>
        <v>1101003.977</v>
      </c>
      <c r="Q13" s="22">
        <f>F13*parameters!$E$7*parameters!$D$7*parameters!L14/1000</f>
        <v>3167371.748</v>
      </c>
      <c r="R13" s="24">
        <f t="shared" si="3"/>
        <v>5529016.528</v>
      </c>
    </row>
    <row r="14" ht="15.75" customHeight="1">
      <c r="A14" s="20">
        <v>2033.0</v>
      </c>
      <c r="B14" s="21">
        <v>3.559019221139563E8</v>
      </c>
      <c r="C14" s="21">
        <v>4.131085735084911E7</v>
      </c>
      <c r="D14" s="21">
        <f t="shared" si="1"/>
        <v>397212779.5</v>
      </c>
      <c r="E14" s="21">
        <v>1.354101852330421E8</v>
      </c>
      <c r="F14" s="21">
        <v>5.803293652844659E7</v>
      </c>
      <c r="G14" s="21">
        <v>1.801498751040799E7</v>
      </c>
      <c r="H14" s="21">
        <f t="shared" si="2"/>
        <v>608670888.7</v>
      </c>
      <c r="I14" s="22"/>
      <c r="J14" s="22">
        <f t="shared" si="4"/>
        <v>73503316.68</v>
      </c>
      <c r="K14" s="22">
        <f t="shared" si="5"/>
        <v>306730548.1</v>
      </c>
      <c r="L14" s="22"/>
      <c r="M14" s="23">
        <f>-K14*parameters!$B$7*parameters!J14/1000</f>
        <v>-4307280.037</v>
      </c>
      <c r="N14" s="22">
        <f>E14*parameters!K15/1000</f>
        <v>10684991.58</v>
      </c>
      <c r="O14" s="22">
        <f>parameters!$G$7*(1-parameters!$H$7)*parameters!L15/1000</f>
        <v>1317942.658</v>
      </c>
      <c r="P14" s="22">
        <f>G14*parameters!$C$7*parameters!L15/1000</f>
        <v>1151049.612</v>
      </c>
      <c r="Q14" s="22">
        <f>F14*parameters!$E$7*parameters!$D$7*parameters!L15/1000</f>
        <v>5561267.291</v>
      </c>
      <c r="R14" s="24">
        <f t="shared" si="3"/>
        <v>8030259.561</v>
      </c>
    </row>
    <row r="15" ht="15.75" customHeight="1">
      <c r="A15" s="20">
        <v>2034.0</v>
      </c>
      <c r="B15" s="21">
        <v>3.559019221139563E8</v>
      </c>
      <c r="C15" s="21">
        <v>4.131085735084911E7</v>
      </c>
      <c r="D15" s="21">
        <f t="shared" si="1"/>
        <v>397212779.5</v>
      </c>
      <c r="E15" s="21">
        <v>1.354101852330421E8</v>
      </c>
      <c r="F15" s="21">
        <v>5.803293652844659E7</v>
      </c>
      <c r="G15" s="21">
        <v>1.801498751040799E7</v>
      </c>
      <c r="H15" s="21">
        <f t="shared" si="2"/>
        <v>608670888.7</v>
      </c>
      <c r="I15" s="22"/>
      <c r="J15" s="22">
        <f t="shared" si="4"/>
        <v>0</v>
      </c>
      <c r="K15" s="22">
        <f t="shared" si="5"/>
        <v>306730548.1</v>
      </c>
      <c r="L15" s="22"/>
      <c r="M15" s="23">
        <f>-K15*parameters!$B$7*parameters!J15/1000</f>
        <v>-4307280.037</v>
      </c>
      <c r="N15" s="22">
        <f>E15*parameters!K16/1000</f>
        <v>10620671.74</v>
      </c>
      <c r="O15" s="22">
        <f>parameters!$G$7*(1-parameters!$H$7)*parameters!L16/1000</f>
        <v>1375244.513</v>
      </c>
      <c r="P15" s="22">
        <f>G15*parameters!$C$7*parameters!L16/1000</f>
        <v>1201095.247</v>
      </c>
      <c r="Q15" s="22">
        <f>F15*parameters!$E$7*parameters!$D$7*parameters!L16/1000</f>
        <v>5803061.521</v>
      </c>
      <c r="R15" s="24">
        <f t="shared" si="3"/>
        <v>8379401.281</v>
      </c>
    </row>
    <row r="16" ht="15.75" customHeight="1">
      <c r="A16" s="20">
        <v>2035.0</v>
      </c>
      <c r="B16" s="21">
        <v>3.041663513551875E8</v>
      </c>
      <c r="C16" s="21">
        <v>0.0</v>
      </c>
      <c r="D16" s="21">
        <f t="shared" si="1"/>
        <v>304166351.4</v>
      </c>
      <c r="E16" s="21">
        <v>2.047588654855221E8</v>
      </c>
      <c r="F16" s="21">
        <v>8.775379949379519E7</v>
      </c>
      <c r="G16" s="21">
        <v>1.801498751040799E7</v>
      </c>
      <c r="H16" s="21">
        <f t="shared" si="2"/>
        <v>614694003.8</v>
      </c>
      <c r="I16" s="22"/>
      <c r="J16" s="22">
        <f t="shared" si="4"/>
        <v>93046428.11</v>
      </c>
      <c r="K16" s="22">
        <f t="shared" si="5"/>
        <v>399776976.2</v>
      </c>
      <c r="L16" s="22"/>
      <c r="M16" s="23">
        <f>-K16*parameters!$B$7*parameters!J16/1000</f>
        <v>-5613889.453</v>
      </c>
      <c r="N16" s="22">
        <f>E16*parameters!K17/1000</f>
        <v>15856868.49</v>
      </c>
      <c r="O16" s="22">
        <f>parameters!$G$7*(1-parameters!$H$7)*parameters!L17/1000</f>
        <v>1432546.368</v>
      </c>
      <c r="P16" s="22">
        <f>G16*parameters!$C$7*parameters!L17/1000</f>
        <v>1251140.883</v>
      </c>
      <c r="Q16" s="22">
        <f>F16*parameters!$E$7*parameters!$D$7*parameters!L17/1000</f>
        <v>9140655.14</v>
      </c>
      <c r="R16" s="24">
        <f t="shared" si="3"/>
        <v>11824342.39</v>
      </c>
    </row>
    <row r="17" ht="15.75" customHeight="1">
      <c r="A17" s="20">
        <v>2036.0</v>
      </c>
      <c r="B17" s="21">
        <v>2.430925075577203E8</v>
      </c>
      <c r="C17" s="21">
        <v>0.0</v>
      </c>
      <c r="D17" s="21">
        <f t="shared" si="1"/>
        <v>243092507.6</v>
      </c>
      <c r="E17" s="21">
        <v>2.502779740783932E8</v>
      </c>
      <c r="F17" s="21">
        <v>1.072619888907399E8</v>
      </c>
      <c r="G17" s="21">
        <v>1.801498751040799E7</v>
      </c>
      <c r="H17" s="21">
        <f t="shared" si="2"/>
        <v>618647458</v>
      </c>
      <c r="I17" s="22"/>
      <c r="J17" s="22">
        <f t="shared" si="4"/>
        <v>61073843.8</v>
      </c>
      <c r="K17" s="22">
        <f t="shared" si="5"/>
        <v>460850820</v>
      </c>
      <c r="L17" s="22"/>
      <c r="M17" s="23">
        <f>-K17*parameters!$B$7*parameters!J17/1000</f>
        <v>-6471522.154</v>
      </c>
      <c r="N17" s="22">
        <f>E17*parameters!K18/1000</f>
        <v>19119152.4</v>
      </c>
      <c r="O17" s="22">
        <f>parameters!$G$7*(1-parameters!$H$7)*parameters!L18/1000</f>
        <v>1432546.368</v>
      </c>
      <c r="P17" s="22">
        <f>G17*parameters!$C$7*parameters!L18/1000</f>
        <v>1251140.883</v>
      </c>
      <c r="Q17" s="22">
        <f>F17*parameters!$E$7*parameters!$D$7*parameters!L18/1000</f>
        <v>11172676.92</v>
      </c>
      <c r="R17" s="24">
        <f t="shared" si="3"/>
        <v>13856364.17</v>
      </c>
    </row>
    <row r="18" ht="15.75" customHeight="1">
      <c r="A18" s="20">
        <v>2037.0</v>
      </c>
      <c r="B18" s="21">
        <v>1.897013993710952E8</v>
      </c>
      <c r="C18" s="21">
        <v>0.0</v>
      </c>
      <c r="D18" s="21">
        <f t="shared" si="1"/>
        <v>189701399.4</v>
      </c>
      <c r="E18" s="21">
        <v>2.900710426054064E8</v>
      </c>
      <c r="F18" s="21">
        <v>1.243161611166027E8</v>
      </c>
      <c r="G18" s="21">
        <v>1.801498751040799E7</v>
      </c>
      <c r="H18" s="21">
        <f t="shared" si="2"/>
        <v>622103590.6</v>
      </c>
      <c r="I18" s="22"/>
      <c r="J18" s="22">
        <f t="shared" si="4"/>
        <v>53391108.19</v>
      </c>
      <c r="K18" s="22">
        <f t="shared" si="5"/>
        <v>514241928.2</v>
      </c>
      <c r="L18" s="22"/>
      <c r="M18" s="23">
        <f>-K18*parameters!$B$7*parameters!J18/1000</f>
        <v>-7221269.63</v>
      </c>
      <c r="N18" s="22">
        <f>E18*parameters!K19/1000</f>
        <v>20749747.61</v>
      </c>
      <c r="O18" s="22">
        <f>parameters!$G$7*(1-parameters!$H$7)*parameters!L19/1000</f>
        <v>1432546.368</v>
      </c>
      <c r="P18" s="22">
        <f>G18*parameters!$C$7*parameters!L19/1000</f>
        <v>1251140.883</v>
      </c>
      <c r="Q18" s="22">
        <f>F18*parameters!$E$7*parameters!$D$7*parameters!L19/1000</f>
        <v>12949082.13</v>
      </c>
      <c r="R18" s="24">
        <f t="shared" si="3"/>
        <v>15632769.38</v>
      </c>
    </row>
    <row r="19" ht="15.75" customHeight="1">
      <c r="A19" s="20">
        <v>2038.0</v>
      </c>
      <c r="B19" s="21">
        <v>1.897013993710952E8</v>
      </c>
      <c r="C19" s="21">
        <v>0.0</v>
      </c>
      <c r="D19" s="21">
        <f t="shared" si="1"/>
        <v>189701399.4</v>
      </c>
      <c r="E19" s="21">
        <v>2.900710426054064E8</v>
      </c>
      <c r="F19" s="21">
        <v>1.243161611166027E8</v>
      </c>
      <c r="G19" s="21">
        <v>1.801498751040799E7</v>
      </c>
      <c r="H19" s="21">
        <f t="shared" si="2"/>
        <v>622103590.6</v>
      </c>
      <c r="I19" s="22"/>
      <c r="J19" s="22">
        <f t="shared" si="4"/>
        <v>0</v>
      </c>
      <c r="K19" s="22">
        <f t="shared" si="5"/>
        <v>514241928.2</v>
      </c>
      <c r="L19" s="22"/>
      <c r="M19" s="23">
        <f>-K19*parameters!$B$7*parameters!J19/1000</f>
        <v>-7221269.63</v>
      </c>
      <c r="N19" s="22">
        <f>E19*parameters!K20/1000</f>
        <v>19852946.57</v>
      </c>
      <c r="O19" s="22">
        <f>parameters!$G$7*(1-parameters!$H$7)*parameters!L20/1000</f>
        <v>1432546.368</v>
      </c>
      <c r="P19" s="22">
        <f>G19*parameters!$C$7*parameters!L20/1000</f>
        <v>1251140.883</v>
      </c>
      <c r="Q19" s="22">
        <f>F19*parameters!$E$7*parameters!$D$7*parameters!L20/1000</f>
        <v>12949082.13</v>
      </c>
      <c r="R19" s="24">
        <f t="shared" si="3"/>
        <v>15632769.38</v>
      </c>
    </row>
    <row r="20" ht="15.75" customHeight="1">
      <c r="A20" s="20">
        <v>2039.0</v>
      </c>
      <c r="B20" s="21">
        <v>1.897013993710952E8</v>
      </c>
      <c r="C20" s="21">
        <v>0.0</v>
      </c>
      <c r="D20" s="21">
        <f t="shared" si="1"/>
        <v>189701399.4</v>
      </c>
      <c r="E20" s="21">
        <v>2.900710426054064E8</v>
      </c>
      <c r="F20" s="21">
        <v>1.243161611166027E8</v>
      </c>
      <c r="G20" s="21">
        <v>1.801498751040799E7</v>
      </c>
      <c r="H20" s="21">
        <f t="shared" si="2"/>
        <v>622103590.6</v>
      </c>
      <c r="I20" s="22"/>
      <c r="J20" s="22">
        <f t="shared" si="4"/>
        <v>0</v>
      </c>
      <c r="K20" s="22">
        <f t="shared" si="5"/>
        <v>514241928.2</v>
      </c>
      <c r="L20" s="22"/>
      <c r="M20" s="23">
        <f>-K20*parameters!$B$7*parameters!J20/1000</f>
        <v>-7221269.63</v>
      </c>
      <c r="N20" s="22">
        <f>E20*parameters!K21/1000</f>
        <v>18997237</v>
      </c>
      <c r="O20" s="22">
        <f>parameters!$G$7*(1-parameters!$H$7)*parameters!L21/1000</f>
        <v>1432546.368</v>
      </c>
      <c r="P20" s="22">
        <f>G20*parameters!$C$7*parameters!L21/1000</f>
        <v>1251140.883</v>
      </c>
      <c r="Q20" s="22">
        <f>F20*parameters!$E$7*parameters!$D$7*parameters!L21/1000</f>
        <v>12949082.13</v>
      </c>
      <c r="R20" s="24">
        <f t="shared" si="3"/>
        <v>15632769.38</v>
      </c>
    </row>
    <row r="21" ht="15.75" customHeight="1">
      <c r="A21" s="20">
        <v>2040.0</v>
      </c>
      <c r="B21" s="21">
        <v>1.42828978208237E8</v>
      </c>
      <c r="C21" s="21">
        <v>0.0</v>
      </c>
      <c r="D21" s="21">
        <f t="shared" si="1"/>
        <v>142828978.2</v>
      </c>
      <c r="E21" s="21">
        <v>3.250056512080405E8</v>
      </c>
      <c r="F21" s="21">
        <v>1.392881362320173E8</v>
      </c>
      <c r="G21" s="21">
        <v>1.801498751040799E7</v>
      </c>
      <c r="H21" s="21">
        <f t="shared" si="2"/>
        <v>625137753.2</v>
      </c>
      <c r="I21" s="22"/>
      <c r="J21" s="22">
        <f t="shared" si="4"/>
        <v>46872421.16</v>
      </c>
      <c r="K21" s="22">
        <f t="shared" si="5"/>
        <v>561114349.4</v>
      </c>
      <c r="L21" s="22"/>
      <c r="M21" s="23">
        <f>-K21*parameters!$B$7*parameters!J21/1000</f>
        <v>-7879478.098</v>
      </c>
      <c r="N21" s="22">
        <f>E21*parameters!K22/1000</f>
        <v>20372436.49</v>
      </c>
      <c r="O21" s="22">
        <f>parameters!$G$7*(1-parameters!$H$7)*parameters!L22/1000</f>
        <v>1432546.368</v>
      </c>
      <c r="P21" s="22">
        <f>G21*parameters!$C$7*parameters!L22/1000</f>
        <v>1251140.883</v>
      </c>
      <c r="Q21" s="22">
        <f>F21*parameters!$E$7*parameters!$D$7*parameters!L22/1000</f>
        <v>14508600.49</v>
      </c>
      <c r="R21" s="24">
        <f t="shared" si="3"/>
        <v>17192287.74</v>
      </c>
    </row>
    <row r="22" ht="15.75" customHeight="1">
      <c r="A22" s="20">
        <v>2041.0</v>
      </c>
      <c r="B22" s="21">
        <v>1.42828978208237E8</v>
      </c>
      <c r="C22" s="21">
        <v>0.0</v>
      </c>
      <c r="D22" s="21">
        <f t="shared" si="1"/>
        <v>142828978.2</v>
      </c>
      <c r="E22" s="21">
        <v>3.250056512080405E8</v>
      </c>
      <c r="F22" s="21">
        <v>1.392881362320173E8</v>
      </c>
      <c r="G22" s="21">
        <v>1.801498751040799E7</v>
      </c>
      <c r="H22" s="21">
        <f t="shared" si="2"/>
        <v>625137753.2</v>
      </c>
      <c r="I22" s="22"/>
      <c r="J22" s="22">
        <f t="shared" si="4"/>
        <v>0</v>
      </c>
      <c r="K22" s="22">
        <f t="shared" si="5"/>
        <v>561114349.4</v>
      </c>
      <c r="L22" s="22"/>
      <c r="M22" s="23">
        <f>-K22*parameters!$B$7*parameters!J22/1000</f>
        <v>-7879478.098</v>
      </c>
      <c r="N22" s="22">
        <f>E22*parameters!K23/1000</f>
        <v>19500339.07</v>
      </c>
      <c r="O22" s="22">
        <f>parameters!$G$7*(1-parameters!$H$7)*parameters!L23/1000</f>
        <v>1432546.368</v>
      </c>
      <c r="P22" s="22">
        <f>G22*parameters!$C$7*parameters!L23/1000</f>
        <v>1251140.883</v>
      </c>
      <c r="Q22" s="22">
        <f>F22*parameters!$E$7*parameters!$D$7*parameters!L23/1000</f>
        <v>14508600.49</v>
      </c>
      <c r="R22" s="24">
        <f t="shared" si="3"/>
        <v>17192287.74</v>
      </c>
    </row>
    <row r="23" ht="15.75" customHeight="1">
      <c r="A23" s="20">
        <v>2042.0</v>
      </c>
      <c r="B23" s="21">
        <v>9.109340744946826E7</v>
      </c>
      <c r="C23" s="21">
        <v>0.0</v>
      </c>
      <c r="D23" s="21">
        <f t="shared" si="1"/>
        <v>91093407.45</v>
      </c>
      <c r="E23" s="21">
        <v>3.635648267413843E8</v>
      </c>
      <c r="F23" s="21">
        <v>1.55813497174879E8</v>
      </c>
      <c r="G23" s="21">
        <v>1.801498751040799E7</v>
      </c>
      <c r="H23" s="21">
        <f t="shared" si="2"/>
        <v>628486718.9</v>
      </c>
      <c r="I23" s="22"/>
      <c r="J23" s="22">
        <f t="shared" si="4"/>
        <v>51735570.76</v>
      </c>
      <c r="K23" s="22">
        <f t="shared" si="5"/>
        <v>612849920.1</v>
      </c>
      <c r="L23" s="22"/>
      <c r="M23" s="23">
        <f>-K23*parameters!$B$7*parameters!J23/1000</f>
        <v>-8605977.602</v>
      </c>
      <c r="N23" s="22">
        <f>E23*parameters!K24/1000</f>
        <v>20883770.8</v>
      </c>
      <c r="O23" s="22">
        <f>parameters!$G$7*(1-parameters!$H$7)*parameters!L24/1000</f>
        <v>1432546.368</v>
      </c>
      <c r="P23" s="22">
        <f>G23*parameters!$C$7*parameters!L24/1000</f>
        <v>1251140.883</v>
      </c>
      <c r="Q23" s="22">
        <f>F23*parameters!$E$7*parameters!$D$7*parameters!L24/1000</f>
        <v>16229923.4</v>
      </c>
      <c r="R23" s="24">
        <f t="shared" si="3"/>
        <v>18913610.65</v>
      </c>
    </row>
    <row r="24" ht="15.75" customHeight="1">
      <c r="A24" s="20">
        <v>2043.0</v>
      </c>
      <c r="B24" s="21">
        <v>9.109340744946824E7</v>
      </c>
      <c r="C24" s="21">
        <v>0.0</v>
      </c>
      <c r="D24" s="21">
        <f t="shared" si="1"/>
        <v>91093407.45</v>
      </c>
      <c r="E24" s="21">
        <v>3.635648267413843E8</v>
      </c>
      <c r="F24" s="21">
        <v>1.55813497174879E8</v>
      </c>
      <c r="G24" s="21">
        <v>1.801498751040799E7</v>
      </c>
      <c r="H24" s="21">
        <f t="shared" si="2"/>
        <v>628486718.9</v>
      </c>
      <c r="I24" s="22"/>
      <c r="J24" s="22">
        <f t="shared" si="4"/>
        <v>0.00000001490116119</v>
      </c>
      <c r="K24" s="22">
        <f t="shared" si="5"/>
        <v>612849920.1</v>
      </c>
      <c r="L24" s="22"/>
      <c r="M24" s="23">
        <f>-K24*parameters!$B$7*parameters!J24/1000</f>
        <v>-8605977.602</v>
      </c>
      <c r="N24" s="22">
        <f>E24*parameters!K25/1000</f>
        <v>19996065.47</v>
      </c>
      <c r="O24" s="22">
        <f>parameters!$G$7*(1-parameters!$H$7)*parameters!L25/1000</f>
        <v>1432546.368</v>
      </c>
      <c r="P24" s="22">
        <f>G24*parameters!$C$7*parameters!L25/1000</f>
        <v>1251140.883</v>
      </c>
      <c r="Q24" s="22">
        <f>F24*parameters!$E$7*parameters!$D$7*parameters!L25/1000</f>
        <v>16229923.4</v>
      </c>
      <c r="R24" s="24">
        <f t="shared" si="3"/>
        <v>18913610.65</v>
      </c>
    </row>
    <row r="25" ht="15.75" customHeight="1">
      <c r="A25" s="20">
        <v>2044.0</v>
      </c>
      <c r="B25" s="21">
        <v>4.189287417631333E7</v>
      </c>
      <c r="C25" s="21">
        <v>0.0</v>
      </c>
      <c r="D25" s="21">
        <f t="shared" si="1"/>
        <v>41892874.18</v>
      </c>
      <c r="E25" s="21">
        <v>4.002346067590746E8</v>
      </c>
      <c r="F25" s="21">
        <v>1.715291171824605E8</v>
      </c>
      <c r="G25" s="21">
        <v>1.801498751040799E7</v>
      </c>
      <c r="H25" s="21">
        <f t="shared" si="2"/>
        <v>631671585.6</v>
      </c>
      <c r="I25" s="22"/>
      <c r="J25" s="22">
        <f t="shared" si="4"/>
        <v>49200533.27</v>
      </c>
      <c r="K25" s="22">
        <f t="shared" si="5"/>
        <v>662050453.4</v>
      </c>
      <c r="L25" s="22"/>
      <c r="M25" s="23">
        <f>-K25*parameters!$B$7*parameters!J25/1000</f>
        <v>-9296878.707</v>
      </c>
      <c r="N25" s="22">
        <f>E25*parameters!K26/1000</f>
        <v>21079023.96</v>
      </c>
      <c r="O25" s="22">
        <f>parameters!$G$7*(1-parameters!$H$7)*parameters!L26/1000</f>
        <v>1432546.368</v>
      </c>
      <c r="P25" s="22">
        <f>G25*parameters!$C$7*parameters!L26/1000</f>
        <v>1251140.883</v>
      </c>
      <c r="Q25" s="22">
        <f>F25*parameters!$E$7*parameters!$D$7*parameters!L26/1000</f>
        <v>17866901.67</v>
      </c>
      <c r="R25" s="24">
        <f t="shared" si="3"/>
        <v>20550588.92</v>
      </c>
    </row>
    <row r="26" ht="15.75" customHeight="1">
      <c r="A26" s="20">
        <v>2045.0</v>
      </c>
      <c r="B26" s="21">
        <v>4.189287417631333E7</v>
      </c>
      <c r="C26" s="21">
        <v>0.0</v>
      </c>
      <c r="D26" s="21">
        <f t="shared" si="1"/>
        <v>41892874.18</v>
      </c>
      <c r="E26" s="21">
        <v>4.002346067590746E8</v>
      </c>
      <c r="F26" s="21">
        <v>1.715291171824605E8</v>
      </c>
      <c r="G26" s="21">
        <v>1.801498751040799E7</v>
      </c>
      <c r="H26" s="21">
        <f t="shared" si="2"/>
        <v>631671585.6</v>
      </c>
      <c r="I26" s="22"/>
      <c r="J26" s="22">
        <f t="shared" si="4"/>
        <v>0</v>
      </c>
      <c r="K26" s="22">
        <f t="shared" si="5"/>
        <v>662050453.4</v>
      </c>
      <c r="L26" s="22"/>
      <c r="M26" s="23">
        <f>-K26*parameters!$B$7*parameters!J26/1000</f>
        <v>-9296878.707</v>
      </c>
      <c r="N26" s="22">
        <f>E26*parameters!K27/1000</f>
        <v>20188501.96</v>
      </c>
      <c r="O26" s="22">
        <f>parameters!$G$7*(1-parameters!$H$7)*parameters!L27/1000</f>
        <v>1432546.368</v>
      </c>
      <c r="P26" s="22">
        <f>G26*parameters!$C$7*parameters!L27/1000</f>
        <v>1251140.883</v>
      </c>
      <c r="Q26" s="22">
        <f>F26*parameters!$E$7*parameters!$D$7*parameters!L27/1000</f>
        <v>17866901.67</v>
      </c>
      <c r="R26" s="24">
        <f t="shared" si="3"/>
        <v>20550588.92</v>
      </c>
    </row>
    <row r="27" ht="15.75" customHeight="1">
      <c r="A27" s="20">
        <v>2046.0</v>
      </c>
      <c r="B27" s="21">
        <v>0.0</v>
      </c>
      <c r="C27" s="21">
        <v>0.0</v>
      </c>
      <c r="D27" s="21">
        <f t="shared" si="1"/>
        <v>0</v>
      </c>
      <c r="E27" s="21">
        <v>4.314578959829006E8</v>
      </c>
      <c r="F27" s="21">
        <v>1.849105268498146E8</v>
      </c>
      <c r="G27" s="21">
        <v>1.801498751040799E7</v>
      </c>
      <c r="H27" s="21">
        <f t="shared" si="2"/>
        <v>634383410.3</v>
      </c>
      <c r="I27" s="22"/>
      <c r="J27" s="22">
        <f t="shared" si="4"/>
        <v>41892874.18</v>
      </c>
      <c r="K27" s="22">
        <f t="shared" si="5"/>
        <v>703943327.6</v>
      </c>
      <c r="L27" s="22"/>
      <c r="M27" s="23">
        <f>-K27*parameters!$B$7*parameters!J27/1000</f>
        <v>-9885161.621</v>
      </c>
      <c r="N27" s="22">
        <f>E27*parameters!K28/1000</f>
        <v>20846608.78</v>
      </c>
      <c r="O27" s="22">
        <f>parameters!$G$7*(1-parameters!$H$7)*parameters!L28/1000</f>
        <v>1432546.368</v>
      </c>
      <c r="P27" s="22">
        <f>G27*parameters!$C$7*parameters!L28/1000</f>
        <v>1251140.883</v>
      </c>
      <c r="Q27" s="22">
        <f>F27*parameters!$E$7*parameters!$D$7*parameters!L28/1000</f>
        <v>19260742.75</v>
      </c>
      <c r="R27" s="24">
        <f t="shared" si="3"/>
        <v>21944430</v>
      </c>
    </row>
    <row r="28" ht="15.75" customHeight="1">
      <c r="A28" s="20">
        <v>2047.0</v>
      </c>
      <c r="B28" s="21">
        <v>0.0</v>
      </c>
      <c r="C28" s="21">
        <v>0.0</v>
      </c>
      <c r="D28" s="21">
        <f t="shared" si="1"/>
        <v>0</v>
      </c>
      <c r="E28" s="21">
        <v>4.314578959829006E8</v>
      </c>
      <c r="F28" s="21">
        <v>1.849105268498146E8</v>
      </c>
      <c r="G28" s="21">
        <v>1.801498751040799E7</v>
      </c>
      <c r="H28" s="21">
        <f t="shared" si="2"/>
        <v>634383410.3</v>
      </c>
      <c r="I28" s="22"/>
      <c r="J28" s="22">
        <f t="shared" si="4"/>
        <v>0</v>
      </c>
      <c r="K28" s="22">
        <f t="shared" si="5"/>
        <v>703943327.6</v>
      </c>
      <c r="L28" s="22"/>
      <c r="M28" s="23">
        <f>-K28*parameters!$B$7*parameters!J28/1000</f>
        <v>-9885161.621</v>
      </c>
      <c r="N28" s="22">
        <f>E28*parameters!K29/1000</f>
        <v>19965714.14</v>
      </c>
      <c r="O28" s="22">
        <f>parameters!$G$7*(1-parameters!$H$7)*parameters!L29/1000</f>
        <v>1432546.368</v>
      </c>
      <c r="P28" s="22">
        <f>G28*parameters!$C$7*parameters!L29/1000</f>
        <v>1251140.883</v>
      </c>
      <c r="Q28" s="22">
        <f>F28*parameters!$E$7*parameters!$D$7*parameters!L29/1000</f>
        <v>19260742.75</v>
      </c>
      <c r="R28" s="24">
        <f t="shared" si="3"/>
        <v>21944430</v>
      </c>
    </row>
    <row r="29" ht="15.75" customHeight="1">
      <c r="A29" s="20">
        <v>2048.0</v>
      </c>
      <c r="B29" s="21">
        <v>0.0</v>
      </c>
      <c r="C29" s="21">
        <v>0.0</v>
      </c>
      <c r="D29" s="21">
        <f t="shared" si="1"/>
        <v>0</v>
      </c>
      <c r="E29" s="21">
        <v>4.314578959829006E8</v>
      </c>
      <c r="F29" s="21">
        <v>1.849105268498146E8</v>
      </c>
      <c r="G29" s="21">
        <v>1.801498751040799E7</v>
      </c>
      <c r="H29" s="21">
        <f t="shared" si="2"/>
        <v>634383410.3</v>
      </c>
      <c r="I29" s="22"/>
      <c r="J29" s="22">
        <f t="shared" si="4"/>
        <v>0</v>
      </c>
      <c r="K29" s="22">
        <f t="shared" si="5"/>
        <v>703943327.6</v>
      </c>
      <c r="L29" s="22"/>
      <c r="M29" s="23">
        <f>-K29*parameters!$B$7*parameters!J29/1000</f>
        <v>-9885161.621</v>
      </c>
      <c r="N29" s="22">
        <f>E29*parameters!K30/1000</f>
        <v>19124371.24</v>
      </c>
      <c r="O29" s="22">
        <f>parameters!$G$7*(1-parameters!$H$7)*parameters!L30/1000</f>
        <v>1432546.368</v>
      </c>
      <c r="P29" s="22">
        <f>G29*parameters!$C$7*parameters!L30/1000</f>
        <v>1251140.883</v>
      </c>
      <c r="Q29" s="22">
        <f>F29*parameters!$E$7*parameters!$D$7*parameters!L30/1000</f>
        <v>19260742.75</v>
      </c>
      <c r="R29" s="24">
        <f t="shared" si="3"/>
        <v>21944430</v>
      </c>
    </row>
    <row r="30" ht="15.75" customHeight="1">
      <c r="A30" s="20">
        <v>2049.0</v>
      </c>
      <c r="B30" s="21">
        <v>0.0</v>
      </c>
      <c r="C30" s="21">
        <v>0.0</v>
      </c>
      <c r="D30" s="21">
        <f t="shared" si="1"/>
        <v>0</v>
      </c>
      <c r="E30" s="21">
        <v>4.314578959829006E8</v>
      </c>
      <c r="F30" s="21">
        <v>1.849105268498146E8</v>
      </c>
      <c r="G30" s="21">
        <v>1.801498751040799E7</v>
      </c>
      <c r="H30" s="21">
        <f t="shared" si="2"/>
        <v>634383410.3</v>
      </c>
      <c r="I30" s="22"/>
      <c r="J30" s="22">
        <f t="shared" si="4"/>
        <v>0</v>
      </c>
      <c r="K30" s="22">
        <f t="shared" si="5"/>
        <v>703943327.6</v>
      </c>
      <c r="L30" s="22"/>
      <c r="M30" s="23">
        <f>-K30*parameters!$B$7*parameters!J30/1000</f>
        <v>-9885161.621</v>
      </c>
      <c r="N30" s="22">
        <f>E30*parameters!K31/1000</f>
        <v>18318981.73</v>
      </c>
      <c r="O30" s="22">
        <f>parameters!$G$7*(1-parameters!$H$7)*parameters!L31/1000</f>
        <v>1432546.368</v>
      </c>
      <c r="P30" s="22">
        <f>G30*parameters!$C$7*parameters!L31/1000</f>
        <v>1251140.883</v>
      </c>
      <c r="Q30" s="22">
        <f>F30*parameters!$E$7*parameters!$D$7*parameters!L31/1000</f>
        <v>19260742.75</v>
      </c>
      <c r="R30" s="24">
        <f t="shared" si="3"/>
        <v>21944430</v>
      </c>
    </row>
    <row r="31" ht="15.75" customHeight="1">
      <c r="A31" s="20">
        <v>2050.0</v>
      </c>
      <c r="B31" s="21">
        <v>0.0</v>
      </c>
      <c r="C31" s="21">
        <v>0.0</v>
      </c>
      <c r="D31" s="21">
        <f t="shared" si="1"/>
        <v>0</v>
      </c>
      <c r="E31" s="21">
        <v>4.314578959829007E8</v>
      </c>
      <c r="F31" s="21">
        <v>1.849105268498146E8</v>
      </c>
      <c r="G31" s="21">
        <v>1.801498751040799E7</v>
      </c>
      <c r="H31" s="21">
        <f t="shared" si="2"/>
        <v>634383410.3</v>
      </c>
      <c r="I31" s="22"/>
      <c r="J31" s="22">
        <f t="shared" si="4"/>
        <v>0</v>
      </c>
      <c r="K31" s="22">
        <f t="shared" si="5"/>
        <v>703943327.6</v>
      </c>
      <c r="L31" s="22"/>
      <c r="M31" s="25">
        <f>-K31*parameters!$B$7*parameters!J31/1000</f>
        <v>-9885161.621</v>
      </c>
      <c r="N31" s="26">
        <f>E31*parameters!K32/1000</f>
        <v>17549549.92</v>
      </c>
      <c r="O31" s="26">
        <f>parameters!$G$7*(1-parameters!$H$7)*parameters!L32/1000</f>
        <v>1432546.368</v>
      </c>
      <c r="P31" s="26">
        <f>G31*parameters!$C$7*parameters!L32/1000</f>
        <v>1251140.883</v>
      </c>
      <c r="Q31" s="26">
        <f>F31*parameters!$E$7*parameters!$D$7*parameters!L32/1000</f>
        <v>19260742.75</v>
      </c>
      <c r="R31" s="27">
        <f t="shared" si="3"/>
        <v>21944430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4.67"/>
    <col customWidth="1" min="3" max="3" width="13.67"/>
    <col customWidth="1" min="4" max="4" width="15.33"/>
    <col customWidth="1" min="5" max="6" width="14.67"/>
    <col customWidth="1" min="7" max="7" width="13.67"/>
    <col customWidth="1" min="8" max="8" width="14.67"/>
    <col customWidth="1" min="9" max="9" width="10.44"/>
    <col customWidth="1" min="10" max="11" width="14.67"/>
    <col customWidth="1" min="12" max="12" width="10.44"/>
    <col customWidth="1" min="13" max="13" width="13.11"/>
    <col customWidth="1" min="14" max="14" width="13.67"/>
    <col customWidth="1" min="15" max="16" width="12.67"/>
    <col customWidth="1" min="17" max="18" width="13.67"/>
    <col customWidth="1" min="19" max="26" width="10.44"/>
  </cols>
  <sheetData>
    <row r="1" ht="15.75" customHeight="1">
      <c r="B1" s="5" t="s">
        <v>8</v>
      </c>
      <c r="C1" s="5"/>
      <c r="D1" s="5">
        <v>4.0</v>
      </c>
      <c r="E1" s="5">
        <v>5.0</v>
      </c>
      <c r="F1" s="5">
        <v>6.0</v>
      </c>
      <c r="G1" s="5">
        <v>7.0</v>
      </c>
      <c r="H1" s="5">
        <v>8.0</v>
      </c>
      <c r="I1" s="5">
        <v>9.0</v>
      </c>
      <c r="J1" s="5">
        <v>10.0</v>
      </c>
      <c r="K1" s="5">
        <v>11.0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</row>
    <row r="2" ht="15.75" customHeight="1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</row>
    <row r="3" ht="15.75" customHeight="1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</row>
    <row r="4" ht="15.75" customHeight="1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</row>
    <row r="5" ht="15.75" customHeight="1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</row>
    <row r="6" ht="15.75" customHeight="1">
      <c r="A6" s="20">
        <v>2025.0</v>
      </c>
      <c r="B6" s="28">
        <v>6.5587992E8</v>
      </c>
      <c r="C6" s="28">
        <v>4.80697E7</v>
      </c>
      <c r="D6" s="21">
        <f t="shared" ref="D6:D31" si="1">SUM(B6:C6)</f>
        <v>703949620</v>
      </c>
      <c r="E6" s="28">
        <v>0.0</v>
      </c>
      <c r="F6" s="28">
        <v>0.0</v>
      </c>
      <c r="G6" s="28">
        <v>0.0</v>
      </c>
      <c r="H6" s="21">
        <f t="shared" ref="H6:H31" si="2">SUM(D6:G6)</f>
        <v>703949620</v>
      </c>
      <c r="I6" s="22"/>
      <c r="J6" s="22"/>
      <c r="K6" s="22"/>
      <c r="L6" s="22"/>
      <c r="M6" s="23"/>
      <c r="N6" s="22">
        <f>E6*parameters!K7/1000</f>
        <v>0</v>
      </c>
      <c r="O6" s="22">
        <f>parameters!$G$7*(1-parameters!$H$7)*parameters!L7/1000</f>
        <v>974131.5301</v>
      </c>
      <c r="P6" s="22">
        <f>G6*parameters!$C$7*parameters!L7/1000</f>
        <v>0</v>
      </c>
      <c r="Q6" s="22">
        <f>F6*parameters!$E$7*parameters!$D$7*parameters!L7/1000</f>
        <v>0</v>
      </c>
      <c r="R6" s="24">
        <f t="shared" ref="R6:R31" si="3">O6+P6+Q6</f>
        <v>974131.5301</v>
      </c>
    </row>
    <row r="7" ht="15.75" customHeight="1">
      <c r="A7" s="20">
        <v>2026.0</v>
      </c>
      <c r="B7" s="28">
        <v>6.0128701087914E8</v>
      </c>
      <c r="C7" s="28">
        <v>4.406857753935E7</v>
      </c>
      <c r="D7" s="21">
        <f t="shared" si="1"/>
        <v>645355588.4</v>
      </c>
      <c r="E7" s="28">
        <v>0.0</v>
      </c>
      <c r="F7" s="28">
        <v>0.0</v>
      </c>
      <c r="G7" s="28">
        <v>1.5E7</v>
      </c>
      <c r="H7" s="21">
        <f t="shared" si="2"/>
        <v>660355588.4</v>
      </c>
      <c r="I7" s="22"/>
      <c r="J7" s="22">
        <f t="shared" ref="J7:J31" si="4">(B6+C6)-(B7+C7)</f>
        <v>58594031.58</v>
      </c>
      <c r="K7" s="22">
        <f>J7</f>
        <v>58594031.58</v>
      </c>
      <c r="L7" s="22"/>
      <c r="M7" s="23">
        <f>-K7*parameters!$B$7*parameters!J8/1000</f>
        <v>-822809.8052</v>
      </c>
      <c r="N7" s="22">
        <f>E7*parameters!K8/1000</f>
        <v>0</v>
      </c>
      <c r="O7" s="22">
        <f>parameters!$G$7*(1-parameters!$H$7)*parameters!L8/1000</f>
        <v>1031433.385</v>
      </c>
      <c r="P7" s="22">
        <f>G7*parameters!$C$7*parameters!L8/1000</f>
        <v>750060</v>
      </c>
      <c r="Q7" s="22">
        <f>F7*parameters!$E$7*parameters!$D$7*parameters!L8/1000</f>
        <v>0</v>
      </c>
      <c r="R7" s="24">
        <f t="shared" si="3"/>
        <v>1781493.385</v>
      </c>
    </row>
    <row r="8" ht="15.75" customHeight="1">
      <c r="A8" s="20">
        <v>2027.0</v>
      </c>
      <c r="B8" s="28">
        <v>5.54790721042545E8</v>
      </c>
      <c r="C8" s="28">
        <v>4.066081270273751E7</v>
      </c>
      <c r="D8" s="21">
        <f t="shared" si="1"/>
        <v>595451533.7</v>
      </c>
      <c r="E8" s="28">
        <v>0.0</v>
      </c>
      <c r="F8" s="28">
        <v>0.0</v>
      </c>
      <c r="G8" s="28">
        <v>3.0E7</v>
      </c>
      <c r="H8" s="21">
        <f t="shared" si="2"/>
        <v>625451533.7</v>
      </c>
      <c r="I8" s="22"/>
      <c r="J8" s="22">
        <f t="shared" si="4"/>
        <v>49904054.67</v>
      </c>
      <c r="K8" s="22">
        <f t="shared" ref="K8:K31" si="5">K7+J8</f>
        <v>108498086.3</v>
      </c>
      <c r="L8" s="22"/>
      <c r="M8" s="23">
        <f>-K8*parameters!$B$7*parameters!J8/1000</f>
        <v>-1523590.147</v>
      </c>
      <c r="N8" s="22">
        <f>E8*parameters!K9/1000</f>
        <v>0</v>
      </c>
      <c r="O8" s="22">
        <f>parameters!$G$7*(1-parameters!$H$7)*parameters!L9/1000</f>
        <v>1031433.385</v>
      </c>
      <c r="P8" s="22">
        <f>G8*parameters!$C$7*parameters!L9/1000</f>
        <v>1500120</v>
      </c>
      <c r="Q8" s="22">
        <f>F8*parameters!$E$7*parameters!$D$7*parameters!L9/1000</f>
        <v>0</v>
      </c>
      <c r="R8" s="24">
        <f t="shared" si="3"/>
        <v>2531553.385</v>
      </c>
    </row>
    <row r="9" ht="15.75" customHeight="1">
      <c r="A9" s="20">
        <v>2028.0</v>
      </c>
      <c r="B9" s="28">
        <v>5.4386677667967E8</v>
      </c>
      <c r="C9" s="28">
        <v>3.9860192867425E7</v>
      </c>
      <c r="D9" s="21">
        <f t="shared" si="1"/>
        <v>583726969.5</v>
      </c>
      <c r="E9" s="28">
        <v>0.0</v>
      </c>
      <c r="F9" s="28">
        <v>0.0</v>
      </c>
      <c r="G9" s="28">
        <v>3.0E7</v>
      </c>
      <c r="H9" s="21">
        <f t="shared" si="2"/>
        <v>613726969.5</v>
      </c>
      <c r="I9" s="22"/>
      <c r="J9" s="22">
        <f t="shared" si="4"/>
        <v>11724564.2</v>
      </c>
      <c r="K9" s="22">
        <f t="shared" si="5"/>
        <v>120222650.5</v>
      </c>
      <c r="L9" s="22"/>
      <c r="M9" s="23">
        <f>-K9*parameters!$B$7*parameters!J9/1000</f>
        <v>-1688232.964</v>
      </c>
      <c r="N9" s="22">
        <f>E9*parameters!K10/1000</f>
        <v>0</v>
      </c>
      <c r="O9" s="22">
        <f>parameters!$G$7*(1-parameters!$H$7)*parameters!L10/1000</f>
        <v>1088735.239</v>
      </c>
      <c r="P9" s="22">
        <f>G9*parameters!$C$7*parameters!L10/1000</f>
        <v>1583460</v>
      </c>
      <c r="Q9" s="22">
        <f>F9*parameters!$E$7*parameters!$D$7*parameters!L10/1000</f>
        <v>0</v>
      </c>
      <c r="R9" s="24">
        <f t="shared" si="3"/>
        <v>2672195.239</v>
      </c>
    </row>
    <row r="10" ht="15.75" customHeight="1">
      <c r="A10" s="20">
        <v>2029.0</v>
      </c>
      <c r="B10" s="28">
        <v>5.1953814143359494E8</v>
      </c>
      <c r="C10" s="28">
        <v>3.8077160804112494E7</v>
      </c>
      <c r="D10" s="21">
        <f t="shared" si="1"/>
        <v>557615302.2</v>
      </c>
      <c r="E10" s="28">
        <v>0.0</v>
      </c>
      <c r="F10" s="28">
        <v>0.0</v>
      </c>
      <c r="G10" s="28">
        <v>3.6E7</v>
      </c>
      <c r="H10" s="21">
        <f t="shared" si="2"/>
        <v>593615302.2</v>
      </c>
      <c r="I10" s="22"/>
      <c r="J10" s="22">
        <f t="shared" si="4"/>
        <v>26111667.31</v>
      </c>
      <c r="K10" s="22">
        <f t="shared" si="5"/>
        <v>146334317.8</v>
      </c>
      <c r="L10" s="22"/>
      <c r="M10" s="23">
        <f>-K10*parameters!$B$7*parameters!J10/1000</f>
        <v>-2054907.441</v>
      </c>
      <c r="N10" s="22">
        <f>E10*parameters!K11/1000</f>
        <v>0</v>
      </c>
      <c r="O10" s="22">
        <f>parameters!$G$7*(1-parameters!$H$7)*parameters!L11/1000</f>
        <v>1146037.094</v>
      </c>
      <c r="P10" s="22">
        <f>G10*parameters!$C$7*parameters!L11/1000</f>
        <v>2000160</v>
      </c>
      <c r="Q10" s="22">
        <f>F10*parameters!$E$7*parameters!$D$7*parameters!L11/1000</f>
        <v>0</v>
      </c>
      <c r="R10" s="24">
        <f t="shared" si="3"/>
        <v>3146197.094</v>
      </c>
    </row>
    <row r="11" ht="15.75" customHeight="1">
      <c r="A11" s="20">
        <v>2030.0</v>
      </c>
      <c r="B11" s="28">
        <v>4.0648430253312E8</v>
      </c>
      <c r="C11" s="28">
        <v>3.72966778688E7</v>
      </c>
      <c r="D11" s="21">
        <f t="shared" si="1"/>
        <v>443780980.4</v>
      </c>
      <c r="E11" s="28">
        <v>8.061203010000001E7</v>
      </c>
      <c r="F11" s="28">
        <v>3.45480129E7</v>
      </c>
      <c r="G11" s="28">
        <v>3.6E7</v>
      </c>
      <c r="H11" s="21">
        <f t="shared" si="2"/>
        <v>594941023.4</v>
      </c>
      <c r="I11" s="22"/>
      <c r="J11" s="22">
        <f t="shared" si="4"/>
        <v>113834321.8</v>
      </c>
      <c r="K11" s="22">
        <f t="shared" si="5"/>
        <v>260168639.6</v>
      </c>
      <c r="L11" s="22"/>
      <c r="M11" s="23">
        <f>-K11*parameters!$B$7*parameters!J11/1000</f>
        <v>-3653431.96</v>
      </c>
      <c r="N11" s="22">
        <f>E11*parameters!K12/1000</f>
        <v>6964879.401</v>
      </c>
      <c r="O11" s="22">
        <f>parameters!$G$7*(1-parameters!$H$7)*parameters!L12/1000</f>
        <v>1203338.949</v>
      </c>
      <c r="P11" s="22">
        <f>G11*parameters!$C$7*parameters!L12/1000</f>
        <v>2100168</v>
      </c>
      <c r="Q11" s="22">
        <f>F11*parameters!$E$7*parameters!$D$7*parameters!L12/1000</f>
        <v>3022830.211</v>
      </c>
      <c r="R11" s="24">
        <f t="shared" si="3"/>
        <v>6326337.16</v>
      </c>
    </row>
    <row r="12" ht="15.75" customHeight="1">
      <c r="A12" s="20">
        <v>2031.0</v>
      </c>
      <c r="B12" s="28">
        <v>4.0648430253312E8</v>
      </c>
      <c r="C12" s="28">
        <v>3.72966778688E7</v>
      </c>
      <c r="D12" s="21">
        <f t="shared" si="1"/>
        <v>443780980.4</v>
      </c>
      <c r="E12" s="28">
        <v>8.061203010000001E7</v>
      </c>
      <c r="F12" s="28">
        <v>3.45480129E7</v>
      </c>
      <c r="G12" s="28">
        <v>3.6E7</v>
      </c>
      <c r="H12" s="21">
        <f t="shared" si="2"/>
        <v>594941023.4</v>
      </c>
      <c r="I12" s="22"/>
      <c r="J12" s="22">
        <f t="shared" si="4"/>
        <v>0</v>
      </c>
      <c r="K12" s="22">
        <f t="shared" si="5"/>
        <v>260168639.6</v>
      </c>
      <c r="L12" s="22"/>
      <c r="M12" s="23">
        <f>-K12*parameters!$B$7*parameters!J12/1000</f>
        <v>-3653431.96</v>
      </c>
      <c r="N12" s="22">
        <f>E12*parameters!K13/1000</f>
        <v>6707592.403</v>
      </c>
      <c r="O12" s="22">
        <f>parameters!$G$7*(1-parameters!$H$7)*parameters!L13/1000</f>
        <v>1203338.949</v>
      </c>
      <c r="P12" s="22">
        <f>G12*parameters!$C$7*parameters!L13/1000</f>
        <v>2100168</v>
      </c>
      <c r="Q12" s="22">
        <f>F12*parameters!$E$7*parameters!$D$7*parameters!L13/1000</f>
        <v>3022830.211</v>
      </c>
      <c r="R12" s="24">
        <f t="shared" si="3"/>
        <v>6326337.16</v>
      </c>
    </row>
    <row r="13" ht="15.75" customHeight="1">
      <c r="A13" s="20">
        <v>2032.0</v>
      </c>
      <c r="B13" s="28">
        <v>4.0648430253312E8</v>
      </c>
      <c r="C13" s="28">
        <v>3.72966778688E7</v>
      </c>
      <c r="D13" s="21">
        <f t="shared" si="1"/>
        <v>443780980.4</v>
      </c>
      <c r="E13" s="28">
        <v>8.061203010000001E7</v>
      </c>
      <c r="F13" s="28">
        <v>3.45480129E7</v>
      </c>
      <c r="G13" s="28">
        <v>3.6E7</v>
      </c>
      <c r="H13" s="21">
        <f t="shared" si="2"/>
        <v>594941023.4</v>
      </c>
      <c r="I13" s="22"/>
      <c r="J13" s="22">
        <f t="shared" si="4"/>
        <v>0</v>
      </c>
      <c r="K13" s="22">
        <f t="shared" si="5"/>
        <v>260168639.6</v>
      </c>
      <c r="L13" s="22"/>
      <c r="M13" s="23">
        <f>-K13*parameters!$B$7*parameters!J13/1000</f>
        <v>-3653431.96</v>
      </c>
      <c r="N13" s="22">
        <f>E13*parameters!K14/1000</f>
        <v>6512108.23</v>
      </c>
      <c r="O13" s="22">
        <f>parameters!$G$7*(1-parameters!$H$7)*parameters!L14/1000</f>
        <v>1260640.804</v>
      </c>
      <c r="P13" s="22">
        <f>G13*parameters!$C$7*parameters!L14/1000</f>
        <v>2200176</v>
      </c>
      <c r="Q13" s="22">
        <f>F13*parameters!$E$7*parameters!$D$7*parameters!L14/1000</f>
        <v>3166774.506</v>
      </c>
      <c r="R13" s="24">
        <f t="shared" si="3"/>
        <v>6627591.31</v>
      </c>
    </row>
    <row r="14" ht="15.75" customHeight="1">
      <c r="A14" s="20">
        <v>2033.0</v>
      </c>
      <c r="B14" s="28">
        <v>3.3690447044352E8</v>
      </c>
      <c r="C14" s="28">
        <v>3.72966778688E7</v>
      </c>
      <c r="D14" s="21">
        <f t="shared" si="1"/>
        <v>374201148.3</v>
      </c>
      <c r="E14" s="28">
        <v>1.3538465220000002E8</v>
      </c>
      <c r="F14" s="28">
        <v>5.80219938E7</v>
      </c>
      <c r="G14" s="28">
        <v>3.6E7</v>
      </c>
      <c r="H14" s="21">
        <f t="shared" si="2"/>
        <v>603607794.3</v>
      </c>
      <c r="I14" s="22"/>
      <c r="J14" s="22">
        <f t="shared" si="4"/>
        <v>69579832.09</v>
      </c>
      <c r="K14" s="22">
        <f t="shared" si="5"/>
        <v>329748471.7</v>
      </c>
      <c r="L14" s="22"/>
      <c r="M14" s="23">
        <f>-K14*parameters!$B$7*parameters!J14/1000</f>
        <v>-4630510.453</v>
      </c>
      <c r="N14" s="22">
        <f>E14*parameters!K15/1000</f>
        <v>10682976.81</v>
      </c>
      <c r="O14" s="22">
        <f>parameters!$G$7*(1-parameters!$H$7)*parameters!L15/1000</f>
        <v>1317942.658</v>
      </c>
      <c r="P14" s="22">
        <f>G14*parameters!$C$7*parameters!L15/1000</f>
        <v>2300184</v>
      </c>
      <c r="Q14" s="22">
        <f>F14*parameters!$E$7*parameters!$D$7*parameters!L15/1000</f>
        <v>5560218.655</v>
      </c>
      <c r="R14" s="24">
        <f t="shared" si="3"/>
        <v>9178345.313</v>
      </c>
    </row>
    <row r="15" ht="15.75" customHeight="1">
      <c r="A15" s="20">
        <v>2034.0</v>
      </c>
      <c r="B15" s="28">
        <v>3.3690447044352E8</v>
      </c>
      <c r="C15" s="28">
        <v>3.72966778688E7</v>
      </c>
      <c r="D15" s="21">
        <f t="shared" si="1"/>
        <v>374201148.3</v>
      </c>
      <c r="E15" s="28">
        <v>1.3538465220000002E8</v>
      </c>
      <c r="F15" s="28">
        <v>5.80219938E7</v>
      </c>
      <c r="G15" s="28">
        <v>3.6E7</v>
      </c>
      <c r="H15" s="21">
        <f t="shared" si="2"/>
        <v>603607794.3</v>
      </c>
      <c r="I15" s="22"/>
      <c r="J15" s="22">
        <f t="shared" si="4"/>
        <v>0</v>
      </c>
      <c r="K15" s="22">
        <f t="shared" si="5"/>
        <v>329748471.7</v>
      </c>
      <c r="L15" s="22"/>
      <c r="M15" s="23">
        <f>-K15*parameters!$B$7*parameters!J15/1000</f>
        <v>-4630510.453</v>
      </c>
      <c r="N15" s="22">
        <f>E15*parameters!K16/1000</f>
        <v>10618669.1</v>
      </c>
      <c r="O15" s="22">
        <f>parameters!$G$7*(1-parameters!$H$7)*parameters!L16/1000</f>
        <v>1375244.513</v>
      </c>
      <c r="P15" s="22">
        <f>G15*parameters!$C$7*parameters!L16/1000</f>
        <v>2400192</v>
      </c>
      <c r="Q15" s="22">
        <f>F15*parameters!$E$7*parameters!$D$7*parameters!L16/1000</f>
        <v>5801967.292</v>
      </c>
      <c r="R15" s="24">
        <f t="shared" si="3"/>
        <v>9577403.805</v>
      </c>
    </row>
    <row r="16" ht="15.75" customHeight="1">
      <c r="A16" s="20">
        <v>2035.0</v>
      </c>
      <c r="B16" s="28">
        <v>2.8793045826048E8</v>
      </c>
      <c r="C16" s="28">
        <v>0.0</v>
      </c>
      <c r="D16" s="21">
        <f t="shared" si="1"/>
        <v>287930458.3</v>
      </c>
      <c r="E16" s="28">
        <v>2.0472025602E8</v>
      </c>
      <c r="F16" s="28">
        <v>8.773725258E7</v>
      </c>
      <c r="G16" s="28">
        <v>3.6E7</v>
      </c>
      <c r="H16" s="21">
        <f t="shared" si="2"/>
        <v>616387966.9</v>
      </c>
      <c r="I16" s="22"/>
      <c r="J16" s="22">
        <f t="shared" si="4"/>
        <v>86270690.05</v>
      </c>
      <c r="K16" s="22">
        <f t="shared" si="5"/>
        <v>416019161.7</v>
      </c>
      <c r="L16" s="22"/>
      <c r="M16" s="23">
        <f>-K16*parameters!$B$7*parameters!J16/1000</f>
        <v>-5841971.207</v>
      </c>
      <c r="N16" s="22">
        <f>E16*parameters!K17/1000</f>
        <v>15853878.51</v>
      </c>
      <c r="O16" s="22">
        <f>parameters!$G$7*(1-parameters!$H$7)*parameters!L17/1000</f>
        <v>1432546.368</v>
      </c>
      <c r="P16" s="22">
        <f>G16*parameters!$C$7*parameters!L17/1000</f>
        <v>2500200</v>
      </c>
      <c r="Q16" s="22">
        <f>F16*parameters!$E$7*parameters!$D$7*parameters!L17/1000</f>
        <v>9138931.572</v>
      </c>
      <c r="R16" s="24">
        <f t="shared" si="3"/>
        <v>13071677.94</v>
      </c>
    </row>
    <row r="17" ht="15.75" customHeight="1">
      <c r="A17" s="20">
        <v>2036.0</v>
      </c>
      <c r="B17" s="28">
        <v>2.3011663449600002E8</v>
      </c>
      <c r="C17" s="28">
        <v>0.0</v>
      </c>
      <c r="D17" s="21">
        <f t="shared" si="1"/>
        <v>230116634.5</v>
      </c>
      <c r="E17" s="28">
        <v>2.5023078150000003E8</v>
      </c>
      <c r="F17" s="28">
        <v>1.0724176349999999E8</v>
      </c>
      <c r="G17" s="28">
        <v>3.6E7</v>
      </c>
      <c r="H17" s="21">
        <f t="shared" si="2"/>
        <v>623589179.5</v>
      </c>
      <c r="I17" s="22"/>
      <c r="J17" s="22">
        <f t="shared" si="4"/>
        <v>57813823.76</v>
      </c>
      <c r="K17" s="22">
        <f t="shared" si="5"/>
        <v>473832985.5</v>
      </c>
      <c r="L17" s="22"/>
      <c r="M17" s="23">
        <f>-K17*parameters!$B$7*parameters!J17/1000</f>
        <v>-6653824.903</v>
      </c>
      <c r="N17" s="22">
        <f>E17*parameters!K18/1000</f>
        <v>19115547.28</v>
      </c>
      <c r="O17" s="22">
        <f>parameters!$G$7*(1-parameters!$H$7)*parameters!L18/1000</f>
        <v>1432546.368</v>
      </c>
      <c r="P17" s="22">
        <f>G17*parameters!$C$7*parameters!L18/1000</f>
        <v>2500200</v>
      </c>
      <c r="Q17" s="22">
        <f>F17*parameters!$E$7*parameters!$D$7*parameters!L18/1000</f>
        <v>11170570.19</v>
      </c>
      <c r="R17" s="24">
        <f t="shared" si="3"/>
        <v>15103316.56</v>
      </c>
    </row>
    <row r="18" ht="15.75" customHeight="1">
      <c r="A18" s="20">
        <v>2037.0</v>
      </c>
      <c r="B18" s="28">
        <v>1.7957545471488002E8</v>
      </c>
      <c r="C18" s="28">
        <v>0.0</v>
      </c>
      <c r="D18" s="21">
        <f t="shared" si="1"/>
        <v>179575454.7</v>
      </c>
      <c r="E18" s="28">
        <v>2.9001634662E8</v>
      </c>
      <c r="F18" s="28">
        <v>1.2429271997999999E8</v>
      </c>
      <c r="G18" s="28">
        <v>3.6E7</v>
      </c>
      <c r="H18" s="21">
        <f t="shared" si="2"/>
        <v>629884521.3</v>
      </c>
      <c r="I18" s="22"/>
      <c r="J18" s="22">
        <f t="shared" si="4"/>
        <v>50541179.78</v>
      </c>
      <c r="K18" s="22">
        <f t="shared" si="5"/>
        <v>524374165.3</v>
      </c>
      <c r="L18" s="22"/>
      <c r="M18" s="23">
        <f>-K18*parameters!$B$7*parameters!J18/1000</f>
        <v>-7363552.108</v>
      </c>
      <c r="N18" s="22">
        <f>E18*parameters!K19/1000</f>
        <v>20745835.03</v>
      </c>
      <c r="O18" s="22">
        <f>parameters!$G$7*(1-parameters!$H$7)*parameters!L19/1000</f>
        <v>1432546.368</v>
      </c>
      <c r="P18" s="22">
        <f>G18*parameters!$C$7*parameters!L19/1000</f>
        <v>2500200</v>
      </c>
      <c r="Q18" s="22">
        <f>F18*parameters!$E$7*parameters!$D$7*parameters!L19/1000</f>
        <v>12946640.44</v>
      </c>
      <c r="R18" s="24">
        <f t="shared" si="3"/>
        <v>16879386.81</v>
      </c>
    </row>
    <row r="19" ht="15.75" customHeight="1">
      <c r="A19" s="20">
        <v>2038.0</v>
      </c>
      <c r="B19" s="28">
        <v>1.7957545471488002E8</v>
      </c>
      <c r="C19" s="28">
        <v>0.0</v>
      </c>
      <c r="D19" s="21">
        <f t="shared" si="1"/>
        <v>179575454.7</v>
      </c>
      <c r="E19" s="28">
        <v>2.9001634662E8</v>
      </c>
      <c r="F19" s="28">
        <v>1.2429271997999999E8</v>
      </c>
      <c r="G19" s="28">
        <v>3.6E7</v>
      </c>
      <c r="H19" s="21">
        <f t="shared" si="2"/>
        <v>629884521.3</v>
      </c>
      <c r="I19" s="22"/>
      <c r="J19" s="22">
        <f t="shared" si="4"/>
        <v>0</v>
      </c>
      <c r="K19" s="22">
        <f t="shared" si="5"/>
        <v>524374165.3</v>
      </c>
      <c r="L19" s="22"/>
      <c r="M19" s="23">
        <f>-K19*parameters!$B$7*parameters!J19/1000</f>
        <v>-7363552.108</v>
      </c>
      <c r="N19" s="22">
        <f>E19*parameters!K20/1000</f>
        <v>19849203.09</v>
      </c>
      <c r="O19" s="22">
        <f>parameters!$G$7*(1-parameters!$H$7)*parameters!L20/1000</f>
        <v>1432546.368</v>
      </c>
      <c r="P19" s="22">
        <f>G19*parameters!$C$7*parameters!L20/1000</f>
        <v>2500200</v>
      </c>
      <c r="Q19" s="22">
        <f>F19*parameters!$E$7*parameters!$D$7*parameters!L20/1000</f>
        <v>12946640.44</v>
      </c>
      <c r="R19" s="24">
        <f t="shared" si="3"/>
        <v>16879386.81</v>
      </c>
    </row>
    <row r="20" ht="15.75" customHeight="1">
      <c r="A20" s="20">
        <v>2039.0</v>
      </c>
      <c r="B20" s="28">
        <v>1.7957545471488002E8</v>
      </c>
      <c r="C20" s="28">
        <v>0.0</v>
      </c>
      <c r="D20" s="21">
        <f t="shared" si="1"/>
        <v>179575454.7</v>
      </c>
      <c r="E20" s="28">
        <v>2.9001634662E8</v>
      </c>
      <c r="F20" s="28">
        <v>1.2429271997999999E8</v>
      </c>
      <c r="G20" s="28">
        <v>3.6E7</v>
      </c>
      <c r="H20" s="21">
        <f t="shared" si="2"/>
        <v>629884521.3</v>
      </c>
      <c r="I20" s="22"/>
      <c r="J20" s="22">
        <f t="shared" si="4"/>
        <v>0</v>
      </c>
      <c r="K20" s="22">
        <f t="shared" si="5"/>
        <v>524374165.3</v>
      </c>
      <c r="L20" s="22"/>
      <c r="M20" s="23">
        <f>-K20*parameters!$B$7*parameters!J20/1000</f>
        <v>-7363552.108</v>
      </c>
      <c r="N20" s="22">
        <f>E20*parameters!K21/1000</f>
        <v>18993654.87</v>
      </c>
      <c r="O20" s="22">
        <f>parameters!$G$7*(1-parameters!$H$7)*parameters!L21/1000</f>
        <v>1432546.368</v>
      </c>
      <c r="P20" s="22">
        <f>G20*parameters!$C$7*parameters!L21/1000</f>
        <v>2500200</v>
      </c>
      <c r="Q20" s="22">
        <f>F20*parameters!$E$7*parameters!$D$7*parameters!L21/1000</f>
        <v>12946640.44</v>
      </c>
      <c r="R20" s="24">
        <f t="shared" si="3"/>
        <v>16879386.81</v>
      </c>
    </row>
    <row r="21" ht="15.75" customHeight="1">
      <c r="A21" s="20">
        <v>2040.0</v>
      </c>
      <c r="B21" s="28">
        <v>1.3520500530431998E8</v>
      </c>
      <c r="C21" s="28">
        <v>0.0</v>
      </c>
      <c r="D21" s="21">
        <f t="shared" si="1"/>
        <v>135205005.3</v>
      </c>
      <c r="E21" s="28">
        <v>3.2494436793E8</v>
      </c>
      <c r="F21" s="28">
        <v>1.3926187197E8</v>
      </c>
      <c r="G21" s="28">
        <v>3.6E7</v>
      </c>
      <c r="H21" s="21">
        <f t="shared" si="2"/>
        <v>635411245.2</v>
      </c>
      <c r="I21" s="22"/>
      <c r="J21" s="22">
        <f t="shared" si="4"/>
        <v>44370449.41</v>
      </c>
      <c r="K21" s="22">
        <f t="shared" si="5"/>
        <v>568744614.7</v>
      </c>
      <c r="L21" s="22"/>
      <c r="M21" s="23">
        <f>-K21*parameters!$B$7*parameters!J21/1000</f>
        <v>-7986626.504</v>
      </c>
      <c r="N21" s="22">
        <f>E21*parameters!K22/1000</f>
        <v>20368595.05</v>
      </c>
      <c r="O21" s="22">
        <f>parameters!$G$7*(1-parameters!$H$7)*parameters!L22/1000</f>
        <v>1432546.368</v>
      </c>
      <c r="P21" s="22">
        <f>G21*parameters!$C$7*parameters!L22/1000</f>
        <v>2500200</v>
      </c>
      <c r="Q21" s="22">
        <f>F21*parameters!$E$7*parameters!$D$7*parameters!L22/1000</f>
        <v>14505864.74</v>
      </c>
      <c r="R21" s="24">
        <f t="shared" si="3"/>
        <v>18438611.11</v>
      </c>
    </row>
    <row r="22" ht="15.75" customHeight="1">
      <c r="A22" s="20">
        <v>2041.0</v>
      </c>
      <c r="B22" s="28">
        <v>1.3520500530431998E8</v>
      </c>
      <c r="C22" s="28">
        <v>0.0</v>
      </c>
      <c r="D22" s="21">
        <f t="shared" si="1"/>
        <v>135205005.3</v>
      </c>
      <c r="E22" s="28">
        <v>3.2494436793E8</v>
      </c>
      <c r="F22" s="28">
        <v>1.3926187197E8</v>
      </c>
      <c r="G22" s="28">
        <v>3.6E7</v>
      </c>
      <c r="H22" s="21">
        <f t="shared" si="2"/>
        <v>635411245.2</v>
      </c>
      <c r="I22" s="22"/>
      <c r="J22" s="22">
        <f t="shared" si="4"/>
        <v>0</v>
      </c>
      <c r="K22" s="22">
        <f t="shared" si="5"/>
        <v>568744614.7</v>
      </c>
      <c r="L22" s="22"/>
      <c r="M22" s="23">
        <f>-K22*parameters!$B$7*parameters!J22/1000</f>
        <v>-7986626.504</v>
      </c>
      <c r="N22" s="22">
        <f>E22*parameters!K23/1000</f>
        <v>19496662.08</v>
      </c>
      <c r="O22" s="22">
        <f>parameters!$G$7*(1-parameters!$H$7)*parameters!L23/1000</f>
        <v>1432546.368</v>
      </c>
      <c r="P22" s="22">
        <f>G22*parameters!$C$7*parameters!L23/1000</f>
        <v>2500200</v>
      </c>
      <c r="Q22" s="22">
        <f>F22*parameters!$E$7*parameters!$D$7*parameters!L23/1000</f>
        <v>14505864.74</v>
      </c>
      <c r="R22" s="24">
        <f t="shared" si="3"/>
        <v>18438611.11</v>
      </c>
    </row>
    <row r="23" ht="15.75" customHeight="1">
      <c r="A23" s="20">
        <v>2042.0</v>
      </c>
      <c r="B23" s="28">
        <v>8.623099312128E7</v>
      </c>
      <c r="C23" s="28">
        <v>0.0</v>
      </c>
      <c r="D23" s="21">
        <f t="shared" si="1"/>
        <v>86230993.12</v>
      </c>
      <c r="E23" s="28">
        <v>3.6349627272E8</v>
      </c>
      <c r="F23" s="28">
        <v>1.5578411688E8</v>
      </c>
      <c r="G23" s="28">
        <v>3.6E7</v>
      </c>
      <c r="H23" s="21">
        <f t="shared" si="2"/>
        <v>641511382.7</v>
      </c>
      <c r="I23" s="22"/>
      <c r="J23" s="22">
        <f t="shared" si="4"/>
        <v>48974012.18</v>
      </c>
      <c r="K23" s="22">
        <f t="shared" si="5"/>
        <v>617718626.9</v>
      </c>
      <c r="L23" s="22"/>
      <c r="M23" s="23">
        <f>-K23*parameters!$B$7*parameters!J23/1000</f>
        <v>-8674346.675</v>
      </c>
      <c r="N23" s="22">
        <f>E23*parameters!K24/1000</f>
        <v>20879832.94</v>
      </c>
      <c r="O23" s="22">
        <f>parameters!$G$7*(1-parameters!$H$7)*parameters!L24/1000</f>
        <v>1432546.368</v>
      </c>
      <c r="P23" s="22">
        <f>G23*parameters!$C$7*parameters!L24/1000</f>
        <v>2500200</v>
      </c>
      <c r="Q23" s="22">
        <f>F23*parameters!$E$7*parameters!$D$7*parameters!L24/1000</f>
        <v>16226863.07</v>
      </c>
      <c r="R23" s="24">
        <f t="shared" si="3"/>
        <v>20159609.44</v>
      </c>
    </row>
    <row r="24" ht="15.75" customHeight="1">
      <c r="A24" s="20">
        <v>2043.0</v>
      </c>
      <c r="B24" s="28">
        <v>8.623099312128E7</v>
      </c>
      <c r="C24" s="28">
        <v>0.0</v>
      </c>
      <c r="D24" s="21">
        <f t="shared" si="1"/>
        <v>86230993.12</v>
      </c>
      <c r="E24" s="28">
        <v>3.6349627272E8</v>
      </c>
      <c r="F24" s="28">
        <v>1.5578411688E8</v>
      </c>
      <c r="G24" s="28">
        <v>3.6E7</v>
      </c>
      <c r="H24" s="21">
        <f t="shared" si="2"/>
        <v>641511382.7</v>
      </c>
      <c r="I24" s="22"/>
      <c r="J24" s="22">
        <f t="shared" si="4"/>
        <v>0</v>
      </c>
      <c r="K24" s="22">
        <f t="shared" si="5"/>
        <v>617718626.9</v>
      </c>
      <c r="L24" s="22"/>
      <c r="M24" s="23">
        <f>-K24*parameters!$B$7*parameters!J24/1000</f>
        <v>-8674346.675</v>
      </c>
      <c r="N24" s="22">
        <f>E24*parameters!K25/1000</f>
        <v>19992295</v>
      </c>
      <c r="O24" s="22">
        <f>parameters!$G$7*(1-parameters!$H$7)*parameters!L25/1000</f>
        <v>1432546.368</v>
      </c>
      <c r="P24" s="22">
        <f>G24*parameters!$C$7*parameters!L25/1000</f>
        <v>2500200</v>
      </c>
      <c r="Q24" s="22">
        <f>F24*parameters!$E$7*parameters!$D$7*parameters!L25/1000</f>
        <v>16226863.07</v>
      </c>
      <c r="R24" s="24">
        <f t="shared" si="3"/>
        <v>20159609.44</v>
      </c>
    </row>
    <row r="25" ht="15.75" customHeight="1">
      <c r="A25" s="20">
        <v>2044.0</v>
      </c>
      <c r="B25" s="28">
        <v>3.965670234624E7</v>
      </c>
      <c r="C25" s="28">
        <v>0.0</v>
      </c>
      <c r="D25" s="21">
        <f t="shared" si="1"/>
        <v>39656702.35</v>
      </c>
      <c r="E25" s="28">
        <v>4.0015913826000005E8</v>
      </c>
      <c r="F25" s="28">
        <v>1.7149677354E8</v>
      </c>
      <c r="G25" s="28">
        <v>3.6E7</v>
      </c>
      <c r="H25" s="21">
        <f t="shared" si="2"/>
        <v>647312614.1</v>
      </c>
      <c r="I25" s="22"/>
      <c r="J25" s="22">
        <f t="shared" si="4"/>
        <v>46574290.78</v>
      </c>
      <c r="K25" s="22">
        <f t="shared" si="5"/>
        <v>664292917.7</v>
      </c>
      <c r="L25" s="22"/>
      <c r="M25" s="23">
        <f>-K25*parameters!$B$7*parameters!J25/1000</f>
        <v>-9328368.631</v>
      </c>
      <c r="N25" s="22">
        <f>E25*parameters!K26/1000</f>
        <v>21075049.28</v>
      </c>
      <c r="O25" s="22">
        <f>parameters!$G$7*(1-parameters!$H$7)*parameters!L26/1000</f>
        <v>1432546.368</v>
      </c>
      <c r="P25" s="22">
        <f>G25*parameters!$C$7*parameters!L26/1000</f>
        <v>2500200</v>
      </c>
      <c r="Q25" s="22">
        <f>F25*parameters!$E$7*parameters!$D$7*parameters!L26/1000</f>
        <v>17863532.67</v>
      </c>
      <c r="R25" s="24">
        <f t="shared" si="3"/>
        <v>21796279.04</v>
      </c>
    </row>
    <row r="26" ht="15.75" customHeight="1">
      <c r="A26" s="20">
        <v>2045.0</v>
      </c>
      <c r="B26" s="28">
        <v>3.965670234624E7</v>
      </c>
      <c r="C26" s="28">
        <v>0.0</v>
      </c>
      <c r="D26" s="21">
        <f t="shared" si="1"/>
        <v>39656702.35</v>
      </c>
      <c r="E26" s="28">
        <v>4.0015913826000005E8</v>
      </c>
      <c r="F26" s="28">
        <v>1.7149677354E8</v>
      </c>
      <c r="G26" s="28">
        <v>3.6E7</v>
      </c>
      <c r="H26" s="21">
        <f t="shared" si="2"/>
        <v>647312614.1</v>
      </c>
      <c r="I26" s="22"/>
      <c r="J26" s="22">
        <f t="shared" si="4"/>
        <v>0</v>
      </c>
      <c r="K26" s="22">
        <f t="shared" si="5"/>
        <v>664292917.7</v>
      </c>
      <c r="L26" s="22"/>
      <c r="M26" s="23">
        <f>-K26*parameters!$B$7*parameters!J26/1000</f>
        <v>-9328368.631</v>
      </c>
      <c r="N26" s="22">
        <f>E26*parameters!K27/1000</f>
        <v>20184695.2</v>
      </c>
      <c r="O26" s="22">
        <f>parameters!$G$7*(1-parameters!$H$7)*parameters!L27/1000</f>
        <v>1432546.368</v>
      </c>
      <c r="P26" s="22">
        <f>G26*parameters!$C$7*parameters!L27/1000</f>
        <v>2500200</v>
      </c>
      <c r="Q26" s="22">
        <f>F26*parameters!$E$7*parameters!$D$7*parameters!L27/1000</f>
        <v>17863532.67</v>
      </c>
      <c r="R26" s="24">
        <f t="shared" si="3"/>
        <v>21796279.04</v>
      </c>
    </row>
    <row r="27" ht="15.75" customHeight="1">
      <c r="A27" s="20">
        <v>2046.0</v>
      </c>
      <c r="B27" s="28">
        <v>0.0</v>
      </c>
      <c r="C27" s="28">
        <v>0.0</v>
      </c>
      <c r="D27" s="21">
        <f t="shared" si="1"/>
        <v>0</v>
      </c>
      <c r="E27" s="28">
        <v>4.3137654000000006E8</v>
      </c>
      <c r="F27" s="28">
        <v>1.8487565999999997E8</v>
      </c>
      <c r="G27" s="28">
        <v>3.6E7</v>
      </c>
      <c r="H27" s="21">
        <f t="shared" si="2"/>
        <v>652252200</v>
      </c>
      <c r="I27" s="22"/>
      <c r="J27" s="22">
        <f t="shared" si="4"/>
        <v>39656702.35</v>
      </c>
      <c r="K27" s="22">
        <f t="shared" si="5"/>
        <v>703949620</v>
      </c>
      <c r="L27" s="22"/>
      <c r="M27" s="23">
        <f>-K27*parameters!$B$7*parameters!J27/1000</f>
        <v>-9885249.983</v>
      </c>
      <c r="N27" s="22">
        <f>E27*parameters!K28/1000</f>
        <v>20842677.93</v>
      </c>
      <c r="O27" s="22">
        <f>parameters!$G$7*(1-parameters!$H$7)*parameters!L28/1000</f>
        <v>1432546.368</v>
      </c>
      <c r="P27" s="22">
        <f>G27*parameters!$C$7*parameters!L28/1000</f>
        <v>2500200</v>
      </c>
      <c r="Q27" s="22">
        <f>F27*parameters!$E$7*parameters!$D$7*parameters!L28/1000</f>
        <v>19257110.93</v>
      </c>
      <c r="R27" s="24">
        <f t="shared" si="3"/>
        <v>23189857.3</v>
      </c>
    </row>
    <row r="28" ht="15.75" customHeight="1">
      <c r="A28" s="20">
        <v>2047.0</v>
      </c>
      <c r="B28" s="28">
        <v>0.0</v>
      </c>
      <c r="C28" s="28">
        <v>0.0</v>
      </c>
      <c r="D28" s="21">
        <f t="shared" si="1"/>
        <v>0</v>
      </c>
      <c r="E28" s="28">
        <v>4.3137654000000006E8</v>
      </c>
      <c r="F28" s="28">
        <v>1.8487565999999997E8</v>
      </c>
      <c r="G28" s="28">
        <v>3.6E7</v>
      </c>
      <c r="H28" s="21">
        <f t="shared" si="2"/>
        <v>652252200</v>
      </c>
      <c r="I28" s="22"/>
      <c r="J28" s="22">
        <f t="shared" si="4"/>
        <v>0</v>
      </c>
      <c r="K28" s="22">
        <f t="shared" si="5"/>
        <v>703949620</v>
      </c>
      <c r="L28" s="22"/>
      <c r="M28" s="23">
        <f>-K28*parameters!$B$7*parameters!J28/1000</f>
        <v>-9885249.983</v>
      </c>
      <c r="N28" s="22">
        <f>E28*parameters!K29/1000</f>
        <v>19961949.39</v>
      </c>
      <c r="O28" s="22">
        <f>parameters!$G$7*(1-parameters!$H$7)*parameters!L29/1000</f>
        <v>1432546.368</v>
      </c>
      <c r="P28" s="22">
        <f>G28*parameters!$C$7*parameters!L29/1000</f>
        <v>2500200</v>
      </c>
      <c r="Q28" s="22">
        <f>F28*parameters!$E$7*parameters!$D$7*parameters!L29/1000</f>
        <v>19257110.93</v>
      </c>
      <c r="R28" s="24">
        <f t="shared" si="3"/>
        <v>23189857.3</v>
      </c>
    </row>
    <row r="29" ht="15.75" customHeight="1">
      <c r="A29" s="20">
        <v>2048.0</v>
      </c>
      <c r="B29" s="28">
        <v>0.0</v>
      </c>
      <c r="C29" s="28">
        <v>0.0</v>
      </c>
      <c r="D29" s="21">
        <f t="shared" si="1"/>
        <v>0</v>
      </c>
      <c r="E29" s="28">
        <v>4.3137654000000006E8</v>
      </c>
      <c r="F29" s="28">
        <v>1.8487565999999997E8</v>
      </c>
      <c r="G29" s="28">
        <v>3.6E7</v>
      </c>
      <c r="H29" s="21">
        <f t="shared" si="2"/>
        <v>652252200</v>
      </c>
      <c r="I29" s="22"/>
      <c r="J29" s="22">
        <f t="shared" si="4"/>
        <v>0</v>
      </c>
      <c r="K29" s="22">
        <f t="shared" si="5"/>
        <v>703949620</v>
      </c>
      <c r="L29" s="22"/>
      <c r="M29" s="23">
        <f>-K29*parameters!$B$7*parameters!J29/1000</f>
        <v>-9885249.983</v>
      </c>
      <c r="N29" s="22">
        <f>E29*parameters!K30/1000</f>
        <v>19120765.14</v>
      </c>
      <c r="O29" s="22">
        <f>parameters!$G$7*(1-parameters!$H$7)*parameters!L30/1000</f>
        <v>1432546.368</v>
      </c>
      <c r="P29" s="22">
        <f>G29*parameters!$C$7*parameters!L30/1000</f>
        <v>2500200</v>
      </c>
      <c r="Q29" s="22">
        <f>F29*parameters!$E$7*parameters!$D$7*parameters!L30/1000</f>
        <v>19257110.93</v>
      </c>
      <c r="R29" s="24">
        <f t="shared" si="3"/>
        <v>23189857.3</v>
      </c>
    </row>
    <row r="30" ht="15.75" customHeight="1">
      <c r="A30" s="20">
        <v>2049.0</v>
      </c>
      <c r="B30" s="28">
        <v>0.0</v>
      </c>
      <c r="C30" s="28">
        <v>0.0</v>
      </c>
      <c r="D30" s="21">
        <f t="shared" si="1"/>
        <v>0</v>
      </c>
      <c r="E30" s="28">
        <v>4.3137654000000006E8</v>
      </c>
      <c r="F30" s="28">
        <v>1.8487565999999997E8</v>
      </c>
      <c r="G30" s="28">
        <v>3.6E7</v>
      </c>
      <c r="H30" s="21">
        <f t="shared" si="2"/>
        <v>652252200</v>
      </c>
      <c r="I30" s="22"/>
      <c r="J30" s="22">
        <f t="shared" si="4"/>
        <v>0</v>
      </c>
      <c r="K30" s="22">
        <f t="shared" si="5"/>
        <v>703949620</v>
      </c>
      <c r="L30" s="22"/>
      <c r="M30" s="23">
        <f>-K30*parameters!$B$7*parameters!J30/1000</f>
        <v>-9885249.983</v>
      </c>
      <c r="N30" s="22">
        <f>E30*parameters!K31/1000</f>
        <v>18315527.49</v>
      </c>
      <c r="O30" s="22">
        <f>parameters!$G$7*(1-parameters!$H$7)*parameters!L31/1000</f>
        <v>1432546.368</v>
      </c>
      <c r="P30" s="22">
        <f>G30*parameters!$C$7*parameters!L31/1000</f>
        <v>2500200</v>
      </c>
      <c r="Q30" s="22">
        <f>F30*parameters!$E$7*parameters!$D$7*parameters!L31/1000</f>
        <v>19257110.93</v>
      </c>
      <c r="R30" s="24">
        <f t="shared" si="3"/>
        <v>23189857.3</v>
      </c>
    </row>
    <row r="31" ht="15.75" customHeight="1">
      <c r="A31" s="20">
        <v>2050.0</v>
      </c>
      <c r="B31" s="28">
        <v>0.0</v>
      </c>
      <c r="C31" s="28">
        <v>0.0</v>
      </c>
      <c r="D31" s="21">
        <f t="shared" si="1"/>
        <v>0</v>
      </c>
      <c r="E31" s="28">
        <v>4.3137654000000006E8</v>
      </c>
      <c r="F31" s="28">
        <v>1.8487565999999997E8</v>
      </c>
      <c r="G31" s="28">
        <v>3.6E7</v>
      </c>
      <c r="H31" s="21">
        <f t="shared" si="2"/>
        <v>652252200</v>
      </c>
      <c r="I31" s="22"/>
      <c r="J31" s="22">
        <f t="shared" si="4"/>
        <v>0</v>
      </c>
      <c r="K31" s="22">
        <f t="shared" si="5"/>
        <v>703949620</v>
      </c>
      <c r="L31" s="22"/>
      <c r="M31" s="25">
        <f>-K31*parameters!$B$7*parameters!J31/1000</f>
        <v>-9885249.983</v>
      </c>
      <c r="N31" s="26">
        <f>E31*parameters!K32/1000</f>
        <v>17546240.76</v>
      </c>
      <c r="O31" s="26">
        <f>parameters!$G$7*(1-parameters!$H$7)*parameters!L32/1000</f>
        <v>1432546.368</v>
      </c>
      <c r="P31" s="26">
        <f>G31*parameters!$C$7*parameters!L32/1000</f>
        <v>2500200</v>
      </c>
      <c r="Q31" s="26">
        <f>F31*parameters!$E$7*parameters!$D$7*parameters!L32/1000</f>
        <v>19257110.93</v>
      </c>
      <c r="R31" s="27">
        <f t="shared" si="3"/>
        <v>23189857.3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4.67"/>
    <col customWidth="1" min="3" max="3" width="13.67"/>
    <col customWidth="1" min="4" max="4" width="15.44"/>
    <col customWidth="1" min="5" max="6" width="14.67"/>
    <col customWidth="1" min="7" max="7" width="13.67"/>
    <col customWidth="1" min="8" max="9" width="14.67"/>
    <col customWidth="1" min="10" max="10" width="13.67"/>
    <col customWidth="1" min="11" max="11" width="14.67"/>
    <col customWidth="1" min="12" max="12" width="10.44"/>
    <col customWidth="1" min="13" max="18" width="14.44"/>
    <col customWidth="1" min="19" max="26" width="10.44"/>
  </cols>
  <sheetData>
    <row r="1" ht="15.75" customHeight="1">
      <c r="B1" s="5" t="s">
        <v>8</v>
      </c>
      <c r="C1" s="5"/>
      <c r="D1" s="5"/>
      <c r="E1" s="5">
        <v>5.0</v>
      </c>
      <c r="F1" s="5">
        <v>6.0</v>
      </c>
      <c r="G1" s="5">
        <v>7.0</v>
      </c>
      <c r="H1" s="5">
        <v>8.0</v>
      </c>
      <c r="I1" s="5">
        <v>9.0</v>
      </c>
      <c r="J1" s="5">
        <v>10.0</v>
      </c>
      <c r="K1" s="5">
        <v>11.0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  <c r="S1" s="5"/>
    </row>
    <row r="2" ht="15.75" customHeight="1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  <c r="S2" s="5"/>
    </row>
    <row r="3" ht="15.75" customHeight="1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  <c r="S3" s="5"/>
    </row>
    <row r="4" ht="15.75" customHeight="1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  <c r="S4" s="5"/>
    </row>
    <row r="5" ht="15.75" customHeight="1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  <c r="S5" s="5"/>
    </row>
    <row r="6" ht="15.75" customHeight="1">
      <c r="A6" s="20">
        <v>2025.0</v>
      </c>
      <c r="B6" s="21">
        <v>5.69262679E8</v>
      </c>
      <c r="C6" s="21">
        <v>4.0865546E7</v>
      </c>
      <c r="D6" s="21">
        <f t="shared" ref="D6:D31" si="1">SUM(B6:C6)</f>
        <v>610128225</v>
      </c>
      <c r="E6" s="21">
        <v>0.0</v>
      </c>
      <c r="F6" s="21">
        <v>0.0</v>
      </c>
      <c r="G6" s="21">
        <v>3.58064E7</v>
      </c>
      <c r="H6" s="21">
        <f t="shared" ref="H6:H31" si="2">SUM(D6:G6)</f>
        <v>645934625</v>
      </c>
      <c r="I6" s="22"/>
      <c r="J6" s="22"/>
      <c r="K6" s="22"/>
      <c r="L6" s="22"/>
      <c r="M6" s="23"/>
      <c r="N6" s="22">
        <f>E6*parameters!K7/1000</f>
        <v>0</v>
      </c>
      <c r="O6" s="22">
        <f>parameters!$G$7*(1-parameters!$I$7)*parameters!L7/1000</f>
        <v>1819106.499</v>
      </c>
      <c r="P6" s="22">
        <f>G6*parameters!$C$7*parameters!L7/1000</f>
        <v>1690993.046</v>
      </c>
      <c r="Q6" s="22">
        <f>F6*parameters!$E$7*parameters!$D$7*parameters!L7/1000</f>
        <v>0</v>
      </c>
      <c r="R6" s="24">
        <f t="shared" ref="R6:R31" si="3">O6+P6+Q6</f>
        <v>3510099.545</v>
      </c>
      <c r="S6" s="5"/>
    </row>
    <row r="7" ht="15.75" customHeight="1">
      <c r="A7" s="20">
        <v>2026.0</v>
      </c>
      <c r="B7" s="21">
        <v>5.22177263E8</v>
      </c>
      <c r="C7" s="21">
        <v>4.0865546E7</v>
      </c>
      <c r="D7" s="21">
        <f t="shared" si="1"/>
        <v>563042809</v>
      </c>
      <c r="E7" s="21">
        <v>0.0</v>
      </c>
      <c r="F7" s="21">
        <v>0.0</v>
      </c>
      <c r="G7" s="21">
        <v>5.37096E7</v>
      </c>
      <c r="H7" s="21">
        <f t="shared" si="2"/>
        <v>616752409</v>
      </c>
      <c r="I7" s="22"/>
      <c r="J7" s="22">
        <f t="shared" ref="J7:J31" si="4">(B6+C6)-(B7+C7)</f>
        <v>47085416</v>
      </c>
      <c r="K7" s="22">
        <f>J7</f>
        <v>47085416</v>
      </c>
      <c r="L7" s="22"/>
      <c r="M7" s="23">
        <f>-K7*parameters!$B$7*parameters!J8/1000</f>
        <v>-661199.4587</v>
      </c>
      <c r="N7" s="22">
        <f>E7*parameters!K8/1000</f>
        <v>0</v>
      </c>
      <c r="O7" s="22">
        <f>parameters!$G$7*(1-parameters!$I$7)*parameters!L8/1000</f>
        <v>1926112.763</v>
      </c>
      <c r="P7" s="22">
        <f>G7*parameters!$C$7*parameters!L8/1000</f>
        <v>2685694.838</v>
      </c>
      <c r="Q7" s="22">
        <f>F7*parameters!$E$7*parameters!$D$7*parameters!L8/1000</f>
        <v>0</v>
      </c>
      <c r="R7" s="24">
        <f t="shared" si="3"/>
        <v>4611807.602</v>
      </c>
      <c r="S7" s="5"/>
    </row>
    <row r="8" ht="15.75" customHeight="1">
      <c r="A8" s="20">
        <v>2027.0</v>
      </c>
      <c r="B8" s="21">
        <v>5.18645857E8</v>
      </c>
      <c r="C8" s="21">
        <v>4.0865546E7</v>
      </c>
      <c r="D8" s="21">
        <f t="shared" si="1"/>
        <v>559511403</v>
      </c>
      <c r="E8" s="21">
        <v>0.0</v>
      </c>
      <c r="F8" s="21">
        <v>0.0</v>
      </c>
      <c r="G8" s="21">
        <v>5.505234E7</v>
      </c>
      <c r="H8" s="21">
        <f t="shared" si="2"/>
        <v>614563743</v>
      </c>
      <c r="I8" s="22"/>
      <c r="J8" s="22">
        <f t="shared" si="4"/>
        <v>3531406</v>
      </c>
      <c r="K8" s="22">
        <f t="shared" ref="K8:K31" si="5">K7+J8</f>
        <v>50616822</v>
      </c>
      <c r="L8" s="22"/>
      <c r="M8" s="23">
        <f>-K8*parameters!$B$7*parameters!J8/1000</f>
        <v>-710789.4153</v>
      </c>
      <c r="N8" s="22">
        <f>E8*parameters!K9/1000</f>
        <v>0</v>
      </c>
      <c r="O8" s="22">
        <f>parameters!$G$7*(1-parameters!$I$7)*parameters!L9/1000</f>
        <v>1926112.763</v>
      </c>
      <c r="P8" s="22">
        <f>G8*parameters!$C$7*parameters!L9/1000</f>
        <v>2752837.209</v>
      </c>
      <c r="Q8" s="22">
        <f>F8*parameters!$E$7*parameters!$D$7*parameters!L9/1000</f>
        <v>0</v>
      </c>
      <c r="R8" s="24">
        <f t="shared" si="3"/>
        <v>4678949.973</v>
      </c>
      <c r="S8" s="5"/>
    </row>
    <row r="9" ht="15.75" customHeight="1">
      <c r="A9" s="20">
        <v>2028.0</v>
      </c>
      <c r="B9" s="21">
        <v>5.15114451E8</v>
      </c>
      <c r="C9" s="21">
        <v>4.0865546E7</v>
      </c>
      <c r="D9" s="21">
        <f t="shared" si="1"/>
        <v>555979997</v>
      </c>
      <c r="E9" s="21">
        <v>0.0</v>
      </c>
      <c r="F9" s="21">
        <v>0.0</v>
      </c>
      <c r="G9" s="21">
        <v>5.639508E7</v>
      </c>
      <c r="H9" s="21">
        <f t="shared" si="2"/>
        <v>612375077</v>
      </c>
      <c r="I9" s="22"/>
      <c r="J9" s="22">
        <f t="shared" si="4"/>
        <v>3531406</v>
      </c>
      <c r="K9" s="22">
        <f t="shared" si="5"/>
        <v>54148228</v>
      </c>
      <c r="L9" s="22"/>
      <c r="M9" s="23">
        <f>-K9*parameters!$B$7*parameters!J9/1000</f>
        <v>-760379.3719</v>
      </c>
      <c r="N9" s="22">
        <f>E9*parameters!K10/1000</f>
        <v>0</v>
      </c>
      <c r="O9" s="22">
        <f>parameters!$G$7*(1-parameters!$I$7)*parameters!L10/1000</f>
        <v>2033119.028</v>
      </c>
      <c r="P9" s="22">
        <f>G9*parameters!$C$7*parameters!L10/1000</f>
        <v>2976645.113</v>
      </c>
      <c r="Q9" s="22">
        <f>F9*parameters!$E$7*parameters!$D$7*parameters!L10/1000</f>
        <v>0</v>
      </c>
      <c r="R9" s="24">
        <f t="shared" si="3"/>
        <v>5009764.141</v>
      </c>
      <c r="S9" s="5"/>
    </row>
    <row r="10" ht="15.75" customHeight="1">
      <c r="A10" s="20">
        <v>2029.0</v>
      </c>
      <c r="B10" s="21">
        <v>5.11583045E8</v>
      </c>
      <c r="C10" s="21">
        <v>4.0865546E7</v>
      </c>
      <c r="D10" s="21">
        <f t="shared" si="1"/>
        <v>552448591</v>
      </c>
      <c r="E10" s="21">
        <v>0.0</v>
      </c>
      <c r="F10" s="21">
        <v>0.0</v>
      </c>
      <c r="G10" s="21">
        <v>5.773782E7</v>
      </c>
      <c r="H10" s="21">
        <f t="shared" si="2"/>
        <v>610186411</v>
      </c>
      <c r="I10" s="22"/>
      <c r="J10" s="22">
        <f t="shared" si="4"/>
        <v>3531406</v>
      </c>
      <c r="K10" s="22">
        <f t="shared" si="5"/>
        <v>57679634</v>
      </c>
      <c r="L10" s="22"/>
      <c r="M10" s="23">
        <f>-K10*parameters!$B$7*parameters!J10/1000</f>
        <v>-809969.3285</v>
      </c>
      <c r="N10" s="22">
        <f>E10*parameters!K11/1000</f>
        <v>0</v>
      </c>
      <c r="O10" s="22">
        <f>parameters!$G$7*(1-parameters!$I$7)*parameters!L11/1000</f>
        <v>2140125.293</v>
      </c>
      <c r="P10" s="22">
        <f>G10*parameters!$C$7*parameters!L11/1000</f>
        <v>3207913.279</v>
      </c>
      <c r="Q10" s="22">
        <f>F10*parameters!$E$7*parameters!$D$7*parameters!L11/1000</f>
        <v>0</v>
      </c>
      <c r="R10" s="24">
        <f t="shared" si="3"/>
        <v>5348038.572</v>
      </c>
      <c r="S10" s="5"/>
    </row>
    <row r="11" ht="15.75" customHeight="1">
      <c r="A11" s="20">
        <v>2030.0</v>
      </c>
      <c r="B11" s="21">
        <v>5.08051639E8</v>
      </c>
      <c r="C11" s="21">
        <v>4.0865546E7</v>
      </c>
      <c r="D11" s="21">
        <f t="shared" si="1"/>
        <v>548917185</v>
      </c>
      <c r="E11" s="21">
        <v>0.0</v>
      </c>
      <c r="F11" s="21">
        <v>0.0</v>
      </c>
      <c r="G11" s="21">
        <v>5.908056E7</v>
      </c>
      <c r="H11" s="21">
        <f t="shared" si="2"/>
        <v>607997745</v>
      </c>
      <c r="I11" s="22"/>
      <c r="J11" s="22">
        <f t="shared" si="4"/>
        <v>3531406</v>
      </c>
      <c r="K11" s="22">
        <f t="shared" si="5"/>
        <v>61211040</v>
      </c>
      <c r="L11" s="22"/>
      <c r="M11" s="23">
        <f>-K11*parameters!$B$7*parameters!J11/1000</f>
        <v>-859559.2851</v>
      </c>
      <c r="N11" s="22">
        <f>E11*parameters!K12/1000</f>
        <v>0</v>
      </c>
      <c r="O11" s="22">
        <f>parameters!$G$7*(1-parameters!$I$7)*parameters!L12/1000</f>
        <v>2247131.557</v>
      </c>
      <c r="P11" s="22">
        <f>G11*parameters!$C$7*parameters!L12/1000</f>
        <v>3446641.709</v>
      </c>
      <c r="Q11" s="22">
        <f>F11*parameters!$E$7*parameters!$D$7*parameters!L12/1000</f>
        <v>0</v>
      </c>
      <c r="R11" s="24">
        <f t="shared" si="3"/>
        <v>5693773.267</v>
      </c>
      <c r="S11" s="5"/>
    </row>
    <row r="12" ht="15.75" customHeight="1">
      <c r="A12" s="20">
        <v>2031.0</v>
      </c>
      <c r="B12" s="21">
        <v>4.96751139E8</v>
      </c>
      <c r="C12" s="21">
        <v>4.0865546E7</v>
      </c>
      <c r="D12" s="21">
        <f t="shared" si="1"/>
        <v>537616685</v>
      </c>
      <c r="E12" s="21">
        <v>0.0</v>
      </c>
      <c r="F12" s="21">
        <v>0.0</v>
      </c>
      <c r="G12" s="21">
        <v>6.3377328E7</v>
      </c>
      <c r="H12" s="21">
        <f t="shared" si="2"/>
        <v>600994013</v>
      </c>
      <c r="I12" s="22"/>
      <c r="J12" s="22">
        <f t="shared" si="4"/>
        <v>11300500</v>
      </c>
      <c r="K12" s="22">
        <f t="shared" si="5"/>
        <v>72511540</v>
      </c>
      <c r="L12" s="22"/>
      <c r="M12" s="23">
        <f>-K12*parameters!$B$7*parameters!J12/1000</f>
        <v>-1018247.157</v>
      </c>
      <c r="N12" s="22">
        <f>E12*parameters!K13/1000</f>
        <v>0</v>
      </c>
      <c r="O12" s="22">
        <f>parameters!$G$7*(1-parameters!$I$7)*parameters!L13/1000</f>
        <v>2247131.557</v>
      </c>
      <c r="P12" s="22">
        <f>G12*parameters!$C$7*parameters!L13/1000</f>
        <v>3697306.561</v>
      </c>
      <c r="Q12" s="22">
        <f>F12*parameters!$E$7*parameters!$D$7*parameters!L13/1000</f>
        <v>0</v>
      </c>
      <c r="R12" s="24">
        <f t="shared" si="3"/>
        <v>5944438.118</v>
      </c>
      <c r="S12" s="5"/>
    </row>
    <row r="13" ht="15.75" customHeight="1">
      <c r="A13" s="20">
        <v>2032.0</v>
      </c>
      <c r="B13" s="21">
        <v>4.85450639E8</v>
      </c>
      <c r="C13" s="21">
        <v>4.0865546E7</v>
      </c>
      <c r="D13" s="21">
        <f t="shared" si="1"/>
        <v>526316185</v>
      </c>
      <c r="E13" s="21">
        <v>0.0</v>
      </c>
      <c r="F13" s="21">
        <v>0.0</v>
      </c>
      <c r="G13" s="21">
        <v>6.7674096E7</v>
      </c>
      <c r="H13" s="21">
        <f t="shared" si="2"/>
        <v>593990281</v>
      </c>
      <c r="I13" s="22"/>
      <c r="J13" s="22">
        <f t="shared" si="4"/>
        <v>11300500</v>
      </c>
      <c r="K13" s="22">
        <f t="shared" si="5"/>
        <v>83812040</v>
      </c>
      <c r="L13" s="22"/>
      <c r="M13" s="23">
        <f>-K13*parameters!$B$7*parameters!J13/1000</f>
        <v>-1176935.03</v>
      </c>
      <c r="N13" s="22">
        <f>E13*parameters!K14/1000</f>
        <v>0</v>
      </c>
      <c r="O13" s="22">
        <f>parameters!$G$7*(1-parameters!$I$7)*parameters!L14/1000</f>
        <v>2354137.822</v>
      </c>
      <c r="P13" s="22">
        <f>G13*parameters!$C$7*parameters!L14/1000</f>
        <v>4135970.051</v>
      </c>
      <c r="Q13" s="22">
        <f>F13*parameters!$E$7*parameters!$D$7*parameters!L14/1000</f>
        <v>0</v>
      </c>
      <c r="R13" s="24">
        <f t="shared" si="3"/>
        <v>6490107.873</v>
      </c>
      <c r="S13" s="5"/>
    </row>
    <row r="14" ht="15.75" customHeight="1">
      <c r="A14" s="20">
        <v>2033.0</v>
      </c>
      <c r="B14" s="21">
        <v>4.52961702E8</v>
      </c>
      <c r="C14" s="21">
        <v>4.0865546E7</v>
      </c>
      <c r="D14" s="21">
        <f t="shared" si="1"/>
        <v>493827248</v>
      </c>
      <c r="E14" s="21">
        <v>1.4944696E7</v>
      </c>
      <c r="F14" s="21">
        <v>6404870.0</v>
      </c>
      <c r="G14" s="21">
        <v>7.1970864E7</v>
      </c>
      <c r="H14" s="21">
        <f t="shared" si="2"/>
        <v>587147678</v>
      </c>
      <c r="I14" s="22"/>
      <c r="J14" s="22">
        <f t="shared" si="4"/>
        <v>32488937</v>
      </c>
      <c r="K14" s="22">
        <f t="shared" si="5"/>
        <v>116300977</v>
      </c>
      <c r="L14" s="22"/>
      <c r="M14" s="23">
        <f>-K14*parameters!$B$7*parameters!J14/1000</f>
        <v>-1633162.656</v>
      </c>
      <c r="N14" s="22">
        <f>E14*parameters!K15/1000</f>
        <v>1179261.004</v>
      </c>
      <c r="O14" s="22">
        <f>parameters!$G$7*(1-parameters!$I$7)*parameters!L15/1000</f>
        <v>2461144.087</v>
      </c>
      <c r="P14" s="22">
        <f>G14*parameters!$C$7*parameters!L15/1000</f>
        <v>4598506.384</v>
      </c>
      <c r="Q14" s="22">
        <f>F14*parameters!$E$7*parameters!$D$7*parameters!L15/1000</f>
        <v>613775.4897</v>
      </c>
      <c r="R14" s="24">
        <f t="shared" si="3"/>
        <v>7673425.961</v>
      </c>
      <c r="S14" s="5"/>
    </row>
    <row r="15" ht="15.75" customHeight="1">
      <c r="A15" s="20">
        <v>2034.0</v>
      </c>
      <c r="B15" s="21">
        <v>4.20472765E8</v>
      </c>
      <c r="C15" s="21">
        <v>4.0865546E7</v>
      </c>
      <c r="D15" s="21">
        <f t="shared" si="1"/>
        <v>461338311</v>
      </c>
      <c r="E15" s="21">
        <v>2.9889392E7</v>
      </c>
      <c r="F15" s="21">
        <v>1.280974E7</v>
      </c>
      <c r="G15" s="21">
        <v>7.6267632E7</v>
      </c>
      <c r="H15" s="21">
        <f t="shared" si="2"/>
        <v>580305075</v>
      </c>
      <c r="I15" s="22"/>
      <c r="J15" s="22">
        <f t="shared" si="4"/>
        <v>32488937</v>
      </c>
      <c r="K15" s="22">
        <f t="shared" si="5"/>
        <v>148789914</v>
      </c>
      <c r="L15" s="22"/>
      <c r="M15" s="23">
        <f>-K15*parameters!$B$7*parameters!J15/1000</f>
        <v>-2089390.282</v>
      </c>
      <c r="N15" s="22">
        <f>E15*parameters!K16/1000</f>
        <v>2344324.546</v>
      </c>
      <c r="O15" s="22">
        <f>parameters!$G$7*(1-parameters!$I$7)*parameters!L16/1000</f>
        <v>2568150.351</v>
      </c>
      <c r="P15" s="22">
        <f>G15*parameters!$C$7*parameters!L16/1000</f>
        <v>5084915.561</v>
      </c>
      <c r="Q15" s="22">
        <f>F15*parameters!$E$7*parameters!$D$7*parameters!L16/1000</f>
        <v>1280922.761</v>
      </c>
      <c r="R15" s="24">
        <f t="shared" si="3"/>
        <v>8933988.673</v>
      </c>
      <c r="S15" s="5"/>
    </row>
    <row r="16" ht="15.75" customHeight="1">
      <c r="A16" s="20">
        <v>2035.0</v>
      </c>
      <c r="B16" s="21">
        <v>3.80921015E8</v>
      </c>
      <c r="C16" s="21">
        <v>4.0865546E7</v>
      </c>
      <c r="D16" s="21">
        <f t="shared" si="1"/>
        <v>421786561</v>
      </c>
      <c r="E16" s="21">
        <v>4.9815654E7</v>
      </c>
      <c r="F16" s="21">
        <v>2.1349566E7</v>
      </c>
      <c r="G16" s="21">
        <v>8.05644E7</v>
      </c>
      <c r="H16" s="21">
        <f t="shared" si="2"/>
        <v>573516181</v>
      </c>
      <c r="I16" s="22"/>
      <c r="J16" s="22">
        <f t="shared" si="4"/>
        <v>39551750</v>
      </c>
      <c r="K16" s="22">
        <f t="shared" si="5"/>
        <v>188341664</v>
      </c>
      <c r="L16" s="22"/>
      <c r="M16" s="23">
        <f>-K16*parameters!$B$7*parameters!J16/1000</f>
        <v>-2644797.835</v>
      </c>
      <c r="N16" s="22">
        <f>E16*parameters!K17/1000</f>
        <v>3857807.438</v>
      </c>
      <c r="O16" s="22">
        <f>parameters!$G$7*(1-parameters!$I$7)*parameters!L17/1000</f>
        <v>2675156.616</v>
      </c>
      <c r="P16" s="22">
        <f>G16*parameters!$C$7*parameters!L17/1000</f>
        <v>5595197.58</v>
      </c>
      <c r="Q16" s="22">
        <f>F16*parameters!$E$7*parameters!$D$7*parameters!L17/1000</f>
        <v>2223824.168</v>
      </c>
      <c r="R16" s="24">
        <f t="shared" si="3"/>
        <v>10494178.36</v>
      </c>
      <c r="S16" s="5"/>
    </row>
    <row r="17" ht="15.75" customHeight="1">
      <c r="A17" s="20">
        <v>2036.0</v>
      </c>
      <c r="B17" s="21">
        <v>3.10292891E8</v>
      </c>
      <c r="C17" s="21">
        <v>4.0865546E7</v>
      </c>
      <c r="D17" s="21">
        <f t="shared" si="1"/>
        <v>351158437</v>
      </c>
      <c r="E17" s="21">
        <v>7.4723481E7</v>
      </c>
      <c r="F17" s="21">
        <v>3.2024349E7</v>
      </c>
      <c r="G17" s="21">
        <v>9.39918E7</v>
      </c>
      <c r="H17" s="21">
        <f t="shared" si="2"/>
        <v>551898067</v>
      </c>
      <c r="I17" s="22"/>
      <c r="J17" s="22">
        <f t="shared" si="4"/>
        <v>70628124</v>
      </c>
      <c r="K17" s="22">
        <f t="shared" si="5"/>
        <v>258969788</v>
      </c>
      <c r="L17" s="22"/>
      <c r="M17" s="23">
        <f>-K17*parameters!$B$7*parameters!J17/1000</f>
        <v>-3636597.023</v>
      </c>
      <c r="N17" s="22">
        <f>E17*parameters!K18/1000</f>
        <v>5708251.502</v>
      </c>
      <c r="O17" s="22">
        <f>parameters!$G$7*(1-parameters!$I$7)*parameters!L18/1000</f>
        <v>2675156.616</v>
      </c>
      <c r="P17" s="22">
        <f>G17*parameters!$C$7*parameters!L18/1000</f>
        <v>6527730.51</v>
      </c>
      <c r="Q17" s="22">
        <f>F17*parameters!$E$7*parameters!$D$7*parameters!L18/1000</f>
        <v>3335736.253</v>
      </c>
      <c r="R17" s="24">
        <f t="shared" si="3"/>
        <v>12538623.38</v>
      </c>
      <c r="S17" s="5"/>
    </row>
    <row r="18" ht="15.75" customHeight="1">
      <c r="A18" s="20">
        <v>2037.0</v>
      </c>
      <c r="B18" s="21">
        <v>3.10292891E8</v>
      </c>
      <c r="C18" s="21">
        <v>4.0865546E7</v>
      </c>
      <c r="D18" s="21">
        <f t="shared" si="1"/>
        <v>351158437</v>
      </c>
      <c r="E18" s="21">
        <v>9.9631308E7</v>
      </c>
      <c r="F18" s="21">
        <v>4.2699132E7</v>
      </c>
      <c r="G18" s="21">
        <v>8.05644E7</v>
      </c>
      <c r="H18" s="21">
        <f t="shared" si="2"/>
        <v>574053277</v>
      </c>
      <c r="I18" s="22"/>
      <c r="J18" s="22">
        <f t="shared" si="4"/>
        <v>0</v>
      </c>
      <c r="K18" s="22">
        <f t="shared" si="5"/>
        <v>258969788</v>
      </c>
      <c r="L18" s="22"/>
      <c r="M18" s="23">
        <f>-K18*parameters!$B$7*parameters!J18/1000</f>
        <v>-3636597.023</v>
      </c>
      <c r="N18" s="22">
        <f>E18*parameters!K19/1000</f>
        <v>7126959.233</v>
      </c>
      <c r="O18" s="22">
        <f>parameters!$G$7*(1-parameters!$I$7)*parameters!L19/1000</f>
        <v>2675156.616</v>
      </c>
      <c r="P18" s="22">
        <f>G18*parameters!$C$7*parameters!L19/1000</f>
        <v>5595197.58</v>
      </c>
      <c r="Q18" s="22">
        <f>F18*parameters!$E$7*parameters!$D$7*parameters!L19/1000</f>
        <v>4447648.337</v>
      </c>
      <c r="R18" s="24">
        <f t="shared" si="3"/>
        <v>12718002.53</v>
      </c>
      <c r="S18" s="5"/>
    </row>
    <row r="19" ht="15.75" customHeight="1">
      <c r="A19" s="20">
        <v>2038.0</v>
      </c>
      <c r="B19" s="21">
        <v>3.03230079E8</v>
      </c>
      <c r="C19" s="21">
        <v>4.0865546E7</v>
      </c>
      <c r="D19" s="21">
        <f t="shared" si="1"/>
        <v>344095625</v>
      </c>
      <c r="E19" s="21">
        <v>1.24539135E8</v>
      </c>
      <c r="F19" s="21">
        <v>5.3373915E7</v>
      </c>
      <c r="G19" s="21">
        <v>6.982248E7</v>
      </c>
      <c r="H19" s="21">
        <f t="shared" si="2"/>
        <v>591831155</v>
      </c>
      <c r="I19" s="22"/>
      <c r="J19" s="22">
        <f t="shared" si="4"/>
        <v>7062812</v>
      </c>
      <c r="K19" s="22">
        <f t="shared" si="5"/>
        <v>266032600</v>
      </c>
      <c r="L19" s="22"/>
      <c r="M19" s="23">
        <f>-K19*parameters!$B$7*parameters!J19/1000</f>
        <v>-3735776.936</v>
      </c>
      <c r="N19" s="22">
        <f>E19*parameters!K20/1000</f>
        <v>8523666.38</v>
      </c>
      <c r="O19" s="22">
        <f>parameters!$G$7*(1-parameters!$I$7)*parameters!L20/1000</f>
        <v>2675156.616</v>
      </c>
      <c r="P19" s="22">
        <f>G19*parameters!$C$7*parameters!L20/1000</f>
        <v>4849171.236</v>
      </c>
      <c r="Q19" s="22">
        <f>F19*parameters!$E$7*parameters!$D$7*parameters!L20/1000</f>
        <v>5559560.421</v>
      </c>
      <c r="R19" s="24">
        <f t="shared" si="3"/>
        <v>13083888.27</v>
      </c>
      <c r="S19" s="5"/>
    </row>
    <row r="20" ht="15.75" customHeight="1">
      <c r="A20" s="20">
        <v>2039.0</v>
      </c>
      <c r="B20" s="21">
        <v>3.03230079E8</v>
      </c>
      <c r="C20" s="21">
        <v>4.0865546E7</v>
      </c>
      <c r="D20" s="21">
        <f t="shared" si="1"/>
        <v>344095625</v>
      </c>
      <c r="E20" s="21">
        <v>1.49446962E8</v>
      </c>
      <c r="F20" s="21">
        <v>6.4048698E7</v>
      </c>
      <c r="G20" s="21">
        <v>5.639508E7</v>
      </c>
      <c r="H20" s="21">
        <f t="shared" si="2"/>
        <v>613986365</v>
      </c>
      <c r="I20" s="22"/>
      <c r="J20" s="22">
        <f t="shared" si="4"/>
        <v>0</v>
      </c>
      <c r="K20" s="22">
        <f t="shared" si="5"/>
        <v>266032600</v>
      </c>
      <c r="L20" s="22"/>
      <c r="M20" s="23">
        <f>-K20*parameters!$B$7*parameters!J20/1000</f>
        <v>-3735776.936</v>
      </c>
      <c r="N20" s="22">
        <f>E20*parameters!K21/1000</f>
        <v>9787531.118</v>
      </c>
      <c r="O20" s="22">
        <f>parameters!$G$7*(1-parameters!$I$7)*parameters!L21/1000</f>
        <v>2675156.616</v>
      </c>
      <c r="P20" s="22">
        <f>G20*parameters!$C$7*parameters!L21/1000</f>
        <v>3916638.306</v>
      </c>
      <c r="Q20" s="22">
        <f>F20*parameters!$E$7*parameters!$D$7*parameters!L21/1000</f>
        <v>6671472.505</v>
      </c>
      <c r="R20" s="24">
        <f t="shared" si="3"/>
        <v>13263267.43</v>
      </c>
      <c r="S20" s="5"/>
    </row>
    <row r="21" ht="15.75" customHeight="1">
      <c r="A21" s="20">
        <v>2040.0</v>
      </c>
      <c r="B21" s="21">
        <v>3.10292891E8</v>
      </c>
      <c r="C21" s="21">
        <v>4.0865546E7</v>
      </c>
      <c r="D21" s="21">
        <f t="shared" si="1"/>
        <v>351158437</v>
      </c>
      <c r="E21" s="21">
        <v>1.49446962E8</v>
      </c>
      <c r="F21" s="21">
        <v>6.4048698E7</v>
      </c>
      <c r="G21" s="21">
        <v>5.37096E7</v>
      </c>
      <c r="H21" s="21">
        <f t="shared" si="2"/>
        <v>618363697</v>
      </c>
      <c r="I21" s="22"/>
      <c r="J21" s="22">
        <f t="shared" si="4"/>
        <v>-7062812</v>
      </c>
      <c r="K21" s="22">
        <f t="shared" si="5"/>
        <v>258969788</v>
      </c>
      <c r="L21" s="22"/>
      <c r="M21" s="23">
        <f>-K21*parameters!$B$7*parameters!J21/1000</f>
        <v>-3636597.023</v>
      </c>
      <c r="N21" s="22">
        <f>E21*parameters!K22/1000</f>
        <v>9367833.237</v>
      </c>
      <c r="O21" s="22">
        <f>parameters!$G$7*(1-parameters!$I$7)*parameters!L22/1000</f>
        <v>2675156.616</v>
      </c>
      <c r="P21" s="22">
        <f>G21*parameters!$C$7*parameters!L22/1000</f>
        <v>3730131.72</v>
      </c>
      <c r="Q21" s="22">
        <f>F21*parameters!$E$7*parameters!$D$7*parameters!L22/1000</f>
        <v>6671472.505</v>
      </c>
      <c r="R21" s="24">
        <f t="shared" si="3"/>
        <v>13076760.84</v>
      </c>
      <c r="S21" s="5"/>
    </row>
    <row r="22" ht="15.75" customHeight="1">
      <c r="A22" s="20">
        <v>2041.0</v>
      </c>
      <c r="B22" s="21">
        <v>3.03230079E8</v>
      </c>
      <c r="C22" s="21">
        <v>4.0865546E7</v>
      </c>
      <c r="D22" s="21">
        <f t="shared" si="1"/>
        <v>344095625</v>
      </c>
      <c r="E22" s="21">
        <v>1.61900876E8</v>
      </c>
      <c r="F22" s="21">
        <v>6.938609E7</v>
      </c>
      <c r="G22" s="21">
        <v>4.968138E7</v>
      </c>
      <c r="H22" s="21">
        <f t="shared" si="2"/>
        <v>625063971</v>
      </c>
      <c r="I22" s="22"/>
      <c r="J22" s="22">
        <f t="shared" si="4"/>
        <v>7062812</v>
      </c>
      <c r="K22" s="22">
        <f t="shared" si="5"/>
        <v>266032600</v>
      </c>
      <c r="L22" s="22"/>
      <c r="M22" s="23">
        <f>-K22*parameters!$B$7*parameters!J22/1000</f>
        <v>-3735776.936</v>
      </c>
      <c r="N22" s="22">
        <f>E22*parameters!K23/1000</f>
        <v>9714052.56</v>
      </c>
      <c r="O22" s="22">
        <f>parameters!$G$7*(1-parameters!$I$7)*parameters!L23/1000</f>
        <v>2675156.616</v>
      </c>
      <c r="P22" s="22">
        <f>G22*parameters!$C$7*parameters!L23/1000</f>
        <v>3450371.841</v>
      </c>
      <c r="Q22" s="22">
        <f>F22*parameters!$E$7*parameters!$D$7*parameters!L23/1000</f>
        <v>7227428.6</v>
      </c>
      <c r="R22" s="24">
        <f t="shared" si="3"/>
        <v>13352957.06</v>
      </c>
      <c r="S22" s="5"/>
    </row>
    <row r="23" ht="15.75" customHeight="1">
      <c r="A23" s="20">
        <v>2042.0</v>
      </c>
      <c r="B23" s="21">
        <v>2.96167267E8</v>
      </c>
      <c r="C23" s="21">
        <v>4.0865546E7</v>
      </c>
      <c r="D23" s="21">
        <f t="shared" si="1"/>
        <v>337032813</v>
      </c>
      <c r="E23" s="21">
        <v>1.74354789E8</v>
      </c>
      <c r="F23" s="21">
        <v>7.4723481E7</v>
      </c>
      <c r="G23" s="21">
        <v>4.565316E7</v>
      </c>
      <c r="H23" s="21">
        <f t="shared" si="2"/>
        <v>631764243</v>
      </c>
      <c r="I23" s="22"/>
      <c r="J23" s="22">
        <f t="shared" si="4"/>
        <v>7062812</v>
      </c>
      <c r="K23" s="22">
        <f t="shared" si="5"/>
        <v>273095412</v>
      </c>
      <c r="L23" s="22"/>
      <c r="M23" s="23">
        <f>-K23*parameters!$B$7*parameters!J23/1000</f>
        <v>-3834956.849</v>
      </c>
      <c r="N23" s="22">
        <f>E23*parameters!K24/1000</f>
        <v>10015230.25</v>
      </c>
      <c r="O23" s="22">
        <f>parameters!$G$7*(1-parameters!$I$7)*parameters!L24/1000</f>
        <v>2675156.616</v>
      </c>
      <c r="P23" s="22">
        <f>G23*parameters!$C$7*parameters!L24/1000</f>
        <v>3170611.962</v>
      </c>
      <c r="Q23" s="22">
        <f>F23*parameters!$E$7*parameters!$D$7*parameters!L24/1000</f>
        <v>7783384.59</v>
      </c>
      <c r="R23" s="24">
        <f t="shared" si="3"/>
        <v>13629153.17</v>
      </c>
      <c r="S23" s="5"/>
    </row>
    <row r="24" ht="15.75" customHeight="1">
      <c r="A24" s="20">
        <v>2043.0</v>
      </c>
      <c r="B24" s="21">
        <v>2.65561746E8</v>
      </c>
      <c r="C24" s="21">
        <v>4.0865546E7</v>
      </c>
      <c r="D24" s="21">
        <f t="shared" si="1"/>
        <v>306427292</v>
      </c>
      <c r="E24" s="21">
        <v>1.86808703E8</v>
      </c>
      <c r="F24" s="21">
        <v>8.0060873E7</v>
      </c>
      <c r="G24" s="21">
        <v>5.057654E7</v>
      </c>
      <c r="H24" s="21">
        <f t="shared" si="2"/>
        <v>623873408</v>
      </c>
      <c r="I24" s="22"/>
      <c r="J24" s="22">
        <f t="shared" si="4"/>
        <v>30605521</v>
      </c>
      <c r="K24" s="22">
        <f t="shared" si="5"/>
        <v>303700933</v>
      </c>
      <c r="L24" s="22"/>
      <c r="M24" s="23">
        <f>-K24*parameters!$B$7*parameters!J24/1000</f>
        <v>-4264736.506</v>
      </c>
      <c r="N24" s="22">
        <f>E24*parameters!K25/1000</f>
        <v>10274478.67</v>
      </c>
      <c r="O24" s="22">
        <f>parameters!$G$7*(1-parameters!$I$7)*parameters!L25/1000</f>
        <v>2675156.616</v>
      </c>
      <c r="P24" s="22">
        <f>G24*parameters!$C$7*parameters!L25/1000</f>
        <v>3512540.703</v>
      </c>
      <c r="Q24" s="22">
        <f>F24*parameters!$E$7*parameters!$D$7*parameters!L25/1000</f>
        <v>8339340.684</v>
      </c>
      <c r="R24" s="24">
        <f t="shared" si="3"/>
        <v>14527038</v>
      </c>
      <c r="S24" s="5"/>
    </row>
    <row r="25" ht="15.75" customHeight="1">
      <c r="A25" s="20">
        <v>2044.0</v>
      </c>
      <c r="B25" s="21">
        <v>2.34956226E8</v>
      </c>
      <c r="C25" s="21">
        <v>4.0865546E7</v>
      </c>
      <c r="D25" s="21">
        <f t="shared" si="1"/>
        <v>275821772</v>
      </c>
      <c r="E25" s="21">
        <v>1.99262616E8</v>
      </c>
      <c r="F25" s="21">
        <v>8.5398264E7</v>
      </c>
      <c r="G25" s="21">
        <v>5.549992E7</v>
      </c>
      <c r="H25" s="21">
        <f t="shared" si="2"/>
        <v>615982572</v>
      </c>
      <c r="I25" s="22"/>
      <c r="J25" s="22">
        <f t="shared" si="4"/>
        <v>30605520</v>
      </c>
      <c r="K25" s="22">
        <f t="shared" si="5"/>
        <v>334306453</v>
      </c>
      <c r="L25" s="22"/>
      <c r="M25" s="23">
        <f>-K25*parameters!$B$7*parameters!J25/1000</f>
        <v>-4694516.149</v>
      </c>
      <c r="N25" s="22">
        <f>E25*parameters!K26/1000</f>
        <v>10494498.44</v>
      </c>
      <c r="O25" s="22">
        <f>parameters!$G$7*(1-parameters!$I$7)*parameters!L26/1000</f>
        <v>2675156.616</v>
      </c>
      <c r="P25" s="22">
        <f>G25*parameters!$C$7*parameters!L26/1000</f>
        <v>3854469.444</v>
      </c>
      <c r="Q25" s="22">
        <f>F25*parameters!$E$7*parameters!$D$7*parameters!L26/1000</f>
        <v>8895296.674</v>
      </c>
      <c r="R25" s="24">
        <f t="shared" si="3"/>
        <v>15424922.73</v>
      </c>
      <c r="S25" s="5"/>
    </row>
    <row r="26" ht="15.75" customHeight="1">
      <c r="A26" s="20">
        <v>2045.0</v>
      </c>
      <c r="B26" s="21">
        <v>2.04350705E8</v>
      </c>
      <c r="C26" s="21">
        <v>4.0865546E7</v>
      </c>
      <c r="D26" s="21">
        <f t="shared" si="1"/>
        <v>245216251</v>
      </c>
      <c r="E26" s="21">
        <v>1.99262616E8</v>
      </c>
      <c r="F26" s="21">
        <v>8.5398264E7</v>
      </c>
      <c r="G26" s="21">
        <v>6.7137E7</v>
      </c>
      <c r="H26" s="21">
        <f t="shared" si="2"/>
        <v>597014131</v>
      </c>
      <c r="I26" s="22"/>
      <c r="J26" s="22">
        <f t="shared" si="4"/>
        <v>30605521</v>
      </c>
      <c r="K26" s="22">
        <f t="shared" si="5"/>
        <v>364911974</v>
      </c>
      <c r="L26" s="22"/>
      <c r="M26" s="23">
        <f>-K26*parameters!$B$7*parameters!J26/1000</f>
        <v>-5124295.805</v>
      </c>
      <c r="N26" s="22">
        <f>E26*parameters!K27/1000</f>
        <v>10051139.12</v>
      </c>
      <c r="O26" s="22">
        <f>parameters!$G$7*(1-parameters!$I$7)*parameters!L27/1000</f>
        <v>2675156.616</v>
      </c>
      <c r="P26" s="22">
        <f>G26*parameters!$C$7*parameters!L27/1000</f>
        <v>4662664.65</v>
      </c>
      <c r="Q26" s="22">
        <f>F26*parameters!$E$7*parameters!$D$7*parameters!L27/1000</f>
        <v>8895296.674</v>
      </c>
      <c r="R26" s="24">
        <f t="shared" si="3"/>
        <v>16233117.94</v>
      </c>
      <c r="S26" s="5"/>
    </row>
    <row r="27" ht="15.75" customHeight="1">
      <c r="A27" s="20">
        <v>2046.0</v>
      </c>
      <c r="B27" s="21">
        <v>1.97287893E8</v>
      </c>
      <c r="C27" s="21">
        <v>4.0865546E7</v>
      </c>
      <c r="D27" s="21">
        <f t="shared" si="1"/>
        <v>238153439</v>
      </c>
      <c r="E27" s="21">
        <v>1.99262616E8</v>
      </c>
      <c r="F27" s="21">
        <v>8.5398264E7</v>
      </c>
      <c r="G27" s="21">
        <v>6.982248E7</v>
      </c>
      <c r="H27" s="21">
        <f t="shared" si="2"/>
        <v>592636799</v>
      </c>
      <c r="I27" s="22"/>
      <c r="J27" s="22">
        <f t="shared" si="4"/>
        <v>7062812</v>
      </c>
      <c r="K27" s="22">
        <f t="shared" si="5"/>
        <v>371974786</v>
      </c>
      <c r="L27" s="22"/>
      <c r="M27" s="23">
        <f>-K27*parameters!$B$7*parameters!J27/1000</f>
        <v>-5223475.718</v>
      </c>
      <c r="N27" s="22">
        <f>E27*parameters!K28/1000</f>
        <v>9627706.061</v>
      </c>
      <c r="O27" s="22">
        <f>parameters!$G$7*(1-parameters!$I$7)*parameters!L28/1000</f>
        <v>2675156.616</v>
      </c>
      <c r="P27" s="22">
        <f>G27*parameters!$C$7*parameters!L28/1000</f>
        <v>4849171.236</v>
      </c>
      <c r="Q27" s="22">
        <f>F27*parameters!$E$7*parameters!$D$7*parameters!L28/1000</f>
        <v>8895296.674</v>
      </c>
      <c r="R27" s="24">
        <f t="shared" si="3"/>
        <v>16419624.53</v>
      </c>
      <c r="S27" s="5"/>
    </row>
    <row r="28" ht="15.75" customHeight="1">
      <c r="A28" s="20">
        <v>2047.0</v>
      </c>
      <c r="B28" s="21">
        <v>1.90225081E8</v>
      </c>
      <c r="C28" s="21">
        <v>4.0865546E7</v>
      </c>
      <c r="D28" s="21">
        <f t="shared" si="1"/>
        <v>231090627</v>
      </c>
      <c r="E28" s="21">
        <v>1.99262616E8</v>
      </c>
      <c r="F28" s="21">
        <v>8.5398264E7</v>
      </c>
      <c r="G28" s="21">
        <v>7.250796E7</v>
      </c>
      <c r="H28" s="21">
        <f t="shared" si="2"/>
        <v>588259467</v>
      </c>
      <c r="I28" s="22"/>
      <c r="J28" s="22">
        <f t="shared" si="4"/>
        <v>7062812</v>
      </c>
      <c r="K28" s="22">
        <f t="shared" si="5"/>
        <v>379037598</v>
      </c>
      <c r="L28" s="22"/>
      <c r="M28" s="23">
        <f>-K28*parameters!$B$7*parameters!J28/1000</f>
        <v>-5322655.631</v>
      </c>
      <c r="N28" s="22">
        <f>E28*parameters!K29/1000</f>
        <v>9220877.555</v>
      </c>
      <c r="O28" s="22">
        <f>parameters!$G$7*(1-parameters!$I$7)*parameters!L29/1000</f>
        <v>2675156.616</v>
      </c>
      <c r="P28" s="22">
        <f>G28*parameters!$C$7*parameters!L29/1000</f>
        <v>5035677.822</v>
      </c>
      <c r="Q28" s="22">
        <f>F28*parameters!$E$7*parameters!$D$7*parameters!L29/1000</f>
        <v>8895296.674</v>
      </c>
      <c r="R28" s="24">
        <f t="shared" si="3"/>
        <v>16606131.11</v>
      </c>
      <c r="S28" s="5"/>
    </row>
    <row r="29" ht="15.75" customHeight="1">
      <c r="A29" s="20">
        <v>2048.0</v>
      </c>
      <c r="B29" s="21">
        <v>1.54911019E8</v>
      </c>
      <c r="C29" s="21">
        <v>4.0865546E7</v>
      </c>
      <c r="D29" s="21">
        <f t="shared" si="1"/>
        <v>195776565</v>
      </c>
      <c r="E29" s="21">
        <v>2.19188878E8</v>
      </c>
      <c r="F29" s="21">
        <v>9.393809E7</v>
      </c>
      <c r="G29" s="21">
        <v>7.519344E7</v>
      </c>
      <c r="H29" s="21">
        <f t="shared" si="2"/>
        <v>584096973</v>
      </c>
      <c r="I29" s="22"/>
      <c r="J29" s="22">
        <f t="shared" si="4"/>
        <v>35314062</v>
      </c>
      <c r="K29" s="22">
        <f t="shared" si="5"/>
        <v>414351660</v>
      </c>
      <c r="L29" s="22"/>
      <c r="M29" s="23">
        <f>-K29*parameters!$B$7*parameters!J29/1000</f>
        <v>-5818555.226</v>
      </c>
      <c r="N29" s="22">
        <f>E29*parameters!K30/1000</f>
        <v>9715547.017</v>
      </c>
      <c r="O29" s="22">
        <f>parameters!$G$7*(1-parameters!$I$7)*parameters!L30/1000</f>
        <v>2675156.616</v>
      </c>
      <c r="P29" s="22">
        <f>G29*parameters!$C$7*parameters!L30/1000</f>
        <v>5222184.408</v>
      </c>
      <c r="Q29" s="22">
        <f>F29*parameters!$E$7*parameters!$D$7*parameters!L30/1000</f>
        <v>9784826.3</v>
      </c>
      <c r="R29" s="24">
        <f t="shared" si="3"/>
        <v>17682167.32</v>
      </c>
      <c r="S29" s="5"/>
    </row>
    <row r="30" ht="15.75" customHeight="1">
      <c r="A30" s="20">
        <v>2049.0</v>
      </c>
      <c r="B30" s="21">
        <v>1.19596957E8</v>
      </c>
      <c r="C30" s="21">
        <v>4.0865546E7</v>
      </c>
      <c r="D30" s="21">
        <f t="shared" si="1"/>
        <v>160462503</v>
      </c>
      <c r="E30" s="21">
        <v>2.39115139E8</v>
      </c>
      <c r="F30" s="21">
        <v>1.02477917E8</v>
      </c>
      <c r="G30" s="21">
        <v>7.787892E7</v>
      </c>
      <c r="H30" s="21">
        <f t="shared" si="2"/>
        <v>579934479</v>
      </c>
      <c r="I30" s="22"/>
      <c r="J30" s="22">
        <f t="shared" si="4"/>
        <v>35314062</v>
      </c>
      <c r="K30" s="22">
        <f t="shared" si="5"/>
        <v>449665722</v>
      </c>
      <c r="L30" s="22"/>
      <c r="M30" s="23">
        <f>-K30*parameters!$B$7*parameters!J30/1000</f>
        <v>-6314454.82</v>
      </c>
      <c r="N30" s="22">
        <f>E30*parameters!K31/1000</f>
        <v>10152429.48</v>
      </c>
      <c r="O30" s="22">
        <f>parameters!$G$7*(1-parameters!$I$7)*parameters!L31/1000</f>
        <v>2675156.616</v>
      </c>
      <c r="P30" s="22">
        <f>G30*parameters!$C$7*parameters!L31/1000</f>
        <v>5408690.994</v>
      </c>
      <c r="Q30" s="22">
        <f>F30*parameters!$E$7*parameters!$D$7*parameters!L31/1000</f>
        <v>10674356.03</v>
      </c>
      <c r="R30" s="24">
        <f t="shared" si="3"/>
        <v>18758203.64</v>
      </c>
      <c r="S30" s="5"/>
    </row>
    <row r="31" ht="15.75" customHeight="1">
      <c r="A31" s="20">
        <v>2050.0</v>
      </c>
      <c r="B31" s="21">
        <v>9.8408519E7</v>
      </c>
      <c r="C31" s="21">
        <v>4.0865546E7</v>
      </c>
      <c r="D31" s="21">
        <f t="shared" si="1"/>
        <v>139274065</v>
      </c>
      <c r="E31" s="21">
        <v>2.4907827E8</v>
      </c>
      <c r="F31" s="21">
        <v>1.0674783E8</v>
      </c>
      <c r="G31" s="21">
        <v>8.05644E7</v>
      </c>
      <c r="H31" s="21">
        <f t="shared" si="2"/>
        <v>575664565</v>
      </c>
      <c r="I31" s="22"/>
      <c r="J31" s="22">
        <f t="shared" si="4"/>
        <v>21188438</v>
      </c>
      <c r="K31" s="22">
        <f t="shared" si="5"/>
        <v>470854160</v>
      </c>
      <c r="L31" s="22"/>
      <c r="M31" s="25">
        <f>-K31*parameters!$B$7*parameters!J31/1000</f>
        <v>-6611994.587</v>
      </c>
      <c r="N31" s="26">
        <f>E31*parameters!K32/1000</f>
        <v>10131258.63</v>
      </c>
      <c r="O31" s="22">
        <f>parameters!$G$7*(1-parameters!$I$7)*parameters!L32/1000</f>
        <v>2675156.616</v>
      </c>
      <c r="P31" s="26">
        <f>G31*parameters!$C$7*parameters!L32/1000</f>
        <v>5595197.58</v>
      </c>
      <c r="Q31" s="26">
        <f>F31*parameters!$E$7*parameters!$D$7*parameters!L32/1000</f>
        <v>11119120.84</v>
      </c>
      <c r="R31" s="27">
        <f t="shared" si="3"/>
        <v>19389475.04</v>
      </c>
      <c r="S31" s="5"/>
    </row>
    <row r="32" ht="15.75" customHeight="1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5.75" customHeigh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5.7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5.75" customHeight="1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5.75" customHeight="1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5.7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.75" customHeight="1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5.75" customHeight="1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5.75" customHeight="1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5.75" customHeight="1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5.75" customHeight="1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5.75" customHeigh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5.75" customHeight="1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5.75" customHeight="1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5.75" customHeight="1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5.75" customHeight="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5.7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5.75" customHeight="1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5.75" customHeight="1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5.75" customHeight="1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5.75" customHeight="1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5.75" customHeight="1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5.75" customHeight="1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5.75" customHeight="1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5.75" customHeight="1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5.7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5.75" customHeight="1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5.75" customHeight="1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5.75" customHeight="1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5.75" customHeight="1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5.75" customHeigh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5.7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5.75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5.75" customHeight="1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5.75" customHeight="1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5.75" customHeigh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5.75" customHeigh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5.75" customHeigh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5.75" customHeight="1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5.75" customHeigh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5.75" customHeight="1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5.75" customHeight="1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5.75" customHeight="1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5.75" customHeight="1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5.75" customHeight="1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5.75" customHeight="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5.75" customHeight="1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5.75" customHeight="1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5.75" customHeight="1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5.75" customHeight="1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5.7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5.75" customHeight="1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5.75" customHeigh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5.75" customHeight="1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5.75" customHeight="1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5.75" customHeight="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5.75" customHeight="1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5.75" customHeight="1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5.75" customHeight="1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5.75" customHeight="1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5.75" customHeight="1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5.75" customHeight="1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5.75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5.75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5.75" customHeight="1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5.75" customHeight="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5.75" customHeight="1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5.75" customHeight="1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5.75" customHeight="1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5.75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5.75" customHeight="1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5.75" customHeight="1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5.75" customHeight="1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5.75" customHeight="1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5.75" customHeight="1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5.75" customHeight="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5.75" customHeight="1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5.75" customHeight="1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5.75" customHeight="1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5.75" customHeight="1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5.75" customHeight="1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5.75" customHeight="1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5.75" customHeight="1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5.75" customHeight="1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5.75" customHeight="1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5.75" customHeight="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5.75" customHeight="1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5.75" customHeight="1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5.75" customHeight="1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5.75" customHeight="1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5.75" customHeight="1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5.75" customHeight="1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5.75" customHeight="1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5.75" customHeight="1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5.75" customHeight="1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5.75" customHeight="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5.75" customHeight="1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5.75" customHeight="1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5.75" customHeight="1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5.75" customHeight="1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5.75" customHeight="1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5.75" customHeight="1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5.75" customHeight="1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5.75" customHeight="1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5.75" customHeight="1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5.75" customHeight="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5.75" customHeight="1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5.75" customHeight="1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5.75" customHeight="1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5.75" customHeight="1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5.75" customHeight="1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4.67"/>
    <col customWidth="1" min="3" max="3" width="13.67"/>
    <col customWidth="1" min="4" max="4" width="15.44"/>
    <col customWidth="1" min="5" max="6" width="14.67"/>
    <col customWidth="1" min="7" max="7" width="13.67"/>
    <col customWidth="1" min="8" max="9" width="14.67"/>
    <col customWidth="1" min="10" max="10" width="13.67"/>
    <col customWidth="1" min="11" max="11" width="14.67"/>
    <col customWidth="1" min="12" max="12" width="10.44"/>
    <col customWidth="1" min="13" max="18" width="14.44"/>
    <col customWidth="1" min="19" max="26" width="10.44"/>
  </cols>
  <sheetData>
    <row r="1" ht="15.75" customHeight="1">
      <c r="B1" s="5" t="s">
        <v>8</v>
      </c>
      <c r="C1" s="5"/>
      <c r="D1" s="5"/>
      <c r="E1" s="5">
        <v>5.0</v>
      </c>
      <c r="F1" s="5">
        <v>6.0</v>
      </c>
      <c r="G1" s="5">
        <v>7.0</v>
      </c>
      <c r="H1" s="5">
        <v>8.0</v>
      </c>
      <c r="I1" s="5">
        <v>9.0</v>
      </c>
      <c r="J1" s="5">
        <v>10.0</v>
      </c>
      <c r="K1" s="5">
        <v>11.0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  <c r="S1" s="5"/>
    </row>
    <row r="2" ht="15.75" customHeight="1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  <c r="S2" s="5"/>
    </row>
    <row r="3" ht="15.75" customHeight="1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  <c r="S3" s="5"/>
    </row>
    <row r="4" ht="15.75" customHeight="1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  <c r="S4" s="5"/>
    </row>
    <row r="5" ht="15.75" customHeight="1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  <c r="S5" s="5"/>
    </row>
    <row r="6" ht="15.75" customHeight="1">
      <c r="A6" s="20">
        <v>2025.0</v>
      </c>
      <c r="B6" s="28">
        <v>5.6926267944E8</v>
      </c>
      <c r="C6" s="28">
        <v>4.0865545933333345E7</v>
      </c>
      <c r="D6" s="21">
        <f t="shared" ref="D6:D31" si="1">SUM(B6:C6)</f>
        <v>610128225.4</v>
      </c>
      <c r="E6" s="28">
        <v>0.0</v>
      </c>
      <c r="F6" s="28">
        <v>0.0</v>
      </c>
      <c r="G6" s="28">
        <v>3.580639999999999E7</v>
      </c>
      <c r="H6" s="21">
        <f t="shared" ref="H6:H31" si="2">SUM(D6:G6)</f>
        <v>645934625.4</v>
      </c>
      <c r="I6" s="22"/>
      <c r="J6" s="22"/>
      <c r="K6" s="22"/>
      <c r="L6" s="22"/>
      <c r="M6" s="23"/>
      <c r="N6" s="22">
        <f>E6*parameters!K7/1000</f>
        <v>0</v>
      </c>
      <c r="O6" s="22">
        <f>parameters!$G$7*(1-parameters!$I$7)*parameters!L7/1000</f>
        <v>1819106.499</v>
      </c>
      <c r="P6" s="22">
        <f>G6*parameters!$C$7*parameters!L7/1000</f>
        <v>1690993.046</v>
      </c>
      <c r="Q6" s="22">
        <f>F6*parameters!$E$7*parameters!$D$7*parameters!L7/1000</f>
        <v>0</v>
      </c>
      <c r="R6" s="24">
        <f t="shared" ref="R6:R31" si="3">O6+P6+Q6</f>
        <v>3510099.545</v>
      </c>
      <c r="S6" s="5"/>
    </row>
    <row r="7" ht="15.75" customHeight="1">
      <c r="A7" s="20">
        <v>2026.0</v>
      </c>
      <c r="B7" s="28">
        <v>5.0703412280024E8</v>
      </c>
      <c r="C7" s="28">
        <v>3.968044510126668E7</v>
      </c>
      <c r="D7" s="21">
        <f t="shared" si="1"/>
        <v>546714567.9</v>
      </c>
      <c r="E7" s="28">
        <v>0.0</v>
      </c>
      <c r="F7" s="28">
        <v>0.0</v>
      </c>
      <c r="G7" s="28">
        <v>5.37096E7</v>
      </c>
      <c r="H7" s="21">
        <f t="shared" si="2"/>
        <v>600424167.9</v>
      </c>
      <c r="I7" s="22"/>
      <c r="J7" s="22">
        <f t="shared" ref="J7:J31" si="4">(B6+C6)-(B7+C7)</f>
        <v>63413657.47</v>
      </c>
      <c r="K7" s="22">
        <f>J7</f>
        <v>63413657.47</v>
      </c>
      <c r="L7" s="22"/>
      <c r="M7" s="23">
        <f>-K7*parameters!$B$7*parameters!J8/1000</f>
        <v>-890489.6581</v>
      </c>
      <c r="N7" s="22">
        <f>E7*parameters!K8/1000</f>
        <v>0</v>
      </c>
      <c r="O7" s="22">
        <f>parameters!$G$7*(1-parameters!$I$7)*parameters!L8/1000</f>
        <v>1926112.763</v>
      </c>
      <c r="P7" s="22">
        <f>G7*parameters!$C$7*parameters!L8/1000</f>
        <v>2685694.838</v>
      </c>
      <c r="Q7" s="22">
        <f>F7*parameters!$E$7*parameters!$D$7*parameters!L8/1000</f>
        <v>0</v>
      </c>
      <c r="R7" s="24">
        <f t="shared" si="3"/>
        <v>4611807.602</v>
      </c>
      <c r="S7" s="5"/>
    </row>
    <row r="8" ht="15.75" customHeight="1">
      <c r="A8" s="20">
        <v>2027.0</v>
      </c>
      <c r="B8" s="28">
        <v>4.9388051755679E8</v>
      </c>
      <c r="C8" s="28">
        <v>3.891421611501668E7</v>
      </c>
      <c r="D8" s="21">
        <f t="shared" si="1"/>
        <v>532794733.7</v>
      </c>
      <c r="E8" s="28">
        <v>0.0</v>
      </c>
      <c r="F8" s="28">
        <v>0.0</v>
      </c>
      <c r="G8" s="28">
        <v>5.505234E7</v>
      </c>
      <c r="H8" s="21">
        <f t="shared" si="2"/>
        <v>587847073.7</v>
      </c>
      <c r="I8" s="22"/>
      <c r="J8" s="22">
        <f t="shared" si="4"/>
        <v>13919834.23</v>
      </c>
      <c r="K8" s="22">
        <f t="shared" ref="K8:K31" si="5">K7+J8</f>
        <v>77333491.7</v>
      </c>
      <c r="L8" s="22"/>
      <c r="M8" s="23">
        <f>-K8*parameters!$B$7*parameters!J8/1000</f>
        <v>-1085959.671</v>
      </c>
      <c r="N8" s="22">
        <f>E8*parameters!K9/1000</f>
        <v>0</v>
      </c>
      <c r="O8" s="22">
        <f>parameters!$G$7*(1-parameters!$I$7)*parameters!L9/1000</f>
        <v>1926112.763</v>
      </c>
      <c r="P8" s="22">
        <f>G8*parameters!$C$7*parameters!L9/1000</f>
        <v>2752837.209</v>
      </c>
      <c r="Q8" s="22">
        <f>F8*parameters!$E$7*parameters!$D$7*parameters!L9/1000</f>
        <v>0</v>
      </c>
      <c r="R8" s="24">
        <f t="shared" si="3"/>
        <v>4678949.973</v>
      </c>
      <c r="S8" s="5"/>
    </row>
    <row r="9" ht="15.75" customHeight="1">
      <c r="A9" s="20">
        <v>2028.0</v>
      </c>
      <c r="B9" s="28">
        <v>4.8085934004583997E8</v>
      </c>
      <c r="C9" s="28">
        <v>3.814798712876668E7</v>
      </c>
      <c r="D9" s="21">
        <f t="shared" si="1"/>
        <v>519007327.2</v>
      </c>
      <c r="E9" s="28">
        <v>0.0</v>
      </c>
      <c r="F9" s="28">
        <v>0.0</v>
      </c>
      <c r="G9" s="28">
        <v>5.639508E7</v>
      </c>
      <c r="H9" s="21">
        <f t="shared" si="2"/>
        <v>575402407.2</v>
      </c>
      <c r="I9" s="22"/>
      <c r="J9" s="22">
        <f t="shared" si="4"/>
        <v>13787406.5</v>
      </c>
      <c r="K9" s="22">
        <f t="shared" si="5"/>
        <v>91120898.2</v>
      </c>
      <c r="L9" s="22"/>
      <c r="M9" s="23">
        <f>-K9*parameters!$B$7*parameters!J9/1000</f>
        <v>-1279570.06</v>
      </c>
      <c r="N9" s="22">
        <f>E9*parameters!K10/1000</f>
        <v>0</v>
      </c>
      <c r="O9" s="22">
        <f>parameters!$G$7*(1-parameters!$I$7)*parameters!L10/1000</f>
        <v>2033119.028</v>
      </c>
      <c r="P9" s="22">
        <f>G9*parameters!$C$7*parameters!L10/1000</f>
        <v>2976645.113</v>
      </c>
      <c r="Q9" s="22">
        <f>F9*parameters!$E$7*parameters!$D$7*parameters!L10/1000</f>
        <v>0</v>
      </c>
      <c r="R9" s="24">
        <f t="shared" si="3"/>
        <v>5009764.141</v>
      </c>
      <c r="S9" s="5"/>
    </row>
    <row r="10" ht="15.75" customHeight="1">
      <c r="A10" s="20">
        <v>2029.0</v>
      </c>
      <c r="B10" s="28">
        <v>4.6797059026738995E8</v>
      </c>
      <c r="C10" s="28">
        <v>3.738175814251667E7</v>
      </c>
      <c r="D10" s="21">
        <f t="shared" si="1"/>
        <v>505352348.4</v>
      </c>
      <c r="E10" s="28">
        <v>0.0</v>
      </c>
      <c r="F10" s="28">
        <v>0.0</v>
      </c>
      <c r="G10" s="28">
        <v>5.773782E7</v>
      </c>
      <c r="H10" s="21">
        <f t="shared" si="2"/>
        <v>563090168.4</v>
      </c>
      <c r="I10" s="22"/>
      <c r="J10" s="22">
        <f t="shared" si="4"/>
        <v>13654978.76</v>
      </c>
      <c r="K10" s="22">
        <f t="shared" si="5"/>
        <v>104775877</v>
      </c>
      <c r="L10" s="22"/>
      <c r="M10" s="23">
        <f>-K10*parameters!$B$7*parameters!J10/1000</f>
        <v>-1471320.825</v>
      </c>
      <c r="N10" s="22">
        <f>E10*parameters!K11/1000</f>
        <v>0</v>
      </c>
      <c r="O10" s="22">
        <f>parameters!$G$7*(1-parameters!$I$7)*parameters!L11/1000</f>
        <v>2140125.293</v>
      </c>
      <c r="P10" s="22">
        <f>G10*parameters!$C$7*parameters!L11/1000</f>
        <v>3207913.279</v>
      </c>
      <c r="Q10" s="22">
        <f>F10*parameters!$E$7*parameters!$D$7*parameters!L11/1000</f>
        <v>0</v>
      </c>
      <c r="R10" s="24">
        <f t="shared" si="3"/>
        <v>5348038.572</v>
      </c>
      <c r="S10" s="5"/>
    </row>
    <row r="11" ht="15.75" customHeight="1">
      <c r="A11" s="20">
        <v>2030.0</v>
      </c>
      <c r="B11" s="28">
        <v>4.5521426822143996E8</v>
      </c>
      <c r="C11" s="28">
        <v>3.661552915626668E7</v>
      </c>
      <c r="D11" s="21">
        <f t="shared" si="1"/>
        <v>491829797.4</v>
      </c>
      <c r="E11" s="28">
        <v>0.0</v>
      </c>
      <c r="F11" s="28">
        <v>0.0</v>
      </c>
      <c r="G11" s="28">
        <v>5.908056E7</v>
      </c>
      <c r="H11" s="21">
        <f t="shared" si="2"/>
        <v>550910357.4</v>
      </c>
      <c r="I11" s="22"/>
      <c r="J11" s="22">
        <f t="shared" si="4"/>
        <v>13522551.03</v>
      </c>
      <c r="K11" s="22">
        <f t="shared" si="5"/>
        <v>118298428</v>
      </c>
      <c r="L11" s="22"/>
      <c r="M11" s="23">
        <f>-K11*parameters!$B$7*parameters!J11/1000</f>
        <v>-1661211.968</v>
      </c>
      <c r="N11" s="22">
        <f>E11*parameters!K12/1000</f>
        <v>0</v>
      </c>
      <c r="O11" s="22">
        <f>parameters!$G$7*(1-parameters!$I$7)*parameters!L12/1000</f>
        <v>2247131.557</v>
      </c>
      <c r="P11" s="22">
        <f>G11*parameters!$C$7*parameters!L12/1000</f>
        <v>3446641.709</v>
      </c>
      <c r="Q11" s="22">
        <f>F11*parameters!$E$7*parameters!$D$7*parameters!L12/1000</f>
        <v>0</v>
      </c>
      <c r="R11" s="24">
        <f t="shared" si="3"/>
        <v>5693773.267</v>
      </c>
      <c r="S11" s="5"/>
    </row>
    <row r="12" ht="15.75" customHeight="1">
      <c r="A12" s="20">
        <v>2031.0</v>
      </c>
      <c r="B12" s="28">
        <v>4.4508902036480004E8</v>
      </c>
      <c r="C12" s="28">
        <v>3.661552915626668E7</v>
      </c>
      <c r="D12" s="21">
        <f t="shared" si="1"/>
        <v>481704549.5</v>
      </c>
      <c r="E12" s="28">
        <v>0.0</v>
      </c>
      <c r="F12" s="28">
        <v>0.0</v>
      </c>
      <c r="G12" s="28">
        <v>6.3377328000000015E7</v>
      </c>
      <c r="H12" s="21">
        <f t="shared" si="2"/>
        <v>545081877.5</v>
      </c>
      <c r="I12" s="22"/>
      <c r="J12" s="22">
        <f t="shared" si="4"/>
        <v>10125247.86</v>
      </c>
      <c r="K12" s="22">
        <f t="shared" si="5"/>
        <v>128423675.9</v>
      </c>
      <c r="L12" s="22"/>
      <c r="M12" s="23">
        <f>-K12*parameters!$B$7*parameters!J12/1000</f>
        <v>-1803396.299</v>
      </c>
      <c r="N12" s="22">
        <f>E12*parameters!K13/1000</f>
        <v>0</v>
      </c>
      <c r="O12" s="22">
        <f>parameters!$G$7*(1-parameters!$I$7)*parameters!L13/1000</f>
        <v>2247131.557</v>
      </c>
      <c r="P12" s="22">
        <f>G12*parameters!$C$7*parameters!L13/1000</f>
        <v>3697306.561</v>
      </c>
      <c r="Q12" s="22">
        <f>F12*parameters!$E$7*parameters!$D$7*parameters!L13/1000</f>
        <v>0</v>
      </c>
      <c r="R12" s="24">
        <f t="shared" si="3"/>
        <v>5944438.118</v>
      </c>
      <c r="S12" s="5"/>
    </row>
    <row r="13" ht="15.75" customHeight="1">
      <c r="A13" s="20">
        <v>2032.0</v>
      </c>
      <c r="B13" s="28">
        <v>4.3496377250816E8</v>
      </c>
      <c r="C13" s="28">
        <v>3.661552915626668E7</v>
      </c>
      <c r="D13" s="21">
        <f t="shared" si="1"/>
        <v>471579301.7</v>
      </c>
      <c r="E13" s="28">
        <v>0.0</v>
      </c>
      <c r="F13" s="28">
        <v>0.0</v>
      </c>
      <c r="G13" s="28">
        <v>6.7674096E7</v>
      </c>
      <c r="H13" s="21">
        <f t="shared" si="2"/>
        <v>539253397.7</v>
      </c>
      <c r="I13" s="22"/>
      <c r="J13" s="22">
        <f t="shared" si="4"/>
        <v>10125247.86</v>
      </c>
      <c r="K13" s="22">
        <f t="shared" si="5"/>
        <v>138548923.7</v>
      </c>
      <c r="L13" s="22"/>
      <c r="M13" s="23">
        <f>-K13*parameters!$B$7*parameters!J13/1000</f>
        <v>-1945580.631</v>
      </c>
      <c r="N13" s="22">
        <f>E13*parameters!K14/1000</f>
        <v>0</v>
      </c>
      <c r="O13" s="22">
        <f>parameters!$G$7*(1-parameters!$I$7)*parameters!L14/1000</f>
        <v>2354137.822</v>
      </c>
      <c r="P13" s="22">
        <f>G13*parameters!$C$7*parameters!L14/1000</f>
        <v>4135970.051</v>
      </c>
      <c r="Q13" s="22">
        <f>F13*parameters!$E$7*parameters!$D$7*parameters!L14/1000</f>
        <v>0</v>
      </c>
      <c r="R13" s="24">
        <f t="shared" si="3"/>
        <v>6490107.873</v>
      </c>
      <c r="S13" s="5"/>
    </row>
    <row r="14" ht="15.75" customHeight="1">
      <c r="A14" s="20">
        <v>2033.0</v>
      </c>
      <c r="B14" s="28">
        <v>4.0585368492032E8</v>
      </c>
      <c r="C14" s="28">
        <v>3.661552915626668E7</v>
      </c>
      <c r="D14" s="21">
        <f t="shared" si="1"/>
        <v>442469214.1</v>
      </c>
      <c r="E14" s="28">
        <v>1.4944696200000001E7</v>
      </c>
      <c r="F14" s="28">
        <v>6404869.8</v>
      </c>
      <c r="G14" s="28">
        <v>7.1970864E7</v>
      </c>
      <c r="H14" s="21">
        <f t="shared" si="2"/>
        <v>535789644.1</v>
      </c>
      <c r="I14" s="22"/>
      <c r="J14" s="22">
        <f t="shared" si="4"/>
        <v>29110087.59</v>
      </c>
      <c r="K14" s="22">
        <f t="shared" si="5"/>
        <v>167659011.3</v>
      </c>
      <c r="L14" s="22"/>
      <c r="M14" s="23">
        <f>-K14*parameters!$B$7*parameters!J14/1000</f>
        <v>-2354360.584</v>
      </c>
      <c r="N14" s="22">
        <f>E14*parameters!K15/1000</f>
        <v>1179261.019</v>
      </c>
      <c r="O14" s="22">
        <f>parameters!$G$7*(1-parameters!$I$7)*parameters!L15/1000</f>
        <v>2461144.087</v>
      </c>
      <c r="P14" s="22">
        <f>G14*parameters!$C$7*parameters!L15/1000</f>
        <v>4598506.384</v>
      </c>
      <c r="Q14" s="22">
        <f>F14*parameters!$E$7*parameters!$D$7*parameters!L15/1000</f>
        <v>613775.4705</v>
      </c>
      <c r="R14" s="24">
        <f t="shared" si="3"/>
        <v>7673425.941</v>
      </c>
      <c r="S14" s="5"/>
    </row>
    <row r="15" ht="15.75" customHeight="1">
      <c r="A15" s="20">
        <v>2034.0</v>
      </c>
      <c r="B15" s="28">
        <v>3.7674359733247995E8</v>
      </c>
      <c r="C15" s="28">
        <v>3.661552915626668E7</v>
      </c>
      <c r="D15" s="21">
        <f t="shared" si="1"/>
        <v>413359126.5</v>
      </c>
      <c r="E15" s="28">
        <v>2.9889392400000002E7</v>
      </c>
      <c r="F15" s="28">
        <v>1.28097396E7</v>
      </c>
      <c r="G15" s="28">
        <v>7.6267632E7</v>
      </c>
      <c r="H15" s="21">
        <f t="shared" si="2"/>
        <v>532325890.5</v>
      </c>
      <c r="I15" s="22"/>
      <c r="J15" s="22">
        <f t="shared" si="4"/>
        <v>29110087.59</v>
      </c>
      <c r="K15" s="22">
        <f t="shared" si="5"/>
        <v>196769098.9</v>
      </c>
      <c r="L15" s="22"/>
      <c r="M15" s="23">
        <f>-K15*parameters!$B$7*parameters!J15/1000</f>
        <v>-2763140.538</v>
      </c>
      <c r="N15" s="22">
        <f>E15*parameters!K16/1000</f>
        <v>2344324.578</v>
      </c>
      <c r="O15" s="22">
        <f>parameters!$G$7*(1-parameters!$I$7)*parameters!L16/1000</f>
        <v>2568150.351</v>
      </c>
      <c r="P15" s="22">
        <f>G15*parameters!$C$7*parameters!L16/1000</f>
        <v>5084915.561</v>
      </c>
      <c r="Q15" s="22">
        <f>F15*parameters!$E$7*parameters!$D$7*parameters!L16/1000</f>
        <v>1280922.721</v>
      </c>
      <c r="R15" s="24">
        <f t="shared" si="3"/>
        <v>8933988.633</v>
      </c>
      <c r="S15" s="5"/>
    </row>
    <row r="16" ht="15.75" customHeight="1">
      <c r="A16" s="20">
        <v>2035.0</v>
      </c>
      <c r="B16" s="28">
        <v>3.4130522983424E8</v>
      </c>
      <c r="C16" s="28">
        <v>3.661552915626668E7</v>
      </c>
      <c r="D16" s="21">
        <f t="shared" si="1"/>
        <v>377920759</v>
      </c>
      <c r="E16" s="28">
        <v>4.9815654E7</v>
      </c>
      <c r="F16" s="28">
        <v>2.1349565999999996E7</v>
      </c>
      <c r="G16" s="28">
        <v>8.05644E7</v>
      </c>
      <c r="H16" s="21">
        <f t="shared" si="2"/>
        <v>529650379</v>
      </c>
      <c r="I16" s="22"/>
      <c r="J16" s="22">
        <f t="shared" si="4"/>
        <v>35438367.5</v>
      </c>
      <c r="K16" s="22">
        <f t="shared" si="5"/>
        <v>232207466.4</v>
      </c>
      <c r="L16" s="22"/>
      <c r="M16" s="23">
        <f>-K16*parameters!$B$7*parameters!J16/1000</f>
        <v>-3260785.698</v>
      </c>
      <c r="N16" s="22">
        <f>E16*parameters!K17/1000</f>
        <v>3857807.438</v>
      </c>
      <c r="O16" s="22">
        <f>parameters!$G$7*(1-parameters!$I$7)*parameters!L17/1000</f>
        <v>2675156.616</v>
      </c>
      <c r="P16" s="22">
        <f>G16*parameters!$C$7*parameters!L17/1000</f>
        <v>5595197.58</v>
      </c>
      <c r="Q16" s="22">
        <f>F16*parameters!$E$7*parameters!$D$7*parameters!L17/1000</f>
        <v>2223824.168</v>
      </c>
      <c r="R16" s="24">
        <f t="shared" si="3"/>
        <v>10494178.36</v>
      </c>
      <c r="S16" s="5"/>
    </row>
    <row r="17" ht="15.75" customHeight="1">
      <c r="A17" s="20">
        <v>2036.0</v>
      </c>
      <c r="B17" s="28">
        <v>2.7802243073024E8</v>
      </c>
      <c r="C17" s="28">
        <v>3.661552915626668E7</v>
      </c>
      <c r="D17" s="21">
        <f t="shared" si="1"/>
        <v>314637959.9</v>
      </c>
      <c r="E17" s="28">
        <v>7.4723481E7</v>
      </c>
      <c r="F17" s="28">
        <v>3.2024348999999996E7</v>
      </c>
      <c r="G17" s="28">
        <v>9.39918E7</v>
      </c>
      <c r="H17" s="21">
        <f t="shared" si="2"/>
        <v>515377589.9</v>
      </c>
      <c r="I17" s="22"/>
      <c r="J17" s="22">
        <f t="shared" si="4"/>
        <v>63282799.1</v>
      </c>
      <c r="K17" s="22">
        <f t="shared" si="5"/>
        <v>295490265.5</v>
      </c>
      <c r="L17" s="22"/>
      <c r="M17" s="23">
        <f>-K17*parameters!$B$7*parameters!J17/1000</f>
        <v>-4149437.771</v>
      </c>
      <c r="N17" s="22">
        <f>E17*parameters!K18/1000</f>
        <v>5708251.502</v>
      </c>
      <c r="O17" s="22">
        <f>parameters!$G$7*(1-parameters!$I$7)*parameters!L18/1000</f>
        <v>2675156.616</v>
      </c>
      <c r="P17" s="22">
        <f>G17*parameters!$C$7*parameters!L18/1000</f>
        <v>6527730.51</v>
      </c>
      <c r="Q17" s="22">
        <f>F17*parameters!$E$7*parameters!$D$7*parameters!L18/1000</f>
        <v>3335736.253</v>
      </c>
      <c r="R17" s="24">
        <f t="shared" si="3"/>
        <v>12538623.38</v>
      </c>
      <c r="S17" s="5"/>
    </row>
    <row r="18" ht="15.75" customHeight="1">
      <c r="A18" s="20">
        <v>2037.0</v>
      </c>
      <c r="B18" s="28">
        <v>2.7802243073024E8</v>
      </c>
      <c r="C18" s="28">
        <v>3.661552915626668E7</v>
      </c>
      <c r="D18" s="21">
        <f t="shared" si="1"/>
        <v>314637959.9</v>
      </c>
      <c r="E18" s="28">
        <v>9.9631308E7</v>
      </c>
      <c r="F18" s="28">
        <v>4.269913199999999E7</v>
      </c>
      <c r="G18" s="28">
        <v>8.05644E7</v>
      </c>
      <c r="H18" s="21">
        <f t="shared" si="2"/>
        <v>537532799.9</v>
      </c>
      <c r="I18" s="22"/>
      <c r="J18" s="22">
        <f t="shared" si="4"/>
        <v>0</v>
      </c>
      <c r="K18" s="22">
        <f t="shared" si="5"/>
        <v>295490265.5</v>
      </c>
      <c r="L18" s="22"/>
      <c r="M18" s="23">
        <f>-K18*parameters!$B$7*parameters!J18/1000</f>
        <v>-4149437.771</v>
      </c>
      <c r="N18" s="22">
        <f>E18*parameters!K19/1000</f>
        <v>7126959.233</v>
      </c>
      <c r="O18" s="22">
        <f>parameters!$G$7*(1-parameters!$I$7)*parameters!L19/1000</f>
        <v>2675156.616</v>
      </c>
      <c r="P18" s="22">
        <f>G18*parameters!$C$7*parameters!L19/1000</f>
        <v>5595197.58</v>
      </c>
      <c r="Q18" s="22">
        <f>F18*parameters!$E$7*parameters!$D$7*parameters!L19/1000</f>
        <v>4447648.337</v>
      </c>
      <c r="R18" s="24">
        <f t="shared" si="3"/>
        <v>12718002.53</v>
      </c>
      <c r="S18" s="5"/>
    </row>
    <row r="19" ht="15.75" customHeight="1">
      <c r="A19" s="20">
        <v>2038.0</v>
      </c>
      <c r="B19" s="28">
        <v>2.7169415081984E8</v>
      </c>
      <c r="C19" s="28">
        <v>3.8016633588266686E7</v>
      </c>
      <c r="D19" s="21">
        <f t="shared" si="1"/>
        <v>309710784.4</v>
      </c>
      <c r="E19" s="28">
        <v>1.2453913500000001E8</v>
      </c>
      <c r="F19" s="28">
        <v>5.337391499999999E7</v>
      </c>
      <c r="G19" s="28">
        <v>6.982248E7</v>
      </c>
      <c r="H19" s="21">
        <f t="shared" si="2"/>
        <v>557446314.4</v>
      </c>
      <c r="I19" s="22"/>
      <c r="J19" s="22">
        <f t="shared" si="4"/>
        <v>4927175.478</v>
      </c>
      <c r="K19" s="22">
        <f t="shared" si="5"/>
        <v>300417441</v>
      </c>
      <c r="L19" s="22"/>
      <c r="M19" s="23">
        <f>-K19*parameters!$B$7*parameters!J19/1000</f>
        <v>-4218627.894</v>
      </c>
      <c r="N19" s="22">
        <f>E19*parameters!K20/1000</f>
        <v>8523666.38</v>
      </c>
      <c r="O19" s="22">
        <f>parameters!$G$7*(1-parameters!$I$7)*parameters!L20/1000</f>
        <v>2675156.616</v>
      </c>
      <c r="P19" s="22">
        <f>G19*parameters!$C$7*parameters!L20/1000</f>
        <v>4849171.236</v>
      </c>
      <c r="Q19" s="22">
        <f>F19*parameters!$E$7*parameters!$D$7*parameters!L20/1000</f>
        <v>5559560.421</v>
      </c>
      <c r="R19" s="24">
        <f t="shared" si="3"/>
        <v>13083888.27</v>
      </c>
      <c r="S19" s="5"/>
    </row>
    <row r="20" ht="15.75" customHeight="1">
      <c r="A20" s="20">
        <v>2039.0</v>
      </c>
      <c r="B20" s="28">
        <v>2.7169415081984E8</v>
      </c>
      <c r="C20" s="28">
        <v>4.011829023626668E7</v>
      </c>
      <c r="D20" s="21">
        <f t="shared" si="1"/>
        <v>311812441.1</v>
      </c>
      <c r="E20" s="28">
        <v>1.49446962E8</v>
      </c>
      <c r="F20" s="28">
        <v>6.404869799999999E7</v>
      </c>
      <c r="G20" s="28">
        <v>5.639508E7</v>
      </c>
      <c r="H20" s="21">
        <f t="shared" si="2"/>
        <v>581703181.1</v>
      </c>
      <c r="I20" s="22"/>
      <c r="J20" s="22">
        <f t="shared" si="4"/>
        <v>-2101656.648</v>
      </c>
      <c r="K20" s="22">
        <f t="shared" si="5"/>
        <v>298315784.3</v>
      </c>
      <c r="L20" s="22"/>
      <c r="M20" s="23">
        <f>-K20*parameters!$B$7*parameters!J20/1000</f>
        <v>-4189115.269</v>
      </c>
      <c r="N20" s="22">
        <f>E20*parameters!K21/1000</f>
        <v>9787531.118</v>
      </c>
      <c r="O20" s="22">
        <f>parameters!$G$7*(1-parameters!$I$7)*parameters!L21/1000</f>
        <v>2675156.616</v>
      </c>
      <c r="P20" s="22">
        <f>G20*parameters!$C$7*parameters!L21/1000</f>
        <v>3916638.306</v>
      </c>
      <c r="Q20" s="22">
        <f>F20*parameters!$E$7*parameters!$D$7*parameters!L21/1000</f>
        <v>6671472.505</v>
      </c>
      <c r="R20" s="24">
        <f t="shared" si="3"/>
        <v>13263267.43</v>
      </c>
      <c r="S20" s="5"/>
    </row>
    <row r="21" ht="15.75" customHeight="1">
      <c r="A21" s="20">
        <v>2040.0</v>
      </c>
      <c r="B21" s="28">
        <v>2.7802243073024E8</v>
      </c>
      <c r="C21" s="28">
        <v>4.221994688426668E7</v>
      </c>
      <c r="D21" s="21">
        <f t="shared" si="1"/>
        <v>320242377.6</v>
      </c>
      <c r="E21" s="28">
        <v>1.49446962E8</v>
      </c>
      <c r="F21" s="28">
        <v>6.404869799999999E7</v>
      </c>
      <c r="G21" s="28">
        <v>5.37096E7</v>
      </c>
      <c r="H21" s="21">
        <f t="shared" si="2"/>
        <v>587447637.6</v>
      </c>
      <c r="I21" s="22"/>
      <c r="J21" s="22">
        <f t="shared" si="4"/>
        <v>-8429936.558</v>
      </c>
      <c r="K21" s="22">
        <f t="shared" si="5"/>
        <v>289885847.8</v>
      </c>
      <c r="L21" s="22"/>
      <c r="M21" s="23">
        <f>-K21*parameters!$B$7*parameters!J21/1000</f>
        <v>-4070737.437</v>
      </c>
      <c r="N21" s="22">
        <f>E21*parameters!K22/1000</f>
        <v>9367833.237</v>
      </c>
      <c r="O21" s="22">
        <f>parameters!$G$7*(1-parameters!$I$7)*parameters!L22/1000</f>
        <v>2675156.616</v>
      </c>
      <c r="P21" s="22">
        <f>G21*parameters!$C$7*parameters!L22/1000</f>
        <v>3730131.72</v>
      </c>
      <c r="Q21" s="22">
        <f>F21*parameters!$E$7*parameters!$D$7*parameters!L22/1000</f>
        <v>6671472.505</v>
      </c>
      <c r="R21" s="24">
        <f t="shared" si="3"/>
        <v>13076760.84</v>
      </c>
      <c r="S21" s="5"/>
    </row>
    <row r="22" ht="15.75" customHeight="1">
      <c r="A22" s="20">
        <v>2041.0</v>
      </c>
      <c r="B22" s="28">
        <v>2.7169415081984E8</v>
      </c>
      <c r="C22" s="28">
        <v>4.221994688426668E7</v>
      </c>
      <c r="D22" s="21">
        <f t="shared" si="1"/>
        <v>313914097.7</v>
      </c>
      <c r="E22" s="28">
        <v>1.619008755E8</v>
      </c>
      <c r="F22" s="28">
        <v>6.93860895E7</v>
      </c>
      <c r="G22" s="28">
        <v>4.968138E7</v>
      </c>
      <c r="H22" s="21">
        <f t="shared" si="2"/>
        <v>594882442.7</v>
      </c>
      <c r="I22" s="22"/>
      <c r="J22" s="22">
        <f t="shared" si="4"/>
        <v>6328279.91</v>
      </c>
      <c r="K22" s="22">
        <f t="shared" si="5"/>
        <v>296214127.7</v>
      </c>
      <c r="L22" s="22"/>
      <c r="M22" s="23">
        <f>-K22*parameters!$B$7*parameters!J22/1000</f>
        <v>-4159602.644</v>
      </c>
      <c r="N22" s="22">
        <f>E22*parameters!K23/1000</f>
        <v>9714052.53</v>
      </c>
      <c r="O22" s="22">
        <f>parameters!$G$7*(1-parameters!$I$7)*parameters!L23/1000</f>
        <v>2675156.616</v>
      </c>
      <c r="P22" s="22">
        <f>G22*parameters!$C$7*parameters!L23/1000</f>
        <v>3450371.841</v>
      </c>
      <c r="Q22" s="22">
        <f>F22*parameters!$E$7*parameters!$D$7*parameters!L23/1000</f>
        <v>7227428.548</v>
      </c>
      <c r="R22" s="24">
        <f t="shared" si="3"/>
        <v>13352957</v>
      </c>
      <c r="S22" s="5"/>
    </row>
    <row r="23" ht="15.75" customHeight="1">
      <c r="A23" s="20">
        <v>2042.0</v>
      </c>
      <c r="B23" s="28">
        <v>2.6536587090943998E8</v>
      </c>
      <c r="C23" s="28">
        <v>4.221994688426668E7</v>
      </c>
      <c r="D23" s="21">
        <f t="shared" si="1"/>
        <v>307585817.8</v>
      </c>
      <c r="E23" s="28">
        <v>1.74354789E8</v>
      </c>
      <c r="F23" s="28">
        <v>7.4723481E7</v>
      </c>
      <c r="G23" s="28">
        <v>4.565316E7</v>
      </c>
      <c r="H23" s="21">
        <f t="shared" si="2"/>
        <v>602317247.8</v>
      </c>
      <c r="I23" s="22"/>
      <c r="J23" s="22">
        <f t="shared" si="4"/>
        <v>6328279.91</v>
      </c>
      <c r="K23" s="22">
        <f t="shared" si="5"/>
        <v>302542407.6</v>
      </c>
      <c r="L23" s="22"/>
      <c r="M23" s="23">
        <f>-K23*parameters!$B$7*parameters!J23/1000</f>
        <v>-4248467.851</v>
      </c>
      <c r="N23" s="22">
        <f>E23*parameters!K24/1000</f>
        <v>10015230.25</v>
      </c>
      <c r="O23" s="22">
        <f>parameters!$G$7*(1-parameters!$I$7)*parameters!L24/1000</f>
        <v>2675156.616</v>
      </c>
      <c r="P23" s="22">
        <f>G23*parameters!$C$7*parameters!L24/1000</f>
        <v>3170611.962</v>
      </c>
      <c r="Q23" s="22">
        <f>F23*parameters!$E$7*parameters!$D$7*parameters!L24/1000</f>
        <v>7783384.59</v>
      </c>
      <c r="R23" s="24">
        <f t="shared" si="3"/>
        <v>13629153.17</v>
      </c>
      <c r="S23" s="5"/>
    </row>
    <row r="24" ht="15.75" customHeight="1">
      <c r="A24" s="20">
        <v>2043.0</v>
      </c>
      <c r="B24" s="28">
        <v>2.3794332463103995E8</v>
      </c>
      <c r="C24" s="28">
        <v>4.221994688426668E7</v>
      </c>
      <c r="D24" s="21">
        <f t="shared" si="1"/>
        <v>280163271.5</v>
      </c>
      <c r="E24" s="28">
        <v>1.868087025E8</v>
      </c>
      <c r="F24" s="28">
        <v>8.00608725E7</v>
      </c>
      <c r="G24" s="28">
        <v>5.057654000000003E7</v>
      </c>
      <c r="H24" s="21">
        <f t="shared" si="2"/>
        <v>597609386.5</v>
      </c>
      <c r="I24" s="22"/>
      <c r="J24" s="22">
        <f t="shared" si="4"/>
        <v>27422546.28</v>
      </c>
      <c r="K24" s="22">
        <f t="shared" si="5"/>
        <v>329964953.9</v>
      </c>
      <c r="L24" s="22"/>
      <c r="M24" s="23">
        <f>-K24*parameters!$B$7*parameters!J24/1000</f>
        <v>-4633550.416</v>
      </c>
      <c r="N24" s="22">
        <f>E24*parameters!K25/1000</f>
        <v>10274478.64</v>
      </c>
      <c r="O24" s="22">
        <f>parameters!$G$7*(1-parameters!$I$7)*parameters!L25/1000</f>
        <v>2675156.616</v>
      </c>
      <c r="P24" s="22">
        <f>G24*parameters!$C$7*parameters!L25/1000</f>
        <v>3512540.703</v>
      </c>
      <c r="Q24" s="22">
        <f>F24*parameters!$E$7*parameters!$D$7*parameters!L25/1000</f>
        <v>8339340.632</v>
      </c>
      <c r="R24" s="24">
        <f t="shared" si="3"/>
        <v>14527037.95</v>
      </c>
      <c r="S24" s="5"/>
    </row>
    <row r="25" ht="15.75" customHeight="1">
      <c r="A25" s="20">
        <v>2044.0</v>
      </c>
      <c r="B25" s="28">
        <v>2.1052077835264E8</v>
      </c>
      <c r="C25" s="28">
        <v>4.221994688426668E7</v>
      </c>
      <c r="D25" s="21">
        <f t="shared" si="1"/>
        <v>252740725.2</v>
      </c>
      <c r="E25" s="28">
        <v>1.99262616E8</v>
      </c>
      <c r="F25" s="28">
        <v>8.539826399999999E7</v>
      </c>
      <c r="G25" s="28">
        <v>5.549991999999997E7</v>
      </c>
      <c r="H25" s="21">
        <f t="shared" si="2"/>
        <v>592901525.2</v>
      </c>
      <c r="I25" s="22"/>
      <c r="J25" s="22">
        <f t="shared" si="4"/>
        <v>27422546.28</v>
      </c>
      <c r="K25" s="22">
        <f t="shared" si="5"/>
        <v>357387500.1</v>
      </c>
      <c r="L25" s="22"/>
      <c r="M25" s="23">
        <f>-K25*parameters!$B$7*parameters!J25/1000</f>
        <v>-5018632.981</v>
      </c>
      <c r="N25" s="22">
        <f>E25*parameters!K26/1000</f>
        <v>10494498.44</v>
      </c>
      <c r="O25" s="22">
        <f>parameters!$G$7*(1-parameters!$I$7)*parameters!L26/1000</f>
        <v>2675156.616</v>
      </c>
      <c r="P25" s="22">
        <f>G25*parameters!$C$7*parameters!L26/1000</f>
        <v>3854469.444</v>
      </c>
      <c r="Q25" s="22">
        <f>F25*parameters!$E$7*parameters!$D$7*parameters!L26/1000</f>
        <v>8895296.674</v>
      </c>
      <c r="R25" s="24">
        <f t="shared" si="3"/>
        <v>15424922.73</v>
      </c>
      <c r="S25" s="5"/>
    </row>
    <row r="26" ht="15.75" customHeight="1">
      <c r="A26" s="20">
        <v>2045.0</v>
      </c>
      <c r="B26" s="28">
        <v>1.8309823207423997E8</v>
      </c>
      <c r="C26" s="28">
        <v>4.221994688426668E7</v>
      </c>
      <c r="D26" s="21">
        <f t="shared" si="1"/>
        <v>225318179</v>
      </c>
      <c r="E26" s="28">
        <v>1.99262616E8</v>
      </c>
      <c r="F26" s="28">
        <v>8.539826399999999E7</v>
      </c>
      <c r="G26" s="28">
        <v>6.7137E7</v>
      </c>
      <c r="H26" s="21">
        <f t="shared" si="2"/>
        <v>577116059</v>
      </c>
      <c r="I26" s="22"/>
      <c r="J26" s="22">
        <f t="shared" si="4"/>
        <v>27422546.28</v>
      </c>
      <c r="K26" s="22">
        <f t="shared" si="5"/>
        <v>384810046.4</v>
      </c>
      <c r="L26" s="22"/>
      <c r="M26" s="23">
        <f>-K26*parameters!$B$7*parameters!J26/1000</f>
        <v>-5403715.545</v>
      </c>
      <c r="N26" s="22">
        <f>E26*parameters!K27/1000</f>
        <v>10051139.12</v>
      </c>
      <c r="O26" s="22">
        <f>parameters!$G$7*(1-parameters!$I$7)*parameters!L27/1000</f>
        <v>2675156.616</v>
      </c>
      <c r="P26" s="22">
        <f>G26*parameters!$C$7*parameters!L27/1000</f>
        <v>4662664.65</v>
      </c>
      <c r="Q26" s="22">
        <f>F26*parameters!$E$7*parameters!$D$7*parameters!L27/1000</f>
        <v>8895296.674</v>
      </c>
      <c r="R26" s="24">
        <f t="shared" si="3"/>
        <v>16233117.94</v>
      </c>
      <c r="S26" s="5"/>
    </row>
    <row r="27" ht="15.75" customHeight="1">
      <c r="A27" s="20">
        <v>2046.0</v>
      </c>
      <c r="B27" s="28">
        <v>1.7676995216383997E8</v>
      </c>
      <c r="C27" s="28">
        <v>4.572270796426668E7</v>
      </c>
      <c r="D27" s="21">
        <f t="shared" si="1"/>
        <v>222492660.1</v>
      </c>
      <c r="E27" s="28">
        <v>1.99262616E8</v>
      </c>
      <c r="F27" s="28">
        <v>8.539826399999999E7</v>
      </c>
      <c r="G27" s="28">
        <v>6.982248E7</v>
      </c>
      <c r="H27" s="21">
        <f t="shared" si="2"/>
        <v>576976020.1</v>
      </c>
      <c r="I27" s="22"/>
      <c r="J27" s="22">
        <f t="shared" si="4"/>
        <v>2825518.83</v>
      </c>
      <c r="K27" s="22">
        <f t="shared" si="5"/>
        <v>387635565.2</v>
      </c>
      <c r="L27" s="22"/>
      <c r="M27" s="23">
        <f>-K27*parameters!$B$7*parameters!J27/1000</f>
        <v>-5443393.044</v>
      </c>
      <c r="N27" s="22">
        <f>E27*parameters!K28/1000</f>
        <v>9627706.061</v>
      </c>
      <c r="O27" s="22">
        <f>parameters!$G$7*(1-parameters!$I$7)*parameters!L28/1000</f>
        <v>2675156.616</v>
      </c>
      <c r="P27" s="22">
        <f>G27*parameters!$C$7*parameters!L28/1000</f>
        <v>4849171.236</v>
      </c>
      <c r="Q27" s="22">
        <f>F27*parameters!$E$7*parameters!$D$7*parameters!L28/1000</f>
        <v>8895296.674</v>
      </c>
      <c r="R27" s="24">
        <f t="shared" si="3"/>
        <v>16419624.53</v>
      </c>
      <c r="S27" s="5"/>
    </row>
    <row r="28" ht="15.75" customHeight="1">
      <c r="A28" s="20">
        <v>2047.0</v>
      </c>
      <c r="B28" s="28">
        <v>1.7044167225344E8</v>
      </c>
      <c r="C28" s="28">
        <v>5.2728230124266684E7</v>
      </c>
      <c r="D28" s="21">
        <f t="shared" si="1"/>
        <v>223169902.4</v>
      </c>
      <c r="E28" s="28">
        <v>1.99262616E8</v>
      </c>
      <c r="F28" s="28">
        <v>8.539826399999999E7</v>
      </c>
      <c r="G28" s="28">
        <v>7.250796E7</v>
      </c>
      <c r="H28" s="21">
        <f t="shared" si="2"/>
        <v>580338742.4</v>
      </c>
      <c r="I28" s="22"/>
      <c r="J28" s="22">
        <f t="shared" si="4"/>
        <v>-677242.2496</v>
      </c>
      <c r="K28" s="22">
        <f t="shared" si="5"/>
        <v>386958323</v>
      </c>
      <c r="L28" s="22"/>
      <c r="M28" s="23">
        <f>-K28*parameters!$B$7*parameters!J28/1000</f>
        <v>-5433882.834</v>
      </c>
      <c r="N28" s="22">
        <f>E28*parameters!K29/1000</f>
        <v>9220877.555</v>
      </c>
      <c r="O28" s="22">
        <f>parameters!$G$7*(1-parameters!$I$7)*parameters!L29/1000</f>
        <v>2675156.616</v>
      </c>
      <c r="P28" s="22">
        <f>G28*parameters!$C$7*parameters!L29/1000</f>
        <v>5035677.822</v>
      </c>
      <c r="Q28" s="22">
        <f>F28*parameters!$E$7*parameters!$D$7*parameters!L29/1000</f>
        <v>8895296.674</v>
      </c>
      <c r="R28" s="24">
        <f t="shared" si="3"/>
        <v>16606131.11</v>
      </c>
      <c r="S28" s="5"/>
    </row>
    <row r="29" ht="15.75" customHeight="1">
      <c r="A29" s="20">
        <v>2048.0</v>
      </c>
      <c r="B29" s="28">
        <v>1.3880027270143998E8</v>
      </c>
      <c r="C29" s="28">
        <v>5.623099120426669E7</v>
      </c>
      <c r="D29" s="21">
        <f t="shared" si="1"/>
        <v>195031263.9</v>
      </c>
      <c r="E29" s="28">
        <v>2.1918887760000002E8</v>
      </c>
      <c r="F29" s="28">
        <v>9.393809039999999E7</v>
      </c>
      <c r="G29" s="28">
        <v>7.519344E7</v>
      </c>
      <c r="H29" s="21">
        <f t="shared" si="2"/>
        <v>583351671.9</v>
      </c>
      <c r="I29" s="22"/>
      <c r="J29" s="22">
        <f t="shared" si="4"/>
        <v>28138638.47</v>
      </c>
      <c r="K29" s="22">
        <f t="shared" si="5"/>
        <v>415096961.5</v>
      </c>
      <c r="L29" s="22"/>
      <c r="M29" s="23">
        <f>-K29*parameters!$B$7*parameters!J29/1000</f>
        <v>-5829021.161</v>
      </c>
      <c r="N29" s="22">
        <f>E29*parameters!K30/1000</f>
        <v>9715547</v>
      </c>
      <c r="O29" s="22">
        <f>parameters!$G$7*(1-parameters!$I$7)*parameters!L30/1000</f>
        <v>2675156.616</v>
      </c>
      <c r="P29" s="22">
        <f>G29*parameters!$C$7*parameters!L30/1000</f>
        <v>5222184.408</v>
      </c>
      <c r="Q29" s="22">
        <f>F29*parameters!$E$7*parameters!$D$7*parameters!L30/1000</f>
        <v>9784826.341</v>
      </c>
      <c r="R29" s="24">
        <f t="shared" si="3"/>
        <v>17682167.37</v>
      </c>
      <c r="S29" s="5"/>
    </row>
    <row r="30" ht="15.75" customHeight="1">
      <c r="A30" s="20">
        <v>2049.0</v>
      </c>
      <c r="B30" s="28">
        <v>1.0715887314943999E8</v>
      </c>
      <c r="C30" s="28">
        <v>5.2728230124266684E7</v>
      </c>
      <c r="D30" s="21">
        <f t="shared" si="1"/>
        <v>159887103.3</v>
      </c>
      <c r="E30" s="28">
        <v>2.3911513920000002E8</v>
      </c>
      <c r="F30" s="28">
        <v>1.024779168E8</v>
      </c>
      <c r="G30" s="28">
        <v>7.787892E7</v>
      </c>
      <c r="H30" s="21">
        <f t="shared" si="2"/>
        <v>579359079.3</v>
      </c>
      <c r="I30" s="22"/>
      <c r="J30" s="22">
        <f t="shared" si="4"/>
        <v>35144160.63</v>
      </c>
      <c r="K30" s="22">
        <f t="shared" si="5"/>
        <v>450241122.1</v>
      </c>
      <c r="L30" s="22"/>
      <c r="M30" s="23">
        <f>-K30*parameters!$B$7*parameters!J30/1000</f>
        <v>-6322534.906</v>
      </c>
      <c r="N30" s="22">
        <f>E30*parameters!K31/1000</f>
        <v>10152429.49</v>
      </c>
      <c r="O30" s="22">
        <f>parameters!$G$7*(1-parameters!$I$7)*parameters!L31/1000</f>
        <v>2675156.616</v>
      </c>
      <c r="P30" s="22">
        <f>G30*parameters!$C$7*parameters!L31/1000</f>
        <v>5408690.994</v>
      </c>
      <c r="Q30" s="22">
        <f>F30*parameters!$E$7*parameters!$D$7*parameters!L31/1000</f>
        <v>10674356.01</v>
      </c>
      <c r="R30" s="24">
        <f t="shared" si="3"/>
        <v>18758203.62</v>
      </c>
      <c r="S30" s="5"/>
    </row>
    <row r="31" ht="15.75" customHeight="1">
      <c r="A31" s="20">
        <v>2050.0</v>
      </c>
      <c r="B31" s="28">
        <v>8.817403341823998E7</v>
      </c>
      <c r="C31" s="28">
        <v>5.062657347626668E7</v>
      </c>
      <c r="D31" s="21">
        <f t="shared" si="1"/>
        <v>138800606.9</v>
      </c>
      <c r="E31" s="28">
        <v>2.4907827000000003E8</v>
      </c>
      <c r="F31" s="28">
        <v>1.0674782999999999E8</v>
      </c>
      <c r="G31" s="28">
        <v>8.05644E7</v>
      </c>
      <c r="H31" s="21">
        <f t="shared" si="2"/>
        <v>575191106.9</v>
      </c>
      <c r="I31" s="22"/>
      <c r="J31" s="22">
        <f t="shared" si="4"/>
        <v>21086496.38</v>
      </c>
      <c r="K31" s="22">
        <f t="shared" si="5"/>
        <v>471327618.5</v>
      </c>
      <c r="L31" s="22"/>
      <c r="M31" s="25">
        <f>-K31*parameters!$B$7*parameters!J31/1000</f>
        <v>-6618643.153</v>
      </c>
      <c r="N31" s="26">
        <f>E31*parameters!K32/1000</f>
        <v>10131258.63</v>
      </c>
      <c r="O31" s="22">
        <f>parameters!$G$7*(1-parameters!$I$7)*parameters!L32/1000</f>
        <v>2675156.616</v>
      </c>
      <c r="P31" s="26">
        <f>G31*parameters!$C$7*parameters!L32/1000</f>
        <v>5595197.58</v>
      </c>
      <c r="Q31" s="26">
        <f>F31*parameters!$E$7*parameters!$D$7*parameters!L32/1000</f>
        <v>11119120.84</v>
      </c>
      <c r="R31" s="27">
        <f t="shared" si="3"/>
        <v>19389475.04</v>
      </c>
      <c r="S31" s="5"/>
    </row>
    <row r="32" ht="15.75" customHeight="1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5.75" customHeigh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5.7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5.75" customHeight="1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5.75" customHeight="1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5.7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.75" customHeight="1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5.75" customHeight="1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5.75" customHeight="1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5.75" customHeight="1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5.75" customHeight="1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5.75" customHeigh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5.75" customHeight="1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5.75" customHeight="1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5.75" customHeight="1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5.75" customHeight="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5.7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5.75" customHeight="1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5.75" customHeight="1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5.75" customHeight="1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5.75" customHeight="1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5.75" customHeight="1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5.75" customHeight="1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5.75" customHeight="1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5.75" customHeight="1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5.7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5.75" customHeight="1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5.75" customHeight="1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5.75" customHeight="1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5.75" customHeight="1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5.75" customHeigh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5.7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5.75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5.75" customHeight="1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5.75" customHeight="1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5.75" customHeigh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5.75" customHeigh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5.75" customHeigh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5.75" customHeight="1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5.75" customHeigh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5.75" customHeight="1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5.75" customHeight="1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5.75" customHeight="1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5.75" customHeight="1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5.75" customHeight="1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5.75" customHeight="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5.75" customHeight="1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5.75" customHeight="1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5.75" customHeight="1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5.75" customHeight="1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5.7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5.75" customHeight="1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5.75" customHeigh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5.75" customHeight="1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5.75" customHeight="1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5.75" customHeight="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5.75" customHeight="1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5.75" customHeight="1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5.75" customHeight="1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5.75" customHeight="1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5.75" customHeight="1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5.75" customHeight="1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5.75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5.75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5.75" customHeight="1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5.75" customHeight="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5.75" customHeight="1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5.75" customHeight="1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5.75" customHeight="1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5.75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5.75" customHeight="1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5.75" customHeight="1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5.75" customHeight="1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5.75" customHeight="1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5.75" customHeight="1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5.75" customHeight="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5.75" customHeight="1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5.75" customHeight="1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5.75" customHeight="1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5.75" customHeight="1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5.75" customHeight="1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5.75" customHeight="1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5.75" customHeight="1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5.75" customHeight="1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5.75" customHeight="1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5.75" customHeight="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5.75" customHeight="1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5.75" customHeight="1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5.75" customHeight="1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5.75" customHeight="1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5.75" customHeight="1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5.75" customHeight="1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5.75" customHeight="1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5.75" customHeight="1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5.75" customHeight="1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5.75" customHeight="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5.75" customHeight="1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5.75" customHeight="1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5.75" customHeight="1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5.75" customHeight="1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5.75" customHeight="1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5.75" customHeight="1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5.75" customHeight="1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5.75" customHeight="1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5.75" customHeight="1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5.75" customHeight="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5.75" customHeight="1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5.75" customHeight="1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5.75" customHeight="1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5.75" customHeight="1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5.75" customHeight="1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7" width="10.44"/>
  </cols>
  <sheetData>
    <row r="1" ht="41.25" customHeight="1">
      <c r="B1" s="29" t="s">
        <v>30</v>
      </c>
      <c r="C1" s="29" t="s">
        <v>31</v>
      </c>
      <c r="D1" s="29" t="s">
        <v>32</v>
      </c>
      <c r="E1" s="29" t="s">
        <v>31</v>
      </c>
      <c r="F1" s="30" t="s">
        <v>33</v>
      </c>
      <c r="G1" s="30" t="s">
        <v>33</v>
      </c>
      <c r="H1" s="31" t="s">
        <v>34</v>
      </c>
      <c r="I1" s="31" t="s">
        <v>35</v>
      </c>
      <c r="J1" s="30" t="s">
        <v>36</v>
      </c>
      <c r="K1" s="30" t="s">
        <v>37</v>
      </c>
      <c r="L1" s="30" t="s">
        <v>38</v>
      </c>
    </row>
    <row r="2" ht="15.75" customHeight="1">
      <c r="A2" s="32" t="s">
        <v>39</v>
      </c>
      <c r="B2" s="33" t="s">
        <v>40</v>
      </c>
      <c r="C2" s="33" t="s">
        <v>41</v>
      </c>
      <c r="D2" s="33" t="s">
        <v>42</v>
      </c>
      <c r="E2" s="34" t="s">
        <v>43</v>
      </c>
      <c r="F2" s="35" t="s">
        <v>44</v>
      </c>
      <c r="G2" s="35" t="s">
        <v>44</v>
      </c>
      <c r="H2" s="35" t="s">
        <v>45</v>
      </c>
      <c r="I2" s="35" t="s">
        <v>45</v>
      </c>
      <c r="J2" s="35" t="s">
        <v>45</v>
      </c>
      <c r="K2" s="35" t="s">
        <v>45</v>
      </c>
      <c r="L2" s="35" t="s">
        <v>45</v>
      </c>
    </row>
    <row r="3" ht="15.75" customHeight="1">
      <c r="B3" s="35" t="s">
        <v>46</v>
      </c>
      <c r="C3" s="35" t="s">
        <v>47</v>
      </c>
      <c r="D3" s="35" t="s">
        <v>48</v>
      </c>
      <c r="E3" s="35" t="s">
        <v>49</v>
      </c>
      <c r="F3" s="35" t="s">
        <v>28</v>
      </c>
      <c r="G3" s="35" t="s">
        <v>50</v>
      </c>
      <c r="H3" s="35"/>
      <c r="I3" s="35"/>
      <c r="J3" s="35" t="s">
        <v>51</v>
      </c>
      <c r="K3" s="35" t="s">
        <v>52</v>
      </c>
      <c r="L3" s="35" t="s">
        <v>53</v>
      </c>
    </row>
    <row r="4" ht="15.75" customHeight="1">
      <c r="A4" s="20">
        <v>2022.0</v>
      </c>
      <c r="B4" s="35"/>
      <c r="C4" s="35"/>
      <c r="D4" s="35"/>
      <c r="E4" s="35"/>
      <c r="F4" s="35">
        <v>2.88103292E8</v>
      </c>
      <c r="G4" s="35"/>
      <c r="H4" s="35"/>
      <c r="I4" s="35"/>
      <c r="J4" s="35"/>
      <c r="K4" s="35"/>
      <c r="L4" s="35"/>
    </row>
    <row r="5" ht="15.75" customHeight="1">
      <c r="A5" s="20">
        <v>2023.0</v>
      </c>
      <c r="B5" s="35"/>
      <c r="C5" s="35"/>
      <c r="D5" s="35"/>
      <c r="E5" s="35"/>
      <c r="F5" s="35">
        <v>2.94489643E8</v>
      </c>
      <c r="G5" s="35"/>
      <c r="H5" s="35"/>
      <c r="I5" s="35"/>
      <c r="J5" s="35"/>
      <c r="K5" s="35"/>
      <c r="L5" s="35"/>
    </row>
    <row r="6" ht="15.75" customHeight="1">
      <c r="A6" s="20">
        <v>2024.0</v>
      </c>
      <c r="B6" s="35"/>
      <c r="C6" s="35"/>
      <c r="D6" s="35"/>
      <c r="E6" s="35"/>
      <c r="F6" s="35">
        <v>2.84088474E8</v>
      </c>
      <c r="G6" s="35"/>
      <c r="H6" s="35"/>
      <c r="I6" s="35"/>
      <c r="J6" s="35"/>
      <c r="K6" s="35"/>
      <c r="L6" s="35"/>
    </row>
    <row r="7" ht="15.75" customHeight="1">
      <c r="A7" s="20">
        <v>2025.0</v>
      </c>
      <c r="B7" s="35">
        <f>1/28.2</f>
        <v>0.03546099291</v>
      </c>
      <c r="C7" s="35">
        <v>277.8</v>
      </c>
      <c r="D7" s="35">
        <v>50.0</v>
      </c>
      <c r="E7" s="35">
        <v>8.333</v>
      </c>
      <c r="F7" s="35">
        <f>AVERAGE(F4:F6)</f>
        <v>288893803</v>
      </c>
      <c r="G7" s="35">
        <f>F7*C7</f>
        <v>80254698473</v>
      </c>
      <c r="H7" s="35">
        <v>0.9286</v>
      </c>
      <c r="I7" s="36">
        <v>0.8666666666666667</v>
      </c>
      <c r="J7" s="35">
        <v>396.0</v>
      </c>
      <c r="K7" s="35">
        <v>90.71667</v>
      </c>
      <c r="L7" s="35">
        <v>0.17</v>
      </c>
    </row>
    <row r="8" ht="15.75" customHeight="1">
      <c r="A8" s="20">
        <v>2026.0</v>
      </c>
      <c r="B8" s="35"/>
      <c r="C8" s="35"/>
      <c r="D8" s="35"/>
      <c r="E8" s="35"/>
      <c r="F8" s="35"/>
      <c r="G8" s="35"/>
      <c r="H8" s="35">
        <v>0.8768</v>
      </c>
      <c r="I8" s="36">
        <v>0.8</v>
      </c>
      <c r="J8" s="35">
        <v>396.0</v>
      </c>
      <c r="K8" s="35">
        <v>89.675</v>
      </c>
      <c r="L8" s="35">
        <v>0.18</v>
      </c>
    </row>
    <row r="9" ht="15.75" customHeight="1">
      <c r="A9" s="20">
        <v>2027.0</v>
      </c>
      <c r="B9" s="35"/>
      <c r="C9" s="35"/>
      <c r="D9" s="35"/>
      <c r="E9" s="35"/>
      <c r="F9" s="35"/>
      <c r="G9" s="35"/>
      <c r="H9" s="35">
        <v>0.8249</v>
      </c>
      <c r="I9" s="36">
        <v>0.795</v>
      </c>
      <c r="J9" s="35">
        <v>396.0</v>
      </c>
      <c r="K9" s="35">
        <v>87.975</v>
      </c>
      <c r="L9" s="35">
        <v>0.18</v>
      </c>
    </row>
    <row r="10" ht="15.75" customHeight="1">
      <c r="A10" s="20">
        <v>2028.0</v>
      </c>
      <c r="B10" s="35"/>
      <c r="C10" s="35"/>
      <c r="D10" s="35"/>
      <c r="E10" s="35"/>
      <c r="F10" s="35"/>
      <c r="G10" s="35"/>
      <c r="H10" s="35">
        <v>0.8249</v>
      </c>
      <c r="I10" s="36">
        <v>0.79</v>
      </c>
      <c r="J10" s="35">
        <v>396.0</v>
      </c>
      <c r="K10" s="35">
        <v>89.74167</v>
      </c>
      <c r="L10" s="35">
        <v>0.19</v>
      </c>
    </row>
    <row r="11" ht="15.75" customHeight="1">
      <c r="A11" s="20">
        <v>2029.0</v>
      </c>
      <c r="B11" s="35"/>
      <c r="C11" s="35"/>
      <c r="D11" s="35"/>
      <c r="E11" s="35"/>
      <c r="F11" s="35"/>
      <c r="G11" s="35"/>
      <c r="H11" s="35">
        <v>0.8042</v>
      </c>
      <c r="I11" s="36">
        <v>0.785</v>
      </c>
      <c r="J11" s="35">
        <v>396.0</v>
      </c>
      <c r="K11" s="35">
        <v>89.8</v>
      </c>
      <c r="L11" s="35">
        <v>0.2</v>
      </c>
    </row>
    <row r="12" ht="15.75" customHeight="1">
      <c r="A12" s="20">
        <v>2030.0</v>
      </c>
      <c r="B12" s="35"/>
      <c r="C12" s="35"/>
      <c r="D12" s="35"/>
      <c r="E12" s="35"/>
      <c r="F12" s="35"/>
      <c r="G12" s="35"/>
      <c r="H12" s="35">
        <v>0.6423</v>
      </c>
      <c r="I12" s="36">
        <v>0.78</v>
      </c>
      <c r="J12" s="35">
        <v>396.0</v>
      </c>
      <c r="K12" s="35">
        <v>86.4</v>
      </c>
      <c r="L12" s="35">
        <v>0.21</v>
      </c>
    </row>
    <row r="13" ht="15.75" customHeight="1">
      <c r="A13" s="20">
        <v>2031.0</v>
      </c>
      <c r="B13" s="35"/>
      <c r="C13" s="35"/>
      <c r="D13" s="35"/>
      <c r="E13" s="35"/>
      <c r="F13" s="35"/>
      <c r="G13" s="35"/>
      <c r="H13" s="35">
        <v>0.6423</v>
      </c>
      <c r="I13" s="36">
        <v>0.764</v>
      </c>
      <c r="J13" s="35">
        <v>396.0</v>
      </c>
      <c r="K13" s="35">
        <v>83.20833</v>
      </c>
      <c r="L13" s="35">
        <v>0.21</v>
      </c>
      <c r="N13" s="37"/>
    </row>
    <row r="14" ht="15.75" customHeight="1">
      <c r="A14" s="20">
        <v>2032.0</v>
      </c>
      <c r="B14" s="35"/>
      <c r="C14" s="35"/>
      <c r="D14" s="35"/>
      <c r="E14" s="35"/>
      <c r="F14" s="35"/>
      <c r="G14" s="35"/>
      <c r="H14" s="35">
        <v>0.6423</v>
      </c>
      <c r="I14" s="36">
        <v>0.748</v>
      </c>
      <c r="J14" s="35">
        <v>396.0</v>
      </c>
      <c r="K14" s="35">
        <v>80.78333</v>
      </c>
      <c r="L14" s="35">
        <v>0.22</v>
      </c>
    </row>
    <row r="15" ht="15.75" customHeight="1">
      <c r="A15" s="20">
        <v>2033.0</v>
      </c>
      <c r="B15" s="35"/>
      <c r="C15" s="35"/>
      <c r="D15" s="35"/>
      <c r="E15" s="35"/>
      <c r="F15" s="35"/>
      <c r="G15" s="35"/>
      <c r="H15" s="35">
        <v>0.5324</v>
      </c>
      <c r="I15" s="36">
        <v>0.7020000000000001</v>
      </c>
      <c r="J15" s="35">
        <v>396.0</v>
      </c>
      <c r="K15" s="35">
        <v>78.90833</v>
      </c>
      <c r="L15" s="35">
        <v>0.23</v>
      </c>
    </row>
    <row r="16" ht="15.75" customHeight="1">
      <c r="A16" s="20">
        <v>2034.0</v>
      </c>
      <c r="B16" s="35"/>
      <c r="C16" s="35"/>
      <c r="D16" s="35"/>
      <c r="E16" s="35"/>
      <c r="F16" s="35"/>
      <c r="G16" s="35"/>
      <c r="H16" s="35">
        <v>0.5324</v>
      </c>
      <c r="I16" s="36">
        <v>0.6559999999999999</v>
      </c>
      <c r="J16" s="35">
        <v>396.0</v>
      </c>
      <c r="K16" s="35">
        <v>78.43333</v>
      </c>
      <c r="L16" s="35">
        <v>0.24</v>
      </c>
    </row>
    <row r="17" ht="15.75" customHeight="1">
      <c r="A17" s="20">
        <v>2035.0</v>
      </c>
      <c r="B17" s="35"/>
      <c r="C17" s="35"/>
      <c r="D17" s="35"/>
      <c r="E17" s="35"/>
      <c r="F17" s="35"/>
      <c r="G17" s="35"/>
      <c r="H17" s="35">
        <v>0.455</v>
      </c>
      <c r="I17" s="36">
        <v>0.6</v>
      </c>
      <c r="J17" s="35">
        <v>396.0</v>
      </c>
      <c r="K17" s="35">
        <v>77.44167</v>
      </c>
      <c r="L17" s="35">
        <v>0.25</v>
      </c>
    </row>
    <row r="18" ht="15.75" customHeight="1">
      <c r="A18" s="20">
        <v>2036.0</v>
      </c>
      <c r="B18" s="35"/>
      <c r="C18" s="35"/>
      <c r="D18" s="35"/>
      <c r="E18" s="35"/>
      <c r="F18" s="35"/>
      <c r="G18" s="35"/>
      <c r="H18" s="35">
        <v>0.3636</v>
      </c>
      <c r="I18" s="36">
        <v>0.5</v>
      </c>
      <c r="J18" s="35">
        <v>396.0</v>
      </c>
      <c r="K18" s="35">
        <v>76.39167</v>
      </c>
      <c r="L18" s="35">
        <v>0.25</v>
      </c>
    </row>
    <row r="19" ht="15.75" customHeight="1">
      <c r="A19" s="20">
        <v>2037.0</v>
      </c>
      <c r="B19" s="35"/>
      <c r="C19" s="35"/>
      <c r="D19" s="35"/>
      <c r="E19" s="35"/>
      <c r="F19" s="35"/>
      <c r="G19" s="35"/>
      <c r="H19" s="35">
        <v>0.2838</v>
      </c>
      <c r="I19" s="36">
        <v>0.5</v>
      </c>
      <c r="J19" s="35">
        <v>396.0</v>
      </c>
      <c r="K19" s="35">
        <v>71.53333</v>
      </c>
      <c r="L19" s="35">
        <v>0.25</v>
      </c>
    </row>
    <row r="20" ht="15.75" customHeight="1">
      <c r="A20" s="20">
        <v>2038.0</v>
      </c>
      <c r="B20" s="35"/>
      <c r="C20" s="35"/>
      <c r="D20" s="35"/>
      <c r="E20" s="35"/>
      <c r="F20" s="35"/>
      <c r="G20" s="35"/>
      <c r="H20" s="35">
        <v>0.2838</v>
      </c>
      <c r="I20" s="36">
        <v>0.49</v>
      </c>
      <c r="J20" s="35">
        <v>396.0</v>
      </c>
      <c r="K20" s="35">
        <v>68.44167</v>
      </c>
      <c r="L20" s="35">
        <v>0.25</v>
      </c>
    </row>
    <row r="21" ht="15.75" customHeight="1">
      <c r="A21" s="20">
        <v>2039.0</v>
      </c>
      <c r="B21" s="35"/>
      <c r="C21" s="35"/>
      <c r="D21" s="35"/>
      <c r="E21" s="35"/>
      <c r="F21" s="35"/>
      <c r="G21" s="35"/>
      <c r="H21" s="35">
        <v>0.2838</v>
      </c>
      <c r="I21" s="36">
        <v>0.49</v>
      </c>
      <c r="J21" s="35">
        <v>396.0</v>
      </c>
      <c r="K21" s="35">
        <v>65.49167</v>
      </c>
      <c r="L21" s="35">
        <v>0.25</v>
      </c>
    </row>
    <row r="22" ht="15.75" customHeight="1">
      <c r="A22" s="20">
        <v>2040.0</v>
      </c>
      <c r="B22" s="35"/>
      <c r="C22" s="35"/>
      <c r="D22" s="35"/>
      <c r="E22" s="35"/>
      <c r="F22" s="35"/>
      <c r="G22" s="35"/>
      <c r="H22" s="35">
        <v>0.2137</v>
      </c>
      <c r="I22" s="36">
        <v>0.5</v>
      </c>
      <c r="J22" s="35">
        <v>396.0</v>
      </c>
      <c r="K22" s="35">
        <v>62.683330000000005</v>
      </c>
      <c r="L22" s="35">
        <v>0.25</v>
      </c>
    </row>
    <row r="23" ht="15.75" customHeight="1">
      <c r="A23" s="20">
        <v>2041.0</v>
      </c>
      <c r="B23" s="35"/>
      <c r="C23" s="35"/>
      <c r="D23" s="35"/>
      <c r="E23" s="35"/>
      <c r="F23" s="35"/>
      <c r="G23" s="35"/>
      <c r="H23" s="35">
        <v>0.2137</v>
      </c>
      <c r="I23" s="36">
        <v>0.49</v>
      </c>
      <c r="J23" s="35">
        <v>396.0</v>
      </c>
      <c r="K23" s="35">
        <v>60.0</v>
      </c>
      <c r="L23" s="35">
        <v>0.25</v>
      </c>
    </row>
    <row r="24" ht="15.75" customHeight="1">
      <c r="A24" s="20">
        <v>2042.0</v>
      </c>
      <c r="B24" s="35"/>
      <c r="C24" s="35"/>
      <c r="D24" s="35"/>
      <c r="E24" s="35"/>
      <c r="F24" s="35"/>
      <c r="G24" s="35"/>
      <c r="H24" s="35">
        <v>0.1363</v>
      </c>
      <c r="I24" s="36">
        <v>0.48</v>
      </c>
      <c r="J24" s="35">
        <v>396.0</v>
      </c>
      <c r="K24" s="35">
        <v>57.441669999999995</v>
      </c>
      <c r="L24" s="35">
        <v>0.25</v>
      </c>
    </row>
    <row r="25" ht="15.75" customHeight="1">
      <c r="A25" s="20">
        <v>2043.0</v>
      </c>
      <c r="B25" s="35"/>
      <c r="C25" s="35"/>
      <c r="D25" s="35"/>
      <c r="E25" s="35"/>
      <c r="F25" s="35"/>
      <c r="G25" s="35"/>
      <c r="H25" s="35">
        <v>0.1363</v>
      </c>
      <c r="I25" s="36">
        <v>0.43666666666666665</v>
      </c>
      <c r="J25" s="35">
        <v>396.0</v>
      </c>
      <c r="K25" s="35">
        <v>55.0</v>
      </c>
      <c r="L25" s="35">
        <v>0.25</v>
      </c>
    </row>
    <row r="26" ht="15.75" customHeight="1">
      <c r="A26" s="20">
        <v>2044.0</v>
      </c>
      <c r="B26" s="35"/>
      <c r="C26" s="35"/>
      <c r="D26" s="35"/>
      <c r="E26" s="35"/>
      <c r="F26" s="35"/>
      <c r="G26" s="35"/>
      <c r="H26" s="35">
        <v>0.627</v>
      </c>
      <c r="I26" s="36">
        <v>0.39333333333333337</v>
      </c>
      <c r="J26" s="35">
        <v>396.0</v>
      </c>
      <c r="K26" s="35">
        <v>52.666669999999996</v>
      </c>
      <c r="L26" s="35">
        <v>0.25</v>
      </c>
    </row>
    <row r="27" ht="15.75" customHeight="1">
      <c r="A27" s="20">
        <v>2045.0</v>
      </c>
      <c r="B27" s="35"/>
      <c r="C27" s="35"/>
      <c r="D27" s="35"/>
      <c r="E27" s="35"/>
      <c r="F27" s="35"/>
      <c r="G27" s="35"/>
      <c r="H27" s="35">
        <v>0.627</v>
      </c>
      <c r="I27" s="36">
        <v>0.35</v>
      </c>
      <c r="J27" s="35">
        <v>396.0</v>
      </c>
      <c r="K27" s="35">
        <v>50.441669999999995</v>
      </c>
      <c r="L27" s="35">
        <v>0.25</v>
      </c>
    </row>
    <row r="28" ht="15.75" customHeight="1">
      <c r="A28" s="20">
        <v>2046.0</v>
      </c>
      <c r="B28" s="35"/>
      <c r="C28" s="35"/>
      <c r="D28" s="35"/>
      <c r="E28" s="35"/>
      <c r="F28" s="35"/>
      <c r="G28" s="35"/>
      <c r="H28" s="35">
        <v>0.0</v>
      </c>
      <c r="I28" s="36">
        <v>0.34</v>
      </c>
      <c r="J28" s="35">
        <v>396.0</v>
      </c>
      <c r="K28" s="35">
        <v>48.316669999999995</v>
      </c>
      <c r="L28" s="35">
        <v>0.25</v>
      </c>
      <c r="O28" s="37"/>
    </row>
    <row r="29" ht="15.75" customHeight="1">
      <c r="A29" s="20">
        <v>2047.0</v>
      </c>
      <c r="B29" s="35"/>
      <c r="C29" s="35"/>
      <c r="D29" s="35"/>
      <c r="E29" s="35"/>
      <c r="F29" s="35"/>
      <c r="G29" s="35"/>
      <c r="H29" s="35">
        <v>0.0</v>
      </c>
      <c r="I29" s="36">
        <v>0.33</v>
      </c>
      <c r="J29" s="35">
        <v>396.0</v>
      </c>
      <c r="K29" s="35">
        <v>46.275</v>
      </c>
      <c r="L29" s="35">
        <v>0.25</v>
      </c>
    </row>
    <row r="30" ht="15.75" customHeight="1">
      <c r="A30" s="20">
        <v>2048.0</v>
      </c>
      <c r="B30" s="35"/>
      <c r="C30" s="35"/>
      <c r="D30" s="35"/>
      <c r="E30" s="35"/>
      <c r="F30" s="35"/>
      <c r="G30" s="35"/>
      <c r="H30" s="35">
        <v>0.0</v>
      </c>
      <c r="I30" s="36">
        <v>0.28</v>
      </c>
      <c r="J30" s="35">
        <v>396.0</v>
      </c>
      <c r="K30" s="35">
        <v>44.325</v>
      </c>
      <c r="L30" s="35">
        <v>0.25</v>
      </c>
    </row>
    <row r="31" ht="15.75" customHeight="1">
      <c r="A31" s="20">
        <v>2049.0</v>
      </c>
      <c r="B31" s="35"/>
      <c r="C31" s="35"/>
      <c r="D31" s="35"/>
      <c r="E31" s="35"/>
      <c r="F31" s="35"/>
      <c r="G31" s="35"/>
      <c r="H31" s="35">
        <v>0.0</v>
      </c>
      <c r="I31" s="36">
        <v>0.23</v>
      </c>
      <c r="J31" s="35">
        <v>396.0</v>
      </c>
      <c r="K31" s="35">
        <v>42.458330000000004</v>
      </c>
      <c r="L31" s="35">
        <v>0.25</v>
      </c>
    </row>
    <row r="32" ht="15.75" customHeight="1">
      <c r="A32" s="20">
        <v>2050.0</v>
      </c>
      <c r="B32" s="35"/>
      <c r="C32" s="35"/>
      <c r="D32" s="35"/>
      <c r="E32" s="35"/>
      <c r="F32" s="35"/>
      <c r="G32" s="35"/>
      <c r="H32" s="35">
        <v>0.0</v>
      </c>
      <c r="I32" s="36">
        <v>0.2</v>
      </c>
      <c r="J32" s="35">
        <v>396.0</v>
      </c>
      <c r="K32" s="35">
        <v>40.675</v>
      </c>
      <c r="L32" s="35">
        <v>0.25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7" width="10.44"/>
    <col customWidth="1" min="8" max="8" width="11.11"/>
    <col customWidth="1" min="9" max="28" width="10.44"/>
  </cols>
  <sheetData>
    <row r="1" ht="15.75" customHeight="1">
      <c r="A1" s="1" t="s">
        <v>0</v>
      </c>
      <c r="B1" s="1" t="s">
        <v>1</v>
      </c>
      <c r="C1" s="1">
        <v>2025.0</v>
      </c>
      <c r="D1" s="1">
        <v>2026.0</v>
      </c>
      <c r="E1" s="1">
        <v>2027.0</v>
      </c>
      <c r="F1" s="1">
        <v>2028.0</v>
      </c>
      <c r="G1" s="1">
        <v>2029.0</v>
      </c>
      <c r="H1" s="1">
        <v>2030.0</v>
      </c>
      <c r="I1" s="1">
        <v>2031.0</v>
      </c>
      <c r="J1" s="1">
        <v>2032.0</v>
      </c>
      <c r="K1" s="1">
        <v>2033.0</v>
      </c>
      <c r="L1" s="1">
        <v>2034.0</v>
      </c>
      <c r="M1" s="1">
        <v>2035.0</v>
      </c>
      <c r="N1" s="1">
        <v>2036.0</v>
      </c>
      <c r="O1" s="1">
        <v>2037.0</v>
      </c>
      <c r="P1" s="1">
        <v>2038.0</v>
      </c>
      <c r="Q1" s="1">
        <v>2039.0</v>
      </c>
      <c r="R1" s="1">
        <v>2040.0</v>
      </c>
      <c r="S1" s="1">
        <v>2041.0</v>
      </c>
      <c r="T1" s="1">
        <v>2042.0</v>
      </c>
      <c r="U1" s="1">
        <v>2043.0</v>
      </c>
      <c r="V1" s="1">
        <v>2044.0</v>
      </c>
      <c r="W1" s="1">
        <v>2045.0</v>
      </c>
      <c r="X1" s="1">
        <v>2046.0</v>
      </c>
      <c r="Y1" s="1">
        <v>2047.0</v>
      </c>
      <c r="Z1" s="1">
        <v>2048.0</v>
      </c>
      <c r="AA1" s="1">
        <v>2049.0</v>
      </c>
      <c r="AB1" s="1">
        <v>2050.0</v>
      </c>
    </row>
    <row r="2" ht="15.75" customHeight="1">
      <c r="A2" s="1" t="s">
        <v>54</v>
      </c>
      <c r="B2" s="4" t="s">
        <v>55</v>
      </c>
      <c r="C2" s="1">
        <v>0.341</v>
      </c>
      <c r="D2" s="1">
        <v>0.341</v>
      </c>
      <c r="E2" s="1">
        <v>0.341</v>
      </c>
      <c r="F2" s="1">
        <v>0.341</v>
      </c>
      <c r="G2" s="1">
        <v>0.341</v>
      </c>
      <c r="H2" s="1">
        <v>0.341</v>
      </c>
      <c r="I2" s="1">
        <v>0.346</v>
      </c>
      <c r="J2" s="1">
        <v>0.346</v>
      </c>
      <c r="K2" s="1">
        <v>0.346</v>
      </c>
      <c r="L2" s="1">
        <v>0.346</v>
      </c>
      <c r="M2" s="1">
        <v>0.346</v>
      </c>
      <c r="N2" s="1">
        <v>0.346</v>
      </c>
      <c r="O2" s="1">
        <v>0.346</v>
      </c>
      <c r="P2" s="1">
        <v>0.346</v>
      </c>
      <c r="Q2" s="1">
        <v>0.346</v>
      </c>
      <c r="R2" s="1">
        <v>0.346</v>
      </c>
      <c r="S2" s="1">
        <v>0.379</v>
      </c>
      <c r="T2" s="1">
        <v>0.379</v>
      </c>
      <c r="U2" s="1">
        <v>0.379</v>
      </c>
      <c r="V2" s="1">
        <v>0.379</v>
      </c>
      <c r="W2" s="1">
        <v>0.379</v>
      </c>
      <c r="X2" s="1">
        <v>0.379</v>
      </c>
      <c r="Y2" s="1">
        <v>0.379</v>
      </c>
      <c r="Z2" s="1">
        <v>0.379</v>
      </c>
      <c r="AA2" s="1">
        <v>0.379</v>
      </c>
      <c r="AB2" s="1">
        <v>0.379</v>
      </c>
    </row>
    <row r="3" ht="15.75" customHeight="1">
      <c r="A3" s="1" t="s">
        <v>54</v>
      </c>
      <c r="B3" s="4" t="s">
        <v>6</v>
      </c>
      <c r="C3" s="1">
        <v>0.104</v>
      </c>
      <c r="D3" s="1">
        <v>0.104</v>
      </c>
      <c r="E3" s="1">
        <v>0.104</v>
      </c>
      <c r="F3" s="1">
        <v>0.104</v>
      </c>
      <c r="G3" s="1">
        <v>0.104</v>
      </c>
      <c r="H3" s="1">
        <v>0.104</v>
      </c>
      <c r="I3" s="1">
        <v>0.086</v>
      </c>
      <c r="J3" s="1">
        <v>0.086</v>
      </c>
      <c r="K3" s="1">
        <v>0.086</v>
      </c>
      <c r="L3" s="1">
        <v>0.086</v>
      </c>
      <c r="M3" s="1">
        <v>0.086</v>
      </c>
      <c r="N3" s="1">
        <v>0.086</v>
      </c>
      <c r="O3" s="1">
        <v>0.086</v>
      </c>
      <c r="P3" s="1">
        <v>0.086</v>
      </c>
      <c r="Q3" s="1">
        <v>0.086</v>
      </c>
      <c r="R3" s="1">
        <v>0.086</v>
      </c>
      <c r="S3" s="1">
        <v>0.087</v>
      </c>
      <c r="T3" s="1">
        <v>0.087</v>
      </c>
      <c r="U3" s="1">
        <v>0.087</v>
      </c>
      <c r="V3" s="1">
        <v>0.087</v>
      </c>
      <c r="W3" s="1">
        <v>0.087</v>
      </c>
      <c r="X3" s="1">
        <v>0.087</v>
      </c>
      <c r="Y3" s="1">
        <v>0.087</v>
      </c>
      <c r="Z3" s="1">
        <v>0.087</v>
      </c>
      <c r="AA3" s="1">
        <v>0.087</v>
      </c>
      <c r="AB3" s="1">
        <v>0.087</v>
      </c>
    </row>
    <row r="4" ht="15.75" customHeight="1">
      <c r="A4" s="1" t="s">
        <v>54</v>
      </c>
      <c r="B4" s="4" t="s">
        <v>7</v>
      </c>
      <c r="C4" s="1">
        <v>0.112</v>
      </c>
      <c r="D4" s="1">
        <v>0.112</v>
      </c>
      <c r="E4" s="1">
        <v>0.112</v>
      </c>
      <c r="F4" s="1">
        <v>0.112</v>
      </c>
      <c r="G4" s="1">
        <v>0.112</v>
      </c>
      <c r="H4" s="1">
        <v>0.112</v>
      </c>
      <c r="I4" s="1">
        <v>0.109</v>
      </c>
      <c r="J4" s="1">
        <v>0.109</v>
      </c>
      <c r="K4" s="1">
        <v>0.109</v>
      </c>
      <c r="L4" s="1">
        <v>0.109</v>
      </c>
      <c r="M4" s="1">
        <v>0.109</v>
      </c>
      <c r="N4" s="1">
        <v>0.109</v>
      </c>
      <c r="O4" s="1">
        <v>0.109</v>
      </c>
      <c r="P4" s="1">
        <v>0.109</v>
      </c>
      <c r="Q4" s="1">
        <v>0.109</v>
      </c>
      <c r="R4" s="1">
        <v>0.109</v>
      </c>
      <c r="S4" s="1">
        <v>0.099</v>
      </c>
      <c r="T4" s="1">
        <v>0.099</v>
      </c>
      <c r="U4" s="1">
        <v>0.099</v>
      </c>
      <c r="V4" s="1">
        <v>0.099</v>
      </c>
      <c r="W4" s="1">
        <v>0.099</v>
      </c>
      <c r="X4" s="1">
        <v>0.099</v>
      </c>
      <c r="Y4" s="1">
        <v>0.099</v>
      </c>
      <c r="Z4" s="1">
        <v>0.099</v>
      </c>
      <c r="AA4" s="1">
        <v>0.099</v>
      </c>
      <c r="AB4" s="1">
        <v>0.099</v>
      </c>
    </row>
    <row r="5" ht="15.75" customHeight="1">
      <c r="A5" s="1" t="s">
        <v>54</v>
      </c>
      <c r="B5" s="4" t="s">
        <v>56</v>
      </c>
      <c r="C5" s="1">
        <v>0.444</v>
      </c>
      <c r="D5" s="1">
        <v>0.444</v>
      </c>
      <c r="E5" s="1">
        <v>0.444</v>
      </c>
      <c r="F5" s="1">
        <v>0.444</v>
      </c>
      <c r="G5" s="1">
        <v>0.444</v>
      </c>
      <c r="H5" s="1">
        <v>0.444</v>
      </c>
      <c r="I5" s="1">
        <v>0.459</v>
      </c>
      <c r="J5" s="1">
        <v>0.459</v>
      </c>
      <c r="K5" s="1">
        <v>0.459</v>
      </c>
      <c r="L5" s="1">
        <v>0.459</v>
      </c>
      <c r="M5" s="1">
        <v>0.459</v>
      </c>
      <c r="N5" s="1">
        <v>0.459</v>
      </c>
      <c r="O5" s="1">
        <v>0.459</v>
      </c>
      <c r="P5" s="1">
        <v>0.459</v>
      </c>
      <c r="Q5" s="1">
        <v>0.459</v>
      </c>
      <c r="R5" s="1">
        <v>0.459</v>
      </c>
      <c r="S5" s="1">
        <v>0.435</v>
      </c>
      <c r="T5" s="1">
        <v>0.435</v>
      </c>
      <c r="U5" s="1">
        <v>0.435</v>
      </c>
      <c r="V5" s="1">
        <v>0.435</v>
      </c>
      <c r="W5" s="1">
        <v>0.435</v>
      </c>
      <c r="X5" s="1">
        <v>0.435</v>
      </c>
      <c r="Y5" s="1">
        <v>0.435</v>
      </c>
      <c r="Z5" s="1">
        <v>0.435</v>
      </c>
      <c r="AA5" s="1">
        <v>0.435</v>
      </c>
      <c r="AB5" s="1">
        <v>0.435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2025-11-09T14:57:59Z</dcterms:created>
  <dc:creator>LeeYeongju</dc:creator>
</cp:coreProperties>
</file>