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140" documentId="13_ncr:1_{84D30074-6CA2-9646-BF7A-0F0212785F3D}" xr6:coauthVersionLast="47" xr6:coauthVersionMax="47" xr10:uidLastSave="{87975921-17F0-8F4A-9FC0-ECC54EE01438}"/>
  <bookViews>
    <workbookView xWindow="0" yWindow="760" windowWidth="29400" windowHeight="17100" xr2:uid="{8A7290D0-0CEE-BE47-A4B5-AA6B65E25749}"/>
  </bookViews>
  <sheets>
    <sheet name="Scenario1" sheetId="1" r:id="rId1"/>
    <sheet name="h2por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" l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C5" i="1" l="1"/>
  <c r="F6" i="1"/>
  <c r="G5" i="1"/>
  <c r="E5" i="1"/>
  <c r="G6" i="1"/>
  <c r="D6" i="1"/>
  <c r="F5" i="1"/>
  <c r="D5" i="1"/>
  <c r="C6" i="1"/>
  <c r="E6" i="1" l="1"/>
</calcChain>
</file>

<file path=xl/sharedStrings.xml><?xml version="1.0" encoding="utf-8"?>
<sst xmlns="http://schemas.openxmlformats.org/spreadsheetml/2006/main" count="26" uniqueCount="12">
  <si>
    <t>sector</t>
  </si>
  <si>
    <t>input</t>
  </si>
  <si>
    <t>iotable_2020.xlsx</t>
  </si>
  <si>
    <t>hydrogentable_2020.xlsx</t>
  </si>
  <si>
    <t>H2P</t>
  </si>
  <si>
    <t>H2S</t>
  </si>
  <si>
    <t>H2T</t>
  </si>
  <si>
    <t>H2U</t>
  </si>
  <si>
    <t>total</t>
  </si>
  <si>
    <t>4506</t>
  </si>
  <si>
    <t>1610</t>
  </si>
  <si>
    <t>hydrogentable.xlsx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</si>
</sst>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_-;_-@_-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Malgun Gothic"/>
      <family val="3"/>
      <charset val="129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49" fontId="1" fillId="0" borderId="1" xfId="0" applyNumberFormat="1" applyFont="1" applyBorder="1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3D29-791A-6C4C-8C8F-CBDD0CD69075}">
  <dimension ref="A1:AB14"/>
  <sheetViews>
    <sheetView tabSelected="1" topLeftCell="B1" zoomScale="133" workbookViewId="0">
      <selection activeCell="I10" sqref="I10"/>
    </sheetView>
  </sheetViews>
  <sheetFormatPr baseColWidth="10" defaultRowHeight="16" x14ac:dyDescent="0.2"/>
  <cols>
    <col min="1" max="1" width="21.1640625" bestFit="1" customWidth="1"/>
    <col min="2" max="2" width="6.33203125" bestFit="1" customWidth="1"/>
    <col min="3" max="28" width="12.83203125" bestFit="1" customWidth="1"/>
  </cols>
  <sheetData>
    <row r="1" spans="1:28" x14ac:dyDescent="0.2">
      <c r="A1" t="s">
        <v>1</v>
      </c>
      <c r="B1" t="s">
        <v>0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2</v>
      </c>
      <c r="B2" s="3" t="s">
        <v>10</v>
      </c>
      <c r="C2" s="5">
        <v>0</v>
      </c>
      <c r="D2" s="5">
        <v>-636028.48440622119</v>
      </c>
      <c r="E2" s="5">
        <v>-1161255.5148874223</v>
      </c>
      <c r="F2" s="5">
        <v>-1161255.5148874219</v>
      </c>
      <c r="G2" s="5">
        <v>-1371346.3483328123</v>
      </c>
      <c r="H2" s="5">
        <v>-3152149.6126058395</v>
      </c>
      <c r="I2" s="5">
        <v>-3152149.6126058414</v>
      </c>
      <c r="J2" s="5">
        <v>-3152149.6126058414</v>
      </c>
      <c r="K2" s="5">
        <v>-4145573.2782804454</v>
      </c>
      <c r="L2" s="5">
        <v>-4145573.2782804454</v>
      </c>
      <c r="M2" s="5">
        <v>-5403129.0984650422</v>
      </c>
      <c r="N2" s="5">
        <v>-6228563.9839188652</v>
      </c>
      <c r="O2" s="5">
        <v>-6950163.944393388</v>
      </c>
      <c r="P2" s="5">
        <v>-6950163.944393388</v>
      </c>
      <c r="Q2" s="5">
        <v>-6950163.944393388</v>
      </c>
      <c r="R2" s="5">
        <v>-7583661.5136934519</v>
      </c>
      <c r="S2" s="5">
        <v>-7583661.5136934519</v>
      </c>
      <c r="T2" s="5">
        <v>-8282886.292549165</v>
      </c>
      <c r="U2" s="5">
        <v>-8282886.292549165</v>
      </c>
      <c r="V2" s="5">
        <v>-8947849.1313262768</v>
      </c>
      <c r="W2" s="5">
        <v>-8947849.1313262768</v>
      </c>
      <c r="X2" s="5">
        <v>-9514046.3386238907</v>
      </c>
      <c r="Y2" s="5">
        <v>-9514046.3386238907</v>
      </c>
      <c r="Z2" s="5">
        <v>-9514046.3386238907</v>
      </c>
      <c r="AA2" s="5">
        <v>-9514046.3386238907</v>
      </c>
      <c r="AB2" s="5">
        <v>-9514046.3386238907</v>
      </c>
    </row>
    <row r="3" spans="1:28" x14ac:dyDescent="0.2">
      <c r="A3" t="s">
        <v>2</v>
      </c>
      <c r="B3" s="3" t="s">
        <v>9</v>
      </c>
      <c r="C3" s="5">
        <v>966657.03881434398</v>
      </c>
      <c r="D3" s="5">
        <v>2467521.2518916139</v>
      </c>
      <c r="E3" s="5">
        <v>4086906.9687214158</v>
      </c>
      <c r="F3" s="5">
        <v>4250383.2474702718</v>
      </c>
      <c r="G3" s="5">
        <v>5078308.5278538484</v>
      </c>
      <c r="H3" s="5">
        <v>11234183.322355177</v>
      </c>
      <c r="I3" s="5">
        <v>11683550.655249387</v>
      </c>
      <c r="J3" s="5">
        <v>12462126.544116681</v>
      </c>
      <c r="K3" s="5">
        <v>18488000.976255953</v>
      </c>
      <c r="L3" s="5">
        <v>19227521.01530619</v>
      </c>
      <c r="M3" s="5">
        <v>26406961.963692084</v>
      </c>
      <c r="N3" s="5">
        <v>31362092.688787885</v>
      </c>
      <c r="O3" s="5">
        <v>35739728.489622861</v>
      </c>
      <c r="P3" s="5">
        <v>35739728.489622861</v>
      </c>
      <c r="Q3" s="5">
        <v>35739728.489622861</v>
      </c>
      <c r="R3" s="5">
        <v>39575033.537424251</v>
      </c>
      <c r="S3" s="5">
        <v>39575033.537424251</v>
      </c>
      <c r="T3" s="5">
        <v>43833051.675945982</v>
      </c>
      <c r="U3" s="5">
        <v>43833051.675945982</v>
      </c>
      <c r="V3" s="5">
        <v>47807397.905829579</v>
      </c>
      <c r="W3" s="5">
        <v>47807397.905829579</v>
      </c>
      <c r="X3" s="5">
        <v>51215249.339896932</v>
      </c>
      <c r="Y3" s="5">
        <v>51215249.339896932</v>
      </c>
      <c r="Z3" s="5">
        <v>51215249.339896932</v>
      </c>
      <c r="AA3" s="5">
        <v>51215249.339896932</v>
      </c>
      <c r="AB3" s="5">
        <v>51215249.339896932</v>
      </c>
    </row>
    <row r="4" spans="1:28" x14ac:dyDescent="0.2">
      <c r="A4" t="s">
        <v>11</v>
      </c>
      <c r="B4" s="1" t="s">
        <v>4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</row>
    <row r="5" spans="1:28" x14ac:dyDescent="0.2">
      <c r="A5" t="s">
        <v>11</v>
      </c>
      <c r="B5" s="1" t="s">
        <v>5</v>
      </c>
      <c r="C5" s="5">
        <f>h2portion!C6*h2portion!C3</f>
        <v>0</v>
      </c>
      <c r="D5" s="5">
        <f>h2portion!D6*h2portion!D3</f>
        <v>0</v>
      </c>
      <c r="E5" s="5">
        <f>h2portion!E6*h2portion!E3</f>
        <v>0</v>
      </c>
      <c r="F5" s="5">
        <f>h2portion!F6*h2portion!F3</f>
        <v>0</v>
      </c>
      <c r="G5" s="5">
        <f>h2portion!G6*h2portion!G3</f>
        <v>0</v>
      </c>
      <c r="H5" s="5">
        <f>h2portion!H6*h2portion!H3/h2portion!H2</f>
        <v>1517752.7684129032</v>
      </c>
      <c r="I5" s="5">
        <f>h2portion!I6*h2portion!I3/h2portion!I2</f>
        <v>1191235.1209044936</v>
      </c>
      <c r="J5" s="5">
        <f>h2portion!J6*h2portion!J3/h2portion!J2</f>
        <v>1618921.7568110595</v>
      </c>
      <c r="K5" s="5">
        <f>h2portion!K6*h2portion!K3/h2portion!K2</f>
        <v>2647762.1713872831</v>
      </c>
      <c r="L5" s="5">
        <f>h2portion!L6*h2portion!L3/h2portion!L2</f>
        <v>2631823.5875722542</v>
      </c>
      <c r="M5" s="5">
        <f>h2portion!M6*h2portion!M3/h2portion!M2</f>
        <v>3945944.0523121385</v>
      </c>
      <c r="N5" s="5">
        <f>h2portion!N6*h2portion!N3/h2portion!N2</f>
        <v>4746881.228323699</v>
      </c>
      <c r="O5" s="5">
        <f>h2portion!O6*h2portion!O3/h2portion!O2</f>
        <v>5156188.5843930636</v>
      </c>
      <c r="P5" s="5">
        <f>h2portion!P6*h2portion!P3/h2portion!P2</f>
        <v>4933338.8722543353</v>
      </c>
      <c r="Q5" s="5">
        <f>h2portion!Q6*h2portion!Q3/h2portion!Q2</f>
        <v>4720700.1439306354</v>
      </c>
      <c r="R5" s="5">
        <f>h2portion!R6*h2portion!R3/h2portion!R2</f>
        <v>5063581.1372832377</v>
      </c>
      <c r="S5" s="5">
        <f>h2portion!S6*h2portion!S3/h2portion!S2</f>
        <v>4476253.2981530335</v>
      </c>
      <c r="T5" s="5">
        <f>h2portion!T6*h2portion!T3/h2portion!T2</f>
        <v>4799638.0093931388</v>
      </c>
      <c r="U5" s="5">
        <f>h2portion!U6*h2portion!U3/h2portion!U2</f>
        <v>4595620.0527704479</v>
      </c>
      <c r="V5" s="5">
        <f>h2portion!V6*h2portion!V3/h2portion!V2</f>
        <v>4835884.2110817935</v>
      </c>
      <c r="W5" s="5">
        <f>h2portion!W6*h2portion!W3/h2portion!W2</f>
        <v>4631583.4195250645</v>
      </c>
      <c r="X5" s="5">
        <f>h2portion!X6*h2portion!X3/h2portion!X2</f>
        <v>4780290.6991820568</v>
      </c>
      <c r="Y5" s="5">
        <f>h2portion!Y6*h2portion!Y3/h2portion!Y2</f>
        <v>4578294.6569920843</v>
      </c>
      <c r="Z5" s="5">
        <f>h2portion!Z6*h2portion!Z3/h2portion!Z2</f>
        <v>4385368.1398416888</v>
      </c>
      <c r="AA5" s="5">
        <f>h2portion!AA6*h2portion!AA3/h2portion!AA2</f>
        <v>4200686.0158575196</v>
      </c>
      <c r="AB5" s="5">
        <f>h2portion!AB6*h2portion!AB3/h2portion!AB2</f>
        <v>4024249.2744063321</v>
      </c>
    </row>
    <row r="6" spans="1:28" x14ac:dyDescent="0.2">
      <c r="A6" t="s">
        <v>11</v>
      </c>
      <c r="B6" s="1" t="s">
        <v>6</v>
      </c>
      <c r="C6" s="5">
        <f>h2portion!C6*h2portion!C4</f>
        <v>0</v>
      </c>
      <c r="D6" s="5">
        <f>h2portion!D6*h2portion!D4</f>
        <v>0</v>
      </c>
      <c r="E6" s="5">
        <f>h2portion!E6*h2portion!E4</f>
        <v>0</v>
      </c>
      <c r="F6" s="5">
        <f>h2portion!F6*h2portion!F4</f>
        <v>0</v>
      </c>
      <c r="G6" s="5">
        <f>h2portion!G6*h2portion!G4</f>
        <v>0</v>
      </c>
      <c r="H6" s="5">
        <f>h2portion!H6*h2portion!H4/h2portion!H2</f>
        <v>1634502.9813677422</v>
      </c>
      <c r="I6" s="5">
        <f>h2portion!I6*h2portion!I4/h2portion!I2</f>
        <v>1509821.2578905793</v>
      </c>
      <c r="J6" s="5">
        <f>h2portion!J6*h2portion!J4/h2portion!J2</f>
        <v>2051889.2034000643</v>
      </c>
      <c r="K6" s="5">
        <f>h2portion!K6*h2portion!K4/h2portion!K2</f>
        <v>3355884.6125722546</v>
      </c>
      <c r="L6" s="5">
        <f>h2portion!L6*h2portion!L4/h2portion!L2</f>
        <v>3335683.3842485552</v>
      </c>
      <c r="M6" s="5">
        <f>h2portion!M6*h2portion!M4/h2portion!M2</f>
        <v>5001254.6709537571</v>
      </c>
      <c r="N6" s="5">
        <f>h2portion!N6*h2portion!N4/h2portion!N2</f>
        <v>6016395.9754335266</v>
      </c>
      <c r="O6" s="5">
        <f>h2portion!O6*h2portion!O4/h2portion!O2</f>
        <v>6535169.2523121387</v>
      </c>
      <c r="P6" s="5">
        <f>h2portion!P6*h2portion!P4/h2portion!P2</f>
        <v>6252720.1985549144</v>
      </c>
      <c r="Q6" s="5">
        <f>h2portion!Q6*h2portion!Q4/h2portion!Q2</f>
        <v>5983212.9731213879</v>
      </c>
      <c r="R6" s="5">
        <f>h2portion!R6*h2portion!R4/h2portion!R2</f>
        <v>6417794.6972543355</v>
      </c>
      <c r="S6" s="5">
        <f>h2portion!S6*h2portion!S4/h2portion!S2</f>
        <v>5093667.5461741425</v>
      </c>
      <c r="T6" s="5">
        <f>h2portion!T6*h2portion!T4/h2portion!T2</f>
        <v>5461657.0451715039</v>
      </c>
      <c r="U6" s="5">
        <f>h2portion!U6*h2portion!U4/h2portion!U2</f>
        <v>5229498.6807387862</v>
      </c>
      <c r="V6" s="5">
        <f>h2portion!V6*h2portion!V4/h2portion!V2</f>
        <v>5502902.7229551449</v>
      </c>
      <c r="W6" s="5">
        <f>h2portion!W6*h2portion!W4/h2portion!W2</f>
        <v>5270422.5118733505</v>
      </c>
      <c r="X6" s="5">
        <f>h2portion!X6*h2portion!X4/h2portion!X2</f>
        <v>5439641.1404485479</v>
      </c>
      <c r="Y6" s="5">
        <f>h2portion!Y6*h2portion!Y4/h2portion!Y2</f>
        <v>5209783.5751978895</v>
      </c>
      <c r="Z6" s="5">
        <f>h2portion!Z6*h2portion!Z4/h2portion!Z2</f>
        <v>4990246.5039577838</v>
      </c>
      <c r="AA6" s="5">
        <f>h2portion!AA6*h2portion!AA4/h2portion!AA2</f>
        <v>4780090.9835620057</v>
      </c>
      <c r="AB6" s="5">
        <f>h2portion!AB6*h2portion!AB4/h2portion!AB2</f>
        <v>4579318.1398416888</v>
      </c>
    </row>
    <row r="7" spans="1:28" x14ac:dyDescent="0.2">
      <c r="A7" t="s">
        <v>11</v>
      </c>
      <c r="B7" s="1" t="s">
        <v>7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</row>
    <row r="9" spans="1:28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B8C9-B9B0-3742-97F6-4323486816FC}">
  <dimension ref="A1:AB6"/>
  <sheetViews>
    <sheetView workbookViewId="0">
      <selection activeCell="C3" sqref="C3"/>
    </sheetView>
  </sheetViews>
  <sheetFormatPr baseColWidth="10" defaultRowHeight="16" x14ac:dyDescent="0.2"/>
  <cols>
    <col min="8" max="8" width="11.1640625" bestFit="1" customWidth="1"/>
  </cols>
  <sheetData>
    <row r="1" spans="1:28" x14ac:dyDescent="0.2">
      <c r="A1" t="s">
        <v>1</v>
      </c>
      <c r="B1" t="s">
        <v>0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3</v>
      </c>
      <c r="B2" s="1" t="s">
        <v>4</v>
      </c>
      <c r="C2">
        <v>0.34100000000000003</v>
      </c>
      <c r="D2">
        <v>0.34100000000000003</v>
      </c>
      <c r="E2">
        <v>0.34100000000000003</v>
      </c>
      <c r="F2">
        <v>0.34100000000000003</v>
      </c>
      <c r="G2">
        <v>0.34100000000000003</v>
      </c>
      <c r="H2">
        <v>0.34100000000000003</v>
      </c>
      <c r="I2">
        <v>0.34599999999999997</v>
      </c>
      <c r="J2">
        <v>0.34599999999999997</v>
      </c>
      <c r="K2">
        <v>0.34599999999999997</v>
      </c>
      <c r="L2">
        <v>0.34599999999999997</v>
      </c>
      <c r="M2">
        <v>0.34599999999999997</v>
      </c>
      <c r="N2">
        <v>0.34599999999999997</v>
      </c>
      <c r="O2">
        <v>0.34599999999999997</v>
      </c>
      <c r="P2">
        <v>0.34599999999999997</v>
      </c>
      <c r="Q2">
        <v>0.34599999999999997</v>
      </c>
      <c r="R2">
        <v>0.34599999999999997</v>
      </c>
      <c r="S2">
        <v>0.379</v>
      </c>
      <c r="T2">
        <v>0.379</v>
      </c>
      <c r="U2">
        <v>0.379</v>
      </c>
      <c r="V2">
        <v>0.379</v>
      </c>
      <c r="W2">
        <v>0.379</v>
      </c>
      <c r="X2">
        <v>0.379</v>
      </c>
      <c r="Y2">
        <v>0.379</v>
      </c>
      <c r="Z2">
        <v>0.379</v>
      </c>
      <c r="AA2">
        <v>0.379</v>
      </c>
      <c r="AB2">
        <v>0.379</v>
      </c>
    </row>
    <row r="3" spans="1:28" x14ac:dyDescent="0.2">
      <c r="A3" t="s">
        <v>3</v>
      </c>
      <c r="B3" s="1" t="s">
        <v>5</v>
      </c>
      <c r="C3">
        <v>0.104</v>
      </c>
      <c r="D3">
        <v>0.104</v>
      </c>
      <c r="E3">
        <v>0.104</v>
      </c>
      <c r="F3">
        <v>0.104</v>
      </c>
      <c r="G3">
        <v>0.104</v>
      </c>
      <c r="H3">
        <v>0.104</v>
      </c>
      <c r="I3">
        <v>8.5999999999999993E-2</v>
      </c>
      <c r="J3">
        <v>8.5999999999999993E-2</v>
      </c>
      <c r="K3">
        <v>8.5999999999999993E-2</v>
      </c>
      <c r="L3">
        <v>8.5999999999999993E-2</v>
      </c>
      <c r="M3">
        <v>8.5999999999999993E-2</v>
      </c>
      <c r="N3">
        <v>8.5999999999999993E-2</v>
      </c>
      <c r="O3">
        <v>8.5999999999999993E-2</v>
      </c>
      <c r="P3">
        <v>8.5999999999999993E-2</v>
      </c>
      <c r="Q3">
        <v>8.5999999999999993E-2</v>
      </c>
      <c r="R3">
        <v>8.5999999999999993E-2</v>
      </c>
      <c r="S3">
        <v>8.6999999999999994E-2</v>
      </c>
      <c r="T3">
        <v>8.6999999999999994E-2</v>
      </c>
      <c r="U3">
        <v>8.6999999999999994E-2</v>
      </c>
      <c r="V3">
        <v>8.6999999999999994E-2</v>
      </c>
      <c r="W3">
        <v>8.6999999999999994E-2</v>
      </c>
      <c r="X3">
        <v>8.6999999999999994E-2</v>
      </c>
      <c r="Y3">
        <v>8.6999999999999994E-2</v>
      </c>
      <c r="Z3">
        <v>8.6999999999999994E-2</v>
      </c>
      <c r="AA3">
        <v>8.6999999999999994E-2</v>
      </c>
      <c r="AB3">
        <v>8.6999999999999994E-2</v>
      </c>
    </row>
    <row r="4" spans="1:28" x14ac:dyDescent="0.2">
      <c r="A4" t="s">
        <v>3</v>
      </c>
      <c r="B4" s="1" t="s">
        <v>6</v>
      </c>
      <c r="C4">
        <v>0.112</v>
      </c>
      <c r="D4">
        <v>0.112</v>
      </c>
      <c r="E4">
        <v>0.112</v>
      </c>
      <c r="F4">
        <v>0.112</v>
      </c>
      <c r="G4">
        <v>0.112</v>
      </c>
      <c r="H4">
        <v>0.112</v>
      </c>
      <c r="I4">
        <v>0.109</v>
      </c>
      <c r="J4">
        <v>0.109</v>
      </c>
      <c r="K4">
        <v>0.109</v>
      </c>
      <c r="L4">
        <v>0.109</v>
      </c>
      <c r="M4">
        <v>0.109</v>
      </c>
      <c r="N4">
        <v>0.109</v>
      </c>
      <c r="O4">
        <v>0.109</v>
      </c>
      <c r="P4">
        <v>0.109</v>
      </c>
      <c r="Q4">
        <v>0.109</v>
      </c>
      <c r="R4">
        <v>0.109</v>
      </c>
      <c r="S4">
        <v>9.9000000000000005E-2</v>
      </c>
      <c r="T4">
        <v>9.9000000000000005E-2</v>
      </c>
      <c r="U4">
        <v>9.9000000000000005E-2</v>
      </c>
      <c r="V4">
        <v>9.9000000000000005E-2</v>
      </c>
      <c r="W4">
        <v>9.9000000000000005E-2</v>
      </c>
      <c r="X4">
        <v>9.9000000000000005E-2</v>
      </c>
      <c r="Y4">
        <v>9.9000000000000005E-2</v>
      </c>
      <c r="Z4">
        <v>9.9000000000000005E-2</v>
      </c>
      <c r="AA4">
        <v>9.9000000000000005E-2</v>
      </c>
      <c r="AB4">
        <v>9.9000000000000005E-2</v>
      </c>
    </row>
    <row r="5" spans="1:28" x14ac:dyDescent="0.2">
      <c r="A5" t="s">
        <v>3</v>
      </c>
      <c r="B5" s="1" t="s">
        <v>7</v>
      </c>
      <c r="C5">
        <v>0.44400000000000001</v>
      </c>
      <c r="D5">
        <v>0.44400000000000001</v>
      </c>
      <c r="E5">
        <v>0.44400000000000001</v>
      </c>
      <c r="F5">
        <v>0.44400000000000001</v>
      </c>
      <c r="G5">
        <v>0.44400000000000001</v>
      </c>
      <c r="H5">
        <v>0.44400000000000001</v>
      </c>
      <c r="I5">
        <v>0.45900000000000002</v>
      </c>
      <c r="J5">
        <v>0.45900000000000002</v>
      </c>
      <c r="K5">
        <v>0.45900000000000002</v>
      </c>
      <c r="L5">
        <v>0.45900000000000002</v>
      </c>
      <c r="M5">
        <v>0.45900000000000002</v>
      </c>
      <c r="N5">
        <v>0.45900000000000002</v>
      </c>
      <c r="O5">
        <v>0.45900000000000002</v>
      </c>
      <c r="P5">
        <v>0.45900000000000002</v>
      </c>
      <c r="Q5">
        <v>0.45900000000000002</v>
      </c>
      <c r="R5">
        <v>0.45900000000000002</v>
      </c>
      <c r="S5">
        <v>0.435</v>
      </c>
      <c r="T5">
        <v>0.435</v>
      </c>
      <c r="U5">
        <v>0.435</v>
      </c>
      <c r="V5">
        <v>0.435</v>
      </c>
      <c r="W5">
        <v>0.435</v>
      </c>
      <c r="X5">
        <v>0.435</v>
      </c>
      <c r="Y5">
        <v>0.435</v>
      </c>
      <c r="Z5">
        <v>0.435</v>
      </c>
      <c r="AA5">
        <v>0.435</v>
      </c>
      <c r="AB5">
        <v>0.435</v>
      </c>
    </row>
    <row r="6" spans="1:28" x14ac:dyDescent="0.2">
      <c r="A6" t="s">
        <v>3</v>
      </c>
      <c r="B6" s="2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4976477.8272000011</v>
      </c>
      <c r="I6">
        <v>4792643.6259645903</v>
      </c>
      <c r="J6">
        <v>6513336.3704258911</v>
      </c>
      <c r="K6">
        <v>10652624.550000001</v>
      </c>
      <c r="L6">
        <v>10588499.550000001</v>
      </c>
      <c r="M6">
        <v>15875542.35</v>
      </c>
      <c r="N6">
        <v>19097917.5</v>
      </c>
      <c r="O6">
        <v>20744665.699999999</v>
      </c>
      <c r="P6">
        <v>19848084.300000001</v>
      </c>
      <c r="Q6">
        <v>18992584.300000001</v>
      </c>
      <c r="R6">
        <v>20372082.25</v>
      </c>
      <c r="S6">
        <v>19500000</v>
      </c>
      <c r="T6">
        <v>20908767.879999999</v>
      </c>
      <c r="U6">
        <v>20020000</v>
      </c>
      <c r="V6">
        <v>21066668</v>
      </c>
      <c r="W6">
        <v>20176667.999999996</v>
      </c>
      <c r="X6">
        <v>20824484.769999996</v>
      </c>
      <c r="Y6">
        <v>19944525</v>
      </c>
      <c r="Z6">
        <v>19104075</v>
      </c>
      <c r="AA6">
        <v>18299540.23</v>
      </c>
      <c r="AB6">
        <v>17530925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Scenario1</vt:lpstr>
      <vt:lpstr>h2portion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Sanghyun Hong</dc:creator>
  <cp:lastModifiedBy>이 영주</cp:lastModifiedBy>
  <dcterms:created xsi:type="dcterms:W3CDTF">2025-09-27T05:32:48Z</dcterms:created>
  <dcterms:modified xsi:type="dcterms:W3CDTF">2025-11-01T07:12:12Z</dcterms:modified>
</cp:coreProperties>
</file>